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99" documentId="11_3306EDEEF4ABF1FAAC7EFFF6B70E40E7D0F2CC1E" xr6:coauthVersionLast="47" xr6:coauthVersionMax="47" xr10:uidLastSave="{328249D8-96E6-4CA5-B3E1-A3BA3A4F121D}"/>
  <bookViews>
    <workbookView xWindow="28680" yWindow="-120" windowWidth="29040" windowHeight="15720" activeTab="3" xr2:uid="{00000000-000D-0000-FFFF-FFFF00000000}"/>
  </bookViews>
  <sheets>
    <sheet name="lightfluoromete" sheetId="1" r:id="rId1"/>
    <sheet name="수식x" sheetId="2" r:id="rId2"/>
    <sheet name="Clean_Data" sheetId="4" r:id="rId3"/>
    <sheet name="Selected_Dat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5" l="1"/>
  <c r="Q2" i="5"/>
  <c r="R2" i="5"/>
  <c r="S2" i="5"/>
  <c r="T2" i="5"/>
  <c r="U2" i="5"/>
  <c r="V2" i="5"/>
  <c r="W2" i="5"/>
  <c r="P3" i="5"/>
  <c r="Q3" i="5"/>
  <c r="R3" i="5"/>
  <c r="S3" i="5"/>
  <c r="T3" i="5"/>
  <c r="U3" i="5"/>
  <c r="V3" i="5"/>
  <c r="W3" i="5"/>
  <c r="P4" i="5"/>
  <c r="Q4" i="5"/>
  <c r="R4" i="5"/>
  <c r="S4" i="5"/>
  <c r="T4" i="5"/>
  <c r="U4" i="5"/>
  <c r="V4" i="5"/>
  <c r="W4" i="5"/>
  <c r="P5" i="5"/>
  <c r="Q5" i="5"/>
  <c r="R5" i="5"/>
  <c r="S5" i="5"/>
  <c r="T5" i="5"/>
  <c r="U5" i="5"/>
  <c r="V5" i="5"/>
  <c r="W5" i="5"/>
  <c r="P6" i="5"/>
  <c r="Q6" i="5"/>
  <c r="R6" i="5"/>
  <c r="S6" i="5"/>
  <c r="T6" i="5"/>
  <c r="U6" i="5"/>
  <c r="V6" i="5"/>
  <c r="W6" i="5"/>
  <c r="P7" i="5"/>
  <c r="Q7" i="5"/>
  <c r="R7" i="5"/>
  <c r="S7" i="5"/>
  <c r="T7" i="5"/>
  <c r="U7" i="5"/>
  <c r="V7" i="5"/>
  <c r="W7" i="5"/>
  <c r="O7" i="5"/>
  <c r="O6" i="5"/>
  <c r="O5" i="5"/>
  <c r="O4" i="5"/>
  <c r="O3" i="5"/>
  <c r="O2" i="5"/>
  <c r="AL57" i="1"/>
  <c r="P57" i="1" s="1"/>
  <c r="AF57" i="1"/>
  <c r="U57" i="1"/>
  <c r="M57" i="1" s="1"/>
  <c r="K57" i="1"/>
  <c r="AL56" i="1"/>
  <c r="P56" i="1" s="1"/>
  <c r="AF56" i="1"/>
  <c r="U56" i="1"/>
  <c r="M56" i="1" s="1"/>
  <c r="K56" i="1"/>
  <c r="AL55" i="1"/>
  <c r="P55" i="1" s="1"/>
  <c r="AF55" i="1"/>
  <c r="U55" i="1"/>
  <c r="M55" i="1"/>
  <c r="K55" i="1"/>
  <c r="AL54" i="1"/>
  <c r="P54" i="1" s="1"/>
  <c r="AF54" i="1"/>
  <c r="U54" i="1"/>
  <c r="M54" i="1" s="1"/>
  <c r="K54" i="1"/>
  <c r="AL53" i="1"/>
  <c r="P53" i="1" s="1"/>
  <c r="AF53" i="1"/>
  <c r="U53" i="1"/>
  <c r="M53" i="1"/>
  <c r="K53" i="1"/>
  <c r="AL52" i="1"/>
  <c r="P52" i="1" s="1"/>
  <c r="AF52" i="1"/>
  <c r="U52" i="1"/>
  <c r="M52" i="1" s="1"/>
  <c r="K52" i="1"/>
  <c r="AL51" i="1"/>
  <c r="AF51" i="1"/>
  <c r="U51" i="1"/>
  <c r="P51" i="1"/>
  <c r="Q51" i="1" s="1"/>
  <c r="M51" i="1"/>
  <c r="K51" i="1"/>
  <c r="AL50" i="1"/>
  <c r="P50" i="1" s="1"/>
  <c r="AF50" i="1"/>
  <c r="U50" i="1"/>
  <c r="M50" i="1" s="1"/>
  <c r="K50" i="1"/>
  <c r="AL49" i="1"/>
  <c r="AF49" i="1"/>
  <c r="U49" i="1"/>
  <c r="P49" i="1"/>
  <c r="M49" i="1"/>
  <c r="K49" i="1"/>
  <c r="AL48" i="1"/>
  <c r="P48" i="1" s="1"/>
  <c r="AF48" i="1"/>
  <c r="U48" i="1"/>
  <c r="M48" i="1"/>
  <c r="K48" i="1"/>
  <c r="AL47" i="1"/>
  <c r="AF47" i="1"/>
  <c r="U47" i="1"/>
  <c r="Q47" i="1"/>
  <c r="P47" i="1"/>
  <c r="T47" i="1" s="1"/>
  <c r="L47" i="1" s="1"/>
  <c r="J47" i="1" s="1"/>
  <c r="M47" i="1"/>
  <c r="K47" i="1"/>
  <c r="AL46" i="1"/>
  <c r="AF46" i="1"/>
  <c r="U46" i="1"/>
  <c r="P46" i="1"/>
  <c r="T46" i="1" s="1"/>
  <c r="L46" i="1" s="1"/>
  <c r="J46" i="1" s="1"/>
  <c r="M46" i="1"/>
  <c r="K46" i="1"/>
  <c r="AL45" i="1"/>
  <c r="AF45" i="1"/>
  <c r="U45" i="1"/>
  <c r="M45" i="1" s="1"/>
  <c r="P45" i="1"/>
  <c r="T45" i="1" s="1"/>
  <c r="K45" i="1"/>
  <c r="AL44" i="1"/>
  <c r="AF44" i="1"/>
  <c r="U44" i="1"/>
  <c r="P44" i="1"/>
  <c r="T44" i="1" s="1"/>
  <c r="L44" i="1" s="1"/>
  <c r="M44" i="1"/>
  <c r="K44" i="1"/>
  <c r="J44" i="1"/>
  <c r="AL43" i="1"/>
  <c r="P43" i="1" s="1"/>
  <c r="Q43" i="1" s="1"/>
  <c r="AF43" i="1"/>
  <c r="U43" i="1"/>
  <c r="M43" i="1" s="1"/>
  <c r="L43" i="1" s="1"/>
  <c r="J43" i="1" s="1"/>
  <c r="T43" i="1"/>
  <c r="K43" i="1"/>
  <c r="AL42" i="1"/>
  <c r="AF42" i="1"/>
  <c r="U42" i="1"/>
  <c r="P42" i="1"/>
  <c r="T42" i="1" s="1"/>
  <c r="M42" i="1"/>
  <c r="L42" i="1"/>
  <c r="J42" i="1" s="1"/>
  <c r="K42" i="1"/>
  <c r="AL41" i="1"/>
  <c r="P41" i="1" s="1"/>
  <c r="AF41" i="1"/>
  <c r="U41" i="1"/>
  <c r="M41" i="1" s="1"/>
  <c r="K41" i="1"/>
  <c r="AL40" i="1"/>
  <c r="AF40" i="1"/>
  <c r="U40" i="1"/>
  <c r="P40" i="1"/>
  <c r="M40" i="1"/>
  <c r="K40" i="1"/>
  <c r="AL39" i="1"/>
  <c r="P39" i="1" s="1"/>
  <c r="AF39" i="1"/>
  <c r="U39" i="1"/>
  <c r="M39" i="1"/>
  <c r="K39" i="1"/>
  <c r="AL38" i="1"/>
  <c r="AF38" i="1"/>
  <c r="U38" i="1"/>
  <c r="P38" i="1"/>
  <c r="T38" i="1" s="1"/>
  <c r="L38" i="1" s="1"/>
  <c r="J38" i="1" s="1"/>
  <c r="M38" i="1"/>
  <c r="K38" i="1"/>
  <c r="AL37" i="1"/>
  <c r="AF37" i="1"/>
  <c r="U37" i="1"/>
  <c r="P37" i="1"/>
  <c r="T37" i="1" s="1"/>
  <c r="L37" i="1" s="1"/>
  <c r="J37" i="1" s="1"/>
  <c r="M37" i="1"/>
  <c r="K37" i="1"/>
  <c r="AL36" i="1"/>
  <c r="AF36" i="1"/>
  <c r="U36" i="1"/>
  <c r="M36" i="1" s="1"/>
  <c r="L36" i="1" s="1"/>
  <c r="J36" i="1" s="1"/>
  <c r="T36" i="1"/>
  <c r="P36" i="1"/>
  <c r="Q36" i="1" s="1"/>
  <c r="K36" i="1"/>
  <c r="AL35" i="1"/>
  <c r="AF35" i="1"/>
  <c r="U35" i="1"/>
  <c r="P35" i="1"/>
  <c r="T35" i="1" s="1"/>
  <c r="L35" i="1" s="1"/>
  <c r="M35" i="1"/>
  <c r="K35" i="1"/>
  <c r="J35" i="1"/>
  <c r="AL34" i="1"/>
  <c r="P34" i="1" s="1"/>
  <c r="AF34" i="1"/>
  <c r="U34" i="1"/>
  <c r="M34" i="1" s="1"/>
  <c r="T34" i="1"/>
  <c r="Q34" i="1"/>
  <c r="K34" i="1"/>
  <c r="AL33" i="1"/>
  <c r="AF33" i="1"/>
  <c r="U33" i="1"/>
  <c r="P33" i="1"/>
  <c r="Q33" i="1" s="1"/>
  <c r="M33" i="1"/>
  <c r="K33" i="1"/>
  <c r="AL32" i="1"/>
  <c r="P32" i="1" s="1"/>
  <c r="AF32" i="1"/>
  <c r="U32" i="1"/>
  <c r="M32" i="1" s="1"/>
  <c r="K32" i="1"/>
  <c r="AL31" i="1"/>
  <c r="AF31" i="1"/>
  <c r="U31" i="1"/>
  <c r="P31" i="1"/>
  <c r="M31" i="1"/>
  <c r="K31" i="1"/>
  <c r="AL30" i="1"/>
  <c r="P30" i="1" s="1"/>
  <c r="AF30" i="1"/>
  <c r="U30" i="1"/>
  <c r="M30" i="1"/>
  <c r="K30" i="1"/>
  <c r="AL29" i="1"/>
  <c r="AF29" i="1"/>
  <c r="U29" i="1"/>
  <c r="P29" i="1"/>
  <c r="Q29" i="1" s="1"/>
  <c r="M29" i="1"/>
  <c r="K29" i="1"/>
  <c r="AL28" i="1"/>
  <c r="AF28" i="1"/>
  <c r="U28" i="1"/>
  <c r="P28" i="1"/>
  <c r="T28" i="1" s="1"/>
  <c r="L28" i="1" s="1"/>
  <c r="J28" i="1" s="1"/>
  <c r="M28" i="1"/>
  <c r="K28" i="1"/>
  <c r="AL27" i="1"/>
  <c r="AF27" i="1"/>
  <c r="U27" i="1"/>
  <c r="P27" i="1"/>
  <c r="T27" i="1" s="1"/>
  <c r="M27" i="1"/>
  <c r="K27" i="1"/>
  <c r="AL26" i="1"/>
  <c r="AF26" i="1"/>
  <c r="U26" i="1"/>
  <c r="P26" i="1"/>
  <c r="T26" i="1" s="1"/>
  <c r="L26" i="1" s="1"/>
  <c r="J26" i="1" s="1"/>
  <c r="M26" i="1"/>
  <c r="K26" i="1"/>
  <c r="AL25" i="1"/>
  <c r="P25" i="1" s="1"/>
  <c r="AF25" i="1"/>
  <c r="U25" i="1"/>
  <c r="M25" i="1" s="1"/>
  <c r="T25" i="1"/>
  <c r="Q25" i="1"/>
  <c r="K25" i="1"/>
  <c r="AL24" i="1"/>
  <c r="AF24" i="1"/>
  <c r="U24" i="1"/>
  <c r="P24" i="1"/>
  <c r="T24" i="1" s="1"/>
  <c r="M24" i="1"/>
  <c r="L24" i="1"/>
  <c r="K24" i="1"/>
  <c r="J24" i="1"/>
  <c r="AL23" i="1"/>
  <c r="P23" i="1" s="1"/>
  <c r="AF23" i="1"/>
  <c r="U23" i="1"/>
  <c r="M23" i="1" s="1"/>
  <c r="K23" i="1"/>
  <c r="AL22" i="1"/>
  <c r="AF22" i="1"/>
  <c r="U22" i="1"/>
  <c r="P22" i="1"/>
  <c r="M22" i="1"/>
  <c r="K22" i="1"/>
  <c r="AL21" i="1"/>
  <c r="P21" i="1" s="1"/>
  <c r="AF21" i="1"/>
  <c r="U21" i="1"/>
  <c r="M21" i="1"/>
  <c r="K21" i="1"/>
  <c r="AL20" i="1"/>
  <c r="AF20" i="1"/>
  <c r="U20" i="1"/>
  <c r="T20" i="1"/>
  <c r="L20" i="1" s="1"/>
  <c r="J20" i="1" s="1"/>
  <c r="Q20" i="1"/>
  <c r="P20" i="1"/>
  <c r="M20" i="1"/>
  <c r="K20" i="1"/>
  <c r="AL19" i="1"/>
  <c r="AF19" i="1"/>
  <c r="U19" i="1"/>
  <c r="P19" i="1"/>
  <c r="T19" i="1" s="1"/>
  <c r="L19" i="1" s="1"/>
  <c r="J19" i="1" s="1"/>
  <c r="M19" i="1"/>
  <c r="K19" i="1"/>
  <c r="AL18" i="1"/>
  <c r="AF18" i="1"/>
  <c r="U18" i="1"/>
  <c r="M18" i="1" s="1"/>
  <c r="P18" i="1"/>
  <c r="T18" i="1" s="1"/>
  <c r="K18" i="1"/>
  <c r="AL17" i="1"/>
  <c r="AF17" i="1"/>
  <c r="U17" i="1"/>
  <c r="P17" i="1"/>
  <c r="Q17" i="1" s="1"/>
  <c r="M17" i="1"/>
  <c r="K17" i="1"/>
  <c r="AL16" i="1"/>
  <c r="P16" i="1" s="1"/>
  <c r="AF16" i="1"/>
  <c r="U16" i="1"/>
  <c r="M16" i="1" s="1"/>
  <c r="T16" i="1"/>
  <c r="Q16" i="1"/>
  <c r="K16" i="1"/>
  <c r="AL15" i="1"/>
  <c r="AF15" i="1"/>
  <c r="U15" i="1"/>
  <c r="P15" i="1"/>
  <c r="T15" i="1" s="1"/>
  <c r="L15" i="1" s="1"/>
  <c r="J15" i="1" s="1"/>
  <c r="M15" i="1"/>
  <c r="K15" i="1"/>
  <c r="AL14" i="1"/>
  <c r="P14" i="1" s="1"/>
  <c r="AF14" i="1"/>
  <c r="U14" i="1"/>
  <c r="M14" i="1" s="1"/>
  <c r="K14" i="1"/>
  <c r="AL13" i="1"/>
  <c r="AF13" i="1"/>
  <c r="U13" i="1"/>
  <c r="P13" i="1"/>
  <c r="M13" i="1"/>
  <c r="K13" i="1"/>
  <c r="AL12" i="1"/>
  <c r="P12" i="1" s="1"/>
  <c r="AF12" i="1"/>
  <c r="U12" i="1"/>
  <c r="M12" i="1" s="1"/>
  <c r="K12" i="1"/>
  <c r="AL11" i="1"/>
  <c r="AF11" i="1"/>
  <c r="U11" i="1"/>
  <c r="P11" i="1"/>
  <c r="T11" i="1" s="1"/>
  <c r="L11" i="1" s="1"/>
  <c r="J11" i="1" s="1"/>
  <c r="M11" i="1"/>
  <c r="K11" i="1"/>
  <c r="AL10" i="1"/>
  <c r="AF10" i="1"/>
  <c r="U10" i="1"/>
  <c r="P10" i="1"/>
  <c r="T10" i="1" s="1"/>
  <c r="L10" i="1" s="1"/>
  <c r="J10" i="1" s="1"/>
  <c r="M10" i="1"/>
  <c r="K10" i="1"/>
  <c r="AL9" i="1"/>
  <c r="AF9" i="1"/>
  <c r="U9" i="1"/>
  <c r="P9" i="1"/>
  <c r="T9" i="1" s="1"/>
  <c r="M9" i="1"/>
  <c r="K9" i="1"/>
  <c r="AL8" i="1"/>
  <c r="AF8" i="1"/>
  <c r="U8" i="1"/>
  <c r="P8" i="1"/>
  <c r="T8" i="1" s="1"/>
  <c r="L8" i="1" s="1"/>
  <c r="M8" i="1"/>
  <c r="K8" i="1"/>
  <c r="J8" i="1"/>
  <c r="AL7" i="1"/>
  <c r="P7" i="1" s="1"/>
  <c r="Q7" i="1" s="1"/>
  <c r="AF7" i="1"/>
  <c r="U7" i="1"/>
  <c r="M7" i="1" s="1"/>
  <c r="K7" i="1"/>
  <c r="AL6" i="1"/>
  <c r="AF6" i="1"/>
  <c r="U6" i="1"/>
  <c r="P6" i="1"/>
  <c r="T6" i="1" s="1"/>
  <c r="M6" i="1"/>
  <c r="L6" i="1"/>
  <c r="K6" i="1"/>
  <c r="J6" i="1"/>
  <c r="AL5" i="1"/>
  <c r="P5" i="1" s="1"/>
  <c r="AF5" i="1"/>
  <c r="U5" i="1"/>
  <c r="M5" i="1" s="1"/>
  <c r="K5" i="1"/>
  <c r="AL4" i="1"/>
  <c r="AF4" i="1"/>
  <c r="U4" i="1"/>
  <c r="P4" i="1"/>
  <c r="M4" i="1"/>
  <c r="K4" i="1"/>
  <c r="L18" i="1" l="1"/>
  <c r="J18" i="1" s="1"/>
  <c r="T39" i="1"/>
  <c r="L39" i="1" s="1"/>
  <c r="J39" i="1" s="1"/>
  <c r="Q39" i="1"/>
  <c r="T21" i="1"/>
  <c r="L21" i="1" s="1"/>
  <c r="J21" i="1" s="1"/>
  <c r="Q21" i="1"/>
  <c r="T4" i="1"/>
  <c r="L4" i="1" s="1"/>
  <c r="J4" i="1" s="1"/>
  <c r="Q4" i="1"/>
  <c r="T7" i="1"/>
  <c r="Q53" i="1"/>
  <c r="T53" i="1"/>
  <c r="L53" i="1" s="1"/>
  <c r="J53" i="1" s="1"/>
  <c r="L52" i="1"/>
  <c r="J52" i="1" s="1"/>
  <c r="L56" i="1"/>
  <c r="J56" i="1" s="1"/>
  <c r="T12" i="1"/>
  <c r="L12" i="1" s="1"/>
  <c r="J12" i="1" s="1"/>
  <c r="Q12" i="1"/>
  <c r="Q18" i="1"/>
  <c r="Q13" i="1"/>
  <c r="T13" i="1"/>
  <c r="L13" i="1" s="1"/>
  <c r="J13" i="1" s="1"/>
  <c r="Q38" i="1"/>
  <c r="T49" i="1"/>
  <c r="L49" i="1" s="1"/>
  <c r="J49" i="1" s="1"/>
  <c r="Q49" i="1"/>
  <c r="Q52" i="1"/>
  <c r="T52" i="1"/>
  <c r="T56" i="1"/>
  <c r="Q56" i="1"/>
  <c r="L7" i="1"/>
  <c r="J7" i="1" s="1"/>
  <c r="T23" i="1"/>
  <c r="L23" i="1" s="1"/>
  <c r="J23" i="1" s="1"/>
  <c r="Q23" i="1"/>
  <c r="T50" i="1"/>
  <c r="L50" i="1" s="1"/>
  <c r="J50" i="1" s="1"/>
  <c r="Q50" i="1"/>
  <c r="L34" i="1"/>
  <c r="J34" i="1" s="1"/>
  <c r="Q45" i="1"/>
  <c r="T54" i="1"/>
  <c r="L54" i="1" s="1"/>
  <c r="J54" i="1" s="1"/>
  <c r="Q54" i="1"/>
  <c r="L16" i="1"/>
  <c r="J16" i="1" s="1"/>
  <c r="T29" i="1"/>
  <c r="L29" i="1" s="1"/>
  <c r="J29" i="1" s="1"/>
  <c r="Q27" i="1"/>
  <c r="Q55" i="1"/>
  <c r="T55" i="1"/>
  <c r="Q9" i="1"/>
  <c r="L25" i="1"/>
  <c r="J25" i="1" s="1"/>
  <c r="L5" i="1"/>
  <c r="J5" i="1" s="1"/>
  <c r="T32" i="1"/>
  <c r="L32" i="1" s="1"/>
  <c r="J32" i="1" s="1"/>
  <c r="Q32" i="1"/>
  <c r="T40" i="1"/>
  <c r="L40" i="1" s="1"/>
  <c r="J40" i="1" s="1"/>
  <c r="Q40" i="1"/>
  <c r="Q11" i="1"/>
  <c r="L9" i="1"/>
  <c r="J9" i="1" s="1"/>
  <c r="T22" i="1"/>
  <c r="L22" i="1" s="1"/>
  <c r="J22" i="1" s="1"/>
  <c r="Q22" i="1"/>
  <c r="T30" i="1"/>
  <c r="L30" i="1" s="1"/>
  <c r="J30" i="1" s="1"/>
  <c r="Q30" i="1"/>
  <c r="L57" i="1"/>
  <c r="J57" i="1" s="1"/>
  <c r="L45" i="1"/>
  <c r="J45" i="1" s="1"/>
  <c r="L55" i="1"/>
  <c r="J55" i="1" s="1"/>
  <c r="T5" i="1"/>
  <c r="Q5" i="1"/>
  <c r="L27" i="1"/>
  <c r="J27" i="1" s="1"/>
  <c r="T48" i="1"/>
  <c r="L48" i="1" s="1"/>
  <c r="J48" i="1" s="1"/>
  <c r="Q48" i="1"/>
  <c r="T14" i="1"/>
  <c r="L14" i="1" s="1"/>
  <c r="J14" i="1" s="1"/>
  <c r="Q14" i="1"/>
  <c r="T41" i="1"/>
  <c r="L41" i="1" s="1"/>
  <c r="J41" i="1" s="1"/>
  <c r="Q41" i="1"/>
  <c r="T31" i="1"/>
  <c r="L31" i="1" s="1"/>
  <c r="J31" i="1" s="1"/>
  <c r="Q31" i="1"/>
  <c r="T57" i="1"/>
  <c r="Q57" i="1"/>
  <c r="T51" i="1"/>
  <c r="L51" i="1" s="1"/>
  <c r="J51" i="1" s="1"/>
  <c r="Q6" i="1"/>
  <c r="Q15" i="1"/>
  <c r="T33" i="1"/>
  <c r="L33" i="1" s="1"/>
  <c r="J33" i="1" s="1"/>
  <c r="Q24" i="1"/>
  <c r="Q42" i="1"/>
  <c r="Q8" i="1"/>
  <c r="Q26" i="1"/>
  <c r="Q35" i="1"/>
  <c r="Q44" i="1"/>
  <c r="T17" i="1"/>
  <c r="L17" i="1" s="1"/>
  <c r="J17" i="1" s="1"/>
  <c r="Q10" i="1"/>
  <c r="Q19" i="1"/>
  <c r="Q28" i="1"/>
  <c r="Q37" i="1"/>
  <c r="Q46" i="1"/>
</calcChain>
</file>

<file path=xl/sharedStrings.xml><?xml version="1.0" encoding="utf-8"?>
<sst xmlns="http://schemas.openxmlformats.org/spreadsheetml/2006/main" count="14217" uniqueCount="2254">
  <si>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</si>
  <si>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</si>
  <si>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</si>
  <si>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</si>
  <si>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</si>
  <si>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</si>
  <si>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</si>
  <si>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</si>
  <si>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</si>
  <si>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</si>
  <si>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</si>
  <si>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</si>
  <si>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</si>
  <si>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</si>
  <si>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</si>
  <si>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</si>
  <si>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</si>
  <si>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</si>
  <si>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</si>
  <si>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</si>
  <si>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</si>
  <si>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</si>
  <si>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</si>
  <si>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</si>
  <si>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</si>
  <si>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</si>
  <si>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</si>
  <si>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</si>
  <si>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</si>
  <si>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</si>
  <si>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</si>
  <si>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</si>
  <si>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</si>
  <si>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</si>
  <si>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</si>
  <si>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</si>
  <si>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</si>
  <si>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</si>
  <si>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</si>
  <si>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</si>
  <si>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</si>
  <si>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</si>
  <si>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</si>
  <si>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</si>
  <si>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</si>
  <si>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</si>
  <si>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</si>
  <si>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</si>
  <si>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</si>
  <si>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</si>
  <si>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</si>
  <si>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</si>
  <si>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</si>
  <si>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</si>
  <si>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</si>
  <si>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</si>
  <si>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</si>
  <si>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</si>
  <si>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</si>
  <si>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</si>
  <si>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</si>
  <si>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</si>
  <si>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</si>
  <si>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</si>
  <si>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</si>
  <si>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</si>
  <si>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</si>
  <si>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</si>
  <si>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</si>
  <si>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</si>
  <si>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</si>
  <si>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</si>
  <si>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</si>
  <si>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</si>
  <si>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</si>
  <si>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</si>
  <si>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</si>
  <si>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</si>
  <si>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</si>
  <si>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</si>
  <si>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</si>
  <si>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</si>
  <si>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</si>
  <si>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</si>
  <si>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</si>
  <si>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</si>
  <si>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</si>
  <si>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</si>
  <si>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</si>
  <si>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</si>
  <si>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</si>
  <si>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</si>
  <si>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</si>
  <si>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</si>
  <si>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</si>
  <si>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</si>
  <si>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</si>
  <si>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</si>
  <si>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</si>
  <si>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</si>
  <si>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</si>
  <si>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</si>
  <si>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</si>
  <si>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</si>
  <si>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</si>
  <si>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</si>
  <si>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</si>
  <si>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</si>
  <si>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</si>
  <si>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</si>
  <si>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</si>
  <si>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</si>
  <si>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</si>
  <si>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</si>
  <si>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</si>
  <si>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</si>
  <si>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</si>
  <si>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</si>
  <si>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</si>
  <si>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</si>
  <si>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</si>
  <si>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</si>
  <si>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</si>
  <si>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</si>
  <si>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</si>
  <si>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</si>
  <si>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</si>
  <si>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</si>
  <si>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</si>
  <si>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</si>
  <si>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</si>
  <si>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</si>
  <si>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</si>
  <si>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</si>
  <si>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</si>
  <si>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</si>
  <si>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</si>
  <si>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</si>
  <si>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</si>
  <si>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</si>
  <si>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</si>
  <si>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</si>
  <si>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</si>
  <si>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</si>
  <si>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</si>
  <si>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</si>
  <si>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</si>
  <si>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</si>
  <si>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</si>
  <si>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</si>
  <si>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</si>
  <si>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</si>
  <si>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</si>
  <si>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</si>
  <si>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</si>
  <si>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</si>
  <si>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</si>
  <si>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</si>
  <si>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</si>
  <si>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</si>
  <si>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11:39:38</t>
  </si>
  <si>
    <t>2026-08-29</t>
  </si>
  <si>
    <t>lightfluoromete</t>
  </si>
  <si>
    <t>yun</t>
  </si>
  <si>
    <t>ETc</t>
  </si>
  <si>
    <t>001</t>
  </si>
  <si>
    <t>3.055617</t>
  </si>
  <si>
    <t>2.988631</t>
  </si>
  <si>
    <t>29.711611</t>
  </si>
  <si>
    <t>30.377550</t>
  </si>
  <si>
    <t>7.500000</t>
  </si>
  <si>
    <t>PSF-01106_20260829113938_5ed</t>
  </si>
  <si>
    <t>0.000000</t>
  </si>
  <si>
    <t>108.441353</t>
  </si>
  <si>
    <t>440.973053</t>
  </si>
  <si>
    <t>0.754086</t>
  </si>
  <si>
    <t>0.5</t>
  </si>
  <si>
    <t>0.84</t>
  </si>
  <si>
    <t>1.000000</t>
  </si>
  <si>
    <t>73.13</t>
  </si>
  <si>
    <t>71.53</t>
  </si>
  <si>
    <t>29.66</t>
  </si>
  <si>
    <t>29.03</t>
  </si>
  <si>
    <t>100.59</t>
  </si>
  <si>
    <t>156.1</t>
  </si>
  <si>
    <t>148.9</t>
  </si>
  <si>
    <t>4.7</t>
  </si>
  <si>
    <t>267</t>
  </si>
  <si>
    <t>3.439</t>
  </si>
  <si>
    <t>-21</t>
  </si>
  <si>
    <t>2</t>
  </si>
  <si>
    <t>317</t>
  </si>
  <si>
    <t>21.09</t>
  </si>
  <si>
    <t>142.57</t>
  </si>
  <si>
    <t>00:00:00</t>
  </si>
  <si>
    <t>0000-00-00</t>
  </si>
  <si>
    <t>35.850189</t>
  </si>
  <si>
    <t>127.129677</t>
  </si>
  <si>
    <t>47.299999</t>
  </si>
  <si>
    <t>6</t>
  </si>
  <si>
    <t>2.610000</t>
  </si>
  <si>
    <t>11:38:49</t>
  </si>
  <si>
    <t>-1.84</t>
  </si>
  <si>
    <t>-0.001</t>
  </si>
  <si>
    <t>0.005</t>
  </si>
  <si>
    <t>0.133</t>
  </si>
  <si>
    <t>0.280</t>
  </si>
  <si>
    <t>0.485</t>
  </si>
  <si>
    <t>150</t>
  </si>
  <si>
    <t>0.001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</si>
  <si>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</si>
  <si>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</si>
  <si>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</si>
  <si>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</si>
  <si>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</si>
  <si>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</si>
  <si>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</si>
  <si>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</si>
  <si>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</si>
  <si>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</si>
  <si>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</si>
  <si>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2.533795</t>
  </si>
  <si>
    <t>2.474202</t>
  </si>
  <si>
    <t>1.671158</t>
  </si>
  <si>
    <t>0.925739</t>
  </si>
  <si>
    <t>0.226670</t>
  </si>
  <si>
    <t>-0.006823</t>
  </si>
  <si>
    <t>0.074265</t>
  </si>
  <si>
    <t>0.339608</t>
  </si>
  <si>
    <t>0.000347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</si>
  <si>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</si>
  <si>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</si>
  <si>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</si>
  <si>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</si>
  <si>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</si>
  <si>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</si>
  <si>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</si>
  <si>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</si>
  <si>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</si>
  <si>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</si>
  <si>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</si>
  <si>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</si>
  <si>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</si>
  <si>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11:42:35</t>
  </si>
  <si>
    <t>002</t>
  </si>
  <si>
    <t>3.153081</t>
  </si>
  <si>
    <t>3.055565</t>
  </si>
  <si>
    <t>30.369934</t>
  </si>
  <si>
    <t>31.339172</t>
  </si>
  <si>
    <t>PSF-01106_20260829114235_9aa</t>
  </si>
  <si>
    <t>133.963821</t>
  </si>
  <si>
    <t>528.845459</t>
  </si>
  <si>
    <t>0.746686</t>
  </si>
  <si>
    <t>73.44</t>
  </si>
  <si>
    <t>71.17</t>
  </si>
  <si>
    <t>30.13</t>
  </si>
  <si>
    <t>100.61</t>
  </si>
  <si>
    <t>155.2</t>
  </si>
  <si>
    <t>0.6</t>
  </si>
  <si>
    <t>194</t>
  </si>
  <si>
    <t>3.433</t>
  </si>
  <si>
    <t>-15</t>
  </si>
  <si>
    <t>3</t>
  </si>
  <si>
    <t>307</t>
  </si>
  <si>
    <t>43.89</t>
  </si>
  <si>
    <t>72.07</t>
  </si>
  <si>
    <t>15.29</t>
  </si>
  <si>
    <t>138.45</t>
  </si>
  <si>
    <t>9.38</t>
  </si>
  <si>
    <t>152.97</t>
  </si>
  <si>
    <t>28.94</t>
  </si>
  <si>
    <t>02:41:43</t>
  </si>
  <si>
    <t>127.129601</t>
  </si>
  <si>
    <t>50.000000</t>
  </si>
  <si>
    <t>8</t>
  </si>
  <si>
    <t>1.130000</t>
  </si>
  <si>
    <t>0.000</t>
  </si>
  <si>
    <t>-0.000</t>
  </si>
  <si>
    <t>-0.013</t>
  </si>
  <si>
    <t>0.194</t>
  </si>
  <si>
    <t>0.528</t>
  </si>
  <si>
    <t>2.244</t>
  </si>
  <si>
    <t>2.533199</t>
  </si>
  <si>
    <t>2.474507</t>
  </si>
  <si>
    <t>1.671042</t>
  </si>
  <si>
    <t>0.941890</t>
  </si>
  <si>
    <t>0.222469</t>
  </si>
  <si>
    <t>-0.012636</t>
  </si>
  <si>
    <t>0.100880</t>
  </si>
  <si>
    <t>0.276264</t>
  </si>
  <si>
    <t>0.000353</t>
  </si>
  <si>
    <t>11:45:38</t>
  </si>
  <si>
    <t>003</t>
  </si>
  <si>
    <t>3.185569</t>
  </si>
  <si>
    <t>3.105644</t>
  </si>
  <si>
    <t>30.869061</t>
  </si>
  <si>
    <t>31.663492</t>
  </si>
  <si>
    <t>PSF-01106_20260829114538_006</t>
  </si>
  <si>
    <t>104.415535</t>
  </si>
  <si>
    <t>478.639130</t>
  </si>
  <si>
    <t>0.781849</t>
  </si>
  <si>
    <t>72.57</t>
  </si>
  <si>
    <t>70.75</t>
  </si>
  <si>
    <t>30.52</t>
  </si>
  <si>
    <t>29.39</t>
  </si>
  <si>
    <t>156.0</t>
  </si>
  <si>
    <t>155.0</t>
  </si>
  <si>
    <t>124</t>
  </si>
  <si>
    <t>3.430</t>
  </si>
  <si>
    <t>-19</t>
  </si>
  <si>
    <t>335</t>
  </si>
  <si>
    <t>47.67</t>
  </si>
  <si>
    <t>67.34</t>
  </si>
  <si>
    <t>19.00</t>
  </si>
  <si>
    <t>155.00</t>
  </si>
  <si>
    <t>154.40</t>
  </si>
  <si>
    <t>28.67</t>
  </si>
  <si>
    <t>02:44:41</t>
  </si>
  <si>
    <t>35.850178</t>
  </si>
  <si>
    <t>49.099998</t>
  </si>
  <si>
    <t>1.240000</t>
  </si>
  <si>
    <t>-0.002</t>
  </si>
  <si>
    <t>-0.011</t>
  </si>
  <si>
    <t>-0.071</t>
  </si>
  <si>
    <t>0.009</t>
  </si>
  <si>
    <t>2.532544</t>
  </si>
  <si>
    <t>2.473336</t>
  </si>
  <si>
    <t>1.670328</t>
  </si>
  <si>
    <t>0.941569</t>
  </si>
  <si>
    <t>0.219102</t>
  </si>
  <si>
    <t>-0.013030</t>
  </si>
  <si>
    <t>0.125720</t>
  </si>
  <si>
    <t>0.215577</t>
  </si>
  <si>
    <t>0.000345</t>
  </si>
  <si>
    <t>4</t>
  </si>
  <si>
    <t>11:47:54</t>
  </si>
  <si>
    <t>004</t>
  </si>
  <si>
    <t>3.140226</t>
  </si>
  <si>
    <t>3.069966</t>
  </si>
  <si>
    <t>30.515957</t>
  </si>
  <si>
    <t>31.214350</t>
  </si>
  <si>
    <t>PSF-01106_20260829114754_578</t>
  </si>
  <si>
    <t>97.344162</t>
  </si>
  <si>
    <t>437.171814</t>
  </si>
  <si>
    <t>0.777332</t>
  </si>
  <si>
    <t>70.74</t>
  </si>
  <si>
    <t>69.16</t>
  </si>
  <si>
    <t>30.72</t>
  </si>
  <si>
    <t>29.55</t>
  </si>
  <si>
    <t>100.60</t>
  </si>
  <si>
    <t>152.0</t>
  </si>
  <si>
    <t>2.6</t>
  </si>
  <si>
    <t>131</t>
  </si>
  <si>
    <t>3.428</t>
  </si>
  <si>
    <t>-18</t>
  </si>
  <si>
    <t>95</t>
  </si>
  <si>
    <t>18.81</t>
  </si>
  <si>
    <t>94.66</t>
  </si>
  <si>
    <t>18.94</t>
  </si>
  <si>
    <t>-66.22</t>
  </si>
  <si>
    <t>155.86</t>
  </si>
  <si>
    <t>28.41</t>
  </si>
  <si>
    <t>02:47:01</t>
  </si>
  <si>
    <t>35.850155</t>
  </si>
  <si>
    <t>127.129646</t>
  </si>
  <si>
    <t>48.599998</t>
  </si>
  <si>
    <t>10</t>
  </si>
  <si>
    <t>0.870000</t>
  </si>
  <si>
    <t>0.002</t>
  </si>
  <si>
    <t>-0.023</t>
  </si>
  <si>
    <t>-0.031</t>
  </si>
  <si>
    <t>0.131</t>
  </si>
  <si>
    <t>2.530326</t>
  </si>
  <si>
    <t>2.470984</t>
  </si>
  <si>
    <t>1.670254</t>
  </si>
  <si>
    <t>0.933755</t>
  </si>
  <si>
    <t>0.217421</t>
  </si>
  <si>
    <t>-0.013455</t>
  </si>
  <si>
    <t>0.143428</t>
  </si>
  <si>
    <t>0.221475</t>
  </si>
  <si>
    <t>0.000348</t>
  </si>
  <si>
    <t>5</t>
  </si>
  <si>
    <t>11:48:29</t>
  </si>
  <si>
    <t>005</t>
  </si>
  <si>
    <t>3.233690</t>
  </si>
  <si>
    <t>3.169064</t>
  </si>
  <si>
    <t>31.498495</t>
  </si>
  <si>
    <t>32.140835</t>
  </si>
  <si>
    <t>PSF-01106_20260829114829_4b5</t>
  </si>
  <si>
    <t>91.397522</t>
  </si>
  <si>
    <t>421.673309</t>
  </si>
  <si>
    <t>0.783250</t>
  </si>
  <si>
    <t>72.66</t>
  </si>
  <si>
    <t>71.20</t>
  </si>
  <si>
    <t>30.76</t>
  </si>
  <si>
    <t>29.60</t>
  </si>
  <si>
    <t>156.2</t>
  </si>
  <si>
    <t>125</t>
  </si>
  <si>
    <t>3.425</t>
  </si>
  <si>
    <t>-14</t>
  </si>
  <si>
    <t>-6</t>
  </si>
  <si>
    <t>113</t>
  </si>
  <si>
    <t>25.99</t>
  </si>
  <si>
    <t>89.88</t>
  </si>
  <si>
    <t>15.21</t>
  </si>
  <si>
    <t>-90.48</t>
  </si>
  <si>
    <t>02:47:37</t>
  </si>
  <si>
    <t>127.129616</t>
  </si>
  <si>
    <t>49.299999</t>
  </si>
  <si>
    <t>0.880000</t>
  </si>
  <si>
    <t>-0.003</t>
  </si>
  <si>
    <t>0.037</t>
  </si>
  <si>
    <t>-0.026</t>
  </si>
  <si>
    <t>0.075</t>
  </si>
  <si>
    <t>2.533124</t>
  </si>
  <si>
    <t>2.473411</t>
  </si>
  <si>
    <t>1.671528</t>
  </si>
  <si>
    <t>0.933839</t>
  </si>
  <si>
    <t>0.217038</t>
  </si>
  <si>
    <t>-0.013409</t>
  </si>
  <si>
    <t>0.147955</t>
  </si>
  <si>
    <t>0.215681</t>
  </si>
  <si>
    <t>0.000357</t>
  </si>
  <si>
    <t>11:49:42</t>
  </si>
  <si>
    <t>006</t>
  </si>
  <si>
    <t>3.229716</t>
  </si>
  <si>
    <t>3.169037</t>
  </si>
  <si>
    <t>31.497444</t>
  </si>
  <si>
    <t>32.100544</t>
  </si>
  <si>
    <t>PSF-01106_20260829114942_27a</t>
  </si>
  <si>
    <t>98.617676</t>
  </si>
  <si>
    <t>440.364716</t>
  </si>
  <si>
    <t>0.776055</t>
  </si>
  <si>
    <t>72.10</t>
  </si>
  <si>
    <t>30.88</t>
  </si>
  <si>
    <t>29.74</t>
  </si>
  <si>
    <t>137.1</t>
  </si>
  <si>
    <t>12.1</t>
  </si>
  <si>
    <t>118</t>
  </si>
  <si>
    <t>123</t>
  </si>
  <si>
    <t>15.98</t>
  </si>
  <si>
    <t>96.14</t>
  </si>
  <si>
    <t>15.13</t>
  </si>
  <si>
    <t>-49.32</t>
  </si>
  <si>
    <t>156.35</t>
  </si>
  <si>
    <t>28.33</t>
  </si>
  <si>
    <t>02:48:49</t>
  </si>
  <si>
    <t>35.850204</t>
  </si>
  <si>
    <t>127.129623</t>
  </si>
  <si>
    <t>49.000000</t>
  </si>
  <si>
    <t>12</t>
  </si>
  <si>
    <t>0.790000</t>
  </si>
  <si>
    <t>11:49:28</t>
  </si>
  <si>
    <t>-1.52</t>
  </si>
  <si>
    <t>0.041</t>
  </si>
  <si>
    <t>0.027</t>
  </si>
  <si>
    <t>0.207</t>
  </si>
  <si>
    <t>2.532465</t>
  </si>
  <si>
    <t>2.472270</t>
  </si>
  <si>
    <t>1.669907</t>
  </si>
  <si>
    <t>0.896156</t>
  </si>
  <si>
    <t>0.216064</t>
  </si>
  <si>
    <t>-0.013176</t>
  </si>
  <si>
    <t>0.157155</t>
  </si>
  <si>
    <t>0.210091</t>
  </si>
  <si>
    <t>7</t>
  </si>
  <si>
    <t>11:50:42</t>
  </si>
  <si>
    <t>007</t>
  </si>
  <si>
    <t>3.304908</t>
  </si>
  <si>
    <t>3.239473</t>
  </si>
  <si>
    <t>32.199764</t>
  </si>
  <si>
    <t>32.850170</t>
  </si>
  <si>
    <t>PSF-01106_20260829115042_c34</t>
  </si>
  <si>
    <t>100.791695</t>
  </si>
  <si>
    <t>468.898071</t>
  </si>
  <si>
    <t>0.785046</t>
  </si>
  <si>
    <t>73.45</t>
  </si>
  <si>
    <t>72.00</t>
  </si>
  <si>
    <t>30.95</t>
  </si>
  <si>
    <t>29.79</t>
  </si>
  <si>
    <t>135.5</t>
  </si>
  <si>
    <t>13.2</t>
  </si>
  <si>
    <t>103</t>
  </si>
  <si>
    <t>-13</t>
  </si>
  <si>
    <t>-1</t>
  </si>
  <si>
    <t>117</t>
  </si>
  <si>
    <t>20.83</t>
  </si>
  <si>
    <t>93.46</t>
  </si>
  <si>
    <t>13.04</t>
  </si>
  <si>
    <t>-67.44</t>
  </si>
  <si>
    <t>156.84</t>
  </si>
  <si>
    <t>28.25</t>
  </si>
  <si>
    <t>02:49:46</t>
  </si>
  <si>
    <t>35.850227</t>
  </si>
  <si>
    <t>127.129654</t>
  </si>
  <si>
    <t>49.799999</t>
  </si>
  <si>
    <t>0.006</t>
  </si>
  <si>
    <t>0.008</t>
  </si>
  <si>
    <t>0.092</t>
  </si>
  <si>
    <t>0.064</t>
  </si>
  <si>
    <t>2.534172</t>
  </si>
  <si>
    <t>2.473981</t>
  </si>
  <si>
    <t>1.671779</t>
  </si>
  <si>
    <t>0.892224</t>
  </si>
  <si>
    <t>0.215415</t>
  </si>
  <si>
    <t>-0.013452</t>
  </si>
  <si>
    <t>0.164710</t>
  </si>
  <si>
    <t>0.197004</t>
  </si>
  <si>
    <t>11:51:19</t>
  </si>
  <si>
    <t>008</t>
  </si>
  <si>
    <t>3.285421</t>
  </si>
  <si>
    <t>3.218352</t>
  </si>
  <si>
    <t>31.991251</t>
  </si>
  <si>
    <t>32.657936</t>
  </si>
  <si>
    <t>PSF-01106_20260829115119_180</t>
  </si>
  <si>
    <t>99.651573</t>
  </si>
  <si>
    <t>460.644012</t>
  </si>
  <si>
    <t>0.783669</t>
  </si>
  <si>
    <t>72.92</t>
  </si>
  <si>
    <t>71.43</t>
  </si>
  <si>
    <t>30.98</t>
  </si>
  <si>
    <t>29.71</t>
  </si>
  <si>
    <t>153.6</t>
  </si>
  <si>
    <t>1.5</t>
  </si>
  <si>
    <t>63</t>
  </si>
  <si>
    <t>3.424</t>
  </si>
  <si>
    <t>-25</t>
  </si>
  <si>
    <t>168</t>
  </si>
  <si>
    <t>6.61</t>
  </si>
  <si>
    <t>99.33</t>
  </si>
  <si>
    <t>25.02</t>
  </si>
  <si>
    <t>-9.63</t>
  </si>
  <si>
    <t>157.33</t>
  </si>
  <si>
    <t>28.17</t>
  </si>
  <si>
    <t>02:50:27</t>
  </si>
  <si>
    <t>35.850197</t>
  </si>
  <si>
    <t>0.062</t>
  </si>
  <si>
    <t>0.164</t>
  </si>
  <si>
    <t>0.382</t>
  </si>
  <si>
    <t>2.533386</t>
  </si>
  <si>
    <t>2.473296</t>
  </si>
  <si>
    <t>1.670078</t>
  </si>
  <si>
    <t>0.937936</t>
  </si>
  <si>
    <t>0.215206</t>
  </si>
  <si>
    <t>-0.014782</t>
  </si>
  <si>
    <t>0.169211</t>
  </si>
  <si>
    <t>0.162034</t>
  </si>
  <si>
    <t>0.000349</t>
  </si>
  <si>
    <t>9</t>
  </si>
  <si>
    <t>11:51:49</t>
  </si>
  <si>
    <t>009</t>
  </si>
  <si>
    <t>3.290795</t>
  </si>
  <si>
    <t>3.219520</t>
  </si>
  <si>
    <t>32.002148</t>
  </si>
  <si>
    <t>32.710625</t>
  </si>
  <si>
    <t>PSF-01106_20260829115149_a60</t>
  </si>
  <si>
    <t>97.840904</t>
  </si>
  <si>
    <t>443.645599</t>
  </si>
  <si>
    <t>0.779462</t>
  </si>
  <si>
    <t>72.96</t>
  </si>
  <si>
    <t>71.38</t>
  </si>
  <si>
    <t>31.00</t>
  </si>
  <si>
    <t>29.56</t>
  </si>
  <si>
    <t>154.1</t>
  </si>
  <si>
    <t>1.2</t>
  </si>
  <si>
    <t>97</t>
  </si>
  <si>
    <t>3.421</t>
  </si>
  <si>
    <t>105</t>
  </si>
  <si>
    <t>20.96</t>
  </si>
  <si>
    <t>93.38</t>
  </si>
  <si>
    <t>19.03</t>
  </si>
  <si>
    <t>-71.93</t>
  </si>
  <si>
    <t>02:50:57</t>
  </si>
  <si>
    <t>35.850166</t>
  </si>
  <si>
    <t>47.200001</t>
  </si>
  <si>
    <t>0.004</t>
  </si>
  <si>
    <t>0.029</t>
  </si>
  <si>
    <t>-0.045</t>
  </si>
  <si>
    <t>-0.068</t>
  </si>
  <si>
    <t>2.533321</t>
  </si>
  <si>
    <t>2.473353</t>
  </si>
  <si>
    <t>1.670680</t>
  </si>
  <si>
    <t>0.939237</t>
  </si>
  <si>
    <t>0.215059</t>
  </si>
  <si>
    <t>-0.016793</t>
  </si>
  <si>
    <t>0.172808</t>
  </si>
  <si>
    <t>0.191959</t>
  </si>
  <si>
    <t>0.000359</t>
  </si>
  <si>
    <t>11:55:24</t>
  </si>
  <si>
    <t>ETc75</t>
  </si>
  <si>
    <t>010</t>
  </si>
  <si>
    <t>3.167792</t>
  </si>
  <si>
    <t>3.089312</t>
  </si>
  <si>
    <t>30.707029</t>
  </si>
  <si>
    <t>31.487106</t>
  </si>
  <si>
    <t>PSF-01106_20260829115524_afe</t>
  </si>
  <si>
    <t>99.228859</t>
  </si>
  <si>
    <t>447.649597</t>
  </si>
  <si>
    <t>0.778334</t>
  </si>
  <si>
    <t>69.83</t>
  </si>
  <si>
    <t>68.10</t>
  </si>
  <si>
    <t>31.10</t>
  </si>
  <si>
    <t>29.76</t>
  </si>
  <si>
    <t>155.9</t>
  </si>
  <si>
    <t>146.9</t>
  </si>
  <si>
    <t>5.8</t>
  </si>
  <si>
    <t>141</t>
  </si>
  <si>
    <t>3.418</t>
  </si>
  <si>
    <t>-24</t>
  </si>
  <si>
    <t>120</t>
  </si>
  <si>
    <t>16.33</t>
  </si>
  <si>
    <t>95.97</t>
  </si>
  <si>
    <t>24.02</t>
  </si>
  <si>
    <t>-57.54</t>
  </si>
  <si>
    <t>159.34</t>
  </si>
  <si>
    <t>27.87</t>
  </si>
  <si>
    <t>02:54:32</t>
  </si>
  <si>
    <t>127.129639</t>
  </si>
  <si>
    <t>45.400002</t>
  </si>
  <si>
    <t>11</t>
  </si>
  <si>
    <t>0.920000</t>
  </si>
  <si>
    <t>-0.004</t>
  </si>
  <si>
    <t>0.036</t>
  </si>
  <si>
    <t>0.202</t>
  </si>
  <si>
    <t>2.528799</t>
  </si>
  <si>
    <t>2.469356</t>
  </si>
  <si>
    <t>1.669337</t>
  </si>
  <si>
    <t>0.920845</t>
  </si>
  <si>
    <t>0.214194</t>
  </si>
  <si>
    <t>-0.015670</t>
  </si>
  <si>
    <t>0.199205</t>
  </si>
  <si>
    <t>0.229876</t>
  </si>
  <si>
    <t>11:56:12</t>
  </si>
  <si>
    <t>011</t>
  </si>
  <si>
    <t>3.167695</t>
  </si>
  <si>
    <t>3.102031</t>
  </si>
  <si>
    <t>30.834530</t>
  </si>
  <si>
    <t>31.487242</t>
  </si>
  <si>
    <t>PSF-01106_20260829115612_dd6</t>
  </si>
  <si>
    <t>100.238441</t>
  </si>
  <si>
    <t>448.562622</t>
  </si>
  <si>
    <t>0.776534</t>
  </si>
  <si>
    <t>69.80</t>
  </si>
  <si>
    <t>68.36</t>
  </si>
  <si>
    <t>29.93</t>
  </si>
  <si>
    <t>155.8</t>
  </si>
  <si>
    <t>1.4</t>
  </si>
  <si>
    <t>147</t>
  </si>
  <si>
    <t>3.416</t>
  </si>
  <si>
    <t>-23</t>
  </si>
  <si>
    <t>17.17</t>
  </si>
  <si>
    <t>95.54</t>
  </si>
  <si>
    <t>23.18</t>
  </si>
  <si>
    <t>-59.36</t>
  </si>
  <si>
    <t>159.84</t>
  </si>
  <si>
    <t>27.80</t>
  </si>
  <si>
    <t>02:55:20</t>
  </si>
  <si>
    <t>35.850201</t>
  </si>
  <si>
    <t>45.200001</t>
  </si>
  <si>
    <t>0.820000</t>
  </si>
  <si>
    <t>-0.039</t>
  </si>
  <si>
    <t>-0.086</t>
  </si>
  <si>
    <t>-0.146</t>
  </si>
  <si>
    <t>2.529153</t>
  </si>
  <si>
    <t>2.469326</t>
  </si>
  <si>
    <t>1.668082</t>
  </si>
  <si>
    <t>0.937779</t>
  </si>
  <si>
    <t>0.214149</t>
  </si>
  <si>
    <t>-0.013677</t>
  </si>
  <si>
    <t>0.204839</t>
  </si>
  <si>
    <t>0.235564</t>
  </si>
  <si>
    <t>11:56:40</t>
  </si>
  <si>
    <t>012</t>
  </si>
  <si>
    <t>3.211339</t>
  </si>
  <si>
    <t>3.134251</t>
  </si>
  <si>
    <t>31.154106</t>
  </si>
  <si>
    <t>31.920355</t>
  </si>
  <si>
    <t>PSF-01106_20260829115640_dd3</t>
  </si>
  <si>
    <t>94.142677</t>
  </si>
  <si>
    <t>427.689667</t>
  </si>
  <si>
    <t>0.779881</t>
  </si>
  <si>
    <t>69.04</t>
  </si>
  <si>
    <t>31.11</t>
  </si>
  <si>
    <t>156.3</t>
  </si>
  <si>
    <t>146.2</t>
  </si>
  <si>
    <t>6.4</t>
  </si>
  <si>
    <t>137</t>
  </si>
  <si>
    <t>3.417</t>
  </si>
  <si>
    <t>-26</t>
  </si>
  <si>
    <t>89</t>
  </si>
  <si>
    <t>26.20</t>
  </si>
  <si>
    <t>89.73</t>
  </si>
  <si>
    <t>26.44</t>
  </si>
  <si>
    <t>-79.71</t>
  </si>
  <si>
    <t>02:55:47</t>
  </si>
  <si>
    <t>35.850208</t>
  </si>
  <si>
    <t>44.599998</t>
  </si>
  <si>
    <t>0.810000</t>
  </si>
  <si>
    <t>0.034</t>
  </si>
  <si>
    <t>-0.024</t>
  </si>
  <si>
    <t>0.025</t>
  </si>
  <si>
    <t>2.530089</t>
  </si>
  <si>
    <t>2.470510</t>
  </si>
  <si>
    <t>1.672666</t>
  </si>
  <si>
    <t>0.919064</t>
  </si>
  <si>
    <t>0.214094</t>
  </si>
  <si>
    <t>-0.018203</t>
  </si>
  <si>
    <t>0.208014</t>
  </si>
  <si>
    <t>0.226209</t>
  </si>
  <si>
    <t>13</t>
  </si>
  <si>
    <t>11:57:40</t>
  </si>
  <si>
    <t>013</t>
  </si>
  <si>
    <t>3.190210</t>
  </si>
  <si>
    <t>3.127198</t>
  </si>
  <si>
    <t>31.084000</t>
  </si>
  <si>
    <t>31.710331</t>
  </si>
  <si>
    <t>PSF-01106_20260829115740_cdd</t>
  </si>
  <si>
    <t>99.129799</t>
  </si>
  <si>
    <t>462.363495</t>
  </si>
  <si>
    <t>0.785602</t>
  </si>
  <si>
    <t>70.20</t>
  </si>
  <si>
    <t>68.81</t>
  </si>
  <si>
    <t>31.13</t>
  </si>
  <si>
    <t>29.87</t>
  </si>
  <si>
    <t>153.7</t>
  </si>
  <si>
    <t>155</t>
  </si>
  <si>
    <t>-16</t>
  </si>
  <si>
    <t>20.52</t>
  </si>
  <si>
    <t>93.66</t>
  </si>
  <si>
    <t>16.12</t>
  </si>
  <si>
    <t>-67.78</t>
  </si>
  <si>
    <t>160.35</t>
  </si>
  <si>
    <t>27.73</t>
  </si>
  <si>
    <t>02:56:48</t>
  </si>
  <si>
    <t>35.850170</t>
  </si>
  <si>
    <t>44.000000</t>
  </si>
  <si>
    <t>-0.139</t>
  </si>
  <si>
    <t>-0.132</t>
  </si>
  <si>
    <t>2.529774</t>
  </si>
  <si>
    <t>2.469824</t>
  </si>
  <si>
    <t>1.671028</t>
  </si>
  <si>
    <t>0.938246</t>
  </si>
  <si>
    <t>0.213940</t>
  </si>
  <si>
    <t>-0.014697</t>
  </si>
  <si>
    <t>0.215192</t>
  </si>
  <si>
    <t>0.242369</t>
  </si>
  <si>
    <t>14</t>
  </si>
  <si>
    <t>11:58:12</t>
  </si>
  <si>
    <t>014</t>
  </si>
  <si>
    <t>3.221423</t>
  </si>
  <si>
    <t>3.143729</t>
  </si>
  <si>
    <t>31.247774</t>
  </si>
  <si>
    <t>32.020027</t>
  </si>
  <si>
    <t>PSF-01106_20260829115812_db6</t>
  </si>
  <si>
    <t>95.489502</t>
  </si>
  <si>
    <t>431.035645</t>
  </si>
  <si>
    <t>0.778465</t>
  </si>
  <si>
    <t>70.82</t>
  </si>
  <si>
    <t>69.11</t>
  </si>
  <si>
    <t>31.14</t>
  </si>
  <si>
    <t>29.34</t>
  </si>
  <si>
    <t>151.6</t>
  </si>
  <si>
    <t>2.7</t>
  </si>
  <si>
    <t>176</t>
  </si>
  <si>
    <t>-29</t>
  </si>
  <si>
    <t>134</t>
  </si>
  <si>
    <t>12.72</t>
  </si>
  <si>
    <t>97.54</t>
  </si>
  <si>
    <t>29.00</t>
  </si>
  <si>
    <t>-46.00</t>
  </si>
  <si>
    <t>160.86</t>
  </si>
  <si>
    <t>27.67</t>
  </si>
  <si>
    <t>02:57:20</t>
  </si>
  <si>
    <t>35.850182</t>
  </si>
  <si>
    <t>-0.046</t>
  </si>
  <si>
    <t>-0.194</t>
  </si>
  <si>
    <t>-0.457</t>
  </si>
  <si>
    <t>2.530182</t>
  </si>
  <si>
    <t>2.470609</t>
  </si>
  <si>
    <t>1.669016</t>
  </si>
  <si>
    <t>0.932857</t>
  </si>
  <si>
    <t>0.213804</t>
  </si>
  <si>
    <t>-0.021328</t>
  </si>
  <si>
    <t>0.218872</t>
  </si>
  <si>
    <t>0.260744</t>
  </si>
  <si>
    <t>15</t>
  </si>
  <si>
    <t>11:58:45</t>
  </si>
  <si>
    <t>015</t>
  </si>
  <si>
    <t>3.203732</t>
  </si>
  <si>
    <t>3.151349</t>
  </si>
  <si>
    <t>31.326466</t>
  </si>
  <si>
    <t>31.847198</t>
  </si>
  <si>
    <t>PSF-01106_20260829115845_852</t>
  </si>
  <si>
    <t>102.746490</t>
  </si>
  <si>
    <t>457.060211</t>
  </si>
  <si>
    <t>0.775201</t>
  </si>
  <si>
    <t>70.38</t>
  </si>
  <si>
    <t>69.23</t>
  </si>
  <si>
    <t>31.16</t>
  </si>
  <si>
    <t>30.02</t>
  </si>
  <si>
    <t>154.5</t>
  </si>
  <si>
    <t>1.1</t>
  </si>
  <si>
    <t>170</t>
  </si>
  <si>
    <t>3.414</t>
  </si>
  <si>
    <t>88</t>
  </si>
  <si>
    <t>29.69</t>
  </si>
  <si>
    <t>86.87</t>
  </si>
  <si>
    <t>23.00</t>
  </si>
  <si>
    <t>-92.00</t>
  </si>
  <si>
    <t>02:57:52</t>
  </si>
  <si>
    <t>43.799999</t>
  </si>
  <si>
    <t>-0.143</t>
  </si>
  <si>
    <t>-0.344</t>
  </si>
  <si>
    <t>-0.682</t>
  </si>
  <si>
    <t>2.530331</t>
  </si>
  <si>
    <t>2.470040</t>
  </si>
  <si>
    <t>1.671887</t>
  </si>
  <si>
    <t>0.940090</t>
  </si>
  <si>
    <t>0.213683</t>
  </si>
  <si>
    <t>-0.013238</t>
  </si>
  <si>
    <t>0.222614</t>
  </si>
  <si>
    <t>0.255199</t>
  </si>
  <si>
    <t>0.000354</t>
  </si>
  <si>
    <t>16</t>
  </si>
  <si>
    <t>11:59:05</t>
  </si>
  <si>
    <t>016</t>
  </si>
  <si>
    <t>3.239413</t>
  </si>
  <si>
    <t>3.168278</t>
  </si>
  <si>
    <t>31.494360</t>
  </si>
  <si>
    <t>32.201488</t>
  </si>
  <si>
    <t>PSF-01106_20260829115905_b06</t>
  </si>
  <si>
    <t>101.427200</t>
  </si>
  <si>
    <t>441.508057</t>
  </si>
  <si>
    <t>0.770271</t>
  </si>
  <si>
    <t>71.11</t>
  </si>
  <si>
    <t>69.55</t>
  </si>
  <si>
    <t>31.17</t>
  </si>
  <si>
    <t>153.1</t>
  </si>
  <si>
    <t>2.0</t>
  </si>
  <si>
    <t>198</t>
  </si>
  <si>
    <t>3.415</t>
  </si>
  <si>
    <t>65</t>
  </si>
  <si>
    <t>26.67</t>
  </si>
  <si>
    <t>89.36</t>
  </si>
  <si>
    <t>17.84</t>
  </si>
  <si>
    <t>-87.98</t>
  </si>
  <si>
    <t>161.37</t>
  </si>
  <si>
    <t>27.60</t>
  </si>
  <si>
    <t>02:58:12</t>
  </si>
  <si>
    <t>43.400002</t>
  </si>
  <si>
    <t>0.007</t>
  </si>
  <si>
    <t>0.022</t>
  </si>
  <si>
    <t>2.530771</t>
  </si>
  <si>
    <t>2.470969</t>
  </si>
  <si>
    <t>1.671220</t>
  </si>
  <si>
    <t>0.936511</t>
  </si>
  <si>
    <t>0.213580</t>
  </si>
  <si>
    <t>-0.017471</t>
  </si>
  <si>
    <t>0.224910</t>
  </si>
  <si>
    <t>0.279945</t>
  </si>
  <si>
    <t>17</t>
  </si>
  <si>
    <t>11:59:32</t>
  </si>
  <si>
    <t>017</t>
  </si>
  <si>
    <t>3.176668</t>
  </si>
  <si>
    <t>3.120388</t>
  </si>
  <si>
    <t>31.021397</t>
  </si>
  <si>
    <t>31.580906</t>
  </si>
  <si>
    <t>PSF-01106_20260829115932_6c9</t>
  </si>
  <si>
    <t>105.185867</t>
  </si>
  <si>
    <t>441.087830</t>
  </si>
  <si>
    <t>0.761531</t>
  </si>
  <si>
    <t>69.68</t>
  </si>
  <si>
    <t>68.44</t>
  </si>
  <si>
    <t>31.18</t>
  </si>
  <si>
    <t>29.73</t>
  </si>
  <si>
    <t>152.1</t>
  </si>
  <si>
    <t>2.5</t>
  </si>
  <si>
    <t>224</t>
  </si>
  <si>
    <t>69</t>
  </si>
  <si>
    <t>36.07</t>
  </si>
  <si>
    <t>80.82</t>
  </si>
  <si>
    <t>-111.00</t>
  </si>
  <si>
    <t>02:58:40</t>
  </si>
  <si>
    <t>35.850212</t>
  </si>
  <si>
    <t>43.099998</t>
  </si>
  <si>
    <t>1.030000</t>
  </si>
  <si>
    <t>0.003</t>
  </si>
  <si>
    <t>-0.140</t>
  </si>
  <si>
    <t>-0.587</t>
  </si>
  <si>
    <t>-0.988</t>
  </si>
  <si>
    <t>2.529253</t>
  </si>
  <si>
    <t>2.469150</t>
  </si>
  <si>
    <t>1.670309</t>
  </si>
  <si>
    <t>0.933995</t>
  </si>
  <si>
    <t>0.213463</t>
  </si>
  <si>
    <t>-0.017072</t>
  </si>
  <si>
    <t>0.227990</t>
  </si>
  <si>
    <t>0.302031</t>
  </si>
  <si>
    <t>18</t>
  </si>
  <si>
    <t>12:01:07</t>
  </si>
  <si>
    <t>018</t>
  </si>
  <si>
    <t>3.199939</t>
  </si>
  <si>
    <t>3.146701</t>
  </si>
  <si>
    <t>31.280964</t>
  </si>
  <si>
    <t>31.810198</t>
  </si>
  <si>
    <t>PSF-01106_20260829120107_615</t>
  </si>
  <si>
    <t>111.646057</t>
  </si>
  <si>
    <t>469.737061</t>
  </si>
  <si>
    <t>0.762322</t>
  </si>
  <si>
    <t>70.01</t>
  </si>
  <si>
    <t>68.84</t>
  </si>
  <si>
    <t>31.23</t>
  </si>
  <si>
    <t>30.10</t>
  </si>
  <si>
    <t>1.3</t>
  </si>
  <si>
    <t>234</t>
  </si>
  <si>
    <t>3.412</t>
  </si>
  <si>
    <t>-20</t>
  </si>
  <si>
    <t>140</t>
  </si>
  <si>
    <t>11.60</t>
  </si>
  <si>
    <t>97.96</t>
  </si>
  <si>
    <t>20.00</t>
  </si>
  <si>
    <t>-40.00</t>
  </si>
  <si>
    <t>162.41</t>
  </si>
  <si>
    <t>27.48</t>
  </si>
  <si>
    <t>03:00:15</t>
  </si>
  <si>
    <t>35.850220</t>
  </si>
  <si>
    <t>127.129723</t>
  </si>
  <si>
    <t>42.599998</t>
  </si>
  <si>
    <t>0.900000</t>
  </si>
  <si>
    <t>11:59:47</t>
  </si>
  <si>
    <t>-1.29</t>
  </si>
  <si>
    <t>0.402</t>
  </si>
  <si>
    <t>2.529790</t>
  </si>
  <si>
    <t>2.469272</t>
  </si>
  <si>
    <t>1.671571</t>
  </si>
  <si>
    <t>0.939164</t>
  </si>
  <si>
    <t>0.213081</t>
  </si>
  <si>
    <t>-0.013104</t>
  </si>
  <si>
    <t>0.239016</t>
  </si>
  <si>
    <t>0.311358</t>
  </si>
  <si>
    <t>19</t>
  </si>
  <si>
    <t>12:03:02</t>
  </si>
  <si>
    <t>ETc50</t>
  </si>
  <si>
    <t>019</t>
  </si>
  <si>
    <t>3.164925</t>
  </si>
  <si>
    <t>3.069972</t>
  </si>
  <si>
    <t>30.516165</t>
  </si>
  <si>
    <t>31.460016</t>
  </si>
  <si>
    <t>PSF-01106_20260829120302_87e</t>
  </si>
  <si>
    <t>109.673019</t>
  </si>
  <si>
    <t>447.963593</t>
  </si>
  <si>
    <t>0.755174</t>
  </si>
  <si>
    <t>69.22</t>
  </si>
  <si>
    <t>67.14</t>
  </si>
  <si>
    <t>31.24</t>
  </si>
  <si>
    <t>29.62</t>
  </si>
  <si>
    <t>152.4</t>
  </si>
  <si>
    <t>2.3</t>
  </si>
  <si>
    <t>256</t>
  </si>
  <si>
    <t>3.410</t>
  </si>
  <si>
    <t>102</t>
  </si>
  <si>
    <t>21.83</t>
  </si>
  <si>
    <t>92.83</t>
  </si>
  <si>
    <t>-70.32</t>
  </si>
  <si>
    <t>9.37</t>
  </si>
  <si>
    <t>163.44</t>
  </si>
  <si>
    <t>27.36</t>
  </si>
  <si>
    <t>03:02:09</t>
  </si>
  <si>
    <t>35.850273</t>
  </si>
  <si>
    <t>0.800000</t>
  </si>
  <si>
    <t>0.122</t>
  </si>
  <si>
    <t>0.224</t>
  </si>
  <si>
    <t>0.748</t>
  </si>
  <si>
    <t>2.527460</t>
  </si>
  <si>
    <t>2.468274</t>
  </si>
  <si>
    <t>1.669815</t>
  </si>
  <si>
    <t>0.934832</t>
  </si>
  <si>
    <t>0.213036</t>
  </si>
  <si>
    <t>-0.019061</t>
  </si>
  <si>
    <t>0.251974</t>
  </si>
  <si>
    <t>0.330295</t>
  </si>
  <si>
    <t>20</t>
  </si>
  <si>
    <t>12:03:35</t>
  </si>
  <si>
    <t>020</t>
  </si>
  <si>
    <t>3.164326</t>
  </si>
  <si>
    <t>3.103009</t>
  </si>
  <si>
    <t>30.844103</t>
  </si>
  <si>
    <t>31.453594</t>
  </si>
  <si>
    <t>PSF-01106_20260829120335_2f6</t>
  </si>
  <si>
    <t>120.656845</t>
  </si>
  <si>
    <t>444.800385</t>
  </si>
  <si>
    <t>0.728739</t>
  </si>
  <si>
    <t>69.26</t>
  </si>
  <si>
    <t>67.92</t>
  </si>
  <si>
    <t>31.22</t>
  </si>
  <si>
    <t>30.04</t>
  </si>
  <si>
    <t>154.8</t>
  </si>
  <si>
    <t>0.9</t>
  </si>
  <si>
    <t>246</t>
  </si>
  <si>
    <t>-17</t>
  </si>
  <si>
    <t>-8</t>
  </si>
  <si>
    <t>160</t>
  </si>
  <si>
    <t>14.06</t>
  </si>
  <si>
    <t>97.00</t>
  </si>
  <si>
    <t>18.74</t>
  </si>
  <si>
    <t>-45.67</t>
  </si>
  <si>
    <t>03:02:43</t>
  </si>
  <si>
    <t>35.850304</t>
  </si>
  <si>
    <t>127.129745</t>
  </si>
  <si>
    <t>42.400002</t>
  </si>
  <si>
    <t>-0.109</t>
  </si>
  <si>
    <t>0.013</t>
  </si>
  <si>
    <t>-0.102</t>
  </si>
  <si>
    <t>2.528524</t>
  </si>
  <si>
    <t>2.468327</t>
  </si>
  <si>
    <t>1.672181</t>
  </si>
  <si>
    <t>0.941091</t>
  </si>
  <si>
    <t>0.213149</t>
  </si>
  <si>
    <t>-0.013729</t>
  </si>
  <si>
    <t>0.255748</t>
  </si>
  <si>
    <t>0.321763</t>
  </si>
  <si>
    <t>21</t>
  </si>
  <si>
    <t>12:04:10</t>
  </si>
  <si>
    <t>021</t>
  </si>
  <si>
    <t>3.194268</t>
  </si>
  <si>
    <t>3.111324</t>
  </si>
  <si>
    <t>30.929670</t>
  </si>
  <si>
    <t>31.754217</t>
  </si>
  <si>
    <t>PSF-01106_20260829120410_9b1</t>
  </si>
  <si>
    <t>112.269760</t>
  </si>
  <si>
    <t>445.341125</t>
  </si>
  <si>
    <t>0.747902</t>
  </si>
  <si>
    <t>69.95</t>
  </si>
  <si>
    <t>68.13</t>
  </si>
  <si>
    <t>31.21</t>
  </si>
  <si>
    <t>29.88</t>
  </si>
  <si>
    <t>242</t>
  </si>
  <si>
    <t>3.409</t>
  </si>
  <si>
    <t>115</t>
  </si>
  <si>
    <t>17.26</t>
  </si>
  <si>
    <t>95.50</t>
  </si>
  <si>
    <t>18.24</t>
  </si>
  <si>
    <t>-55.37</t>
  </si>
  <si>
    <t>163.97</t>
  </si>
  <si>
    <t>27.30</t>
  </si>
  <si>
    <t>03:03:17</t>
  </si>
  <si>
    <t>35.850315</t>
  </si>
  <si>
    <t>42.000000</t>
  </si>
  <si>
    <t>0.780000</t>
  </si>
  <si>
    <t>0.038</t>
  </si>
  <si>
    <t>0.021</t>
  </si>
  <si>
    <t>2.528823</t>
  </si>
  <si>
    <t>2.469204</t>
  </si>
  <si>
    <t>1.669083</t>
  </si>
  <si>
    <t>0.939118</t>
  </si>
  <si>
    <t>0.213224</t>
  </si>
  <si>
    <t>-0.015565</t>
  </si>
  <si>
    <t>0.259582</t>
  </si>
  <si>
    <t>0.318105</t>
  </si>
  <si>
    <t>0.000350</t>
  </si>
  <si>
    <t>22</t>
  </si>
  <si>
    <t>12:04:47</t>
  </si>
  <si>
    <t>022</t>
  </si>
  <si>
    <t>3.150823</t>
  </si>
  <si>
    <t>3.094957</t>
  </si>
  <si>
    <t>30.764065</t>
  </si>
  <si>
    <t>31.319372</t>
  </si>
  <si>
    <t>PSF-01106_20260829120447_3a8</t>
  </si>
  <si>
    <t>121.824860</t>
  </si>
  <si>
    <t>455.583221</t>
  </si>
  <si>
    <t>0.732596</t>
  </si>
  <si>
    <t>69.03</t>
  </si>
  <si>
    <t>67.80</t>
  </si>
  <si>
    <t>153.5</t>
  </si>
  <si>
    <t>1.7</t>
  </si>
  <si>
    <t>230</t>
  </si>
  <si>
    <t>13.88</t>
  </si>
  <si>
    <t>97.08</t>
  </si>
  <si>
    <t>18.42</t>
  </si>
  <si>
    <t>-44.25</t>
  </si>
  <si>
    <t>03:03:51</t>
  </si>
  <si>
    <t>35.850323</t>
  </si>
  <si>
    <t>127.129807</t>
  </si>
  <si>
    <t>41.299999</t>
  </si>
  <si>
    <t>0.052</t>
  </si>
  <si>
    <t>2.528371</t>
  </si>
  <si>
    <t>2.468035</t>
  </si>
  <si>
    <t>1.671858</t>
  </si>
  <si>
    <t>0.937718</t>
  </si>
  <si>
    <t>0.213284</t>
  </si>
  <si>
    <t>-0.012849</t>
  </si>
  <si>
    <t>0.263680</t>
  </si>
  <si>
    <t>0.307436</t>
  </si>
  <si>
    <t>23</t>
  </si>
  <si>
    <t>12:06:33</t>
  </si>
  <si>
    <t>023</t>
  </si>
  <si>
    <t>3.159753</t>
  </si>
  <si>
    <t>3.100476</t>
  </si>
  <si>
    <t>30.820837</t>
  </si>
  <si>
    <t>31.410091</t>
  </si>
  <si>
    <t>PSF-01106_20260829120633_10c</t>
  </si>
  <si>
    <t>111.502289</t>
  </si>
  <si>
    <t>464.352600</t>
  </si>
  <si>
    <t>0.759876</t>
  </si>
  <si>
    <t>69.36</t>
  </si>
  <si>
    <t>68.06</t>
  </si>
  <si>
    <t>29.90</t>
  </si>
  <si>
    <t>167</t>
  </si>
  <si>
    <t>3.408</t>
  </si>
  <si>
    <t>-27</t>
  </si>
  <si>
    <t>13.45</t>
  </si>
  <si>
    <t>97.26</t>
  </si>
  <si>
    <t>28.66</t>
  </si>
  <si>
    <t>-43.77</t>
  </si>
  <si>
    <t>165.02</t>
  </si>
  <si>
    <t>27.19</t>
  </si>
  <si>
    <t>03:05:40</t>
  </si>
  <si>
    <t>35.850342</t>
  </si>
  <si>
    <t>127.129791</t>
  </si>
  <si>
    <t>41.500000</t>
  </si>
  <si>
    <t>-0.006</t>
  </si>
  <si>
    <t>-0.192</t>
  </si>
  <si>
    <t>-0.155</t>
  </si>
  <si>
    <t>-0.437</t>
  </si>
  <si>
    <t>2.528735</t>
  </si>
  <si>
    <t>2.468469</t>
  </si>
  <si>
    <t>1.669437</t>
  </si>
  <si>
    <t>0.941506</t>
  </si>
  <si>
    <t>0.213585</t>
  </si>
  <si>
    <t>-0.014865</t>
  </si>
  <si>
    <t>0.275429</t>
  </si>
  <si>
    <t>0.252535</t>
  </si>
  <si>
    <t>24</t>
  </si>
  <si>
    <t>12:07:52</t>
  </si>
  <si>
    <t>024</t>
  </si>
  <si>
    <t>3.165759</t>
  </si>
  <si>
    <t>3.100305</t>
  </si>
  <si>
    <t>30.818672</t>
  </si>
  <si>
    <t>31.469326</t>
  </si>
  <si>
    <t>PSF-01106_20260829120752_ebf</t>
  </si>
  <si>
    <t>101.315262</t>
  </si>
  <si>
    <t>436.792725</t>
  </si>
  <si>
    <t>0.768047</t>
  </si>
  <si>
    <t>69.69</t>
  </si>
  <si>
    <t>68.25</t>
  </si>
  <si>
    <t>31.12</t>
  </si>
  <si>
    <t>29.67</t>
  </si>
  <si>
    <t>150.0</t>
  </si>
  <si>
    <t>4.0</t>
  </si>
  <si>
    <t>186</t>
  </si>
  <si>
    <t>3.406</t>
  </si>
  <si>
    <t>12.94</t>
  </si>
  <si>
    <t>97.46</t>
  </si>
  <si>
    <t>17.03</t>
  </si>
  <si>
    <t>-36.58</t>
  </si>
  <si>
    <t>165.55</t>
  </si>
  <si>
    <t>27.14</t>
  </si>
  <si>
    <t>03:06:59</t>
  </si>
  <si>
    <t>35.850250</t>
  </si>
  <si>
    <t>127.129753</t>
  </si>
  <si>
    <t>41.700001</t>
  </si>
  <si>
    <t>0.127</t>
  </si>
  <si>
    <t>0.072</t>
  </si>
  <si>
    <t>-0.252</t>
  </si>
  <si>
    <t>2.529002</t>
  </si>
  <si>
    <t>2.468892</t>
  </si>
  <si>
    <t>1.671499</t>
  </si>
  <si>
    <t>0.928551</t>
  </si>
  <si>
    <t>0.213999</t>
  </si>
  <si>
    <t>-0.017035</t>
  </si>
  <si>
    <t>0.284142</t>
  </si>
  <si>
    <t>0.269533</t>
  </si>
  <si>
    <t>25</t>
  </si>
  <si>
    <t>12:08:16</t>
  </si>
  <si>
    <t>025</t>
  </si>
  <si>
    <t>3.184759</t>
  </si>
  <si>
    <t>3.133974</t>
  </si>
  <si>
    <t>31.152517</t>
  </si>
  <si>
    <t>31.657331</t>
  </si>
  <si>
    <t>PSF-01106_20260829120816_f7b</t>
  </si>
  <si>
    <t>106.603859</t>
  </si>
  <si>
    <t>449.199554</t>
  </si>
  <si>
    <t>0.762680</t>
  </si>
  <si>
    <t>70.15</t>
  </si>
  <si>
    <t>153.8</t>
  </si>
  <si>
    <t>18.38</t>
  </si>
  <si>
    <t>94.90</t>
  </si>
  <si>
    <t>16.00</t>
  </si>
  <si>
    <t>-56.00</t>
  </si>
  <si>
    <t>166.08</t>
  </si>
  <si>
    <t>27.09</t>
  </si>
  <si>
    <t>03:07:24</t>
  </si>
  <si>
    <t>35.850258</t>
  </si>
  <si>
    <t>127.129761</t>
  </si>
  <si>
    <t>41.599998</t>
  </si>
  <si>
    <t>0.740000</t>
  </si>
  <si>
    <t>0.074</t>
  </si>
  <si>
    <t>0.010</t>
  </si>
  <si>
    <t>0.311</t>
  </si>
  <si>
    <t>2.530081</t>
  </si>
  <si>
    <t>2.469481</t>
  </si>
  <si>
    <t>1.671471</t>
  </si>
  <si>
    <t>0.938501</t>
  </si>
  <si>
    <t>-0.016184</t>
  </si>
  <si>
    <t>0.286721</t>
  </si>
  <si>
    <t>0.253415</t>
  </si>
  <si>
    <t>26</t>
  </si>
  <si>
    <t>12:08:42</t>
  </si>
  <si>
    <t>026</t>
  </si>
  <si>
    <t>3.188511</t>
  </si>
  <si>
    <t>3.131308</t>
  </si>
  <si>
    <t>31.126780</t>
  </si>
  <si>
    <t>31.695410</t>
  </si>
  <si>
    <t>PSF-01106_20260829120842_e32</t>
  </si>
  <si>
    <t>103.568672</t>
  </si>
  <si>
    <t>442.285889</t>
  </si>
  <si>
    <t>0.765833</t>
  </si>
  <si>
    <t>70.29</t>
  </si>
  <si>
    <t>152.5</t>
  </si>
  <si>
    <t>2.4</t>
  </si>
  <si>
    <t>164</t>
  </si>
  <si>
    <t>129</t>
  </si>
  <si>
    <t>15.51</t>
  </si>
  <si>
    <t>-35.88</t>
  </si>
  <si>
    <t>03:07:46</t>
  </si>
  <si>
    <t>35.850281</t>
  </si>
  <si>
    <t>127.129776</t>
  </si>
  <si>
    <t>41.200001</t>
  </si>
  <si>
    <t>0.840000</t>
  </si>
  <si>
    <t>-0.052</t>
  </si>
  <si>
    <t>0.058</t>
  </si>
  <si>
    <t>2.530073</t>
  </si>
  <si>
    <t>2.469655</t>
  </si>
  <si>
    <t>1.672019</t>
  </si>
  <si>
    <t>0.935126</t>
  </si>
  <si>
    <t>0.214204</t>
  </si>
  <si>
    <t>-0.016727</t>
  </si>
  <si>
    <t>0.289498</t>
  </si>
  <si>
    <t>0.250470</t>
  </si>
  <si>
    <t>27</t>
  </si>
  <si>
    <t>12:09:21</t>
  </si>
  <si>
    <t>027</t>
  </si>
  <si>
    <t>3.105850</t>
  </si>
  <si>
    <t>3.057797</t>
  </si>
  <si>
    <t>30.396431</t>
  </si>
  <si>
    <t>30.874102</t>
  </si>
  <si>
    <t>PSF-01106_20260829120921_89f</t>
  </si>
  <si>
    <t>112.489700</t>
  </si>
  <si>
    <t>471.033813</t>
  </si>
  <si>
    <t>0.761186</t>
  </si>
  <si>
    <t>68.55</t>
  </si>
  <si>
    <t>67.49</t>
  </si>
  <si>
    <t>31.08</t>
  </si>
  <si>
    <t>29.94</t>
  </si>
  <si>
    <t>146.7</t>
  </si>
  <si>
    <t>6.0</t>
  </si>
  <si>
    <t>169</t>
  </si>
  <si>
    <t>3.404</t>
  </si>
  <si>
    <t>-10</t>
  </si>
  <si>
    <t>17.15</t>
  </si>
  <si>
    <t>95.55</t>
  </si>
  <si>
    <t>11.17</t>
  </si>
  <si>
    <t>-35.26</t>
  </si>
  <si>
    <t>166.61</t>
  </si>
  <si>
    <t>27.04</t>
  </si>
  <si>
    <t>03:08:28</t>
  </si>
  <si>
    <t>127.129669</t>
  </si>
  <si>
    <t>-0.005</t>
  </si>
  <si>
    <t>0.030</t>
  </si>
  <si>
    <t>0.225</t>
  </si>
  <si>
    <t>2.527966</t>
  </si>
  <si>
    <t>2.467453</t>
  </si>
  <si>
    <t>1.670549</t>
  </si>
  <si>
    <t>0.920336</t>
  </si>
  <si>
    <t>0.214379</t>
  </si>
  <si>
    <t>-0.013227</t>
  </si>
  <si>
    <t>0.293663</t>
  </si>
  <si>
    <t>0.254819</t>
  </si>
  <si>
    <t>28</t>
  </si>
  <si>
    <t>12:11:50</t>
  </si>
  <si>
    <t>ETc25</t>
  </si>
  <si>
    <t>028</t>
  </si>
  <si>
    <t>3.092304</t>
  </si>
  <si>
    <t>3.058890</t>
  </si>
  <si>
    <t>30.406843</t>
  </si>
  <si>
    <t>30.738997</t>
  </si>
  <si>
    <t>PSF-01106_20260829121150_8da</t>
  </si>
  <si>
    <t>107.660294</t>
  </si>
  <si>
    <t>458.552948</t>
  </si>
  <si>
    <t>0.765217</t>
  </si>
  <si>
    <t>68.46</t>
  </si>
  <si>
    <t>67.72</t>
  </si>
  <si>
    <t>31.02</t>
  </si>
  <si>
    <t>151.9</t>
  </si>
  <si>
    <t>2.8</t>
  </si>
  <si>
    <t>268</t>
  </si>
  <si>
    <t>40.44</t>
  </si>
  <si>
    <t>76.11</t>
  </si>
  <si>
    <t>21.56</t>
  </si>
  <si>
    <t>101.72</t>
  </si>
  <si>
    <t>167.68</t>
  </si>
  <si>
    <t>26.95</t>
  </si>
  <si>
    <t>03:10:57</t>
  </si>
  <si>
    <t>127.129715</t>
  </si>
  <si>
    <t>41.400002</t>
  </si>
  <si>
    <t>0.890000</t>
  </si>
  <si>
    <t>12:10:58</t>
  </si>
  <si>
    <t>-1.13</t>
  </si>
  <si>
    <t>2.528291</t>
  </si>
  <si>
    <t>2.467142</t>
  </si>
  <si>
    <t>1.672305</t>
  </si>
  <si>
    <t>0.933598</t>
  </si>
  <si>
    <t>0.214826</t>
  </si>
  <si>
    <t>-0.011328</t>
  </si>
  <si>
    <t>0.309684</t>
  </si>
  <si>
    <t>0.237599</t>
  </si>
  <si>
    <t>29</t>
  </si>
  <si>
    <t>12:12:27</t>
  </si>
  <si>
    <t>029</t>
  </si>
  <si>
    <t>3.040193</t>
  </si>
  <si>
    <t>3.014827</t>
  </si>
  <si>
    <t>29.967194</t>
  </si>
  <si>
    <t>30.219330</t>
  </si>
  <si>
    <t>PSF-01106_20260829121227_7fa</t>
  </si>
  <si>
    <t>122.979996</t>
  </si>
  <si>
    <t>448.541870</t>
  </si>
  <si>
    <t>0.725823</t>
  </si>
  <si>
    <t>67.44</t>
  </si>
  <si>
    <t>66.87</t>
  </si>
  <si>
    <t>30.99</t>
  </si>
  <si>
    <t>139</t>
  </si>
  <si>
    <t>286</t>
  </si>
  <si>
    <t>42.41</t>
  </si>
  <si>
    <t>73.84</t>
  </si>
  <si>
    <t>106.00</t>
  </si>
  <si>
    <t>168.21</t>
  </si>
  <si>
    <t>26.91</t>
  </si>
  <si>
    <t>03:11:34</t>
  </si>
  <si>
    <t>127.129684</t>
  </si>
  <si>
    <t>40.200001</t>
  </si>
  <si>
    <t>-0.079</t>
  </si>
  <si>
    <t>-0.281</t>
  </si>
  <si>
    <t>2.527145</t>
  </si>
  <si>
    <t>2.465860</t>
  </si>
  <si>
    <t>1.669068</t>
  </si>
  <si>
    <t>0.937593</t>
  </si>
  <si>
    <t>0.215125</t>
  </si>
  <si>
    <t>-0.009715</t>
  </si>
  <si>
    <t>0.313497</t>
  </si>
  <si>
    <t>0.228064</t>
  </si>
  <si>
    <t>0.000356</t>
  </si>
  <si>
    <t>30</t>
  </si>
  <si>
    <t>12:12:54</t>
  </si>
  <si>
    <t>030</t>
  </si>
  <si>
    <t>3.046636</t>
  </si>
  <si>
    <t>3.029979</t>
  </si>
  <si>
    <t>30.117136</t>
  </si>
  <si>
    <t>30.282696</t>
  </si>
  <si>
    <t>PSF-01106_20260829121254_e34</t>
  </si>
  <si>
    <t>110.755920</t>
  </si>
  <si>
    <t>466.511963</t>
  </si>
  <si>
    <t>0.762587</t>
  </si>
  <si>
    <t>67.66</t>
  </si>
  <si>
    <t>67.29</t>
  </si>
  <si>
    <t>30.97</t>
  </si>
  <si>
    <t>30.07</t>
  </si>
  <si>
    <t>154.0</t>
  </si>
  <si>
    <t>3.403</t>
  </si>
  <si>
    <t>-4</t>
  </si>
  <si>
    <t>321</t>
  </si>
  <si>
    <t>51.22</t>
  </si>
  <si>
    <t>62.64</t>
  </si>
  <si>
    <t>27.27</t>
  </si>
  <si>
    <t>132.24</t>
  </si>
  <si>
    <t>168.75</t>
  </si>
  <si>
    <t>26.87</t>
  </si>
  <si>
    <t>03:12:01</t>
  </si>
  <si>
    <t>39.099998</t>
  </si>
  <si>
    <t>-0.077</t>
  </si>
  <si>
    <t>-0.224</t>
  </si>
  <si>
    <t>-0.429</t>
  </si>
  <si>
    <t>2.527712</t>
  </si>
  <si>
    <t>2.466139</t>
  </si>
  <si>
    <t>1.670989</t>
  </si>
  <si>
    <t>0.938826</t>
  </si>
  <si>
    <t>0.215290</t>
  </si>
  <si>
    <t>-0.010203</t>
  </si>
  <si>
    <t>0.316242</t>
  </si>
  <si>
    <t>0.228162</t>
  </si>
  <si>
    <t>31</t>
  </si>
  <si>
    <t>12:13:08</t>
  </si>
  <si>
    <t>031</t>
  </si>
  <si>
    <t>3.025918</t>
  </si>
  <si>
    <t>3.023570</t>
  </si>
  <si>
    <t>30.055065</t>
  </si>
  <si>
    <t>30.078415</t>
  </si>
  <si>
    <t>PSF-01106_20260829121308_7e3</t>
  </si>
  <si>
    <t>118.792534</t>
  </si>
  <si>
    <t>454.994904</t>
  </si>
  <si>
    <t>0.738915</t>
  </si>
  <si>
    <t>67.24</t>
  </si>
  <si>
    <t>67.18</t>
  </si>
  <si>
    <t>30.96</t>
  </si>
  <si>
    <t>3.402</t>
  </si>
  <si>
    <t>263</t>
  </si>
  <si>
    <t>34.23</t>
  </si>
  <si>
    <t>82.68</t>
  </si>
  <si>
    <t>83.00</t>
  </si>
  <si>
    <t>03:12:15</t>
  </si>
  <si>
    <t>35.850193</t>
  </si>
  <si>
    <t>37.599998</t>
  </si>
  <si>
    <t>-9999.000</t>
  </si>
  <si>
    <t>-0.125</t>
  </si>
  <si>
    <t>-0.361</t>
  </si>
  <si>
    <t>2.527576</t>
  </si>
  <si>
    <t>2.465612</t>
  </si>
  <si>
    <t>1.669787</t>
  </si>
  <si>
    <t>0.940273</t>
  </si>
  <si>
    <t>0.215382</t>
  </si>
  <si>
    <t>-0.015576</t>
  </si>
  <si>
    <t>0.317703</t>
  </si>
  <si>
    <t>0.235538</t>
  </si>
  <si>
    <t>32</t>
  </si>
  <si>
    <t>12:13:36</t>
  </si>
  <si>
    <t>032</t>
  </si>
  <si>
    <t>3.051819</t>
  </si>
  <si>
    <t>3.020402</t>
  </si>
  <si>
    <t>30.023132</t>
  </si>
  <si>
    <t>30.335423</t>
  </si>
  <si>
    <t>PSF-01106_20260829121336_aff</t>
  </si>
  <si>
    <t>116.346359</t>
  </si>
  <si>
    <t>473.266113</t>
  </si>
  <si>
    <t>0.754163</t>
  </si>
  <si>
    <t>67.89</t>
  </si>
  <si>
    <t>67.19</t>
  </si>
  <si>
    <t>30.94</t>
  </si>
  <si>
    <t>1.6</t>
  </si>
  <si>
    <t>154</t>
  </si>
  <si>
    <t>303</t>
  </si>
  <si>
    <t>39.31</t>
  </si>
  <si>
    <t>77.37</t>
  </si>
  <si>
    <t>13.59</t>
  </si>
  <si>
    <t>140.27</t>
  </si>
  <si>
    <t>03:12:44</t>
  </si>
  <si>
    <t>36.900002</t>
  </si>
  <si>
    <t>-0.065</t>
  </si>
  <si>
    <t>-0.228</t>
  </si>
  <si>
    <t>-0.378</t>
  </si>
  <si>
    <t>2.527589</t>
  </si>
  <si>
    <t>2.466442</t>
  </si>
  <si>
    <t>1.671453</t>
  </si>
  <si>
    <t>0.938082</t>
  </si>
  <si>
    <t>0.215551</t>
  </si>
  <si>
    <t>-0.013622</t>
  </si>
  <si>
    <t>0.320587</t>
  </si>
  <si>
    <t>0.241352</t>
  </si>
  <si>
    <t>0.000352</t>
  </si>
  <si>
    <t>33</t>
  </si>
  <si>
    <t>12:13:53</t>
  </si>
  <si>
    <t>033</t>
  </si>
  <si>
    <t>3.036769</t>
  </si>
  <si>
    <t>3.022980</t>
  </si>
  <si>
    <t>30.047491</t>
  </si>
  <si>
    <t>30.184546</t>
  </si>
  <si>
    <t>PSF-01106_20260829121353_f38</t>
  </si>
  <si>
    <t>116.366386</t>
  </si>
  <si>
    <t>461.337433</t>
  </si>
  <si>
    <t>0.747763</t>
  </si>
  <si>
    <t>67.60</t>
  </si>
  <si>
    <t>67.30</t>
  </si>
  <si>
    <t>30.92</t>
  </si>
  <si>
    <t>29.83</t>
  </si>
  <si>
    <t>146</t>
  </si>
  <si>
    <t>3.371</t>
  </si>
  <si>
    <t>297</t>
  </si>
  <si>
    <t>41.53</t>
  </si>
  <si>
    <t>74.86</t>
  </si>
  <si>
    <t>20.02</t>
  </si>
  <si>
    <t>114.08</t>
  </si>
  <si>
    <t>03:12:57</t>
  </si>
  <si>
    <t>35.850163</t>
  </si>
  <si>
    <t>127.129631</t>
  </si>
  <si>
    <t>36.799999</t>
  </si>
  <si>
    <t>0.930000</t>
  </si>
  <si>
    <t>-0.113</t>
  </si>
  <si>
    <t>-0.240</t>
  </si>
  <si>
    <t>-0.529</t>
  </si>
  <si>
    <t>2.527737</t>
  </si>
  <si>
    <t>2.466082</t>
  </si>
  <si>
    <t>1.670336</t>
  </si>
  <si>
    <t>0.939049</t>
  </si>
  <si>
    <t>0.215659</t>
  </si>
  <si>
    <t>-0.012621</t>
  </si>
  <si>
    <t>0.322241</t>
  </si>
  <si>
    <t>0.234787</t>
  </si>
  <si>
    <t>0.000364</t>
  </si>
  <si>
    <t>34</t>
  </si>
  <si>
    <t>12:14:42</t>
  </si>
  <si>
    <t>034</t>
  </si>
  <si>
    <t>3.030546</t>
  </si>
  <si>
    <t>3.020174</t>
  </si>
  <si>
    <t>30.020338</t>
  </si>
  <si>
    <t>30.123438</t>
  </si>
  <si>
    <t>PSF-01106_20260829121442_cf0</t>
  </si>
  <si>
    <t>108.474968</t>
  </si>
  <si>
    <t>448.662048</t>
  </si>
  <si>
    <t>0.758226</t>
  </si>
  <si>
    <t>67.62</t>
  </si>
  <si>
    <t>67.38</t>
  </si>
  <si>
    <t>30.89</t>
  </si>
  <si>
    <t>29.70</t>
  </si>
  <si>
    <t>145.6</t>
  </si>
  <si>
    <t>6.7</t>
  </si>
  <si>
    <t>3.400</t>
  </si>
  <si>
    <t>-22</t>
  </si>
  <si>
    <t>304</t>
  </si>
  <si>
    <t>45.83</t>
  </si>
  <si>
    <t>22.09</t>
  </si>
  <si>
    <t>129.33</t>
  </si>
  <si>
    <t>169.29</t>
  </si>
  <si>
    <t>26.83</t>
  </si>
  <si>
    <t>03:13:50</t>
  </si>
  <si>
    <t>36.500000</t>
  </si>
  <si>
    <t>-0.107</t>
  </si>
  <si>
    <t>-0.170</t>
  </si>
  <si>
    <t>-0.381</t>
  </si>
  <si>
    <t>2.527865</t>
  </si>
  <si>
    <t>2.466104</t>
  </si>
  <si>
    <t>1.670158</t>
  </si>
  <si>
    <t>0.917454</t>
  </si>
  <si>
    <t>0.215990</t>
  </si>
  <si>
    <t>-0.013704</t>
  </si>
  <si>
    <t>0.327567</t>
  </si>
  <si>
    <t>0.235205</t>
  </si>
  <si>
    <t>35</t>
  </si>
  <si>
    <t>12:15:12</t>
  </si>
  <si>
    <t>035</t>
  </si>
  <si>
    <t>3.030270</t>
  </si>
  <si>
    <t>3.007233</t>
  </si>
  <si>
    <t>29.891489</t>
  </si>
  <si>
    <t>30.120470</t>
  </si>
  <si>
    <t>PSF-01106_20260829121512_49b</t>
  </si>
  <si>
    <t>110.252739</t>
  </si>
  <si>
    <t>453.806152</t>
  </si>
  <si>
    <t>0.757049</t>
  </si>
  <si>
    <t>67.67</t>
  </si>
  <si>
    <t>67.16</t>
  </si>
  <si>
    <t>30.87</t>
  </si>
  <si>
    <t>150.9</t>
  </si>
  <si>
    <t>3.3</t>
  </si>
  <si>
    <t>3.401</t>
  </si>
  <si>
    <t>326</t>
  </si>
  <si>
    <t>47.56</t>
  </si>
  <si>
    <t>20.85</t>
  </si>
  <si>
    <t>163.08</t>
  </si>
  <si>
    <t>169.83</t>
  </si>
  <si>
    <t>26.80</t>
  </si>
  <si>
    <t>03:14:19</t>
  </si>
  <si>
    <t>35.500000</t>
  </si>
  <si>
    <t>0.053</t>
  </si>
  <si>
    <t>0.047</t>
  </si>
  <si>
    <t>2.527557</t>
  </si>
  <si>
    <t>2.466178</t>
  </si>
  <si>
    <t>1.671037</t>
  </si>
  <si>
    <t>0.930958</t>
  </si>
  <si>
    <t>0.216127</t>
  </si>
  <si>
    <t>-0.013191</t>
  </si>
  <si>
    <t>0.330616</t>
  </si>
  <si>
    <t>0.241084</t>
  </si>
  <si>
    <t>36</t>
  </si>
  <si>
    <t>12:15:47</t>
  </si>
  <si>
    <t>036</t>
  </si>
  <si>
    <t>3.065931</t>
  </si>
  <si>
    <t>3.015800</t>
  </si>
  <si>
    <t>29.974636</t>
  </si>
  <si>
    <t>30.472893</t>
  </si>
  <si>
    <t>PSF-01106_20260829121547_3df</t>
  </si>
  <si>
    <t>108.594421</t>
  </si>
  <si>
    <t>466.574554</t>
  </si>
  <si>
    <t>0.767252</t>
  </si>
  <si>
    <t>67.43</t>
  </si>
  <si>
    <t>30.85</t>
  </si>
  <si>
    <t>29.63</t>
  </si>
  <si>
    <t>153.9</t>
  </si>
  <si>
    <t>152</t>
  </si>
  <si>
    <t>3.398</t>
  </si>
  <si>
    <t>-30</t>
  </si>
  <si>
    <t>270</t>
  </si>
  <si>
    <t>45.53</t>
  </si>
  <si>
    <t>70.05</t>
  </si>
  <si>
    <t>30.24</t>
  </si>
  <si>
    <t>03:14:55</t>
  </si>
  <si>
    <t>35.850243</t>
  </si>
  <si>
    <t>34.799999</t>
  </si>
  <si>
    <t>-0.044</t>
  </si>
  <si>
    <t>-0.279</t>
  </si>
  <si>
    <t>-0.610</t>
  </si>
  <si>
    <t>2.527929</t>
  </si>
  <si>
    <t>2.467288</t>
  </si>
  <si>
    <t>1.672545</t>
  </si>
  <si>
    <t>0.938541</t>
  </si>
  <si>
    <t>0.216297</t>
  </si>
  <si>
    <t>-0.014165</t>
  </si>
  <si>
    <t>0.334242</t>
  </si>
  <si>
    <t>0.239299</t>
  </si>
  <si>
    <t>37</t>
  </si>
  <si>
    <t>12:18:10</t>
  </si>
  <si>
    <t>침수ETc</t>
  </si>
  <si>
    <t>037</t>
  </si>
  <si>
    <t>3.052690</t>
  </si>
  <si>
    <t>2.985297</t>
  </si>
  <si>
    <t>29.674995</t>
  </si>
  <si>
    <t>30.344906</t>
  </si>
  <si>
    <t>PSF-01106_20260829121810_e6c</t>
  </si>
  <si>
    <t>123.538971</t>
  </si>
  <si>
    <t>474.145172</t>
  </si>
  <si>
    <t>0.739449</t>
  </si>
  <si>
    <t>68.48</t>
  </si>
  <si>
    <t>66.97</t>
  </si>
  <si>
    <t>30.79</t>
  </si>
  <si>
    <t>29.44</t>
  </si>
  <si>
    <t>300</t>
  </si>
  <si>
    <t>46.63</t>
  </si>
  <si>
    <t>68.67</t>
  </si>
  <si>
    <t>23.33</t>
  </si>
  <si>
    <t>130.15</t>
  </si>
  <si>
    <t>171.46</t>
  </si>
  <si>
    <t>26.70</t>
  </si>
  <si>
    <t>03:17:17</t>
  </si>
  <si>
    <t>33.599998</t>
  </si>
  <si>
    <t>-0.080</t>
  </si>
  <si>
    <t>-0.276</t>
  </si>
  <si>
    <t>-0.664</t>
  </si>
  <si>
    <t>2.527314</t>
  </si>
  <si>
    <t>2.467215</t>
  </si>
  <si>
    <t>1.669051</t>
  </si>
  <si>
    <t>0.938443</t>
  </si>
  <si>
    <t>0.216799</t>
  </si>
  <si>
    <t>-0.015726</t>
  </si>
  <si>
    <t>0.348815</t>
  </si>
  <si>
    <t>0.255579</t>
  </si>
  <si>
    <t>0.000365</t>
  </si>
  <si>
    <t>38</t>
  </si>
  <si>
    <t>12:18:58</t>
  </si>
  <si>
    <t>038</t>
  </si>
  <si>
    <t>3.054909</t>
  </si>
  <si>
    <t>2.968221</t>
  </si>
  <si>
    <t>29.503782</t>
  </si>
  <si>
    <t>30.365452</t>
  </si>
  <si>
    <t>PSF-01106_20260829121858_285</t>
  </si>
  <si>
    <t>111.203316</t>
  </si>
  <si>
    <t>477.051270</t>
  </si>
  <si>
    <t>0.766894</t>
  </si>
  <si>
    <t>66.72</t>
  </si>
  <si>
    <t>30.75</t>
  </si>
  <si>
    <t>29.16</t>
  </si>
  <si>
    <t>1.0</t>
  </si>
  <si>
    <t>180</t>
  </si>
  <si>
    <t>312</t>
  </si>
  <si>
    <t>40.62</t>
  </si>
  <si>
    <t>75.91</t>
  </si>
  <si>
    <t>16.03</t>
  </si>
  <si>
    <t>135.62</t>
  </si>
  <si>
    <t>172.01</t>
  </si>
  <si>
    <t>03:18:05</t>
  </si>
  <si>
    <t>35.850231</t>
  </si>
  <si>
    <t>127.129799</t>
  </si>
  <si>
    <t>0.760000</t>
  </si>
  <si>
    <t>0.057</t>
  </si>
  <si>
    <t>0.189</t>
  </si>
  <si>
    <t>2.526985</t>
  </si>
  <si>
    <t>2.467464</t>
  </si>
  <si>
    <t>1.670795</t>
  </si>
  <si>
    <t>0.940242</t>
  </si>
  <si>
    <t>0.217107</t>
  </si>
  <si>
    <t>-0.018686</t>
  </si>
  <si>
    <t>0.353682</t>
  </si>
  <si>
    <t>0.264438</t>
  </si>
  <si>
    <t>0.000368</t>
  </si>
  <si>
    <t>39</t>
  </si>
  <si>
    <t>12:19:20</t>
  </si>
  <si>
    <t>039</t>
  </si>
  <si>
    <t>3.048210</t>
  </si>
  <si>
    <t>2.982420</t>
  </si>
  <si>
    <t>29.645510</t>
  </si>
  <si>
    <t>30.299467</t>
  </si>
  <si>
    <t>PSF-01106_20260829121920_247</t>
  </si>
  <si>
    <t>118.888023</t>
  </si>
  <si>
    <t>478.673828</t>
  </si>
  <si>
    <t>0.751630</t>
  </si>
  <si>
    <t>68.60</t>
  </si>
  <si>
    <t>67.12</t>
  </si>
  <si>
    <t>30.73</t>
  </si>
  <si>
    <t>183</t>
  </si>
  <si>
    <t>3.396</t>
  </si>
  <si>
    <t>289</t>
  </si>
  <si>
    <t>35.44</t>
  </si>
  <si>
    <t>81.47</t>
  </si>
  <si>
    <t>10.76</t>
  </si>
  <si>
    <t>130.93</t>
  </si>
  <si>
    <t>03:18:28</t>
  </si>
  <si>
    <t>35.850235</t>
  </si>
  <si>
    <t>33.200001</t>
  </si>
  <si>
    <t>0.850000</t>
  </si>
  <si>
    <t>0.147</t>
  </si>
  <si>
    <t>0.049</t>
  </si>
  <si>
    <t>0.277</t>
  </si>
  <si>
    <t>2.527532</t>
  </si>
  <si>
    <t>2.467376</t>
  </si>
  <si>
    <t>0.942014</t>
  </si>
  <si>
    <t>0.217279</t>
  </si>
  <si>
    <t>-0.016306</t>
  </si>
  <si>
    <t>0.355919</t>
  </si>
  <si>
    <t>0.267065</t>
  </si>
  <si>
    <t>40</t>
  </si>
  <si>
    <t>12:19:43</t>
  </si>
  <si>
    <t>040</t>
  </si>
  <si>
    <t>3.055873</t>
  </si>
  <si>
    <t>2.989506</t>
  </si>
  <si>
    <t>29.717352</t>
  </si>
  <si>
    <t>30.377075</t>
  </si>
  <si>
    <t>PSF-01106_20260829121943_6c6</t>
  </si>
  <si>
    <t>103.835464</t>
  </si>
  <si>
    <t>449.424133</t>
  </si>
  <si>
    <t>0.768959</t>
  </si>
  <si>
    <t>68.85</t>
  </si>
  <si>
    <t>67.36</t>
  </si>
  <si>
    <t>30.71</t>
  </si>
  <si>
    <t>29.22</t>
  </si>
  <si>
    <t>154.3</t>
  </si>
  <si>
    <t>-5</t>
  </si>
  <si>
    <t>290</t>
  </si>
  <si>
    <t>28.98</t>
  </si>
  <si>
    <t>87.48</t>
  </si>
  <si>
    <t>83.26</t>
  </si>
  <si>
    <t>03:18:50</t>
  </si>
  <si>
    <t>127.129837</t>
  </si>
  <si>
    <t>33.700001</t>
  </si>
  <si>
    <t>-0.141</t>
  </si>
  <si>
    <t>-0.203</t>
  </si>
  <si>
    <t>-0.480</t>
  </si>
  <si>
    <t>2.527863</t>
  </si>
  <si>
    <t>2.467700</t>
  </si>
  <si>
    <t>1.669967</t>
  </si>
  <si>
    <t>0.939565</t>
  </si>
  <si>
    <t>0.217454</t>
  </si>
  <si>
    <t>-0.017542</t>
  </si>
  <si>
    <t>0.358258</t>
  </si>
  <si>
    <t>0.276150</t>
  </si>
  <si>
    <t>0.000370</t>
  </si>
  <si>
    <t>41</t>
  </si>
  <si>
    <t>12:20:14</t>
  </si>
  <si>
    <t>041</t>
  </si>
  <si>
    <t>3.062126</t>
  </si>
  <si>
    <t>2.983196</t>
  </si>
  <si>
    <t>29.655365</t>
  </si>
  <si>
    <t>30.439995</t>
  </si>
  <si>
    <t>PSF-01106_20260829122014_e08</t>
  </si>
  <si>
    <t>110.908630</t>
  </si>
  <si>
    <t>471.803772</t>
  </si>
  <si>
    <t>0.764926</t>
  </si>
  <si>
    <t>69.10</t>
  </si>
  <si>
    <t>67.32</t>
  </si>
  <si>
    <t>30.69</t>
  </si>
  <si>
    <t>29.13</t>
  </si>
  <si>
    <t>148.6</t>
  </si>
  <si>
    <t>184</t>
  </si>
  <si>
    <t>3.393</t>
  </si>
  <si>
    <t>-12</t>
  </si>
  <si>
    <t>16.22</t>
  </si>
  <si>
    <t>97.07</t>
  </si>
  <si>
    <t>172.55</t>
  </si>
  <si>
    <t>26.64</t>
  </si>
  <si>
    <t>03:19:22</t>
  </si>
  <si>
    <t>37.400002</t>
  </si>
  <si>
    <t>0.012</t>
  </si>
  <si>
    <t>0.063</t>
  </si>
  <si>
    <t>2.527820</t>
  </si>
  <si>
    <t>2.468022</t>
  </si>
  <si>
    <t>1.669591</t>
  </si>
  <si>
    <t>0.925131</t>
  </si>
  <si>
    <t>0.217691</t>
  </si>
  <si>
    <t>-0.018290</t>
  </si>
  <si>
    <t>0.361395</t>
  </si>
  <si>
    <t>0.267304</t>
  </si>
  <si>
    <t>0.000389</t>
  </si>
  <si>
    <t>42</t>
  </si>
  <si>
    <t>12:24:19</t>
  </si>
  <si>
    <t>042</t>
  </si>
  <si>
    <t>3.090323</t>
  </si>
  <si>
    <t>3.025620</t>
  </si>
  <si>
    <t>30.078960</t>
  </si>
  <si>
    <t>30.722197</t>
  </si>
  <si>
    <t>PSF-01106_20260829122419_a21</t>
  </si>
  <si>
    <t>112.419960</t>
  </si>
  <si>
    <t>463.835480</t>
  </si>
  <si>
    <t>0.757630</t>
  </si>
  <si>
    <t>70.12</t>
  </si>
  <si>
    <t>68.65</t>
  </si>
  <si>
    <t>30.59</t>
  </si>
  <si>
    <t>29.35</t>
  </si>
  <si>
    <t>154.6</t>
  </si>
  <si>
    <t>196</t>
  </si>
  <si>
    <t>3.391</t>
  </si>
  <si>
    <t>318</t>
  </si>
  <si>
    <t>42.27</t>
  </si>
  <si>
    <t>74.00</t>
  </si>
  <si>
    <t>18.00</t>
  </si>
  <si>
    <t>138.00</t>
  </si>
  <si>
    <t>174.75</t>
  </si>
  <si>
    <t>26.55</t>
  </si>
  <si>
    <t>03:23:27</t>
  </si>
  <si>
    <t>35.850266</t>
  </si>
  <si>
    <t>127.129768</t>
  </si>
  <si>
    <t>0.730000</t>
  </si>
  <si>
    <t>12:23:01</t>
  </si>
  <si>
    <t>-1.09</t>
  </si>
  <si>
    <t>0.023</t>
  </si>
  <si>
    <t>-0.124</t>
  </si>
  <si>
    <t>2.529665</t>
  </si>
  <si>
    <t>2.469281</t>
  </si>
  <si>
    <t>1.671200</t>
  </si>
  <si>
    <t>0.940554</t>
  </si>
  <si>
    <t>0.218513</t>
  </si>
  <si>
    <t>-0.014395</t>
  </si>
  <si>
    <t>0.386235</t>
  </si>
  <si>
    <t>0.277699</t>
  </si>
  <si>
    <t>0.000806</t>
  </si>
  <si>
    <t>43</t>
  </si>
  <si>
    <t>12:24:48</t>
  </si>
  <si>
    <t>043</t>
  </si>
  <si>
    <t>3.090477</t>
  </si>
  <si>
    <t>3.031516</t>
  </si>
  <si>
    <t>30.137045</t>
  </si>
  <si>
    <t>30.723200</t>
  </si>
  <si>
    <t>PSF-01106_20260829122448_023</t>
  </si>
  <si>
    <t>102.478264</t>
  </si>
  <si>
    <t>455.832825</t>
  </si>
  <si>
    <t>0.775185</t>
  </si>
  <si>
    <t>70.18</t>
  </si>
  <si>
    <t>30.58</t>
  </si>
  <si>
    <t>29.24</t>
  </si>
  <si>
    <t>155.7</t>
  </si>
  <si>
    <t>152.2</t>
  </si>
  <si>
    <t>258</t>
  </si>
  <si>
    <t>34.66</t>
  </si>
  <si>
    <t>82.25</t>
  </si>
  <si>
    <t>24.08</t>
  </si>
  <si>
    <t>82.91</t>
  </si>
  <si>
    <t>03:23:52</t>
  </si>
  <si>
    <t>35.850262</t>
  </si>
  <si>
    <t>127.129784</t>
  </si>
  <si>
    <t>-0.168</t>
  </si>
  <si>
    <t>-0.101</t>
  </si>
  <si>
    <t>-0.571</t>
  </si>
  <si>
    <t>2.529930</t>
  </si>
  <si>
    <t>2.469362</t>
  </si>
  <si>
    <t>1.667842</t>
  </si>
  <si>
    <t>0.934360</t>
  </si>
  <si>
    <t>0.218638</t>
  </si>
  <si>
    <t>-0.015550</t>
  </si>
  <si>
    <t>0.389072</t>
  </si>
  <si>
    <t>0.209122</t>
  </si>
  <si>
    <t>0.000880</t>
  </si>
  <si>
    <t>44</t>
  </si>
  <si>
    <t>12:25:23</t>
  </si>
  <si>
    <t>044</t>
  </si>
  <si>
    <t>3.098109</t>
  </si>
  <si>
    <t>3.035082</t>
  </si>
  <si>
    <t>30.171600</t>
  </si>
  <si>
    <t>30.798149</t>
  </si>
  <si>
    <t>PSF-01106_20260829122523_6b7</t>
  </si>
  <si>
    <t>115.549561</t>
  </si>
  <si>
    <t>471.974365</t>
  </si>
  <si>
    <t>0.755178</t>
  </si>
  <si>
    <t>70.43</t>
  </si>
  <si>
    <t>69.00</t>
  </si>
  <si>
    <t>30.56</t>
  </si>
  <si>
    <t>29.31</t>
  </si>
  <si>
    <t>150.2</t>
  </si>
  <si>
    <t>3.8</t>
  </si>
  <si>
    <t>189</t>
  </si>
  <si>
    <t>3.363</t>
  </si>
  <si>
    <t>249</t>
  </si>
  <si>
    <t>26.85</t>
  </si>
  <si>
    <t>89.22</t>
  </si>
  <si>
    <t>17.00</t>
  </si>
  <si>
    <t>175.30</t>
  </si>
  <si>
    <t>26.54</t>
  </si>
  <si>
    <t>03:24:30</t>
  </si>
  <si>
    <t>0.024</t>
  </si>
  <si>
    <t>2.530142</t>
  </si>
  <si>
    <t>2.469677</t>
  </si>
  <si>
    <t>1.670497</t>
  </si>
  <si>
    <t>0.929111</t>
  </si>
  <si>
    <t>0.218794</t>
  </si>
  <si>
    <t>-0.014446</t>
  </si>
  <si>
    <t>0.392703</t>
  </si>
  <si>
    <t>0.271473</t>
  </si>
  <si>
    <t>0.000948</t>
  </si>
  <si>
    <t>45</t>
  </si>
  <si>
    <t>12:26:06</t>
  </si>
  <si>
    <t>045</t>
  </si>
  <si>
    <t>3.092087</t>
  </si>
  <si>
    <t>3.044125</t>
  </si>
  <si>
    <t>30.261421</t>
  </si>
  <si>
    <t>30.738207</t>
  </si>
  <si>
    <t>PSF-01106_20260829122606_702</t>
  </si>
  <si>
    <t>110.330704</t>
  </si>
  <si>
    <t>457.871307</t>
  </si>
  <si>
    <t>0.759036</t>
  </si>
  <si>
    <t>70.36</t>
  </si>
  <si>
    <t>69.27</t>
  </si>
  <si>
    <t>30.54</t>
  </si>
  <si>
    <t>29.27</t>
  </si>
  <si>
    <t>150.1</t>
  </si>
  <si>
    <t>3.9</t>
  </si>
  <si>
    <t>179</t>
  </si>
  <si>
    <t>3.388</t>
  </si>
  <si>
    <t>292</t>
  </si>
  <si>
    <t>44.85</t>
  </si>
  <si>
    <t>70.90</t>
  </si>
  <si>
    <t>23.51</t>
  </si>
  <si>
    <t>124.62</t>
  </si>
  <si>
    <t>175.85</t>
  </si>
  <si>
    <t>26.52</t>
  </si>
  <si>
    <t>03:25:13</t>
  </si>
  <si>
    <t>-0.336</t>
  </si>
  <si>
    <t>-0.691</t>
  </si>
  <si>
    <t>2.530520</t>
  </si>
  <si>
    <t>2.469594</t>
  </si>
  <si>
    <t>1.671485</t>
  </si>
  <si>
    <t>0.928873</t>
  </si>
  <si>
    <t>0.218942</t>
  </si>
  <si>
    <t>-0.014709</t>
  </si>
  <si>
    <t>0.396998</t>
  </si>
  <si>
    <t>0.262929</t>
  </si>
  <si>
    <t>46</t>
  </si>
  <si>
    <t>12:27:07</t>
  </si>
  <si>
    <t>046</t>
  </si>
  <si>
    <t>2.995352</t>
  </si>
  <si>
    <t>2.962600</t>
  </si>
  <si>
    <t>29.450178</t>
  </si>
  <si>
    <t>29.775757</t>
  </si>
  <si>
    <t>PSF-01106_20260829122707_976</t>
  </si>
  <si>
    <t>120.415451</t>
  </si>
  <si>
    <t>462.637787</t>
  </si>
  <si>
    <t>0.739720</t>
  </si>
  <si>
    <t>68.27</t>
  </si>
  <si>
    <t>67.53</t>
  </si>
  <si>
    <t>30.51</t>
  </si>
  <si>
    <t>144.4</t>
  </si>
  <si>
    <t>7.5</t>
  </si>
  <si>
    <t>190</t>
  </si>
  <si>
    <t>21.12</t>
  </si>
  <si>
    <t>93.28</t>
  </si>
  <si>
    <t>12.16</t>
  </si>
  <si>
    <t>-55.47</t>
  </si>
  <si>
    <t>176.40</t>
  </si>
  <si>
    <t>26.51</t>
  </si>
  <si>
    <t>03:26:15</t>
  </si>
  <si>
    <t>35.850174</t>
  </si>
  <si>
    <t>127.129707</t>
  </si>
  <si>
    <t>-0.114</t>
  </si>
  <si>
    <t>2.528139</t>
  </si>
  <si>
    <t>2.466958</t>
  </si>
  <si>
    <t>1.671518</t>
  </si>
  <si>
    <t>0.914487</t>
  </si>
  <si>
    <t>0.219193</t>
  </si>
  <si>
    <t>-0.011021</t>
  </si>
  <si>
    <t>0.403015</t>
  </si>
  <si>
    <t>0.273115</t>
  </si>
  <si>
    <t>0.000358</t>
  </si>
  <si>
    <t>47</t>
  </si>
  <si>
    <t>12:27:41</t>
  </si>
  <si>
    <t>047</t>
  </si>
  <si>
    <t>3.070127</t>
  </si>
  <si>
    <t>3.017238</t>
  </si>
  <si>
    <t>29.993689</t>
  </si>
  <si>
    <t>30.519447</t>
  </si>
  <si>
    <t>PSF-01106_20260829122741_206</t>
  </si>
  <si>
    <t>115.327835</t>
  </si>
  <si>
    <t>451.248047</t>
  </si>
  <si>
    <t>0.744425</t>
  </si>
  <si>
    <t>70.02</t>
  </si>
  <si>
    <t>30.50</t>
  </si>
  <si>
    <t>154.7</t>
  </si>
  <si>
    <t>0.8</t>
  </si>
  <si>
    <t>166</t>
  </si>
  <si>
    <t>3.387</t>
  </si>
  <si>
    <t>114</t>
  </si>
  <si>
    <t>20.39</t>
  </si>
  <si>
    <t>93.73</t>
  </si>
  <si>
    <t>-54.55</t>
  </si>
  <si>
    <t>03:26:49</t>
  </si>
  <si>
    <t>35.850151</t>
  </si>
  <si>
    <t>127.129692</t>
  </si>
  <si>
    <t>33.500000</t>
  </si>
  <si>
    <t>-0.019</t>
  </si>
  <si>
    <t>-0.049</t>
  </si>
  <si>
    <t>2.529900</t>
  </si>
  <si>
    <t>2.469166</t>
  </si>
  <si>
    <t>1.670120</t>
  </si>
  <si>
    <t>0.940811</t>
  </si>
  <si>
    <t>0.219278</t>
  </si>
  <si>
    <t>-0.013337</t>
  </si>
  <si>
    <t>0.406341</t>
  </si>
  <si>
    <t>0.251730</t>
  </si>
  <si>
    <t>48</t>
  </si>
  <si>
    <t>12:28:07</t>
  </si>
  <si>
    <t>048</t>
  </si>
  <si>
    <t>3.099452</t>
  </si>
  <si>
    <t>3.038582</t>
  </si>
  <si>
    <t>30.203838</t>
  </si>
  <si>
    <t>30.808895</t>
  </si>
  <si>
    <t>PSF-01106_20260829122807_289</t>
  </si>
  <si>
    <t>119.358658</t>
  </si>
  <si>
    <t>487.760071</t>
  </si>
  <si>
    <t>0.755292</t>
  </si>
  <si>
    <t>70.72</t>
  </si>
  <si>
    <t>69.33</t>
  </si>
  <si>
    <t>30.49</t>
  </si>
  <si>
    <t>29.29</t>
  </si>
  <si>
    <t>1.9</t>
  </si>
  <si>
    <t>3.386</t>
  </si>
  <si>
    <t>-2</t>
  </si>
  <si>
    <t>93</t>
  </si>
  <si>
    <t>28.75</t>
  </si>
  <si>
    <t>87.68</t>
  </si>
  <si>
    <t>8.24</t>
  </si>
  <si>
    <t>-101.09</t>
  </si>
  <si>
    <t>176.95</t>
  </si>
  <si>
    <t>26.50</t>
  </si>
  <si>
    <t>03:27:14</t>
  </si>
  <si>
    <t>127.129700</t>
  </si>
  <si>
    <t>33.299999</t>
  </si>
  <si>
    <t>0.153</t>
  </si>
  <si>
    <t>0.451</t>
  </si>
  <si>
    <t>2.530609</t>
  </si>
  <si>
    <t>2.470052</t>
  </si>
  <si>
    <t>1.669869</t>
  </si>
  <si>
    <t>0.936466</t>
  </si>
  <si>
    <t>0.219342</t>
  </si>
  <si>
    <t>-0.013959</t>
  </si>
  <si>
    <t>0.408886</t>
  </si>
  <si>
    <t>0.251475</t>
  </si>
  <si>
    <t>49</t>
  </si>
  <si>
    <t>12:28:45</t>
  </si>
  <si>
    <t>049</t>
  </si>
  <si>
    <t>3.053619</t>
  </si>
  <si>
    <t>3.015398</t>
  </si>
  <si>
    <t>29.971828</t>
  </si>
  <si>
    <t>30.351725</t>
  </si>
  <si>
    <t>PSF-01106_20260829122845_db8</t>
  </si>
  <si>
    <t>113.995674</t>
  </si>
  <si>
    <t>473.495728</t>
  </si>
  <si>
    <t>0.759247</t>
  </si>
  <si>
    <t>29.61</t>
  </si>
  <si>
    <t>133</t>
  </si>
  <si>
    <t>3.385</t>
  </si>
  <si>
    <t>99</t>
  </si>
  <si>
    <t>28.32</t>
  </si>
  <si>
    <t>88.03</t>
  </si>
  <si>
    <t>-78.08</t>
  </si>
  <si>
    <t>03:27:52</t>
  </si>
  <si>
    <t>32.900002</t>
  </si>
  <si>
    <t>0.043</t>
  </si>
  <si>
    <t>-0.094</t>
  </si>
  <si>
    <t>2.529903</t>
  </si>
  <si>
    <t>2.468745</t>
  </si>
  <si>
    <t>1.670518</t>
  </si>
  <si>
    <t>0.934317</t>
  </si>
  <si>
    <t>0.219370</t>
  </si>
  <si>
    <t>-0.010007</t>
  </si>
  <si>
    <t>0.412598</t>
  </si>
  <si>
    <t>0.223308</t>
  </si>
  <si>
    <t>50</t>
  </si>
  <si>
    <t>12:29:38</t>
  </si>
  <si>
    <t>050</t>
  </si>
  <si>
    <t>3.096884</t>
  </si>
  <si>
    <t>3.036986</t>
  </si>
  <si>
    <t>30.187153</t>
  </si>
  <si>
    <t>30.782530</t>
  </si>
  <si>
    <t>PSF-01106_20260829122938_2e6</t>
  </si>
  <si>
    <t>142.147781</t>
  </si>
  <si>
    <t>530.692932</t>
  </si>
  <si>
    <t>0.732147</t>
  </si>
  <si>
    <t>70.68</t>
  </si>
  <si>
    <t>69.32</t>
  </si>
  <si>
    <t>29.26</t>
  </si>
  <si>
    <t>161</t>
  </si>
  <si>
    <t>22.26</t>
  </si>
  <si>
    <t>92.55</t>
  </si>
  <si>
    <t>5.00</t>
  </si>
  <si>
    <t>27.00</t>
  </si>
  <si>
    <t>177.50</t>
  </si>
  <si>
    <t>26.49</t>
  </si>
  <si>
    <t>03:28:45</t>
  </si>
  <si>
    <t>0.085</t>
  </si>
  <si>
    <t>0.050</t>
  </si>
  <si>
    <t>0.457</t>
  </si>
  <si>
    <t>2.530596</t>
  </si>
  <si>
    <t>2.470013</t>
  </si>
  <si>
    <t>1.670126</t>
  </si>
  <si>
    <t>0.939030</t>
  </si>
  <si>
    <t>0.219399</t>
  </si>
  <si>
    <t>-0.014248</t>
  </si>
  <si>
    <t>0.417901</t>
  </si>
  <si>
    <t>0.247261</t>
  </si>
  <si>
    <t>51</t>
  </si>
  <si>
    <t>12:30:04</t>
  </si>
  <si>
    <t>051</t>
  </si>
  <si>
    <t>3.050456</t>
  </si>
  <si>
    <t>2.993237</t>
  </si>
  <si>
    <t>29.752884</t>
  </si>
  <si>
    <t>30.321642</t>
  </si>
  <si>
    <t>PSF-01106_20260829123004_c68</t>
  </si>
  <si>
    <t>114.637611</t>
  </si>
  <si>
    <t>477.832306</t>
  </si>
  <si>
    <t>0.760088</t>
  </si>
  <si>
    <t>69.66</t>
  </si>
  <si>
    <t>68.35</t>
  </si>
  <si>
    <t>30.48</t>
  </si>
  <si>
    <t>153.2</t>
  </si>
  <si>
    <t>163</t>
  </si>
  <si>
    <t>3.383</t>
  </si>
  <si>
    <t>100</t>
  </si>
  <si>
    <t>31.93</t>
  </si>
  <si>
    <t>84.87</t>
  </si>
  <si>
    <t>-85.33</t>
  </si>
  <si>
    <t>178.06</t>
  </si>
  <si>
    <t>26.48</t>
  </si>
  <si>
    <t>03:29:11</t>
  </si>
  <si>
    <t>32.400002</t>
  </si>
  <si>
    <t>-0.347</t>
  </si>
  <si>
    <t>-0.663</t>
  </si>
  <si>
    <t>2.529271</t>
  </si>
  <si>
    <t>2.468711</t>
  </si>
  <si>
    <t>1.672016</t>
  </si>
  <si>
    <t>0.936815</t>
  </si>
  <si>
    <t>0.219464</t>
  </si>
  <si>
    <t>-0.015292</t>
  </si>
  <si>
    <t>0.420288</t>
  </si>
  <si>
    <t>0.249209</t>
  </si>
  <si>
    <t>52</t>
  </si>
  <si>
    <t>12:30:34</t>
  </si>
  <si>
    <t>052</t>
  </si>
  <si>
    <t>3.055705</t>
  </si>
  <si>
    <t>2.987684</t>
  </si>
  <si>
    <t>29.695841</t>
  </si>
  <si>
    <t>30.371935</t>
  </si>
  <si>
    <t>PSF-01106_20260829123034_8cf</t>
  </si>
  <si>
    <t>110.718010</t>
  </si>
  <si>
    <t>475.233429</t>
  </si>
  <si>
    <t>0.767024</t>
  </si>
  <si>
    <t>68.28</t>
  </si>
  <si>
    <t>30.47</t>
  </si>
  <si>
    <t>148</t>
  </si>
  <si>
    <t>3.382</t>
  </si>
  <si>
    <t>110</t>
  </si>
  <si>
    <t>23.89</t>
  </si>
  <si>
    <t>91.43</t>
  </si>
  <si>
    <t>25.46</t>
  </si>
  <si>
    <t>-58.30</t>
  </si>
  <si>
    <t>03:29:41</t>
  </si>
  <si>
    <t>32.200001</t>
  </si>
  <si>
    <t>0.066</t>
  </si>
  <si>
    <t>-0.075</t>
  </si>
  <si>
    <t>2.529179</t>
  </si>
  <si>
    <t>2.468940</t>
  </si>
  <si>
    <t>1.672084</t>
  </si>
  <si>
    <t>0.939204</t>
  </si>
  <si>
    <t>0.219592</t>
  </si>
  <si>
    <t>-0.017099</t>
  </si>
  <si>
    <t>0.423110</t>
  </si>
  <si>
    <t>0.236282</t>
  </si>
  <si>
    <t>53</t>
  </si>
  <si>
    <t>12:31:36</t>
  </si>
  <si>
    <t>053</t>
  </si>
  <si>
    <t>3.105645</t>
  </si>
  <si>
    <t>3.051497</t>
  </si>
  <si>
    <t>30.330559</t>
  </si>
  <si>
    <t>30.868773</t>
  </si>
  <si>
    <t>PSF-01106_20260829123136_e11</t>
  </si>
  <si>
    <t>114.282486</t>
  </si>
  <si>
    <t>468.104492</t>
  </si>
  <si>
    <t>0.755861</t>
  </si>
  <si>
    <t>71.04</t>
  </si>
  <si>
    <t>30.45</t>
  </si>
  <si>
    <t>151.7</t>
  </si>
  <si>
    <t>3.380</t>
  </si>
  <si>
    <t>112</t>
  </si>
  <si>
    <t>21.51</t>
  </si>
  <si>
    <t>93.03</t>
  </si>
  <si>
    <t>19.40</t>
  </si>
  <si>
    <t>-55.88</t>
  </si>
  <si>
    <t>178.61</t>
  </si>
  <si>
    <t>26.47</t>
  </si>
  <si>
    <t>03:30:43</t>
  </si>
  <si>
    <t>35.850239</t>
  </si>
  <si>
    <t>127.129662</t>
  </si>
  <si>
    <t>32.099998</t>
  </si>
  <si>
    <t>-0.069</t>
  </si>
  <si>
    <t>-0.173</t>
  </si>
  <si>
    <t>-0.299</t>
  </si>
  <si>
    <t>2.531270</t>
  </si>
  <si>
    <t>2.470472</t>
  </si>
  <si>
    <t>1.670613</t>
  </si>
  <si>
    <t>0.933088</t>
  </si>
  <si>
    <t>0.219734</t>
  </si>
  <si>
    <t>-0.013390</t>
  </si>
  <si>
    <t>0.429031</t>
  </si>
  <si>
    <t>0.239881</t>
  </si>
  <si>
    <t>54</t>
  </si>
  <si>
    <t>12:32:11</t>
  </si>
  <si>
    <t>054</t>
  </si>
  <si>
    <t>3.085312</t>
  </si>
  <si>
    <t>3.052058</t>
  </si>
  <si>
    <t>30.337111</t>
  </si>
  <si>
    <t>30.667656</t>
  </si>
  <si>
    <t>PSF-01106_20260829123211_77b</t>
  </si>
  <si>
    <t>114.288567</t>
  </si>
  <si>
    <t>466.650726</t>
  </si>
  <si>
    <t>0.755088</t>
  </si>
  <si>
    <t>70.60</t>
  </si>
  <si>
    <t>69.84</t>
  </si>
  <si>
    <t>30.44</t>
  </si>
  <si>
    <t>29.43</t>
  </si>
  <si>
    <t>-33</t>
  </si>
  <si>
    <t>25.30</t>
  </si>
  <si>
    <t>90.41</t>
  </si>
  <si>
    <t>33.12</t>
  </si>
  <si>
    <t>-51.50</t>
  </si>
  <si>
    <t>179.16</t>
  </si>
  <si>
    <t>03:31:19</t>
  </si>
  <si>
    <t>32.000000</t>
  </si>
  <si>
    <t>-0.147</t>
  </si>
  <si>
    <t>-0.258</t>
  </si>
  <si>
    <t>-0.549</t>
  </si>
  <si>
    <t>2.531323</t>
  </si>
  <si>
    <t>2.469916</t>
  </si>
  <si>
    <t>1.670960</t>
  </si>
  <si>
    <t>0.938527</t>
  </si>
  <si>
    <t>0.219788</t>
  </si>
  <si>
    <t>-0.011539</t>
  </si>
  <si>
    <t>0.432395</t>
  </si>
  <si>
    <t>0.222661</t>
  </si>
  <si>
    <t>0.000355</t>
  </si>
  <si>
    <t>gsw_corrected</t>
  </si>
  <si>
    <t>보정gsw</t>
    <phoneticPr fontId="1" type="noConversion"/>
  </si>
  <si>
    <t>침수ETc50</t>
    <phoneticPr fontId="1" type="noConversion"/>
  </si>
  <si>
    <t>평균gsw</t>
    <phoneticPr fontId="1" type="noConversion"/>
  </si>
  <si>
    <t>처리</t>
    <phoneticPr fontId="1" type="noConversion"/>
  </si>
  <si>
    <t>처리_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</si>
</sst>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0" fontId="0" fillId="0" borderId="0" xfId="0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Selected_Data!$E$1</c:f>
              <c:strCache>
                <c:ptCount val="1"/>
                <c:pt idx="0">
                  <c:v>보정gsw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Selected_Data!$B$2:$B$55</c:f>
              <c:numCache>
                <c:formatCode>General</c:formatCode>
                <c:ptCount val="5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</c:numCache>
            </c:numRef>
          </c:xVal>
          <c:yVal>
            <c:numRef>
              <c:f>Selected_Data!$E$2:$E$55</c:f>
              <c:numCache>
                <c:formatCode>General</c:formatCode>
                <c:ptCount val="54"/>
                <c:pt idx="0">
                  <c:v>0.23312231538327161</c:v>
                </c:pt>
                <c:pt idx="1">
                  <c:v>0.36139813392642678</c:v>
                </c:pt>
                <c:pt idx="2">
                  <c:v>0.28613612493252572</c:v>
                </c:pt>
                <c:pt idx="3">
                  <c:v>0.2349319426016479</c:v>
                </c:pt>
                <c:pt idx="4">
                  <c:v>0.23594898095858469</c:v>
                </c:pt>
                <c:pt idx="5">
                  <c:v>0.21423415540906501</c:v>
                </c:pt>
                <c:pt idx="6">
                  <c:v>0.24238028886147889</c:v>
                </c:pt>
                <c:pt idx="7">
                  <c:v>0.2490556486880901</c:v>
                </c:pt>
                <c:pt idx="8">
                  <c:v>0.27482078070964922</c:v>
                </c:pt>
                <c:pt idx="9">
                  <c:v>0.25514439357906332</c:v>
                </c:pt>
                <c:pt idx="10">
                  <c:v>0.20694787577260729</c:v>
                </c:pt>
                <c:pt idx="11">
                  <c:v>0.27371681243552881</c:v>
                </c:pt>
                <c:pt idx="12">
                  <c:v>0.20768680206339629</c:v>
                </c:pt>
                <c:pt idx="13">
                  <c:v>0.29231010234954441</c:v>
                </c:pt>
                <c:pt idx="14">
                  <c:v>0.17048198681481591</c:v>
                </c:pt>
                <c:pt idx="15">
                  <c:v>0.25231355910005399</c:v>
                </c:pt>
                <c:pt idx="16">
                  <c:v>0.19030734127938659</c:v>
                </c:pt>
                <c:pt idx="17">
                  <c:v>0.17036104113339451</c:v>
                </c:pt>
                <c:pt idx="18">
                  <c:v>0.31338401036389368</c:v>
                </c:pt>
                <c:pt idx="19">
                  <c:v>0.19019803015096121</c:v>
                </c:pt>
                <c:pt idx="20">
                  <c:v>0.26785743619194702</c:v>
                </c:pt>
                <c:pt idx="21">
                  <c:v>0.17137386931501161</c:v>
                </c:pt>
                <c:pt idx="22">
                  <c:v>0.1887929774579544</c:v>
                </c:pt>
                <c:pt idx="23">
                  <c:v>0.21945295622755959</c:v>
                </c:pt>
                <c:pt idx="24">
                  <c:v>0.17230493022088189</c:v>
                </c:pt>
                <c:pt idx="25">
                  <c:v>0.1975960345168061</c:v>
                </c:pt>
                <c:pt idx="26">
                  <c:v>0.1469540211935742</c:v>
                </c:pt>
                <c:pt idx="27">
                  <c:v>0.1004004740407072</c:v>
                </c:pt>
                <c:pt idx="28">
                  <c:v>7.3102497336936023E-2</c:v>
                </c:pt>
                <c:pt idx="29">
                  <c:v>4.8630267143168787E-2</c:v>
                </c:pt>
                <c:pt idx="31">
                  <c:v>9.6941026330693292E-2</c:v>
                </c:pt>
                <c:pt idx="32">
                  <c:v>4.0952170526774981E-2</c:v>
                </c:pt>
                <c:pt idx="33">
                  <c:v>3.3546955059384889E-2</c:v>
                </c:pt>
                <c:pt idx="34">
                  <c:v>6.9972693607340111E-2</c:v>
                </c:pt>
                <c:pt idx="35">
                  <c:v>0.1578095068872889</c:v>
                </c:pt>
                <c:pt idx="36">
                  <c:v>0.21419697117900779</c:v>
                </c:pt>
                <c:pt idx="37">
                  <c:v>0.28852716268149742</c:v>
                </c:pt>
                <c:pt idx="38">
                  <c:v>0.21339867979250321</c:v>
                </c:pt>
                <c:pt idx="39">
                  <c:v>0.22128946971517419</c:v>
                </c:pt>
                <c:pt idx="40">
                  <c:v>0.26775752043157253</c:v>
                </c:pt>
                <c:pt idx="41">
                  <c:v>0.2178929337014277</c:v>
                </c:pt>
                <c:pt idx="42">
                  <c:v>0.20419574838783569</c:v>
                </c:pt>
                <c:pt idx="43">
                  <c:v>0.2153412976865737</c:v>
                </c:pt>
                <c:pt idx="44">
                  <c:v>0.16709412094648601</c:v>
                </c:pt>
                <c:pt idx="45">
                  <c:v>9.9349594628848875E-2</c:v>
                </c:pt>
                <c:pt idx="46">
                  <c:v>0.1770664347758594</c:v>
                </c:pt>
                <c:pt idx="47">
                  <c:v>0.20987707674804279</c:v>
                </c:pt>
                <c:pt idx="48">
                  <c:v>0.1203913456684364</c:v>
                </c:pt>
                <c:pt idx="49">
                  <c:v>0.20666667668245381</c:v>
                </c:pt>
                <c:pt idx="50">
                  <c:v>0.19557059142353539</c:v>
                </c:pt>
                <c:pt idx="51">
                  <c:v>0.23847246644289161</c:v>
                </c:pt>
                <c:pt idx="52">
                  <c:v>0.1893785244186898</c:v>
                </c:pt>
                <c:pt idx="53">
                  <c:v>0.11261241886978079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F-460C-86DA-01DC3223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448384"/>
        <c:axId val="1358449824"/>
      </c:scatterChart>
      <c:valAx>
        <c:axId val="135844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8449824"/>
        <c:crosses val="autoZero"/>
        <c:crossBetween val="midCat"/>
      </c:valAx>
      <c:valAx>
        <c:axId val="13584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844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7</xdr:row>
      <xdr:rowOff>143827</xdr:rowOff>
    </xdr:from>
    <xdr:to>
      <xdr:col>18</xdr:col>
      <xdr:colOff>297180</xdr:colOff>
      <xdr:row>18</xdr:row>
      <xdr:rowOff>168592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B433D88-9B5A-2F03-828B-40D2F9E04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57"/>
  <sheetViews>
    <sheetView workbookViewId="0">
      <selection activeCell="J53" sqref="J53"/>
    </sheetView>
  </sheetViews>
  <sheetFormatPr defaultRowHeight="19.2" x14ac:dyDescent="0.45"/>
  <cols>
    <col min="8" max="8" width="10.1796875" bestFit="1" customWidth="1"/>
  </cols>
  <sheetData>
    <row r="1" spans="1:124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H4" t="s">
        <v>164</v>
      </c>
      <c r="I4" t="s">
        <v>165</v>
      </c>
      <c r="J4">
        <f t="shared" ref="J4:J35" si="0">1/((1/L4)-(1/K4))</f>
        <v>0.26401277465756007</v>
      </c>
      <c r="K4">
        <f t="shared" ref="K4:K35" si="1">BY4+(BZ4*AN4)+(CA4*AN4*POWER(V4,2))+(CB4*AN4*V4)+(CC4*POWER(AN4,2))</f>
        <v>2.9058327199999998</v>
      </c>
      <c r="L4">
        <f t="shared" ref="L4:L35" si="2">((M4/1000)*(1000-((T4+S4)/2)))/(T4-S4)</f>
        <v>0.24202345520970042</v>
      </c>
      <c r="M4">
        <f t="shared" ref="M4:M35" si="3">(AN4*(S4-R4))/(100*U4*(1000-S4))*1000</f>
        <v>2.4267289249666355</v>
      </c>
      <c r="N4" t="s">
        <v>166</v>
      </c>
      <c r="O4" t="s">
        <v>167</v>
      </c>
      <c r="P4">
        <f t="shared" ref="P4:P35" si="4">0.61365*EXP((17.502*AL4)/(240.97+AL4))</f>
        <v>4.0287597134286015</v>
      </c>
      <c r="Q4">
        <f t="shared" ref="Q4:Q35" si="5">P4-N4</f>
        <v>0.9731427134286017</v>
      </c>
      <c r="R4" t="s">
        <v>168</v>
      </c>
      <c r="S4" t="s">
        <v>169</v>
      </c>
      <c r="T4">
        <f t="shared" ref="T4:T35" si="6">(P4/AM4)*1000</f>
        <v>40.051294496755162</v>
      </c>
      <c r="U4">
        <f t="shared" ref="U4:U35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35" si="8">AC4*AD4*AE4*AQ4</f>
        <v>84.563204040000002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35" si="9">(AK4-AJ4)*(AJ4*0+0)+AK4</f>
        <v>29.03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X4" t="s">
        <v>192</v>
      </c>
      <c r="AY4" t="s">
        <v>193</v>
      </c>
      <c r="BC4" t="s">
        <v>194</v>
      </c>
      <c r="BD4" t="s">
        <v>195</v>
      </c>
      <c r="BE4" t="s">
        <v>196</v>
      </c>
      <c r="BF4" t="s">
        <v>197</v>
      </c>
      <c r="BG4" t="s">
        <v>198</v>
      </c>
      <c r="BH4" t="s">
        <v>199</v>
      </c>
      <c r="BI4" t="s">
        <v>200</v>
      </c>
      <c r="BJ4" t="s">
        <v>201</v>
      </c>
      <c r="BK4" t="s">
        <v>161</v>
      </c>
      <c r="BL4" t="s">
        <v>202</v>
      </c>
      <c r="BM4" t="s">
        <v>159</v>
      </c>
      <c r="BN4" t="s">
        <v>203</v>
      </c>
      <c r="BO4" t="s">
        <v>203</v>
      </c>
      <c r="BP4" t="s">
        <v>204</v>
      </c>
      <c r="BQ4" t="s">
        <v>205</v>
      </c>
      <c r="BR4" t="s">
        <v>206</v>
      </c>
      <c r="BS4" t="s">
        <v>207</v>
      </c>
      <c r="BT4" t="s">
        <v>159</v>
      </c>
      <c r="BU4" t="s">
        <v>208</v>
      </c>
      <c r="BV4" t="s">
        <v>209</v>
      </c>
      <c r="BW4" t="s">
        <v>210</v>
      </c>
      <c r="BX4" t="s">
        <v>211</v>
      </c>
      <c r="BY4" t="s">
        <v>172</v>
      </c>
      <c r="BZ4" t="s">
        <v>212</v>
      </c>
      <c r="CA4" t="s">
        <v>172</v>
      </c>
      <c r="CB4" t="s">
        <v>172</v>
      </c>
      <c r="CC4" t="s">
        <v>213</v>
      </c>
      <c r="CD4" t="s">
        <v>214</v>
      </c>
      <c r="CE4" t="s">
        <v>215</v>
      </c>
      <c r="CF4" t="s">
        <v>216</v>
      </c>
      <c r="CG4" t="s">
        <v>217</v>
      </c>
      <c r="CH4" t="s">
        <v>218</v>
      </c>
      <c r="CI4" t="s">
        <v>178</v>
      </c>
      <c r="CJ4" t="s">
        <v>210</v>
      </c>
      <c r="CK4" t="s">
        <v>219</v>
      </c>
      <c r="CL4" t="s">
        <v>219</v>
      </c>
      <c r="CM4" t="s">
        <v>219</v>
      </c>
      <c r="CN4" t="s">
        <v>172</v>
      </c>
      <c r="CO4" t="s">
        <v>220</v>
      </c>
      <c r="CP4" t="s">
        <v>172</v>
      </c>
      <c r="CQ4" t="s">
        <v>172</v>
      </c>
      <c r="CR4" t="s">
        <v>172</v>
      </c>
      <c r="CS4" t="s">
        <v>172</v>
      </c>
      <c r="CT4" t="s">
        <v>221</v>
      </c>
      <c r="CU4" t="s">
        <v>222</v>
      </c>
      <c r="CV4" t="s">
        <v>223</v>
      </c>
      <c r="CW4" t="s">
        <v>224</v>
      </c>
      <c r="CX4" t="s">
        <v>225</v>
      </c>
      <c r="CY4" t="s">
        <v>226</v>
      </c>
      <c r="CZ4" t="s">
        <v>227</v>
      </c>
      <c r="DA4" t="s">
        <v>228</v>
      </c>
      <c r="DB4" t="s">
        <v>173</v>
      </c>
      <c r="DC4" t="s">
        <v>229</v>
      </c>
      <c r="DD4" t="s">
        <v>230</v>
      </c>
      <c r="DE4" t="s">
        <v>231</v>
      </c>
      <c r="DF4" t="s">
        <v>178</v>
      </c>
      <c r="DG4" t="s">
        <v>232</v>
      </c>
      <c r="DH4" t="s">
        <v>233</v>
      </c>
      <c r="DI4" t="s">
        <v>178</v>
      </c>
      <c r="DJ4" t="s">
        <v>234</v>
      </c>
      <c r="DK4" t="s">
        <v>235</v>
      </c>
      <c r="DL4" t="s">
        <v>236</v>
      </c>
      <c r="DM4" t="s">
        <v>172</v>
      </c>
      <c r="DN4" t="s">
        <v>171</v>
      </c>
      <c r="DO4" t="s">
        <v>237</v>
      </c>
      <c r="DP4" t="s">
        <v>238</v>
      </c>
      <c r="DQ4" t="s">
        <v>239</v>
      </c>
      <c r="DR4" t="s">
        <v>240</v>
      </c>
      <c r="DS4" t="s">
        <v>241</v>
      </c>
      <c r="DT4" t="s">
        <v>242</v>
      </c>
    </row>
    <row r="5" spans="1:124" x14ac:dyDescent="0.45">
      <c r="A5" t="s">
        <v>190</v>
      </c>
      <c r="B5" t="s">
        <v>243</v>
      </c>
      <c r="C5" t="s">
        <v>161</v>
      </c>
      <c r="D5" t="s">
        <v>162</v>
      </c>
      <c r="E5" t="s">
        <v>163</v>
      </c>
      <c r="H5" t="s">
        <v>164</v>
      </c>
      <c r="I5" t="s">
        <v>244</v>
      </c>
      <c r="J5">
        <f t="shared" si="0"/>
        <v>0.45270705378652348</v>
      </c>
      <c r="K5">
        <f t="shared" si="1"/>
        <v>2.9058327199999998</v>
      </c>
      <c r="L5">
        <f t="shared" si="2"/>
        <v>0.39168539248369655</v>
      </c>
      <c r="M5">
        <f t="shared" si="3"/>
        <v>3.5354782887941134</v>
      </c>
      <c r="N5" t="s">
        <v>245</v>
      </c>
      <c r="O5" t="s">
        <v>246</v>
      </c>
      <c r="P5">
        <f t="shared" si="4"/>
        <v>4.0287597134286015</v>
      </c>
      <c r="Q5">
        <f t="shared" si="5"/>
        <v>0.87567871342860171</v>
      </c>
      <c r="R5" t="s">
        <v>247</v>
      </c>
      <c r="S5" t="s">
        <v>248</v>
      </c>
      <c r="T5">
        <f t="shared" si="6"/>
        <v>40.043332804180515</v>
      </c>
      <c r="U5">
        <f t="shared" si="7"/>
        <v>0.4417875</v>
      </c>
      <c r="V5" t="s">
        <v>170</v>
      </c>
      <c r="W5" t="s">
        <v>249</v>
      </c>
      <c r="X5" t="s">
        <v>172</v>
      </c>
      <c r="Y5" t="s">
        <v>172</v>
      </c>
      <c r="Z5" t="s">
        <v>172</v>
      </c>
      <c r="AA5" t="s">
        <v>250</v>
      </c>
      <c r="AB5" t="s">
        <v>251</v>
      </c>
      <c r="AC5" t="s">
        <v>252</v>
      </c>
      <c r="AD5" t="s">
        <v>176</v>
      </c>
      <c r="AE5" t="s">
        <v>177</v>
      </c>
      <c r="AF5">
        <f t="shared" si="8"/>
        <v>60.839975279999997</v>
      </c>
      <c r="AG5" t="s">
        <v>178</v>
      </c>
      <c r="AH5" t="s">
        <v>253</v>
      </c>
      <c r="AI5" t="s">
        <v>254</v>
      </c>
      <c r="AJ5" t="s">
        <v>255</v>
      </c>
      <c r="AK5" t="s">
        <v>182</v>
      </c>
      <c r="AL5">
        <f t="shared" si="9"/>
        <v>29.03</v>
      </c>
      <c r="AM5" t="s">
        <v>256</v>
      </c>
      <c r="AN5" t="s">
        <v>184</v>
      </c>
      <c r="AO5" t="s">
        <v>257</v>
      </c>
      <c r="AP5" t="s">
        <v>258</v>
      </c>
      <c r="AQ5" t="s">
        <v>259</v>
      </c>
      <c r="AR5" t="s">
        <v>260</v>
      </c>
      <c r="AS5" t="s">
        <v>261</v>
      </c>
      <c r="AT5" t="s">
        <v>262</v>
      </c>
      <c r="AU5" t="s">
        <v>263</v>
      </c>
      <c r="AV5" t="s">
        <v>264</v>
      </c>
      <c r="AW5" t="s">
        <v>265</v>
      </c>
      <c r="AX5" t="s">
        <v>266</v>
      </c>
      <c r="AY5" t="s">
        <v>267</v>
      </c>
      <c r="AZ5" t="s">
        <v>268</v>
      </c>
      <c r="BA5" t="s">
        <v>269</v>
      </c>
      <c r="BB5" t="s">
        <v>270</v>
      </c>
      <c r="BC5" t="s">
        <v>271</v>
      </c>
      <c r="BD5" t="s">
        <v>161</v>
      </c>
      <c r="BE5" t="s">
        <v>196</v>
      </c>
      <c r="BF5" t="s">
        <v>272</v>
      </c>
      <c r="BG5" t="s">
        <v>273</v>
      </c>
      <c r="BH5" t="s">
        <v>274</v>
      </c>
      <c r="BI5" t="s">
        <v>275</v>
      </c>
      <c r="BJ5" t="s">
        <v>201</v>
      </c>
      <c r="BK5" t="s">
        <v>161</v>
      </c>
      <c r="BL5" t="s">
        <v>202</v>
      </c>
      <c r="BM5" t="s">
        <v>159</v>
      </c>
      <c r="BN5" t="s">
        <v>276</v>
      </c>
      <c r="BO5" t="s">
        <v>277</v>
      </c>
      <c r="BP5" t="s">
        <v>278</v>
      </c>
      <c r="BQ5" t="s">
        <v>279</v>
      </c>
      <c r="BR5" t="s">
        <v>280</v>
      </c>
      <c r="BS5" t="s">
        <v>281</v>
      </c>
      <c r="BT5" t="s">
        <v>159</v>
      </c>
      <c r="BU5" t="s">
        <v>208</v>
      </c>
      <c r="BV5" t="s">
        <v>209</v>
      </c>
      <c r="BW5" t="s">
        <v>210</v>
      </c>
      <c r="BX5" t="s">
        <v>211</v>
      </c>
      <c r="BY5" t="s">
        <v>172</v>
      </c>
      <c r="BZ5" t="s">
        <v>212</v>
      </c>
      <c r="CA5" t="s">
        <v>172</v>
      </c>
      <c r="CB5" t="s">
        <v>172</v>
      </c>
      <c r="CC5" t="s">
        <v>213</v>
      </c>
      <c r="CD5" t="s">
        <v>214</v>
      </c>
      <c r="CE5" t="s">
        <v>215</v>
      </c>
      <c r="CF5" t="s">
        <v>216</v>
      </c>
      <c r="CG5" t="s">
        <v>217</v>
      </c>
      <c r="CH5" t="s">
        <v>218</v>
      </c>
      <c r="CI5" t="s">
        <v>178</v>
      </c>
      <c r="CJ5" t="s">
        <v>210</v>
      </c>
      <c r="CK5" t="s">
        <v>219</v>
      </c>
      <c r="CL5" t="s">
        <v>219</v>
      </c>
      <c r="CM5" t="s">
        <v>219</v>
      </c>
      <c r="CN5" t="s">
        <v>172</v>
      </c>
      <c r="CO5" t="s">
        <v>220</v>
      </c>
      <c r="CP5" t="s">
        <v>172</v>
      </c>
      <c r="CQ5" t="s">
        <v>172</v>
      </c>
      <c r="CR5" t="s">
        <v>172</v>
      </c>
      <c r="CS5" t="s">
        <v>172</v>
      </c>
      <c r="CT5" t="s">
        <v>282</v>
      </c>
      <c r="CU5" t="s">
        <v>283</v>
      </c>
      <c r="CV5" t="s">
        <v>284</v>
      </c>
      <c r="CW5" t="s">
        <v>285</v>
      </c>
      <c r="CX5" t="s">
        <v>286</v>
      </c>
      <c r="CY5" t="s">
        <v>287</v>
      </c>
      <c r="CZ5" t="s">
        <v>288</v>
      </c>
      <c r="DA5" t="s">
        <v>289</v>
      </c>
      <c r="DB5" t="s">
        <v>250</v>
      </c>
      <c r="DC5" t="s">
        <v>290</v>
      </c>
      <c r="DD5" t="s">
        <v>230</v>
      </c>
      <c r="DE5" t="s">
        <v>231</v>
      </c>
      <c r="DF5" t="s">
        <v>178</v>
      </c>
      <c r="DG5" t="s">
        <v>232</v>
      </c>
      <c r="DH5" t="s">
        <v>233</v>
      </c>
      <c r="DI5" t="s">
        <v>178</v>
      </c>
      <c r="DJ5" t="s">
        <v>234</v>
      </c>
      <c r="DK5" t="s">
        <v>235</v>
      </c>
      <c r="DL5" t="s">
        <v>236</v>
      </c>
      <c r="DM5" t="s">
        <v>172</v>
      </c>
      <c r="DN5" t="s">
        <v>249</v>
      </c>
      <c r="DO5" t="s">
        <v>237</v>
      </c>
      <c r="DP5" t="s">
        <v>238</v>
      </c>
      <c r="DQ5" t="s">
        <v>239</v>
      </c>
      <c r="DR5" t="s">
        <v>240</v>
      </c>
      <c r="DS5" t="s">
        <v>241</v>
      </c>
      <c r="DT5" t="s">
        <v>242</v>
      </c>
    </row>
    <row r="6" spans="1:124" x14ac:dyDescent="0.45">
      <c r="A6" t="s">
        <v>262</v>
      </c>
      <c r="B6" t="s">
        <v>291</v>
      </c>
      <c r="C6" t="s">
        <v>161</v>
      </c>
      <c r="D6" t="s">
        <v>162</v>
      </c>
      <c r="E6" t="s">
        <v>163</v>
      </c>
      <c r="H6" t="s">
        <v>164</v>
      </c>
      <c r="I6" t="s">
        <v>292</v>
      </c>
      <c r="J6">
        <f t="shared" si="0"/>
        <v>0.33798240695215714</v>
      </c>
      <c r="K6">
        <f t="shared" si="1"/>
        <v>2.9050319999999994</v>
      </c>
      <c r="L6">
        <f t="shared" si="2"/>
        <v>0.30275835516740701</v>
      </c>
      <c r="M6">
        <f t="shared" si="3"/>
        <v>2.8969503465693172</v>
      </c>
      <c r="N6" t="s">
        <v>293</v>
      </c>
      <c r="O6" t="s">
        <v>294</v>
      </c>
      <c r="P6">
        <f t="shared" si="4"/>
        <v>4.1134322640059997</v>
      </c>
      <c r="Q6">
        <f t="shared" si="5"/>
        <v>0.92786326400599961</v>
      </c>
      <c r="R6" t="s">
        <v>295</v>
      </c>
      <c r="S6" t="s">
        <v>296</v>
      </c>
      <c r="T6">
        <f t="shared" si="6"/>
        <v>40.884924599999998</v>
      </c>
      <c r="U6">
        <f t="shared" si="7"/>
        <v>0.4417875</v>
      </c>
      <c r="V6" t="s">
        <v>170</v>
      </c>
      <c r="W6" t="s">
        <v>297</v>
      </c>
      <c r="X6" t="s">
        <v>172</v>
      </c>
      <c r="Y6" t="s">
        <v>172</v>
      </c>
      <c r="Z6" t="s">
        <v>172</v>
      </c>
      <c r="AA6" t="s">
        <v>298</v>
      </c>
      <c r="AB6" t="s">
        <v>299</v>
      </c>
      <c r="AC6" t="s">
        <v>300</v>
      </c>
      <c r="AD6" t="s">
        <v>176</v>
      </c>
      <c r="AE6" t="s">
        <v>177</v>
      </c>
      <c r="AF6">
        <f t="shared" si="8"/>
        <v>40.718695919999995</v>
      </c>
      <c r="AG6" t="s">
        <v>178</v>
      </c>
      <c r="AH6" t="s">
        <v>301</v>
      </c>
      <c r="AI6" t="s">
        <v>302</v>
      </c>
      <c r="AJ6" t="s">
        <v>303</v>
      </c>
      <c r="AK6" t="s">
        <v>304</v>
      </c>
      <c r="AL6">
        <f t="shared" si="9"/>
        <v>29.39</v>
      </c>
      <c r="AM6" t="s">
        <v>256</v>
      </c>
      <c r="AN6" t="s">
        <v>305</v>
      </c>
      <c r="AO6" t="s">
        <v>306</v>
      </c>
      <c r="AP6" t="s">
        <v>258</v>
      </c>
      <c r="AQ6" t="s">
        <v>307</v>
      </c>
      <c r="AR6" t="s">
        <v>308</v>
      </c>
      <c r="AS6" t="s">
        <v>309</v>
      </c>
      <c r="AT6" t="s">
        <v>215</v>
      </c>
      <c r="AU6" t="s">
        <v>310</v>
      </c>
      <c r="AV6" t="s">
        <v>311</v>
      </c>
      <c r="AW6" t="s">
        <v>312</v>
      </c>
      <c r="AX6" t="s">
        <v>313</v>
      </c>
      <c r="AY6" t="s">
        <v>314</v>
      </c>
      <c r="AZ6" t="s">
        <v>268</v>
      </c>
      <c r="BA6" t="s">
        <v>315</v>
      </c>
      <c r="BB6" t="s">
        <v>316</v>
      </c>
      <c r="BC6" t="s">
        <v>317</v>
      </c>
      <c r="BD6" t="s">
        <v>161</v>
      </c>
      <c r="BE6" t="s">
        <v>318</v>
      </c>
      <c r="BF6" t="s">
        <v>197</v>
      </c>
      <c r="BG6" t="s">
        <v>319</v>
      </c>
      <c r="BH6" t="s">
        <v>274</v>
      </c>
      <c r="BI6" t="s">
        <v>320</v>
      </c>
      <c r="BJ6" t="s">
        <v>201</v>
      </c>
      <c r="BK6" t="s">
        <v>161</v>
      </c>
      <c r="BL6" t="s">
        <v>202</v>
      </c>
      <c r="BM6" t="s">
        <v>159</v>
      </c>
      <c r="BN6" t="s">
        <v>321</v>
      </c>
      <c r="BO6" t="s">
        <v>203</v>
      </c>
      <c r="BP6" t="s">
        <v>322</v>
      </c>
      <c r="BQ6" t="s">
        <v>323</v>
      </c>
      <c r="BR6" t="s">
        <v>322</v>
      </c>
      <c r="BS6" t="s">
        <v>324</v>
      </c>
      <c r="BT6" t="s">
        <v>159</v>
      </c>
      <c r="BU6" t="s">
        <v>208</v>
      </c>
      <c r="BV6" t="s">
        <v>209</v>
      </c>
      <c r="BW6" t="s">
        <v>210</v>
      </c>
      <c r="BX6" t="s">
        <v>211</v>
      </c>
      <c r="BY6" t="s">
        <v>172</v>
      </c>
      <c r="BZ6" t="s">
        <v>212</v>
      </c>
      <c r="CA6" t="s">
        <v>172</v>
      </c>
      <c r="CB6" t="s">
        <v>172</v>
      </c>
      <c r="CC6" t="s">
        <v>213</v>
      </c>
      <c r="CD6" t="s">
        <v>214</v>
      </c>
      <c r="CE6" t="s">
        <v>215</v>
      </c>
      <c r="CF6" t="s">
        <v>216</v>
      </c>
      <c r="CG6" t="s">
        <v>217</v>
      </c>
      <c r="CH6" t="s">
        <v>218</v>
      </c>
      <c r="CI6" t="s">
        <v>178</v>
      </c>
      <c r="CJ6" t="s">
        <v>210</v>
      </c>
      <c r="CK6" t="s">
        <v>219</v>
      </c>
      <c r="CL6" t="s">
        <v>219</v>
      </c>
      <c r="CM6" t="s">
        <v>219</v>
      </c>
      <c r="CN6" t="s">
        <v>172</v>
      </c>
      <c r="CO6" t="s">
        <v>220</v>
      </c>
      <c r="CP6" t="s">
        <v>172</v>
      </c>
      <c r="CQ6" t="s">
        <v>172</v>
      </c>
      <c r="CR6" t="s">
        <v>172</v>
      </c>
      <c r="CS6" t="s">
        <v>172</v>
      </c>
      <c r="CT6" t="s">
        <v>325</v>
      </c>
      <c r="CU6" t="s">
        <v>326</v>
      </c>
      <c r="CV6" t="s">
        <v>327</v>
      </c>
      <c r="CW6" t="s">
        <v>328</v>
      </c>
      <c r="CX6" t="s">
        <v>329</v>
      </c>
      <c r="CY6" t="s">
        <v>330</v>
      </c>
      <c r="CZ6" t="s">
        <v>331</v>
      </c>
      <c r="DA6" t="s">
        <v>332</v>
      </c>
      <c r="DB6" t="s">
        <v>298</v>
      </c>
      <c r="DC6" t="s">
        <v>333</v>
      </c>
      <c r="DD6" t="s">
        <v>230</v>
      </c>
      <c r="DE6" t="s">
        <v>231</v>
      </c>
      <c r="DF6" t="s">
        <v>178</v>
      </c>
      <c r="DG6" t="s">
        <v>232</v>
      </c>
      <c r="DH6" t="s">
        <v>233</v>
      </c>
      <c r="DI6" t="s">
        <v>178</v>
      </c>
      <c r="DJ6" t="s">
        <v>234</v>
      </c>
      <c r="DK6" t="s">
        <v>235</v>
      </c>
      <c r="DL6" t="s">
        <v>236</v>
      </c>
      <c r="DM6" t="s">
        <v>172</v>
      </c>
      <c r="DN6" t="s">
        <v>297</v>
      </c>
      <c r="DO6" t="s">
        <v>237</v>
      </c>
      <c r="DP6" t="s">
        <v>238</v>
      </c>
      <c r="DQ6" t="s">
        <v>239</v>
      </c>
      <c r="DR6" t="s">
        <v>240</v>
      </c>
      <c r="DS6" t="s">
        <v>241</v>
      </c>
      <c r="DT6" t="s">
        <v>242</v>
      </c>
    </row>
    <row r="7" spans="1:124" x14ac:dyDescent="0.45">
      <c r="A7" t="s">
        <v>334</v>
      </c>
      <c r="B7" t="s">
        <v>335</v>
      </c>
      <c r="C7" t="s">
        <v>161</v>
      </c>
      <c r="D7" t="s">
        <v>162</v>
      </c>
      <c r="E7" t="s">
        <v>163</v>
      </c>
      <c r="H7" t="s">
        <v>164</v>
      </c>
      <c r="I7" t="s">
        <v>336</v>
      </c>
      <c r="J7">
        <f t="shared" si="0"/>
        <v>0.26639911369298724</v>
      </c>
      <c r="K7">
        <f t="shared" si="1"/>
        <v>2.9050319999999994</v>
      </c>
      <c r="L7">
        <f t="shared" si="2"/>
        <v>0.24402168053040166</v>
      </c>
      <c r="M7">
        <f t="shared" si="3"/>
        <v>2.5455601005198742</v>
      </c>
      <c r="N7" t="s">
        <v>337</v>
      </c>
      <c r="O7" t="s">
        <v>338</v>
      </c>
      <c r="P7">
        <f t="shared" si="4"/>
        <v>4.15155975131644</v>
      </c>
      <c r="Q7">
        <f t="shared" si="5"/>
        <v>1.0113337513164398</v>
      </c>
      <c r="R7" t="s">
        <v>339</v>
      </c>
      <c r="S7" t="s">
        <v>340</v>
      </c>
      <c r="T7">
        <f t="shared" si="6"/>
        <v>41.267989575710146</v>
      </c>
      <c r="U7">
        <f t="shared" si="7"/>
        <v>0.4417875</v>
      </c>
      <c r="V7" t="s">
        <v>170</v>
      </c>
      <c r="W7" t="s">
        <v>341</v>
      </c>
      <c r="X7" t="s">
        <v>172</v>
      </c>
      <c r="Y7" t="s">
        <v>172</v>
      </c>
      <c r="Z7" t="s">
        <v>172</v>
      </c>
      <c r="AA7" t="s">
        <v>342</v>
      </c>
      <c r="AB7" t="s">
        <v>343</v>
      </c>
      <c r="AC7" t="s">
        <v>344</v>
      </c>
      <c r="AD7" t="s">
        <v>176</v>
      </c>
      <c r="AE7" t="s">
        <v>177</v>
      </c>
      <c r="AF7">
        <f t="shared" si="8"/>
        <v>42.768806640000001</v>
      </c>
      <c r="AG7" t="s">
        <v>178</v>
      </c>
      <c r="AH7" t="s">
        <v>345</v>
      </c>
      <c r="AI7" t="s">
        <v>346</v>
      </c>
      <c r="AJ7" t="s">
        <v>347</v>
      </c>
      <c r="AK7" t="s">
        <v>348</v>
      </c>
      <c r="AL7">
        <f t="shared" si="9"/>
        <v>29.55</v>
      </c>
      <c r="AM7" t="s">
        <v>349</v>
      </c>
      <c r="AN7" t="s">
        <v>305</v>
      </c>
      <c r="AO7" t="s">
        <v>350</v>
      </c>
      <c r="AP7" t="s">
        <v>351</v>
      </c>
      <c r="AQ7" t="s">
        <v>352</v>
      </c>
      <c r="AR7" t="s">
        <v>353</v>
      </c>
      <c r="AS7" t="s">
        <v>354</v>
      </c>
      <c r="AT7" t="s">
        <v>199</v>
      </c>
      <c r="AU7" t="s">
        <v>355</v>
      </c>
      <c r="AV7" t="s">
        <v>356</v>
      </c>
      <c r="AW7" t="s">
        <v>357</v>
      </c>
      <c r="AX7" t="s">
        <v>358</v>
      </c>
      <c r="AY7" t="s">
        <v>359</v>
      </c>
      <c r="AZ7" t="s">
        <v>268</v>
      </c>
      <c r="BA7" t="s">
        <v>360</v>
      </c>
      <c r="BB7" t="s">
        <v>361</v>
      </c>
      <c r="BC7" t="s">
        <v>362</v>
      </c>
      <c r="BD7" t="s">
        <v>161</v>
      </c>
      <c r="BE7" t="s">
        <v>363</v>
      </c>
      <c r="BF7" t="s">
        <v>364</v>
      </c>
      <c r="BG7" t="s">
        <v>365</v>
      </c>
      <c r="BH7" t="s">
        <v>366</v>
      </c>
      <c r="BI7" t="s">
        <v>367</v>
      </c>
      <c r="BJ7" t="s">
        <v>201</v>
      </c>
      <c r="BK7" t="s">
        <v>161</v>
      </c>
      <c r="BL7" t="s">
        <v>202</v>
      </c>
      <c r="BM7" t="s">
        <v>159</v>
      </c>
      <c r="BN7" t="s">
        <v>203</v>
      </c>
      <c r="BO7" t="s">
        <v>203</v>
      </c>
      <c r="BP7" t="s">
        <v>368</v>
      </c>
      <c r="BQ7" t="s">
        <v>369</v>
      </c>
      <c r="BR7" t="s">
        <v>370</v>
      </c>
      <c r="BS7" t="s">
        <v>371</v>
      </c>
      <c r="BT7" t="s">
        <v>159</v>
      </c>
      <c r="BU7" t="s">
        <v>208</v>
      </c>
      <c r="BV7" t="s">
        <v>209</v>
      </c>
      <c r="BW7" t="s">
        <v>210</v>
      </c>
      <c r="BX7" t="s">
        <v>211</v>
      </c>
      <c r="BY7" t="s">
        <v>172</v>
      </c>
      <c r="BZ7" t="s">
        <v>212</v>
      </c>
      <c r="CA7" t="s">
        <v>172</v>
      </c>
      <c r="CB7" t="s">
        <v>172</v>
      </c>
      <c r="CC7" t="s">
        <v>213</v>
      </c>
      <c r="CD7" t="s">
        <v>214</v>
      </c>
      <c r="CE7" t="s">
        <v>215</v>
      </c>
      <c r="CF7" t="s">
        <v>216</v>
      </c>
      <c r="CG7" t="s">
        <v>217</v>
      </c>
      <c r="CH7" t="s">
        <v>218</v>
      </c>
      <c r="CI7" t="s">
        <v>178</v>
      </c>
      <c r="CJ7" t="s">
        <v>210</v>
      </c>
      <c r="CK7" t="s">
        <v>219</v>
      </c>
      <c r="CL7" t="s">
        <v>219</v>
      </c>
      <c r="CM7" t="s">
        <v>219</v>
      </c>
      <c r="CN7" t="s">
        <v>172</v>
      </c>
      <c r="CO7" t="s">
        <v>220</v>
      </c>
      <c r="CP7" t="s">
        <v>172</v>
      </c>
      <c r="CQ7" t="s">
        <v>172</v>
      </c>
      <c r="CR7" t="s">
        <v>172</v>
      </c>
      <c r="CS7" t="s">
        <v>172</v>
      </c>
      <c r="CT7" t="s">
        <v>372</v>
      </c>
      <c r="CU7" t="s">
        <v>373</v>
      </c>
      <c r="CV7" t="s">
        <v>374</v>
      </c>
      <c r="CW7" t="s">
        <v>375</v>
      </c>
      <c r="CX7" t="s">
        <v>376</v>
      </c>
      <c r="CY7" t="s">
        <v>377</v>
      </c>
      <c r="CZ7" t="s">
        <v>378</v>
      </c>
      <c r="DA7" t="s">
        <v>379</v>
      </c>
      <c r="DB7" t="s">
        <v>342</v>
      </c>
      <c r="DC7" t="s">
        <v>380</v>
      </c>
      <c r="DD7" t="s">
        <v>230</v>
      </c>
      <c r="DE7" t="s">
        <v>231</v>
      </c>
      <c r="DF7" t="s">
        <v>178</v>
      </c>
      <c r="DG7" t="s">
        <v>232</v>
      </c>
      <c r="DH7" t="s">
        <v>233</v>
      </c>
      <c r="DI7" t="s">
        <v>178</v>
      </c>
      <c r="DJ7" t="s">
        <v>234</v>
      </c>
      <c r="DK7" t="s">
        <v>235</v>
      </c>
      <c r="DL7" t="s">
        <v>236</v>
      </c>
      <c r="DM7" t="s">
        <v>172</v>
      </c>
      <c r="DN7" t="s">
        <v>341</v>
      </c>
      <c r="DO7" t="s">
        <v>237</v>
      </c>
      <c r="DP7" t="s">
        <v>238</v>
      </c>
      <c r="DQ7" t="s">
        <v>239</v>
      </c>
      <c r="DR7" t="s">
        <v>240</v>
      </c>
      <c r="DS7" t="s">
        <v>241</v>
      </c>
      <c r="DT7" t="s">
        <v>242</v>
      </c>
    </row>
    <row r="8" spans="1:124" x14ac:dyDescent="0.45">
      <c r="A8" t="s">
        <v>381</v>
      </c>
      <c r="B8" t="s">
        <v>382</v>
      </c>
      <c r="C8" t="s">
        <v>161</v>
      </c>
      <c r="D8" t="s">
        <v>162</v>
      </c>
      <c r="E8" t="s">
        <v>163</v>
      </c>
      <c r="H8" t="s">
        <v>164</v>
      </c>
      <c r="I8" t="s">
        <v>383</v>
      </c>
      <c r="J8">
        <f t="shared" si="0"/>
        <v>0.26702579023719525</v>
      </c>
      <c r="K8">
        <f t="shared" si="1"/>
        <v>2.9066320800000001</v>
      </c>
      <c r="L8">
        <f t="shared" si="2"/>
        <v>0.24455872681473836</v>
      </c>
      <c r="M8">
        <f t="shared" si="3"/>
        <v>2.3464991774046422</v>
      </c>
      <c r="N8" t="s">
        <v>384</v>
      </c>
      <c r="O8" t="s">
        <v>385</v>
      </c>
      <c r="P8">
        <f t="shared" si="4"/>
        <v>4.1635375961587071</v>
      </c>
      <c r="Q8">
        <f t="shared" si="5"/>
        <v>0.92984759615870693</v>
      </c>
      <c r="R8" t="s">
        <v>386</v>
      </c>
      <c r="S8" t="s">
        <v>387</v>
      </c>
      <c r="T8">
        <f t="shared" si="6"/>
        <v>41.382940027419806</v>
      </c>
      <c r="U8">
        <f t="shared" si="7"/>
        <v>0.4417875</v>
      </c>
      <c r="V8" t="s">
        <v>170</v>
      </c>
      <c r="W8" t="s">
        <v>388</v>
      </c>
      <c r="X8" t="s">
        <v>172</v>
      </c>
      <c r="Y8" t="s">
        <v>172</v>
      </c>
      <c r="Z8" t="s">
        <v>172</v>
      </c>
      <c r="AA8" t="s">
        <v>389</v>
      </c>
      <c r="AB8" t="s">
        <v>390</v>
      </c>
      <c r="AC8" t="s">
        <v>391</v>
      </c>
      <c r="AD8" t="s">
        <v>176</v>
      </c>
      <c r="AE8" t="s">
        <v>177</v>
      </c>
      <c r="AF8">
        <f t="shared" si="8"/>
        <v>41.120625000000004</v>
      </c>
      <c r="AG8" t="s">
        <v>178</v>
      </c>
      <c r="AH8" t="s">
        <v>392</v>
      </c>
      <c r="AI8" t="s">
        <v>393</v>
      </c>
      <c r="AJ8" t="s">
        <v>394</v>
      </c>
      <c r="AK8" t="s">
        <v>395</v>
      </c>
      <c r="AL8">
        <f t="shared" si="9"/>
        <v>29.6</v>
      </c>
      <c r="AM8" t="s">
        <v>256</v>
      </c>
      <c r="AN8" t="s">
        <v>396</v>
      </c>
      <c r="AO8" t="s">
        <v>350</v>
      </c>
      <c r="AP8" t="s">
        <v>351</v>
      </c>
      <c r="AQ8" t="s">
        <v>397</v>
      </c>
      <c r="AR8" t="s">
        <v>398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AZ8" t="s">
        <v>268</v>
      </c>
      <c r="BA8" t="s">
        <v>360</v>
      </c>
      <c r="BB8" t="s">
        <v>361</v>
      </c>
      <c r="BC8" t="s">
        <v>406</v>
      </c>
      <c r="BD8" t="s">
        <v>161</v>
      </c>
      <c r="BE8" t="s">
        <v>196</v>
      </c>
      <c r="BF8" t="s">
        <v>407</v>
      </c>
      <c r="BG8" t="s">
        <v>408</v>
      </c>
      <c r="BH8" t="s">
        <v>366</v>
      </c>
      <c r="BI8" t="s">
        <v>409</v>
      </c>
      <c r="BJ8" t="s">
        <v>201</v>
      </c>
      <c r="BK8" t="s">
        <v>161</v>
      </c>
      <c r="BL8" t="s">
        <v>202</v>
      </c>
      <c r="BM8" t="s">
        <v>159</v>
      </c>
      <c r="BN8" t="s">
        <v>368</v>
      </c>
      <c r="BO8" t="s">
        <v>276</v>
      </c>
      <c r="BP8" t="s">
        <v>410</v>
      </c>
      <c r="BQ8" t="s">
        <v>411</v>
      </c>
      <c r="BR8" t="s">
        <v>412</v>
      </c>
      <c r="BS8" t="s">
        <v>413</v>
      </c>
      <c r="BT8" t="s">
        <v>159</v>
      </c>
      <c r="BU8" t="s">
        <v>208</v>
      </c>
      <c r="BV8" t="s">
        <v>209</v>
      </c>
      <c r="BW8" t="s">
        <v>210</v>
      </c>
      <c r="BX8" t="s">
        <v>211</v>
      </c>
      <c r="BY8" t="s">
        <v>172</v>
      </c>
      <c r="BZ8" t="s">
        <v>212</v>
      </c>
      <c r="CA8" t="s">
        <v>172</v>
      </c>
      <c r="CB8" t="s">
        <v>172</v>
      </c>
      <c r="CC8" t="s">
        <v>213</v>
      </c>
      <c r="CD8" t="s">
        <v>214</v>
      </c>
      <c r="CE8" t="s">
        <v>215</v>
      </c>
      <c r="CF8" t="s">
        <v>216</v>
      </c>
      <c r="CG8" t="s">
        <v>217</v>
      </c>
      <c r="CH8" t="s">
        <v>218</v>
      </c>
      <c r="CI8" t="s">
        <v>178</v>
      </c>
      <c r="CJ8" t="s">
        <v>210</v>
      </c>
      <c r="CK8" t="s">
        <v>219</v>
      </c>
      <c r="CL8" t="s">
        <v>219</v>
      </c>
      <c r="CM8" t="s">
        <v>219</v>
      </c>
      <c r="CN8" t="s">
        <v>172</v>
      </c>
      <c r="CO8" t="s">
        <v>220</v>
      </c>
      <c r="CP8" t="s">
        <v>172</v>
      </c>
      <c r="CQ8" t="s">
        <v>172</v>
      </c>
      <c r="CR8" t="s">
        <v>172</v>
      </c>
      <c r="CS8" t="s">
        <v>172</v>
      </c>
      <c r="CT8" t="s">
        <v>414</v>
      </c>
      <c r="CU8" t="s">
        <v>415</v>
      </c>
      <c r="CV8" t="s">
        <v>416</v>
      </c>
      <c r="CW8" t="s">
        <v>417</v>
      </c>
      <c r="CX8" t="s">
        <v>418</v>
      </c>
      <c r="CY8" t="s">
        <v>419</v>
      </c>
      <c r="CZ8" t="s">
        <v>420</v>
      </c>
      <c r="DA8" t="s">
        <v>421</v>
      </c>
      <c r="DB8" t="s">
        <v>389</v>
      </c>
      <c r="DC8" t="s">
        <v>422</v>
      </c>
      <c r="DD8" t="s">
        <v>230</v>
      </c>
      <c r="DE8" t="s">
        <v>231</v>
      </c>
      <c r="DF8" t="s">
        <v>178</v>
      </c>
      <c r="DG8" t="s">
        <v>232</v>
      </c>
      <c r="DH8" t="s">
        <v>233</v>
      </c>
      <c r="DI8" t="s">
        <v>178</v>
      </c>
      <c r="DJ8" t="s">
        <v>234</v>
      </c>
      <c r="DK8" t="s">
        <v>235</v>
      </c>
      <c r="DL8" t="s">
        <v>236</v>
      </c>
      <c r="DM8" t="s">
        <v>172</v>
      </c>
      <c r="DN8" t="s">
        <v>388</v>
      </c>
      <c r="DO8" t="s">
        <v>237</v>
      </c>
      <c r="DP8" t="s">
        <v>238</v>
      </c>
      <c r="DQ8" t="s">
        <v>239</v>
      </c>
      <c r="DR8" t="s">
        <v>240</v>
      </c>
      <c r="DS8" t="s">
        <v>241</v>
      </c>
      <c r="DT8" t="s">
        <v>242</v>
      </c>
    </row>
    <row r="9" spans="1:124" x14ac:dyDescent="0.45">
      <c r="A9" t="s">
        <v>199</v>
      </c>
      <c r="B9" t="s">
        <v>423</v>
      </c>
      <c r="C9" t="s">
        <v>161</v>
      </c>
      <c r="D9" t="s">
        <v>162</v>
      </c>
      <c r="E9" t="s">
        <v>163</v>
      </c>
      <c r="H9" t="s">
        <v>164</v>
      </c>
      <c r="I9" t="s">
        <v>424</v>
      </c>
      <c r="J9">
        <f t="shared" si="0"/>
        <v>0.23841756445332768</v>
      </c>
      <c r="K9">
        <f t="shared" si="1"/>
        <v>2.9050319999999994</v>
      </c>
      <c r="L9">
        <f t="shared" si="2"/>
        <v>0.22033458463311792</v>
      </c>
      <c r="M9">
        <f t="shared" si="3"/>
        <v>2.2002410209631713</v>
      </c>
      <c r="N9" t="s">
        <v>425</v>
      </c>
      <c r="O9" t="s">
        <v>426</v>
      </c>
      <c r="P9">
        <f t="shared" si="4"/>
        <v>4.1972359639725152</v>
      </c>
      <c r="Q9">
        <f t="shared" si="5"/>
        <v>0.96751996397251538</v>
      </c>
      <c r="R9" t="s">
        <v>427</v>
      </c>
      <c r="S9" t="s">
        <v>428</v>
      </c>
      <c r="T9">
        <f t="shared" si="6"/>
        <v>41.717880568258771</v>
      </c>
      <c r="U9">
        <f t="shared" si="7"/>
        <v>0.4417875</v>
      </c>
      <c r="V9" t="s">
        <v>170</v>
      </c>
      <c r="W9" t="s">
        <v>429</v>
      </c>
      <c r="X9" t="s">
        <v>172</v>
      </c>
      <c r="Y9" t="s">
        <v>172</v>
      </c>
      <c r="Z9" t="s">
        <v>172</v>
      </c>
      <c r="AA9" t="s">
        <v>430</v>
      </c>
      <c r="AB9" t="s">
        <v>431</v>
      </c>
      <c r="AC9" t="s">
        <v>432</v>
      </c>
      <c r="AD9" t="s">
        <v>176</v>
      </c>
      <c r="AE9" t="s">
        <v>177</v>
      </c>
      <c r="AF9">
        <f t="shared" si="8"/>
        <v>38.461285799999999</v>
      </c>
      <c r="AG9" t="s">
        <v>178</v>
      </c>
      <c r="AH9" t="s">
        <v>433</v>
      </c>
      <c r="AI9" t="s">
        <v>345</v>
      </c>
      <c r="AJ9" t="s">
        <v>434</v>
      </c>
      <c r="AK9" t="s">
        <v>435</v>
      </c>
      <c r="AL9">
        <f t="shared" si="9"/>
        <v>29.74</v>
      </c>
      <c r="AM9" t="s">
        <v>256</v>
      </c>
      <c r="AN9" t="s">
        <v>305</v>
      </c>
      <c r="AO9" t="s">
        <v>436</v>
      </c>
      <c r="AP9" t="s">
        <v>437</v>
      </c>
      <c r="AQ9" t="s">
        <v>438</v>
      </c>
      <c r="AR9" t="s">
        <v>398</v>
      </c>
      <c r="AS9" t="s">
        <v>261</v>
      </c>
      <c r="AT9" t="s">
        <v>190</v>
      </c>
      <c r="AU9" t="s">
        <v>439</v>
      </c>
      <c r="AV9" t="s">
        <v>440</v>
      </c>
      <c r="AW9" t="s">
        <v>441</v>
      </c>
      <c r="AX9" t="s">
        <v>442</v>
      </c>
      <c r="AY9" t="s">
        <v>443</v>
      </c>
      <c r="AZ9" t="s">
        <v>268</v>
      </c>
      <c r="BA9" t="s">
        <v>444</v>
      </c>
      <c r="BB9" t="s">
        <v>445</v>
      </c>
      <c r="BC9" t="s">
        <v>446</v>
      </c>
      <c r="BD9" t="s">
        <v>161</v>
      </c>
      <c r="BE9" t="s">
        <v>447</v>
      </c>
      <c r="BF9" t="s">
        <v>448</v>
      </c>
      <c r="BG9" t="s">
        <v>449</v>
      </c>
      <c r="BH9" t="s">
        <v>450</v>
      </c>
      <c r="BI9" t="s">
        <v>451</v>
      </c>
      <c r="BJ9" t="s">
        <v>452</v>
      </c>
      <c r="BK9" t="s">
        <v>161</v>
      </c>
      <c r="BL9" t="s">
        <v>453</v>
      </c>
      <c r="BM9" t="s">
        <v>159</v>
      </c>
      <c r="BN9" t="s">
        <v>321</v>
      </c>
      <c r="BO9" t="s">
        <v>276</v>
      </c>
      <c r="BP9" t="s">
        <v>276</v>
      </c>
      <c r="BQ9" t="s">
        <v>454</v>
      </c>
      <c r="BR9" t="s">
        <v>455</v>
      </c>
      <c r="BS9" t="s">
        <v>456</v>
      </c>
      <c r="BT9" t="s">
        <v>159</v>
      </c>
      <c r="BU9" t="s">
        <v>208</v>
      </c>
      <c r="BV9" t="s">
        <v>209</v>
      </c>
      <c r="BW9" t="s">
        <v>210</v>
      </c>
      <c r="BX9" t="s">
        <v>211</v>
      </c>
      <c r="BY9" t="s">
        <v>172</v>
      </c>
      <c r="BZ9" t="s">
        <v>212</v>
      </c>
      <c r="CA9" t="s">
        <v>172</v>
      </c>
      <c r="CB9" t="s">
        <v>172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178</v>
      </c>
      <c r="CJ9" t="s">
        <v>210</v>
      </c>
      <c r="CK9" t="s">
        <v>219</v>
      </c>
      <c r="CL9" t="s">
        <v>219</v>
      </c>
      <c r="CM9" t="s">
        <v>219</v>
      </c>
      <c r="CN9" t="s">
        <v>172</v>
      </c>
      <c r="CO9" t="s">
        <v>220</v>
      </c>
      <c r="CP9" t="s">
        <v>172</v>
      </c>
      <c r="CQ9" t="s">
        <v>172</v>
      </c>
      <c r="CR9" t="s">
        <v>172</v>
      </c>
      <c r="CS9" t="s">
        <v>172</v>
      </c>
      <c r="CT9" t="s">
        <v>457</v>
      </c>
      <c r="CU9" t="s">
        <v>458</v>
      </c>
      <c r="CV9" t="s">
        <v>459</v>
      </c>
      <c r="CW9" t="s">
        <v>460</v>
      </c>
      <c r="CX9" t="s">
        <v>461</v>
      </c>
      <c r="CY9" t="s">
        <v>462</v>
      </c>
      <c r="CZ9" t="s">
        <v>463</v>
      </c>
      <c r="DA9" t="s">
        <v>464</v>
      </c>
      <c r="DB9" t="s">
        <v>430</v>
      </c>
      <c r="DC9" t="s">
        <v>229</v>
      </c>
      <c r="DD9" t="s">
        <v>230</v>
      </c>
      <c r="DE9" t="s">
        <v>231</v>
      </c>
      <c r="DF9" t="s">
        <v>178</v>
      </c>
      <c r="DG9" t="s">
        <v>232</v>
      </c>
      <c r="DH9" t="s">
        <v>233</v>
      </c>
      <c r="DI9" t="s">
        <v>178</v>
      </c>
      <c r="DJ9" t="s">
        <v>234</v>
      </c>
      <c r="DK9" t="s">
        <v>235</v>
      </c>
      <c r="DL9" t="s">
        <v>236</v>
      </c>
      <c r="DM9" t="s">
        <v>172</v>
      </c>
      <c r="DN9" t="s">
        <v>429</v>
      </c>
      <c r="DO9" t="s">
        <v>237</v>
      </c>
      <c r="DP9" t="s">
        <v>238</v>
      </c>
      <c r="DQ9" t="s">
        <v>239</v>
      </c>
      <c r="DR9" t="s">
        <v>240</v>
      </c>
      <c r="DS9" t="s">
        <v>241</v>
      </c>
      <c r="DT9" t="s">
        <v>242</v>
      </c>
    </row>
    <row r="10" spans="1:124" x14ac:dyDescent="0.45">
      <c r="A10" t="s">
        <v>465</v>
      </c>
      <c r="B10" t="s">
        <v>466</v>
      </c>
      <c r="C10" t="s">
        <v>161</v>
      </c>
      <c r="D10" t="s">
        <v>162</v>
      </c>
      <c r="E10" t="s">
        <v>163</v>
      </c>
      <c r="H10" t="s">
        <v>164</v>
      </c>
      <c r="I10" t="s">
        <v>467</v>
      </c>
      <c r="J10">
        <f t="shared" si="0"/>
        <v>0.27912141384364786</v>
      </c>
      <c r="K10">
        <f t="shared" si="1"/>
        <v>2.9066320800000001</v>
      </c>
      <c r="L10">
        <f t="shared" si="2"/>
        <v>0.25466604910289414</v>
      </c>
      <c r="M10">
        <f t="shared" si="3"/>
        <v>2.3777072662443524</v>
      </c>
      <c r="N10" t="s">
        <v>468</v>
      </c>
      <c r="O10" t="s">
        <v>469</v>
      </c>
      <c r="P10">
        <f t="shared" si="4"/>
        <v>4.2093285758356895</v>
      </c>
      <c r="Q10">
        <f t="shared" si="5"/>
        <v>0.90442057583568936</v>
      </c>
      <c r="R10" t="s">
        <v>470</v>
      </c>
      <c r="S10" t="s">
        <v>471</v>
      </c>
      <c r="T10">
        <f t="shared" si="6"/>
        <v>41.83807350994622</v>
      </c>
      <c r="U10">
        <f t="shared" si="7"/>
        <v>0.4417875</v>
      </c>
      <c r="V10" t="s">
        <v>170</v>
      </c>
      <c r="W10" t="s">
        <v>472</v>
      </c>
      <c r="X10" t="s">
        <v>172</v>
      </c>
      <c r="Y10" t="s">
        <v>172</v>
      </c>
      <c r="Z10" t="s">
        <v>172</v>
      </c>
      <c r="AA10" t="s">
        <v>473</v>
      </c>
      <c r="AB10" t="s">
        <v>474</v>
      </c>
      <c r="AC10" t="s">
        <v>475</v>
      </c>
      <c r="AD10" t="s">
        <v>176</v>
      </c>
      <c r="AE10" t="s">
        <v>177</v>
      </c>
      <c r="AF10">
        <f t="shared" si="8"/>
        <v>33.961089959999995</v>
      </c>
      <c r="AG10" t="s">
        <v>178</v>
      </c>
      <c r="AH10" t="s">
        <v>476</v>
      </c>
      <c r="AI10" t="s">
        <v>477</v>
      </c>
      <c r="AJ10" t="s">
        <v>478</v>
      </c>
      <c r="AK10" t="s">
        <v>479</v>
      </c>
      <c r="AL10">
        <f t="shared" si="9"/>
        <v>29.79</v>
      </c>
      <c r="AM10" t="s">
        <v>256</v>
      </c>
      <c r="AN10" t="s">
        <v>396</v>
      </c>
      <c r="AO10" t="s">
        <v>480</v>
      </c>
      <c r="AP10" t="s">
        <v>481</v>
      </c>
      <c r="AQ10" t="s">
        <v>482</v>
      </c>
      <c r="AR10" t="s">
        <v>398</v>
      </c>
      <c r="AS10" t="s">
        <v>483</v>
      </c>
      <c r="AT10" t="s">
        <v>484</v>
      </c>
      <c r="AU10" t="s">
        <v>485</v>
      </c>
      <c r="AV10" t="s">
        <v>486</v>
      </c>
      <c r="AW10" t="s">
        <v>487</v>
      </c>
      <c r="AX10" t="s">
        <v>488</v>
      </c>
      <c r="AY10" t="s">
        <v>489</v>
      </c>
      <c r="AZ10" t="s">
        <v>268</v>
      </c>
      <c r="BA10" t="s">
        <v>490</v>
      </c>
      <c r="BB10" t="s">
        <v>491</v>
      </c>
      <c r="BC10" t="s">
        <v>492</v>
      </c>
      <c r="BD10" t="s">
        <v>161</v>
      </c>
      <c r="BE10" t="s">
        <v>493</v>
      </c>
      <c r="BF10" t="s">
        <v>494</v>
      </c>
      <c r="BG10" t="s">
        <v>495</v>
      </c>
      <c r="BH10" t="s">
        <v>450</v>
      </c>
      <c r="BI10" t="s">
        <v>451</v>
      </c>
      <c r="BJ10" t="s">
        <v>452</v>
      </c>
      <c r="BK10" t="s">
        <v>161</v>
      </c>
      <c r="BL10" t="s">
        <v>453</v>
      </c>
      <c r="BM10" t="s">
        <v>159</v>
      </c>
      <c r="BN10" t="s">
        <v>410</v>
      </c>
      <c r="BO10" t="s">
        <v>209</v>
      </c>
      <c r="BP10" t="s">
        <v>496</v>
      </c>
      <c r="BQ10" t="s">
        <v>497</v>
      </c>
      <c r="BR10" t="s">
        <v>498</v>
      </c>
      <c r="BS10" t="s">
        <v>499</v>
      </c>
      <c r="BT10" t="s">
        <v>159</v>
      </c>
      <c r="BU10" t="s">
        <v>208</v>
      </c>
      <c r="BV10" t="s">
        <v>209</v>
      </c>
      <c r="BW10" t="s">
        <v>210</v>
      </c>
      <c r="BX10" t="s">
        <v>211</v>
      </c>
      <c r="BY10" t="s">
        <v>172</v>
      </c>
      <c r="BZ10" t="s">
        <v>212</v>
      </c>
      <c r="CA10" t="s">
        <v>172</v>
      </c>
      <c r="CB10" t="s">
        <v>172</v>
      </c>
      <c r="CC10" t="s">
        <v>213</v>
      </c>
      <c r="CD10" t="s">
        <v>214</v>
      </c>
      <c r="CE10" t="s">
        <v>215</v>
      </c>
      <c r="CF10" t="s">
        <v>216</v>
      </c>
      <c r="CG10" t="s">
        <v>217</v>
      </c>
      <c r="CH10" t="s">
        <v>218</v>
      </c>
      <c r="CI10" t="s">
        <v>178</v>
      </c>
      <c r="CJ10" t="s">
        <v>210</v>
      </c>
      <c r="CK10" t="s">
        <v>219</v>
      </c>
      <c r="CL10" t="s">
        <v>219</v>
      </c>
      <c r="CM10" t="s">
        <v>219</v>
      </c>
      <c r="CN10" t="s">
        <v>172</v>
      </c>
      <c r="CO10" t="s">
        <v>220</v>
      </c>
      <c r="CP10" t="s">
        <v>172</v>
      </c>
      <c r="CQ10" t="s">
        <v>172</v>
      </c>
      <c r="CR10" t="s">
        <v>172</v>
      </c>
      <c r="CS10" t="s">
        <v>172</v>
      </c>
      <c r="CT10" t="s">
        <v>500</v>
      </c>
      <c r="CU10" t="s">
        <v>501</v>
      </c>
      <c r="CV10" t="s">
        <v>502</v>
      </c>
      <c r="CW10" t="s">
        <v>503</v>
      </c>
      <c r="CX10" t="s">
        <v>504</v>
      </c>
      <c r="CY10" t="s">
        <v>505</v>
      </c>
      <c r="CZ10" t="s">
        <v>506</v>
      </c>
      <c r="DA10" t="s">
        <v>507</v>
      </c>
      <c r="DB10" t="s">
        <v>473</v>
      </c>
      <c r="DC10" t="s">
        <v>290</v>
      </c>
      <c r="DD10" t="s">
        <v>230</v>
      </c>
      <c r="DE10" t="s">
        <v>231</v>
      </c>
      <c r="DF10" t="s">
        <v>178</v>
      </c>
      <c r="DG10" t="s">
        <v>232</v>
      </c>
      <c r="DH10" t="s">
        <v>233</v>
      </c>
      <c r="DI10" t="s">
        <v>178</v>
      </c>
      <c r="DJ10" t="s">
        <v>234</v>
      </c>
      <c r="DK10" t="s">
        <v>235</v>
      </c>
      <c r="DL10" t="s">
        <v>236</v>
      </c>
      <c r="DM10" t="s">
        <v>172</v>
      </c>
      <c r="DN10" t="s">
        <v>472</v>
      </c>
      <c r="DO10" t="s">
        <v>237</v>
      </c>
      <c r="DP10" t="s">
        <v>238</v>
      </c>
      <c r="DQ10" t="s">
        <v>239</v>
      </c>
      <c r="DR10" t="s">
        <v>240</v>
      </c>
      <c r="DS10" t="s">
        <v>241</v>
      </c>
      <c r="DT10" t="s">
        <v>242</v>
      </c>
    </row>
    <row r="11" spans="1:124" x14ac:dyDescent="0.45">
      <c r="A11" t="s">
        <v>274</v>
      </c>
      <c r="B11" t="s">
        <v>508</v>
      </c>
      <c r="C11" t="s">
        <v>161</v>
      </c>
      <c r="D11" t="s">
        <v>162</v>
      </c>
      <c r="E11" t="s">
        <v>163</v>
      </c>
      <c r="H11" t="s">
        <v>164</v>
      </c>
      <c r="I11" t="s">
        <v>509</v>
      </c>
      <c r="J11">
        <f t="shared" si="0"/>
        <v>0.28626131345192701</v>
      </c>
      <c r="K11">
        <f t="shared" si="1"/>
        <v>2.9050319999999994</v>
      </c>
      <c r="L11">
        <f t="shared" si="2"/>
        <v>0.26058346703342145</v>
      </c>
      <c r="M11">
        <f t="shared" si="3"/>
        <v>2.4336145061031416</v>
      </c>
      <c r="N11" t="s">
        <v>510</v>
      </c>
      <c r="O11" t="s">
        <v>511</v>
      </c>
      <c r="P11">
        <f t="shared" si="4"/>
        <v>4.1899949407354304</v>
      </c>
      <c r="Q11">
        <f t="shared" si="5"/>
        <v>0.90457394073543052</v>
      </c>
      <c r="R11" t="s">
        <v>512</v>
      </c>
      <c r="S11" t="s">
        <v>513</v>
      </c>
      <c r="T11">
        <f t="shared" si="6"/>
        <v>41.650049112678239</v>
      </c>
      <c r="U11">
        <f t="shared" si="7"/>
        <v>0.4417875</v>
      </c>
      <c r="V11" t="s">
        <v>170</v>
      </c>
      <c r="W11" t="s">
        <v>514</v>
      </c>
      <c r="X11" t="s">
        <v>172</v>
      </c>
      <c r="Y11" t="s">
        <v>172</v>
      </c>
      <c r="Z11" t="s">
        <v>172</v>
      </c>
      <c r="AA11" t="s">
        <v>515</v>
      </c>
      <c r="AB11" t="s">
        <v>516</v>
      </c>
      <c r="AC11" t="s">
        <v>517</v>
      </c>
      <c r="AD11" t="s">
        <v>176</v>
      </c>
      <c r="AE11" t="s">
        <v>177</v>
      </c>
      <c r="AF11">
        <f t="shared" si="8"/>
        <v>20.73588174</v>
      </c>
      <c r="AG11" t="s">
        <v>178</v>
      </c>
      <c r="AH11" t="s">
        <v>518</v>
      </c>
      <c r="AI11" t="s">
        <v>519</v>
      </c>
      <c r="AJ11" t="s">
        <v>520</v>
      </c>
      <c r="AK11" t="s">
        <v>521</v>
      </c>
      <c r="AL11">
        <f t="shared" si="9"/>
        <v>29.71</v>
      </c>
      <c r="AM11" t="s">
        <v>349</v>
      </c>
      <c r="AN11" t="s">
        <v>305</v>
      </c>
      <c r="AO11" t="s">
        <v>522</v>
      </c>
      <c r="AP11" t="s">
        <v>523</v>
      </c>
      <c r="AQ11" t="s">
        <v>524</v>
      </c>
      <c r="AR11" t="s">
        <v>525</v>
      </c>
      <c r="AS11" t="s">
        <v>526</v>
      </c>
      <c r="AT11" t="s">
        <v>159</v>
      </c>
      <c r="AU11" t="s">
        <v>527</v>
      </c>
      <c r="AV11" t="s">
        <v>528</v>
      </c>
      <c r="AW11" t="s">
        <v>529</v>
      </c>
      <c r="AX11" t="s">
        <v>530</v>
      </c>
      <c r="AY11" t="s">
        <v>531</v>
      </c>
      <c r="AZ11" t="s">
        <v>268</v>
      </c>
      <c r="BA11" t="s">
        <v>532</v>
      </c>
      <c r="BB11" t="s">
        <v>533</v>
      </c>
      <c r="BC11" t="s">
        <v>534</v>
      </c>
      <c r="BD11" t="s">
        <v>161</v>
      </c>
      <c r="BE11" t="s">
        <v>535</v>
      </c>
      <c r="BF11" t="s">
        <v>197</v>
      </c>
      <c r="BG11" t="s">
        <v>319</v>
      </c>
      <c r="BH11" t="s">
        <v>450</v>
      </c>
      <c r="BI11" t="s">
        <v>451</v>
      </c>
      <c r="BJ11" t="s">
        <v>452</v>
      </c>
      <c r="BK11" t="s">
        <v>161</v>
      </c>
      <c r="BL11" t="s">
        <v>453</v>
      </c>
      <c r="BM11" t="s">
        <v>159</v>
      </c>
      <c r="BN11" t="s">
        <v>368</v>
      </c>
      <c r="BO11" t="s">
        <v>209</v>
      </c>
      <c r="BP11" t="s">
        <v>203</v>
      </c>
      <c r="BQ11" t="s">
        <v>536</v>
      </c>
      <c r="BR11" t="s">
        <v>537</v>
      </c>
      <c r="BS11" t="s">
        <v>538</v>
      </c>
      <c r="BT11" t="s">
        <v>159</v>
      </c>
      <c r="BU11" t="s">
        <v>208</v>
      </c>
      <c r="BV11" t="s">
        <v>209</v>
      </c>
      <c r="BW11" t="s">
        <v>210</v>
      </c>
      <c r="BX11" t="s">
        <v>211</v>
      </c>
      <c r="BY11" t="s">
        <v>172</v>
      </c>
      <c r="BZ11" t="s">
        <v>212</v>
      </c>
      <c r="CA11" t="s">
        <v>172</v>
      </c>
      <c r="CB11" t="s">
        <v>172</v>
      </c>
      <c r="CC11" t="s">
        <v>213</v>
      </c>
      <c r="CD11" t="s">
        <v>214</v>
      </c>
      <c r="CE11" t="s">
        <v>215</v>
      </c>
      <c r="CF11" t="s">
        <v>216</v>
      </c>
      <c r="CG11" t="s">
        <v>217</v>
      </c>
      <c r="CH11" t="s">
        <v>218</v>
      </c>
      <c r="CI11" t="s">
        <v>178</v>
      </c>
      <c r="CJ11" t="s">
        <v>210</v>
      </c>
      <c r="CK11" t="s">
        <v>219</v>
      </c>
      <c r="CL11" t="s">
        <v>219</v>
      </c>
      <c r="CM11" t="s">
        <v>219</v>
      </c>
      <c r="CN11" t="s">
        <v>172</v>
      </c>
      <c r="CO11" t="s">
        <v>220</v>
      </c>
      <c r="CP11" t="s">
        <v>172</v>
      </c>
      <c r="CQ11" t="s">
        <v>172</v>
      </c>
      <c r="CR11" t="s">
        <v>172</v>
      </c>
      <c r="CS11" t="s">
        <v>172</v>
      </c>
      <c r="CT11" t="s">
        <v>539</v>
      </c>
      <c r="CU11" t="s">
        <v>540</v>
      </c>
      <c r="CV11" t="s">
        <v>541</v>
      </c>
      <c r="CW11" t="s">
        <v>542</v>
      </c>
      <c r="CX11" t="s">
        <v>543</v>
      </c>
      <c r="CY11" t="s">
        <v>544</v>
      </c>
      <c r="CZ11" t="s">
        <v>545</v>
      </c>
      <c r="DA11" t="s">
        <v>546</v>
      </c>
      <c r="DB11" t="s">
        <v>515</v>
      </c>
      <c r="DC11" t="s">
        <v>547</v>
      </c>
      <c r="DD11" t="s">
        <v>230</v>
      </c>
      <c r="DE11" t="s">
        <v>231</v>
      </c>
      <c r="DF11" t="s">
        <v>178</v>
      </c>
      <c r="DG11" t="s">
        <v>232</v>
      </c>
      <c r="DH11" t="s">
        <v>233</v>
      </c>
      <c r="DI11" t="s">
        <v>178</v>
      </c>
      <c r="DJ11" t="s">
        <v>234</v>
      </c>
      <c r="DK11" t="s">
        <v>235</v>
      </c>
      <c r="DL11" t="s">
        <v>236</v>
      </c>
      <c r="DM11" t="s">
        <v>172</v>
      </c>
      <c r="DN11" t="s">
        <v>514</v>
      </c>
      <c r="DO11" t="s">
        <v>237</v>
      </c>
      <c r="DP11" t="s">
        <v>238</v>
      </c>
      <c r="DQ11" t="s">
        <v>239</v>
      </c>
      <c r="DR11" t="s">
        <v>240</v>
      </c>
      <c r="DS11" t="s">
        <v>241</v>
      </c>
      <c r="DT11" t="s">
        <v>242</v>
      </c>
    </row>
    <row r="12" spans="1:124" x14ac:dyDescent="0.45">
      <c r="A12" t="s">
        <v>548</v>
      </c>
      <c r="B12" t="s">
        <v>549</v>
      </c>
      <c r="C12" t="s">
        <v>161</v>
      </c>
      <c r="D12" t="s">
        <v>162</v>
      </c>
      <c r="E12" t="s">
        <v>163</v>
      </c>
      <c r="H12" t="s">
        <v>164</v>
      </c>
      <c r="I12" t="s">
        <v>550</v>
      </c>
      <c r="J12">
        <f t="shared" si="0"/>
        <v>0.32267895785721268</v>
      </c>
      <c r="K12">
        <f t="shared" si="1"/>
        <v>2.9058327199999998</v>
      </c>
      <c r="L12">
        <f t="shared" si="2"/>
        <v>0.29042827387860515</v>
      </c>
      <c r="M12">
        <f t="shared" si="3"/>
        <v>2.5879674984048022</v>
      </c>
      <c r="N12" t="s">
        <v>551</v>
      </c>
      <c r="O12" t="s">
        <v>552</v>
      </c>
      <c r="P12">
        <f t="shared" si="4"/>
        <v>4.1539529143348428</v>
      </c>
      <c r="Q12">
        <f t="shared" si="5"/>
        <v>0.86315791433484268</v>
      </c>
      <c r="R12" t="s">
        <v>553</v>
      </c>
      <c r="S12" t="s">
        <v>554</v>
      </c>
      <c r="T12">
        <f t="shared" si="6"/>
        <v>41.29177847251335</v>
      </c>
      <c r="U12">
        <f t="shared" si="7"/>
        <v>0.4417875</v>
      </c>
      <c r="V12" t="s">
        <v>170</v>
      </c>
      <c r="W12" t="s">
        <v>555</v>
      </c>
      <c r="X12" t="s">
        <v>172</v>
      </c>
      <c r="Y12" t="s">
        <v>172</v>
      </c>
      <c r="Z12" t="s">
        <v>172</v>
      </c>
      <c r="AA12" t="s">
        <v>556</v>
      </c>
      <c r="AB12" t="s">
        <v>557</v>
      </c>
      <c r="AC12" t="s">
        <v>558</v>
      </c>
      <c r="AD12" t="s">
        <v>176</v>
      </c>
      <c r="AE12" t="s">
        <v>177</v>
      </c>
      <c r="AF12">
        <f t="shared" si="8"/>
        <v>31.755281879999998</v>
      </c>
      <c r="AG12" t="s">
        <v>178</v>
      </c>
      <c r="AH12" t="s">
        <v>559</v>
      </c>
      <c r="AI12" t="s">
        <v>560</v>
      </c>
      <c r="AJ12" t="s">
        <v>561</v>
      </c>
      <c r="AK12" t="s">
        <v>562</v>
      </c>
      <c r="AL12">
        <f t="shared" si="9"/>
        <v>29.56</v>
      </c>
      <c r="AM12" t="s">
        <v>349</v>
      </c>
      <c r="AN12" t="s">
        <v>184</v>
      </c>
      <c r="AO12" t="s">
        <v>563</v>
      </c>
      <c r="AP12" t="s">
        <v>564</v>
      </c>
      <c r="AQ12" t="s">
        <v>565</v>
      </c>
      <c r="AR12" t="s">
        <v>566</v>
      </c>
      <c r="AS12" t="s">
        <v>309</v>
      </c>
      <c r="AT12" t="s">
        <v>159</v>
      </c>
      <c r="AU12" t="s">
        <v>567</v>
      </c>
      <c r="AV12" t="s">
        <v>568</v>
      </c>
      <c r="AW12" t="s">
        <v>569</v>
      </c>
      <c r="AX12" t="s">
        <v>570</v>
      </c>
      <c r="AY12" t="s">
        <v>571</v>
      </c>
      <c r="AZ12" t="s">
        <v>268</v>
      </c>
      <c r="BA12" t="s">
        <v>532</v>
      </c>
      <c r="BB12" t="s">
        <v>533</v>
      </c>
      <c r="BC12" t="s">
        <v>572</v>
      </c>
      <c r="BD12" t="s">
        <v>161</v>
      </c>
      <c r="BE12" t="s">
        <v>573</v>
      </c>
      <c r="BF12" t="s">
        <v>407</v>
      </c>
      <c r="BG12" t="s">
        <v>574</v>
      </c>
      <c r="BH12" t="s">
        <v>450</v>
      </c>
      <c r="BI12" t="s">
        <v>451</v>
      </c>
      <c r="BJ12" t="s">
        <v>452</v>
      </c>
      <c r="BK12" t="s">
        <v>161</v>
      </c>
      <c r="BL12" t="s">
        <v>453</v>
      </c>
      <c r="BM12" t="s">
        <v>159</v>
      </c>
      <c r="BN12" t="s">
        <v>575</v>
      </c>
      <c r="BO12" t="s">
        <v>209</v>
      </c>
      <c r="BP12" t="s">
        <v>277</v>
      </c>
      <c r="BQ12" t="s">
        <v>576</v>
      </c>
      <c r="BR12" t="s">
        <v>577</v>
      </c>
      <c r="BS12" t="s">
        <v>578</v>
      </c>
      <c r="BT12" t="s">
        <v>159</v>
      </c>
      <c r="BU12" t="s">
        <v>208</v>
      </c>
      <c r="BV12" t="s">
        <v>209</v>
      </c>
      <c r="BW12" t="s">
        <v>210</v>
      </c>
      <c r="BX12" t="s">
        <v>211</v>
      </c>
      <c r="BY12" t="s">
        <v>172</v>
      </c>
      <c r="BZ12" t="s">
        <v>212</v>
      </c>
      <c r="CA12" t="s">
        <v>172</v>
      </c>
      <c r="CB12" t="s">
        <v>172</v>
      </c>
      <c r="CC12" t="s">
        <v>213</v>
      </c>
      <c r="CD12" t="s">
        <v>214</v>
      </c>
      <c r="CE12" t="s">
        <v>215</v>
      </c>
      <c r="CF12" t="s">
        <v>216</v>
      </c>
      <c r="CG12" t="s">
        <v>217</v>
      </c>
      <c r="CH12" t="s">
        <v>218</v>
      </c>
      <c r="CI12" t="s">
        <v>178</v>
      </c>
      <c r="CJ12" t="s">
        <v>210</v>
      </c>
      <c r="CK12" t="s">
        <v>219</v>
      </c>
      <c r="CL12" t="s">
        <v>219</v>
      </c>
      <c r="CM12" t="s">
        <v>219</v>
      </c>
      <c r="CN12" t="s">
        <v>172</v>
      </c>
      <c r="CO12" t="s">
        <v>220</v>
      </c>
      <c r="CP12" t="s">
        <v>172</v>
      </c>
      <c r="CQ12" t="s">
        <v>172</v>
      </c>
      <c r="CR12" t="s">
        <v>172</v>
      </c>
      <c r="CS12" t="s">
        <v>172</v>
      </c>
      <c r="CT12" t="s">
        <v>579</v>
      </c>
      <c r="CU12" t="s">
        <v>580</v>
      </c>
      <c r="CV12" t="s">
        <v>581</v>
      </c>
      <c r="CW12" t="s">
        <v>582</v>
      </c>
      <c r="CX12" t="s">
        <v>583</v>
      </c>
      <c r="CY12" t="s">
        <v>584</v>
      </c>
      <c r="CZ12" t="s">
        <v>585</v>
      </c>
      <c r="DA12" t="s">
        <v>586</v>
      </c>
      <c r="DB12" t="s">
        <v>556</v>
      </c>
      <c r="DC12" t="s">
        <v>587</v>
      </c>
      <c r="DD12" t="s">
        <v>230</v>
      </c>
      <c r="DE12" t="s">
        <v>231</v>
      </c>
      <c r="DF12" t="s">
        <v>178</v>
      </c>
      <c r="DG12" t="s">
        <v>232</v>
      </c>
      <c r="DH12" t="s">
        <v>233</v>
      </c>
      <c r="DI12" t="s">
        <v>178</v>
      </c>
      <c r="DJ12" t="s">
        <v>234</v>
      </c>
      <c r="DK12" t="s">
        <v>235</v>
      </c>
      <c r="DL12" t="s">
        <v>236</v>
      </c>
      <c r="DM12" t="s">
        <v>172</v>
      </c>
      <c r="DN12" t="s">
        <v>555</v>
      </c>
      <c r="DO12" t="s">
        <v>237</v>
      </c>
      <c r="DP12" t="s">
        <v>238</v>
      </c>
      <c r="DQ12" t="s">
        <v>239</v>
      </c>
      <c r="DR12" t="s">
        <v>240</v>
      </c>
      <c r="DS12" t="s">
        <v>241</v>
      </c>
      <c r="DT12" t="s">
        <v>242</v>
      </c>
    </row>
    <row r="13" spans="1:124" x14ac:dyDescent="0.45">
      <c r="A13" t="s">
        <v>366</v>
      </c>
      <c r="B13" t="s">
        <v>588</v>
      </c>
      <c r="C13" t="s">
        <v>161</v>
      </c>
      <c r="D13" t="s">
        <v>162</v>
      </c>
      <c r="E13" t="s">
        <v>163</v>
      </c>
      <c r="H13" t="s">
        <v>589</v>
      </c>
      <c r="I13" t="s">
        <v>590</v>
      </c>
      <c r="J13">
        <f t="shared" si="0"/>
        <v>0.29329102687124142</v>
      </c>
      <c r="K13">
        <f t="shared" si="1"/>
        <v>2.9042299199999997</v>
      </c>
      <c r="L13">
        <f t="shared" si="2"/>
        <v>0.26638905253785761</v>
      </c>
      <c r="M13">
        <f t="shared" si="3"/>
        <v>2.8422662475434328</v>
      </c>
      <c r="N13" t="s">
        <v>591</v>
      </c>
      <c r="O13" t="s">
        <v>592</v>
      </c>
      <c r="P13">
        <f t="shared" si="4"/>
        <v>4.2020693701883545</v>
      </c>
      <c r="Q13">
        <f t="shared" si="5"/>
        <v>1.0342773701883545</v>
      </c>
      <c r="R13" t="s">
        <v>593</v>
      </c>
      <c r="S13" t="s">
        <v>594</v>
      </c>
      <c r="T13">
        <f t="shared" si="6"/>
        <v>41.765921580244061</v>
      </c>
      <c r="U13">
        <f t="shared" si="7"/>
        <v>0.4417875</v>
      </c>
      <c r="V13" t="s">
        <v>170</v>
      </c>
      <c r="W13" t="s">
        <v>595</v>
      </c>
      <c r="X13" t="s">
        <v>172</v>
      </c>
      <c r="Y13" t="s">
        <v>172</v>
      </c>
      <c r="Z13" t="s">
        <v>172</v>
      </c>
      <c r="AA13" t="s">
        <v>596</v>
      </c>
      <c r="AB13" t="s">
        <v>597</v>
      </c>
      <c r="AC13" t="s">
        <v>598</v>
      </c>
      <c r="AD13" t="s">
        <v>176</v>
      </c>
      <c r="AE13" t="s">
        <v>177</v>
      </c>
      <c r="AF13">
        <f t="shared" si="8"/>
        <v>46.092939479999998</v>
      </c>
      <c r="AG13" t="s">
        <v>178</v>
      </c>
      <c r="AH13" t="s">
        <v>599</v>
      </c>
      <c r="AI13" t="s">
        <v>600</v>
      </c>
      <c r="AJ13" t="s">
        <v>601</v>
      </c>
      <c r="AK13" t="s">
        <v>602</v>
      </c>
      <c r="AL13">
        <f t="shared" si="9"/>
        <v>29.76</v>
      </c>
      <c r="AM13" t="s">
        <v>256</v>
      </c>
      <c r="AN13" t="s">
        <v>603</v>
      </c>
      <c r="AO13" t="s">
        <v>604</v>
      </c>
      <c r="AP13" t="s">
        <v>605</v>
      </c>
      <c r="AQ13" t="s">
        <v>606</v>
      </c>
      <c r="AR13" t="s">
        <v>607</v>
      </c>
      <c r="AS13" t="s">
        <v>608</v>
      </c>
      <c r="AT13" t="s">
        <v>159</v>
      </c>
      <c r="AU13" t="s">
        <v>609</v>
      </c>
      <c r="AV13" t="s">
        <v>610</v>
      </c>
      <c r="AW13" t="s">
        <v>611</v>
      </c>
      <c r="AX13" t="s">
        <v>612</v>
      </c>
      <c r="AY13" t="s">
        <v>613</v>
      </c>
      <c r="AZ13" t="s">
        <v>268</v>
      </c>
      <c r="BA13" t="s">
        <v>614</v>
      </c>
      <c r="BB13" t="s">
        <v>615</v>
      </c>
      <c r="BC13" t="s">
        <v>616</v>
      </c>
      <c r="BD13" t="s">
        <v>161</v>
      </c>
      <c r="BE13" t="s">
        <v>535</v>
      </c>
      <c r="BF13" t="s">
        <v>617</v>
      </c>
      <c r="BG13" t="s">
        <v>618</v>
      </c>
      <c r="BH13" t="s">
        <v>619</v>
      </c>
      <c r="BI13" t="s">
        <v>620</v>
      </c>
      <c r="BJ13" t="s">
        <v>452</v>
      </c>
      <c r="BK13" t="s">
        <v>161</v>
      </c>
      <c r="BL13" t="s">
        <v>453</v>
      </c>
      <c r="BM13" t="s">
        <v>159</v>
      </c>
      <c r="BN13" t="s">
        <v>368</v>
      </c>
      <c r="BO13" t="s">
        <v>209</v>
      </c>
      <c r="BP13" t="s">
        <v>575</v>
      </c>
      <c r="BQ13" t="s">
        <v>621</v>
      </c>
      <c r="BR13" t="s">
        <v>622</v>
      </c>
      <c r="BS13" t="s">
        <v>623</v>
      </c>
      <c r="BT13" t="s">
        <v>159</v>
      </c>
      <c r="BU13" t="s">
        <v>208</v>
      </c>
      <c r="BV13" t="s">
        <v>209</v>
      </c>
      <c r="BW13" t="s">
        <v>210</v>
      </c>
      <c r="BX13" t="s">
        <v>211</v>
      </c>
      <c r="BY13" t="s">
        <v>172</v>
      </c>
      <c r="BZ13" t="s">
        <v>212</v>
      </c>
      <c r="CA13" t="s">
        <v>172</v>
      </c>
      <c r="CB13" t="s">
        <v>172</v>
      </c>
      <c r="CC13" t="s">
        <v>213</v>
      </c>
      <c r="CD13" t="s">
        <v>214</v>
      </c>
      <c r="CE13" t="s">
        <v>215</v>
      </c>
      <c r="CF13" t="s">
        <v>216</v>
      </c>
      <c r="CG13" t="s">
        <v>217</v>
      </c>
      <c r="CH13" t="s">
        <v>218</v>
      </c>
      <c r="CI13" t="s">
        <v>178</v>
      </c>
      <c r="CJ13" t="s">
        <v>210</v>
      </c>
      <c r="CK13" t="s">
        <v>219</v>
      </c>
      <c r="CL13" t="s">
        <v>219</v>
      </c>
      <c r="CM13" t="s">
        <v>219</v>
      </c>
      <c r="CN13" t="s">
        <v>172</v>
      </c>
      <c r="CO13" t="s">
        <v>220</v>
      </c>
      <c r="CP13" t="s">
        <v>172</v>
      </c>
      <c r="CQ13" t="s">
        <v>172</v>
      </c>
      <c r="CR13" t="s">
        <v>172</v>
      </c>
      <c r="CS13" t="s">
        <v>172</v>
      </c>
      <c r="CT13" t="s">
        <v>624</v>
      </c>
      <c r="CU13" t="s">
        <v>625</v>
      </c>
      <c r="CV13" t="s">
        <v>626</v>
      </c>
      <c r="CW13" t="s">
        <v>627</v>
      </c>
      <c r="CX13" t="s">
        <v>628</v>
      </c>
      <c r="CY13" t="s">
        <v>629</v>
      </c>
      <c r="CZ13" t="s">
        <v>630</v>
      </c>
      <c r="DA13" t="s">
        <v>631</v>
      </c>
      <c r="DB13" t="s">
        <v>596</v>
      </c>
      <c r="DC13" t="s">
        <v>380</v>
      </c>
      <c r="DD13" t="s">
        <v>230</v>
      </c>
      <c r="DE13" t="s">
        <v>231</v>
      </c>
      <c r="DF13" t="s">
        <v>178</v>
      </c>
      <c r="DG13" t="s">
        <v>232</v>
      </c>
      <c r="DH13" t="s">
        <v>233</v>
      </c>
      <c r="DI13" t="s">
        <v>178</v>
      </c>
      <c r="DJ13" t="s">
        <v>234</v>
      </c>
      <c r="DK13" t="s">
        <v>235</v>
      </c>
      <c r="DL13" t="s">
        <v>236</v>
      </c>
      <c r="DM13" t="s">
        <v>172</v>
      </c>
      <c r="DN13" t="s">
        <v>595</v>
      </c>
      <c r="DO13" t="s">
        <v>237</v>
      </c>
      <c r="DP13" t="s">
        <v>238</v>
      </c>
      <c r="DQ13" t="s">
        <v>239</v>
      </c>
      <c r="DR13" t="s">
        <v>240</v>
      </c>
      <c r="DS13" t="s">
        <v>241</v>
      </c>
      <c r="DT13" t="s">
        <v>242</v>
      </c>
    </row>
    <row r="14" spans="1:124" x14ac:dyDescent="0.45">
      <c r="A14" t="s">
        <v>619</v>
      </c>
      <c r="B14" t="s">
        <v>632</v>
      </c>
      <c r="C14" t="s">
        <v>161</v>
      </c>
      <c r="D14" t="s">
        <v>162</v>
      </c>
      <c r="E14" t="s">
        <v>163</v>
      </c>
      <c r="H14" t="s">
        <v>589</v>
      </c>
      <c r="I14" t="s">
        <v>633</v>
      </c>
      <c r="J14">
        <f t="shared" si="0"/>
        <v>0.23111501740073992</v>
      </c>
      <c r="K14">
        <f t="shared" si="1"/>
        <v>2.9034264800000003</v>
      </c>
      <c r="L14">
        <f t="shared" si="2"/>
        <v>0.2140745183955626</v>
      </c>
      <c r="M14">
        <f t="shared" si="3"/>
        <v>2.3766776430075063</v>
      </c>
      <c r="N14" t="s">
        <v>634</v>
      </c>
      <c r="O14" t="s">
        <v>635</v>
      </c>
      <c r="P14">
        <f t="shared" si="4"/>
        <v>4.2433495836612156</v>
      </c>
      <c r="Q14">
        <f t="shared" si="5"/>
        <v>1.0756545836612155</v>
      </c>
      <c r="R14" t="s">
        <v>636</v>
      </c>
      <c r="S14" t="s">
        <v>637</v>
      </c>
      <c r="T14">
        <f t="shared" si="6"/>
        <v>42.180413356473316</v>
      </c>
      <c r="U14">
        <f t="shared" si="7"/>
        <v>0.4417875</v>
      </c>
      <c r="V14" t="s">
        <v>170</v>
      </c>
      <c r="W14" t="s">
        <v>638</v>
      </c>
      <c r="X14" t="s">
        <v>172</v>
      </c>
      <c r="Y14" t="s">
        <v>172</v>
      </c>
      <c r="Z14" t="s">
        <v>172</v>
      </c>
      <c r="AA14" t="s">
        <v>639</v>
      </c>
      <c r="AB14" t="s">
        <v>640</v>
      </c>
      <c r="AC14" t="s">
        <v>641</v>
      </c>
      <c r="AD14" t="s">
        <v>176</v>
      </c>
      <c r="AE14" t="s">
        <v>177</v>
      </c>
      <c r="AF14">
        <f t="shared" si="8"/>
        <v>47.943209159999995</v>
      </c>
      <c r="AG14" t="s">
        <v>178</v>
      </c>
      <c r="AH14" t="s">
        <v>642</v>
      </c>
      <c r="AI14" t="s">
        <v>643</v>
      </c>
      <c r="AJ14" t="s">
        <v>601</v>
      </c>
      <c r="AK14" t="s">
        <v>644</v>
      </c>
      <c r="AL14">
        <f t="shared" si="9"/>
        <v>29.93</v>
      </c>
      <c r="AM14" t="s">
        <v>349</v>
      </c>
      <c r="AN14" t="s">
        <v>645</v>
      </c>
      <c r="AO14" t="s">
        <v>522</v>
      </c>
      <c r="AP14" t="s">
        <v>646</v>
      </c>
      <c r="AQ14" t="s">
        <v>647</v>
      </c>
      <c r="AR14" t="s">
        <v>648</v>
      </c>
      <c r="AS14" t="s">
        <v>649</v>
      </c>
      <c r="AT14" t="s">
        <v>262</v>
      </c>
      <c r="AU14" t="s">
        <v>401</v>
      </c>
      <c r="AV14" t="s">
        <v>650</v>
      </c>
      <c r="AW14" t="s">
        <v>651</v>
      </c>
      <c r="AX14" t="s">
        <v>652</v>
      </c>
      <c r="AY14" t="s">
        <v>653</v>
      </c>
      <c r="AZ14" t="s">
        <v>268</v>
      </c>
      <c r="BA14" t="s">
        <v>654</v>
      </c>
      <c r="BB14" t="s">
        <v>655</v>
      </c>
      <c r="BC14" t="s">
        <v>656</v>
      </c>
      <c r="BD14" t="s">
        <v>161</v>
      </c>
      <c r="BE14" t="s">
        <v>657</v>
      </c>
      <c r="BF14" t="s">
        <v>617</v>
      </c>
      <c r="BG14" t="s">
        <v>658</v>
      </c>
      <c r="BH14" t="s">
        <v>619</v>
      </c>
      <c r="BI14" t="s">
        <v>659</v>
      </c>
      <c r="BJ14" t="s">
        <v>452</v>
      </c>
      <c r="BK14" t="s">
        <v>161</v>
      </c>
      <c r="BL14" t="s">
        <v>453</v>
      </c>
      <c r="BM14" t="s">
        <v>159</v>
      </c>
      <c r="BN14" t="s">
        <v>203</v>
      </c>
      <c r="BO14" t="s">
        <v>203</v>
      </c>
      <c r="BP14" t="s">
        <v>575</v>
      </c>
      <c r="BQ14" t="s">
        <v>660</v>
      </c>
      <c r="BR14" t="s">
        <v>661</v>
      </c>
      <c r="BS14" t="s">
        <v>662</v>
      </c>
      <c r="BT14" t="s">
        <v>159</v>
      </c>
      <c r="BU14" t="s">
        <v>208</v>
      </c>
      <c r="BV14" t="s">
        <v>209</v>
      </c>
      <c r="BW14" t="s">
        <v>210</v>
      </c>
      <c r="BX14" t="s">
        <v>211</v>
      </c>
      <c r="BY14" t="s">
        <v>172</v>
      </c>
      <c r="BZ14" t="s">
        <v>212</v>
      </c>
      <c r="CA14" t="s">
        <v>172</v>
      </c>
      <c r="CB14" t="s">
        <v>172</v>
      </c>
      <c r="CC14" t="s">
        <v>213</v>
      </c>
      <c r="CD14" t="s">
        <v>214</v>
      </c>
      <c r="CE14" t="s">
        <v>215</v>
      </c>
      <c r="CF14" t="s">
        <v>216</v>
      </c>
      <c r="CG14" t="s">
        <v>217</v>
      </c>
      <c r="CH14" t="s">
        <v>218</v>
      </c>
      <c r="CI14" t="s">
        <v>178</v>
      </c>
      <c r="CJ14" t="s">
        <v>210</v>
      </c>
      <c r="CK14" t="s">
        <v>219</v>
      </c>
      <c r="CL14" t="s">
        <v>219</v>
      </c>
      <c r="CM14" t="s">
        <v>219</v>
      </c>
      <c r="CN14" t="s">
        <v>172</v>
      </c>
      <c r="CO14" t="s">
        <v>220</v>
      </c>
      <c r="CP14" t="s">
        <v>172</v>
      </c>
      <c r="CQ14" t="s">
        <v>172</v>
      </c>
      <c r="CR14" t="s">
        <v>172</v>
      </c>
      <c r="CS14" t="s">
        <v>172</v>
      </c>
      <c r="CT14" t="s">
        <v>663</v>
      </c>
      <c r="CU14" t="s">
        <v>664</v>
      </c>
      <c r="CV14" t="s">
        <v>665</v>
      </c>
      <c r="CW14" t="s">
        <v>666</v>
      </c>
      <c r="CX14" t="s">
        <v>667</v>
      </c>
      <c r="CY14" t="s">
        <v>668</v>
      </c>
      <c r="CZ14" t="s">
        <v>669</v>
      </c>
      <c r="DA14" t="s">
        <v>670</v>
      </c>
      <c r="DB14" t="s">
        <v>639</v>
      </c>
      <c r="DC14" t="s">
        <v>290</v>
      </c>
      <c r="DD14" t="s">
        <v>230</v>
      </c>
      <c r="DE14" t="s">
        <v>231</v>
      </c>
      <c r="DF14" t="s">
        <v>178</v>
      </c>
      <c r="DG14" t="s">
        <v>232</v>
      </c>
      <c r="DH14" t="s">
        <v>233</v>
      </c>
      <c r="DI14" t="s">
        <v>178</v>
      </c>
      <c r="DJ14" t="s">
        <v>234</v>
      </c>
      <c r="DK14" t="s">
        <v>235</v>
      </c>
      <c r="DL14" t="s">
        <v>236</v>
      </c>
      <c r="DM14" t="s">
        <v>172</v>
      </c>
      <c r="DN14" t="s">
        <v>638</v>
      </c>
      <c r="DO14" t="s">
        <v>237</v>
      </c>
      <c r="DP14" t="s">
        <v>238</v>
      </c>
      <c r="DQ14" t="s">
        <v>239</v>
      </c>
      <c r="DR14" t="s">
        <v>240</v>
      </c>
      <c r="DS14" t="s">
        <v>241</v>
      </c>
      <c r="DT14" t="s">
        <v>242</v>
      </c>
    </row>
    <row r="15" spans="1:124" x14ac:dyDescent="0.45">
      <c r="A15" t="s">
        <v>450</v>
      </c>
      <c r="B15" t="s">
        <v>671</v>
      </c>
      <c r="C15" t="s">
        <v>161</v>
      </c>
      <c r="D15" t="s">
        <v>162</v>
      </c>
      <c r="E15" t="s">
        <v>163</v>
      </c>
      <c r="H15" t="s">
        <v>589</v>
      </c>
      <c r="I15" t="s">
        <v>672</v>
      </c>
      <c r="J15">
        <f t="shared" si="0"/>
        <v>0.31950991599469114</v>
      </c>
      <c r="K15">
        <f t="shared" si="1"/>
        <v>2.9074300800000006</v>
      </c>
      <c r="L15">
        <f t="shared" si="2"/>
        <v>0.28787419095931849</v>
      </c>
      <c r="M15">
        <f t="shared" si="3"/>
        <v>2.8002988778925468</v>
      </c>
      <c r="N15" t="s">
        <v>673</v>
      </c>
      <c r="O15" t="s">
        <v>674</v>
      </c>
      <c r="P15">
        <f t="shared" si="4"/>
        <v>4.1539529143348428</v>
      </c>
      <c r="Q15">
        <f t="shared" si="5"/>
        <v>0.94261391433484265</v>
      </c>
      <c r="R15" t="s">
        <v>675</v>
      </c>
      <c r="S15" t="s">
        <v>676</v>
      </c>
      <c r="T15">
        <f t="shared" si="6"/>
        <v>41.29177847251335</v>
      </c>
      <c r="U15">
        <f t="shared" si="7"/>
        <v>0.4417875</v>
      </c>
      <c r="V15" t="s">
        <v>170</v>
      </c>
      <c r="W15" t="s">
        <v>677</v>
      </c>
      <c r="X15" t="s">
        <v>172</v>
      </c>
      <c r="Y15" t="s">
        <v>172</v>
      </c>
      <c r="Z15" t="s">
        <v>172</v>
      </c>
      <c r="AA15" t="s">
        <v>678</v>
      </c>
      <c r="AB15" t="s">
        <v>679</v>
      </c>
      <c r="AC15" t="s">
        <v>680</v>
      </c>
      <c r="AD15" t="s">
        <v>176</v>
      </c>
      <c r="AE15" t="s">
        <v>177</v>
      </c>
      <c r="AF15">
        <f t="shared" si="8"/>
        <v>44.874352739999999</v>
      </c>
      <c r="AG15" t="s">
        <v>178</v>
      </c>
      <c r="AH15" t="s">
        <v>345</v>
      </c>
      <c r="AI15" t="s">
        <v>681</v>
      </c>
      <c r="AJ15" t="s">
        <v>682</v>
      </c>
      <c r="AK15" t="s">
        <v>562</v>
      </c>
      <c r="AL15">
        <f t="shared" si="9"/>
        <v>29.56</v>
      </c>
      <c r="AM15" t="s">
        <v>349</v>
      </c>
      <c r="AN15" t="s">
        <v>683</v>
      </c>
      <c r="AO15" t="s">
        <v>684</v>
      </c>
      <c r="AP15" t="s">
        <v>685</v>
      </c>
      <c r="AQ15" t="s">
        <v>686</v>
      </c>
      <c r="AR15" t="s">
        <v>687</v>
      </c>
      <c r="AS15" t="s">
        <v>688</v>
      </c>
      <c r="AT15" t="s">
        <v>381</v>
      </c>
      <c r="AU15" t="s">
        <v>689</v>
      </c>
      <c r="AV15" t="s">
        <v>690</v>
      </c>
      <c r="AW15" t="s">
        <v>691</v>
      </c>
      <c r="AX15" t="s">
        <v>692</v>
      </c>
      <c r="AY15" t="s">
        <v>693</v>
      </c>
      <c r="AZ15" t="s">
        <v>268</v>
      </c>
      <c r="BA15" t="s">
        <v>654</v>
      </c>
      <c r="BB15" t="s">
        <v>655</v>
      </c>
      <c r="BC15" t="s">
        <v>694</v>
      </c>
      <c r="BD15" t="s">
        <v>161</v>
      </c>
      <c r="BE15" t="s">
        <v>695</v>
      </c>
      <c r="BF15" t="s">
        <v>494</v>
      </c>
      <c r="BG15" t="s">
        <v>696</v>
      </c>
      <c r="BH15" t="s">
        <v>450</v>
      </c>
      <c r="BI15" t="s">
        <v>697</v>
      </c>
      <c r="BJ15" t="s">
        <v>452</v>
      </c>
      <c r="BK15" t="s">
        <v>161</v>
      </c>
      <c r="BL15" t="s">
        <v>453</v>
      </c>
      <c r="BM15" t="s">
        <v>159</v>
      </c>
      <c r="BN15" t="s">
        <v>368</v>
      </c>
      <c r="BO15" t="s">
        <v>276</v>
      </c>
      <c r="BP15" t="s">
        <v>575</v>
      </c>
      <c r="BQ15" t="s">
        <v>698</v>
      </c>
      <c r="BR15" t="s">
        <v>699</v>
      </c>
      <c r="BS15" t="s">
        <v>700</v>
      </c>
      <c r="BT15" t="s">
        <v>159</v>
      </c>
      <c r="BU15" t="s">
        <v>208</v>
      </c>
      <c r="BV15" t="s">
        <v>209</v>
      </c>
      <c r="BW15" t="s">
        <v>210</v>
      </c>
      <c r="BX15" t="s">
        <v>211</v>
      </c>
      <c r="BY15" t="s">
        <v>172</v>
      </c>
      <c r="BZ15" t="s">
        <v>212</v>
      </c>
      <c r="CA15" t="s">
        <v>172</v>
      </c>
      <c r="CB15" t="s">
        <v>172</v>
      </c>
      <c r="CC15" t="s">
        <v>213</v>
      </c>
      <c r="CD15" t="s">
        <v>214</v>
      </c>
      <c r="CE15" t="s">
        <v>215</v>
      </c>
      <c r="CF15" t="s">
        <v>216</v>
      </c>
      <c r="CG15" t="s">
        <v>217</v>
      </c>
      <c r="CH15" t="s">
        <v>218</v>
      </c>
      <c r="CI15" t="s">
        <v>178</v>
      </c>
      <c r="CJ15" t="s">
        <v>210</v>
      </c>
      <c r="CK15" t="s">
        <v>219</v>
      </c>
      <c r="CL15" t="s">
        <v>219</v>
      </c>
      <c r="CM15" t="s">
        <v>219</v>
      </c>
      <c r="CN15" t="s">
        <v>172</v>
      </c>
      <c r="CO15" t="s">
        <v>220</v>
      </c>
      <c r="CP15" t="s">
        <v>172</v>
      </c>
      <c r="CQ15" t="s">
        <v>172</v>
      </c>
      <c r="CR15" t="s">
        <v>172</v>
      </c>
      <c r="CS15" t="s">
        <v>172</v>
      </c>
      <c r="CT15" t="s">
        <v>701</v>
      </c>
      <c r="CU15" t="s">
        <v>702</v>
      </c>
      <c r="CV15" t="s">
        <v>703</v>
      </c>
      <c r="CW15" t="s">
        <v>704</v>
      </c>
      <c r="CX15" t="s">
        <v>705</v>
      </c>
      <c r="CY15" t="s">
        <v>706</v>
      </c>
      <c r="CZ15" t="s">
        <v>707</v>
      </c>
      <c r="DA15" t="s">
        <v>708</v>
      </c>
      <c r="DB15" t="s">
        <v>678</v>
      </c>
      <c r="DC15" t="s">
        <v>380</v>
      </c>
      <c r="DD15" t="s">
        <v>230</v>
      </c>
      <c r="DE15" t="s">
        <v>231</v>
      </c>
      <c r="DF15" t="s">
        <v>178</v>
      </c>
      <c r="DG15" t="s">
        <v>232</v>
      </c>
      <c r="DH15" t="s">
        <v>233</v>
      </c>
      <c r="DI15" t="s">
        <v>178</v>
      </c>
      <c r="DJ15" t="s">
        <v>234</v>
      </c>
      <c r="DK15" t="s">
        <v>235</v>
      </c>
      <c r="DL15" t="s">
        <v>236</v>
      </c>
      <c r="DM15" t="s">
        <v>172</v>
      </c>
      <c r="DN15" t="s">
        <v>677</v>
      </c>
      <c r="DO15" t="s">
        <v>237</v>
      </c>
      <c r="DP15" t="s">
        <v>238</v>
      </c>
      <c r="DQ15" t="s">
        <v>239</v>
      </c>
      <c r="DR15" t="s">
        <v>240</v>
      </c>
      <c r="DS15" t="s">
        <v>241</v>
      </c>
      <c r="DT15" t="s">
        <v>242</v>
      </c>
    </row>
    <row r="16" spans="1:124" x14ac:dyDescent="0.45">
      <c r="A16" t="s">
        <v>709</v>
      </c>
      <c r="B16" t="s">
        <v>710</v>
      </c>
      <c r="C16" t="s">
        <v>161</v>
      </c>
      <c r="D16" t="s">
        <v>162</v>
      </c>
      <c r="E16" t="s">
        <v>163</v>
      </c>
      <c r="H16" t="s">
        <v>589</v>
      </c>
      <c r="I16" t="s">
        <v>711</v>
      </c>
      <c r="J16">
        <f t="shared" si="0"/>
        <v>0.23008125478182792</v>
      </c>
      <c r="K16">
        <f t="shared" si="1"/>
        <v>2.9058327199999998</v>
      </c>
      <c r="L16">
        <f t="shared" si="2"/>
        <v>0.21320024840611462</v>
      </c>
      <c r="M16">
        <f t="shared" si="3"/>
        <v>2.2855361168797219</v>
      </c>
      <c r="N16" t="s">
        <v>712</v>
      </c>
      <c r="O16" t="s">
        <v>713</v>
      </c>
      <c r="P16">
        <f t="shared" si="4"/>
        <v>4.2287399203826004</v>
      </c>
      <c r="Q16">
        <f t="shared" si="5"/>
        <v>1.0385299203826004</v>
      </c>
      <c r="R16" t="s">
        <v>714</v>
      </c>
      <c r="S16" t="s">
        <v>715</v>
      </c>
      <c r="T16">
        <f t="shared" si="6"/>
        <v>42.035188075373767</v>
      </c>
      <c r="U16">
        <f t="shared" si="7"/>
        <v>0.4417875</v>
      </c>
      <c r="V16" t="s">
        <v>170</v>
      </c>
      <c r="W16" t="s">
        <v>716</v>
      </c>
      <c r="X16" t="s">
        <v>172</v>
      </c>
      <c r="Y16" t="s">
        <v>172</v>
      </c>
      <c r="Z16" t="s">
        <v>172</v>
      </c>
      <c r="AA16" t="s">
        <v>717</v>
      </c>
      <c r="AB16" t="s">
        <v>718</v>
      </c>
      <c r="AC16" t="s">
        <v>719</v>
      </c>
      <c r="AD16" t="s">
        <v>176</v>
      </c>
      <c r="AE16" t="s">
        <v>177</v>
      </c>
      <c r="AF16">
        <f t="shared" si="8"/>
        <v>51.142690200000004</v>
      </c>
      <c r="AG16" t="s">
        <v>178</v>
      </c>
      <c r="AH16" t="s">
        <v>720</v>
      </c>
      <c r="AI16" t="s">
        <v>721</v>
      </c>
      <c r="AJ16" t="s">
        <v>722</v>
      </c>
      <c r="AK16" t="s">
        <v>723</v>
      </c>
      <c r="AL16">
        <f t="shared" si="9"/>
        <v>29.87</v>
      </c>
      <c r="AM16" t="s">
        <v>349</v>
      </c>
      <c r="AN16" t="s">
        <v>184</v>
      </c>
      <c r="AO16" t="s">
        <v>724</v>
      </c>
      <c r="AP16" t="s">
        <v>523</v>
      </c>
      <c r="AQ16" t="s">
        <v>725</v>
      </c>
      <c r="AR16" t="s">
        <v>687</v>
      </c>
      <c r="AS16" t="s">
        <v>726</v>
      </c>
      <c r="AT16" t="s">
        <v>190</v>
      </c>
      <c r="AU16" t="s">
        <v>567</v>
      </c>
      <c r="AV16" t="s">
        <v>727</v>
      </c>
      <c r="AW16" t="s">
        <v>728</v>
      </c>
      <c r="AX16" t="s">
        <v>729</v>
      </c>
      <c r="AY16" t="s">
        <v>730</v>
      </c>
      <c r="AZ16" t="s">
        <v>268</v>
      </c>
      <c r="BA16" t="s">
        <v>731</v>
      </c>
      <c r="BB16" t="s">
        <v>732</v>
      </c>
      <c r="BC16" t="s">
        <v>733</v>
      </c>
      <c r="BD16" t="s">
        <v>161</v>
      </c>
      <c r="BE16" t="s">
        <v>734</v>
      </c>
      <c r="BF16" t="s">
        <v>494</v>
      </c>
      <c r="BG16" t="s">
        <v>735</v>
      </c>
      <c r="BH16" t="s">
        <v>450</v>
      </c>
      <c r="BI16" t="s">
        <v>697</v>
      </c>
      <c r="BJ16" t="s">
        <v>452</v>
      </c>
      <c r="BK16" t="s">
        <v>161</v>
      </c>
      <c r="BL16" t="s">
        <v>453</v>
      </c>
      <c r="BM16" t="s">
        <v>159</v>
      </c>
      <c r="BN16" t="s">
        <v>277</v>
      </c>
      <c r="BO16" t="s">
        <v>276</v>
      </c>
      <c r="BP16" t="s">
        <v>203</v>
      </c>
      <c r="BQ16" t="s">
        <v>278</v>
      </c>
      <c r="BR16" t="s">
        <v>736</v>
      </c>
      <c r="BS16" t="s">
        <v>737</v>
      </c>
      <c r="BT16" t="s">
        <v>159</v>
      </c>
      <c r="BU16" t="s">
        <v>208</v>
      </c>
      <c r="BV16" t="s">
        <v>209</v>
      </c>
      <c r="BW16" t="s">
        <v>210</v>
      </c>
      <c r="BX16" t="s">
        <v>211</v>
      </c>
      <c r="BY16" t="s">
        <v>172</v>
      </c>
      <c r="BZ16" t="s">
        <v>212</v>
      </c>
      <c r="CA16" t="s">
        <v>172</v>
      </c>
      <c r="CB16" t="s">
        <v>172</v>
      </c>
      <c r="CC16" t="s">
        <v>213</v>
      </c>
      <c r="CD16" t="s">
        <v>214</v>
      </c>
      <c r="CE16" t="s">
        <v>215</v>
      </c>
      <c r="CF16" t="s">
        <v>216</v>
      </c>
      <c r="CG16" t="s">
        <v>217</v>
      </c>
      <c r="CH16" t="s">
        <v>218</v>
      </c>
      <c r="CI16" t="s">
        <v>178</v>
      </c>
      <c r="CJ16" t="s">
        <v>210</v>
      </c>
      <c r="CK16" t="s">
        <v>219</v>
      </c>
      <c r="CL16" t="s">
        <v>219</v>
      </c>
      <c r="CM16" t="s">
        <v>219</v>
      </c>
      <c r="CN16" t="s">
        <v>172</v>
      </c>
      <c r="CO16" t="s">
        <v>220</v>
      </c>
      <c r="CP16" t="s">
        <v>172</v>
      </c>
      <c r="CQ16" t="s">
        <v>172</v>
      </c>
      <c r="CR16" t="s">
        <v>172</v>
      </c>
      <c r="CS16" t="s">
        <v>172</v>
      </c>
      <c r="CT16" t="s">
        <v>738</v>
      </c>
      <c r="CU16" t="s">
        <v>739</v>
      </c>
      <c r="CV16" t="s">
        <v>740</v>
      </c>
      <c r="CW16" t="s">
        <v>741</v>
      </c>
      <c r="CX16" t="s">
        <v>742</v>
      </c>
      <c r="CY16" t="s">
        <v>743</v>
      </c>
      <c r="CZ16" t="s">
        <v>744</v>
      </c>
      <c r="DA16" t="s">
        <v>745</v>
      </c>
      <c r="DB16" t="s">
        <v>717</v>
      </c>
      <c r="DC16" t="s">
        <v>290</v>
      </c>
      <c r="DD16" t="s">
        <v>230</v>
      </c>
      <c r="DE16" t="s">
        <v>231</v>
      </c>
      <c r="DF16" t="s">
        <v>178</v>
      </c>
      <c r="DG16" t="s">
        <v>232</v>
      </c>
      <c r="DH16" t="s">
        <v>233</v>
      </c>
      <c r="DI16" t="s">
        <v>178</v>
      </c>
      <c r="DJ16" t="s">
        <v>234</v>
      </c>
      <c r="DK16" t="s">
        <v>235</v>
      </c>
      <c r="DL16" t="s">
        <v>236</v>
      </c>
      <c r="DM16" t="s">
        <v>172</v>
      </c>
      <c r="DN16" t="s">
        <v>716</v>
      </c>
      <c r="DO16" t="s">
        <v>237</v>
      </c>
      <c r="DP16" t="s">
        <v>238</v>
      </c>
      <c r="DQ16" t="s">
        <v>239</v>
      </c>
      <c r="DR16" t="s">
        <v>240</v>
      </c>
      <c r="DS16" t="s">
        <v>241</v>
      </c>
      <c r="DT16" t="s">
        <v>242</v>
      </c>
    </row>
    <row r="17" spans="1:124" x14ac:dyDescent="0.45">
      <c r="A17" t="s">
        <v>746</v>
      </c>
      <c r="B17" t="s">
        <v>747</v>
      </c>
      <c r="C17" t="s">
        <v>161</v>
      </c>
      <c r="D17" t="s">
        <v>162</v>
      </c>
      <c r="E17" t="s">
        <v>163</v>
      </c>
      <c r="H17" t="s">
        <v>589</v>
      </c>
      <c r="I17" t="s">
        <v>748</v>
      </c>
      <c r="J17">
        <f t="shared" si="0"/>
        <v>0.34722275850903267</v>
      </c>
      <c r="K17">
        <f t="shared" si="1"/>
        <v>2.9042299199999997</v>
      </c>
      <c r="L17">
        <f t="shared" si="2"/>
        <v>0.31014282656860936</v>
      </c>
      <c r="M17">
        <f t="shared" si="3"/>
        <v>2.8153080588039172</v>
      </c>
      <c r="N17" t="s">
        <v>749</v>
      </c>
      <c r="O17" t="s">
        <v>750</v>
      </c>
      <c r="P17">
        <f t="shared" si="4"/>
        <v>4.1015801985633829</v>
      </c>
      <c r="Q17">
        <f t="shared" si="5"/>
        <v>0.8801571985633827</v>
      </c>
      <c r="R17" t="s">
        <v>751</v>
      </c>
      <c r="S17" t="s">
        <v>752</v>
      </c>
      <c r="T17">
        <f t="shared" si="6"/>
        <v>40.767122538151106</v>
      </c>
      <c r="U17">
        <f t="shared" si="7"/>
        <v>0.4417875</v>
      </c>
      <c r="V17" t="s">
        <v>170</v>
      </c>
      <c r="W17" t="s">
        <v>753</v>
      </c>
      <c r="X17" t="s">
        <v>172</v>
      </c>
      <c r="Y17" t="s">
        <v>172</v>
      </c>
      <c r="Z17" t="s">
        <v>172</v>
      </c>
      <c r="AA17" t="s">
        <v>754</v>
      </c>
      <c r="AB17" t="s">
        <v>755</v>
      </c>
      <c r="AC17" t="s">
        <v>756</v>
      </c>
      <c r="AD17" t="s">
        <v>176</v>
      </c>
      <c r="AE17" t="s">
        <v>177</v>
      </c>
      <c r="AF17">
        <f t="shared" si="8"/>
        <v>57.544132799999993</v>
      </c>
      <c r="AG17" t="s">
        <v>178</v>
      </c>
      <c r="AH17" t="s">
        <v>757</v>
      </c>
      <c r="AI17" t="s">
        <v>758</v>
      </c>
      <c r="AJ17" t="s">
        <v>759</v>
      </c>
      <c r="AK17" t="s">
        <v>760</v>
      </c>
      <c r="AL17">
        <f t="shared" si="9"/>
        <v>29.34</v>
      </c>
      <c r="AM17" t="s">
        <v>256</v>
      </c>
      <c r="AN17" t="s">
        <v>603</v>
      </c>
      <c r="AO17" t="s">
        <v>761</v>
      </c>
      <c r="AP17" t="s">
        <v>762</v>
      </c>
      <c r="AQ17" t="s">
        <v>763</v>
      </c>
      <c r="AR17" t="s">
        <v>648</v>
      </c>
      <c r="AS17" t="s">
        <v>764</v>
      </c>
      <c r="AT17" t="s">
        <v>215</v>
      </c>
      <c r="AU17" t="s">
        <v>765</v>
      </c>
      <c r="AV17" t="s">
        <v>766</v>
      </c>
      <c r="AW17" t="s">
        <v>767</v>
      </c>
      <c r="AX17" t="s">
        <v>768</v>
      </c>
      <c r="AY17" t="s">
        <v>769</v>
      </c>
      <c r="AZ17" t="s">
        <v>268</v>
      </c>
      <c r="BA17" t="s">
        <v>770</v>
      </c>
      <c r="BB17" t="s">
        <v>771</v>
      </c>
      <c r="BC17" t="s">
        <v>772</v>
      </c>
      <c r="BD17" t="s">
        <v>161</v>
      </c>
      <c r="BE17" t="s">
        <v>773</v>
      </c>
      <c r="BF17" t="s">
        <v>617</v>
      </c>
      <c r="BG17" t="s">
        <v>735</v>
      </c>
      <c r="BH17" t="s">
        <v>450</v>
      </c>
      <c r="BI17" t="s">
        <v>697</v>
      </c>
      <c r="BJ17" t="s">
        <v>452</v>
      </c>
      <c r="BK17" t="s">
        <v>161</v>
      </c>
      <c r="BL17" t="s">
        <v>453</v>
      </c>
      <c r="BM17" t="s">
        <v>159</v>
      </c>
      <c r="BN17" t="s">
        <v>368</v>
      </c>
      <c r="BO17" t="s">
        <v>209</v>
      </c>
      <c r="BP17" t="s">
        <v>209</v>
      </c>
      <c r="BQ17" t="s">
        <v>774</v>
      </c>
      <c r="BR17" t="s">
        <v>775</v>
      </c>
      <c r="BS17" t="s">
        <v>776</v>
      </c>
      <c r="BT17" t="s">
        <v>159</v>
      </c>
      <c r="BU17" t="s">
        <v>208</v>
      </c>
      <c r="BV17" t="s">
        <v>209</v>
      </c>
      <c r="BW17" t="s">
        <v>210</v>
      </c>
      <c r="BX17" t="s">
        <v>211</v>
      </c>
      <c r="BY17" t="s">
        <v>172</v>
      </c>
      <c r="BZ17" t="s">
        <v>212</v>
      </c>
      <c r="CA17" t="s">
        <v>172</v>
      </c>
      <c r="CB17" t="s">
        <v>172</v>
      </c>
      <c r="CC17" t="s">
        <v>213</v>
      </c>
      <c r="CD17" t="s">
        <v>214</v>
      </c>
      <c r="CE17" t="s">
        <v>215</v>
      </c>
      <c r="CF17" t="s">
        <v>216</v>
      </c>
      <c r="CG17" t="s">
        <v>217</v>
      </c>
      <c r="CH17" t="s">
        <v>218</v>
      </c>
      <c r="CI17" t="s">
        <v>178</v>
      </c>
      <c r="CJ17" t="s">
        <v>210</v>
      </c>
      <c r="CK17" t="s">
        <v>219</v>
      </c>
      <c r="CL17" t="s">
        <v>219</v>
      </c>
      <c r="CM17" t="s">
        <v>219</v>
      </c>
      <c r="CN17" t="s">
        <v>172</v>
      </c>
      <c r="CO17" t="s">
        <v>220</v>
      </c>
      <c r="CP17" t="s">
        <v>172</v>
      </c>
      <c r="CQ17" t="s">
        <v>172</v>
      </c>
      <c r="CR17" t="s">
        <v>172</v>
      </c>
      <c r="CS17" t="s">
        <v>172</v>
      </c>
      <c r="CT17" t="s">
        <v>777</v>
      </c>
      <c r="CU17" t="s">
        <v>778</v>
      </c>
      <c r="CV17" t="s">
        <v>779</v>
      </c>
      <c r="CW17" t="s">
        <v>780</v>
      </c>
      <c r="CX17" t="s">
        <v>781</v>
      </c>
      <c r="CY17" t="s">
        <v>782</v>
      </c>
      <c r="CZ17" t="s">
        <v>783</v>
      </c>
      <c r="DA17" t="s">
        <v>784</v>
      </c>
      <c r="DB17" t="s">
        <v>754</v>
      </c>
      <c r="DC17" t="s">
        <v>422</v>
      </c>
      <c r="DD17" t="s">
        <v>230</v>
      </c>
      <c r="DE17" t="s">
        <v>231</v>
      </c>
      <c r="DF17" t="s">
        <v>178</v>
      </c>
      <c r="DG17" t="s">
        <v>232</v>
      </c>
      <c r="DH17" t="s">
        <v>233</v>
      </c>
      <c r="DI17" t="s">
        <v>178</v>
      </c>
      <c r="DJ17" t="s">
        <v>234</v>
      </c>
      <c r="DK17" t="s">
        <v>235</v>
      </c>
      <c r="DL17" t="s">
        <v>236</v>
      </c>
      <c r="DM17" t="s">
        <v>172</v>
      </c>
      <c r="DN17" t="s">
        <v>753</v>
      </c>
      <c r="DO17" t="s">
        <v>237</v>
      </c>
      <c r="DP17" t="s">
        <v>238</v>
      </c>
      <c r="DQ17" t="s">
        <v>239</v>
      </c>
      <c r="DR17" t="s">
        <v>240</v>
      </c>
      <c r="DS17" t="s">
        <v>241</v>
      </c>
      <c r="DT17" t="s">
        <v>242</v>
      </c>
    </row>
    <row r="18" spans="1:124" x14ac:dyDescent="0.45">
      <c r="A18" t="s">
        <v>785</v>
      </c>
      <c r="B18" t="s">
        <v>786</v>
      </c>
      <c r="C18" t="s">
        <v>161</v>
      </c>
      <c r="D18" t="s">
        <v>162</v>
      </c>
      <c r="E18" t="s">
        <v>163</v>
      </c>
      <c r="H18" t="s">
        <v>589</v>
      </c>
      <c r="I18" t="s">
        <v>787</v>
      </c>
      <c r="J18">
        <f t="shared" si="0"/>
        <v>0.18454983340769926</v>
      </c>
      <c r="K18">
        <f t="shared" si="1"/>
        <v>2.9066320800000001</v>
      </c>
      <c r="L18">
        <f t="shared" si="2"/>
        <v>0.17353183383184659</v>
      </c>
      <c r="M18">
        <f t="shared" si="3"/>
        <v>1.9016823068015618</v>
      </c>
      <c r="N18" t="s">
        <v>788</v>
      </c>
      <c r="O18" t="s">
        <v>789</v>
      </c>
      <c r="P18">
        <f t="shared" si="4"/>
        <v>4.265346557993702</v>
      </c>
      <c r="Q18">
        <f t="shared" si="5"/>
        <v>1.061614557993702</v>
      </c>
      <c r="R18" t="s">
        <v>790</v>
      </c>
      <c r="S18" t="s">
        <v>791</v>
      </c>
      <c r="T18">
        <f t="shared" si="6"/>
        <v>42.399071153018909</v>
      </c>
      <c r="U18">
        <f t="shared" si="7"/>
        <v>0.4417875</v>
      </c>
      <c r="V18" t="s">
        <v>170</v>
      </c>
      <c r="W18" t="s">
        <v>792</v>
      </c>
      <c r="X18" t="s">
        <v>172</v>
      </c>
      <c r="Y18" t="s">
        <v>172</v>
      </c>
      <c r="Z18" t="s">
        <v>172</v>
      </c>
      <c r="AA18" t="s">
        <v>793</v>
      </c>
      <c r="AB18" t="s">
        <v>794</v>
      </c>
      <c r="AC18" t="s">
        <v>795</v>
      </c>
      <c r="AD18" t="s">
        <v>176</v>
      </c>
      <c r="AE18" t="s">
        <v>177</v>
      </c>
      <c r="AF18">
        <f t="shared" si="8"/>
        <v>55.349351399999996</v>
      </c>
      <c r="AG18" t="s">
        <v>178</v>
      </c>
      <c r="AH18" t="s">
        <v>796</v>
      </c>
      <c r="AI18" t="s">
        <v>797</v>
      </c>
      <c r="AJ18" t="s">
        <v>798</v>
      </c>
      <c r="AK18" t="s">
        <v>799</v>
      </c>
      <c r="AL18">
        <f t="shared" si="9"/>
        <v>30.02</v>
      </c>
      <c r="AM18" t="s">
        <v>349</v>
      </c>
      <c r="AN18" t="s">
        <v>396</v>
      </c>
      <c r="AO18" t="s">
        <v>800</v>
      </c>
      <c r="AP18" t="s">
        <v>801</v>
      </c>
      <c r="AQ18" t="s">
        <v>802</v>
      </c>
      <c r="AR18" t="s">
        <v>803</v>
      </c>
      <c r="AS18" t="s">
        <v>649</v>
      </c>
      <c r="AT18" t="s">
        <v>215</v>
      </c>
      <c r="AU18" t="s">
        <v>804</v>
      </c>
      <c r="AV18" t="s">
        <v>805</v>
      </c>
      <c r="AW18" t="s">
        <v>806</v>
      </c>
      <c r="AX18" t="s">
        <v>807</v>
      </c>
      <c r="AY18" t="s">
        <v>808</v>
      </c>
      <c r="AZ18" t="s">
        <v>268</v>
      </c>
      <c r="BA18" t="s">
        <v>770</v>
      </c>
      <c r="BB18" t="s">
        <v>771</v>
      </c>
      <c r="BC18" t="s">
        <v>809</v>
      </c>
      <c r="BD18" t="s">
        <v>161</v>
      </c>
      <c r="BE18" t="s">
        <v>734</v>
      </c>
      <c r="BF18" t="s">
        <v>407</v>
      </c>
      <c r="BG18" t="s">
        <v>810</v>
      </c>
      <c r="BH18" t="s">
        <v>619</v>
      </c>
      <c r="BI18" t="s">
        <v>409</v>
      </c>
      <c r="BJ18" t="s">
        <v>452</v>
      </c>
      <c r="BK18" t="s">
        <v>161</v>
      </c>
      <c r="BL18" t="s">
        <v>453</v>
      </c>
      <c r="BM18" t="s">
        <v>159</v>
      </c>
      <c r="BN18" t="s">
        <v>368</v>
      </c>
      <c r="BO18" t="s">
        <v>276</v>
      </c>
      <c r="BP18" t="s">
        <v>575</v>
      </c>
      <c r="BQ18" t="s">
        <v>811</v>
      </c>
      <c r="BR18" t="s">
        <v>812</v>
      </c>
      <c r="BS18" t="s">
        <v>813</v>
      </c>
      <c r="BT18" t="s">
        <v>159</v>
      </c>
      <c r="BU18" t="s">
        <v>208</v>
      </c>
      <c r="BV18" t="s">
        <v>209</v>
      </c>
      <c r="BW18" t="s">
        <v>210</v>
      </c>
      <c r="BX18" t="s">
        <v>211</v>
      </c>
      <c r="BY18" t="s">
        <v>172</v>
      </c>
      <c r="BZ18" t="s">
        <v>212</v>
      </c>
      <c r="CA18" t="s">
        <v>172</v>
      </c>
      <c r="CB18" t="s">
        <v>172</v>
      </c>
      <c r="CC18" t="s">
        <v>213</v>
      </c>
      <c r="CD18" t="s">
        <v>214</v>
      </c>
      <c r="CE18" t="s">
        <v>215</v>
      </c>
      <c r="CF18" t="s">
        <v>216</v>
      </c>
      <c r="CG18" t="s">
        <v>217</v>
      </c>
      <c r="CH18" t="s">
        <v>218</v>
      </c>
      <c r="CI18" t="s">
        <v>178</v>
      </c>
      <c r="CJ18" t="s">
        <v>210</v>
      </c>
      <c r="CK18" t="s">
        <v>219</v>
      </c>
      <c r="CL18" t="s">
        <v>219</v>
      </c>
      <c r="CM18" t="s">
        <v>219</v>
      </c>
      <c r="CN18" t="s">
        <v>172</v>
      </c>
      <c r="CO18" t="s">
        <v>220</v>
      </c>
      <c r="CP18" t="s">
        <v>172</v>
      </c>
      <c r="CQ18" t="s">
        <v>172</v>
      </c>
      <c r="CR18" t="s">
        <v>172</v>
      </c>
      <c r="CS18" t="s">
        <v>172</v>
      </c>
      <c r="CT18" t="s">
        <v>814</v>
      </c>
      <c r="CU18" t="s">
        <v>815</v>
      </c>
      <c r="CV18" t="s">
        <v>816</v>
      </c>
      <c r="CW18" t="s">
        <v>817</v>
      </c>
      <c r="CX18" t="s">
        <v>818</v>
      </c>
      <c r="CY18" t="s">
        <v>819</v>
      </c>
      <c r="CZ18" t="s">
        <v>820</v>
      </c>
      <c r="DA18" t="s">
        <v>821</v>
      </c>
      <c r="DB18" t="s">
        <v>793</v>
      </c>
      <c r="DC18" t="s">
        <v>822</v>
      </c>
      <c r="DD18" t="s">
        <v>230</v>
      </c>
      <c r="DE18" t="s">
        <v>231</v>
      </c>
      <c r="DF18" t="s">
        <v>178</v>
      </c>
      <c r="DG18" t="s">
        <v>232</v>
      </c>
      <c r="DH18" t="s">
        <v>233</v>
      </c>
      <c r="DI18" t="s">
        <v>178</v>
      </c>
      <c r="DJ18" t="s">
        <v>234</v>
      </c>
      <c r="DK18" t="s">
        <v>235</v>
      </c>
      <c r="DL18" t="s">
        <v>236</v>
      </c>
      <c r="DM18" t="s">
        <v>172</v>
      </c>
      <c r="DN18" t="s">
        <v>792</v>
      </c>
      <c r="DO18" t="s">
        <v>237</v>
      </c>
      <c r="DP18" t="s">
        <v>238</v>
      </c>
      <c r="DQ18" t="s">
        <v>239</v>
      </c>
      <c r="DR18" t="s">
        <v>240</v>
      </c>
      <c r="DS18" t="s">
        <v>241</v>
      </c>
      <c r="DT18" t="s">
        <v>242</v>
      </c>
    </row>
    <row r="19" spans="1:124" x14ac:dyDescent="0.45">
      <c r="A19" t="s">
        <v>823</v>
      </c>
      <c r="B19" t="s">
        <v>824</v>
      </c>
      <c r="C19" t="s">
        <v>161</v>
      </c>
      <c r="D19" t="s">
        <v>162</v>
      </c>
      <c r="E19" t="s">
        <v>163</v>
      </c>
      <c r="H19" t="s">
        <v>589</v>
      </c>
      <c r="I19" t="s">
        <v>825</v>
      </c>
      <c r="J19">
        <f t="shared" si="0"/>
        <v>0.29097952454680726</v>
      </c>
      <c r="K19">
        <f t="shared" si="1"/>
        <v>2.9058327199999998</v>
      </c>
      <c r="L19">
        <f t="shared" si="2"/>
        <v>0.26449405176062268</v>
      </c>
      <c r="M19">
        <f t="shared" si="3"/>
        <v>2.5816809108188497</v>
      </c>
      <c r="N19" t="s">
        <v>826</v>
      </c>
      <c r="O19" t="s">
        <v>827</v>
      </c>
      <c r="P19">
        <f t="shared" si="4"/>
        <v>4.1851736433352915</v>
      </c>
      <c r="Q19">
        <f t="shared" si="5"/>
        <v>0.94576064333529164</v>
      </c>
      <c r="R19" t="s">
        <v>828</v>
      </c>
      <c r="S19" t="s">
        <v>829</v>
      </c>
      <c r="T19">
        <f t="shared" si="6"/>
        <v>41.602123691205684</v>
      </c>
      <c r="U19">
        <f t="shared" si="7"/>
        <v>0.4417875</v>
      </c>
      <c r="V19" t="s">
        <v>170</v>
      </c>
      <c r="W19" t="s">
        <v>830</v>
      </c>
      <c r="X19" t="s">
        <v>172</v>
      </c>
      <c r="Y19" t="s">
        <v>172</v>
      </c>
      <c r="Z19" t="s">
        <v>172</v>
      </c>
      <c r="AA19" t="s">
        <v>831</v>
      </c>
      <c r="AB19" t="s">
        <v>832</v>
      </c>
      <c r="AC19" t="s">
        <v>833</v>
      </c>
      <c r="AD19" t="s">
        <v>176</v>
      </c>
      <c r="AE19" t="s">
        <v>177</v>
      </c>
      <c r="AF19">
        <f t="shared" si="8"/>
        <v>64.055736359999997</v>
      </c>
      <c r="AG19" t="s">
        <v>178</v>
      </c>
      <c r="AH19" t="s">
        <v>834</v>
      </c>
      <c r="AI19" t="s">
        <v>835</v>
      </c>
      <c r="AJ19" t="s">
        <v>836</v>
      </c>
      <c r="AK19" t="s">
        <v>805</v>
      </c>
      <c r="AL19">
        <f t="shared" si="9"/>
        <v>29.69</v>
      </c>
      <c r="AM19" t="s">
        <v>349</v>
      </c>
      <c r="AN19" t="s">
        <v>184</v>
      </c>
      <c r="AO19" t="s">
        <v>837</v>
      </c>
      <c r="AP19" t="s">
        <v>838</v>
      </c>
      <c r="AQ19" t="s">
        <v>839</v>
      </c>
      <c r="AR19" t="s">
        <v>840</v>
      </c>
      <c r="AS19" t="s">
        <v>726</v>
      </c>
      <c r="AT19" t="s">
        <v>274</v>
      </c>
      <c r="AU19" t="s">
        <v>841</v>
      </c>
      <c r="AV19" t="s">
        <v>842</v>
      </c>
      <c r="AW19" t="s">
        <v>843</v>
      </c>
      <c r="AX19" t="s">
        <v>844</v>
      </c>
      <c r="AY19" t="s">
        <v>845</v>
      </c>
      <c r="AZ19" t="s">
        <v>268</v>
      </c>
      <c r="BA19" t="s">
        <v>846</v>
      </c>
      <c r="BB19" t="s">
        <v>847</v>
      </c>
      <c r="BC19" t="s">
        <v>848</v>
      </c>
      <c r="BD19" t="s">
        <v>161</v>
      </c>
      <c r="BE19" t="s">
        <v>657</v>
      </c>
      <c r="BF19" t="s">
        <v>407</v>
      </c>
      <c r="BG19" t="s">
        <v>849</v>
      </c>
      <c r="BH19" t="s">
        <v>619</v>
      </c>
      <c r="BI19" t="s">
        <v>409</v>
      </c>
      <c r="BJ19" t="s">
        <v>452</v>
      </c>
      <c r="BK19" t="s">
        <v>161</v>
      </c>
      <c r="BL19" t="s">
        <v>453</v>
      </c>
      <c r="BM19" t="s">
        <v>159</v>
      </c>
      <c r="BN19" t="s">
        <v>276</v>
      </c>
      <c r="BO19" t="s">
        <v>277</v>
      </c>
      <c r="BP19" t="s">
        <v>850</v>
      </c>
      <c r="BQ19" t="s">
        <v>497</v>
      </c>
      <c r="BR19" t="s">
        <v>851</v>
      </c>
      <c r="BS19" t="s">
        <v>496</v>
      </c>
      <c r="BT19" t="s">
        <v>159</v>
      </c>
      <c r="BU19" t="s">
        <v>208</v>
      </c>
      <c r="BV19" t="s">
        <v>209</v>
      </c>
      <c r="BW19" t="s">
        <v>210</v>
      </c>
      <c r="BX19" t="s">
        <v>211</v>
      </c>
      <c r="BY19" t="s">
        <v>172</v>
      </c>
      <c r="BZ19" t="s">
        <v>212</v>
      </c>
      <c r="CA19" t="s">
        <v>172</v>
      </c>
      <c r="CB19" t="s">
        <v>172</v>
      </c>
      <c r="CC19" t="s">
        <v>213</v>
      </c>
      <c r="CD19" t="s">
        <v>214</v>
      </c>
      <c r="CE19" t="s">
        <v>215</v>
      </c>
      <c r="CF19" t="s">
        <v>216</v>
      </c>
      <c r="CG19" t="s">
        <v>217</v>
      </c>
      <c r="CH19" t="s">
        <v>218</v>
      </c>
      <c r="CI19" t="s">
        <v>178</v>
      </c>
      <c r="CJ19" t="s">
        <v>210</v>
      </c>
      <c r="CK19" t="s">
        <v>219</v>
      </c>
      <c r="CL19" t="s">
        <v>219</v>
      </c>
      <c r="CM19" t="s">
        <v>219</v>
      </c>
      <c r="CN19" t="s">
        <v>172</v>
      </c>
      <c r="CO19" t="s">
        <v>220</v>
      </c>
      <c r="CP19" t="s">
        <v>172</v>
      </c>
      <c r="CQ19" t="s">
        <v>172</v>
      </c>
      <c r="CR19" t="s">
        <v>172</v>
      </c>
      <c r="CS19" t="s">
        <v>172</v>
      </c>
      <c r="CT19" t="s">
        <v>852</v>
      </c>
      <c r="CU19" t="s">
        <v>853</v>
      </c>
      <c r="CV19" t="s">
        <v>854</v>
      </c>
      <c r="CW19" t="s">
        <v>855</v>
      </c>
      <c r="CX19" t="s">
        <v>856</v>
      </c>
      <c r="CY19" t="s">
        <v>857</v>
      </c>
      <c r="CZ19" t="s">
        <v>858</v>
      </c>
      <c r="DA19" t="s">
        <v>859</v>
      </c>
      <c r="DB19" t="s">
        <v>831</v>
      </c>
      <c r="DC19" t="s">
        <v>587</v>
      </c>
      <c r="DD19" t="s">
        <v>230</v>
      </c>
      <c r="DE19" t="s">
        <v>231</v>
      </c>
      <c r="DF19" t="s">
        <v>178</v>
      </c>
      <c r="DG19" t="s">
        <v>232</v>
      </c>
      <c r="DH19" t="s">
        <v>233</v>
      </c>
      <c r="DI19" t="s">
        <v>178</v>
      </c>
      <c r="DJ19" t="s">
        <v>234</v>
      </c>
      <c r="DK19" t="s">
        <v>235</v>
      </c>
      <c r="DL19" t="s">
        <v>236</v>
      </c>
      <c r="DM19" t="s">
        <v>172</v>
      </c>
      <c r="DN19" t="s">
        <v>830</v>
      </c>
      <c r="DO19" t="s">
        <v>237</v>
      </c>
      <c r="DP19" t="s">
        <v>238</v>
      </c>
      <c r="DQ19" t="s">
        <v>239</v>
      </c>
      <c r="DR19" t="s">
        <v>240</v>
      </c>
      <c r="DS19" t="s">
        <v>241</v>
      </c>
      <c r="DT19" t="s">
        <v>242</v>
      </c>
    </row>
    <row r="20" spans="1:124" x14ac:dyDescent="0.45">
      <c r="A20" t="s">
        <v>860</v>
      </c>
      <c r="B20" t="s">
        <v>861</v>
      </c>
      <c r="C20" t="s">
        <v>161</v>
      </c>
      <c r="D20" t="s">
        <v>162</v>
      </c>
      <c r="E20" t="s">
        <v>163</v>
      </c>
      <c r="H20" t="s">
        <v>589</v>
      </c>
      <c r="I20" t="s">
        <v>862</v>
      </c>
      <c r="J20">
        <f t="shared" si="0"/>
        <v>0.20809111289608803</v>
      </c>
      <c r="K20">
        <f t="shared" si="1"/>
        <v>2.9050319999999994</v>
      </c>
      <c r="L20">
        <f t="shared" si="2"/>
        <v>0.1941816368824493</v>
      </c>
      <c r="M20">
        <f t="shared" si="3"/>
        <v>2.0401162152394563</v>
      </c>
      <c r="N20" t="s">
        <v>863</v>
      </c>
      <c r="O20" t="s">
        <v>864</v>
      </c>
      <c r="P20">
        <f t="shared" si="4"/>
        <v>4.1948210785935185</v>
      </c>
      <c r="Q20">
        <f t="shared" si="5"/>
        <v>1.0181530785935187</v>
      </c>
      <c r="R20" t="s">
        <v>865</v>
      </c>
      <c r="S20" t="s">
        <v>866</v>
      </c>
      <c r="T20">
        <f t="shared" si="6"/>
        <v>41.702167994766064</v>
      </c>
      <c r="U20">
        <f t="shared" si="7"/>
        <v>0.4417875</v>
      </c>
      <c r="V20" t="s">
        <v>170</v>
      </c>
      <c r="W20" t="s">
        <v>867</v>
      </c>
      <c r="X20" t="s">
        <v>172</v>
      </c>
      <c r="Y20" t="s">
        <v>172</v>
      </c>
      <c r="Z20" t="s">
        <v>172</v>
      </c>
      <c r="AA20" t="s">
        <v>868</v>
      </c>
      <c r="AB20" t="s">
        <v>869</v>
      </c>
      <c r="AC20" t="s">
        <v>870</v>
      </c>
      <c r="AD20" t="s">
        <v>176</v>
      </c>
      <c r="AE20" t="s">
        <v>177</v>
      </c>
      <c r="AF20">
        <f t="shared" si="8"/>
        <v>71.644836479999995</v>
      </c>
      <c r="AG20" t="s">
        <v>178</v>
      </c>
      <c r="AH20" t="s">
        <v>871</v>
      </c>
      <c r="AI20" t="s">
        <v>872</v>
      </c>
      <c r="AJ20" t="s">
        <v>873</v>
      </c>
      <c r="AK20" t="s">
        <v>874</v>
      </c>
      <c r="AL20">
        <f t="shared" si="9"/>
        <v>29.73</v>
      </c>
      <c r="AM20" t="s">
        <v>183</v>
      </c>
      <c r="AN20" t="s">
        <v>305</v>
      </c>
      <c r="AO20" t="s">
        <v>875</v>
      </c>
      <c r="AP20" t="s">
        <v>876</v>
      </c>
      <c r="AQ20" t="s">
        <v>877</v>
      </c>
      <c r="AR20" t="s">
        <v>840</v>
      </c>
      <c r="AS20" t="s">
        <v>649</v>
      </c>
      <c r="AT20" t="s">
        <v>215</v>
      </c>
      <c r="AU20" t="s">
        <v>878</v>
      </c>
      <c r="AV20" t="s">
        <v>879</v>
      </c>
      <c r="AW20" t="s">
        <v>880</v>
      </c>
      <c r="AX20" t="s">
        <v>807</v>
      </c>
      <c r="AY20" t="s">
        <v>881</v>
      </c>
      <c r="AZ20" t="s">
        <v>268</v>
      </c>
      <c r="BA20" t="s">
        <v>846</v>
      </c>
      <c r="BB20" t="s">
        <v>847</v>
      </c>
      <c r="BC20" t="s">
        <v>882</v>
      </c>
      <c r="BD20" t="s">
        <v>161</v>
      </c>
      <c r="BE20" t="s">
        <v>883</v>
      </c>
      <c r="BF20" t="s">
        <v>448</v>
      </c>
      <c r="BG20" t="s">
        <v>884</v>
      </c>
      <c r="BH20" t="s">
        <v>619</v>
      </c>
      <c r="BI20" t="s">
        <v>885</v>
      </c>
      <c r="BJ20" t="s">
        <v>452</v>
      </c>
      <c r="BK20" t="s">
        <v>161</v>
      </c>
      <c r="BL20" t="s">
        <v>453</v>
      </c>
      <c r="BM20" t="s">
        <v>159</v>
      </c>
      <c r="BN20" t="s">
        <v>368</v>
      </c>
      <c r="BO20" t="s">
        <v>277</v>
      </c>
      <c r="BP20" t="s">
        <v>886</v>
      </c>
      <c r="BQ20" t="s">
        <v>887</v>
      </c>
      <c r="BR20" t="s">
        <v>888</v>
      </c>
      <c r="BS20" t="s">
        <v>889</v>
      </c>
      <c r="BT20" t="s">
        <v>159</v>
      </c>
      <c r="BU20" t="s">
        <v>208</v>
      </c>
      <c r="BV20" t="s">
        <v>209</v>
      </c>
      <c r="BW20" t="s">
        <v>210</v>
      </c>
      <c r="BX20" t="s">
        <v>211</v>
      </c>
      <c r="BY20" t="s">
        <v>172</v>
      </c>
      <c r="BZ20" t="s">
        <v>212</v>
      </c>
      <c r="CA20" t="s">
        <v>172</v>
      </c>
      <c r="CB20" t="s">
        <v>172</v>
      </c>
      <c r="CC20" t="s">
        <v>213</v>
      </c>
      <c r="CD20" t="s">
        <v>214</v>
      </c>
      <c r="CE20" t="s">
        <v>215</v>
      </c>
      <c r="CF20" t="s">
        <v>216</v>
      </c>
      <c r="CG20" t="s">
        <v>217</v>
      </c>
      <c r="CH20" t="s">
        <v>218</v>
      </c>
      <c r="CI20" t="s">
        <v>178</v>
      </c>
      <c r="CJ20" t="s">
        <v>210</v>
      </c>
      <c r="CK20" t="s">
        <v>219</v>
      </c>
      <c r="CL20" t="s">
        <v>219</v>
      </c>
      <c r="CM20" t="s">
        <v>219</v>
      </c>
      <c r="CN20" t="s">
        <v>172</v>
      </c>
      <c r="CO20" t="s">
        <v>220</v>
      </c>
      <c r="CP20" t="s">
        <v>172</v>
      </c>
      <c r="CQ20" t="s">
        <v>172</v>
      </c>
      <c r="CR20" t="s">
        <v>172</v>
      </c>
      <c r="CS20" t="s">
        <v>172</v>
      </c>
      <c r="CT20" t="s">
        <v>890</v>
      </c>
      <c r="CU20" t="s">
        <v>891</v>
      </c>
      <c r="CV20" t="s">
        <v>892</v>
      </c>
      <c r="CW20" t="s">
        <v>893</v>
      </c>
      <c r="CX20" t="s">
        <v>894</v>
      </c>
      <c r="CY20" t="s">
        <v>895</v>
      </c>
      <c r="CZ20" t="s">
        <v>896</v>
      </c>
      <c r="DA20" t="s">
        <v>897</v>
      </c>
      <c r="DB20" t="s">
        <v>868</v>
      </c>
      <c r="DC20" t="s">
        <v>380</v>
      </c>
      <c r="DD20" t="s">
        <v>230</v>
      </c>
      <c r="DE20" t="s">
        <v>231</v>
      </c>
      <c r="DF20" t="s">
        <v>178</v>
      </c>
      <c r="DG20" t="s">
        <v>232</v>
      </c>
      <c r="DH20" t="s">
        <v>233</v>
      </c>
      <c r="DI20" t="s">
        <v>178</v>
      </c>
      <c r="DJ20" t="s">
        <v>234</v>
      </c>
      <c r="DK20" t="s">
        <v>235</v>
      </c>
      <c r="DL20" t="s">
        <v>236</v>
      </c>
      <c r="DM20" t="s">
        <v>172</v>
      </c>
      <c r="DN20" t="s">
        <v>867</v>
      </c>
      <c r="DO20" t="s">
        <v>237</v>
      </c>
      <c r="DP20" t="s">
        <v>238</v>
      </c>
      <c r="DQ20" t="s">
        <v>239</v>
      </c>
      <c r="DR20" t="s">
        <v>240</v>
      </c>
      <c r="DS20" t="s">
        <v>241</v>
      </c>
      <c r="DT20" t="s">
        <v>242</v>
      </c>
    </row>
    <row r="21" spans="1:124" x14ac:dyDescent="0.45">
      <c r="A21" t="s">
        <v>898</v>
      </c>
      <c r="B21" t="s">
        <v>899</v>
      </c>
      <c r="C21" t="s">
        <v>161</v>
      </c>
      <c r="D21" t="s">
        <v>162</v>
      </c>
      <c r="E21" t="s">
        <v>163</v>
      </c>
      <c r="H21" t="s">
        <v>589</v>
      </c>
      <c r="I21" t="s">
        <v>900</v>
      </c>
      <c r="J21">
        <f t="shared" si="0"/>
        <v>0.18335941681374907</v>
      </c>
      <c r="K21">
        <f t="shared" si="1"/>
        <v>2.9066320800000001</v>
      </c>
      <c r="L21">
        <f t="shared" si="2"/>
        <v>0.17247890928842213</v>
      </c>
      <c r="M21">
        <f t="shared" si="3"/>
        <v>1.9326572447926065</v>
      </c>
      <c r="N21" t="s">
        <v>901</v>
      </c>
      <c r="O21" t="s">
        <v>902</v>
      </c>
      <c r="P21">
        <f t="shared" si="4"/>
        <v>4.284982783340161</v>
      </c>
      <c r="Q21">
        <f t="shared" si="5"/>
        <v>1.0850437833401609</v>
      </c>
      <c r="R21" t="s">
        <v>903</v>
      </c>
      <c r="S21" t="s">
        <v>904</v>
      </c>
      <c r="T21">
        <f t="shared" si="6"/>
        <v>42.598496702854767</v>
      </c>
      <c r="U21">
        <f t="shared" si="7"/>
        <v>0.4417875</v>
      </c>
      <c r="V21" t="s">
        <v>170</v>
      </c>
      <c r="W21" t="s">
        <v>905</v>
      </c>
      <c r="X21" t="s">
        <v>172</v>
      </c>
      <c r="Y21" t="s">
        <v>172</v>
      </c>
      <c r="Z21" t="s">
        <v>172</v>
      </c>
      <c r="AA21" t="s">
        <v>906</v>
      </c>
      <c r="AB21" t="s">
        <v>907</v>
      </c>
      <c r="AC21" t="s">
        <v>908</v>
      </c>
      <c r="AD21" t="s">
        <v>176</v>
      </c>
      <c r="AE21" t="s">
        <v>177</v>
      </c>
      <c r="AF21">
        <f t="shared" si="8"/>
        <v>74.921006160000005</v>
      </c>
      <c r="AG21" t="s">
        <v>178</v>
      </c>
      <c r="AH21" t="s">
        <v>909</v>
      </c>
      <c r="AI21" t="s">
        <v>910</v>
      </c>
      <c r="AJ21" t="s">
        <v>911</v>
      </c>
      <c r="AK21" t="s">
        <v>912</v>
      </c>
      <c r="AL21">
        <f t="shared" si="9"/>
        <v>30.1</v>
      </c>
      <c r="AM21" t="s">
        <v>183</v>
      </c>
      <c r="AN21" t="s">
        <v>396</v>
      </c>
      <c r="AO21" t="s">
        <v>563</v>
      </c>
      <c r="AP21" t="s">
        <v>913</v>
      </c>
      <c r="AQ21" t="s">
        <v>914</v>
      </c>
      <c r="AR21" t="s">
        <v>915</v>
      </c>
      <c r="AS21" t="s">
        <v>916</v>
      </c>
      <c r="AT21" t="s">
        <v>215</v>
      </c>
      <c r="AU21" t="s">
        <v>917</v>
      </c>
      <c r="AV21" t="s">
        <v>918</v>
      </c>
      <c r="AW21" t="s">
        <v>919</v>
      </c>
      <c r="AX21" t="s">
        <v>920</v>
      </c>
      <c r="AY21" t="s">
        <v>921</v>
      </c>
      <c r="AZ21" t="s">
        <v>268</v>
      </c>
      <c r="BA21" t="s">
        <v>922</v>
      </c>
      <c r="BB21" t="s">
        <v>923</v>
      </c>
      <c r="BC21" t="s">
        <v>924</v>
      </c>
      <c r="BD21" t="s">
        <v>161</v>
      </c>
      <c r="BE21" t="s">
        <v>925</v>
      </c>
      <c r="BF21" t="s">
        <v>926</v>
      </c>
      <c r="BG21" t="s">
        <v>927</v>
      </c>
      <c r="BH21" t="s">
        <v>366</v>
      </c>
      <c r="BI21" t="s">
        <v>928</v>
      </c>
      <c r="BJ21" t="s">
        <v>929</v>
      </c>
      <c r="BK21" t="s">
        <v>161</v>
      </c>
      <c r="BL21" t="s">
        <v>930</v>
      </c>
      <c r="BM21" t="s">
        <v>159</v>
      </c>
      <c r="BN21" t="s">
        <v>321</v>
      </c>
      <c r="BO21" t="s">
        <v>276</v>
      </c>
      <c r="BP21" t="s">
        <v>410</v>
      </c>
      <c r="BQ21" t="s">
        <v>410</v>
      </c>
      <c r="BR21" t="s">
        <v>623</v>
      </c>
      <c r="BS21" t="s">
        <v>931</v>
      </c>
      <c r="BT21" t="s">
        <v>159</v>
      </c>
      <c r="BU21" t="s">
        <v>208</v>
      </c>
      <c r="BV21" t="s">
        <v>209</v>
      </c>
      <c r="BW21" t="s">
        <v>210</v>
      </c>
      <c r="BX21" t="s">
        <v>211</v>
      </c>
      <c r="BY21" t="s">
        <v>172</v>
      </c>
      <c r="BZ21" t="s">
        <v>212</v>
      </c>
      <c r="CA21" t="s">
        <v>172</v>
      </c>
      <c r="CB21" t="s">
        <v>172</v>
      </c>
      <c r="CC21" t="s">
        <v>213</v>
      </c>
      <c r="CD21" t="s">
        <v>214</v>
      </c>
      <c r="CE21" t="s">
        <v>215</v>
      </c>
      <c r="CF21" t="s">
        <v>216</v>
      </c>
      <c r="CG21" t="s">
        <v>217</v>
      </c>
      <c r="CH21" t="s">
        <v>218</v>
      </c>
      <c r="CI21" t="s">
        <v>178</v>
      </c>
      <c r="CJ21" t="s">
        <v>210</v>
      </c>
      <c r="CK21" t="s">
        <v>219</v>
      </c>
      <c r="CL21" t="s">
        <v>219</v>
      </c>
      <c r="CM21" t="s">
        <v>219</v>
      </c>
      <c r="CN21" t="s">
        <v>172</v>
      </c>
      <c r="CO21" t="s">
        <v>220</v>
      </c>
      <c r="CP21" t="s">
        <v>172</v>
      </c>
      <c r="CQ21" t="s">
        <v>172</v>
      </c>
      <c r="CR21" t="s">
        <v>172</v>
      </c>
      <c r="CS21" t="s">
        <v>172</v>
      </c>
      <c r="CT21" t="s">
        <v>932</v>
      </c>
      <c r="CU21" t="s">
        <v>933</v>
      </c>
      <c r="CV21" t="s">
        <v>934</v>
      </c>
      <c r="CW21" t="s">
        <v>935</v>
      </c>
      <c r="CX21" t="s">
        <v>936</v>
      </c>
      <c r="CY21" t="s">
        <v>937</v>
      </c>
      <c r="CZ21" t="s">
        <v>938</v>
      </c>
      <c r="DA21" t="s">
        <v>939</v>
      </c>
      <c r="DB21" t="s">
        <v>906</v>
      </c>
      <c r="DC21" t="s">
        <v>333</v>
      </c>
      <c r="DD21" t="s">
        <v>230</v>
      </c>
      <c r="DE21" t="s">
        <v>231</v>
      </c>
      <c r="DF21" t="s">
        <v>178</v>
      </c>
      <c r="DG21" t="s">
        <v>232</v>
      </c>
      <c r="DH21" t="s">
        <v>233</v>
      </c>
      <c r="DI21" t="s">
        <v>178</v>
      </c>
      <c r="DJ21" t="s">
        <v>234</v>
      </c>
      <c r="DK21" t="s">
        <v>235</v>
      </c>
      <c r="DL21" t="s">
        <v>236</v>
      </c>
      <c r="DM21" t="s">
        <v>172</v>
      </c>
      <c r="DN21" t="s">
        <v>905</v>
      </c>
      <c r="DO21" t="s">
        <v>237</v>
      </c>
      <c r="DP21" t="s">
        <v>238</v>
      </c>
      <c r="DQ21" t="s">
        <v>239</v>
      </c>
      <c r="DR21" t="s">
        <v>240</v>
      </c>
      <c r="DS21" t="s">
        <v>241</v>
      </c>
      <c r="DT21" t="s">
        <v>242</v>
      </c>
    </row>
    <row r="22" spans="1:124" x14ac:dyDescent="0.45">
      <c r="A22" t="s">
        <v>940</v>
      </c>
      <c r="B22" t="s">
        <v>941</v>
      </c>
      <c r="C22" t="s">
        <v>161</v>
      </c>
      <c r="D22" t="s">
        <v>162</v>
      </c>
      <c r="E22" t="s">
        <v>163</v>
      </c>
      <c r="H22" t="s">
        <v>942</v>
      </c>
      <c r="I22" t="s">
        <v>943</v>
      </c>
      <c r="J22">
        <f t="shared" si="0"/>
        <v>0.37535749673092766</v>
      </c>
      <c r="K22">
        <f t="shared" si="1"/>
        <v>2.9050319999999994</v>
      </c>
      <c r="L22">
        <f t="shared" si="2"/>
        <v>0.33240733776580611</v>
      </c>
      <c r="M22">
        <f t="shared" si="3"/>
        <v>3.4410981539878818</v>
      </c>
      <c r="N22" t="s">
        <v>944</v>
      </c>
      <c r="O22" t="s">
        <v>945</v>
      </c>
      <c r="P22">
        <f t="shared" si="4"/>
        <v>4.1683371620465532</v>
      </c>
      <c r="Q22">
        <f t="shared" si="5"/>
        <v>1.003412162046553</v>
      </c>
      <c r="R22" t="s">
        <v>946</v>
      </c>
      <c r="S22" t="s">
        <v>947</v>
      </c>
      <c r="T22">
        <f t="shared" si="6"/>
        <v>41.434763042212261</v>
      </c>
      <c r="U22">
        <f t="shared" si="7"/>
        <v>0.4417875</v>
      </c>
      <c r="V22" t="s">
        <v>170</v>
      </c>
      <c r="W22" t="s">
        <v>948</v>
      </c>
      <c r="X22" t="s">
        <v>172</v>
      </c>
      <c r="Y22" t="s">
        <v>172</v>
      </c>
      <c r="Z22" t="s">
        <v>172</v>
      </c>
      <c r="AA22" t="s">
        <v>949</v>
      </c>
      <c r="AB22" t="s">
        <v>950</v>
      </c>
      <c r="AC22" t="s">
        <v>951</v>
      </c>
      <c r="AD22" t="s">
        <v>176</v>
      </c>
      <c r="AE22" t="s">
        <v>177</v>
      </c>
      <c r="AF22">
        <f t="shared" si="8"/>
        <v>81.196308479999999</v>
      </c>
      <c r="AG22" t="s">
        <v>178</v>
      </c>
      <c r="AH22" t="s">
        <v>952</v>
      </c>
      <c r="AI22" t="s">
        <v>953</v>
      </c>
      <c r="AJ22" t="s">
        <v>954</v>
      </c>
      <c r="AK22" t="s">
        <v>955</v>
      </c>
      <c r="AL22">
        <f t="shared" si="9"/>
        <v>29.62</v>
      </c>
      <c r="AM22" t="s">
        <v>349</v>
      </c>
      <c r="AN22" t="s">
        <v>305</v>
      </c>
      <c r="AO22" t="s">
        <v>956</v>
      </c>
      <c r="AP22" t="s">
        <v>957</v>
      </c>
      <c r="AQ22" t="s">
        <v>958</v>
      </c>
      <c r="AR22" t="s">
        <v>959</v>
      </c>
      <c r="AS22" t="s">
        <v>261</v>
      </c>
      <c r="AT22" t="s">
        <v>190</v>
      </c>
      <c r="AU22" t="s">
        <v>960</v>
      </c>
      <c r="AV22" t="s">
        <v>961</v>
      </c>
      <c r="AW22" t="s">
        <v>962</v>
      </c>
      <c r="AX22" t="s">
        <v>442</v>
      </c>
      <c r="AY22" t="s">
        <v>963</v>
      </c>
      <c r="AZ22" t="s">
        <v>964</v>
      </c>
      <c r="BA22" t="s">
        <v>965</v>
      </c>
      <c r="BB22" t="s">
        <v>966</v>
      </c>
      <c r="BC22" t="s">
        <v>967</v>
      </c>
      <c r="BD22" t="s">
        <v>161</v>
      </c>
      <c r="BE22" t="s">
        <v>968</v>
      </c>
      <c r="BF22" t="s">
        <v>926</v>
      </c>
      <c r="BG22" t="s">
        <v>927</v>
      </c>
      <c r="BH22" t="s">
        <v>450</v>
      </c>
      <c r="BI22" t="s">
        <v>969</v>
      </c>
      <c r="BJ22" t="s">
        <v>929</v>
      </c>
      <c r="BK22" t="s">
        <v>161</v>
      </c>
      <c r="BL22" t="s">
        <v>930</v>
      </c>
      <c r="BM22" t="s">
        <v>159</v>
      </c>
      <c r="BN22" t="s">
        <v>203</v>
      </c>
      <c r="BO22" t="s">
        <v>203</v>
      </c>
      <c r="BP22" t="s">
        <v>621</v>
      </c>
      <c r="BQ22" t="s">
        <v>970</v>
      </c>
      <c r="BR22" t="s">
        <v>971</v>
      </c>
      <c r="BS22" t="s">
        <v>972</v>
      </c>
      <c r="BT22" t="s">
        <v>159</v>
      </c>
      <c r="BU22" t="s">
        <v>208</v>
      </c>
      <c r="BV22" t="s">
        <v>209</v>
      </c>
      <c r="BW22" t="s">
        <v>210</v>
      </c>
      <c r="BX22" t="s">
        <v>211</v>
      </c>
      <c r="BY22" t="s">
        <v>172</v>
      </c>
      <c r="BZ22" t="s">
        <v>212</v>
      </c>
      <c r="CA22" t="s">
        <v>172</v>
      </c>
      <c r="CB22" t="s">
        <v>172</v>
      </c>
      <c r="CC22" t="s">
        <v>213</v>
      </c>
      <c r="CD22" t="s">
        <v>214</v>
      </c>
      <c r="CE22" t="s">
        <v>215</v>
      </c>
      <c r="CF22" t="s">
        <v>216</v>
      </c>
      <c r="CG22" t="s">
        <v>217</v>
      </c>
      <c r="CH22" t="s">
        <v>218</v>
      </c>
      <c r="CI22" t="s">
        <v>178</v>
      </c>
      <c r="CJ22" t="s">
        <v>210</v>
      </c>
      <c r="CK22" t="s">
        <v>219</v>
      </c>
      <c r="CL22" t="s">
        <v>219</v>
      </c>
      <c r="CM22" t="s">
        <v>219</v>
      </c>
      <c r="CN22" t="s">
        <v>172</v>
      </c>
      <c r="CO22" t="s">
        <v>220</v>
      </c>
      <c r="CP22" t="s">
        <v>172</v>
      </c>
      <c r="CQ22" t="s">
        <v>172</v>
      </c>
      <c r="CR22" t="s">
        <v>172</v>
      </c>
      <c r="CS22" t="s">
        <v>172</v>
      </c>
      <c r="CT22" t="s">
        <v>973</v>
      </c>
      <c r="CU22" t="s">
        <v>974</v>
      </c>
      <c r="CV22" t="s">
        <v>975</v>
      </c>
      <c r="CW22" t="s">
        <v>976</v>
      </c>
      <c r="CX22" t="s">
        <v>977</v>
      </c>
      <c r="CY22" t="s">
        <v>978</v>
      </c>
      <c r="CZ22" t="s">
        <v>979</v>
      </c>
      <c r="DA22" t="s">
        <v>980</v>
      </c>
      <c r="DB22" t="s">
        <v>949</v>
      </c>
      <c r="DC22" t="s">
        <v>229</v>
      </c>
      <c r="DD22" t="s">
        <v>230</v>
      </c>
      <c r="DE22" t="s">
        <v>231</v>
      </c>
      <c r="DF22" t="s">
        <v>178</v>
      </c>
      <c r="DG22" t="s">
        <v>232</v>
      </c>
      <c r="DH22" t="s">
        <v>233</v>
      </c>
      <c r="DI22" t="s">
        <v>178</v>
      </c>
      <c r="DJ22" t="s">
        <v>234</v>
      </c>
      <c r="DK22" t="s">
        <v>235</v>
      </c>
      <c r="DL22" t="s">
        <v>236</v>
      </c>
      <c r="DM22" t="s">
        <v>172</v>
      </c>
      <c r="DN22" t="s">
        <v>948</v>
      </c>
      <c r="DO22" t="s">
        <v>237</v>
      </c>
      <c r="DP22" t="s">
        <v>238</v>
      </c>
      <c r="DQ22" t="s">
        <v>239</v>
      </c>
      <c r="DR22" t="s">
        <v>240</v>
      </c>
      <c r="DS22" t="s">
        <v>241</v>
      </c>
      <c r="DT22" t="s">
        <v>242</v>
      </c>
    </row>
    <row r="23" spans="1:124" x14ac:dyDescent="0.45">
      <c r="A23" t="s">
        <v>981</v>
      </c>
      <c r="B23" t="s">
        <v>982</v>
      </c>
      <c r="C23" t="s">
        <v>161</v>
      </c>
      <c r="D23" t="s">
        <v>162</v>
      </c>
      <c r="E23" t="s">
        <v>163</v>
      </c>
      <c r="H23" t="s">
        <v>942</v>
      </c>
      <c r="I23" t="s">
        <v>983</v>
      </c>
      <c r="J23">
        <f t="shared" si="0"/>
        <v>0.20890155486685505</v>
      </c>
      <c r="K23">
        <f t="shared" si="1"/>
        <v>2.9066320800000001</v>
      </c>
      <c r="L23">
        <f t="shared" si="2"/>
        <v>0.19489436870221119</v>
      </c>
      <c r="M23">
        <f t="shared" si="3"/>
        <v>2.2249203533663144</v>
      </c>
      <c r="N23" t="s">
        <v>984</v>
      </c>
      <c r="O23" t="s">
        <v>985</v>
      </c>
      <c r="P23">
        <f t="shared" si="4"/>
        <v>4.2702482477367987</v>
      </c>
      <c r="Q23">
        <f t="shared" si="5"/>
        <v>1.1059222477367987</v>
      </c>
      <c r="R23" t="s">
        <v>986</v>
      </c>
      <c r="S23" t="s">
        <v>987</v>
      </c>
      <c r="T23">
        <f t="shared" si="6"/>
        <v>42.447795703149097</v>
      </c>
      <c r="U23">
        <f t="shared" si="7"/>
        <v>0.4417875</v>
      </c>
      <c r="V23" t="s">
        <v>170</v>
      </c>
      <c r="W23" t="s">
        <v>988</v>
      </c>
      <c r="X23" t="s">
        <v>172</v>
      </c>
      <c r="Y23" t="s">
        <v>172</v>
      </c>
      <c r="Z23" t="s">
        <v>172</v>
      </c>
      <c r="AA23" t="s">
        <v>989</v>
      </c>
      <c r="AB23" t="s">
        <v>990</v>
      </c>
      <c r="AC23" t="s">
        <v>991</v>
      </c>
      <c r="AD23" t="s">
        <v>176</v>
      </c>
      <c r="AE23" t="s">
        <v>177</v>
      </c>
      <c r="AF23">
        <f t="shared" si="8"/>
        <v>75.293313479999995</v>
      </c>
      <c r="AG23" t="s">
        <v>178</v>
      </c>
      <c r="AH23" t="s">
        <v>992</v>
      </c>
      <c r="AI23" t="s">
        <v>993</v>
      </c>
      <c r="AJ23" t="s">
        <v>994</v>
      </c>
      <c r="AK23" t="s">
        <v>995</v>
      </c>
      <c r="AL23">
        <f t="shared" si="9"/>
        <v>30.04</v>
      </c>
      <c r="AM23" t="s">
        <v>349</v>
      </c>
      <c r="AN23" t="s">
        <v>396</v>
      </c>
      <c r="AO23" t="s">
        <v>996</v>
      </c>
      <c r="AP23" t="s">
        <v>997</v>
      </c>
      <c r="AQ23" t="s">
        <v>998</v>
      </c>
      <c r="AR23" t="s">
        <v>959</v>
      </c>
      <c r="AS23" t="s">
        <v>999</v>
      </c>
      <c r="AT23" t="s">
        <v>1000</v>
      </c>
      <c r="AU23" t="s">
        <v>1001</v>
      </c>
      <c r="AV23" t="s">
        <v>1002</v>
      </c>
      <c r="AW23" t="s">
        <v>1003</v>
      </c>
      <c r="AX23" t="s">
        <v>1004</v>
      </c>
      <c r="AY23" t="s">
        <v>1005</v>
      </c>
      <c r="AZ23" t="s">
        <v>964</v>
      </c>
      <c r="BA23" t="s">
        <v>965</v>
      </c>
      <c r="BB23" t="s">
        <v>966</v>
      </c>
      <c r="BC23" t="s">
        <v>1006</v>
      </c>
      <c r="BD23" t="s">
        <v>161</v>
      </c>
      <c r="BE23" t="s">
        <v>1007</v>
      </c>
      <c r="BF23" t="s">
        <v>1008</v>
      </c>
      <c r="BG23" t="s">
        <v>1009</v>
      </c>
      <c r="BH23" t="s">
        <v>450</v>
      </c>
      <c r="BI23" t="s">
        <v>969</v>
      </c>
      <c r="BJ23" t="s">
        <v>929</v>
      </c>
      <c r="BK23" t="s">
        <v>161</v>
      </c>
      <c r="BL23" t="s">
        <v>930</v>
      </c>
      <c r="BM23" t="s">
        <v>159</v>
      </c>
      <c r="BN23" t="s">
        <v>203</v>
      </c>
      <c r="BO23" t="s">
        <v>209</v>
      </c>
      <c r="BP23" t="s">
        <v>209</v>
      </c>
      <c r="BQ23" t="s">
        <v>1010</v>
      </c>
      <c r="BR23" t="s">
        <v>1011</v>
      </c>
      <c r="BS23" t="s">
        <v>1012</v>
      </c>
      <c r="BT23" t="s">
        <v>159</v>
      </c>
      <c r="BU23" t="s">
        <v>208</v>
      </c>
      <c r="BV23" t="s">
        <v>209</v>
      </c>
      <c r="BW23" t="s">
        <v>210</v>
      </c>
      <c r="BX23" t="s">
        <v>211</v>
      </c>
      <c r="BY23" t="s">
        <v>172</v>
      </c>
      <c r="BZ23" t="s">
        <v>212</v>
      </c>
      <c r="CA23" t="s">
        <v>172</v>
      </c>
      <c r="CB23" t="s">
        <v>172</v>
      </c>
      <c r="CC23" t="s">
        <v>213</v>
      </c>
      <c r="CD23" t="s">
        <v>214</v>
      </c>
      <c r="CE23" t="s">
        <v>215</v>
      </c>
      <c r="CF23" t="s">
        <v>216</v>
      </c>
      <c r="CG23" t="s">
        <v>217</v>
      </c>
      <c r="CH23" t="s">
        <v>218</v>
      </c>
      <c r="CI23" t="s">
        <v>178</v>
      </c>
      <c r="CJ23" t="s">
        <v>210</v>
      </c>
      <c r="CK23" t="s">
        <v>219</v>
      </c>
      <c r="CL23" t="s">
        <v>219</v>
      </c>
      <c r="CM23" t="s">
        <v>219</v>
      </c>
      <c r="CN23" t="s">
        <v>172</v>
      </c>
      <c r="CO23" t="s">
        <v>220</v>
      </c>
      <c r="CP23" t="s">
        <v>172</v>
      </c>
      <c r="CQ23" t="s">
        <v>172</v>
      </c>
      <c r="CR23" t="s">
        <v>172</v>
      </c>
      <c r="CS23" t="s">
        <v>172</v>
      </c>
      <c r="CT23" t="s">
        <v>1013</v>
      </c>
      <c r="CU23" t="s">
        <v>1014</v>
      </c>
      <c r="CV23" t="s">
        <v>1015</v>
      </c>
      <c r="CW23" t="s">
        <v>1016</v>
      </c>
      <c r="CX23" t="s">
        <v>1017</v>
      </c>
      <c r="CY23" t="s">
        <v>1018</v>
      </c>
      <c r="CZ23" t="s">
        <v>1019</v>
      </c>
      <c r="DA23" t="s">
        <v>1020</v>
      </c>
      <c r="DB23" t="s">
        <v>989</v>
      </c>
      <c r="DC23" t="s">
        <v>229</v>
      </c>
      <c r="DD23" t="s">
        <v>230</v>
      </c>
      <c r="DE23" t="s">
        <v>231</v>
      </c>
      <c r="DF23" t="s">
        <v>178</v>
      </c>
      <c r="DG23" t="s">
        <v>232</v>
      </c>
      <c r="DH23" t="s">
        <v>233</v>
      </c>
      <c r="DI23" t="s">
        <v>178</v>
      </c>
      <c r="DJ23" t="s">
        <v>234</v>
      </c>
      <c r="DK23" t="s">
        <v>235</v>
      </c>
      <c r="DL23" t="s">
        <v>236</v>
      </c>
      <c r="DM23" t="s">
        <v>172</v>
      </c>
      <c r="DN23" t="s">
        <v>988</v>
      </c>
      <c r="DO23" t="s">
        <v>237</v>
      </c>
      <c r="DP23" t="s">
        <v>238</v>
      </c>
      <c r="DQ23" t="s">
        <v>239</v>
      </c>
      <c r="DR23" t="s">
        <v>240</v>
      </c>
      <c r="DS23" t="s">
        <v>241</v>
      </c>
      <c r="DT23" t="s">
        <v>242</v>
      </c>
    </row>
    <row r="24" spans="1:124" x14ac:dyDescent="0.45">
      <c r="A24" t="s">
        <v>1021</v>
      </c>
      <c r="B24" t="s">
        <v>1022</v>
      </c>
      <c r="C24" t="s">
        <v>161</v>
      </c>
      <c r="D24" t="s">
        <v>162</v>
      </c>
      <c r="E24" t="s">
        <v>163</v>
      </c>
      <c r="H24" t="s">
        <v>942</v>
      </c>
      <c r="I24" t="s">
        <v>1023</v>
      </c>
      <c r="J24">
        <f t="shared" si="0"/>
        <v>0.3107782950651482</v>
      </c>
      <c r="K24">
        <f t="shared" si="1"/>
        <v>2.9042299199999997</v>
      </c>
      <c r="L24">
        <f t="shared" si="2"/>
        <v>0.28073695699608103</v>
      </c>
      <c r="M24">
        <f t="shared" si="3"/>
        <v>3.0051246660475983</v>
      </c>
      <c r="N24" t="s">
        <v>1024</v>
      </c>
      <c r="O24" t="s">
        <v>1025</v>
      </c>
      <c r="P24">
        <f t="shared" si="4"/>
        <v>4.2311718154757827</v>
      </c>
      <c r="Q24">
        <f t="shared" si="5"/>
        <v>1.0369038154757826</v>
      </c>
      <c r="R24" t="s">
        <v>1026</v>
      </c>
      <c r="S24" t="s">
        <v>1027</v>
      </c>
      <c r="T24">
        <f t="shared" si="6"/>
        <v>42.063543249585273</v>
      </c>
      <c r="U24">
        <f t="shared" si="7"/>
        <v>0.4417875</v>
      </c>
      <c r="V24" t="s">
        <v>170</v>
      </c>
      <c r="W24" t="s">
        <v>1028</v>
      </c>
      <c r="X24" t="s">
        <v>172</v>
      </c>
      <c r="Y24" t="s">
        <v>172</v>
      </c>
      <c r="Z24" t="s">
        <v>172</v>
      </c>
      <c r="AA24" t="s">
        <v>1029</v>
      </c>
      <c r="AB24" t="s">
        <v>1030</v>
      </c>
      <c r="AC24" t="s">
        <v>1031</v>
      </c>
      <c r="AD24" t="s">
        <v>176</v>
      </c>
      <c r="AE24" t="s">
        <v>177</v>
      </c>
      <c r="AF24">
        <f t="shared" si="8"/>
        <v>76.016759279999988</v>
      </c>
      <c r="AG24" t="s">
        <v>178</v>
      </c>
      <c r="AH24" t="s">
        <v>1032</v>
      </c>
      <c r="AI24" t="s">
        <v>1033</v>
      </c>
      <c r="AJ24" t="s">
        <v>1034</v>
      </c>
      <c r="AK24" t="s">
        <v>1035</v>
      </c>
      <c r="AL24">
        <f t="shared" si="9"/>
        <v>29.88</v>
      </c>
      <c r="AM24" t="s">
        <v>183</v>
      </c>
      <c r="AN24" t="s">
        <v>603</v>
      </c>
      <c r="AO24" t="s">
        <v>563</v>
      </c>
      <c r="AP24" t="s">
        <v>564</v>
      </c>
      <c r="AQ24" t="s">
        <v>1036</v>
      </c>
      <c r="AR24" t="s">
        <v>1037</v>
      </c>
      <c r="AS24" t="s">
        <v>354</v>
      </c>
      <c r="AT24" t="s">
        <v>262</v>
      </c>
      <c r="AU24" t="s">
        <v>1038</v>
      </c>
      <c r="AV24" t="s">
        <v>1039</v>
      </c>
      <c r="AW24" t="s">
        <v>1040</v>
      </c>
      <c r="AX24" t="s">
        <v>1041</v>
      </c>
      <c r="AY24" t="s">
        <v>1042</v>
      </c>
      <c r="AZ24" t="s">
        <v>964</v>
      </c>
      <c r="BA24" t="s">
        <v>1043</v>
      </c>
      <c r="BB24" t="s">
        <v>1044</v>
      </c>
      <c r="BC24" t="s">
        <v>1045</v>
      </c>
      <c r="BD24" t="s">
        <v>161</v>
      </c>
      <c r="BE24" t="s">
        <v>1046</v>
      </c>
      <c r="BF24" t="s">
        <v>1008</v>
      </c>
      <c r="BG24" t="s">
        <v>1047</v>
      </c>
      <c r="BH24" t="s">
        <v>619</v>
      </c>
      <c r="BI24" t="s">
        <v>1048</v>
      </c>
      <c r="BJ24" t="s">
        <v>929</v>
      </c>
      <c r="BK24" t="s">
        <v>161</v>
      </c>
      <c r="BL24" t="s">
        <v>930</v>
      </c>
      <c r="BM24" t="s">
        <v>159</v>
      </c>
      <c r="BN24" t="s">
        <v>368</v>
      </c>
      <c r="BO24" t="s">
        <v>277</v>
      </c>
      <c r="BP24" t="s">
        <v>496</v>
      </c>
      <c r="BQ24" t="s">
        <v>1049</v>
      </c>
      <c r="BR24" t="s">
        <v>1050</v>
      </c>
      <c r="BS24" t="s">
        <v>204</v>
      </c>
      <c r="BT24" t="s">
        <v>159</v>
      </c>
      <c r="BU24" t="s">
        <v>208</v>
      </c>
      <c r="BV24" t="s">
        <v>209</v>
      </c>
      <c r="BW24" t="s">
        <v>210</v>
      </c>
      <c r="BX24" t="s">
        <v>211</v>
      </c>
      <c r="BY24" t="s">
        <v>172</v>
      </c>
      <c r="BZ24" t="s">
        <v>212</v>
      </c>
      <c r="CA24" t="s">
        <v>172</v>
      </c>
      <c r="CB24" t="s">
        <v>172</v>
      </c>
      <c r="CC24" t="s">
        <v>213</v>
      </c>
      <c r="CD24" t="s">
        <v>214</v>
      </c>
      <c r="CE24" t="s">
        <v>215</v>
      </c>
      <c r="CF24" t="s">
        <v>216</v>
      </c>
      <c r="CG24" t="s">
        <v>217</v>
      </c>
      <c r="CH24" t="s">
        <v>218</v>
      </c>
      <c r="CI24" t="s">
        <v>178</v>
      </c>
      <c r="CJ24" t="s">
        <v>210</v>
      </c>
      <c r="CK24" t="s">
        <v>219</v>
      </c>
      <c r="CL24" t="s">
        <v>219</v>
      </c>
      <c r="CM24" t="s">
        <v>219</v>
      </c>
      <c r="CN24" t="s">
        <v>172</v>
      </c>
      <c r="CO24" t="s">
        <v>220</v>
      </c>
      <c r="CP24" t="s">
        <v>172</v>
      </c>
      <c r="CQ24" t="s">
        <v>172</v>
      </c>
      <c r="CR24" t="s">
        <v>172</v>
      </c>
      <c r="CS24" t="s">
        <v>172</v>
      </c>
      <c r="CT24" t="s">
        <v>1051</v>
      </c>
      <c r="CU24" t="s">
        <v>1052</v>
      </c>
      <c r="CV24" t="s">
        <v>1053</v>
      </c>
      <c r="CW24" t="s">
        <v>1054</v>
      </c>
      <c r="CX24" t="s">
        <v>1055</v>
      </c>
      <c r="CY24" t="s">
        <v>1056</v>
      </c>
      <c r="CZ24" t="s">
        <v>1057</v>
      </c>
      <c r="DA24" t="s">
        <v>1058</v>
      </c>
      <c r="DB24" t="s">
        <v>1029</v>
      </c>
      <c r="DC24" t="s">
        <v>1059</v>
      </c>
      <c r="DD24" t="s">
        <v>230</v>
      </c>
      <c r="DE24" t="s">
        <v>231</v>
      </c>
      <c r="DF24" t="s">
        <v>178</v>
      </c>
      <c r="DG24" t="s">
        <v>232</v>
      </c>
      <c r="DH24" t="s">
        <v>233</v>
      </c>
      <c r="DI24" t="s">
        <v>178</v>
      </c>
      <c r="DJ24" t="s">
        <v>234</v>
      </c>
      <c r="DK24" t="s">
        <v>235</v>
      </c>
      <c r="DL24" t="s">
        <v>236</v>
      </c>
      <c r="DM24" t="s">
        <v>172</v>
      </c>
      <c r="DN24" t="s">
        <v>1028</v>
      </c>
      <c r="DO24" t="s">
        <v>237</v>
      </c>
      <c r="DP24" t="s">
        <v>238</v>
      </c>
      <c r="DQ24" t="s">
        <v>239</v>
      </c>
      <c r="DR24" t="s">
        <v>240</v>
      </c>
      <c r="DS24" t="s">
        <v>241</v>
      </c>
      <c r="DT24" t="s">
        <v>242</v>
      </c>
    </row>
    <row r="25" spans="1:124" x14ac:dyDescent="0.45">
      <c r="A25" t="s">
        <v>1060</v>
      </c>
      <c r="B25" t="s">
        <v>1061</v>
      </c>
      <c r="C25" t="s">
        <v>161</v>
      </c>
      <c r="D25" t="s">
        <v>162</v>
      </c>
      <c r="E25" t="s">
        <v>163</v>
      </c>
      <c r="H25" t="s">
        <v>942</v>
      </c>
      <c r="I25" t="s">
        <v>1062</v>
      </c>
      <c r="J25">
        <f t="shared" si="0"/>
        <v>0.18408696733379837</v>
      </c>
      <c r="K25">
        <f t="shared" si="1"/>
        <v>2.9066320800000001</v>
      </c>
      <c r="L25">
        <f t="shared" si="2"/>
        <v>0.1731225247483785</v>
      </c>
      <c r="M25">
        <f t="shared" si="3"/>
        <v>2.0268431392947983</v>
      </c>
      <c r="N25" t="s">
        <v>1063</v>
      </c>
      <c r="O25" t="s">
        <v>1064</v>
      </c>
      <c r="P25">
        <f t="shared" si="4"/>
        <v>4.284982783340161</v>
      </c>
      <c r="Q25">
        <f t="shared" si="5"/>
        <v>1.1341597833401611</v>
      </c>
      <c r="R25" t="s">
        <v>1065</v>
      </c>
      <c r="S25" t="s">
        <v>1066</v>
      </c>
      <c r="T25">
        <f t="shared" si="6"/>
        <v>42.594262259842559</v>
      </c>
      <c r="U25">
        <f t="shared" si="7"/>
        <v>0.4417875</v>
      </c>
      <c r="V25" t="s">
        <v>170</v>
      </c>
      <c r="W25" t="s">
        <v>1067</v>
      </c>
      <c r="X25" t="s">
        <v>172</v>
      </c>
      <c r="Y25" t="s">
        <v>172</v>
      </c>
      <c r="Z25" t="s">
        <v>172</v>
      </c>
      <c r="AA25" t="s">
        <v>1068</v>
      </c>
      <c r="AB25" t="s">
        <v>1069</v>
      </c>
      <c r="AC25" t="s">
        <v>1070</v>
      </c>
      <c r="AD25" t="s">
        <v>176</v>
      </c>
      <c r="AE25" t="s">
        <v>177</v>
      </c>
      <c r="AF25">
        <f t="shared" si="8"/>
        <v>70.768773600000003</v>
      </c>
      <c r="AG25" t="s">
        <v>178</v>
      </c>
      <c r="AH25" t="s">
        <v>1071</v>
      </c>
      <c r="AI25" t="s">
        <v>1072</v>
      </c>
      <c r="AJ25" t="s">
        <v>1034</v>
      </c>
      <c r="AK25" t="s">
        <v>912</v>
      </c>
      <c r="AL25">
        <f t="shared" si="9"/>
        <v>30.1</v>
      </c>
      <c r="AM25" t="s">
        <v>349</v>
      </c>
      <c r="AN25" t="s">
        <v>396</v>
      </c>
      <c r="AO25" t="s">
        <v>1073</v>
      </c>
      <c r="AP25" t="s">
        <v>1074</v>
      </c>
      <c r="AQ25" t="s">
        <v>1075</v>
      </c>
      <c r="AR25" t="s">
        <v>959</v>
      </c>
      <c r="AS25" t="s">
        <v>354</v>
      </c>
      <c r="AT25" t="s">
        <v>334</v>
      </c>
      <c r="AU25" t="s">
        <v>439</v>
      </c>
      <c r="AV25" t="s">
        <v>1076</v>
      </c>
      <c r="AW25" t="s">
        <v>1077</v>
      </c>
      <c r="AX25" t="s">
        <v>1078</v>
      </c>
      <c r="AY25" t="s">
        <v>1079</v>
      </c>
      <c r="AZ25" t="s">
        <v>964</v>
      </c>
      <c r="BA25" t="s">
        <v>1043</v>
      </c>
      <c r="BB25" t="s">
        <v>1044</v>
      </c>
      <c r="BC25" t="s">
        <v>1080</v>
      </c>
      <c r="BD25" t="s">
        <v>161</v>
      </c>
      <c r="BE25" t="s">
        <v>1081</v>
      </c>
      <c r="BF25" t="s">
        <v>1082</v>
      </c>
      <c r="BG25" t="s">
        <v>1083</v>
      </c>
      <c r="BH25" t="s">
        <v>450</v>
      </c>
      <c r="BI25" t="s">
        <v>969</v>
      </c>
      <c r="BJ25" t="s">
        <v>929</v>
      </c>
      <c r="BK25" t="s">
        <v>161</v>
      </c>
      <c r="BL25" t="s">
        <v>930</v>
      </c>
      <c r="BM25" t="s">
        <v>159</v>
      </c>
      <c r="BN25" t="s">
        <v>209</v>
      </c>
      <c r="BO25" t="s">
        <v>277</v>
      </c>
      <c r="BP25" t="s">
        <v>276</v>
      </c>
      <c r="BQ25" t="s">
        <v>575</v>
      </c>
      <c r="BR25" t="s">
        <v>1084</v>
      </c>
      <c r="BS25" t="s">
        <v>774</v>
      </c>
      <c r="BT25" t="s">
        <v>159</v>
      </c>
      <c r="BU25" t="s">
        <v>208</v>
      </c>
      <c r="BV25" t="s">
        <v>209</v>
      </c>
      <c r="BW25" t="s">
        <v>210</v>
      </c>
      <c r="BX25" t="s">
        <v>211</v>
      </c>
      <c r="BY25" t="s">
        <v>172</v>
      </c>
      <c r="BZ25" t="s">
        <v>212</v>
      </c>
      <c r="CA25" t="s">
        <v>172</v>
      </c>
      <c r="CB25" t="s">
        <v>172</v>
      </c>
      <c r="CC25" t="s">
        <v>213</v>
      </c>
      <c r="CD25" t="s">
        <v>214</v>
      </c>
      <c r="CE25" t="s">
        <v>215</v>
      </c>
      <c r="CF25" t="s">
        <v>216</v>
      </c>
      <c r="CG25" t="s">
        <v>217</v>
      </c>
      <c r="CH25" t="s">
        <v>218</v>
      </c>
      <c r="CI25" t="s">
        <v>178</v>
      </c>
      <c r="CJ25" t="s">
        <v>210</v>
      </c>
      <c r="CK25" t="s">
        <v>219</v>
      </c>
      <c r="CL25" t="s">
        <v>219</v>
      </c>
      <c r="CM25" t="s">
        <v>219</v>
      </c>
      <c r="CN25" t="s">
        <v>172</v>
      </c>
      <c r="CO25" t="s">
        <v>220</v>
      </c>
      <c r="CP25" t="s">
        <v>172</v>
      </c>
      <c r="CQ25" t="s">
        <v>172</v>
      </c>
      <c r="CR25" t="s">
        <v>172</v>
      </c>
      <c r="CS25" t="s">
        <v>172</v>
      </c>
      <c r="CT25" t="s">
        <v>1085</v>
      </c>
      <c r="CU25" t="s">
        <v>1086</v>
      </c>
      <c r="CV25" t="s">
        <v>1087</v>
      </c>
      <c r="CW25" t="s">
        <v>1088</v>
      </c>
      <c r="CX25" t="s">
        <v>1089</v>
      </c>
      <c r="CY25" t="s">
        <v>1090</v>
      </c>
      <c r="CZ25" t="s">
        <v>1091</v>
      </c>
      <c r="DA25" t="s">
        <v>1092</v>
      </c>
      <c r="DB25" t="s">
        <v>1068</v>
      </c>
      <c r="DC25" t="s">
        <v>1059</v>
      </c>
      <c r="DD25" t="s">
        <v>230</v>
      </c>
      <c r="DE25" t="s">
        <v>231</v>
      </c>
      <c r="DF25" t="s">
        <v>178</v>
      </c>
      <c r="DG25" t="s">
        <v>232</v>
      </c>
      <c r="DH25" t="s">
        <v>233</v>
      </c>
      <c r="DI25" t="s">
        <v>178</v>
      </c>
      <c r="DJ25" t="s">
        <v>234</v>
      </c>
      <c r="DK25" t="s">
        <v>235</v>
      </c>
      <c r="DL25" t="s">
        <v>236</v>
      </c>
      <c r="DM25" t="s">
        <v>172</v>
      </c>
      <c r="DN25" t="s">
        <v>1067</v>
      </c>
      <c r="DO25" t="s">
        <v>237</v>
      </c>
      <c r="DP25" t="s">
        <v>238</v>
      </c>
      <c r="DQ25" t="s">
        <v>239</v>
      </c>
      <c r="DR25" t="s">
        <v>240</v>
      </c>
      <c r="DS25" t="s">
        <v>241</v>
      </c>
      <c r="DT25" t="s">
        <v>242</v>
      </c>
    </row>
    <row r="26" spans="1:124" x14ac:dyDescent="0.45">
      <c r="A26" t="s">
        <v>1093</v>
      </c>
      <c r="B26" t="s">
        <v>1094</v>
      </c>
      <c r="C26" t="s">
        <v>161</v>
      </c>
      <c r="D26" t="s">
        <v>162</v>
      </c>
      <c r="E26" t="s">
        <v>163</v>
      </c>
      <c r="H26" t="s">
        <v>942</v>
      </c>
      <c r="I26" t="s">
        <v>1095</v>
      </c>
      <c r="J26">
        <f t="shared" si="0"/>
        <v>0.20708807898185852</v>
      </c>
      <c r="K26">
        <f t="shared" si="1"/>
        <v>2.9042299199999997</v>
      </c>
      <c r="L26">
        <f t="shared" si="2"/>
        <v>0.1933043794466679</v>
      </c>
      <c r="M26">
        <f t="shared" si="3"/>
        <v>2.1468183096945239</v>
      </c>
      <c r="N26" t="s">
        <v>1096</v>
      </c>
      <c r="O26" t="s">
        <v>1097</v>
      </c>
      <c r="P26">
        <f t="shared" si="4"/>
        <v>4.2360392626630574</v>
      </c>
      <c r="Q26">
        <f t="shared" si="5"/>
        <v>1.0762862626630576</v>
      </c>
      <c r="R26" t="s">
        <v>1098</v>
      </c>
      <c r="S26" t="s">
        <v>1099</v>
      </c>
      <c r="T26">
        <f t="shared" si="6"/>
        <v>42.107746149732186</v>
      </c>
      <c r="U26">
        <f t="shared" si="7"/>
        <v>0.4417875</v>
      </c>
      <c r="V26" t="s">
        <v>170</v>
      </c>
      <c r="W26" t="s">
        <v>1100</v>
      </c>
      <c r="X26" t="s">
        <v>172</v>
      </c>
      <c r="Y26" t="s">
        <v>172</v>
      </c>
      <c r="Z26" t="s">
        <v>172</v>
      </c>
      <c r="AA26" t="s">
        <v>1101</v>
      </c>
      <c r="AB26" t="s">
        <v>1102</v>
      </c>
      <c r="AC26" t="s">
        <v>1103</v>
      </c>
      <c r="AD26" t="s">
        <v>176</v>
      </c>
      <c r="AE26" t="s">
        <v>177</v>
      </c>
      <c r="AF26">
        <f t="shared" si="8"/>
        <v>53.297702639999997</v>
      </c>
      <c r="AG26" t="s">
        <v>178</v>
      </c>
      <c r="AH26" t="s">
        <v>1104</v>
      </c>
      <c r="AI26" t="s">
        <v>1105</v>
      </c>
      <c r="AJ26" t="s">
        <v>836</v>
      </c>
      <c r="AK26" t="s">
        <v>1106</v>
      </c>
      <c r="AL26">
        <f t="shared" si="9"/>
        <v>29.9</v>
      </c>
      <c r="AM26" t="s">
        <v>349</v>
      </c>
      <c r="AN26" t="s">
        <v>603</v>
      </c>
      <c r="AO26" t="s">
        <v>306</v>
      </c>
      <c r="AP26" t="s">
        <v>258</v>
      </c>
      <c r="AQ26" t="s">
        <v>1107</v>
      </c>
      <c r="AR26" t="s">
        <v>1108</v>
      </c>
      <c r="AS26" t="s">
        <v>1109</v>
      </c>
      <c r="AT26" t="s">
        <v>366</v>
      </c>
      <c r="AU26" t="s">
        <v>1038</v>
      </c>
      <c r="AV26" t="s">
        <v>1110</v>
      </c>
      <c r="AW26" t="s">
        <v>1111</v>
      </c>
      <c r="AX26" t="s">
        <v>1112</v>
      </c>
      <c r="AY26" t="s">
        <v>1113</v>
      </c>
      <c r="AZ26" t="s">
        <v>964</v>
      </c>
      <c r="BA26" t="s">
        <v>1114</v>
      </c>
      <c r="BB26" t="s">
        <v>1115</v>
      </c>
      <c r="BC26" t="s">
        <v>1116</v>
      </c>
      <c r="BD26" t="s">
        <v>161</v>
      </c>
      <c r="BE26" t="s">
        <v>1117</v>
      </c>
      <c r="BF26" t="s">
        <v>1118</v>
      </c>
      <c r="BG26" t="s">
        <v>1119</v>
      </c>
      <c r="BH26" t="s">
        <v>450</v>
      </c>
      <c r="BI26" t="s">
        <v>969</v>
      </c>
      <c r="BJ26" t="s">
        <v>929</v>
      </c>
      <c r="BK26" t="s">
        <v>161</v>
      </c>
      <c r="BL26" t="s">
        <v>930</v>
      </c>
      <c r="BM26" t="s">
        <v>159</v>
      </c>
      <c r="BN26" t="s">
        <v>277</v>
      </c>
      <c r="BO26" t="s">
        <v>209</v>
      </c>
      <c r="BP26" t="s">
        <v>1120</v>
      </c>
      <c r="BQ26" t="s">
        <v>1121</v>
      </c>
      <c r="BR26" t="s">
        <v>1122</v>
      </c>
      <c r="BS26" t="s">
        <v>1123</v>
      </c>
      <c r="BT26" t="s">
        <v>159</v>
      </c>
      <c r="BU26" t="s">
        <v>208</v>
      </c>
      <c r="BV26" t="s">
        <v>209</v>
      </c>
      <c r="BW26" t="s">
        <v>210</v>
      </c>
      <c r="BX26" t="s">
        <v>211</v>
      </c>
      <c r="BY26" t="s">
        <v>172</v>
      </c>
      <c r="BZ26" t="s">
        <v>212</v>
      </c>
      <c r="CA26" t="s">
        <v>172</v>
      </c>
      <c r="CB26" t="s">
        <v>172</v>
      </c>
      <c r="CC26" t="s">
        <v>213</v>
      </c>
      <c r="CD26" t="s">
        <v>214</v>
      </c>
      <c r="CE26" t="s">
        <v>215</v>
      </c>
      <c r="CF26" t="s">
        <v>216</v>
      </c>
      <c r="CG26" t="s">
        <v>217</v>
      </c>
      <c r="CH26" t="s">
        <v>218</v>
      </c>
      <c r="CI26" t="s">
        <v>178</v>
      </c>
      <c r="CJ26" t="s">
        <v>210</v>
      </c>
      <c r="CK26" t="s">
        <v>219</v>
      </c>
      <c r="CL26" t="s">
        <v>219</v>
      </c>
      <c r="CM26" t="s">
        <v>219</v>
      </c>
      <c r="CN26" t="s">
        <v>172</v>
      </c>
      <c r="CO26" t="s">
        <v>220</v>
      </c>
      <c r="CP26" t="s">
        <v>172</v>
      </c>
      <c r="CQ26" t="s">
        <v>172</v>
      </c>
      <c r="CR26" t="s">
        <v>172</v>
      </c>
      <c r="CS26" t="s">
        <v>172</v>
      </c>
      <c r="CT26" t="s">
        <v>1124</v>
      </c>
      <c r="CU26" t="s">
        <v>1125</v>
      </c>
      <c r="CV26" t="s">
        <v>1126</v>
      </c>
      <c r="CW26" t="s">
        <v>1127</v>
      </c>
      <c r="CX26" t="s">
        <v>1128</v>
      </c>
      <c r="CY26" t="s">
        <v>1129</v>
      </c>
      <c r="CZ26" t="s">
        <v>1130</v>
      </c>
      <c r="DA26" t="s">
        <v>1131</v>
      </c>
      <c r="DB26" t="s">
        <v>1101</v>
      </c>
      <c r="DC26" t="s">
        <v>547</v>
      </c>
      <c r="DD26" t="s">
        <v>230</v>
      </c>
      <c r="DE26" t="s">
        <v>231</v>
      </c>
      <c r="DF26" t="s">
        <v>178</v>
      </c>
      <c r="DG26" t="s">
        <v>232</v>
      </c>
      <c r="DH26" t="s">
        <v>233</v>
      </c>
      <c r="DI26" t="s">
        <v>178</v>
      </c>
      <c r="DJ26" t="s">
        <v>234</v>
      </c>
      <c r="DK26" t="s">
        <v>235</v>
      </c>
      <c r="DL26" t="s">
        <v>236</v>
      </c>
      <c r="DM26" t="s">
        <v>172</v>
      </c>
      <c r="DN26" t="s">
        <v>1100</v>
      </c>
      <c r="DO26" t="s">
        <v>237</v>
      </c>
      <c r="DP26" t="s">
        <v>238</v>
      </c>
      <c r="DQ26" t="s">
        <v>239</v>
      </c>
      <c r="DR26" t="s">
        <v>240</v>
      </c>
      <c r="DS26" t="s">
        <v>241</v>
      </c>
      <c r="DT26" t="s">
        <v>242</v>
      </c>
    </row>
    <row r="27" spans="1:124" x14ac:dyDescent="0.45">
      <c r="A27" t="s">
        <v>1132</v>
      </c>
      <c r="B27" t="s">
        <v>1133</v>
      </c>
      <c r="C27" t="s">
        <v>161</v>
      </c>
      <c r="D27" t="s">
        <v>162</v>
      </c>
      <c r="E27" t="s">
        <v>163</v>
      </c>
      <c r="H27" t="s">
        <v>942</v>
      </c>
      <c r="I27" t="s">
        <v>1134</v>
      </c>
      <c r="J27">
        <f t="shared" si="0"/>
        <v>0.24613912791547382</v>
      </c>
      <c r="K27">
        <f t="shared" si="1"/>
        <v>2.9066320800000001</v>
      </c>
      <c r="L27">
        <f t="shared" si="2"/>
        <v>0.22692286822023039</v>
      </c>
      <c r="M27">
        <f t="shared" si="3"/>
        <v>2.3752226727970926</v>
      </c>
      <c r="N27" t="s">
        <v>1135</v>
      </c>
      <c r="O27" t="s">
        <v>1136</v>
      </c>
      <c r="P27">
        <f t="shared" si="4"/>
        <v>4.1803571823051895</v>
      </c>
      <c r="Q27">
        <f t="shared" si="5"/>
        <v>1.0145981823051895</v>
      </c>
      <c r="R27" t="s">
        <v>1137</v>
      </c>
      <c r="S27" t="s">
        <v>1138</v>
      </c>
      <c r="T27">
        <f t="shared" si="6"/>
        <v>41.554246344982005</v>
      </c>
      <c r="U27">
        <f t="shared" si="7"/>
        <v>0.4417875</v>
      </c>
      <c r="V27" t="s">
        <v>170</v>
      </c>
      <c r="W27" t="s">
        <v>1139</v>
      </c>
      <c r="X27" t="s">
        <v>172</v>
      </c>
      <c r="Y27" t="s">
        <v>172</v>
      </c>
      <c r="Z27" t="s">
        <v>172</v>
      </c>
      <c r="AA27" t="s">
        <v>1140</v>
      </c>
      <c r="AB27" t="s">
        <v>1141</v>
      </c>
      <c r="AC27" t="s">
        <v>1142</v>
      </c>
      <c r="AD27" t="s">
        <v>176</v>
      </c>
      <c r="AE27" t="s">
        <v>177</v>
      </c>
      <c r="AF27">
        <f t="shared" si="8"/>
        <v>59.999831640000004</v>
      </c>
      <c r="AG27" t="s">
        <v>178</v>
      </c>
      <c r="AH27" t="s">
        <v>1143</v>
      </c>
      <c r="AI27" t="s">
        <v>1144</v>
      </c>
      <c r="AJ27" t="s">
        <v>1145</v>
      </c>
      <c r="AK27" t="s">
        <v>1146</v>
      </c>
      <c r="AL27">
        <f t="shared" si="9"/>
        <v>29.67</v>
      </c>
      <c r="AM27" t="s">
        <v>349</v>
      </c>
      <c r="AN27" t="s">
        <v>396</v>
      </c>
      <c r="AO27" t="s">
        <v>1147</v>
      </c>
      <c r="AP27" t="s">
        <v>1148</v>
      </c>
      <c r="AQ27" t="s">
        <v>1149</v>
      </c>
      <c r="AR27" t="s">
        <v>1150</v>
      </c>
      <c r="AS27" t="s">
        <v>999</v>
      </c>
      <c r="AT27" t="s">
        <v>159</v>
      </c>
      <c r="AU27" t="s">
        <v>917</v>
      </c>
      <c r="AV27" t="s">
        <v>1151</v>
      </c>
      <c r="AW27" t="s">
        <v>1152</v>
      </c>
      <c r="AX27" t="s">
        <v>1153</v>
      </c>
      <c r="AY27" t="s">
        <v>1154</v>
      </c>
      <c r="AZ27" t="s">
        <v>964</v>
      </c>
      <c r="BA27" t="s">
        <v>1155</v>
      </c>
      <c r="BB27" t="s">
        <v>1156</v>
      </c>
      <c r="BC27" t="s">
        <v>1157</v>
      </c>
      <c r="BD27" t="s">
        <v>161</v>
      </c>
      <c r="BE27" t="s">
        <v>1158</v>
      </c>
      <c r="BF27" t="s">
        <v>1159</v>
      </c>
      <c r="BG27" t="s">
        <v>1160</v>
      </c>
      <c r="BH27" t="s">
        <v>709</v>
      </c>
      <c r="BI27" t="s">
        <v>451</v>
      </c>
      <c r="BJ27" t="s">
        <v>929</v>
      </c>
      <c r="BK27" t="s">
        <v>161</v>
      </c>
      <c r="BL27" t="s">
        <v>930</v>
      </c>
      <c r="BM27" t="s">
        <v>159</v>
      </c>
      <c r="BN27" t="s">
        <v>368</v>
      </c>
      <c r="BO27" t="s">
        <v>276</v>
      </c>
      <c r="BP27" t="s">
        <v>322</v>
      </c>
      <c r="BQ27" t="s">
        <v>1161</v>
      </c>
      <c r="BR27" t="s">
        <v>1162</v>
      </c>
      <c r="BS27" t="s">
        <v>1163</v>
      </c>
      <c r="BT27" t="s">
        <v>159</v>
      </c>
      <c r="BU27" t="s">
        <v>208</v>
      </c>
      <c r="BV27" t="s">
        <v>209</v>
      </c>
      <c r="BW27" t="s">
        <v>210</v>
      </c>
      <c r="BX27" t="s">
        <v>211</v>
      </c>
      <c r="BY27" t="s">
        <v>172</v>
      </c>
      <c r="BZ27" t="s">
        <v>212</v>
      </c>
      <c r="CA27" t="s">
        <v>172</v>
      </c>
      <c r="CB27" t="s">
        <v>172</v>
      </c>
      <c r="CC27" t="s">
        <v>213</v>
      </c>
      <c r="CD27" t="s">
        <v>214</v>
      </c>
      <c r="CE27" t="s">
        <v>215</v>
      </c>
      <c r="CF27" t="s">
        <v>216</v>
      </c>
      <c r="CG27" t="s">
        <v>217</v>
      </c>
      <c r="CH27" t="s">
        <v>218</v>
      </c>
      <c r="CI27" t="s">
        <v>178</v>
      </c>
      <c r="CJ27" t="s">
        <v>210</v>
      </c>
      <c r="CK27" t="s">
        <v>219</v>
      </c>
      <c r="CL27" t="s">
        <v>219</v>
      </c>
      <c r="CM27" t="s">
        <v>219</v>
      </c>
      <c r="CN27" t="s">
        <v>172</v>
      </c>
      <c r="CO27" t="s">
        <v>220</v>
      </c>
      <c r="CP27" t="s">
        <v>172</v>
      </c>
      <c r="CQ27" t="s">
        <v>172</v>
      </c>
      <c r="CR27" t="s">
        <v>172</v>
      </c>
      <c r="CS27" t="s">
        <v>172</v>
      </c>
      <c r="CT27" t="s">
        <v>1164</v>
      </c>
      <c r="CU27" t="s">
        <v>1165</v>
      </c>
      <c r="CV27" t="s">
        <v>1166</v>
      </c>
      <c r="CW27" t="s">
        <v>1167</v>
      </c>
      <c r="CX27" t="s">
        <v>1168</v>
      </c>
      <c r="CY27" t="s">
        <v>1169</v>
      </c>
      <c r="CZ27" t="s">
        <v>1170</v>
      </c>
      <c r="DA27" t="s">
        <v>1171</v>
      </c>
      <c r="DB27" t="s">
        <v>1140</v>
      </c>
      <c r="DC27" t="s">
        <v>1059</v>
      </c>
      <c r="DD27" t="s">
        <v>230</v>
      </c>
      <c r="DE27" t="s">
        <v>231</v>
      </c>
      <c r="DF27" t="s">
        <v>178</v>
      </c>
      <c r="DG27" t="s">
        <v>232</v>
      </c>
      <c r="DH27" t="s">
        <v>233</v>
      </c>
      <c r="DI27" t="s">
        <v>178</v>
      </c>
      <c r="DJ27" t="s">
        <v>234</v>
      </c>
      <c r="DK27" t="s">
        <v>235</v>
      </c>
      <c r="DL27" t="s">
        <v>236</v>
      </c>
      <c r="DM27" t="s">
        <v>172</v>
      </c>
      <c r="DN27" t="s">
        <v>1139</v>
      </c>
      <c r="DO27" t="s">
        <v>237</v>
      </c>
      <c r="DP27" t="s">
        <v>238</v>
      </c>
      <c r="DQ27" t="s">
        <v>239</v>
      </c>
      <c r="DR27" t="s">
        <v>240</v>
      </c>
      <c r="DS27" t="s">
        <v>241</v>
      </c>
      <c r="DT27" t="s">
        <v>242</v>
      </c>
    </row>
    <row r="28" spans="1:124" x14ac:dyDescent="0.45">
      <c r="A28" t="s">
        <v>1172</v>
      </c>
      <c r="B28" t="s">
        <v>1173</v>
      </c>
      <c r="C28" t="s">
        <v>161</v>
      </c>
      <c r="D28" t="s">
        <v>162</v>
      </c>
      <c r="E28" t="s">
        <v>163</v>
      </c>
      <c r="H28" t="s">
        <v>942</v>
      </c>
      <c r="I28" t="s">
        <v>1174</v>
      </c>
      <c r="J28">
        <f t="shared" si="0"/>
        <v>0.18829476567770667</v>
      </c>
      <c r="K28">
        <f t="shared" si="1"/>
        <v>2.9066320800000001</v>
      </c>
      <c r="L28">
        <f t="shared" si="2"/>
        <v>0.17683894764079963</v>
      </c>
      <c r="M28">
        <f t="shared" si="3"/>
        <v>1.843189244411835</v>
      </c>
      <c r="N28" t="s">
        <v>1175</v>
      </c>
      <c r="O28" t="s">
        <v>1176</v>
      </c>
      <c r="P28">
        <f t="shared" si="4"/>
        <v>4.1948210785935185</v>
      </c>
      <c r="Q28">
        <f t="shared" si="5"/>
        <v>1.0100620785935184</v>
      </c>
      <c r="R28" t="s">
        <v>1177</v>
      </c>
      <c r="S28" t="s">
        <v>1178</v>
      </c>
      <c r="T28">
        <f t="shared" si="6"/>
        <v>41.698022650034979</v>
      </c>
      <c r="U28">
        <f t="shared" si="7"/>
        <v>0.4417875</v>
      </c>
      <c r="V28" t="s">
        <v>170</v>
      </c>
      <c r="W28" t="s">
        <v>1179</v>
      </c>
      <c r="X28" t="s">
        <v>172</v>
      </c>
      <c r="Y28" t="s">
        <v>172</v>
      </c>
      <c r="Z28" t="s">
        <v>172</v>
      </c>
      <c r="AA28" t="s">
        <v>1180</v>
      </c>
      <c r="AB28" t="s">
        <v>1181</v>
      </c>
      <c r="AC28" t="s">
        <v>1182</v>
      </c>
      <c r="AD28" t="s">
        <v>176</v>
      </c>
      <c r="AE28" t="s">
        <v>177</v>
      </c>
      <c r="AF28">
        <f t="shared" si="8"/>
        <v>53.814700799999997</v>
      </c>
      <c r="AG28" t="s">
        <v>178</v>
      </c>
      <c r="AH28" t="s">
        <v>1183</v>
      </c>
      <c r="AI28" t="s">
        <v>681</v>
      </c>
      <c r="AJ28" t="s">
        <v>682</v>
      </c>
      <c r="AK28" t="s">
        <v>874</v>
      </c>
      <c r="AL28">
        <f t="shared" si="9"/>
        <v>29.73</v>
      </c>
      <c r="AM28" t="s">
        <v>349</v>
      </c>
      <c r="AN28" t="s">
        <v>396</v>
      </c>
      <c r="AO28" t="s">
        <v>1184</v>
      </c>
      <c r="AP28" t="s">
        <v>523</v>
      </c>
      <c r="AQ28" t="s">
        <v>527</v>
      </c>
      <c r="AR28" t="s">
        <v>1150</v>
      </c>
      <c r="AS28" t="s">
        <v>726</v>
      </c>
      <c r="AT28" t="s">
        <v>215</v>
      </c>
      <c r="AU28" t="s">
        <v>307</v>
      </c>
      <c r="AV28" t="s">
        <v>1185</v>
      </c>
      <c r="AW28" t="s">
        <v>1186</v>
      </c>
      <c r="AX28" t="s">
        <v>1187</v>
      </c>
      <c r="AY28" t="s">
        <v>1188</v>
      </c>
      <c r="AZ28" t="s">
        <v>964</v>
      </c>
      <c r="BA28" t="s">
        <v>1189</v>
      </c>
      <c r="BB28" t="s">
        <v>1190</v>
      </c>
      <c r="BC28" t="s">
        <v>1191</v>
      </c>
      <c r="BD28" t="s">
        <v>161</v>
      </c>
      <c r="BE28" t="s">
        <v>1192</v>
      </c>
      <c r="BF28" t="s">
        <v>1193</v>
      </c>
      <c r="BG28" t="s">
        <v>1194</v>
      </c>
      <c r="BH28" t="s">
        <v>746</v>
      </c>
      <c r="BI28" t="s">
        <v>1195</v>
      </c>
      <c r="BJ28" t="s">
        <v>929</v>
      </c>
      <c r="BK28" t="s">
        <v>161</v>
      </c>
      <c r="BL28" t="s">
        <v>930</v>
      </c>
      <c r="BM28" t="s">
        <v>159</v>
      </c>
      <c r="BN28" t="s">
        <v>886</v>
      </c>
      <c r="BO28" t="s">
        <v>209</v>
      </c>
      <c r="BP28" t="s">
        <v>1011</v>
      </c>
      <c r="BQ28" t="s">
        <v>1196</v>
      </c>
      <c r="BR28" t="s">
        <v>1197</v>
      </c>
      <c r="BS28" t="s">
        <v>1198</v>
      </c>
      <c r="BT28" t="s">
        <v>159</v>
      </c>
      <c r="BU28" t="s">
        <v>208</v>
      </c>
      <c r="BV28" t="s">
        <v>209</v>
      </c>
      <c r="BW28" t="s">
        <v>210</v>
      </c>
      <c r="BX28" t="s">
        <v>211</v>
      </c>
      <c r="BY28" t="s">
        <v>172</v>
      </c>
      <c r="BZ28" t="s">
        <v>212</v>
      </c>
      <c r="CA28" t="s">
        <v>172</v>
      </c>
      <c r="CB28" t="s">
        <v>172</v>
      </c>
      <c r="CC28" t="s">
        <v>213</v>
      </c>
      <c r="CD28" t="s">
        <v>214</v>
      </c>
      <c r="CE28" t="s">
        <v>215</v>
      </c>
      <c r="CF28" t="s">
        <v>216</v>
      </c>
      <c r="CG28" t="s">
        <v>217</v>
      </c>
      <c r="CH28" t="s">
        <v>218</v>
      </c>
      <c r="CI28" t="s">
        <v>178</v>
      </c>
      <c r="CJ28" t="s">
        <v>210</v>
      </c>
      <c r="CK28" t="s">
        <v>219</v>
      </c>
      <c r="CL28" t="s">
        <v>219</v>
      </c>
      <c r="CM28" t="s">
        <v>219</v>
      </c>
      <c r="CN28" t="s">
        <v>172</v>
      </c>
      <c r="CO28" t="s">
        <v>220</v>
      </c>
      <c r="CP28" t="s">
        <v>172</v>
      </c>
      <c r="CQ28" t="s">
        <v>172</v>
      </c>
      <c r="CR28" t="s">
        <v>172</v>
      </c>
      <c r="CS28" t="s">
        <v>172</v>
      </c>
      <c r="CT28" t="s">
        <v>1199</v>
      </c>
      <c r="CU28" t="s">
        <v>1200</v>
      </c>
      <c r="CV28" t="s">
        <v>1201</v>
      </c>
      <c r="CW28" t="s">
        <v>1202</v>
      </c>
      <c r="CX28" t="s">
        <v>705</v>
      </c>
      <c r="CY28" t="s">
        <v>1203</v>
      </c>
      <c r="CZ28" t="s">
        <v>1204</v>
      </c>
      <c r="DA28" t="s">
        <v>1205</v>
      </c>
      <c r="DB28" t="s">
        <v>1180</v>
      </c>
      <c r="DC28" t="s">
        <v>822</v>
      </c>
      <c r="DD28" t="s">
        <v>230</v>
      </c>
      <c r="DE28" t="s">
        <v>231</v>
      </c>
      <c r="DF28" t="s">
        <v>178</v>
      </c>
      <c r="DG28" t="s">
        <v>232</v>
      </c>
      <c r="DH28" t="s">
        <v>233</v>
      </c>
      <c r="DI28" t="s">
        <v>178</v>
      </c>
      <c r="DJ28" t="s">
        <v>234</v>
      </c>
      <c r="DK28" t="s">
        <v>235</v>
      </c>
      <c r="DL28" t="s">
        <v>236</v>
      </c>
      <c r="DM28" t="s">
        <v>172</v>
      </c>
      <c r="DN28" t="s">
        <v>1179</v>
      </c>
      <c r="DO28" t="s">
        <v>237</v>
      </c>
      <c r="DP28" t="s">
        <v>238</v>
      </c>
      <c r="DQ28" t="s">
        <v>239</v>
      </c>
      <c r="DR28" t="s">
        <v>240</v>
      </c>
      <c r="DS28" t="s">
        <v>241</v>
      </c>
      <c r="DT28" t="s">
        <v>242</v>
      </c>
    </row>
    <row r="29" spans="1:124" x14ac:dyDescent="0.45">
      <c r="A29" t="s">
        <v>1206</v>
      </c>
      <c r="B29" t="s">
        <v>1207</v>
      </c>
      <c r="C29" t="s">
        <v>161</v>
      </c>
      <c r="D29" t="s">
        <v>162</v>
      </c>
      <c r="E29" t="s">
        <v>163</v>
      </c>
      <c r="H29" t="s">
        <v>942</v>
      </c>
      <c r="I29" t="s">
        <v>1208</v>
      </c>
      <c r="J29">
        <f t="shared" si="0"/>
        <v>0.21811200395017591</v>
      </c>
      <c r="K29">
        <f t="shared" si="1"/>
        <v>2.9066320800000001</v>
      </c>
      <c r="L29">
        <f t="shared" si="2"/>
        <v>0.20288744635791964</v>
      </c>
      <c r="M29">
        <f t="shared" si="3"/>
        <v>2.0762774343661246</v>
      </c>
      <c r="N29" t="s">
        <v>1209</v>
      </c>
      <c r="O29" t="s">
        <v>1210</v>
      </c>
      <c r="P29">
        <f t="shared" si="4"/>
        <v>4.1803571823051895</v>
      </c>
      <c r="Q29">
        <f t="shared" si="5"/>
        <v>0.99184618230518939</v>
      </c>
      <c r="R29" t="s">
        <v>1211</v>
      </c>
      <c r="S29" t="s">
        <v>1212</v>
      </c>
      <c r="T29">
        <f t="shared" si="6"/>
        <v>41.554246344982005</v>
      </c>
      <c r="U29">
        <f t="shared" si="7"/>
        <v>0.4417875</v>
      </c>
      <c r="V29" t="s">
        <v>170</v>
      </c>
      <c r="W29" t="s">
        <v>1213</v>
      </c>
      <c r="X29" t="s">
        <v>172</v>
      </c>
      <c r="Y29" t="s">
        <v>172</v>
      </c>
      <c r="Z29" t="s">
        <v>172</v>
      </c>
      <c r="AA29" t="s">
        <v>1214</v>
      </c>
      <c r="AB29" t="s">
        <v>1215</v>
      </c>
      <c r="AC29" t="s">
        <v>1216</v>
      </c>
      <c r="AD29" t="s">
        <v>176</v>
      </c>
      <c r="AE29" t="s">
        <v>177</v>
      </c>
      <c r="AF29">
        <f t="shared" si="8"/>
        <v>52.750577040000003</v>
      </c>
      <c r="AG29" t="s">
        <v>178</v>
      </c>
      <c r="AH29" t="s">
        <v>1217</v>
      </c>
      <c r="AI29" t="s">
        <v>1071</v>
      </c>
      <c r="AJ29" t="s">
        <v>601</v>
      </c>
      <c r="AK29" t="s">
        <v>1146</v>
      </c>
      <c r="AL29">
        <f t="shared" si="9"/>
        <v>29.67</v>
      </c>
      <c r="AM29" t="s">
        <v>349</v>
      </c>
      <c r="AN29" t="s">
        <v>396</v>
      </c>
      <c r="AO29" t="s">
        <v>1218</v>
      </c>
      <c r="AP29" t="s">
        <v>1219</v>
      </c>
      <c r="AQ29" t="s">
        <v>1220</v>
      </c>
      <c r="AR29" t="s">
        <v>1150</v>
      </c>
      <c r="AS29" t="s">
        <v>261</v>
      </c>
      <c r="AT29" t="s">
        <v>334</v>
      </c>
      <c r="AU29" t="s">
        <v>1221</v>
      </c>
      <c r="AV29" t="s">
        <v>1076</v>
      </c>
      <c r="AW29" t="s">
        <v>1077</v>
      </c>
      <c r="AX29" t="s">
        <v>1222</v>
      </c>
      <c r="AY29" t="s">
        <v>1223</v>
      </c>
      <c r="AZ29" t="s">
        <v>964</v>
      </c>
      <c r="BA29" t="s">
        <v>1189</v>
      </c>
      <c r="BB29" t="s">
        <v>1190</v>
      </c>
      <c r="BC29" t="s">
        <v>1224</v>
      </c>
      <c r="BD29" t="s">
        <v>161</v>
      </c>
      <c r="BE29" t="s">
        <v>1225</v>
      </c>
      <c r="BF29" t="s">
        <v>1226</v>
      </c>
      <c r="BG29" t="s">
        <v>1227</v>
      </c>
      <c r="BH29" t="s">
        <v>450</v>
      </c>
      <c r="BI29" t="s">
        <v>1228</v>
      </c>
      <c r="BJ29" t="s">
        <v>929</v>
      </c>
      <c r="BK29" t="s">
        <v>161</v>
      </c>
      <c r="BL29" t="s">
        <v>930</v>
      </c>
      <c r="BM29" t="s">
        <v>159</v>
      </c>
      <c r="BN29" t="s">
        <v>276</v>
      </c>
      <c r="BO29" t="s">
        <v>276</v>
      </c>
      <c r="BP29" t="s">
        <v>368</v>
      </c>
      <c r="BQ29" t="s">
        <v>1049</v>
      </c>
      <c r="BR29" t="s">
        <v>1229</v>
      </c>
      <c r="BS29" t="s">
        <v>1230</v>
      </c>
      <c r="BT29" t="s">
        <v>159</v>
      </c>
      <c r="BU29" t="s">
        <v>208</v>
      </c>
      <c r="BV29" t="s">
        <v>209</v>
      </c>
      <c r="BW29" t="s">
        <v>210</v>
      </c>
      <c r="BX29" t="s">
        <v>211</v>
      </c>
      <c r="BY29" t="s">
        <v>172</v>
      </c>
      <c r="BZ29" t="s">
        <v>212</v>
      </c>
      <c r="CA29" t="s">
        <v>172</v>
      </c>
      <c r="CB29" t="s">
        <v>172</v>
      </c>
      <c r="CC29" t="s">
        <v>213</v>
      </c>
      <c r="CD29" t="s">
        <v>214</v>
      </c>
      <c r="CE29" t="s">
        <v>215</v>
      </c>
      <c r="CF29" t="s">
        <v>216</v>
      </c>
      <c r="CG29" t="s">
        <v>217</v>
      </c>
      <c r="CH29" t="s">
        <v>218</v>
      </c>
      <c r="CI29" t="s">
        <v>178</v>
      </c>
      <c r="CJ29" t="s">
        <v>210</v>
      </c>
      <c r="CK29" t="s">
        <v>219</v>
      </c>
      <c r="CL29" t="s">
        <v>219</v>
      </c>
      <c r="CM29" t="s">
        <v>219</v>
      </c>
      <c r="CN29" t="s">
        <v>172</v>
      </c>
      <c r="CO29" t="s">
        <v>220</v>
      </c>
      <c r="CP29" t="s">
        <v>172</v>
      </c>
      <c r="CQ29" t="s">
        <v>172</v>
      </c>
      <c r="CR29" t="s">
        <v>172</v>
      </c>
      <c r="CS29" t="s">
        <v>172</v>
      </c>
      <c r="CT29" t="s">
        <v>1231</v>
      </c>
      <c r="CU29" t="s">
        <v>1232</v>
      </c>
      <c r="CV29" t="s">
        <v>1233</v>
      </c>
      <c r="CW29" t="s">
        <v>1234</v>
      </c>
      <c r="CX29" t="s">
        <v>1235</v>
      </c>
      <c r="CY29" t="s">
        <v>1236</v>
      </c>
      <c r="CZ29" t="s">
        <v>1237</v>
      </c>
      <c r="DA29" t="s">
        <v>1238</v>
      </c>
      <c r="DB29" t="s">
        <v>1214</v>
      </c>
      <c r="DC29" t="s">
        <v>822</v>
      </c>
      <c r="DD29" t="s">
        <v>230</v>
      </c>
      <c r="DE29" t="s">
        <v>231</v>
      </c>
      <c r="DF29" t="s">
        <v>178</v>
      </c>
      <c r="DG29" t="s">
        <v>232</v>
      </c>
      <c r="DH29" t="s">
        <v>233</v>
      </c>
      <c r="DI29" t="s">
        <v>178</v>
      </c>
      <c r="DJ29" t="s">
        <v>234</v>
      </c>
      <c r="DK29" t="s">
        <v>235</v>
      </c>
      <c r="DL29" t="s">
        <v>236</v>
      </c>
      <c r="DM29" t="s">
        <v>172</v>
      </c>
      <c r="DN29" t="s">
        <v>1213</v>
      </c>
      <c r="DO29" t="s">
        <v>237</v>
      </c>
      <c r="DP29" t="s">
        <v>238</v>
      </c>
      <c r="DQ29" t="s">
        <v>239</v>
      </c>
      <c r="DR29" t="s">
        <v>240</v>
      </c>
      <c r="DS29" t="s">
        <v>241</v>
      </c>
      <c r="DT29" t="s">
        <v>242</v>
      </c>
    </row>
    <row r="30" spans="1:124" x14ac:dyDescent="0.45">
      <c r="A30" t="s">
        <v>1239</v>
      </c>
      <c r="B30" t="s">
        <v>1240</v>
      </c>
      <c r="C30" t="s">
        <v>161</v>
      </c>
      <c r="D30" t="s">
        <v>162</v>
      </c>
      <c r="E30" t="s">
        <v>163</v>
      </c>
      <c r="H30" t="s">
        <v>942</v>
      </c>
      <c r="I30" t="s">
        <v>1241</v>
      </c>
      <c r="J30">
        <f t="shared" si="0"/>
        <v>0.15604053221563491</v>
      </c>
      <c r="K30">
        <f t="shared" si="1"/>
        <v>2.9058327199999998</v>
      </c>
      <c r="L30">
        <f t="shared" si="2"/>
        <v>0.14808832593912774</v>
      </c>
      <c r="M30">
        <f t="shared" si="3"/>
        <v>1.741558853767057</v>
      </c>
      <c r="N30" t="s">
        <v>1242</v>
      </c>
      <c r="O30" t="s">
        <v>1243</v>
      </c>
      <c r="P30">
        <f t="shared" si="4"/>
        <v>4.2457887994437256</v>
      </c>
      <c r="Q30">
        <f t="shared" si="5"/>
        <v>1.1399387994437253</v>
      </c>
      <c r="R30" t="s">
        <v>1244</v>
      </c>
      <c r="S30" t="s">
        <v>1245</v>
      </c>
      <c r="T30">
        <f t="shared" si="6"/>
        <v>42.204660034231864</v>
      </c>
      <c r="U30">
        <f t="shared" si="7"/>
        <v>0.4417875</v>
      </c>
      <c r="V30" t="s">
        <v>170</v>
      </c>
      <c r="W30" t="s">
        <v>1246</v>
      </c>
      <c r="X30" t="s">
        <v>172</v>
      </c>
      <c r="Y30" t="s">
        <v>172</v>
      </c>
      <c r="Z30" t="s">
        <v>172</v>
      </c>
      <c r="AA30" t="s">
        <v>1247</v>
      </c>
      <c r="AB30" t="s">
        <v>1248</v>
      </c>
      <c r="AC30" t="s">
        <v>1249</v>
      </c>
      <c r="AD30" t="s">
        <v>176</v>
      </c>
      <c r="AE30" t="s">
        <v>177</v>
      </c>
      <c r="AF30">
        <f t="shared" si="8"/>
        <v>54.028982279999994</v>
      </c>
      <c r="AG30" t="s">
        <v>178</v>
      </c>
      <c r="AH30" t="s">
        <v>1250</v>
      </c>
      <c r="AI30" t="s">
        <v>1251</v>
      </c>
      <c r="AJ30" t="s">
        <v>1252</v>
      </c>
      <c r="AK30" t="s">
        <v>1253</v>
      </c>
      <c r="AL30">
        <f t="shared" si="9"/>
        <v>29.94</v>
      </c>
      <c r="AM30" t="s">
        <v>349</v>
      </c>
      <c r="AN30" t="s">
        <v>184</v>
      </c>
      <c r="AO30" t="s">
        <v>1254</v>
      </c>
      <c r="AP30" t="s">
        <v>1255</v>
      </c>
      <c r="AQ30" t="s">
        <v>1256</v>
      </c>
      <c r="AR30" t="s">
        <v>1257</v>
      </c>
      <c r="AS30" t="s">
        <v>1258</v>
      </c>
      <c r="AT30" t="s">
        <v>381</v>
      </c>
      <c r="AU30" t="s">
        <v>438</v>
      </c>
      <c r="AV30" t="s">
        <v>1259</v>
      </c>
      <c r="AW30" t="s">
        <v>1260</v>
      </c>
      <c r="AX30" t="s">
        <v>1261</v>
      </c>
      <c r="AY30" t="s">
        <v>1262</v>
      </c>
      <c r="AZ30" t="s">
        <v>964</v>
      </c>
      <c r="BA30" t="s">
        <v>1263</v>
      </c>
      <c r="BB30" t="s">
        <v>1264</v>
      </c>
      <c r="BC30" t="s">
        <v>1265</v>
      </c>
      <c r="BD30" t="s">
        <v>161</v>
      </c>
      <c r="BE30" t="s">
        <v>695</v>
      </c>
      <c r="BF30" t="s">
        <v>1266</v>
      </c>
      <c r="BG30" t="s">
        <v>849</v>
      </c>
      <c r="BH30" t="s">
        <v>450</v>
      </c>
      <c r="BI30" t="s">
        <v>1228</v>
      </c>
      <c r="BJ30" t="s">
        <v>929</v>
      </c>
      <c r="BK30" t="s">
        <v>161</v>
      </c>
      <c r="BL30" t="s">
        <v>930</v>
      </c>
      <c r="BM30" t="s">
        <v>159</v>
      </c>
      <c r="BN30" t="s">
        <v>277</v>
      </c>
      <c r="BO30" t="s">
        <v>203</v>
      </c>
      <c r="BP30" t="s">
        <v>204</v>
      </c>
      <c r="BQ30" t="s">
        <v>1267</v>
      </c>
      <c r="BR30" t="s">
        <v>1268</v>
      </c>
      <c r="BS30" t="s">
        <v>1269</v>
      </c>
      <c r="BT30" t="s">
        <v>159</v>
      </c>
      <c r="BU30" t="s">
        <v>208</v>
      </c>
      <c r="BV30" t="s">
        <v>209</v>
      </c>
      <c r="BW30" t="s">
        <v>210</v>
      </c>
      <c r="BX30" t="s">
        <v>211</v>
      </c>
      <c r="BY30" t="s">
        <v>172</v>
      </c>
      <c r="BZ30" t="s">
        <v>212</v>
      </c>
      <c r="CA30" t="s">
        <v>172</v>
      </c>
      <c r="CB30" t="s">
        <v>172</v>
      </c>
      <c r="CC30" t="s">
        <v>213</v>
      </c>
      <c r="CD30" t="s">
        <v>214</v>
      </c>
      <c r="CE30" t="s">
        <v>215</v>
      </c>
      <c r="CF30" t="s">
        <v>216</v>
      </c>
      <c r="CG30" t="s">
        <v>217</v>
      </c>
      <c r="CH30" t="s">
        <v>218</v>
      </c>
      <c r="CI30" t="s">
        <v>178</v>
      </c>
      <c r="CJ30" t="s">
        <v>210</v>
      </c>
      <c r="CK30" t="s">
        <v>219</v>
      </c>
      <c r="CL30" t="s">
        <v>219</v>
      </c>
      <c r="CM30" t="s">
        <v>219</v>
      </c>
      <c r="CN30" t="s">
        <v>172</v>
      </c>
      <c r="CO30" t="s">
        <v>220</v>
      </c>
      <c r="CP30" t="s">
        <v>172</v>
      </c>
      <c r="CQ30" t="s">
        <v>172</v>
      </c>
      <c r="CR30" t="s">
        <v>172</v>
      </c>
      <c r="CS30" t="s">
        <v>172</v>
      </c>
      <c r="CT30" t="s">
        <v>1270</v>
      </c>
      <c r="CU30" t="s">
        <v>1271</v>
      </c>
      <c r="CV30" t="s">
        <v>1272</v>
      </c>
      <c r="CW30" t="s">
        <v>1273</v>
      </c>
      <c r="CX30" t="s">
        <v>1274</v>
      </c>
      <c r="CY30" t="s">
        <v>1275</v>
      </c>
      <c r="CZ30" t="s">
        <v>1276</v>
      </c>
      <c r="DA30" t="s">
        <v>1277</v>
      </c>
      <c r="DB30" t="s">
        <v>1247</v>
      </c>
      <c r="DC30" t="s">
        <v>587</v>
      </c>
      <c r="DD30" t="s">
        <v>230</v>
      </c>
      <c r="DE30" t="s">
        <v>231</v>
      </c>
      <c r="DF30" t="s">
        <v>178</v>
      </c>
      <c r="DG30" t="s">
        <v>232</v>
      </c>
      <c r="DH30" t="s">
        <v>233</v>
      </c>
      <c r="DI30" t="s">
        <v>178</v>
      </c>
      <c r="DJ30" t="s">
        <v>234</v>
      </c>
      <c r="DK30" t="s">
        <v>235</v>
      </c>
      <c r="DL30" t="s">
        <v>236</v>
      </c>
      <c r="DM30" t="s">
        <v>172</v>
      </c>
      <c r="DN30" t="s">
        <v>1246</v>
      </c>
      <c r="DO30" t="s">
        <v>237</v>
      </c>
      <c r="DP30" t="s">
        <v>238</v>
      </c>
      <c r="DQ30" t="s">
        <v>239</v>
      </c>
      <c r="DR30" t="s">
        <v>240</v>
      </c>
      <c r="DS30" t="s">
        <v>241</v>
      </c>
      <c r="DT30" t="s">
        <v>242</v>
      </c>
    </row>
    <row r="31" spans="1:124" x14ac:dyDescent="0.45">
      <c r="A31" t="s">
        <v>1278</v>
      </c>
      <c r="B31" t="s">
        <v>1279</v>
      </c>
      <c r="C31" t="s">
        <v>161</v>
      </c>
      <c r="D31" t="s">
        <v>162</v>
      </c>
      <c r="E31" t="s">
        <v>163</v>
      </c>
      <c r="H31" t="s">
        <v>1280</v>
      </c>
      <c r="I31" t="s">
        <v>1281</v>
      </c>
      <c r="J31">
        <f t="shared" si="0"/>
        <v>0.10330093629010893</v>
      </c>
      <c r="K31">
        <f t="shared" si="1"/>
        <v>2.9074300800000006</v>
      </c>
      <c r="L31">
        <f t="shared" si="2"/>
        <v>9.9756586635265876E-2</v>
      </c>
      <c r="M31">
        <f t="shared" si="3"/>
        <v>1.2123954598216862</v>
      </c>
      <c r="N31" t="s">
        <v>1282</v>
      </c>
      <c r="O31" t="s">
        <v>1283</v>
      </c>
      <c r="P31">
        <f t="shared" si="4"/>
        <v>4.2702482477367987</v>
      </c>
      <c r="Q31">
        <f t="shared" si="5"/>
        <v>1.1779442477367987</v>
      </c>
      <c r="R31" t="s">
        <v>1284</v>
      </c>
      <c r="S31" t="s">
        <v>1285</v>
      </c>
      <c r="T31">
        <f t="shared" si="6"/>
        <v>42.447795703149097</v>
      </c>
      <c r="U31">
        <f t="shared" si="7"/>
        <v>0.4417875</v>
      </c>
      <c r="V31" t="s">
        <v>170</v>
      </c>
      <c r="W31" t="s">
        <v>1286</v>
      </c>
      <c r="X31" t="s">
        <v>172</v>
      </c>
      <c r="Y31" t="s">
        <v>172</v>
      </c>
      <c r="Z31" t="s">
        <v>172</v>
      </c>
      <c r="AA31" t="s">
        <v>1287</v>
      </c>
      <c r="AB31" t="s">
        <v>1288</v>
      </c>
      <c r="AC31" t="s">
        <v>1289</v>
      </c>
      <c r="AD31" t="s">
        <v>176</v>
      </c>
      <c r="AE31" t="s">
        <v>177</v>
      </c>
      <c r="AF31">
        <f t="shared" si="8"/>
        <v>48.208671000000002</v>
      </c>
      <c r="AG31" t="s">
        <v>178</v>
      </c>
      <c r="AH31" t="s">
        <v>1290</v>
      </c>
      <c r="AI31" t="s">
        <v>1291</v>
      </c>
      <c r="AJ31" t="s">
        <v>1292</v>
      </c>
      <c r="AK31" t="s">
        <v>995</v>
      </c>
      <c r="AL31">
        <f t="shared" si="9"/>
        <v>30.04</v>
      </c>
      <c r="AM31" t="s">
        <v>349</v>
      </c>
      <c r="AN31" t="s">
        <v>683</v>
      </c>
      <c r="AO31" t="s">
        <v>1293</v>
      </c>
      <c r="AP31" t="s">
        <v>1294</v>
      </c>
      <c r="AQ31" t="s">
        <v>208</v>
      </c>
      <c r="AR31" t="s">
        <v>1257</v>
      </c>
      <c r="AS31" t="s">
        <v>189</v>
      </c>
      <c r="AT31" t="s">
        <v>381</v>
      </c>
      <c r="AU31" t="s">
        <v>1295</v>
      </c>
      <c r="AV31" t="s">
        <v>1296</v>
      </c>
      <c r="AW31" t="s">
        <v>1297</v>
      </c>
      <c r="AX31" t="s">
        <v>1298</v>
      </c>
      <c r="AY31" t="s">
        <v>1299</v>
      </c>
      <c r="AZ31" t="s">
        <v>964</v>
      </c>
      <c r="BA31" t="s">
        <v>1300</v>
      </c>
      <c r="BB31" t="s">
        <v>1301</v>
      </c>
      <c r="BC31" t="s">
        <v>1302</v>
      </c>
      <c r="BD31" t="s">
        <v>161</v>
      </c>
      <c r="BE31" t="s">
        <v>447</v>
      </c>
      <c r="BF31" t="s">
        <v>1303</v>
      </c>
      <c r="BG31" t="s">
        <v>1304</v>
      </c>
      <c r="BH31" t="s">
        <v>450</v>
      </c>
      <c r="BI31" t="s">
        <v>1305</v>
      </c>
      <c r="BJ31" t="s">
        <v>1306</v>
      </c>
      <c r="BK31" t="s">
        <v>161</v>
      </c>
      <c r="BL31" t="s">
        <v>1307</v>
      </c>
      <c r="BM31" t="s">
        <v>159</v>
      </c>
      <c r="BN31" t="s">
        <v>203</v>
      </c>
      <c r="BO31" t="s">
        <v>277</v>
      </c>
      <c r="BP31" t="s">
        <v>621</v>
      </c>
      <c r="BQ31" t="s">
        <v>496</v>
      </c>
      <c r="BR31" t="s">
        <v>1268</v>
      </c>
      <c r="BS31" t="s">
        <v>1267</v>
      </c>
      <c r="BT31" t="s">
        <v>159</v>
      </c>
      <c r="BU31" t="s">
        <v>208</v>
      </c>
      <c r="BV31" t="s">
        <v>209</v>
      </c>
      <c r="BW31" t="s">
        <v>210</v>
      </c>
      <c r="BX31" t="s">
        <v>211</v>
      </c>
      <c r="BY31" t="s">
        <v>172</v>
      </c>
      <c r="BZ31" t="s">
        <v>212</v>
      </c>
      <c r="CA31" t="s">
        <v>172</v>
      </c>
      <c r="CB31" t="s">
        <v>172</v>
      </c>
      <c r="CC31" t="s">
        <v>213</v>
      </c>
      <c r="CD31" t="s">
        <v>214</v>
      </c>
      <c r="CE31" t="s">
        <v>215</v>
      </c>
      <c r="CF31" t="s">
        <v>216</v>
      </c>
      <c r="CG31" t="s">
        <v>217</v>
      </c>
      <c r="CH31" t="s">
        <v>218</v>
      </c>
      <c r="CI31" t="s">
        <v>178</v>
      </c>
      <c r="CJ31" t="s">
        <v>210</v>
      </c>
      <c r="CK31" t="s">
        <v>219</v>
      </c>
      <c r="CL31" t="s">
        <v>219</v>
      </c>
      <c r="CM31" t="s">
        <v>219</v>
      </c>
      <c r="CN31" t="s">
        <v>172</v>
      </c>
      <c r="CO31" t="s">
        <v>220</v>
      </c>
      <c r="CP31" t="s">
        <v>172</v>
      </c>
      <c r="CQ31" t="s">
        <v>172</v>
      </c>
      <c r="CR31" t="s">
        <v>172</v>
      </c>
      <c r="CS31" t="s">
        <v>172</v>
      </c>
      <c r="CT31" t="s">
        <v>1308</v>
      </c>
      <c r="CU31" t="s">
        <v>1309</v>
      </c>
      <c r="CV31" t="s">
        <v>1310</v>
      </c>
      <c r="CW31" t="s">
        <v>1311</v>
      </c>
      <c r="CX31" t="s">
        <v>1312</v>
      </c>
      <c r="CY31" t="s">
        <v>1313</v>
      </c>
      <c r="CZ31" t="s">
        <v>1314</v>
      </c>
      <c r="DA31" t="s">
        <v>1315</v>
      </c>
      <c r="DB31" t="s">
        <v>1287</v>
      </c>
      <c r="DC31" t="s">
        <v>380</v>
      </c>
      <c r="DD31" t="s">
        <v>230</v>
      </c>
      <c r="DE31" t="s">
        <v>231</v>
      </c>
      <c r="DF31" t="s">
        <v>178</v>
      </c>
      <c r="DG31" t="s">
        <v>232</v>
      </c>
      <c r="DH31" t="s">
        <v>233</v>
      </c>
      <c r="DI31" t="s">
        <v>178</v>
      </c>
      <c r="DJ31" t="s">
        <v>234</v>
      </c>
      <c r="DK31" t="s">
        <v>235</v>
      </c>
      <c r="DL31" t="s">
        <v>236</v>
      </c>
      <c r="DM31" t="s">
        <v>172</v>
      </c>
      <c r="DN31" t="s">
        <v>1286</v>
      </c>
      <c r="DO31" t="s">
        <v>237</v>
      </c>
      <c r="DP31" t="s">
        <v>238</v>
      </c>
      <c r="DQ31" t="s">
        <v>239</v>
      </c>
      <c r="DR31" t="s">
        <v>240</v>
      </c>
      <c r="DS31" t="s">
        <v>241</v>
      </c>
      <c r="DT31" t="s">
        <v>242</v>
      </c>
    </row>
    <row r="32" spans="1:124" x14ac:dyDescent="0.45">
      <c r="A32" t="s">
        <v>1316</v>
      </c>
      <c r="B32" t="s">
        <v>1317</v>
      </c>
      <c r="C32" t="s">
        <v>161</v>
      </c>
      <c r="D32" t="s">
        <v>162</v>
      </c>
      <c r="E32" t="s">
        <v>163</v>
      </c>
      <c r="H32" t="s">
        <v>1280</v>
      </c>
      <c r="I32" t="s">
        <v>1318</v>
      </c>
      <c r="J32">
        <f t="shared" si="0"/>
        <v>7.2796722790423041E-2</v>
      </c>
      <c r="K32">
        <f t="shared" si="1"/>
        <v>2.9042299199999997</v>
      </c>
      <c r="L32">
        <f t="shared" si="2"/>
        <v>7.1016636991775808E-2</v>
      </c>
      <c r="M32">
        <f t="shared" si="3"/>
        <v>0.91747455148828883</v>
      </c>
      <c r="N32" t="s">
        <v>1319</v>
      </c>
      <c r="O32" t="s">
        <v>1320</v>
      </c>
      <c r="P32">
        <f t="shared" si="4"/>
        <v>4.2923666515878631</v>
      </c>
      <c r="Q32">
        <f t="shared" si="5"/>
        <v>1.2521736515878632</v>
      </c>
      <c r="R32" t="s">
        <v>1321</v>
      </c>
      <c r="S32" t="s">
        <v>1322</v>
      </c>
      <c r="T32">
        <f t="shared" si="6"/>
        <v>42.667660552563255</v>
      </c>
      <c r="U32">
        <f t="shared" si="7"/>
        <v>0.4417875</v>
      </c>
      <c r="V32" t="s">
        <v>170</v>
      </c>
      <c r="W32" t="s">
        <v>1323</v>
      </c>
      <c r="X32" t="s">
        <v>172</v>
      </c>
      <c r="Y32" t="s">
        <v>172</v>
      </c>
      <c r="Z32" t="s">
        <v>172</v>
      </c>
      <c r="AA32" t="s">
        <v>1324</v>
      </c>
      <c r="AB32" t="s">
        <v>1325</v>
      </c>
      <c r="AC32" t="s">
        <v>1326</v>
      </c>
      <c r="AD32" t="s">
        <v>176</v>
      </c>
      <c r="AE32" t="s">
        <v>177</v>
      </c>
      <c r="AF32">
        <f t="shared" si="8"/>
        <v>42.373546739999995</v>
      </c>
      <c r="AG32" t="s">
        <v>178</v>
      </c>
      <c r="AH32" t="s">
        <v>1327</v>
      </c>
      <c r="AI32" t="s">
        <v>1328</v>
      </c>
      <c r="AJ32" t="s">
        <v>1329</v>
      </c>
      <c r="AK32" t="s">
        <v>255</v>
      </c>
      <c r="AL32">
        <f t="shared" si="9"/>
        <v>30.13</v>
      </c>
      <c r="AM32" t="s">
        <v>349</v>
      </c>
      <c r="AN32" t="s">
        <v>603</v>
      </c>
      <c r="AO32" t="s">
        <v>1073</v>
      </c>
      <c r="AP32" t="s">
        <v>523</v>
      </c>
      <c r="AQ32" t="s">
        <v>1330</v>
      </c>
      <c r="AR32" t="s">
        <v>1257</v>
      </c>
      <c r="AS32" t="s">
        <v>649</v>
      </c>
      <c r="AT32" t="s">
        <v>215</v>
      </c>
      <c r="AU32" t="s">
        <v>1331</v>
      </c>
      <c r="AV32" t="s">
        <v>1332</v>
      </c>
      <c r="AW32" t="s">
        <v>1333</v>
      </c>
      <c r="AX32" t="s">
        <v>807</v>
      </c>
      <c r="AY32" t="s">
        <v>1334</v>
      </c>
      <c r="AZ32" t="s">
        <v>964</v>
      </c>
      <c r="BA32" t="s">
        <v>1335</v>
      </c>
      <c r="BB32" t="s">
        <v>1336</v>
      </c>
      <c r="BC32" t="s">
        <v>1337</v>
      </c>
      <c r="BD32" t="s">
        <v>161</v>
      </c>
      <c r="BE32" t="s">
        <v>773</v>
      </c>
      <c r="BF32" t="s">
        <v>1338</v>
      </c>
      <c r="BG32" t="s">
        <v>1339</v>
      </c>
      <c r="BH32" t="s">
        <v>450</v>
      </c>
      <c r="BI32" t="s">
        <v>409</v>
      </c>
      <c r="BJ32" t="s">
        <v>1306</v>
      </c>
      <c r="BK32" t="s">
        <v>161</v>
      </c>
      <c r="BL32" t="s">
        <v>1307</v>
      </c>
      <c r="BM32" t="s">
        <v>159</v>
      </c>
      <c r="BN32" t="s">
        <v>886</v>
      </c>
      <c r="BO32" t="s">
        <v>203</v>
      </c>
      <c r="BP32" t="s">
        <v>277</v>
      </c>
      <c r="BQ32" t="s">
        <v>1340</v>
      </c>
      <c r="BR32" t="s">
        <v>1012</v>
      </c>
      <c r="BS32" t="s">
        <v>1341</v>
      </c>
      <c r="BT32" t="s">
        <v>159</v>
      </c>
      <c r="BU32" t="s">
        <v>208</v>
      </c>
      <c r="BV32" t="s">
        <v>209</v>
      </c>
      <c r="BW32" t="s">
        <v>210</v>
      </c>
      <c r="BX32" t="s">
        <v>211</v>
      </c>
      <c r="BY32" t="s">
        <v>172</v>
      </c>
      <c r="BZ32" t="s">
        <v>212</v>
      </c>
      <c r="CA32" t="s">
        <v>172</v>
      </c>
      <c r="CB32" t="s">
        <v>172</v>
      </c>
      <c r="CC32" t="s">
        <v>213</v>
      </c>
      <c r="CD32" t="s">
        <v>214</v>
      </c>
      <c r="CE32" t="s">
        <v>215</v>
      </c>
      <c r="CF32" t="s">
        <v>216</v>
      </c>
      <c r="CG32" t="s">
        <v>217</v>
      </c>
      <c r="CH32" t="s">
        <v>218</v>
      </c>
      <c r="CI32" t="s">
        <v>178</v>
      </c>
      <c r="CJ32" t="s">
        <v>210</v>
      </c>
      <c r="CK32" t="s">
        <v>219</v>
      </c>
      <c r="CL32" t="s">
        <v>219</v>
      </c>
      <c r="CM32" t="s">
        <v>219</v>
      </c>
      <c r="CN32" t="s">
        <v>172</v>
      </c>
      <c r="CO32" t="s">
        <v>220</v>
      </c>
      <c r="CP32" t="s">
        <v>172</v>
      </c>
      <c r="CQ32" t="s">
        <v>172</v>
      </c>
      <c r="CR32" t="s">
        <v>172</v>
      </c>
      <c r="CS32" t="s">
        <v>172</v>
      </c>
      <c r="CT32" t="s">
        <v>1342</v>
      </c>
      <c r="CU32" t="s">
        <v>1343</v>
      </c>
      <c r="CV32" t="s">
        <v>1344</v>
      </c>
      <c r="CW32" t="s">
        <v>1345</v>
      </c>
      <c r="CX32" t="s">
        <v>1346</v>
      </c>
      <c r="CY32" t="s">
        <v>1347</v>
      </c>
      <c r="CZ32" t="s">
        <v>1348</v>
      </c>
      <c r="DA32" t="s">
        <v>1349</v>
      </c>
      <c r="DB32" t="s">
        <v>1324</v>
      </c>
      <c r="DC32" t="s">
        <v>1350</v>
      </c>
      <c r="DD32" t="s">
        <v>230</v>
      </c>
      <c r="DE32" t="s">
        <v>231</v>
      </c>
      <c r="DF32" t="s">
        <v>178</v>
      </c>
      <c r="DG32" t="s">
        <v>232</v>
      </c>
      <c r="DH32" t="s">
        <v>233</v>
      </c>
      <c r="DI32" t="s">
        <v>178</v>
      </c>
      <c r="DJ32" t="s">
        <v>234</v>
      </c>
      <c r="DK32" t="s">
        <v>235</v>
      </c>
      <c r="DL32" t="s">
        <v>236</v>
      </c>
      <c r="DM32" t="s">
        <v>172</v>
      </c>
      <c r="DN32" t="s">
        <v>1323</v>
      </c>
      <c r="DO32" t="s">
        <v>237</v>
      </c>
      <c r="DP32" t="s">
        <v>238</v>
      </c>
      <c r="DQ32" t="s">
        <v>239</v>
      </c>
      <c r="DR32" t="s">
        <v>240</v>
      </c>
      <c r="DS32" t="s">
        <v>241</v>
      </c>
      <c r="DT32" t="s">
        <v>242</v>
      </c>
    </row>
    <row r="33" spans="1:124" x14ac:dyDescent="0.45">
      <c r="A33" t="s">
        <v>1351</v>
      </c>
      <c r="B33" t="s">
        <v>1352</v>
      </c>
      <c r="C33" t="s">
        <v>161</v>
      </c>
      <c r="D33" t="s">
        <v>162</v>
      </c>
      <c r="E33" t="s">
        <v>163</v>
      </c>
      <c r="H33" t="s">
        <v>1280</v>
      </c>
      <c r="I33" t="s">
        <v>1353</v>
      </c>
      <c r="J33">
        <f t="shared" si="0"/>
        <v>4.830436661992956E-2</v>
      </c>
      <c r="K33">
        <f t="shared" si="1"/>
        <v>2.9058327199999998</v>
      </c>
      <c r="L33">
        <f t="shared" si="2"/>
        <v>4.7514521136752509E-2</v>
      </c>
      <c r="M33">
        <f t="shared" si="3"/>
        <v>0.60325336299969678</v>
      </c>
      <c r="N33" t="s">
        <v>1354</v>
      </c>
      <c r="O33" t="s">
        <v>1355</v>
      </c>
      <c r="P33">
        <f t="shared" si="4"/>
        <v>4.2776099867148858</v>
      </c>
      <c r="Q33">
        <f t="shared" si="5"/>
        <v>1.2309739867148859</v>
      </c>
      <c r="R33" t="s">
        <v>1356</v>
      </c>
      <c r="S33" t="s">
        <v>1357</v>
      </c>
      <c r="T33">
        <f t="shared" si="6"/>
        <v>42.516747706141395</v>
      </c>
      <c r="U33">
        <f t="shared" si="7"/>
        <v>0.4417875</v>
      </c>
      <c r="V33" t="s">
        <v>170</v>
      </c>
      <c r="W33" t="s">
        <v>1358</v>
      </c>
      <c r="X33" t="s">
        <v>172</v>
      </c>
      <c r="Y33" t="s">
        <v>172</v>
      </c>
      <c r="Z33" t="s">
        <v>172</v>
      </c>
      <c r="AA33" t="s">
        <v>1359</v>
      </c>
      <c r="AB33" t="s">
        <v>1360</v>
      </c>
      <c r="AC33" t="s">
        <v>1361</v>
      </c>
      <c r="AD33" t="s">
        <v>176</v>
      </c>
      <c r="AE33" t="s">
        <v>177</v>
      </c>
      <c r="AF33">
        <f t="shared" si="8"/>
        <v>44.519829059999999</v>
      </c>
      <c r="AG33" t="s">
        <v>178</v>
      </c>
      <c r="AH33" t="s">
        <v>1362</v>
      </c>
      <c r="AI33" t="s">
        <v>1363</v>
      </c>
      <c r="AJ33" t="s">
        <v>1364</v>
      </c>
      <c r="AK33" t="s">
        <v>1365</v>
      </c>
      <c r="AL33">
        <f t="shared" si="9"/>
        <v>30.07</v>
      </c>
      <c r="AM33" t="s">
        <v>256</v>
      </c>
      <c r="AN33" t="s">
        <v>184</v>
      </c>
      <c r="AO33" t="s">
        <v>1366</v>
      </c>
      <c r="AP33" t="s">
        <v>646</v>
      </c>
      <c r="AQ33" t="s">
        <v>1330</v>
      </c>
      <c r="AR33" t="s">
        <v>1367</v>
      </c>
      <c r="AS33" t="s">
        <v>1109</v>
      </c>
      <c r="AT33" t="s">
        <v>1368</v>
      </c>
      <c r="AU33" t="s">
        <v>1369</v>
      </c>
      <c r="AV33" t="s">
        <v>1370</v>
      </c>
      <c r="AW33" t="s">
        <v>1371</v>
      </c>
      <c r="AX33" t="s">
        <v>1372</v>
      </c>
      <c r="AY33" t="s">
        <v>1373</v>
      </c>
      <c r="AZ33" t="s">
        <v>964</v>
      </c>
      <c r="BA33" t="s">
        <v>1374</v>
      </c>
      <c r="BB33" t="s">
        <v>1375</v>
      </c>
      <c r="BC33" t="s">
        <v>1376</v>
      </c>
      <c r="BD33" t="s">
        <v>161</v>
      </c>
      <c r="BE33" t="s">
        <v>573</v>
      </c>
      <c r="BF33" t="s">
        <v>448</v>
      </c>
      <c r="BG33" t="s">
        <v>1377</v>
      </c>
      <c r="BH33" t="s">
        <v>450</v>
      </c>
      <c r="BI33" t="s">
        <v>409</v>
      </c>
      <c r="BJ33" t="s">
        <v>1306</v>
      </c>
      <c r="BK33" t="s">
        <v>161</v>
      </c>
      <c r="BL33" t="s">
        <v>1307</v>
      </c>
      <c r="BM33" t="s">
        <v>159</v>
      </c>
      <c r="BN33" t="s">
        <v>209</v>
      </c>
      <c r="BO33" t="s">
        <v>209</v>
      </c>
      <c r="BP33" t="s">
        <v>886</v>
      </c>
      <c r="BQ33" t="s">
        <v>1378</v>
      </c>
      <c r="BR33" t="s">
        <v>1379</v>
      </c>
      <c r="BS33" t="s">
        <v>1380</v>
      </c>
      <c r="BT33" t="s">
        <v>159</v>
      </c>
      <c r="BU33" t="s">
        <v>208</v>
      </c>
      <c r="BV33" t="s">
        <v>209</v>
      </c>
      <c r="BW33" t="s">
        <v>210</v>
      </c>
      <c r="BX33" t="s">
        <v>211</v>
      </c>
      <c r="BY33" t="s">
        <v>172</v>
      </c>
      <c r="BZ33" t="s">
        <v>212</v>
      </c>
      <c r="CA33" t="s">
        <v>172</v>
      </c>
      <c r="CB33" t="s">
        <v>172</v>
      </c>
      <c r="CC33" t="s">
        <v>213</v>
      </c>
      <c r="CD33" t="s">
        <v>214</v>
      </c>
      <c r="CE33" t="s">
        <v>215</v>
      </c>
      <c r="CF33" t="s">
        <v>216</v>
      </c>
      <c r="CG33" t="s">
        <v>217</v>
      </c>
      <c r="CH33" t="s">
        <v>218</v>
      </c>
      <c r="CI33" t="s">
        <v>178</v>
      </c>
      <c r="CJ33" t="s">
        <v>210</v>
      </c>
      <c r="CK33" t="s">
        <v>219</v>
      </c>
      <c r="CL33" t="s">
        <v>219</v>
      </c>
      <c r="CM33" t="s">
        <v>219</v>
      </c>
      <c r="CN33" t="s">
        <v>172</v>
      </c>
      <c r="CO33" t="s">
        <v>220</v>
      </c>
      <c r="CP33" t="s">
        <v>172</v>
      </c>
      <c r="CQ33" t="s">
        <v>172</v>
      </c>
      <c r="CR33" t="s">
        <v>172</v>
      </c>
      <c r="CS33" t="s">
        <v>172</v>
      </c>
      <c r="CT33" t="s">
        <v>1381</v>
      </c>
      <c r="CU33" t="s">
        <v>1382</v>
      </c>
      <c r="CV33" t="s">
        <v>1383</v>
      </c>
      <c r="CW33" t="s">
        <v>1384</v>
      </c>
      <c r="CX33" t="s">
        <v>1385</v>
      </c>
      <c r="CY33" t="s">
        <v>1386</v>
      </c>
      <c r="CZ33" t="s">
        <v>1387</v>
      </c>
      <c r="DA33" t="s">
        <v>1388</v>
      </c>
      <c r="DB33" t="s">
        <v>1359</v>
      </c>
      <c r="DC33" t="s">
        <v>380</v>
      </c>
      <c r="DD33" t="s">
        <v>230</v>
      </c>
      <c r="DE33" t="s">
        <v>231</v>
      </c>
      <c r="DF33" t="s">
        <v>178</v>
      </c>
      <c r="DG33" t="s">
        <v>232</v>
      </c>
      <c r="DH33" t="s">
        <v>233</v>
      </c>
      <c r="DI33" t="s">
        <v>178</v>
      </c>
      <c r="DJ33" t="s">
        <v>234</v>
      </c>
      <c r="DK33" t="s">
        <v>235</v>
      </c>
      <c r="DL33" t="s">
        <v>236</v>
      </c>
      <c r="DM33" t="s">
        <v>172</v>
      </c>
      <c r="DN33" t="s">
        <v>1358</v>
      </c>
      <c r="DO33" t="s">
        <v>237</v>
      </c>
      <c r="DP33" t="s">
        <v>238</v>
      </c>
      <c r="DQ33" t="s">
        <v>239</v>
      </c>
      <c r="DR33" t="s">
        <v>240</v>
      </c>
      <c r="DS33" t="s">
        <v>241</v>
      </c>
      <c r="DT33" t="s">
        <v>242</v>
      </c>
    </row>
    <row r="34" spans="1:124" x14ac:dyDescent="0.45">
      <c r="A34" t="s">
        <v>1389</v>
      </c>
      <c r="B34" t="s">
        <v>1390</v>
      </c>
      <c r="C34" t="s">
        <v>161</v>
      </c>
      <c r="D34" t="s">
        <v>162</v>
      </c>
      <c r="E34" t="s">
        <v>163</v>
      </c>
      <c r="H34" t="s">
        <v>1280</v>
      </c>
      <c r="I34" t="s">
        <v>1391</v>
      </c>
      <c r="J34">
        <f t="shared" si="0"/>
        <v>7.2358543566025104E-3</v>
      </c>
      <c r="K34">
        <f t="shared" si="1"/>
        <v>2.9050319999999994</v>
      </c>
      <c r="L34">
        <f t="shared" si="2"/>
        <v>7.2178760692716793E-3</v>
      </c>
      <c r="M34">
        <f t="shared" si="3"/>
        <v>8.5008320342049359E-2</v>
      </c>
      <c r="N34" t="s">
        <v>1392</v>
      </c>
      <c r="O34" t="s">
        <v>1393</v>
      </c>
      <c r="P34">
        <f t="shared" si="4"/>
        <v>4.1683371620465532</v>
      </c>
      <c r="Q34">
        <f t="shared" si="5"/>
        <v>1.1424191620465534</v>
      </c>
      <c r="R34" t="s">
        <v>1394</v>
      </c>
      <c r="S34" t="s">
        <v>1395</v>
      </c>
      <c r="T34">
        <f t="shared" si="6"/>
        <v>41.434763042212261</v>
      </c>
      <c r="U34">
        <f t="shared" si="7"/>
        <v>0.4417875</v>
      </c>
      <c r="V34" t="s">
        <v>170</v>
      </c>
      <c r="W34" t="s">
        <v>1396</v>
      </c>
      <c r="X34" t="s">
        <v>172</v>
      </c>
      <c r="Y34" t="s">
        <v>172</v>
      </c>
      <c r="Z34" t="s">
        <v>172</v>
      </c>
      <c r="AA34" t="s">
        <v>1397</v>
      </c>
      <c r="AB34" t="s">
        <v>1398</v>
      </c>
      <c r="AC34" t="s">
        <v>1399</v>
      </c>
      <c r="AD34" t="s">
        <v>176</v>
      </c>
      <c r="AE34" t="s">
        <v>177</v>
      </c>
      <c r="AF34">
        <f t="shared" si="8"/>
        <v>45.620612099999995</v>
      </c>
      <c r="AG34" t="s">
        <v>178</v>
      </c>
      <c r="AH34" t="s">
        <v>1400</v>
      </c>
      <c r="AI34" t="s">
        <v>1401</v>
      </c>
      <c r="AJ34" t="s">
        <v>1402</v>
      </c>
      <c r="AK34" t="s">
        <v>955</v>
      </c>
      <c r="AL34">
        <f t="shared" si="9"/>
        <v>29.62</v>
      </c>
      <c r="AM34" t="s">
        <v>349</v>
      </c>
      <c r="AN34" t="s">
        <v>305</v>
      </c>
      <c r="AO34" t="s">
        <v>800</v>
      </c>
      <c r="AP34" t="s">
        <v>997</v>
      </c>
      <c r="AQ34" t="s">
        <v>647</v>
      </c>
      <c r="AR34" t="s">
        <v>1403</v>
      </c>
      <c r="AS34" t="s">
        <v>916</v>
      </c>
      <c r="AT34" t="s">
        <v>215</v>
      </c>
      <c r="AU34" t="s">
        <v>1404</v>
      </c>
      <c r="AV34" t="s">
        <v>1405</v>
      </c>
      <c r="AW34" t="s">
        <v>1406</v>
      </c>
      <c r="AX34" t="s">
        <v>920</v>
      </c>
      <c r="AY34" t="s">
        <v>1407</v>
      </c>
      <c r="AZ34" t="s">
        <v>964</v>
      </c>
      <c r="BA34" t="s">
        <v>1374</v>
      </c>
      <c r="BB34" t="s">
        <v>1375</v>
      </c>
      <c r="BC34" t="s">
        <v>1408</v>
      </c>
      <c r="BD34" t="s">
        <v>161</v>
      </c>
      <c r="BE34" t="s">
        <v>1409</v>
      </c>
      <c r="BF34" t="s">
        <v>448</v>
      </c>
      <c r="BG34" t="s">
        <v>1410</v>
      </c>
      <c r="BH34" t="s">
        <v>709</v>
      </c>
      <c r="BI34" t="s">
        <v>659</v>
      </c>
      <c r="BJ34" t="s">
        <v>1306</v>
      </c>
      <c r="BK34" t="s">
        <v>161</v>
      </c>
      <c r="BL34" t="s">
        <v>1307</v>
      </c>
      <c r="BM34" t="s">
        <v>159</v>
      </c>
      <c r="BN34" t="s">
        <v>368</v>
      </c>
      <c r="BO34" t="s">
        <v>276</v>
      </c>
      <c r="BP34" t="s">
        <v>1411</v>
      </c>
      <c r="BQ34" t="s">
        <v>1412</v>
      </c>
      <c r="BR34" t="s">
        <v>1413</v>
      </c>
      <c r="BS34" t="s">
        <v>1411</v>
      </c>
      <c r="BT34" t="s">
        <v>159</v>
      </c>
      <c r="BU34" t="s">
        <v>208</v>
      </c>
      <c r="BV34" t="s">
        <v>209</v>
      </c>
      <c r="BW34" t="s">
        <v>210</v>
      </c>
      <c r="BX34" t="s">
        <v>211</v>
      </c>
      <c r="BY34" t="s">
        <v>172</v>
      </c>
      <c r="BZ34" t="s">
        <v>212</v>
      </c>
      <c r="CA34" t="s">
        <v>172</v>
      </c>
      <c r="CB34" t="s">
        <v>172</v>
      </c>
      <c r="CC34" t="s">
        <v>213</v>
      </c>
      <c r="CD34" t="s">
        <v>214</v>
      </c>
      <c r="CE34" t="s">
        <v>215</v>
      </c>
      <c r="CF34" t="s">
        <v>216</v>
      </c>
      <c r="CG34" t="s">
        <v>217</v>
      </c>
      <c r="CH34" t="s">
        <v>218</v>
      </c>
      <c r="CI34" t="s">
        <v>178</v>
      </c>
      <c r="CJ34" t="s">
        <v>210</v>
      </c>
      <c r="CK34" t="s">
        <v>219</v>
      </c>
      <c r="CL34" t="s">
        <v>219</v>
      </c>
      <c r="CM34" t="s">
        <v>219</v>
      </c>
      <c r="CN34" t="s">
        <v>172</v>
      </c>
      <c r="CO34" t="s">
        <v>220</v>
      </c>
      <c r="CP34" t="s">
        <v>172</v>
      </c>
      <c r="CQ34" t="s">
        <v>172</v>
      </c>
      <c r="CR34" t="s">
        <v>172</v>
      </c>
      <c r="CS34" t="s">
        <v>172</v>
      </c>
      <c r="CT34" t="s">
        <v>1414</v>
      </c>
      <c r="CU34" t="s">
        <v>1415</v>
      </c>
      <c r="CV34" t="s">
        <v>1416</v>
      </c>
      <c r="CW34" t="s">
        <v>1417</v>
      </c>
      <c r="CX34" t="s">
        <v>1418</v>
      </c>
      <c r="CY34" t="s">
        <v>1419</v>
      </c>
      <c r="CZ34" t="s">
        <v>1420</v>
      </c>
      <c r="DA34" t="s">
        <v>1421</v>
      </c>
      <c r="DB34" t="s">
        <v>1397</v>
      </c>
      <c r="DC34" t="s">
        <v>1350</v>
      </c>
      <c r="DD34" t="s">
        <v>230</v>
      </c>
      <c r="DE34" t="s">
        <v>231</v>
      </c>
      <c r="DF34" t="s">
        <v>178</v>
      </c>
      <c r="DG34" t="s">
        <v>232</v>
      </c>
      <c r="DH34" t="s">
        <v>233</v>
      </c>
      <c r="DI34" t="s">
        <v>178</v>
      </c>
      <c r="DJ34" t="s">
        <v>234</v>
      </c>
      <c r="DK34" t="s">
        <v>235</v>
      </c>
      <c r="DL34" t="s">
        <v>236</v>
      </c>
      <c r="DM34" t="s">
        <v>172</v>
      </c>
      <c r="DN34" t="s">
        <v>1396</v>
      </c>
      <c r="DO34" t="s">
        <v>237</v>
      </c>
      <c r="DP34" t="s">
        <v>238</v>
      </c>
      <c r="DQ34" t="s">
        <v>239</v>
      </c>
      <c r="DR34" t="s">
        <v>240</v>
      </c>
      <c r="DS34" t="s">
        <v>241</v>
      </c>
      <c r="DT34" t="s">
        <v>242</v>
      </c>
    </row>
    <row r="35" spans="1:124" x14ac:dyDescent="0.45">
      <c r="A35" t="s">
        <v>1422</v>
      </c>
      <c r="B35" t="s">
        <v>1423</v>
      </c>
      <c r="C35" t="s">
        <v>161</v>
      </c>
      <c r="D35" t="s">
        <v>162</v>
      </c>
      <c r="E35" t="s">
        <v>163</v>
      </c>
      <c r="H35" t="s">
        <v>1280</v>
      </c>
      <c r="I35" t="s">
        <v>1424</v>
      </c>
      <c r="J35">
        <f t="shared" si="0"/>
        <v>9.927063157081846E-2</v>
      </c>
      <c r="K35">
        <f t="shared" si="1"/>
        <v>2.9066320800000001</v>
      </c>
      <c r="L35">
        <f t="shared" si="2"/>
        <v>9.5992196026469342E-2</v>
      </c>
      <c r="M35">
        <f t="shared" si="3"/>
        <v>1.1386900967306202</v>
      </c>
      <c r="N35" t="s">
        <v>1425</v>
      </c>
      <c r="O35" t="s">
        <v>1426</v>
      </c>
      <c r="P35">
        <f t="shared" si="4"/>
        <v>4.2020693701883545</v>
      </c>
      <c r="Q35">
        <f t="shared" si="5"/>
        <v>1.1502503701883544</v>
      </c>
      <c r="R35" t="s">
        <v>1427</v>
      </c>
      <c r="S35" t="s">
        <v>1428</v>
      </c>
      <c r="T35">
        <f t="shared" si="6"/>
        <v>41.770073262309687</v>
      </c>
      <c r="U35">
        <f t="shared" si="7"/>
        <v>0.4417875</v>
      </c>
      <c r="V35" t="s">
        <v>170</v>
      </c>
      <c r="W35" t="s">
        <v>1429</v>
      </c>
      <c r="X35" t="s">
        <v>172</v>
      </c>
      <c r="Y35" t="s">
        <v>172</v>
      </c>
      <c r="Z35" t="s">
        <v>172</v>
      </c>
      <c r="AA35" t="s">
        <v>1430</v>
      </c>
      <c r="AB35" t="s">
        <v>1431</v>
      </c>
      <c r="AC35" t="s">
        <v>1432</v>
      </c>
      <c r="AD35" t="s">
        <v>176</v>
      </c>
      <c r="AE35" t="s">
        <v>177</v>
      </c>
      <c r="AF35">
        <f t="shared" si="8"/>
        <v>48.779262840000001</v>
      </c>
      <c r="AG35" t="s">
        <v>178</v>
      </c>
      <c r="AH35" t="s">
        <v>1433</v>
      </c>
      <c r="AI35" t="s">
        <v>1434</v>
      </c>
      <c r="AJ35" t="s">
        <v>1435</v>
      </c>
      <c r="AK35" t="s">
        <v>602</v>
      </c>
      <c r="AL35">
        <f t="shared" si="9"/>
        <v>29.76</v>
      </c>
      <c r="AM35" t="s">
        <v>349</v>
      </c>
      <c r="AN35" t="s">
        <v>396</v>
      </c>
      <c r="AO35" t="s">
        <v>724</v>
      </c>
      <c r="AP35" t="s">
        <v>1436</v>
      </c>
      <c r="AQ35" t="s">
        <v>1437</v>
      </c>
      <c r="AR35" t="s">
        <v>1403</v>
      </c>
      <c r="AS35" t="s">
        <v>483</v>
      </c>
      <c r="AT35" t="s">
        <v>334</v>
      </c>
      <c r="AU35" t="s">
        <v>1438</v>
      </c>
      <c r="AV35" t="s">
        <v>1439</v>
      </c>
      <c r="AW35" t="s">
        <v>1440</v>
      </c>
      <c r="AX35" t="s">
        <v>1441</v>
      </c>
      <c r="AY35" t="s">
        <v>1442</v>
      </c>
      <c r="AZ35" t="s">
        <v>964</v>
      </c>
      <c r="BA35" t="s">
        <v>1374</v>
      </c>
      <c r="BB35" t="s">
        <v>1375</v>
      </c>
      <c r="BC35" t="s">
        <v>1443</v>
      </c>
      <c r="BD35" t="s">
        <v>161</v>
      </c>
      <c r="BE35" t="s">
        <v>734</v>
      </c>
      <c r="BF35" t="s">
        <v>617</v>
      </c>
      <c r="BG35" t="s">
        <v>1444</v>
      </c>
      <c r="BH35" t="s">
        <v>709</v>
      </c>
      <c r="BI35" t="s">
        <v>659</v>
      </c>
      <c r="BJ35" t="s">
        <v>1306</v>
      </c>
      <c r="BK35" t="s">
        <v>161</v>
      </c>
      <c r="BL35" t="s">
        <v>1307</v>
      </c>
      <c r="BM35" t="s">
        <v>159</v>
      </c>
      <c r="BN35" t="s">
        <v>276</v>
      </c>
      <c r="BO35" t="s">
        <v>203</v>
      </c>
      <c r="BP35" t="s">
        <v>204</v>
      </c>
      <c r="BQ35" t="s">
        <v>1445</v>
      </c>
      <c r="BR35" t="s">
        <v>1446</v>
      </c>
      <c r="BS35" t="s">
        <v>1447</v>
      </c>
      <c r="BT35" t="s">
        <v>159</v>
      </c>
      <c r="BU35" t="s">
        <v>208</v>
      </c>
      <c r="BV35" t="s">
        <v>209</v>
      </c>
      <c r="BW35" t="s">
        <v>210</v>
      </c>
      <c r="BX35" t="s">
        <v>211</v>
      </c>
      <c r="BY35" t="s">
        <v>172</v>
      </c>
      <c r="BZ35" t="s">
        <v>212</v>
      </c>
      <c r="CA35" t="s">
        <v>172</v>
      </c>
      <c r="CB35" t="s">
        <v>172</v>
      </c>
      <c r="CC35" t="s">
        <v>213</v>
      </c>
      <c r="CD35" t="s">
        <v>214</v>
      </c>
      <c r="CE35" t="s">
        <v>215</v>
      </c>
      <c r="CF35" t="s">
        <v>216</v>
      </c>
      <c r="CG35" t="s">
        <v>217</v>
      </c>
      <c r="CH35" t="s">
        <v>218</v>
      </c>
      <c r="CI35" t="s">
        <v>178</v>
      </c>
      <c r="CJ35" t="s">
        <v>210</v>
      </c>
      <c r="CK35" t="s">
        <v>219</v>
      </c>
      <c r="CL35" t="s">
        <v>219</v>
      </c>
      <c r="CM35" t="s">
        <v>219</v>
      </c>
      <c r="CN35" t="s">
        <v>172</v>
      </c>
      <c r="CO35" t="s">
        <v>220</v>
      </c>
      <c r="CP35" t="s">
        <v>172</v>
      </c>
      <c r="CQ35" t="s">
        <v>172</v>
      </c>
      <c r="CR35" t="s">
        <v>172</v>
      </c>
      <c r="CS35" t="s">
        <v>172</v>
      </c>
      <c r="CT35" t="s">
        <v>1448</v>
      </c>
      <c r="CU35" t="s">
        <v>1449</v>
      </c>
      <c r="CV35" t="s">
        <v>1450</v>
      </c>
      <c r="CW35" t="s">
        <v>1451</v>
      </c>
      <c r="CX35" t="s">
        <v>1452</v>
      </c>
      <c r="CY35" t="s">
        <v>1453</v>
      </c>
      <c r="CZ35" t="s">
        <v>1454</v>
      </c>
      <c r="DA35" t="s">
        <v>1455</v>
      </c>
      <c r="DB35" t="s">
        <v>1430</v>
      </c>
      <c r="DC35" t="s">
        <v>1456</v>
      </c>
      <c r="DD35" t="s">
        <v>230</v>
      </c>
      <c r="DE35" t="s">
        <v>231</v>
      </c>
      <c r="DF35" t="s">
        <v>178</v>
      </c>
      <c r="DG35" t="s">
        <v>232</v>
      </c>
      <c r="DH35" t="s">
        <v>233</v>
      </c>
      <c r="DI35" t="s">
        <v>178</v>
      </c>
      <c r="DJ35" t="s">
        <v>234</v>
      </c>
      <c r="DK35" t="s">
        <v>235</v>
      </c>
      <c r="DL35" t="s">
        <v>236</v>
      </c>
      <c r="DM35" t="s">
        <v>172</v>
      </c>
      <c r="DN35" t="s">
        <v>1429</v>
      </c>
      <c r="DO35" t="s">
        <v>237</v>
      </c>
      <c r="DP35" t="s">
        <v>238</v>
      </c>
      <c r="DQ35" t="s">
        <v>239</v>
      </c>
      <c r="DR35" t="s">
        <v>240</v>
      </c>
      <c r="DS35" t="s">
        <v>241</v>
      </c>
      <c r="DT35" t="s">
        <v>242</v>
      </c>
    </row>
    <row r="36" spans="1:124" x14ac:dyDescent="0.45">
      <c r="A36" t="s">
        <v>1457</v>
      </c>
      <c r="B36" t="s">
        <v>1458</v>
      </c>
      <c r="C36" t="s">
        <v>161</v>
      </c>
      <c r="D36" t="s">
        <v>162</v>
      </c>
      <c r="E36" t="s">
        <v>163</v>
      </c>
      <c r="H36" t="s">
        <v>1280</v>
      </c>
      <c r="I36" t="s">
        <v>1459</v>
      </c>
      <c r="J36">
        <f t="shared" ref="J36:J57" si="10">1/((1/L36)-(1/K36))</f>
        <v>4.1523771932670303E-2</v>
      </c>
      <c r="K36">
        <f t="shared" ref="K36:K57" si="11">BY36+(BZ36*AN36)+(CA36*AN36*POWER(V36,2))+(CB36*AN36*V36)+(CC36*POWER(AN36,2))</f>
        <v>2.9050319999999994</v>
      </c>
      <c r="L36">
        <f t="shared" ref="L36:L57" si="12">((M36/1000)*(1000-((T36+S36)/2)))/(T36-S36)</f>
        <v>4.0938606142855473E-2</v>
      </c>
      <c r="M36">
        <f t="shared" ref="M36:M57" si="13">(AN36*(S36-R36))/(100*U36*(1000-S36))*1000</f>
        <v>0.49901885834671755</v>
      </c>
      <c r="N36" t="s">
        <v>1460</v>
      </c>
      <c r="O36" t="s">
        <v>1461</v>
      </c>
      <c r="P36">
        <f t="shared" ref="P36:P57" si="14">0.61365*EXP((17.502*AL36)/(240.97+AL36))</f>
        <v>4.21902451802187</v>
      </c>
      <c r="Q36">
        <f t="shared" ref="Q36:Q57" si="15">P36-N36</f>
        <v>1.1822555180218699</v>
      </c>
      <c r="R36" t="s">
        <v>1462</v>
      </c>
      <c r="S36" t="s">
        <v>1463</v>
      </c>
      <c r="T36">
        <f t="shared" ref="T36:T57" si="16">(P36/AM36)*1000</f>
        <v>41.93444506532024</v>
      </c>
      <c r="U36">
        <f t="shared" ref="U36:U57" si="17">V36*BX36</f>
        <v>0.4417875</v>
      </c>
      <c r="V36" t="s">
        <v>170</v>
      </c>
      <c r="W36" t="s">
        <v>1464</v>
      </c>
      <c r="X36" t="s">
        <v>172</v>
      </c>
      <c r="Y36" t="s">
        <v>172</v>
      </c>
      <c r="Z36" t="s">
        <v>172</v>
      </c>
      <c r="AA36" t="s">
        <v>1465</v>
      </c>
      <c r="AB36" t="s">
        <v>1466</v>
      </c>
      <c r="AC36" t="s">
        <v>1467</v>
      </c>
      <c r="AD36" t="s">
        <v>176</v>
      </c>
      <c r="AE36" t="s">
        <v>177</v>
      </c>
      <c r="AF36">
        <f t="shared" ref="AF36:AF57" si="18">AC36*AD36*AE36*AQ36</f>
        <v>45.852827159999997</v>
      </c>
      <c r="AG36" t="s">
        <v>178</v>
      </c>
      <c r="AH36" t="s">
        <v>1468</v>
      </c>
      <c r="AI36" t="s">
        <v>1469</v>
      </c>
      <c r="AJ36" t="s">
        <v>1470</v>
      </c>
      <c r="AK36" t="s">
        <v>1471</v>
      </c>
      <c r="AL36">
        <f t="shared" ref="AL36:AL57" si="19">(AK36-AJ36)*(AJ36*0+0)+AK36</f>
        <v>29.83</v>
      </c>
      <c r="AM36" t="s">
        <v>256</v>
      </c>
      <c r="AN36" t="s">
        <v>305</v>
      </c>
      <c r="AO36" t="s">
        <v>563</v>
      </c>
      <c r="AP36" t="s">
        <v>913</v>
      </c>
      <c r="AQ36" t="s">
        <v>1472</v>
      </c>
      <c r="AR36" t="s">
        <v>1473</v>
      </c>
      <c r="AS36" t="s">
        <v>916</v>
      </c>
      <c r="AT36" t="s">
        <v>484</v>
      </c>
      <c r="AU36" t="s">
        <v>1474</v>
      </c>
      <c r="AV36" t="s">
        <v>1475</v>
      </c>
      <c r="AW36" t="s">
        <v>1476</v>
      </c>
      <c r="AX36" t="s">
        <v>1477</v>
      </c>
      <c r="AY36" t="s">
        <v>1478</v>
      </c>
      <c r="AZ36" t="s">
        <v>964</v>
      </c>
      <c r="BA36" t="s">
        <v>1374</v>
      </c>
      <c r="BB36" t="s">
        <v>1375</v>
      </c>
      <c r="BC36" t="s">
        <v>1479</v>
      </c>
      <c r="BD36" t="s">
        <v>161</v>
      </c>
      <c r="BE36" t="s">
        <v>1480</v>
      </c>
      <c r="BF36" t="s">
        <v>1481</v>
      </c>
      <c r="BG36" t="s">
        <v>1482</v>
      </c>
      <c r="BH36" t="s">
        <v>619</v>
      </c>
      <c r="BI36" t="s">
        <v>1483</v>
      </c>
      <c r="BJ36" t="s">
        <v>1306</v>
      </c>
      <c r="BK36" t="s">
        <v>161</v>
      </c>
      <c r="BL36" t="s">
        <v>1307</v>
      </c>
      <c r="BM36" t="s">
        <v>159</v>
      </c>
      <c r="BN36" t="s">
        <v>276</v>
      </c>
      <c r="BO36" t="s">
        <v>276</v>
      </c>
      <c r="BP36" t="s">
        <v>575</v>
      </c>
      <c r="BQ36" t="s">
        <v>1484</v>
      </c>
      <c r="BR36" t="s">
        <v>1485</v>
      </c>
      <c r="BS36" t="s">
        <v>1486</v>
      </c>
      <c r="BT36" t="s">
        <v>159</v>
      </c>
      <c r="BU36" t="s">
        <v>208</v>
      </c>
      <c r="BV36" t="s">
        <v>209</v>
      </c>
      <c r="BW36" t="s">
        <v>210</v>
      </c>
      <c r="BX36" t="s">
        <v>211</v>
      </c>
      <c r="BY36" t="s">
        <v>172</v>
      </c>
      <c r="BZ36" t="s">
        <v>212</v>
      </c>
      <c r="CA36" t="s">
        <v>172</v>
      </c>
      <c r="CB36" t="s">
        <v>172</v>
      </c>
      <c r="CC36" t="s">
        <v>213</v>
      </c>
      <c r="CD36" t="s">
        <v>214</v>
      </c>
      <c r="CE36" t="s">
        <v>215</v>
      </c>
      <c r="CF36" t="s">
        <v>216</v>
      </c>
      <c r="CG36" t="s">
        <v>217</v>
      </c>
      <c r="CH36" t="s">
        <v>218</v>
      </c>
      <c r="CI36" t="s">
        <v>178</v>
      </c>
      <c r="CJ36" t="s">
        <v>210</v>
      </c>
      <c r="CK36" t="s">
        <v>219</v>
      </c>
      <c r="CL36" t="s">
        <v>219</v>
      </c>
      <c r="CM36" t="s">
        <v>219</v>
      </c>
      <c r="CN36" t="s">
        <v>172</v>
      </c>
      <c r="CO36" t="s">
        <v>220</v>
      </c>
      <c r="CP36" t="s">
        <v>172</v>
      </c>
      <c r="CQ36" t="s">
        <v>172</v>
      </c>
      <c r="CR36" t="s">
        <v>172</v>
      </c>
      <c r="CS36" t="s">
        <v>172</v>
      </c>
      <c r="CT36" t="s">
        <v>1487</v>
      </c>
      <c r="CU36" t="s">
        <v>1488</v>
      </c>
      <c r="CV36" t="s">
        <v>1489</v>
      </c>
      <c r="CW36" t="s">
        <v>1490</v>
      </c>
      <c r="CX36" t="s">
        <v>1491</v>
      </c>
      <c r="CY36" t="s">
        <v>1492</v>
      </c>
      <c r="CZ36" t="s">
        <v>1493</v>
      </c>
      <c r="DA36" t="s">
        <v>1494</v>
      </c>
      <c r="DB36" t="s">
        <v>1465</v>
      </c>
      <c r="DC36" t="s">
        <v>1495</v>
      </c>
      <c r="DD36" t="s">
        <v>230</v>
      </c>
      <c r="DE36" t="s">
        <v>231</v>
      </c>
      <c r="DF36" t="s">
        <v>178</v>
      </c>
      <c r="DG36" t="s">
        <v>232</v>
      </c>
      <c r="DH36" t="s">
        <v>233</v>
      </c>
      <c r="DI36" t="s">
        <v>178</v>
      </c>
      <c r="DJ36" t="s">
        <v>234</v>
      </c>
      <c r="DK36" t="s">
        <v>235</v>
      </c>
      <c r="DL36" t="s">
        <v>236</v>
      </c>
      <c r="DM36" t="s">
        <v>172</v>
      </c>
      <c r="DN36" t="s">
        <v>1464</v>
      </c>
      <c r="DO36" t="s">
        <v>237</v>
      </c>
      <c r="DP36" t="s">
        <v>238</v>
      </c>
      <c r="DQ36" t="s">
        <v>239</v>
      </c>
      <c r="DR36" t="s">
        <v>240</v>
      </c>
      <c r="DS36" t="s">
        <v>241</v>
      </c>
      <c r="DT36" t="s">
        <v>242</v>
      </c>
    </row>
    <row r="37" spans="1:124" x14ac:dyDescent="0.45">
      <c r="A37" t="s">
        <v>1496</v>
      </c>
      <c r="B37" t="s">
        <v>1497</v>
      </c>
      <c r="C37" t="s">
        <v>161</v>
      </c>
      <c r="D37" t="s">
        <v>162</v>
      </c>
      <c r="E37" t="s">
        <v>163</v>
      </c>
      <c r="H37" t="s">
        <v>1280</v>
      </c>
      <c r="I37" t="s">
        <v>1498</v>
      </c>
      <c r="J37">
        <f t="shared" si="10"/>
        <v>3.1806683082256912E-2</v>
      </c>
      <c r="K37">
        <f t="shared" si="11"/>
        <v>2.9050319999999994</v>
      </c>
      <c r="L37">
        <f t="shared" si="12"/>
        <v>3.1462208905134806E-2</v>
      </c>
      <c r="M37">
        <f t="shared" si="13"/>
        <v>0.37536465442287215</v>
      </c>
      <c r="N37" t="s">
        <v>1499</v>
      </c>
      <c r="O37" t="s">
        <v>1500</v>
      </c>
      <c r="P37">
        <f t="shared" si="14"/>
        <v>4.1875836872336762</v>
      </c>
      <c r="Q37">
        <f t="shared" si="15"/>
        <v>1.1570376872336761</v>
      </c>
      <c r="R37" t="s">
        <v>1501</v>
      </c>
      <c r="S37" t="s">
        <v>1502</v>
      </c>
      <c r="T37">
        <f t="shared" si="16"/>
        <v>41.62608038999678</v>
      </c>
      <c r="U37">
        <f t="shared" si="17"/>
        <v>0.4417875</v>
      </c>
      <c r="V37" t="s">
        <v>170</v>
      </c>
      <c r="W37" t="s">
        <v>1503</v>
      </c>
      <c r="X37" t="s">
        <v>172</v>
      </c>
      <c r="Y37" t="s">
        <v>172</v>
      </c>
      <c r="Z37" t="s">
        <v>172</v>
      </c>
      <c r="AA37" t="s">
        <v>1504</v>
      </c>
      <c r="AB37" t="s">
        <v>1505</v>
      </c>
      <c r="AC37" t="s">
        <v>1506</v>
      </c>
      <c r="AD37" t="s">
        <v>176</v>
      </c>
      <c r="AE37" t="s">
        <v>177</v>
      </c>
      <c r="AF37">
        <f t="shared" si="18"/>
        <v>46.812873239999995</v>
      </c>
      <c r="AG37" t="s">
        <v>178</v>
      </c>
      <c r="AH37" t="s">
        <v>1507</v>
      </c>
      <c r="AI37" t="s">
        <v>1508</v>
      </c>
      <c r="AJ37" t="s">
        <v>1509</v>
      </c>
      <c r="AK37" t="s">
        <v>1510</v>
      </c>
      <c r="AL37">
        <f t="shared" si="19"/>
        <v>29.7</v>
      </c>
      <c r="AM37" t="s">
        <v>349</v>
      </c>
      <c r="AN37" t="s">
        <v>305</v>
      </c>
      <c r="AO37" t="s">
        <v>1511</v>
      </c>
      <c r="AP37" t="s">
        <v>1512</v>
      </c>
      <c r="AQ37" t="s">
        <v>647</v>
      </c>
      <c r="AR37" t="s">
        <v>1513</v>
      </c>
      <c r="AS37" t="s">
        <v>1514</v>
      </c>
      <c r="AT37" t="s">
        <v>190</v>
      </c>
      <c r="AU37" t="s">
        <v>1515</v>
      </c>
      <c r="AV37" t="s">
        <v>1516</v>
      </c>
      <c r="AW37" t="s">
        <v>871</v>
      </c>
      <c r="AX37" t="s">
        <v>1517</v>
      </c>
      <c r="AY37" t="s">
        <v>1518</v>
      </c>
      <c r="AZ37" t="s">
        <v>964</v>
      </c>
      <c r="BA37" t="s">
        <v>1519</v>
      </c>
      <c r="BB37" t="s">
        <v>1520</v>
      </c>
      <c r="BC37" t="s">
        <v>1521</v>
      </c>
      <c r="BD37" t="s">
        <v>161</v>
      </c>
      <c r="BE37" t="s">
        <v>196</v>
      </c>
      <c r="BF37" t="s">
        <v>494</v>
      </c>
      <c r="BG37" t="s">
        <v>1522</v>
      </c>
      <c r="BH37" t="s">
        <v>709</v>
      </c>
      <c r="BI37" t="s">
        <v>1228</v>
      </c>
      <c r="BJ37" t="s">
        <v>1306</v>
      </c>
      <c r="BK37" t="s">
        <v>161</v>
      </c>
      <c r="BL37" t="s">
        <v>1307</v>
      </c>
      <c r="BM37" t="s">
        <v>159</v>
      </c>
      <c r="BN37" t="s">
        <v>209</v>
      </c>
      <c r="BO37" t="s">
        <v>277</v>
      </c>
      <c r="BP37" t="s">
        <v>850</v>
      </c>
      <c r="BQ37" t="s">
        <v>1523</v>
      </c>
      <c r="BR37" t="s">
        <v>1524</v>
      </c>
      <c r="BS37" t="s">
        <v>1525</v>
      </c>
      <c r="BT37" t="s">
        <v>159</v>
      </c>
      <c r="BU37" t="s">
        <v>208</v>
      </c>
      <c r="BV37" t="s">
        <v>209</v>
      </c>
      <c r="BW37" t="s">
        <v>210</v>
      </c>
      <c r="BX37" t="s">
        <v>211</v>
      </c>
      <c r="BY37" t="s">
        <v>172</v>
      </c>
      <c r="BZ37" t="s">
        <v>212</v>
      </c>
      <c r="CA37" t="s">
        <v>172</v>
      </c>
      <c r="CB37" t="s">
        <v>172</v>
      </c>
      <c r="CC37" t="s">
        <v>213</v>
      </c>
      <c r="CD37" t="s">
        <v>214</v>
      </c>
      <c r="CE37" t="s">
        <v>215</v>
      </c>
      <c r="CF37" t="s">
        <v>216</v>
      </c>
      <c r="CG37" t="s">
        <v>217</v>
      </c>
      <c r="CH37" t="s">
        <v>218</v>
      </c>
      <c r="CI37" t="s">
        <v>178</v>
      </c>
      <c r="CJ37" t="s">
        <v>210</v>
      </c>
      <c r="CK37" t="s">
        <v>219</v>
      </c>
      <c r="CL37" t="s">
        <v>219</v>
      </c>
      <c r="CM37" t="s">
        <v>219</v>
      </c>
      <c r="CN37" t="s">
        <v>172</v>
      </c>
      <c r="CO37" t="s">
        <v>220</v>
      </c>
      <c r="CP37" t="s">
        <v>172</v>
      </c>
      <c r="CQ37" t="s">
        <v>172</v>
      </c>
      <c r="CR37" t="s">
        <v>172</v>
      </c>
      <c r="CS37" t="s">
        <v>172</v>
      </c>
      <c r="CT37" t="s">
        <v>1526</v>
      </c>
      <c r="CU37" t="s">
        <v>1527</v>
      </c>
      <c r="CV37" t="s">
        <v>1528</v>
      </c>
      <c r="CW37" t="s">
        <v>1529</v>
      </c>
      <c r="CX37" t="s">
        <v>1530</v>
      </c>
      <c r="CY37" t="s">
        <v>1531</v>
      </c>
      <c r="CZ37" t="s">
        <v>1532</v>
      </c>
      <c r="DA37" t="s">
        <v>1533</v>
      </c>
      <c r="DB37" t="s">
        <v>1504</v>
      </c>
      <c r="DC37" t="s">
        <v>380</v>
      </c>
      <c r="DD37" t="s">
        <v>230</v>
      </c>
      <c r="DE37" t="s">
        <v>231</v>
      </c>
      <c r="DF37" t="s">
        <v>178</v>
      </c>
      <c r="DG37" t="s">
        <v>232</v>
      </c>
      <c r="DH37" t="s">
        <v>233</v>
      </c>
      <c r="DI37" t="s">
        <v>178</v>
      </c>
      <c r="DJ37" t="s">
        <v>234</v>
      </c>
      <c r="DK37" t="s">
        <v>235</v>
      </c>
      <c r="DL37" t="s">
        <v>236</v>
      </c>
      <c r="DM37" t="s">
        <v>172</v>
      </c>
      <c r="DN37" t="s">
        <v>1503</v>
      </c>
      <c r="DO37" t="s">
        <v>237</v>
      </c>
      <c r="DP37" t="s">
        <v>238</v>
      </c>
      <c r="DQ37" t="s">
        <v>239</v>
      </c>
      <c r="DR37" t="s">
        <v>240</v>
      </c>
      <c r="DS37" t="s">
        <v>241</v>
      </c>
      <c r="DT37" t="s">
        <v>242</v>
      </c>
    </row>
    <row r="38" spans="1:124" x14ac:dyDescent="0.45">
      <c r="A38" t="s">
        <v>1534</v>
      </c>
      <c r="B38" t="s">
        <v>1535</v>
      </c>
      <c r="C38" t="s">
        <v>161</v>
      </c>
      <c r="D38" t="s">
        <v>162</v>
      </c>
      <c r="E38" t="s">
        <v>163</v>
      </c>
      <c r="H38" t="s">
        <v>1280</v>
      </c>
      <c r="I38" t="s">
        <v>1536</v>
      </c>
      <c r="J38">
        <f t="shared" si="10"/>
        <v>7.1193570907698817E-2</v>
      </c>
      <c r="K38">
        <f t="shared" si="11"/>
        <v>2.9058327199999998</v>
      </c>
      <c r="L38">
        <f t="shared" si="12"/>
        <v>6.9491024795133541E-2</v>
      </c>
      <c r="M38">
        <f t="shared" si="13"/>
        <v>0.83420182128245124</v>
      </c>
      <c r="N38" t="s">
        <v>1537</v>
      </c>
      <c r="O38" t="s">
        <v>1538</v>
      </c>
      <c r="P38">
        <f t="shared" si="14"/>
        <v>4.1948210785935185</v>
      </c>
      <c r="Q38">
        <f t="shared" si="15"/>
        <v>1.1645510785935187</v>
      </c>
      <c r="R38" t="s">
        <v>1539</v>
      </c>
      <c r="S38" t="s">
        <v>1540</v>
      </c>
      <c r="T38">
        <f t="shared" si="16"/>
        <v>41.693878129346174</v>
      </c>
      <c r="U38">
        <f t="shared" si="17"/>
        <v>0.4417875</v>
      </c>
      <c r="V38" t="s">
        <v>170</v>
      </c>
      <c r="W38" t="s">
        <v>1541</v>
      </c>
      <c r="X38" t="s">
        <v>172</v>
      </c>
      <c r="Y38" t="s">
        <v>172</v>
      </c>
      <c r="Z38" t="s">
        <v>172</v>
      </c>
      <c r="AA38" t="s">
        <v>1542</v>
      </c>
      <c r="AB38" t="s">
        <v>1543</v>
      </c>
      <c r="AC38" t="s">
        <v>1544</v>
      </c>
      <c r="AD38" t="s">
        <v>176</v>
      </c>
      <c r="AE38" t="s">
        <v>177</v>
      </c>
      <c r="AF38">
        <f t="shared" si="18"/>
        <v>48.965929320000001</v>
      </c>
      <c r="AG38" t="s">
        <v>178</v>
      </c>
      <c r="AH38" t="s">
        <v>1545</v>
      </c>
      <c r="AI38" t="s">
        <v>1546</v>
      </c>
      <c r="AJ38" t="s">
        <v>1547</v>
      </c>
      <c r="AK38" t="s">
        <v>874</v>
      </c>
      <c r="AL38">
        <f t="shared" si="19"/>
        <v>29.73</v>
      </c>
      <c r="AM38" t="s">
        <v>256</v>
      </c>
      <c r="AN38" t="s">
        <v>184</v>
      </c>
      <c r="AO38" t="s">
        <v>1548</v>
      </c>
      <c r="AP38" t="s">
        <v>1549</v>
      </c>
      <c r="AQ38" t="s">
        <v>1437</v>
      </c>
      <c r="AR38" t="s">
        <v>1550</v>
      </c>
      <c r="AS38" t="s">
        <v>916</v>
      </c>
      <c r="AT38" t="s">
        <v>199</v>
      </c>
      <c r="AU38" t="s">
        <v>1551</v>
      </c>
      <c r="AV38" t="s">
        <v>1552</v>
      </c>
      <c r="AW38" t="s">
        <v>1251</v>
      </c>
      <c r="AX38" t="s">
        <v>1553</v>
      </c>
      <c r="AY38" t="s">
        <v>1554</v>
      </c>
      <c r="AZ38" t="s">
        <v>964</v>
      </c>
      <c r="BA38" t="s">
        <v>1555</v>
      </c>
      <c r="BB38" t="s">
        <v>1556</v>
      </c>
      <c r="BC38" t="s">
        <v>1557</v>
      </c>
      <c r="BD38" t="s">
        <v>161</v>
      </c>
      <c r="BE38" t="s">
        <v>657</v>
      </c>
      <c r="BF38" t="s">
        <v>364</v>
      </c>
      <c r="BG38" t="s">
        <v>1558</v>
      </c>
      <c r="BH38" t="s">
        <v>746</v>
      </c>
      <c r="BI38" t="s">
        <v>969</v>
      </c>
      <c r="BJ38" t="s">
        <v>1306</v>
      </c>
      <c r="BK38" t="s">
        <v>161</v>
      </c>
      <c r="BL38" t="s">
        <v>1307</v>
      </c>
      <c r="BM38" t="s">
        <v>159</v>
      </c>
      <c r="BN38" t="s">
        <v>575</v>
      </c>
      <c r="BO38" t="s">
        <v>209</v>
      </c>
      <c r="BP38" t="s">
        <v>496</v>
      </c>
      <c r="BQ38" t="s">
        <v>1559</v>
      </c>
      <c r="BR38" t="s">
        <v>1560</v>
      </c>
      <c r="BS38" t="s">
        <v>576</v>
      </c>
      <c r="BT38" t="s">
        <v>159</v>
      </c>
      <c r="BU38" t="s">
        <v>208</v>
      </c>
      <c r="BV38" t="s">
        <v>209</v>
      </c>
      <c r="BW38" t="s">
        <v>210</v>
      </c>
      <c r="BX38" t="s">
        <v>211</v>
      </c>
      <c r="BY38" t="s">
        <v>172</v>
      </c>
      <c r="BZ38" t="s">
        <v>212</v>
      </c>
      <c r="CA38" t="s">
        <v>172</v>
      </c>
      <c r="CB38" t="s">
        <v>172</v>
      </c>
      <c r="CC38" t="s">
        <v>213</v>
      </c>
      <c r="CD38" t="s">
        <v>214</v>
      </c>
      <c r="CE38" t="s">
        <v>215</v>
      </c>
      <c r="CF38" t="s">
        <v>216</v>
      </c>
      <c r="CG38" t="s">
        <v>217</v>
      </c>
      <c r="CH38" t="s">
        <v>218</v>
      </c>
      <c r="CI38" t="s">
        <v>178</v>
      </c>
      <c r="CJ38" t="s">
        <v>210</v>
      </c>
      <c r="CK38" t="s">
        <v>219</v>
      </c>
      <c r="CL38" t="s">
        <v>219</v>
      </c>
      <c r="CM38" t="s">
        <v>219</v>
      </c>
      <c r="CN38" t="s">
        <v>172</v>
      </c>
      <c r="CO38" t="s">
        <v>220</v>
      </c>
      <c r="CP38" t="s">
        <v>172</v>
      </c>
      <c r="CQ38" t="s">
        <v>172</v>
      </c>
      <c r="CR38" t="s">
        <v>172</v>
      </c>
      <c r="CS38" t="s">
        <v>172</v>
      </c>
      <c r="CT38" t="s">
        <v>1561</v>
      </c>
      <c r="CU38" t="s">
        <v>1562</v>
      </c>
      <c r="CV38" t="s">
        <v>1563</v>
      </c>
      <c r="CW38" t="s">
        <v>1564</v>
      </c>
      <c r="CX38" t="s">
        <v>1565</v>
      </c>
      <c r="CY38" t="s">
        <v>1566</v>
      </c>
      <c r="CZ38" t="s">
        <v>1567</v>
      </c>
      <c r="DA38" t="s">
        <v>1568</v>
      </c>
      <c r="DB38" t="s">
        <v>1542</v>
      </c>
      <c r="DC38" t="s">
        <v>1456</v>
      </c>
      <c r="DD38" t="s">
        <v>230</v>
      </c>
      <c r="DE38" t="s">
        <v>231</v>
      </c>
      <c r="DF38" t="s">
        <v>178</v>
      </c>
      <c r="DG38" t="s">
        <v>232</v>
      </c>
      <c r="DH38" t="s">
        <v>233</v>
      </c>
      <c r="DI38" t="s">
        <v>178</v>
      </c>
      <c r="DJ38" t="s">
        <v>234</v>
      </c>
      <c r="DK38" t="s">
        <v>235</v>
      </c>
      <c r="DL38" t="s">
        <v>236</v>
      </c>
      <c r="DM38" t="s">
        <v>172</v>
      </c>
      <c r="DN38" t="s">
        <v>1541</v>
      </c>
      <c r="DO38" t="s">
        <v>237</v>
      </c>
      <c r="DP38" t="s">
        <v>238</v>
      </c>
      <c r="DQ38" t="s">
        <v>239</v>
      </c>
      <c r="DR38" t="s">
        <v>240</v>
      </c>
      <c r="DS38" t="s">
        <v>241</v>
      </c>
      <c r="DT38" t="s">
        <v>242</v>
      </c>
    </row>
    <row r="39" spans="1:124" x14ac:dyDescent="0.45">
      <c r="A39" t="s">
        <v>1569</v>
      </c>
      <c r="B39" t="s">
        <v>1570</v>
      </c>
      <c r="C39" t="s">
        <v>161</v>
      </c>
      <c r="D39" t="s">
        <v>162</v>
      </c>
      <c r="E39" t="s">
        <v>163</v>
      </c>
      <c r="H39" t="s">
        <v>1280</v>
      </c>
      <c r="I39" t="s">
        <v>1571</v>
      </c>
      <c r="J39">
        <f t="shared" si="10"/>
        <v>0.16888350193410739</v>
      </c>
      <c r="K39">
        <f t="shared" si="11"/>
        <v>2.9074300800000006</v>
      </c>
      <c r="L39">
        <f t="shared" si="12"/>
        <v>0.15961213330867752</v>
      </c>
      <c r="M39">
        <f t="shared" si="13"/>
        <v>1.8181889209718844</v>
      </c>
      <c r="N39" t="s">
        <v>1572</v>
      </c>
      <c r="O39" t="s">
        <v>1573</v>
      </c>
      <c r="P39">
        <f t="shared" si="14"/>
        <v>4.1707387530170905</v>
      </c>
      <c r="Q39">
        <f t="shared" si="15"/>
        <v>1.1048077530170906</v>
      </c>
      <c r="R39" t="s">
        <v>1574</v>
      </c>
      <c r="S39" t="s">
        <v>1575</v>
      </c>
      <c r="T39">
        <f t="shared" si="16"/>
        <v>41.454514988739597</v>
      </c>
      <c r="U39">
        <f t="shared" si="17"/>
        <v>0.4417875</v>
      </c>
      <c r="V39" t="s">
        <v>170</v>
      </c>
      <c r="W39" t="s">
        <v>1576</v>
      </c>
      <c r="X39" t="s">
        <v>172</v>
      </c>
      <c r="Y39" t="s">
        <v>172</v>
      </c>
      <c r="Z39" t="s">
        <v>172</v>
      </c>
      <c r="AA39" t="s">
        <v>1577</v>
      </c>
      <c r="AB39" t="s">
        <v>1578</v>
      </c>
      <c r="AC39" t="s">
        <v>1579</v>
      </c>
      <c r="AD39" t="s">
        <v>176</v>
      </c>
      <c r="AE39" t="s">
        <v>177</v>
      </c>
      <c r="AF39">
        <f t="shared" si="18"/>
        <v>48.981367679999998</v>
      </c>
      <c r="AG39" t="s">
        <v>178</v>
      </c>
      <c r="AH39" t="s">
        <v>1250</v>
      </c>
      <c r="AI39" t="s">
        <v>1580</v>
      </c>
      <c r="AJ39" t="s">
        <v>1581</v>
      </c>
      <c r="AK39" t="s">
        <v>1582</v>
      </c>
      <c r="AL39">
        <f t="shared" si="19"/>
        <v>29.63</v>
      </c>
      <c r="AM39" t="s">
        <v>256</v>
      </c>
      <c r="AN39" t="s">
        <v>683</v>
      </c>
      <c r="AO39" t="s">
        <v>1583</v>
      </c>
      <c r="AP39" t="s">
        <v>1436</v>
      </c>
      <c r="AQ39" t="s">
        <v>1584</v>
      </c>
      <c r="AR39" t="s">
        <v>1585</v>
      </c>
      <c r="AS39" t="s">
        <v>1586</v>
      </c>
      <c r="AT39" t="s">
        <v>334</v>
      </c>
      <c r="AU39" t="s">
        <v>1587</v>
      </c>
      <c r="AV39" t="s">
        <v>1588</v>
      </c>
      <c r="AW39" t="s">
        <v>1589</v>
      </c>
      <c r="AX39" t="s">
        <v>1590</v>
      </c>
      <c r="AY39" t="s">
        <v>919</v>
      </c>
      <c r="AZ39" t="s">
        <v>964</v>
      </c>
      <c r="BA39" t="s">
        <v>1555</v>
      </c>
      <c r="BB39" t="s">
        <v>1556</v>
      </c>
      <c r="BC39" t="s">
        <v>1591</v>
      </c>
      <c r="BD39" t="s">
        <v>161</v>
      </c>
      <c r="BE39" t="s">
        <v>1592</v>
      </c>
      <c r="BF39" t="s">
        <v>1193</v>
      </c>
      <c r="BG39" t="s">
        <v>1593</v>
      </c>
      <c r="BH39" t="s">
        <v>785</v>
      </c>
      <c r="BI39" t="s">
        <v>1195</v>
      </c>
      <c r="BJ39" t="s">
        <v>1306</v>
      </c>
      <c r="BK39" t="s">
        <v>161</v>
      </c>
      <c r="BL39" t="s">
        <v>1307</v>
      </c>
      <c r="BM39" t="s">
        <v>159</v>
      </c>
      <c r="BN39" t="s">
        <v>277</v>
      </c>
      <c r="BO39" t="s">
        <v>277</v>
      </c>
      <c r="BP39" t="s">
        <v>575</v>
      </c>
      <c r="BQ39" t="s">
        <v>1594</v>
      </c>
      <c r="BR39" t="s">
        <v>1595</v>
      </c>
      <c r="BS39" t="s">
        <v>1596</v>
      </c>
      <c r="BT39" t="s">
        <v>159</v>
      </c>
      <c r="BU39" t="s">
        <v>208</v>
      </c>
      <c r="BV39" t="s">
        <v>209</v>
      </c>
      <c r="BW39" t="s">
        <v>210</v>
      </c>
      <c r="BX39" t="s">
        <v>211</v>
      </c>
      <c r="BY39" t="s">
        <v>172</v>
      </c>
      <c r="BZ39" t="s">
        <v>212</v>
      </c>
      <c r="CA39" t="s">
        <v>172</v>
      </c>
      <c r="CB39" t="s">
        <v>172</v>
      </c>
      <c r="CC39" t="s">
        <v>213</v>
      </c>
      <c r="CD39" t="s">
        <v>214</v>
      </c>
      <c r="CE39" t="s">
        <v>215</v>
      </c>
      <c r="CF39" t="s">
        <v>216</v>
      </c>
      <c r="CG39" t="s">
        <v>217</v>
      </c>
      <c r="CH39" t="s">
        <v>218</v>
      </c>
      <c r="CI39" t="s">
        <v>178</v>
      </c>
      <c r="CJ39" t="s">
        <v>210</v>
      </c>
      <c r="CK39" t="s">
        <v>219</v>
      </c>
      <c r="CL39" t="s">
        <v>219</v>
      </c>
      <c r="CM39" t="s">
        <v>219</v>
      </c>
      <c r="CN39" t="s">
        <v>172</v>
      </c>
      <c r="CO39" t="s">
        <v>220</v>
      </c>
      <c r="CP39" t="s">
        <v>172</v>
      </c>
      <c r="CQ39" t="s">
        <v>172</v>
      </c>
      <c r="CR39" t="s">
        <v>172</v>
      </c>
      <c r="CS39" t="s">
        <v>172</v>
      </c>
      <c r="CT39" t="s">
        <v>1597</v>
      </c>
      <c r="CU39" t="s">
        <v>1598</v>
      </c>
      <c r="CV39" t="s">
        <v>1599</v>
      </c>
      <c r="CW39" t="s">
        <v>1600</v>
      </c>
      <c r="CX39" t="s">
        <v>1601</v>
      </c>
      <c r="CY39" t="s">
        <v>1602</v>
      </c>
      <c r="CZ39" t="s">
        <v>1603</v>
      </c>
      <c r="DA39" t="s">
        <v>1604</v>
      </c>
      <c r="DB39" t="s">
        <v>1577</v>
      </c>
      <c r="DC39" t="s">
        <v>422</v>
      </c>
      <c r="DD39" t="s">
        <v>230</v>
      </c>
      <c r="DE39" t="s">
        <v>231</v>
      </c>
      <c r="DF39" t="s">
        <v>178</v>
      </c>
      <c r="DG39" t="s">
        <v>232</v>
      </c>
      <c r="DH39" t="s">
        <v>233</v>
      </c>
      <c r="DI39" t="s">
        <v>178</v>
      </c>
      <c r="DJ39" t="s">
        <v>234</v>
      </c>
      <c r="DK39" t="s">
        <v>235</v>
      </c>
      <c r="DL39" t="s">
        <v>236</v>
      </c>
      <c r="DM39" t="s">
        <v>172</v>
      </c>
      <c r="DN39" t="s">
        <v>1576</v>
      </c>
      <c r="DO39" t="s">
        <v>237</v>
      </c>
      <c r="DP39" t="s">
        <v>238</v>
      </c>
      <c r="DQ39" t="s">
        <v>239</v>
      </c>
      <c r="DR39" t="s">
        <v>240</v>
      </c>
      <c r="DS39" t="s">
        <v>241</v>
      </c>
      <c r="DT39" t="s">
        <v>242</v>
      </c>
    </row>
    <row r="40" spans="1:124" x14ac:dyDescent="0.45">
      <c r="A40" t="s">
        <v>1605</v>
      </c>
      <c r="B40" t="s">
        <v>1606</v>
      </c>
      <c r="C40" t="s">
        <v>161</v>
      </c>
      <c r="D40" t="s">
        <v>162</v>
      </c>
      <c r="E40" t="s">
        <v>163</v>
      </c>
      <c r="H40" t="s">
        <v>1607</v>
      </c>
      <c r="I40" t="s">
        <v>1608</v>
      </c>
      <c r="J40">
        <f t="shared" si="10"/>
        <v>0.23861687932352602</v>
      </c>
      <c r="K40">
        <f t="shared" si="11"/>
        <v>2.9042299199999997</v>
      </c>
      <c r="L40">
        <f t="shared" si="12"/>
        <v>0.22050017853163448</v>
      </c>
      <c r="M40">
        <f t="shared" si="13"/>
        <v>2.4379933526279802</v>
      </c>
      <c r="N40" t="s">
        <v>1609</v>
      </c>
      <c r="O40" t="s">
        <v>1610</v>
      </c>
      <c r="P40">
        <f t="shared" si="14"/>
        <v>4.1253141755735099</v>
      </c>
      <c r="Q40">
        <f t="shared" si="15"/>
        <v>1.0726241755735098</v>
      </c>
      <c r="R40" t="s">
        <v>1611</v>
      </c>
      <c r="S40" t="s">
        <v>1612</v>
      </c>
      <c r="T40">
        <f t="shared" si="16"/>
        <v>41.00709916077048</v>
      </c>
      <c r="U40">
        <f t="shared" si="17"/>
        <v>0.4417875</v>
      </c>
      <c r="V40" t="s">
        <v>170</v>
      </c>
      <c r="W40" t="s">
        <v>1613</v>
      </c>
      <c r="X40" t="s">
        <v>172</v>
      </c>
      <c r="Y40" t="s">
        <v>172</v>
      </c>
      <c r="Z40" t="s">
        <v>172</v>
      </c>
      <c r="AA40" t="s">
        <v>1614</v>
      </c>
      <c r="AB40" t="s">
        <v>1615</v>
      </c>
      <c r="AC40" t="s">
        <v>1616</v>
      </c>
      <c r="AD40" t="s">
        <v>176</v>
      </c>
      <c r="AE40" t="s">
        <v>177</v>
      </c>
      <c r="AF40">
        <f t="shared" si="18"/>
        <v>52.796658600000001</v>
      </c>
      <c r="AG40" t="s">
        <v>178</v>
      </c>
      <c r="AH40" t="s">
        <v>1617</v>
      </c>
      <c r="AI40" t="s">
        <v>1618</v>
      </c>
      <c r="AJ40" t="s">
        <v>1619</v>
      </c>
      <c r="AK40" t="s">
        <v>1620</v>
      </c>
      <c r="AL40">
        <f t="shared" si="19"/>
        <v>29.44</v>
      </c>
      <c r="AM40" t="s">
        <v>349</v>
      </c>
      <c r="AN40" t="s">
        <v>603</v>
      </c>
      <c r="AO40" t="s">
        <v>1184</v>
      </c>
      <c r="AP40" t="s">
        <v>913</v>
      </c>
      <c r="AQ40" t="s">
        <v>802</v>
      </c>
      <c r="AR40" t="s">
        <v>1585</v>
      </c>
      <c r="AS40" t="s">
        <v>649</v>
      </c>
      <c r="AT40" t="s">
        <v>334</v>
      </c>
      <c r="AU40" t="s">
        <v>1621</v>
      </c>
      <c r="AV40" t="s">
        <v>1622</v>
      </c>
      <c r="AW40" t="s">
        <v>1623</v>
      </c>
      <c r="AX40" t="s">
        <v>1624</v>
      </c>
      <c r="AY40" t="s">
        <v>1625</v>
      </c>
      <c r="AZ40" t="s">
        <v>964</v>
      </c>
      <c r="BA40" t="s">
        <v>1626</v>
      </c>
      <c r="BB40" t="s">
        <v>1627</v>
      </c>
      <c r="BC40" t="s">
        <v>1628</v>
      </c>
      <c r="BD40" t="s">
        <v>161</v>
      </c>
      <c r="BE40" t="s">
        <v>1158</v>
      </c>
      <c r="BF40" t="s">
        <v>1118</v>
      </c>
      <c r="BG40" t="s">
        <v>1629</v>
      </c>
      <c r="BH40" t="s">
        <v>450</v>
      </c>
      <c r="BI40" t="s">
        <v>409</v>
      </c>
      <c r="BJ40" t="s">
        <v>1306</v>
      </c>
      <c r="BK40" t="s">
        <v>161</v>
      </c>
      <c r="BL40" t="s">
        <v>1307</v>
      </c>
      <c r="BM40" t="s">
        <v>159</v>
      </c>
      <c r="BN40" t="s">
        <v>209</v>
      </c>
      <c r="BO40" t="s">
        <v>276</v>
      </c>
      <c r="BP40" t="s">
        <v>886</v>
      </c>
      <c r="BQ40" t="s">
        <v>1630</v>
      </c>
      <c r="BR40" t="s">
        <v>1631</v>
      </c>
      <c r="BS40" t="s">
        <v>1632</v>
      </c>
      <c r="BT40" t="s">
        <v>159</v>
      </c>
      <c r="BU40" t="s">
        <v>208</v>
      </c>
      <c r="BV40" t="s">
        <v>209</v>
      </c>
      <c r="BW40" t="s">
        <v>210</v>
      </c>
      <c r="BX40" t="s">
        <v>211</v>
      </c>
      <c r="BY40" t="s">
        <v>172</v>
      </c>
      <c r="BZ40" t="s">
        <v>212</v>
      </c>
      <c r="CA40" t="s">
        <v>172</v>
      </c>
      <c r="CB40" t="s">
        <v>172</v>
      </c>
      <c r="CC40" t="s">
        <v>213</v>
      </c>
      <c r="CD40" t="s">
        <v>214</v>
      </c>
      <c r="CE40" t="s">
        <v>215</v>
      </c>
      <c r="CF40" t="s">
        <v>216</v>
      </c>
      <c r="CG40" t="s">
        <v>217</v>
      </c>
      <c r="CH40" t="s">
        <v>218</v>
      </c>
      <c r="CI40" t="s">
        <v>178</v>
      </c>
      <c r="CJ40" t="s">
        <v>210</v>
      </c>
      <c r="CK40" t="s">
        <v>219</v>
      </c>
      <c r="CL40" t="s">
        <v>219</v>
      </c>
      <c r="CM40" t="s">
        <v>219</v>
      </c>
      <c r="CN40" t="s">
        <v>172</v>
      </c>
      <c r="CO40" t="s">
        <v>220</v>
      </c>
      <c r="CP40" t="s">
        <v>172</v>
      </c>
      <c r="CQ40" t="s">
        <v>172</v>
      </c>
      <c r="CR40" t="s">
        <v>172</v>
      </c>
      <c r="CS40" t="s">
        <v>172</v>
      </c>
      <c r="CT40" t="s">
        <v>1633</v>
      </c>
      <c r="CU40" t="s">
        <v>1634</v>
      </c>
      <c r="CV40" t="s">
        <v>1635</v>
      </c>
      <c r="CW40" t="s">
        <v>1636</v>
      </c>
      <c r="CX40" t="s">
        <v>1637</v>
      </c>
      <c r="CY40" t="s">
        <v>1638</v>
      </c>
      <c r="CZ40" t="s">
        <v>1639</v>
      </c>
      <c r="DA40" t="s">
        <v>1640</v>
      </c>
      <c r="DB40" t="s">
        <v>1614</v>
      </c>
      <c r="DC40" t="s">
        <v>1641</v>
      </c>
      <c r="DD40" t="s">
        <v>230</v>
      </c>
      <c r="DE40" t="s">
        <v>231</v>
      </c>
      <c r="DF40" t="s">
        <v>178</v>
      </c>
      <c r="DG40" t="s">
        <v>232</v>
      </c>
      <c r="DH40" t="s">
        <v>233</v>
      </c>
      <c r="DI40" t="s">
        <v>178</v>
      </c>
      <c r="DJ40" t="s">
        <v>234</v>
      </c>
      <c r="DK40" t="s">
        <v>235</v>
      </c>
      <c r="DL40" t="s">
        <v>236</v>
      </c>
      <c r="DM40" t="s">
        <v>172</v>
      </c>
      <c r="DN40" t="s">
        <v>1613</v>
      </c>
      <c r="DO40" t="s">
        <v>237</v>
      </c>
      <c r="DP40" t="s">
        <v>238</v>
      </c>
      <c r="DQ40" t="s">
        <v>239</v>
      </c>
      <c r="DR40" t="s">
        <v>240</v>
      </c>
      <c r="DS40" t="s">
        <v>241</v>
      </c>
      <c r="DT40" t="s">
        <v>242</v>
      </c>
    </row>
    <row r="41" spans="1:124" x14ac:dyDescent="0.45">
      <c r="A41" t="s">
        <v>1642</v>
      </c>
      <c r="B41" t="s">
        <v>1643</v>
      </c>
      <c r="C41" t="s">
        <v>161</v>
      </c>
      <c r="D41" t="s">
        <v>162</v>
      </c>
      <c r="E41" t="s">
        <v>163</v>
      </c>
      <c r="H41" t="s">
        <v>1607</v>
      </c>
      <c r="I41" t="s">
        <v>1644</v>
      </c>
      <c r="J41">
        <f t="shared" si="10"/>
        <v>0.33874250380844168</v>
      </c>
      <c r="K41">
        <f t="shared" si="11"/>
        <v>2.9058327199999998</v>
      </c>
      <c r="L41">
        <f t="shared" si="12"/>
        <v>0.30337686240046585</v>
      </c>
      <c r="M41">
        <f t="shared" si="13"/>
        <v>3.139947387308605</v>
      </c>
      <c r="N41" t="s">
        <v>1645</v>
      </c>
      <c r="O41" t="s">
        <v>1646</v>
      </c>
      <c r="P41">
        <f t="shared" si="14"/>
        <v>4.0591589137398936</v>
      </c>
      <c r="Q41">
        <f t="shared" si="15"/>
        <v>1.0042499137398937</v>
      </c>
      <c r="R41" t="s">
        <v>1647</v>
      </c>
      <c r="S41" t="s">
        <v>1648</v>
      </c>
      <c r="T41">
        <f t="shared" si="16"/>
        <v>40.349492184293176</v>
      </c>
      <c r="U41">
        <f t="shared" si="17"/>
        <v>0.4417875</v>
      </c>
      <c r="V41" t="s">
        <v>170</v>
      </c>
      <c r="W41" t="s">
        <v>1649</v>
      </c>
      <c r="X41" t="s">
        <v>172</v>
      </c>
      <c r="Y41" t="s">
        <v>172</v>
      </c>
      <c r="Z41" t="s">
        <v>172</v>
      </c>
      <c r="AA41" t="s">
        <v>1650</v>
      </c>
      <c r="AB41" t="s">
        <v>1651</v>
      </c>
      <c r="AC41" t="s">
        <v>1652</v>
      </c>
      <c r="AD41" t="s">
        <v>176</v>
      </c>
      <c r="AE41" t="s">
        <v>177</v>
      </c>
      <c r="AF41">
        <f t="shared" si="18"/>
        <v>57.977186400000001</v>
      </c>
      <c r="AG41" t="s">
        <v>178</v>
      </c>
      <c r="AH41" t="s">
        <v>1623</v>
      </c>
      <c r="AI41" t="s">
        <v>1653</v>
      </c>
      <c r="AJ41" t="s">
        <v>1654</v>
      </c>
      <c r="AK41" t="s">
        <v>1655</v>
      </c>
      <c r="AL41">
        <f t="shared" si="19"/>
        <v>29.16</v>
      </c>
      <c r="AM41" t="s">
        <v>349</v>
      </c>
      <c r="AN41" t="s">
        <v>184</v>
      </c>
      <c r="AO41" t="s">
        <v>800</v>
      </c>
      <c r="AP41" t="s">
        <v>1656</v>
      </c>
      <c r="AQ41" t="s">
        <v>1657</v>
      </c>
      <c r="AR41" t="s">
        <v>1585</v>
      </c>
      <c r="AS41" t="s">
        <v>726</v>
      </c>
      <c r="AT41" t="s">
        <v>159</v>
      </c>
      <c r="AU41" t="s">
        <v>1658</v>
      </c>
      <c r="AV41" t="s">
        <v>1659</v>
      </c>
      <c r="AW41" t="s">
        <v>1660</v>
      </c>
      <c r="AX41" t="s">
        <v>1661</v>
      </c>
      <c r="AY41" t="s">
        <v>1662</v>
      </c>
      <c r="AZ41" t="s">
        <v>964</v>
      </c>
      <c r="BA41" t="s">
        <v>1663</v>
      </c>
      <c r="BB41" t="s">
        <v>842</v>
      </c>
      <c r="BC41" t="s">
        <v>1664</v>
      </c>
      <c r="BD41" t="s">
        <v>161</v>
      </c>
      <c r="BE41" t="s">
        <v>1665</v>
      </c>
      <c r="BF41" t="s">
        <v>1666</v>
      </c>
      <c r="BG41" t="s">
        <v>1629</v>
      </c>
      <c r="BH41" t="s">
        <v>746</v>
      </c>
      <c r="BI41" t="s">
        <v>1667</v>
      </c>
      <c r="BJ41" t="s">
        <v>1306</v>
      </c>
      <c r="BK41" t="s">
        <v>161</v>
      </c>
      <c r="BL41" t="s">
        <v>1307</v>
      </c>
      <c r="BM41" t="s">
        <v>159</v>
      </c>
      <c r="BN41" t="s">
        <v>203</v>
      </c>
      <c r="BO41" t="s">
        <v>277</v>
      </c>
      <c r="BP41" t="s">
        <v>410</v>
      </c>
      <c r="BQ41" t="s">
        <v>700</v>
      </c>
      <c r="BR41" t="s">
        <v>1668</v>
      </c>
      <c r="BS41" t="s">
        <v>1669</v>
      </c>
      <c r="BT41" t="s">
        <v>159</v>
      </c>
      <c r="BU41" t="s">
        <v>208</v>
      </c>
      <c r="BV41" t="s">
        <v>209</v>
      </c>
      <c r="BW41" t="s">
        <v>210</v>
      </c>
      <c r="BX41" t="s">
        <v>211</v>
      </c>
      <c r="BY41" t="s">
        <v>172</v>
      </c>
      <c r="BZ41" t="s">
        <v>212</v>
      </c>
      <c r="CA41" t="s">
        <v>172</v>
      </c>
      <c r="CB41" t="s">
        <v>172</v>
      </c>
      <c r="CC41" t="s">
        <v>213</v>
      </c>
      <c r="CD41" t="s">
        <v>214</v>
      </c>
      <c r="CE41" t="s">
        <v>215</v>
      </c>
      <c r="CF41" t="s">
        <v>216</v>
      </c>
      <c r="CG41" t="s">
        <v>217</v>
      </c>
      <c r="CH41" t="s">
        <v>218</v>
      </c>
      <c r="CI41" t="s">
        <v>178</v>
      </c>
      <c r="CJ41" t="s">
        <v>210</v>
      </c>
      <c r="CK41" t="s">
        <v>219</v>
      </c>
      <c r="CL41" t="s">
        <v>219</v>
      </c>
      <c r="CM41" t="s">
        <v>219</v>
      </c>
      <c r="CN41" t="s">
        <v>172</v>
      </c>
      <c r="CO41" t="s">
        <v>220</v>
      </c>
      <c r="CP41" t="s">
        <v>172</v>
      </c>
      <c r="CQ41" t="s">
        <v>172</v>
      </c>
      <c r="CR41" t="s">
        <v>172</v>
      </c>
      <c r="CS41" t="s">
        <v>172</v>
      </c>
      <c r="CT41" t="s">
        <v>1670</v>
      </c>
      <c r="CU41" t="s">
        <v>1671</v>
      </c>
      <c r="CV41" t="s">
        <v>1672</v>
      </c>
      <c r="CW41" t="s">
        <v>1673</v>
      </c>
      <c r="CX41" t="s">
        <v>1674</v>
      </c>
      <c r="CY41" t="s">
        <v>1675</v>
      </c>
      <c r="CZ41" t="s">
        <v>1676</v>
      </c>
      <c r="DA41" t="s">
        <v>1677</v>
      </c>
      <c r="DB41" t="s">
        <v>1650</v>
      </c>
      <c r="DC41" t="s">
        <v>1678</v>
      </c>
      <c r="DD41" t="s">
        <v>230</v>
      </c>
      <c r="DE41" t="s">
        <v>231</v>
      </c>
      <c r="DF41" t="s">
        <v>178</v>
      </c>
      <c r="DG41" t="s">
        <v>232</v>
      </c>
      <c r="DH41" t="s">
        <v>233</v>
      </c>
      <c r="DI41" t="s">
        <v>178</v>
      </c>
      <c r="DJ41" t="s">
        <v>234</v>
      </c>
      <c r="DK41" t="s">
        <v>235</v>
      </c>
      <c r="DL41" t="s">
        <v>236</v>
      </c>
      <c r="DM41" t="s">
        <v>172</v>
      </c>
      <c r="DN41" t="s">
        <v>1649</v>
      </c>
      <c r="DO41" t="s">
        <v>237</v>
      </c>
      <c r="DP41" t="s">
        <v>238</v>
      </c>
      <c r="DQ41" t="s">
        <v>239</v>
      </c>
      <c r="DR41" t="s">
        <v>240</v>
      </c>
      <c r="DS41" t="s">
        <v>241</v>
      </c>
      <c r="DT41" t="s">
        <v>242</v>
      </c>
    </row>
    <row r="42" spans="1:124" x14ac:dyDescent="0.45">
      <c r="A42" t="s">
        <v>1679</v>
      </c>
      <c r="B42" t="s">
        <v>1680</v>
      </c>
      <c r="C42" t="s">
        <v>161</v>
      </c>
      <c r="D42" t="s">
        <v>162</v>
      </c>
      <c r="E42" t="s">
        <v>163</v>
      </c>
      <c r="H42" t="s">
        <v>1607</v>
      </c>
      <c r="I42" t="s">
        <v>1681</v>
      </c>
      <c r="J42">
        <f t="shared" si="10"/>
        <v>0.23755624928651514</v>
      </c>
      <c r="K42">
        <f t="shared" si="11"/>
        <v>2.9066320800000001</v>
      </c>
      <c r="L42">
        <f t="shared" si="12"/>
        <v>0.21960790597341506</v>
      </c>
      <c r="M42">
        <f t="shared" si="13"/>
        <v>2.3844002810991118</v>
      </c>
      <c r="N42" t="s">
        <v>1682</v>
      </c>
      <c r="O42" t="s">
        <v>1683</v>
      </c>
      <c r="P42">
        <f t="shared" si="14"/>
        <v>4.1015801985633829</v>
      </c>
      <c r="Q42">
        <f t="shared" si="15"/>
        <v>1.0533701985633828</v>
      </c>
      <c r="R42" t="s">
        <v>1684</v>
      </c>
      <c r="S42" t="s">
        <v>1685</v>
      </c>
      <c r="T42">
        <f t="shared" si="16"/>
        <v>40.771174936017722</v>
      </c>
      <c r="U42">
        <f t="shared" si="17"/>
        <v>0.4417875</v>
      </c>
      <c r="V42" t="s">
        <v>170</v>
      </c>
      <c r="W42" t="s">
        <v>1686</v>
      </c>
      <c r="X42" t="s">
        <v>172</v>
      </c>
      <c r="Y42" t="s">
        <v>172</v>
      </c>
      <c r="Z42" t="s">
        <v>172</v>
      </c>
      <c r="AA42" t="s">
        <v>1687</v>
      </c>
      <c r="AB42" t="s">
        <v>1688</v>
      </c>
      <c r="AC42" t="s">
        <v>1689</v>
      </c>
      <c r="AD42" t="s">
        <v>176</v>
      </c>
      <c r="AE42" t="s">
        <v>177</v>
      </c>
      <c r="AF42">
        <f t="shared" si="18"/>
        <v>57.770281799999999</v>
      </c>
      <c r="AG42" t="s">
        <v>178</v>
      </c>
      <c r="AH42" t="s">
        <v>1690</v>
      </c>
      <c r="AI42" t="s">
        <v>1691</v>
      </c>
      <c r="AJ42" t="s">
        <v>1692</v>
      </c>
      <c r="AK42" t="s">
        <v>760</v>
      </c>
      <c r="AL42">
        <f t="shared" si="19"/>
        <v>29.34</v>
      </c>
      <c r="AM42" t="s">
        <v>349</v>
      </c>
      <c r="AN42" t="s">
        <v>396</v>
      </c>
      <c r="AO42" t="s">
        <v>257</v>
      </c>
      <c r="AP42" t="s">
        <v>258</v>
      </c>
      <c r="AQ42" t="s">
        <v>1693</v>
      </c>
      <c r="AR42" t="s">
        <v>1694</v>
      </c>
      <c r="AS42" t="s">
        <v>1258</v>
      </c>
      <c r="AT42" t="s">
        <v>334</v>
      </c>
      <c r="AU42" t="s">
        <v>1695</v>
      </c>
      <c r="AV42" t="s">
        <v>1696</v>
      </c>
      <c r="AW42" t="s">
        <v>1697</v>
      </c>
      <c r="AX42" t="s">
        <v>1698</v>
      </c>
      <c r="AY42" t="s">
        <v>1699</v>
      </c>
      <c r="AZ42" t="s">
        <v>964</v>
      </c>
      <c r="BA42" t="s">
        <v>1663</v>
      </c>
      <c r="BB42" t="s">
        <v>842</v>
      </c>
      <c r="BC42" t="s">
        <v>1700</v>
      </c>
      <c r="BD42" t="s">
        <v>161</v>
      </c>
      <c r="BE42" t="s">
        <v>1701</v>
      </c>
      <c r="BF42" t="s">
        <v>1082</v>
      </c>
      <c r="BG42" t="s">
        <v>1702</v>
      </c>
      <c r="BH42" t="s">
        <v>709</v>
      </c>
      <c r="BI42" t="s">
        <v>1703</v>
      </c>
      <c r="BJ42" t="s">
        <v>1306</v>
      </c>
      <c r="BK42" t="s">
        <v>161</v>
      </c>
      <c r="BL42" t="s">
        <v>1307</v>
      </c>
      <c r="BM42" t="s">
        <v>159</v>
      </c>
      <c r="BN42" t="s">
        <v>886</v>
      </c>
      <c r="BO42" t="s">
        <v>203</v>
      </c>
      <c r="BP42" t="s">
        <v>886</v>
      </c>
      <c r="BQ42" t="s">
        <v>1704</v>
      </c>
      <c r="BR42" t="s">
        <v>1705</v>
      </c>
      <c r="BS42" t="s">
        <v>1706</v>
      </c>
      <c r="BT42" t="s">
        <v>159</v>
      </c>
      <c r="BU42" t="s">
        <v>208</v>
      </c>
      <c r="BV42" t="s">
        <v>209</v>
      </c>
      <c r="BW42" t="s">
        <v>210</v>
      </c>
      <c r="BX42" t="s">
        <v>211</v>
      </c>
      <c r="BY42" t="s">
        <v>172</v>
      </c>
      <c r="BZ42" t="s">
        <v>212</v>
      </c>
      <c r="CA42" t="s">
        <v>172</v>
      </c>
      <c r="CB42" t="s">
        <v>172</v>
      </c>
      <c r="CC42" t="s">
        <v>213</v>
      </c>
      <c r="CD42" t="s">
        <v>214</v>
      </c>
      <c r="CE42" t="s">
        <v>215</v>
      </c>
      <c r="CF42" t="s">
        <v>216</v>
      </c>
      <c r="CG42" t="s">
        <v>217</v>
      </c>
      <c r="CH42" t="s">
        <v>218</v>
      </c>
      <c r="CI42" t="s">
        <v>178</v>
      </c>
      <c r="CJ42" t="s">
        <v>210</v>
      </c>
      <c r="CK42" t="s">
        <v>219</v>
      </c>
      <c r="CL42" t="s">
        <v>219</v>
      </c>
      <c r="CM42" t="s">
        <v>219</v>
      </c>
      <c r="CN42" t="s">
        <v>172</v>
      </c>
      <c r="CO42" t="s">
        <v>220</v>
      </c>
      <c r="CP42" t="s">
        <v>172</v>
      </c>
      <c r="CQ42" t="s">
        <v>172</v>
      </c>
      <c r="CR42" t="s">
        <v>172</v>
      </c>
      <c r="CS42" t="s">
        <v>172</v>
      </c>
      <c r="CT42" t="s">
        <v>1707</v>
      </c>
      <c r="CU42" t="s">
        <v>1708</v>
      </c>
      <c r="CV42" t="s">
        <v>416</v>
      </c>
      <c r="CW42" t="s">
        <v>1709</v>
      </c>
      <c r="CX42" t="s">
        <v>1710</v>
      </c>
      <c r="CY42" t="s">
        <v>1711</v>
      </c>
      <c r="CZ42" t="s">
        <v>1712</v>
      </c>
      <c r="DA42" t="s">
        <v>1713</v>
      </c>
      <c r="DB42" t="s">
        <v>1687</v>
      </c>
      <c r="DC42" t="s">
        <v>1495</v>
      </c>
      <c r="DD42" t="s">
        <v>230</v>
      </c>
      <c r="DE42" t="s">
        <v>231</v>
      </c>
      <c r="DF42" t="s">
        <v>178</v>
      </c>
      <c r="DG42" t="s">
        <v>232</v>
      </c>
      <c r="DH42" t="s">
        <v>233</v>
      </c>
      <c r="DI42" t="s">
        <v>178</v>
      </c>
      <c r="DJ42" t="s">
        <v>234</v>
      </c>
      <c r="DK42" t="s">
        <v>235</v>
      </c>
      <c r="DL42" t="s">
        <v>236</v>
      </c>
      <c r="DM42" t="s">
        <v>172</v>
      </c>
      <c r="DN42" t="s">
        <v>1686</v>
      </c>
      <c r="DO42" t="s">
        <v>237</v>
      </c>
      <c r="DP42" t="s">
        <v>238</v>
      </c>
      <c r="DQ42" t="s">
        <v>239</v>
      </c>
      <c r="DR42" t="s">
        <v>240</v>
      </c>
      <c r="DS42" t="s">
        <v>241</v>
      </c>
      <c r="DT42" t="s">
        <v>242</v>
      </c>
    </row>
    <row r="43" spans="1:124" x14ac:dyDescent="0.45">
      <c r="A43" t="s">
        <v>1714</v>
      </c>
      <c r="B43" t="s">
        <v>1715</v>
      </c>
      <c r="C43" t="s">
        <v>161</v>
      </c>
      <c r="D43" t="s">
        <v>162</v>
      </c>
      <c r="E43" t="s">
        <v>163</v>
      </c>
      <c r="H43" t="s">
        <v>1607</v>
      </c>
      <c r="I43" t="s">
        <v>1716</v>
      </c>
      <c r="J43">
        <f t="shared" si="10"/>
        <v>0.24878668368572018</v>
      </c>
      <c r="K43">
        <f t="shared" si="11"/>
        <v>2.9050319999999994</v>
      </c>
      <c r="L43">
        <f t="shared" si="12"/>
        <v>0.22916132782759424</v>
      </c>
      <c r="M43">
        <f t="shared" si="13"/>
        <v>2.4025361153436253</v>
      </c>
      <c r="N43" t="s">
        <v>1717</v>
      </c>
      <c r="O43" t="s">
        <v>1718</v>
      </c>
      <c r="P43">
        <f t="shared" si="14"/>
        <v>4.0732566359602593</v>
      </c>
      <c r="Q43">
        <f t="shared" si="15"/>
        <v>1.0173836359602593</v>
      </c>
      <c r="R43" t="s">
        <v>1719</v>
      </c>
      <c r="S43" t="s">
        <v>1720</v>
      </c>
      <c r="T43">
        <f t="shared" si="16"/>
        <v>40.489628588074154</v>
      </c>
      <c r="U43">
        <f t="shared" si="17"/>
        <v>0.4417875</v>
      </c>
      <c r="V43" t="s">
        <v>170</v>
      </c>
      <c r="W43" t="s">
        <v>1721</v>
      </c>
      <c r="X43" t="s">
        <v>172</v>
      </c>
      <c r="Y43" t="s">
        <v>172</v>
      </c>
      <c r="Z43" t="s">
        <v>172</v>
      </c>
      <c r="AA43" t="s">
        <v>1722</v>
      </c>
      <c r="AB43" t="s">
        <v>1723</v>
      </c>
      <c r="AC43" t="s">
        <v>1724</v>
      </c>
      <c r="AD43" t="s">
        <v>176</v>
      </c>
      <c r="AE43" t="s">
        <v>177</v>
      </c>
      <c r="AF43">
        <f t="shared" si="18"/>
        <v>62.654779319999989</v>
      </c>
      <c r="AG43" t="s">
        <v>178</v>
      </c>
      <c r="AH43" t="s">
        <v>1725</v>
      </c>
      <c r="AI43" t="s">
        <v>1726</v>
      </c>
      <c r="AJ43" t="s">
        <v>1727</v>
      </c>
      <c r="AK43" t="s">
        <v>1728</v>
      </c>
      <c r="AL43">
        <f t="shared" si="19"/>
        <v>29.22</v>
      </c>
      <c r="AM43" t="s">
        <v>349</v>
      </c>
      <c r="AN43" t="s">
        <v>305</v>
      </c>
      <c r="AO43" t="s">
        <v>1729</v>
      </c>
      <c r="AP43" t="s">
        <v>801</v>
      </c>
      <c r="AQ43" t="s">
        <v>259</v>
      </c>
      <c r="AR43" t="s">
        <v>1694</v>
      </c>
      <c r="AS43" t="s">
        <v>1258</v>
      </c>
      <c r="AT43" t="s">
        <v>1730</v>
      </c>
      <c r="AU43" t="s">
        <v>1731</v>
      </c>
      <c r="AV43" t="s">
        <v>1732</v>
      </c>
      <c r="AW43" t="s">
        <v>1733</v>
      </c>
      <c r="AX43" t="s">
        <v>1261</v>
      </c>
      <c r="AY43" t="s">
        <v>1734</v>
      </c>
      <c r="AZ43" t="s">
        <v>964</v>
      </c>
      <c r="BA43" t="s">
        <v>1663</v>
      </c>
      <c r="BB43" t="s">
        <v>842</v>
      </c>
      <c r="BC43" t="s">
        <v>1735</v>
      </c>
      <c r="BD43" t="s">
        <v>161</v>
      </c>
      <c r="BE43" t="s">
        <v>1592</v>
      </c>
      <c r="BF43" t="s">
        <v>1736</v>
      </c>
      <c r="BG43" t="s">
        <v>1737</v>
      </c>
      <c r="BH43" t="s">
        <v>746</v>
      </c>
      <c r="BI43" t="s">
        <v>1667</v>
      </c>
      <c r="BJ43" t="s">
        <v>1306</v>
      </c>
      <c r="BK43" t="s">
        <v>161</v>
      </c>
      <c r="BL43" t="s">
        <v>1307</v>
      </c>
      <c r="BM43" t="s">
        <v>159</v>
      </c>
      <c r="BN43" t="s">
        <v>621</v>
      </c>
      <c r="BO43" t="s">
        <v>203</v>
      </c>
      <c r="BP43" t="s">
        <v>410</v>
      </c>
      <c r="BQ43" t="s">
        <v>1738</v>
      </c>
      <c r="BR43" t="s">
        <v>1739</v>
      </c>
      <c r="BS43" t="s">
        <v>1740</v>
      </c>
      <c r="BT43" t="s">
        <v>159</v>
      </c>
      <c r="BU43" t="s">
        <v>208</v>
      </c>
      <c r="BV43" t="s">
        <v>209</v>
      </c>
      <c r="BW43" t="s">
        <v>210</v>
      </c>
      <c r="BX43" t="s">
        <v>211</v>
      </c>
      <c r="BY43" t="s">
        <v>172</v>
      </c>
      <c r="BZ43" t="s">
        <v>212</v>
      </c>
      <c r="CA43" t="s">
        <v>172</v>
      </c>
      <c r="CB43" t="s">
        <v>172</v>
      </c>
      <c r="CC43" t="s">
        <v>213</v>
      </c>
      <c r="CD43" t="s">
        <v>214</v>
      </c>
      <c r="CE43" t="s">
        <v>215</v>
      </c>
      <c r="CF43" t="s">
        <v>216</v>
      </c>
      <c r="CG43" t="s">
        <v>217</v>
      </c>
      <c r="CH43" t="s">
        <v>218</v>
      </c>
      <c r="CI43" t="s">
        <v>178</v>
      </c>
      <c r="CJ43" t="s">
        <v>210</v>
      </c>
      <c r="CK43" t="s">
        <v>219</v>
      </c>
      <c r="CL43" t="s">
        <v>219</v>
      </c>
      <c r="CM43" t="s">
        <v>219</v>
      </c>
      <c r="CN43" t="s">
        <v>172</v>
      </c>
      <c r="CO43" t="s">
        <v>220</v>
      </c>
      <c r="CP43" t="s">
        <v>172</v>
      </c>
      <c r="CQ43" t="s">
        <v>172</v>
      </c>
      <c r="CR43" t="s">
        <v>172</v>
      </c>
      <c r="CS43" t="s">
        <v>172</v>
      </c>
      <c r="CT43" t="s">
        <v>1741</v>
      </c>
      <c r="CU43" t="s">
        <v>1742</v>
      </c>
      <c r="CV43" t="s">
        <v>1743</v>
      </c>
      <c r="CW43" t="s">
        <v>1744</v>
      </c>
      <c r="CX43" t="s">
        <v>1745</v>
      </c>
      <c r="CY43" t="s">
        <v>1746</v>
      </c>
      <c r="CZ43" t="s">
        <v>1747</v>
      </c>
      <c r="DA43" t="s">
        <v>1748</v>
      </c>
      <c r="DB43" t="s">
        <v>1722</v>
      </c>
      <c r="DC43" t="s">
        <v>1749</v>
      </c>
      <c r="DD43" t="s">
        <v>230</v>
      </c>
      <c r="DE43" t="s">
        <v>231</v>
      </c>
      <c r="DF43" t="s">
        <v>178</v>
      </c>
      <c r="DG43" t="s">
        <v>232</v>
      </c>
      <c r="DH43" t="s">
        <v>233</v>
      </c>
      <c r="DI43" t="s">
        <v>178</v>
      </c>
      <c r="DJ43" t="s">
        <v>234</v>
      </c>
      <c r="DK43" t="s">
        <v>235</v>
      </c>
      <c r="DL43" t="s">
        <v>236</v>
      </c>
      <c r="DM43" t="s">
        <v>172</v>
      </c>
      <c r="DN43" t="s">
        <v>1721</v>
      </c>
      <c r="DO43" t="s">
        <v>237</v>
      </c>
      <c r="DP43" t="s">
        <v>238</v>
      </c>
      <c r="DQ43" t="s">
        <v>239</v>
      </c>
      <c r="DR43" t="s">
        <v>240</v>
      </c>
      <c r="DS43" t="s">
        <v>241</v>
      </c>
      <c r="DT43" t="s">
        <v>242</v>
      </c>
    </row>
    <row r="44" spans="1:124" x14ac:dyDescent="0.45">
      <c r="A44" t="s">
        <v>1750</v>
      </c>
      <c r="B44" t="s">
        <v>1751</v>
      </c>
      <c r="C44" t="s">
        <v>161</v>
      </c>
      <c r="D44" t="s">
        <v>162</v>
      </c>
      <c r="E44" t="s">
        <v>163</v>
      </c>
      <c r="H44" t="s">
        <v>1607</v>
      </c>
      <c r="I44" t="s">
        <v>1752</v>
      </c>
      <c r="J44">
        <f t="shared" si="10"/>
        <v>0.30983858668935649</v>
      </c>
      <c r="K44">
        <f t="shared" si="11"/>
        <v>2.9042299199999997</v>
      </c>
      <c r="L44">
        <f t="shared" si="12"/>
        <v>0.27996991724380621</v>
      </c>
      <c r="M44">
        <f t="shared" si="13"/>
        <v>2.8557679049751843</v>
      </c>
      <c r="N44" t="s">
        <v>1753</v>
      </c>
      <c r="O44" t="s">
        <v>1754</v>
      </c>
      <c r="P44">
        <f t="shared" si="14"/>
        <v>4.0521260198947324</v>
      </c>
      <c r="Q44">
        <f t="shared" si="15"/>
        <v>0.9900000198947323</v>
      </c>
      <c r="R44" t="s">
        <v>1755</v>
      </c>
      <c r="S44" t="s">
        <v>1756</v>
      </c>
      <c r="T44">
        <f t="shared" si="16"/>
        <v>40.279582702730941</v>
      </c>
      <c r="U44">
        <f t="shared" si="17"/>
        <v>0.4417875</v>
      </c>
      <c r="V44" t="s">
        <v>170</v>
      </c>
      <c r="W44" t="s">
        <v>1757</v>
      </c>
      <c r="X44" t="s">
        <v>172</v>
      </c>
      <c r="Y44" t="s">
        <v>172</v>
      </c>
      <c r="Z44" t="s">
        <v>172</v>
      </c>
      <c r="AA44" t="s">
        <v>1758</v>
      </c>
      <c r="AB44" t="s">
        <v>1759</v>
      </c>
      <c r="AC44" t="s">
        <v>1760</v>
      </c>
      <c r="AD44" t="s">
        <v>176</v>
      </c>
      <c r="AE44" t="s">
        <v>177</v>
      </c>
      <c r="AF44">
        <f t="shared" si="18"/>
        <v>59.113481280000002</v>
      </c>
      <c r="AG44" t="s">
        <v>178</v>
      </c>
      <c r="AH44" t="s">
        <v>1761</v>
      </c>
      <c r="AI44" t="s">
        <v>1762</v>
      </c>
      <c r="AJ44" t="s">
        <v>1763</v>
      </c>
      <c r="AK44" t="s">
        <v>1764</v>
      </c>
      <c r="AL44">
        <f t="shared" si="19"/>
        <v>29.13</v>
      </c>
      <c r="AM44" t="s">
        <v>349</v>
      </c>
      <c r="AN44" t="s">
        <v>603</v>
      </c>
      <c r="AO44" t="s">
        <v>1765</v>
      </c>
      <c r="AP44" t="s">
        <v>186</v>
      </c>
      <c r="AQ44" t="s">
        <v>1766</v>
      </c>
      <c r="AR44" t="s">
        <v>1767</v>
      </c>
      <c r="AS44" t="s">
        <v>1768</v>
      </c>
      <c r="AT44" t="s">
        <v>619</v>
      </c>
      <c r="AU44" t="s">
        <v>914</v>
      </c>
      <c r="AV44" t="s">
        <v>1405</v>
      </c>
      <c r="AW44" t="s">
        <v>1406</v>
      </c>
      <c r="AX44" t="s">
        <v>1769</v>
      </c>
      <c r="AY44" t="s">
        <v>1770</v>
      </c>
      <c r="AZ44" t="s">
        <v>964</v>
      </c>
      <c r="BA44" t="s">
        <v>1771</v>
      </c>
      <c r="BB44" t="s">
        <v>1772</v>
      </c>
      <c r="BC44" t="s">
        <v>1773</v>
      </c>
      <c r="BD44" t="s">
        <v>161</v>
      </c>
      <c r="BE44" t="s">
        <v>1701</v>
      </c>
      <c r="BF44" t="s">
        <v>1118</v>
      </c>
      <c r="BG44" t="s">
        <v>1774</v>
      </c>
      <c r="BH44" t="s">
        <v>746</v>
      </c>
      <c r="BI44" t="s">
        <v>1667</v>
      </c>
      <c r="BJ44" t="s">
        <v>1306</v>
      </c>
      <c r="BK44" t="s">
        <v>161</v>
      </c>
      <c r="BL44" t="s">
        <v>1307</v>
      </c>
      <c r="BM44" t="s">
        <v>159</v>
      </c>
      <c r="BN44" t="s">
        <v>575</v>
      </c>
      <c r="BO44" t="s">
        <v>209</v>
      </c>
      <c r="BP44" t="s">
        <v>1775</v>
      </c>
      <c r="BQ44" t="s">
        <v>1050</v>
      </c>
      <c r="BR44" t="s">
        <v>1776</v>
      </c>
      <c r="BS44" t="s">
        <v>886</v>
      </c>
      <c r="BT44" t="s">
        <v>159</v>
      </c>
      <c r="BU44" t="s">
        <v>208</v>
      </c>
      <c r="BV44" t="s">
        <v>209</v>
      </c>
      <c r="BW44" t="s">
        <v>210</v>
      </c>
      <c r="BX44" t="s">
        <v>211</v>
      </c>
      <c r="BY44" t="s">
        <v>172</v>
      </c>
      <c r="BZ44" t="s">
        <v>212</v>
      </c>
      <c r="CA44" t="s">
        <v>172</v>
      </c>
      <c r="CB44" t="s">
        <v>172</v>
      </c>
      <c r="CC44" t="s">
        <v>213</v>
      </c>
      <c r="CD44" t="s">
        <v>214</v>
      </c>
      <c r="CE44" t="s">
        <v>215</v>
      </c>
      <c r="CF44" t="s">
        <v>216</v>
      </c>
      <c r="CG44" t="s">
        <v>217</v>
      </c>
      <c r="CH44" t="s">
        <v>218</v>
      </c>
      <c r="CI44" t="s">
        <v>178</v>
      </c>
      <c r="CJ44" t="s">
        <v>210</v>
      </c>
      <c r="CK44" t="s">
        <v>219</v>
      </c>
      <c r="CL44" t="s">
        <v>219</v>
      </c>
      <c r="CM44" t="s">
        <v>219</v>
      </c>
      <c r="CN44" t="s">
        <v>172</v>
      </c>
      <c r="CO44" t="s">
        <v>220</v>
      </c>
      <c r="CP44" t="s">
        <v>172</v>
      </c>
      <c r="CQ44" t="s">
        <v>172</v>
      </c>
      <c r="CR44" t="s">
        <v>172</v>
      </c>
      <c r="CS44" t="s">
        <v>172</v>
      </c>
      <c r="CT44" t="s">
        <v>1777</v>
      </c>
      <c r="CU44" t="s">
        <v>1778</v>
      </c>
      <c r="CV44" t="s">
        <v>1779</v>
      </c>
      <c r="CW44" t="s">
        <v>1780</v>
      </c>
      <c r="CX44" t="s">
        <v>1781</v>
      </c>
      <c r="CY44" t="s">
        <v>1782</v>
      </c>
      <c r="CZ44" t="s">
        <v>1783</v>
      </c>
      <c r="DA44" t="s">
        <v>1784</v>
      </c>
      <c r="DB44" t="s">
        <v>1758</v>
      </c>
      <c r="DC44" t="s">
        <v>1785</v>
      </c>
      <c r="DD44" t="s">
        <v>230</v>
      </c>
      <c r="DE44" t="s">
        <v>231</v>
      </c>
      <c r="DF44" t="s">
        <v>178</v>
      </c>
      <c r="DG44" t="s">
        <v>232</v>
      </c>
      <c r="DH44" t="s">
        <v>233</v>
      </c>
      <c r="DI44" t="s">
        <v>178</v>
      </c>
      <c r="DJ44" t="s">
        <v>234</v>
      </c>
      <c r="DK44" t="s">
        <v>235</v>
      </c>
      <c r="DL44" t="s">
        <v>236</v>
      </c>
      <c r="DM44" t="s">
        <v>172</v>
      </c>
      <c r="DN44" t="s">
        <v>1757</v>
      </c>
      <c r="DO44" t="s">
        <v>237</v>
      </c>
      <c r="DP44" t="s">
        <v>238</v>
      </c>
      <c r="DQ44" t="s">
        <v>239</v>
      </c>
      <c r="DR44" t="s">
        <v>240</v>
      </c>
      <c r="DS44" t="s">
        <v>241</v>
      </c>
      <c r="DT44" t="s">
        <v>242</v>
      </c>
    </row>
    <row r="45" spans="1:124" x14ac:dyDescent="0.45">
      <c r="A45" t="s">
        <v>1786</v>
      </c>
      <c r="B45" t="s">
        <v>1787</v>
      </c>
      <c r="C45" t="s">
        <v>161</v>
      </c>
      <c r="D45" t="s">
        <v>162</v>
      </c>
      <c r="E45" t="s">
        <v>163</v>
      </c>
      <c r="H45" t="s">
        <v>1607</v>
      </c>
      <c r="I45" t="s">
        <v>1788</v>
      </c>
      <c r="J45">
        <f t="shared" si="10"/>
        <v>0.24315589400911947</v>
      </c>
      <c r="K45">
        <f t="shared" si="11"/>
        <v>2.9058327199999998</v>
      </c>
      <c r="L45">
        <f t="shared" si="12"/>
        <v>0.22438009135034143</v>
      </c>
      <c r="M45">
        <f t="shared" si="13"/>
        <v>2.3448346862757128</v>
      </c>
      <c r="N45" t="s">
        <v>1789</v>
      </c>
      <c r="O45" t="s">
        <v>1790</v>
      </c>
      <c r="P45">
        <f t="shared" si="14"/>
        <v>4.1039482269951471</v>
      </c>
      <c r="Q45">
        <f t="shared" si="15"/>
        <v>1.0136252269951469</v>
      </c>
      <c r="R45" t="s">
        <v>1791</v>
      </c>
      <c r="S45" t="s">
        <v>1792</v>
      </c>
      <c r="T45">
        <f t="shared" si="16"/>
        <v>40.798769529726087</v>
      </c>
      <c r="U45">
        <f t="shared" si="17"/>
        <v>0.4417875</v>
      </c>
      <c r="V45" t="s">
        <v>170</v>
      </c>
      <c r="W45" t="s">
        <v>1793</v>
      </c>
      <c r="X45" t="s">
        <v>172</v>
      </c>
      <c r="Y45" t="s">
        <v>172</v>
      </c>
      <c r="Z45" t="s">
        <v>172</v>
      </c>
      <c r="AA45" t="s">
        <v>1794</v>
      </c>
      <c r="AB45" t="s">
        <v>1795</v>
      </c>
      <c r="AC45" t="s">
        <v>1796</v>
      </c>
      <c r="AD45" t="s">
        <v>176</v>
      </c>
      <c r="AE45" t="s">
        <v>177</v>
      </c>
      <c r="AF45">
        <f t="shared" si="18"/>
        <v>62.368101600000003</v>
      </c>
      <c r="AG45" t="s">
        <v>178</v>
      </c>
      <c r="AH45" t="s">
        <v>1797</v>
      </c>
      <c r="AI45" t="s">
        <v>1798</v>
      </c>
      <c r="AJ45" t="s">
        <v>1799</v>
      </c>
      <c r="AK45" t="s">
        <v>1800</v>
      </c>
      <c r="AL45">
        <f t="shared" si="19"/>
        <v>29.35</v>
      </c>
      <c r="AM45" t="s">
        <v>183</v>
      </c>
      <c r="AN45" t="s">
        <v>184</v>
      </c>
      <c r="AO45" t="s">
        <v>1801</v>
      </c>
      <c r="AP45" t="s">
        <v>1656</v>
      </c>
      <c r="AQ45" t="s">
        <v>1802</v>
      </c>
      <c r="AR45" t="s">
        <v>1803</v>
      </c>
      <c r="AS45" t="s">
        <v>354</v>
      </c>
      <c r="AT45" t="s">
        <v>215</v>
      </c>
      <c r="AU45" t="s">
        <v>1804</v>
      </c>
      <c r="AV45" t="s">
        <v>1805</v>
      </c>
      <c r="AW45" t="s">
        <v>1806</v>
      </c>
      <c r="AX45" t="s">
        <v>1807</v>
      </c>
      <c r="AY45" t="s">
        <v>1808</v>
      </c>
      <c r="AZ45" t="s">
        <v>964</v>
      </c>
      <c r="BA45" t="s">
        <v>1809</v>
      </c>
      <c r="BB45" t="s">
        <v>1810</v>
      </c>
      <c r="BC45" t="s">
        <v>1811</v>
      </c>
      <c r="BD45" t="s">
        <v>161</v>
      </c>
      <c r="BE45" t="s">
        <v>1812</v>
      </c>
      <c r="BF45" t="s">
        <v>1813</v>
      </c>
      <c r="BG45" t="s">
        <v>1522</v>
      </c>
      <c r="BH45" t="s">
        <v>785</v>
      </c>
      <c r="BI45" t="s">
        <v>1814</v>
      </c>
      <c r="BJ45" t="s">
        <v>1815</v>
      </c>
      <c r="BK45" t="s">
        <v>161</v>
      </c>
      <c r="BL45" t="s">
        <v>1816</v>
      </c>
      <c r="BM45" t="s">
        <v>159</v>
      </c>
      <c r="BN45" t="s">
        <v>276</v>
      </c>
      <c r="BO45" t="s">
        <v>277</v>
      </c>
      <c r="BP45" t="s">
        <v>575</v>
      </c>
      <c r="BQ45" t="s">
        <v>1817</v>
      </c>
      <c r="BR45" t="s">
        <v>578</v>
      </c>
      <c r="BS45" t="s">
        <v>1818</v>
      </c>
      <c r="BT45" t="s">
        <v>159</v>
      </c>
      <c r="BU45" t="s">
        <v>208</v>
      </c>
      <c r="BV45" t="s">
        <v>209</v>
      </c>
      <c r="BW45" t="s">
        <v>210</v>
      </c>
      <c r="BX45" t="s">
        <v>211</v>
      </c>
      <c r="BY45" t="s">
        <v>172</v>
      </c>
      <c r="BZ45" t="s">
        <v>212</v>
      </c>
      <c r="CA45" t="s">
        <v>172</v>
      </c>
      <c r="CB45" t="s">
        <v>172</v>
      </c>
      <c r="CC45" t="s">
        <v>213</v>
      </c>
      <c r="CD45" t="s">
        <v>214</v>
      </c>
      <c r="CE45" t="s">
        <v>215</v>
      </c>
      <c r="CF45" t="s">
        <v>216</v>
      </c>
      <c r="CG45" t="s">
        <v>217</v>
      </c>
      <c r="CH45" t="s">
        <v>218</v>
      </c>
      <c r="CI45" t="s">
        <v>178</v>
      </c>
      <c r="CJ45" t="s">
        <v>210</v>
      </c>
      <c r="CK45" t="s">
        <v>219</v>
      </c>
      <c r="CL45" t="s">
        <v>219</v>
      </c>
      <c r="CM45" t="s">
        <v>219</v>
      </c>
      <c r="CN45" t="s">
        <v>172</v>
      </c>
      <c r="CO45" t="s">
        <v>220</v>
      </c>
      <c r="CP45" t="s">
        <v>172</v>
      </c>
      <c r="CQ45" t="s">
        <v>172</v>
      </c>
      <c r="CR45" t="s">
        <v>172</v>
      </c>
      <c r="CS45" t="s">
        <v>172</v>
      </c>
      <c r="CT45" t="s">
        <v>1819</v>
      </c>
      <c r="CU45" t="s">
        <v>1820</v>
      </c>
      <c r="CV45" t="s">
        <v>1821</v>
      </c>
      <c r="CW45" t="s">
        <v>1822</v>
      </c>
      <c r="CX45" t="s">
        <v>1823</v>
      </c>
      <c r="CY45" t="s">
        <v>1824</v>
      </c>
      <c r="CZ45" t="s">
        <v>1825</v>
      </c>
      <c r="DA45" t="s">
        <v>1826</v>
      </c>
      <c r="DB45" t="s">
        <v>1794</v>
      </c>
      <c r="DC45" t="s">
        <v>1827</v>
      </c>
      <c r="DD45" t="s">
        <v>230</v>
      </c>
      <c r="DE45" t="s">
        <v>231</v>
      </c>
      <c r="DF45" t="s">
        <v>178</v>
      </c>
      <c r="DG45" t="s">
        <v>232</v>
      </c>
      <c r="DH45" t="s">
        <v>233</v>
      </c>
      <c r="DI45" t="s">
        <v>178</v>
      </c>
      <c r="DJ45" t="s">
        <v>234</v>
      </c>
      <c r="DK45" t="s">
        <v>235</v>
      </c>
      <c r="DL45" t="s">
        <v>236</v>
      </c>
      <c r="DM45" t="s">
        <v>172</v>
      </c>
      <c r="DN45" t="s">
        <v>1793</v>
      </c>
      <c r="DO45" t="s">
        <v>237</v>
      </c>
      <c r="DP45" t="s">
        <v>238</v>
      </c>
      <c r="DQ45" t="s">
        <v>239</v>
      </c>
      <c r="DR45" t="s">
        <v>240</v>
      </c>
      <c r="DS45" t="s">
        <v>241</v>
      </c>
      <c r="DT45" t="s">
        <v>242</v>
      </c>
    </row>
    <row r="46" spans="1:124" x14ac:dyDescent="0.45">
      <c r="A46" t="s">
        <v>1828</v>
      </c>
      <c r="B46" t="s">
        <v>1829</v>
      </c>
      <c r="C46" t="s">
        <v>161</v>
      </c>
      <c r="D46" t="s">
        <v>162</v>
      </c>
      <c r="E46" t="s">
        <v>163</v>
      </c>
      <c r="H46" t="s">
        <v>1607</v>
      </c>
      <c r="I46" t="s">
        <v>1830</v>
      </c>
      <c r="J46">
        <f t="shared" si="10"/>
        <v>0.22563370375511307</v>
      </c>
      <c r="K46">
        <f t="shared" si="11"/>
        <v>2.9026216799999998</v>
      </c>
      <c r="L46">
        <f t="shared" si="12"/>
        <v>0.20935927535178436</v>
      </c>
      <c r="M46">
        <f t="shared" si="13"/>
        <v>2.1312767385133116</v>
      </c>
      <c r="N46" t="s">
        <v>1831</v>
      </c>
      <c r="O46" t="s">
        <v>1832</v>
      </c>
      <c r="P46">
        <f t="shared" si="14"/>
        <v>4.0779653535168663</v>
      </c>
      <c r="Q46">
        <f t="shared" si="15"/>
        <v>0.98748835351686637</v>
      </c>
      <c r="R46" t="s">
        <v>1833</v>
      </c>
      <c r="S46" t="s">
        <v>1834</v>
      </c>
      <c r="T46">
        <f t="shared" si="16"/>
        <v>40.540464792890603</v>
      </c>
      <c r="U46">
        <f t="shared" si="17"/>
        <v>0.4417875</v>
      </c>
      <c r="V46" t="s">
        <v>170</v>
      </c>
      <c r="W46" t="s">
        <v>1835</v>
      </c>
      <c r="X46" t="s">
        <v>172</v>
      </c>
      <c r="Y46" t="s">
        <v>172</v>
      </c>
      <c r="Z46" t="s">
        <v>172</v>
      </c>
      <c r="AA46" t="s">
        <v>1836</v>
      </c>
      <c r="AB46" t="s">
        <v>1837</v>
      </c>
      <c r="AC46" t="s">
        <v>1838</v>
      </c>
      <c r="AD46" t="s">
        <v>176</v>
      </c>
      <c r="AE46" t="s">
        <v>177</v>
      </c>
      <c r="AF46">
        <f t="shared" si="18"/>
        <v>38.092590899999998</v>
      </c>
      <c r="AG46" t="s">
        <v>178</v>
      </c>
      <c r="AH46" t="s">
        <v>1839</v>
      </c>
      <c r="AI46" t="s">
        <v>910</v>
      </c>
      <c r="AJ46" t="s">
        <v>1840</v>
      </c>
      <c r="AK46" t="s">
        <v>1841</v>
      </c>
      <c r="AL46">
        <f t="shared" si="19"/>
        <v>29.24</v>
      </c>
      <c r="AM46" t="s">
        <v>183</v>
      </c>
      <c r="AN46" t="s">
        <v>1842</v>
      </c>
      <c r="AO46" t="s">
        <v>1843</v>
      </c>
      <c r="AP46" t="s">
        <v>957</v>
      </c>
      <c r="AQ46" t="s">
        <v>485</v>
      </c>
      <c r="AR46" t="s">
        <v>1803</v>
      </c>
      <c r="AS46" t="s">
        <v>608</v>
      </c>
      <c r="AT46" t="s">
        <v>190</v>
      </c>
      <c r="AU46" t="s">
        <v>1844</v>
      </c>
      <c r="AV46" t="s">
        <v>1845</v>
      </c>
      <c r="AW46" t="s">
        <v>1846</v>
      </c>
      <c r="AX46" t="s">
        <v>1847</v>
      </c>
      <c r="AY46" t="s">
        <v>1848</v>
      </c>
      <c r="AZ46" t="s">
        <v>964</v>
      </c>
      <c r="BA46" t="s">
        <v>1809</v>
      </c>
      <c r="BB46" t="s">
        <v>1810</v>
      </c>
      <c r="BC46" t="s">
        <v>1849</v>
      </c>
      <c r="BD46" t="s">
        <v>161</v>
      </c>
      <c r="BE46" t="s">
        <v>1850</v>
      </c>
      <c r="BF46" t="s">
        <v>1851</v>
      </c>
      <c r="BG46" t="s">
        <v>1444</v>
      </c>
      <c r="BH46" t="s">
        <v>709</v>
      </c>
      <c r="BI46" t="s">
        <v>1228</v>
      </c>
      <c r="BJ46" t="s">
        <v>1815</v>
      </c>
      <c r="BK46" t="s">
        <v>161</v>
      </c>
      <c r="BL46" t="s">
        <v>1816</v>
      </c>
      <c r="BM46" t="s">
        <v>159</v>
      </c>
      <c r="BN46" t="s">
        <v>621</v>
      </c>
      <c r="BO46" t="s">
        <v>203</v>
      </c>
      <c r="BP46" t="s">
        <v>204</v>
      </c>
      <c r="BQ46" t="s">
        <v>1852</v>
      </c>
      <c r="BR46" t="s">
        <v>1853</v>
      </c>
      <c r="BS46" t="s">
        <v>1854</v>
      </c>
      <c r="BT46" t="s">
        <v>159</v>
      </c>
      <c r="BU46" t="s">
        <v>208</v>
      </c>
      <c r="BV46" t="s">
        <v>209</v>
      </c>
      <c r="BW46" t="s">
        <v>210</v>
      </c>
      <c r="BX46" t="s">
        <v>211</v>
      </c>
      <c r="BY46" t="s">
        <v>172</v>
      </c>
      <c r="BZ46" t="s">
        <v>212</v>
      </c>
      <c r="CA46" t="s">
        <v>172</v>
      </c>
      <c r="CB46" t="s">
        <v>172</v>
      </c>
      <c r="CC46" t="s">
        <v>213</v>
      </c>
      <c r="CD46" t="s">
        <v>214</v>
      </c>
      <c r="CE46" t="s">
        <v>215</v>
      </c>
      <c r="CF46" t="s">
        <v>216</v>
      </c>
      <c r="CG46" t="s">
        <v>217</v>
      </c>
      <c r="CH46" t="s">
        <v>218</v>
      </c>
      <c r="CI46" t="s">
        <v>178</v>
      </c>
      <c r="CJ46" t="s">
        <v>210</v>
      </c>
      <c r="CK46" t="s">
        <v>219</v>
      </c>
      <c r="CL46" t="s">
        <v>219</v>
      </c>
      <c r="CM46" t="s">
        <v>219</v>
      </c>
      <c r="CN46" t="s">
        <v>172</v>
      </c>
      <c r="CO46" t="s">
        <v>220</v>
      </c>
      <c r="CP46" t="s">
        <v>172</v>
      </c>
      <c r="CQ46" t="s">
        <v>172</v>
      </c>
      <c r="CR46" t="s">
        <v>172</v>
      </c>
      <c r="CS46" t="s">
        <v>172</v>
      </c>
      <c r="CT46" t="s">
        <v>1855</v>
      </c>
      <c r="CU46" t="s">
        <v>1856</v>
      </c>
      <c r="CV46" t="s">
        <v>1857</v>
      </c>
      <c r="CW46" t="s">
        <v>1858</v>
      </c>
      <c r="CX46" t="s">
        <v>1859</v>
      </c>
      <c r="CY46" t="s">
        <v>1860</v>
      </c>
      <c r="CZ46" t="s">
        <v>1861</v>
      </c>
      <c r="DA46" t="s">
        <v>1862</v>
      </c>
      <c r="DB46" t="s">
        <v>1836</v>
      </c>
      <c r="DC46" t="s">
        <v>1863</v>
      </c>
      <c r="DD46" t="s">
        <v>230</v>
      </c>
      <c r="DE46" t="s">
        <v>231</v>
      </c>
      <c r="DF46" t="s">
        <v>178</v>
      </c>
      <c r="DG46" t="s">
        <v>232</v>
      </c>
      <c r="DH46" t="s">
        <v>233</v>
      </c>
      <c r="DI46" t="s">
        <v>178</v>
      </c>
      <c r="DJ46" t="s">
        <v>234</v>
      </c>
      <c r="DK46" t="s">
        <v>235</v>
      </c>
      <c r="DL46" t="s">
        <v>236</v>
      </c>
      <c r="DM46" t="s">
        <v>172</v>
      </c>
      <c r="DN46" t="s">
        <v>1835</v>
      </c>
      <c r="DO46" t="s">
        <v>237</v>
      </c>
      <c r="DP46" t="s">
        <v>238</v>
      </c>
      <c r="DQ46" t="s">
        <v>239</v>
      </c>
      <c r="DR46" t="s">
        <v>240</v>
      </c>
      <c r="DS46" t="s">
        <v>241</v>
      </c>
      <c r="DT46" t="s">
        <v>242</v>
      </c>
    </row>
    <row r="47" spans="1:124" x14ac:dyDescent="0.45">
      <c r="A47" t="s">
        <v>1864</v>
      </c>
      <c r="B47" t="s">
        <v>1865</v>
      </c>
      <c r="C47" t="s">
        <v>161</v>
      </c>
      <c r="D47" t="s">
        <v>162</v>
      </c>
      <c r="E47" t="s">
        <v>163</v>
      </c>
      <c r="H47" t="s">
        <v>1607</v>
      </c>
      <c r="I47" t="s">
        <v>1866</v>
      </c>
      <c r="J47">
        <f t="shared" si="10"/>
        <v>0.24058858981761083</v>
      </c>
      <c r="K47">
        <f t="shared" si="11"/>
        <v>2.9050319999999994</v>
      </c>
      <c r="L47">
        <f t="shared" si="12"/>
        <v>0.22218749283287159</v>
      </c>
      <c r="M47">
        <f t="shared" si="13"/>
        <v>2.2827165152570621</v>
      </c>
      <c r="N47" t="s">
        <v>1867</v>
      </c>
      <c r="O47" t="s">
        <v>1868</v>
      </c>
      <c r="P47">
        <f t="shared" si="14"/>
        <v>4.0944832591585918</v>
      </c>
      <c r="Q47">
        <f t="shared" si="15"/>
        <v>0.99637425915859179</v>
      </c>
      <c r="R47" t="s">
        <v>1869</v>
      </c>
      <c r="S47" t="s">
        <v>1870</v>
      </c>
      <c r="T47">
        <f t="shared" si="16"/>
        <v>40.704675009032627</v>
      </c>
      <c r="U47">
        <f t="shared" si="17"/>
        <v>0.4417875</v>
      </c>
      <c r="V47" t="s">
        <v>170</v>
      </c>
      <c r="W47" t="s">
        <v>1871</v>
      </c>
      <c r="X47" t="s">
        <v>172</v>
      </c>
      <c r="Y47" t="s">
        <v>172</v>
      </c>
      <c r="Z47" t="s">
        <v>172</v>
      </c>
      <c r="AA47" t="s">
        <v>1872</v>
      </c>
      <c r="AB47" t="s">
        <v>1873</v>
      </c>
      <c r="AC47" t="s">
        <v>1874</v>
      </c>
      <c r="AD47" t="s">
        <v>176</v>
      </c>
      <c r="AE47" t="s">
        <v>177</v>
      </c>
      <c r="AF47">
        <f t="shared" si="18"/>
        <v>59.946029639999999</v>
      </c>
      <c r="AG47" t="s">
        <v>178</v>
      </c>
      <c r="AH47" t="s">
        <v>1875</v>
      </c>
      <c r="AI47" t="s">
        <v>1876</v>
      </c>
      <c r="AJ47" t="s">
        <v>1877</v>
      </c>
      <c r="AK47" t="s">
        <v>1878</v>
      </c>
      <c r="AL47">
        <f t="shared" si="19"/>
        <v>29.31</v>
      </c>
      <c r="AM47" t="s">
        <v>183</v>
      </c>
      <c r="AN47" t="s">
        <v>305</v>
      </c>
      <c r="AO47" t="s">
        <v>1879</v>
      </c>
      <c r="AP47" t="s">
        <v>1880</v>
      </c>
      <c r="AQ47" t="s">
        <v>1881</v>
      </c>
      <c r="AR47" t="s">
        <v>1882</v>
      </c>
      <c r="AS47" t="s">
        <v>999</v>
      </c>
      <c r="AT47" t="s">
        <v>215</v>
      </c>
      <c r="AU47" t="s">
        <v>1883</v>
      </c>
      <c r="AV47" t="s">
        <v>1884</v>
      </c>
      <c r="AW47" t="s">
        <v>1885</v>
      </c>
      <c r="AX47" t="s">
        <v>1886</v>
      </c>
      <c r="AY47" t="s">
        <v>1876</v>
      </c>
      <c r="AZ47" t="s">
        <v>964</v>
      </c>
      <c r="BA47" t="s">
        <v>1887</v>
      </c>
      <c r="BB47" t="s">
        <v>1888</v>
      </c>
      <c r="BC47" t="s">
        <v>1889</v>
      </c>
      <c r="BD47" t="s">
        <v>161</v>
      </c>
      <c r="BE47" t="s">
        <v>1192</v>
      </c>
      <c r="BF47" t="s">
        <v>1082</v>
      </c>
      <c r="BG47" t="s">
        <v>1522</v>
      </c>
      <c r="BH47" t="s">
        <v>746</v>
      </c>
      <c r="BI47" t="s">
        <v>1195</v>
      </c>
      <c r="BJ47" t="s">
        <v>1815</v>
      </c>
      <c r="BK47" t="s">
        <v>161</v>
      </c>
      <c r="BL47" t="s">
        <v>1816</v>
      </c>
      <c r="BM47" t="s">
        <v>159</v>
      </c>
      <c r="BN47" t="s">
        <v>209</v>
      </c>
      <c r="BO47" t="s">
        <v>203</v>
      </c>
      <c r="BP47" t="s">
        <v>209</v>
      </c>
      <c r="BQ47" t="s">
        <v>499</v>
      </c>
      <c r="BR47" t="s">
        <v>1890</v>
      </c>
      <c r="BS47" t="s">
        <v>1445</v>
      </c>
      <c r="BT47" t="s">
        <v>159</v>
      </c>
      <c r="BU47" t="s">
        <v>208</v>
      </c>
      <c r="BV47" t="s">
        <v>209</v>
      </c>
      <c r="BW47" t="s">
        <v>210</v>
      </c>
      <c r="BX47" t="s">
        <v>211</v>
      </c>
      <c r="BY47" t="s">
        <v>172</v>
      </c>
      <c r="BZ47" t="s">
        <v>212</v>
      </c>
      <c r="CA47" t="s">
        <v>172</v>
      </c>
      <c r="CB47" t="s">
        <v>172</v>
      </c>
      <c r="CC47" t="s">
        <v>213</v>
      </c>
      <c r="CD47" t="s">
        <v>214</v>
      </c>
      <c r="CE47" t="s">
        <v>215</v>
      </c>
      <c r="CF47" t="s">
        <v>216</v>
      </c>
      <c r="CG47" t="s">
        <v>217</v>
      </c>
      <c r="CH47" t="s">
        <v>218</v>
      </c>
      <c r="CI47" t="s">
        <v>178</v>
      </c>
      <c r="CJ47" t="s">
        <v>210</v>
      </c>
      <c r="CK47" t="s">
        <v>219</v>
      </c>
      <c r="CL47" t="s">
        <v>219</v>
      </c>
      <c r="CM47" t="s">
        <v>219</v>
      </c>
      <c r="CN47" t="s">
        <v>172</v>
      </c>
      <c r="CO47" t="s">
        <v>220</v>
      </c>
      <c r="CP47" t="s">
        <v>172</v>
      </c>
      <c r="CQ47" t="s">
        <v>172</v>
      </c>
      <c r="CR47" t="s">
        <v>172</v>
      </c>
      <c r="CS47" t="s">
        <v>172</v>
      </c>
      <c r="CT47" t="s">
        <v>1891</v>
      </c>
      <c r="CU47" t="s">
        <v>1892</v>
      </c>
      <c r="CV47" t="s">
        <v>1893</v>
      </c>
      <c r="CW47" t="s">
        <v>1894</v>
      </c>
      <c r="CX47" t="s">
        <v>1895</v>
      </c>
      <c r="CY47" t="s">
        <v>1896</v>
      </c>
      <c r="CZ47" t="s">
        <v>1897</v>
      </c>
      <c r="DA47" t="s">
        <v>1898</v>
      </c>
      <c r="DB47" t="s">
        <v>1872</v>
      </c>
      <c r="DC47" t="s">
        <v>1899</v>
      </c>
      <c r="DD47" t="s">
        <v>230</v>
      </c>
      <c r="DE47" t="s">
        <v>231</v>
      </c>
      <c r="DF47" t="s">
        <v>178</v>
      </c>
      <c r="DG47" t="s">
        <v>232</v>
      </c>
      <c r="DH47" t="s">
        <v>233</v>
      </c>
      <c r="DI47" t="s">
        <v>178</v>
      </c>
      <c r="DJ47" t="s">
        <v>234</v>
      </c>
      <c r="DK47" t="s">
        <v>235</v>
      </c>
      <c r="DL47" t="s">
        <v>236</v>
      </c>
      <c r="DM47" t="s">
        <v>172</v>
      </c>
      <c r="DN47" t="s">
        <v>1871</v>
      </c>
      <c r="DO47" t="s">
        <v>237</v>
      </c>
      <c r="DP47" t="s">
        <v>238</v>
      </c>
      <c r="DQ47" t="s">
        <v>239</v>
      </c>
      <c r="DR47" t="s">
        <v>240</v>
      </c>
      <c r="DS47" t="s">
        <v>241</v>
      </c>
      <c r="DT47" t="s">
        <v>242</v>
      </c>
    </row>
    <row r="48" spans="1:124" x14ac:dyDescent="0.45">
      <c r="A48" t="s">
        <v>1900</v>
      </c>
      <c r="B48" t="s">
        <v>1901</v>
      </c>
      <c r="C48" t="s">
        <v>161</v>
      </c>
      <c r="D48" t="s">
        <v>162</v>
      </c>
      <c r="E48" t="s">
        <v>163</v>
      </c>
      <c r="H48" t="s">
        <v>1607</v>
      </c>
      <c r="I48" t="s">
        <v>1902</v>
      </c>
      <c r="J48">
        <f t="shared" si="10"/>
        <v>0.18042572534408222</v>
      </c>
      <c r="K48">
        <f t="shared" si="11"/>
        <v>2.9066320800000001</v>
      </c>
      <c r="L48">
        <f t="shared" si="12"/>
        <v>0.16988059000207983</v>
      </c>
      <c r="M48">
        <f t="shared" si="13"/>
        <v>1.7392019219246577</v>
      </c>
      <c r="N48" t="s">
        <v>1903</v>
      </c>
      <c r="O48" t="s">
        <v>1904</v>
      </c>
      <c r="P48">
        <f t="shared" si="14"/>
        <v>4.0850373281961589</v>
      </c>
      <c r="Q48">
        <f t="shared" si="15"/>
        <v>0.99295032819615914</v>
      </c>
      <c r="R48" t="s">
        <v>1905</v>
      </c>
      <c r="S48" t="s">
        <v>1906</v>
      </c>
      <c r="T48">
        <f t="shared" si="16"/>
        <v>40.610769740492678</v>
      </c>
      <c r="U48">
        <f t="shared" si="17"/>
        <v>0.4417875</v>
      </c>
      <c r="V48" t="s">
        <v>170</v>
      </c>
      <c r="W48" t="s">
        <v>1907</v>
      </c>
      <c r="X48" t="s">
        <v>172</v>
      </c>
      <c r="Y48" t="s">
        <v>172</v>
      </c>
      <c r="Z48" t="s">
        <v>172</v>
      </c>
      <c r="AA48" t="s">
        <v>1908</v>
      </c>
      <c r="AB48" t="s">
        <v>1909</v>
      </c>
      <c r="AC48" t="s">
        <v>1910</v>
      </c>
      <c r="AD48" t="s">
        <v>176</v>
      </c>
      <c r="AE48" t="s">
        <v>177</v>
      </c>
      <c r="AF48">
        <f t="shared" si="18"/>
        <v>57.064326479999998</v>
      </c>
      <c r="AG48" t="s">
        <v>178</v>
      </c>
      <c r="AH48" t="s">
        <v>1911</v>
      </c>
      <c r="AI48" t="s">
        <v>1912</v>
      </c>
      <c r="AJ48" t="s">
        <v>1913</v>
      </c>
      <c r="AK48" t="s">
        <v>1914</v>
      </c>
      <c r="AL48">
        <f t="shared" si="19"/>
        <v>29.27</v>
      </c>
      <c r="AM48" t="s">
        <v>183</v>
      </c>
      <c r="AN48" t="s">
        <v>396</v>
      </c>
      <c r="AO48" t="s">
        <v>1915</v>
      </c>
      <c r="AP48" t="s">
        <v>1916</v>
      </c>
      <c r="AQ48" t="s">
        <v>1917</v>
      </c>
      <c r="AR48" t="s">
        <v>1918</v>
      </c>
      <c r="AS48" t="s">
        <v>649</v>
      </c>
      <c r="AT48" t="s">
        <v>381</v>
      </c>
      <c r="AU48" t="s">
        <v>1919</v>
      </c>
      <c r="AV48" t="s">
        <v>1920</v>
      </c>
      <c r="AW48" t="s">
        <v>1921</v>
      </c>
      <c r="AX48" t="s">
        <v>1922</v>
      </c>
      <c r="AY48" t="s">
        <v>1923</v>
      </c>
      <c r="AZ48" t="s">
        <v>964</v>
      </c>
      <c r="BA48" t="s">
        <v>1924</v>
      </c>
      <c r="BB48" t="s">
        <v>1925</v>
      </c>
      <c r="BC48" t="s">
        <v>1926</v>
      </c>
      <c r="BD48" t="s">
        <v>161</v>
      </c>
      <c r="BE48" t="s">
        <v>1409</v>
      </c>
      <c r="BF48" t="s">
        <v>1159</v>
      </c>
      <c r="BG48" t="s">
        <v>1593</v>
      </c>
      <c r="BH48" t="s">
        <v>785</v>
      </c>
      <c r="BI48" t="s">
        <v>1814</v>
      </c>
      <c r="BJ48" t="s">
        <v>1815</v>
      </c>
      <c r="BK48" t="s">
        <v>161</v>
      </c>
      <c r="BL48" t="s">
        <v>1816</v>
      </c>
      <c r="BM48" t="s">
        <v>159</v>
      </c>
      <c r="BN48" t="s">
        <v>209</v>
      </c>
      <c r="BO48" t="s">
        <v>277</v>
      </c>
      <c r="BP48" t="s">
        <v>204</v>
      </c>
      <c r="BQ48" t="s">
        <v>1445</v>
      </c>
      <c r="BR48" t="s">
        <v>1927</v>
      </c>
      <c r="BS48" t="s">
        <v>1928</v>
      </c>
      <c r="BT48" t="s">
        <v>159</v>
      </c>
      <c r="BU48" t="s">
        <v>208</v>
      </c>
      <c r="BV48" t="s">
        <v>209</v>
      </c>
      <c r="BW48" t="s">
        <v>210</v>
      </c>
      <c r="BX48" t="s">
        <v>211</v>
      </c>
      <c r="BY48" t="s">
        <v>172</v>
      </c>
      <c r="BZ48" t="s">
        <v>212</v>
      </c>
      <c r="CA48" t="s">
        <v>172</v>
      </c>
      <c r="CB48" t="s">
        <v>172</v>
      </c>
      <c r="CC48" t="s">
        <v>213</v>
      </c>
      <c r="CD48" t="s">
        <v>214</v>
      </c>
      <c r="CE48" t="s">
        <v>215</v>
      </c>
      <c r="CF48" t="s">
        <v>216</v>
      </c>
      <c r="CG48" t="s">
        <v>217</v>
      </c>
      <c r="CH48" t="s">
        <v>218</v>
      </c>
      <c r="CI48" t="s">
        <v>178</v>
      </c>
      <c r="CJ48" t="s">
        <v>210</v>
      </c>
      <c r="CK48" t="s">
        <v>219</v>
      </c>
      <c r="CL48" t="s">
        <v>219</v>
      </c>
      <c r="CM48" t="s">
        <v>219</v>
      </c>
      <c r="CN48" t="s">
        <v>172</v>
      </c>
      <c r="CO48" t="s">
        <v>220</v>
      </c>
      <c r="CP48" t="s">
        <v>172</v>
      </c>
      <c r="CQ48" t="s">
        <v>172</v>
      </c>
      <c r="CR48" t="s">
        <v>172</v>
      </c>
      <c r="CS48" t="s">
        <v>172</v>
      </c>
      <c r="CT48" t="s">
        <v>1929</v>
      </c>
      <c r="CU48" t="s">
        <v>1930</v>
      </c>
      <c r="CV48" t="s">
        <v>1931</v>
      </c>
      <c r="CW48" t="s">
        <v>1932</v>
      </c>
      <c r="CX48" t="s">
        <v>1933</v>
      </c>
      <c r="CY48" t="s">
        <v>1934</v>
      </c>
      <c r="CZ48" t="s">
        <v>1935</v>
      </c>
      <c r="DA48" t="s">
        <v>1936</v>
      </c>
      <c r="DB48" t="s">
        <v>1908</v>
      </c>
      <c r="DC48" t="s">
        <v>547</v>
      </c>
      <c r="DD48" t="s">
        <v>230</v>
      </c>
      <c r="DE48" t="s">
        <v>231</v>
      </c>
      <c r="DF48" t="s">
        <v>178</v>
      </c>
      <c r="DG48" t="s">
        <v>232</v>
      </c>
      <c r="DH48" t="s">
        <v>233</v>
      </c>
      <c r="DI48" t="s">
        <v>178</v>
      </c>
      <c r="DJ48" t="s">
        <v>234</v>
      </c>
      <c r="DK48" t="s">
        <v>235</v>
      </c>
      <c r="DL48" t="s">
        <v>236</v>
      </c>
      <c r="DM48" t="s">
        <v>172</v>
      </c>
      <c r="DN48" t="s">
        <v>1907</v>
      </c>
      <c r="DO48" t="s">
        <v>237</v>
      </c>
      <c r="DP48" t="s">
        <v>238</v>
      </c>
      <c r="DQ48" t="s">
        <v>239</v>
      </c>
      <c r="DR48" t="s">
        <v>240</v>
      </c>
      <c r="DS48" t="s">
        <v>241</v>
      </c>
      <c r="DT48" t="s">
        <v>242</v>
      </c>
    </row>
    <row r="49" spans="1:124" x14ac:dyDescent="0.45">
      <c r="A49" t="s">
        <v>1937</v>
      </c>
      <c r="B49" t="s">
        <v>1938</v>
      </c>
      <c r="C49" t="s">
        <v>161</v>
      </c>
      <c r="D49" t="s">
        <v>162</v>
      </c>
      <c r="E49" t="s">
        <v>163</v>
      </c>
      <c r="H49" t="s">
        <v>2250</v>
      </c>
      <c r="I49" t="s">
        <v>1939</v>
      </c>
      <c r="J49">
        <f t="shared" si="10"/>
        <v>0.10310465943635684</v>
      </c>
      <c r="K49">
        <f t="shared" si="11"/>
        <v>2.9066320800000001</v>
      </c>
      <c r="L49">
        <f t="shared" si="12"/>
        <v>9.9572599419879143E-2</v>
      </c>
      <c r="M49">
        <f t="shared" si="13"/>
        <v>1.1864566328758228</v>
      </c>
      <c r="N49" t="s">
        <v>1940</v>
      </c>
      <c r="O49" t="s">
        <v>1941</v>
      </c>
      <c r="P49">
        <f t="shared" si="14"/>
        <v>4.15155975131644</v>
      </c>
      <c r="Q49">
        <f t="shared" si="15"/>
        <v>1.1562077513164399</v>
      </c>
      <c r="R49" t="s">
        <v>1942</v>
      </c>
      <c r="S49" t="s">
        <v>1943</v>
      </c>
      <c r="T49">
        <f t="shared" si="16"/>
        <v>41.267989575710146</v>
      </c>
      <c r="U49">
        <f t="shared" si="17"/>
        <v>0.4417875</v>
      </c>
      <c r="V49" t="s">
        <v>170</v>
      </c>
      <c r="W49" t="s">
        <v>1944</v>
      </c>
      <c r="X49" t="s">
        <v>172</v>
      </c>
      <c r="Y49" t="s">
        <v>172</v>
      </c>
      <c r="Z49" t="s">
        <v>172</v>
      </c>
      <c r="AA49" t="s">
        <v>1945</v>
      </c>
      <c r="AB49" t="s">
        <v>1946</v>
      </c>
      <c r="AC49" t="s">
        <v>1947</v>
      </c>
      <c r="AD49" t="s">
        <v>176</v>
      </c>
      <c r="AE49" t="s">
        <v>177</v>
      </c>
      <c r="AF49">
        <f t="shared" si="18"/>
        <v>59.029656000000003</v>
      </c>
      <c r="AG49" t="s">
        <v>178</v>
      </c>
      <c r="AH49" t="s">
        <v>1948</v>
      </c>
      <c r="AI49" t="s">
        <v>1949</v>
      </c>
      <c r="AJ49" t="s">
        <v>1950</v>
      </c>
      <c r="AK49" t="s">
        <v>348</v>
      </c>
      <c r="AL49">
        <f t="shared" si="19"/>
        <v>29.55</v>
      </c>
      <c r="AM49" t="s">
        <v>349</v>
      </c>
      <c r="AN49" t="s">
        <v>396</v>
      </c>
      <c r="AO49" t="s">
        <v>1951</v>
      </c>
      <c r="AP49" t="s">
        <v>1952</v>
      </c>
      <c r="AQ49" t="s">
        <v>1953</v>
      </c>
      <c r="AR49" t="s">
        <v>1918</v>
      </c>
      <c r="AS49" t="s">
        <v>1768</v>
      </c>
      <c r="AT49" t="s">
        <v>190</v>
      </c>
      <c r="AU49" t="s">
        <v>1038</v>
      </c>
      <c r="AV49" t="s">
        <v>1954</v>
      </c>
      <c r="AW49" t="s">
        <v>1955</v>
      </c>
      <c r="AX49" t="s">
        <v>1956</v>
      </c>
      <c r="AY49" t="s">
        <v>1957</v>
      </c>
      <c r="AZ49" t="s">
        <v>964</v>
      </c>
      <c r="BA49" t="s">
        <v>1958</v>
      </c>
      <c r="BB49" t="s">
        <v>1959</v>
      </c>
      <c r="BC49" t="s">
        <v>1960</v>
      </c>
      <c r="BD49" t="s">
        <v>161</v>
      </c>
      <c r="BE49" t="s">
        <v>1961</v>
      </c>
      <c r="BF49" t="s">
        <v>1962</v>
      </c>
      <c r="BG49" t="s">
        <v>1629</v>
      </c>
      <c r="BH49" t="s">
        <v>785</v>
      </c>
      <c r="BI49" t="s">
        <v>1814</v>
      </c>
      <c r="BJ49" t="s">
        <v>1815</v>
      </c>
      <c r="BK49" t="s">
        <v>161</v>
      </c>
      <c r="BL49" t="s">
        <v>1816</v>
      </c>
      <c r="BM49" t="s">
        <v>159</v>
      </c>
      <c r="BN49" t="s">
        <v>886</v>
      </c>
      <c r="BO49" t="s">
        <v>209</v>
      </c>
      <c r="BP49" t="s">
        <v>204</v>
      </c>
      <c r="BQ49" t="s">
        <v>1523</v>
      </c>
      <c r="BR49" t="s">
        <v>1963</v>
      </c>
      <c r="BS49" t="s">
        <v>1631</v>
      </c>
      <c r="BT49" t="s">
        <v>159</v>
      </c>
      <c r="BU49" t="s">
        <v>208</v>
      </c>
      <c r="BV49" t="s">
        <v>209</v>
      </c>
      <c r="BW49" t="s">
        <v>210</v>
      </c>
      <c r="BX49" t="s">
        <v>211</v>
      </c>
      <c r="BY49" t="s">
        <v>172</v>
      </c>
      <c r="BZ49" t="s">
        <v>212</v>
      </c>
      <c r="CA49" t="s">
        <v>172</v>
      </c>
      <c r="CB49" t="s">
        <v>172</v>
      </c>
      <c r="CC49" t="s">
        <v>213</v>
      </c>
      <c r="CD49" t="s">
        <v>214</v>
      </c>
      <c r="CE49" t="s">
        <v>215</v>
      </c>
      <c r="CF49" t="s">
        <v>216</v>
      </c>
      <c r="CG49" t="s">
        <v>217</v>
      </c>
      <c r="CH49" t="s">
        <v>218</v>
      </c>
      <c r="CI49" t="s">
        <v>178</v>
      </c>
      <c r="CJ49" t="s">
        <v>210</v>
      </c>
      <c r="CK49" t="s">
        <v>219</v>
      </c>
      <c r="CL49" t="s">
        <v>219</v>
      </c>
      <c r="CM49" t="s">
        <v>219</v>
      </c>
      <c r="CN49" t="s">
        <v>172</v>
      </c>
      <c r="CO49" t="s">
        <v>220</v>
      </c>
      <c r="CP49" t="s">
        <v>172</v>
      </c>
      <c r="CQ49" t="s">
        <v>172</v>
      </c>
      <c r="CR49" t="s">
        <v>172</v>
      </c>
      <c r="CS49" t="s">
        <v>172</v>
      </c>
      <c r="CT49" t="s">
        <v>1964</v>
      </c>
      <c r="CU49" t="s">
        <v>1965</v>
      </c>
      <c r="CV49" t="s">
        <v>1966</v>
      </c>
      <c r="CW49" t="s">
        <v>1967</v>
      </c>
      <c r="CX49" t="s">
        <v>1968</v>
      </c>
      <c r="CY49" t="s">
        <v>1969</v>
      </c>
      <c r="CZ49" t="s">
        <v>1970</v>
      </c>
      <c r="DA49" t="s">
        <v>1971</v>
      </c>
      <c r="DB49" t="s">
        <v>1945</v>
      </c>
      <c r="DC49" t="s">
        <v>1972</v>
      </c>
      <c r="DD49" t="s">
        <v>230</v>
      </c>
      <c r="DE49" t="s">
        <v>231</v>
      </c>
      <c r="DF49" t="s">
        <v>178</v>
      </c>
      <c r="DG49" t="s">
        <v>232</v>
      </c>
      <c r="DH49" t="s">
        <v>233</v>
      </c>
      <c r="DI49" t="s">
        <v>178</v>
      </c>
      <c r="DJ49" t="s">
        <v>234</v>
      </c>
      <c r="DK49" t="s">
        <v>235</v>
      </c>
      <c r="DL49" t="s">
        <v>236</v>
      </c>
      <c r="DM49" t="s">
        <v>172</v>
      </c>
      <c r="DN49" t="s">
        <v>1944</v>
      </c>
      <c r="DO49" t="s">
        <v>237</v>
      </c>
      <c r="DP49" t="s">
        <v>238</v>
      </c>
      <c r="DQ49" t="s">
        <v>239</v>
      </c>
      <c r="DR49" t="s">
        <v>240</v>
      </c>
      <c r="DS49" t="s">
        <v>241</v>
      </c>
      <c r="DT49" t="s">
        <v>242</v>
      </c>
    </row>
    <row r="50" spans="1:124" x14ac:dyDescent="0.45">
      <c r="A50" t="s">
        <v>1973</v>
      </c>
      <c r="B50" t="s">
        <v>1974</v>
      </c>
      <c r="C50" t="s">
        <v>161</v>
      </c>
      <c r="D50" t="s">
        <v>162</v>
      </c>
      <c r="E50" t="s">
        <v>163</v>
      </c>
      <c r="H50" t="s">
        <v>2250</v>
      </c>
      <c r="I50" t="s">
        <v>1975</v>
      </c>
      <c r="J50">
        <f t="shared" si="10"/>
        <v>0.19157155797228209</v>
      </c>
      <c r="K50">
        <f t="shared" si="11"/>
        <v>2.9050319999999994</v>
      </c>
      <c r="L50">
        <f t="shared" si="12"/>
        <v>0.17971997247324614</v>
      </c>
      <c r="M50">
        <f t="shared" si="13"/>
        <v>1.9149523084896163</v>
      </c>
      <c r="N50" t="s">
        <v>1976</v>
      </c>
      <c r="O50" t="s">
        <v>1977</v>
      </c>
      <c r="P50">
        <f t="shared" si="14"/>
        <v>4.1039482269951471</v>
      </c>
      <c r="Q50">
        <f t="shared" si="15"/>
        <v>1.0338212269951472</v>
      </c>
      <c r="R50" t="s">
        <v>1978</v>
      </c>
      <c r="S50" t="s">
        <v>1979</v>
      </c>
      <c r="T50">
        <f t="shared" si="16"/>
        <v>40.794713986035262</v>
      </c>
      <c r="U50">
        <f t="shared" si="17"/>
        <v>0.4417875</v>
      </c>
      <c r="V50" t="s">
        <v>170</v>
      </c>
      <c r="W50" t="s">
        <v>1980</v>
      </c>
      <c r="X50" t="s">
        <v>172</v>
      </c>
      <c r="Y50" t="s">
        <v>172</v>
      </c>
      <c r="Z50" t="s">
        <v>172</v>
      </c>
      <c r="AA50" t="s">
        <v>1981</v>
      </c>
      <c r="AB50" t="s">
        <v>1982</v>
      </c>
      <c r="AC50" t="s">
        <v>1983</v>
      </c>
      <c r="AD50" t="s">
        <v>176</v>
      </c>
      <c r="AE50" t="s">
        <v>177</v>
      </c>
      <c r="AF50">
        <f t="shared" si="18"/>
        <v>51.901311</v>
      </c>
      <c r="AG50" t="s">
        <v>178</v>
      </c>
      <c r="AH50" t="s">
        <v>1984</v>
      </c>
      <c r="AI50" t="s">
        <v>721</v>
      </c>
      <c r="AJ50" t="s">
        <v>1985</v>
      </c>
      <c r="AK50" t="s">
        <v>1800</v>
      </c>
      <c r="AL50">
        <f t="shared" si="19"/>
        <v>29.35</v>
      </c>
      <c r="AM50" t="s">
        <v>349</v>
      </c>
      <c r="AN50" t="s">
        <v>305</v>
      </c>
      <c r="AO50" t="s">
        <v>1986</v>
      </c>
      <c r="AP50" t="s">
        <v>1987</v>
      </c>
      <c r="AQ50" t="s">
        <v>1988</v>
      </c>
      <c r="AR50" t="s">
        <v>1989</v>
      </c>
      <c r="AS50" t="s">
        <v>261</v>
      </c>
      <c r="AT50" t="s">
        <v>262</v>
      </c>
      <c r="AU50" t="s">
        <v>1990</v>
      </c>
      <c r="AV50" t="s">
        <v>1991</v>
      </c>
      <c r="AW50" t="s">
        <v>1992</v>
      </c>
      <c r="AX50" t="s">
        <v>266</v>
      </c>
      <c r="AY50" t="s">
        <v>1993</v>
      </c>
      <c r="AZ50" t="s">
        <v>964</v>
      </c>
      <c r="BA50" t="s">
        <v>1958</v>
      </c>
      <c r="BB50" t="s">
        <v>1959</v>
      </c>
      <c r="BC50" t="s">
        <v>1994</v>
      </c>
      <c r="BD50" t="s">
        <v>161</v>
      </c>
      <c r="BE50" t="s">
        <v>1995</v>
      </c>
      <c r="BF50" t="s">
        <v>1996</v>
      </c>
      <c r="BG50" t="s">
        <v>1997</v>
      </c>
      <c r="BH50" t="s">
        <v>785</v>
      </c>
      <c r="BI50" t="s">
        <v>1814</v>
      </c>
      <c r="BJ50" t="s">
        <v>1815</v>
      </c>
      <c r="BK50" t="s">
        <v>161</v>
      </c>
      <c r="BL50" t="s">
        <v>1816</v>
      </c>
      <c r="BM50" t="s">
        <v>159</v>
      </c>
      <c r="BN50" t="s">
        <v>203</v>
      </c>
      <c r="BO50" t="s">
        <v>209</v>
      </c>
      <c r="BP50" t="s">
        <v>204</v>
      </c>
      <c r="BQ50" t="s">
        <v>1998</v>
      </c>
      <c r="BR50" t="s">
        <v>1999</v>
      </c>
      <c r="BS50" t="s">
        <v>1852</v>
      </c>
      <c r="BT50" t="s">
        <v>159</v>
      </c>
      <c r="BU50" t="s">
        <v>208</v>
      </c>
      <c r="BV50" t="s">
        <v>209</v>
      </c>
      <c r="BW50" t="s">
        <v>210</v>
      </c>
      <c r="BX50" t="s">
        <v>211</v>
      </c>
      <c r="BY50" t="s">
        <v>172</v>
      </c>
      <c r="BZ50" t="s">
        <v>212</v>
      </c>
      <c r="CA50" t="s">
        <v>172</v>
      </c>
      <c r="CB50" t="s">
        <v>172</v>
      </c>
      <c r="CC50" t="s">
        <v>213</v>
      </c>
      <c r="CD50" t="s">
        <v>214</v>
      </c>
      <c r="CE50" t="s">
        <v>215</v>
      </c>
      <c r="CF50" t="s">
        <v>216</v>
      </c>
      <c r="CG50" t="s">
        <v>217</v>
      </c>
      <c r="CH50" t="s">
        <v>218</v>
      </c>
      <c r="CI50" t="s">
        <v>178</v>
      </c>
      <c r="CJ50" t="s">
        <v>210</v>
      </c>
      <c r="CK50" t="s">
        <v>219</v>
      </c>
      <c r="CL50" t="s">
        <v>219</v>
      </c>
      <c r="CM50" t="s">
        <v>219</v>
      </c>
      <c r="CN50" t="s">
        <v>172</v>
      </c>
      <c r="CO50" t="s">
        <v>220</v>
      </c>
      <c r="CP50" t="s">
        <v>172</v>
      </c>
      <c r="CQ50" t="s">
        <v>172</v>
      </c>
      <c r="CR50" t="s">
        <v>172</v>
      </c>
      <c r="CS50" t="s">
        <v>172</v>
      </c>
      <c r="CT50" t="s">
        <v>2000</v>
      </c>
      <c r="CU50" t="s">
        <v>2001</v>
      </c>
      <c r="CV50" t="s">
        <v>2002</v>
      </c>
      <c r="CW50" t="s">
        <v>2003</v>
      </c>
      <c r="CX50" t="s">
        <v>2004</v>
      </c>
      <c r="CY50" t="s">
        <v>2005</v>
      </c>
      <c r="CZ50" t="s">
        <v>2006</v>
      </c>
      <c r="DA50" t="s">
        <v>2007</v>
      </c>
      <c r="DB50" t="s">
        <v>1981</v>
      </c>
      <c r="DC50" t="s">
        <v>547</v>
      </c>
      <c r="DD50" t="s">
        <v>230</v>
      </c>
      <c r="DE50" t="s">
        <v>231</v>
      </c>
      <c r="DF50" t="s">
        <v>178</v>
      </c>
      <c r="DG50" t="s">
        <v>232</v>
      </c>
      <c r="DH50" t="s">
        <v>233</v>
      </c>
      <c r="DI50" t="s">
        <v>178</v>
      </c>
      <c r="DJ50" t="s">
        <v>234</v>
      </c>
      <c r="DK50" t="s">
        <v>235</v>
      </c>
      <c r="DL50" t="s">
        <v>236</v>
      </c>
      <c r="DM50" t="s">
        <v>172</v>
      </c>
      <c r="DN50" t="s">
        <v>1980</v>
      </c>
      <c r="DO50" t="s">
        <v>237</v>
      </c>
      <c r="DP50" t="s">
        <v>238</v>
      </c>
      <c r="DQ50" t="s">
        <v>239</v>
      </c>
      <c r="DR50" t="s">
        <v>240</v>
      </c>
      <c r="DS50" t="s">
        <v>241</v>
      </c>
      <c r="DT50" t="s">
        <v>242</v>
      </c>
    </row>
    <row r="51" spans="1:124" x14ac:dyDescent="0.45">
      <c r="A51" t="s">
        <v>2008</v>
      </c>
      <c r="B51" t="s">
        <v>2009</v>
      </c>
      <c r="C51" t="s">
        <v>161</v>
      </c>
      <c r="D51" t="s">
        <v>162</v>
      </c>
      <c r="E51" t="s">
        <v>163</v>
      </c>
      <c r="H51" t="s">
        <v>2250</v>
      </c>
      <c r="I51" t="s">
        <v>2010</v>
      </c>
      <c r="J51">
        <f t="shared" si="10"/>
        <v>0.23325596868896079</v>
      </c>
      <c r="K51">
        <f t="shared" si="11"/>
        <v>2.9050319999999994</v>
      </c>
      <c r="L51">
        <f t="shared" si="12"/>
        <v>0.21591901699049865</v>
      </c>
      <c r="M51">
        <f t="shared" si="13"/>
        <v>2.204438791647068</v>
      </c>
      <c r="N51" t="s">
        <v>2011</v>
      </c>
      <c r="O51" t="s">
        <v>2012</v>
      </c>
      <c r="P51">
        <f t="shared" si="14"/>
        <v>4.0897579160851754</v>
      </c>
      <c r="Q51">
        <f t="shared" si="15"/>
        <v>0.99030591608517549</v>
      </c>
      <c r="R51" t="s">
        <v>2013</v>
      </c>
      <c r="S51" t="s">
        <v>2014</v>
      </c>
      <c r="T51">
        <f t="shared" si="16"/>
        <v>40.653657217546474</v>
      </c>
      <c r="U51">
        <f t="shared" si="17"/>
        <v>0.4417875</v>
      </c>
      <c r="V51" t="s">
        <v>170</v>
      </c>
      <c r="W51" t="s">
        <v>2015</v>
      </c>
      <c r="X51" t="s">
        <v>172</v>
      </c>
      <c r="Y51" t="s">
        <v>172</v>
      </c>
      <c r="Z51" t="s">
        <v>172</v>
      </c>
      <c r="AA51" t="s">
        <v>2016</v>
      </c>
      <c r="AB51" t="s">
        <v>2017</v>
      </c>
      <c r="AC51" t="s">
        <v>2018</v>
      </c>
      <c r="AD51" t="s">
        <v>176</v>
      </c>
      <c r="AE51" t="s">
        <v>177</v>
      </c>
      <c r="AF51">
        <f t="shared" si="18"/>
        <v>52.658958239999997</v>
      </c>
      <c r="AG51" t="s">
        <v>178</v>
      </c>
      <c r="AH51" t="s">
        <v>2019</v>
      </c>
      <c r="AI51" t="s">
        <v>2020</v>
      </c>
      <c r="AJ51" t="s">
        <v>2021</v>
      </c>
      <c r="AK51" t="s">
        <v>2022</v>
      </c>
      <c r="AL51">
        <f t="shared" si="19"/>
        <v>29.29</v>
      </c>
      <c r="AM51" t="s">
        <v>349</v>
      </c>
      <c r="AN51" t="s">
        <v>305</v>
      </c>
      <c r="AO51" t="s">
        <v>837</v>
      </c>
      <c r="AP51" t="s">
        <v>2023</v>
      </c>
      <c r="AQ51" t="s">
        <v>1988</v>
      </c>
      <c r="AR51" t="s">
        <v>2024</v>
      </c>
      <c r="AS51" t="s">
        <v>1000</v>
      </c>
      <c r="AT51" t="s">
        <v>2025</v>
      </c>
      <c r="AU51" t="s">
        <v>2026</v>
      </c>
      <c r="AV51" t="s">
        <v>2027</v>
      </c>
      <c r="AW51" t="s">
        <v>2028</v>
      </c>
      <c r="AX51" t="s">
        <v>2029</v>
      </c>
      <c r="AY51" t="s">
        <v>2030</v>
      </c>
      <c r="AZ51" t="s">
        <v>964</v>
      </c>
      <c r="BA51" t="s">
        <v>2031</v>
      </c>
      <c r="BB51" t="s">
        <v>2032</v>
      </c>
      <c r="BC51" t="s">
        <v>2033</v>
      </c>
      <c r="BD51" t="s">
        <v>161</v>
      </c>
      <c r="BE51" t="s">
        <v>734</v>
      </c>
      <c r="BF51" t="s">
        <v>2034</v>
      </c>
      <c r="BG51" t="s">
        <v>2035</v>
      </c>
      <c r="BH51" t="s">
        <v>709</v>
      </c>
      <c r="BI51" t="s">
        <v>1228</v>
      </c>
      <c r="BJ51" t="s">
        <v>1815</v>
      </c>
      <c r="BK51" t="s">
        <v>161</v>
      </c>
      <c r="BL51" t="s">
        <v>1816</v>
      </c>
      <c r="BM51" t="s">
        <v>159</v>
      </c>
      <c r="BN51" t="s">
        <v>209</v>
      </c>
      <c r="BO51" t="s">
        <v>209</v>
      </c>
      <c r="BP51" t="s">
        <v>204</v>
      </c>
      <c r="BQ51" t="s">
        <v>1084</v>
      </c>
      <c r="BR51" t="s">
        <v>2036</v>
      </c>
      <c r="BS51" t="s">
        <v>2037</v>
      </c>
      <c r="BT51" t="s">
        <v>159</v>
      </c>
      <c r="BU51" t="s">
        <v>208</v>
      </c>
      <c r="BV51" t="s">
        <v>209</v>
      </c>
      <c r="BW51" t="s">
        <v>210</v>
      </c>
      <c r="BX51" t="s">
        <v>211</v>
      </c>
      <c r="BY51" t="s">
        <v>172</v>
      </c>
      <c r="BZ51" t="s">
        <v>212</v>
      </c>
      <c r="CA51" t="s">
        <v>172</v>
      </c>
      <c r="CB51" t="s">
        <v>172</v>
      </c>
      <c r="CC51" t="s">
        <v>213</v>
      </c>
      <c r="CD51" t="s">
        <v>214</v>
      </c>
      <c r="CE51" t="s">
        <v>215</v>
      </c>
      <c r="CF51" t="s">
        <v>216</v>
      </c>
      <c r="CG51" t="s">
        <v>217</v>
      </c>
      <c r="CH51" t="s">
        <v>218</v>
      </c>
      <c r="CI51" t="s">
        <v>178</v>
      </c>
      <c r="CJ51" t="s">
        <v>210</v>
      </c>
      <c r="CK51" t="s">
        <v>219</v>
      </c>
      <c r="CL51" t="s">
        <v>219</v>
      </c>
      <c r="CM51" t="s">
        <v>219</v>
      </c>
      <c r="CN51" t="s">
        <v>172</v>
      </c>
      <c r="CO51" t="s">
        <v>220</v>
      </c>
      <c r="CP51" t="s">
        <v>172</v>
      </c>
      <c r="CQ51" t="s">
        <v>172</v>
      </c>
      <c r="CR51" t="s">
        <v>172</v>
      </c>
      <c r="CS51" t="s">
        <v>172</v>
      </c>
      <c r="CT51" t="s">
        <v>2038</v>
      </c>
      <c r="CU51" t="s">
        <v>2039</v>
      </c>
      <c r="CV51" t="s">
        <v>2040</v>
      </c>
      <c r="CW51" t="s">
        <v>2041</v>
      </c>
      <c r="CX51" t="s">
        <v>2042</v>
      </c>
      <c r="CY51" t="s">
        <v>2043</v>
      </c>
      <c r="CZ51" t="s">
        <v>2044</v>
      </c>
      <c r="DA51" t="s">
        <v>2045</v>
      </c>
      <c r="DB51" t="s">
        <v>2016</v>
      </c>
      <c r="DC51" t="s">
        <v>380</v>
      </c>
      <c r="DD51" t="s">
        <v>230</v>
      </c>
      <c r="DE51" t="s">
        <v>231</v>
      </c>
      <c r="DF51" t="s">
        <v>178</v>
      </c>
      <c r="DG51" t="s">
        <v>232</v>
      </c>
      <c r="DH51" t="s">
        <v>233</v>
      </c>
      <c r="DI51" t="s">
        <v>178</v>
      </c>
      <c r="DJ51" t="s">
        <v>234</v>
      </c>
      <c r="DK51" t="s">
        <v>235</v>
      </c>
      <c r="DL51" t="s">
        <v>236</v>
      </c>
      <c r="DM51" t="s">
        <v>172</v>
      </c>
      <c r="DN51" t="s">
        <v>2015</v>
      </c>
      <c r="DO51" t="s">
        <v>237</v>
      </c>
      <c r="DP51" t="s">
        <v>238</v>
      </c>
      <c r="DQ51" t="s">
        <v>239</v>
      </c>
      <c r="DR51" t="s">
        <v>240</v>
      </c>
      <c r="DS51" t="s">
        <v>241</v>
      </c>
      <c r="DT51" t="s">
        <v>242</v>
      </c>
    </row>
    <row r="52" spans="1:124" x14ac:dyDescent="0.45">
      <c r="A52" t="s">
        <v>2046</v>
      </c>
      <c r="B52" t="s">
        <v>2047</v>
      </c>
      <c r="C52" t="s">
        <v>161</v>
      </c>
      <c r="D52" t="s">
        <v>162</v>
      </c>
      <c r="E52" t="s">
        <v>163</v>
      </c>
      <c r="H52" t="s">
        <v>2250</v>
      </c>
      <c r="I52" t="s">
        <v>2048</v>
      </c>
      <c r="J52">
        <f t="shared" si="10"/>
        <v>0.12596230826976168</v>
      </c>
      <c r="K52">
        <f t="shared" si="11"/>
        <v>2.9058327199999998</v>
      </c>
      <c r="L52">
        <f t="shared" si="12"/>
        <v>0.12072893894343838</v>
      </c>
      <c r="M52">
        <f t="shared" si="13"/>
        <v>1.3843347287334236</v>
      </c>
      <c r="N52" t="s">
        <v>2049</v>
      </c>
      <c r="O52" t="s">
        <v>2050</v>
      </c>
      <c r="P52">
        <f t="shared" si="14"/>
        <v>4.1659367765969373</v>
      </c>
      <c r="Q52">
        <f t="shared" si="15"/>
        <v>1.1123177765969374</v>
      </c>
      <c r="R52" t="s">
        <v>2051</v>
      </c>
      <c r="S52" t="s">
        <v>2052</v>
      </c>
      <c r="T52">
        <f t="shared" si="16"/>
        <v>41.406786369117761</v>
      </c>
      <c r="U52">
        <f t="shared" si="17"/>
        <v>0.4417875</v>
      </c>
      <c r="V52" t="s">
        <v>170</v>
      </c>
      <c r="W52" t="s">
        <v>2053</v>
      </c>
      <c r="X52" t="s">
        <v>172</v>
      </c>
      <c r="Y52" t="s">
        <v>172</v>
      </c>
      <c r="Z52" t="s">
        <v>172</v>
      </c>
      <c r="AA52" t="s">
        <v>2054</v>
      </c>
      <c r="AB52" t="s">
        <v>2055</v>
      </c>
      <c r="AC52" t="s">
        <v>2056</v>
      </c>
      <c r="AD52" t="s">
        <v>176</v>
      </c>
      <c r="AE52" t="s">
        <v>177</v>
      </c>
      <c r="AF52">
        <f t="shared" si="18"/>
        <v>42.411537419999995</v>
      </c>
      <c r="AG52" t="s">
        <v>178</v>
      </c>
      <c r="AH52" t="s">
        <v>871</v>
      </c>
      <c r="AI52" t="s">
        <v>721</v>
      </c>
      <c r="AJ52" t="s">
        <v>2021</v>
      </c>
      <c r="AK52" t="s">
        <v>2057</v>
      </c>
      <c r="AL52">
        <f t="shared" si="19"/>
        <v>29.61</v>
      </c>
      <c r="AM52" t="s">
        <v>256</v>
      </c>
      <c r="AN52" t="s">
        <v>184</v>
      </c>
      <c r="AO52" t="s">
        <v>1843</v>
      </c>
      <c r="AP52" t="s">
        <v>876</v>
      </c>
      <c r="AQ52" t="s">
        <v>2058</v>
      </c>
      <c r="AR52" t="s">
        <v>2059</v>
      </c>
      <c r="AS52" t="s">
        <v>916</v>
      </c>
      <c r="AT52" t="s">
        <v>159</v>
      </c>
      <c r="AU52" t="s">
        <v>2060</v>
      </c>
      <c r="AV52" t="s">
        <v>2061</v>
      </c>
      <c r="AW52" t="s">
        <v>2062</v>
      </c>
      <c r="AX52" t="s">
        <v>1477</v>
      </c>
      <c r="AY52" t="s">
        <v>2063</v>
      </c>
      <c r="AZ52" t="s">
        <v>964</v>
      </c>
      <c r="BA52" t="s">
        <v>2031</v>
      </c>
      <c r="BB52" t="s">
        <v>2032</v>
      </c>
      <c r="BC52" t="s">
        <v>2064</v>
      </c>
      <c r="BD52" t="s">
        <v>161</v>
      </c>
      <c r="BE52" t="s">
        <v>1961</v>
      </c>
      <c r="BF52" t="s">
        <v>1996</v>
      </c>
      <c r="BG52" t="s">
        <v>2065</v>
      </c>
      <c r="BH52" t="s">
        <v>746</v>
      </c>
      <c r="BI52" t="s">
        <v>697</v>
      </c>
      <c r="BJ52" t="s">
        <v>1815</v>
      </c>
      <c r="BK52" t="s">
        <v>161</v>
      </c>
      <c r="BL52" t="s">
        <v>1816</v>
      </c>
      <c r="BM52" t="s">
        <v>159</v>
      </c>
      <c r="BN52" t="s">
        <v>209</v>
      </c>
      <c r="BO52" t="s">
        <v>277</v>
      </c>
      <c r="BP52" t="s">
        <v>575</v>
      </c>
      <c r="BQ52" t="s">
        <v>2066</v>
      </c>
      <c r="BR52" t="s">
        <v>370</v>
      </c>
      <c r="BS52" t="s">
        <v>2067</v>
      </c>
      <c r="BT52" t="s">
        <v>159</v>
      </c>
      <c r="BU52" t="s">
        <v>208</v>
      </c>
      <c r="BV52" t="s">
        <v>209</v>
      </c>
      <c r="BW52" t="s">
        <v>210</v>
      </c>
      <c r="BX52" t="s">
        <v>211</v>
      </c>
      <c r="BY52" t="s">
        <v>172</v>
      </c>
      <c r="BZ52" t="s">
        <v>212</v>
      </c>
      <c r="CA52" t="s">
        <v>172</v>
      </c>
      <c r="CB52" t="s">
        <v>172</v>
      </c>
      <c r="CC52" t="s">
        <v>213</v>
      </c>
      <c r="CD52" t="s">
        <v>214</v>
      </c>
      <c r="CE52" t="s">
        <v>215</v>
      </c>
      <c r="CF52" t="s">
        <v>216</v>
      </c>
      <c r="CG52" t="s">
        <v>217</v>
      </c>
      <c r="CH52" t="s">
        <v>218</v>
      </c>
      <c r="CI52" t="s">
        <v>178</v>
      </c>
      <c r="CJ52" t="s">
        <v>210</v>
      </c>
      <c r="CK52" t="s">
        <v>219</v>
      </c>
      <c r="CL52" t="s">
        <v>219</v>
      </c>
      <c r="CM52" t="s">
        <v>219</v>
      </c>
      <c r="CN52" t="s">
        <v>172</v>
      </c>
      <c r="CO52" t="s">
        <v>220</v>
      </c>
      <c r="CP52" t="s">
        <v>172</v>
      </c>
      <c r="CQ52" t="s">
        <v>172</v>
      </c>
      <c r="CR52" t="s">
        <v>172</v>
      </c>
      <c r="CS52" t="s">
        <v>172</v>
      </c>
      <c r="CT52" t="s">
        <v>2068</v>
      </c>
      <c r="CU52" t="s">
        <v>2069</v>
      </c>
      <c r="CV52" t="s">
        <v>2070</v>
      </c>
      <c r="CW52" t="s">
        <v>2071</v>
      </c>
      <c r="CX52" t="s">
        <v>2072</v>
      </c>
      <c r="CY52" t="s">
        <v>2073</v>
      </c>
      <c r="CZ52" t="s">
        <v>2074</v>
      </c>
      <c r="DA52" t="s">
        <v>2075</v>
      </c>
      <c r="DB52" t="s">
        <v>2054</v>
      </c>
      <c r="DC52" t="s">
        <v>1059</v>
      </c>
      <c r="DD52" t="s">
        <v>230</v>
      </c>
      <c r="DE52" t="s">
        <v>231</v>
      </c>
      <c r="DF52" t="s">
        <v>178</v>
      </c>
      <c r="DG52" t="s">
        <v>232</v>
      </c>
      <c r="DH52" t="s">
        <v>233</v>
      </c>
      <c r="DI52" t="s">
        <v>178</v>
      </c>
      <c r="DJ52" t="s">
        <v>234</v>
      </c>
      <c r="DK52" t="s">
        <v>235</v>
      </c>
      <c r="DL52" t="s">
        <v>236</v>
      </c>
      <c r="DM52" t="s">
        <v>172</v>
      </c>
      <c r="DN52" t="s">
        <v>2053</v>
      </c>
      <c r="DO52" t="s">
        <v>237</v>
      </c>
      <c r="DP52" t="s">
        <v>238</v>
      </c>
      <c r="DQ52" t="s">
        <v>239</v>
      </c>
      <c r="DR52" t="s">
        <v>240</v>
      </c>
      <c r="DS52" t="s">
        <v>241</v>
      </c>
      <c r="DT52" t="s">
        <v>242</v>
      </c>
    </row>
    <row r="53" spans="1:124" x14ac:dyDescent="0.45">
      <c r="A53" t="s">
        <v>2076</v>
      </c>
      <c r="B53" t="s">
        <v>2077</v>
      </c>
      <c r="C53" t="s">
        <v>161</v>
      </c>
      <c r="D53" t="s">
        <v>162</v>
      </c>
      <c r="E53" t="s">
        <v>163</v>
      </c>
      <c r="H53" t="s">
        <v>2250</v>
      </c>
      <c r="I53" t="s">
        <v>2078</v>
      </c>
      <c r="J53">
        <f t="shared" si="10"/>
        <v>0.23044916445585067</v>
      </c>
      <c r="K53">
        <f t="shared" si="11"/>
        <v>2.9050319999999994</v>
      </c>
      <c r="L53">
        <f t="shared" si="12"/>
        <v>0.21351179037737614</v>
      </c>
      <c r="M53">
        <f t="shared" si="13"/>
        <v>2.1691120871552032</v>
      </c>
      <c r="N53" t="s">
        <v>2079</v>
      </c>
      <c r="O53" t="s">
        <v>2080</v>
      </c>
      <c r="P53">
        <f t="shared" si="14"/>
        <v>4.0826788161860863</v>
      </c>
      <c r="Q53">
        <f t="shared" si="15"/>
        <v>0.98579481618608611</v>
      </c>
      <c r="R53" t="s">
        <v>2081</v>
      </c>
      <c r="S53" t="s">
        <v>2082</v>
      </c>
      <c r="T53">
        <f t="shared" si="16"/>
        <v>40.5792547081412</v>
      </c>
      <c r="U53">
        <f t="shared" si="17"/>
        <v>0.4417875</v>
      </c>
      <c r="V53" t="s">
        <v>170</v>
      </c>
      <c r="W53" t="s">
        <v>2083</v>
      </c>
      <c r="X53" t="s">
        <v>172</v>
      </c>
      <c r="Y53" t="s">
        <v>172</v>
      </c>
      <c r="Z53" t="s">
        <v>172</v>
      </c>
      <c r="AA53" t="s">
        <v>2084</v>
      </c>
      <c r="AB53" t="s">
        <v>2085</v>
      </c>
      <c r="AC53" t="s">
        <v>2086</v>
      </c>
      <c r="AD53" t="s">
        <v>176</v>
      </c>
      <c r="AE53" t="s">
        <v>177</v>
      </c>
      <c r="AF53">
        <f t="shared" si="18"/>
        <v>49.507780139999994</v>
      </c>
      <c r="AG53" t="s">
        <v>178</v>
      </c>
      <c r="AH53" t="s">
        <v>2087</v>
      </c>
      <c r="AI53" t="s">
        <v>2088</v>
      </c>
      <c r="AJ53" t="s">
        <v>2021</v>
      </c>
      <c r="AK53" t="s">
        <v>2089</v>
      </c>
      <c r="AL53">
        <f t="shared" si="19"/>
        <v>29.26</v>
      </c>
      <c r="AM53" t="s">
        <v>256</v>
      </c>
      <c r="AN53" t="s">
        <v>305</v>
      </c>
      <c r="AO53" t="s">
        <v>1366</v>
      </c>
      <c r="AP53" t="s">
        <v>913</v>
      </c>
      <c r="AQ53" t="s">
        <v>2090</v>
      </c>
      <c r="AR53" t="s">
        <v>2059</v>
      </c>
      <c r="AS53" t="s">
        <v>215</v>
      </c>
      <c r="AT53" t="s">
        <v>381</v>
      </c>
      <c r="AU53" t="s">
        <v>485</v>
      </c>
      <c r="AV53" t="s">
        <v>2091</v>
      </c>
      <c r="AW53" t="s">
        <v>2092</v>
      </c>
      <c r="AX53" t="s">
        <v>2093</v>
      </c>
      <c r="AY53" t="s">
        <v>2094</v>
      </c>
      <c r="AZ53" t="s">
        <v>964</v>
      </c>
      <c r="BA53" t="s">
        <v>2095</v>
      </c>
      <c r="BB53" t="s">
        <v>2096</v>
      </c>
      <c r="BC53" t="s">
        <v>2097</v>
      </c>
      <c r="BD53" t="s">
        <v>161</v>
      </c>
      <c r="BE53" t="s">
        <v>318</v>
      </c>
      <c r="BF53" t="s">
        <v>2034</v>
      </c>
      <c r="BG53" t="s">
        <v>2065</v>
      </c>
      <c r="BH53" t="s">
        <v>746</v>
      </c>
      <c r="BI53" t="s">
        <v>1667</v>
      </c>
      <c r="BJ53" t="s">
        <v>1815</v>
      </c>
      <c r="BK53" t="s">
        <v>161</v>
      </c>
      <c r="BL53" t="s">
        <v>1816</v>
      </c>
      <c r="BM53" t="s">
        <v>159</v>
      </c>
      <c r="BN53" t="s">
        <v>321</v>
      </c>
      <c r="BO53" t="s">
        <v>276</v>
      </c>
      <c r="BP53" t="s">
        <v>276</v>
      </c>
      <c r="BQ53" t="s">
        <v>2098</v>
      </c>
      <c r="BR53" t="s">
        <v>2099</v>
      </c>
      <c r="BS53" t="s">
        <v>2100</v>
      </c>
      <c r="BT53" t="s">
        <v>159</v>
      </c>
      <c r="BU53" t="s">
        <v>208</v>
      </c>
      <c r="BV53" t="s">
        <v>209</v>
      </c>
      <c r="BW53" t="s">
        <v>210</v>
      </c>
      <c r="BX53" t="s">
        <v>211</v>
      </c>
      <c r="BY53" t="s">
        <v>172</v>
      </c>
      <c r="BZ53" t="s">
        <v>212</v>
      </c>
      <c r="CA53" t="s">
        <v>172</v>
      </c>
      <c r="CB53" t="s">
        <v>172</v>
      </c>
      <c r="CC53" t="s">
        <v>213</v>
      </c>
      <c r="CD53" t="s">
        <v>214</v>
      </c>
      <c r="CE53" t="s">
        <v>215</v>
      </c>
      <c r="CF53" t="s">
        <v>216</v>
      </c>
      <c r="CG53" t="s">
        <v>217</v>
      </c>
      <c r="CH53" t="s">
        <v>218</v>
      </c>
      <c r="CI53" t="s">
        <v>178</v>
      </c>
      <c r="CJ53" t="s">
        <v>210</v>
      </c>
      <c r="CK53" t="s">
        <v>219</v>
      </c>
      <c r="CL53" t="s">
        <v>219</v>
      </c>
      <c r="CM53" t="s">
        <v>219</v>
      </c>
      <c r="CN53" t="s">
        <v>172</v>
      </c>
      <c r="CO53" t="s">
        <v>220</v>
      </c>
      <c r="CP53" t="s">
        <v>172</v>
      </c>
      <c r="CQ53" t="s">
        <v>172</v>
      </c>
      <c r="CR53" t="s">
        <v>172</v>
      </c>
      <c r="CS53" t="s">
        <v>172</v>
      </c>
      <c r="CT53" t="s">
        <v>2101</v>
      </c>
      <c r="CU53" t="s">
        <v>2102</v>
      </c>
      <c r="CV53" t="s">
        <v>2103</v>
      </c>
      <c r="CW53" t="s">
        <v>2104</v>
      </c>
      <c r="CX53" t="s">
        <v>2105</v>
      </c>
      <c r="CY53" t="s">
        <v>2106</v>
      </c>
      <c r="CZ53" t="s">
        <v>2107</v>
      </c>
      <c r="DA53" t="s">
        <v>2108</v>
      </c>
      <c r="DB53" t="s">
        <v>2084</v>
      </c>
      <c r="DC53" t="s">
        <v>1059</v>
      </c>
      <c r="DD53" t="s">
        <v>230</v>
      </c>
      <c r="DE53" t="s">
        <v>231</v>
      </c>
      <c r="DF53" t="s">
        <v>178</v>
      </c>
      <c r="DG53" t="s">
        <v>232</v>
      </c>
      <c r="DH53" t="s">
        <v>233</v>
      </c>
      <c r="DI53" t="s">
        <v>178</v>
      </c>
      <c r="DJ53" t="s">
        <v>234</v>
      </c>
      <c r="DK53" t="s">
        <v>235</v>
      </c>
      <c r="DL53" t="s">
        <v>236</v>
      </c>
      <c r="DM53" t="s">
        <v>172</v>
      </c>
      <c r="DN53" t="s">
        <v>2083</v>
      </c>
      <c r="DO53" t="s">
        <v>237</v>
      </c>
      <c r="DP53" t="s">
        <v>238</v>
      </c>
      <c r="DQ53" t="s">
        <v>239</v>
      </c>
      <c r="DR53" t="s">
        <v>240</v>
      </c>
      <c r="DS53" t="s">
        <v>241</v>
      </c>
      <c r="DT53" t="s">
        <v>242</v>
      </c>
    </row>
    <row r="54" spans="1:124" x14ac:dyDescent="0.45">
      <c r="A54" t="s">
        <v>2109</v>
      </c>
      <c r="B54" t="s">
        <v>2110</v>
      </c>
      <c r="C54" t="s">
        <v>161</v>
      </c>
      <c r="D54" t="s">
        <v>162</v>
      </c>
      <c r="E54" t="s">
        <v>163</v>
      </c>
      <c r="H54" t="s">
        <v>2250</v>
      </c>
      <c r="I54" t="s">
        <v>2111</v>
      </c>
      <c r="J54">
        <f t="shared" si="10"/>
        <v>0.21419826486164675</v>
      </c>
      <c r="K54">
        <f t="shared" si="11"/>
        <v>2.9066320800000001</v>
      </c>
      <c r="L54">
        <f t="shared" si="12"/>
        <v>0.19949676186412504</v>
      </c>
      <c r="M54">
        <f t="shared" si="13"/>
        <v>2.0738026322736332</v>
      </c>
      <c r="N54" t="s">
        <v>2112</v>
      </c>
      <c r="O54" t="s">
        <v>2113</v>
      </c>
      <c r="P54">
        <f t="shared" si="14"/>
        <v>4.0591589137398936</v>
      </c>
      <c r="Q54">
        <f t="shared" si="15"/>
        <v>1.0087029137398935</v>
      </c>
      <c r="R54" t="s">
        <v>2114</v>
      </c>
      <c r="S54" t="s">
        <v>2115</v>
      </c>
      <c r="T54">
        <f t="shared" si="16"/>
        <v>40.349492184293176</v>
      </c>
      <c r="U54">
        <f t="shared" si="17"/>
        <v>0.4417875</v>
      </c>
      <c r="V54" t="s">
        <v>170</v>
      </c>
      <c r="W54" t="s">
        <v>2116</v>
      </c>
      <c r="X54" t="s">
        <v>172</v>
      </c>
      <c r="Y54" t="s">
        <v>172</v>
      </c>
      <c r="Z54" t="s">
        <v>172</v>
      </c>
      <c r="AA54" t="s">
        <v>2117</v>
      </c>
      <c r="AB54" t="s">
        <v>2118</v>
      </c>
      <c r="AC54" t="s">
        <v>2119</v>
      </c>
      <c r="AD54" t="s">
        <v>176</v>
      </c>
      <c r="AE54" t="s">
        <v>177</v>
      </c>
      <c r="AF54">
        <f t="shared" si="18"/>
        <v>52.035624479999996</v>
      </c>
      <c r="AG54" t="s">
        <v>178</v>
      </c>
      <c r="AH54" t="s">
        <v>2120</v>
      </c>
      <c r="AI54" t="s">
        <v>2121</v>
      </c>
      <c r="AJ54" t="s">
        <v>2122</v>
      </c>
      <c r="AK54" t="s">
        <v>1655</v>
      </c>
      <c r="AL54">
        <f t="shared" si="19"/>
        <v>29.16</v>
      </c>
      <c r="AM54" t="s">
        <v>349</v>
      </c>
      <c r="AN54" t="s">
        <v>396</v>
      </c>
      <c r="AO54" t="s">
        <v>2123</v>
      </c>
      <c r="AP54" t="s">
        <v>2023</v>
      </c>
      <c r="AQ54" t="s">
        <v>2124</v>
      </c>
      <c r="AR54" t="s">
        <v>2125</v>
      </c>
      <c r="AS54" t="s">
        <v>1514</v>
      </c>
      <c r="AT54" t="s">
        <v>2025</v>
      </c>
      <c r="AU54" t="s">
        <v>2126</v>
      </c>
      <c r="AV54" t="s">
        <v>2127</v>
      </c>
      <c r="AW54" t="s">
        <v>2128</v>
      </c>
      <c r="AX54" t="s">
        <v>1517</v>
      </c>
      <c r="AY54" t="s">
        <v>2129</v>
      </c>
      <c r="AZ54" t="s">
        <v>964</v>
      </c>
      <c r="BA54" t="s">
        <v>2130</v>
      </c>
      <c r="BB54" t="s">
        <v>2131</v>
      </c>
      <c r="BC54" t="s">
        <v>2132</v>
      </c>
      <c r="BD54" t="s">
        <v>161</v>
      </c>
      <c r="BE54" t="s">
        <v>1480</v>
      </c>
      <c r="BF54" t="s">
        <v>1996</v>
      </c>
      <c r="BG54" t="s">
        <v>2133</v>
      </c>
      <c r="BH54" t="s">
        <v>785</v>
      </c>
      <c r="BI54" t="s">
        <v>1814</v>
      </c>
      <c r="BJ54" t="s">
        <v>1815</v>
      </c>
      <c r="BK54" t="s">
        <v>161</v>
      </c>
      <c r="BL54" t="s">
        <v>1816</v>
      </c>
      <c r="BM54" t="s">
        <v>159</v>
      </c>
      <c r="BN54" t="s">
        <v>276</v>
      </c>
      <c r="BO54" t="s">
        <v>276</v>
      </c>
      <c r="BP54" t="s">
        <v>575</v>
      </c>
      <c r="BQ54" t="s">
        <v>1163</v>
      </c>
      <c r="BR54" t="s">
        <v>2134</v>
      </c>
      <c r="BS54" t="s">
        <v>2135</v>
      </c>
      <c r="BT54" t="s">
        <v>159</v>
      </c>
      <c r="BU54" t="s">
        <v>208</v>
      </c>
      <c r="BV54" t="s">
        <v>209</v>
      </c>
      <c r="BW54" t="s">
        <v>210</v>
      </c>
      <c r="BX54" t="s">
        <v>211</v>
      </c>
      <c r="BY54" t="s">
        <v>172</v>
      </c>
      <c r="BZ54" t="s">
        <v>212</v>
      </c>
      <c r="CA54" t="s">
        <v>172</v>
      </c>
      <c r="CB54" t="s">
        <v>172</v>
      </c>
      <c r="CC54" t="s">
        <v>213</v>
      </c>
      <c r="CD54" t="s">
        <v>214</v>
      </c>
      <c r="CE54" t="s">
        <v>215</v>
      </c>
      <c r="CF54" t="s">
        <v>216</v>
      </c>
      <c r="CG54" t="s">
        <v>217</v>
      </c>
      <c r="CH54" t="s">
        <v>218</v>
      </c>
      <c r="CI54" t="s">
        <v>178</v>
      </c>
      <c r="CJ54" t="s">
        <v>210</v>
      </c>
      <c r="CK54" t="s">
        <v>219</v>
      </c>
      <c r="CL54" t="s">
        <v>219</v>
      </c>
      <c r="CM54" t="s">
        <v>219</v>
      </c>
      <c r="CN54" t="s">
        <v>172</v>
      </c>
      <c r="CO54" t="s">
        <v>220</v>
      </c>
      <c r="CP54" t="s">
        <v>172</v>
      </c>
      <c r="CQ54" t="s">
        <v>172</v>
      </c>
      <c r="CR54" t="s">
        <v>172</v>
      </c>
      <c r="CS54" t="s">
        <v>172</v>
      </c>
      <c r="CT54" t="s">
        <v>2136</v>
      </c>
      <c r="CU54" t="s">
        <v>2137</v>
      </c>
      <c r="CV54" t="s">
        <v>2138</v>
      </c>
      <c r="CW54" t="s">
        <v>2139</v>
      </c>
      <c r="CX54" t="s">
        <v>2140</v>
      </c>
      <c r="CY54" t="s">
        <v>2141</v>
      </c>
      <c r="CZ54" t="s">
        <v>2142</v>
      </c>
      <c r="DA54" t="s">
        <v>2143</v>
      </c>
      <c r="DB54" t="s">
        <v>2117</v>
      </c>
      <c r="DC54" t="s">
        <v>1456</v>
      </c>
      <c r="DD54" t="s">
        <v>230</v>
      </c>
      <c r="DE54" t="s">
        <v>231</v>
      </c>
      <c r="DF54" t="s">
        <v>178</v>
      </c>
      <c r="DG54" t="s">
        <v>232</v>
      </c>
      <c r="DH54" t="s">
        <v>233</v>
      </c>
      <c r="DI54" t="s">
        <v>178</v>
      </c>
      <c r="DJ54" t="s">
        <v>234</v>
      </c>
      <c r="DK54" t="s">
        <v>235</v>
      </c>
      <c r="DL54" t="s">
        <v>236</v>
      </c>
      <c r="DM54" t="s">
        <v>172</v>
      </c>
      <c r="DN54" t="s">
        <v>2116</v>
      </c>
      <c r="DO54" t="s">
        <v>237</v>
      </c>
      <c r="DP54" t="s">
        <v>238</v>
      </c>
      <c r="DQ54" t="s">
        <v>239</v>
      </c>
      <c r="DR54" t="s">
        <v>240</v>
      </c>
      <c r="DS54" t="s">
        <v>241</v>
      </c>
      <c r="DT54" t="s">
        <v>242</v>
      </c>
    </row>
    <row r="55" spans="1:124" x14ac:dyDescent="0.45">
      <c r="A55" t="s">
        <v>2144</v>
      </c>
      <c r="B55" t="s">
        <v>2145</v>
      </c>
      <c r="C55" t="s">
        <v>161</v>
      </c>
      <c r="D55" t="s">
        <v>162</v>
      </c>
      <c r="E55" t="s">
        <v>163</v>
      </c>
      <c r="H55" t="s">
        <v>2250</v>
      </c>
      <c r="I55" t="s">
        <v>2146</v>
      </c>
      <c r="J55">
        <f t="shared" si="10"/>
        <v>0.27079796979828052</v>
      </c>
      <c r="K55">
        <f t="shared" si="11"/>
        <v>2.9066320800000001</v>
      </c>
      <c r="L55">
        <f t="shared" si="12"/>
        <v>0.24771908551205493</v>
      </c>
      <c r="M55">
        <f t="shared" si="13"/>
        <v>2.4652984937625231</v>
      </c>
      <c r="N55" t="s">
        <v>2147</v>
      </c>
      <c r="O55" t="s">
        <v>2148</v>
      </c>
      <c r="P55">
        <f t="shared" si="14"/>
        <v>4.0217727713457538</v>
      </c>
      <c r="Q55">
        <f t="shared" si="15"/>
        <v>0.96606777134575372</v>
      </c>
      <c r="R55" t="s">
        <v>2149</v>
      </c>
      <c r="S55" t="s">
        <v>2150</v>
      </c>
      <c r="T55">
        <f t="shared" si="16"/>
        <v>39.973887002740824</v>
      </c>
      <c r="U55">
        <f t="shared" si="17"/>
        <v>0.4417875</v>
      </c>
      <c r="V55" t="s">
        <v>170</v>
      </c>
      <c r="W55" t="s">
        <v>2151</v>
      </c>
      <c r="X55" t="s">
        <v>172</v>
      </c>
      <c r="Y55" t="s">
        <v>172</v>
      </c>
      <c r="Z55" t="s">
        <v>172</v>
      </c>
      <c r="AA55" t="s">
        <v>2152</v>
      </c>
      <c r="AB55" t="s">
        <v>2153</v>
      </c>
      <c r="AC55" t="s">
        <v>2154</v>
      </c>
      <c r="AD55" t="s">
        <v>176</v>
      </c>
      <c r="AE55" t="s">
        <v>177</v>
      </c>
      <c r="AF55">
        <f t="shared" si="18"/>
        <v>47.678211840000003</v>
      </c>
      <c r="AG55" t="s">
        <v>178</v>
      </c>
      <c r="AH55" t="s">
        <v>599</v>
      </c>
      <c r="AI55" t="s">
        <v>2155</v>
      </c>
      <c r="AJ55" t="s">
        <v>2156</v>
      </c>
      <c r="AK55" t="s">
        <v>768</v>
      </c>
      <c r="AL55">
        <f t="shared" si="19"/>
        <v>29</v>
      </c>
      <c r="AM55" t="s">
        <v>256</v>
      </c>
      <c r="AN55" t="s">
        <v>396</v>
      </c>
      <c r="AO55" t="s">
        <v>563</v>
      </c>
      <c r="AP55" t="s">
        <v>646</v>
      </c>
      <c r="AQ55" t="s">
        <v>2157</v>
      </c>
      <c r="AR55" t="s">
        <v>2158</v>
      </c>
      <c r="AS55" t="s">
        <v>526</v>
      </c>
      <c r="AT55" t="s">
        <v>381</v>
      </c>
      <c r="AU55" t="s">
        <v>2159</v>
      </c>
      <c r="AV55" t="s">
        <v>2160</v>
      </c>
      <c r="AW55" t="s">
        <v>2161</v>
      </c>
      <c r="AX55" t="s">
        <v>2162</v>
      </c>
      <c r="AY55" t="s">
        <v>2163</v>
      </c>
      <c r="AZ55" t="s">
        <v>964</v>
      </c>
      <c r="BA55" t="s">
        <v>2130</v>
      </c>
      <c r="BB55" t="s">
        <v>2131</v>
      </c>
      <c r="BC55" t="s">
        <v>2164</v>
      </c>
      <c r="BD55" t="s">
        <v>161</v>
      </c>
      <c r="BE55" t="s">
        <v>734</v>
      </c>
      <c r="BF55" t="s">
        <v>2034</v>
      </c>
      <c r="BG55" t="s">
        <v>2165</v>
      </c>
      <c r="BH55" t="s">
        <v>785</v>
      </c>
      <c r="BI55" t="s">
        <v>1814</v>
      </c>
      <c r="BJ55" t="s">
        <v>1815</v>
      </c>
      <c r="BK55" t="s">
        <v>161</v>
      </c>
      <c r="BL55" t="s">
        <v>1816</v>
      </c>
      <c r="BM55" t="s">
        <v>159</v>
      </c>
      <c r="BN55" t="s">
        <v>276</v>
      </c>
      <c r="BO55" t="s">
        <v>209</v>
      </c>
      <c r="BP55" t="s">
        <v>886</v>
      </c>
      <c r="BQ55" t="s">
        <v>2166</v>
      </c>
      <c r="BR55" t="s">
        <v>2167</v>
      </c>
      <c r="BS55" t="s">
        <v>1445</v>
      </c>
      <c r="BT55" t="s">
        <v>159</v>
      </c>
      <c r="BU55" t="s">
        <v>208</v>
      </c>
      <c r="BV55" t="s">
        <v>209</v>
      </c>
      <c r="BW55" t="s">
        <v>210</v>
      </c>
      <c r="BX55" t="s">
        <v>211</v>
      </c>
      <c r="BY55" t="s">
        <v>172</v>
      </c>
      <c r="BZ55" t="s">
        <v>212</v>
      </c>
      <c r="CA55" t="s">
        <v>172</v>
      </c>
      <c r="CB55" t="s">
        <v>172</v>
      </c>
      <c r="CC55" t="s">
        <v>213</v>
      </c>
      <c r="CD55" t="s">
        <v>214</v>
      </c>
      <c r="CE55" t="s">
        <v>215</v>
      </c>
      <c r="CF55" t="s">
        <v>216</v>
      </c>
      <c r="CG55" t="s">
        <v>217</v>
      </c>
      <c r="CH55" t="s">
        <v>218</v>
      </c>
      <c r="CI55" t="s">
        <v>178</v>
      </c>
      <c r="CJ55" t="s">
        <v>210</v>
      </c>
      <c r="CK55" t="s">
        <v>219</v>
      </c>
      <c r="CL55" t="s">
        <v>219</v>
      </c>
      <c r="CM55" t="s">
        <v>219</v>
      </c>
      <c r="CN55" t="s">
        <v>172</v>
      </c>
      <c r="CO55" t="s">
        <v>220</v>
      </c>
      <c r="CP55" t="s">
        <v>172</v>
      </c>
      <c r="CQ55" t="s">
        <v>172</v>
      </c>
      <c r="CR55" t="s">
        <v>172</v>
      </c>
      <c r="CS55" t="s">
        <v>172</v>
      </c>
      <c r="CT55" t="s">
        <v>2168</v>
      </c>
      <c r="CU55" t="s">
        <v>2169</v>
      </c>
      <c r="CV55" t="s">
        <v>2170</v>
      </c>
      <c r="CW55" t="s">
        <v>2171</v>
      </c>
      <c r="CX55" t="s">
        <v>2172</v>
      </c>
      <c r="CY55" t="s">
        <v>2173</v>
      </c>
      <c r="CZ55" t="s">
        <v>2174</v>
      </c>
      <c r="DA55" t="s">
        <v>2175</v>
      </c>
      <c r="DB55" t="s">
        <v>2152</v>
      </c>
      <c r="DC55" t="s">
        <v>333</v>
      </c>
      <c r="DD55" t="s">
        <v>230</v>
      </c>
      <c r="DE55" t="s">
        <v>231</v>
      </c>
      <c r="DF55" t="s">
        <v>178</v>
      </c>
      <c r="DG55" t="s">
        <v>232</v>
      </c>
      <c r="DH55" t="s">
        <v>233</v>
      </c>
      <c r="DI55" t="s">
        <v>178</v>
      </c>
      <c r="DJ55" t="s">
        <v>234</v>
      </c>
      <c r="DK55" t="s">
        <v>235</v>
      </c>
      <c r="DL55" t="s">
        <v>236</v>
      </c>
      <c r="DM55" t="s">
        <v>172</v>
      </c>
      <c r="DN55" t="s">
        <v>2151</v>
      </c>
      <c r="DO55" t="s">
        <v>237</v>
      </c>
      <c r="DP55" t="s">
        <v>238</v>
      </c>
      <c r="DQ55" t="s">
        <v>239</v>
      </c>
      <c r="DR55" t="s">
        <v>240</v>
      </c>
      <c r="DS55" t="s">
        <v>241</v>
      </c>
      <c r="DT55" t="s">
        <v>242</v>
      </c>
    </row>
    <row r="56" spans="1:124" x14ac:dyDescent="0.45">
      <c r="A56" t="s">
        <v>2176</v>
      </c>
      <c r="B56" t="s">
        <v>2177</v>
      </c>
      <c r="C56" t="s">
        <v>161</v>
      </c>
      <c r="D56" t="s">
        <v>162</v>
      </c>
      <c r="E56" t="s">
        <v>163</v>
      </c>
      <c r="H56" t="s">
        <v>2250</v>
      </c>
      <c r="I56" t="s">
        <v>2178</v>
      </c>
      <c r="J56">
        <f t="shared" si="10"/>
        <v>0.20724825689687595</v>
      </c>
      <c r="K56">
        <f t="shared" si="11"/>
        <v>2.9058327199999998</v>
      </c>
      <c r="L56">
        <f t="shared" si="12"/>
        <v>0.19345104432657914</v>
      </c>
      <c r="M56">
        <f t="shared" si="13"/>
        <v>1.9622840883800305</v>
      </c>
      <c r="N56" t="s">
        <v>2179</v>
      </c>
      <c r="O56" t="s">
        <v>2180</v>
      </c>
      <c r="P56">
        <f t="shared" si="14"/>
        <v>4.0897579160851754</v>
      </c>
      <c r="Q56">
        <f t="shared" si="15"/>
        <v>0.98411291608517537</v>
      </c>
      <c r="R56" t="s">
        <v>2181</v>
      </c>
      <c r="S56" t="s">
        <v>2182</v>
      </c>
      <c r="T56">
        <f t="shared" si="16"/>
        <v>40.64961650020053</v>
      </c>
      <c r="U56">
        <f t="shared" si="17"/>
        <v>0.4417875</v>
      </c>
      <c r="V56" t="s">
        <v>170</v>
      </c>
      <c r="W56" t="s">
        <v>2183</v>
      </c>
      <c r="X56" t="s">
        <v>172</v>
      </c>
      <c r="Y56" t="s">
        <v>172</v>
      </c>
      <c r="Z56" t="s">
        <v>172</v>
      </c>
      <c r="AA56" t="s">
        <v>2184</v>
      </c>
      <c r="AB56" t="s">
        <v>2185</v>
      </c>
      <c r="AC56" t="s">
        <v>2186</v>
      </c>
      <c r="AD56" t="s">
        <v>176</v>
      </c>
      <c r="AE56" t="s">
        <v>177</v>
      </c>
      <c r="AF56">
        <f t="shared" si="18"/>
        <v>48.254166240000004</v>
      </c>
      <c r="AG56" t="s">
        <v>178</v>
      </c>
      <c r="AH56" t="s">
        <v>2187</v>
      </c>
      <c r="AI56" t="s">
        <v>642</v>
      </c>
      <c r="AJ56" t="s">
        <v>2188</v>
      </c>
      <c r="AK56" t="s">
        <v>2022</v>
      </c>
      <c r="AL56">
        <f t="shared" si="19"/>
        <v>29.29</v>
      </c>
      <c r="AM56" t="s">
        <v>256</v>
      </c>
      <c r="AN56" t="s">
        <v>184</v>
      </c>
      <c r="AO56" t="s">
        <v>2189</v>
      </c>
      <c r="AP56" t="s">
        <v>1294</v>
      </c>
      <c r="AQ56" t="s">
        <v>1584</v>
      </c>
      <c r="AR56" t="s">
        <v>2190</v>
      </c>
      <c r="AS56" t="s">
        <v>309</v>
      </c>
      <c r="AT56" t="s">
        <v>334</v>
      </c>
      <c r="AU56" t="s">
        <v>2191</v>
      </c>
      <c r="AV56" t="s">
        <v>2192</v>
      </c>
      <c r="AW56" t="s">
        <v>2193</v>
      </c>
      <c r="AX56" t="s">
        <v>2194</v>
      </c>
      <c r="AY56" t="s">
        <v>2195</v>
      </c>
      <c r="AZ56" t="s">
        <v>964</v>
      </c>
      <c r="BA56" t="s">
        <v>2196</v>
      </c>
      <c r="BB56" t="s">
        <v>2197</v>
      </c>
      <c r="BC56" t="s">
        <v>2198</v>
      </c>
      <c r="BD56" t="s">
        <v>161</v>
      </c>
      <c r="BE56" t="s">
        <v>2199</v>
      </c>
      <c r="BF56" t="s">
        <v>2200</v>
      </c>
      <c r="BG56" t="s">
        <v>2201</v>
      </c>
      <c r="BH56" t="s">
        <v>746</v>
      </c>
      <c r="BI56" t="s">
        <v>1048</v>
      </c>
      <c r="BJ56" t="s">
        <v>1815</v>
      </c>
      <c r="BK56" t="s">
        <v>161</v>
      </c>
      <c r="BL56" t="s">
        <v>1816</v>
      </c>
      <c r="BM56" t="s">
        <v>159</v>
      </c>
      <c r="BN56" t="s">
        <v>276</v>
      </c>
      <c r="BO56" t="s">
        <v>276</v>
      </c>
      <c r="BP56" t="s">
        <v>277</v>
      </c>
      <c r="BQ56" t="s">
        <v>2202</v>
      </c>
      <c r="BR56" t="s">
        <v>2203</v>
      </c>
      <c r="BS56" t="s">
        <v>2204</v>
      </c>
      <c r="BT56" t="s">
        <v>159</v>
      </c>
      <c r="BU56" t="s">
        <v>208</v>
      </c>
      <c r="BV56" t="s">
        <v>209</v>
      </c>
      <c r="BW56" t="s">
        <v>210</v>
      </c>
      <c r="BX56" t="s">
        <v>211</v>
      </c>
      <c r="BY56" t="s">
        <v>172</v>
      </c>
      <c r="BZ56" t="s">
        <v>212</v>
      </c>
      <c r="CA56" t="s">
        <v>172</v>
      </c>
      <c r="CB56" t="s">
        <v>172</v>
      </c>
      <c r="CC56" t="s">
        <v>213</v>
      </c>
      <c r="CD56" t="s">
        <v>214</v>
      </c>
      <c r="CE56" t="s">
        <v>215</v>
      </c>
      <c r="CF56" t="s">
        <v>216</v>
      </c>
      <c r="CG56" t="s">
        <v>217</v>
      </c>
      <c r="CH56" t="s">
        <v>218</v>
      </c>
      <c r="CI56" t="s">
        <v>178</v>
      </c>
      <c r="CJ56" t="s">
        <v>210</v>
      </c>
      <c r="CK56" t="s">
        <v>219</v>
      </c>
      <c r="CL56" t="s">
        <v>219</v>
      </c>
      <c r="CM56" t="s">
        <v>219</v>
      </c>
      <c r="CN56" t="s">
        <v>172</v>
      </c>
      <c r="CO56" t="s">
        <v>220</v>
      </c>
      <c r="CP56" t="s">
        <v>172</v>
      </c>
      <c r="CQ56" t="s">
        <v>172</v>
      </c>
      <c r="CR56" t="s">
        <v>172</v>
      </c>
      <c r="CS56" t="s">
        <v>172</v>
      </c>
      <c r="CT56" t="s">
        <v>2205</v>
      </c>
      <c r="CU56" t="s">
        <v>2206</v>
      </c>
      <c r="CV56" t="s">
        <v>2207</v>
      </c>
      <c r="CW56" t="s">
        <v>2208</v>
      </c>
      <c r="CX56" t="s">
        <v>2209</v>
      </c>
      <c r="CY56" t="s">
        <v>2210</v>
      </c>
      <c r="CZ56" t="s">
        <v>2211</v>
      </c>
      <c r="DA56" t="s">
        <v>2212</v>
      </c>
      <c r="DB56" t="s">
        <v>2184</v>
      </c>
      <c r="DC56" t="s">
        <v>822</v>
      </c>
      <c r="DD56" t="s">
        <v>230</v>
      </c>
      <c r="DE56" t="s">
        <v>231</v>
      </c>
      <c r="DF56" t="s">
        <v>178</v>
      </c>
      <c r="DG56" t="s">
        <v>232</v>
      </c>
      <c r="DH56" t="s">
        <v>233</v>
      </c>
      <c r="DI56" t="s">
        <v>178</v>
      </c>
      <c r="DJ56" t="s">
        <v>234</v>
      </c>
      <c r="DK56" t="s">
        <v>235</v>
      </c>
      <c r="DL56" t="s">
        <v>236</v>
      </c>
      <c r="DM56" t="s">
        <v>172</v>
      </c>
      <c r="DN56" t="s">
        <v>2183</v>
      </c>
      <c r="DO56" t="s">
        <v>237</v>
      </c>
      <c r="DP56" t="s">
        <v>238</v>
      </c>
      <c r="DQ56" t="s">
        <v>239</v>
      </c>
      <c r="DR56" t="s">
        <v>240</v>
      </c>
      <c r="DS56" t="s">
        <v>241</v>
      </c>
      <c r="DT56" t="s">
        <v>242</v>
      </c>
    </row>
    <row r="57" spans="1:124" x14ac:dyDescent="0.45">
      <c r="A57" t="s">
        <v>2213</v>
      </c>
      <c r="B57" t="s">
        <v>2214</v>
      </c>
      <c r="C57" t="s">
        <v>161</v>
      </c>
      <c r="D57" t="s">
        <v>162</v>
      </c>
      <c r="E57" t="s">
        <v>163</v>
      </c>
      <c r="H57" t="s">
        <v>2250</v>
      </c>
      <c r="I57" t="s">
        <v>2215</v>
      </c>
      <c r="J57">
        <f t="shared" si="10"/>
        <v>0.11715643933859544</v>
      </c>
      <c r="K57">
        <f t="shared" si="11"/>
        <v>2.9058327199999998</v>
      </c>
      <c r="L57">
        <f t="shared" si="12"/>
        <v>0.11261602236882337</v>
      </c>
      <c r="M57">
        <f t="shared" si="13"/>
        <v>1.2048899094101904</v>
      </c>
      <c r="N57" t="s">
        <v>2216</v>
      </c>
      <c r="O57" t="s">
        <v>2217</v>
      </c>
      <c r="P57">
        <f t="shared" si="14"/>
        <v>4.1229354025347504</v>
      </c>
      <c r="Q57">
        <f t="shared" si="15"/>
        <v>1.0376234025347504</v>
      </c>
      <c r="R57" t="s">
        <v>2218</v>
      </c>
      <c r="S57" t="s">
        <v>2219</v>
      </c>
      <c r="T57">
        <f t="shared" si="16"/>
        <v>40.983453305514423</v>
      </c>
      <c r="U57">
        <f t="shared" si="17"/>
        <v>0.4417875</v>
      </c>
      <c r="V57" t="s">
        <v>170</v>
      </c>
      <c r="W57" t="s">
        <v>2220</v>
      </c>
      <c r="X57" t="s">
        <v>172</v>
      </c>
      <c r="Y57" t="s">
        <v>172</v>
      </c>
      <c r="Z57" t="s">
        <v>172</v>
      </c>
      <c r="AA57" t="s">
        <v>2221</v>
      </c>
      <c r="AB57" t="s">
        <v>2222</v>
      </c>
      <c r="AC57" t="s">
        <v>2223</v>
      </c>
      <c r="AD57" t="s">
        <v>176</v>
      </c>
      <c r="AE57" t="s">
        <v>177</v>
      </c>
      <c r="AF57">
        <f t="shared" si="18"/>
        <v>42.179215679999999</v>
      </c>
      <c r="AG57" t="s">
        <v>178</v>
      </c>
      <c r="AH57" t="s">
        <v>2224</v>
      </c>
      <c r="AI57" t="s">
        <v>2225</v>
      </c>
      <c r="AJ57" t="s">
        <v>2226</v>
      </c>
      <c r="AK57" t="s">
        <v>2227</v>
      </c>
      <c r="AL57">
        <f t="shared" si="19"/>
        <v>29.43</v>
      </c>
      <c r="AM57" t="s">
        <v>349</v>
      </c>
      <c r="AN57" t="s">
        <v>184</v>
      </c>
      <c r="AO57" t="s">
        <v>1583</v>
      </c>
      <c r="AP57" t="s">
        <v>646</v>
      </c>
      <c r="AQ57" t="s">
        <v>2058</v>
      </c>
      <c r="AR57" t="s">
        <v>2190</v>
      </c>
      <c r="AS57" t="s">
        <v>2228</v>
      </c>
      <c r="AT57" t="s">
        <v>262</v>
      </c>
      <c r="AU57" t="s">
        <v>439</v>
      </c>
      <c r="AV57" t="s">
        <v>2229</v>
      </c>
      <c r="AW57" t="s">
        <v>2230</v>
      </c>
      <c r="AX57" t="s">
        <v>2231</v>
      </c>
      <c r="AY57" t="s">
        <v>2232</v>
      </c>
      <c r="AZ57" t="s">
        <v>964</v>
      </c>
      <c r="BA57" t="s">
        <v>2233</v>
      </c>
      <c r="BB57" t="s">
        <v>2197</v>
      </c>
      <c r="BC57" t="s">
        <v>2234</v>
      </c>
      <c r="BD57" t="s">
        <v>161</v>
      </c>
      <c r="BE57" t="s">
        <v>925</v>
      </c>
      <c r="BF57" t="s">
        <v>926</v>
      </c>
      <c r="BG57" t="s">
        <v>2235</v>
      </c>
      <c r="BH57" t="s">
        <v>709</v>
      </c>
      <c r="BI57" t="s">
        <v>1667</v>
      </c>
      <c r="BJ57" t="s">
        <v>1815</v>
      </c>
      <c r="BK57" t="s">
        <v>161</v>
      </c>
      <c r="BL57" t="s">
        <v>1816</v>
      </c>
      <c r="BM57" t="s">
        <v>159</v>
      </c>
      <c r="BN57" t="s">
        <v>203</v>
      </c>
      <c r="BO57" t="s">
        <v>276</v>
      </c>
      <c r="BP57" t="s">
        <v>621</v>
      </c>
      <c r="BQ57" t="s">
        <v>2236</v>
      </c>
      <c r="BR57" t="s">
        <v>2237</v>
      </c>
      <c r="BS57" t="s">
        <v>2238</v>
      </c>
      <c r="BT57" t="s">
        <v>159</v>
      </c>
      <c r="BU57" t="s">
        <v>208</v>
      </c>
      <c r="BV57" t="s">
        <v>209</v>
      </c>
      <c r="BW57" t="s">
        <v>210</v>
      </c>
      <c r="BX57" t="s">
        <v>211</v>
      </c>
      <c r="BY57" t="s">
        <v>172</v>
      </c>
      <c r="BZ57" t="s">
        <v>212</v>
      </c>
      <c r="CA57" t="s">
        <v>172</v>
      </c>
      <c r="CB57" t="s">
        <v>172</v>
      </c>
      <c r="CC57" t="s">
        <v>213</v>
      </c>
      <c r="CD57" t="s">
        <v>214</v>
      </c>
      <c r="CE57" t="s">
        <v>215</v>
      </c>
      <c r="CF57" t="s">
        <v>216</v>
      </c>
      <c r="CG57" t="s">
        <v>217</v>
      </c>
      <c r="CH57" t="s">
        <v>218</v>
      </c>
      <c r="CI57" t="s">
        <v>178</v>
      </c>
      <c r="CJ57" t="s">
        <v>210</v>
      </c>
      <c r="CK57" t="s">
        <v>219</v>
      </c>
      <c r="CL57" t="s">
        <v>219</v>
      </c>
      <c r="CM57" t="s">
        <v>219</v>
      </c>
      <c r="CN57" t="s">
        <v>172</v>
      </c>
      <c r="CO57" t="s">
        <v>220</v>
      </c>
      <c r="CP57" t="s">
        <v>172</v>
      </c>
      <c r="CQ57" t="s">
        <v>172</v>
      </c>
      <c r="CR57" t="s">
        <v>172</v>
      </c>
      <c r="CS57" t="s">
        <v>172</v>
      </c>
      <c r="CT57" t="s">
        <v>2239</v>
      </c>
      <c r="CU57" t="s">
        <v>2240</v>
      </c>
      <c r="CV57" t="s">
        <v>2241</v>
      </c>
      <c r="CW57" t="s">
        <v>2242</v>
      </c>
      <c r="CX57" t="s">
        <v>2243</v>
      </c>
      <c r="CY57" t="s">
        <v>2244</v>
      </c>
      <c r="CZ57" t="s">
        <v>2245</v>
      </c>
      <c r="DA57" t="s">
        <v>2246</v>
      </c>
      <c r="DB57" t="s">
        <v>2221</v>
      </c>
      <c r="DC57" t="s">
        <v>2247</v>
      </c>
      <c r="DD57" t="s">
        <v>230</v>
      </c>
      <c r="DE57" t="s">
        <v>231</v>
      </c>
      <c r="DF57" t="s">
        <v>178</v>
      </c>
      <c r="DG57" t="s">
        <v>232</v>
      </c>
      <c r="DH57" t="s">
        <v>233</v>
      </c>
      <c r="DI57" t="s">
        <v>178</v>
      </c>
      <c r="DJ57" t="s">
        <v>234</v>
      </c>
      <c r="DK57" t="s">
        <v>235</v>
      </c>
      <c r="DL57" t="s">
        <v>236</v>
      </c>
      <c r="DM57" t="s">
        <v>172</v>
      </c>
      <c r="DN57" t="s">
        <v>2220</v>
      </c>
      <c r="DO57" t="s">
        <v>237</v>
      </c>
      <c r="DP57" t="s">
        <v>238</v>
      </c>
      <c r="DQ57" t="s">
        <v>239</v>
      </c>
      <c r="DR57" t="s">
        <v>240</v>
      </c>
      <c r="DS57" t="s">
        <v>241</v>
      </c>
      <c r="DT57" t="s">
        <v>242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57"/>
  <sheetViews>
    <sheetView workbookViewId="0">
      <selection activeCell="Q18" sqref="Q18"/>
    </sheetView>
  </sheetViews>
  <sheetFormatPr defaultRowHeight="19.2" x14ac:dyDescent="0.45"/>
  <sheetData>
    <row r="1" spans="1:124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165</v>
      </c>
      <c r="J4">
        <v>0.26401277465756012</v>
      </c>
      <c r="K4">
        <v>2.9058327199999998</v>
      </c>
      <c r="L4">
        <v>0.24202345520970039</v>
      </c>
      <c r="M4">
        <v>2.4267289249666359</v>
      </c>
      <c r="N4" t="s">
        <v>166</v>
      </c>
      <c r="O4" t="s">
        <v>167</v>
      </c>
      <c r="P4">
        <v>4.0287597134286024</v>
      </c>
      <c r="Q4">
        <v>0.9731427134286017</v>
      </c>
      <c r="R4" t="s">
        <v>168</v>
      </c>
      <c r="S4" t="s">
        <v>169</v>
      </c>
      <c r="T4">
        <v>40.051294496755162</v>
      </c>
      <c r="U4"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v>84.563204040000002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v>29.03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X4" t="s">
        <v>192</v>
      </c>
      <c r="AY4" t="s">
        <v>193</v>
      </c>
      <c r="BC4" t="s">
        <v>194</v>
      </c>
      <c r="BD4" t="s">
        <v>195</v>
      </c>
      <c r="BE4" t="s">
        <v>196</v>
      </c>
      <c r="BF4" t="s">
        <v>197</v>
      </c>
      <c r="BG4" t="s">
        <v>198</v>
      </c>
      <c r="BH4" t="s">
        <v>199</v>
      </c>
      <c r="BI4" t="s">
        <v>200</v>
      </c>
      <c r="BJ4" t="s">
        <v>201</v>
      </c>
      <c r="BK4" t="s">
        <v>161</v>
      </c>
      <c r="BL4" t="s">
        <v>202</v>
      </c>
      <c r="BM4" t="s">
        <v>159</v>
      </c>
      <c r="BN4" t="s">
        <v>203</v>
      </c>
      <c r="BO4" t="s">
        <v>203</v>
      </c>
      <c r="BP4" t="s">
        <v>204</v>
      </c>
      <c r="BQ4" t="s">
        <v>205</v>
      </c>
      <c r="BR4" t="s">
        <v>206</v>
      </c>
      <c r="BS4" t="s">
        <v>207</v>
      </c>
      <c r="BT4" t="s">
        <v>159</v>
      </c>
      <c r="BU4" t="s">
        <v>208</v>
      </c>
      <c r="BV4" t="s">
        <v>209</v>
      </c>
      <c r="BW4" t="s">
        <v>210</v>
      </c>
      <c r="BX4" t="s">
        <v>211</v>
      </c>
      <c r="BY4" t="s">
        <v>172</v>
      </c>
      <c r="BZ4" t="s">
        <v>212</v>
      </c>
      <c r="CA4" t="s">
        <v>172</v>
      </c>
      <c r="CB4" t="s">
        <v>172</v>
      </c>
      <c r="CC4" t="s">
        <v>213</v>
      </c>
      <c r="CD4" t="s">
        <v>214</v>
      </c>
      <c r="CE4" t="s">
        <v>215</v>
      </c>
      <c r="CF4" t="s">
        <v>216</v>
      </c>
      <c r="CG4" t="s">
        <v>217</v>
      </c>
      <c r="CH4" t="s">
        <v>218</v>
      </c>
      <c r="CI4" t="s">
        <v>178</v>
      </c>
      <c r="CJ4" t="s">
        <v>210</v>
      </c>
      <c r="CK4" t="s">
        <v>219</v>
      </c>
      <c r="CL4" t="s">
        <v>219</v>
      </c>
      <c r="CM4" t="s">
        <v>219</v>
      </c>
      <c r="CN4" t="s">
        <v>172</v>
      </c>
      <c r="CO4" t="s">
        <v>220</v>
      </c>
      <c r="CP4" t="s">
        <v>172</v>
      </c>
      <c r="CQ4" t="s">
        <v>172</v>
      </c>
      <c r="CR4" t="s">
        <v>172</v>
      </c>
      <c r="CS4" t="s">
        <v>172</v>
      </c>
      <c r="CT4" t="s">
        <v>221</v>
      </c>
      <c r="CU4" t="s">
        <v>222</v>
      </c>
      <c r="CV4" t="s">
        <v>223</v>
      </c>
      <c r="CW4" t="s">
        <v>224</v>
      </c>
      <c r="CX4" t="s">
        <v>225</v>
      </c>
      <c r="CY4" t="s">
        <v>226</v>
      </c>
      <c r="CZ4" t="s">
        <v>227</v>
      </c>
      <c r="DA4" t="s">
        <v>228</v>
      </c>
      <c r="DB4" t="s">
        <v>173</v>
      </c>
      <c r="DC4" t="s">
        <v>229</v>
      </c>
      <c r="DD4" t="s">
        <v>230</v>
      </c>
      <c r="DE4" t="s">
        <v>231</v>
      </c>
      <c r="DF4" t="s">
        <v>178</v>
      </c>
      <c r="DG4" t="s">
        <v>232</v>
      </c>
      <c r="DH4" t="s">
        <v>233</v>
      </c>
      <c r="DI4" t="s">
        <v>178</v>
      </c>
      <c r="DJ4" t="s">
        <v>234</v>
      </c>
      <c r="DK4" t="s">
        <v>235</v>
      </c>
      <c r="DL4" t="s">
        <v>236</v>
      </c>
      <c r="DM4" t="s">
        <v>172</v>
      </c>
      <c r="DN4" t="s">
        <v>171</v>
      </c>
      <c r="DO4" t="s">
        <v>237</v>
      </c>
      <c r="DP4" t="s">
        <v>238</v>
      </c>
      <c r="DQ4" t="s">
        <v>239</v>
      </c>
      <c r="DR4" t="s">
        <v>240</v>
      </c>
      <c r="DS4" t="s">
        <v>241</v>
      </c>
      <c r="DT4" t="s">
        <v>242</v>
      </c>
    </row>
    <row r="5" spans="1:124" x14ac:dyDescent="0.45">
      <c r="A5" t="s">
        <v>190</v>
      </c>
      <c r="B5" t="s">
        <v>243</v>
      </c>
      <c r="C5" t="s">
        <v>161</v>
      </c>
      <c r="D5" t="s">
        <v>162</v>
      </c>
      <c r="E5" t="s">
        <v>163</v>
      </c>
      <c r="I5" t="s">
        <v>244</v>
      </c>
      <c r="J5">
        <v>0.45270705378652348</v>
      </c>
      <c r="K5">
        <v>2.9058327199999998</v>
      </c>
      <c r="L5">
        <v>0.39168539248369649</v>
      </c>
      <c r="M5">
        <v>3.535478288794113</v>
      </c>
      <c r="N5" t="s">
        <v>245</v>
      </c>
      <c r="O5" t="s">
        <v>246</v>
      </c>
      <c r="P5">
        <v>4.0287597134286024</v>
      </c>
      <c r="Q5">
        <v>0.87567871342860171</v>
      </c>
      <c r="R5" t="s">
        <v>247</v>
      </c>
      <c r="S5" t="s">
        <v>248</v>
      </c>
      <c r="T5">
        <v>40.043332804180523</v>
      </c>
      <c r="U5">
        <v>0.4417875</v>
      </c>
      <c r="V5" t="s">
        <v>170</v>
      </c>
      <c r="W5" t="s">
        <v>249</v>
      </c>
      <c r="X5" t="s">
        <v>172</v>
      </c>
      <c r="Y5" t="s">
        <v>172</v>
      </c>
      <c r="Z5" t="s">
        <v>172</v>
      </c>
      <c r="AA5" t="s">
        <v>250</v>
      </c>
      <c r="AB5" t="s">
        <v>251</v>
      </c>
      <c r="AC5" t="s">
        <v>252</v>
      </c>
      <c r="AD5" t="s">
        <v>176</v>
      </c>
      <c r="AE5" t="s">
        <v>177</v>
      </c>
      <c r="AF5">
        <v>60.839975279999997</v>
      </c>
      <c r="AG5" t="s">
        <v>178</v>
      </c>
      <c r="AH5" t="s">
        <v>253</v>
      </c>
      <c r="AI5" t="s">
        <v>254</v>
      </c>
      <c r="AJ5" t="s">
        <v>255</v>
      </c>
      <c r="AK5" t="s">
        <v>182</v>
      </c>
      <c r="AL5">
        <v>29.03</v>
      </c>
      <c r="AM5" t="s">
        <v>256</v>
      </c>
      <c r="AN5" t="s">
        <v>184</v>
      </c>
      <c r="AO5" t="s">
        <v>257</v>
      </c>
      <c r="AP5" t="s">
        <v>258</v>
      </c>
      <c r="AQ5" t="s">
        <v>259</v>
      </c>
      <c r="AR5" t="s">
        <v>260</v>
      </c>
      <c r="AS5" t="s">
        <v>261</v>
      </c>
      <c r="AT5" t="s">
        <v>262</v>
      </c>
      <c r="AU5" t="s">
        <v>263</v>
      </c>
      <c r="AV5" t="s">
        <v>264</v>
      </c>
      <c r="AW5" t="s">
        <v>265</v>
      </c>
      <c r="AX5" t="s">
        <v>266</v>
      </c>
      <c r="AY5" t="s">
        <v>267</v>
      </c>
      <c r="AZ5" t="s">
        <v>268</v>
      </c>
      <c r="BA5" t="s">
        <v>269</v>
      </c>
      <c r="BB5" t="s">
        <v>270</v>
      </c>
      <c r="BC5" t="s">
        <v>271</v>
      </c>
      <c r="BD5" t="s">
        <v>161</v>
      </c>
      <c r="BE5" t="s">
        <v>196</v>
      </c>
      <c r="BF5" t="s">
        <v>272</v>
      </c>
      <c r="BG5" t="s">
        <v>273</v>
      </c>
      <c r="BH5" t="s">
        <v>274</v>
      </c>
      <c r="BI5" t="s">
        <v>275</v>
      </c>
      <c r="BJ5" t="s">
        <v>201</v>
      </c>
      <c r="BK5" t="s">
        <v>161</v>
      </c>
      <c r="BL5" t="s">
        <v>202</v>
      </c>
      <c r="BM5" t="s">
        <v>159</v>
      </c>
      <c r="BN5" t="s">
        <v>276</v>
      </c>
      <c r="BO5" t="s">
        <v>277</v>
      </c>
      <c r="BP5" t="s">
        <v>278</v>
      </c>
      <c r="BQ5" t="s">
        <v>279</v>
      </c>
      <c r="BR5" t="s">
        <v>280</v>
      </c>
      <c r="BS5" t="s">
        <v>281</v>
      </c>
      <c r="BT5" t="s">
        <v>159</v>
      </c>
      <c r="BU5" t="s">
        <v>208</v>
      </c>
      <c r="BV5" t="s">
        <v>209</v>
      </c>
      <c r="BW5" t="s">
        <v>210</v>
      </c>
      <c r="BX5" t="s">
        <v>211</v>
      </c>
      <c r="BY5" t="s">
        <v>172</v>
      </c>
      <c r="BZ5" t="s">
        <v>212</v>
      </c>
      <c r="CA5" t="s">
        <v>172</v>
      </c>
      <c r="CB5" t="s">
        <v>172</v>
      </c>
      <c r="CC5" t="s">
        <v>213</v>
      </c>
      <c r="CD5" t="s">
        <v>214</v>
      </c>
      <c r="CE5" t="s">
        <v>215</v>
      </c>
      <c r="CF5" t="s">
        <v>216</v>
      </c>
      <c r="CG5" t="s">
        <v>217</v>
      </c>
      <c r="CH5" t="s">
        <v>218</v>
      </c>
      <c r="CI5" t="s">
        <v>178</v>
      </c>
      <c r="CJ5" t="s">
        <v>210</v>
      </c>
      <c r="CK5" t="s">
        <v>219</v>
      </c>
      <c r="CL5" t="s">
        <v>219</v>
      </c>
      <c r="CM5" t="s">
        <v>219</v>
      </c>
      <c r="CN5" t="s">
        <v>172</v>
      </c>
      <c r="CO5" t="s">
        <v>220</v>
      </c>
      <c r="CP5" t="s">
        <v>172</v>
      </c>
      <c r="CQ5" t="s">
        <v>172</v>
      </c>
      <c r="CR5" t="s">
        <v>172</v>
      </c>
      <c r="CS5" t="s">
        <v>172</v>
      </c>
      <c r="CT5" t="s">
        <v>282</v>
      </c>
      <c r="CU5" t="s">
        <v>283</v>
      </c>
      <c r="CV5" t="s">
        <v>284</v>
      </c>
      <c r="CW5" t="s">
        <v>285</v>
      </c>
      <c r="CX5" t="s">
        <v>286</v>
      </c>
      <c r="CY5" t="s">
        <v>287</v>
      </c>
      <c r="CZ5" t="s">
        <v>288</v>
      </c>
      <c r="DA5" t="s">
        <v>289</v>
      </c>
      <c r="DB5" t="s">
        <v>250</v>
      </c>
      <c r="DC5" t="s">
        <v>290</v>
      </c>
      <c r="DD5" t="s">
        <v>230</v>
      </c>
      <c r="DE5" t="s">
        <v>231</v>
      </c>
      <c r="DF5" t="s">
        <v>178</v>
      </c>
      <c r="DG5" t="s">
        <v>232</v>
      </c>
      <c r="DH5" t="s">
        <v>233</v>
      </c>
      <c r="DI5" t="s">
        <v>178</v>
      </c>
      <c r="DJ5" t="s">
        <v>234</v>
      </c>
      <c r="DK5" t="s">
        <v>235</v>
      </c>
      <c r="DL5" t="s">
        <v>236</v>
      </c>
      <c r="DM5" t="s">
        <v>172</v>
      </c>
      <c r="DN5" t="s">
        <v>249</v>
      </c>
      <c r="DO5" t="s">
        <v>237</v>
      </c>
      <c r="DP5" t="s">
        <v>238</v>
      </c>
      <c r="DQ5" t="s">
        <v>239</v>
      </c>
      <c r="DR5" t="s">
        <v>240</v>
      </c>
      <c r="DS5" t="s">
        <v>241</v>
      </c>
      <c r="DT5" t="s">
        <v>242</v>
      </c>
    </row>
    <row r="6" spans="1:124" x14ac:dyDescent="0.45">
      <c r="A6" t="s">
        <v>262</v>
      </c>
      <c r="B6" t="s">
        <v>291</v>
      </c>
      <c r="C6" t="s">
        <v>161</v>
      </c>
      <c r="D6" t="s">
        <v>162</v>
      </c>
      <c r="E6" t="s">
        <v>163</v>
      </c>
      <c r="I6" t="s">
        <v>292</v>
      </c>
      <c r="J6">
        <v>0.33798240695215709</v>
      </c>
      <c r="K6">
        <v>2.9050319999999989</v>
      </c>
      <c r="L6">
        <v>0.30275835516740701</v>
      </c>
      <c r="M6">
        <v>2.8969503465693172</v>
      </c>
      <c r="N6" t="s">
        <v>293</v>
      </c>
      <c r="O6" t="s">
        <v>294</v>
      </c>
      <c r="P6">
        <v>4.1134322640059997</v>
      </c>
      <c r="Q6">
        <v>0.92786326400599961</v>
      </c>
      <c r="R6" t="s">
        <v>295</v>
      </c>
      <c r="S6" t="s">
        <v>296</v>
      </c>
      <c r="T6">
        <v>40.884924599999998</v>
      </c>
      <c r="U6">
        <v>0.4417875</v>
      </c>
      <c r="V6" t="s">
        <v>170</v>
      </c>
      <c r="W6" t="s">
        <v>297</v>
      </c>
      <c r="X6" t="s">
        <v>172</v>
      </c>
      <c r="Y6" t="s">
        <v>172</v>
      </c>
      <c r="Z6" t="s">
        <v>172</v>
      </c>
      <c r="AA6" t="s">
        <v>298</v>
      </c>
      <c r="AB6" t="s">
        <v>299</v>
      </c>
      <c r="AC6" t="s">
        <v>300</v>
      </c>
      <c r="AD6" t="s">
        <v>176</v>
      </c>
      <c r="AE6" t="s">
        <v>177</v>
      </c>
      <c r="AF6">
        <v>40.718695919999988</v>
      </c>
      <c r="AG6" t="s">
        <v>178</v>
      </c>
      <c r="AH6" t="s">
        <v>301</v>
      </c>
      <c r="AI6" t="s">
        <v>302</v>
      </c>
      <c r="AJ6" t="s">
        <v>303</v>
      </c>
      <c r="AK6" t="s">
        <v>304</v>
      </c>
      <c r="AL6">
        <v>29.39</v>
      </c>
      <c r="AM6" t="s">
        <v>256</v>
      </c>
      <c r="AN6" t="s">
        <v>305</v>
      </c>
      <c r="AO6" t="s">
        <v>306</v>
      </c>
      <c r="AP6" t="s">
        <v>258</v>
      </c>
      <c r="AQ6" t="s">
        <v>307</v>
      </c>
      <c r="AR6" t="s">
        <v>308</v>
      </c>
      <c r="AS6" t="s">
        <v>309</v>
      </c>
      <c r="AT6" t="s">
        <v>215</v>
      </c>
      <c r="AU6" t="s">
        <v>310</v>
      </c>
      <c r="AV6" t="s">
        <v>311</v>
      </c>
      <c r="AW6" t="s">
        <v>312</v>
      </c>
      <c r="AX6" t="s">
        <v>313</v>
      </c>
      <c r="AY6" t="s">
        <v>314</v>
      </c>
      <c r="AZ6" t="s">
        <v>268</v>
      </c>
      <c r="BA6" t="s">
        <v>315</v>
      </c>
      <c r="BB6" t="s">
        <v>316</v>
      </c>
      <c r="BC6" t="s">
        <v>317</v>
      </c>
      <c r="BD6" t="s">
        <v>161</v>
      </c>
      <c r="BE6" t="s">
        <v>318</v>
      </c>
      <c r="BF6" t="s">
        <v>197</v>
      </c>
      <c r="BG6" t="s">
        <v>319</v>
      </c>
      <c r="BH6" t="s">
        <v>274</v>
      </c>
      <c r="BI6" t="s">
        <v>320</v>
      </c>
      <c r="BJ6" t="s">
        <v>201</v>
      </c>
      <c r="BK6" t="s">
        <v>161</v>
      </c>
      <c r="BL6" t="s">
        <v>202</v>
      </c>
      <c r="BM6" t="s">
        <v>159</v>
      </c>
      <c r="BN6" t="s">
        <v>321</v>
      </c>
      <c r="BO6" t="s">
        <v>203</v>
      </c>
      <c r="BP6" t="s">
        <v>322</v>
      </c>
      <c r="BQ6" t="s">
        <v>323</v>
      </c>
      <c r="BR6" t="s">
        <v>322</v>
      </c>
      <c r="BS6" t="s">
        <v>324</v>
      </c>
      <c r="BT6" t="s">
        <v>159</v>
      </c>
      <c r="BU6" t="s">
        <v>208</v>
      </c>
      <c r="BV6" t="s">
        <v>209</v>
      </c>
      <c r="BW6" t="s">
        <v>210</v>
      </c>
      <c r="BX6" t="s">
        <v>211</v>
      </c>
      <c r="BY6" t="s">
        <v>172</v>
      </c>
      <c r="BZ6" t="s">
        <v>212</v>
      </c>
      <c r="CA6" t="s">
        <v>172</v>
      </c>
      <c r="CB6" t="s">
        <v>172</v>
      </c>
      <c r="CC6" t="s">
        <v>213</v>
      </c>
      <c r="CD6" t="s">
        <v>214</v>
      </c>
      <c r="CE6" t="s">
        <v>215</v>
      </c>
      <c r="CF6" t="s">
        <v>216</v>
      </c>
      <c r="CG6" t="s">
        <v>217</v>
      </c>
      <c r="CH6" t="s">
        <v>218</v>
      </c>
      <c r="CI6" t="s">
        <v>178</v>
      </c>
      <c r="CJ6" t="s">
        <v>210</v>
      </c>
      <c r="CK6" t="s">
        <v>219</v>
      </c>
      <c r="CL6" t="s">
        <v>219</v>
      </c>
      <c r="CM6" t="s">
        <v>219</v>
      </c>
      <c r="CN6" t="s">
        <v>172</v>
      </c>
      <c r="CO6" t="s">
        <v>220</v>
      </c>
      <c r="CP6" t="s">
        <v>172</v>
      </c>
      <c r="CQ6" t="s">
        <v>172</v>
      </c>
      <c r="CR6" t="s">
        <v>172</v>
      </c>
      <c r="CS6" t="s">
        <v>172</v>
      </c>
      <c r="CT6" t="s">
        <v>325</v>
      </c>
      <c r="CU6" t="s">
        <v>326</v>
      </c>
      <c r="CV6" t="s">
        <v>327</v>
      </c>
      <c r="CW6" t="s">
        <v>328</v>
      </c>
      <c r="CX6" t="s">
        <v>329</v>
      </c>
      <c r="CY6" t="s">
        <v>330</v>
      </c>
      <c r="CZ6" t="s">
        <v>331</v>
      </c>
      <c r="DA6" t="s">
        <v>332</v>
      </c>
      <c r="DB6" t="s">
        <v>298</v>
      </c>
      <c r="DC6" t="s">
        <v>333</v>
      </c>
      <c r="DD6" t="s">
        <v>230</v>
      </c>
      <c r="DE6" t="s">
        <v>231</v>
      </c>
      <c r="DF6" t="s">
        <v>178</v>
      </c>
      <c r="DG6" t="s">
        <v>232</v>
      </c>
      <c r="DH6" t="s">
        <v>233</v>
      </c>
      <c r="DI6" t="s">
        <v>178</v>
      </c>
      <c r="DJ6" t="s">
        <v>234</v>
      </c>
      <c r="DK6" t="s">
        <v>235</v>
      </c>
      <c r="DL6" t="s">
        <v>236</v>
      </c>
      <c r="DM6" t="s">
        <v>172</v>
      </c>
      <c r="DN6" t="s">
        <v>297</v>
      </c>
      <c r="DO6" t="s">
        <v>237</v>
      </c>
      <c r="DP6" t="s">
        <v>238</v>
      </c>
      <c r="DQ6" t="s">
        <v>239</v>
      </c>
      <c r="DR6" t="s">
        <v>240</v>
      </c>
      <c r="DS6" t="s">
        <v>241</v>
      </c>
      <c r="DT6" t="s">
        <v>242</v>
      </c>
    </row>
    <row r="7" spans="1:124" x14ac:dyDescent="0.45">
      <c r="A7" t="s">
        <v>334</v>
      </c>
      <c r="B7" t="s">
        <v>335</v>
      </c>
      <c r="C7" t="s">
        <v>161</v>
      </c>
      <c r="D7" t="s">
        <v>162</v>
      </c>
      <c r="E7" t="s">
        <v>163</v>
      </c>
      <c r="I7" t="s">
        <v>336</v>
      </c>
      <c r="J7">
        <v>0.26639911369298719</v>
      </c>
      <c r="K7">
        <v>2.9050319999999989</v>
      </c>
      <c r="L7">
        <v>0.24402168053040171</v>
      </c>
      <c r="M7">
        <v>2.5455601005198738</v>
      </c>
      <c r="N7" t="s">
        <v>337</v>
      </c>
      <c r="O7" t="s">
        <v>338</v>
      </c>
      <c r="P7">
        <v>4.15155975131644</v>
      </c>
      <c r="Q7">
        <v>1.01133375131644</v>
      </c>
      <c r="R7" t="s">
        <v>339</v>
      </c>
      <c r="S7" t="s">
        <v>340</v>
      </c>
      <c r="T7">
        <v>41.267989575710153</v>
      </c>
      <c r="U7">
        <v>0.4417875</v>
      </c>
      <c r="V7" t="s">
        <v>170</v>
      </c>
      <c r="W7" t="s">
        <v>341</v>
      </c>
      <c r="X7" t="s">
        <v>172</v>
      </c>
      <c r="Y7" t="s">
        <v>172</v>
      </c>
      <c r="Z7" t="s">
        <v>172</v>
      </c>
      <c r="AA7" t="s">
        <v>342</v>
      </c>
      <c r="AB7" t="s">
        <v>343</v>
      </c>
      <c r="AC7" t="s">
        <v>344</v>
      </c>
      <c r="AD7" t="s">
        <v>176</v>
      </c>
      <c r="AE7" t="s">
        <v>177</v>
      </c>
      <c r="AF7">
        <v>42.768806640000001</v>
      </c>
      <c r="AG7" t="s">
        <v>178</v>
      </c>
      <c r="AH7" t="s">
        <v>345</v>
      </c>
      <c r="AI7" t="s">
        <v>346</v>
      </c>
      <c r="AJ7" t="s">
        <v>347</v>
      </c>
      <c r="AK7" t="s">
        <v>348</v>
      </c>
      <c r="AL7">
        <v>29.55</v>
      </c>
      <c r="AM7" t="s">
        <v>349</v>
      </c>
      <c r="AN7" t="s">
        <v>305</v>
      </c>
      <c r="AO7" t="s">
        <v>350</v>
      </c>
      <c r="AP7" t="s">
        <v>351</v>
      </c>
      <c r="AQ7" t="s">
        <v>352</v>
      </c>
      <c r="AR7" t="s">
        <v>353</v>
      </c>
      <c r="AS7" t="s">
        <v>354</v>
      </c>
      <c r="AT7" t="s">
        <v>199</v>
      </c>
      <c r="AU7" t="s">
        <v>355</v>
      </c>
      <c r="AV7" t="s">
        <v>356</v>
      </c>
      <c r="AW7" t="s">
        <v>357</v>
      </c>
      <c r="AX7" t="s">
        <v>358</v>
      </c>
      <c r="AY7" t="s">
        <v>359</v>
      </c>
      <c r="AZ7" t="s">
        <v>268</v>
      </c>
      <c r="BA7" t="s">
        <v>360</v>
      </c>
      <c r="BB7" t="s">
        <v>361</v>
      </c>
      <c r="BC7" t="s">
        <v>362</v>
      </c>
      <c r="BD7" t="s">
        <v>161</v>
      </c>
      <c r="BE7" t="s">
        <v>363</v>
      </c>
      <c r="BF7" t="s">
        <v>364</v>
      </c>
      <c r="BG7" t="s">
        <v>365</v>
      </c>
      <c r="BH7" t="s">
        <v>366</v>
      </c>
      <c r="BI7" t="s">
        <v>367</v>
      </c>
      <c r="BJ7" t="s">
        <v>201</v>
      </c>
      <c r="BK7" t="s">
        <v>161</v>
      </c>
      <c r="BL7" t="s">
        <v>202</v>
      </c>
      <c r="BM7" t="s">
        <v>159</v>
      </c>
      <c r="BN7" t="s">
        <v>203</v>
      </c>
      <c r="BO7" t="s">
        <v>203</v>
      </c>
      <c r="BP7" t="s">
        <v>368</v>
      </c>
      <c r="BQ7" t="s">
        <v>369</v>
      </c>
      <c r="BR7" t="s">
        <v>370</v>
      </c>
      <c r="BS7" t="s">
        <v>371</v>
      </c>
      <c r="BT7" t="s">
        <v>159</v>
      </c>
      <c r="BU7" t="s">
        <v>208</v>
      </c>
      <c r="BV7" t="s">
        <v>209</v>
      </c>
      <c r="BW7" t="s">
        <v>210</v>
      </c>
      <c r="BX7" t="s">
        <v>211</v>
      </c>
      <c r="BY7" t="s">
        <v>172</v>
      </c>
      <c r="BZ7" t="s">
        <v>212</v>
      </c>
      <c r="CA7" t="s">
        <v>172</v>
      </c>
      <c r="CB7" t="s">
        <v>172</v>
      </c>
      <c r="CC7" t="s">
        <v>213</v>
      </c>
      <c r="CD7" t="s">
        <v>214</v>
      </c>
      <c r="CE7" t="s">
        <v>215</v>
      </c>
      <c r="CF7" t="s">
        <v>216</v>
      </c>
      <c r="CG7" t="s">
        <v>217</v>
      </c>
      <c r="CH7" t="s">
        <v>218</v>
      </c>
      <c r="CI7" t="s">
        <v>178</v>
      </c>
      <c r="CJ7" t="s">
        <v>210</v>
      </c>
      <c r="CK7" t="s">
        <v>219</v>
      </c>
      <c r="CL7" t="s">
        <v>219</v>
      </c>
      <c r="CM7" t="s">
        <v>219</v>
      </c>
      <c r="CN7" t="s">
        <v>172</v>
      </c>
      <c r="CO7" t="s">
        <v>220</v>
      </c>
      <c r="CP7" t="s">
        <v>172</v>
      </c>
      <c r="CQ7" t="s">
        <v>172</v>
      </c>
      <c r="CR7" t="s">
        <v>172</v>
      </c>
      <c r="CS7" t="s">
        <v>172</v>
      </c>
      <c r="CT7" t="s">
        <v>372</v>
      </c>
      <c r="CU7" t="s">
        <v>373</v>
      </c>
      <c r="CV7" t="s">
        <v>374</v>
      </c>
      <c r="CW7" t="s">
        <v>375</v>
      </c>
      <c r="CX7" t="s">
        <v>376</v>
      </c>
      <c r="CY7" t="s">
        <v>377</v>
      </c>
      <c r="CZ7" t="s">
        <v>378</v>
      </c>
      <c r="DA7" t="s">
        <v>379</v>
      </c>
      <c r="DB7" t="s">
        <v>342</v>
      </c>
      <c r="DC7" t="s">
        <v>380</v>
      </c>
      <c r="DD7" t="s">
        <v>230</v>
      </c>
      <c r="DE7" t="s">
        <v>231</v>
      </c>
      <c r="DF7" t="s">
        <v>178</v>
      </c>
      <c r="DG7" t="s">
        <v>232</v>
      </c>
      <c r="DH7" t="s">
        <v>233</v>
      </c>
      <c r="DI7" t="s">
        <v>178</v>
      </c>
      <c r="DJ7" t="s">
        <v>234</v>
      </c>
      <c r="DK7" t="s">
        <v>235</v>
      </c>
      <c r="DL7" t="s">
        <v>236</v>
      </c>
      <c r="DM7" t="s">
        <v>172</v>
      </c>
      <c r="DN7" t="s">
        <v>341</v>
      </c>
      <c r="DO7" t="s">
        <v>237</v>
      </c>
      <c r="DP7" t="s">
        <v>238</v>
      </c>
      <c r="DQ7" t="s">
        <v>239</v>
      </c>
      <c r="DR7" t="s">
        <v>240</v>
      </c>
      <c r="DS7" t="s">
        <v>241</v>
      </c>
      <c r="DT7" t="s">
        <v>242</v>
      </c>
    </row>
    <row r="8" spans="1:124" x14ac:dyDescent="0.45">
      <c r="A8" t="s">
        <v>381</v>
      </c>
      <c r="B8" t="s">
        <v>382</v>
      </c>
      <c r="C8" t="s">
        <v>161</v>
      </c>
      <c r="D8" t="s">
        <v>162</v>
      </c>
      <c r="E8" t="s">
        <v>163</v>
      </c>
      <c r="I8" t="s">
        <v>383</v>
      </c>
      <c r="J8">
        <v>0.26702579023719519</v>
      </c>
      <c r="K8">
        <v>2.9066320800000001</v>
      </c>
      <c r="L8">
        <v>0.24455872681473839</v>
      </c>
      <c r="M8">
        <v>2.3464991774046422</v>
      </c>
      <c r="N8" t="s">
        <v>384</v>
      </c>
      <c r="O8" t="s">
        <v>385</v>
      </c>
      <c r="P8">
        <v>4.1635375961587071</v>
      </c>
      <c r="Q8">
        <v>0.92984759615870693</v>
      </c>
      <c r="R8" t="s">
        <v>386</v>
      </c>
      <c r="S8" t="s">
        <v>387</v>
      </c>
      <c r="T8">
        <v>41.382940027419806</v>
      </c>
      <c r="U8">
        <v>0.4417875</v>
      </c>
      <c r="V8" t="s">
        <v>170</v>
      </c>
      <c r="W8" t="s">
        <v>388</v>
      </c>
      <c r="X8" t="s">
        <v>172</v>
      </c>
      <c r="Y8" t="s">
        <v>172</v>
      </c>
      <c r="Z8" t="s">
        <v>172</v>
      </c>
      <c r="AA8" t="s">
        <v>389</v>
      </c>
      <c r="AB8" t="s">
        <v>390</v>
      </c>
      <c r="AC8" t="s">
        <v>391</v>
      </c>
      <c r="AD8" t="s">
        <v>176</v>
      </c>
      <c r="AE8" t="s">
        <v>177</v>
      </c>
      <c r="AF8">
        <v>41.120624999999997</v>
      </c>
      <c r="AG8" t="s">
        <v>178</v>
      </c>
      <c r="AH8" t="s">
        <v>392</v>
      </c>
      <c r="AI8" t="s">
        <v>393</v>
      </c>
      <c r="AJ8" t="s">
        <v>394</v>
      </c>
      <c r="AK8" t="s">
        <v>395</v>
      </c>
      <c r="AL8">
        <v>29.6</v>
      </c>
      <c r="AM8" t="s">
        <v>256</v>
      </c>
      <c r="AN8" t="s">
        <v>396</v>
      </c>
      <c r="AO8" t="s">
        <v>350</v>
      </c>
      <c r="AP8" t="s">
        <v>351</v>
      </c>
      <c r="AQ8" t="s">
        <v>397</v>
      </c>
      <c r="AR8" t="s">
        <v>398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AZ8" t="s">
        <v>268</v>
      </c>
      <c r="BA8" t="s">
        <v>360</v>
      </c>
      <c r="BB8" t="s">
        <v>361</v>
      </c>
      <c r="BC8" t="s">
        <v>406</v>
      </c>
      <c r="BD8" t="s">
        <v>161</v>
      </c>
      <c r="BE8" t="s">
        <v>196</v>
      </c>
      <c r="BF8" t="s">
        <v>407</v>
      </c>
      <c r="BG8" t="s">
        <v>408</v>
      </c>
      <c r="BH8" t="s">
        <v>366</v>
      </c>
      <c r="BI8" t="s">
        <v>409</v>
      </c>
      <c r="BJ8" t="s">
        <v>201</v>
      </c>
      <c r="BK8" t="s">
        <v>161</v>
      </c>
      <c r="BL8" t="s">
        <v>202</v>
      </c>
      <c r="BM8" t="s">
        <v>159</v>
      </c>
      <c r="BN8" t="s">
        <v>368</v>
      </c>
      <c r="BO8" t="s">
        <v>276</v>
      </c>
      <c r="BP8" t="s">
        <v>410</v>
      </c>
      <c r="BQ8" t="s">
        <v>411</v>
      </c>
      <c r="BR8" t="s">
        <v>412</v>
      </c>
      <c r="BS8" t="s">
        <v>413</v>
      </c>
      <c r="BT8" t="s">
        <v>159</v>
      </c>
      <c r="BU8" t="s">
        <v>208</v>
      </c>
      <c r="BV8" t="s">
        <v>209</v>
      </c>
      <c r="BW8" t="s">
        <v>210</v>
      </c>
      <c r="BX8" t="s">
        <v>211</v>
      </c>
      <c r="BY8" t="s">
        <v>172</v>
      </c>
      <c r="BZ8" t="s">
        <v>212</v>
      </c>
      <c r="CA8" t="s">
        <v>172</v>
      </c>
      <c r="CB8" t="s">
        <v>172</v>
      </c>
      <c r="CC8" t="s">
        <v>213</v>
      </c>
      <c r="CD8" t="s">
        <v>214</v>
      </c>
      <c r="CE8" t="s">
        <v>215</v>
      </c>
      <c r="CF8" t="s">
        <v>216</v>
      </c>
      <c r="CG8" t="s">
        <v>217</v>
      </c>
      <c r="CH8" t="s">
        <v>218</v>
      </c>
      <c r="CI8" t="s">
        <v>178</v>
      </c>
      <c r="CJ8" t="s">
        <v>210</v>
      </c>
      <c r="CK8" t="s">
        <v>219</v>
      </c>
      <c r="CL8" t="s">
        <v>219</v>
      </c>
      <c r="CM8" t="s">
        <v>219</v>
      </c>
      <c r="CN8" t="s">
        <v>172</v>
      </c>
      <c r="CO8" t="s">
        <v>220</v>
      </c>
      <c r="CP8" t="s">
        <v>172</v>
      </c>
      <c r="CQ8" t="s">
        <v>172</v>
      </c>
      <c r="CR8" t="s">
        <v>172</v>
      </c>
      <c r="CS8" t="s">
        <v>172</v>
      </c>
      <c r="CT8" t="s">
        <v>414</v>
      </c>
      <c r="CU8" t="s">
        <v>415</v>
      </c>
      <c r="CV8" t="s">
        <v>416</v>
      </c>
      <c r="CW8" t="s">
        <v>417</v>
      </c>
      <c r="CX8" t="s">
        <v>418</v>
      </c>
      <c r="CY8" t="s">
        <v>419</v>
      </c>
      <c r="CZ8" t="s">
        <v>420</v>
      </c>
      <c r="DA8" t="s">
        <v>421</v>
      </c>
      <c r="DB8" t="s">
        <v>389</v>
      </c>
      <c r="DC8" t="s">
        <v>422</v>
      </c>
      <c r="DD8" t="s">
        <v>230</v>
      </c>
      <c r="DE8" t="s">
        <v>231</v>
      </c>
      <c r="DF8" t="s">
        <v>178</v>
      </c>
      <c r="DG8" t="s">
        <v>232</v>
      </c>
      <c r="DH8" t="s">
        <v>233</v>
      </c>
      <c r="DI8" t="s">
        <v>178</v>
      </c>
      <c r="DJ8" t="s">
        <v>234</v>
      </c>
      <c r="DK8" t="s">
        <v>235</v>
      </c>
      <c r="DL8" t="s">
        <v>236</v>
      </c>
      <c r="DM8" t="s">
        <v>172</v>
      </c>
      <c r="DN8" t="s">
        <v>388</v>
      </c>
      <c r="DO8" t="s">
        <v>237</v>
      </c>
      <c r="DP8" t="s">
        <v>238</v>
      </c>
      <c r="DQ8" t="s">
        <v>239</v>
      </c>
      <c r="DR8" t="s">
        <v>240</v>
      </c>
      <c r="DS8" t="s">
        <v>241</v>
      </c>
      <c r="DT8" t="s">
        <v>242</v>
      </c>
    </row>
    <row r="9" spans="1:124" x14ac:dyDescent="0.45">
      <c r="A9" t="s">
        <v>199</v>
      </c>
      <c r="B9" t="s">
        <v>423</v>
      </c>
      <c r="C9" t="s">
        <v>161</v>
      </c>
      <c r="D9" t="s">
        <v>162</v>
      </c>
      <c r="E9" t="s">
        <v>163</v>
      </c>
      <c r="I9" t="s">
        <v>424</v>
      </c>
      <c r="J9">
        <v>0.23841756445332771</v>
      </c>
      <c r="K9">
        <v>2.9050319999999989</v>
      </c>
      <c r="L9">
        <v>0.22033458463311789</v>
      </c>
      <c r="M9">
        <v>2.2002410209631709</v>
      </c>
      <c r="N9" t="s">
        <v>425</v>
      </c>
      <c r="O9" t="s">
        <v>426</v>
      </c>
      <c r="P9">
        <v>4.1972359639725152</v>
      </c>
      <c r="Q9">
        <v>0.96751996397251538</v>
      </c>
      <c r="R9" t="s">
        <v>427</v>
      </c>
      <c r="S9" t="s">
        <v>428</v>
      </c>
      <c r="T9">
        <v>41.717880568258771</v>
      </c>
      <c r="U9">
        <v>0.4417875</v>
      </c>
      <c r="V9" t="s">
        <v>170</v>
      </c>
      <c r="W9" t="s">
        <v>429</v>
      </c>
      <c r="X9" t="s">
        <v>172</v>
      </c>
      <c r="Y9" t="s">
        <v>172</v>
      </c>
      <c r="Z9" t="s">
        <v>172</v>
      </c>
      <c r="AA9" t="s">
        <v>430</v>
      </c>
      <c r="AB9" t="s">
        <v>431</v>
      </c>
      <c r="AC9" t="s">
        <v>432</v>
      </c>
      <c r="AD9" t="s">
        <v>176</v>
      </c>
      <c r="AE9" t="s">
        <v>177</v>
      </c>
      <c r="AF9">
        <v>38.461285799999999</v>
      </c>
      <c r="AG9" t="s">
        <v>178</v>
      </c>
      <c r="AH9" t="s">
        <v>433</v>
      </c>
      <c r="AI9" t="s">
        <v>345</v>
      </c>
      <c r="AJ9" t="s">
        <v>434</v>
      </c>
      <c r="AK9" t="s">
        <v>435</v>
      </c>
      <c r="AL9">
        <v>29.74</v>
      </c>
      <c r="AM9" t="s">
        <v>256</v>
      </c>
      <c r="AN9" t="s">
        <v>305</v>
      </c>
      <c r="AO9" t="s">
        <v>436</v>
      </c>
      <c r="AP9" t="s">
        <v>437</v>
      </c>
      <c r="AQ9" t="s">
        <v>438</v>
      </c>
      <c r="AR9" t="s">
        <v>398</v>
      </c>
      <c r="AS9" t="s">
        <v>261</v>
      </c>
      <c r="AT9" t="s">
        <v>190</v>
      </c>
      <c r="AU9" t="s">
        <v>439</v>
      </c>
      <c r="AV9" t="s">
        <v>440</v>
      </c>
      <c r="AW9" t="s">
        <v>441</v>
      </c>
      <c r="AX9" t="s">
        <v>442</v>
      </c>
      <c r="AY9" t="s">
        <v>443</v>
      </c>
      <c r="AZ9" t="s">
        <v>268</v>
      </c>
      <c r="BA9" t="s">
        <v>444</v>
      </c>
      <c r="BB9" t="s">
        <v>445</v>
      </c>
      <c r="BC9" t="s">
        <v>446</v>
      </c>
      <c r="BD9" t="s">
        <v>161</v>
      </c>
      <c r="BE9" t="s">
        <v>447</v>
      </c>
      <c r="BF9" t="s">
        <v>448</v>
      </c>
      <c r="BG9" t="s">
        <v>449</v>
      </c>
      <c r="BH9" t="s">
        <v>450</v>
      </c>
      <c r="BI9" t="s">
        <v>451</v>
      </c>
      <c r="BJ9" t="s">
        <v>452</v>
      </c>
      <c r="BK9" t="s">
        <v>161</v>
      </c>
      <c r="BL9" t="s">
        <v>453</v>
      </c>
      <c r="BM9" t="s">
        <v>159</v>
      </c>
      <c r="BN9" t="s">
        <v>321</v>
      </c>
      <c r="BO9" t="s">
        <v>276</v>
      </c>
      <c r="BP9" t="s">
        <v>276</v>
      </c>
      <c r="BQ9" t="s">
        <v>454</v>
      </c>
      <c r="BR9" t="s">
        <v>455</v>
      </c>
      <c r="BS9" t="s">
        <v>456</v>
      </c>
      <c r="BT9" t="s">
        <v>159</v>
      </c>
      <c r="BU9" t="s">
        <v>208</v>
      </c>
      <c r="BV9" t="s">
        <v>209</v>
      </c>
      <c r="BW9" t="s">
        <v>210</v>
      </c>
      <c r="BX9" t="s">
        <v>211</v>
      </c>
      <c r="BY9" t="s">
        <v>172</v>
      </c>
      <c r="BZ9" t="s">
        <v>212</v>
      </c>
      <c r="CA9" t="s">
        <v>172</v>
      </c>
      <c r="CB9" t="s">
        <v>172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178</v>
      </c>
      <c r="CJ9" t="s">
        <v>210</v>
      </c>
      <c r="CK9" t="s">
        <v>219</v>
      </c>
      <c r="CL9" t="s">
        <v>219</v>
      </c>
      <c r="CM9" t="s">
        <v>219</v>
      </c>
      <c r="CN9" t="s">
        <v>172</v>
      </c>
      <c r="CO9" t="s">
        <v>220</v>
      </c>
      <c r="CP9" t="s">
        <v>172</v>
      </c>
      <c r="CQ9" t="s">
        <v>172</v>
      </c>
      <c r="CR9" t="s">
        <v>172</v>
      </c>
      <c r="CS9" t="s">
        <v>172</v>
      </c>
      <c r="CT9" t="s">
        <v>457</v>
      </c>
      <c r="CU9" t="s">
        <v>458</v>
      </c>
      <c r="CV9" t="s">
        <v>459</v>
      </c>
      <c r="CW9" t="s">
        <v>460</v>
      </c>
      <c r="CX9" t="s">
        <v>461</v>
      </c>
      <c r="CY9" t="s">
        <v>462</v>
      </c>
      <c r="CZ9" t="s">
        <v>463</v>
      </c>
      <c r="DA9" t="s">
        <v>464</v>
      </c>
      <c r="DB9" t="s">
        <v>430</v>
      </c>
      <c r="DC9" t="s">
        <v>229</v>
      </c>
      <c r="DD9" t="s">
        <v>230</v>
      </c>
      <c r="DE9" t="s">
        <v>231</v>
      </c>
      <c r="DF9" t="s">
        <v>178</v>
      </c>
      <c r="DG9" t="s">
        <v>232</v>
      </c>
      <c r="DH9" t="s">
        <v>233</v>
      </c>
      <c r="DI9" t="s">
        <v>178</v>
      </c>
      <c r="DJ9" t="s">
        <v>234</v>
      </c>
      <c r="DK9" t="s">
        <v>235</v>
      </c>
      <c r="DL9" t="s">
        <v>236</v>
      </c>
      <c r="DM9" t="s">
        <v>172</v>
      </c>
      <c r="DN9" t="s">
        <v>429</v>
      </c>
      <c r="DO9" t="s">
        <v>237</v>
      </c>
      <c r="DP9" t="s">
        <v>238</v>
      </c>
      <c r="DQ9" t="s">
        <v>239</v>
      </c>
      <c r="DR9" t="s">
        <v>240</v>
      </c>
      <c r="DS9" t="s">
        <v>241</v>
      </c>
      <c r="DT9" t="s">
        <v>242</v>
      </c>
    </row>
    <row r="10" spans="1:124" x14ac:dyDescent="0.45">
      <c r="A10" t="s">
        <v>465</v>
      </c>
      <c r="B10" t="s">
        <v>466</v>
      </c>
      <c r="C10" t="s">
        <v>161</v>
      </c>
      <c r="D10" t="s">
        <v>162</v>
      </c>
      <c r="E10" t="s">
        <v>163</v>
      </c>
      <c r="I10" t="s">
        <v>467</v>
      </c>
      <c r="J10">
        <v>0.27912141384364791</v>
      </c>
      <c r="K10">
        <v>2.9066320800000001</v>
      </c>
      <c r="L10">
        <v>0.25466604910289409</v>
      </c>
      <c r="M10">
        <v>2.3777072662443519</v>
      </c>
      <c r="N10" t="s">
        <v>468</v>
      </c>
      <c r="O10" t="s">
        <v>469</v>
      </c>
      <c r="P10">
        <v>4.2093285758356904</v>
      </c>
      <c r="Q10">
        <v>0.90442057583568936</v>
      </c>
      <c r="R10" t="s">
        <v>470</v>
      </c>
      <c r="S10" t="s">
        <v>471</v>
      </c>
      <c r="T10">
        <v>41.83807350994622</v>
      </c>
      <c r="U10">
        <v>0.4417875</v>
      </c>
      <c r="V10" t="s">
        <v>170</v>
      </c>
      <c r="W10" t="s">
        <v>472</v>
      </c>
      <c r="X10" t="s">
        <v>172</v>
      </c>
      <c r="Y10" t="s">
        <v>172</v>
      </c>
      <c r="Z10" t="s">
        <v>172</v>
      </c>
      <c r="AA10" t="s">
        <v>473</v>
      </c>
      <c r="AB10" t="s">
        <v>474</v>
      </c>
      <c r="AC10" t="s">
        <v>475</v>
      </c>
      <c r="AD10" t="s">
        <v>176</v>
      </c>
      <c r="AE10" t="s">
        <v>177</v>
      </c>
      <c r="AF10">
        <v>33.961089960000002</v>
      </c>
      <c r="AG10" t="s">
        <v>178</v>
      </c>
      <c r="AH10" t="s">
        <v>476</v>
      </c>
      <c r="AI10" t="s">
        <v>477</v>
      </c>
      <c r="AJ10" t="s">
        <v>478</v>
      </c>
      <c r="AK10" t="s">
        <v>479</v>
      </c>
      <c r="AL10">
        <v>29.79</v>
      </c>
      <c r="AM10" t="s">
        <v>256</v>
      </c>
      <c r="AN10" t="s">
        <v>396</v>
      </c>
      <c r="AO10" t="s">
        <v>480</v>
      </c>
      <c r="AP10" t="s">
        <v>481</v>
      </c>
      <c r="AQ10" t="s">
        <v>482</v>
      </c>
      <c r="AR10" t="s">
        <v>398</v>
      </c>
      <c r="AS10" t="s">
        <v>483</v>
      </c>
      <c r="AT10" t="s">
        <v>484</v>
      </c>
      <c r="AU10" t="s">
        <v>485</v>
      </c>
      <c r="AV10" t="s">
        <v>486</v>
      </c>
      <c r="AW10" t="s">
        <v>487</v>
      </c>
      <c r="AX10" t="s">
        <v>488</v>
      </c>
      <c r="AY10" t="s">
        <v>489</v>
      </c>
      <c r="AZ10" t="s">
        <v>268</v>
      </c>
      <c r="BA10" t="s">
        <v>490</v>
      </c>
      <c r="BB10" t="s">
        <v>491</v>
      </c>
      <c r="BC10" t="s">
        <v>492</v>
      </c>
      <c r="BD10" t="s">
        <v>161</v>
      </c>
      <c r="BE10" t="s">
        <v>493</v>
      </c>
      <c r="BF10" t="s">
        <v>494</v>
      </c>
      <c r="BG10" t="s">
        <v>495</v>
      </c>
      <c r="BH10" t="s">
        <v>450</v>
      </c>
      <c r="BI10" t="s">
        <v>451</v>
      </c>
      <c r="BJ10" t="s">
        <v>452</v>
      </c>
      <c r="BK10" t="s">
        <v>161</v>
      </c>
      <c r="BL10" t="s">
        <v>453</v>
      </c>
      <c r="BM10" t="s">
        <v>159</v>
      </c>
      <c r="BN10" t="s">
        <v>410</v>
      </c>
      <c r="BO10" t="s">
        <v>209</v>
      </c>
      <c r="BP10" t="s">
        <v>496</v>
      </c>
      <c r="BQ10" t="s">
        <v>497</v>
      </c>
      <c r="BR10" t="s">
        <v>498</v>
      </c>
      <c r="BS10" t="s">
        <v>499</v>
      </c>
      <c r="BT10" t="s">
        <v>159</v>
      </c>
      <c r="BU10" t="s">
        <v>208</v>
      </c>
      <c r="BV10" t="s">
        <v>209</v>
      </c>
      <c r="BW10" t="s">
        <v>210</v>
      </c>
      <c r="BX10" t="s">
        <v>211</v>
      </c>
      <c r="BY10" t="s">
        <v>172</v>
      </c>
      <c r="BZ10" t="s">
        <v>212</v>
      </c>
      <c r="CA10" t="s">
        <v>172</v>
      </c>
      <c r="CB10" t="s">
        <v>172</v>
      </c>
      <c r="CC10" t="s">
        <v>213</v>
      </c>
      <c r="CD10" t="s">
        <v>214</v>
      </c>
      <c r="CE10" t="s">
        <v>215</v>
      </c>
      <c r="CF10" t="s">
        <v>216</v>
      </c>
      <c r="CG10" t="s">
        <v>217</v>
      </c>
      <c r="CH10" t="s">
        <v>218</v>
      </c>
      <c r="CI10" t="s">
        <v>178</v>
      </c>
      <c r="CJ10" t="s">
        <v>210</v>
      </c>
      <c r="CK10" t="s">
        <v>219</v>
      </c>
      <c r="CL10" t="s">
        <v>219</v>
      </c>
      <c r="CM10" t="s">
        <v>219</v>
      </c>
      <c r="CN10" t="s">
        <v>172</v>
      </c>
      <c r="CO10" t="s">
        <v>220</v>
      </c>
      <c r="CP10" t="s">
        <v>172</v>
      </c>
      <c r="CQ10" t="s">
        <v>172</v>
      </c>
      <c r="CR10" t="s">
        <v>172</v>
      </c>
      <c r="CS10" t="s">
        <v>172</v>
      </c>
      <c r="CT10" t="s">
        <v>500</v>
      </c>
      <c r="CU10" t="s">
        <v>501</v>
      </c>
      <c r="CV10" t="s">
        <v>502</v>
      </c>
      <c r="CW10" t="s">
        <v>503</v>
      </c>
      <c r="CX10" t="s">
        <v>504</v>
      </c>
      <c r="CY10" t="s">
        <v>505</v>
      </c>
      <c r="CZ10" t="s">
        <v>506</v>
      </c>
      <c r="DA10" t="s">
        <v>507</v>
      </c>
      <c r="DB10" t="s">
        <v>473</v>
      </c>
      <c r="DC10" t="s">
        <v>290</v>
      </c>
      <c r="DD10" t="s">
        <v>230</v>
      </c>
      <c r="DE10" t="s">
        <v>231</v>
      </c>
      <c r="DF10" t="s">
        <v>178</v>
      </c>
      <c r="DG10" t="s">
        <v>232</v>
      </c>
      <c r="DH10" t="s">
        <v>233</v>
      </c>
      <c r="DI10" t="s">
        <v>178</v>
      </c>
      <c r="DJ10" t="s">
        <v>234</v>
      </c>
      <c r="DK10" t="s">
        <v>235</v>
      </c>
      <c r="DL10" t="s">
        <v>236</v>
      </c>
      <c r="DM10" t="s">
        <v>172</v>
      </c>
      <c r="DN10" t="s">
        <v>472</v>
      </c>
      <c r="DO10" t="s">
        <v>237</v>
      </c>
      <c r="DP10" t="s">
        <v>238</v>
      </c>
      <c r="DQ10" t="s">
        <v>239</v>
      </c>
      <c r="DR10" t="s">
        <v>240</v>
      </c>
      <c r="DS10" t="s">
        <v>241</v>
      </c>
      <c r="DT10" t="s">
        <v>242</v>
      </c>
    </row>
    <row r="11" spans="1:124" x14ac:dyDescent="0.45">
      <c r="A11" t="s">
        <v>274</v>
      </c>
      <c r="B11" t="s">
        <v>508</v>
      </c>
      <c r="C11" t="s">
        <v>161</v>
      </c>
      <c r="D11" t="s">
        <v>162</v>
      </c>
      <c r="E11" t="s">
        <v>163</v>
      </c>
      <c r="I11" t="s">
        <v>509</v>
      </c>
      <c r="J11">
        <v>0.28626131345192701</v>
      </c>
      <c r="K11">
        <v>2.9050319999999989</v>
      </c>
      <c r="L11">
        <v>0.26058346703342139</v>
      </c>
      <c r="M11">
        <v>2.433614506103142</v>
      </c>
      <c r="N11" t="s">
        <v>510</v>
      </c>
      <c r="O11" t="s">
        <v>511</v>
      </c>
      <c r="P11">
        <v>4.1899949407354304</v>
      </c>
      <c r="Q11">
        <v>0.90457394073543052</v>
      </c>
      <c r="R11" t="s">
        <v>512</v>
      </c>
      <c r="S11" t="s">
        <v>513</v>
      </c>
      <c r="T11">
        <v>41.650049112678239</v>
      </c>
      <c r="U11">
        <v>0.4417875</v>
      </c>
      <c r="V11" t="s">
        <v>170</v>
      </c>
      <c r="W11" t="s">
        <v>514</v>
      </c>
      <c r="X11" t="s">
        <v>172</v>
      </c>
      <c r="Y11" t="s">
        <v>172</v>
      </c>
      <c r="Z11" t="s">
        <v>172</v>
      </c>
      <c r="AA11" t="s">
        <v>515</v>
      </c>
      <c r="AB11" t="s">
        <v>516</v>
      </c>
      <c r="AC11" t="s">
        <v>517</v>
      </c>
      <c r="AD11" t="s">
        <v>176</v>
      </c>
      <c r="AE11" t="s">
        <v>177</v>
      </c>
      <c r="AF11">
        <v>20.73588174</v>
      </c>
      <c r="AG11" t="s">
        <v>178</v>
      </c>
      <c r="AH11" t="s">
        <v>518</v>
      </c>
      <c r="AI11" t="s">
        <v>519</v>
      </c>
      <c r="AJ11" t="s">
        <v>520</v>
      </c>
      <c r="AK11" t="s">
        <v>521</v>
      </c>
      <c r="AL11">
        <v>29.71</v>
      </c>
      <c r="AM11" t="s">
        <v>349</v>
      </c>
      <c r="AN11" t="s">
        <v>305</v>
      </c>
      <c r="AO11" t="s">
        <v>522</v>
      </c>
      <c r="AP11" t="s">
        <v>523</v>
      </c>
      <c r="AQ11" t="s">
        <v>524</v>
      </c>
      <c r="AR11" t="s">
        <v>525</v>
      </c>
      <c r="AS11" t="s">
        <v>526</v>
      </c>
      <c r="AT11" t="s">
        <v>159</v>
      </c>
      <c r="AU11" t="s">
        <v>527</v>
      </c>
      <c r="AV11" t="s">
        <v>528</v>
      </c>
      <c r="AW11" t="s">
        <v>529</v>
      </c>
      <c r="AX11" t="s">
        <v>530</v>
      </c>
      <c r="AY11" t="s">
        <v>531</v>
      </c>
      <c r="AZ11" t="s">
        <v>268</v>
      </c>
      <c r="BA11" t="s">
        <v>532</v>
      </c>
      <c r="BB11" t="s">
        <v>533</v>
      </c>
      <c r="BC11" t="s">
        <v>534</v>
      </c>
      <c r="BD11" t="s">
        <v>161</v>
      </c>
      <c r="BE11" t="s">
        <v>535</v>
      </c>
      <c r="BF11" t="s">
        <v>197</v>
      </c>
      <c r="BG11" t="s">
        <v>319</v>
      </c>
      <c r="BH11" t="s">
        <v>450</v>
      </c>
      <c r="BI11" t="s">
        <v>451</v>
      </c>
      <c r="BJ11" t="s">
        <v>452</v>
      </c>
      <c r="BK11" t="s">
        <v>161</v>
      </c>
      <c r="BL11" t="s">
        <v>453</v>
      </c>
      <c r="BM11" t="s">
        <v>159</v>
      </c>
      <c r="BN11" t="s">
        <v>368</v>
      </c>
      <c r="BO11" t="s">
        <v>209</v>
      </c>
      <c r="BP11" t="s">
        <v>203</v>
      </c>
      <c r="BQ11" t="s">
        <v>536</v>
      </c>
      <c r="BR11" t="s">
        <v>537</v>
      </c>
      <c r="BS11" t="s">
        <v>538</v>
      </c>
      <c r="BT11" t="s">
        <v>159</v>
      </c>
      <c r="BU11" t="s">
        <v>208</v>
      </c>
      <c r="BV11" t="s">
        <v>209</v>
      </c>
      <c r="BW11" t="s">
        <v>210</v>
      </c>
      <c r="BX11" t="s">
        <v>211</v>
      </c>
      <c r="BY11" t="s">
        <v>172</v>
      </c>
      <c r="BZ11" t="s">
        <v>212</v>
      </c>
      <c r="CA11" t="s">
        <v>172</v>
      </c>
      <c r="CB11" t="s">
        <v>172</v>
      </c>
      <c r="CC11" t="s">
        <v>213</v>
      </c>
      <c r="CD11" t="s">
        <v>214</v>
      </c>
      <c r="CE11" t="s">
        <v>215</v>
      </c>
      <c r="CF11" t="s">
        <v>216</v>
      </c>
      <c r="CG11" t="s">
        <v>217</v>
      </c>
      <c r="CH11" t="s">
        <v>218</v>
      </c>
      <c r="CI11" t="s">
        <v>178</v>
      </c>
      <c r="CJ11" t="s">
        <v>210</v>
      </c>
      <c r="CK11" t="s">
        <v>219</v>
      </c>
      <c r="CL11" t="s">
        <v>219</v>
      </c>
      <c r="CM11" t="s">
        <v>219</v>
      </c>
      <c r="CN11" t="s">
        <v>172</v>
      </c>
      <c r="CO11" t="s">
        <v>220</v>
      </c>
      <c r="CP11" t="s">
        <v>172</v>
      </c>
      <c r="CQ11" t="s">
        <v>172</v>
      </c>
      <c r="CR11" t="s">
        <v>172</v>
      </c>
      <c r="CS11" t="s">
        <v>172</v>
      </c>
      <c r="CT11" t="s">
        <v>539</v>
      </c>
      <c r="CU11" t="s">
        <v>540</v>
      </c>
      <c r="CV11" t="s">
        <v>541</v>
      </c>
      <c r="CW11" t="s">
        <v>542</v>
      </c>
      <c r="CX11" t="s">
        <v>543</v>
      </c>
      <c r="CY11" t="s">
        <v>544</v>
      </c>
      <c r="CZ11" t="s">
        <v>545</v>
      </c>
      <c r="DA11" t="s">
        <v>546</v>
      </c>
      <c r="DB11" t="s">
        <v>515</v>
      </c>
      <c r="DC11" t="s">
        <v>547</v>
      </c>
      <c r="DD11" t="s">
        <v>230</v>
      </c>
      <c r="DE11" t="s">
        <v>231</v>
      </c>
      <c r="DF11" t="s">
        <v>178</v>
      </c>
      <c r="DG11" t="s">
        <v>232</v>
      </c>
      <c r="DH11" t="s">
        <v>233</v>
      </c>
      <c r="DI11" t="s">
        <v>178</v>
      </c>
      <c r="DJ11" t="s">
        <v>234</v>
      </c>
      <c r="DK11" t="s">
        <v>235</v>
      </c>
      <c r="DL11" t="s">
        <v>236</v>
      </c>
      <c r="DM11" t="s">
        <v>172</v>
      </c>
      <c r="DN11" t="s">
        <v>514</v>
      </c>
      <c r="DO11" t="s">
        <v>237</v>
      </c>
      <c r="DP11" t="s">
        <v>238</v>
      </c>
      <c r="DQ11" t="s">
        <v>239</v>
      </c>
      <c r="DR11" t="s">
        <v>240</v>
      </c>
      <c r="DS11" t="s">
        <v>241</v>
      </c>
      <c r="DT11" t="s">
        <v>242</v>
      </c>
    </row>
    <row r="12" spans="1:124" x14ac:dyDescent="0.45">
      <c r="A12" t="s">
        <v>548</v>
      </c>
      <c r="B12" t="s">
        <v>549</v>
      </c>
      <c r="C12" t="s">
        <v>161</v>
      </c>
      <c r="D12" t="s">
        <v>162</v>
      </c>
      <c r="E12" t="s">
        <v>163</v>
      </c>
      <c r="I12" t="s">
        <v>550</v>
      </c>
      <c r="J12">
        <v>0.32267895785721268</v>
      </c>
      <c r="K12">
        <v>2.9058327199999998</v>
      </c>
      <c r="L12">
        <v>0.29042827387860509</v>
      </c>
      <c r="M12">
        <v>2.5879674984048018</v>
      </c>
      <c r="N12" t="s">
        <v>551</v>
      </c>
      <c r="O12" t="s">
        <v>552</v>
      </c>
      <c r="P12">
        <v>4.1539529143348428</v>
      </c>
      <c r="Q12">
        <v>0.86315791433484268</v>
      </c>
      <c r="R12" t="s">
        <v>553</v>
      </c>
      <c r="S12" t="s">
        <v>554</v>
      </c>
      <c r="T12">
        <v>41.29177847251335</v>
      </c>
      <c r="U12">
        <v>0.4417875</v>
      </c>
      <c r="V12" t="s">
        <v>170</v>
      </c>
      <c r="W12" t="s">
        <v>555</v>
      </c>
      <c r="X12" t="s">
        <v>172</v>
      </c>
      <c r="Y12" t="s">
        <v>172</v>
      </c>
      <c r="Z12" t="s">
        <v>172</v>
      </c>
      <c r="AA12" t="s">
        <v>556</v>
      </c>
      <c r="AB12" t="s">
        <v>557</v>
      </c>
      <c r="AC12" t="s">
        <v>558</v>
      </c>
      <c r="AD12" t="s">
        <v>176</v>
      </c>
      <c r="AE12" t="s">
        <v>177</v>
      </c>
      <c r="AF12">
        <v>31.755281879999998</v>
      </c>
      <c r="AG12" t="s">
        <v>178</v>
      </c>
      <c r="AH12" t="s">
        <v>559</v>
      </c>
      <c r="AI12" t="s">
        <v>560</v>
      </c>
      <c r="AJ12" t="s">
        <v>561</v>
      </c>
      <c r="AK12" t="s">
        <v>562</v>
      </c>
      <c r="AL12">
        <v>29.56</v>
      </c>
      <c r="AM12" t="s">
        <v>349</v>
      </c>
      <c r="AN12" t="s">
        <v>184</v>
      </c>
      <c r="AO12" t="s">
        <v>563</v>
      </c>
      <c r="AP12" t="s">
        <v>564</v>
      </c>
      <c r="AQ12" t="s">
        <v>565</v>
      </c>
      <c r="AR12" t="s">
        <v>566</v>
      </c>
      <c r="AS12" t="s">
        <v>309</v>
      </c>
      <c r="AT12" t="s">
        <v>159</v>
      </c>
      <c r="AU12" t="s">
        <v>567</v>
      </c>
      <c r="AV12" t="s">
        <v>568</v>
      </c>
      <c r="AW12" t="s">
        <v>569</v>
      </c>
      <c r="AX12" t="s">
        <v>570</v>
      </c>
      <c r="AY12" t="s">
        <v>571</v>
      </c>
      <c r="AZ12" t="s">
        <v>268</v>
      </c>
      <c r="BA12" t="s">
        <v>532</v>
      </c>
      <c r="BB12" t="s">
        <v>533</v>
      </c>
      <c r="BC12" t="s">
        <v>572</v>
      </c>
      <c r="BD12" t="s">
        <v>161</v>
      </c>
      <c r="BE12" t="s">
        <v>573</v>
      </c>
      <c r="BF12" t="s">
        <v>407</v>
      </c>
      <c r="BG12" t="s">
        <v>574</v>
      </c>
      <c r="BH12" t="s">
        <v>450</v>
      </c>
      <c r="BI12" t="s">
        <v>451</v>
      </c>
      <c r="BJ12" t="s">
        <v>452</v>
      </c>
      <c r="BK12" t="s">
        <v>161</v>
      </c>
      <c r="BL12" t="s">
        <v>453</v>
      </c>
      <c r="BM12" t="s">
        <v>159</v>
      </c>
      <c r="BN12" t="s">
        <v>575</v>
      </c>
      <c r="BO12" t="s">
        <v>209</v>
      </c>
      <c r="BP12" t="s">
        <v>277</v>
      </c>
      <c r="BQ12" t="s">
        <v>576</v>
      </c>
      <c r="BR12" t="s">
        <v>577</v>
      </c>
      <c r="BS12" t="s">
        <v>578</v>
      </c>
      <c r="BT12" t="s">
        <v>159</v>
      </c>
      <c r="BU12" t="s">
        <v>208</v>
      </c>
      <c r="BV12" t="s">
        <v>209</v>
      </c>
      <c r="BW12" t="s">
        <v>210</v>
      </c>
      <c r="BX12" t="s">
        <v>211</v>
      </c>
      <c r="BY12" t="s">
        <v>172</v>
      </c>
      <c r="BZ12" t="s">
        <v>212</v>
      </c>
      <c r="CA12" t="s">
        <v>172</v>
      </c>
      <c r="CB12" t="s">
        <v>172</v>
      </c>
      <c r="CC12" t="s">
        <v>213</v>
      </c>
      <c r="CD12" t="s">
        <v>214</v>
      </c>
      <c r="CE12" t="s">
        <v>215</v>
      </c>
      <c r="CF12" t="s">
        <v>216</v>
      </c>
      <c r="CG12" t="s">
        <v>217</v>
      </c>
      <c r="CH12" t="s">
        <v>218</v>
      </c>
      <c r="CI12" t="s">
        <v>178</v>
      </c>
      <c r="CJ12" t="s">
        <v>210</v>
      </c>
      <c r="CK12" t="s">
        <v>219</v>
      </c>
      <c r="CL12" t="s">
        <v>219</v>
      </c>
      <c r="CM12" t="s">
        <v>219</v>
      </c>
      <c r="CN12" t="s">
        <v>172</v>
      </c>
      <c r="CO12" t="s">
        <v>220</v>
      </c>
      <c r="CP12" t="s">
        <v>172</v>
      </c>
      <c r="CQ12" t="s">
        <v>172</v>
      </c>
      <c r="CR12" t="s">
        <v>172</v>
      </c>
      <c r="CS12" t="s">
        <v>172</v>
      </c>
      <c r="CT12" t="s">
        <v>579</v>
      </c>
      <c r="CU12" t="s">
        <v>580</v>
      </c>
      <c r="CV12" t="s">
        <v>581</v>
      </c>
      <c r="CW12" t="s">
        <v>582</v>
      </c>
      <c r="CX12" t="s">
        <v>583</v>
      </c>
      <c r="CY12" t="s">
        <v>584</v>
      </c>
      <c r="CZ12" t="s">
        <v>585</v>
      </c>
      <c r="DA12" t="s">
        <v>586</v>
      </c>
      <c r="DB12" t="s">
        <v>556</v>
      </c>
      <c r="DC12" t="s">
        <v>587</v>
      </c>
      <c r="DD12" t="s">
        <v>230</v>
      </c>
      <c r="DE12" t="s">
        <v>231</v>
      </c>
      <c r="DF12" t="s">
        <v>178</v>
      </c>
      <c r="DG12" t="s">
        <v>232</v>
      </c>
      <c r="DH12" t="s">
        <v>233</v>
      </c>
      <c r="DI12" t="s">
        <v>178</v>
      </c>
      <c r="DJ12" t="s">
        <v>234</v>
      </c>
      <c r="DK12" t="s">
        <v>235</v>
      </c>
      <c r="DL12" t="s">
        <v>236</v>
      </c>
      <c r="DM12" t="s">
        <v>172</v>
      </c>
      <c r="DN12" t="s">
        <v>555</v>
      </c>
      <c r="DO12" t="s">
        <v>237</v>
      </c>
      <c r="DP12" t="s">
        <v>238</v>
      </c>
      <c r="DQ12" t="s">
        <v>239</v>
      </c>
      <c r="DR12" t="s">
        <v>240</v>
      </c>
      <c r="DS12" t="s">
        <v>241</v>
      </c>
      <c r="DT12" t="s">
        <v>242</v>
      </c>
    </row>
    <row r="13" spans="1:124" x14ac:dyDescent="0.45">
      <c r="A13" t="s">
        <v>366</v>
      </c>
      <c r="B13" t="s">
        <v>588</v>
      </c>
      <c r="C13" t="s">
        <v>161</v>
      </c>
      <c r="D13" t="s">
        <v>162</v>
      </c>
      <c r="E13" t="s">
        <v>163</v>
      </c>
      <c r="I13" t="s">
        <v>590</v>
      </c>
      <c r="J13">
        <v>0.29329102687124142</v>
      </c>
      <c r="K13">
        <v>2.9042299200000001</v>
      </c>
      <c r="L13">
        <v>0.26638905253785761</v>
      </c>
      <c r="M13">
        <v>2.8422662475434328</v>
      </c>
      <c r="N13" t="s">
        <v>591</v>
      </c>
      <c r="O13" t="s">
        <v>592</v>
      </c>
      <c r="P13">
        <v>4.2020693701883536</v>
      </c>
      <c r="Q13">
        <v>1.034277370188355</v>
      </c>
      <c r="R13" t="s">
        <v>593</v>
      </c>
      <c r="S13" t="s">
        <v>594</v>
      </c>
      <c r="T13">
        <v>41.765921580244061</v>
      </c>
      <c r="U13">
        <v>0.4417875</v>
      </c>
      <c r="V13" t="s">
        <v>170</v>
      </c>
      <c r="W13" t="s">
        <v>595</v>
      </c>
      <c r="X13" t="s">
        <v>172</v>
      </c>
      <c r="Y13" t="s">
        <v>172</v>
      </c>
      <c r="Z13" t="s">
        <v>172</v>
      </c>
      <c r="AA13" t="s">
        <v>596</v>
      </c>
      <c r="AB13" t="s">
        <v>597</v>
      </c>
      <c r="AC13" t="s">
        <v>598</v>
      </c>
      <c r="AD13" t="s">
        <v>176</v>
      </c>
      <c r="AE13" t="s">
        <v>177</v>
      </c>
      <c r="AF13">
        <v>46.092939479999998</v>
      </c>
      <c r="AG13" t="s">
        <v>178</v>
      </c>
      <c r="AH13" t="s">
        <v>599</v>
      </c>
      <c r="AI13" t="s">
        <v>600</v>
      </c>
      <c r="AJ13" t="s">
        <v>601</v>
      </c>
      <c r="AK13" t="s">
        <v>602</v>
      </c>
      <c r="AL13">
        <v>29.76</v>
      </c>
      <c r="AM13" t="s">
        <v>256</v>
      </c>
      <c r="AN13" t="s">
        <v>603</v>
      </c>
      <c r="AO13" t="s">
        <v>604</v>
      </c>
      <c r="AP13" t="s">
        <v>605</v>
      </c>
      <c r="AQ13" t="s">
        <v>606</v>
      </c>
      <c r="AR13" t="s">
        <v>607</v>
      </c>
      <c r="AS13" t="s">
        <v>608</v>
      </c>
      <c r="AT13" t="s">
        <v>159</v>
      </c>
      <c r="AU13" t="s">
        <v>609</v>
      </c>
      <c r="AV13" t="s">
        <v>610</v>
      </c>
      <c r="AW13" t="s">
        <v>611</v>
      </c>
      <c r="AX13" t="s">
        <v>612</v>
      </c>
      <c r="AY13" t="s">
        <v>613</v>
      </c>
      <c r="AZ13" t="s">
        <v>268</v>
      </c>
      <c r="BA13" t="s">
        <v>614</v>
      </c>
      <c r="BB13" t="s">
        <v>615</v>
      </c>
      <c r="BC13" t="s">
        <v>616</v>
      </c>
      <c r="BD13" t="s">
        <v>161</v>
      </c>
      <c r="BE13" t="s">
        <v>535</v>
      </c>
      <c r="BF13" t="s">
        <v>617</v>
      </c>
      <c r="BG13" t="s">
        <v>618</v>
      </c>
      <c r="BH13" t="s">
        <v>619</v>
      </c>
      <c r="BI13" t="s">
        <v>620</v>
      </c>
      <c r="BJ13" t="s">
        <v>452</v>
      </c>
      <c r="BK13" t="s">
        <v>161</v>
      </c>
      <c r="BL13" t="s">
        <v>453</v>
      </c>
      <c r="BM13" t="s">
        <v>159</v>
      </c>
      <c r="BN13" t="s">
        <v>368</v>
      </c>
      <c r="BO13" t="s">
        <v>209</v>
      </c>
      <c r="BP13" t="s">
        <v>575</v>
      </c>
      <c r="BQ13" t="s">
        <v>621</v>
      </c>
      <c r="BR13" t="s">
        <v>622</v>
      </c>
      <c r="BS13" t="s">
        <v>623</v>
      </c>
      <c r="BT13" t="s">
        <v>159</v>
      </c>
      <c r="BU13" t="s">
        <v>208</v>
      </c>
      <c r="BV13" t="s">
        <v>209</v>
      </c>
      <c r="BW13" t="s">
        <v>210</v>
      </c>
      <c r="BX13" t="s">
        <v>211</v>
      </c>
      <c r="BY13" t="s">
        <v>172</v>
      </c>
      <c r="BZ13" t="s">
        <v>212</v>
      </c>
      <c r="CA13" t="s">
        <v>172</v>
      </c>
      <c r="CB13" t="s">
        <v>172</v>
      </c>
      <c r="CC13" t="s">
        <v>213</v>
      </c>
      <c r="CD13" t="s">
        <v>214</v>
      </c>
      <c r="CE13" t="s">
        <v>215</v>
      </c>
      <c r="CF13" t="s">
        <v>216</v>
      </c>
      <c r="CG13" t="s">
        <v>217</v>
      </c>
      <c r="CH13" t="s">
        <v>218</v>
      </c>
      <c r="CI13" t="s">
        <v>178</v>
      </c>
      <c r="CJ13" t="s">
        <v>210</v>
      </c>
      <c r="CK13" t="s">
        <v>219</v>
      </c>
      <c r="CL13" t="s">
        <v>219</v>
      </c>
      <c r="CM13" t="s">
        <v>219</v>
      </c>
      <c r="CN13" t="s">
        <v>172</v>
      </c>
      <c r="CO13" t="s">
        <v>220</v>
      </c>
      <c r="CP13" t="s">
        <v>172</v>
      </c>
      <c r="CQ13" t="s">
        <v>172</v>
      </c>
      <c r="CR13" t="s">
        <v>172</v>
      </c>
      <c r="CS13" t="s">
        <v>172</v>
      </c>
      <c r="CT13" t="s">
        <v>624</v>
      </c>
      <c r="CU13" t="s">
        <v>625</v>
      </c>
      <c r="CV13" t="s">
        <v>626</v>
      </c>
      <c r="CW13" t="s">
        <v>627</v>
      </c>
      <c r="CX13" t="s">
        <v>628</v>
      </c>
      <c r="CY13" t="s">
        <v>629</v>
      </c>
      <c r="CZ13" t="s">
        <v>630</v>
      </c>
      <c r="DA13" t="s">
        <v>631</v>
      </c>
      <c r="DB13" t="s">
        <v>596</v>
      </c>
      <c r="DC13" t="s">
        <v>380</v>
      </c>
      <c r="DD13" t="s">
        <v>230</v>
      </c>
      <c r="DE13" t="s">
        <v>231</v>
      </c>
      <c r="DF13" t="s">
        <v>178</v>
      </c>
      <c r="DG13" t="s">
        <v>232</v>
      </c>
      <c r="DH13" t="s">
        <v>233</v>
      </c>
      <c r="DI13" t="s">
        <v>178</v>
      </c>
      <c r="DJ13" t="s">
        <v>234</v>
      </c>
      <c r="DK13" t="s">
        <v>235</v>
      </c>
      <c r="DL13" t="s">
        <v>236</v>
      </c>
      <c r="DM13" t="s">
        <v>172</v>
      </c>
      <c r="DN13" t="s">
        <v>595</v>
      </c>
      <c r="DO13" t="s">
        <v>237</v>
      </c>
      <c r="DP13" t="s">
        <v>238</v>
      </c>
      <c r="DQ13" t="s">
        <v>239</v>
      </c>
      <c r="DR13" t="s">
        <v>240</v>
      </c>
      <c r="DS13" t="s">
        <v>241</v>
      </c>
      <c r="DT13" t="s">
        <v>242</v>
      </c>
    </row>
    <row r="14" spans="1:124" x14ac:dyDescent="0.45">
      <c r="A14" t="s">
        <v>619</v>
      </c>
      <c r="B14" t="s">
        <v>632</v>
      </c>
      <c r="C14" t="s">
        <v>161</v>
      </c>
      <c r="D14" t="s">
        <v>162</v>
      </c>
      <c r="E14" t="s">
        <v>163</v>
      </c>
      <c r="I14" t="s">
        <v>633</v>
      </c>
      <c r="J14">
        <v>0.23111501740073989</v>
      </c>
      <c r="K14">
        <v>2.9034264799999998</v>
      </c>
      <c r="L14">
        <v>0.2140745183955626</v>
      </c>
      <c r="M14">
        <v>2.3766776430075058</v>
      </c>
      <c r="N14" t="s">
        <v>634</v>
      </c>
      <c r="O14" t="s">
        <v>635</v>
      </c>
      <c r="P14">
        <v>4.2433495836612156</v>
      </c>
      <c r="Q14">
        <v>1.075654583661215</v>
      </c>
      <c r="R14" t="s">
        <v>636</v>
      </c>
      <c r="S14" t="s">
        <v>637</v>
      </c>
      <c r="T14">
        <v>42.180413356473323</v>
      </c>
      <c r="U14">
        <v>0.4417875</v>
      </c>
      <c r="V14" t="s">
        <v>170</v>
      </c>
      <c r="W14" t="s">
        <v>638</v>
      </c>
      <c r="X14" t="s">
        <v>172</v>
      </c>
      <c r="Y14" t="s">
        <v>172</v>
      </c>
      <c r="Z14" t="s">
        <v>172</v>
      </c>
      <c r="AA14" t="s">
        <v>639</v>
      </c>
      <c r="AB14" t="s">
        <v>640</v>
      </c>
      <c r="AC14" t="s">
        <v>641</v>
      </c>
      <c r="AD14" t="s">
        <v>176</v>
      </c>
      <c r="AE14" t="s">
        <v>177</v>
      </c>
      <c r="AF14">
        <v>47.943209159999988</v>
      </c>
      <c r="AG14" t="s">
        <v>178</v>
      </c>
      <c r="AH14" t="s">
        <v>642</v>
      </c>
      <c r="AI14" t="s">
        <v>643</v>
      </c>
      <c r="AJ14" t="s">
        <v>601</v>
      </c>
      <c r="AK14" t="s">
        <v>644</v>
      </c>
      <c r="AL14">
        <v>29.93</v>
      </c>
      <c r="AM14" t="s">
        <v>349</v>
      </c>
      <c r="AN14" t="s">
        <v>645</v>
      </c>
      <c r="AO14" t="s">
        <v>522</v>
      </c>
      <c r="AP14" t="s">
        <v>646</v>
      </c>
      <c r="AQ14" t="s">
        <v>647</v>
      </c>
      <c r="AR14" t="s">
        <v>648</v>
      </c>
      <c r="AS14" t="s">
        <v>649</v>
      </c>
      <c r="AT14" t="s">
        <v>262</v>
      </c>
      <c r="AU14" t="s">
        <v>401</v>
      </c>
      <c r="AV14" t="s">
        <v>650</v>
      </c>
      <c r="AW14" t="s">
        <v>651</v>
      </c>
      <c r="AX14" t="s">
        <v>652</v>
      </c>
      <c r="AY14" t="s">
        <v>653</v>
      </c>
      <c r="AZ14" t="s">
        <v>268</v>
      </c>
      <c r="BA14" t="s">
        <v>654</v>
      </c>
      <c r="BB14" t="s">
        <v>655</v>
      </c>
      <c r="BC14" t="s">
        <v>656</v>
      </c>
      <c r="BD14" t="s">
        <v>161</v>
      </c>
      <c r="BE14" t="s">
        <v>657</v>
      </c>
      <c r="BF14" t="s">
        <v>617</v>
      </c>
      <c r="BG14" t="s">
        <v>658</v>
      </c>
      <c r="BH14" t="s">
        <v>619</v>
      </c>
      <c r="BI14" t="s">
        <v>659</v>
      </c>
      <c r="BJ14" t="s">
        <v>452</v>
      </c>
      <c r="BK14" t="s">
        <v>161</v>
      </c>
      <c r="BL14" t="s">
        <v>453</v>
      </c>
      <c r="BM14" t="s">
        <v>159</v>
      </c>
      <c r="BN14" t="s">
        <v>203</v>
      </c>
      <c r="BO14" t="s">
        <v>203</v>
      </c>
      <c r="BP14" t="s">
        <v>575</v>
      </c>
      <c r="BQ14" t="s">
        <v>660</v>
      </c>
      <c r="BR14" t="s">
        <v>661</v>
      </c>
      <c r="BS14" t="s">
        <v>662</v>
      </c>
      <c r="BT14" t="s">
        <v>159</v>
      </c>
      <c r="BU14" t="s">
        <v>208</v>
      </c>
      <c r="BV14" t="s">
        <v>209</v>
      </c>
      <c r="BW14" t="s">
        <v>210</v>
      </c>
      <c r="BX14" t="s">
        <v>211</v>
      </c>
      <c r="BY14" t="s">
        <v>172</v>
      </c>
      <c r="BZ14" t="s">
        <v>212</v>
      </c>
      <c r="CA14" t="s">
        <v>172</v>
      </c>
      <c r="CB14" t="s">
        <v>172</v>
      </c>
      <c r="CC14" t="s">
        <v>213</v>
      </c>
      <c r="CD14" t="s">
        <v>214</v>
      </c>
      <c r="CE14" t="s">
        <v>215</v>
      </c>
      <c r="CF14" t="s">
        <v>216</v>
      </c>
      <c r="CG14" t="s">
        <v>217</v>
      </c>
      <c r="CH14" t="s">
        <v>218</v>
      </c>
      <c r="CI14" t="s">
        <v>178</v>
      </c>
      <c r="CJ14" t="s">
        <v>210</v>
      </c>
      <c r="CK14" t="s">
        <v>219</v>
      </c>
      <c r="CL14" t="s">
        <v>219</v>
      </c>
      <c r="CM14" t="s">
        <v>219</v>
      </c>
      <c r="CN14" t="s">
        <v>172</v>
      </c>
      <c r="CO14" t="s">
        <v>220</v>
      </c>
      <c r="CP14" t="s">
        <v>172</v>
      </c>
      <c r="CQ14" t="s">
        <v>172</v>
      </c>
      <c r="CR14" t="s">
        <v>172</v>
      </c>
      <c r="CS14" t="s">
        <v>172</v>
      </c>
      <c r="CT14" t="s">
        <v>663</v>
      </c>
      <c r="CU14" t="s">
        <v>664</v>
      </c>
      <c r="CV14" t="s">
        <v>665</v>
      </c>
      <c r="CW14" t="s">
        <v>666</v>
      </c>
      <c r="CX14" t="s">
        <v>667</v>
      </c>
      <c r="CY14" t="s">
        <v>668</v>
      </c>
      <c r="CZ14" t="s">
        <v>669</v>
      </c>
      <c r="DA14" t="s">
        <v>670</v>
      </c>
      <c r="DB14" t="s">
        <v>639</v>
      </c>
      <c r="DC14" t="s">
        <v>290</v>
      </c>
      <c r="DD14" t="s">
        <v>230</v>
      </c>
      <c r="DE14" t="s">
        <v>231</v>
      </c>
      <c r="DF14" t="s">
        <v>178</v>
      </c>
      <c r="DG14" t="s">
        <v>232</v>
      </c>
      <c r="DH14" t="s">
        <v>233</v>
      </c>
      <c r="DI14" t="s">
        <v>178</v>
      </c>
      <c r="DJ14" t="s">
        <v>234</v>
      </c>
      <c r="DK14" t="s">
        <v>235</v>
      </c>
      <c r="DL14" t="s">
        <v>236</v>
      </c>
      <c r="DM14" t="s">
        <v>172</v>
      </c>
      <c r="DN14" t="s">
        <v>638</v>
      </c>
      <c r="DO14" t="s">
        <v>237</v>
      </c>
      <c r="DP14" t="s">
        <v>238</v>
      </c>
      <c r="DQ14" t="s">
        <v>239</v>
      </c>
      <c r="DR14" t="s">
        <v>240</v>
      </c>
      <c r="DS14" t="s">
        <v>241</v>
      </c>
      <c r="DT14" t="s">
        <v>242</v>
      </c>
    </row>
    <row r="15" spans="1:124" x14ac:dyDescent="0.45">
      <c r="A15" t="s">
        <v>450</v>
      </c>
      <c r="B15" t="s">
        <v>671</v>
      </c>
      <c r="C15" t="s">
        <v>161</v>
      </c>
      <c r="D15" t="s">
        <v>162</v>
      </c>
      <c r="E15" t="s">
        <v>163</v>
      </c>
      <c r="I15" t="s">
        <v>672</v>
      </c>
      <c r="J15">
        <v>0.31950991599469108</v>
      </c>
      <c r="K15">
        <v>2.907430080000001</v>
      </c>
      <c r="L15">
        <v>0.28787419095931849</v>
      </c>
      <c r="M15">
        <v>2.8002988778925468</v>
      </c>
      <c r="N15" t="s">
        <v>673</v>
      </c>
      <c r="O15" t="s">
        <v>674</v>
      </c>
      <c r="P15">
        <v>4.1539529143348428</v>
      </c>
      <c r="Q15">
        <v>0.94261391433484265</v>
      </c>
      <c r="R15" t="s">
        <v>675</v>
      </c>
      <c r="S15" t="s">
        <v>676</v>
      </c>
      <c r="T15">
        <v>41.29177847251335</v>
      </c>
      <c r="U15">
        <v>0.4417875</v>
      </c>
      <c r="V15" t="s">
        <v>170</v>
      </c>
      <c r="W15" t="s">
        <v>677</v>
      </c>
      <c r="X15" t="s">
        <v>172</v>
      </c>
      <c r="Y15" t="s">
        <v>172</v>
      </c>
      <c r="Z15" t="s">
        <v>172</v>
      </c>
      <c r="AA15" t="s">
        <v>678</v>
      </c>
      <c r="AB15" t="s">
        <v>679</v>
      </c>
      <c r="AC15" t="s">
        <v>680</v>
      </c>
      <c r="AD15" t="s">
        <v>176</v>
      </c>
      <c r="AE15" t="s">
        <v>177</v>
      </c>
      <c r="AF15">
        <v>44.874352739999999</v>
      </c>
      <c r="AG15" t="s">
        <v>178</v>
      </c>
      <c r="AH15" t="s">
        <v>345</v>
      </c>
      <c r="AI15" t="s">
        <v>681</v>
      </c>
      <c r="AJ15" t="s">
        <v>682</v>
      </c>
      <c r="AK15" t="s">
        <v>562</v>
      </c>
      <c r="AL15">
        <v>29.56</v>
      </c>
      <c r="AM15" t="s">
        <v>349</v>
      </c>
      <c r="AN15" t="s">
        <v>683</v>
      </c>
      <c r="AO15" t="s">
        <v>684</v>
      </c>
      <c r="AP15" t="s">
        <v>685</v>
      </c>
      <c r="AQ15" t="s">
        <v>686</v>
      </c>
      <c r="AR15" t="s">
        <v>687</v>
      </c>
      <c r="AS15" t="s">
        <v>688</v>
      </c>
      <c r="AT15" t="s">
        <v>381</v>
      </c>
      <c r="AU15" t="s">
        <v>689</v>
      </c>
      <c r="AV15" t="s">
        <v>690</v>
      </c>
      <c r="AW15" t="s">
        <v>691</v>
      </c>
      <c r="AX15" t="s">
        <v>692</v>
      </c>
      <c r="AY15" t="s">
        <v>693</v>
      </c>
      <c r="AZ15" t="s">
        <v>268</v>
      </c>
      <c r="BA15" t="s">
        <v>654</v>
      </c>
      <c r="BB15" t="s">
        <v>655</v>
      </c>
      <c r="BC15" t="s">
        <v>694</v>
      </c>
      <c r="BD15" t="s">
        <v>161</v>
      </c>
      <c r="BE15" t="s">
        <v>695</v>
      </c>
      <c r="BF15" t="s">
        <v>494</v>
      </c>
      <c r="BG15" t="s">
        <v>696</v>
      </c>
      <c r="BH15" t="s">
        <v>450</v>
      </c>
      <c r="BI15" t="s">
        <v>697</v>
      </c>
      <c r="BJ15" t="s">
        <v>452</v>
      </c>
      <c r="BK15" t="s">
        <v>161</v>
      </c>
      <c r="BL15" t="s">
        <v>453</v>
      </c>
      <c r="BM15" t="s">
        <v>159</v>
      </c>
      <c r="BN15" t="s">
        <v>368</v>
      </c>
      <c r="BO15" t="s">
        <v>276</v>
      </c>
      <c r="BP15" t="s">
        <v>575</v>
      </c>
      <c r="BQ15" t="s">
        <v>698</v>
      </c>
      <c r="BR15" t="s">
        <v>699</v>
      </c>
      <c r="BS15" t="s">
        <v>700</v>
      </c>
      <c r="BT15" t="s">
        <v>159</v>
      </c>
      <c r="BU15" t="s">
        <v>208</v>
      </c>
      <c r="BV15" t="s">
        <v>209</v>
      </c>
      <c r="BW15" t="s">
        <v>210</v>
      </c>
      <c r="BX15" t="s">
        <v>211</v>
      </c>
      <c r="BY15" t="s">
        <v>172</v>
      </c>
      <c r="BZ15" t="s">
        <v>212</v>
      </c>
      <c r="CA15" t="s">
        <v>172</v>
      </c>
      <c r="CB15" t="s">
        <v>172</v>
      </c>
      <c r="CC15" t="s">
        <v>213</v>
      </c>
      <c r="CD15" t="s">
        <v>214</v>
      </c>
      <c r="CE15" t="s">
        <v>215</v>
      </c>
      <c r="CF15" t="s">
        <v>216</v>
      </c>
      <c r="CG15" t="s">
        <v>217</v>
      </c>
      <c r="CH15" t="s">
        <v>218</v>
      </c>
      <c r="CI15" t="s">
        <v>178</v>
      </c>
      <c r="CJ15" t="s">
        <v>210</v>
      </c>
      <c r="CK15" t="s">
        <v>219</v>
      </c>
      <c r="CL15" t="s">
        <v>219</v>
      </c>
      <c r="CM15" t="s">
        <v>219</v>
      </c>
      <c r="CN15" t="s">
        <v>172</v>
      </c>
      <c r="CO15" t="s">
        <v>220</v>
      </c>
      <c r="CP15" t="s">
        <v>172</v>
      </c>
      <c r="CQ15" t="s">
        <v>172</v>
      </c>
      <c r="CR15" t="s">
        <v>172</v>
      </c>
      <c r="CS15" t="s">
        <v>172</v>
      </c>
      <c r="CT15" t="s">
        <v>701</v>
      </c>
      <c r="CU15" t="s">
        <v>702</v>
      </c>
      <c r="CV15" t="s">
        <v>703</v>
      </c>
      <c r="CW15" t="s">
        <v>704</v>
      </c>
      <c r="CX15" t="s">
        <v>705</v>
      </c>
      <c r="CY15" t="s">
        <v>706</v>
      </c>
      <c r="CZ15" t="s">
        <v>707</v>
      </c>
      <c r="DA15" t="s">
        <v>708</v>
      </c>
      <c r="DB15" t="s">
        <v>678</v>
      </c>
      <c r="DC15" t="s">
        <v>380</v>
      </c>
      <c r="DD15" t="s">
        <v>230</v>
      </c>
      <c r="DE15" t="s">
        <v>231</v>
      </c>
      <c r="DF15" t="s">
        <v>178</v>
      </c>
      <c r="DG15" t="s">
        <v>232</v>
      </c>
      <c r="DH15" t="s">
        <v>233</v>
      </c>
      <c r="DI15" t="s">
        <v>178</v>
      </c>
      <c r="DJ15" t="s">
        <v>234</v>
      </c>
      <c r="DK15" t="s">
        <v>235</v>
      </c>
      <c r="DL15" t="s">
        <v>236</v>
      </c>
      <c r="DM15" t="s">
        <v>172</v>
      </c>
      <c r="DN15" t="s">
        <v>677</v>
      </c>
      <c r="DO15" t="s">
        <v>237</v>
      </c>
      <c r="DP15" t="s">
        <v>238</v>
      </c>
      <c r="DQ15" t="s">
        <v>239</v>
      </c>
      <c r="DR15" t="s">
        <v>240</v>
      </c>
      <c r="DS15" t="s">
        <v>241</v>
      </c>
      <c r="DT15" t="s">
        <v>242</v>
      </c>
    </row>
    <row r="16" spans="1:124" x14ac:dyDescent="0.45">
      <c r="A16" t="s">
        <v>709</v>
      </c>
      <c r="B16" t="s">
        <v>710</v>
      </c>
      <c r="C16" t="s">
        <v>161</v>
      </c>
      <c r="D16" t="s">
        <v>162</v>
      </c>
      <c r="E16" t="s">
        <v>163</v>
      </c>
      <c r="I16" t="s">
        <v>711</v>
      </c>
      <c r="J16">
        <v>0.23008125478182789</v>
      </c>
      <c r="K16">
        <v>2.9058327199999998</v>
      </c>
      <c r="L16">
        <v>0.2132002484061146</v>
      </c>
      <c r="M16">
        <v>2.2855361168797219</v>
      </c>
      <c r="N16" t="s">
        <v>712</v>
      </c>
      <c r="O16" t="s">
        <v>713</v>
      </c>
      <c r="P16">
        <v>4.2287399203826004</v>
      </c>
      <c r="Q16">
        <v>1.0385299203825999</v>
      </c>
      <c r="R16" t="s">
        <v>714</v>
      </c>
      <c r="S16" t="s">
        <v>715</v>
      </c>
      <c r="T16">
        <v>42.035188075373767</v>
      </c>
      <c r="U16">
        <v>0.4417875</v>
      </c>
      <c r="V16" t="s">
        <v>170</v>
      </c>
      <c r="W16" t="s">
        <v>716</v>
      </c>
      <c r="X16" t="s">
        <v>172</v>
      </c>
      <c r="Y16" t="s">
        <v>172</v>
      </c>
      <c r="Z16" t="s">
        <v>172</v>
      </c>
      <c r="AA16" t="s">
        <v>717</v>
      </c>
      <c r="AB16" t="s">
        <v>718</v>
      </c>
      <c r="AC16" t="s">
        <v>719</v>
      </c>
      <c r="AD16" t="s">
        <v>176</v>
      </c>
      <c r="AE16" t="s">
        <v>177</v>
      </c>
      <c r="AF16">
        <v>51.142690199999997</v>
      </c>
      <c r="AG16" t="s">
        <v>178</v>
      </c>
      <c r="AH16" t="s">
        <v>720</v>
      </c>
      <c r="AI16" t="s">
        <v>721</v>
      </c>
      <c r="AJ16" t="s">
        <v>722</v>
      </c>
      <c r="AK16" t="s">
        <v>723</v>
      </c>
      <c r="AL16">
        <v>29.87</v>
      </c>
      <c r="AM16" t="s">
        <v>349</v>
      </c>
      <c r="AN16" t="s">
        <v>184</v>
      </c>
      <c r="AO16" t="s">
        <v>724</v>
      </c>
      <c r="AP16" t="s">
        <v>523</v>
      </c>
      <c r="AQ16" t="s">
        <v>725</v>
      </c>
      <c r="AR16" t="s">
        <v>687</v>
      </c>
      <c r="AS16" t="s">
        <v>726</v>
      </c>
      <c r="AT16" t="s">
        <v>190</v>
      </c>
      <c r="AU16" t="s">
        <v>567</v>
      </c>
      <c r="AV16" t="s">
        <v>727</v>
      </c>
      <c r="AW16" t="s">
        <v>728</v>
      </c>
      <c r="AX16" t="s">
        <v>729</v>
      </c>
      <c r="AY16" t="s">
        <v>730</v>
      </c>
      <c r="AZ16" t="s">
        <v>268</v>
      </c>
      <c r="BA16" t="s">
        <v>731</v>
      </c>
      <c r="BB16" t="s">
        <v>732</v>
      </c>
      <c r="BC16" t="s">
        <v>733</v>
      </c>
      <c r="BD16" t="s">
        <v>161</v>
      </c>
      <c r="BE16" t="s">
        <v>734</v>
      </c>
      <c r="BF16" t="s">
        <v>494</v>
      </c>
      <c r="BG16" t="s">
        <v>735</v>
      </c>
      <c r="BH16" t="s">
        <v>450</v>
      </c>
      <c r="BI16" t="s">
        <v>697</v>
      </c>
      <c r="BJ16" t="s">
        <v>452</v>
      </c>
      <c r="BK16" t="s">
        <v>161</v>
      </c>
      <c r="BL16" t="s">
        <v>453</v>
      </c>
      <c r="BM16" t="s">
        <v>159</v>
      </c>
      <c r="BN16" t="s">
        <v>277</v>
      </c>
      <c r="BO16" t="s">
        <v>276</v>
      </c>
      <c r="BP16" t="s">
        <v>203</v>
      </c>
      <c r="BQ16" t="s">
        <v>278</v>
      </c>
      <c r="BR16" t="s">
        <v>736</v>
      </c>
      <c r="BS16" t="s">
        <v>737</v>
      </c>
      <c r="BT16" t="s">
        <v>159</v>
      </c>
      <c r="BU16" t="s">
        <v>208</v>
      </c>
      <c r="BV16" t="s">
        <v>209</v>
      </c>
      <c r="BW16" t="s">
        <v>210</v>
      </c>
      <c r="BX16" t="s">
        <v>211</v>
      </c>
      <c r="BY16" t="s">
        <v>172</v>
      </c>
      <c r="BZ16" t="s">
        <v>212</v>
      </c>
      <c r="CA16" t="s">
        <v>172</v>
      </c>
      <c r="CB16" t="s">
        <v>172</v>
      </c>
      <c r="CC16" t="s">
        <v>213</v>
      </c>
      <c r="CD16" t="s">
        <v>214</v>
      </c>
      <c r="CE16" t="s">
        <v>215</v>
      </c>
      <c r="CF16" t="s">
        <v>216</v>
      </c>
      <c r="CG16" t="s">
        <v>217</v>
      </c>
      <c r="CH16" t="s">
        <v>218</v>
      </c>
      <c r="CI16" t="s">
        <v>178</v>
      </c>
      <c r="CJ16" t="s">
        <v>210</v>
      </c>
      <c r="CK16" t="s">
        <v>219</v>
      </c>
      <c r="CL16" t="s">
        <v>219</v>
      </c>
      <c r="CM16" t="s">
        <v>219</v>
      </c>
      <c r="CN16" t="s">
        <v>172</v>
      </c>
      <c r="CO16" t="s">
        <v>220</v>
      </c>
      <c r="CP16" t="s">
        <v>172</v>
      </c>
      <c r="CQ16" t="s">
        <v>172</v>
      </c>
      <c r="CR16" t="s">
        <v>172</v>
      </c>
      <c r="CS16" t="s">
        <v>172</v>
      </c>
      <c r="CT16" t="s">
        <v>738</v>
      </c>
      <c r="CU16" t="s">
        <v>739</v>
      </c>
      <c r="CV16" t="s">
        <v>740</v>
      </c>
      <c r="CW16" t="s">
        <v>741</v>
      </c>
      <c r="CX16" t="s">
        <v>742</v>
      </c>
      <c r="CY16" t="s">
        <v>743</v>
      </c>
      <c r="CZ16" t="s">
        <v>744</v>
      </c>
      <c r="DA16" t="s">
        <v>745</v>
      </c>
      <c r="DB16" t="s">
        <v>717</v>
      </c>
      <c r="DC16" t="s">
        <v>290</v>
      </c>
      <c r="DD16" t="s">
        <v>230</v>
      </c>
      <c r="DE16" t="s">
        <v>231</v>
      </c>
      <c r="DF16" t="s">
        <v>178</v>
      </c>
      <c r="DG16" t="s">
        <v>232</v>
      </c>
      <c r="DH16" t="s">
        <v>233</v>
      </c>
      <c r="DI16" t="s">
        <v>178</v>
      </c>
      <c r="DJ16" t="s">
        <v>234</v>
      </c>
      <c r="DK16" t="s">
        <v>235</v>
      </c>
      <c r="DL16" t="s">
        <v>236</v>
      </c>
      <c r="DM16" t="s">
        <v>172</v>
      </c>
      <c r="DN16" t="s">
        <v>716</v>
      </c>
      <c r="DO16" t="s">
        <v>237</v>
      </c>
      <c r="DP16" t="s">
        <v>238</v>
      </c>
      <c r="DQ16" t="s">
        <v>239</v>
      </c>
      <c r="DR16" t="s">
        <v>240</v>
      </c>
      <c r="DS16" t="s">
        <v>241</v>
      </c>
      <c r="DT16" t="s">
        <v>242</v>
      </c>
    </row>
    <row r="17" spans="1:124" x14ac:dyDescent="0.45">
      <c r="A17" t="s">
        <v>746</v>
      </c>
      <c r="B17" t="s">
        <v>747</v>
      </c>
      <c r="C17" t="s">
        <v>161</v>
      </c>
      <c r="D17" t="s">
        <v>162</v>
      </c>
      <c r="E17" t="s">
        <v>163</v>
      </c>
      <c r="I17" t="s">
        <v>748</v>
      </c>
      <c r="J17">
        <v>0.34722275850903273</v>
      </c>
      <c r="K17">
        <v>2.9042299200000001</v>
      </c>
      <c r="L17">
        <v>0.31014282656860942</v>
      </c>
      <c r="M17">
        <v>2.8153080588039172</v>
      </c>
      <c r="N17" t="s">
        <v>749</v>
      </c>
      <c r="O17" t="s">
        <v>750</v>
      </c>
      <c r="P17">
        <v>4.1015801985633829</v>
      </c>
      <c r="Q17">
        <v>0.8801571985633827</v>
      </c>
      <c r="R17" t="s">
        <v>751</v>
      </c>
      <c r="S17" t="s">
        <v>752</v>
      </c>
      <c r="T17">
        <v>40.767122538151114</v>
      </c>
      <c r="U17">
        <v>0.4417875</v>
      </c>
      <c r="V17" t="s">
        <v>170</v>
      </c>
      <c r="W17" t="s">
        <v>753</v>
      </c>
      <c r="X17" t="s">
        <v>172</v>
      </c>
      <c r="Y17" t="s">
        <v>172</v>
      </c>
      <c r="Z17" t="s">
        <v>172</v>
      </c>
      <c r="AA17" t="s">
        <v>754</v>
      </c>
      <c r="AB17" t="s">
        <v>755</v>
      </c>
      <c r="AC17" t="s">
        <v>756</v>
      </c>
      <c r="AD17" t="s">
        <v>176</v>
      </c>
      <c r="AE17" t="s">
        <v>177</v>
      </c>
      <c r="AF17">
        <v>57.544132799999993</v>
      </c>
      <c r="AG17" t="s">
        <v>178</v>
      </c>
      <c r="AH17" t="s">
        <v>757</v>
      </c>
      <c r="AI17" t="s">
        <v>758</v>
      </c>
      <c r="AJ17" t="s">
        <v>759</v>
      </c>
      <c r="AK17" t="s">
        <v>760</v>
      </c>
      <c r="AL17">
        <v>29.34</v>
      </c>
      <c r="AM17" t="s">
        <v>256</v>
      </c>
      <c r="AN17" t="s">
        <v>603</v>
      </c>
      <c r="AO17" t="s">
        <v>761</v>
      </c>
      <c r="AP17" t="s">
        <v>762</v>
      </c>
      <c r="AQ17" t="s">
        <v>763</v>
      </c>
      <c r="AR17" t="s">
        <v>648</v>
      </c>
      <c r="AS17" t="s">
        <v>764</v>
      </c>
      <c r="AT17" t="s">
        <v>215</v>
      </c>
      <c r="AU17" t="s">
        <v>765</v>
      </c>
      <c r="AV17" t="s">
        <v>766</v>
      </c>
      <c r="AW17" t="s">
        <v>767</v>
      </c>
      <c r="AX17" t="s">
        <v>768</v>
      </c>
      <c r="AY17" t="s">
        <v>769</v>
      </c>
      <c r="AZ17" t="s">
        <v>268</v>
      </c>
      <c r="BA17" t="s">
        <v>770</v>
      </c>
      <c r="BB17" t="s">
        <v>771</v>
      </c>
      <c r="BC17" t="s">
        <v>772</v>
      </c>
      <c r="BD17" t="s">
        <v>161</v>
      </c>
      <c r="BE17" t="s">
        <v>773</v>
      </c>
      <c r="BF17" t="s">
        <v>617</v>
      </c>
      <c r="BG17" t="s">
        <v>735</v>
      </c>
      <c r="BH17" t="s">
        <v>450</v>
      </c>
      <c r="BI17" t="s">
        <v>697</v>
      </c>
      <c r="BJ17" t="s">
        <v>452</v>
      </c>
      <c r="BK17" t="s">
        <v>161</v>
      </c>
      <c r="BL17" t="s">
        <v>453</v>
      </c>
      <c r="BM17" t="s">
        <v>159</v>
      </c>
      <c r="BN17" t="s">
        <v>368</v>
      </c>
      <c r="BO17" t="s">
        <v>209</v>
      </c>
      <c r="BP17" t="s">
        <v>209</v>
      </c>
      <c r="BQ17" t="s">
        <v>774</v>
      </c>
      <c r="BR17" t="s">
        <v>775</v>
      </c>
      <c r="BS17" t="s">
        <v>776</v>
      </c>
      <c r="BT17" t="s">
        <v>159</v>
      </c>
      <c r="BU17" t="s">
        <v>208</v>
      </c>
      <c r="BV17" t="s">
        <v>209</v>
      </c>
      <c r="BW17" t="s">
        <v>210</v>
      </c>
      <c r="BX17" t="s">
        <v>211</v>
      </c>
      <c r="BY17" t="s">
        <v>172</v>
      </c>
      <c r="BZ17" t="s">
        <v>212</v>
      </c>
      <c r="CA17" t="s">
        <v>172</v>
      </c>
      <c r="CB17" t="s">
        <v>172</v>
      </c>
      <c r="CC17" t="s">
        <v>213</v>
      </c>
      <c r="CD17" t="s">
        <v>214</v>
      </c>
      <c r="CE17" t="s">
        <v>215</v>
      </c>
      <c r="CF17" t="s">
        <v>216</v>
      </c>
      <c r="CG17" t="s">
        <v>217</v>
      </c>
      <c r="CH17" t="s">
        <v>218</v>
      </c>
      <c r="CI17" t="s">
        <v>178</v>
      </c>
      <c r="CJ17" t="s">
        <v>210</v>
      </c>
      <c r="CK17" t="s">
        <v>219</v>
      </c>
      <c r="CL17" t="s">
        <v>219</v>
      </c>
      <c r="CM17" t="s">
        <v>219</v>
      </c>
      <c r="CN17" t="s">
        <v>172</v>
      </c>
      <c r="CO17" t="s">
        <v>220</v>
      </c>
      <c r="CP17" t="s">
        <v>172</v>
      </c>
      <c r="CQ17" t="s">
        <v>172</v>
      </c>
      <c r="CR17" t="s">
        <v>172</v>
      </c>
      <c r="CS17" t="s">
        <v>172</v>
      </c>
      <c r="CT17" t="s">
        <v>777</v>
      </c>
      <c r="CU17" t="s">
        <v>778</v>
      </c>
      <c r="CV17" t="s">
        <v>779</v>
      </c>
      <c r="CW17" t="s">
        <v>780</v>
      </c>
      <c r="CX17" t="s">
        <v>781</v>
      </c>
      <c r="CY17" t="s">
        <v>782</v>
      </c>
      <c r="CZ17" t="s">
        <v>783</v>
      </c>
      <c r="DA17" t="s">
        <v>784</v>
      </c>
      <c r="DB17" t="s">
        <v>754</v>
      </c>
      <c r="DC17" t="s">
        <v>422</v>
      </c>
      <c r="DD17" t="s">
        <v>230</v>
      </c>
      <c r="DE17" t="s">
        <v>231</v>
      </c>
      <c r="DF17" t="s">
        <v>178</v>
      </c>
      <c r="DG17" t="s">
        <v>232</v>
      </c>
      <c r="DH17" t="s">
        <v>233</v>
      </c>
      <c r="DI17" t="s">
        <v>178</v>
      </c>
      <c r="DJ17" t="s">
        <v>234</v>
      </c>
      <c r="DK17" t="s">
        <v>235</v>
      </c>
      <c r="DL17" t="s">
        <v>236</v>
      </c>
      <c r="DM17" t="s">
        <v>172</v>
      </c>
      <c r="DN17" t="s">
        <v>753</v>
      </c>
      <c r="DO17" t="s">
        <v>237</v>
      </c>
      <c r="DP17" t="s">
        <v>238</v>
      </c>
      <c r="DQ17" t="s">
        <v>239</v>
      </c>
      <c r="DR17" t="s">
        <v>240</v>
      </c>
      <c r="DS17" t="s">
        <v>241</v>
      </c>
      <c r="DT17" t="s">
        <v>242</v>
      </c>
    </row>
    <row r="18" spans="1:124" x14ac:dyDescent="0.45">
      <c r="A18" t="s">
        <v>785</v>
      </c>
      <c r="B18" t="s">
        <v>786</v>
      </c>
      <c r="C18" t="s">
        <v>161</v>
      </c>
      <c r="D18" t="s">
        <v>162</v>
      </c>
      <c r="E18" t="s">
        <v>163</v>
      </c>
      <c r="I18" t="s">
        <v>787</v>
      </c>
      <c r="J18">
        <v>0.18454983340769929</v>
      </c>
      <c r="K18">
        <v>2.9066320800000001</v>
      </c>
      <c r="L18">
        <v>0.17353183383184659</v>
      </c>
      <c r="M18">
        <v>1.901682306801562</v>
      </c>
      <c r="N18" t="s">
        <v>788</v>
      </c>
      <c r="O18" t="s">
        <v>789</v>
      </c>
      <c r="P18">
        <v>4.265346557993702</v>
      </c>
      <c r="Q18">
        <v>1.061614557993702</v>
      </c>
      <c r="R18" t="s">
        <v>790</v>
      </c>
      <c r="S18" t="s">
        <v>791</v>
      </c>
      <c r="T18">
        <v>42.399071153018909</v>
      </c>
      <c r="U18">
        <v>0.4417875</v>
      </c>
      <c r="V18" t="s">
        <v>170</v>
      </c>
      <c r="W18" t="s">
        <v>792</v>
      </c>
      <c r="X18" t="s">
        <v>172</v>
      </c>
      <c r="Y18" t="s">
        <v>172</v>
      </c>
      <c r="Z18" t="s">
        <v>172</v>
      </c>
      <c r="AA18" t="s">
        <v>793</v>
      </c>
      <c r="AB18" t="s">
        <v>794</v>
      </c>
      <c r="AC18" t="s">
        <v>795</v>
      </c>
      <c r="AD18" t="s">
        <v>176</v>
      </c>
      <c r="AE18" t="s">
        <v>177</v>
      </c>
      <c r="AF18">
        <v>55.349351400000003</v>
      </c>
      <c r="AG18" t="s">
        <v>178</v>
      </c>
      <c r="AH18" t="s">
        <v>796</v>
      </c>
      <c r="AI18" t="s">
        <v>797</v>
      </c>
      <c r="AJ18" t="s">
        <v>798</v>
      </c>
      <c r="AK18" t="s">
        <v>799</v>
      </c>
      <c r="AL18">
        <v>30.02</v>
      </c>
      <c r="AM18" t="s">
        <v>349</v>
      </c>
      <c r="AN18" t="s">
        <v>396</v>
      </c>
      <c r="AO18" t="s">
        <v>800</v>
      </c>
      <c r="AP18" t="s">
        <v>801</v>
      </c>
      <c r="AQ18" t="s">
        <v>802</v>
      </c>
      <c r="AR18" t="s">
        <v>803</v>
      </c>
      <c r="AS18" t="s">
        <v>649</v>
      </c>
      <c r="AT18" t="s">
        <v>215</v>
      </c>
      <c r="AU18" t="s">
        <v>804</v>
      </c>
      <c r="AV18" t="s">
        <v>805</v>
      </c>
      <c r="AW18" t="s">
        <v>806</v>
      </c>
      <c r="AX18" t="s">
        <v>807</v>
      </c>
      <c r="AY18" t="s">
        <v>808</v>
      </c>
      <c r="AZ18" t="s">
        <v>268</v>
      </c>
      <c r="BA18" t="s">
        <v>770</v>
      </c>
      <c r="BB18" t="s">
        <v>771</v>
      </c>
      <c r="BC18" t="s">
        <v>809</v>
      </c>
      <c r="BD18" t="s">
        <v>161</v>
      </c>
      <c r="BE18" t="s">
        <v>734</v>
      </c>
      <c r="BF18" t="s">
        <v>407</v>
      </c>
      <c r="BG18" t="s">
        <v>810</v>
      </c>
      <c r="BH18" t="s">
        <v>619</v>
      </c>
      <c r="BI18" t="s">
        <v>409</v>
      </c>
      <c r="BJ18" t="s">
        <v>452</v>
      </c>
      <c r="BK18" t="s">
        <v>161</v>
      </c>
      <c r="BL18" t="s">
        <v>453</v>
      </c>
      <c r="BM18" t="s">
        <v>159</v>
      </c>
      <c r="BN18" t="s">
        <v>368</v>
      </c>
      <c r="BO18" t="s">
        <v>276</v>
      </c>
      <c r="BP18" t="s">
        <v>575</v>
      </c>
      <c r="BQ18" t="s">
        <v>811</v>
      </c>
      <c r="BR18" t="s">
        <v>812</v>
      </c>
      <c r="BS18" t="s">
        <v>813</v>
      </c>
      <c r="BT18" t="s">
        <v>159</v>
      </c>
      <c r="BU18" t="s">
        <v>208</v>
      </c>
      <c r="BV18" t="s">
        <v>209</v>
      </c>
      <c r="BW18" t="s">
        <v>210</v>
      </c>
      <c r="BX18" t="s">
        <v>211</v>
      </c>
      <c r="BY18" t="s">
        <v>172</v>
      </c>
      <c r="BZ18" t="s">
        <v>212</v>
      </c>
      <c r="CA18" t="s">
        <v>172</v>
      </c>
      <c r="CB18" t="s">
        <v>172</v>
      </c>
      <c r="CC18" t="s">
        <v>213</v>
      </c>
      <c r="CD18" t="s">
        <v>214</v>
      </c>
      <c r="CE18" t="s">
        <v>215</v>
      </c>
      <c r="CF18" t="s">
        <v>216</v>
      </c>
      <c r="CG18" t="s">
        <v>217</v>
      </c>
      <c r="CH18" t="s">
        <v>218</v>
      </c>
      <c r="CI18" t="s">
        <v>178</v>
      </c>
      <c r="CJ18" t="s">
        <v>210</v>
      </c>
      <c r="CK18" t="s">
        <v>219</v>
      </c>
      <c r="CL18" t="s">
        <v>219</v>
      </c>
      <c r="CM18" t="s">
        <v>219</v>
      </c>
      <c r="CN18" t="s">
        <v>172</v>
      </c>
      <c r="CO18" t="s">
        <v>220</v>
      </c>
      <c r="CP18" t="s">
        <v>172</v>
      </c>
      <c r="CQ18" t="s">
        <v>172</v>
      </c>
      <c r="CR18" t="s">
        <v>172</v>
      </c>
      <c r="CS18" t="s">
        <v>172</v>
      </c>
      <c r="CT18" t="s">
        <v>814</v>
      </c>
      <c r="CU18" t="s">
        <v>815</v>
      </c>
      <c r="CV18" t="s">
        <v>816</v>
      </c>
      <c r="CW18" t="s">
        <v>817</v>
      </c>
      <c r="CX18" t="s">
        <v>818</v>
      </c>
      <c r="CY18" t="s">
        <v>819</v>
      </c>
      <c r="CZ18" t="s">
        <v>820</v>
      </c>
      <c r="DA18" t="s">
        <v>821</v>
      </c>
      <c r="DB18" t="s">
        <v>793</v>
      </c>
      <c r="DC18" t="s">
        <v>822</v>
      </c>
      <c r="DD18" t="s">
        <v>230</v>
      </c>
      <c r="DE18" t="s">
        <v>231</v>
      </c>
      <c r="DF18" t="s">
        <v>178</v>
      </c>
      <c r="DG18" t="s">
        <v>232</v>
      </c>
      <c r="DH18" t="s">
        <v>233</v>
      </c>
      <c r="DI18" t="s">
        <v>178</v>
      </c>
      <c r="DJ18" t="s">
        <v>234</v>
      </c>
      <c r="DK18" t="s">
        <v>235</v>
      </c>
      <c r="DL18" t="s">
        <v>236</v>
      </c>
      <c r="DM18" t="s">
        <v>172</v>
      </c>
      <c r="DN18" t="s">
        <v>792</v>
      </c>
      <c r="DO18" t="s">
        <v>237</v>
      </c>
      <c r="DP18" t="s">
        <v>238</v>
      </c>
      <c r="DQ18" t="s">
        <v>239</v>
      </c>
      <c r="DR18" t="s">
        <v>240</v>
      </c>
      <c r="DS18" t="s">
        <v>241</v>
      </c>
      <c r="DT18" t="s">
        <v>242</v>
      </c>
    </row>
    <row r="19" spans="1:124" x14ac:dyDescent="0.45">
      <c r="A19" t="s">
        <v>823</v>
      </c>
      <c r="B19" t="s">
        <v>824</v>
      </c>
      <c r="C19" t="s">
        <v>161</v>
      </c>
      <c r="D19" t="s">
        <v>162</v>
      </c>
      <c r="E19" t="s">
        <v>163</v>
      </c>
      <c r="I19" t="s">
        <v>825</v>
      </c>
      <c r="J19">
        <v>0.29097952454680731</v>
      </c>
      <c r="K19">
        <v>2.9058327199999998</v>
      </c>
      <c r="L19">
        <v>0.26449405176062268</v>
      </c>
      <c r="M19">
        <v>2.5816809108188501</v>
      </c>
      <c r="N19" t="s">
        <v>826</v>
      </c>
      <c r="O19" t="s">
        <v>827</v>
      </c>
      <c r="P19">
        <v>4.1851736433352924</v>
      </c>
      <c r="Q19">
        <v>0.94576064333529164</v>
      </c>
      <c r="R19" t="s">
        <v>828</v>
      </c>
      <c r="S19" t="s">
        <v>829</v>
      </c>
      <c r="T19">
        <v>41.602123691205684</v>
      </c>
      <c r="U19">
        <v>0.4417875</v>
      </c>
      <c r="V19" t="s">
        <v>170</v>
      </c>
      <c r="W19" t="s">
        <v>830</v>
      </c>
      <c r="X19" t="s">
        <v>172</v>
      </c>
      <c r="Y19" t="s">
        <v>172</v>
      </c>
      <c r="Z19" t="s">
        <v>172</v>
      </c>
      <c r="AA19" t="s">
        <v>831</v>
      </c>
      <c r="AB19" t="s">
        <v>832</v>
      </c>
      <c r="AC19" t="s">
        <v>833</v>
      </c>
      <c r="AD19" t="s">
        <v>176</v>
      </c>
      <c r="AE19" t="s">
        <v>177</v>
      </c>
      <c r="AF19">
        <v>64.055736359999997</v>
      </c>
      <c r="AG19" t="s">
        <v>178</v>
      </c>
      <c r="AH19" t="s">
        <v>834</v>
      </c>
      <c r="AI19" t="s">
        <v>835</v>
      </c>
      <c r="AJ19" t="s">
        <v>836</v>
      </c>
      <c r="AK19" t="s">
        <v>805</v>
      </c>
      <c r="AL19">
        <v>29.69</v>
      </c>
      <c r="AM19" t="s">
        <v>349</v>
      </c>
      <c r="AN19" t="s">
        <v>184</v>
      </c>
      <c r="AO19" t="s">
        <v>837</v>
      </c>
      <c r="AP19" t="s">
        <v>838</v>
      </c>
      <c r="AQ19" t="s">
        <v>839</v>
      </c>
      <c r="AR19" t="s">
        <v>840</v>
      </c>
      <c r="AS19" t="s">
        <v>726</v>
      </c>
      <c r="AT19" t="s">
        <v>274</v>
      </c>
      <c r="AU19" t="s">
        <v>841</v>
      </c>
      <c r="AV19" t="s">
        <v>842</v>
      </c>
      <c r="AW19" t="s">
        <v>843</v>
      </c>
      <c r="AX19" t="s">
        <v>844</v>
      </c>
      <c r="AY19" t="s">
        <v>845</v>
      </c>
      <c r="AZ19" t="s">
        <v>268</v>
      </c>
      <c r="BA19" t="s">
        <v>846</v>
      </c>
      <c r="BB19" t="s">
        <v>847</v>
      </c>
      <c r="BC19" t="s">
        <v>848</v>
      </c>
      <c r="BD19" t="s">
        <v>161</v>
      </c>
      <c r="BE19" t="s">
        <v>657</v>
      </c>
      <c r="BF19" t="s">
        <v>407</v>
      </c>
      <c r="BG19" t="s">
        <v>849</v>
      </c>
      <c r="BH19" t="s">
        <v>619</v>
      </c>
      <c r="BI19" t="s">
        <v>409</v>
      </c>
      <c r="BJ19" t="s">
        <v>452</v>
      </c>
      <c r="BK19" t="s">
        <v>161</v>
      </c>
      <c r="BL19" t="s">
        <v>453</v>
      </c>
      <c r="BM19" t="s">
        <v>159</v>
      </c>
      <c r="BN19" t="s">
        <v>276</v>
      </c>
      <c r="BO19" t="s">
        <v>277</v>
      </c>
      <c r="BP19" t="s">
        <v>850</v>
      </c>
      <c r="BQ19" t="s">
        <v>497</v>
      </c>
      <c r="BR19" t="s">
        <v>851</v>
      </c>
      <c r="BS19" t="s">
        <v>496</v>
      </c>
      <c r="BT19" t="s">
        <v>159</v>
      </c>
      <c r="BU19" t="s">
        <v>208</v>
      </c>
      <c r="BV19" t="s">
        <v>209</v>
      </c>
      <c r="BW19" t="s">
        <v>210</v>
      </c>
      <c r="BX19" t="s">
        <v>211</v>
      </c>
      <c r="BY19" t="s">
        <v>172</v>
      </c>
      <c r="BZ19" t="s">
        <v>212</v>
      </c>
      <c r="CA19" t="s">
        <v>172</v>
      </c>
      <c r="CB19" t="s">
        <v>172</v>
      </c>
      <c r="CC19" t="s">
        <v>213</v>
      </c>
      <c r="CD19" t="s">
        <v>214</v>
      </c>
      <c r="CE19" t="s">
        <v>215</v>
      </c>
      <c r="CF19" t="s">
        <v>216</v>
      </c>
      <c r="CG19" t="s">
        <v>217</v>
      </c>
      <c r="CH19" t="s">
        <v>218</v>
      </c>
      <c r="CI19" t="s">
        <v>178</v>
      </c>
      <c r="CJ19" t="s">
        <v>210</v>
      </c>
      <c r="CK19" t="s">
        <v>219</v>
      </c>
      <c r="CL19" t="s">
        <v>219</v>
      </c>
      <c r="CM19" t="s">
        <v>219</v>
      </c>
      <c r="CN19" t="s">
        <v>172</v>
      </c>
      <c r="CO19" t="s">
        <v>220</v>
      </c>
      <c r="CP19" t="s">
        <v>172</v>
      </c>
      <c r="CQ19" t="s">
        <v>172</v>
      </c>
      <c r="CR19" t="s">
        <v>172</v>
      </c>
      <c r="CS19" t="s">
        <v>172</v>
      </c>
      <c r="CT19" t="s">
        <v>852</v>
      </c>
      <c r="CU19" t="s">
        <v>853</v>
      </c>
      <c r="CV19" t="s">
        <v>854</v>
      </c>
      <c r="CW19" t="s">
        <v>855</v>
      </c>
      <c r="CX19" t="s">
        <v>856</v>
      </c>
      <c r="CY19" t="s">
        <v>857</v>
      </c>
      <c r="CZ19" t="s">
        <v>858</v>
      </c>
      <c r="DA19" t="s">
        <v>859</v>
      </c>
      <c r="DB19" t="s">
        <v>831</v>
      </c>
      <c r="DC19" t="s">
        <v>587</v>
      </c>
      <c r="DD19" t="s">
        <v>230</v>
      </c>
      <c r="DE19" t="s">
        <v>231</v>
      </c>
      <c r="DF19" t="s">
        <v>178</v>
      </c>
      <c r="DG19" t="s">
        <v>232</v>
      </c>
      <c r="DH19" t="s">
        <v>233</v>
      </c>
      <c r="DI19" t="s">
        <v>178</v>
      </c>
      <c r="DJ19" t="s">
        <v>234</v>
      </c>
      <c r="DK19" t="s">
        <v>235</v>
      </c>
      <c r="DL19" t="s">
        <v>236</v>
      </c>
      <c r="DM19" t="s">
        <v>172</v>
      </c>
      <c r="DN19" t="s">
        <v>830</v>
      </c>
      <c r="DO19" t="s">
        <v>237</v>
      </c>
      <c r="DP19" t="s">
        <v>238</v>
      </c>
      <c r="DQ19" t="s">
        <v>239</v>
      </c>
      <c r="DR19" t="s">
        <v>240</v>
      </c>
      <c r="DS19" t="s">
        <v>241</v>
      </c>
      <c r="DT19" t="s">
        <v>242</v>
      </c>
    </row>
    <row r="20" spans="1:124" x14ac:dyDescent="0.45">
      <c r="A20" t="s">
        <v>860</v>
      </c>
      <c r="B20" t="s">
        <v>861</v>
      </c>
      <c r="C20" t="s">
        <v>161</v>
      </c>
      <c r="D20" t="s">
        <v>162</v>
      </c>
      <c r="E20" t="s">
        <v>163</v>
      </c>
      <c r="I20" t="s">
        <v>862</v>
      </c>
      <c r="J20">
        <v>0.208091112896088</v>
      </c>
      <c r="K20">
        <v>2.9050319999999989</v>
      </c>
      <c r="L20">
        <v>0.1941816368824493</v>
      </c>
      <c r="M20">
        <v>2.0401162152394559</v>
      </c>
      <c r="N20" t="s">
        <v>863</v>
      </c>
      <c r="O20" t="s">
        <v>864</v>
      </c>
      <c r="P20">
        <v>4.1948210785935176</v>
      </c>
      <c r="Q20">
        <v>1.0181530785935189</v>
      </c>
      <c r="R20" t="s">
        <v>865</v>
      </c>
      <c r="S20" t="s">
        <v>866</v>
      </c>
      <c r="T20">
        <v>41.702167994766057</v>
      </c>
      <c r="U20">
        <v>0.4417875</v>
      </c>
      <c r="V20" t="s">
        <v>170</v>
      </c>
      <c r="W20" t="s">
        <v>867</v>
      </c>
      <c r="X20" t="s">
        <v>172</v>
      </c>
      <c r="Y20" t="s">
        <v>172</v>
      </c>
      <c r="Z20" t="s">
        <v>172</v>
      </c>
      <c r="AA20" t="s">
        <v>868</v>
      </c>
      <c r="AB20" t="s">
        <v>869</v>
      </c>
      <c r="AC20" t="s">
        <v>870</v>
      </c>
      <c r="AD20" t="s">
        <v>176</v>
      </c>
      <c r="AE20" t="s">
        <v>177</v>
      </c>
      <c r="AF20">
        <v>71.644836479999995</v>
      </c>
      <c r="AG20" t="s">
        <v>178</v>
      </c>
      <c r="AH20" t="s">
        <v>871</v>
      </c>
      <c r="AI20" t="s">
        <v>872</v>
      </c>
      <c r="AJ20" t="s">
        <v>873</v>
      </c>
      <c r="AK20" t="s">
        <v>874</v>
      </c>
      <c r="AL20">
        <v>29.73</v>
      </c>
      <c r="AM20" t="s">
        <v>183</v>
      </c>
      <c r="AN20" t="s">
        <v>305</v>
      </c>
      <c r="AO20" t="s">
        <v>875</v>
      </c>
      <c r="AP20" t="s">
        <v>876</v>
      </c>
      <c r="AQ20" t="s">
        <v>877</v>
      </c>
      <c r="AR20" t="s">
        <v>840</v>
      </c>
      <c r="AS20" t="s">
        <v>649</v>
      </c>
      <c r="AT20" t="s">
        <v>215</v>
      </c>
      <c r="AU20" t="s">
        <v>878</v>
      </c>
      <c r="AV20" t="s">
        <v>879</v>
      </c>
      <c r="AW20" t="s">
        <v>880</v>
      </c>
      <c r="AX20" t="s">
        <v>807</v>
      </c>
      <c r="AY20" t="s">
        <v>881</v>
      </c>
      <c r="AZ20" t="s">
        <v>268</v>
      </c>
      <c r="BA20" t="s">
        <v>846</v>
      </c>
      <c r="BB20" t="s">
        <v>847</v>
      </c>
      <c r="BC20" t="s">
        <v>882</v>
      </c>
      <c r="BD20" t="s">
        <v>161</v>
      </c>
      <c r="BE20" t="s">
        <v>883</v>
      </c>
      <c r="BF20" t="s">
        <v>448</v>
      </c>
      <c r="BG20" t="s">
        <v>884</v>
      </c>
      <c r="BH20" t="s">
        <v>619</v>
      </c>
      <c r="BI20" t="s">
        <v>885</v>
      </c>
      <c r="BJ20" t="s">
        <v>452</v>
      </c>
      <c r="BK20" t="s">
        <v>161</v>
      </c>
      <c r="BL20" t="s">
        <v>453</v>
      </c>
      <c r="BM20" t="s">
        <v>159</v>
      </c>
      <c r="BN20" t="s">
        <v>368</v>
      </c>
      <c r="BO20" t="s">
        <v>277</v>
      </c>
      <c r="BP20" t="s">
        <v>886</v>
      </c>
      <c r="BQ20" t="s">
        <v>887</v>
      </c>
      <c r="BR20" t="s">
        <v>888</v>
      </c>
      <c r="BS20" t="s">
        <v>889</v>
      </c>
      <c r="BT20" t="s">
        <v>159</v>
      </c>
      <c r="BU20" t="s">
        <v>208</v>
      </c>
      <c r="BV20" t="s">
        <v>209</v>
      </c>
      <c r="BW20" t="s">
        <v>210</v>
      </c>
      <c r="BX20" t="s">
        <v>211</v>
      </c>
      <c r="BY20" t="s">
        <v>172</v>
      </c>
      <c r="BZ20" t="s">
        <v>212</v>
      </c>
      <c r="CA20" t="s">
        <v>172</v>
      </c>
      <c r="CB20" t="s">
        <v>172</v>
      </c>
      <c r="CC20" t="s">
        <v>213</v>
      </c>
      <c r="CD20" t="s">
        <v>214</v>
      </c>
      <c r="CE20" t="s">
        <v>215</v>
      </c>
      <c r="CF20" t="s">
        <v>216</v>
      </c>
      <c r="CG20" t="s">
        <v>217</v>
      </c>
      <c r="CH20" t="s">
        <v>218</v>
      </c>
      <c r="CI20" t="s">
        <v>178</v>
      </c>
      <c r="CJ20" t="s">
        <v>210</v>
      </c>
      <c r="CK20" t="s">
        <v>219</v>
      </c>
      <c r="CL20" t="s">
        <v>219</v>
      </c>
      <c r="CM20" t="s">
        <v>219</v>
      </c>
      <c r="CN20" t="s">
        <v>172</v>
      </c>
      <c r="CO20" t="s">
        <v>220</v>
      </c>
      <c r="CP20" t="s">
        <v>172</v>
      </c>
      <c r="CQ20" t="s">
        <v>172</v>
      </c>
      <c r="CR20" t="s">
        <v>172</v>
      </c>
      <c r="CS20" t="s">
        <v>172</v>
      </c>
      <c r="CT20" t="s">
        <v>890</v>
      </c>
      <c r="CU20" t="s">
        <v>891</v>
      </c>
      <c r="CV20" t="s">
        <v>892</v>
      </c>
      <c r="CW20" t="s">
        <v>893</v>
      </c>
      <c r="CX20" t="s">
        <v>894</v>
      </c>
      <c r="CY20" t="s">
        <v>895</v>
      </c>
      <c r="CZ20" t="s">
        <v>896</v>
      </c>
      <c r="DA20" t="s">
        <v>897</v>
      </c>
      <c r="DB20" t="s">
        <v>868</v>
      </c>
      <c r="DC20" t="s">
        <v>380</v>
      </c>
      <c r="DD20" t="s">
        <v>230</v>
      </c>
      <c r="DE20" t="s">
        <v>231</v>
      </c>
      <c r="DF20" t="s">
        <v>178</v>
      </c>
      <c r="DG20" t="s">
        <v>232</v>
      </c>
      <c r="DH20" t="s">
        <v>233</v>
      </c>
      <c r="DI20" t="s">
        <v>178</v>
      </c>
      <c r="DJ20" t="s">
        <v>234</v>
      </c>
      <c r="DK20" t="s">
        <v>235</v>
      </c>
      <c r="DL20" t="s">
        <v>236</v>
      </c>
      <c r="DM20" t="s">
        <v>172</v>
      </c>
      <c r="DN20" t="s">
        <v>867</v>
      </c>
      <c r="DO20" t="s">
        <v>237</v>
      </c>
      <c r="DP20" t="s">
        <v>238</v>
      </c>
      <c r="DQ20" t="s">
        <v>239</v>
      </c>
      <c r="DR20" t="s">
        <v>240</v>
      </c>
      <c r="DS20" t="s">
        <v>241</v>
      </c>
      <c r="DT20" t="s">
        <v>242</v>
      </c>
    </row>
    <row r="21" spans="1:124" x14ac:dyDescent="0.45">
      <c r="A21" t="s">
        <v>898</v>
      </c>
      <c r="B21" t="s">
        <v>899</v>
      </c>
      <c r="C21" t="s">
        <v>161</v>
      </c>
      <c r="D21" t="s">
        <v>162</v>
      </c>
      <c r="E21" t="s">
        <v>163</v>
      </c>
      <c r="I21" t="s">
        <v>900</v>
      </c>
      <c r="J21">
        <v>0.18335941681374909</v>
      </c>
      <c r="K21">
        <v>2.9066320800000001</v>
      </c>
      <c r="L21">
        <v>0.17247890928842211</v>
      </c>
      <c r="M21">
        <v>1.932657244792606</v>
      </c>
      <c r="N21" t="s">
        <v>901</v>
      </c>
      <c r="O21" t="s">
        <v>902</v>
      </c>
      <c r="P21">
        <v>4.284982783340161</v>
      </c>
      <c r="Q21">
        <v>1.0850437833401609</v>
      </c>
      <c r="R21" t="s">
        <v>903</v>
      </c>
      <c r="S21" t="s">
        <v>904</v>
      </c>
      <c r="T21">
        <v>42.598496702854767</v>
      </c>
      <c r="U21">
        <v>0.4417875</v>
      </c>
      <c r="V21" t="s">
        <v>170</v>
      </c>
      <c r="W21" t="s">
        <v>905</v>
      </c>
      <c r="X21" t="s">
        <v>172</v>
      </c>
      <c r="Y21" t="s">
        <v>172</v>
      </c>
      <c r="Z21" t="s">
        <v>172</v>
      </c>
      <c r="AA21" t="s">
        <v>906</v>
      </c>
      <c r="AB21" t="s">
        <v>907</v>
      </c>
      <c r="AC21" t="s">
        <v>908</v>
      </c>
      <c r="AD21" t="s">
        <v>176</v>
      </c>
      <c r="AE21" t="s">
        <v>177</v>
      </c>
      <c r="AF21">
        <v>74.921006160000005</v>
      </c>
      <c r="AG21" t="s">
        <v>178</v>
      </c>
      <c r="AH21" t="s">
        <v>909</v>
      </c>
      <c r="AI21" t="s">
        <v>910</v>
      </c>
      <c r="AJ21" t="s">
        <v>911</v>
      </c>
      <c r="AK21" t="s">
        <v>912</v>
      </c>
      <c r="AL21">
        <v>30.1</v>
      </c>
      <c r="AM21" t="s">
        <v>183</v>
      </c>
      <c r="AN21" t="s">
        <v>396</v>
      </c>
      <c r="AO21" t="s">
        <v>563</v>
      </c>
      <c r="AP21" t="s">
        <v>913</v>
      </c>
      <c r="AQ21" t="s">
        <v>914</v>
      </c>
      <c r="AR21" t="s">
        <v>915</v>
      </c>
      <c r="AS21" t="s">
        <v>916</v>
      </c>
      <c r="AT21" t="s">
        <v>215</v>
      </c>
      <c r="AU21" t="s">
        <v>917</v>
      </c>
      <c r="AV21" t="s">
        <v>918</v>
      </c>
      <c r="AW21" t="s">
        <v>919</v>
      </c>
      <c r="AX21" t="s">
        <v>920</v>
      </c>
      <c r="AY21" t="s">
        <v>921</v>
      </c>
      <c r="AZ21" t="s">
        <v>268</v>
      </c>
      <c r="BA21" t="s">
        <v>922</v>
      </c>
      <c r="BB21" t="s">
        <v>923</v>
      </c>
      <c r="BC21" t="s">
        <v>924</v>
      </c>
      <c r="BD21" t="s">
        <v>161</v>
      </c>
      <c r="BE21" t="s">
        <v>925</v>
      </c>
      <c r="BF21" t="s">
        <v>926</v>
      </c>
      <c r="BG21" t="s">
        <v>927</v>
      </c>
      <c r="BH21" t="s">
        <v>366</v>
      </c>
      <c r="BI21" t="s">
        <v>928</v>
      </c>
      <c r="BJ21" t="s">
        <v>929</v>
      </c>
      <c r="BK21" t="s">
        <v>161</v>
      </c>
      <c r="BL21" t="s">
        <v>930</v>
      </c>
      <c r="BM21" t="s">
        <v>159</v>
      </c>
      <c r="BN21" t="s">
        <v>321</v>
      </c>
      <c r="BO21" t="s">
        <v>276</v>
      </c>
      <c r="BP21" t="s">
        <v>410</v>
      </c>
      <c r="BQ21" t="s">
        <v>410</v>
      </c>
      <c r="BR21" t="s">
        <v>623</v>
      </c>
      <c r="BS21" t="s">
        <v>931</v>
      </c>
      <c r="BT21" t="s">
        <v>159</v>
      </c>
      <c r="BU21" t="s">
        <v>208</v>
      </c>
      <c r="BV21" t="s">
        <v>209</v>
      </c>
      <c r="BW21" t="s">
        <v>210</v>
      </c>
      <c r="BX21" t="s">
        <v>211</v>
      </c>
      <c r="BY21" t="s">
        <v>172</v>
      </c>
      <c r="BZ21" t="s">
        <v>212</v>
      </c>
      <c r="CA21" t="s">
        <v>172</v>
      </c>
      <c r="CB21" t="s">
        <v>172</v>
      </c>
      <c r="CC21" t="s">
        <v>213</v>
      </c>
      <c r="CD21" t="s">
        <v>214</v>
      </c>
      <c r="CE21" t="s">
        <v>215</v>
      </c>
      <c r="CF21" t="s">
        <v>216</v>
      </c>
      <c r="CG21" t="s">
        <v>217</v>
      </c>
      <c r="CH21" t="s">
        <v>218</v>
      </c>
      <c r="CI21" t="s">
        <v>178</v>
      </c>
      <c r="CJ21" t="s">
        <v>210</v>
      </c>
      <c r="CK21" t="s">
        <v>219</v>
      </c>
      <c r="CL21" t="s">
        <v>219</v>
      </c>
      <c r="CM21" t="s">
        <v>219</v>
      </c>
      <c r="CN21" t="s">
        <v>172</v>
      </c>
      <c r="CO21" t="s">
        <v>220</v>
      </c>
      <c r="CP21" t="s">
        <v>172</v>
      </c>
      <c r="CQ21" t="s">
        <v>172</v>
      </c>
      <c r="CR21" t="s">
        <v>172</v>
      </c>
      <c r="CS21" t="s">
        <v>172</v>
      </c>
      <c r="CT21" t="s">
        <v>932</v>
      </c>
      <c r="CU21" t="s">
        <v>933</v>
      </c>
      <c r="CV21" t="s">
        <v>934</v>
      </c>
      <c r="CW21" t="s">
        <v>935</v>
      </c>
      <c r="CX21" t="s">
        <v>936</v>
      </c>
      <c r="CY21" t="s">
        <v>937</v>
      </c>
      <c r="CZ21" t="s">
        <v>938</v>
      </c>
      <c r="DA21" t="s">
        <v>939</v>
      </c>
      <c r="DB21" t="s">
        <v>906</v>
      </c>
      <c r="DC21" t="s">
        <v>333</v>
      </c>
      <c r="DD21" t="s">
        <v>230</v>
      </c>
      <c r="DE21" t="s">
        <v>231</v>
      </c>
      <c r="DF21" t="s">
        <v>178</v>
      </c>
      <c r="DG21" t="s">
        <v>232</v>
      </c>
      <c r="DH21" t="s">
        <v>233</v>
      </c>
      <c r="DI21" t="s">
        <v>178</v>
      </c>
      <c r="DJ21" t="s">
        <v>234</v>
      </c>
      <c r="DK21" t="s">
        <v>235</v>
      </c>
      <c r="DL21" t="s">
        <v>236</v>
      </c>
      <c r="DM21" t="s">
        <v>172</v>
      </c>
      <c r="DN21" t="s">
        <v>905</v>
      </c>
      <c r="DO21" t="s">
        <v>237</v>
      </c>
      <c r="DP21" t="s">
        <v>238</v>
      </c>
      <c r="DQ21" t="s">
        <v>239</v>
      </c>
      <c r="DR21" t="s">
        <v>240</v>
      </c>
      <c r="DS21" t="s">
        <v>241</v>
      </c>
      <c r="DT21" t="s">
        <v>242</v>
      </c>
    </row>
    <row r="22" spans="1:124" x14ac:dyDescent="0.45">
      <c r="A22" t="s">
        <v>940</v>
      </c>
      <c r="B22" t="s">
        <v>941</v>
      </c>
      <c r="C22" t="s">
        <v>161</v>
      </c>
      <c r="D22" t="s">
        <v>162</v>
      </c>
      <c r="E22" t="s">
        <v>163</v>
      </c>
      <c r="I22" t="s">
        <v>943</v>
      </c>
      <c r="J22">
        <v>0.37535749673092772</v>
      </c>
      <c r="K22">
        <v>2.9050319999999989</v>
      </c>
      <c r="L22">
        <v>0.33240733776580611</v>
      </c>
      <c r="M22">
        <v>3.4410981539878822</v>
      </c>
      <c r="N22" t="s">
        <v>944</v>
      </c>
      <c r="O22" t="s">
        <v>945</v>
      </c>
      <c r="P22">
        <v>4.1683371620465532</v>
      </c>
      <c r="Q22">
        <v>1.003412162046553</v>
      </c>
      <c r="R22" t="s">
        <v>946</v>
      </c>
      <c r="S22" t="s">
        <v>947</v>
      </c>
      <c r="T22">
        <v>41.434763042212261</v>
      </c>
      <c r="U22">
        <v>0.4417875</v>
      </c>
      <c r="V22" t="s">
        <v>170</v>
      </c>
      <c r="W22" t="s">
        <v>948</v>
      </c>
      <c r="X22" t="s">
        <v>172</v>
      </c>
      <c r="Y22" t="s">
        <v>172</v>
      </c>
      <c r="Z22" t="s">
        <v>172</v>
      </c>
      <c r="AA22" t="s">
        <v>949</v>
      </c>
      <c r="AB22" t="s">
        <v>950</v>
      </c>
      <c r="AC22" t="s">
        <v>951</v>
      </c>
      <c r="AD22" t="s">
        <v>176</v>
      </c>
      <c r="AE22" t="s">
        <v>177</v>
      </c>
      <c r="AF22">
        <v>81.196308479999999</v>
      </c>
      <c r="AG22" t="s">
        <v>178</v>
      </c>
      <c r="AH22" t="s">
        <v>952</v>
      </c>
      <c r="AI22" t="s">
        <v>953</v>
      </c>
      <c r="AJ22" t="s">
        <v>954</v>
      </c>
      <c r="AK22" t="s">
        <v>955</v>
      </c>
      <c r="AL22">
        <v>29.62</v>
      </c>
      <c r="AM22" t="s">
        <v>349</v>
      </c>
      <c r="AN22" t="s">
        <v>305</v>
      </c>
      <c r="AO22" t="s">
        <v>956</v>
      </c>
      <c r="AP22" t="s">
        <v>957</v>
      </c>
      <c r="AQ22" t="s">
        <v>958</v>
      </c>
      <c r="AR22" t="s">
        <v>959</v>
      </c>
      <c r="AS22" t="s">
        <v>261</v>
      </c>
      <c r="AT22" t="s">
        <v>190</v>
      </c>
      <c r="AU22" t="s">
        <v>960</v>
      </c>
      <c r="AV22" t="s">
        <v>961</v>
      </c>
      <c r="AW22" t="s">
        <v>962</v>
      </c>
      <c r="AX22" t="s">
        <v>442</v>
      </c>
      <c r="AY22" t="s">
        <v>963</v>
      </c>
      <c r="AZ22" t="s">
        <v>964</v>
      </c>
      <c r="BA22" t="s">
        <v>965</v>
      </c>
      <c r="BB22" t="s">
        <v>966</v>
      </c>
      <c r="BC22" t="s">
        <v>967</v>
      </c>
      <c r="BD22" t="s">
        <v>161</v>
      </c>
      <c r="BE22" t="s">
        <v>968</v>
      </c>
      <c r="BF22" t="s">
        <v>926</v>
      </c>
      <c r="BG22" t="s">
        <v>927</v>
      </c>
      <c r="BH22" t="s">
        <v>450</v>
      </c>
      <c r="BI22" t="s">
        <v>969</v>
      </c>
      <c r="BJ22" t="s">
        <v>929</v>
      </c>
      <c r="BK22" t="s">
        <v>161</v>
      </c>
      <c r="BL22" t="s">
        <v>930</v>
      </c>
      <c r="BM22" t="s">
        <v>159</v>
      </c>
      <c r="BN22" t="s">
        <v>203</v>
      </c>
      <c r="BO22" t="s">
        <v>203</v>
      </c>
      <c r="BP22" t="s">
        <v>621</v>
      </c>
      <c r="BQ22" t="s">
        <v>970</v>
      </c>
      <c r="BR22" t="s">
        <v>971</v>
      </c>
      <c r="BS22" t="s">
        <v>972</v>
      </c>
      <c r="BT22" t="s">
        <v>159</v>
      </c>
      <c r="BU22" t="s">
        <v>208</v>
      </c>
      <c r="BV22" t="s">
        <v>209</v>
      </c>
      <c r="BW22" t="s">
        <v>210</v>
      </c>
      <c r="BX22" t="s">
        <v>211</v>
      </c>
      <c r="BY22" t="s">
        <v>172</v>
      </c>
      <c r="BZ22" t="s">
        <v>212</v>
      </c>
      <c r="CA22" t="s">
        <v>172</v>
      </c>
      <c r="CB22" t="s">
        <v>172</v>
      </c>
      <c r="CC22" t="s">
        <v>213</v>
      </c>
      <c r="CD22" t="s">
        <v>214</v>
      </c>
      <c r="CE22" t="s">
        <v>215</v>
      </c>
      <c r="CF22" t="s">
        <v>216</v>
      </c>
      <c r="CG22" t="s">
        <v>217</v>
      </c>
      <c r="CH22" t="s">
        <v>218</v>
      </c>
      <c r="CI22" t="s">
        <v>178</v>
      </c>
      <c r="CJ22" t="s">
        <v>210</v>
      </c>
      <c r="CK22" t="s">
        <v>219</v>
      </c>
      <c r="CL22" t="s">
        <v>219</v>
      </c>
      <c r="CM22" t="s">
        <v>219</v>
      </c>
      <c r="CN22" t="s">
        <v>172</v>
      </c>
      <c r="CO22" t="s">
        <v>220</v>
      </c>
      <c r="CP22" t="s">
        <v>172</v>
      </c>
      <c r="CQ22" t="s">
        <v>172</v>
      </c>
      <c r="CR22" t="s">
        <v>172</v>
      </c>
      <c r="CS22" t="s">
        <v>172</v>
      </c>
      <c r="CT22" t="s">
        <v>973</v>
      </c>
      <c r="CU22" t="s">
        <v>974</v>
      </c>
      <c r="CV22" t="s">
        <v>975</v>
      </c>
      <c r="CW22" t="s">
        <v>976</v>
      </c>
      <c r="CX22" t="s">
        <v>977</v>
      </c>
      <c r="CY22" t="s">
        <v>978</v>
      </c>
      <c r="CZ22" t="s">
        <v>979</v>
      </c>
      <c r="DA22" t="s">
        <v>980</v>
      </c>
      <c r="DB22" t="s">
        <v>949</v>
      </c>
      <c r="DC22" t="s">
        <v>229</v>
      </c>
      <c r="DD22" t="s">
        <v>230</v>
      </c>
      <c r="DE22" t="s">
        <v>231</v>
      </c>
      <c r="DF22" t="s">
        <v>178</v>
      </c>
      <c r="DG22" t="s">
        <v>232</v>
      </c>
      <c r="DH22" t="s">
        <v>233</v>
      </c>
      <c r="DI22" t="s">
        <v>178</v>
      </c>
      <c r="DJ22" t="s">
        <v>234</v>
      </c>
      <c r="DK22" t="s">
        <v>235</v>
      </c>
      <c r="DL22" t="s">
        <v>236</v>
      </c>
      <c r="DM22" t="s">
        <v>172</v>
      </c>
      <c r="DN22" t="s">
        <v>948</v>
      </c>
      <c r="DO22" t="s">
        <v>237</v>
      </c>
      <c r="DP22" t="s">
        <v>238</v>
      </c>
      <c r="DQ22" t="s">
        <v>239</v>
      </c>
      <c r="DR22" t="s">
        <v>240</v>
      </c>
      <c r="DS22" t="s">
        <v>241</v>
      </c>
      <c r="DT22" t="s">
        <v>242</v>
      </c>
    </row>
    <row r="23" spans="1:124" x14ac:dyDescent="0.45">
      <c r="A23" t="s">
        <v>981</v>
      </c>
      <c r="B23" t="s">
        <v>982</v>
      </c>
      <c r="C23" t="s">
        <v>161</v>
      </c>
      <c r="D23" t="s">
        <v>162</v>
      </c>
      <c r="E23" t="s">
        <v>163</v>
      </c>
      <c r="I23" t="s">
        <v>983</v>
      </c>
      <c r="J23">
        <v>0.20890155486685499</v>
      </c>
      <c r="K23">
        <v>2.9066320800000001</v>
      </c>
      <c r="L23">
        <v>0.19489436870221119</v>
      </c>
      <c r="M23">
        <v>2.224920353366314</v>
      </c>
      <c r="N23" t="s">
        <v>984</v>
      </c>
      <c r="O23" t="s">
        <v>985</v>
      </c>
      <c r="P23">
        <v>4.2702482477367987</v>
      </c>
      <c r="Q23">
        <v>1.1059222477367989</v>
      </c>
      <c r="R23" t="s">
        <v>986</v>
      </c>
      <c r="S23" t="s">
        <v>987</v>
      </c>
      <c r="T23">
        <v>42.447795703149097</v>
      </c>
      <c r="U23">
        <v>0.4417875</v>
      </c>
      <c r="V23" t="s">
        <v>170</v>
      </c>
      <c r="W23" t="s">
        <v>988</v>
      </c>
      <c r="X23" t="s">
        <v>172</v>
      </c>
      <c r="Y23" t="s">
        <v>172</v>
      </c>
      <c r="Z23" t="s">
        <v>172</v>
      </c>
      <c r="AA23" t="s">
        <v>989</v>
      </c>
      <c r="AB23" t="s">
        <v>990</v>
      </c>
      <c r="AC23" t="s">
        <v>991</v>
      </c>
      <c r="AD23" t="s">
        <v>176</v>
      </c>
      <c r="AE23" t="s">
        <v>177</v>
      </c>
      <c r="AF23">
        <v>75.293313479999995</v>
      </c>
      <c r="AG23" t="s">
        <v>178</v>
      </c>
      <c r="AH23" t="s">
        <v>992</v>
      </c>
      <c r="AI23" t="s">
        <v>993</v>
      </c>
      <c r="AJ23" t="s">
        <v>994</v>
      </c>
      <c r="AK23" t="s">
        <v>995</v>
      </c>
      <c r="AL23">
        <v>30.04</v>
      </c>
      <c r="AM23" t="s">
        <v>349</v>
      </c>
      <c r="AN23" t="s">
        <v>396</v>
      </c>
      <c r="AO23" t="s">
        <v>996</v>
      </c>
      <c r="AP23" t="s">
        <v>997</v>
      </c>
      <c r="AQ23" t="s">
        <v>998</v>
      </c>
      <c r="AR23" t="s">
        <v>959</v>
      </c>
      <c r="AS23" t="s">
        <v>999</v>
      </c>
      <c r="AT23" t="s">
        <v>1000</v>
      </c>
      <c r="AU23" t="s">
        <v>1001</v>
      </c>
      <c r="AV23" t="s">
        <v>1002</v>
      </c>
      <c r="AW23" t="s">
        <v>1003</v>
      </c>
      <c r="AX23" t="s">
        <v>1004</v>
      </c>
      <c r="AY23" t="s">
        <v>1005</v>
      </c>
      <c r="AZ23" t="s">
        <v>964</v>
      </c>
      <c r="BA23" t="s">
        <v>965</v>
      </c>
      <c r="BB23" t="s">
        <v>966</v>
      </c>
      <c r="BC23" t="s">
        <v>1006</v>
      </c>
      <c r="BD23" t="s">
        <v>161</v>
      </c>
      <c r="BE23" t="s">
        <v>1007</v>
      </c>
      <c r="BF23" t="s">
        <v>1008</v>
      </c>
      <c r="BG23" t="s">
        <v>1009</v>
      </c>
      <c r="BH23" t="s">
        <v>450</v>
      </c>
      <c r="BI23" t="s">
        <v>969</v>
      </c>
      <c r="BJ23" t="s">
        <v>929</v>
      </c>
      <c r="BK23" t="s">
        <v>161</v>
      </c>
      <c r="BL23" t="s">
        <v>930</v>
      </c>
      <c r="BM23" t="s">
        <v>159</v>
      </c>
      <c r="BN23" t="s">
        <v>203</v>
      </c>
      <c r="BO23" t="s">
        <v>209</v>
      </c>
      <c r="BP23" t="s">
        <v>209</v>
      </c>
      <c r="BQ23" t="s">
        <v>1010</v>
      </c>
      <c r="BR23" t="s">
        <v>1011</v>
      </c>
      <c r="BS23" t="s">
        <v>1012</v>
      </c>
      <c r="BT23" t="s">
        <v>159</v>
      </c>
      <c r="BU23" t="s">
        <v>208</v>
      </c>
      <c r="BV23" t="s">
        <v>209</v>
      </c>
      <c r="BW23" t="s">
        <v>210</v>
      </c>
      <c r="BX23" t="s">
        <v>211</v>
      </c>
      <c r="BY23" t="s">
        <v>172</v>
      </c>
      <c r="BZ23" t="s">
        <v>212</v>
      </c>
      <c r="CA23" t="s">
        <v>172</v>
      </c>
      <c r="CB23" t="s">
        <v>172</v>
      </c>
      <c r="CC23" t="s">
        <v>213</v>
      </c>
      <c r="CD23" t="s">
        <v>214</v>
      </c>
      <c r="CE23" t="s">
        <v>215</v>
      </c>
      <c r="CF23" t="s">
        <v>216</v>
      </c>
      <c r="CG23" t="s">
        <v>217</v>
      </c>
      <c r="CH23" t="s">
        <v>218</v>
      </c>
      <c r="CI23" t="s">
        <v>178</v>
      </c>
      <c r="CJ23" t="s">
        <v>210</v>
      </c>
      <c r="CK23" t="s">
        <v>219</v>
      </c>
      <c r="CL23" t="s">
        <v>219</v>
      </c>
      <c r="CM23" t="s">
        <v>219</v>
      </c>
      <c r="CN23" t="s">
        <v>172</v>
      </c>
      <c r="CO23" t="s">
        <v>220</v>
      </c>
      <c r="CP23" t="s">
        <v>172</v>
      </c>
      <c r="CQ23" t="s">
        <v>172</v>
      </c>
      <c r="CR23" t="s">
        <v>172</v>
      </c>
      <c r="CS23" t="s">
        <v>172</v>
      </c>
      <c r="CT23" t="s">
        <v>1013</v>
      </c>
      <c r="CU23" t="s">
        <v>1014</v>
      </c>
      <c r="CV23" t="s">
        <v>1015</v>
      </c>
      <c r="CW23" t="s">
        <v>1016</v>
      </c>
      <c r="CX23" t="s">
        <v>1017</v>
      </c>
      <c r="CY23" t="s">
        <v>1018</v>
      </c>
      <c r="CZ23" t="s">
        <v>1019</v>
      </c>
      <c r="DA23" t="s">
        <v>1020</v>
      </c>
      <c r="DB23" t="s">
        <v>989</v>
      </c>
      <c r="DC23" t="s">
        <v>229</v>
      </c>
      <c r="DD23" t="s">
        <v>230</v>
      </c>
      <c r="DE23" t="s">
        <v>231</v>
      </c>
      <c r="DF23" t="s">
        <v>178</v>
      </c>
      <c r="DG23" t="s">
        <v>232</v>
      </c>
      <c r="DH23" t="s">
        <v>233</v>
      </c>
      <c r="DI23" t="s">
        <v>178</v>
      </c>
      <c r="DJ23" t="s">
        <v>234</v>
      </c>
      <c r="DK23" t="s">
        <v>235</v>
      </c>
      <c r="DL23" t="s">
        <v>236</v>
      </c>
      <c r="DM23" t="s">
        <v>172</v>
      </c>
      <c r="DN23" t="s">
        <v>988</v>
      </c>
      <c r="DO23" t="s">
        <v>237</v>
      </c>
      <c r="DP23" t="s">
        <v>238</v>
      </c>
      <c r="DQ23" t="s">
        <v>239</v>
      </c>
      <c r="DR23" t="s">
        <v>240</v>
      </c>
      <c r="DS23" t="s">
        <v>241</v>
      </c>
      <c r="DT23" t="s">
        <v>242</v>
      </c>
    </row>
    <row r="24" spans="1:124" x14ac:dyDescent="0.45">
      <c r="A24" t="s">
        <v>1021</v>
      </c>
      <c r="B24" t="s">
        <v>1022</v>
      </c>
      <c r="C24" t="s">
        <v>161</v>
      </c>
      <c r="D24" t="s">
        <v>162</v>
      </c>
      <c r="E24" t="s">
        <v>163</v>
      </c>
      <c r="I24" t="s">
        <v>1023</v>
      </c>
      <c r="J24">
        <v>0.3107782950651482</v>
      </c>
      <c r="K24">
        <v>2.9042299200000001</v>
      </c>
      <c r="L24">
        <v>0.28073695699608098</v>
      </c>
      <c r="M24">
        <v>3.0051246660475979</v>
      </c>
      <c r="N24" t="s">
        <v>1024</v>
      </c>
      <c r="O24" t="s">
        <v>1025</v>
      </c>
      <c r="P24">
        <v>4.2311718154757827</v>
      </c>
      <c r="Q24">
        <v>1.036903815475783</v>
      </c>
      <c r="R24" t="s">
        <v>1026</v>
      </c>
      <c r="S24" t="s">
        <v>1027</v>
      </c>
      <c r="T24">
        <v>42.063543249585273</v>
      </c>
      <c r="U24">
        <v>0.4417875</v>
      </c>
      <c r="V24" t="s">
        <v>170</v>
      </c>
      <c r="W24" t="s">
        <v>1028</v>
      </c>
      <c r="X24" t="s">
        <v>172</v>
      </c>
      <c r="Y24" t="s">
        <v>172</v>
      </c>
      <c r="Z24" t="s">
        <v>172</v>
      </c>
      <c r="AA24" t="s">
        <v>1029</v>
      </c>
      <c r="AB24" t="s">
        <v>1030</v>
      </c>
      <c r="AC24" t="s">
        <v>1031</v>
      </c>
      <c r="AD24" t="s">
        <v>176</v>
      </c>
      <c r="AE24" t="s">
        <v>177</v>
      </c>
      <c r="AF24">
        <v>76.016759279999988</v>
      </c>
      <c r="AG24" t="s">
        <v>178</v>
      </c>
      <c r="AH24" t="s">
        <v>1032</v>
      </c>
      <c r="AI24" t="s">
        <v>1033</v>
      </c>
      <c r="AJ24" t="s">
        <v>1034</v>
      </c>
      <c r="AK24" t="s">
        <v>1035</v>
      </c>
      <c r="AL24">
        <v>29.88</v>
      </c>
      <c r="AM24" t="s">
        <v>183</v>
      </c>
      <c r="AN24" t="s">
        <v>603</v>
      </c>
      <c r="AO24" t="s">
        <v>563</v>
      </c>
      <c r="AP24" t="s">
        <v>564</v>
      </c>
      <c r="AQ24" t="s">
        <v>1036</v>
      </c>
      <c r="AR24" t="s">
        <v>1037</v>
      </c>
      <c r="AS24" t="s">
        <v>354</v>
      </c>
      <c r="AT24" t="s">
        <v>262</v>
      </c>
      <c r="AU24" t="s">
        <v>1038</v>
      </c>
      <c r="AV24" t="s">
        <v>1039</v>
      </c>
      <c r="AW24" t="s">
        <v>1040</v>
      </c>
      <c r="AX24" t="s">
        <v>1041</v>
      </c>
      <c r="AY24" t="s">
        <v>1042</v>
      </c>
      <c r="AZ24" t="s">
        <v>964</v>
      </c>
      <c r="BA24" t="s">
        <v>1043</v>
      </c>
      <c r="BB24" t="s">
        <v>1044</v>
      </c>
      <c r="BC24" t="s">
        <v>1045</v>
      </c>
      <c r="BD24" t="s">
        <v>161</v>
      </c>
      <c r="BE24" t="s">
        <v>1046</v>
      </c>
      <c r="BF24" t="s">
        <v>1008</v>
      </c>
      <c r="BG24" t="s">
        <v>1047</v>
      </c>
      <c r="BH24" t="s">
        <v>619</v>
      </c>
      <c r="BI24" t="s">
        <v>1048</v>
      </c>
      <c r="BJ24" t="s">
        <v>929</v>
      </c>
      <c r="BK24" t="s">
        <v>161</v>
      </c>
      <c r="BL24" t="s">
        <v>930</v>
      </c>
      <c r="BM24" t="s">
        <v>159</v>
      </c>
      <c r="BN24" t="s">
        <v>368</v>
      </c>
      <c r="BO24" t="s">
        <v>277</v>
      </c>
      <c r="BP24" t="s">
        <v>496</v>
      </c>
      <c r="BQ24" t="s">
        <v>1049</v>
      </c>
      <c r="BR24" t="s">
        <v>1050</v>
      </c>
      <c r="BS24" t="s">
        <v>204</v>
      </c>
      <c r="BT24" t="s">
        <v>159</v>
      </c>
      <c r="BU24" t="s">
        <v>208</v>
      </c>
      <c r="BV24" t="s">
        <v>209</v>
      </c>
      <c r="BW24" t="s">
        <v>210</v>
      </c>
      <c r="BX24" t="s">
        <v>211</v>
      </c>
      <c r="BY24" t="s">
        <v>172</v>
      </c>
      <c r="BZ24" t="s">
        <v>212</v>
      </c>
      <c r="CA24" t="s">
        <v>172</v>
      </c>
      <c r="CB24" t="s">
        <v>172</v>
      </c>
      <c r="CC24" t="s">
        <v>213</v>
      </c>
      <c r="CD24" t="s">
        <v>214</v>
      </c>
      <c r="CE24" t="s">
        <v>215</v>
      </c>
      <c r="CF24" t="s">
        <v>216</v>
      </c>
      <c r="CG24" t="s">
        <v>217</v>
      </c>
      <c r="CH24" t="s">
        <v>218</v>
      </c>
      <c r="CI24" t="s">
        <v>178</v>
      </c>
      <c r="CJ24" t="s">
        <v>210</v>
      </c>
      <c r="CK24" t="s">
        <v>219</v>
      </c>
      <c r="CL24" t="s">
        <v>219</v>
      </c>
      <c r="CM24" t="s">
        <v>219</v>
      </c>
      <c r="CN24" t="s">
        <v>172</v>
      </c>
      <c r="CO24" t="s">
        <v>220</v>
      </c>
      <c r="CP24" t="s">
        <v>172</v>
      </c>
      <c r="CQ24" t="s">
        <v>172</v>
      </c>
      <c r="CR24" t="s">
        <v>172</v>
      </c>
      <c r="CS24" t="s">
        <v>172</v>
      </c>
      <c r="CT24" t="s">
        <v>1051</v>
      </c>
      <c r="CU24" t="s">
        <v>1052</v>
      </c>
      <c r="CV24" t="s">
        <v>1053</v>
      </c>
      <c r="CW24" t="s">
        <v>1054</v>
      </c>
      <c r="CX24" t="s">
        <v>1055</v>
      </c>
      <c r="CY24" t="s">
        <v>1056</v>
      </c>
      <c r="CZ24" t="s">
        <v>1057</v>
      </c>
      <c r="DA24" t="s">
        <v>1058</v>
      </c>
      <c r="DB24" t="s">
        <v>1029</v>
      </c>
      <c r="DC24" t="s">
        <v>1059</v>
      </c>
      <c r="DD24" t="s">
        <v>230</v>
      </c>
      <c r="DE24" t="s">
        <v>231</v>
      </c>
      <c r="DF24" t="s">
        <v>178</v>
      </c>
      <c r="DG24" t="s">
        <v>232</v>
      </c>
      <c r="DH24" t="s">
        <v>233</v>
      </c>
      <c r="DI24" t="s">
        <v>178</v>
      </c>
      <c r="DJ24" t="s">
        <v>234</v>
      </c>
      <c r="DK24" t="s">
        <v>235</v>
      </c>
      <c r="DL24" t="s">
        <v>236</v>
      </c>
      <c r="DM24" t="s">
        <v>172</v>
      </c>
      <c r="DN24" t="s">
        <v>1028</v>
      </c>
      <c r="DO24" t="s">
        <v>237</v>
      </c>
      <c r="DP24" t="s">
        <v>238</v>
      </c>
      <c r="DQ24" t="s">
        <v>239</v>
      </c>
      <c r="DR24" t="s">
        <v>240</v>
      </c>
      <c r="DS24" t="s">
        <v>241</v>
      </c>
      <c r="DT24" t="s">
        <v>242</v>
      </c>
    </row>
    <row r="25" spans="1:124" x14ac:dyDescent="0.45">
      <c r="A25" t="s">
        <v>1060</v>
      </c>
      <c r="B25" t="s">
        <v>1061</v>
      </c>
      <c r="C25" t="s">
        <v>161</v>
      </c>
      <c r="D25" t="s">
        <v>162</v>
      </c>
      <c r="E25" t="s">
        <v>163</v>
      </c>
      <c r="I25" t="s">
        <v>1062</v>
      </c>
      <c r="J25">
        <v>0.1840869673337984</v>
      </c>
      <c r="K25">
        <v>2.9066320800000001</v>
      </c>
      <c r="L25">
        <v>0.1731225247483785</v>
      </c>
      <c r="M25">
        <v>2.0268431392947979</v>
      </c>
      <c r="N25" t="s">
        <v>1063</v>
      </c>
      <c r="O25" t="s">
        <v>1064</v>
      </c>
      <c r="P25">
        <v>4.284982783340161</v>
      </c>
      <c r="Q25">
        <v>1.1341597833401611</v>
      </c>
      <c r="R25" t="s">
        <v>1065</v>
      </c>
      <c r="S25" t="s">
        <v>1066</v>
      </c>
      <c r="T25">
        <v>42.594262259842559</v>
      </c>
      <c r="U25">
        <v>0.4417875</v>
      </c>
      <c r="V25" t="s">
        <v>170</v>
      </c>
      <c r="W25" t="s">
        <v>1067</v>
      </c>
      <c r="X25" t="s">
        <v>172</v>
      </c>
      <c r="Y25" t="s">
        <v>172</v>
      </c>
      <c r="Z25" t="s">
        <v>172</v>
      </c>
      <c r="AA25" t="s">
        <v>1068</v>
      </c>
      <c r="AB25" t="s">
        <v>1069</v>
      </c>
      <c r="AC25" t="s">
        <v>1070</v>
      </c>
      <c r="AD25" t="s">
        <v>176</v>
      </c>
      <c r="AE25" t="s">
        <v>177</v>
      </c>
      <c r="AF25">
        <v>70.768773600000003</v>
      </c>
      <c r="AG25" t="s">
        <v>178</v>
      </c>
      <c r="AH25" t="s">
        <v>1071</v>
      </c>
      <c r="AI25" t="s">
        <v>1072</v>
      </c>
      <c r="AJ25" t="s">
        <v>1034</v>
      </c>
      <c r="AK25" t="s">
        <v>912</v>
      </c>
      <c r="AL25">
        <v>30.1</v>
      </c>
      <c r="AM25" t="s">
        <v>349</v>
      </c>
      <c r="AN25" t="s">
        <v>396</v>
      </c>
      <c r="AO25" t="s">
        <v>1073</v>
      </c>
      <c r="AP25" t="s">
        <v>1074</v>
      </c>
      <c r="AQ25" t="s">
        <v>1075</v>
      </c>
      <c r="AR25" t="s">
        <v>959</v>
      </c>
      <c r="AS25" t="s">
        <v>354</v>
      </c>
      <c r="AT25" t="s">
        <v>334</v>
      </c>
      <c r="AU25" t="s">
        <v>439</v>
      </c>
      <c r="AV25" t="s">
        <v>1076</v>
      </c>
      <c r="AW25" t="s">
        <v>1077</v>
      </c>
      <c r="AX25" t="s">
        <v>1078</v>
      </c>
      <c r="AY25" t="s">
        <v>1079</v>
      </c>
      <c r="AZ25" t="s">
        <v>964</v>
      </c>
      <c r="BA25" t="s">
        <v>1043</v>
      </c>
      <c r="BB25" t="s">
        <v>1044</v>
      </c>
      <c r="BC25" t="s">
        <v>1080</v>
      </c>
      <c r="BD25" t="s">
        <v>161</v>
      </c>
      <c r="BE25" t="s">
        <v>1081</v>
      </c>
      <c r="BF25" t="s">
        <v>1082</v>
      </c>
      <c r="BG25" t="s">
        <v>1083</v>
      </c>
      <c r="BH25" t="s">
        <v>450</v>
      </c>
      <c r="BI25" t="s">
        <v>969</v>
      </c>
      <c r="BJ25" t="s">
        <v>929</v>
      </c>
      <c r="BK25" t="s">
        <v>161</v>
      </c>
      <c r="BL25" t="s">
        <v>930</v>
      </c>
      <c r="BM25" t="s">
        <v>159</v>
      </c>
      <c r="BN25" t="s">
        <v>209</v>
      </c>
      <c r="BO25" t="s">
        <v>277</v>
      </c>
      <c r="BP25" t="s">
        <v>276</v>
      </c>
      <c r="BQ25" t="s">
        <v>575</v>
      </c>
      <c r="BR25" t="s">
        <v>1084</v>
      </c>
      <c r="BS25" t="s">
        <v>774</v>
      </c>
      <c r="BT25" t="s">
        <v>159</v>
      </c>
      <c r="BU25" t="s">
        <v>208</v>
      </c>
      <c r="BV25" t="s">
        <v>209</v>
      </c>
      <c r="BW25" t="s">
        <v>210</v>
      </c>
      <c r="BX25" t="s">
        <v>211</v>
      </c>
      <c r="BY25" t="s">
        <v>172</v>
      </c>
      <c r="BZ25" t="s">
        <v>212</v>
      </c>
      <c r="CA25" t="s">
        <v>172</v>
      </c>
      <c r="CB25" t="s">
        <v>172</v>
      </c>
      <c r="CC25" t="s">
        <v>213</v>
      </c>
      <c r="CD25" t="s">
        <v>214</v>
      </c>
      <c r="CE25" t="s">
        <v>215</v>
      </c>
      <c r="CF25" t="s">
        <v>216</v>
      </c>
      <c r="CG25" t="s">
        <v>217</v>
      </c>
      <c r="CH25" t="s">
        <v>218</v>
      </c>
      <c r="CI25" t="s">
        <v>178</v>
      </c>
      <c r="CJ25" t="s">
        <v>210</v>
      </c>
      <c r="CK25" t="s">
        <v>219</v>
      </c>
      <c r="CL25" t="s">
        <v>219</v>
      </c>
      <c r="CM25" t="s">
        <v>219</v>
      </c>
      <c r="CN25" t="s">
        <v>172</v>
      </c>
      <c r="CO25" t="s">
        <v>220</v>
      </c>
      <c r="CP25" t="s">
        <v>172</v>
      </c>
      <c r="CQ25" t="s">
        <v>172</v>
      </c>
      <c r="CR25" t="s">
        <v>172</v>
      </c>
      <c r="CS25" t="s">
        <v>172</v>
      </c>
      <c r="CT25" t="s">
        <v>1085</v>
      </c>
      <c r="CU25" t="s">
        <v>1086</v>
      </c>
      <c r="CV25" t="s">
        <v>1087</v>
      </c>
      <c r="CW25" t="s">
        <v>1088</v>
      </c>
      <c r="CX25" t="s">
        <v>1089</v>
      </c>
      <c r="CY25" t="s">
        <v>1090</v>
      </c>
      <c r="CZ25" t="s">
        <v>1091</v>
      </c>
      <c r="DA25" t="s">
        <v>1092</v>
      </c>
      <c r="DB25" t="s">
        <v>1068</v>
      </c>
      <c r="DC25" t="s">
        <v>1059</v>
      </c>
      <c r="DD25" t="s">
        <v>230</v>
      </c>
      <c r="DE25" t="s">
        <v>231</v>
      </c>
      <c r="DF25" t="s">
        <v>178</v>
      </c>
      <c r="DG25" t="s">
        <v>232</v>
      </c>
      <c r="DH25" t="s">
        <v>233</v>
      </c>
      <c r="DI25" t="s">
        <v>178</v>
      </c>
      <c r="DJ25" t="s">
        <v>234</v>
      </c>
      <c r="DK25" t="s">
        <v>235</v>
      </c>
      <c r="DL25" t="s">
        <v>236</v>
      </c>
      <c r="DM25" t="s">
        <v>172</v>
      </c>
      <c r="DN25" t="s">
        <v>1067</v>
      </c>
      <c r="DO25" t="s">
        <v>237</v>
      </c>
      <c r="DP25" t="s">
        <v>238</v>
      </c>
      <c r="DQ25" t="s">
        <v>239</v>
      </c>
      <c r="DR25" t="s">
        <v>240</v>
      </c>
      <c r="DS25" t="s">
        <v>241</v>
      </c>
      <c r="DT25" t="s">
        <v>242</v>
      </c>
    </row>
    <row r="26" spans="1:124" x14ac:dyDescent="0.45">
      <c r="A26" t="s">
        <v>1093</v>
      </c>
      <c r="B26" t="s">
        <v>1094</v>
      </c>
      <c r="C26" t="s">
        <v>161</v>
      </c>
      <c r="D26" t="s">
        <v>162</v>
      </c>
      <c r="E26" t="s">
        <v>163</v>
      </c>
      <c r="I26" t="s">
        <v>1095</v>
      </c>
      <c r="J26">
        <v>0.20708807898185849</v>
      </c>
      <c r="K26">
        <v>2.9042299200000001</v>
      </c>
      <c r="L26">
        <v>0.1933043794466679</v>
      </c>
      <c r="M26">
        <v>2.1468183096945239</v>
      </c>
      <c r="N26" t="s">
        <v>1096</v>
      </c>
      <c r="O26" t="s">
        <v>1097</v>
      </c>
      <c r="P26">
        <v>4.2360392626630574</v>
      </c>
      <c r="Q26">
        <v>1.076286262663058</v>
      </c>
      <c r="R26" t="s">
        <v>1098</v>
      </c>
      <c r="S26" t="s">
        <v>1099</v>
      </c>
      <c r="T26">
        <v>42.107746149732193</v>
      </c>
      <c r="U26">
        <v>0.4417875</v>
      </c>
      <c r="V26" t="s">
        <v>170</v>
      </c>
      <c r="W26" t="s">
        <v>1100</v>
      </c>
      <c r="X26" t="s">
        <v>172</v>
      </c>
      <c r="Y26" t="s">
        <v>172</v>
      </c>
      <c r="Z26" t="s">
        <v>172</v>
      </c>
      <c r="AA26" t="s">
        <v>1101</v>
      </c>
      <c r="AB26" t="s">
        <v>1102</v>
      </c>
      <c r="AC26" t="s">
        <v>1103</v>
      </c>
      <c r="AD26" t="s">
        <v>176</v>
      </c>
      <c r="AE26" t="s">
        <v>177</v>
      </c>
      <c r="AF26">
        <v>53.297702639999997</v>
      </c>
      <c r="AG26" t="s">
        <v>178</v>
      </c>
      <c r="AH26" t="s">
        <v>1104</v>
      </c>
      <c r="AI26" t="s">
        <v>1105</v>
      </c>
      <c r="AJ26" t="s">
        <v>836</v>
      </c>
      <c r="AK26" t="s">
        <v>1106</v>
      </c>
      <c r="AL26">
        <v>29.9</v>
      </c>
      <c r="AM26" t="s">
        <v>349</v>
      </c>
      <c r="AN26" t="s">
        <v>603</v>
      </c>
      <c r="AO26" t="s">
        <v>306</v>
      </c>
      <c r="AP26" t="s">
        <v>258</v>
      </c>
      <c r="AQ26" t="s">
        <v>1107</v>
      </c>
      <c r="AR26" t="s">
        <v>1108</v>
      </c>
      <c r="AS26" t="s">
        <v>1109</v>
      </c>
      <c r="AT26" t="s">
        <v>366</v>
      </c>
      <c r="AU26" t="s">
        <v>1038</v>
      </c>
      <c r="AV26" t="s">
        <v>1110</v>
      </c>
      <c r="AW26" t="s">
        <v>1111</v>
      </c>
      <c r="AX26" t="s">
        <v>1112</v>
      </c>
      <c r="AY26" t="s">
        <v>1113</v>
      </c>
      <c r="AZ26" t="s">
        <v>964</v>
      </c>
      <c r="BA26" t="s">
        <v>1114</v>
      </c>
      <c r="BB26" t="s">
        <v>1115</v>
      </c>
      <c r="BC26" t="s">
        <v>1116</v>
      </c>
      <c r="BD26" t="s">
        <v>161</v>
      </c>
      <c r="BE26" t="s">
        <v>1117</v>
      </c>
      <c r="BF26" t="s">
        <v>1118</v>
      </c>
      <c r="BG26" t="s">
        <v>1119</v>
      </c>
      <c r="BH26" t="s">
        <v>450</v>
      </c>
      <c r="BI26" t="s">
        <v>969</v>
      </c>
      <c r="BJ26" t="s">
        <v>929</v>
      </c>
      <c r="BK26" t="s">
        <v>161</v>
      </c>
      <c r="BL26" t="s">
        <v>930</v>
      </c>
      <c r="BM26" t="s">
        <v>159</v>
      </c>
      <c r="BN26" t="s">
        <v>277</v>
      </c>
      <c r="BO26" t="s">
        <v>209</v>
      </c>
      <c r="BP26" t="s">
        <v>1120</v>
      </c>
      <c r="BQ26" t="s">
        <v>1121</v>
      </c>
      <c r="BR26" t="s">
        <v>1122</v>
      </c>
      <c r="BS26" t="s">
        <v>1123</v>
      </c>
      <c r="BT26" t="s">
        <v>159</v>
      </c>
      <c r="BU26" t="s">
        <v>208</v>
      </c>
      <c r="BV26" t="s">
        <v>209</v>
      </c>
      <c r="BW26" t="s">
        <v>210</v>
      </c>
      <c r="BX26" t="s">
        <v>211</v>
      </c>
      <c r="BY26" t="s">
        <v>172</v>
      </c>
      <c r="BZ26" t="s">
        <v>212</v>
      </c>
      <c r="CA26" t="s">
        <v>172</v>
      </c>
      <c r="CB26" t="s">
        <v>172</v>
      </c>
      <c r="CC26" t="s">
        <v>213</v>
      </c>
      <c r="CD26" t="s">
        <v>214</v>
      </c>
      <c r="CE26" t="s">
        <v>215</v>
      </c>
      <c r="CF26" t="s">
        <v>216</v>
      </c>
      <c r="CG26" t="s">
        <v>217</v>
      </c>
      <c r="CH26" t="s">
        <v>218</v>
      </c>
      <c r="CI26" t="s">
        <v>178</v>
      </c>
      <c r="CJ26" t="s">
        <v>210</v>
      </c>
      <c r="CK26" t="s">
        <v>219</v>
      </c>
      <c r="CL26" t="s">
        <v>219</v>
      </c>
      <c r="CM26" t="s">
        <v>219</v>
      </c>
      <c r="CN26" t="s">
        <v>172</v>
      </c>
      <c r="CO26" t="s">
        <v>220</v>
      </c>
      <c r="CP26" t="s">
        <v>172</v>
      </c>
      <c r="CQ26" t="s">
        <v>172</v>
      </c>
      <c r="CR26" t="s">
        <v>172</v>
      </c>
      <c r="CS26" t="s">
        <v>172</v>
      </c>
      <c r="CT26" t="s">
        <v>1124</v>
      </c>
      <c r="CU26" t="s">
        <v>1125</v>
      </c>
      <c r="CV26" t="s">
        <v>1126</v>
      </c>
      <c r="CW26" t="s">
        <v>1127</v>
      </c>
      <c r="CX26" t="s">
        <v>1128</v>
      </c>
      <c r="CY26" t="s">
        <v>1129</v>
      </c>
      <c r="CZ26" t="s">
        <v>1130</v>
      </c>
      <c r="DA26" t="s">
        <v>1131</v>
      </c>
      <c r="DB26" t="s">
        <v>1101</v>
      </c>
      <c r="DC26" t="s">
        <v>547</v>
      </c>
      <c r="DD26" t="s">
        <v>230</v>
      </c>
      <c r="DE26" t="s">
        <v>231</v>
      </c>
      <c r="DF26" t="s">
        <v>178</v>
      </c>
      <c r="DG26" t="s">
        <v>232</v>
      </c>
      <c r="DH26" t="s">
        <v>233</v>
      </c>
      <c r="DI26" t="s">
        <v>178</v>
      </c>
      <c r="DJ26" t="s">
        <v>234</v>
      </c>
      <c r="DK26" t="s">
        <v>235</v>
      </c>
      <c r="DL26" t="s">
        <v>236</v>
      </c>
      <c r="DM26" t="s">
        <v>172</v>
      </c>
      <c r="DN26" t="s">
        <v>1100</v>
      </c>
      <c r="DO26" t="s">
        <v>237</v>
      </c>
      <c r="DP26" t="s">
        <v>238</v>
      </c>
      <c r="DQ26" t="s">
        <v>239</v>
      </c>
      <c r="DR26" t="s">
        <v>240</v>
      </c>
      <c r="DS26" t="s">
        <v>241</v>
      </c>
      <c r="DT26" t="s">
        <v>242</v>
      </c>
    </row>
    <row r="27" spans="1:124" x14ac:dyDescent="0.45">
      <c r="A27" t="s">
        <v>1132</v>
      </c>
      <c r="B27" t="s">
        <v>1133</v>
      </c>
      <c r="C27" t="s">
        <v>161</v>
      </c>
      <c r="D27" t="s">
        <v>162</v>
      </c>
      <c r="E27" t="s">
        <v>163</v>
      </c>
      <c r="I27" t="s">
        <v>1134</v>
      </c>
      <c r="J27">
        <v>0.24613912791547379</v>
      </c>
      <c r="K27">
        <v>2.9066320800000001</v>
      </c>
      <c r="L27">
        <v>0.22692286822023039</v>
      </c>
      <c r="M27">
        <v>2.3752226727970931</v>
      </c>
      <c r="N27" t="s">
        <v>1135</v>
      </c>
      <c r="O27" t="s">
        <v>1136</v>
      </c>
      <c r="P27">
        <v>4.1803571823051886</v>
      </c>
      <c r="Q27">
        <v>1.0145981823051891</v>
      </c>
      <c r="R27" t="s">
        <v>1137</v>
      </c>
      <c r="S27" t="s">
        <v>1138</v>
      </c>
      <c r="T27">
        <v>41.554246344981998</v>
      </c>
      <c r="U27">
        <v>0.4417875</v>
      </c>
      <c r="V27" t="s">
        <v>170</v>
      </c>
      <c r="W27" t="s">
        <v>1139</v>
      </c>
      <c r="X27" t="s">
        <v>172</v>
      </c>
      <c r="Y27" t="s">
        <v>172</v>
      </c>
      <c r="Z27" t="s">
        <v>172</v>
      </c>
      <c r="AA27" t="s">
        <v>1140</v>
      </c>
      <c r="AB27" t="s">
        <v>1141</v>
      </c>
      <c r="AC27" t="s">
        <v>1142</v>
      </c>
      <c r="AD27" t="s">
        <v>176</v>
      </c>
      <c r="AE27" t="s">
        <v>177</v>
      </c>
      <c r="AF27">
        <v>59.999831639999996</v>
      </c>
      <c r="AG27" t="s">
        <v>178</v>
      </c>
      <c r="AH27" t="s">
        <v>1143</v>
      </c>
      <c r="AI27" t="s">
        <v>1144</v>
      </c>
      <c r="AJ27" t="s">
        <v>1145</v>
      </c>
      <c r="AK27" t="s">
        <v>1146</v>
      </c>
      <c r="AL27">
        <v>29.67</v>
      </c>
      <c r="AM27" t="s">
        <v>349</v>
      </c>
      <c r="AN27" t="s">
        <v>396</v>
      </c>
      <c r="AO27" t="s">
        <v>1147</v>
      </c>
      <c r="AP27" t="s">
        <v>1148</v>
      </c>
      <c r="AQ27" t="s">
        <v>1149</v>
      </c>
      <c r="AR27" t="s">
        <v>1150</v>
      </c>
      <c r="AS27" t="s">
        <v>999</v>
      </c>
      <c r="AT27" t="s">
        <v>159</v>
      </c>
      <c r="AU27" t="s">
        <v>917</v>
      </c>
      <c r="AV27" t="s">
        <v>1151</v>
      </c>
      <c r="AW27" t="s">
        <v>1152</v>
      </c>
      <c r="AX27" t="s">
        <v>1153</v>
      </c>
      <c r="AY27" t="s">
        <v>1154</v>
      </c>
      <c r="AZ27" t="s">
        <v>964</v>
      </c>
      <c r="BA27" t="s">
        <v>1155</v>
      </c>
      <c r="BB27" t="s">
        <v>1156</v>
      </c>
      <c r="BC27" t="s">
        <v>1157</v>
      </c>
      <c r="BD27" t="s">
        <v>161</v>
      </c>
      <c r="BE27" t="s">
        <v>1158</v>
      </c>
      <c r="BF27" t="s">
        <v>1159</v>
      </c>
      <c r="BG27" t="s">
        <v>1160</v>
      </c>
      <c r="BH27" t="s">
        <v>709</v>
      </c>
      <c r="BI27" t="s">
        <v>451</v>
      </c>
      <c r="BJ27" t="s">
        <v>929</v>
      </c>
      <c r="BK27" t="s">
        <v>161</v>
      </c>
      <c r="BL27" t="s">
        <v>930</v>
      </c>
      <c r="BM27" t="s">
        <v>159</v>
      </c>
      <c r="BN27" t="s">
        <v>368</v>
      </c>
      <c r="BO27" t="s">
        <v>276</v>
      </c>
      <c r="BP27" t="s">
        <v>322</v>
      </c>
      <c r="BQ27" t="s">
        <v>1161</v>
      </c>
      <c r="BR27" t="s">
        <v>1162</v>
      </c>
      <c r="BS27" t="s">
        <v>1163</v>
      </c>
      <c r="BT27" t="s">
        <v>159</v>
      </c>
      <c r="BU27" t="s">
        <v>208</v>
      </c>
      <c r="BV27" t="s">
        <v>209</v>
      </c>
      <c r="BW27" t="s">
        <v>210</v>
      </c>
      <c r="BX27" t="s">
        <v>211</v>
      </c>
      <c r="BY27" t="s">
        <v>172</v>
      </c>
      <c r="BZ27" t="s">
        <v>212</v>
      </c>
      <c r="CA27" t="s">
        <v>172</v>
      </c>
      <c r="CB27" t="s">
        <v>172</v>
      </c>
      <c r="CC27" t="s">
        <v>213</v>
      </c>
      <c r="CD27" t="s">
        <v>214</v>
      </c>
      <c r="CE27" t="s">
        <v>215</v>
      </c>
      <c r="CF27" t="s">
        <v>216</v>
      </c>
      <c r="CG27" t="s">
        <v>217</v>
      </c>
      <c r="CH27" t="s">
        <v>218</v>
      </c>
      <c r="CI27" t="s">
        <v>178</v>
      </c>
      <c r="CJ27" t="s">
        <v>210</v>
      </c>
      <c r="CK27" t="s">
        <v>219</v>
      </c>
      <c r="CL27" t="s">
        <v>219</v>
      </c>
      <c r="CM27" t="s">
        <v>219</v>
      </c>
      <c r="CN27" t="s">
        <v>172</v>
      </c>
      <c r="CO27" t="s">
        <v>220</v>
      </c>
      <c r="CP27" t="s">
        <v>172</v>
      </c>
      <c r="CQ27" t="s">
        <v>172</v>
      </c>
      <c r="CR27" t="s">
        <v>172</v>
      </c>
      <c r="CS27" t="s">
        <v>172</v>
      </c>
      <c r="CT27" t="s">
        <v>1164</v>
      </c>
      <c r="CU27" t="s">
        <v>1165</v>
      </c>
      <c r="CV27" t="s">
        <v>1166</v>
      </c>
      <c r="CW27" t="s">
        <v>1167</v>
      </c>
      <c r="CX27" t="s">
        <v>1168</v>
      </c>
      <c r="CY27" t="s">
        <v>1169</v>
      </c>
      <c r="CZ27" t="s">
        <v>1170</v>
      </c>
      <c r="DA27" t="s">
        <v>1171</v>
      </c>
      <c r="DB27" t="s">
        <v>1140</v>
      </c>
      <c r="DC27" t="s">
        <v>1059</v>
      </c>
      <c r="DD27" t="s">
        <v>230</v>
      </c>
      <c r="DE27" t="s">
        <v>231</v>
      </c>
      <c r="DF27" t="s">
        <v>178</v>
      </c>
      <c r="DG27" t="s">
        <v>232</v>
      </c>
      <c r="DH27" t="s">
        <v>233</v>
      </c>
      <c r="DI27" t="s">
        <v>178</v>
      </c>
      <c r="DJ27" t="s">
        <v>234</v>
      </c>
      <c r="DK27" t="s">
        <v>235</v>
      </c>
      <c r="DL27" t="s">
        <v>236</v>
      </c>
      <c r="DM27" t="s">
        <v>172</v>
      </c>
      <c r="DN27" t="s">
        <v>1139</v>
      </c>
      <c r="DO27" t="s">
        <v>237</v>
      </c>
      <c r="DP27" t="s">
        <v>238</v>
      </c>
      <c r="DQ27" t="s">
        <v>239</v>
      </c>
      <c r="DR27" t="s">
        <v>240</v>
      </c>
      <c r="DS27" t="s">
        <v>241</v>
      </c>
      <c r="DT27" t="s">
        <v>242</v>
      </c>
    </row>
    <row r="28" spans="1:124" x14ac:dyDescent="0.45">
      <c r="A28" t="s">
        <v>1172</v>
      </c>
      <c r="B28" t="s">
        <v>1173</v>
      </c>
      <c r="C28" t="s">
        <v>161</v>
      </c>
      <c r="D28" t="s">
        <v>162</v>
      </c>
      <c r="E28" t="s">
        <v>163</v>
      </c>
      <c r="I28" t="s">
        <v>1174</v>
      </c>
      <c r="J28">
        <v>0.1882947656777067</v>
      </c>
      <c r="K28">
        <v>2.9066320800000001</v>
      </c>
      <c r="L28">
        <v>0.1768389476407996</v>
      </c>
      <c r="M28">
        <v>1.843189244411835</v>
      </c>
      <c r="N28" t="s">
        <v>1175</v>
      </c>
      <c r="O28" t="s">
        <v>1176</v>
      </c>
      <c r="P28">
        <v>4.1948210785935176</v>
      </c>
      <c r="Q28">
        <v>1.0100620785935179</v>
      </c>
      <c r="R28" t="s">
        <v>1177</v>
      </c>
      <c r="S28" t="s">
        <v>1178</v>
      </c>
      <c r="T28">
        <v>41.698022650034979</v>
      </c>
      <c r="U28">
        <v>0.4417875</v>
      </c>
      <c r="V28" t="s">
        <v>170</v>
      </c>
      <c r="W28" t="s">
        <v>1179</v>
      </c>
      <c r="X28" t="s">
        <v>172</v>
      </c>
      <c r="Y28" t="s">
        <v>172</v>
      </c>
      <c r="Z28" t="s">
        <v>172</v>
      </c>
      <c r="AA28" t="s">
        <v>1180</v>
      </c>
      <c r="AB28" t="s">
        <v>1181</v>
      </c>
      <c r="AC28" t="s">
        <v>1182</v>
      </c>
      <c r="AD28" t="s">
        <v>176</v>
      </c>
      <c r="AE28" t="s">
        <v>177</v>
      </c>
      <c r="AF28">
        <v>53.814700799999997</v>
      </c>
      <c r="AG28" t="s">
        <v>178</v>
      </c>
      <c r="AH28" t="s">
        <v>1183</v>
      </c>
      <c r="AI28" t="s">
        <v>681</v>
      </c>
      <c r="AJ28" t="s">
        <v>682</v>
      </c>
      <c r="AK28" t="s">
        <v>874</v>
      </c>
      <c r="AL28">
        <v>29.73</v>
      </c>
      <c r="AM28" t="s">
        <v>349</v>
      </c>
      <c r="AN28" t="s">
        <v>396</v>
      </c>
      <c r="AO28" t="s">
        <v>1184</v>
      </c>
      <c r="AP28" t="s">
        <v>523</v>
      </c>
      <c r="AQ28" t="s">
        <v>527</v>
      </c>
      <c r="AR28" t="s">
        <v>1150</v>
      </c>
      <c r="AS28" t="s">
        <v>726</v>
      </c>
      <c r="AT28" t="s">
        <v>215</v>
      </c>
      <c r="AU28" t="s">
        <v>307</v>
      </c>
      <c r="AV28" t="s">
        <v>1185</v>
      </c>
      <c r="AW28" t="s">
        <v>1186</v>
      </c>
      <c r="AX28" t="s">
        <v>1187</v>
      </c>
      <c r="AY28" t="s">
        <v>1188</v>
      </c>
      <c r="AZ28" t="s">
        <v>964</v>
      </c>
      <c r="BA28" t="s">
        <v>1189</v>
      </c>
      <c r="BB28" t="s">
        <v>1190</v>
      </c>
      <c r="BC28" t="s">
        <v>1191</v>
      </c>
      <c r="BD28" t="s">
        <v>161</v>
      </c>
      <c r="BE28" t="s">
        <v>1192</v>
      </c>
      <c r="BF28" t="s">
        <v>1193</v>
      </c>
      <c r="BG28" t="s">
        <v>1194</v>
      </c>
      <c r="BH28" t="s">
        <v>746</v>
      </c>
      <c r="BI28" t="s">
        <v>1195</v>
      </c>
      <c r="BJ28" t="s">
        <v>929</v>
      </c>
      <c r="BK28" t="s">
        <v>161</v>
      </c>
      <c r="BL28" t="s">
        <v>930</v>
      </c>
      <c r="BM28" t="s">
        <v>159</v>
      </c>
      <c r="BN28" t="s">
        <v>886</v>
      </c>
      <c r="BO28" t="s">
        <v>209</v>
      </c>
      <c r="BP28" t="s">
        <v>1011</v>
      </c>
      <c r="BQ28" t="s">
        <v>1196</v>
      </c>
      <c r="BR28" t="s">
        <v>1197</v>
      </c>
      <c r="BS28" t="s">
        <v>1198</v>
      </c>
      <c r="BT28" t="s">
        <v>159</v>
      </c>
      <c r="BU28" t="s">
        <v>208</v>
      </c>
      <c r="BV28" t="s">
        <v>209</v>
      </c>
      <c r="BW28" t="s">
        <v>210</v>
      </c>
      <c r="BX28" t="s">
        <v>211</v>
      </c>
      <c r="BY28" t="s">
        <v>172</v>
      </c>
      <c r="BZ28" t="s">
        <v>212</v>
      </c>
      <c r="CA28" t="s">
        <v>172</v>
      </c>
      <c r="CB28" t="s">
        <v>172</v>
      </c>
      <c r="CC28" t="s">
        <v>213</v>
      </c>
      <c r="CD28" t="s">
        <v>214</v>
      </c>
      <c r="CE28" t="s">
        <v>215</v>
      </c>
      <c r="CF28" t="s">
        <v>216</v>
      </c>
      <c r="CG28" t="s">
        <v>217</v>
      </c>
      <c r="CH28" t="s">
        <v>218</v>
      </c>
      <c r="CI28" t="s">
        <v>178</v>
      </c>
      <c r="CJ28" t="s">
        <v>210</v>
      </c>
      <c r="CK28" t="s">
        <v>219</v>
      </c>
      <c r="CL28" t="s">
        <v>219</v>
      </c>
      <c r="CM28" t="s">
        <v>219</v>
      </c>
      <c r="CN28" t="s">
        <v>172</v>
      </c>
      <c r="CO28" t="s">
        <v>220</v>
      </c>
      <c r="CP28" t="s">
        <v>172</v>
      </c>
      <c r="CQ28" t="s">
        <v>172</v>
      </c>
      <c r="CR28" t="s">
        <v>172</v>
      </c>
      <c r="CS28" t="s">
        <v>172</v>
      </c>
      <c r="CT28" t="s">
        <v>1199</v>
      </c>
      <c r="CU28" t="s">
        <v>1200</v>
      </c>
      <c r="CV28" t="s">
        <v>1201</v>
      </c>
      <c r="CW28" t="s">
        <v>1202</v>
      </c>
      <c r="CX28" t="s">
        <v>705</v>
      </c>
      <c r="CY28" t="s">
        <v>1203</v>
      </c>
      <c r="CZ28" t="s">
        <v>1204</v>
      </c>
      <c r="DA28" t="s">
        <v>1205</v>
      </c>
      <c r="DB28" t="s">
        <v>1180</v>
      </c>
      <c r="DC28" t="s">
        <v>822</v>
      </c>
      <c r="DD28" t="s">
        <v>230</v>
      </c>
      <c r="DE28" t="s">
        <v>231</v>
      </c>
      <c r="DF28" t="s">
        <v>178</v>
      </c>
      <c r="DG28" t="s">
        <v>232</v>
      </c>
      <c r="DH28" t="s">
        <v>233</v>
      </c>
      <c r="DI28" t="s">
        <v>178</v>
      </c>
      <c r="DJ28" t="s">
        <v>234</v>
      </c>
      <c r="DK28" t="s">
        <v>235</v>
      </c>
      <c r="DL28" t="s">
        <v>236</v>
      </c>
      <c r="DM28" t="s">
        <v>172</v>
      </c>
      <c r="DN28" t="s">
        <v>1179</v>
      </c>
      <c r="DO28" t="s">
        <v>237</v>
      </c>
      <c r="DP28" t="s">
        <v>238</v>
      </c>
      <c r="DQ28" t="s">
        <v>239</v>
      </c>
      <c r="DR28" t="s">
        <v>240</v>
      </c>
      <c r="DS28" t="s">
        <v>241</v>
      </c>
      <c r="DT28" t="s">
        <v>242</v>
      </c>
    </row>
    <row r="29" spans="1:124" x14ac:dyDescent="0.45">
      <c r="A29" t="s">
        <v>1206</v>
      </c>
      <c r="B29" t="s">
        <v>1207</v>
      </c>
      <c r="C29" t="s">
        <v>161</v>
      </c>
      <c r="D29" t="s">
        <v>162</v>
      </c>
      <c r="E29" t="s">
        <v>163</v>
      </c>
      <c r="I29" t="s">
        <v>1208</v>
      </c>
      <c r="J29">
        <v>0.21811200395017591</v>
      </c>
      <c r="K29">
        <v>2.9066320800000001</v>
      </c>
      <c r="L29">
        <v>0.20288744635791961</v>
      </c>
      <c r="M29">
        <v>2.076277434366125</v>
      </c>
      <c r="N29" t="s">
        <v>1209</v>
      </c>
      <c r="O29" t="s">
        <v>1210</v>
      </c>
      <c r="P29">
        <v>4.1803571823051886</v>
      </c>
      <c r="Q29">
        <v>0.99184618230518939</v>
      </c>
      <c r="R29" t="s">
        <v>1211</v>
      </c>
      <c r="S29" t="s">
        <v>1212</v>
      </c>
      <c r="T29">
        <v>41.554246344981998</v>
      </c>
      <c r="U29">
        <v>0.4417875</v>
      </c>
      <c r="V29" t="s">
        <v>170</v>
      </c>
      <c r="W29" t="s">
        <v>1213</v>
      </c>
      <c r="X29" t="s">
        <v>172</v>
      </c>
      <c r="Y29" t="s">
        <v>172</v>
      </c>
      <c r="Z29" t="s">
        <v>172</v>
      </c>
      <c r="AA29" t="s">
        <v>1214</v>
      </c>
      <c r="AB29" t="s">
        <v>1215</v>
      </c>
      <c r="AC29" t="s">
        <v>1216</v>
      </c>
      <c r="AD29" t="s">
        <v>176</v>
      </c>
      <c r="AE29" t="s">
        <v>177</v>
      </c>
      <c r="AF29">
        <v>52.750577040000003</v>
      </c>
      <c r="AG29" t="s">
        <v>178</v>
      </c>
      <c r="AH29" t="s">
        <v>1217</v>
      </c>
      <c r="AI29" t="s">
        <v>1071</v>
      </c>
      <c r="AJ29" t="s">
        <v>601</v>
      </c>
      <c r="AK29" t="s">
        <v>1146</v>
      </c>
      <c r="AL29">
        <v>29.67</v>
      </c>
      <c r="AM29" t="s">
        <v>349</v>
      </c>
      <c r="AN29" t="s">
        <v>396</v>
      </c>
      <c r="AO29" t="s">
        <v>1218</v>
      </c>
      <c r="AP29" t="s">
        <v>1219</v>
      </c>
      <c r="AQ29" t="s">
        <v>1220</v>
      </c>
      <c r="AR29" t="s">
        <v>1150</v>
      </c>
      <c r="AS29" t="s">
        <v>261</v>
      </c>
      <c r="AT29" t="s">
        <v>334</v>
      </c>
      <c r="AU29" t="s">
        <v>1221</v>
      </c>
      <c r="AV29" t="s">
        <v>1076</v>
      </c>
      <c r="AW29" t="s">
        <v>1077</v>
      </c>
      <c r="AX29" t="s">
        <v>1222</v>
      </c>
      <c r="AY29" t="s">
        <v>1223</v>
      </c>
      <c r="AZ29" t="s">
        <v>964</v>
      </c>
      <c r="BA29" t="s">
        <v>1189</v>
      </c>
      <c r="BB29" t="s">
        <v>1190</v>
      </c>
      <c r="BC29" t="s">
        <v>1224</v>
      </c>
      <c r="BD29" t="s">
        <v>161</v>
      </c>
      <c r="BE29" t="s">
        <v>1225</v>
      </c>
      <c r="BF29" t="s">
        <v>1226</v>
      </c>
      <c r="BG29" t="s">
        <v>1227</v>
      </c>
      <c r="BH29" t="s">
        <v>450</v>
      </c>
      <c r="BI29" t="s">
        <v>1228</v>
      </c>
      <c r="BJ29" t="s">
        <v>929</v>
      </c>
      <c r="BK29" t="s">
        <v>161</v>
      </c>
      <c r="BL29" t="s">
        <v>930</v>
      </c>
      <c r="BM29" t="s">
        <v>159</v>
      </c>
      <c r="BN29" t="s">
        <v>276</v>
      </c>
      <c r="BO29" t="s">
        <v>276</v>
      </c>
      <c r="BP29" t="s">
        <v>368</v>
      </c>
      <c r="BQ29" t="s">
        <v>1049</v>
      </c>
      <c r="BR29" t="s">
        <v>1229</v>
      </c>
      <c r="BS29" t="s">
        <v>1230</v>
      </c>
      <c r="BT29" t="s">
        <v>159</v>
      </c>
      <c r="BU29" t="s">
        <v>208</v>
      </c>
      <c r="BV29" t="s">
        <v>209</v>
      </c>
      <c r="BW29" t="s">
        <v>210</v>
      </c>
      <c r="BX29" t="s">
        <v>211</v>
      </c>
      <c r="BY29" t="s">
        <v>172</v>
      </c>
      <c r="BZ29" t="s">
        <v>212</v>
      </c>
      <c r="CA29" t="s">
        <v>172</v>
      </c>
      <c r="CB29" t="s">
        <v>172</v>
      </c>
      <c r="CC29" t="s">
        <v>213</v>
      </c>
      <c r="CD29" t="s">
        <v>214</v>
      </c>
      <c r="CE29" t="s">
        <v>215</v>
      </c>
      <c r="CF29" t="s">
        <v>216</v>
      </c>
      <c r="CG29" t="s">
        <v>217</v>
      </c>
      <c r="CH29" t="s">
        <v>218</v>
      </c>
      <c r="CI29" t="s">
        <v>178</v>
      </c>
      <c r="CJ29" t="s">
        <v>210</v>
      </c>
      <c r="CK29" t="s">
        <v>219</v>
      </c>
      <c r="CL29" t="s">
        <v>219</v>
      </c>
      <c r="CM29" t="s">
        <v>219</v>
      </c>
      <c r="CN29" t="s">
        <v>172</v>
      </c>
      <c r="CO29" t="s">
        <v>220</v>
      </c>
      <c r="CP29" t="s">
        <v>172</v>
      </c>
      <c r="CQ29" t="s">
        <v>172</v>
      </c>
      <c r="CR29" t="s">
        <v>172</v>
      </c>
      <c r="CS29" t="s">
        <v>172</v>
      </c>
      <c r="CT29" t="s">
        <v>1231</v>
      </c>
      <c r="CU29" t="s">
        <v>1232</v>
      </c>
      <c r="CV29" t="s">
        <v>1233</v>
      </c>
      <c r="CW29" t="s">
        <v>1234</v>
      </c>
      <c r="CX29" t="s">
        <v>1235</v>
      </c>
      <c r="CY29" t="s">
        <v>1236</v>
      </c>
      <c r="CZ29" t="s">
        <v>1237</v>
      </c>
      <c r="DA29" t="s">
        <v>1238</v>
      </c>
      <c r="DB29" t="s">
        <v>1214</v>
      </c>
      <c r="DC29" t="s">
        <v>822</v>
      </c>
      <c r="DD29" t="s">
        <v>230</v>
      </c>
      <c r="DE29" t="s">
        <v>231</v>
      </c>
      <c r="DF29" t="s">
        <v>178</v>
      </c>
      <c r="DG29" t="s">
        <v>232</v>
      </c>
      <c r="DH29" t="s">
        <v>233</v>
      </c>
      <c r="DI29" t="s">
        <v>178</v>
      </c>
      <c r="DJ29" t="s">
        <v>234</v>
      </c>
      <c r="DK29" t="s">
        <v>235</v>
      </c>
      <c r="DL29" t="s">
        <v>236</v>
      </c>
      <c r="DM29" t="s">
        <v>172</v>
      </c>
      <c r="DN29" t="s">
        <v>1213</v>
      </c>
      <c r="DO29" t="s">
        <v>237</v>
      </c>
      <c r="DP29" t="s">
        <v>238</v>
      </c>
      <c r="DQ29" t="s">
        <v>239</v>
      </c>
      <c r="DR29" t="s">
        <v>240</v>
      </c>
      <c r="DS29" t="s">
        <v>241</v>
      </c>
      <c r="DT29" t="s">
        <v>242</v>
      </c>
    </row>
    <row r="30" spans="1:124" x14ac:dyDescent="0.45">
      <c r="A30" t="s">
        <v>1239</v>
      </c>
      <c r="B30" t="s">
        <v>1240</v>
      </c>
      <c r="C30" t="s">
        <v>161</v>
      </c>
      <c r="D30" t="s">
        <v>162</v>
      </c>
      <c r="E30" t="s">
        <v>163</v>
      </c>
      <c r="I30" t="s">
        <v>1241</v>
      </c>
      <c r="J30">
        <v>0.15604053221563491</v>
      </c>
      <c r="K30">
        <v>2.9058327199999998</v>
      </c>
      <c r="L30">
        <v>0.14808832593912771</v>
      </c>
      <c r="M30">
        <v>1.741558853767057</v>
      </c>
      <c r="N30" t="s">
        <v>1242</v>
      </c>
      <c r="O30" t="s">
        <v>1243</v>
      </c>
      <c r="P30">
        <v>4.2457887994437256</v>
      </c>
      <c r="Q30">
        <v>1.1399387994437249</v>
      </c>
      <c r="R30" t="s">
        <v>1244</v>
      </c>
      <c r="S30" t="s">
        <v>1245</v>
      </c>
      <c r="T30">
        <v>42.204660034231857</v>
      </c>
      <c r="U30">
        <v>0.4417875</v>
      </c>
      <c r="V30" t="s">
        <v>170</v>
      </c>
      <c r="W30" t="s">
        <v>1246</v>
      </c>
      <c r="X30" t="s">
        <v>172</v>
      </c>
      <c r="Y30" t="s">
        <v>172</v>
      </c>
      <c r="Z30" t="s">
        <v>172</v>
      </c>
      <c r="AA30" t="s">
        <v>1247</v>
      </c>
      <c r="AB30" t="s">
        <v>1248</v>
      </c>
      <c r="AC30" t="s">
        <v>1249</v>
      </c>
      <c r="AD30" t="s">
        <v>176</v>
      </c>
      <c r="AE30" t="s">
        <v>177</v>
      </c>
      <c r="AF30">
        <v>54.028982279999987</v>
      </c>
      <c r="AG30" t="s">
        <v>178</v>
      </c>
      <c r="AH30" t="s">
        <v>1250</v>
      </c>
      <c r="AI30" t="s">
        <v>1251</v>
      </c>
      <c r="AJ30" t="s">
        <v>1252</v>
      </c>
      <c r="AK30" t="s">
        <v>1253</v>
      </c>
      <c r="AL30">
        <v>29.94</v>
      </c>
      <c r="AM30" t="s">
        <v>349</v>
      </c>
      <c r="AN30" t="s">
        <v>184</v>
      </c>
      <c r="AO30" t="s">
        <v>1254</v>
      </c>
      <c r="AP30" t="s">
        <v>1255</v>
      </c>
      <c r="AQ30" t="s">
        <v>1256</v>
      </c>
      <c r="AR30" t="s">
        <v>1257</v>
      </c>
      <c r="AS30" t="s">
        <v>1258</v>
      </c>
      <c r="AT30" t="s">
        <v>381</v>
      </c>
      <c r="AU30" t="s">
        <v>438</v>
      </c>
      <c r="AV30" t="s">
        <v>1259</v>
      </c>
      <c r="AW30" t="s">
        <v>1260</v>
      </c>
      <c r="AX30" t="s">
        <v>1261</v>
      </c>
      <c r="AY30" t="s">
        <v>1262</v>
      </c>
      <c r="AZ30" t="s">
        <v>964</v>
      </c>
      <c r="BA30" t="s">
        <v>1263</v>
      </c>
      <c r="BB30" t="s">
        <v>1264</v>
      </c>
      <c r="BC30" t="s">
        <v>1265</v>
      </c>
      <c r="BD30" t="s">
        <v>161</v>
      </c>
      <c r="BE30" t="s">
        <v>695</v>
      </c>
      <c r="BF30" t="s">
        <v>1266</v>
      </c>
      <c r="BG30" t="s">
        <v>849</v>
      </c>
      <c r="BH30" t="s">
        <v>450</v>
      </c>
      <c r="BI30" t="s">
        <v>1228</v>
      </c>
      <c r="BJ30" t="s">
        <v>929</v>
      </c>
      <c r="BK30" t="s">
        <v>161</v>
      </c>
      <c r="BL30" t="s">
        <v>930</v>
      </c>
      <c r="BM30" t="s">
        <v>159</v>
      </c>
      <c r="BN30" t="s">
        <v>277</v>
      </c>
      <c r="BO30" t="s">
        <v>203</v>
      </c>
      <c r="BP30" t="s">
        <v>204</v>
      </c>
      <c r="BQ30" t="s">
        <v>1267</v>
      </c>
      <c r="BR30" t="s">
        <v>1268</v>
      </c>
      <c r="BS30" t="s">
        <v>1269</v>
      </c>
      <c r="BT30" t="s">
        <v>159</v>
      </c>
      <c r="BU30" t="s">
        <v>208</v>
      </c>
      <c r="BV30" t="s">
        <v>209</v>
      </c>
      <c r="BW30" t="s">
        <v>210</v>
      </c>
      <c r="BX30" t="s">
        <v>211</v>
      </c>
      <c r="BY30" t="s">
        <v>172</v>
      </c>
      <c r="BZ30" t="s">
        <v>212</v>
      </c>
      <c r="CA30" t="s">
        <v>172</v>
      </c>
      <c r="CB30" t="s">
        <v>172</v>
      </c>
      <c r="CC30" t="s">
        <v>213</v>
      </c>
      <c r="CD30" t="s">
        <v>214</v>
      </c>
      <c r="CE30" t="s">
        <v>215</v>
      </c>
      <c r="CF30" t="s">
        <v>216</v>
      </c>
      <c r="CG30" t="s">
        <v>217</v>
      </c>
      <c r="CH30" t="s">
        <v>218</v>
      </c>
      <c r="CI30" t="s">
        <v>178</v>
      </c>
      <c r="CJ30" t="s">
        <v>210</v>
      </c>
      <c r="CK30" t="s">
        <v>219</v>
      </c>
      <c r="CL30" t="s">
        <v>219</v>
      </c>
      <c r="CM30" t="s">
        <v>219</v>
      </c>
      <c r="CN30" t="s">
        <v>172</v>
      </c>
      <c r="CO30" t="s">
        <v>220</v>
      </c>
      <c r="CP30" t="s">
        <v>172</v>
      </c>
      <c r="CQ30" t="s">
        <v>172</v>
      </c>
      <c r="CR30" t="s">
        <v>172</v>
      </c>
      <c r="CS30" t="s">
        <v>172</v>
      </c>
      <c r="CT30" t="s">
        <v>1270</v>
      </c>
      <c r="CU30" t="s">
        <v>1271</v>
      </c>
      <c r="CV30" t="s">
        <v>1272</v>
      </c>
      <c r="CW30" t="s">
        <v>1273</v>
      </c>
      <c r="CX30" t="s">
        <v>1274</v>
      </c>
      <c r="CY30" t="s">
        <v>1275</v>
      </c>
      <c r="CZ30" t="s">
        <v>1276</v>
      </c>
      <c r="DA30" t="s">
        <v>1277</v>
      </c>
      <c r="DB30" t="s">
        <v>1247</v>
      </c>
      <c r="DC30" t="s">
        <v>587</v>
      </c>
      <c r="DD30" t="s">
        <v>230</v>
      </c>
      <c r="DE30" t="s">
        <v>231</v>
      </c>
      <c r="DF30" t="s">
        <v>178</v>
      </c>
      <c r="DG30" t="s">
        <v>232</v>
      </c>
      <c r="DH30" t="s">
        <v>233</v>
      </c>
      <c r="DI30" t="s">
        <v>178</v>
      </c>
      <c r="DJ30" t="s">
        <v>234</v>
      </c>
      <c r="DK30" t="s">
        <v>235</v>
      </c>
      <c r="DL30" t="s">
        <v>236</v>
      </c>
      <c r="DM30" t="s">
        <v>172</v>
      </c>
      <c r="DN30" t="s">
        <v>1246</v>
      </c>
      <c r="DO30" t="s">
        <v>237</v>
      </c>
      <c r="DP30" t="s">
        <v>238</v>
      </c>
      <c r="DQ30" t="s">
        <v>239</v>
      </c>
      <c r="DR30" t="s">
        <v>240</v>
      </c>
      <c r="DS30" t="s">
        <v>241</v>
      </c>
      <c r="DT30" t="s">
        <v>242</v>
      </c>
    </row>
    <row r="31" spans="1:124" x14ac:dyDescent="0.45">
      <c r="A31" t="s">
        <v>1278</v>
      </c>
      <c r="B31" t="s">
        <v>1279</v>
      </c>
      <c r="C31" t="s">
        <v>161</v>
      </c>
      <c r="D31" t="s">
        <v>162</v>
      </c>
      <c r="E31" t="s">
        <v>163</v>
      </c>
      <c r="I31" t="s">
        <v>1281</v>
      </c>
      <c r="J31">
        <v>0.10330093629010891</v>
      </c>
      <c r="K31">
        <v>2.907430080000001</v>
      </c>
      <c r="L31">
        <v>9.9756586635265876E-2</v>
      </c>
      <c r="M31">
        <v>1.212395459821686</v>
      </c>
      <c r="N31" t="s">
        <v>1282</v>
      </c>
      <c r="O31" t="s">
        <v>1283</v>
      </c>
      <c r="P31">
        <v>4.2702482477367987</v>
      </c>
      <c r="Q31">
        <v>1.177944247736799</v>
      </c>
      <c r="R31" t="s">
        <v>1284</v>
      </c>
      <c r="S31" t="s">
        <v>1285</v>
      </c>
      <c r="T31">
        <v>42.447795703149097</v>
      </c>
      <c r="U31">
        <v>0.4417875</v>
      </c>
      <c r="V31" t="s">
        <v>170</v>
      </c>
      <c r="W31" t="s">
        <v>1286</v>
      </c>
      <c r="X31" t="s">
        <v>172</v>
      </c>
      <c r="Y31" t="s">
        <v>172</v>
      </c>
      <c r="Z31" t="s">
        <v>172</v>
      </c>
      <c r="AA31" t="s">
        <v>1287</v>
      </c>
      <c r="AB31" t="s">
        <v>1288</v>
      </c>
      <c r="AC31" t="s">
        <v>1289</v>
      </c>
      <c r="AD31" t="s">
        <v>176</v>
      </c>
      <c r="AE31" t="s">
        <v>177</v>
      </c>
      <c r="AF31">
        <v>48.208671000000002</v>
      </c>
      <c r="AG31" t="s">
        <v>178</v>
      </c>
      <c r="AH31" t="s">
        <v>1290</v>
      </c>
      <c r="AI31" t="s">
        <v>1291</v>
      </c>
      <c r="AJ31" t="s">
        <v>1292</v>
      </c>
      <c r="AK31" t="s">
        <v>995</v>
      </c>
      <c r="AL31">
        <v>30.04</v>
      </c>
      <c r="AM31" t="s">
        <v>349</v>
      </c>
      <c r="AN31" t="s">
        <v>683</v>
      </c>
      <c r="AO31" t="s">
        <v>1293</v>
      </c>
      <c r="AP31" t="s">
        <v>1294</v>
      </c>
      <c r="AQ31" t="s">
        <v>208</v>
      </c>
      <c r="AR31" t="s">
        <v>1257</v>
      </c>
      <c r="AS31" t="s">
        <v>189</v>
      </c>
      <c r="AT31" t="s">
        <v>381</v>
      </c>
      <c r="AU31" t="s">
        <v>1295</v>
      </c>
      <c r="AV31" t="s">
        <v>1296</v>
      </c>
      <c r="AW31" t="s">
        <v>1297</v>
      </c>
      <c r="AX31" t="s">
        <v>1298</v>
      </c>
      <c r="AY31" t="s">
        <v>1299</v>
      </c>
      <c r="AZ31" t="s">
        <v>964</v>
      </c>
      <c r="BA31" t="s">
        <v>1300</v>
      </c>
      <c r="BB31" t="s">
        <v>1301</v>
      </c>
      <c r="BC31" t="s">
        <v>1302</v>
      </c>
      <c r="BD31" t="s">
        <v>161</v>
      </c>
      <c r="BE31" t="s">
        <v>447</v>
      </c>
      <c r="BF31" t="s">
        <v>1303</v>
      </c>
      <c r="BG31" t="s">
        <v>1304</v>
      </c>
      <c r="BH31" t="s">
        <v>450</v>
      </c>
      <c r="BI31" t="s">
        <v>1305</v>
      </c>
      <c r="BJ31" t="s">
        <v>1306</v>
      </c>
      <c r="BK31" t="s">
        <v>161</v>
      </c>
      <c r="BL31" t="s">
        <v>1307</v>
      </c>
      <c r="BM31" t="s">
        <v>159</v>
      </c>
      <c r="BN31" t="s">
        <v>203</v>
      </c>
      <c r="BO31" t="s">
        <v>277</v>
      </c>
      <c r="BP31" t="s">
        <v>621</v>
      </c>
      <c r="BQ31" t="s">
        <v>496</v>
      </c>
      <c r="BR31" t="s">
        <v>1268</v>
      </c>
      <c r="BS31" t="s">
        <v>1267</v>
      </c>
      <c r="BT31" t="s">
        <v>159</v>
      </c>
      <c r="BU31" t="s">
        <v>208</v>
      </c>
      <c r="BV31" t="s">
        <v>209</v>
      </c>
      <c r="BW31" t="s">
        <v>210</v>
      </c>
      <c r="BX31" t="s">
        <v>211</v>
      </c>
      <c r="BY31" t="s">
        <v>172</v>
      </c>
      <c r="BZ31" t="s">
        <v>212</v>
      </c>
      <c r="CA31" t="s">
        <v>172</v>
      </c>
      <c r="CB31" t="s">
        <v>172</v>
      </c>
      <c r="CC31" t="s">
        <v>213</v>
      </c>
      <c r="CD31" t="s">
        <v>214</v>
      </c>
      <c r="CE31" t="s">
        <v>215</v>
      </c>
      <c r="CF31" t="s">
        <v>216</v>
      </c>
      <c r="CG31" t="s">
        <v>217</v>
      </c>
      <c r="CH31" t="s">
        <v>218</v>
      </c>
      <c r="CI31" t="s">
        <v>178</v>
      </c>
      <c r="CJ31" t="s">
        <v>210</v>
      </c>
      <c r="CK31" t="s">
        <v>219</v>
      </c>
      <c r="CL31" t="s">
        <v>219</v>
      </c>
      <c r="CM31" t="s">
        <v>219</v>
      </c>
      <c r="CN31" t="s">
        <v>172</v>
      </c>
      <c r="CO31" t="s">
        <v>220</v>
      </c>
      <c r="CP31" t="s">
        <v>172</v>
      </c>
      <c r="CQ31" t="s">
        <v>172</v>
      </c>
      <c r="CR31" t="s">
        <v>172</v>
      </c>
      <c r="CS31" t="s">
        <v>172</v>
      </c>
      <c r="CT31" t="s">
        <v>1308</v>
      </c>
      <c r="CU31" t="s">
        <v>1309</v>
      </c>
      <c r="CV31" t="s">
        <v>1310</v>
      </c>
      <c r="CW31" t="s">
        <v>1311</v>
      </c>
      <c r="CX31" t="s">
        <v>1312</v>
      </c>
      <c r="CY31" t="s">
        <v>1313</v>
      </c>
      <c r="CZ31" t="s">
        <v>1314</v>
      </c>
      <c r="DA31" t="s">
        <v>1315</v>
      </c>
      <c r="DB31" t="s">
        <v>1287</v>
      </c>
      <c r="DC31" t="s">
        <v>380</v>
      </c>
      <c r="DD31" t="s">
        <v>230</v>
      </c>
      <c r="DE31" t="s">
        <v>231</v>
      </c>
      <c r="DF31" t="s">
        <v>178</v>
      </c>
      <c r="DG31" t="s">
        <v>232</v>
      </c>
      <c r="DH31" t="s">
        <v>233</v>
      </c>
      <c r="DI31" t="s">
        <v>178</v>
      </c>
      <c r="DJ31" t="s">
        <v>234</v>
      </c>
      <c r="DK31" t="s">
        <v>235</v>
      </c>
      <c r="DL31" t="s">
        <v>236</v>
      </c>
      <c r="DM31" t="s">
        <v>172</v>
      </c>
      <c r="DN31" t="s">
        <v>1286</v>
      </c>
      <c r="DO31" t="s">
        <v>237</v>
      </c>
      <c r="DP31" t="s">
        <v>238</v>
      </c>
      <c r="DQ31" t="s">
        <v>239</v>
      </c>
      <c r="DR31" t="s">
        <v>240</v>
      </c>
      <c r="DS31" t="s">
        <v>241</v>
      </c>
      <c r="DT31" t="s">
        <v>242</v>
      </c>
    </row>
    <row r="32" spans="1:124" x14ac:dyDescent="0.45">
      <c r="A32" t="s">
        <v>1316</v>
      </c>
      <c r="B32" t="s">
        <v>1317</v>
      </c>
      <c r="C32" t="s">
        <v>161</v>
      </c>
      <c r="D32" t="s">
        <v>162</v>
      </c>
      <c r="E32" t="s">
        <v>163</v>
      </c>
      <c r="I32" t="s">
        <v>1318</v>
      </c>
      <c r="J32">
        <v>7.2796722790423041E-2</v>
      </c>
      <c r="K32">
        <v>2.9042299200000001</v>
      </c>
      <c r="L32">
        <v>7.1016636991775808E-2</v>
      </c>
      <c r="M32">
        <v>0.91747455148828883</v>
      </c>
      <c r="N32" t="s">
        <v>1319</v>
      </c>
      <c r="O32" t="s">
        <v>1320</v>
      </c>
      <c r="P32">
        <v>4.2923666515878631</v>
      </c>
      <c r="Q32">
        <v>1.252173651587863</v>
      </c>
      <c r="R32" t="s">
        <v>1321</v>
      </c>
      <c r="S32" t="s">
        <v>1322</v>
      </c>
      <c r="T32">
        <v>42.667660552563262</v>
      </c>
      <c r="U32">
        <v>0.4417875</v>
      </c>
      <c r="V32" t="s">
        <v>170</v>
      </c>
      <c r="W32" t="s">
        <v>1323</v>
      </c>
      <c r="X32" t="s">
        <v>172</v>
      </c>
      <c r="Y32" t="s">
        <v>172</v>
      </c>
      <c r="Z32" t="s">
        <v>172</v>
      </c>
      <c r="AA32" t="s">
        <v>1324</v>
      </c>
      <c r="AB32" t="s">
        <v>1325</v>
      </c>
      <c r="AC32" t="s">
        <v>1326</v>
      </c>
      <c r="AD32" t="s">
        <v>176</v>
      </c>
      <c r="AE32" t="s">
        <v>177</v>
      </c>
      <c r="AF32">
        <v>42.373546739999988</v>
      </c>
      <c r="AG32" t="s">
        <v>178</v>
      </c>
      <c r="AH32" t="s">
        <v>1327</v>
      </c>
      <c r="AI32" t="s">
        <v>1328</v>
      </c>
      <c r="AJ32" t="s">
        <v>1329</v>
      </c>
      <c r="AK32" t="s">
        <v>255</v>
      </c>
      <c r="AL32">
        <v>30.13</v>
      </c>
      <c r="AM32" t="s">
        <v>349</v>
      </c>
      <c r="AN32" t="s">
        <v>603</v>
      </c>
      <c r="AO32" t="s">
        <v>1073</v>
      </c>
      <c r="AP32" t="s">
        <v>523</v>
      </c>
      <c r="AQ32" t="s">
        <v>1330</v>
      </c>
      <c r="AR32" t="s">
        <v>1257</v>
      </c>
      <c r="AS32" t="s">
        <v>649</v>
      </c>
      <c r="AT32" t="s">
        <v>215</v>
      </c>
      <c r="AU32" t="s">
        <v>1331</v>
      </c>
      <c r="AV32" t="s">
        <v>1332</v>
      </c>
      <c r="AW32" t="s">
        <v>1333</v>
      </c>
      <c r="AX32" t="s">
        <v>807</v>
      </c>
      <c r="AY32" t="s">
        <v>1334</v>
      </c>
      <c r="AZ32" t="s">
        <v>964</v>
      </c>
      <c r="BA32" t="s">
        <v>1335</v>
      </c>
      <c r="BB32" t="s">
        <v>1336</v>
      </c>
      <c r="BC32" t="s">
        <v>1337</v>
      </c>
      <c r="BD32" t="s">
        <v>161</v>
      </c>
      <c r="BE32" t="s">
        <v>773</v>
      </c>
      <c r="BF32" t="s">
        <v>1338</v>
      </c>
      <c r="BG32" t="s">
        <v>1339</v>
      </c>
      <c r="BH32" t="s">
        <v>450</v>
      </c>
      <c r="BI32" t="s">
        <v>409</v>
      </c>
      <c r="BJ32" t="s">
        <v>1306</v>
      </c>
      <c r="BK32" t="s">
        <v>161</v>
      </c>
      <c r="BL32" t="s">
        <v>1307</v>
      </c>
      <c r="BM32" t="s">
        <v>159</v>
      </c>
      <c r="BN32" t="s">
        <v>886</v>
      </c>
      <c r="BO32" t="s">
        <v>203</v>
      </c>
      <c r="BP32" t="s">
        <v>277</v>
      </c>
      <c r="BQ32" t="s">
        <v>1340</v>
      </c>
      <c r="BR32" t="s">
        <v>1012</v>
      </c>
      <c r="BS32" t="s">
        <v>1341</v>
      </c>
      <c r="BT32" t="s">
        <v>159</v>
      </c>
      <c r="BU32" t="s">
        <v>208</v>
      </c>
      <c r="BV32" t="s">
        <v>209</v>
      </c>
      <c r="BW32" t="s">
        <v>210</v>
      </c>
      <c r="BX32" t="s">
        <v>211</v>
      </c>
      <c r="BY32" t="s">
        <v>172</v>
      </c>
      <c r="BZ32" t="s">
        <v>212</v>
      </c>
      <c r="CA32" t="s">
        <v>172</v>
      </c>
      <c r="CB32" t="s">
        <v>172</v>
      </c>
      <c r="CC32" t="s">
        <v>213</v>
      </c>
      <c r="CD32" t="s">
        <v>214</v>
      </c>
      <c r="CE32" t="s">
        <v>215</v>
      </c>
      <c r="CF32" t="s">
        <v>216</v>
      </c>
      <c r="CG32" t="s">
        <v>217</v>
      </c>
      <c r="CH32" t="s">
        <v>218</v>
      </c>
      <c r="CI32" t="s">
        <v>178</v>
      </c>
      <c r="CJ32" t="s">
        <v>210</v>
      </c>
      <c r="CK32" t="s">
        <v>219</v>
      </c>
      <c r="CL32" t="s">
        <v>219</v>
      </c>
      <c r="CM32" t="s">
        <v>219</v>
      </c>
      <c r="CN32" t="s">
        <v>172</v>
      </c>
      <c r="CO32" t="s">
        <v>220</v>
      </c>
      <c r="CP32" t="s">
        <v>172</v>
      </c>
      <c r="CQ32" t="s">
        <v>172</v>
      </c>
      <c r="CR32" t="s">
        <v>172</v>
      </c>
      <c r="CS32" t="s">
        <v>172</v>
      </c>
      <c r="CT32" t="s">
        <v>1342</v>
      </c>
      <c r="CU32" t="s">
        <v>1343</v>
      </c>
      <c r="CV32" t="s">
        <v>1344</v>
      </c>
      <c r="CW32" t="s">
        <v>1345</v>
      </c>
      <c r="CX32" t="s">
        <v>1346</v>
      </c>
      <c r="CY32" t="s">
        <v>1347</v>
      </c>
      <c r="CZ32" t="s">
        <v>1348</v>
      </c>
      <c r="DA32" t="s">
        <v>1349</v>
      </c>
      <c r="DB32" t="s">
        <v>1324</v>
      </c>
      <c r="DC32" t="s">
        <v>1350</v>
      </c>
      <c r="DD32" t="s">
        <v>230</v>
      </c>
      <c r="DE32" t="s">
        <v>231</v>
      </c>
      <c r="DF32" t="s">
        <v>178</v>
      </c>
      <c r="DG32" t="s">
        <v>232</v>
      </c>
      <c r="DH32" t="s">
        <v>233</v>
      </c>
      <c r="DI32" t="s">
        <v>178</v>
      </c>
      <c r="DJ32" t="s">
        <v>234</v>
      </c>
      <c r="DK32" t="s">
        <v>235</v>
      </c>
      <c r="DL32" t="s">
        <v>236</v>
      </c>
      <c r="DM32" t="s">
        <v>172</v>
      </c>
      <c r="DN32" t="s">
        <v>1323</v>
      </c>
      <c r="DO32" t="s">
        <v>237</v>
      </c>
      <c r="DP32" t="s">
        <v>238</v>
      </c>
      <c r="DQ32" t="s">
        <v>239</v>
      </c>
      <c r="DR32" t="s">
        <v>240</v>
      </c>
      <c r="DS32" t="s">
        <v>241</v>
      </c>
      <c r="DT32" t="s">
        <v>242</v>
      </c>
    </row>
    <row r="33" spans="1:124" x14ac:dyDescent="0.45">
      <c r="A33" t="s">
        <v>1351</v>
      </c>
      <c r="B33" t="s">
        <v>1352</v>
      </c>
      <c r="C33" t="s">
        <v>161</v>
      </c>
      <c r="D33" t="s">
        <v>162</v>
      </c>
      <c r="E33" t="s">
        <v>163</v>
      </c>
      <c r="I33" t="s">
        <v>1353</v>
      </c>
      <c r="J33">
        <v>4.830436661992956E-2</v>
      </c>
      <c r="K33">
        <v>2.9058327199999998</v>
      </c>
      <c r="L33">
        <v>4.7514521136752509E-2</v>
      </c>
      <c r="M33">
        <v>0.60325336299969678</v>
      </c>
      <c r="N33" t="s">
        <v>1354</v>
      </c>
      <c r="O33" t="s">
        <v>1355</v>
      </c>
      <c r="P33">
        <v>4.2776099867148858</v>
      </c>
      <c r="Q33">
        <v>1.2309739867148859</v>
      </c>
      <c r="R33" t="s">
        <v>1356</v>
      </c>
      <c r="S33" t="s">
        <v>1357</v>
      </c>
      <c r="T33">
        <v>42.516747706141388</v>
      </c>
      <c r="U33">
        <v>0.4417875</v>
      </c>
      <c r="V33" t="s">
        <v>170</v>
      </c>
      <c r="W33" t="s">
        <v>1358</v>
      </c>
      <c r="X33" t="s">
        <v>172</v>
      </c>
      <c r="Y33" t="s">
        <v>172</v>
      </c>
      <c r="Z33" t="s">
        <v>172</v>
      </c>
      <c r="AA33" t="s">
        <v>1359</v>
      </c>
      <c r="AB33" t="s">
        <v>1360</v>
      </c>
      <c r="AC33" t="s">
        <v>1361</v>
      </c>
      <c r="AD33" t="s">
        <v>176</v>
      </c>
      <c r="AE33" t="s">
        <v>177</v>
      </c>
      <c r="AF33">
        <v>44.519829059999999</v>
      </c>
      <c r="AG33" t="s">
        <v>178</v>
      </c>
      <c r="AH33" t="s">
        <v>1362</v>
      </c>
      <c r="AI33" t="s">
        <v>1363</v>
      </c>
      <c r="AJ33" t="s">
        <v>1364</v>
      </c>
      <c r="AK33" t="s">
        <v>1365</v>
      </c>
      <c r="AL33">
        <v>30.07</v>
      </c>
      <c r="AM33" t="s">
        <v>256</v>
      </c>
      <c r="AN33" t="s">
        <v>184</v>
      </c>
      <c r="AO33" t="s">
        <v>1366</v>
      </c>
      <c r="AP33" t="s">
        <v>646</v>
      </c>
      <c r="AQ33" t="s">
        <v>1330</v>
      </c>
      <c r="AR33" t="s">
        <v>1367</v>
      </c>
      <c r="AS33" t="s">
        <v>1109</v>
      </c>
      <c r="AT33" t="s">
        <v>1368</v>
      </c>
      <c r="AU33" t="s">
        <v>1369</v>
      </c>
      <c r="AV33" t="s">
        <v>1370</v>
      </c>
      <c r="AW33" t="s">
        <v>1371</v>
      </c>
      <c r="AX33" t="s">
        <v>1372</v>
      </c>
      <c r="AY33" t="s">
        <v>1373</v>
      </c>
      <c r="AZ33" t="s">
        <v>964</v>
      </c>
      <c r="BA33" t="s">
        <v>1374</v>
      </c>
      <c r="BB33" t="s">
        <v>1375</v>
      </c>
      <c r="BC33" t="s">
        <v>1376</v>
      </c>
      <c r="BD33" t="s">
        <v>161</v>
      </c>
      <c r="BE33" t="s">
        <v>573</v>
      </c>
      <c r="BF33" t="s">
        <v>448</v>
      </c>
      <c r="BG33" t="s">
        <v>1377</v>
      </c>
      <c r="BH33" t="s">
        <v>450</v>
      </c>
      <c r="BI33" t="s">
        <v>409</v>
      </c>
      <c r="BJ33" t="s">
        <v>1306</v>
      </c>
      <c r="BK33" t="s">
        <v>161</v>
      </c>
      <c r="BL33" t="s">
        <v>1307</v>
      </c>
      <c r="BM33" t="s">
        <v>159</v>
      </c>
      <c r="BN33" t="s">
        <v>209</v>
      </c>
      <c r="BO33" t="s">
        <v>209</v>
      </c>
      <c r="BP33" t="s">
        <v>886</v>
      </c>
      <c r="BQ33" t="s">
        <v>1378</v>
      </c>
      <c r="BR33" t="s">
        <v>1379</v>
      </c>
      <c r="BS33" t="s">
        <v>1380</v>
      </c>
      <c r="BT33" t="s">
        <v>159</v>
      </c>
      <c r="BU33" t="s">
        <v>208</v>
      </c>
      <c r="BV33" t="s">
        <v>209</v>
      </c>
      <c r="BW33" t="s">
        <v>210</v>
      </c>
      <c r="BX33" t="s">
        <v>211</v>
      </c>
      <c r="BY33" t="s">
        <v>172</v>
      </c>
      <c r="BZ33" t="s">
        <v>212</v>
      </c>
      <c r="CA33" t="s">
        <v>172</v>
      </c>
      <c r="CB33" t="s">
        <v>172</v>
      </c>
      <c r="CC33" t="s">
        <v>213</v>
      </c>
      <c r="CD33" t="s">
        <v>214</v>
      </c>
      <c r="CE33" t="s">
        <v>215</v>
      </c>
      <c r="CF33" t="s">
        <v>216</v>
      </c>
      <c r="CG33" t="s">
        <v>217</v>
      </c>
      <c r="CH33" t="s">
        <v>218</v>
      </c>
      <c r="CI33" t="s">
        <v>178</v>
      </c>
      <c r="CJ33" t="s">
        <v>210</v>
      </c>
      <c r="CK33" t="s">
        <v>219</v>
      </c>
      <c r="CL33" t="s">
        <v>219</v>
      </c>
      <c r="CM33" t="s">
        <v>219</v>
      </c>
      <c r="CN33" t="s">
        <v>172</v>
      </c>
      <c r="CO33" t="s">
        <v>220</v>
      </c>
      <c r="CP33" t="s">
        <v>172</v>
      </c>
      <c r="CQ33" t="s">
        <v>172</v>
      </c>
      <c r="CR33" t="s">
        <v>172</v>
      </c>
      <c r="CS33" t="s">
        <v>172</v>
      </c>
      <c r="CT33" t="s">
        <v>1381</v>
      </c>
      <c r="CU33" t="s">
        <v>1382</v>
      </c>
      <c r="CV33" t="s">
        <v>1383</v>
      </c>
      <c r="CW33" t="s">
        <v>1384</v>
      </c>
      <c r="CX33" t="s">
        <v>1385</v>
      </c>
      <c r="CY33" t="s">
        <v>1386</v>
      </c>
      <c r="CZ33" t="s">
        <v>1387</v>
      </c>
      <c r="DA33" t="s">
        <v>1388</v>
      </c>
      <c r="DB33" t="s">
        <v>1359</v>
      </c>
      <c r="DC33" t="s">
        <v>380</v>
      </c>
      <c r="DD33" t="s">
        <v>230</v>
      </c>
      <c r="DE33" t="s">
        <v>231</v>
      </c>
      <c r="DF33" t="s">
        <v>178</v>
      </c>
      <c r="DG33" t="s">
        <v>232</v>
      </c>
      <c r="DH33" t="s">
        <v>233</v>
      </c>
      <c r="DI33" t="s">
        <v>178</v>
      </c>
      <c r="DJ33" t="s">
        <v>234</v>
      </c>
      <c r="DK33" t="s">
        <v>235</v>
      </c>
      <c r="DL33" t="s">
        <v>236</v>
      </c>
      <c r="DM33" t="s">
        <v>172</v>
      </c>
      <c r="DN33" t="s">
        <v>1358</v>
      </c>
      <c r="DO33" t="s">
        <v>237</v>
      </c>
      <c r="DP33" t="s">
        <v>238</v>
      </c>
      <c r="DQ33" t="s">
        <v>239</v>
      </c>
      <c r="DR33" t="s">
        <v>240</v>
      </c>
      <c r="DS33" t="s">
        <v>241</v>
      </c>
      <c r="DT33" t="s">
        <v>242</v>
      </c>
    </row>
    <row r="34" spans="1:124" x14ac:dyDescent="0.45">
      <c r="A34" t="s">
        <v>1389</v>
      </c>
      <c r="B34" t="s">
        <v>1390</v>
      </c>
      <c r="C34" t="s">
        <v>161</v>
      </c>
      <c r="D34" t="s">
        <v>162</v>
      </c>
      <c r="E34" t="s">
        <v>163</v>
      </c>
      <c r="I34" t="s">
        <v>1391</v>
      </c>
      <c r="J34">
        <v>7.2358543566025096E-3</v>
      </c>
      <c r="K34">
        <v>2.9050319999999989</v>
      </c>
      <c r="L34">
        <v>7.2178760692716793E-3</v>
      </c>
      <c r="M34">
        <v>8.5008320342049359E-2</v>
      </c>
      <c r="N34" t="s">
        <v>1392</v>
      </c>
      <c r="O34" t="s">
        <v>1393</v>
      </c>
      <c r="P34">
        <v>4.1683371620465532</v>
      </c>
      <c r="Q34">
        <v>1.1424191620465529</v>
      </c>
      <c r="R34" t="s">
        <v>1394</v>
      </c>
      <c r="S34" t="s">
        <v>1395</v>
      </c>
      <c r="T34">
        <v>41.434763042212261</v>
      </c>
      <c r="U34">
        <v>0.4417875</v>
      </c>
      <c r="V34" t="s">
        <v>170</v>
      </c>
      <c r="W34" t="s">
        <v>1396</v>
      </c>
      <c r="X34" t="s">
        <v>172</v>
      </c>
      <c r="Y34" t="s">
        <v>172</v>
      </c>
      <c r="Z34" t="s">
        <v>172</v>
      </c>
      <c r="AA34" t="s">
        <v>1397</v>
      </c>
      <c r="AB34" t="s">
        <v>1398</v>
      </c>
      <c r="AC34" t="s">
        <v>1399</v>
      </c>
      <c r="AD34" t="s">
        <v>176</v>
      </c>
      <c r="AE34" t="s">
        <v>177</v>
      </c>
      <c r="AF34">
        <v>45.620612100000002</v>
      </c>
      <c r="AG34" t="s">
        <v>178</v>
      </c>
      <c r="AH34" t="s">
        <v>1400</v>
      </c>
      <c r="AI34" t="s">
        <v>1401</v>
      </c>
      <c r="AJ34" t="s">
        <v>1402</v>
      </c>
      <c r="AK34" t="s">
        <v>955</v>
      </c>
      <c r="AL34">
        <v>29.62</v>
      </c>
      <c r="AM34" t="s">
        <v>349</v>
      </c>
      <c r="AN34" t="s">
        <v>305</v>
      </c>
      <c r="AO34" t="s">
        <v>800</v>
      </c>
      <c r="AP34" t="s">
        <v>997</v>
      </c>
      <c r="AQ34" t="s">
        <v>647</v>
      </c>
      <c r="AR34" t="s">
        <v>1403</v>
      </c>
      <c r="AS34" t="s">
        <v>916</v>
      </c>
      <c r="AT34" t="s">
        <v>215</v>
      </c>
      <c r="AU34" t="s">
        <v>1404</v>
      </c>
      <c r="AV34" t="s">
        <v>1405</v>
      </c>
      <c r="AW34" t="s">
        <v>1406</v>
      </c>
      <c r="AX34" t="s">
        <v>920</v>
      </c>
      <c r="AY34" t="s">
        <v>1407</v>
      </c>
      <c r="AZ34" t="s">
        <v>964</v>
      </c>
      <c r="BA34" t="s">
        <v>1374</v>
      </c>
      <c r="BB34" t="s">
        <v>1375</v>
      </c>
      <c r="BC34" t="s">
        <v>1408</v>
      </c>
      <c r="BD34" t="s">
        <v>161</v>
      </c>
      <c r="BE34" t="s">
        <v>1409</v>
      </c>
      <c r="BF34" t="s">
        <v>448</v>
      </c>
      <c r="BG34" t="s">
        <v>1410</v>
      </c>
      <c r="BH34" t="s">
        <v>709</v>
      </c>
      <c r="BI34" t="s">
        <v>659</v>
      </c>
      <c r="BJ34" t="s">
        <v>1306</v>
      </c>
      <c r="BK34" t="s">
        <v>161</v>
      </c>
      <c r="BL34" t="s">
        <v>1307</v>
      </c>
      <c r="BM34" t="s">
        <v>159</v>
      </c>
      <c r="BN34" t="s">
        <v>368</v>
      </c>
      <c r="BO34" t="s">
        <v>276</v>
      </c>
      <c r="BP34" t="s">
        <v>1411</v>
      </c>
      <c r="BQ34" t="s">
        <v>1412</v>
      </c>
      <c r="BR34" t="s">
        <v>1413</v>
      </c>
      <c r="BS34" t="s">
        <v>1411</v>
      </c>
      <c r="BT34" t="s">
        <v>159</v>
      </c>
      <c r="BU34" t="s">
        <v>208</v>
      </c>
      <c r="BV34" t="s">
        <v>209</v>
      </c>
      <c r="BW34" t="s">
        <v>210</v>
      </c>
      <c r="BX34" t="s">
        <v>211</v>
      </c>
      <c r="BY34" t="s">
        <v>172</v>
      </c>
      <c r="BZ34" t="s">
        <v>212</v>
      </c>
      <c r="CA34" t="s">
        <v>172</v>
      </c>
      <c r="CB34" t="s">
        <v>172</v>
      </c>
      <c r="CC34" t="s">
        <v>213</v>
      </c>
      <c r="CD34" t="s">
        <v>214</v>
      </c>
      <c r="CE34" t="s">
        <v>215</v>
      </c>
      <c r="CF34" t="s">
        <v>216</v>
      </c>
      <c r="CG34" t="s">
        <v>217</v>
      </c>
      <c r="CH34" t="s">
        <v>218</v>
      </c>
      <c r="CI34" t="s">
        <v>178</v>
      </c>
      <c r="CJ34" t="s">
        <v>210</v>
      </c>
      <c r="CK34" t="s">
        <v>219</v>
      </c>
      <c r="CL34" t="s">
        <v>219</v>
      </c>
      <c r="CM34" t="s">
        <v>219</v>
      </c>
      <c r="CN34" t="s">
        <v>172</v>
      </c>
      <c r="CO34" t="s">
        <v>220</v>
      </c>
      <c r="CP34" t="s">
        <v>172</v>
      </c>
      <c r="CQ34" t="s">
        <v>172</v>
      </c>
      <c r="CR34" t="s">
        <v>172</v>
      </c>
      <c r="CS34" t="s">
        <v>172</v>
      </c>
      <c r="CT34" t="s">
        <v>1414</v>
      </c>
      <c r="CU34" t="s">
        <v>1415</v>
      </c>
      <c r="CV34" t="s">
        <v>1416</v>
      </c>
      <c r="CW34" t="s">
        <v>1417</v>
      </c>
      <c r="CX34" t="s">
        <v>1418</v>
      </c>
      <c r="CY34" t="s">
        <v>1419</v>
      </c>
      <c r="CZ34" t="s">
        <v>1420</v>
      </c>
      <c r="DA34" t="s">
        <v>1421</v>
      </c>
      <c r="DB34" t="s">
        <v>1397</v>
      </c>
      <c r="DC34" t="s">
        <v>1350</v>
      </c>
      <c r="DD34" t="s">
        <v>230</v>
      </c>
      <c r="DE34" t="s">
        <v>231</v>
      </c>
      <c r="DF34" t="s">
        <v>178</v>
      </c>
      <c r="DG34" t="s">
        <v>232</v>
      </c>
      <c r="DH34" t="s">
        <v>233</v>
      </c>
      <c r="DI34" t="s">
        <v>178</v>
      </c>
      <c r="DJ34" t="s">
        <v>234</v>
      </c>
      <c r="DK34" t="s">
        <v>235</v>
      </c>
      <c r="DL34" t="s">
        <v>236</v>
      </c>
      <c r="DM34" t="s">
        <v>172</v>
      </c>
      <c r="DN34" t="s">
        <v>1396</v>
      </c>
      <c r="DO34" t="s">
        <v>237</v>
      </c>
      <c r="DP34" t="s">
        <v>238</v>
      </c>
      <c r="DQ34" t="s">
        <v>239</v>
      </c>
      <c r="DR34" t="s">
        <v>240</v>
      </c>
      <c r="DS34" t="s">
        <v>241</v>
      </c>
      <c r="DT34" t="s">
        <v>242</v>
      </c>
    </row>
    <row r="35" spans="1:124" x14ac:dyDescent="0.45">
      <c r="A35" t="s">
        <v>1422</v>
      </c>
      <c r="B35" t="s">
        <v>1423</v>
      </c>
      <c r="C35" t="s">
        <v>161</v>
      </c>
      <c r="D35" t="s">
        <v>162</v>
      </c>
      <c r="E35" t="s">
        <v>163</v>
      </c>
      <c r="I35" t="s">
        <v>1424</v>
      </c>
      <c r="J35">
        <v>9.927063157081846E-2</v>
      </c>
      <c r="K35">
        <v>2.9066320800000001</v>
      </c>
      <c r="L35">
        <v>9.5992196026469342E-2</v>
      </c>
      <c r="M35">
        <v>1.1386900967306199</v>
      </c>
      <c r="N35" t="s">
        <v>1425</v>
      </c>
      <c r="O35" t="s">
        <v>1426</v>
      </c>
      <c r="P35">
        <v>4.2020693701883536</v>
      </c>
      <c r="Q35">
        <v>1.150250370188354</v>
      </c>
      <c r="R35" t="s">
        <v>1427</v>
      </c>
      <c r="S35" t="s">
        <v>1428</v>
      </c>
      <c r="T35">
        <v>41.770073262309687</v>
      </c>
      <c r="U35">
        <v>0.4417875</v>
      </c>
      <c r="V35" t="s">
        <v>170</v>
      </c>
      <c r="W35" t="s">
        <v>1429</v>
      </c>
      <c r="X35" t="s">
        <v>172</v>
      </c>
      <c r="Y35" t="s">
        <v>172</v>
      </c>
      <c r="Z35" t="s">
        <v>172</v>
      </c>
      <c r="AA35" t="s">
        <v>1430</v>
      </c>
      <c r="AB35" t="s">
        <v>1431</v>
      </c>
      <c r="AC35" t="s">
        <v>1432</v>
      </c>
      <c r="AD35" t="s">
        <v>176</v>
      </c>
      <c r="AE35" t="s">
        <v>177</v>
      </c>
      <c r="AF35">
        <v>48.779262840000001</v>
      </c>
      <c r="AG35" t="s">
        <v>178</v>
      </c>
      <c r="AH35" t="s">
        <v>1433</v>
      </c>
      <c r="AI35" t="s">
        <v>1434</v>
      </c>
      <c r="AJ35" t="s">
        <v>1435</v>
      </c>
      <c r="AK35" t="s">
        <v>602</v>
      </c>
      <c r="AL35">
        <v>29.76</v>
      </c>
      <c r="AM35" t="s">
        <v>349</v>
      </c>
      <c r="AN35" t="s">
        <v>396</v>
      </c>
      <c r="AO35" t="s">
        <v>724</v>
      </c>
      <c r="AP35" t="s">
        <v>1436</v>
      </c>
      <c r="AQ35" t="s">
        <v>1437</v>
      </c>
      <c r="AR35" t="s">
        <v>1403</v>
      </c>
      <c r="AS35" t="s">
        <v>483</v>
      </c>
      <c r="AT35" t="s">
        <v>334</v>
      </c>
      <c r="AU35" t="s">
        <v>1438</v>
      </c>
      <c r="AV35" t="s">
        <v>1439</v>
      </c>
      <c r="AW35" t="s">
        <v>1440</v>
      </c>
      <c r="AX35" t="s">
        <v>1441</v>
      </c>
      <c r="AY35" t="s">
        <v>1442</v>
      </c>
      <c r="AZ35" t="s">
        <v>964</v>
      </c>
      <c r="BA35" t="s">
        <v>1374</v>
      </c>
      <c r="BB35" t="s">
        <v>1375</v>
      </c>
      <c r="BC35" t="s">
        <v>1443</v>
      </c>
      <c r="BD35" t="s">
        <v>161</v>
      </c>
      <c r="BE35" t="s">
        <v>734</v>
      </c>
      <c r="BF35" t="s">
        <v>617</v>
      </c>
      <c r="BG35" t="s">
        <v>1444</v>
      </c>
      <c r="BH35" t="s">
        <v>709</v>
      </c>
      <c r="BI35" t="s">
        <v>659</v>
      </c>
      <c r="BJ35" t="s">
        <v>1306</v>
      </c>
      <c r="BK35" t="s">
        <v>161</v>
      </c>
      <c r="BL35" t="s">
        <v>1307</v>
      </c>
      <c r="BM35" t="s">
        <v>159</v>
      </c>
      <c r="BN35" t="s">
        <v>276</v>
      </c>
      <c r="BO35" t="s">
        <v>203</v>
      </c>
      <c r="BP35" t="s">
        <v>204</v>
      </c>
      <c r="BQ35" t="s">
        <v>1445</v>
      </c>
      <c r="BR35" t="s">
        <v>1446</v>
      </c>
      <c r="BS35" t="s">
        <v>1447</v>
      </c>
      <c r="BT35" t="s">
        <v>159</v>
      </c>
      <c r="BU35" t="s">
        <v>208</v>
      </c>
      <c r="BV35" t="s">
        <v>209</v>
      </c>
      <c r="BW35" t="s">
        <v>210</v>
      </c>
      <c r="BX35" t="s">
        <v>211</v>
      </c>
      <c r="BY35" t="s">
        <v>172</v>
      </c>
      <c r="BZ35" t="s">
        <v>212</v>
      </c>
      <c r="CA35" t="s">
        <v>172</v>
      </c>
      <c r="CB35" t="s">
        <v>172</v>
      </c>
      <c r="CC35" t="s">
        <v>213</v>
      </c>
      <c r="CD35" t="s">
        <v>214</v>
      </c>
      <c r="CE35" t="s">
        <v>215</v>
      </c>
      <c r="CF35" t="s">
        <v>216</v>
      </c>
      <c r="CG35" t="s">
        <v>217</v>
      </c>
      <c r="CH35" t="s">
        <v>218</v>
      </c>
      <c r="CI35" t="s">
        <v>178</v>
      </c>
      <c r="CJ35" t="s">
        <v>210</v>
      </c>
      <c r="CK35" t="s">
        <v>219</v>
      </c>
      <c r="CL35" t="s">
        <v>219</v>
      </c>
      <c r="CM35" t="s">
        <v>219</v>
      </c>
      <c r="CN35" t="s">
        <v>172</v>
      </c>
      <c r="CO35" t="s">
        <v>220</v>
      </c>
      <c r="CP35" t="s">
        <v>172</v>
      </c>
      <c r="CQ35" t="s">
        <v>172</v>
      </c>
      <c r="CR35" t="s">
        <v>172</v>
      </c>
      <c r="CS35" t="s">
        <v>172</v>
      </c>
      <c r="CT35" t="s">
        <v>1448</v>
      </c>
      <c r="CU35" t="s">
        <v>1449</v>
      </c>
      <c r="CV35" t="s">
        <v>1450</v>
      </c>
      <c r="CW35" t="s">
        <v>1451</v>
      </c>
      <c r="CX35" t="s">
        <v>1452</v>
      </c>
      <c r="CY35" t="s">
        <v>1453</v>
      </c>
      <c r="CZ35" t="s">
        <v>1454</v>
      </c>
      <c r="DA35" t="s">
        <v>1455</v>
      </c>
      <c r="DB35" t="s">
        <v>1430</v>
      </c>
      <c r="DC35" t="s">
        <v>1456</v>
      </c>
      <c r="DD35" t="s">
        <v>230</v>
      </c>
      <c r="DE35" t="s">
        <v>231</v>
      </c>
      <c r="DF35" t="s">
        <v>178</v>
      </c>
      <c r="DG35" t="s">
        <v>232</v>
      </c>
      <c r="DH35" t="s">
        <v>233</v>
      </c>
      <c r="DI35" t="s">
        <v>178</v>
      </c>
      <c r="DJ35" t="s">
        <v>234</v>
      </c>
      <c r="DK35" t="s">
        <v>235</v>
      </c>
      <c r="DL35" t="s">
        <v>236</v>
      </c>
      <c r="DM35" t="s">
        <v>172</v>
      </c>
      <c r="DN35" t="s">
        <v>1429</v>
      </c>
      <c r="DO35" t="s">
        <v>237</v>
      </c>
      <c r="DP35" t="s">
        <v>238</v>
      </c>
      <c r="DQ35" t="s">
        <v>239</v>
      </c>
      <c r="DR35" t="s">
        <v>240</v>
      </c>
      <c r="DS35" t="s">
        <v>241</v>
      </c>
      <c r="DT35" t="s">
        <v>242</v>
      </c>
    </row>
    <row r="36" spans="1:124" x14ac:dyDescent="0.45">
      <c r="A36" t="s">
        <v>1457</v>
      </c>
      <c r="B36" t="s">
        <v>1458</v>
      </c>
      <c r="C36" t="s">
        <v>161</v>
      </c>
      <c r="D36" t="s">
        <v>162</v>
      </c>
      <c r="E36" t="s">
        <v>163</v>
      </c>
      <c r="I36" t="s">
        <v>1459</v>
      </c>
      <c r="J36">
        <v>4.1523771932670303E-2</v>
      </c>
      <c r="K36">
        <v>2.9050319999999989</v>
      </c>
      <c r="L36">
        <v>4.0938606142855473E-2</v>
      </c>
      <c r="M36">
        <v>0.49901885834671761</v>
      </c>
      <c r="N36" t="s">
        <v>1460</v>
      </c>
      <c r="O36" t="s">
        <v>1461</v>
      </c>
      <c r="P36">
        <v>4.21902451802187</v>
      </c>
      <c r="Q36">
        <v>1.1822555180218699</v>
      </c>
      <c r="R36" t="s">
        <v>1462</v>
      </c>
      <c r="S36" t="s">
        <v>1463</v>
      </c>
      <c r="T36">
        <v>41.93444506532024</v>
      </c>
      <c r="U36">
        <v>0.4417875</v>
      </c>
      <c r="V36" t="s">
        <v>170</v>
      </c>
      <c r="W36" t="s">
        <v>1464</v>
      </c>
      <c r="X36" t="s">
        <v>172</v>
      </c>
      <c r="Y36" t="s">
        <v>172</v>
      </c>
      <c r="Z36" t="s">
        <v>172</v>
      </c>
      <c r="AA36" t="s">
        <v>1465</v>
      </c>
      <c r="AB36" t="s">
        <v>1466</v>
      </c>
      <c r="AC36" t="s">
        <v>1467</v>
      </c>
      <c r="AD36" t="s">
        <v>176</v>
      </c>
      <c r="AE36" t="s">
        <v>177</v>
      </c>
      <c r="AF36">
        <v>45.852827159999997</v>
      </c>
      <c r="AG36" t="s">
        <v>178</v>
      </c>
      <c r="AH36" t="s">
        <v>1468</v>
      </c>
      <c r="AI36" t="s">
        <v>1469</v>
      </c>
      <c r="AJ36" t="s">
        <v>1470</v>
      </c>
      <c r="AK36" t="s">
        <v>1471</v>
      </c>
      <c r="AL36">
        <v>29.83</v>
      </c>
      <c r="AM36" t="s">
        <v>256</v>
      </c>
      <c r="AN36" t="s">
        <v>305</v>
      </c>
      <c r="AO36" t="s">
        <v>563</v>
      </c>
      <c r="AP36" t="s">
        <v>913</v>
      </c>
      <c r="AQ36" t="s">
        <v>1472</v>
      </c>
      <c r="AR36" t="s">
        <v>1473</v>
      </c>
      <c r="AS36" t="s">
        <v>916</v>
      </c>
      <c r="AT36" t="s">
        <v>484</v>
      </c>
      <c r="AU36" t="s">
        <v>1474</v>
      </c>
      <c r="AV36" t="s">
        <v>1475</v>
      </c>
      <c r="AW36" t="s">
        <v>1476</v>
      </c>
      <c r="AX36" t="s">
        <v>1477</v>
      </c>
      <c r="AY36" t="s">
        <v>1478</v>
      </c>
      <c r="AZ36" t="s">
        <v>964</v>
      </c>
      <c r="BA36" t="s">
        <v>1374</v>
      </c>
      <c r="BB36" t="s">
        <v>1375</v>
      </c>
      <c r="BC36" t="s">
        <v>1479</v>
      </c>
      <c r="BD36" t="s">
        <v>161</v>
      </c>
      <c r="BE36" t="s">
        <v>1480</v>
      </c>
      <c r="BF36" t="s">
        <v>1481</v>
      </c>
      <c r="BG36" t="s">
        <v>1482</v>
      </c>
      <c r="BH36" t="s">
        <v>619</v>
      </c>
      <c r="BI36" t="s">
        <v>1483</v>
      </c>
      <c r="BJ36" t="s">
        <v>1306</v>
      </c>
      <c r="BK36" t="s">
        <v>161</v>
      </c>
      <c r="BL36" t="s">
        <v>1307</v>
      </c>
      <c r="BM36" t="s">
        <v>159</v>
      </c>
      <c r="BN36" t="s">
        <v>276</v>
      </c>
      <c r="BO36" t="s">
        <v>276</v>
      </c>
      <c r="BP36" t="s">
        <v>575</v>
      </c>
      <c r="BQ36" t="s">
        <v>1484</v>
      </c>
      <c r="BR36" t="s">
        <v>1485</v>
      </c>
      <c r="BS36" t="s">
        <v>1486</v>
      </c>
      <c r="BT36" t="s">
        <v>159</v>
      </c>
      <c r="BU36" t="s">
        <v>208</v>
      </c>
      <c r="BV36" t="s">
        <v>209</v>
      </c>
      <c r="BW36" t="s">
        <v>210</v>
      </c>
      <c r="BX36" t="s">
        <v>211</v>
      </c>
      <c r="BY36" t="s">
        <v>172</v>
      </c>
      <c r="BZ36" t="s">
        <v>212</v>
      </c>
      <c r="CA36" t="s">
        <v>172</v>
      </c>
      <c r="CB36" t="s">
        <v>172</v>
      </c>
      <c r="CC36" t="s">
        <v>213</v>
      </c>
      <c r="CD36" t="s">
        <v>214</v>
      </c>
      <c r="CE36" t="s">
        <v>215</v>
      </c>
      <c r="CF36" t="s">
        <v>216</v>
      </c>
      <c r="CG36" t="s">
        <v>217</v>
      </c>
      <c r="CH36" t="s">
        <v>218</v>
      </c>
      <c r="CI36" t="s">
        <v>178</v>
      </c>
      <c r="CJ36" t="s">
        <v>210</v>
      </c>
      <c r="CK36" t="s">
        <v>219</v>
      </c>
      <c r="CL36" t="s">
        <v>219</v>
      </c>
      <c r="CM36" t="s">
        <v>219</v>
      </c>
      <c r="CN36" t="s">
        <v>172</v>
      </c>
      <c r="CO36" t="s">
        <v>220</v>
      </c>
      <c r="CP36" t="s">
        <v>172</v>
      </c>
      <c r="CQ36" t="s">
        <v>172</v>
      </c>
      <c r="CR36" t="s">
        <v>172</v>
      </c>
      <c r="CS36" t="s">
        <v>172</v>
      </c>
      <c r="CT36" t="s">
        <v>1487</v>
      </c>
      <c r="CU36" t="s">
        <v>1488</v>
      </c>
      <c r="CV36" t="s">
        <v>1489</v>
      </c>
      <c r="CW36" t="s">
        <v>1490</v>
      </c>
      <c r="CX36" t="s">
        <v>1491</v>
      </c>
      <c r="CY36" t="s">
        <v>1492</v>
      </c>
      <c r="CZ36" t="s">
        <v>1493</v>
      </c>
      <c r="DA36" t="s">
        <v>1494</v>
      </c>
      <c r="DB36" t="s">
        <v>1465</v>
      </c>
      <c r="DC36" t="s">
        <v>1495</v>
      </c>
      <c r="DD36" t="s">
        <v>230</v>
      </c>
      <c r="DE36" t="s">
        <v>231</v>
      </c>
      <c r="DF36" t="s">
        <v>178</v>
      </c>
      <c r="DG36" t="s">
        <v>232</v>
      </c>
      <c r="DH36" t="s">
        <v>233</v>
      </c>
      <c r="DI36" t="s">
        <v>178</v>
      </c>
      <c r="DJ36" t="s">
        <v>234</v>
      </c>
      <c r="DK36" t="s">
        <v>235</v>
      </c>
      <c r="DL36" t="s">
        <v>236</v>
      </c>
      <c r="DM36" t="s">
        <v>172</v>
      </c>
      <c r="DN36" t="s">
        <v>1464</v>
      </c>
      <c r="DO36" t="s">
        <v>237</v>
      </c>
      <c r="DP36" t="s">
        <v>238</v>
      </c>
      <c r="DQ36" t="s">
        <v>239</v>
      </c>
      <c r="DR36" t="s">
        <v>240</v>
      </c>
      <c r="DS36" t="s">
        <v>241</v>
      </c>
      <c r="DT36" t="s">
        <v>242</v>
      </c>
    </row>
    <row r="37" spans="1:124" x14ac:dyDescent="0.45">
      <c r="A37" t="s">
        <v>1496</v>
      </c>
      <c r="B37" t="s">
        <v>1497</v>
      </c>
      <c r="C37" t="s">
        <v>161</v>
      </c>
      <c r="D37" t="s">
        <v>162</v>
      </c>
      <c r="E37" t="s">
        <v>163</v>
      </c>
      <c r="I37" t="s">
        <v>1498</v>
      </c>
      <c r="J37">
        <v>3.1806683082256912E-2</v>
      </c>
      <c r="K37">
        <v>2.9050319999999989</v>
      </c>
      <c r="L37">
        <v>3.1462208905134813E-2</v>
      </c>
      <c r="M37">
        <v>0.37536465442287209</v>
      </c>
      <c r="N37" t="s">
        <v>1499</v>
      </c>
      <c r="O37" t="s">
        <v>1500</v>
      </c>
      <c r="P37">
        <v>4.1875836872336762</v>
      </c>
      <c r="Q37">
        <v>1.1570376872336761</v>
      </c>
      <c r="R37" t="s">
        <v>1501</v>
      </c>
      <c r="S37" t="s">
        <v>1502</v>
      </c>
      <c r="T37">
        <v>41.62608038999678</v>
      </c>
      <c r="U37">
        <v>0.4417875</v>
      </c>
      <c r="V37" t="s">
        <v>170</v>
      </c>
      <c r="W37" t="s">
        <v>1503</v>
      </c>
      <c r="X37" t="s">
        <v>172</v>
      </c>
      <c r="Y37" t="s">
        <v>172</v>
      </c>
      <c r="Z37" t="s">
        <v>172</v>
      </c>
      <c r="AA37" t="s">
        <v>1504</v>
      </c>
      <c r="AB37" t="s">
        <v>1505</v>
      </c>
      <c r="AC37" t="s">
        <v>1506</v>
      </c>
      <c r="AD37" t="s">
        <v>176</v>
      </c>
      <c r="AE37" t="s">
        <v>177</v>
      </c>
      <c r="AF37">
        <v>46.812873239999988</v>
      </c>
      <c r="AG37" t="s">
        <v>178</v>
      </c>
      <c r="AH37" t="s">
        <v>1507</v>
      </c>
      <c r="AI37" t="s">
        <v>1508</v>
      </c>
      <c r="AJ37" t="s">
        <v>1509</v>
      </c>
      <c r="AK37" t="s">
        <v>1510</v>
      </c>
      <c r="AL37">
        <v>29.7</v>
      </c>
      <c r="AM37" t="s">
        <v>349</v>
      </c>
      <c r="AN37" t="s">
        <v>305</v>
      </c>
      <c r="AO37" t="s">
        <v>1511</v>
      </c>
      <c r="AP37" t="s">
        <v>1512</v>
      </c>
      <c r="AQ37" t="s">
        <v>647</v>
      </c>
      <c r="AR37" t="s">
        <v>1513</v>
      </c>
      <c r="AS37" t="s">
        <v>1514</v>
      </c>
      <c r="AT37" t="s">
        <v>190</v>
      </c>
      <c r="AU37" t="s">
        <v>1515</v>
      </c>
      <c r="AV37" t="s">
        <v>1516</v>
      </c>
      <c r="AW37" t="s">
        <v>871</v>
      </c>
      <c r="AX37" t="s">
        <v>1517</v>
      </c>
      <c r="AY37" t="s">
        <v>1518</v>
      </c>
      <c r="AZ37" t="s">
        <v>964</v>
      </c>
      <c r="BA37" t="s">
        <v>1519</v>
      </c>
      <c r="BB37" t="s">
        <v>1520</v>
      </c>
      <c r="BC37" t="s">
        <v>1521</v>
      </c>
      <c r="BD37" t="s">
        <v>161</v>
      </c>
      <c r="BE37" t="s">
        <v>196</v>
      </c>
      <c r="BF37" t="s">
        <v>494</v>
      </c>
      <c r="BG37" t="s">
        <v>1522</v>
      </c>
      <c r="BH37" t="s">
        <v>709</v>
      </c>
      <c r="BI37" t="s">
        <v>1228</v>
      </c>
      <c r="BJ37" t="s">
        <v>1306</v>
      </c>
      <c r="BK37" t="s">
        <v>161</v>
      </c>
      <c r="BL37" t="s">
        <v>1307</v>
      </c>
      <c r="BM37" t="s">
        <v>159</v>
      </c>
      <c r="BN37" t="s">
        <v>209</v>
      </c>
      <c r="BO37" t="s">
        <v>277</v>
      </c>
      <c r="BP37" t="s">
        <v>850</v>
      </c>
      <c r="BQ37" t="s">
        <v>1523</v>
      </c>
      <c r="BR37" t="s">
        <v>1524</v>
      </c>
      <c r="BS37" t="s">
        <v>1525</v>
      </c>
      <c r="BT37" t="s">
        <v>159</v>
      </c>
      <c r="BU37" t="s">
        <v>208</v>
      </c>
      <c r="BV37" t="s">
        <v>209</v>
      </c>
      <c r="BW37" t="s">
        <v>210</v>
      </c>
      <c r="BX37" t="s">
        <v>211</v>
      </c>
      <c r="BY37" t="s">
        <v>172</v>
      </c>
      <c r="BZ37" t="s">
        <v>212</v>
      </c>
      <c r="CA37" t="s">
        <v>172</v>
      </c>
      <c r="CB37" t="s">
        <v>172</v>
      </c>
      <c r="CC37" t="s">
        <v>213</v>
      </c>
      <c r="CD37" t="s">
        <v>214</v>
      </c>
      <c r="CE37" t="s">
        <v>215</v>
      </c>
      <c r="CF37" t="s">
        <v>216</v>
      </c>
      <c r="CG37" t="s">
        <v>217</v>
      </c>
      <c r="CH37" t="s">
        <v>218</v>
      </c>
      <c r="CI37" t="s">
        <v>178</v>
      </c>
      <c r="CJ37" t="s">
        <v>210</v>
      </c>
      <c r="CK37" t="s">
        <v>219</v>
      </c>
      <c r="CL37" t="s">
        <v>219</v>
      </c>
      <c r="CM37" t="s">
        <v>219</v>
      </c>
      <c r="CN37" t="s">
        <v>172</v>
      </c>
      <c r="CO37" t="s">
        <v>220</v>
      </c>
      <c r="CP37" t="s">
        <v>172</v>
      </c>
      <c r="CQ37" t="s">
        <v>172</v>
      </c>
      <c r="CR37" t="s">
        <v>172</v>
      </c>
      <c r="CS37" t="s">
        <v>172</v>
      </c>
      <c r="CT37" t="s">
        <v>1526</v>
      </c>
      <c r="CU37" t="s">
        <v>1527</v>
      </c>
      <c r="CV37" t="s">
        <v>1528</v>
      </c>
      <c r="CW37" t="s">
        <v>1529</v>
      </c>
      <c r="CX37" t="s">
        <v>1530</v>
      </c>
      <c r="CY37" t="s">
        <v>1531</v>
      </c>
      <c r="CZ37" t="s">
        <v>1532</v>
      </c>
      <c r="DA37" t="s">
        <v>1533</v>
      </c>
      <c r="DB37" t="s">
        <v>1504</v>
      </c>
      <c r="DC37" t="s">
        <v>380</v>
      </c>
      <c r="DD37" t="s">
        <v>230</v>
      </c>
      <c r="DE37" t="s">
        <v>231</v>
      </c>
      <c r="DF37" t="s">
        <v>178</v>
      </c>
      <c r="DG37" t="s">
        <v>232</v>
      </c>
      <c r="DH37" t="s">
        <v>233</v>
      </c>
      <c r="DI37" t="s">
        <v>178</v>
      </c>
      <c r="DJ37" t="s">
        <v>234</v>
      </c>
      <c r="DK37" t="s">
        <v>235</v>
      </c>
      <c r="DL37" t="s">
        <v>236</v>
      </c>
      <c r="DM37" t="s">
        <v>172</v>
      </c>
      <c r="DN37" t="s">
        <v>1503</v>
      </c>
      <c r="DO37" t="s">
        <v>237</v>
      </c>
      <c r="DP37" t="s">
        <v>238</v>
      </c>
      <c r="DQ37" t="s">
        <v>239</v>
      </c>
      <c r="DR37" t="s">
        <v>240</v>
      </c>
      <c r="DS37" t="s">
        <v>241</v>
      </c>
      <c r="DT37" t="s">
        <v>242</v>
      </c>
    </row>
    <row r="38" spans="1:124" x14ac:dyDescent="0.45">
      <c r="A38" t="s">
        <v>1534</v>
      </c>
      <c r="B38" t="s">
        <v>1535</v>
      </c>
      <c r="C38" t="s">
        <v>161</v>
      </c>
      <c r="D38" t="s">
        <v>162</v>
      </c>
      <c r="E38" t="s">
        <v>163</v>
      </c>
      <c r="I38" t="s">
        <v>1536</v>
      </c>
      <c r="J38">
        <v>7.1193570907698817E-2</v>
      </c>
      <c r="K38">
        <v>2.9058327199999998</v>
      </c>
      <c r="L38">
        <v>6.9491024795133541E-2</v>
      </c>
      <c r="M38">
        <v>0.83420182128245124</v>
      </c>
      <c r="N38" t="s">
        <v>1537</v>
      </c>
      <c r="O38" t="s">
        <v>1538</v>
      </c>
      <c r="P38">
        <v>4.1948210785935176</v>
      </c>
      <c r="Q38">
        <v>1.1645510785935189</v>
      </c>
      <c r="R38" t="s">
        <v>1539</v>
      </c>
      <c r="S38" t="s">
        <v>1540</v>
      </c>
      <c r="T38">
        <v>41.693878129346167</v>
      </c>
      <c r="U38">
        <v>0.4417875</v>
      </c>
      <c r="V38" t="s">
        <v>170</v>
      </c>
      <c r="W38" t="s">
        <v>1541</v>
      </c>
      <c r="X38" t="s">
        <v>172</v>
      </c>
      <c r="Y38" t="s">
        <v>172</v>
      </c>
      <c r="Z38" t="s">
        <v>172</v>
      </c>
      <c r="AA38" t="s">
        <v>1542</v>
      </c>
      <c r="AB38" t="s">
        <v>1543</v>
      </c>
      <c r="AC38" t="s">
        <v>1544</v>
      </c>
      <c r="AD38" t="s">
        <v>176</v>
      </c>
      <c r="AE38" t="s">
        <v>177</v>
      </c>
      <c r="AF38">
        <v>48.965929320000001</v>
      </c>
      <c r="AG38" t="s">
        <v>178</v>
      </c>
      <c r="AH38" t="s">
        <v>1545</v>
      </c>
      <c r="AI38" t="s">
        <v>1546</v>
      </c>
      <c r="AJ38" t="s">
        <v>1547</v>
      </c>
      <c r="AK38" t="s">
        <v>874</v>
      </c>
      <c r="AL38">
        <v>29.73</v>
      </c>
      <c r="AM38" t="s">
        <v>256</v>
      </c>
      <c r="AN38" t="s">
        <v>184</v>
      </c>
      <c r="AO38" t="s">
        <v>1548</v>
      </c>
      <c r="AP38" t="s">
        <v>1549</v>
      </c>
      <c r="AQ38" t="s">
        <v>1437</v>
      </c>
      <c r="AR38" t="s">
        <v>1550</v>
      </c>
      <c r="AS38" t="s">
        <v>916</v>
      </c>
      <c r="AT38" t="s">
        <v>199</v>
      </c>
      <c r="AU38" t="s">
        <v>1551</v>
      </c>
      <c r="AV38" t="s">
        <v>1552</v>
      </c>
      <c r="AW38" t="s">
        <v>1251</v>
      </c>
      <c r="AX38" t="s">
        <v>1553</v>
      </c>
      <c r="AY38" t="s">
        <v>1554</v>
      </c>
      <c r="AZ38" t="s">
        <v>964</v>
      </c>
      <c r="BA38" t="s">
        <v>1555</v>
      </c>
      <c r="BB38" t="s">
        <v>1556</v>
      </c>
      <c r="BC38" t="s">
        <v>1557</v>
      </c>
      <c r="BD38" t="s">
        <v>161</v>
      </c>
      <c r="BE38" t="s">
        <v>657</v>
      </c>
      <c r="BF38" t="s">
        <v>364</v>
      </c>
      <c r="BG38" t="s">
        <v>1558</v>
      </c>
      <c r="BH38" t="s">
        <v>746</v>
      </c>
      <c r="BI38" t="s">
        <v>969</v>
      </c>
      <c r="BJ38" t="s">
        <v>1306</v>
      </c>
      <c r="BK38" t="s">
        <v>161</v>
      </c>
      <c r="BL38" t="s">
        <v>1307</v>
      </c>
      <c r="BM38" t="s">
        <v>159</v>
      </c>
      <c r="BN38" t="s">
        <v>575</v>
      </c>
      <c r="BO38" t="s">
        <v>209</v>
      </c>
      <c r="BP38" t="s">
        <v>496</v>
      </c>
      <c r="BQ38" t="s">
        <v>1559</v>
      </c>
      <c r="BR38" t="s">
        <v>1560</v>
      </c>
      <c r="BS38" t="s">
        <v>576</v>
      </c>
      <c r="BT38" t="s">
        <v>159</v>
      </c>
      <c r="BU38" t="s">
        <v>208</v>
      </c>
      <c r="BV38" t="s">
        <v>209</v>
      </c>
      <c r="BW38" t="s">
        <v>210</v>
      </c>
      <c r="BX38" t="s">
        <v>211</v>
      </c>
      <c r="BY38" t="s">
        <v>172</v>
      </c>
      <c r="BZ38" t="s">
        <v>212</v>
      </c>
      <c r="CA38" t="s">
        <v>172</v>
      </c>
      <c r="CB38" t="s">
        <v>172</v>
      </c>
      <c r="CC38" t="s">
        <v>213</v>
      </c>
      <c r="CD38" t="s">
        <v>214</v>
      </c>
      <c r="CE38" t="s">
        <v>215</v>
      </c>
      <c r="CF38" t="s">
        <v>216</v>
      </c>
      <c r="CG38" t="s">
        <v>217</v>
      </c>
      <c r="CH38" t="s">
        <v>218</v>
      </c>
      <c r="CI38" t="s">
        <v>178</v>
      </c>
      <c r="CJ38" t="s">
        <v>210</v>
      </c>
      <c r="CK38" t="s">
        <v>219</v>
      </c>
      <c r="CL38" t="s">
        <v>219</v>
      </c>
      <c r="CM38" t="s">
        <v>219</v>
      </c>
      <c r="CN38" t="s">
        <v>172</v>
      </c>
      <c r="CO38" t="s">
        <v>220</v>
      </c>
      <c r="CP38" t="s">
        <v>172</v>
      </c>
      <c r="CQ38" t="s">
        <v>172</v>
      </c>
      <c r="CR38" t="s">
        <v>172</v>
      </c>
      <c r="CS38" t="s">
        <v>172</v>
      </c>
      <c r="CT38" t="s">
        <v>1561</v>
      </c>
      <c r="CU38" t="s">
        <v>1562</v>
      </c>
      <c r="CV38" t="s">
        <v>1563</v>
      </c>
      <c r="CW38" t="s">
        <v>1564</v>
      </c>
      <c r="CX38" t="s">
        <v>1565</v>
      </c>
      <c r="CY38" t="s">
        <v>1566</v>
      </c>
      <c r="CZ38" t="s">
        <v>1567</v>
      </c>
      <c r="DA38" t="s">
        <v>1568</v>
      </c>
      <c r="DB38" t="s">
        <v>1542</v>
      </c>
      <c r="DC38" t="s">
        <v>1456</v>
      </c>
      <c r="DD38" t="s">
        <v>230</v>
      </c>
      <c r="DE38" t="s">
        <v>231</v>
      </c>
      <c r="DF38" t="s">
        <v>178</v>
      </c>
      <c r="DG38" t="s">
        <v>232</v>
      </c>
      <c r="DH38" t="s">
        <v>233</v>
      </c>
      <c r="DI38" t="s">
        <v>178</v>
      </c>
      <c r="DJ38" t="s">
        <v>234</v>
      </c>
      <c r="DK38" t="s">
        <v>235</v>
      </c>
      <c r="DL38" t="s">
        <v>236</v>
      </c>
      <c r="DM38" t="s">
        <v>172</v>
      </c>
      <c r="DN38" t="s">
        <v>1541</v>
      </c>
      <c r="DO38" t="s">
        <v>237</v>
      </c>
      <c r="DP38" t="s">
        <v>238</v>
      </c>
      <c r="DQ38" t="s">
        <v>239</v>
      </c>
      <c r="DR38" t="s">
        <v>240</v>
      </c>
      <c r="DS38" t="s">
        <v>241</v>
      </c>
      <c r="DT38" t="s">
        <v>242</v>
      </c>
    </row>
    <row r="39" spans="1:124" x14ac:dyDescent="0.45">
      <c r="A39" t="s">
        <v>1569</v>
      </c>
      <c r="B39" t="s">
        <v>1570</v>
      </c>
      <c r="C39" t="s">
        <v>161</v>
      </c>
      <c r="D39" t="s">
        <v>162</v>
      </c>
      <c r="E39" t="s">
        <v>163</v>
      </c>
      <c r="I39" t="s">
        <v>1571</v>
      </c>
      <c r="J39">
        <v>0.16888350193410739</v>
      </c>
      <c r="K39">
        <v>2.907430080000001</v>
      </c>
      <c r="L39">
        <v>0.15961213330867749</v>
      </c>
      <c r="M39">
        <v>1.818188920971884</v>
      </c>
      <c r="N39" t="s">
        <v>1572</v>
      </c>
      <c r="O39" t="s">
        <v>1573</v>
      </c>
      <c r="P39">
        <v>4.1707387530170914</v>
      </c>
      <c r="Q39">
        <v>1.104807753017091</v>
      </c>
      <c r="R39" t="s">
        <v>1574</v>
      </c>
      <c r="S39" t="s">
        <v>1575</v>
      </c>
      <c r="T39">
        <v>41.454514988739597</v>
      </c>
      <c r="U39">
        <v>0.4417875</v>
      </c>
      <c r="V39" t="s">
        <v>170</v>
      </c>
      <c r="W39" t="s">
        <v>1576</v>
      </c>
      <c r="X39" t="s">
        <v>172</v>
      </c>
      <c r="Y39" t="s">
        <v>172</v>
      </c>
      <c r="Z39" t="s">
        <v>172</v>
      </c>
      <c r="AA39" t="s">
        <v>1577</v>
      </c>
      <c r="AB39" t="s">
        <v>1578</v>
      </c>
      <c r="AC39" t="s">
        <v>1579</v>
      </c>
      <c r="AD39" t="s">
        <v>176</v>
      </c>
      <c r="AE39" t="s">
        <v>177</v>
      </c>
      <c r="AF39">
        <v>48.981367679999998</v>
      </c>
      <c r="AG39" t="s">
        <v>178</v>
      </c>
      <c r="AH39" t="s">
        <v>1250</v>
      </c>
      <c r="AI39" t="s">
        <v>1580</v>
      </c>
      <c r="AJ39" t="s">
        <v>1581</v>
      </c>
      <c r="AK39" t="s">
        <v>1582</v>
      </c>
      <c r="AL39">
        <v>29.63</v>
      </c>
      <c r="AM39" t="s">
        <v>256</v>
      </c>
      <c r="AN39" t="s">
        <v>683</v>
      </c>
      <c r="AO39" t="s">
        <v>1583</v>
      </c>
      <c r="AP39" t="s">
        <v>1436</v>
      </c>
      <c r="AQ39" t="s">
        <v>1584</v>
      </c>
      <c r="AR39" t="s">
        <v>1585</v>
      </c>
      <c r="AS39" t="s">
        <v>1586</v>
      </c>
      <c r="AT39" t="s">
        <v>334</v>
      </c>
      <c r="AU39" t="s">
        <v>1587</v>
      </c>
      <c r="AV39" t="s">
        <v>1588</v>
      </c>
      <c r="AW39" t="s">
        <v>1589</v>
      </c>
      <c r="AX39" t="s">
        <v>1590</v>
      </c>
      <c r="AY39" t="s">
        <v>919</v>
      </c>
      <c r="AZ39" t="s">
        <v>964</v>
      </c>
      <c r="BA39" t="s">
        <v>1555</v>
      </c>
      <c r="BB39" t="s">
        <v>1556</v>
      </c>
      <c r="BC39" t="s">
        <v>1591</v>
      </c>
      <c r="BD39" t="s">
        <v>161</v>
      </c>
      <c r="BE39" t="s">
        <v>1592</v>
      </c>
      <c r="BF39" t="s">
        <v>1193</v>
      </c>
      <c r="BG39" t="s">
        <v>1593</v>
      </c>
      <c r="BH39" t="s">
        <v>785</v>
      </c>
      <c r="BI39" t="s">
        <v>1195</v>
      </c>
      <c r="BJ39" t="s">
        <v>1306</v>
      </c>
      <c r="BK39" t="s">
        <v>161</v>
      </c>
      <c r="BL39" t="s">
        <v>1307</v>
      </c>
      <c r="BM39" t="s">
        <v>159</v>
      </c>
      <c r="BN39" t="s">
        <v>277</v>
      </c>
      <c r="BO39" t="s">
        <v>277</v>
      </c>
      <c r="BP39" t="s">
        <v>575</v>
      </c>
      <c r="BQ39" t="s">
        <v>1594</v>
      </c>
      <c r="BR39" t="s">
        <v>1595</v>
      </c>
      <c r="BS39" t="s">
        <v>1596</v>
      </c>
      <c r="BT39" t="s">
        <v>159</v>
      </c>
      <c r="BU39" t="s">
        <v>208</v>
      </c>
      <c r="BV39" t="s">
        <v>209</v>
      </c>
      <c r="BW39" t="s">
        <v>210</v>
      </c>
      <c r="BX39" t="s">
        <v>211</v>
      </c>
      <c r="BY39" t="s">
        <v>172</v>
      </c>
      <c r="BZ39" t="s">
        <v>212</v>
      </c>
      <c r="CA39" t="s">
        <v>172</v>
      </c>
      <c r="CB39" t="s">
        <v>172</v>
      </c>
      <c r="CC39" t="s">
        <v>213</v>
      </c>
      <c r="CD39" t="s">
        <v>214</v>
      </c>
      <c r="CE39" t="s">
        <v>215</v>
      </c>
      <c r="CF39" t="s">
        <v>216</v>
      </c>
      <c r="CG39" t="s">
        <v>217</v>
      </c>
      <c r="CH39" t="s">
        <v>218</v>
      </c>
      <c r="CI39" t="s">
        <v>178</v>
      </c>
      <c r="CJ39" t="s">
        <v>210</v>
      </c>
      <c r="CK39" t="s">
        <v>219</v>
      </c>
      <c r="CL39" t="s">
        <v>219</v>
      </c>
      <c r="CM39" t="s">
        <v>219</v>
      </c>
      <c r="CN39" t="s">
        <v>172</v>
      </c>
      <c r="CO39" t="s">
        <v>220</v>
      </c>
      <c r="CP39" t="s">
        <v>172</v>
      </c>
      <c r="CQ39" t="s">
        <v>172</v>
      </c>
      <c r="CR39" t="s">
        <v>172</v>
      </c>
      <c r="CS39" t="s">
        <v>172</v>
      </c>
      <c r="CT39" t="s">
        <v>1597</v>
      </c>
      <c r="CU39" t="s">
        <v>1598</v>
      </c>
      <c r="CV39" t="s">
        <v>1599</v>
      </c>
      <c r="CW39" t="s">
        <v>1600</v>
      </c>
      <c r="CX39" t="s">
        <v>1601</v>
      </c>
      <c r="CY39" t="s">
        <v>1602</v>
      </c>
      <c r="CZ39" t="s">
        <v>1603</v>
      </c>
      <c r="DA39" t="s">
        <v>1604</v>
      </c>
      <c r="DB39" t="s">
        <v>1577</v>
      </c>
      <c r="DC39" t="s">
        <v>422</v>
      </c>
      <c r="DD39" t="s">
        <v>230</v>
      </c>
      <c r="DE39" t="s">
        <v>231</v>
      </c>
      <c r="DF39" t="s">
        <v>178</v>
      </c>
      <c r="DG39" t="s">
        <v>232</v>
      </c>
      <c r="DH39" t="s">
        <v>233</v>
      </c>
      <c r="DI39" t="s">
        <v>178</v>
      </c>
      <c r="DJ39" t="s">
        <v>234</v>
      </c>
      <c r="DK39" t="s">
        <v>235</v>
      </c>
      <c r="DL39" t="s">
        <v>236</v>
      </c>
      <c r="DM39" t="s">
        <v>172</v>
      </c>
      <c r="DN39" t="s">
        <v>1576</v>
      </c>
      <c r="DO39" t="s">
        <v>237</v>
      </c>
      <c r="DP39" t="s">
        <v>238</v>
      </c>
      <c r="DQ39" t="s">
        <v>239</v>
      </c>
      <c r="DR39" t="s">
        <v>240</v>
      </c>
      <c r="DS39" t="s">
        <v>241</v>
      </c>
      <c r="DT39" t="s">
        <v>242</v>
      </c>
    </row>
    <row r="40" spans="1:124" x14ac:dyDescent="0.45">
      <c r="A40" t="s">
        <v>1605</v>
      </c>
      <c r="B40" t="s">
        <v>1606</v>
      </c>
      <c r="C40" t="s">
        <v>161</v>
      </c>
      <c r="D40" t="s">
        <v>162</v>
      </c>
      <c r="E40" t="s">
        <v>163</v>
      </c>
      <c r="I40" t="s">
        <v>1608</v>
      </c>
      <c r="J40">
        <v>0.23861687932352599</v>
      </c>
      <c r="K40">
        <v>2.9042299200000001</v>
      </c>
      <c r="L40">
        <v>0.22050017853163451</v>
      </c>
      <c r="M40">
        <v>2.4379933526279798</v>
      </c>
      <c r="N40" t="s">
        <v>1609</v>
      </c>
      <c r="O40" t="s">
        <v>1610</v>
      </c>
      <c r="P40">
        <v>4.1253141755735099</v>
      </c>
      <c r="Q40">
        <v>1.07262417557351</v>
      </c>
      <c r="R40" t="s">
        <v>1611</v>
      </c>
      <c r="S40" t="s">
        <v>1612</v>
      </c>
      <c r="T40">
        <v>41.00709916077048</v>
      </c>
      <c r="U40">
        <v>0.4417875</v>
      </c>
      <c r="V40" t="s">
        <v>170</v>
      </c>
      <c r="W40" t="s">
        <v>1613</v>
      </c>
      <c r="X40" t="s">
        <v>172</v>
      </c>
      <c r="Y40" t="s">
        <v>172</v>
      </c>
      <c r="Z40" t="s">
        <v>172</v>
      </c>
      <c r="AA40" t="s">
        <v>1614</v>
      </c>
      <c r="AB40" t="s">
        <v>1615</v>
      </c>
      <c r="AC40" t="s">
        <v>1616</v>
      </c>
      <c r="AD40" t="s">
        <v>176</v>
      </c>
      <c r="AE40" t="s">
        <v>177</v>
      </c>
      <c r="AF40">
        <v>52.796658600000001</v>
      </c>
      <c r="AG40" t="s">
        <v>178</v>
      </c>
      <c r="AH40" t="s">
        <v>1617</v>
      </c>
      <c r="AI40" t="s">
        <v>1618</v>
      </c>
      <c r="AJ40" t="s">
        <v>1619</v>
      </c>
      <c r="AK40" t="s">
        <v>1620</v>
      </c>
      <c r="AL40">
        <v>29.44</v>
      </c>
      <c r="AM40" t="s">
        <v>349</v>
      </c>
      <c r="AN40" t="s">
        <v>603</v>
      </c>
      <c r="AO40" t="s">
        <v>1184</v>
      </c>
      <c r="AP40" t="s">
        <v>913</v>
      </c>
      <c r="AQ40" t="s">
        <v>802</v>
      </c>
      <c r="AR40" t="s">
        <v>1585</v>
      </c>
      <c r="AS40" t="s">
        <v>649</v>
      </c>
      <c r="AT40" t="s">
        <v>334</v>
      </c>
      <c r="AU40" t="s">
        <v>1621</v>
      </c>
      <c r="AV40" t="s">
        <v>1622</v>
      </c>
      <c r="AW40" t="s">
        <v>1623</v>
      </c>
      <c r="AX40" t="s">
        <v>1624</v>
      </c>
      <c r="AY40" t="s">
        <v>1625</v>
      </c>
      <c r="AZ40" t="s">
        <v>964</v>
      </c>
      <c r="BA40" t="s">
        <v>1626</v>
      </c>
      <c r="BB40" t="s">
        <v>1627</v>
      </c>
      <c r="BC40" t="s">
        <v>1628</v>
      </c>
      <c r="BD40" t="s">
        <v>161</v>
      </c>
      <c r="BE40" t="s">
        <v>1158</v>
      </c>
      <c r="BF40" t="s">
        <v>1118</v>
      </c>
      <c r="BG40" t="s">
        <v>1629</v>
      </c>
      <c r="BH40" t="s">
        <v>450</v>
      </c>
      <c r="BI40" t="s">
        <v>409</v>
      </c>
      <c r="BJ40" t="s">
        <v>1306</v>
      </c>
      <c r="BK40" t="s">
        <v>161</v>
      </c>
      <c r="BL40" t="s">
        <v>1307</v>
      </c>
      <c r="BM40" t="s">
        <v>159</v>
      </c>
      <c r="BN40" t="s">
        <v>209</v>
      </c>
      <c r="BO40" t="s">
        <v>276</v>
      </c>
      <c r="BP40" t="s">
        <v>886</v>
      </c>
      <c r="BQ40" t="s">
        <v>1630</v>
      </c>
      <c r="BR40" t="s">
        <v>1631</v>
      </c>
      <c r="BS40" t="s">
        <v>1632</v>
      </c>
      <c r="BT40" t="s">
        <v>159</v>
      </c>
      <c r="BU40" t="s">
        <v>208</v>
      </c>
      <c r="BV40" t="s">
        <v>209</v>
      </c>
      <c r="BW40" t="s">
        <v>210</v>
      </c>
      <c r="BX40" t="s">
        <v>211</v>
      </c>
      <c r="BY40" t="s">
        <v>172</v>
      </c>
      <c r="BZ40" t="s">
        <v>212</v>
      </c>
      <c r="CA40" t="s">
        <v>172</v>
      </c>
      <c r="CB40" t="s">
        <v>172</v>
      </c>
      <c r="CC40" t="s">
        <v>213</v>
      </c>
      <c r="CD40" t="s">
        <v>214</v>
      </c>
      <c r="CE40" t="s">
        <v>215</v>
      </c>
      <c r="CF40" t="s">
        <v>216</v>
      </c>
      <c r="CG40" t="s">
        <v>217</v>
      </c>
      <c r="CH40" t="s">
        <v>218</v>
      </c>
      <c r="CI40" t="s">
        <v>178</v>
      </c>
      <c r="CJ40" t="s">
        <v>210</v>
      </c>
      <c r="CK40" t="s">
        <v>219</v>
      </c>
      <c r="CL40" t="s">
        <v>219</v>
      </c>
      <c r="CM40" t="s">
        <v>219</v>
      </c>
      <c r="CN40" t="s">
        <v>172</v>
      </c>
      <c r="CO40" t="s">
        <v>220</v>
      </c>
      <c r="CP40" t="s">
        <v>172</v>
      </c>
      <c r="CQ40" t="s">
        <v>172</v>
      </c>
      <c r="CR40" t="s">
        <v>172</v>
      </c>
      <c r="CS40" t="s">
        <v>172</v>
      </c>
      <c r="CT40" t="s">
        <v>1633</v>
      </c>
      <c r="CU40" t="s">
        <v>1634</v>
      </c>
      <c r="CV40" t="s">
        <v>1635</v>
      </c>
      <c r="CW40" t="s">
        <v>1636</v>
      </c>
      <c r="CX40" t="s">
        <v>1637</v>
      </c>
      <c r="CY40" t="s">
        <v>1638</v>
      </c>
      <c r="CZ40" t="s">
        <v>1639</v>
      </c>
      <c r="DA40" t="s">
        <v>1640</v>
      </c>
      <c r="DB40" t="s">
        <v>1614</v>
      </c>
      <c r="DC40" t="s">
        <v>1641</v>
      </c>
      <c r="DD40" t="s">
        <v>230</v>
      </c>
      <c r="DE40" t="s">
        <v>231</v>
      </c>
      <c r="DF40" t="s">
        <v>178</v>
      </c>
      <c r="DG40" t="s">
        <v>232</v>
      </c>
      <c r="DH40" t="s">
        <v>233</v>
      </c>
      <c r="DI40" t="s">
        <v>178</v>
      </c>
      <c r="DJ40" t="s">
        <v>234</v>
      </c>
      <c r="DK40" t="s">
        <v>235</v>
      </c>
      <c r="DL40" t="s">
        <v>236</v>
      </c>
      <c r="DM40" t="s">
        <v>172</v>
      </c>
      <c r="DN40" t="s">
        <v>1613</v>
      </c>
      <c r="DO40" t="s">
        <v>237</v>
      </c>
      <c r="DP40" t="s">
        <v>238</v>
      </c>
      <c r="DQ40" t="s">
        <v>239</v>
      </c>
      <c r="DR40" t="s">
        <v>240</v>
      </c>
      <c r="DS40" t="s">
        <v>241</v>
      </c>
      <c r="DT40" t="s">
        <v>242</v>
      </c>
    </row>
    <row r="41" spans="1:124" x14ac:dyDescent="0.45">
      <c r="A41" t="s">
        <v>1642</v>
      </c>
      <c r="B41" t="s">
        <v>1643</v>
      </c>
      <c r="C41" t="s">
        <v>161</v>
      </c>
      <c r="D41" t="s">
        <v>162</v>
      </c>
      <c r="E41" t="s">
        <v>163</v>
      </c>
      <c r="I41" t="s">
        <v>1644</v>
      </c>
      <c r="J41">
        <v>0.33874250380844168</v>
      </c>
      <c r="K41">
        <v>2.9058327199999998</v>
      </c>
      <c r="L41">
        <v>0.30337686240046591</v>
      </c>
      <c r="M41">
        <v>3.139947387308605</v>
      </c>
      <c r="N41" t="s">
        <v>1645</v>
      </c>
      <c r="O41" t="s">
        <v>1646</v>
      </c>
      <c r="P41">
        <v>4.0591589137398936</v>
      </c>
      <c r="Q41">
        <v>1.0042499137398939</v>
      </c>
      <c r="R41" t="s">
        <v>1647</v>
      </c>
      <c r="S41" t="s">
        <v>1648</v>
      </c>
      <c r="T41">
        <v>40.349492184293183</v>
      </c>
      <c r="U41">
        <v>0.4417875</v>
      </c>
      <c r="V41" t="s">
        <v>170</v>
      </c>
      <c r="W41" t="s">
        <v>1649</v>
      </c>
      <c r="X41" t="s">
        <v>172</v>
      </c>
      <c r="Y41" t="s">
        <v>172</v>
      </c>
      <c r="Z41" t="s">
        <v>172</v>
      </c>
      <c r="AA41" t="s">
        <v>1650</v>
      </c>
      <c r="AB41" t="s">
        <v>1651</v>
      </c>
      <c r="AC41" t="s">
        <v>1652</v>
      </c>
      <c r="AD41" t="s">
        <v>176</v>
      </c>
      <c r="AE41" t="s">
        <v>177</v>
      </c>
      <c r="AF41">
        <v>57.977186400000001</v>
      </c>
      <c r="AG41" t="s">
        <v>178</v>
      </c>
      <c r="AH41" t="s">
        <v>1623</v>
      </c>
      <c r="AI41" t="s">
        <v>1653</v>
      </c>
      <c r="AJ41" t="s">
        <v>1654</v>
      </c>
      <c r="AK41" t="s">
        <v>1655</v>
      </c>
      <c r="AL41">
        <v>29.16</v>
      </c>
      <c r="AM41" t="s">
        <v>349</v>
      </c>
      <c r="AN41" t="s">
        <v>184</v>
      </c>
      <c r="AO41" t="s">
        <v>800</v>
      </c>
      <c r="AP41" t="s">
        <v>1656</v>
      </c>
      <c r="AQ41" t="s">
        <v>1657</v>
      </c>
      <c r="AR41" t="s">
        <v>1585</v>
      </c>
      <c r="AS41" t="s">
        <v>726</v>
      </c>
      <c r="AT41" t="s">
        <v>159</v>
      </c>
      <c r="AU41" t="s">
        <v>1658</v>
      </c>
      <c r="AV41" t="s">
        <v>1659</v>
      </c>
      <c r="AW41" t="s">
        <v>1660</v>
      </c>
      <c r="AX41" t="s">
        <v>1661</v>
      </c>
      <c r="AY41" t="s">
        <v>1662</v>
      </c>
      <c r="AZ41" t="s">
        <v>964</v>
      </c>
      <c r="BA41" t="s">
        <v>1663</v>
      </c>
      <c r="BB41" t="s">
        <v>842</v>
      </c>
      <c r="BC41" t="s">
        <v>1664</v>
      </c>
      <c r="BD41" t="s">
        <v>161</v>
      </c>
      <c r="BE41" t="s">
        <v>1665</v>
      </c>
      <c r="BF41" t="s">
        <v>1666</v>
      </c>
      <c r="BG41" t="s">
        <v>1629</v>
      </c>
      <c r="BH41" t="s">
        <v>746</v>
      </c>
      <c r="BI41" t="s">
        <v>1667</v>
      </c>
      <c r="BJ41" t="s">
        <v>1306</v>
      </c>
      <c r="BK41" t="s">
        <v>161</v>
      </c>
      <c r="BL41" t="s">
        <v>1307</v>
      </c>
      <c r="BM41" t="s">
        <v>159</v>
      </c>
      <c r="BN41" t="s">
        <v>203</v>
      </c>
      <c r="BO41" t="s">
        <v>277</v>
      </c>
      <c r="BP41" t="s">
        <v>410</v>
      </c>
      <c r="BQ41" t="s">
        <v>700</v>
      </c>
      <c r="BR41" t="s">
        <v>1668</v>
      </c>
      <c r="BS41" t="s">
        <v>1669</v>
      </c>
      <c r="BT41" t="s">
        <v>159</v>
      </c>
      <c r="BU41" t="s">
        <v>208</v>
      </c>
      <c r="BV41" t="s">
        <v>209</v>
      </c>
      <c r="BW41" t="s">
        <v>210</v>
      </c>
      <c r="BX41" t="s">
        <v>211</v>
      </c>
      <c r="BY41" t="s">
        <v>172</v>
      </c>
      <c r="BZ41" t="s">
        <v>212</v>
      </c>
      <c r="CA41" t="s">
        <v>172</v>
      </c>
      <c r="CB41" t="s">
        <v>172</v>
      </c>
      <c r="CC41" t="s">
        <v>213</v>
      </c>
      <c r="CD41" t="s">
        <v>214</v>
      </c>
      <c r="CE41" t="s">
        <v>215</v>
      </c>
      <c r="CF41" t="s">
        <v>216</v>
      </c>
      <c r="CG41" t="s">
        <v>217</v>
      </c>
      <c r="CH41" t="s">
        <v>218</v>
      </c>
      <c r="CI41" t="s">
        <v>178</v>
      </c>
      <c r="CJ41" t="s">
        <v>210</v>
      </c>
      <c r="CK41" t="s">
        <v>219</v>
      </c>
      <c r="CL41" t="s">
        <v>219</v>
      </c>
      <c r="CM41" t="s">
        <v>219</v>
      </c>
      <c r="CN41" t="s">
        <v>172</v>
      </c>
      <c r="CO41" t="s">
        <v>220</v>
      </c>
      <c r="CP41" t="s">
        <v>172</v>
      </c>
      <c r="CQ41" t="s">
        <v>172</v>
      </c>
      <c r="CR41" t="s">
        <v>172</v>
      </c>
      <c r="CS41" t="s">
        <v>172</v>
      </c>
      <c r="CT41" t="s">
        <v>1670</v>
      </c>
      <c r="CU41" t="s">
        <v>1671</v>
      </c>
      <c r="CV41" t="s">
        <v>1672</v>
      </c>
      <c r="CW41" t="s">
        <v>1673</v>
      </c>
      <c r="CX41" t="s">
        <v>1674</v>
      </c>
      <c r="CY41" t="s">
        <v>1675</v>
      </c>
      <c r="CZ41" t="s">
        <v>1676</v>
      </c>
      <c r="DA41" t="s">
        <v>1677</v>
      </c>
      <c r="DB41" t="s">
        <v>1650</v>
      </c>
      <c r="DC41" t="s">
        <v>1678</v>
      </c>
      <c r="DD41" t="s">
        <v>230</v>
      </c>
      <c r="DE41" t="s">
        <v>231</v>
      </c>
      <c r="DF41" t="s">
        <v>178</v>
      </c>
      <c r="DG41" t="s">
        <v>232</v>
      </c>
      <c r="DH41" t="s">
        <v>233</v>
      </c>
      <c r="DI41" t="s">
        <v>178</v>
      </c>
      <c r="DJ41" t="s">
        <v>234</v>
      </c>
      <c r="DK41" t="s">
        <v>235</v>
      </c>
      <c r="DL41" t="s">
        <v>236</v>
      </c>
      <c r="DM41" t="s">
        <v>172</v>
      </c>
      <c r="DN41" t="s">
        <v>1649</v>
      </c>
      <c r="DO41" t="s">
        <v>237</v>
      </c>
      <c r="DP41" t="s">
        <v>238</v>
      </c>
      <c r="DQ41" t="s">
        <v>239</v>
      </c>
      <c r="DR41" t="s">
        <v>240</v>
      </c>
      <c r="DS41" t="s">
        <v>241</v>
      </c>
      <c r="DT41" t="s">
        <v>242</v>
      </c>
    </row>
    <row r="42" spans="1:124" x14ac:dyDescent="0.45">
      <c r="A42" t="s">
        <v>1679</v>
      </c>
      <c r="B42" t="s">
        <v>1680</v>
      </c>
      <c r="C42" t="s">
        <v>161</v>
      </c>
      <c r="D42" t="s">
        <v>162</v>
      </c>
      <c r="E42" t="s">
        <v>163</v>
      </c>
      <c r="I42" t="s">
        <v>1681</v>
      </c>
      <c r="J42">
        <v>0.23755624928651509</v>
      </c>
      <c r="K42">
        <v>2.9066320800000001</v>
      </c>
      <c r="L42">
        <v>0.21960790597341509</v>
      </c>
      <c r="M42">
        <v>2.3844002810991118</v>
      </c>
      <c r="N42" t="s">
        <v>1682</v>
      </c>
      <c r="O42" t="s">
        <v>1683</v>
      </c>
      <c r="P42">
        <v>4.1015801985633829</v>
      </c>
      <c r="Q42">
        <v>1.053370198563383</v>
      </c>
      <c r="R42" t="s">
        <v>1684</v>
      </c>
      <c r="S42" t="s">
        <v>1685</v>
      </c>
      <c r="T42">
        <v>40.771174936017722</v>
      </c>
      <c r="U42">
        <v>0.4417875</v>
      </c>
      <c r="V42" t="s">
        <v>170</v>
      </c>
      <c r="W42" t="s">
        <v>1686</v>
      </c>
      <c r="X42" t="s">
        <v>172</v>
      </c>
      <c r="Y42" t="s">
        <v>172</v>
      </c>
      <c r="Z42" t="s">
        <v>172</v>
      </c>
      <c r="AA42" t="s">
        <v>1687</v>
      </c>
      <c r="AB42" t="s">
        <v>1688</v>
      </c>
      <c r="AC42" t="s">
        <v>1689</v>
      </c>
      <c r="AD42" t="s">
        <v>176</v>
      </c>
      <c r="AE42" t="s">
        <v>177</v>
      </c>
      <c r="AF42">
        <v>57.770281799999999</v>
      </c>
      <c r="AG42" t="s">
        <v>178</v>
      </c>
      <c r="AH42" t="s">
        <v>1690</v>
      </c>
      <c r="AI42" t="s">
        <v>1691</v>
      </c>
      <c r="AJ42" t="s">
        <v>1692</v>
      </c>
      <c r="AK42" t="s">
        <v>760</v>
      </c>
      <c r="AL42">
        <v>29.34</v>
      </c>
      <c r="AM42" t="s">
        <v>349</v>
      </c>
      <c r="AN42" t="s">
        <v>396</v>
      </c>
      <c r="AO42" t="s">
        <v>257</v>
      </c>
      <c r="AP42" t="s">
        <v>258</v>
      </c>
      <c r="AQ42" t="s">
        <v>1693</v>
      </c>
      <c r="AR42" t="s">
        <v>1694</v>
      </c>
      <c r="AS42" t="s">
        <v>1258</v>
      </c>
      <c r="AT42" t="s">
        <v>334</v>
      </c>
      <c r="AU42" t="s">
        <v>1695</v>
      </c>
      <c r="AV42" t="s">
        <v>1696</v>
      </c>
      <c r="AW42" t="s">
        <v>1697</v>
      </c>
      <c r="AX42" t="s">
        <v>1698</v>
      </c>
      <c r="AY42" t="s">
        <v>1699</v>
      </c>
      <c r="AZ42" t="s">
        <v>964</v>
      </c>
      <c r="BA42" t="s">
        <v>1663</v>
      </c>
      <c r="BB42" t="s">
        <v>842</v>
      </c>
      <c r="BC42" t="s">
        <v>1700</v>
      </c>
      <c r="BD42" t="s">
        <v>161</v>
      </c>
      <c r="BE42" t="s">
        <v>1701</v>
      </c>
      <c r="BF42" t="s">
        <v>1082</v>
      </c>
      <c r="BG42" t="s">
        <v>1702</v>
      </c>
      <c r="BH42" t="s">
        <v>709</v>
      </c>
      <c r="BI42" t="s">
        <v>1703</v>
      </c>
      <c r="BJ42" t="s">
        <v>1306</v>
      </c>
      <c r="BK42" t="s">
        <v>161</v>
      </c>
      <c r="BL42" t="s">
        <v>1307</v>
      </c>
      <c r="BM42" t="s">
        <v>159</v>
      </c>
      <c r="BN42" t="s">
        <v>886</v>
      </c>
      <c r="BO42" t="s">
        <v>203</v>
      </c>
      <c r="BP42" t="s">
        <v>886</v>
      </c>
      <c r="BQ42" t="s">
        <v>1704</v>
      </c>
      <c r="BR42" t="s">
        <v>1705</v>
      </c>
      <c r="BS42" t="s">
        <v>1706</v>
      </c>
      <c r="BT42" t="s">
        <v>159</v>
      </c>
      <c r="BU42" t="s">
        <v>208</v>
      </c>
      <c r="BV42" t="s">
        <v>209</v>
      </c>
      <c r="BW42" t="s">
        <v>210</v>
      </c>
      <c r="BX42" t="s">
        <v>211</v>
      </c>
      <c r="BY42" t="s">
        <v>172</v>
      </c>
      <c r="BZ42" t="s">
        <v>212</v>
      </c>
      <c r="CA42" t="s">
        <v>172</v>
      </c>
      <c r="CB42" t="s">
        <v>172</v>
      </c>
      <c r="CC42" t="s">
        <v>213</v>
      </c>
      <c r="CD42" t="s">
        <v>214</v>
      </c>
      <c r="CE42" t="s">
        <v>215</v>
      </c>
      <c r="CF42" t="s">
        <v>216</v>
      </c>
      <c r="CG42" t="s">
        <v>217</v>
      </c>
      <c r="CH42" t="s">
        <v>218</v>
      </c>
      <c r="CI42" t="s">
        <v>178</v>
      </c>
      <c r="CJ42" t="s">
        <v>210</v>
      </c>
      <c r="CK42" t="s">
        <v>219</v>
      </c>
      <c r="CL42" t="s">
        <v>219</v>
      </c>
      <c r="CM42" t="s">
        <v>219</v>
      </c>
      <c r="CN42" t="s">
        <v>172</v>
      </c>
      <c r="CO42" t="s">
        <v>220</v>
      </c>
      <c r="CP42" t="s">
        <v>172</v>
      </c>
      <c r="CQ42" t="s">
        <v>172</v>
      </c>
      <c r="CR42" t="s">
        <v>172</v>
      </c>
      <c r="CS42" t="s">
        <v>172</v>
      </c>
      <c r="CT42" t="s">
        <v>1707</v>
      </c>
      <c r="CU42" t="s">
        <v>1708</v>
      </c>
      <c r="CV42" t="s">
        <v>416</v>
      </c>
      <c r="CW42" t="s">
        <v>1709</v>
      </c>
      <c r="CX42" t="s">
        <v>1710</v>
      </c>
      <c r="CY42" t="s">
        <v>1711</v>
      </c>
      <c r="CZ42" t="s">
        <v>1712</v>
      </c>
      <c r="DA42" t="s">
        <v>1713</v>
      </c>
      <c r="DB42" t="s">
        <v>1687</v>
      </c>
      <c r="DC42" t="s">
        <v>1495</v>
      </c>
      <c r="DD42" t="s">
        <v>230</v>
      </c>
      <c r="DE42" t="s">
        <v>231</v>
      </c>
      <c r="DF42" t="s">
        <v>178</v>
      </c>
      <c r="DG42" t="s">
        <v>232</v>
      </c>
      <c r="DH42" t="s">
        <v>233</v>
      </c>
      <c r="DI42" t="s">
        <v>178</v>
      </c>
      <c r="DJ42" t="s">
        <v>234</v>
      </c>
      <c r="DK42" t="s">
        <v>235</v>
      </c>
      <c r="DL42" t="s">
        <v>236</v>
      </c>
      <c r="DM42" t="s">
        <v>172</v>
      </c>
      <c r="DN42" t="s">
        <v>1686</v>
      </c>
      <c r="DO42" t="s">
        <v>237</v>
      </c>
      <c r="DP42" t="s">
        <v>238</v>
      </c>
      <c r="DQ42" t="s">
        <v>239</v>
      </c>
      <c r="DR42" t="s">
        <v>240</v>
      </c>
      <c r="DS42" t="s">
        <v>241</v>
      </c>
      <c r="DT42" t="s">
        <v>242</v>
      </c>
    </row>
    <row r="43" spans="1:124" x14ac:dyDescent="0.45">
      <c r="A43" t="s">
        <v>1714</v>
      </c>
      <c r="B43" t="s">
        <v>1715</v>
      </c>
      <c r="C43" t="s">
        <v>161</v>
      </c>
      <c r="D43" t="s">
        <v>162</v>
      </c>
      <c r="E43" t="s">
        <v>163</v>
      </c>
      <c r="I43" t="s">
        <v>1716</v>
      </c>
      <c r="J43">
        <v>0.24878668368572021</v>
      </c>
      <c r="K43">
        <v>2.9050319999999989</v>
      </c>
      <c r="L43">
        <v>0.22916132782759421</v>
      </c>
      <c r="M43">
        <v>2.4025361153436249</v>
      </c>
      <c r="N43" t="s">
        <v>1717</v>
      </c>
      <c r="O43" t="s">
        <v>1718</v>
      </c>
      <c r="P43">
        <v>4.0732566359602593</v>
      </c>
      <c r="Q43">
        <v>1.017383635960259</v>
      </c>
      <c r="R43" t="s">
        <v>1719</v>
      </c>
      <c r="S43" t="s">
        <v>1720</v>
      </c>
      <c r="T43">
        <v>40.489628588074147</v>
      </c>
      <c r="U43">
        <v>0.4417875</v>
      </c>
      <c r="V43" t="s">
        <v>170</v>
      </c>
      <c r="W43" t="s">
        <v>1721</v>
      </c>
      <c r="X43" t="s">
        <v>172</v>
      </c>
      <c r="Y43" t="s">
        <v>172</v>
      </c>
      <c r="Z43" t="s">
        <v>172</v>
      </c>
      <c r="AA43" t="s">
        <v>1722</v>
      </c>
      <c r="AB43" t="s">
        <v>1723</v>
      </c>
      <c r="AC43" t="s">
        <v>1724</v>
      </c>
      <c r="AD43" t="s">
        <v>176</v>
      </c>
      <c r="AE43" t="s">
        <v>177</v>
      </c>
      <c r="AF43">
        <v>62.654779319999989</v>
      </c>
      <c r="AG43" t="s">
        <v>178</v>
      </c>
      <c r="AH43" t="s">
        <v>1725</v>
      </c>
      <c r="AI43" t="s">
        <v>1726</v>
      </c>
      <c r="AJ43" t="s">
        <v>1727</v>
      </c>
      <c r="AK43" t="s">
        <v>1728</v>
      </c>
      <c r="AL43">
        <v>29.22</v>
      </c>
      <c r="AM43" t="s">
        <v>349</v>
      </c>
      <c r="AN43" t="s">
        <v>305</v>
      </c>
      <c r="AO43" t="s">
        <v>1729</v>
      </c>
      <c r="AP43" t="s">
        <v>801</v>
      </c>
      <c r="AQ43" t="s">
        <v>259</v>
      </c>
      <c r="AR43" t="s">
        <v>1694</v>
      </c>
      <c r="AS43" t="s">
        <v>1258</v>
      </c>
      <c r="AT43" t="s">
        <v>1730</v>
      </c>
      <c r="AU43" t="s">
        <v>1731</v>
      </c>
      <c r="AV43" t="s">
        <v>1732</v>
      </c>
      <c r="AW43" t="s">
        <v>1733</v>
      </c>
      <c r="AX43" t="s">
        <v>1261</v>
      </c>
      <c r="AY43" t="s">
        <v>1734</v>
      </c>
      <c r="AZ43" t="s">
        <v>964</v>
      </c>
      <c r="BA43" t="s">
        <v>1663</v>
      </c>
      <c r="BB43" t="s">
        <v>842</v>
      </c>
      <c r="BC43" t="s">
        <v>1735</v>
      </c>
      <c r="BD43" t="s">
        <v>161</v>
      </c>
      <c r="BE43" t="s">
        <v>1592</v>
      </c>
      <c r="BF43" t="s">
        <v>1736</v>
      </c>
      <c r="BG43" t="s">
        <v>1737</v>
      </c>
      <c r="BH43" t="s">
        <v>746</v>
      </c>
      <c r="BI43" t="s">
        <v>1667</v>
      </c>
      <c r="BJ43" t="s">
        <v>1306</v>
      </c>
      <c r="BK43" t="s">
        <v>161</v>
      </c>
      <c r="BL43" t="s">
        <v>1307</v>
      </c>
      <c r="BM43" t="s">
        <v>159</v>
      </c>
      <c r="BN43" t="s">
        <v>621</v>
      </c>
      <c r="BO43" t="s">
        <v>203</v>
      </c>
      <c r="BP43" t="s">
        <v>410</v>
      </c>
      <c r="BQ43" t="s">
        <v>1738</v>
      </c>
      <c r="BR43" t="s">
        <v>1739</v>
      </c>
      <c r="BS43" t="s">
        <v>1740</v>
      </c>
      <c r="BT43" t="s">
        <v>159</v>
      </c>
      <c r="BU43" t="s">
        <v>208</v>
      </c>
      <c r="BV43" t="s">
        <v>209</v>
      </c>
      <c r="BW43" t="s">
        <v>210</v>
      </c>
      <c r="BX43" t="s">
        <v>211</v>
      </c>
      <c r="BY43" t="s">
        <v>172</v>
      </c>
      <c r="BZ43" t="s">
        <v>212</v>
      </c>
      <c r="CA43" t="s">
        <v>172</v>
      </c>
      <c r="CB43" t="s">
        <v>172</v>
      </c>
      <c r="CC43" t="s">
        <v>213</v>
      </c>
      <c r="CD43" t="s">
        <v>214</v>
      </c>
      <c r="CE43" t="s">
        <v>215</v>
      </c>
      <c r="CF43" t="s">
        <v>216</v>
      </c>
      <c r="CG43" t="s">
        <v>217</v>
      </c>
      <c r="CH43" t="s">
        <v>218</v>
      </c>
      <c r="CI43" t="s">
        <v>178</v>
      </c>
      <c r="CJ43" t="s">
        <v>210</v>
      </c>
      <c r="CK43" t="s">
        <v>219</v>
      </c>
      <c r="CL43" t="s">
        <v>219</v>
      </c>
      <c r="CM43" t="s">
        <v>219</v>
      </c>
      <c r="CN43" t="s">
        <v>172</v>
      </c>
      <c r="CO43" t="s">
        <v>220</v>
      </c>
      <c r="CP43" t="s">
        <v>172</v>
      </c>
      <c r="CQ43" t="s">
        <v>172</v>
      </c>
      <c r="CR43" t="s">
        <v>172</v>
      </c>
      <c r="CS43" t="s">
        <v>172</v>
      </c>
      <c r="CT43" t="s">
        <v>1741</v>
      </c>
      <c r="CU43" t="s">
        <v>1742</v>
      </c>
      <c r="CV43" t="s">
        <v>1743</v>
      </c>
      <c r="CW43" t="s">
        <v>1744</v>
      </c>
      <c r="CX43" t="s">
        <v>1745</v>
      </c>
      <c r="CY43" t="s">
        <v>1746</v>
      </c>
      <c r="CZ43" t="s">
        <v>1747</v>
      </c>
      <c r="DA43" t="s">
        <v>1748</v>
      </c>
      <c r="DB43" t="s">
        <v>1722</v>
      </c>
      <c r="DC43" t="s">
        <v>1749</v>
      </c>
      <c r="DD43" t="s">
        <v>230</v>
      </c>
      <c r="DE43" t="s">
        <v>231</v>
      </c>
      <c r="DF43" t="s">
        <v>178</v>
      </c>
      <c r="DG43" t="s">
        <v>232</v>
      </c>
      <c r="DH43" t="s">
        <v>233</v>
      </c>
      <c r="DI43" t="s">
        <v>178</v>
      </c>
      <c r="DJ43" t="s">
        <v>234</v>
      </c>
      <c r="DK43" t="s">
        <v>235</v>
      </c>
      <c r="DL43" t="s">
        <v>236</v>
      </c>
      <c r="DM43" t="s">
        <v>172</v>
      </c>
      <c r="DN43" t="s">
        <v>1721</v>
      </c>
      <c r="DO43" t="s">
        <v>237</v>
      </c>
      <c r="DP43" t="s">
        <v>238</v>
      </c>
      <c r="DQ43" t="s">
        <v>239</v>
      </c>
      <c r="DR43" t="s">
        <v>240</v>
      </c>
      <c r="DS43" t="s">
        <v>241</v>
      </c>
      <c r="DT43" t="s">
        <v>242</v>
      </c>
    </row>
    <row r="44" spans="1:124" x14ac:dyDescent="0.45">
      <c r="A44" t="s">
        <v>1750</v>
      </c>
      <c r="B44" t="s">
        <v>1751</v>
      </c>
      <c r="C44" t="s">
        <v>161</v>
      </c>
      <c r="D44" t="s">
        <v>162</v>
      </c>
      <c r="E44" t="s">
        <v>163</v>
      </c>
      <c r="I44" t="s">
        <v>1752</v>
      </c>
      <c r="J44">
        <v>0.30983858668935649</v>
      </c>
      <c r="K44">
        <v>2.9042299200000001</v>
      </c>
      <c r="L44">
        <v>0.27996991724380621</v>
      </c>
      <c r="M44">
        <v>2.8557679049751838</v>
      </c>
      <c r="N44" t="s">
        <v>1753</v>
      </c>
      <c r="O44" t="s">
        <v>1754</v>
      </c>
      <c r="P44">
        <v>4.0521260198947324</v>
      </c>
      <c r="Q44">
        <v>0.9900000198947323</v>
      </c>
      <c r="R44" t="s">
        <v>1755</v>
      </c>
      <c r="S44" t="s">
        <v>1756</v>
      </c>
      <c r="T44">
        <v>40.279582702730941</v>
      </c>
      <c r="U44">
        <v>0.4417875</v>
      </c>
      <c r="V44" t="s">
        <v>170</v>
      </c>
      <c r="W44" t="s">
        <v>1757</v>
      </c>
      <c r="X44" t="s">
        <v>172</v>
      </c>
      <c r="Y44" t="s">
        <v>172</v>
      </c>
      <c r="Z44" t="s">
        <v>172</v>
      </c>
      <c r="AA44" t="s">
        <v>1758</v>
      </c>
      <c r="AB44" t="s">
        <v>1759</v>
      </c>
      <c r="AC44" t="s">
        <v>1760</v>
      </c>
      <c r="AD44" t="s">
        <v>176</v>
      </c>
      <c r="AE44" t="s">
        <v>177</v>
      </c>
      <c r="AF44">
        <v>59.113481280000002</v>
      </c>
      <c r="AG44" t="s">
        <v>178</v>
      </c>
      <c r="AH44" t="s">
        <v>1761</v>
      </c>
      <c r="AI44" t="s">
        <v>1762</v>
      </c>
      <c r="AJ44" t="s">
        <v>1763</v>
      </c>
      <c r="AK44" t="s">
        <v>1764</v>
      </c>
      <c r="AL44">
        <v>29.13</v>
      </c>
      <c r="AM44" t="s">
        <v>349</v>
      </c>
      <c r="AN44" t="s">
        <v>603</v>
      </c>
      <c r="AO44" t="s">
        <v>1765</v>
      </c>
      <c r="AP44" t="s">
        <v>186</v>
      </c>
      <c r="AQ44" t="s">
        <v>1766</v>
      </c>
      <c r="AR44" t="s">
        <v>1767</v>
      </c>
      <c r="AS44" t="s">
        <v>1768</v>
      </c>
      <c r="AT44" t="s">
        <v>619</v>
      </c>
      <c r="AU44" t="s">
        <v>914</v>
      </c>
      <c r="AV44" t="s">
        <v>1405</v>
      </c>
      <c r="AW44" t="s">
        <v>1406</v>
      </c>
      <c r="AX44" t="s">
        <v>1769</v>
      </c>
      <c r="AY44" t="s">
        <v>1770</v>
      </c>
      <c r="AZ44" t="s">
        <v>964</v>
      </c>
      <c r="BA44" t="s">
        <v>1771</v>
      </c>
      <c r="BB44" t="s">
        <v>1772</v>
      </c>
      <c r="BC44" t="s">
        <v>1773</v>
      </c>
      <c r="BD44" t="s">
        <v>161</v>
      </c>
      <c r="BE44" t="s">
        <v>1701</v>
      </c>
      <c r="BF44" t="s">
        <v>1118</v>
      </c>
      <c r="BG44" t="s">
        <v>1774</v>
      </c>
      <c r="BH44" t="s">
        <v>746</v>
      </c>
      <c r="BI44" t="s">
        <v>1667</v>
      </c>
      <c r="BJ44" t="s">
        <v>1306</v>
      </c>
      <c r="BK44" t="s">
        <v>161</v>
      </c>
      <c r="BL44" t="s">
        <v>1307</v>
      </c>
      <c r="BM44" t="s">
        <v>159</v>
      </c>
      <c r="BN44" t="s">
        <v>575</v>
      </c>
      <c r="BO44" t="s">
        <v>209</v>
      </c>
      <c r="BP44" t="s">
        <v>1775</v>
      </c>
      <c r="BQ44" t="s">
        <v>1050</v>
      </c>
      <c r="BR44" t="s">
        <v>1776</v>
      </c>
      <c r="BS44" t="s">
        <v>886</v>
      </c>
      <c r="BT44" t="s">
        <v>159</v>
      </c>
      <c r="BU44" t="s">
        <v>208</v>
      </c>
      <c r="BV44" t="s">
        <v>209</v>
      </c>
      <c r="BW44" t="s">
        <v>210</v>
      </c>
      <c r="BX44" t="s">
        <v>211</v>
      </c>
      <c r="BY44" t="s">
        <v>172</v>
      </c>
      <c r="BZ44" t="s">
        <v>212</v>
      </c>
      <c r="CA44" t="s">
        <v>172</v>
      </c>
      <c r="CB44" t="s">
        <v>172</v>
      </c>
      <c r="CC44" t="s">
        <v>213</v>
      </c>
      <c r="CD44" t="s">
        <v>214</v>
      </c>
      <c r="CE44" t="s">
        <v>215</v>
      </c>
      <c r="CF44" t="s">
        <v>216</v>
      </c>
      <c r="CG44" t="s">
        <v>217</v>
      </c>
      <c r="CH44" t="s">
        <v>218</v>
      </c>
      <c r="CI44" t="s">
        <v>178</v>
      </c>
      <c r="CJ44" t="s">
        <v>210</v>
      </c>
      <c r="CK44" t="s">
        <v>219</v>
      </c>
      <c r="CL44" t="s">
        <v>219</v>
      </c>
      <c r="CM44" t="s">
        <v>219</v>
      </c>
      <c r="CN44" t="s">
        <v>172</v>
      </c>
      <c r="CO44" t="s">
        <v>220</v>
      </c>
      <c r="CP44" t="s">
        <v>172</v>
      </c>
      <c r="CQ44" t="s">
        <v>172</v>
      </c>
      <c r="CR44" t="s">
        <v>172</v>
      </c>
      <c r="CS44" t="s">
        <v>172</v>
      </c>
      <c r="CT44" t="s">
        <v>1777</v>
      </c>
      <c r="CU44" t="s">
        <v>1778</v>
      </c>
      <c r="CV44" t="s">
        <v>1779</v>
      </c>
      <c r="CW44" t="s">
        <v>1780</v>
      </c>
      <c r="CX44" t="s">
        <v>1781</v>
      </c>
      <c r="CY44" t="s">
        <v>1782</v>
      </c>
      <c r="CZ44" t="s">
        <v>1783</v>
      </c>
      <c r="DA44" t="s">
        <v>1784</v>
      </c>
      <c r="DB44" t="s">
        <v>1758</v>
      </c>
      <c r="DC44" t="s">
        <v>1785</v>
      </c>
      <c r="DD44" t="s">
        <v>230</v>
      </c>
      <c r="DE44" t="s">
        <v>231</v>
      </c>
      <c r="DF44" t="s">
        <v>178</v>
      </c>
      <c r="DG44" t="s">
        <v>232</v>
      </c>
      <c r="DH44" t="s">
        <v>233</v>
      </c>
      <c r="DI44" t="s">
        <v>178</v>
      </c>
      <c r="DJ44" t="s">
        <v>234</v>
      </c>
      <c r="DK44" t="s">
        <v>235</v>
      </c>
      <c r="DL44" t="s">
        <v>236</v>
      </c>
      <c r="DM44" t="s">
        <v>172</v>
      </c>
      <c r="DN44" t="s">
        <v>1757</v>
      </c>
      <c r="DO44" t="s">
        <v>237</v>
      </c>
      <c r="DP44" t="s">
        <v>238</v>
      </c>
      <c r="DQ44" t="s">
        <v>239</v>
      </c>
      <c r="DR44" t="s">
        <v>240</v>
      </c>
      <c r="DS44" t="s">
        <v>241</v>
      </c>
      <c r="DT44" t="s">
        <v>242</v>
      </c>
    </row>
    <row r="45" spans="1:124" x14ac:dyDescent="0.45">
      <c r="A45" t="s">
        <v>1786</v>
      </c>
      <c r="B45" t="s">
        <v>1787</v>
      </c>
      <c r="C45" t="s">
        <v>161</v>
      </c>
      <c r="D45" t="s">
        <v>162</v>
      </c>
      <c r="E45" t="s">
        <v>163</v>
      </c>
      <c r="I45" t="s">
        <v>1788</v>
      </c>
      <c r="J45">
        <v>0.24315589400911949</v>
      </c>
      <c r="K45">
        <v>2.9058327199999998</v>
      </c>
      <c r="L45">
        <v>0.2243800913503414</v>
      </c>
      <c r="M45">
        <v>2.3448346862757128</v>
      </c>
      <c r="N45" t="s">
        <v>1789</v>
      </c>
      <c r="O45" t="s">
        <v>1790</v>
      </c>
      <c r="P45">
        <v>4.1039482269951471</v>
      </c>
      <c r="Q45">
        <v>1.0136252269951469</v>
      </c>
      <c r="R45" t="s">
        <v>1791</v>
      </c>
      <c r="S45" t="s">
        <v>1792</v>
      </c>
      <c r="T45">
        <v>40.798769529726087</v>
      </c>
      <c r="U45">
        <v>0.4417875</v>
      </c>
      <c r="V45" t="s">
        <v>170</v>
      </c>
      <c r="W45" t="s">
        <v>1793</v>
      </c>
      <c r="X45" t="s">
        <v>172</v>
      </c>
      <c r="Y45" t="s">
        <v>172</v>
      </c>
      <c r="Z45" t="s">
        <v>172</v>
      </c>
      <c r="AA45" t="s">
        <v>1794</v>
      </c>
      <c r="AB45" t="s">
        <v>1795</v>
      </c>
      <c r="AC45" t="s">
        <v>1796</v>
      </c>
      <c r="AD45" t="s">
        <v>176</v>
      </c>
      <c r="AE45" t="s">
        <v>177</v>
      </c>
      <c r="AF45">
        <v>62.368101600000003</v>
      </c>
      <c r="AG45" t="s">
        <v>178</v>
      </c>
      <c r="AH45" t="s">
        <v>1797</v>
      </c>
      <c r="AI45" t="s">
        <v>1798</v>
      </c>
      <c r="AJ45" t="s">
        <v>1799</v>
      </c>
      <c r="AK45" t="s">
        <v>1800</v>
      </c>
      <c r="AL45">
        <v>29.35</v>
      </c>
      <c r="AM45" t="s">
        <v>183</v>
      </c>
      <c r="AN45" t="s">
        <v>184</v>
      </c>
      <c r="AO45" t="s">
        <v>1801</v>
      </c>
      <c r="AP45" t="s">
        <v>1656</v>
      </c>
      <c r="AQ45" t="s">
        <v>1802</v>
      </c>
      <c r="AR45" t="s">
        <v>1803</v>
      </c>
      <c r="AS45" t="s">
        <v>354</v>
      </c>
      <c r="AT45" t="s">
        <v>215</v>
      </c>
      <c r="AU45" t="s">
        <v>1804</v>
      </c>
      <c r="AV45" t="s">
        <v>1805</v>
      </c>
      <c r="AW45" t="s">
        <v>1806</v>
      </c>
      <c r="AX45" t="s">
        <v>1807</v>
      </c>
      <c r="AY45" t="s">
        <v>1808</v>
      </c>
      <c r="AZ45" t="s">
        <v>964</v>
      </c>
      <c r="BA45" t="s">
        <v>1809</v>
      </c>
      <c r="BB45" t="s">
        <v>1810</v>
      </c>
      <c r="BC45" t="s">
        <v>1811</v>
      </c>
      <c r="BD45" t="s">
        <v>161</v>
      </c>
      <c r="BE45" t="s">
        <v>1812</v>
      </c>
      <c r="BF45" t="s">
        <v>1813</v>
      </c>
      <c r="BG45" t="s">
        <v>1522</v>
      </c>
      <c r="BH45" t="s">
        <v>785</v>
      </c>
      <c r="BI45" t="s">
        <v>1814</v>
      </c>
      <c r="BJ45" t="s">
        <v>1815</v>
      </c>
      <c r="BK45" t="s">
        <v>161</v>
      </c>
      <c r="BL45" t="s">
        <v>1816</v>
      </c>
      <c r="BM45" t="s">
        <v>159</v>
      </c>
      <c r="BN45" t="s">
        <v>276</v>
      </c>
      <c r="BO45" t="s">
        <v>277</v>
      </c>
      <c r="BP45" t="s">
        <v>575</v>
      </c>
      <c r="BQ45" t="s">
        <v>1817</v>
      </c>
      <c r="BR45" t="s">
        <v>578</v>
      </c>
      <c r="BS45" t="s">
        <v>1818</v>
      </c>
      <c r="BT45" t="s">
        <v>159</v>
      </c>
      <c r="BU45" t="s">
        <v>208</v>
      </c>
      <c r="BV45" t="s">
        <v>209</v>
      </c>
      <c r="BW45" t="s">
        <v>210</v>
      </c>
      <c r="BX45" t="s">
        <v>211</v>
      </c>
      <c r="BY45" t="s">
        <v>172</v>
      </c>
      <c r="BZ45" t="s">
        <v>212</v>
      </c>
      <c r="CA45" t="s">
        <v>172</v>
      </c>
      <c r="CB45" t="s">
        <v>172</v>
      </c>
      <c r="CC45" t="s">
        <v>213</v>
      </c>
      <c r="CD45" t="s">
        <v>214</v>
      </c>
      <c r="CE45" t="s">
        <v>215</v>
      </c>
      <c r="CF45" t="s">
        <v>216</v>
      </c>
      <c r="CG45" t="s">
        <v>217</v>
      </c>
      <c r="CH45" t="s">
        <v>218</v>
      </c>
      <c r="CI45" t="s">
        <v>178</v>
      </c>
      <c r="CJ45" t="s">
        <v>210</v>
      </c>
      <c r="CK45" t="s">
        <v>219</v>
      </c>
      <c r="CL45" t="s">
        <v>219</v>
      </c>
      <c r="CM45" t="s">
        <v>219</v>
      </c>
      <c r="CN45" t="s">
        <v>172</v>
      </c>
      <c r="CO45" t="s">
        <v>220</v>
      </c>
      <c r="CP45" t="s">
        <v>172</v>
      </c>
      <c r="CQ45" t="s">
        <v>172</v>
      </c>
      <c r="CR45" t="s">
        <v>172</v>
      </c>
      <c r="CS45" t="s">
        <v>172</v>
      </c>
      <c r="CT45" t="s">
        <v>1819</v>
      </c>
      <c r="CU45" t="s">
        <v>1820</v>
      </c>
      <c r="CV45" t="s">
        <v>1821</v>
      </c>
      <c r="CW45" t="s">
        <v>1822</v>
      </c>
      <c r="CX45" t="s">
        <v>1823</v>
      </c>
      <c r="CY45" t="s">
        <v>1824</v>
      </c>
      <c r="CZ45" t="s">
        <v>1825</v>
      </c>
      <c r="DA45" t="s">
        <v>1826</v>
      </c>
      <c r="DB45" t="s">
        <v>1794</v>
      </c>
      <c r="DC45" t="s">
        <v>1827</v>
      </c>
      <c r="DD45" t="s">
        <v>230</v>
      </c>
      <c r="DE45" t="s">
        <v>231</v>
      </c>
      <c r="DF45" t="s">
        <v>178</v>
      </c>
      <c r="DG45" t="s">
        <v>232</v>
      </c>
      <c r="DH45" t="s">
        <v>233</v>
      </c>
      <c r="DI45" t="s">
        <v>178</v>
      </c>
      <c r="DJ45" t="s">
        <v>234</v>
      </c>
      <c r="DK45" t="s">
        <v>235</v>
      </c>
      <c r="DL45" t="s">
        <v>236</v>
      </c>
      <c r="DM45" t="s">
        <v>172</v>
      </c>
      <c r="DN45" t="s">
        <v>1793</v>
      </c>
      <c r="DO45" t="s">
        <v>237</v>
      </c>
      <c r="DP45" t="s">
        <v>238</v>
      </c>
      <c r="DQ45" t="s">
        <v>239</v>
      </c>
      <c r="DR45" t="s">
        <v>240</v>
      </c>
      <c r="DS45" t="s">
        <v>241</v>
      </c>
      <c r="DT45" t="s">
        <v>242</v>
      </c>
    </row>
    <row r="46" spans="1:124" x14ac:dyDescent="0.45">
      <c r="A46" t="s">
        <v>1828</v>
      </c>
      <c r="B46" t="s">
        <v>1829</v>
      </c>
      <c r="C46" t="s">
        <v>161</v>
      </c>
      <c r="D46" t="s">
        <v>162</v>
      </c>
      <c r="E46" t="s">
        <v>163</v>
      </c>
      <c r="I46" t="s">
        <v>1830</v>
      </c>
      <c r="J46">
        <v>0.2256337037551131</v>
      </c>
      <c r="K46">
        <v>2.9026216800000002</v>
      </c>
      <c r="L46">
        <v>0.20935927535178439</v>
      </c>
      <c r="M46">
        <v>2.131276738513312</v>
      </c>
      <c r="N46" t="s">
        <v>1831</v>
      </c>
      <c r="O46" t="s">
        <v>1832</v>
      </c>
      <c r="P46">
        <v>4.0779653535168663</v>
      </c>
      <c r="Q46">
        <v>0.98748835351686637</v>
      </c>
      <c r="R46" t="s">
        <v>1833</v>
      </c>
      <c r="S46" t="s">
        <v>1834</v>
      </c>
      <c r="T46">
        <v>40.540464792890603</v>
      </c>
      <c r="U46">
        <v>0.4417875</v>
      </c>
      <c r="V46" t="s">
        <v>170</v>
      </c>
      <c r="W46" t="s">
        <v>1835</v>
      </c>
      <c r="X46" t="s">
        <v>172</v>
      </c>
      <c r="Y46" t="s">
        <v>172</v>
      </c>
      <c r="Z46" t="s">
        <v>172</v>
      </c>
      <c r="AA46" t="s">
        <v>1836</v>
      </c>
      <c r="AB46" t="s">
        <v>1837</v>
      </c>
      <c r="AC46" t="s">
        <v>1838</v>
      </c>
      <c r="AD46" t="s">
        <v>176</v>
      </c>
      <c r="AE46" t="s">
        <v>177</v>
      </c>
      <c r="AF46">
        <v>38.092590899999998</v>
      </c>
      <c r="AG46" t="s">
        <v>178</v>
      </c>
      <c r="AH46" t="s">
        <v>1839</v>
      </c>
      <c r="AI46" t="s">
        <v>910</v>
      </c>
      <c r="AJ46" t="s">
        <v>1840</v>
      </c>
      <c r="AK46" t="s">
        <v>1841</v>
      </c>
      <c r="AL46">
        <v>29.24</v>
      </c>
      <c r="AM46" t="s">
        <v>183</v>
      </c>
      <c r="AN46" t="s">
        <v>1842</v>
      </c>
      <c r="AO46" t="s">
        <v>1843</v>
      </c>
      <c r="AP46" t="s">
        <v>957</v>
      </c>
      <c r="AQ46" t="s">
        <v>485</v>
      </c>
      <c r="AR46" t="s">
        <v>1803</v>
      </c>
      <c r="AS46" t="s">
        <v>608</v>
      </c>
      <c r="AT46" t="s">
        <v>190</v>
      </c>
      <c r="AU46" t="s">
        <v>1844</v>
      </c>
      <c r="AV46" t="s">
        <v>1845</v>
      </c>
      <c r="AW46" t="s">
        <v>1846</v>
      </c>
      <c r="AX46" t="s">
        <v>1847</v>
      </c>
      <c r="AY46" t="s">
        <v>1848</v>
      </c>
      <c r="AZ46" t="s">
        <v>964</v>
      </c>
      <c r="BA46" t="s">
        <v>1809</v>
      </c>
      <c r="BB46" t="s">
        <v>1810</v>
      </c>
      <c r="BC46" t="s">
        <v>1849</v>
      </c>
      <c r="BD46" t="s">
        <v>161</v>
      </c>
      <c r="BE46" t="s">
        <v>1850</v>
      </c>
      <c r="BF46" t="s">
        <v>1851</v>
      </c>
      <c r="BG46" t="s">
        <v>1444</v>
      </c>
      <c r="BH46" t="s">
        <v>709</v>
      </c>
      <c r="BI46" t="s">
        <v>1228</v>
      </c>
      <c r="BJ46" t="s">
        <v>1815</v>
      </c>
      <c r="BK46" t="s">
        <v>161</v>
      </c>
      <c r="BL46" t="s">
        <v>1816</v>
      </c>
      <c r="BM46" t="s">
        <v>159</v>
      </c>
      <c r="BN46" t="s">
        <v>621</v>
      </c>
      <c r="BO46" t="s">
        <v>203</v>
      </c>
      <c r="BP46" t="s">
        <v>204</v>
      </c>
      <c r="BQ46" t="s">
        <v>1852</v>
      </c>
      <c r="BR46" t="s">
        <v>1853</v>
      </c>
      <c r="BS46" t="s">
        <v>1854</v>
      </c>
      <c r="BT46" t="s">
        <v>159</v>
      </c>
      <c r="BU46" t="s">
        <v>208</v>
      </c>
      <c r="BV46" t="s">
        <v>209</v>
      </c>
      <c r="BW46" t="s">
        <v>210</v>
      </c>
      <c r="BX46" t="s">
        <v>211</v>
      </c>
      <c r="BY46" t="s">
        <v>172</v>
      </c>
      <c r="BZ46" t="s">
        <v>212</v>
      </c>
      <c r="CA46" t="s">
        <v>172</v>
      </c>
      <c r="CB46" t="s">
        <v>172</v>
      </c>
      <c r="CC46" t="s">
        <v>213</v>
      </c>
      <c r="CD46" t="s">
        <v>214</v>
      </c>
      <c r="CE46" t="s">
        <v>215</v>
      </c>
      <c r="CF46" t="s">
        <v>216</v>
      </c>
      <c r="CG46" t="s">
        <v>217</v>
      </c>
      <c r="CH46" t="s">
        <v>218</v>
      </c>
      <c r="CI46" t="s">
        <v>178</v>
      </c>
      <c r="CJ46" t="s">
        <v>210</v>
      </c>
      <c r="CK46" t="s">
        <v>219</v>
      </c>
      <c r="CL46" t="s">
        <v>219</v>
      </c>
      <c r="CM46" t="s">
        <v>219</v>
      </c>
      <c r="CN46" t="s">
        <v>172</v>
      </c>
      <c r="CO46" t="s">
        <v>220</v>
      </c>
      <c r="CP46" t="s">
        <v>172</v>
      </c>
      <c r="CQ46" t="s">
        <v>172</v>
      </c>
      <c r="CR46" t="s">
        <v>172</v>
      </c>
      <c r="CS46" t="s">
        <v>172</v>
      </c>
      <c r="CT46" t="s">
        <v>1855</v>
      </c>
      <c r="CU46" t="s">
        <v>1856</v>
      </c>
      <c r="CV46" t="s">
        <v>1857</v>
      </c>
      <c r="CW46" t="s">
        <v>1858</v>
      </c>
      <c r="CX46" t="s">
        <v>1859</v>
      </c>
      <c r="CY46" t="s">
        <v>1860</v>
      </c>
      <c r="CZ46" t="s">
        <v>1861</v>
      </c>
      <c r="DA46" t="s">
        <v>1862</v>
      </c>
      <c r="DB46" t="s">
        <v>1836</v>
      </c>
      <c r="DC46" t="s">
        <v>1863</v>
      </c>
      <c r="DD46" t="s">
        <v>230</v>
      </c>
      <c r="DE46" t="s">
        <v>231</v>
      </c>
      <c r="DF46" t="s">
        <v>178</v>
      </c>
      <c r="DG46" t="s">
        <v>232</v>
      </c>
      <c r="DH46" t="s">
        <v>233</v>
      </c>
      <c r="DI46" t="s">
        <v>178</v>
      </c>
      <c r="DJ46" t="s">
        <v>234</v>
      </c>
      <c r="DK46" t="s">
        <v>235</v>
      </c>
      <c r="DL46" t="s">
        <v>236</v>
      </c>
      <c r="DM46" t="s">
        <v>172</v>
      </c>
      <c r="DN46" t="s">
        <v>1835</v>
      </c>
      <c r="DO46" t="s">
        <v>237</v>
      </c>
      <c r="DP46" t="s">
        <v>238</v>
      </c>
      <c r="DQ46" t="s">
        <v>239</v>
      </c>
      <c r="DR46" t="s">
        <v>240</v>
      </c>
      <c r="DS46" t="s">
        <v>241</v>
      </c>
      <c r="DT46" t="s">
        <v>242</v>
      </c>
    </row>
    <row r="47" spans="1:124" x14ac:dyDescent="0.45">
      <c r="A47" t="s">
        <v>1864</v>
      </c>
      <c r="B47" t="s">
        <v>1865</v>
      </c>
      <c r="C47" t="s">
        <v>161</v>
      </c>
      <c r="D47" t="s">
        <v>162</v>
      </c>
      <c r="E47" t="s">
        <v>163</v>
      </c>
      <c r="I47" t="s">
        <v>1866</v>
      </c>
      <c r="J47">
        <v>0.2405885898176108</v>
      </c>
      <c r="K47">
        <v>2.9050319999999989</v>
      </c>
      <c r="L47">
        <v>0.22218749283287159</v>
      </c>
      <c r="M47">
        <v>2.2827165152570621</v>
      </c>
      <c r="N47" t="s">
        <v>1867</v>
      </c>
      <c r="O47" t="s">
        <v>1868</v>
      </c>
      <c r="P47">
        <v>4.0944832591585918</v>
      </c>
      <c r="Q47">
        <v>0.99637425915859179</v>
      </c>
      <c r="R47" t="s">
        <v>1869</v>
      </c>
      <c r="S47" t="s">
        <v>1870</v>
      </c>
      <c r="T47">
        <v>40.704675009032627</v>
      </c>
      <c r="U47">
        <v>0.4417875</v>
      </c>
      <c r="V47" t="s">
        <v>170</v>
      </c>
      <c r="W47" t="s">
        <v>1871</v>
      </c>
      <c r="X47" t="s">
        <v>172</v>
      </c>
      <c r="Y47" t="s">
        <v>172</v>
      </c>
      <c r="Z47" t="s">
        <v>172</v>
      </c>
      <c r="AA47" t="s">
        <v>1872</v>
      </c>
      <c r="AB47" t="s">
        <v>1873</v>
      </c>
      <c r="AC47" t="s">
        <v>1874</v>
      </c>
      <c r="AD47" t="s">
        <v>176</v>
      </c>
      <c r="AE47" t="s">
        <v>177</v>
      </c>
      <c r="AF47">
        <v>59.946029639999999</v>
      </c>
      <c r="AG47" t="s">
        <v>178</v>
      </c>
      <c r="AH47" t="s">
        <v>1875</v>
      </c>
      <c r="AI47" t="s">
        <v>1876</v>
      </c>
      <c r="AJ47" t="s">
        <v>1877</v>
      </c>
      <c r="AK47" t="s">
        <v>1878</v>
      </c>
      <c r="AL47">
        <v>29.31</v>
      </c>
      <c r="AM47" t="s">
        <v>183</v>
      </c>
      <c r="AN47" t="s">
        <v>305</v>
      </c>
      <c r="AO47" t="s">
        <v>1879</v>
      </c>
      <c r="AP47" t="s">
        <v>1880</v>
      </c>
      <c r="AQ47" t="s">
        <v>1881</v>
      </c>
      <c r="AR47" t="s">
        <v>1882</v>
      </c>
      <c r="AS47" t="s">
        <v>999</v>
      </c>
      <c r="AT47" t="s">
        <v>215</v>
      </c>
      <c r="AU47" t="s">
        <v>1883</v>
      </c>
      <c r="AV47" t="s">
        <v>1884</v>
      </c>
      <c r="AW47" t="s">
        <v>1885</v>
      </c>
      <c r="AX47" t="s">
        <v>1886</v>
      </c>
      <c r="AY47" t="s">
        <v>1876</v>
      </c>
      <c r="AZ47" t="s">
        <v>964</v>
      </c>
      <c r="BA47" t="s">
        <v>1887</v>
      </c>
      <c r="BB47" t="s">
        <v>1888</v>
      </c>
      <c r="BC47" t="s">
        <v>1889</v>
      </c>
      <c r="BD47" t="s">
        <v>161</v>
      </c>
      <c r="BE47" t="s">
        <v>1192</v>
      </c>
      <c r="BF47" t="s">
        <v>1082</v>
      </c>
      <c r="BG47" t="s">
        <v>1522</v>
      </c>
      <c r="BH47" t="s">
        <v>746</v>
      </c>
      <c r="BI47" t="s">
        <v>1195</v>
      </c>
      <c r="BJ47" t="s">
        <v>1815</v>
      </c>
      <c r="BK47" t="s">
        <v>161</v>
      </c>
      <c r="BL47" t="s">
        <v>1816</v>
      </c>
      <c r="BM47" t="s">
        <v>159</v>
      </c>
      <c r="BN47" t="s">
        <v>209</v>
      </c>
      <c r="BO47" t="s">
        <v>203</v>
      </c>
      <c r="BP47" t="s">
        <v>209</v>
      </c>
      <c r="BQ47" t="s">
        <v>499</v>
      </c>
      <c r="BR47" t="s">
        <v>1890</v>
      </c>
      <c r="BS47" t="s">
        <v>1445</v>
      </c>
      <c r="BT47" t="s">
        <v>159</v>
      </c>
      <c r="BU47" t="s">
        <v>208</v>
      </c>
      <c r="BV47" t="s">
        <v>209</v>
      </c>
      <c r="BW47" t="s">
        <v>210</v>
      </c>
      <c r="BX47" t="s">
        <v>211</v>
      </c>
      <c r="BY47" t="s">
        <v>172</v>
      </c>
      <c r="BZ47" t="s">
        <v>212</v>
      </c>
      <c r="CA47" t="s">
        <v>172</v>
      </c>
      <c r="CB47" t="s">
        <v>172</v>
      </c>
      <c r="CC47" t="s">
        <v>213</v>
      </c>
      <c r="CD47" t="s">
        <v>214</v>
      </c>
      <c r="CE47" t="s">
        <v>215</v>
      </c>
      <c r="CF47" t="s">
        <v>216</v>
      </c>
      <c r="CG47" t="s">
        <v>217</v>
      </c>
      <c r="CH47" t="s">
        <v>218</v>
      </c>
      <c r="CI47" t="s">
        <v>178</v>
      </c>
      <c r="CJ47" t="s">
        <v>210</v>
      </c>
      <c r="CK47" t="s">
        <v>219</v>
      </c>
      <c r="CL47" t="s">
        <v>219</v>
      </c>
      <c r="CM47" t="s">
        <v>219</v>
      </c>
      <c r="CN47" t="s">
        <v>172</v>
      </c>
      <c r="CO47" t="s">
        <v>220</v>
      </c>
      <c r="CP47" t="s">
        <v>172</v>
      </c>
      <c r="CQ47" t="s">
        <v>172</v>
      </c>
      <c r="CR47" t="s">
        <v>172</v>
      </c>
      <c r="CS47" t="s">
        <v>172</v>
      </c>
      <c r="CT47" t="s">
        <v>1891</v>
      </c>
      <c r="CU47" t="s">
        <v>1892</v>
      </c>
      <c r="CV47" t="s">
        <v>1893</v>
      </c>
      <c r="CW47" t="s">
        <v>1894</v>
      </c>
      <c r="CX47" t="s">
        <v>1895</v>
      </c>
      <c r="CY47" t="s">
        <v>1896</v>
      </c>
      <c r="CZ47" t="s">
        <v>1897</v>
      </c>
      <c r="DA47" t="s">
        <v>1898</v>
      </c>
      <c r="DB47" t="s">
        <v>1872</v>
      </c>
      <c r="DC47" t="s">
        <v>1899</v>
      </c>
      <c r="DD47" t="s">
        <v>230</v>
      </c>
      <c r="DE47" t="s">
        <v>231</v>
      </c>
      <c r="DF47" t="s">
        <v>178</v>
      </c>
      <c r="DG47" t="s">
        <v>232</v>
      </c>
      <c r="DH47" t="s">
        <v>233</v>
      </c>
      <c r="DI47" t="s">
        <v>178</v>
      </c>
      <c r="DJ47" t="s">
        <v>234</v>
      </c>
      <c r="DK47" t="s">
        <v>235</v>
      </c>
      <c r="DL47" t="s">
        <v>236</v>
      </c>
      <c r="DM47" t="s">
        <v>172</v>
      </c>
      <c r="DN47" t="s">
        <v>1871</v>
      </c>
      <c r="DO47" t="s">
        <v>237</v>
      </c>
      <c r="DP47" t="s">
        <v>238</v>
      </c>
      <c r="DQ47" t="s">
        <v>239</v>
      </c>
      <c r="DR47" t="s">
        <v>240</v>
      </c>
      <c r="DS47" t="s">
        <v>241</v>
      </c>
      <c r="DT47" t="s">
        <v>242</v>
      </c>
    </row>
    <row r="48" spans="1:124" x14ac:dyDescent="0.45">
      <c r="A48" t="s">
        <v>1900</v>
      </c>
      <c r="B48" t="s">
        <v>1901</v>
      </c>
      <c r="C48" t="s">
        <v>161</v>
      </c>
      <c r="D48" t="s">
        <v>162</v>
      </c>
      <c r="E48" t="s">
        <v>163</v>
      </c>
      <c r="I48" t="s">
        <v>1902</v>
      </c>
      <c r="J48">
        <v>0.18042572534408219</v>
      </c>
      <c r="K48">
        <v>2.9066320800000001</v>
      </c>
      <c r="L48">
        <v>0.16988059000207981</v>
      </c>
      <c r="M48">
        <v>1.7392019219246579</v>
      </c>
      <c r="N48" t="s">
        <v>1903</v>
      </c>
      <c r="O48" t="s">
        <v>1904</v>
      </c>
      <c r="P48">
        <v>4.0850373281961589</v>
      </c>
      <c r="Q48">
        <v>0.99295032819615914</v>
      </c>
      <c r="R48" t="s">
        <v>1905</v>
      </c>
      <c r="S48" t="s">
        <v>1906</v>
      </c>
      <c r="T48">
        <v>40.610769740492678</v>
      </c>
      <c r="U48">
        <v>0.4417875</v>
      </c>
      <c r="V48" t="s">
        <v>170</v>
      </c>
      <c r="W48" t="s">
        <v>1907</v>
      </c>
      <c r="X48" t="s">
        <v>172</v>
      </c>
      <c r="Y48" t="s">
        <v>172</v>
      </c>
      <c r="Z48" t="s">
        <v>172</v>
      </c>
      <c r="AA48" t="s">
        <v>1908</v>
      </c>
      <c r="AB48" t="s">
        <v>1909</v>
      </c>
      <c r="AC48" t="s">
        <v>1910</v>
      </c>
      <c r="AD48" t="s">
        <v>176</v>
      </c>
      <c r="AE48" t="s">
        <v>177</v>
      </c>
      <c r="AF48">
        <v>57.064326479999998</v>
      </c>
      <c r="AG48" t="s">
        <v>178</v>
      </c>
      <c r="AH48" t="s">
        <v>1911</v>
      </c>
      <c r="AI48" t="s">
        <v>1912</v>
      </c>
      <c r="AJ48" t="s">
        <v>1913</v>
      </c>
      <c r="AK48" t="s">
        <v>1914</v>
      </c>
      <c r="AL48">
        <v>29.27</v>
      </c>
      <c r="AM48" t="s">
        <v>183</v>
      </c>
      <c r="AN48" t="s">
        <v>396</v>
      </c>
      <c r="AO48" t="s">
        <v>1915</v>
      </c>
      <c r="AP48" t="s">
        <v>1916</v>
      </c>
      <c r="AQ48" t="s">
        <v>1917</v>
      </c>
      <c r="AR48" t="s">
        <v>1918</v>
      </c>
      <c r="AS48" t="s">
        <v>649</v>
      </c>
      <c r="AT48" t="s">
        <v>381</v>
      </c>
      <c r="AU48" t="s">
        <v>1919</v>
      </c>
      <c r="AV48" t="s">
        <v>1920</v>
      </c>
      <c r="AW48" t="s">
        <v>1921</v>
      </c>
      <c r="AX48" t="s">
        <v>1922</v>
      </c>
      <c r="AY48" t="s">
        <v>1923</v>
      </c>
      <c r="AZ48" t="s">
        <v>964</v>
      </c>
      <c r="BA48" t="s">
        <v>1924</v>
      </c>
      <c r="BB48" t="s">
        <v>1925</v>
      </c>
      <c r="BC48" t="s">
        <v>1926</v>
      </c>
      <c r="BD48" t="s">
        <v>161</v>
      </c>
      <c r="BE48" t="s">
        <v>1409</v>
      </c>
      <c r="BF48" t="s">
        <v>1159</v>
      </c>
      <c r="BG48" t="s">
        <v>1593</v>
      </c>
      <c r="BH48" t="s">
        <v>785</v>
      </c>
      <c r="BI48" t="s">
        <v>1814</v>
      </c>
      <c r="BJ48" t="s">
        <v>1815</v>
      </c>
      <c r="BK48" t="s">
        <v>161</v>
      </c>
      <c r="BL48" t="s">
        <v>1816</v>
      </c>
      <c r="BM48" t="s">
        <v>159</v>
      </c>
      <c r="BN48" t="s">
        <v>209</v>
      </c>
      <c r="BO48" t="s">
        <v>277</v>
      </c>
      <c r="BP48" t="s">
        <v>204</v>
      </c>
      <c r="BQ48" t="s">
        <v>1445</v>
      </c>
      <c r="BR48" t="s">
        <v>1927</v>
      </c>
      <c r="BS48" t="s">
        <v>1928</v>
      </c>
      <c r="BT48" t="s">
        <v>159</v>
      </c>
      <c r="BU48" t="s">
        <v>208</v>
      </c>
      <c r="BV48" t="s">
        <v>209</v>
      </c>
      <c r="BW48" t="s">
        <v>210</v>
      </c>
      <c r="BX48" t="s">
        <v>211</v>
      </c>
      <c r="BY48" t="s">
        <v>172</v>
      </c>
      <c r="BZ48" t="s">
        <v>212</v>
      </c>
      <c r="CA48" t="s">
        <v>172</v>
      </c>
      <c r="CB48" t="s">
        <v>172</v>
      </c>
      <c r="CC48" t="s">
        <v>213</v>
      </c>
      <c r="CD48" t="s">
        <v>214</v>
      </c>
      <c r="CE48" t="s">
        <v>215</v>
      </c>
      <c r="CF48" t="s">
        <v>216</v>
      </c>
      <c r="CG48" t="s">
        <v>217</v>
      </c>
      <c r="CH48" t="s">
        <v>218</v>
      </c>
      <c r="CI48" t="s">
        <v>178</v>
      </c>
      <c r="CJ48" t="s">
        <v>210</v>
      </c>
      <c r="CK48" t="s">
        <v>219</v>
      </c>
      <c r="CL48" t="s">
        <v>219</v>
      </c>
      <c r="CM48" t="s">
        <v>219</v>
      </c>
      <c r="CN48" t="s">
        <v>172</v>
      </c>
      <c r="CO48" t="s">
        <v>220</v>
      </c>
      <c r="CP48" t="s">
        <v>172</v>
      </c>
      <c r="CQ48" t="s">
        <v>172</v>
      </c>
      <c r="CR48" t="s">
        <v>172</v>
      </c>
      <c r="CS48" t="s">
        <v>172</v>
      </c>
      <c r="CT48" t="s">
        <v>1929</v>
      </c>
      <c r="CU48" t="s">
        <v>1930</v>
      </c>
      <c r="CV48" t="s">
        <v>1931</v>
      </c>
      <c r="CW48" t="s">
        <v>1932</v>
      </c>
      <c r="CX48" t="s">
        <v>1933</v>
      </c>
      <c r="CY48" t="s">
        <v>1934</v>
      </c>
      <c r="CZ48" t="s">
        <v>1935</v>
      </c>
      <c r="DA48" t="s">
        <v>1936</v>
      </c>
      <c r="DB48" t="s">
        <v>1908</v>
      </c>
      <c r="DC48" t="s">
        <v>547</v>
      </c>
      <c r="DD48" t="s">
        <v>230</v>
      </c>
      <c r="DE48" t="s">
        <v>231</v>
      </c>
      <c r="DF48" t="s">
        <v>178</v>
      </c>
      <c r="DG48" t="s">
        <v>232</v>
      </c>
      <c r="DH48" t="s">
        <v>233</v>
      </c>
      <c r="DI48" t="s">
        <v>178</v>
      </c>
      <c r="DJ48" t="s">
        <v>234</v>
      </c>
      <c r="DK48" t="s">
        <v>235</v>
      </c>
      <c r="DL48" t="s">
        <v>236</v>
      </c>
      <c r="DM48" t="s">
        <v>172</v>
      </c>
      <c r="DN48" t="s">
        <v>1907</v>
      </c>
      <c r="DO48" t="s">
        <v>237</v>
      </c>
      <c r="DP48" t="s">
        <v>238</v>
      </c>
      <c r="DQ48" t="s">
        <v>239</v>
      </c>
      <c r="DR48" t="s">
        <v>240</v>
      </c>
      <c r="DS48" t="s">
        <v>241</v>
      </c>
      <c r="DT48" t="s">
        <v>242</v>
      </c>
    </row>
    <row r="49" spans="1:124" x14ac:dyDescent="0.45">
      <c r="A49" t="s">
        <v>1937</v>
      </c>
      <c r="B49" t="s">
        <v>1938</v>
      </c>
      <c r="C49" t="s">
        <v>161</v>
      </c>
      <c r="D49" t="s">
        <v>162</v>
      </c>
      <c r="E49" t="s">
        <v>163</v>
      </c>
      <c r="I49" t="s">
        <v>1939</v>
      </c>
      <c r="J49">
        <v>0.1031046594363568</v>
      </c>
      <c r="K49">
        <v>2.9066320800000001</v>
      </c>
      <c r="L49">
        <v>9.9572599419879143E-2</v>
      </c>
      <c r="M49">
        <v>1.186456632875823</v>
      </c>
      <c r="N49" t="s">
        <v>1940</v>
      </c>
      <c r="O49" t="s">
        <v>1941</v>
      </c>
      <c r="P49">
        <v>4.15155975131644</v>
      </c>
      <c r="Q49">
        <v>1.1562077513164399</v>
      </c>
      <c r="R49" t="s">
        <v>1942</v>
      </c>
      <c r="S49" t="s">
        <v>1943</v>
      </c>
      <c r="T49">
        <v>41.267989575710153</v>
      </c>
      <c r="U49">
        <v>0.4417875</v>
      </c>
      <c r="V49" t="s">
        <v>170</v>
      </c>
      <c r="W49" t="s">
        <v>1944</v>
      </c>
      <c r="X49" t="s">
        <v>172</v>
      </c>
      <c r="Y49" t="s">
        <v>172</v>
      </c>
      <c r="Z49" t="s">
        <v>172</v>
      </c>
      <c r="AA49" t="s">
        <v>1945</v>
      </c>
      <c r="AB49" t="s">
        <v>1946</v>
      </c>
      <c r="AC49" t="s">
        <v>1947</v>
      </c>
      <c r="AD49" t="s">
        <v>176</v>
      </c>
      <c r="AE49" t="s">
        <v>177</v>
      </c>
      <c r="AF49">
        <v>59.029656000000003</v>
      </c>
      <c r="AG49" t="s">
        <v>178</v>
      </c>
      <c r="AH49" t="s">
        <v>1948</v>
      </c>
      <c r="AI49" t="s">
        <v>1949</v>
      </c>
      <c r="AJ49" t="s">
        <v>1950</v>
      </c>
      <c r="AK49" t="s">
        <v>348</v>
      </c>
      <c r="AL49">
        <v>29.55</v>
      </c>
      <c r="AM49" t="s">
        <v>349</v>
      </c>
      <c r="AN49" t="s">
        <v>396</v>
      </c>
      <c r="AO49" t="s">
        <v>1951</v>
      </c>
      <c r="AP49" t="s">
        <v>1952</v>
      </c>
      <c r="AQ49" t="s">
        <v>1953</v>
      </c>
      <c r="AR49" t="s">
        <v>1918</v>
      </c>
      <c r="AS49" t="s">
        <v>1768</v>
      </c>
      <c r="AT49" t="s">
        <v>190</v>
      </c>
      <c r="AU49" t="s">
        <v>1038</v>
      </c>
      <c r="AV49" t="s">
        <v>1954</v>
      </c>
      <c r="AW49" t="s">
        <v>1955</v>
      </c>
      <c r="AX49" t="s">
        <v>1956</v>
      </c>
      <c r="AY49" t="s">
        <v>1957</v>
      </c>
      <c r="AZ49" t="s">
        <v>964</v>
      </c>
      <c r="BA49" t="s">
        <v>1958</v>
      </c>
      <c r="BB49" t="s">
        <v>1959</v>
      </c>
      <c r="BC49" t="s">
        <v>1960</v>
      </c>
      <c r="BD49" t="s">
        <v>161</v>
      </c>
      <c r="BE49" t="s">
        <v>1961</v>
      </c>
      <c r="BF49" t="s">
        <v>1962</v>
      </c>
      <c r="BG49" t="s">
        <v>1629</v>
      </c>
      <c r="BH49" t="s">
        <v>785</v>
      </c>
      <c r="BI49" t="s">
        <v>1814</v>
      </c>
      <c r="BJ49" t="s">
        <v>1815</v>
      </c>
      <c r="BK49" t="s">
        <v>161</v>
      </c>
      <c r="BL49" t="s">
        <v>1816</v>
      </c>
      <c r="BM49" t="s">
        <v>159</v>
      </c>
      <c r="BN49" t="s">
        <v>886</v>
      </c>
      <c r="BO49" t="s">
        <v>209</v>
      </c>
      <c r="BP49" t="s">
        <v>204</v>
      </c>
      <c r="BQ49" t="s">
        <v>1523</v>
      </c>
      <c r="BR49" t="s">
        <v>1963</v>
      </c>
      <c r="BS49" t="s">
        <v>1631</v>
      </c>
      <c r="BT49" t="s">
        <v>159</v>
      </c>
      <c r="BU49" t="s">
        <v>208</v>
      </c>
      <c r="BV49" t="s">
        <v>209</v>
      </c>
      <c r="BW49" t="s">
        <v>210</v>
      </c>
      <c r="BX49" t="s">
        <v>211</v>
      </c>
      <c r="BY49" t="s">
        <v>172</v>
      </c>
      <c r="BZ49" t="s">
        <v>212</v>
      </c>
      <c r="CA49" t="s">
        <v>172</v>
      </c>
      <c r="CB49" t="s">
        <v>172</v>
      </c>
      <c r="CC49" t="s">
        <v>213</v>
      </c>
      <c r="CD49" t="s">
        <v>214</v>
      </c>
      <c r="CE49" t="s">
        <v>215</v>
      </c>
      <c r="CF49" t="s">
        <v>216</v>
      </c>
      <c r="CG49" t="s">
        <v>217</v>
      </c>
      <c r="CH49" t="s">
        <v>218</v>
      </c>
      <c r="CI49" t="s">
        <v>178</v>
      </c>
      <c r="CJ49" t="s">
        <v>210</v>
      </c>
      <c r="CK49" t="s">
        <v>219</v>
      </c>
      <c r="CL49" t="s">
        <v>219</v>
      </c>
      <c r="CM49" t="s">
        <v>219</v>
      </c>
      <c r="CN49" t="s">
        <v>172</v>
      </c>
      <c r="CO49" t="s">
        <v>220</v>
      </c>
      <c r="CP49" t="s">
        <v>172</v>
      </c>
      <c r="CQ49" t="s">
        <v>172</v>
      </c>
      <c r="CR49" t="s">
        <v>172</v>
      </c>
      <c r="CS49" t="s">
        <v>172</v>
      </c>
      <c r="CT49" t="s">
        <v>1964</v>
      </c>
      <c r="CU49" t="s">
        <v>1965</v>
      </c>
      <c r="CV49" t="s">
        <v>1966</v>
      </c>
      <c r="CW49" t="s">
        <v>1967</v>
      </c>
      <c r="CX49" t="s">
        <v>1968</v>
      </c>
      <c r="CY49" t="s">
        <v>1969</v>
      </c>
      <c r="CZ49" t="s">
        <v>1970</v>
      </c>
      <c r="DA49" t="s">
        <v>1971</v>
      </c>
      <c r="DB49" t="s">
        <v>1945</v>
      </c>
      <c r="DC49" t="s">
        <v>1972</v>
      </c>
      <c r="DD49" t="s">
        <v>230</v>
      </c>
      <c r="DE49" t="s">
        <v>231</v>
      </c>
      <c r="DF49" t="s">
        <v>178</v>
      </c>
      <c r="DG49" t="s">
        <v>232</v>
      </c>
      <c r="DH49" t="s">
        <v>233</v>
      </c>
      <c r="DI49" t="s">
        <v>178</v>
      </c>
      <c r="DJ49" t="s">
        <v>234</v>
      </c>
      <c r="DK49" t="s">
        <v>235</v>
      </c>
      <c r="DL49" t="s">
        <v>236</v>
      </c>
      <c r="DM49" t="s">
        <v>172</v>
      </c>
      <c r="DN49" t="s">
        <v>1944</v>
      </c>
      <c r="DO49" t="s">
        <v>237</v>
      </c>
      <c r="DP49" t="s">
        <v>238</v>
      </c>
      <c r="DQ49" t="s">
        <v>239</v>
      </c>
      <c r="DR49" t="s">
        <v>240</v>
      </c>
      <c r="DS49" t="s">
        <v>241</v>
      </c>
      <c r="DT49" t="s">
        <v>242</v>
      </c>
    </row>
    <row r="50" spans="1:124" x14ac:dyDescent="0.45">
      <c r="A50" t="s">
        <v>1973</v>
      </c>
      <c r="B50" t="s">
        <v>1974</v>
      </c>
      <c r="C50" t="s">
        <v>161</v>
      </c>
      <c r="D50" t="s">
        <v>162</v>
      </c>
      <c r="E50" t="s">
        <v>163</v>
      </c>
      <c r="I50" t="s">
        <v>1975</v>
      </c>
      <c r="J50">
        <v>0.19157155797228209</v>
      </c>
      <c r="K50">
        <v>2.9050319999999989</v>
      </c>
      <c r="L50">
        <v>0.17971997247324609</v>
      </c>
      <c r="M50">
        <v>1.9149523084896161</v>
      </c>
      <c r="N50" t="s">
        <v>1976</v>
      </c>
      <c r="O50" t="s">
        <v>1977</v>
      </c>
      <c r="P50">
        <v>4.1039482269951471</v>
      </c>
      <c r="Q50">
        <v>1.033821226995147</v>
      </c>
      <c r="R50" t="s">
        <v>1978</v>
      </c>
      <c r="S50" t="s">
        <v>1979</v>
      </c>
      <c r="T50">
        <v>40.794713986035262</v>
      </c>
      <c r="U50">
        <v>0.4417875</v>
      </c>
      <c r="V50" t="s">
        <v>170</v>
      </c>
      <c r="W50" t="s">
        <v>1980</v>
      </c>
      <c r="X50" t="s">
        <v>172</v>
      </c>
      <c r="Y50" t="s">
        <v>172</v>
      </c>
      <c r="Z50" t="s">
        <v>172</v>
      </c>
      <c r="AA50" t="s">
        <v>1981</v>
      </c>
      <c r="AB50" t="s">
        <v>1982</v>
      </c>
      <c r="AC50" t="s">
        <v>1983</v>
      </c>
      <c r="AD50" t="s">
        <v>176</v>
      </c>
      <c r="AE50" t="s">
        <v>177</v>
      </c>
      <c r="AF50">
        <v>51.901311</v>
      </c>
      <c r="AG50" t="s">
        <v>178</v>
      </c>
      <c r="AH50" t="s">
        <v>1984</v>
      </c>
      <c r="AI50" t="s">
        <v>721</v>
      </c>
      <c r="AJ50" t="s">
        <v>1985</v>
      </c>
      <c r="AK50" t="s">
        <v>1800</v>
      </c>
      <c r="AL50">
        <v>29.35</v>
      </c>
      <c r="AM50" t="s">
        <v>349</v>
      </c>
      <c r="AN50" t="s">
        <v>305</v>
      </c>
      <c r="AO50" t="s">
        <v>1986</v>
      </c>
      <c r="AP50" t="s">
        <v>1987</v>
      </c>
      <c r="AQ50" t="s">
        <v>1988</v>
      </c>
      <c r="AR50" t="s">
        <v>1989</v>
      </c>
      <c r="AS50" t="s">
        <v>261</v>
      </c>
      <c r="AT50" t="s">
        <v>262</v>
      </c>
      <c r="AU50" t="s">
        <v>1990</v>
      </c>
      <c r="AV50" t="s">
        <v>1991</v>
      </c>
      <c r="AW50" t="s">
        <v>1992</v>
      </c>
      <c r="AX50" t="s">
        <v>266</v>
      </c>
      <c r="AY50" t="s">
        <v>1993</v>
      </c>
      <c r="AZ50" t="s">
        <v>964</v>
      </c>
      <c r="BA50" t="s">
        <v>1958</v>
      </c>
      <c r="BB50" t="s">
        <v>1959</v>
      </c>
      <c r="BC50" t="s">
        <v>1994</v>
      </c>
      <c r="BD50" t="s">
        <v>161</v>
      </c>
      <c r="BE50" t="s">
        <v>1995</v>
      </c>
      <c r="BF50" t="s">
        <v>1996</v>
      </c>
      <c r="BG50" t="s">
        <v>1997</v>
      </c>
      <c r="BH50" t="s">
        <v>785</v>
      </c>
      <c r="BI50" t="s">
        <v>1814</v>
      </c>
      <c r="BJ50" t="s">
        <v>1815</v>
      </c>
      <c r="BK50" t="s">
        <v>161</v>
      </c>
      <c r="BL50" t="s">
        <v>1816</v>
      </c>
      <c r="BM50" t="s">
        <v>159</v>
      </c>
      <c r="BN50" t="s">
        <v>203</v>
      </c>
      <c r="BO50" t="s">
        <v>209</v>
      </c>
      <c r="BP50" t="s">
        <v>204</v>
      </c>
      <c r="BQ50" t="s">
        <v>1998</v>
      </c>
      <c r="BR50" t="s">
        <v>1999</v>
      </c>
      <c r="BS50" t="s">
        <v>1852</v>
      </c>
      <c r="BT50" t="s">
        <v>159</v>
      </c>
      <c r="BU50" t="s">
        <v>208</v>
      </c>
      <c r="BV50" t="s">
        <v>209</v>
      </c>
      <c r="BW50" t="s">
        <v>210</v>
      </c>
      <c r="BX50" t="s">
        <v>211</v>
      </c>
      <c r="BY50" t="s">
        <v>172</v>
      </c>
      <c r="BZ50" t="s">
        <v>212</v>
      </c>
      <c r="CA50" t="s">
        <v>172</v>
      </c>
      <c r="CB50" t="s">
        <v>172</v>
      </c>
      <c r="CC50" t="s">
        <v>213</v>
      </c>
      <c r="CD50" t="s">
        <v>214</v>
      </c>
      <c r="CE50" t="s">
        <v>215</v>
      </c>
      <c r="CF50" t="s">
        <v>216</v>
      </c>
      <c r="CG50" t="s">
        <v>217</v>
      </c>
      <c r="CH50" t="s">
        <v>218</v>
      </c>
      <c r="CI50" t="s">
        <v>178</v>
      </c>
      <c r="CJ50" t="s">
        <v>210</v>
      </c>
      <c r="CK50" t="s">
        <v>219</v>
      </c>
      <c r="CL50" t="s">
        <v>219</v>
      </c>
      <c r="CM50" t="s">
        <v>219</v>
      </c>
      <c r="CN50" t="s">
        <v>172</v>
      </c>
      <c r="CO50" t="s">
        <v>220</v>
      </c>
      <c r="CP50" t="s">
        <v>172</v>
      </c>
      <c r="CQ50" t="s">
        <v>172</v>
      </c>
      <c r="CR50" t="s">
        <v>172</v>
      </c>
      <c r="CS50" t="s">
        <v>172</v>
      </c>
      <c r="CT50" t="s">
        <v>2000</v>
      </c>
      <c r="CU50" t="s">
        <v>2001</v>
      </c>
      <c r="CV50" t="s">
        <v>2002</v>
      </c>
      <c r="CW50" t="s">
        <v>2003</v>
      </c>
      <c r="CX50" t="s">
        <v>2004</v>
      </c>
      <c r="CY50" t="s">
        <v>2005</v>
      </c>
      <c r="CZ50" t="s">
        <v>2006</v>
      </c>
      <c r="DA50" t="s">
        <v>2007</v>
      </c>
      <c r="DB50" t="s">
        <v>1981</v>
      </c>
      <c r="DC50" t="s">
        <v>547</v>
      </c>
      <c r="DD50" t="s">
        <v>230</v>
      </c>
      <c r="DE50" t="s">
        <v>231</v>
      </c>
      <c r="DF50" t="s">
        <v>178</v>
      </c>
      <c r="DG50" t="s">
        <v>232</v>
      </c>
      <c r="DH50" t="s">
        <v>233</v>
      </c>
      <c r="DI50" t="s">
        <v>178</v>
      </c>
      <c r="DJ50" t="s">
        <v>234</v>
      </c>
      <c r="DK50" t="s">
        <v>235</v>
      </c>
      <c r="DL50" t="s">
        <v>236</v>
      </c>
      <c r="DM50" t="s">
        <v>172</v>
      </c>
      <c r="DN50" t="s">
        <v>1980</v>
      </c>
      <c r="DO50" t="s">
        <v>237</v>
      </c>
      <c r="DP50" t="s">
        <v>238</v>
      </c>
      <c r="DQ50" t="s">
        <v>239</v>
      </c>
      <c r="DR50" t="s">
        <v>240</v>
      </c>
      <c r="DS50" t="s">
        <v>241</v>
      </c>
      <c r="DT50" t="s">
        <v>242</v>
      </c>
    </row>
    <row r="51" spans="1:124" x14ac:dyDescent="0.45">
      <c r="A51" t="s">
        <v>2008</v>
      </c>
      <c r="B51" t="s">
        <v>2009</v>
      </c>
      <c r="C51" t="s">
        <v>161</v>
      </c>
      <c r="D51" t="s">
        <v>162</v>
      </c>
      <c r="E51" t="s">
        <v>163</v>
      </c>
      <c r="I51" t="s">
        <v>2010</v>
      </c>
      <c r="J51">
        <v>0.23325596868896081</v>
      </c>
      <c r="K51">
        <v>2.9050319999999989</v>
      </c>
      <c r="L51">
        <v>0.21591901699049859</v>
      </c>
      <c r="M51">
        <v>2.204438791647068</v>
      </c>
      <c r="N51" t="s">
        <v>2011</v>
      </c>
      <c r="O51" t="s">
        <v>2012</v>
      </c>
      <c r="P51">
        <v>4.0897579160851754</v>
      </c>
      <c r="Q51">
        <v>0.99030591608517549</v>
      </c>
      <c r="R51" t="s">
        <v>2013</v>
      </c>
      <c r="S51" t="s">
        <v>2014</v>
      </c>
      <c r="T51">
        <v>40.653657217546467</v>
      </c>
      <c r="U51">
        <v>0.4417875</v>
      </c>
      <c r="V51" t="s">
        <v>170</v>
      </c>
      <c r="W51" t="s">
        <v>2015</v>
      </c>
      <c r="X51" t="s">
        <v>172</v>
      </c>
      <c r="Y51" t="s">
        <v>172</v>
      </c>
      <c r="Z51" t="s">
        <v>172</v>
      </c>
      <c r="AA51" t="s">
        <v>2016</v>
      </c>
      <c r="AB51" t="s">
        <v>2017</v>
      </c>
      <c r="AC51" t="s">
        <v>2018</v>
      </c>
      <c r="AD51" t="s">
        <v>176</v>
      </c>
      <c r="AE51" t="s">
        <v>177</v>
      </c>
      <c r="AF51">
        <v>52.658958239999997</v>
      </c>
      <c r="AG51" t="s">
        <v>178</v>
      </c>
      <c r="AH51" t="s">
        <v>2019</v>
      </c>
      <c r="AI51" t="s">
        <v>2020</v>
      </c>
      <c r="AJ51" t="s">
        <v>2021</v>
      </c>
      <c r="AK51" t="s">
        <v>2022</v>
      </c>
      <c r="AL51">
        <v>29.29</v>
      </c>
      <c r="AM51" t="s">
        <v>349</v>
      </c>
      <c r="AN51" t="s">
        <v>305</v>
      </c>
      <c r="AO51" t="s">
        <v>837</v>
      </c>
      <c r="AP51" t="s">
        <v>2023</v>
      </c>
      <c r="AQ51" t="s">
        <v>1988</v>
      </c>
      <c r="AR51" t="s">
        <v>2024</v>
      </c>
      <c r="AS51" t="s">
        <v>1000</v>
      </c>
      <c r="AT51" t="s">
        <v>2025</v>
      </c>
      <c r="AU51" t="s">
        <v>2026</v>
      </c>
      <c r="AV51" t="s">
        <v>2027</v>
      </c>
      <c r="AW51" t="s">
        <v>2028</v>
      </c>
      <c r="AX51" t="s">
        <v>2029</v>
      </c>
      <c r="AY51" t="s">
        <v>2030</v>
      </c>
      <c r="AZ51" t="s">
        <v>964</v>
      </c>
      <c r="BA51" t="s">
        <v>2031</v>
      </c>
      <c r="BB51" t="s">
        <v>2032</v>
      </c>
      <c r="BC51" t="s">
        <v>2033</v>
      </c>
      <c r="BD51" t="s">
        <v>161</v>
      </c>
      <c r="BE51" t="s">
        <v>734</v>
      </c>
      <c r="BF51" t="s">
        <v>2034</v>
      </c>
      <c r="BG51" t="s">
        <v>2035</v>
      </c>
      <c r="BH51" t="s">
        <v>709</v>
      </c>
      <c r="BI51" t="s">
        <v>1228</v>
      </c>
      <c r="BJ51" t="s">
        <v>1815</v>
      </c>
      <c r="BK51" t="s">
        <v>161</v>
      </c>
      <c r="BL51" t="s">
        <v>1816</v>
      </c>
      <c r="BM51" t="s">
        <v>159</v>
      </c>
      <c r="BN51" t="s">
        <v>209</v>
      </c>
      <c r="BO51" t="s">
        <v>209</v>
      </c>
      <c r="BP51" t="s">
        <v>204</v>
      </c>
      <c r="BQ51" t="s">
        <v>1084</v>
      </c>
      <c r="BR51" t="s">
        <v>2036</v>
      </c>
      <c r="BS51" t="s">
        <v>2037</v>
      </c>
      <c r="BT51" t="s">
        <v>159</v>
      </c>
      <c r="BU51" t="s">
        <v>208</v>
      </c>
      <c r="BV51" t="s">
        <v>209</v>
      </c>
      <c r="BW51" t="s">
        <v>210</v>
      </c>
      <c r="BX51" t="s">
        <v>211</v>
      </c>
      <c r="BY51" t="s">
        <v>172</v>
      </c>
      <c r="BZ51" t="s">
        <v>212</v>
      </c>
      <c r="CA51" t="s">
        <v>172</v>
      </c>
      <c r="CB51" t="s">
        <v>172</v>
      </c>
      <c r="CC51" t="s">
        <v>213</v>
      </c>
      <c r="CD51" t="s">
        <v>214</v>
      </c>
      <c r="CE51" t="s">
        <v>215</v>
      </c>
      <c r="CF51" t="s">
        <v>216</v>
      </c>
      <c r="CG51" t="s">
        <v>217</v>
      </c>
      <c r="CH51" t="s">
        <v>218</v>
      </c>
      <c r="CI51" t="s">
        <v>178</v>
      </c>
      <c r="CJ51" t="s">
        <v>210</v>
      </c>
      <c r="CK51" t="s">
        <v>219</v>
      </c>
      <c r="CL51" t="s">
        <v>219</v>
      </c>
      <c r="CM51" t="s">
        <v>219</v>
      </c>
      <c r="CN51" t="s">
        <v>172</v>
      </c>
      <c r="CO51" t="s">
        <v>220</v>
      </c>
      <c r="CP51" t="s">
        <v>172</v>
      </c>
      <c r="CQ51" t="s">
        <v>172</v>
      </c>
      <c r="CR51" t="s">
        <v>172</v>
      </c>
      <c r="CS51" t="s">
        <v>172</v>
      </c>
      <c r="CT51" t="s">
        <v>2038</v>
      </c>
      <c r="CU51" t="s">
        <v>2039</v>
      </c>
      <c r="CV51" t="s">
        <v>2040</v>
      </c>
      <c r="CW51" t="s">
        <v>2041</v>
      </c>
      <c r="CX51" t="s">
        <v>2042</v>
      </c>
      <c r="CY51" t="s">
        <v>2043</v>
      </c>
      <c r="CZ51" t="s">
        <v>2044</v>
      </c>
      <c r="DA51" t="s">
        <v>2045</v>
      </c>
      <c r="DB51" t="s">
        <v>2016</v>
      </c>
      <c r="DC51" t="s">
        <v>380</v>
      </c>
      <c r="DD51" t="s">
        <v>230</v>
      </c>
      <c r="DE51" t="s">
        <v>231</v>
      </c>
      <c r="DF51" t="s">
        <v>178</v>
      </c>
      <c r="DG51" t="s">
        <v>232</v>
      </c>
      <c r="DH51" t="s">
        <v>233</v>
      </c>
      <c r="DI51" t="s">
        <v>178</v>
      </c>
      <c r="DJ51" t="s">
        <v>234</v>
      </c>
      <c r="DK51" t="s">
        <v>235</v>
      </c>
      <c r="DL51" t="s">
        <v>236</v>
      </c>
      <c r="DM51" t="s">
        <v>172</v>
      </c>
      <c r="DN51" t="s">
        <v>2015</v>
      </c>
      <c r="DO51" t="s">
        <v>237</v>
      </c>
      <c r="DP51" t="s">
        <v>238</v>
      </c>
      <c r="DQ51" t="s">
        <v>239</v>
      </c>
      <c r="DR51" t="s">
        <v>240</v>
      </c>
      <c r="DS51" t="s">
        <v>241</v>
      </c>
      <c r="DT51" t="s">
        <v>242</v>
      </c>
    </row>
    <row r="52" spans="1:124" x14ac:dyDescent="0.45">
      <c r="A52" t="s">
        <v>2046</v>
      </c>
      <c r="B52" t="s">
        <v>2047</v>
      </c>
      <c r="C52" t="s">
        <v>161</v>
      </c>
      <c r="D52" t="s">
        <v>162</v>
      </c>
      <c r="E52" t="s">
        <v>163</v>
      </c>
      <c r="I52" t="s">
        <v>2048</v>
      </c>
      <c r="J52">
        <v>0.12596230826976171</v>
      </c>
      <c r="K52">
        <v>2.9058327199999998</v>
      </c>
      <c r="L52">
        <v>0.1207289389434384</v>
      </c>
      <c r="M52">
        <v>1.384334728733424</v>
      </c>
      <c r="N52" t="s">
        <v>2049</v>
      </c>
      <c r="O52" t="s">
        <v>2050</v>
      </c>
      <c r="P52">
        <v>4.1659367765969373</v>
      </c>
      <c r="Q52">
        <v>1.112317776596937</v>
      </c>
      <c r="R52" t="s">
        <v>2051</v>
      </c>
      <c r="S52" t="s">
        <v>2052</v>
      </c>
      <c r="T52">
        <v>41.406786369117761</v>
      </c>
      <c r="U52">
        <v>0.4417875</v>
      </c>
      <c r="V52" t="s">
        <v>170</v>
      </c>
      <c r="W52" t="s">
        <v>2053</v>
      </c>
      <c r="X52" t="s">
        <v>172</v>
      </c>
      <c r="Y52" t="s">
        <v>172</v>
      </c>
      <c r="Z52" t="s">
        <v>172</v>
      </c>
      <c r="AA52" t="s">
        <v>2054</v>
      </c>
      <c r="AB52" t="s">
        <v>2055</v>
      </c>
      <c r="AC52" t="s">
        <v>2056</v>
      </c>
      <c r="AD52" t="s">
        <v>176</v>
      </c>
      <c r="AE52" t="s">
        <v>177</v>
      </c>
      <c r="AF52">
        <v>42.411537419999988</v>
      </c>
      <c r="AG52" t="s">
        <v>178</v>
      </c>
      <c r="AH52" t="s">
        <v>871</v>
      </c>
      <c r="AI52" t="s">
        <v>721</v>
      </c>
      <c r="AJ52" t="s">
        <v>2021</v>
      </c>
      <c r="AK52" t="s">
        <v>2057</v>
      </c>
      <c r="AL52">
        <v>29.61</v>
      </c>
      <c r="AM52" t="s">
        <v>256</v>
      </c>
      <c r="AN52" t="s">
        <v>184</v>
      </c>
      <c r="AO52" t="s">
        <v>1843</v>
      </c>
      <c r="AP52" t="s">
        <v>876</v>
      </c>
      <c r="AQ52" t="s">
        <v>2058</v>
      </c>
      <c r="AR52" t="s">
        <v>2059</v>
      </c>
      <c r="AS52" t="s">
        <v>916</v>
      </c>
      <c r="AT52" t="s">
        <v>159</v>
      </c>
      <c r="AU52" t="s">
        <v>2060</v>
      </c>
      <c r="AV52" t="s">
        <v>2061</v>
      </c>
      <c r="AW52" t="s">
        <v>2062</v>
      </c>
      <c r="AX52" t="s">
        <v>1477</v>
      </c>
      <c r="AY52" t="s">
        <v>2063</v>
      </c>
      <c r="AZ52" t="s">
        <v>964</v>
      </c>
      <c r="BA52" t="s">
        <v>2031</v>
      </c>
      <c r="BB52" t="s">
        <v>2032</v>
      </c>
      <c r="BC52" t="s">
        <v>2064</v>
      </c>
      <c r="BD52" t="s">
        <v>161</v>
      </c>
      <c r="BE52" t="s">
        <v>1961</v>
      </c>
      <c r="BF52" t="s">
        <v>1996</v>
      </c>
      <c r="BG52" t="s">
        <v>2065</v>
      </c>
      <c r="BH52" t="s">
        <v>746</v>
      </c>
      <c r="BI52" t="s">
        <v>697</v>
      </c>
      <c r="BJ52" t="s">
        <v>1815</v>
      </c>
      <c r="BK52" t="s">
        <v>161</v>
      </c>
      <c r="BL52" t="s">
        <v>1816</v>
      </c>
      <c r="BM52" t="s">
        <v>159</v>
      </c>
      <c r="BN52" t="s">
        <v>209</v>
      </c>
      <c r="BO52" t="s">
        <v>277</v>
      </c>
      <c r="BP52" t="s">
        <v>575</v>
      </c>
      <c r="BQ52" t="s">
        <v>2066</v>
      </c>
      <c r="BR52" t="s">
        <v>370</v>
      </c>
      <c r="BS52" t="s">
        <v>2067</v>
      </c>
      <c r="BT52" t="s">
        <v>159</v>
      </c>
      <c r="BU52" t="s">
        <v>208</v>
      </c>
      <c r="BV52" t="s">
        <v>209</v>
      </c>
      <c r="BW52" t="s">
        <v>210</v>
      </c>
      <c r="BX52" t="s">
        <v>211</v>
      </c>
      <c r="BY52" t="s">
        <v>172</v>
      </c>
      <c r="BZ52" t="s">
        <v>212</v>
      </c>
      <c r="CA52" t="s">
        <v>172</v>
      </c>
      <c r="CB52" t="s">
        <v>172</v>
      </c>
      <c r="CC52" t="s">
        <v>213</v>
      </c>
      <c r="CD52" t="s">
        <v>214</v>
      </c>
      <c r="CE52" t="s">
        <v>215</v>
      </c>
      <c r="CF52" t="s">
        <v>216</v>
      </c>
      <c r="CG52" t="s">
        <v>217</v>
      </c>
      <c r="CH52" t="s">
        <v>218</v>
      </c>
      <c r="CI52" t="s">
        <v>178</v>
      </c>
      <c r="CJ52" t="s">
        <v>210</v>
      </c>
      <c r="CK52" t="s">
        <v>219</v>
      </c>
      <c r="CL52" t="s">
        <v>219</v>
      </c>
      <c r="CM52" t="s">
        <v>219</v>
      </c>
      <c r="CN52" t="s">
        <v>172</v>
      </c>
      <c r="CO52" t="s">
        <v>220</v>
      </c>
      <c r="CP52" t="s">
        <v>172</v>
      </c>
      <c r="CQ52" t="s">
        <v>172</v>
      </c>
      <c r="CR52" t="s">
        <v>172</v>
      </c>
      <c r="CS52" t="s">
        <v>172</v>
      </c>
      <c r="CT52" t="s">
        <v>2068</v>
      </c>
      <c r="CU52" t="s">
        <v>2069</v>
      </c>
      <c r="CV52" t="s">
        <v>2070</v>
      </c>
      <c r="CW52" t="s">
        <v>2071</v>
      </c>
      <c r="CX52" t="s">
        <v>2072</v>
      </c>
      <c r="CY52" t="s">
        <v>2073</v>
      </c>
      <c r="CZ52" t="s">
        <v>2074</v>
      </c>
      <c r="DA52" t="s">
        <v>2075</v>
      </c>
      <c r="DB52" t="s">
        <v>2054</v>
      </c>
      <c r="DC52" t="s">
        <v>1059</v>
      </c>
      <c r="DD52" t="s">
        <v>230</v>
      </c>
      <c r="DE52" t="s">
        <v>231</v>
      </c>
      <c r="DF52" t="s">
        <v>178</v>
      </c>
      <c r="DG52" t="s">
        <v>232</v>
      </c>
      <c r="DH52" t="s">
        <v>233</v>
      </c>
      <c r="DI52" t="s">
        <v>178</v>
      </c>
      <c r="DJ52" t="s">
        <v>234</v>
      </c>
      <c r="DK52" t="s">
        <v>235</v>
      </c>
      <c r="DL52" t="s">
        <v>236</v>
      </c>
      <c r="DM52" t="s">
        <v>172</v>
      </c>
      <c r="DN52" t="s">
        <v>2053</v>
      </c>
      <c r="DO52" t="s">
        <v>237</v>
      </c>
      <c r="DP52" t="s">
        <v>238</v>
      </c>
      <c r="DQ52" t="s">
        <v>239</v>
      </c>
      <c r="DR52" t="s">
        <v>240</v>
      </c>
      <c r="DS52" t="s">
        <v>241</v>
      </c>
      <c r="DT52" t="s">
        <v>242</v>
      </c>
    </row>
    <row r="53" spans="1:124" x14ac:dyDescent="0.45">
      <c r="A53" t="s">
        <v>2076</v>
      </c>
      <c r="B53" t="s">
        <v>2077</v>
      </c>
      <c r="C53" t="s">
        <v>161</v>
      </c>
      <c r="D53" t="s">
        <v>162</v>
      </c>
      <c r="E53" t="s">
        <v>163</v>
      </c>
      <c r="I53" t="s">
        <v>2078</v>
      </c>
      <c r="J53">
        <v>0.2304491644558507</v>
      </c>
      <c r="K53">
        <v>2.9050319999999989</v>
      </c>
      <c r="L53">
        <v>0.21351179037737611</v>
      </c>
      <c r="M53">
        <v>2.1691120871552032</v>
      </c>
      <c r="N53" t="s">
        <v>2079</v>
      </c>
      <c r="O53" t="s">
        <v>2080</v>
      </c>
      <c r="P53">
        <v>4.0826788161860863</v>
      </c>
      <c r="Q53">
        <v>0.98579481618608611</v>
      </c>
      <c r="R53" t="s">
        <v>2081</v>
      </c>
      <c r="S53" t="s">
        <v>2082</v>
      </c>
      <c r="T53">
        <v>40.5792547081412</v>
      </c>
      <c r="U53">
        <v>0.4417875</v>
      </c>
      <c r="V53" t="s">
        <v>170</v>
      </c>
      <c r="W53" t="s">
        <v>2083</v>
      </c>
      <c r="X53" t="s">
        <v>172</v>
      </c>
      <c r="Y53" t="s">
        <v>172</v>
      </c>
      <c r="Z53" t="s">
        <v>172</v>
      </c>
      <c r="AA53" t="s">
        <v>2084</v>
      </c>
      <c r="AB53" t="s">
        <v>2085</v>
      </c>
      <c r="AC53" t="s">
        <v>2086</v>
      </c>
      <c r="AD53" t="s">
        <v>176</v>
      </c>
      <c r="AE53" t="s">
        <v>177</v>
      </c>
      <c r="AF53">
        <v>49.507780139999987</v>
      </c>
      <c r="AG53" t="s">
        <v>178</v>
      </c>
      <c r="AH53" t="s">
        <v>2087</v>
      </c>
      <c r="AI53" t="s">
        <v>2088</v>
      </c>
      <c r="AJ53" t="s">
        <v>2021</v>
      </c>
      <c r="AK53" t="s">
        <v>2089</v>
      </c>
      <c r="AL53">
        <v>29.26</v>
      </c>
      <c r="AM53" t="s">
        <v>256</v>
      </c>
      <c r="AN53" t="s">
        <v>305</v>
      </c>
      <c r="AO53" t="s">
        <v>1366</v>
      </c>
      <c r="AP53" t="s">
        <v>913</v>
      </c>
      <c r="AQ53" t="s">
        <v>2090</v>
      </c>
      <c r="AR53" t="s">
        <v>2059</v>
      </c>
      <c r="AS53" t="s">
        <v>215</v>
      </c>
      <c r="AT53" t="s">
        <v>381</v>
      </c>
      <c r="AU53" t="s">
        <v>485</v>
      </c>
      <c r="AV53" t="s">
        <v>2091</v>
      </c>
      <c r="AW53" t="s">
        <v>2092</v>
      </c>
      <c r="AX53" t="s">
        <v>2093</v>
      </c>
      <c r="AY53" t="s">
        <v>2094</v>
      </c>
      <c r="AZ53" t="s">
        <v>964</v>
      </c>
      <c r="BA53" t="s">
        <v>2095</v>
      </c>
      <c r="BB53" t="s">
        <v>2096</v>
      </c>
      <c r="BC53" t="s">
        <v>2097</v>
      </c>
      <c r="BD53" t="s">
        <v>161</v>
      </c>
      <c r="BE53" t="s">
        <v>318</v>
      </c>
      <c r="BF53" t="s">
        <v>2034</v>
      </c>
      <c r="BG53" t="s">
        <v>2065</v>
      </c>
      <c r="BH53" t="s">
        <v>746</v>
      </c>
      <c r="BI53" t="s">
        <v>1667</v>
      </c>
      <c r="BJ53" t="s">
        <v>1815</v>
      </c>
      <c r="BK53" t="s">
        <v>161</v>
      </c>
      <c r="BL53" t="s">
        <v>1816</v>
      </c>
      <c r="BM53" t="s">
        <v>159</v>
      </c>
      <c r="BN53" t="s">
        <v>321</v>
      </c>
      <c r="BO53" t="s">
        <v>276</v>
      </c>
      <c r="BP53" t="s">
        <v>276</v>
      </c>
      <c r="BQ53" t="s">
        <v>2098</v>
      </c>
      <c r="BR53" t="s">
        <v>2099</v>
      </c>
      <c r="BS53" t="s">
        <v>2100</v>
      </c>
      <c r="BT53" t="s">
        <v>159</v>
      </c>
      <c r="BU53" t="s">
        <v>208</v>
      </c>
      <c r="BV53" t="s">
        <v>209</v>
      </c>
      <c r="BW53" t="s">
        <v>210</v>
      </c>
      <c r="BX53" t="s">
        <v>211</v>
      </c>
      <c r="BY53" t="s">
        <v>172</v>
      </c>
      <c r="BZ53" t="s">
        <v>212</v>
      </c>
      <c r="CA53" t="s">
        <v>172</v>
      </c>
      <c r="CB53" t="s">
        <v>172</v>
      </c>
      <c r="CC53" t="s">
        <v>213</v>
      </c>
      <c r="CD53" t="s">
        <v>214</v>
      </c>
      <c r="CE53" t="s">
        <v>215</v>
      </c>
      <c r="CF53" t="s">
        <v>216</v>
      </c>
      <c r="CG53" t="s">
        <v>217</v>
      </c>
      <c r="CH53" t="s">
        <v>218</v>
      </c>
      <c r="CI53" t="s">
        <v>178</v>
      </c>
      <c r="CJ53" t="s">
        <v>210</v>
      </c>
      <c r="CK53" t="s">
        <v>219</v>
      </c>
      <c r="CL53" t="s">
        <v>219</v>
      </c>
      <c r="CM53" t="s">
        <v>219</v>
      </c>
      <c r="CN53" t="s">
        <v>172</v>
      </c>
      <c r="CO53" t="s">
        <v>220</v>
      </c>
      <c r="CP53" t="s">
        <v>172</v>
      </c>
      <c r="CQ53" t="s">
        <v>172</v>
      </c>
      <c r="CR53" t="s">
        <v>172</v>
      </c>
      <c r="CS53" t="s">
        <v>172</v>
      </c>
      <c r="CT53" t="s">
        <v>2101</v>
      </c>
      <c r="CU53" t="s">
        <v>2102</v>
      </c>
      <c r="CV53" t="s">
        <v>2103</v>
      </c>
      <c r="CW53" t="s">
        <v>2104</v>
      </c>
      <c r="CX53" t="s">
        <v>2105</v>
      </c>
      <c r="CY53" t="s">
        <v>2106</v>
      </c>
      <c r="CZ53" t="s">
        <v>2107</v>
      </c>
      <c r="DA53" t="s">
        <v>2108</v>
      </c>
      <c r="DB53" t="s">
        <v>2084</v>
      </c>
      <c r="DC53" t="s">
        <v>1059</v>
      </c>
      <c r="DD53" t="s">
        <v>230</v>
      </c>
      <c r="DE53" t="s">
        <v>231</v>
      </c>
      <c r="DF53" t="s">
        <v>178</v>
      </c>
      <c r="DG53" t="s">
        <v>232</v>
      </c>
      <c r="DH53" t="s">
        <v>233</v>
      </c>
      <c r="DI53" t="s">
        <v>178</v>
      </c>
      <c r="DJ53" t="s">
        <v>234</v>
      </c>
      <c r="DK53" t="s">
        <v>235</v>
      </c>
      <c r="DL53" t="s">
        <v>236</v>
      </c>
      <c r="DM53" t="s">
        <v>172</v>
      </c>
      <c r="DN53" t="s">
        <v>2083</v>
      </c>
      <c r="DO53" t="s">
        <v>237</v>
      </c>
      <c r="DP53" t="s">
        <v>238</v>
      </c>
      <c r="DQ53" t="s">
        <v>239</v>
      </c>
      <c r="DR53" t="s">
        <v>240</v>
      </c>
      <c r="DS53" t="s">
        <v>241</v>
      </c>
      <c r="DT53" t="s">
        <v>242</v>
      </c>
    </row>
    <row r="54" spans="1:124" x14ac:dyDescent="0.45">
      <c r="A54" t="s">
        <v>2109</v>
      </c>
      <c r="B54" t="s">
        <v>2110</v>
      </c>
      <c r="C54" t="s">
        <v>161</v>
      </c>
      <c r="D54" t="s">
        <v>162</v>
      </c>
      <c r="E54" t="s">
        <v>163</v>
      </c>
      <c r="I54" t="s">
        <v>2111</v>
      </c>
      <c r="J54">
        <v>0.21419826486164681</v>
      </c>
      <c r="K54">
        <v>2.9066320800000001</v>
      </c>
      <c r="L54">
        <v>0.19949676186412499</v>
      </c>
      <c r="M54">
        <v>2.0738026322736332</v>
      </c>
      <c r="N54" t="s">
        <v>2112</v>
      </c>
      <c r="O54" t="s">
        <v>2113</v>
      </c>
      <c r="P54">
        <v>4.0591589137398936</v>
      </c>
      <c r="Q54">
        <v>1.008702913739894</v>
      </c>
      <c r="R54" t="s">
        <v>2114</v>
      </c>
      <c r="S54" t="s">
        <v>2115</v>
      </c>
      <c r="T54">
        <v>40.349492184293183</v>
      </c>
      <c r="U54">
        <v>0.4417875</v>
      </c>
      <c r="V54" t="s">
        <v>170</v>
      </c>
      <c r="W54" t="s">
        <v>2116</v>
      </c>
      <c r="X54" t="s">
        <v>172</v>
      </c>
      <c r="Y54" t="s">
        <v>172</v>
      </c>
      <c r="Z54" t="s">
        <v>172</v>
      </c>
      <c r="AA54" t="s">
        <v>2117</v>
      </c>
      <c r="AB54" t="s">
        <v>2118</v>
      </c>
      <c r="AC54" t="s">
        <v>2119</v>
      </c>
      <c r="AD54" t="s">
        <v>176</v>
      </c>
      <c r="AE54" t="s">
        <v>177</v>
      </c>
      <c r="AF54">
        <v>52.035624480000003</v>
      </c>
      <c r="AG54" t="s">
        <v>178</v>
      </c>
      <c r="AH54" t="s">
        <v>2120</v>
      </c>
      <c r="AI54" t="s">
        <v>2121</v>
      </c>
      <c r="AJ54" t="s">
        <v>2122</v>
      </c>
      <c r="AK54" t="s">
        <v>1655</v>
      </c>
      <c r="AL54">
        <v>29.16</v>
      </c>
      <c r="AM54" t="s">
        <v>349</v>
      </c>
      <c r="AN54" t="s">
        <v>396</v>
      </c>
      <c r="AO54" t="s">
        <v>2123</v>
      </c>
      <c r="AP54" t="s">
        <v>2023</v>
      </c>
      <c r="AQ54" t="s">
        <v>2124</v>
      </c>
      <c r="AR54" t="s">
        <v>2125</v>
      </c>
      <c r="AS54" t="s">
        <v>1514</v>
      </c>
      <c r="AT54" t="s">
        <v>2025</v>
      </c>
      <c r="AU54" t="s">
        <v>2126</v>
      </c>
      <c r="AV54" t="s">
        <v>2127</v>
      </c>
      <c r="AW54" t="s">
        <v>2128</v>
      </c>
      <c r="AX54" t="s">
        <v>1517</v>
      </c>
      <c r="AY54" t="s">
        <v>2129</v>
      </c>
      <c r="AZ54" t="s">
        <v>964</v>
      </c>
      <c r="BA54" t="s">
        <v>2130</v>
      </c>
      <c r="BB54" t="s">
        <v>2131</v>
      </c>
      <c r="BC54" t="s">
        <v>2132</v>
      </c>
      <c r="BD54" t="s">
        <v>161</v>
      </c>
      <c r="BE54" t="s">
        <v>1480</v>
      </c>
      <c r="BF54" t="s">
        <v>1996</v>
      </c>
      <c r="BG54" t="s">
        <v>2133</v>
      </c>
      <c r="BH54" t="s">
        <v>785</v>
      </c>
      <c r="BI54" t="s">
        <v>1814</v>
      </c>
      <c r="BJ54" t="s">
        <v>1815</v>
      </c>
      <c r="BK54" t="s">
        <v>161</v>
      </c>
      <c r="BL54" t="s">
        <v>1816</v>
      </c>
      <c r="BM54" t="s">
        <v>159</v>
      </c>
      <c r="BN54" t="s">
        <v>276</v>
      </c>
      <c r="BO54" t="s">
        <v>276</v>
      </c>
      <c r="BP54" t="s">
        <v>575</v>
      </c>
      <c r="BQ54" t="s">
        <v>1163</v>
      </c>
      <c r="BR54" t="s">
        <v>2134</v>
      </c>
      <c r="BS54" t="s">
        <v>2135</v>
      </c>
      <c r="BT54" t="s">
        <v>159</v>
      </c>
      <c r="BU54" t="s">
        <v>208</v>
      </c>
      <c r="BV54" t="s">
        <v>209</v>
      </c>
      <c r="BW54" t="s">
        <v>210</v>
      </c>
      <c r="BX54" t="s">
        <v>211</v>
      </c>
      <c r="BY54" t="s">
        <v>172</v>
      </c>
      <c r="BZ54" t="s">
        <v>212</v>
      </c>
      <c r="CA54" t="s">
        <v>172</v>
      </c>
      <c r="CB54" t="s">
        <v>172</v>
      </c>
      <c r="CC54" t="s">
        <v>213</v>
      </c>
      <c r="CD54" t="s">
        <v>214</v>
      </c>
      <c r="CE54" t="s">
        <v>215</v>
      </c>
      <c r="CF54" t="s">
        <v>216</v>
      </c>
      <c r="CG54" t="s">
        <v>217</v>
      </c>
      <c r="CH54" t="s">
        <v>218</v>
      </c>
      <c r="CI54" t="s">
        <v>178</v>
      </c>
      <c r="CJ54" t="s">
        <v>210</v>
      </c>
      <c r="CK54" t="s">
        <v>219</v>
      </c>
      <c r="CL54" t="s">
        <v>219</v>
      </c>
      <c r="CM54" t="s">
        <v>219</v>
      </c>
      <c r="CN54" t="s">
        <v>172</v>
      </c>
      <c r="CO54" t="s">
        <v>220</v>
      </c>
      <c r="CP54" t="s">
        <v>172</v>
      </c>
      <c r="CQ54" t="s">
        <v>172</v>
      </c>
      <c r="CR54" t="s">
        <v>172</v>
      </c>
      <c r="CS54" t="s">
        <v>172</v>
      </c>
      <c r="CT54" t="s">
        <v>2136</v>
      </c>
      <c r="CU54" t="s">
        <v>2137</v>
      </c>
      <c r="CV54" t="s">
        <v>2138</v>
      </c>
      <c r="CW54" t="s">
        <v>2139</v>
      </c>
      <c r="CX54" t="s">
        <v>2140</v>
      </c>
      <c r="CY54" t="s">
        <v>2141</v>
      </c>
      <c r="CZ54" t="s">
        <v>2142</v>
      </c>
      <c r="DA54" t="s">
        <v>2143</v>
      </c>
      <c r="DB54" t="s">
        <v>2117</v>
      </c>
      <c r="DC54" t="s">
        <v>1456</v>
      </c>
      <c r="DD54" t="s">
        <v>230</v>
      </c>
      <c r="DE54" t="s">
        <v>231</v>
      </c>
      <c r="DF54" t="s">
        <v>178</v>
      </c>
      <c r="DG54" t="s">
        <v>232</v>
      </c>
      <c r="DH54" t="s">
        <v>233</v>
      </c>
      <c r="DI54" t="s">
        <v>178</v>
      </c>
      <c r="DJ54" t="s">
        <v>234</v>
      </c>
      <c r="DK54" t="s">
        <v>235</v>
      </c>
      <c r="DL54" t="s">
        <v>236</v>
      </c>
      <c r="DM54" t="s">
        <v>172</v>
      </c>
      <c r="DN54" t="s">
        <v>2116</v>
      </c>
      <c r="DO54" t="s">
        <v>237</v>
      </c>
      <c r="DP54" t="s">
        <v>238</v>
      </c>
      <c r="DQ54" t="s">
        <v>239</v>
      </c>
      <c r="DR54" t="s">
        <v>240</v>
      </c>
      <c r="DS54" t="s">
        <v>241</v>
      </c>
      <c r="DT54" t="s">
        <v>242</v>
      </c>
    </row>
    <row r="55" spans="1:124" x14ac:dyDescent="0.45">
      <c r="A55" t="s">
        <v>2144</v>
      </c>
      <c r="B55" t="s">
        <v>2145</v>
      </c>
      <c r="C55" t="s">
        <v>161</v>
      </c>
      <c r="D55" t="s">
        <v>162</v>
      </c>
      <c r="E55" t="s">
        <v>163</v>
      </c>
      <c r="I55" t="s">
        <v>2146</v>
      </c>
      <c r="J55">
        <v>0.27079796979828052</v>
      </c>
      <c r="K55">
        <v>2.9066320800000001</v>
      </c>
      <c r="L55">
        <v>0.2477190855120549</v>
      </c>
      <c r="M55">
        <v>2.4652984937625231</v>
      </c>
      <c r="N55" t="s">
        <v>2147</v>
      </c>
      <c r="O55" t="s">
        <v>2148</v>
      </c>
      <c r="P55">
        <v>4.0217727713457538</v>
      </c>
      <c r="Q55">
        <v>0.96606777134575372</v>
      </c>
      <c r="R55" t="s">
        <v>2149</v>
      </c>
      <c r="S55" t="s">
        <v>2150</v>
      </c>
      <c r="T55">
        <v>39.973887002740817</v>
      </c>
      <c r="U55">
        <v>0.4417875</v>
      </c>
      <c r="V55" t="s">
        <v>170</v>
      </c>
      <c r="W55" t="s">
        <v>2151</v>
      </c>
      <c r="X55" t="s">
        <v>172</v>
      </c>
      <c r="Y55" t="s">
        <v>172</v>
      </c>
      <c r="Z55" t="s">
        <v>172</v>
      </c>
      <c r="AA55" t="s">
        <v>2152</v>
      </c>
      <c r="AB55" t="s">
        <v>2153</v>
      </c>
      <c r="AC55" t="s">
        <v>2154</v>
      </c>
      <c r="AD55" t="s">
        <v>176</v>
      </c>
      <c r="AE55" t="s">
        <v>177</v>
      </c>
      <c r="AF55">
        <v>47.678211840000003</v>
      </c>
      <c r="AG55" t="s">
        <v>178</v>
      </c>
      <c r="AH55" t="s">
        <v>599</v>
      </c>
      <c r="AI55" t="s">
        <v>2155</v>
      </c>
      <c r="AJ55" t="s">
        <v>2156</v>
      </c>
      <c r="AK55" t="s">
        <v>768</v>
      </c>
      <c r="AL55">
        <v>29</v>
      </c>
      <c r="AM55" t="s">
        <v>256</v>
      </c>
      <c r="AN55" t="s">
        <v>396</v>
      </c>
      <c r="AO55" t="s">
        <v>563</v>
      </c>
      <c r="AP55" t="s">
        <v>646</v>
      </c>
      <c r="AQ55" t="s">
        <v>2157</v>
      </c>
      <c r="AR55" t="s">
        <v>2158</v>
      </c>
      <c r="AS55" t="s">
        <v>526</v>
      </c>
      <c r="AT55" t="s">
        <v>381</v>
      </c>
      <c r="AU55" t="s">
        <v>2159</v>
      </c>
      <c r="AV55" t="s">
        <v>2160</v>
      </c>
      <c r="AW55" t="s">
        <v>2161</v>
      </c>
      <c r="AX55" t="s">
        <v>2162</v>
      </c>
      <c r="AY55" t="s">
        <v>2163</v>
      </c>
      <c r="AZ55" t="s">
        <v>964</v>
      </c>
      <c r="BA55" t="s">
        <v>2130</v>
      </c>
      <c r="BB55" t="s">
        <v>2131</v>
      </c>
      <c r="BC55" t="s">
        <v>2164</v>
      </c>
      <c r="BD55" t="s">
        <v>161</v>
      </c>
      <c r="BE55" t="s">
        <v>734</v>
      </c>
      <c r="BF55" t="s">
        <v>2034</v>
      </c>
      <c r="BG55" t="s">
        <v>2165</v>
      </c>
      <c r="BH55" t="s">
        <v>785</v>
      </c>
      <c r="BI55" t="s">
        <v>1814</v>
      </c>
      <c r="BJ55" t="s">
        <v>1815</v>
      </c>
      <c r="BK55" t="s">
        <v>161</v>
      </c>
      <c r="BL55" t="s">
        <v>1816</v>
      </c>
      <c r="BM55" t="s">
        <v>159</v>
      </c>
      <c r="BN55" t="s">
        <v>276</v>
      </c>
      <c r="BO55" t="s">
        <v>209</v>
      </c>
      <c r="BP55" t="s">
        <v>886</v>
      </c>
      <c r="BQ55" t="s">
        <v>2166</v>
      </c>
      <c r="BR55" t="s">
        <v>2167</v>
      </c>
      <c r="BS55" t="s">
        <v>1445</v>
      </c>
      <c r="BT55" t="s">
        <v>159</v>
      </c>
      <c r="BU55" t="s">
        <v>208</v>
      </c>
      <c r="BV55" t="s">
        <v>209</v>
      </c>
      <c r="BW55" t="s">
        <v>210</v>
      </c>
      <c r="BX55" t="s">
        <v>211</v>
      </c>
      <c r="BY55" t="s">
        <v>172</v>
      </c>
      <c r="BZ55" t="s">
        <v>212</v>
      </c>
      <c r="CA55" t="s">
        <v>172</v>
      </c>
      <c r="CB55" t="s">
        <v>172</v>
      </c>
      <c r="CC55" t="s">
        <v>213</v>
      </c>
      <c r="CD55" t="s">
        <v>214</v>
      </c>
      <c r="CE55" t="s">
        <v>215</v>
      </c>
      <c r="CF55" t="s">
        <v>216</v>
      </c>
      <c r="CG55" t="s">
        <v>217</v>
      </c>
      <c r="CH55" t="s">
        <v>218</v>
      </c>
      <c r="CI55" t="s">
        <v>178</v>
      </c>
      <c r="CJ55" t="s">
        <v>210</v>
      </c>
      <c r="CK55" t="s">
        <v>219</v>
      </c>
      <c r="CL55" t="s">
        <v>219</v>
      </c>
      <c r="CM55" t="s">
        <v>219</v>
      </c>
      <c r="CN55" t="s">
        <v>172</v>
      </c>
      <c r="CO55" t="s">
        <v>220</v>
      </c>
      <c r="CP55" t="s">
        <v>172</v>
      </c>
      <c r="CQ55" t="s">
        <v>172</v>
      </c>
      <c r="CR55" t="s">
        <v>172</v>
      </c>
      <c r="CS55" t="s">
        <v>172</v>
      </c>
      <c r="CT55" t="s">
        <v>2168</v>
      </c>
      <c r="CU55" t="s">
        <v>2169</v>
      </c>
      <c r="CV55" t="s">
        <v>2170</v>
      </c>
      <c r="CW55" t="s">
        <v>2171</v>
      </c>
      <c r="CX55" t="s">
        <v>2172</v>
      </c>
      <c r="CY55" t="s">
        <v>2173</v>
      </c>
      <c r="CZ55" t="s">
        <v>2174</v>
      </c>
      <c r="DA55" t="s">
        <v>2175</v>
      </c>
      <c r="DB55" t="s">
        <v>2152</v>
      </c>
      <c r="DC55" t="s">
        <v>333</v>
      </c>
      <c r="DD55" t="s">
        <v>230</v>
      </c>
      <c r="DE55" t="s">
        <v>231</v>
      </c>
      <c r="DF55" t="s">
        <v>178</v>
      </c>
      <c r="DG55" t="s">
        <v>232</v>
      </c>
      <c r="DH55" t="s">
        <v>233</v>
      </c>
      <c r="DI55" t="s">
        <v>178</v>
      </c>
      <c r="DJ55" t="s">
        <v>234</v>
      </c>
      <c r="DK55" t="s">
        <v>235</v>
      </c>
      <c r="DL55" t="s">
        <v>236</v>
      </c>
      <c r="DM55" t="s">
        <v>172</v>
      </c>
      <c r="DN55" t="s">
        <v>2151</v>
      </c>
      <c r="DO55" t="s">
        <v>237</v>
      </c>
      <c r="DP55" t="s">
        <v>238</v>
      </c>
      <c r="DQ55" t="s">
        <v>239</v>
      </c>
      <c r="DR55" t="s">
        <v>240</v>
      </c>
      <c r="DS55" t="s">
        <v>241</v>
      </c>
      <c r="DT55" t="s">
        <v>242</v>
      </c>
    </row>
    <row r="56" spans="1:124" x14ac:dyDescent="0.45">
      <c r="A56" t="s">
        <v>2176</v>
      </c>
      <c r="B56" t="s">
        <v>2177</v>
      </c>
      <c r="C56" t="s">
        <v>161</v>
      </c>
      <c r="D56" t="s">
        <v>162</v>
      </c>
      <c r="E56" t="s">
        <v>163</v>
      </c>
      <c r="I56" t="s">
        <v>2178</v>
      </c>
      <c r="J56">
        <v>0.20724825689687601</v>
      </c>
      <c r="K56">
        <v>2.9058327199999998</v>
      </c>
      <c r="L56">
        <v>0.19345104432657911</v>
      </c>
      <c r="M56">
        <v>1.962284088380031</v>
      </c>
      <c r="N56" t="s">
        <v>2179</v>
      </c>
      <c r="O56" t="s">
        <v>2180</v>
      </c>
      <c r="P56">
        <v>4.0897579160851754</v>
      </c>
      <c r="Q56">
        <v>0.98411291608517537</v>
      </c>
      <c r="R56" t="s">
        <v>2181</v>
      </c>
      <c r="S56" t="s">
        <v>2182</v>
      </c>
      <c r="T56">
        <v>40.64961650020053</v>
      </c>
      <c r="U56">
        <v>0.4417875</v>
      </c>
      <c r="V56" t="s">
        <v>170</v>
      </c>
      <c r="W56" t="s">
        <v>2183</v>
      </c>
      <c r="X56" t="s">
        <v>172</v>
      </c>
      <c r="Y56" t="s">
        <v>172</v>
      </c>
      <c r="Z56" t="s">
        <v>172</v>
      </c>
      <c r="AA56" t="s">
        <v>2184</v>
      </c>
      <c r="AB56" t="s">
        <v>2185</v>
      </c>
      <c r="AC56" t="s">
        <v>2186</v>
      </c>
      <c r="AD56" t="s">
        <v>176</v>
      </c>
      <c r="AE56" t="s">
        <v>177</v>
      </c>
      <c r="AF56">
        <v>48.254166240000004</v>
      </c>
      <c r="AG56" t="s">
        <v>178</v>
      </c>
      <c r="AH56" t="s">
        <v>2187</v>
      </c>
      <c r="AI56" t="s">
        <v>642</v>
      </c>
      <c r="AJ56" t="s">
        <v>2188</v>
      </c>
      <c r="AK56" t="s">
        <v>2022</v>
      </c>
      <c r="AL56">
        <v>29.29</v>
      </c>
      <c r="AM56" t="s">
        <v>256</v>
      </c>
      <c r="AN56" t="s">
        <v>184</v>
      </c>
      <c r="AO56" t="s">
        <v>2189</v>
      </c>
      <c r="AP56" t="s">
        <v>1294</v>
      </c>
      <c r="AQ56" t="s">
        <v>1584</v>
      </c>
      <c r="AR56" t="s">
        <v>2190</v>
      </c>
      <c r="AS56" t="s">
        <v>309</v>
      </c>
      <c r="AT56" t="s">
        <v>334</v>
      </c>
      <c r="AU56" t="s">
        <v>2191</v>
      </c>
      <c r="AV56" t="s">
        <v>2192</v>
      </c>
      <c r="AW56" t="s">
        <v>2193</v>
      </c>
      <c r="AX56" t="s">
        <v>2194</v>
      </c>
      <c r="AY56" t="s">
        <v>2195</v>
      </c>
      <c r="AZ56" t="s">
        <v>964</v>
      </c>
      <c r="BA56" t="s">
        <v>2196</v>
      </c>
      <c r="BB56" t="s">
        <v>2197</v>
      </c>
      <c r="BC56" t="s">
        <v>2198</v>
      </c>
      <c r="BD56" t="s">
        <v>161</v>
      </c>
      <c r="BE56" t="s">
        <v>2199</v>
      </c>
      <c r="BF56" t="s">
        <v>2200</v>
      </c>
      <c r="BG56" t="s">
        <v>2201</v>
      </c>
      <c r="BH56" t="s">
        <v>746</v>
      </c>
      <c r="BI56" t="s">
        <v>1048</v>
      </c>
      <c r="BJ56" t="s">
        <v>1815</v>
      </c>
      <c r="BK56" t="s">
        <v>161</v>
      </c>
      <c r="BL56" t="s">
        <v>1816</v>
      </c>
      <c r="BM56" t="s">
        <v>159</v>
      </c>
      <c r="BN56" t="s">
        <v>276</v>
      </c>
      <c r="BO56" t="s">
        <v>276</v>
      </c>
      <c r="BP56" t="s">
        <v>277</v>
      </c>
      <c r="BQ56" t="s">
        <v>2202</v>
      </c>
      <c r="BR56" t="s">
        <v>2203</v>
      </c>
      <c r="BS56" t="s">
        <v>2204</v>
      </c>
      <c r="BT56" t="s">
        <v>159</v>
      </c>
      <c r="BU56" t="s">
        <v>208</v>
      </c>
      <c r="BV56" t="s">
        <v>209</v>
      </c>
      <c r="BW56" t="s">
        <v>210</v>
      </c>
      <c r="BX56" t="s">
        <v>211</v>
      </c>
      <c r="BY56" t="s">
        <v>172</v>
      </c>
      <c r="BZ56" t="s">
        <v>212</v>
      </c>
      <c r="CA56" t="s">
        <v>172</v>
      </c>
      <c r="CB56" t="s">
        <v>172</v>
      </c>
      <c r="CC56" t="s">
        <v>213</v>
      </c>
      <c r="CD56" t="s">
        <v>214</v>
      </c>
      <c r="CE56" t="s">
        <v>215</v>
      </c>
      <c r="CF56" t="s">
        <v>216</v>
      </c>
      <c r="CG56" t="s">
        <v>217</v>
      </c>
      <c r="CH56" t="s">
        <v>218</v>
      </c>
      <c r="CI56" t="s">
        <v>178</v>
      </c>
      <c r="CJ56" t="s">
        <v>210</v>
      </c>
      <c r="CK56" t="s">
        <v>219</v>
      </c>
      <c r="CL56" t="s">
        <v>219</v>
      </c>
      <c r="CM56" t="s">
        <v>219</v>
      </c>
      <c r="CN56" t="s">
        <v>172</v>
      </c>
      <c r="CO56" t="s">
        <v>220</v>
      </c>
      <c r="CP56" t="s">
        <v>172</v>
      </c>
      <c r="CQ56" t="s">
        <v>172</v>
      </c>
      <c r="CR56" t="s">
        <v>172</v>
      </c>
      <c r="CS56" t="s">
        <v>172</v>
      </c>
      <c r="CT56" t="s">
        <v>2205</v>
      </c>
      <c r="CU56" t="s">
        <v>2206</v>
      </c>
      <c r="CV56" t="s">
        <v>2207</v>
      </c>
      <c r="CW56" t="s">
        <v>2208</v>
      </c>
      <c r="CX56" t="s">
        <v>2209</v>
      </c>
      <c r="CY56" t="s">
        <v>2210</v>
      </c>
      <c r="CZ56" t="s">
        <v>2211</v>
      </c>
      <c r="DA56" t="s">
        <v>2212</v>
      </c>
      <c r="DB56" t="s">
        <v>2184</v>
      </c>
      <c r="DC56" t="s">
        <v>822</v>
      </c>
      <c r="DD56" t="s">
        <v>230</v>
      </c>
      <c r="DE56" t="s">
        <v>231</v>
      </c>
      <c r="DF56" t="s">
        <v>178</v>
      </c>
      <c r="DG56" t="s">
        <v>232</v>
      </c>
      <c r="DH56" t="s">
        <v>233</v>
      </c>
      <c r="DI56" t="s">
        <v>178</v>
      </c>
      <c r="DJ56" t="s">
        <v>234</v>
      </c>
      <c r="DK56" t="s">
        <v>235</v>
      </c>
      <c r="DL56" t="s">
        <v>236</v>
      </c>
      <c r="DM56" t="s">
        <v>172</v>
      </c>
      <c r="DN56" t="s">
        <v>2183</v>
      </c>
      <c r="DO56" t="s">
        <v>237</v>
      </c>
      <c r="DP56" t="s">
        <v>238</v>
      </c>
      <c r="DQ56" t="s">
        <v>239</v>
      </c>
      <c r="DR56" t="s">
        <v>240</v>
      </c>
      <c r="DS56" t="s">
        <v>241</v>
      </c>
      <c r="DT56" t="s">
        <v>242</v>
      </c>
    </row>
    <row r="57" spans="1:124" x14ac:dyDescent="0.45">
      <c r="A57" t="s">
        <v>2213</v>
      </c>
      <c r="B57" t="s">
        <v>2214</v>
      </c>
      <c r="C57" t="s">
        <v>161</v>
      </c>
      <c r="D57" t="s">
        <v>162</v>
      </c>
      <c r="E57" t="s">
        <v>163</v>
      </c>
      <c r="I57" t="s">
        <v>2215</v>
      </c>
      <c r="J57">
        <v>0.1171564393385954</v>
      </c>
      <c r="K57">
        <v>2.9058327199999998</v>
      </c>
      <c r="L57">
        <v>0.1126160223688234</v>
      </c>
      <c r="M57">
        <v>1.2048899094101899</v>
      </c>
      <c r="N57" t="s">
        <v>2216</v>
      </c>
      <c r="O57" t="s">
        <v>2217</v>
      </c>
      <c r="P57">
        <v>4.1229354025347504</v>
      </c>
      <c r="Q57">
        <v>1.0376234025347499</v>
      </c>
      <c r="R57" t="s">
        <v>2218</v>
      </c>
      <c r="S57" t="s">
        <v>2219</v>
      </c>
      <c r="T57">
        <v>40.983453305514423</v>
      </c>
      <c r="U57">
        <v>0.4417875</v>
      </c>
      <c r="V57" t="s">
        <v>170</v>
      </c>
      <c r="W57" t="s">
        <v>2220</v>
      </c>
      <c r="X57" t="s">
        <v>172</v>
      </c>
      <c r="Y57" t="s">
        <v>172</v>
      </c>
      <c r="Z57" t="s">
        <v>172</v>
      </c>
      <c r="AA57" t="s">
        <v>2221</v>
      </c>
      <c r="AB57" t="s">
        <v>2222</v>
      </c>
      <c r="AC57" t="s">
        <v>2223</v>
      </c>
      <c r="AD57" t="s">
        <v>176</v>
      </c>
      <c r="AE57" t="s">
        <v>177</v>
      </c>
      <c r="AF57">
        <v>42.179215679999999</v>
      </c>
      <c r="AG57" t="s">
        <v>178</v>
      </c>
      <c r="AH57" t="s">
        <v>2224</v>
      </c>
      <c r="AI57" t="s">
        <v>2225</v>
      </c>
      <c r="AJ57" t="s">
        <v>2226</v>
      </c>
      <c r="AK57" t="s">
        <v>2227</v>
      </c>
      <c r="AL57">
        <v>29.43</v>
      </c>
      <c r="AM57" t="s">
        <v>349</v>
      </c>
      <c r="AN57" t="s">
        <v>184</v>
      </c>
      <c r="AO57" t="s">
        <v>1583</v>
      </c>
      <c r="AP57" t="s">
        <v>646</v>
      </c>
      <c r="AQ57" t="s">
        <v>2058</v>
      </c>
      <c r="AR57" t="s">
        <v>2190</v>
      </c>
      <c r="AS57" t="s">
        <v>2228</v>
      </c>
      <c r="AT57" t="s">
        <v>262</v>
      </c>
      <c r="AU57" t="s">
        <v>439</v>
      </c>
      <c r="AV57" t="s">
        <v>2229</v>
      </c>
      <c r="AW57" t="s">
        <v>2230</v>
      </c>
      <c r="AX57" t="s">
        <v>2231</v>
      </c>
      <c r="AY57" t="s">
        <v>2232</v>
      </c>
      <c r="AZ57" t="s">
        <v>964</v>
      </c>
      <c r="BA57" t="s">
        <v>2233</v>
      </c>
      <c r="BB57" t="s">
        <v>2197</v>
      </c>
      <c r="BC57" t="s">
        <v>2234</v>
      </c>
      <c r="BD57" t="s">
        <v>161</v>
      </c>
      <c r="BE57" t="s">
        <v>925</v>
      </c>
      <c r="BF57" t="s">
        <v>926</v>
      </c>
      <c r="BG57" t="s">
        <v>2235</v>
      </c>
      <c r="BH57" t="s">
        <v>709</v>
      </c>
      <c r="BI57" t="s">
        <v>1667</v>
      </c>
      <c r="BJ57" t="s">
        <v>1815</v>
      </c>
      <c r="BK57" t="s">
        <v>161</v>
      </c>
      <c r="BL57" t="s">
        <v>1816</v>
      </c>
      <c r="BM57" t="s">
        <v>159</v>
      </c>
      <c r="BN57" t="s">
        <v>203</v>
      </c>
      <c r="BO57" t="s">
        <v>276</v>
      </c>
      <c r="BP57" t="s">
        <v>621</v>
      </c>
      <c r="BQ57" t="s">
        <v>2236</v>
      </c>
      <c r="BR57" t="s">
        <v>2237</v>
      </c>
      <c r="BS57" t="s">
        <v>2238</v>
      </c>
      <c r="BT57" t="s">
        <v>159</v>
      </c>
      <c r="BU57" t="s">
        <v>208</v>
      </c>
      <c r="BV57" t="s">
        <v>209</v>
      </c>
      <c r="BW57" t="s">
        <v>210</v>
      </c>
      <c r="BX57" t="s">
        <v>211</v>
      </c>
      <c r="BY57" t="s">
        <v>172</v>
      </c>
      <c r="BZ57" t="s">
        <v>212</v>
      </c>
      <c r="CA57" t="s">
        <v>172</v>
      </c>
      <c r="CB57" t="s">
        <v>172</v>
      </c>
      <c r="CC57" t="s">
        <v>213</v>
      </c>
      <c r="CD57" t="s">
        <v>214</v>
      </c>
      <c r="CE57" t="s">
        <v>215</v>
      </c>
      <c r="CF57" t="s">
        <v>216</v>
      </c>
      <c r="CG57" t="s">
        <v>217</v>
      </c>
      <c r="CH57" t="s">
        <v>218</v>
      </c>
      <c r="CI57" t="s">
        <v>178</v>
      </c>
      <c r="CJ57" t="s">
        <v>210</v>
      </c>
      <c r="CK57" t="s">
        <v>219</v>
      </c>
      <c r="CL57" t="s">
        <v>219</v>
      </c>
      <c r="CM57" t="s">
        <v>219</v>
      </c>
      <c r="CN57" t="s">
        <v>172</v>
      </c>
      <c r="CO57" t="s">
        <v>220</v>
      </c>
      <c r="CP57" t="s">
        <v>172</v>
      </c>
      <c r="CQ57" t="s">
        <v>172</v>
      </c>
      <c r="CR57" t="s">
        <v>172</v>
      </c>
      <c r="CS57" t="s">
        <v>172</v>
      </c>
      <c r="CT57" t="s">
        <v>2239</v>
      </c>
      <c r="CU57" t="s">
        <v>2240</v>
      </c>
      <c r="CV57" t="s">
        <v>2241</v>
      </c>
      <c r="CW57" t="s">
        <v>2242</v>
      </c>
      <c r="CX57" t="s">
        <v>2243</v>
      </c>
      <c r="CY57" t="s">
        <v>2244</v>
      </c>
      <c r="CZ57" t="s">
        <v>2245</v>
      </c>
      <c r="DA57" t="s">
        <v>2246</v>
      </c>
      <c r="DB57" t="s">
        <v>2221</v>
      </c>
      <c r="DC57" t="s">
        <v>2247</v>
      </c>
      <c r="DD57" t="s">
        <v>230</v>
      </c>
      <c r="DE57" t="s">
        <v>231</v>
      </c>
      <c r="DF57" t="s">
        <v>178</v>
      </c>
      <c r="DG57" t="s">
        <v>232</v>
      </c>
      <c r="DH57" t="s">
        <v>233</v>
      </c>
      <c r="DI57" t="s">
        <v>178</v>
      </c>
      <c r="DJ57" t="s">
        <v>234</v>
      </c>
      <c r="DK57" t="s">
        <v>235</v>
      </c>
      <c r="DL57" t="s">
        <v>236</v>
      </c>
      <c r="DM57" t="s">
        <v>172</v>
      </c>
      <c r="DN57" t="s">
        <v>2220</v>
      </c>
      <c r="DO57" t="s">
        <v>237</v>
      </c>
      <c r="DP57" t="s">
        <v>238</v>
      </c>
      <c r="DQ57" t="s">
        <v>239</v>
      </c>
      <c r="DR57" t="s">
        <v>240</v>
      </c>
      <c r="DS57" t="s">
        <v>241</v>
      </c>
      <c r="DT57" t="s">
        <v>242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U55"/>
  <sheetViews>
    <sheetView workbookViewId="0">
      <selection activeCell="E19" sqref="E19"/>
    </sheetView>
  </sheetViews>
  <sheetFormatPr defaultRowHeight="19.2" x14ac:dyDescent="0.45"/>
  <sheetData>
    <row r="1" spans="1:125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s="1" t="s">
        <v>2248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  <c r="AW1" t="s">
        <v>61</v>
      </c>
      <c r="AX1" t="s">
        <v>62</v>
      </c>
      <c r="AY1" t="s">
        <v>63</v>
      </c>
      <c r="AZ1" t="s">
        <v>64</v>
      </c>
      <c r="BA1" t="s">
        <v>65</v>
      </c>
      <c r="BB1" t="s">
        <v>66</v>
      </c>
      <c r="BC1" t="s">
        <v>67</v>
      </c>
      <c r="BD1" t="s">
        <v>68</v>
      </c>
      <c r="BE1" t="s">
        <v>69</v>
      </c>
      <c r="BF1" t="s">
        <v>70</v>
      </c>
      <c r="BG1" t="s">
        <v>71</v>
      </c>
      <c r="BH1" t="s">
        <v>72</v>
      </c>
      <c r="BI1" t="s">
        <v>73</v>
      </c>
      <c r="BJ1" t="s">
        <v>74</v>
      </c>
      <c r="BK1" t="s">
        <v>75</v>
      </c>
      <c r="BL1" t="s">
        <v>76</v>
      </c>
      <c r="BM1" t="s">
        <v>77</v>
      </c>
      <c r="BN1" t="s">
        <v>78</v>
      </c>
      <c r="BO1" t="s">
        <v>79</v>
      </c>
      <c r="BP1" t="s">
        <v>80</v>
      </c>
      <c r="BQ1" t="s">
        <v>81</v>
      </c>
      <c r="BR1" t="s">
        <v>82</v>
      </c>
      <c r="BS1" t="s">
        <v>83</v>
      </c>
      <c r="BT1" t="s">
        <v>84</v>
      </c>
      <c r="BU1" t="s">
        <v>85</v>
      </c>
      <c r="BV1" t="s">
        <v>86</v>
      </c>
      <c r="BW1" t="s">
        <v>87</v>
      </c>
      <c r="BX1" t="s">
        <v>88</v>
      </c>
      <c r="BY1" t="s">
        <v>89</v>
      </c>
      <c r="BZ1" t="s">
        <v>90</v>
      </c>
      <c r="CA1" t="s">
        <v>91</v>
      </c>
      <c r="CB1" t="s">
        <v>92</v>
      </c>
      <c r="CC1" t="s">
        <v>93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  <c r="DF1" t="s">
        <v>122</v>
      </c>
      <c r="DG1" t="s">
        <v>123</v>
      </c>
      <c r="DH1" t="s">
        <v>124</v>
      </c>
      <c r="DI1" t="s">
        <v>125</v>
      </c>
      <c r="DJ1" t="s">
        <v>126</v>
      </c>
      <c r="DK1" t="s">
        <v>127</v>
      </c>
      <c r="DL1" t="s">
        <v>128</v>
      </c>
      <c r="DM1" t="s">
        <v>129</v>
      </c>
      <c r="DN1" t="s">
        <v>130</v>
      </c>
      <c r="DO1" t="s">
        <v>131</v>
      </c>
      <c r="DP1" t="s">
        <v>132</v>
      </c>
      <c r="DQ1" t="s">
        <v>133</v>
      </c>
      <c r="DR1" t="s">
        <v>134</v>
      </c>
      <c r="DS1" t="s">
        <v>135</v>
      </c>
      <c r="DT1" t="s">
        <v>136</v>
      </c>
      <c r="DU1" t="s">
        <v>137</v>
      </c>
    </row>
    <row r="2" spans="1:125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H2" t="s">
        <v>164</v>
      </c>
      <c r="I2" t="s">
        <v>165</v>
      </c>
      <c r="J2">
        <v>0.26</v>
      </c>
      <c r="K2">
        <v>0.23312231538327161</v>
      </c>
      <c r="L2">
        <v>2.91</v>
      </c>
      <c r="M2">
        <v>0.24</v>
      </c>
      <c r="N2">
        <v>2.4300000000000002</v>
      </c>
      <c r="O2">
        <v>3.06</v>
      </c>
      <c r="P2">
        <v>2.99</v>
      </c>
      <c r="Q2">
        <v>4.03</v>
      </c>
      <c r="R2">
        <v>0.97</v>
      </c>
      <c r="S2">
        <v>29.71</v>
      </c>
      <c r="T2">
        <v>30.38</v>
      </c>
      <c r="U2">
        <v>40.049999999999997</v>
      </c>
      <c r="V2">
        <v>0.44</v>
      </c>
      <c r="W2">
        <v>7.5</v>
      </c>
      <c r="X2" t="s">
        <v>171</v>
      </c>
      <c r="Y2">
        <v>0</v>
      </c>
      <c r="Z2">
        <v>0</v>
      </c>
      <c r="AA2">
        <v>0</v>
      </c>
      <c r="AB2">
        <v>108.44</v>
      </c>
      <c r="AC2">
        <v>440.97</v>
      </c>
      <c r="AD2">
        <v>0.75</v>
      </c>
      <c r="AE2">
        <v>0.5</v>
      </c>
      <c r="AF2">
        <v>0.84</v>
      </c>
      <c r="AG2">
        <v>84.56</v>
      </c>
      <c r="AH2">
        <v>1</v>
      </c>
      <c r="AI2">
        <v>73.13</v>
      </c>
      <c r="AJ2">
        <v>71.53</v>
      </c>
      <c r="AK2">
        <v>29.66</v>
      </c>
      <c r="AL2">
        <v>29.03</v>
      </c>
      <c r="AM2">
        <v>29.03</v>
      </c>
      <c r="AN2">
        <v>100.59</v>
      </c>
      <c r="AO2">
        <v>156.1</v>
      </c>
      <c r="AP2">
        <v>148.9</v>
      </c>
      <c r="AQ2">
        <v>4.7</v>
      </c>
      <c r="AR2">
        <v>267</v>
      </c>
      <c r="AS2">
        <v>3.44</v>
      </c>
      <c r="AT2">
        <v>-21</v>
      </c>
      <c r="AU2">
        <v>2</v>
      </c>
      <c r="AV2">
        <v>317</v>
      </c>
      <c r="AY2">
        <v>21.09</v>
      </c>
      <c r="AZ2">
        <v>142.57</v>
      </c>
      <c r="BD2" t="s">
        <v>194</v>
      </c>
      <c r="BE2" t="s">
        <v>195</v>
      </c>
      <c r="BF2">
        <v>35.85</v>
      </c>
      <c r="BG2">
        <v>127.13</v>
      </c>
      <c r="BH2">
        <v>47.3</v>
      </c>
      <c r="BI2">
        <v>6</v>
      </c>
      <c r="BJ2">
        <v>2.61</v>
      </c>
      <c r="BK2" t="s">
        <v>201</v>
      </c>
      <c r="BL2" t="s">
        <v>161</v>
      </c>
      <c r="BM2">
        <v>-1.84</v>
      </c>
      <c r="BN2" t="s">
        <v>159</v>
      </c>
      <c r="BO2">
        <v>0</v>
      </c>
      <c r="BP2">
        <v>0</v>
      </c>
      <c r="BQ2">
        <v>0.01</v>
      </c>
      <c r="BR2">
        <v>0.13</v>
      </c>
      <c r="BS2">
        <v>0.28000000000000003</v>
      </c>
      <c r="BT2">
        <v>0.48</v>
      </c>
      <c r="BU2" t="s">
        <v>159</v>
      </c>
      <c r="BV2">
        <v>150</v>
      </c>
      <c r="BW2">
        <v>0</v>
      </c>
      <c r="BX2">
        <v>2</v>
      </c>
      <c r="BY2">
        <v>0.06</v>
      </c>
      <c r="BZ2">
        <v>0</v>
      </c>
      <c r="CA2">
        <v>0.03</v>
      </c>
      <c r="CB2">
        <v>0</v>
      </c>
      <c r="CC2">
        <v>0</v>
      </c>
      <c r="CD2">
        <v>0</v>
      </c>
      <c r="CE2" t="s">
        <v>214</v>
      </c>
      <c r="CF2" t="s">
        <v>215</v>
      </c>
      <c r="CG2" t="s">
        <v>216</v>
      </c>
      <c r="CH2">
        <v>6000</v>
      </c>
      <c r="CI2">
        <v>500</v>
      </c>
      <c r="CJ2">
        <v>1</v>
      </c>
      <c r="CK2">
        <v>2</v>
      </c>
      <c r="CL2">
        <v>55537</v>
      </c>
      <c r="CM2">
        <v>55537</v>
      </c>
      <c r="CN2">
        <v>55537</v>
      </c>
      <c r="CO2">
        <v>0</v>
      </c>
      <c r="CP2">
        <v>-9999</v>
      </c>
      <c r="CQ2">
        <v>0</v>
      </c>
      <c r="CR2">
        <v>0</v>
      </c>
      <c r="CS2">
        <v>0</v>
      </c>
      <c r="CT2">
        <v>0</v>
      </c>
      <c r="CU2">
        <v>2.5299999999999998</v>
      </c>
      <c r="CV2">
        <v>2.4700000000000002</v>
      </c>
      <c r="CW2">
        <v>1.67</v>
      </c>
      <c r="CX2">
        <v>0.93</v>
      </c>
      <c r="CY2">
        <v>0.23</v>
      </c>
      <c r="CZ2">
        <v>-0.01</v>
      </c>
      <c r="DA2">
        <v>7.0000000000000007E-2</v>
      </c>
      <c r="DB2">
        <v>0.34</v>
      </c>
      <c r="DC2">
        <v>108.44</v>
      </c>
      <c r="DD2">
        <v>0</v>
      </c>
      <c r="DE2">
        <v>2.42</v>
      </c>
      <c r="DF2">
        <v>0</v>
      </c>
      <c r="DG2">
        <v>1</v>
      </c>
      <c r="DH2">
        <v>2.37</v>
      </c>
      <c r="DI2">
        <v>0</v>
      </c>
      <c r="DJ2">
        <v>1</v>
      </c>
      <c r="DK2">
        <v>0.6</v>
      </c>
      <c r="DL2">
        <v>0.6</v>
      </c>
      <c r="DM2">
        <v>0.11</v>
      </c>
      <c r="DN2">
        <v>0</v>
      </c>
      <c r="DO2" t="s">
        <v>171</v>
      </c>
      <c r="DP2" t="s">
        <v>237</v>
      </c>
      <c r="DQ2" t="s">
        <v>238</v>
      </c>
      <c r="DR2" t="s">
        <v>239</v>
      </c>
      <c r="DS2" t="s">
        <v>240</v>
      </c>
      <c r="DT2" t="s">
        <v>241</v>
      </c>
      <c r="DU2" t="s">
        <v>242</v>
      </c>
    </row>
    <row r="3" spans="1:125" x14ac:dyDescent="0.45">
      <c r="A3" t="s">
        <v>190</v>
      </c>
      <c r="B3" t="s">
        <v>243</v>
      </c>
      <c r="C3" t="s">
        <v>161</v>
      </c>
      <c r="D3" t="s">
        <v>162</v>
      </c>
      <c r="E3" t="s">
        <v>163</v>
      </c>
      <c r="H3" t="s">
        <v>164</v>
      </c>
      <c r="I3" t="s">
        <v>244</v>
      </c>
      <c r="J3">
        <v>0.45</v>
      </c>
      <c r="K3">
        <v>0.36139813392642678</v>
      </c>
      <c r="L3">
        <v>2.91</v>
      </c>
      <c r="M3">
        <v>0.39</v>
      </c>
      <c r="N3">
        <v>3.54</v>
      </c>
      <c r="O3">
        <v>3.15</v>
      </c>
      <c r="P3">
        <v>3.06</v>
      </c>
      <c r="Q3">
        <v>4.03</v>
      </c>
      <c r="R3">
        <v>0.88</v>
      </c>
      <c r="S3">
        <v>30.37</v>
      </c>
      <c r="T3">
        <v>31.34</v>
      </c>
      <c r="U3">
        <v>40.04</v>
      </c>
      <c r="V3">
        <v>0.44</v>
      </c>
      <c r="W3">
        <v>7.5</v>
      </c>
      <c r="X3" t="s">
        <v>249</v>
      </c>
      <c r="Y3">
        <v>0</v>
      </c>
      <c r="Z3">
        <v>0</v>
      </c>
      <c r="AA3">
        <v>0</v>
      </c>
      <c r="AB3">
        <v>133.96</v>
      </c>
      <c r="AC3">
        <v>528.85</v>
      </c>
      <c r="AD3">
        <v>0.75</v>
      </c>
      <c r="AE3">
        <v>0.5</v>
      </c>
      <c r="AF3">
        <v>0.84</v>
      </c>
      <c r="AG3">
        <v>60.84</v>
      </c>
      <c r="AH3">
        <v>1</v>
      </c>
      <c r="AI3">
        <v>73.44</v>
      </c>
      <c r="AJ3">
        <v>71.17</v>
      </c>
      <c r="AK3">
        <v>30.13</v>
      </c>
      <c r="AL3">
        <v>29.03</v>
      </c>
      <c r="AM3">
        <v>29.03</v>
      </c>
      <c r="AN3">
        <v>100.61</v>
      </c>
      <c r="AO3">
        <v>156.1</v>
      </c>
      <c r="AP3">
        <v>155.19999999999999</v>
      </c>
      <c r="AQ3">
        <v>0.6</v>
      </c>
      <c r="AR3">
        <v>194</v>
      </c>
      <c r="AS3">
        <v>3.43</v>
      </c>
      <c r="AT3">
        <v>-15</v>
      </c>
      <c r="AU3">
        <v>3</v>
      </c>
      <c r="AV3">
        <v>307</v>
      </c>
      <c r="AW3">
        <v>43.89</v>
      </c>
      <c r="AX3">
        <v>72.069999999999993</v>
      </c>
      <c r="AY3">
        <v>15.29</v>
      </c>
      <c r="AZ3">
        <v>138.44999999999999</v>
      </c>
      <c r="BA3">
        <v>9.3800000000000008</v>
      </c>
      <c r="BB3">
        <v>152.97</v>
      </c>
      <c r="BC3">
        <v>28.94</v>
      </c>
      <c r="BD3" t="s">
        <v>271</v>
      </c>
      <c r="BE3" t="s">
        <v>161</v>
      </c>
      <c r="BF3">
        <v>35.85</v>
      </c>
      <c r="BG3">
        <v>127.13</v>
      </c>
      <c r="BH3">
        <v>50</v>
      </c>
      <c r="BI3">
        <v>8</v>
      </c>
      <c r="BJ3">
        <v>1.1299999999999999</v>
      </c>
      <c r="BK3" t="s">
        <v>201</v>
      </c>
      <c r="BL3" t="s">
        <v>161</v>
      </c>
      <c r="BM3">
        <v>-1.84</v>
      </c>
      <c r="BN3" t="s">
        <v>159</v>
      </c>
      <c r="BO3">
        <v>0</v>
      </c>
      <c r="BP3">
        <v>0</v>
      </c>
      <c r="BQ3">
        <v>-0.01</v>
      </c>
      <c r="BR3">
        <v>0.19</v>
      </c>
      <c r="BS3">
        <v>0.53</v>
      </c>
      <c r="BT3">
        <v>2.2400000000000002</v>
      </c>
      <c r="BU3" t="s">
        <v>159</v>
      </c>
      <c r="BV3">
        <v>150</v>
      </c>
      <c r="BW3">
        <v>0</v>
      </c>
      <c r="BX3">
        <v>2</v>
      </c>
      <c r="BY3">
        <v>0.06</v>
      </c>
      <c r="BZ3">
        <v>0</v>
      </c>
      <c r="CA3">
        <v>0.03</v>
      </c>
      <c r="CB3">
        <v>0</v>
      </c>
      <c r="CC3">
        <v>0</v>
      </c>
      <c r="CD3">
        <v>0</v>
      </c>
      <c r="CE3" t="s">
        <v>214</v>
      </c>
      <c r="CF3" t="s">
        <v>215</v>
      </c>
      <c r="CG3" t="s">
        <v>216</v>
      </c>
      <c r="CH3">
        <v>6000</v>
      </c>
      <c r="CI3">
        <v>500</v>
      </c>
      <c r="CJ3">
        <v>1</v>
      </c>
      <c r="CK3">
        <v>2</v>
      </c>
      <c r="CL3">
        <v>55537</v>
      </c>
      <c r="CM3">
        <v>55537</v>
      </c>
      <c r="CN3">
        <v>55537</v>
      </c>
      <c r="CO3">
        <v>0</v>
      </c>
      <c r="CP3">
        <v>-9999</v>
      </c>
      <c r="CQ3">
        <v>0</v>
      </c>
      <c r="CR3">
        <v>0</v>
      </c>
      <c r="CS3">
        <v>0</v>
      </c>
      <c r="CT3">
        <v>0</v>
      </c>
      <c r="CU3">
        <v>2.5299999999999998</v>
      </c>
      <c r="CV3">
        <v>2.4700000000000002</v>
      </c>
      <c r="CW3">
        <v>1.67</v>
      </c>
      <c r="CX3">
        <v>0.94</v>
      </c>
      <c r="CY3">
        <v>0.22</v>
      </c>
      <c r="CZ3">
        <v>-0.01</v>
      </c>
      <c r="DA3">
        <v>0.1</v>
      </c>
      <c r="DB3">
        <v>0.28000000000000003</v>
      </c>
      <c r="DC3">
        <v>133.96</v>
      </c>
      <c r="DD3">
        <v>0</v>
      </c>
      <c r="DE3">
        <v>2.42</v>
      </c>
      <c r="DF3">
        <v>0</v>
      </c>
      <c r="DG3">
        <v>1</v>
      </c>
      <c r="DH3">
        <v>2.37</v>
      </c>
      <c r="DI3">
        <v>0</v>
      </c>
      <c r="DJ3">
        <v>1</v>
      </c>
      <c r="DK3">
        <v>0.6</v>
      </c>
      <c r="DL3">
        <v>0.6</v>
      </c>
      <c r="DM3">
        <v>0.11</v>
      </c>
      <c r="DN3">
        <v>0</v>
      </c>
      <c r="DO3" t="s">
        <v>249</v>
      </c>
      <c r="DP3" t="s">
        <v>237</v>
      </c>
      <c r="DQ3" t="s">
        <v>238</v>
      </c>
      <c r="DR3" t="s">
        <v>239</v>
      </c>
      <c r="DS3" t="s">
        <v>240</v>
      </c>
      <c r="DT3" t="s">
        <v>241</v>
      </c>
      <c r="DU3" t="s">
        <v>242</v>
      </c>
    </row>
    <row r="4" spans="1:125" x14ac:dyDescent="0.45">
      <c r="A4" t="s">
        <v>262</v>
      </c>
      <c r="B4" t="s">
        <v>291</v>
      </c>
      <c r="C4" t="s">
        <v>161</v>
      </c>
      <c r="D4" t="s">
        <v>162</v>
      </c>
      <c r="E4" t="s">
        <v>163</v>
      </c>
      <c r="H4" t="s">
        <v>164</v>
      </c>
      <c r="I4" t="s">
        <v>292</v>
      </c>
      <c r="J4">
        <v>0.34</v>
      </c>
      <c r="K4">
        <v>0.28613612493252572</v>
      </c>
      <c r="L4">
        <v>2.91</v>
      </c>
      <c r="M4">
        <v>0.3</v>
      </c>
      <c r="N4">
        <v>2.9</v>
      </c>
      <c r="O4">
        <v>3.19</v>
      </c>
      <c r="P4">
        <v>3.11</v>
      </c>
      <c r="Q4">
        <v>4.1100000000000003</v>
      </c>
      <c r="R4">
        <v>0.93</v>
      </c>
      <c r="S4">
        <v>30.87</v>
      </c>
      <c r="T4">
        <v>31.66</v>
      </c>
      <c r="U4">
        <v>40.880000000000003</v>
      </c>
      <c r="V4">
        <v>0.44</v>
      </c>
      <c r="W4">
        <v>7.5</v>
      </c>
      <c r="X4" t="s">
        <v>297</v>
      </c>
      <c r="Y4">
        <v>0</v>
      </c>
      <c r="Z4">
        <v>0</v>
      </c>
      <c r="AA4">
        <v>0</v>
      </c>
      <c r="AB4">
        <v>104.42</v>
      </c>
      <c r="AC4">
        <v>478.64</v>
      </c>
      <c r="AD4">
        <v>0.78</v>
      </c>
      <c r="AE4">
        <v>0.5</v>
      </c>
      <c r="AF4">
        <v>0.84</v>
      </c>
      <c r="AG4">
        <v>40.72</v>
      </c>
      <c r="AH4">
        <v>1</v>
      </c>
      <c r="AI4">
        <v>72.569999999999993</v>
      </c>
      <c r="AJ4">
        <v>70.75</v>
      </c>
      <c r="AK4">
        <v>30.52</v>
      </c>
      <c r="AL4">
        <v>29.39</v>
      </c>
      <c r="AM4">
        <v>29.39</v>
      </c>
      <c r="AN4">
        <v>100.61</v>
      </c>
      <c r="AO4">
        <v>156</v>
      </c>
      <c r="AP4">
        <v>155</v>
      </c>
      <c r="AQ4">
        <v>0.6</v>
      </c>
      <c r="AR4">
        <v>124</v>
      </c>
      <c r="AS4">
        <v>3.43</v>
      </c>
      <c r="AT4">
        <v>-19</v>
      </c>
      <c r="AU4">
        <v>0</v>
      </c>
      <c r="AV4">
        <v>335</v>
      </c>
      <c r="AW4">
        <v>47.67</v>
      </c>
      <c r="AX4">
        <v>67.34</v>
      </c>
      <c r="AY4">
        <v>19</v>
      </c>
      <c r="AZ4">
        <v>155</v>
      </c>
      <c r="BA4">
        <v>9.3800000000000008</v>
      </c>
      <c r="BB4">
        <v>154.4</v>
      </c>
      <c r="BC4">
        <v>28.67</v>
      </c>
      <c r="BD4" t="s">
        <v>317</v>
      </c>
      <c r="BE4" t="s">
        <v>161</v>
      </c>
      <c r="BF4">
        <v>35.85</v>
      </c>
      <c r="BG4">
        <v>127.13</v>
      </c>
      <c r="BH4">
        <v>49.1</v>
      </c>
      <c r="BI4">
        <v>8</v>
      </c>
      <c r="BJ4">
        <v>1.24</v>
      </c>
      <c r="BK4" t="s">
        <v>201</v>
      </c>
      <c r="BL4" t="s">
        <v>161</v>
      </c>
      <c r="BM4">
        <v>-1.84</v>
      </c>
      <c r="BN4" t="s">
        <v>159</v>
      </c>
      <c r="BO4">
        <v>0</v>
      </c>
      <c r="BP4">
        <v>0</v>
      </c>
      <c r="BQ4">
        <v>-0.01</v>
      </c>
      <c r="BR4">
        <v>-7.0000000000000007E-2</v>
      </c>
      <c r="BS4">
        <v>-0.01</v>
      </c>
      <c r="BT4">
        <v>0.01</v>
      </c>
      <c r="BU4" t="s">
        <v>159</v>
      </c>
      <c r="BV4">
        <v>150</v>
      </c>
      <c r="BW4">
        <v>0</v>
      </c>
      <c r="BX4">
        <v>2</v>
      </c>
      <c r="BY4">
        <v>0.06</v>
      </c>
      <c r="BZ4">
        <v>0</v>
      </c>
      <c r="CA4">
        <v>0.03</v>
      </c>
      <c r="CB4">
        <v>0</v>
      </c>
      <c r="CC4">
        <v>0</v>
      </c>
      <c r="CD4">
        <v>0</v>
      </c>
      <c r="CE4" t="s">
        <v>214</v>
      </c>
      <c r="CF4" t="s">
        <v>215</v>
      </c>
      <c r="CG4" t="s">
        <v>216</v>
      </c>
      <c r="CH4">
        <v>6000</v>
      </c>
      <c r="CI4">
        <v>500</v>
      </c>
      <c r="CJ4">
        <v>1</v>
      </c>
      <c r="CK4">
        <v>2</v>
      </c>
      <c r="CL4">
        <v>55537</v>
      </c>
      <c r="CM4">
        <v>55537</v>
      </c>
      <c r="CN4">
        <v>55537</v>
      </c>
      <c r="CO4">
        <v>0</v>
      </c>
      <c r="CP4">
        <v>-9999</v>
      </c>
      <c r="CQ4">
        <v>0</v>
      </c>
      <c r="CR4">
        <v>0</v>
      </c>
      <c r="CS4">
        <v>0</v>
      </c>
      <c r="CT4">
        <v>0</v>
      </c>
      <c r="CU4">
        <v>2.5299999999999998</v>
      </c>
      <c r="CV4">
        <v>2.4700000000000002</v>
      </c>
      <c r="CW4">
        <v>1.67</v>
      </c>
      <c r="CX4">
        <v>0.94</v>
      </c>
      <c r="CY4">
        <v>0.22</v>
      </c>
      <c r="CZ4">
        <v>-0.01</v>
      </c>
      <c r="DA4">
        <v>0.13</v>
      </c>
      <c r="DB4">
        <v>0.22</v>
      </c>
      <c r="DC4">
        <v>104.42</v>
      </c>
      <c r="DD4">
        <v>0</v>
      </c>
      <c r="DE4">
        <v>2.42</v>
      </c>
      <c r="DF4">
        <v>0</v>
      </c>
      <c r="DG4">
        <v>1</v>
      </c>
      <c r="DH4">
        <v>2.37</v>
      </c>
      <c r="DI4">
        <v>0</v>
      </c>
      <c r="DJ4">
        <v>1</v>
      </c>
      <c r="DK4">
        <v>0.6</v>
      </c>
      <c r="DL4">
        <v>0.6</v>
      </c>
      <c r="DM4">
        <v>0.11</v>
      </c>
      <c r="DN4">
        <v>0</v>
      </c>
      <c r="DO4" t="s">
        <v>297</v>
      </c>
      <c r="DP4" t="s">
        <v>237</v>
      </c>
      <c r="DQ4" t="s">
        <v>238</v>
      </c>
      <c r="DR4" t="s">
        <v>239</v>
      </c>
      <c r="DS4" t="s">
        <v>240</v>
      </c>
      <c r="DT4" t="s">
        <v>241</v>
      </c>
      <c r="DU4" t="s">
        <v>242</v>
      </c>
    </row>
    <row r="5" spans="1:125" x14ac:dyDescent="0.45">
      <c r="A5" t="s">
        <v>334</v>
      </c>
      <c r="B5" t="s">
        <v>335</v>
      </c>
      <c r="C5" t="s">
        <v>161</v>
      </c>
      <c r="D5" t="s">
        <v>162</v>
      </c>
      <c r="E5" t="s">
        <v>163</v>
      </c>
      <c r="H5" t="s">
        <v>164</v>
      </c>
      <c r="I5" t="s">
        <v>336</v>
      </c>
      <c r="J5">
        <v>0.27</v>
      </c>
      <c r="K5">
        <v>0.2349319426016479</v>
      </c>
      <c r="L5">
        <v>2.91</v>
      </c>
      <c r="M5">
        <v>0.24</v>
      </c>
      <c r="N5">
        <v>2.5499999999999998</v>
      </c>
      <c r="O5">
        <v>3.14</v>
      </c>
      <c r="P5">
        <v>3.07</v>
      </c>
      <c r="Q5">
        <v>4.1500000000000004</v>
      </c>
      <c r="R5">
        <v>1.01</v>
      </c>
      <c r="S5">
        <v>30.52</v>
      </c>
      <c r="T5">
        <v>31.21</v>
      </c>
      <c r="U5">
        <v>41.27</v>
      </c>
      <c r="V5">
        <v>0.44</v>
      </c>
      <c r="W5">
        <v>7.5</v>
      </c>
      <c r="X5" t="s">
        <v>341</v>
      </c>
      <c r="Y5">
        <v>0</v>
      </c>
      <c r="Z5">
        <v>0</v>
      </c>
      <c r="AA5">
        <v>0</v>
      </c>
      <c r="AB5">
        <v>97.34</v>
      </c>
      <c r="AC5">
        <v>437.17</v>
      </c>
      <c r="AD5">
        <v>0.78</v>
      </c>
      <c r="AE5">
        <v>0.5</v>
      </c>
      <c r="AF5">
        <v>0.84</v>
      </c>
      <c r="AG5">
        <v>42.77</v>
      </c>
      <c r="AH5">
        <v>1</v>
      </c>
      <c r="AI5">
        <v>70.739999999999995</v>
      </c>
      <c r="AJ5">
        <v>69.16</v>
      </c>
      <c r="AK5">
        <v>30.72</v>
      </c>
      <c r="AL5">
        <v>29.55</v>
      </c>
      <c r="AM5">
        <v>29.55</v>
      </c>
      <c r="AN5">
        <v>100.6</v>
      </c>
      <c r="AO5">
        <v>156</v>
      </c>
      <c r="AP5">
        <v>152</v>
      </c>
      <c r="AQ5">
        <v>2.6</v>
      </c>
      <c r="AR5">
        <v>131</v>
      </c>
      <c r="AS5">
        <v>3.43</v>
      </c>
      <c r="AT5">
        <v>-18</v>
      </c>
      <c r="AU5">
        <v>6</v>
      </c>
      <c r="AV5">
        <v>95</v>
      </c>
      <c r="AW5">
        <v>18.809999999999999</v>
      </c>
      <c r="AX5">
        <v>94.66</v>
      </c>
      <c r="AY5">
        <v>18.940000000000001</v>
      </c>
      <c r="AZ5">
        <v>-66.22</v>
      </c>
      <c r="BA5">
        <v>9.3800000000000008</v>
      </c>
      <c r="BB5">
        <v>155.86000000000001</v>
      </c>
      <c r="BC5">
        <v>28.41</v>
      </c>
      <c r="BD5" t="s">
        <v>362</v>
      </c>
      <c r="BE5" t="s">
        <v>161</v>
      </c>
      <c r="BF5">
        <v>35.85</v>
      </c>
      <c r="BG5">
        <v>127.13</v>
      </c>
      <c r="BH5">
        <v>48.6</v>
      </c>
      <c r="BI5">
        <v>10</v>
      </c>
      <c r="BJ5">
        <v>0.87</v>
      </c>
      <c r="BK5" t="s">
        <v>201</v>
      </c>
      <c r="BL5" t="s">
        <v>161</v>
      </c>
      <c r="BM5">
        <v>-1.84</v>
      </c>
      <c r="BN5" t="s">
        <v>159</v>
      </c>
      <c r="BO5">
        <v>0</v>
      </c>
      <c r="BP5">
        <v>0</v>
      </c>
      <c r="BQ5">
        <v>0</v>
      </c>
      <c r="BR5">
        <v>-0.02</v>
      </c>
      <c r="BS5">
        <v>-0.03</v>
      </c>
      <c r="BT5">
        <v>0.13</v>
      </c>
      <c r="BU5" t="s">
        <v>159</v>
      </c>
      <c r="BV5">
        <v>150</v>
      </c>
      <c r="BW5">
        <v>0</v>
      </c>
      <c r="BX5">
        <v>2</v>
      </c>
      <c r="BY5">
        <v>0.06</v>
      </c>
      <c r="BZ5">
        <v>0</v>
      </c>
      <c r="CA5">
        <v>0.03</v>
      </c>
      <c r="CB5">
        <v>0</v>
      </c>
      <c r="CC5">
        <v>0</v>
      </c>
      <c r="CD5">
        <v>0</v>
      </c>
      <c r="CE5" t="s">
        <v>214</v>
      </c>
      <c r="CF5" t="s">
        <v>215</v>
      </c>
      <c r="CG5" t="s">
        <v>216</v>
      </c>
      <c r="CH5">
        <v>6000</v>
      </c>
      <c r="CI5">
        <v>500</v>
      </c>
      <c r="CJ5">
        <v>1</v>
      </c>
      <c r="CK5">
        <v>2</v>
      </c>
      <c r="CL5">
        <v>55537</v>
      </c>
      <c r="CM5">
        <v>55537</v>
      </c>
      <c r="CN5">
        <v>55537</v>
      </c>
      <c r="CO5">
        <v>0</v>
      </c>
      <c r="CP5">
        <v>-9999</v>
      </c>
      <c r="CQ5">
        <v>0</v>
      </c>
      <c r="CR5">
        <v>0</v>
      </c>
      <c r="CS5">
        <v>0</v>
      </c>
      <c r="CT5">
        <v>0</v>
      </c>
      <c r="CU5">
        <v>2.5299999999999998</v>
      </c>
      <c r="CV5">
        <v>2.4700000000000002</v>
      </c>
      <c r="CW5">
        <v>1.67</v>
      </c>
      <c r="CX5">
        <v>0.93</v>
      </c>
      <c r="CY5">
        <v>0.22</v>
      </c>
      <c r="CZ5">
        <v>-0.01</v>
      </c>
      <c r="DA5">
        <v>0.14000000000000001</v>
      </c>
      <c r="DB5">
        <v>0.22</v>
      </c>
      <c r="DC5">
        <v>97.34</v>
      </c>
      <c r="DD5">
        <v>0</v>
      </c>
      <c r="DE5">
        <v>2.42</v>
      </c>
      <c r="DF5">
        <v>0</v>
      </c>
      <c r="DG5">
        <v>1</v>
      </c>
      <c r="DH5">
        <v>2.37</v>
      </c>
      <c r="DI5">
        <v>0</v>
      </c>
      <c r="DJ5">
        <v>1</v>
      </c>
      <c r="DK5">
        <v>0.6</v>
      </c>
      <c r="DL5">
        <v>0.6</v>
      </c>
      <c r="DM5">
        <v>0.11</v>
      </c>
      <c r="DN5">
        <v>0</v>
      </c>
      <c r="DO5" t="s">
        <v>341</v>
      </c>
      <c r="DP5" t="s">
        <v>237</v>
      </c>
      <c r="DQ5" t="s">
        <v>238</v>
      </c>
      <c r="DR5" t="s">
        <v>239</v>
      </c>
      <c r="DS5" t="s">
        <v>240</v>
      </c>
      <c r="DT5" t="s">
        <v>241</v>
      </c>
      <c r="DU5" t="s">
        <v>242</v>
      </c>
    </row>
    <row r="6" spans="1:125" x14ac:dyDescent="0.45">
      <c r="A6" t="s">
        <v>381</v>
      </c>
      <c r="B6" t="s">
        <v>382</v>
      </c>
      <c r="C6" t="s">
        <v>161</v>
      </c>
      <c r="D6" t="s">
        <v>162</v>
      </c>
      <c r="E6" t="s">
        <v>163</v>
      </c>
      <c r="H6" t="s">
        <v>164</v>
      </c>
      <c r="I6" t="s">
        <v>383</v>
      </c>
      <c r="J6">
        <v>0.27</v>
      </c>
      <c r="K6">
        <v>0.23594898095858469</v>
      </c>
      <c r="L6">
        <v>2.91</v>
      </c>
      <c r="M6">
        <v>0.24</v>
      </c>
      <c r="N6">
        <v>2.35</v>
      </c>
      <c r="O6">
        <v>3.23</v>
      </c>
      <c r="P6">
        <v>3.17</v>
      </c>
      <c r="Q6">
        <v>4.16</v>
      </c>
      <c r="R6">
        <v>0.93</v>
      </c>
      <c r="S6">
        <v>31.5</v>
      </c>
      <c r="T6">
        <v>32.14</v>
      </c>
      <c r="U6">
        <v>41.38</v>
      </c>
      <c r="V6">
        <v>0.44</v>
      </c>
      <c r="W6">
        <v>7.5</v>
      </c>
      <c r="X6" t="s">
        <v>388</v>
      </c>
      <c r="Y6">
        <v>0</v>
      </c>
      <c r="Z6">
        <v>0</v>
      </c>
      <c r="AA6">
        <v>0</v>
      </c>
      <c r="AB6">
        <v>91.4</v>
      </c>
      <c r="AC6">
        <v>421.67</v>
      </c>
      <c r="AD6">
        <v>0.78</v>
      </c>
      <c r="AE6">
        <v>0.5</v>
      </c>
      <c r="AF6">
        <v>0.84</v>
      </c>
      <c r="AG6">
        <v>41.12</v>
      </c>
      <c r="AH6">
        <v>1</v>
      </c>
      <c r="AI6">
        <v>72.66</v>
      </c>
      <c r="AJ6">
        <v>71.2</v>
      </c>
      <c r="AK6">
        <v>30.76</v>
      </c>
      <c r="AL6">
        <v>29.6</v>
      </c>
      <c r="AM6">
        <v>29.6</v>
      </c>
      <c r="AN6">
        <v>100.61</v>
      </c>
      <c r="AO6">
        <v>156.19999999999999</v>
      </c>
      <c r="AP6">
        <v>152</v>
      </c>
      <c r="AQ6">
        <v>2.6</v>
      </c>
      <c r="AR6">
        <v>125</v>
      </c>
      <c r="AS6">
        <v>3.42</v>
      </c>
      <c r="AT6">
        <v>-14</v>
      </c>
      <c r="AU6">
        <v>-6</v>
      </c>
      <c r="AV6">
        <v>113</v>
      </c>
      <c r="AW6">
        <v>25.99</v>
      </c>
      <c r="AX6">
        <v>89.88</v>
      </c>
      <c r="AY6">
        <v>15.21</v>
      </c>
      <c r="AZ6">
        <v>-90.48</v>
      </c>
      <c r="BA6">
        <v>9.3800000000000008</v>
      </c>
      <c r="BB6">
        <v>155.86000000000001</v>
      </c>
      <c r="BC6">
        <v>28.41</v>
      </c>
      <c r="BD6" t="s">
        <v>406</v>
      </c>
      <c r="BE6" t="s">
        <v>161</v>
      </c>
      <c r="BF6">
        <v>35.85</v>
      </c>
      <c r="BG6">
        <v>127.13</v>
      </c>
      <c r="BH6">
        <v>49.3</v>
      </c>
      <c r="BI6">
        <v>10</v>
      </c>
      <c r="BJ6">
        <v>0.88</v>
      </c>
      <c r="BK6" t="s">
        <v>201</v>
      </c>
      <c r="BL6" t="s">
        <v>161</v>
      </c>
      <c r="BM6">
        <v>-1.84</v>
      </c>
      <c r="BN6" t="s">
        <v>159</v>
      </c>
      <c r="BO6">
        <v>0</v>
      </c>
      <c r="BP6">
        <v>0</v>
      </c>
      <c r="BQ6">
        <v>0</v>
      </c>
      <c r="BR6">
        <v>0.04</v>
      </c>
      <c r="BS6">
        <v>-0.03</v>
      </c>
      <c r="BT6">
        <v>7.0000000000000007E-2</v>
      </c>
      <c r="BU6" t="s">
        <v>159</v>
      </c>
      <c r="BV6">
        <v>150</v>
      </c>
      <c r="BW6">
        <v>0</v>
      </c>
      <c r="BX6">
        <v>2</v>
      </c>
      <c r="BY6">
        <v>0.06</v>
      </c>
      <c r="BZ6">
        <v>0</v>
      </c>
      <c r="CA6">
        <v>0.03</v>
      </c>
      <c r="CB6">
        <v>0</v>
      </c>
      <c r="CC6">
        <v>0</v>
      </c>
      <c r="CD6">
        <v>0</v>
      </c>
      <c r="CE6" t="s">
        <v>214</v>
      </c>
      <c r="CF6" t="s">
        <v>215</v>
      </c>
      <c r="CG6" t="s">
        <v>216</v>
      </c>
      <c r="CH6">
        <v>6000</v>
      </c>
      <c r="CI6">
        <v>500</v>
      </c>
      <c r="CJ6">
        <v>1</v>
      </c>
      <c r="CK6">
        <v>2</v>
      </c>
      <c r="CL6">
        <v>55537</v>
      </c>
      <c r="CM6">
        <v>55537</v>
      </c>
      <c r="CN6">
        <v>55537</v>
      </c>
      <c r="CO6">
        <v>0</v>
      </c>
      <c r="CP6">
        <v>-9999</v>
      </c>
      <c r="CQ6">
        <v>0</v>
      </c>
      <c r="CR6">
        <v>0</v>
      </c>
      <c r="CS6">
        <v>0</v>
      </c>
      <c r="CT6">
        <v>0</v>
      </c>
      <c r="CU6">
        <v>2.5299999999999998</v>
      </c>
      <c r="CV6">
        <v>2.4700000000000002</v>
      </c>
      <c r="CW6">
        <v>1.67</v>
      </c>
      <c r="CX6">
        <v>0.93</v>
      </c>
      <c r="CY6">
        <v>0.22</v>
      </c>
      <c r="CZ6">
        <v>-0.01</v>
      </c>
      <c r="DA6">
        <v>0.15</v>
      </c>
      <c r="DB6">
        <v>0.22</v>
      </c>
      <c r="DC6">
        <v>91.4</v>
      </c>
      <c r="DD6">
        <v>0</v>
      </c>
      <c r="DE6">
        <v>2.42</v>
      </c>
      <c r="DF6">
        <v>0</v>
      </c>
      <c r="DG6">
        <v>1</v>
      </c>
      <c r="DH6">
        <v>2.37</v>
      </c>
      <c r="DI6">
        <v>0</v>
      </c>
      <c r="DJ6">
        <v>1</v>
      </c>
      <c r="DK6">
        <v>0.6</v>
      </c>
      <c r="DL6">
        <v>0.6</v>
      </c>
      <c r="DM6">
        <v>0.11</v>
      </c>
      <c r="DN6">
        <v>0</v>
      </c>
      <c r="DO6" t="s">
        <v>388</v>
      </c>
      <c r="DP6" t="s">
        <v>237</v>
      </c>
      <c r="DQ6" t="s">
        <v>238</v>
      </c>
      <c r="DR6" t="s">
        <v>239</v>
      </c>
      <c r="DS6" t="s">
        <v>240</v>
      </c>
      <c r="DT6" t="s">
        <v>241</v>
      </c>
      <c r="DU6" t="s">
        <v>242</v>
      </c>
    </row>
    <row r="7" spans="1:125" x14ac:dyDescent="0.45">
      <c r="A7" t="s">
        <v>199</v>
      </c>
      <c r="B7" t="s">
        <v>423</v>
      </c>
      <c r="C7" t="s">
        <v>161</v>
      </c>
      <c r="D7" t="s">
        <v>162</v>
      </c>
      <c r="E7" t="s">
        <v>163</v>
      </c>
      <c r="H7" t="s">
        <v>164</v>
      </c>
      <c r="I7" t="s">
        <v>424</v>
      </c>
      <c r="J7">
        <v>0.24</v>
      </c>
      <c r="K7">
        <v>0.21423415540906501</v>
      </c>
      <c r="L7">
        <v>2.91</v>
      </c>
      <c r="M7">
        <v>0.22</v>
      </c>
      <c r="N7">
        <v>2.2000000000000002</v>
      </c>
      <c r="O7">
        <v>3.23</v>
      </c>
      <c r="P7">
        <v>3.17</v>
      </c>
      <c r="Q7">
        <v>4.2</v>
      </c>
      <c r="R7">
        <v>0.97</v>
      </c>
      <c r="S7">
        <v>31.5</v>
      </c>
      <c r="T7">
        <v>32.1</v>
      </c>
      <c r="U7">
        <v>41.72</v>
      </c>
      <c r="V7">
        <v>0.44</v>
      </c>
      <c r="W7">
        <v>7.5</v>
      </c>
      <c r="X7" t="s">
        <v>429</v>
      </c>
      <c r="Y7">
        <v>0</v>
      </c>
      <c r="Z7">
        <v>0</v>
      </c>
      <c r="AA7">
        <v>0</v>
      </c>
      <c r="AB7">
        <v>98.62</v>
      </c>
      <c r="AC7">
        <v>440.36</v>
      </c>
      <c r="AD7">
        <v>0.78</v>
      </c>
      <c r="AE7">
        <v>0.5</v>
      </c>
      <c r="AF7">
        <v>0.84</v>
      </c>
      <c r="AG7">
        <v>38.46</v>
      </c>
      <c r="AH7">
        <v>1</v>
      </c>
      <c r="AI7">
        <v>72.099999999999994</v>
      </c>
      <c r="AJ7">
        <v>70.739999999999995</v>
      </c>
      <c r="AK7">
        <v>30.88</v>
      </c>
      <c r="AL7">
        <v>29.74</v>
      </c>
      <c r="AM7">
        <v>29.74</v>
      </c>
      <c r="AN7">
        <v>100.61</v>
      </c>
      <c r="AO7">
        <v>156</v>
      </c>
      <c r="AP7">
        <v>137.1</v>
      </c>
      <c r="AQ7">
        <v>12.1</v>
      </c>
      <c r="AR7">
        <v>118</v>
      </c>
      <c r="AS7">
        <v>3.42</v>
      </c>
      <c r="AT7">
        <v>-15</v>
      </c>
      <c r="AU7">
        <v>2</v>
      </c>
      <c r="AV7">
        <v>123</v>
      </c>
      <c r="AW7">
        <v>15.98</v>
      </c>
      <c r="AX7">
        <v>96.14</v>
      </c>
      <c r="AY7">
        <v>15.13</v>
      </c>
      <c r="AZ7">
        <v>-49.32</v>
      </c>
      <c r="BA7">
        <v>9.3800000000000008</v>
      </c>
      <c r="BB7">
        <v>156.35</v>
      </c>
      <c r="BC7">
        <v>28.33</v>
      </c>
      <c r="BD7" t="s">
        <v>446</v>
      </c>
      <c r="BE7" t="s">
        <v>161</v>
      </c>
      <c r="BF7">
        <v>35.85</v>
      </c>
      <c r="BG7">
        <v>127.13</v>
      </c>
      <c r="BH7">
        <v>49</v>
      </c>
      <c r="BI7">
        <v>12</v>
      </c>
      <c r="BJ7">
        <v>0.79</v>
      </c>
      <c r="BK7" t="s">
        <v>452</v>
      </c>
      <c r="BL7" t="s">
        <v>161</v>
      </c>
      <c r="BM7">
        <v>-1.52</v>
      </c>
      <c r="BN7" t="s">
        <v>159</v>
      </c>
      <c r="BO7">
        <v>0</v>
      </c>
      <c r="BP7">
        <v>0</v>
      </c>
      <c r="BQ7">
        <v>0</v>
      </c>
      <c r="BR7">
        <v>0.04</v>
      </c>
      <c r="BS7">
        <v>0.03</v>
      </c>
      <c r="BT7">
        <v>0.21</v>
      </c>
      <c r="BU7" t="s">
        <v>159</v>
      </c>
      <c r="BV7">
        <v>150</v>
      </c>
      <c r="BW7">
        <v>0</v>
      </c>
      <c r="BX7">
        <v>2</v>
      </c>
      <c r="BY7">
        <v>0.06</v>
      </c>
      <c r="BZ7">
        <v>0</v>
      </c>
      <c r="CA7">
        <v>0.03</v>
      </c>
      <c r="CB7">
        <v>0</v>
      </c>
      <c r="CC7">
        <v>0</v>
      </c>
      <c r="CD7">
        <v>0</v>
      </c>
      <c r="CE7" t="s">
        <v>214</v>
      </c>
      <c r="CF7" t="s">
        <v>215</v>
      </c>
      <c r="CG7" t="s">
        <v>216</v>
      </c>
      <c r="CH7">
        <v>6000</v>
      </c>
      <c r="CI7">
        <v>500</v>
      </c>
      <c r="CJ7">
        <v>1</v>
      </c>
      <c r="CK7">
        <v>2</v>
      </c>
      <c r="CL7">
        <v>55537</v>
      </c>
      <c r="CM7">
        <v>55537</v>
      </c>
      <c r="CN7">
        <v>55537</v>
      </c>
      <c r="CO7">
        <v>0</v>
      </c>
      <c r="CP7">
        <v>-9999</v>
      </c>
      <c r="CQ7">
        <v>0</v>
      </c>
      <c r="CR7">
        <v>0</v>
      </c>
      <c r="CS7">
        <v>0</v>
      </c>
      <c r="CT7">
        <v>0</v>
      </c>
      <c r="CU7">
        <v>2.5299999999999998</v>
      </c>
      <c r="CV7">
        <v>2.4700000000000002</v>
      </c>
      <c r="CW7">
        <v>1.67</v>
      </c>
      <c r="CX7">
        <v>0.9</v>
      </c>
      <c r="CY7">
        <v>0.22</v>
      </c>
      <c r="CZ7">
        <v>-0.01</v>
      </c>
      <c r="DA7">
        <v>0.16</v>
      </c>
      <c r="DB7">
        <v>0.21</v>
      </c>
      <c r="DC7">
        <v>98.62</v>
      </c>
      <c r="DD7">
        <v>0</v>
      </c>
      <c r="DE7">
        <v>2.42</v>
      </c>
      <c r="DF7">
        <v>0</v>
      </c>
      <c r="DG7">
        <v>1</v>
      </c>
      <c r="DH7">
        <v>2.37</v>
      </c>
      <c r="DI7">
        <v>0</v>
      </c>
      <c r="DJ7">
        <v>1</v>
      </c>
      <c r="DK7">
        <v>0.6</v>
      </c>
      <c r="DL7">
        <v>0.6</v>
      </c>
      <c r="DM7">
        <v>0.11</v>
      </c>
      <c r="DN7">
        <v>0</v>
      </c>
      <c r="DO7" t="s">
        <v>429</v>
      </c>
      <c r="DP7" t="s">
        <v>237</v>
      </c>
      <c r="DQ7" t="s">
        <v>238</v>
      </c>
      <c r="DR7" t="s">
        <v>239</v>
      </c>
      <c r="DS7" t="s">
        <v>240</v>
      </c>
      <c r="DT7" t="s">
        <v>241</v>
      </c>
      <c r="DU7" t="s">
        <v>242</v>
      </c>
    </row>
    <row r="8" spans="1:125" x14ac:dyDescent="0.45">
      <c r="A8" t="s">
        <v>465</v>
      </c>
      <c r="B8" t="s">
        <v>466</v>
      </c>
      <c r="C8" t="s">
        <v>161</v>
      </c>
      <c r="D8" t="s">
        <v>162</v>
      </c>
      <c r="E8" t="s">
        <v>163</v>
      </c>
      <c r="H8" t="s">
        <v>164</v>
      </c>
      <c r="I8" t="s">
        <v>467</v>
      </c>
      <c r="J8">
        <v>0.28000000000000003</v>
      </c>
      <c r="K8">
        <v>0.24238028886147889</v>
      </c>
      <c r="L8">
        <v>2.91</v>
      </c>
      <c r="M8">
        <v>0.25</v>
      </c>
      <c r="N8">
        <v>2.38</v>
      </c>
      <c r="O8">
        <v>3.3</v>
      </c>
      <c r="P8">
        <v>3.24</v>
      </c>
      <c r="Q8">
        <v>4.21</v>
      </c>
      <c r="R8">
        <v>0.9</v>
      </c>
      <c r="S8">
        <v>32.200000000000003</v>
      </c>
      <c r="T8">
        <v>32.85</v>
      </c>
      <c r="U8">
        <v>41.84</v>
      </c>
      <c r="V8">
        <v>0.44</v>
      </c>
      <c r="W8">
        <v>7.5</v>
      </c>
      <c r="X8" t="s">
        <v>472</v>
      </c>
      <c r="Y8">
        <v>0</v>
      </c>
      <c r="Z8">
        <v>0</v>
      </c>
      <c r="AA8">
        <v>0</v>
      </c>
      <c r="AB8">
        <v>100.79</v>
      </c>
      <c r="AC8">
        <v>468.9</v>
      </c>
      <c r="AD8">
        <v>0.79</v>
      </c>
      <c r="AE8">
        <v>0.5</v>
      </c>
      <c r="AF8">
        <v>0.84</v>
      </c>
      <c r="AG8">
        <v>33.96</v>
      </c>
      <c r="AH8">
        <v>1</v>
      </c>
      <c r="AI8">
        <v>73.45</v>
      </c>
      <c r="AJ8">
        <v>72</v>
      </c>
      <c r="AK8">
        <v>30.95</v>
      </c>
      <c r="AL8">
        <v>29.79</v>
      </c>
      <c r="AM8">
        <v>29.79</v>
      </c>
      <c r="AN8">
        <v>100.61</v>
      </c>
      <c r="AO8">
        <v>156.19999999999999</v>
      </c>
      <c r="AP8">
        <v>135.5</v>
      </c>
      <c r="AQ8">
        <v>13.2</v>
      </c>
      <c r="AR8">
        <v>103</v>
      </c>
      <c r="AS8">
        <v>3.42</v>
      </c>
      <c r="AT8">
        <v>-13</v>
      </c>
      <c r="AU8">
        <v>-1</v>
      </c>
      <c r="AV8">
        <v>117</v>
      </c>
      <c r="AW8">
        <v>20.83</v>
      </c>
      <c r="AX8">
        <v>93.46</v>
      </c>
      <c r="AY8">
        <v>13.04</v>
      </c>
      <c r="AZ8">
        <v>-67.44</v>
      </c>
      <c r="BA8">
        <v>9.3800000000000008</v>
      </c>
      <c r="BB8">
        <v>156.84</v>
      </c>
      <c r="BC8">
        <v>28.25</v>
      </c>
      <c r="BD8" t="s">
        <v>492</v>
      </c>
      <c r="BE8" t="s">
        <v>161</v>
      </c>
      <c r="BF8">
        <v>35.85</v>
      </c>
      <c r="BG8">
        <v>127.13</v>
      </c>
      <c r="BH8">
        <v>49.8</v>
      </c>
      <c r="BI8">
        <v>12</v>
      </c>
      <c r="BJ8">
        <v>0.79</v>
      </c>
      <c r="BK8" t="s">
        <v>452</v>
      </c>
      <c r="BL8" t="s">
        <v>161</v>
      </c>
      <c r="BM8">
        <v>-1.52</v>
      </c>
      <c r="BN8" t="s">
        <v>159</v>
      </c>
      <c r="BO8">
        <v>0</v>
      </c>
      <c r="BP8">
        <v>0</v>
      </c>
      <c r="BQ8">
        <v>0.01</v>
      </c>
      <c r="BR8">
        <v>0.01</v>
      </c>
      <c r="BS8">
        <v>0.09</v>
      </c>
      <c r="BT8">
        <v>0.06</v>
      </c>
      <c r="BU8" t="s">
        <v>159</v>
      </c>
      <c r="BV8">
        <v>150</v>
      </c>
      <c r="BW8">
        <v>0</v>
      </c>
      <c r="BX8">
        <v>2</v>
      </c>
      <c r="BY8">
        <v>0.06</v>
      </c>
      <c r="BZ8">
        <v>0</v>
      </c>
      <c r="CA8">
        <v>0.03</v>
      </c>
      <c r="CB8">
        <v>0</v>
      </c>
      <c r="CC8">
        <v>0</v>
      </c>
      <c r="CD8">
        <v>0</v>
      </c>
      <c r="CE8" t="s">
        <v>214</v>
      </c>
      <c r="CF8" t="s">
        <v>215</v>
      </c>
      <c r="CG8" t="s">
        <v>216</v>
      </c>
      <c r="CH8">
        <v>6000</v>
      </c>
      <c r="CI8">
        <v>500</v>
      </c>
      <c r="CJ8">
        <v>1</v>
      </c>
      <c r="CK8">
        <v>2</v>
      </c>
      <c r="CL8">
        <v>55537</v>
      </c>
      <c r="CM8">
        <v>55537</v>
      </c>
      <c r="CN8">
        <v>55537</v>
      </c>
      <c r="CO8">
        <v>0</v>
      </c>
      <c r="CP8">
        <v>-9999</v>
      </c>
      <c r="CQ8">
        <v>0</v>
      </c>
      <c r="CR8">
        <v>0</v>
      </c>
      <c r="CS8">
        <v>0</v>
      </c>
      <c r="CT8">
        <v>0</v>
      </c>
      <c r="CU8">
        <v>2.5299999999999998</v>
      </c>
      <c r="CV8">
        <v>2.4700000000000002</v>
      </c>
      <c r="CW8">
        <v>1.67</v>
      </c>
      <c r="CX8">
        <v>0.89</v>
      </c>
      <c r="CY8">
        <v>0.22</v>
      </c>
      <c r="CZ8">
        <v>-0.01</v>
      </c>
      <c r="DA8">
        <v>0.16</v>
      </c>
      <c r="DB8">
        <v>0.2</v>
      </c>
      <c r="DC8">
        <v>100.79</v>
      </c>
      <c r="DD8">
        <v>0</v>
      </c>
      <c r="DE8">
        <v>2.42</v>
      </c>
      <c r="DF8">
        <v>0</v>
      </c>
      <c r="DG8">
        <v>1</v>
      </c>
      <c r="DH8">
        <v>2.37</v>
      </c>
      <c r="DI8">
        <v>0</v>
      </c>
      <c r="DJ8">
        <v>1</v>
      </c>
      <c r="DK8">
        <v>0.6</v>
      </c>
      <c r="DL8">
        <v>0.6</v>
      </c>
      <c r="DM8">
        <v>0.11</v>
      </c>
      <c r="DN8">
        <v>0</v>
      </c>
      <c r="DO8" t="s">
        <v>472</v>
      </c>
      <c r="DP8" t="s">
        <v>237</v>
      </c>
      <c r="DQ8" t="s">
        <v>238</v>
      </c>
      <c r="DR8" t="s">
        <v>239</v>
      </c>
      <c r="DS8" t="s">
        <v>240</v>
      </c>
      <c r="DT8" t="s">
        <v>241</v>
      </c>
      <c r="DU8" t="s">
        <v>242</v>
      </c>
    </row>
    <row r="9" spans="1:125" x14ac:dyDescent="0.45">
      <c r="A9" t="s">
        <v>274</v>
      </c>
      <c r="B9" t="s">
        <v>508</v>
      </c>
      <c r="C9" t="s">
        <v>161</v>
      </c>
      <c r="D9" t="s">
        <v>162</v>
      </c>
      <c r="E9" t="s">
        <v>163</v>
      </c>
      <c r="H9" t="s">
        <v>164</v>
      </c>
      <c r="I9" t="s">
        <v>509</v>
      </c>
      <c r="J9">
        <v>0.28999999999999998</v>
      </c>
      <c r="K9">
        <v>0.2490556486880901</v>
      </c>
      <c r="L9">
        <v>2.91</v>
      </c>
      <c r="M9">
        <v>0.26</v>
      </c>
      <c r="N9">
        <v>2.4300000000000002</v>
      </c>
      <c r="O9">
        <v>3.29</v>
      </c>
      <c r="P9">
        <v>3.22</v>
      </c>
      <c r="Q9">
        <v>4.1900000000000004</v>
      </c>
      <c r="R9">
        <v>0.9</v>
      </c>
      <c r="S9">
        <v>31.99</v>
      </c>
      <c r="T9">
        <v>32.659999999999997</v>
      </c>
      <c r="U9">
        <v>41.65</v>
      </c>
      <c r="V9">
        <v>0.44</v>
      </c>
      <c r="W9">
        <v>7.5</v>
      </c>
      <c r="X9" t="s">
        <v>514</v>
      </c>
      <c r="Y9">
        <v>0</v>
      </c>
      <c r="Z9">
        <v>0</v>
      </c>
      <c r="AA9">
        <v>0</v>
      </c>
      <c r="AB9">
        <v>99.65</v>
      </c>
      <c r="AC9">
        <v>460.64</v>
      </c>
      <c r="AD9">
        <v>0.78</v>
      </c>
      <c r="AE9">
        <v>0.5</v>
      </c>
      <c r="AF9">
        <v>0.84</v>
      </c>
      <c r="AG9">
        <v>20.74</v>
      </c>
      <c r="AH9">
        <v>1</v>
      </c>
      <c r="AI9">
        <v>72.92</v>
      </c>
      <c r="AJ9">
        <v>71.430000000000007</v>
      </c>
      <c r="AK9">
        <v>30.98</v>
      </c>
      <c r="AL9">
        <v>29.71</v>
      </c>
      <c r="AM9">
        <v>29.71</v>
      </c>
      <c r="AN9">
        <v>100.6</v>
      </c>
      <c r="AO9">
        <v>156</v>
      </c>
      <c r="AP9">
        <v>153.6</v>
      </c>
      <c r="AQ9">
        <v>1.5</v>
      </c>
      <c r="AR9">
        <v>63</v>
      </c>
      <c r="AS9">
        <v>3.42</v>
      </c>
      <c r="AT9">
        <v>-25</v>
      </c>
      <c r="AU9">
        <v>1</v>
      </c>
      <c r="AV9">
        <v>168</v>
      </c>
      <c r="AW9">
        <v>6.61</v>
      </c>
      <c r="AX9">
        <v>99.33</v>
      </c>
      <c r="AY9">
        <v>25.02</v>
      </c>
      <c r="AZ9">
        <v>-9.6300000000000008</v>
      </c>
      <c r="BA9">
        <v>9.3800000000000008</v>
      </c>
      <c r="BB9">
        <v>157.33000000000001</v>
      </c>
      <c r="BC9">
        <v>28.17</v>
      </c>
      <c r="BD9" t="s">
        <v>534</v>
      </c>
      <c r="BE9" t="s">
        <v>161</v>
      </c>
      <c r="BF9">
        <v>35.85</v>
      </c>
      <c r="BG9">
        <v>127.13</v>
      </c>
      <c r="BH9">
        <v>49.1</v>
      </c>
      <c r="BI9">
        <v>12</v>
      </c>
      <c r="BJ9">
        <v>0.79</v>
      </c>
      <c r="BK9" t="s">
        <v>452</v>
      </c>
      <c r="BL9" t="s">
        <v>161</v>
      </c>
      <c r="BM9">
        <v>-1.52</v>
      </c>
      <c r="BN9" t="s">
        <v>159</v>
      </c>
      <c r="BO9">
        <v>0</v>
      </c>
      <c r="BP9">
        <v>0</v>
      </c>
      <c r="BQ9">
        <v>0</v>
      </c>
      <c r="BR9">
        <v>0.06</v>
      </c>
      <c r="BS9">
        <v>0.16</v>
      </c>
      <c r="BT9">
        <v>0.38</v>
      </c>
      <c r="BU9" t="s">
        <v>159</v>
      </c>
      <c r="BV9">
        <v>150</v>
      </c>
      <c r="BW9">
        <v>0</v>
      </c>
      <c r="BX9">
        <v>2</v>
      </c>
      <c r="BY9">
        <v>0.06</v>
      </c>
      <c r="BZ9">
        <v>0</v>
      </c>
      <c r="CA9">
        <v>0.03</v>
      </c>
      <c r="CB9">
        <v>0</v>
      </c>
      <c r="CC9">
        <v>0</v>
      </c>
      <c r="CD9">
        <v>0</v>
      </c>
      <c r="CE9" t="s">
        <v>214</v>
      </c>
      <c r="CF9" t="s">
        <v>215</v>
      </c>
      <c r="CG9" t="s">
        <v>216</v>
      </c>
      <c r="CH9">
        <v>6000</v>
      </c>
      <c r="CI9">
        <v>500</v>
      </c>
      <c r="CJ9">
        <v>1</v>
      </c>
      <c r="CK9">
        <v>2</v>
      </c>
      <c r="CL9">
        <v>55537</v>
      </c>
      <c r="CM9">
        <v>55537</v>
      </c>
      <c r="CN9">
        <v>55537</v>
      </c>
      <c r="CO9">
        <v>0</v>
      </c>
      <c r="CP9">
        <v>-9999</v>
      </c>
      <c r="CQ9">
        <v>0</v>
      </c>
      <c r="CR9">
        <v>0</v>
      </c>
      <c r="CS9">
        <v>0</v>
      </c>
      <c r="CT9">
        <v>0</v>
      </c>
      <c r="CU9">
        <v>2.5299999999999998</v>
      </c>
      <c r="CV9">
        <v>2.4700000000000002</v>
      </c>
      <c r="CW9">
        <v>1.67</v>
      </c>
      <c r="CX9">
        <v>0.94</v>
      </c>
      <c r="CY9">
        <v>0.22</v>
      </c>
      <c r="CZ9">
        <v>-0.01</v>
      </c>
      <c r="DA9">
        <v>0.17</v>
      </c>
      <c r="DB9">
        <v>0.16</v>
      </c>
      <c r="DC9">
        <v>99.65</v>
      </c>
      <c r="DD9">
        <v>0</v>
      </c>
      <c r="DE9">
        <v>2.42</v>
      </c>
      <c r="DF9">
        <v>0</v>
      </c>
      <c r="DG9">
        <v>1</v>
      </c>
      <c r="DH9">
        <v>2.37</v>
      </c>
      <c r="DI9">
        <v>0</v>
      </c>
      <c r="DJ9">
        <v>1</v>
      </c>
      <c r="DK9">
        <v>0.6</v>
      </c>
      <c r="DL9">
        <v>0.6</v>
      </c>
      <c r="DM9">
        <v>0.11</v>
      </c>
      <c r="DN9">
        <v>0</v>
      </c>
      <c r="DO9" t="s">
        <v>514</v>
      </c>
      <c r="DP9" t="s">
        <v>237</v>
      </c>
      <c r="DQ9" t="s">
        <v>238</v>
      </c>
      <c r="DR9" t="s">
        <v>239</v>
      </c>
      <c r="DS9" t="s">
        <v>240</v>
      </c>
      <c r="DT9" t="s">
        <v>241</v>
      </c>
      <c r="DU9" t="s">
        <v>242</v>
      </c>
    </row>
    <row r="10" spans="1:125" x14ac:dyDescent="0.45">
      <c r="A10" t="s">
        <v>548</v>
      </c>
      <c r="B10" t="s">
        <v>549</v>
      </c>
      <c r="C10" t="s">
        <v>161</v>
      </c>
      <c r="D10" t="s">
        <v>162</v>
      </c>
      <c r="E10" t="s">
        <v>163</v>
      </c>
      <c r="H10" t="s">
        <v>164</v>
      </c>
      <c r="I10" t="s">
        <v>550</v>
      </c>
      <c r="J10">
        <v>0.32</v>
      </c>
      <c r="K10">
        <v>0.27482078070964922</v>
      </c>
      <c r="L10">
        <v>2.91</v>
      </c>
      <c r="M10">
        <v>0.28999999999999998</v>
      </c>
      <c r="N10">
        <v>2.59</v>
      </c>
      <c r="O10">
        <v>3.29</v>
      </c>
      <c r="P10">
        <v>3.22</v>
      </c>
      <c r="Q10">
        <v>4.1500000000000004</v>
      </c>
      <c r="R10">
        <v>0.86</v>
      </c>
      <c r="S10">
        <v>32</v>
      </c>
      <c r="T10">
        <v>32.71</v>
      </c>
      <c r="U10">
        <v>41.29</v>
      </c>
      <c r="V10">
        <v>0.44</v>
      </c>
      <c r="W10">
        <v>7.5</v>
      </c>
      <c r="X10" t="s">
        <v>555</v>
      </c>
      <c r="Y10">
        <v>0</v>
      </c>
      <c r="Z10">
        <v>0</v>
      </c>
      <c r="AA10">
        <v>0</v>
      </c>
      <c r="AB10">
        <v>97.84</v>
      </c>
      <c r="AC10">
        <v>443.65</v>
      </c>
      <c r="AD10">
        <v>0.78</v>
      </c>
      <c r="AE10">
        <v>0.5</v>
      </c>
      <c r="AF10">
        <v>0.84</v>
      </c>
      <c r="AG10">
        <v>31.76</v>
      </c>
      <c r="AH10">
        <v>1</v>
      </c>
      <c r="AI10">
        <v>72.959999999999994</v>
      </c>
      <c r="AJ10">
        <v>71.38</v>
      </c>
      <c r="AK10">
        <v>31</v>
      </c>
      <c r="AL10">
        <v>29.56</v>
      </c>
      <c r="AM10">
        <v>29.56</v>
      </c>
      <c r="AN10">
        <v>100.6</v>
      </c>
      <c r="AO10">
        <v>156.1</v>
      </c>
      <c r="AP10">
        <v>154.1</v>
      </c>
      <c r="AQ10">
        <v>1.2</v>
      </c>
      <c r="AR10">
        <v>97</v>
      </c>
      <c r="AS10">
        <v>3.42</v>
      </c>
      <c r="AT10">
        <v>-19</v>
      </c>
      <c r="AU10">
        <v>1</v>
      </c>
      <c r="AV10">
        <v>105</v>
      </c>
      <c r="AW10">
        <v>20.96</v>
      </c>
      <c r="AX10">
        <v>93.38</v>
      </c>
      <c r="AY10">
        <v>19.03</v>
      </c>
      <c r="AZ10">
        <v>-71.930000000000007</v>
      </c>
      <c r="BA10">
        <v>9.3800000000000008</v>
      </c>
      <c r="BB10">
        <v>157.33000000000001</v>
      </c>
      <c r="BC10">
        <v>28.17</v>
      </c>
      <c r="BD10" t="s">
        <v>572</v>
      </c>
      <c r="BE10" t="s">
        <v>161</v>
      </c>
      <c r="BF10">
        <v>35.85</v>
      </c>
      <c r="BG10">
        <v>127.13</v>
      </c>
      <c r="BH10">
        <v>47.2</v>
      </c>
      <c r="BI10">
        <v>12</v>
      </c>
      <c r="BJ10">
        <v>0.79</v>
      </c>
      <c r="BK10" t="s">
        <v>452</v>
      </c>
      <c r="BL10" t="s">
        <v>161</v>
      </c>
      <c r="BM10">
        <v>-1.52</v>
      </c>
      <c r="BN10" t="s">
        <v>159</v>
      </c>
      <c r="BO10">
        <v>0</v>
      </c>
      <c r="BP10">
        <v>0</v>
      </c>
      <c r="BQ10">
        <v>0</v>
      </c>
      <c r="BR10">
        <v>0.03</v>
      </c>
      <c r="BS10">
        <v>-0.04</v>
      </c>
      <c r="BT10">
        <v>-7.0000000000000007E-2</v>
      </c>
      <c r="BU10" t="s">
        <v>159</v>
      </c>
      <c r="BV10">
        <v>150</v>
      </c>
      <c r="BW10">
        <v>0</v>
      </c>
      <c r="BX10">
        <v>2</v>
      </c>
      <c r="BY10">
        <v>0.06</v>
      </c>
      <c r="BZ10">
        <v>0</v>
      </c>
      <c r="CA10">
        <v>0.03</v>
      </c>
      <c r="CB10">
        <v>0</v>
      </c>
      <c r="CC10">
        <v>0</v>
      </c>
      <c r="CD10">
        <v>0</v>
      </c>
      <c r="CE10" t="s">
        <v>214</v>
      </c>
      <c r="CF10" t="s">
        <v>215</v>
      </c>
      <c r="CG10" t="s">
        <v>216</v>
      </c>
      <c r="CH10">
        <v>6000</v>
      </c>
      <c r="CI10">
        <v>500</v>
      </c>
      <c r="CJ10">
        <v>1</v>
      </c>
      <c r="CK10">
        <v>2</v>
      </c>
      <c r="CL10">
        <v>55537</v>
      </c>
      <c r="CM10">
        <v>55537</v>
      </c>
      <c r="CN10">
        <v>55537</v>
      </c>
      <c r="CO10">
        <v>0</v>
      </c>
      <c r="CP10">
        <v>-9999</v>
      </c>
      <c r="CQ10">
        <v>0</v>
      </c>
      <c r="CR10">
        <v>0</v>
      </c>
      <c r="CS10">
        <v>0</v>
      </c>
      <c r="CT10">
        <v>0</v>
      </c>
      <c r="CU10">
        <v>2.5299999999999998</v>
      </c>
      <c r="CV10">
        <v>2.4700000000000002</v>
      </c>
      <c r="CW10">
        <v>1.67</v>
      </c>
      <c r="CX10">
        <v>0.94</v>
      </c>
      <c r="CY10">
        <v>0.22</v>
      </c>
      <c r="CZ10">
        <v>-0.02</v>
      </c>
      <c r="DA10">
        <v>0.17</v>
      </c>
      <c r="DB10">
        <v>0.19</v>
      </c>
      <c r="DC10">
        <v>97.84</v>
      </c>
      <c r="DD10">
        <v>0</v>
      </c>
      <c r="DE10">
        <v>2.42</v>
      </c>
      <c r="DF10">
        <v>0</v>
      </c>
      <c r="DG10">
        <v>1</v>
      </c>
      <c r="DH10">
        <v>2.37</v>
      </c>
      <c r="DI10">
        <v>0</v>
      </c>
      <c r="DJ10">
        <v>1</v>
      </c>
      <c r="DK10">
        <v>0.6</v>
      </c>
      <c r="DL10">
        <v>0.6</v>
      </c>
      <c r="DM10">
        <v>0.11</v>
      </c>
      <c r="DN10">
        <v>0</v>
      </c>
      <c r="DO10" t="s">
        <v>555</v>
      </c>
      <c r="DP10" t="s">
        <v>237</v>
      </c>
      <c r="DQ10" t="s">
        <v>238</v>
      </c>
      <c r="DR10" t="s">
        <v>239</v>
      </c>
      <c r="DS10" t="s">
        <v>240</v>
      </c>
      <c r="DT10" t="s">
        <v>241</v>
      </c>
      <c r="DU10" t="s">
        <v>242</v>
      </c>
    </row>
    <row r="11" spans="1:125" x14ac:dyDescent="0.45">
      <c r="A11" t="s">
        <v>366</v>
      </c>
      <c r="B11" t="s">
        <v>588</v>
      </c>
      <c r="C11" t="s">
        <v>161</v>
      </c>
      <c r="D11" t="s">
        <v>162</v>
      </c>
      <c r="E11" t="s">
        <v>163</v>
      </c>
      <c r="H11" t="s">
        <v>589</v>
      </c>
      <c r="I11" t="s">
        <v>590</v>
      </c>
      <c r="J11">
        <v>0.28999999999999998</v>
      </c>
      <c r="K11">
        <v>0.25514439357906332</v>
      </c>
      <c r="L11">
        <v>2.9</v>
      </c>
      <c r="M11">
        <v>0.27</v>
      </c>
      <c r="N11">
        <v>2.84</v>
      </c>
      <c r="O11">
        <v>3.17</v>
      </c>
      <c r="P11">
        <v>3.09</v>
      </c>
      <c r="Q11">
        <v>4.2</v>
      </c>
      <c r="R11">
        <v>1.03</v>
      </c>
      <c r="S11">
        <v>30.71</v>
      </c>
      <c r="T11">
        <v>31.49</v>
      </c>
      <c r="U11">
        <v>41.77</v>
      </c>
      <c r="V11">
        <v>0.44</v>
      </c>
      <c r="W11">
        <v>7.5</v>
      </c>
      <c r="X11" t="s">
        <v>595</v>
      </c>
      <c r="Y11">
        <v>0</v>
      </c>
      <c r="Z11">
        <v>0</v>
      </c>
      <c r="AA11">
        <v>0</v>
      </c>
      <c r="AB11">
        <v>99.23</v>
      </c>
      <c r="AC11">
        <v>447.65</v>
      </c>
      <c r="AD11">
        <v>0.78</v>
      </c>
      <c r="AE11">
        <v>0.5</v>
      </c>
      <c r="AF11">
        <v>0.84</v>
      </c>
      <c r="AG11">
        <v>46.09</v>
      </c>
      <c r="AH11">
        <v>1</v>
      </c>
      <c r="AI11">
        <v>69.83</v>
      </c>
      <c r="AJ11">
        <v>68.099999999999994</v>
      </c>
      <c r="AK11">
        <v>31.1</v>
      </c>
      <c r="AL11">
        <v>29.76</v>
      </c>
      <c r="AM11">
        <v>29.76</v>
      </c>
      <c r="AN11">
        <v>100.61</v>
      </c>
      <c r="AO11">
        <v>155.9</v>
      </c>
      <c r="AP11">
        <v>146.9</v>
      </c>
      <c r="AQ11">
        <v>5.8</v>
      </c>
      <c r="AR11">
        <v>141</v>
      </c>
      <c r="AS11">
        <v>3.42</v>
      </c>
      <c r="AT11">
        <v>-24</v>
      </c>
      <c r="AU11">
        <v>1</v>
      </c>
      <c r="AV11">
        <v>120</v>
      </c>
      <c r="AW11">
        <v>16.329999999999998</v>
      </c>
      <c r="AX11">
        <v>95.97</v>
      </c>
      <c r="AY11">
        <v>24.02</v>
      </c>
      <c r="AZ11">
        <v>-57.54</v>
      </c>
      <c r="BA11">
        <v>9.3800000000000008</v>
      </c>
      <c r="BB11">
        <v>159.34</v>
      </c>
      <c r="BC11">
        <v>27.87</v>
      </c>
      <c r="BD11" t="s">
        <v>616</v>
      </c>
      <c r="BE11" t="s">
        <v>161</v>
      </c>
      <c r="BF11">
        <v>35.85</v>
      </c>
      <c r="BG11">
        <v>127.13</v>
      </c>
      <c r="BH11">
        <v>45.4</v>
      </c>
      <c r="BI11">
        <v>11</v>
      </c>
      <c r="BJ11">
        <v>0.92</v>
      </c>
      <c r="BK11" t="s">
        <v>452</v>
      </c>
      <c r="BL11" t="s">
        <v>161</v>
      </c>
      <c r="BM11">
        <v>-1.52</v>
      </c>
      <c r="BN11" t="s">
        <v>159</v>
      </c>
      <c r="BO11">
        <v>0</v>
      </c>
      <c r="BP11">
        <v>0</v>
      </c>
      <c r="BQ11">
        <v>0</v>
      </c>
      <c r="BR11">
        <v>0</v>
      </c>
      <c r="BS11">
        <v>0.04</v>
      </c>
      <c r="BT11">
        <v>0.2</v>
      </c>
      <c r="BU11" t="s">
        <v>159</v>
      </c>
      <c r="BV11">
        <v>150</v>
      </c>
      <c r="BW11">
        <v>0</v>
      </c>
      <c r="BX11">
        <v>2</v>
      </c>
      <c r="BY11">
        <v>0.06</v>
      </c>
      <c r="BZ11">
        <v>0</v>
      </c>
      <c r="CA11">
        <v>0.03</v>
      </c>
      <c r="CB11">
        <v>0</v>
      </c>
      <c r="CC11">
        <v>0</v>
      </c>
      <c r="CD11">
        <v>0</v>
      </c>
      <c r="CE11" t="s">
        <v>214</v>
      </c>
      <c r="CF11" t="s">
        <v>215</v>
      </c>
      <c r="CG11" t="s">
        <v>216</v>
      </c>
      <c r="CH11">
        <v>6000</v>
      </c>
      <c r="CI11">
        <v>500</v>
      </c>
      <c r="CJ11">
        <v>1</v>
      </c>
      <c r="CK11">
        <v>2</v>
      </c>
      <c r="CL11">
        <v>55537</v>
      </c>
      <c r="CM11">
        <v>55537</v>
      </c>
      <c r="CN11">
        <v>55537</v>
      </c>
      <c r="CO11">
        <v>0</v>
      </c>
      <c r="CP11">
        <v>-9999</v>
      </c>
      <c r="CQ11">
        <v>0</v>
      </c>
      <c r="CR11">
        <v>0</v>
      </c>
      <c r="CS11">
        <v>0</v>
      </c>
      <c r="CT11">
        <v>0</v>
      </c>
      <c r="CU11">
        <v>2.5299999999999998</v>
      </c>
      <c r="CV11">
        <v>2.4700000000000002</v>
      </c>
      <c r="CW11">
        <v>1.67</v>
      </c>
      <c r="CX11">
        <v>0.92</v>
      </c>
      <c r="CY11">
        <v>0.21</v>
      </c>
      <c r="CZ11">
        <v>-0.02</v>
      </c>
      <c r="DA11">
        <v>0.2</v>
      </c>
      <c r="DB11">
        <v>0.23</v>
      </c>
      <c r="DC11">
        <v>99.23</v>
      </c>
      <c r="DD11">
        <v>0</v>
      </c>
      <c r="DE11">
        <v>2.42</v>
      </c>
      <c r="DF11">
        <v>0</v>
      </c>
      <c r="DG11">
        <v>1</v>
      </c>
      <c r="DH11">
        <v>2.37</v>
      </c>
      <c r="DI11">
        <v>0</v>
      </c>
      <c r="DJ11">
        <v>1</v>
      </c>
      <c r="DK11">
        <v>0.6</v>
      </c>
      <c r="DL11">
        <v>0.6</v>
      </c>
      <c r="DM11">
        <v>0.11</v>
      </c>
      <c r="DN11">
        <v>0</v>
      </c>
      <c r="DO11" t="s">
        <v>595</v>
      </c>
      <c r="DP11" t="s">
        <v>237</v>
      </c>
      <c r="DQ11" t="s">
        <v>238</v>
      </c>
      <c r="DR11" t="s">
        <v>239</v>
      </c>
      <c r="DS11" t="s">
        <v>240</v>
      </c>
      <c r="DT11" t="s">
        <v>241</v>
      </c>
      <c r="DU11" t="s">
        <v>242</v>
      </c>
    </row>
    <row r="12" spans="1:125" x14ac:dyDescent="0.45">
      <c r="A12" t="s">
        <v>619</v>
      </c>
      <c r="B12" t="s">
        <v>632</v>
      </c>
      <c r="C12" t="s">
        <v>161</v>
      </c>
      <c r="D12" t="s">
        <v>162</v>
      </c>
      <c r="E12" t="s">
        <v>163</v>
      </c>
      <c r="H12" t="s">
        <v>589</v>
      </c>
      <c r="I12" t="s">
        <v>633</v>
      </c>
      <c r="J12">
        <v>0.23</v>
      </c>
      <c r="K12">
        <v>0.20694787577260729</v>
      </c>
      <c r="L12">
        <v>2.9</v>
      </c>
      <c r="M12">
        <v>0.21</v>
      </c>
      <c r="N12">
        <v>2.38</v>
      </c>
      <c r="O12">
        <v>3.17</v>
      </c>
      <c r="P12">
        <v>3.1</v>
      </c>
      <c r="Q12">
        <v>4.24</v>
      </c>
      <c r="R12">
        <v>1.08</v>
      </c>
      <c r="S12">
        <v>30.83</v>
      </c>
      <c r="T12">
        <v>31.49</v>
      </c>
      <c r="U12">
        <v>42.18</v>
      </c>
      <c r="V12">
        <v>0.44</v>
      </c>
      <c r="W12">
        <v>7.5</v>
      </c>
      <c r="X12" t="s">
        <v>638</v>
      </c>
      <c r="Y12">
        <v>0</v>
      </c>
      <c r="Z12">
        <v>0</v>
      </c>
      <c r="AA12">
        <v>0</v>
      </c>
      <c r="AB12">
        <v>100.24</v>
      </c>
      <c r="AC12">
        <v>448.56</v>
      </c>
      <c r="AD12">
        <v>0.78</v>
      </c>
      <c r="AE12">
        <v>0.5</v>
      </c>
      <c r="AF12">
        <v>0.84</v>
      </c>
      <c r="AG12">
        <v>47.94</v>
      </c>
      <c r="AH12">
        <v>1</v>
      </c>
      <c r="AI12">
        <v>69.8</v>
      </c>
      <c r="AJ12">
        <v>68.36</v>
      </c>
      <c r="AK12">
        <v>31.1</v>
      </c>
      <c r="AL12">
        <v>29.93</v>
      </c>
      <c r="AM12">
        <v>29.93</v>
      </c>
      <c r="AN12">
        <v>100.6</v>
      </c>
      <c r="AO12">
        <v>155.80000000000001</v>
      </c>
      <c r="AP12">
        <v>153.6</v>
      </c>
      <c r="AQ12">
        <v>1.4</v>
      </c>
      <c r="AR12">
        <v>147</v>
      </c>
      <c r="AS12">
        <v>3.42</v>
      </c>
      <c r="AT12">
        <v>-23</v>
      </c>
      <c r="AU12">
        <v>3</v>
      </c>
      <c r="AV12">
        <v>113</v>
      </c>
      <c r="AW12">
        <v>17.170000000000002</v>
      </c>
      <c r="AX12">
        <v>95.54</v>
      </c>
      <c r="AY12">
        <v>23.18</v>
      </c>
      <c r="AZ12">
        <v>-59.36</v>
      </c>
      <c r="BA12">
        <v>9.3800000000000008</v>
      </c>
      <c r="BB12">
        <v>159.84</v>
      </c>
      <c r="BC12">
        <v>27.8</v>
      </c>
      <c r="BD12" t="s">
        <v>656</v>
      </c>
      <c r="BE12" t="s">
        <v>161</v>
      </c>
      <c r="BF12">
        <v>35.85</v>
      </c>
      <c r="BG12">
        <v>127.13</v>
      </c>
      <c r="BH12">
        <v>45.2</v>
      </c>
      <c r="BI12">
        <v>11</v>
      </c>
      <c r="BJ12">
        <v>0.82</v>
      </c>
      <c r="BK12" t="s">
        <v>452</v>
      </c>
      <c r="BL12" t="s">
        <v>161</v>
      </c>
      <c r="BM12">
        <v>-1.52</v>
      </c>
      <c r="BN12" t="s">
        <v>159</v>
      </c>
      <c r="BO12">
        <v>0</v>
      </c>
      <c r="BP12">
        <v>0</v>
      </c>
      <c r="BQ12">
        <v>0</v>
      </c>
      <c r="BR12">
        <v>-0.04</v>
      </c>
      <c r="BS12">
        <v>-0.09</v>
      </c>
      <c r="BT12">
        <v>-0.15</v>
      </c>
      <c r="BU12" t="s">
        <v>159</v>
      </c>
      <c r="BV12">
        <v>150</v>
      </c>
      <c r="BW12">
        <v>0</v>
      </c>
      <c r="BX12">
        <v>2</v>
      </c>
      <c r="BY12">
        <v>0.06</v>
      </c>
      <c r="BZ12">
        <v>0</v>
      </c>
      <c r="CA12">
        <v>0.03</v>
      </c>
      <c r="CB12">
        <v>0</v>
      </c>
      <c r="CC12">
        <v>0</v>
      </c>
      <c r="CD12">
        <v>0</v>
      </c>
      <c r="CE12" t="s">
        <v>214</v>
      </c>
      <c r="CF12" t="s">
        <v>215</v>
      </c>
      <c r="CG12" t="s">
        <v>216</v>
      </c>
      <c r="CH12">
        <v>6000</v>
      </c>
      <c r="CI12">
        <v>500</v>
      </c>
      <c r="CJ12">
        <v>1</v>
      </c>
      <c r="CK12">
        <v>2</v>
      </c>
      <c r="CL12">
        <v>55537</v>
      </c>
      <c r="CM12">
        <v>55537</v>
      </c>
      <c r="CN12">
        <v>55537</v>
      </c>
      <c r="CO12">
        <v>0</v>
      </c>
      <c r="CP12">
        <v>-9999</v>
      </c>
      <c r="CQ12">
        <v>0</v>
      </c>
      <c r="CR12">
        <v>0</v>
      </c>
      <c r="CS12">
        <v>0</v>
      </c>
      <c r="CT12">
        <v>0</v>
      </c>
      <c r="CU12">
        <v>2.5299999999999998</v>
      </c>
      <c r="CV12">
        <v>2.4700000000000002</v>
      </c>
      <c r="CW12">
        <v>1.67</v>
      </c>
      <c r="CX12">
        <v>0.94</v>
      </c>
      <c r="CY12">
        <v>0.21</v>
      </c>
      <c r="CZ12">
        <v>-0.01</v>
      </c>
      <c r="DA12">
        <v>0.2</v>
      </c>
      <c r="DB12">
        <v>0.24</v>
      </c>
      <c r="DC12">
        <v>100.24</v>
      </c>
      <c r="DD12">
        <v>0</v>
      </c>
      <c r="DE12">
        <v>2.42</v>
      </c>
      <c r="DF12">
        <v>0</v>
      </c>
      <c r="DG12">
        <v>1</v>
      </c>
      <c r="DH12">
        <v>2.37</v>
      </c>
      <c r="DI12">
        <v>0</v>
      </c>
      <c r="DJ12">
        <v>1</v>
      </c>
      <c r="DK12">
        <v>0.6</v>
      </c>
      <c r="DL12">
        <v>0.6</v>
      </c>
      <c r="DM12">
        <v>0.11</v>
      </c>
      <c r="DN12">
        <v>0</v>
      </c>
      <c r="DO12" t="s">
        <v>638</v>
      </c>
      <c r="DP12" t="s">
        <v>237</v>
      </c>
      <c r="DQ12" t="s">
        <v>238</v>
      </c>
      <c r="DR12" t="s">
        <v>239</v>
      </c>
      <c r="DS12" t="s">
        <v>240</v>
      </c>
      <c r="DT12" t="s">
        <v>241</v>
      </c>
      <c r="DU12" t="s">
        <v>242</v>
      </c>
    </row>
    <row r="13" spans="1:125" x14ac:dyDescent="0.45">
      <c r="A13" t="s">
        <v>450</v>
      </c>
      <c r="B13" t="s">
        <v>671</v>
      </c>
      <c r="C13" t="s">
        <v>161</v>
      </c>
      <c r="D13" t="s">
        <v>162</v>
      </c>
      <c r="E13" t="s">
        <v>163</v>
      </c>
      <c r="H13" t="s">
        <v>589</v>
      </c>
      <c r="I13" t="s">
        <v>672</v>
      </c>
      <c r="J13">
        <v>0.32</v>
      </c>
      <c r="K13">
        <v>0.27371681243552881</v>
      </c>
      <c r="L13">
        <v>2.91</v>
      </c>
      <c r="M13">
        <v>0.28999999999999998</v>
      </c>
      <c r="N13">
        <v>2.8</v>
      </c>
      <c r="O13">
        <v>3.21</v>
      </c>
      <c r="P13">
        <v>3.13</v>
      </c>
      <c r="Q13">
        <v>4.1500000000000004</v>
      </c>
      <c r="R13">
        <v>0.94</v>
      </c>
      <c r="S13">
        <v>31.15</v>
      </c>
      <c r="T13">
        <v>31.92</v>
      </c>
      <c r="U13">
        <v>41.29</v>
      </c>
      <c r="V13">
        <v>0.44</v>
      </c>
      <c r="W13">
        <v>7.5</v>
      </c>
      <c r="X13" t="s">
        <v>677</v>
      </c>
      <c r="Y13">
        <v>0</v>
      </c>
      <c r="Z13">
        <v>0</v>
      </c>
      <c r="AA13">
        <v>0</v>
      </c>
      <c r="AB13">
        <v>94.14</v>
      </c>
      <c r="AC13">
        <v>427.69</v>
      </c>
      <c r="AD13">
        <v>0.78</v>
      </c>
      <c r="AE13">
        <v>0.5</v>
      </c>
      <c r="AF13">
        <v>0.84</v>
      </c>
      <c r="AG13">
        <v>44.87</v>
      </c>
      <c r="AH13">
        <v>1</v>
      </c>
      <c r="AI13">
        <v>70.739999999999995</v>
      </c>
      <c r="AJ13">
        <v>69.040000000000006</v>
      </c>
      <c r="AK13">
        <v>31.11</v>
      </c>
      <c r="AL13">
        <v>29.56</v>
      </c>
      <c r="AM13">
        <v>29.56</v>
      </c>
      <c r="AN13">
        <v>100.6</v>
      </c>
      <c r="AO13">
        <v>156.30000000000001</v>
      </c>
      <c r="AP13">
        <v>146.19999999999999</v>
      </c>
      <c r="AQ13">
        <v>6.4</v>
      </c>
      <c r="AR13">
        <v>137</v>
      </c>
      <c r="AS13">
        <v>3.42</v>
      </c>
      <c r="AT13">
        <v>-26</v>
      </c>
      <c r="AU13">
        <v>5</v>
      </c>
      <c r="AV13">
        <v>89</v>
      </c>
      <c r="AW13">
        <v>26.2</v>
      </c>
      <c r="AX13">
        <v>89.73</v>
      </c>
      <c r="AY13">
        <v>26.44</v>
      </c>
      <c r="AZ13">
        <v>-79.709999999999994</v>
      </c>
      <c r="BA13">
        <v>9.3800000000000008</v>
      </c>
      <c r="BB13">
        <v>159.84</v>
      </c>
      <c r="BC13">
        <v>27.8</v>
      </c>
      <c r="BD13" t="s">
        <v>694</v>
      </c>
      <c r="BE13" t="s">
        <v>161</v>
      </c>
      <c r="BF13">
        <v>35.85</v>
      </c>
      <c r="BG13">
        <v>127.13</v>
      </c>
      <c r="BH13">
        <v>44.6</v>
      </c>
      <c r="BI13">
        <v>12</v>
      </c>
      <c r="BJ13">
        <v>0.81</v>
      </c>
      <c r="BK13" t="s">
        <v>452</v>
      </c>
      <c r="BL13" t="s">
        <v>161</v>
      </c>
      <c r="BM13">
        <v>-1.52</v>
      </c>
      <c r="BN13" t="s">
        <v>159</v>
      </c>
      <c r="BO13">
        <v>0</v>
      </c>
      <c r="BP13">
        <v>0</v>
      </c>
      <c r="BQ13">
        <v>0</v>
      </c>
      <c r="BR13">
        <v>0.03</v>
      </c>
      <c r="BS13">
        <v>-0.02</v>
      </c>
      <c r="BT13">
        <v>0.03</v>
      </c>
      <c r="BU13" t="s">
        <v>159</v>
      </c>
      <c r="BV13">
        <v>150</v>
      </c>
      <c r="BW13">
        <v>0</v>
      </c>
      <c r="BX13">
        <v>2</v>
      </c>
      <c r="BY13">
        <v>0.06</v>
      </c>
      <c r="BZ13">
        <v>0</v>
      </c>
      <c r="CA13">
        <v>0.03</v>
      </c>
      <c r="CB13">
        <v>0</v>
      </c>
      <c r="CC13">
        <v>0</v>
      </c>
      <c r="CD13">
        <v>0</v>
      </c>
      <c r="CE13" t="s">
        <v>214</v>
      </c>
      <c r="CF13" t="s">
        <v>215</v>
      </c>
      <c r="CG13" t="s">
        <v>216</v>
      </c>
      <c r="CH13">
        <v>6000</v>
      </c>
      <c r="CI13">
        <v>500</v>
      </c>
      <c r="CJ13">
        <v>1</v>
      </c>
      <c r="CK13">
        <v>2</v>
      </c>
      <c r="CL13">
        <v>55537</v>
      </c>
      <c r="CM13">
        <v>55537</v>
      </c>
      <c r="CN13">
        <v>55537</v>
      </c>
      <c r="CO13">
        <v>0</v>
      </c>
      <c r="CP13">
        <v>-9999</v>
      </c>
      <c r="CQ13">
        <v>0</v>
      </c>
      <c r="CR13">
        <v>0</v>
      </c>
      <c r="CS13">
        <v>0</v>
      </c>
      <c r="CT13">
        <v>0</v>
      </c>
      <c r="CU13">
        <v>2.5299999999999998</v>
      </c>
      <c r="CV13">
        <v>2.4700000000000002</v>
      </c>
      <c r="CW13">
        <v>1.67</v>
      </c>
      <c r="CX13">
        <v>0.92</v>
      </c>
      <c r="CY13">
        <v>0.21</v>
      </c>
      <c r="CZ13">
        <v>-0.02</v>
      </c>
      <c r="DA13">
        <v>0.21</v>
      </c>
      <c r="DB13">
        <v>0.23</v>
      </c>
      <c r="DC13">
        <v>94.14</v>
      </c>
      <c r="DD13">
        <v>0</v>
      </c>
      <c r="DE13">
        <v>2.42</v>
      </c>
      <c r="DF13">
        <v>0</v>
      </c>
      <c r="DG13">
        <v>1</v>
      </c>
      <c r="DH13">
        <v>2.37</v>
      </c>
      <c r="DI13">
        <v>0</v>
      </c>
      <c r="DJ13">
        <v>1</v>
      </c>
      <c r="DK13">
        <v>0.6</v>
      </c>
      <c r="DL13">
        <v>0.6</v>
      </c>
      <c r="DM13">
        <v>0.11</v>
      </c>
      <c r="DN13">
        <v>0</v>
      </c>
      <c r="DO13" t="s">
        <v>677</v>
      </c>
      <c r="DP13" t="s">
        <v>237</v>
      </c>
      <c r="DQ13" t="s">
        <v>238</v>
      </c>
      <c r="DR13" t="s">
        <v>239</v>
      </c>
      <c r="DS13" t="s">
        <v>240</v>
      </c>
      <c r="DT13" t="s">
        <v>241</v>
      </c>
      <c r="DU13" t="s">
        <v>242</v>
      </c>
    </row>
    <row r="14" spans="1:125" x14ac:dyDescent="0.45">
      <c r="A14" t="s">
        <v>709</v>
      </c>
      <c r="B14" t="s">
        <v>710</v>
      </c>
      <c r="C14" t="s">
        <v>161</v>
      </c>
      <c r="D14" t="s">
        <v>162</v>
      </c>
      <c r="E14" t="s">
        <v>163</v>
      </c>
      <c r="H14" t="s">
        <v>589</v>
      </c>
      <c r="I14" t="s">
        <v>711</v>
      </c>
      <c r="J14">
        <v>0.23</v>
      </c>
      <c r="K14">
        <v>0.20768680206339629</v>
      </c>
      <c r="L14">
        <v>2.91</v>
      </c>
      <c r="M14">
        <v>0.21</v>
      </c>
      <c r="N14">
        <v>2.29</v>
      </c>
      <c r="O14">
        <v>3.19</v>
      </c>
      <c r="P14">
        <v>3.13</v>
      </c>
      <c r="Q14">
        <v>4.2300000000000004</v>
      </c>
      <c r="R14">
        <v>1.04</v>
      </c>
      <c r="S14">
        <v>31.08</v>
      </c>
      <c r="T14">
        <v>31.71</v>
      </c>
      <c r="U14">
        <v>42.04</v>
      </c>
      <c r="V14">
        <v>0.44</v>
      </c>
      <c r="W14">
        <v>7.5</v>
      </c>
      <c r="X14" t="s">
        <v>716</v>
      </c>
      <c r="Y14">
        <v>0</v>
      </c>
      <c r="Z14">
        <v>0</v>
      </c>
      <c r="AA14">
        <v>0</v>
      </c>
      <c r="AB14">
        <v>99.13</v>
      </c>
      <c r="AC14">
        <v>462.36</v>
      </c>
      <c r="AD14">
        <v>0.79</v>
      </c>
      <c r="AE14">
        <v>0.5</v>
      </c>
      <c r="AF14">
        <v>0.84</v>
      </c>
      <c r="AG14">
        <v>51.14</v>
      </c>
      <c r="AH14">
        <v>1</v>
      </c>
      <c r="AI14">
        <v>70.2</v>
      </c>
      <c r="AJ14">
        <v>68.81</v>
      </c>
      <c r="AK14">
        <v>31.13</v>
      </c>
      <c r="AL14">
        <v>29.87</v>
      </c>
      <c r="AM14">
        <v>29.87</v>
      </c>
      <c r="AN14">
        <v>100.6</v>
      </c>
      <c r="AO14">
        <v>156.1</v>
      </c>
      <c r="AP14">
        <v>153.69999999999999</v>
      </c>
      <c r="AQ14">
        <v>1.5</v>
      </c>
      <c r="AR14">
        <v>155</v>
      </c>
      <c r="AS14">
        <v>3.42</v>
      </c>
      <c r="AT14">
        <v>-16</v>
      </c>
      <c r="AU14">
        <v>2</v>
      </c>
      <c r="AV14">
        <v>105</v>
      </c>
      <c r="AW14">
        <v>20.52</v>
      </c>
      <c r="AX14">
        <v>93.66</v>
      </c>
      <c r="AY14">
        <v>16.12</v>
      </c>
      <c r="AZ14">
        <v>-67.78</v>
      </c>
      <c r="BA14">
        <v>9.3800000000000008</v>
      </c>
      <c r="BB14">
        <v>160.35</v>
      </c>
      <c r="BC14">
        <v>27.73</v>
      </c>
      <c r="BD14" t="s">
        <v>733</v>
      </c>
      <c r="BE14" t="s">
        <v>161</v>
      </c>
      <c r="BF14">
        <v>35.85</v>
      </c>
      <c r="BG14">
        <v>127.13</v>
      </c>
      <c r="BH14">
        <v>44</v>
      </c>
      <c r="BI14">
        <v>12</v>
      </c>
      <c r="BJ14">
        <v>0.81</v>
      </c>
      <c r="BK14" t="s">
        <v>452</v>
      </c>
      <c r="BL14" t="s">
        <v>161</v>
      </c>
      <c r="BM14">
        <v>-1.52</v>
      </c>
      <c r="BN14" t="s">
        <v>159</v>
      </c>
      <c r="BO14">
        <v>0</v>
      </c>
      <c r="BP14">
        <v>0</v>
      </c>
      <c r="BQ14">
        <v>0</v>
      </c>
      <c r="BR14">
        <v>-0.01</v>
      </c>
      <c r="BS14">
        <v>-0.14000000000000001</v>
      </c>
      <c r="BT14">
        <v>-0.13</v>
      </c>
      <c r="BU14" t="s">
        <v>159</v>
      </c>
      <c r="BV14">
        <v>150</v>
      </c>
      <c r="BW14">
        <v>0</v>
      </c>
      <c r="BX14">
        <v>2</v>
      </c>
      <c r="BY14">
        <v>0.06</v>
      </c>
      <c r="BZ14">
        <v>0</v>
      </c>
      <c r="CA14">
        <v>0.03</v>
      </c>
      <c r="CB14">
        <v>0</v>
      </c>
      <c r="CC14">
        <v>0</v>
      </c>
      <c r="CD14">
        <v>0</v>
      </c>
      <c r="CE14" t="s">
        <v>214</v>
      </c>
      <c r="CF14" t="s">
        <v>215</v>
      </c>
      <c r="CG14" t="s">
        <v>216</v>
      </c>
      <c r="CH14">
        <v>6000</v>
      </c>
      <c r="CI14">
        <v>500</v>
      </c>
      <c r="CJ14">
        <v>1</v>
      </c>
      <c r="CK14">
        <v>2</v>
      </c>
      <c r="CL14">
        <v>55537</v>
      </c>
      <c r="CM14">
        <v>55537</v>
      </c>
      <c r="CN14">
        <v>55537</v>
      </c>
      <c r="CO14">
        <v>0</v>
      </c>
      <c r="CP14">
        <v>-9999</v>
      </c>
      <c r="CQ14">
        <v>0</v>
      </c>
      <c r="CR14">
        <v>0</v>
      </c>
      <c r="CS14">
        <v>0</v>
      </c>
      <c r="CT14">
        <v>0</v>
      </c>
      <c r="CU14">
        <v>2.5299999999999998</v>
      </c>
      <c r="CV14">
        <v>2.4700000000000002</v>
      </c>
      <c r="CW14">
        <v>1.67</v>
      </c>
      <c r="CX14">
        <v>0.94</v>
      </c>
      <c r="CY14">
        <v>0.21</v>
      </c>
      <c r="CZ14">
        <v>-0.01</v>
      </c>
      <c r="DA14">
        <v>0.22</v>
      </c>
      <c r="DB14">
        <v>0.24</v>
      </c>
      <c r="DC14">
        <v>99.13</v>
      </c>
      <c r="DD14">
        <v>0</v>
      </c>
      <c r="DE14">
        <v>2.42</v>
      </c>
      <c r="DF14">
        <v>0</v>
      </c>
      <c r="DG14">
        <v>1</v>
      </c>
      <c r="DH14">
        <v>2.37</v>
      </c>
      <c r="DI14">
        <v>0</v>
      </c>
      <c r="DJ14">
        <v>1</v>
      </c>
      <c r="DK14">
        <v>0.6</v>
      </c>
      <c r="DL14">
        <v>0.6</v>
      </c>
      <c r="DM14">
        <v>0.11</v>
      </c>
      <c r="DN14">
        <v>0</v>
      </c>
      <c r="DO14" t="s">
        <v>716</v>
      </c>
      <c r="DP14" t="s">
        <v>237</v>
      </c>
      <c r="DQ14" t="s">
        <v>238</v>
      </c>
      <c r="DR14" t="s">
        <v>239</v>
      </c>
      <c r="DS14" t="s">
        <v>240</v>
      </c>
      <c r="DT14" t="s">
        <v>241</v>
      </c>
      <c r="DU14" t="s">
        <v>242</v>
      </c>
    </row>
    <row r="15" spans="1:125" x14ac:dyDescent="0.45">
      <c r="A15" t="s">
        <v>746</v>
      </c>
      <c r="B15" t="s">
        <v>747</v>
      </c>
      <c r="C15" t="s">
        <v>161</v>
      </c>
      <c r="D15" t="s">
        <v>162</v>
      </c>
      <c r="E15" t="s">
        <v>163</v>
      </c>
      <c r="H15" t="s">
        <v>589</v>
      </c>
      <c r="I15" t="s">
        <v>748</v>
      </c>
      <c r="J15">
        <v>0.35</v>
      </c>
      <c r="K15">
        <v>0.29231010234954441</v>
      </c>
      <c r="L15">
        <v>2.9</v>
      </c>
      <c r="M15">
        <v>0.31</v>
      </c>
      <c r="N15">
        <v>2.82</v>
      </c>
      <c r="O15">
        <v>3.22</v>
      </c>
      <c r="P15">
        <v>3.14</v>
      </c>
      <c r="Q15">
        <v>4.0999999999999996</v>
      </c>
      <c r="R15">
        <v>0.88</v>
      </c>
      <c r="S15">
        <v>31.25</v>
      </c>
      <c r="T15">
        <v>32.020000000000003</v>
      </c>
      <c r="U15">
        <v>40.770000000000003</v>
      </c>
      <c r="V15">
        <v>0.44</v>
      </c>
      <c r="W15">
        <v>7.5</v>
      </c>
      <c r="X15" t="s">
        <v>753</v>
      </c>
      <c r="Y15">
        <v>0</v>
      </c>
      <c r="Z15">
        <v>0</v>
      </c>
      <c r="AA15">
        <v>0</v>
      </c>
      <c r="AB15">
        <v>95.49</v>
      </c>
      <c r="AC15">
        <v>431.04</v>
      </c>
      <c r="AD15">
        <v>0.78</v>
      </c>
      <c r="AE15">
        <v>0.5</v>
      </c>
      <c r="AF15">
        <v>0.84</v>
      </c>
      <c r="AG15">
        <v>57.54</v>
      </c>
      <c r="AH15">
        <v>1</v>
      </c>
      <c r="AI15">
        <v>70.819999999999993</v>
      </c>
      <c r="AJ15">
        <v>69.11</v>
      </c>
      <c r="AK15">
        <v>31.14</v>
      </c>
      <c r="AL15">
        <v>29.34</v>
      </c>
      <c r="AM15">
        <v>29.34</v>
      </c>
      <c r="AN15">
        <v>100.61</v>
      </c>
      <c r="AO15">
        <v>155.9</v>
      </c>
      <c r="AP15">
        <v>151.6</v>
      </c>
      <c r="AQ15">
        <v>2.7</v>
      </c>
      <c r="AR15">
        <v>176</v>
      </c>
      <c r="AS15">
        <v>3.42</v>
      </c>
      <c r="AT15">
        <v>-29</v>
      </c>
      <c r="AU15">
        <v>0</v>
      </c>
      <c r="AV15">
        <v>134</v>
      </c>
      <c r="AW15">
        <v>12.72</v>
      </c>
      <c r="AX15">
        <v>97.54</v>
      </c>
      <c r="AY15">
        <v>29</v>
      </c>
      <c r="AZ15">
        <v>-46</v>
      </c>
      <c r="BA15">
        <v>9.3800000000000008</v>
      </c>
      <c r="BB15">
        <v>160.86000000000001</v>
      </c>
      <c r="BC15">
        <v>27.67</v>
      </c>
      <c r="BD15" t="s">
        <v>772</v>
      </c>
      <c r="BE15" t="s">
        <v>161</v>
      </c>
      <c r="BF15">
        <v>35.85</v>
      </c>
      <c r="BG15">
        <v>127.13</v>
      </c>
      <c r="BH15">
        <v>44</v>
      </c>
      <c r="BI15">
        <v>12</v>
      </c>
      <c r="BJ15">
        <v>0.81</v>
      </c>
      <c r="BK15" t="s">
        <v>452</v>
      </c>
      <c r="BL15" t="s">
        <v>161</v>
      </c>
      <c r="BM15">
        <v>-1.52</v>
      </c>
      <c r="BN15" t="s">
        <v>159</v>
      </c>
      <c r="BO15">
        <v>0</v>
      </c>
      <c r="BP15">
        <v>0</v>
      </c>
      <c r="BQ15">
        <v>0</v>
      </c>
      <c r="BR15">
        <v>-0.05</v>
      </c>
      <c r="BS15">
        <v>-0.19</v>
      </c>
      <c r="BT15">
        <v>-0.46</v>
      </c>
      <c r="BU15" t="s">
        <v>159</v>
      </c>
      <c r="BV15">
        <v>150</v>
      </c>
      <c r="BW15">
        <v>0</v>
      </c>
      <c r="BX15">
        <v>2</v>
      </c>
      <c r="BY15">
        <v>0.06</v>
      </c>
      <c r="BZ15">
        <v>0</v>
      </c>
      <c r="CA15">
        <v>0.03</v>
      </c>
      <c r="CB15">
        <v>0</v>
      </c>
      <c r="CC15">
        <v>0</v>
      </c>
      <c r="CD15">
        <v>0</v>
      </c>
      <c r="CE15" t="s">
        <v>214</v>
      </c>
      <c r="CF15" t="s">
        <v>215</v>
      </c>
      <c r="CG15" t="s">
        <v>216</v>
      </c>
      <c r="CH15">
        <v>6000</v>
      </c>
      <c r="CI15">
        <v>500</v>
      </c>
      <c r="CJ15">
        <v>1</v>
      </c>
      <c r="CK15">
        <v>2</v>
      </c>
      <c r="CL15">
        <v>55537</v>
      </c>
      <c r="CM15">
        <v>55537</v>
      </c>
      <c r="CN15">
        <v>55537</v>
      </c>
      <c r="CO15">
        <v>0</v>
      </c>
      <c r="CP15">
        <v>-9999</v>
      </c>
      <c r="CQ15">
        <v>0</v>
      </c>
      <c r="CR15">
        <v>0</v>
      </c>
      <c r="CS15">
        <v>0</v>
      </c>
      <c r="CT15">
        <v>0</v>
      </c>
      <c r="CU15">
        <v>2.5299999999999998</v>
      </c>
      <c r="CV15">
        <v>2.4700000000000002</v>
      </c>
      <c r="CW15">
        <v>1.67</v>
      </c>
      <c r="CX15">
        <v>0.93</v>
      </c>
      <c r="CY15">
        <v>0.21</v>
      </c>
      <c r="CZ15">
        <v>-0.02</v>
      </c>
      <c r="DA15">
        <v>0.22</v>
      </c>
      <c r="DB15">
        <v>0.26</v>
      </c>
      <c r="DC15">
        <v>95.49</v>
      </c>
      <c r="DD15">
        <v>0</v>
      </c>
      <c r="DE15">
        <v>2.42</v>
      </c>
      <c r="DF15">
        <v>0</v>
      </c>
      <c r="DG15">
        <v>1</v>
      </c>
      <c r="DH15">
        <v>2.37</v>
      </c>
      <c r="DI15">
        <v>0</v>
      </c>
      <c r="DJ15">
        <v>1</v>
      </c>
      <c r="DK15">
        <v>0.6</v>
      </c>
      <c r="DL15">
        <v>0.6</v>
      </c>
      <c r="DM15">
        <v>0.11</v>
      </c>
      <c r="DN15">
        <v>0</v>
      </c>
      <c r="DO15" t="s">
        <v>753</v>
      </c>
      <c r="DP15" t="s">
        <v>237</v>
      </c>
      <c r="DQ15" t="s">
        <v>238</v>
      </c>
      <c r="DR15" t="s">
        <v>239</v>
      </c>
      <c r="DS15" t="s">
        <v>240</v>
      </c>
      <c r="DT15" t="s">
        <v>241</v>
      </c>
      <c r="DU15" t="s">
        <v>242</v>
      </c>
    </row>
    <row r="16" spans="1:125" x14ac:dyDescent="0.45">
      <c r="A16" t="s">
        <v>785</v>
      </c>
      <c r="B16" t="s">
        <v>786</v>
      </c>
      <c r="C16" t="s">
        <v>161</v>
      </c>
      <c r="D16" t="s">
        <v>162</v>
      </c>
      <c r="E16" t="s">
        <v>163</v>
      </c>
      <c r="H16" t="s">
        <v>589</v>
      </c>
      <c r="I16" t="s">
        <v>787</v>
      </c>
      <c r="J16">
        <v>0.18</v>
      </c>
      <c r="K16">
        <v>0.17048198681481591</v>
      </c>
      <c r="L16">
        <v>2.91</v>
      </c>
      <c r="M16">
        <v>0.17</v>
      </c>
      <c r="N16">
        <v>1.9</v>
      </c>
      <c r="O16">
        <v>3.2</v>
      </c>
      <c r="P16">
        <v>3.15</v>
      </c>
      <c r="Q16">
        <v>4.2699999999999996</v>
      </c>
      <c r="R16">
        <v>1.06</v>
      </c>
      <c r="S16">
        <v>31.33</v>
      </c>
      <c r="T16">
        <v>31.85</v>
      </c>
      <c r="U16">
        <v>42.4</v>
      </c>
      <c r="V16">
        <v>0.44</v>
      </c>
      <c r="W16">
        <v>7.5</v>
      </c>
      <c r="X16" t="s">
        <v>792</v>
      </c>
      <c r="Y16">
        <v>0</v>
      </c>
      <c r="Z16">
        <v>0</v>
      </c>
      <c r="AA16">
        <v>0</v>
      </c>
      <c r="AB16">
        <v>102.75</v>
      </c>
      <c r="AC16">
        <v>457.06</v>
      </c>
      <c r="AD16">
        <v>0.78</v>
      </c>
      <c r="AE16">
        <v>0.5</v>
      </c>
      <c r="AF16">
        <v>0.84</v>
      </c>
      <c r="AG16">
        <v>55.35</v>
      </c>
      <c r="AH16">
        <v>1</v>
      </c>
      <c r="AI16">
        <v>70.38</v>
      </c>
      <c r="AJ16">
        <v>69.23</v>
      </c>
      <c r="AK16">
        <v>31.16</v>
      </c>
      <c r="AL16">
        <v>30.02</v>
      </c>
      <c r="AM16">
        <v>30.02</v>
      </c>
      <c r="AN16">
        <v>100.6</v>
      </c>
      <c r="AO16">
        <v>156.19999999999999</v>
      </c>
      <c r="AP16">
        <v>154.5</v>
      </c>
      <c r="AQ16">
        <v>1.1000000000000001</v>
      </c>
      <c r="AR16">
        <v>170</v>
      </c>
      <c r="AS16">
        <v>3.41</v>
      </c>
      <c r="AT16">
        <v>-23</v>
      </c>
      <c r="AU16">
        <v>0</v>
      </c>
      <c r="AV16">
        <v>88</v>
      </c>
      <c r="AW16">
        <v>29.69</v>
      </c>
      <c r="AX16">
        <v>86.87</v>
      </c>
      <c r="AY16">
        <v>23</v>
      </c>
      <c r="AZ16">
        <v>-92</v>
      </c>
      <c r="BA16">
        <v>9.3800000000000008</v>
      </c>
      <c r="BB16">
        <v>160.86000000000001</v>
      </c>
      <c r="BC16">
        <v>27.67</v>
      </c>
      <c r="BD16" t="s">
        <v>809</v>
      </c>
      <c r="BE16" t="s">
        <v>161</v>
      </c>
      <c r="BF16">
        <v>35.85</v>
      </c>
      <c r="BG16">
        <v>127.13</v>
      </c>
      <c r="BH16">
        <v>43.8</v>
      </c>
      <c r="BI16">
        <v>11</v>
      </c>
      <c r="BJ16">
        <v>0.88</v>
      </c>
      <c r="BK16" t="s">
        <v>452</v>
      </c>
      <c r="BL16" t="s">
        <v>161</v>
      </c>
      <c r="BM16">
        <v>-1.52</v>
      </c>
      <c r="BN16" t="s">
        <v>159</v>
      </c>
      <c r="BO16">
        <v>0</v>
      </c>
      <c r="BP16">
        <v>0</v>
      </c>
      <c r="BQ16">
        <v>0</v>
      </c>
      <c r="BR16">
        <v>-0.14000000000000001</v>
      </c>
      <c r="BS16">
        <v>-0.34</v>
      </c>
      <c r="BT16">
        <v>-0.68</v>
      </c>
      <c r="BU16" t="s">
        <v>159</v>
      </c>
      <c r="BV16">
        <v>150</v>
      </c>
      <c r="BW16">
        <v>0</v>
      </c>
      <c r="BX16">
        <v>2</v>
      </c>
      <c r="BY16">
        <v>0.06</v>
      </c>
      <c r="BZ16">
        <v>0</v>
      </c>
      <c r="CA16">
        <v>0.03</v>
      </c>
      <c r="CB16">
        <v>0</v>
      </c>
      <c r="CC16">
        <v>0</v>
      </c>
      <c r="CD16">
        <v>0</v>
      </c>
      <c r="CE16" t="s">
        <v>214</v>
      </c>
      <c r="CF16" t="s">
        <v>215</v>
      </c>
      <c r="CG16" t="s">
        <v>216</v>
      </c>
      <c r="CH16">
        <v>6000</v>
      </c>
      <c r="CI16">
        <v>500</v>
      </c>
      <c r="CJ16">
        <v>1</v>
      </c>
      <c r="CK16">
        <v>2</v>
      </c>
      <c r="CL16">
        <v>55537</v>
      </c>
      <c r="CM16">
        <v>55537</v>
      </c>
      <c r="CN16">
        <v>55537</v>
      </c>
      <c r="CO16">
        <v>0</v>
      </c>
      <c r="CP16">
        <v>-9999</v>
      </c>
      <c r="CQ16">
        <v>0</v>
      </c>
      <c r="CR16">
        <v>0</v>
      </c>
      <c r="CS16">
        <v>0</v>
      </c>
      <c r="CT16">
        <v>0</v>
      </c>
      <c r="CU16">
        <v>2.5299999999999998</v>
      </c>
      <c r="CV16">
        <v>2.4700000000000002</v>
      </c>
      <c r="CW16">
        <v>1.67</v>
      </c>
      <c r="CX16">
        <v>0.94</v>
      </c>
      <c r="CY16">
        <v>0.21</v>
      </c>
      <c r="CZ16">
        <v>-0.01</v>
      </c>
      <c r="DA16">
        <v>0.22</v>
      </c>
      <c r="DB16">
        <v>0.26</v>
      </c>
      <c r="DC16">
        <v>102.75</v>
      </c>
      <c r="DD16">
        <v>0</v>
      </c>
      <c r="DE16">
        <v>2.42</v>
      </c>
      <c r="DF16">
        <v>0</v>
      </c>
      <c r="DG16">
        <v>1</v>
      </c>
      <c r="DH16">
        <v>2.37</v>
      </c>
      <c r="DI16">
        <v>0</v>
      </c>
      <c r="DJ16">
        <v>1</v>
      </c>
      <c r="DK16">
        <v>0.6</v>
      </c>
      <c r="DL16">
        <v>0.6</v>
      </c>
      <c r="DM16">
        <v>0.11</v>
      </c>
      <c r="DN16">
        <v>0</v>
      </c>
      <c r="DO16" t="s">
        <v>792</v>
      </c>
      <c r="DP16" t="s">
        <v>237</v>
      </c>
      <c r="DQ16" t="s">
        <v>238</v>
      </c>
      <c r="DR16" t="s">
        <v>239</v>
      </c>
      <c r="DS16" t="s">
        <v>240</v>
      </c>
      <c r="DT16" t="s">
        <v>241</v>
      </c>
      <c r="DU16" t="s">
        <v>242</v>
      </c>
    </row>
    <row r="17" spans="1:125" x14ac:dyDescent="0.45">
      <c r="A17" t="s">
        <v>823</v>
      </c>
      <c r="B17" t="s">
        <v>824</v>
      </c>
      <c r="C17" t="s">
        <v>161</v>
      </c>
      <c r="D17" t="s">
        <v>162</v>
      </c>
      <c r="E17" t="s">
        <v>163</v>
      </c>
      <c r="H17" t="s">
        <v>589</v>
      </c>
      <c r="I17" t="s">
        <v>825</v>
      </c>
      <c r="J17">
        <v>0.28999999999999998</v>
      </c>
      <c r="K17">
        <v>0.25231355910005399</v>
      </c>
      <c r="L17">
        <v>2.91</v>
      </c>
      <c r="M17">
        <v>0.26</v>
      </c>
      <c r="N17">
        <v>2.58</v>
      </c>
      <c r="O17">
        <v>3.24</v>
      </c>
      <c r="P17">
        <v>3.17</v>
      </c>
      <c r="Q17">
        <v>4.1900000000000004</v>
      </c>
      <c r="R17">
        <v>0.95</v>
      </c>
      <c r="S17">
        <v>31.49</v>
      </c>
      <c r="T17">
        <v>32.200000000000003</v>
      </c>
      <c r="U17">
        <v>41.6</v>
      </c>
      <c r="V17">
        <v>0.44</v>
      </c>
      <c r="W17">
        <v>7.5</v>
      </c>
      <c r="X17" t="s">
        <v>830</v>
      </c>
      <c r="Y17">
        <v>0</v>
      </c>
      <c r="Z17">
        <v>0</v>
      </c>
      <c r="AA17">
        <v>0</v>
      </c>
      <c r="AB17">
        <v>101.43</v>
      </c>
      <c r="AC17">
        <v>441.51</v>
      </c>
      <c r="AD17">
        <v>0.77</v>
      </c>
      <c r="AE17">
        <v>0.5</v>
      </c>
      <c r="AF17">
        <v>0.84</v>
      </c>
      <c r="AG17">
        <v>64.06</v>
      </c>
      <c r="AH17">
        <v>1</v>
      </c>
      <c r="AI17">
        <v>71.11</v>
      </c>
      <c r="AJ17">
        <v>69.55</v>
      </c>
      <c r="AK17">
        <v>31.17</v>
      </c>
      <c r="AL17">
        <v>29.69</v>
      </c>
      <c r="AM17">
        <v>29.69</v>
      </c>
      <c r="AN17">
        <v>100.6</v>
      </c>
      <c r="AO17">
        <v>156.1</v>
      </c>
      <c r="AP17">
        <v>153.1</v>
      </c>
      <c r="AQ17">
        <v>2</v>
      </c>
      <c r="AR17">
        <v>198</v>
      </c>
      <c r="AS17">
        <v>3.42</v>
      </c>
      <c r="AT17">
        <v>-16</v>
      </c>
      <c r="AU17">
        <v>8</v>
      </c>
      <c r="AV17">
        <v>65</v>
      </c>
      <c r="AW17">
        <v>26.67</v>
      </c>
      <c r="AX17">
        <v>89.36</v>
      </c>
      <c r="AY17">
        <v>17.84</v>
      </c>
      <c r="AZ17">
        <v>-87.98</v>
      </c>
      <c r="BA17">
        <v>9.3800000000000008</v>
      </c>
      <c r="BB17">
        <v>161.37</v>
      </c>
      <c r="BC17">
        <v>27.6</v>
      </c>
      <c r="BD17" t="s">
        <v>848</v>
      </c>
      <c r="BE17" t="s">
        <v>161</v>
      </c>
      <c r="BF17">
        <v>35.85</v>
      </c>
      <c r="BG17">
        <v>127.13</v>
      </c>
      <c r="BH17">
        <v>43.4</v>
      </c>
      <c r="BI17">
        <v>11</v>
      </c>
      <c r="BJ17">
        <v>0.88</v>
      </c>
      <c r="BK17" t="s">
        <v>452</v>
      </c>
      <c r="BL17" t="s">
        <v>161</v>
      </c>
      <c r="BM17">
        <v>-1.52</v>
      </c>
      <c r="BN17" t="s">
        <v>159</v>
      </c>
      <c r="BO17">
        <v>0</v>
      </c>
      <c r="BP17">
        <v>0</v>
      </c>
      <c r="BQ17">
        <v>0.01</v>
      </c>
      <c r="BR17">
        <v>0.01</v>
      </c>
      <c r="BS17">
        <v>0.02</v>
      </c>
      <c r="BT17">
        <v>0.01</v>
      </c>
      <c r="BU17" t="s">
        <v>159</v>
      </c>
      <c r="BV17">
        <v>150</v>
      </c>
      <c r="BW17">
        <v>0</v>
      </c>
      <c r="BX17">
        <v>2</v>
      </c>
      <c r="BY17">
        <v>0.06</v>
      </c>
      <c r="BZ17">
        <v>0</v>
      </c>
      <c r="CA17">
        <v>0.03</v>
      </c>
      <c r="CB17">
        <v>0</v>
      </c>
      <c r="CC17">
        <v>0</v>
      </c>
      <c r="CD17">
        <v>0</v>
      </c>
      <c r="CE17" t="s">
        <v>214</v>
      </c>
      <c r="CF17" t="s">
        <v>215</v>
      </c>
      <c r="CG17" t="s">
        <v>216</v>
      </c>
      <c r="CH17">
        <v>6000</v>
      </c>
      <c r="CI17">
        <v>500</v>
      </c>
      <c r="CJ17">
        <v>1</v>
      </c>
      <c r="CK17">
        <v>2</v>
      </c>
      <c r="CL17">
        <v>55537</v>
      </c>
      <c r="CM17">
        <v>55537</v>
      </c>
      <c r="CN17">
        <v>55537</v>
      </c>
      <c r="CO17">
        <v>0</v>
      </c>
      <c r="CP17">
        <v>-9999</v>
      </c>
      <c r="CQ17">
        <v>0</v>
      </c>
      <c r="CR17">
        <v>0</v>
      </c>
      <c r="CS17">
        <v>0</v>
      </c>
      <c r="CT17">
        <v>0</v>
      </c>
      <c r="CU17">
        <v>2.5299999999999998</v>
      </c>
      <c r="CV17">
        <v>2.4700000000000002</v>
      </c>
      <c r="CW17">
        <v>1.67</v>
      </c>
      <c r="CX17">
        <v>0.94</v>
      </c>
      <c r="CY17">
        <v>0.21</v>
      </c>
      <c r="CZ17">
        <v>-0.02</v>
      </c>
      <c r="DA17">
        <v>0.22</v>
      </c>
      <c r="DB17">
        <v>0.28000000000000003</v>
      </c>
      <c r="DC17">
        <v>101.43</v>
      </c>
      <c r="DD17">
        <v>0</v>
      </c>
      <c r="DE17">
        <v>2.42</v>
      </c>
      <c r="DF17">
        <v>0</v>
      </c>
      <c r="DG17">
        <v>1</v>
      </c>
      <c r="DH17">
        <v>2.37</v>
      </c>
      <c r="DI17">
        <v>0</v>
      </c>
      <c r="DJ17">
        <v>1</v>
      </c>
      <c r="DK17">
        <v>0.6</v>
      </c>
      <c r="DL17">
        <v>0.6</v>
      </c>
      <c r="DM17">
        <v>0.11</v>
      </c>
      <c r="DN17">
        <v>0</v>
      </c>
      <c r="DO17" t="s">
        <v>830</v>
      </c>
      <c r="DP17" t="s">
        <v>237</v>
      </c>
      <c r="DQ17" t="s">
        <v>238</v>
      </c>
      <c r="DR17" t="s">
        <v>239</v>
      </c>
      <c r="DS17" t="s">
        <v>240</v>
      </c>
      <c r="DT17" t="s">
        <v>241</v>
      </c>
      <c r="DU17" t="s">
        <v>242</v>
      </c>
    </row>
    <row r="18" spans="1:125" x14ac:dyDescent="0.45">
      <c r="A18" t="s">
        <v>860</v>
      </c>
      <c r="B18" t="s">
        <v>861</v>
      </c>
      <c r="C18" t="s">
        <v>161</v>
      </c>
      <c r="D18" t="s">
        <v>162</v>
      </c>
      <c r="E18" t="s">
        <v>163</v>
      </c>
      <c r="H18" t="s">
        <v>589</v>
      </c>
      <c r="I18" t="s">
        <v>862</v>
      </c>
      <c r="J18">
        <v>0.21</v>
      </c>
      <c r="K18">
        <v>0.19030734127938659</v>
      </c>
      <c r="L18">
        <v>2.91</v>
      </c>
      <c r="M18">
        <v>0.19</v>
      </c>
      <c r="N18">
        <v>2.04</v>
      </c>
      <c r="O18">
        <v>3.18</v>
      </c>
      <c r="P18">
        <v>3.12</v>
      </c>
      <c r="Q18">
        <v>4.1900000000000004</v>
      </c>
      <c r="R18">
        <v>1.02</v>
      </c>
      <c r="S18">
        <v>31.02</v>
      </c>
      <c r="T18">
        <v>31.58</v>
      </c>
      <c r="U18">
        <v>41.7</v>
      </c>
      <c r="V18">
        <v>0.44</v>
      </c>
      <c r="W18">
        <v>7.5</v>
      </c>
      <c r="X18" t="s">
        <v>867</v>
      </c>
      <c r="Y18">
        <v>0</v>
      </c>
      <c r="Z18">
        <v>0</v>
      </c>
      <c r="AA18">
        <v>0</v>
      </c>
      <c r="AB18">
        <v>105.19</v>
      </c>
      <c r="AC18">
        <v>441.09</v>
      </c>
      <c r="AD18">
        <v>0.76</v>
      </c>
      <c r="AE18">
        <v>0.5</v>
      </c>
      <c r="AF18">
        <v>0.84</v>
      </c>
      <c r="AG18">
        <v>71.64</v>
      </c>
      <c r="AH18">
        <v>1</v>
      </c>
      <c r="AI18">
        <v>69.680000000000007</v>
      </c>
      <c r="AJ18">
        <v>68.44</v>
      </c>
      <c r="AK18">
        <v>31.18</v>
      </c>
      <c r="AL18">
        <v>29.73</v>
      </c>
      <c r="AM18">
        <v>29.73</v>
      </c>
      <c r="AN18">
        <v>100.59</v>
      </c>
      <c r="AO18">
        <v>156</v>
      </c>
      <c r="AP18">
        <v>152.1</v>
      </c>
      <c r="AQ18">
        <v>2.5</v>
      </c>
      <c r="AR18">
        <v>224</v>
      </c>
      <c r="AS18">
        <v>3.42</v>
      </c>
      <c r="AT18">
        <v>-23</v>
      </c>
      <c r="AU18">
        <v>0</v>
      </c>
      <c r="AV18">
        <v>69</v>
      </c>
      <c r="AW18">
        <v>36.07</v>
      </c>
      <c r="AX18">
        <v>80.819999999999993</v>
      </c>
      <c r="AY18">
        <v>23</v>
      </c>
      <c r="AZ18">
        <v>-111</v>
      </c>
      <c r="BA18">
        <v>9.3800000000000008</v>
      </c>
      <c r="BB18">
        <v>161.37</v>
      </c>
      <c r="BC18">
        <v>27.6</v>
      </c>
      <c r="BD18" t="s">
        <v>882</v>
      </c>
      <c r="BE18" t="s">
        <v>161</v>
      </c>
      <c r="BF18">
        <v>35.85</v>
      </c>
      <c r="BG18">
        <v>127.13</v>
      </c>
      <c r="BH18">
        <v>43.1</v>
      </c>
      <c r="BI18">
        <v>11</v>
      </c>
      <c r="BJ18">
        <v>1.03</v>
      </c>
      <c r="BK18" t="s">
        <v>452</v>
      </c>
      <c r="BL18" t="s">
        <v>161</v>
      </c>
      <c r="BM18">
        <v>-1.52</v>
      </c>
      <c r="BN18" t="s">
        <v>159</v>
      </c>
      <c r="BO18">
        <v>0</v>
      </c>
      <c r="BP18">
        <v>0</v>
      </c>
      <c r="BQ18">
        <v>0</v>
      </c>
      <c r="BR18">
        <v>-0.14000000000000001</v>
      </c>
      <c r="BS18">
        <v>-0.59</v>
      </c>
      <c r="BT18">
        <v>-0.99</v>
      </c>
      <c r="BU18" t="s">
        <v>159</v>
      </c>
      <c r="BV18">
        <v>150</v>
      </c>
      <c r="BW18">
        <v>0</v>
      </c>
      <c r="BX18">
        <v>2</v>
      </c>
      <c r="BY18">
        <v>0.06</v>
      </c>
      <c r="BZ18">
        <v>0</v>
      </c>
      <c r="CA18">
        <v>0.03</v>
      </c>
      <c r="CB18">
        <v>0</v>
      </c>
      <c r="CC18">
        <v>0</v>
      </c>
      <c r="CD18">
        <v>0</v>
      </c>
      <c r="CE18" t="s">
        <v>214</v>
      </c>
      <c r="CF18" t="s">
        <v>215</v>
      </c>
      <c r="CG18" t="s">
        <v>216</v>
      </c>
      <c r="CH18">
        <v>6000</v>
      </c>
      <c r="CI18">
        <v>500</v>
      </c>
      <c r="CJ18">
        <v>1</v>
      </c>
      <c r="CK18">
        <v>2</v>
      </c>
      <c r="CL18">
        <v>55537</v>
      </c>
      <c r="CM18">
        <v>55537</v>
      </c>
      <c r="CN18">
        <v>55537</v>
      </c>
      <c r="CO18">
        <v>0</v>
      </c>
      <c r="CP18">
        <v>-9999</v>
      </c>
      <c r="CQ18">
        <v>0</v>
      </c>
      <c r="CR18">
        <v>0</v>
      </c>
      <c r="CS18">
        <v>0</v>
      </c>
      <c r="CT18">
        <v>0</v>
      </c>
      <c r="CU18">
        <v>2.5299999999999998</v>
      </c>
      <c r="CV18">
        <v>2.4700000000000002</v>
      </c>
      <c r="CW18">
        <v>1.67</v>
      </c>
      <c r="CX18">
        <v>0.93</v>
      </c>
      <c r="CY18">
        <v>0.21</v>
      </c>
      <c r="CZ18">
        <v>-0.02</v>
      </c>
      <c r="DA18">
        <v>0.23</v>
      </c>
      <c r="DB18">
        <v>0.3</v>
      </c>
      <c r="DC18">
        <v>105.19</v>
      </c>
      <c r="DD18">
        <v>0</v>
      </c>
      <c r="DE18">
        <v>2.42</v>
      </c>
      <c r="DF18">
        <v>0</v>
      </c>
      <c r="DG18">
        <v>1</v>
      </c>
      <c r="DH18">
        <v>2.37</v>
      </c>
      <c r="DI18">
        <v>0</v>
      </c>
      <c r="DJ18">
        <v>1</v>
      </c>
      <c r="DK18">
        <v>0.6</v>
      </c>
      <c r="DL18">
        <v>0.6</v>
      </c>
      <c r="DM18">
        <v>0.11</v>
      </c>
      <c r="DN18">
        <v>0</v>
      </c>
      <c r="DO18" t="s">
        <v>867</v>
      </c>
      <c r="DP18" t="s">
        <v>237</v>
      </c>
      <c r="DQ18" t="s">
        <v>238</v>
      </c>
      <c r="DR18" t="s">
        <v>239</v>
      </c>
      <c r="DS18" t="s">
        <v>240</v>
      </c>
      <c r="DT18" t="s">
        <v>241</v>
      </c>
      <c r="DU18" t="s">
        <v>242</v>
      </c>
    </row>
    <row r="19" spans="1:125" x14ac:dyDescent="0.45">
      <c r="A19" t="s">
        <v>898</v>
      </c>
      <c r="B19" t="s">
        <v>899</v>
      </c>
      <c r="C19" t="s">
        <v>161</v>
      </c>
      <c r="D19" t="s">
        <v>162</v>
      </c>
      <c r="E19" t="s">
        <v>163</v>
      </c>
      <c r="H19" t="s">
        <v>589</v>
      </c>
      <c r="I19" t="s">
        <v>900</v>
      </c>
      <c r="J19">
        <v>0.18</v>
      </c>
      <c r="K19">
        <v>0.17036104113339451</v>
      </c>
      <c r="L19">
        <v>2.91</v>
      </c>
      <c r="M19">
        <v>0.17</v>
      </c>
      <c r="N19">
        <v>1.93</v>
      </c>
      <c r="O19">
        <v>3.2</v>
      </c>
      <c r="P19">
        <v>3.15</v>
      </c>
      <c r="Q19">
        <v>4.28</v>
      </c>
      <c r="R19">
        <v>1.0900000000000001</v>
      </c>
      <c r="S19">
        <v>31.28</v>
      </c>
      <c r="T19">
        <v>31.81</v>
      </c>
      <c r="U19">
        <v>42.6</v>
      </c>
      <c r="V19">
        <v>0.44</v>
      </c>
      <c r="W19">
        <v>7.5</v>
      </c>
      <c r="X19" t="s">
        <v>905</v>
      </c>
      <c r="Y19">
        <v>0</v>
      </c>
      <c r="Z19">
        <v>0</v>
      </c>
      <c r="AA19">
        <v>0</v>
      </c>
      <c r="AB19">
        <v>111.65</v>
      </c>
      <c r="AC19">
        <v>469.74</v>
      </c>
      <c r="AD19">
        <v>0.76</v>
      </c>
      <c r="AE19">
        <v>0.5</v>
      </c>
      <c r="AF19">
        <v>0.84</v>
      </c>
      <c r="AG19">
        <v>74.92</v>
      </c>
      <c r="AH19">
        <v>1</v>
      </c>
      <c r="AI19">
        <v>70.010000000000005</v>
      </c>
      <c r="AJ19">
        <v>68.84</v>
      </c>
      <c r="AK19">
        <v>31.23</v>
      </c>
      <c r="AL19">
        <v>30.1</v>
      </c>
      <c r="AM19">
        <v>30.1</v>
      </c>
      <c r="AN19">
        <v>100.59</v>
      </c>
      <c r="AO19">
        <v>156.19999999999999</v>
      </c>
      <c r="AP19">
        <v>154.1</v>
      </c>
      <c r="AQ19">
        <v>1.3</v>
      </c>
      <c r="AR19">
        <v>234</v>
      </c>
      <c r="AS19">
        <v>3.41</v>
      </c>
      <c r="AT19">
        <v>-20</v>
      </c>
      <c r="AU19">
        <v>0</v>
      </c>
      <c r="AV19">
        <v>140</v>
      </c>
      <c r="AW19">
        <v>11.6</v>
      </c>
      <c r="AX19">
        <v>97.96</v>
      </c>
      <c r="AY19">
        <v>20</v>
      </c>
      <c r="AZ19">
        <v>-40</v>
      </c>
      <c r="BA19">
        <v>9.3800000000000008</v>
      </c>
      <c r="BB19">
        <v>162.41</v>
      </c>
      <c r="BC19">
        <v>27.48</v>
      </c>
      <c r="BD19" t="s">
        <v>924</v>
      </c>
      <c r="BE19" t="s">
        <v>161</v>
      </c>
      <c r="BF19">
        <v>35.85</v>
      </c>
      <c r="BG19">
        <v>127.13</v>
      </c>
      <c r="BH19">
        <v>42.6</v>
      </c>
      <c r="BI19">
        <v>10</v>
      </c>
      <c r="BJ19">
        <v>0.9</v>
      </c>
      <c r="BK19" t="s">
        <v>929</v>
      </c>
      <c r="BL19" t="s">
        <v>161</v>
      </c>
      <c r="BM19">
        <v>-1.29</v>
      </c>
      <c r="BN19" t="s">
        <v>159</v>
      </c>
      <c r="BO19">
        <v>0</v>
      </c>
      <c r="BP19">
        <v>0</v>
      </c>
      <c r="BQ19">
        <v>0</v>
      </c>
      <c r="BR19">
        <v>0</v>
      </c>
      <c r="BS19">
        <v>0.2</v>
      </c>
      <c r="BT19">
        <v>0.4</v>
      </c>
      <c r="BU19" t="s">
        <v>159</v>
      </c>
      <c r="BV19">
        <v>150</v>
      </c>
      <c r="BW19">
        <v>0</v>
      </c>
      <c r="BX19">
        <v>2</v>
      </c>
      <c r="BY19">
        <v>0.06</v>
      </c>
      <c r="BZ19">
        <v>0</v>
      </c>
      <c r="CA19">
        <v>0.03</v>
      </c>
      <c r="CB19">
        <v>0</v>
      </c>
      <c r="CC19">
        <v>0</v>
      </c>
      <c r="CD19">
        <v>0</v>
      </c>
      <c r="CE19" t="s">
        <v>214</v>
      </c>
      <c r="CF19" t="s">
        <v>215</v>
      </c>
      <c r="CG19" t="s">
        <v>216</v>
      </c>
      <c r="CH19">
        <v>6000</v>
      </c>
      <c r="CI19">
        <v>500</v>
      </c>
      <c r="CJ19">
        <v>1</v>
      </c>
      <c r="CK19">
        <v>2</v>
      </c>
      <c r="CL19">
        <v>55537</v>
      </c>
      <c r="CM19">
        <v>55537</v>
      </c>
      <c r="CN19">
        <v>55537</v>
      </c>
      <c r="CO19">
        <v>0</v>
      </c>
      <c r="CP19">
        <v>-9999</v>
      </c>
      <c r="CQ19">
        <v>0</v>
      </c>
      <c r="CR19">
        <v>0</v>
      </c>
      <c r="CS19">
        <v>0</v>
      </c>
      <c r="CT19">
        <v>0</v>
      </c>
      <c r="CU19">
        <v>2.5299999999999998</v>
      </c>
      <c r="CV19">
        <v>2.4700000000000002</v>
      </c>
      <c r="CW19">
        <v>1.67</v>
      </c>
      <c r="CX19">
        <v>0.94</v>
      </c>
      <c r="CY19">
        <v>0.21</v>
      </c>
      <c r="CZ19">
        <v>-0.01</v>
      </c>
      <c r="DA19">
        <v>0.24</v>
      </c>
      <c r="DB19">
        <v>0.31</v>
      </c>
      <c r="DC19">
        <v>111.65</v>
      </c>
      <c r="DD19">
        <v>0</v>
      </c>
      <c r="DE19">
        <v>2.42</v>
      </c>
      <c r="DF19">
        <v>0</v>
      </c>
      <c r="DG19">
        <v>1</v>
      </c>
      <c r="DH19">
        <v>2.37</v>
      </c>
      <c r="DI19">
        <v>0</v>
      </c>
      <c r="DJ19">
        <v>1</v>
      </c>
      <c r="DK19">
        <v>0.6</v>
      </c>
      <c r="DL19">
        <v>0.6</v>
      </c>
      <c r="DM19">
        <v>0.11</v>
      </c>
      <c r="DN19">
        <v>0</v>
      </c>
      <c r="DO19" t="s">
        <v>905</v>
      </c>
      <c r="DP19" t="s">
        <v>237</v>
      </c>
      <c r="DQ19" t="s">
        <v>238</v>
      </c>
      <c r="DR19" t="s">
        <v>239</v>
      </c>
      <c r="DS19" t="s">
        <v>240</v>
      </c>
      <c r="DT19" t="s">
        <v>241</v>
      </c>
      <c r="DU19" t="s">
        <v>242</v>
      </c>
    </row>
    <row r="20" spans="1:125" x14ac:dyDescent="0.45">
      <c r="A20" t="s">
        <v>940</v>
      </c>
      <c r="B20" t="s">
        <v>941</v>
      </c>
      <c r="C20" t="s">
        <v>161</v>
      </c>
      <c r="D20" t="s">
        <v>162</v>
      </c>
      <c r="E20" t="s">
        <v>163</v>
      </c>
      <c r="H20" t="s">
        <v>942</v>
      </c>
      <c r="I20" t="s">
        <v>943</v>
      </c>
      <c r="J20">
        <v>0.38</v>
      </c>
      <c r="K20">
        <v>0.31338401036389368</v>
      </c>
      <c r="L20">
        <v>2.91</v>
      </c>
      <c r="M20">
        <v>0.33</v>
      </c>
      <c r="N20">
        <v>3.44</v>
      </c>
      <c r="O20">
        <v>3.16</v>
      </c>
      <c r="P20">
        <v>3.07</v>
      </c>
      <c r="Q20">
        <v>4.17</v>
      </c>
      <c r="R20">
        <v>1</v>
      </c>
      <c r="S20">
        <v>30.52</v>
      </c>
      <c r="T20">
        <v>31.46</v>
      </c>
      <c r="U20">
        <v>41.43</v>
      </c>
      <c r="V20">
        <v>0.44</v>
      </c>
      <c r="W20">
        <v>7.5</v>
      </c>
      <c r="X20" t="s">
        <v>948</v>
      </c>
      <c r="Y20">
        <v>0</v>
      </c>
      <c r="Z20">
        <v>0</v>
      </c>
      <c r="AA20">
        <v>0</v>
      </c>
      <c r="AB20">
        <v>109.67</v>
      </c>
      <c r="AC20">
        <v>447.96</v>
      </c>
      <c r="AD20">
        <v>0.76</v>
      </c>
      <c r="AE20">
        <v>0.5</v>
      </c>
      <c r="AF20">
        <v>0.84</v>
      </c>
      <c r="AG20">
        <v>81.2</v>
      </c>
      <c r="AH20">
        <v>1</v>
      </c>
      <c r="AI20">
        <v>69.22</v>
      </c>
      <c r="AJ20">
        <v>67.14</v>
      </c>
      <c r="AK20">
        <v>31.24</v>
      </c>
      <c r="AL20">
        <v>29.62</v>
      </c>
      <c r="AM20">
        <v>29.62</v>
      </c>
      <c r="AN20">
        <v>100.6</v>
      </c>
      <c r="AO20">
        <v>156</v>
      </c>
      <c r="AP20">
        <v>152.4</v>
      </c>
      <c r="AQ20">
        <v>2.2999999999999998</v>
      </c>
      <c r="AR20">
        <v>256</v>
      </c>
      <c r="AS20">
        <v>3.41</v>
      </c>
      <c r="AT20">
        <v>-15</v>
      </c>
      <c r="AU20">
        <v>2</v>
      </c>
      <c r="AV20">
        <v>102</v>
      </c>
      <c r="AW20">
        <v>21.83</v>
      </c>
      <c r="AX20">
        <v>92.83</v>
      </c>
      <c r="AY20">
        <v>15.13</v>
      </c>
      <c r="AZ20">
        <v>-70.319999999999993</v>
      </c>
      <c r="BA20">
        <v>9.3699999999999992</v>
      </c>
      <c r="BB20">
        <v>163.44</v>
      </c>
      <c r="BC20">
        <v>27.36</v>
      </c>
      <c r="BD20" t="s">
        <v>967</v>
      </c>
      <c r="BE20" t="s">
        <v>161</v>
      </c>
      <c r="BF20">
        <v>35.85</v>
      </c>
      <c r="BG20">
        <v>127.13</v>
      </c>
      <c r="BH20">
        <v>42.6</v>
      </c>
      <c r="BI20">
        <v>12</v>
      </c>
      <c r="BJ20">
        <v>0.8</v>
      </c>
      <c r="BK20" t="s">
        <v>929</v>
      </c>
      <c r="BL20" t="s">
        <v>161</v>
      </c>
      <c r="BM20">
        <v>-1.29</v>
      </c>
      <c r="BN20" t="s">
        <v>159</v>
      </c>
      <c r="BO20">
        <v>0</v>
      </c>
      <c r="BP20">
        <v>0</v>
      </c>
      <c r="BQ20">
        <v>0</v>
      </c>
      <c r="BR20">
        <v>0.12</v>
      </c>
      <c r="BS20">
        <v>0.22</v>
      </c>
      <c r="BT20">
        <v>0.75</v>
      </c>
      <c r="BU20" t="s">
        <v>159</v>
      </c>
      <c r="BV20">
        <v>150</v>
      </c>
      <c r="BW20">
        <v>0</v>
      </c>
      <c r="BX20">
        <v>2</v>
      </c>
      <c r="BY20">
        <v>0.06</v>
      </c>
      <c r="BZ20">
        <v>0</v>
      </c>
      <c r="CA20">
        <v>0.03</v>
      </c>
      <c r="CB20">
        <v>0</v>
      </c>
      <c r="CC20">
        <v>0</v>
      </c>
      <c r="CD20">
        <v>0</v>
      </c>
      <c r="CE20" t="s">
        <v>214</v>
      </c>
      <c r="CF20" t="s">
        <v>215</v>
      </c>
      <c r="CG20" t="s">
        <v>216</v>
      </c>
      <c r="CH20">
        <v>6000</v>
      </c>
      <c r="CI20">
        <v>500</v>
      </c>
      <c r="CJ20">
        <v>1</v>
      </c>
      <c r="CK20">
        <v>2</v>
      </c>
      <c r="CL20">
        <v>55537</v>
      </c>
      <c r="CM20">
        <v>55537</v>
      </c>
      <c r="CN20">
        <v>55537</v>
      </c>
      <c r="CO20">
        <v>0</v>
      </c>
      <c r="CP20">
        <v>-9999</v>
      </c>
      <c r="CQ20">
        <v>0</v>
      </c>
      <c r="CR20">
        <v>0</v>
      </c>
      <c r="CS20">
        <v>0</v>
      </c>
      <c r="CT20">
        <v>0</v>
      </c>
      <c r="CU20">
        <v>2.5299999999999998</v>
      </c>
      <c r="CV20">
        <v>2.4700000000000002</v>
      </c>
      <c r="CW20">
        <v>1.67</v>
      </c>
      <c r="CX20">
        <v>0.93</v>
      </c>
      <c r="CY20">
        <v>0.21</v>
      </c>
      <c r="CZ20">
        <v>-0.02</v>
      </c>
      <c r="DA20">
        <v>0.25</v>
      </c>
      <c r="DB20">
        <v>0.33</v>
      </c>
      <c r="DC20">
        <v>109.67</v>
      </c>
      <c r="DD20">
        <v>0</v>
      </c>
      <c r="DE20">
        <v>2.42</v>
      </c>
      <c r="DF20">
        <v>0</v>
      </c>
      <c r="DG20">
        <v>1</v>
      </c>
      <c r="DH20">
        <v>2.37</v>
      </c>
      <c r="DI20">
        <v>0</v>
      </c>
      <c r="DJ20">
        <v>1</v>
      </c>
      <c r="DK20">
        <v>0.6</v>
      </c>
      <c r="DL20">
        <v>0.6</v>
      </c>
      <c r="DM20">
        <v>0.11</v>
      </c>
      <c r="DN20">
        <v>0</v>
      </c>
      <c r="DO20" t="s">
        <v>948</v>
      </c>
      <c r="DP20" t="s">
        <v>237</v>
      </c>
      <c r="DQ20" t="s">
        <v>238</v>
      </c>
      <c r="DR20" t="s">
        <v>239</v>
      </c>
      <c r="DS20" t="s">
        <v>240</v>
      </c>
      <c r="DT20" t="s">
        <v>241</v>
      </c>
      <c r="DU20" t="s">
        <v>242</v>
      </c>
    </row>
    <row r="21" spans="1:125" x14ac:dyDescent="0.45">
      <c r="A21" t="s">
        <v>981</v>
      </c>
      <c r="B21" t="s">
        <v>982</v>
      </c>
      <c r="C21" t="s">
        <v>161</v>
      </c>
      <c r="D21" t="s">
        <v>162</v>
      </c>
      <c r="E21" t="s">
        <v>163</v>
      </c>
      <c r="H21" t="s">
        <v>942</v>
      </c>
      <c r="I21" t="s">
        <v>983</v>
      </c>
      <c r="J21">
        <v>0.21</v>
      </c>
      <c r="K21">
        <v>0.19019803015096121</v>
      </c>
      <c r="L21">
        <v>2.91</v>
      </c>
      <c r="M21">
        <v>0.19</v>
      </c>
      <c r="N21">
        <v>2.2200000000000002</v>
      </c>
      <c r="O21">
        <v>3.16</v>
      </c>
      <c r="P21">
        <v>3.1</v>
      </c>
      <c r="Q21">
        <v>4.2699999999999996</v>
      </c>
      <c r="R21">
        <v>1.1100000000000001</v>
      </c>
      <c r="S21">
        <v>30.84</v>
      </c>
      <c r="T21">
        <v>31.45</v>
      </c>
      <c r="U21">
        <v>42.45</v>
      </c>
      <c r="V21">
        <v>0.44</v>
      </c>
      <c r="W21">
        <v>7.5</v>
      </c>
      <c r="X21" t="s">
        <v>988</v>
      </c>
      <c r="Y21">
        <v>0</v>
      </c>
      <c r="Z21">
        <v>0</v>
      </c>
      <c r="AA21">
        <v>0</v>
      </c>
      <c r="AB21">
        <v>120.66</v>
      </c>
      <c r="AC21">
        <v>444.8</v>
      </c>
      <c r="AD21">
        <v>0.73</v>
      </c>
      <c r="AE21">
        <v>0.5</v>
      </c>
      <c r="AF21">
        <v>0.84</v>
      </c>
      <c r="AG21">
        <v>75.290000000000006</v>
      </c>
      <c r="AH21">
        <v>1</v>
      </c>
      <c r="AI21">
        <v>69.260000000000005</v>
      </c>
      <c r="AJ21">
        <v>67.92</v>
      </c>
      <c r="AK21">
        <v>31.22</v>
      </c>
      <c r="AL21">
        <v>30.04</v>
      </c>
      <c r="AM21">
        <v>30.04</v>
      </c>
      <c r="AN21">
        <v>100.6</v>
      </c>
      <c r="AO21">
        <v>156.19999999999999</v>
      </c>
      <c r="AP21">
        <v>154.80000000000001</v>
      </c>
      <c r="AQ21">
        <v>0.9</v>
      </c>
      <c r="AR21">
        <v>246</v>
      </c>
      <c r="AS21">
        <v>3.41</v>
      </c>
      <c r="AT21">
        <v>-17</v>
      </c>
      <c r="AU21">
        <v>-8</v>
      </c>
      <c r="AV21">
        <v>160</v>
      </c>
      <c r="AW21">
        <v>14.06</v>
      </c>
      <c r="AX21">
        <v>97</v>
      </c>
      <c r="AY21">
        <v>18.739999999999998</v>
      </c>
      <c r="AZ21">
        <v>-45.67</v>
      </c>
      <c r="BA21">
        <v>9.3699999999999992</v>
      </c>
      <c r="BB21">
        <v>163.44</v>
      </c>
      <c r="BC21">
        <v>27.36</v>
      </c>
      <c r="BD21" t="s">
        <v>1006</v>
      </c>
      <c r="BE21" t="s">
        <v>161</v>
      </c>
      <c r="BF21">
        <v>35.85</v>
      </c>
      <c r="BG21">
        <v>127.13</v>
      </c>
      <c r="BH21">
        <v>42.4</v>
      </c>
      <c r="BI21">
        <v>12</v>
      </c>
      <c r="BJ21">
        <v>0.8</v>
      </c>
      <c r="BK21" t="s">
        <v>929</v>
      </c>
      <c r="BL21" t="s">
        <v>161</v>
      </c>
      <c r="BM21">
        <v>-1.29</v>
      </c>
      <c r="BN21" t="s">
        <v>159</v>
      </c>
      <c r="BO21">
        <v>0</v>
      </c>
      <c r="BP21">
        <v>0</v>
      </c>
      <c r="BQ21">
        <v>0</v>
      </c>
      <c r="BR21">
        <v>-0.11</v>
      </c>
      <c r="BS21">
        <v>0.01</v>
      </c>
      <c r="BT21">
        <v>-0.1</v>
      </c>
      <c r="BU21" t="s">
        <v>159</v>
      </c>
      <c r="BV21">
        <v>150</v>
      </c>
      <c r="BW21">
        <v>0</v>
      </c>
      <c r="BX21">
        <v>2</v>
      </c>
      <c r="BY21">
        <v>0.06</v>
      </c>
      <c r="BZ21">
        <v>0</v>
      </c>
      <c r="CA21">
        <v>0.03</v>
      </c>
      <c r="CB21">
        <v>0</v>
      </c>
      <c r="CC21">
        <v>0</v>
      </c>
      <c r="CD21">
        <v>0</v>
      </c>
      <c r="CE21" t="s">
        <v>214</v>
      </c>
      <c r="CF21" t="s">
        <v>215</v>
      </c>
      <c r="CG21" t="s">
        <v>216</v>
      </c>
      <c r="CH21">
        <v>6000</v>
      </c>
      <c r="CI21">
        <v>500</v>
      </c>
      <c r="CJ21">
        <v>1</v>
      </c>
      <c r="CK21">
        <v>2</v>
      </c>
      <c r="CL21">
        <v>55537</v>
      </c>
      <c r="CM21">
        <v>55537</v>
      </c>
      <c r="CN21">
        <v>55537</v>
      </c>
      <c r="CO21">
        <v>0</v>
      </c>
      <c r="CP21">
        <v>-9999</v>
      </c>
      <c r="CQ21">
        <v>0</v>
      </c>
      <c r="CR21">
        <v>0</v>
      </c>
      <c r="CS21">
        <v>0</v>
      </c>
      <c r="CT21">
        <v>0</v>
      </c>
      <c r="CU21">
        <v>2.5299999999999998</v>
      </c>
      <c r="CV21">
        <v>2.4700000000000002</v>
      </c>
      <c r="CW21">
        <v>1.67</v>
      </c>
      <c r="CX21">
        <v>0.94</v>
      </c>
      <c r="CY21">
        <v>0.21</v>
      </c>
      <c r="CZ21">
        <v>-0.01</v>
      </c>
      <c r="DA21">
        <v>0.26</v>
      </c>
      <c r="DB21">
        <v>0.32</v>
      </c>
      <c r="DC21">
        <v>120.66</v>
      </c>
      <c r="DD21">
        <v>0</v>
      </c>
      <c r="DE21">
        <v>2.42</v>
      </c>
      <c r="DF21">
        <v>0</v>
      </c>
      <c r="DG21">
        <v>1</v>
      </c>
      <c r="DH21">
        <v>2.37</v>
      </c>
      <c r="DI21">
        <v>0</v>
      </c>
      <c r="DJ21">
        <v>1</v>
      </c>
      <c r="DK21">
        <v>0.6</v>
      </c>
      <c r="DL21">
        <v>0.6</v>
      </c>
      <c r="DM21">
        <v>0.11</v>
      </c>
      <c r="DN21">
        <v>0</v>
      </c>
      <c r="DO21" t="s">
        <v>988</v>
      </c>
      <c r="DP21" t="s">
        <v>237</v>
      </c>
      <c r="DQ21" t="s">
        <v>238</v>
      </c>
      <c r="DR21" t="s">
        <v>239</v>
      </c>
      <c r="DS21" t="s">
        <v>240</v>
      </c>
      <c r="DT21" t="s">
        <v>241</v>
      </c>
      <c r="DU21" t="s">
        <v>242</v>
      </c>
    </row>
    <row r="22" spans="1:125" x14ac:dyDescent="0.45">
      <c r="A22" t="s">
        <v>1021</v>
      </c>
      <c r="B22" t="s">
        <v>1022</v>
      </c>
      <c r="C22" t="s">
        <v>161</v>
      </c>
      <c r="D22" t="s">
        <v>162</v>
      </c>
      <c r="E22" t="s">
        <v>163</v>
      </c>
      <c r="H22" t="s">
        <v>942</v>
      </c>
      <c r="I22" t="s">
        <v>1023</v>
      </c>
      <c r="J22">
        <v>0.31</v>
      </c>
      <c r="K22">
        <v>0.26785743619194702</v>
      </c>
      <c r="L22">
        <v>2.9</v>
      </c>
      <c r="M22">
        <v>0.28000000000000003</v>
      </c>
      <c r="N22">
        <v>3.01</v>
      </c>
      <c r="O22">
        <v>3.19</v>
      </c>
      <c r="P22">
        <v>3.11</v>
      </c>
      <c r="Q22">
        <v>4.2300000000000004</v>
      </c>
      <c r="R22">
        <v>1.04</v>
      </c>
      <c r="S22">
        <v>30.93</v>
      </c>
      <c r="T22">
        <v>31.75</v>
      </c>
      <c r="U22">
        <v>42.06</v>
      </c>
      <c r="V22">
        <v>0.44</v>
      </c>
      <c r="W22">
        <v>7.5</v>
      </c>
      <c r="X22" t="s">
        <v>1028</v>
      </c>
      <c r="Y22">
        <v>0</v>
      </c>
      <c r="Z22">
        <v>0</v>
      </c>
      <c r="AA22">
        <v>0</v>
      </c>
      <c r="AB22">
        <v>112.27</v>
      </c>
      <c r="AC22">
        <v>445.34</v>
      </c>
      <c r="AD22">
        <v>0.75</v>
      </c>
      <c r="AE22">
        <v>0.5</v>
      </c>
      <c r="AF22">
        <v>0.84</v>
      </c>
      <c r="AG22">
        <v>76.02</v>
      </c>
      <c r="AH22">
        <v>1</v>
      </c>
      <c r="AI22">
        <v>69.95</v>
      </c>
      <c r="AJ22">
        <v>68.13</v>
      </c>
      <c r="AK22">
        <v>31.21</v>
      </c>
      <c r="AL22">
        <v>29.88</v>
      </c>
      <c r="AM22">
        <v>29.88</v>
      </c>
      <c r="AN22">
        <v>100.59</v>
      </c>
      <c r="AO22">
        <v>155.9</v>
      </c>
      <c r="AP22">
        <v>154.1</v>
      </c>
      <c r="AQ22">
        <v>1.2</v>
      </c>
      <c r="AR22">
        <v>242</v>
      </c>
      <c r="AS22">
        <v>3.41</v>
      </c>
      <c r="AT22">
        <v>-18</v>
      </c>
      <c r="AU22">
        <v>3</v>
      </c>
      <c r="AV22">
        <v>115</v>
      </c>
      <c r="AW22">
        <v>17.260000000000002</v>
      </c>
      <c r="AX22">
        <v>95.5</v>
      </c>
      <c r="AY22">
        <v>18.239999999999998</v>
      </c>
      <c r="AZ22">
        <v>-55.37</v>
      </c>
      <c r="BA22">
        <v>9.3699999999999992</v>
      </c>
      <c r="BB22">
        <v>163.97</v>
      </c>
      <c r="BC22">
        <v>27.3</v>
      </c>
      <c r="BD22" t="s">
        <v>1045</v>
      </c>
      <c r="BE22" t="s">
        <v>161</v>
      </c>
      <c r="BF22">
        <v>35.85</v>
      </c>
      <c r="BG22">
        <v>127.13</v>
      </c>
      <c r="BH22">
        <v>42</v>
      </c>
      <c r="BI22">
        <v>11</v>
      </c>
      <c r="BJ22">
        <v>0.78</v>
      </c>
      <c r="BK22" t="s">
        <v>929</v>
      </c>
      <c r="BL22" t="s">
        <v>161</v>
      </c>
      <c r="BM22">
        <v>-1.29</v>
      </c>
      <c r="BN22" t="s">
        <v>159</v>
      </c>
      <c r="BO22">
        <v>0</v>
      </c>
      <c r="BP22">
        <v>0</v>
      </c>
      <c r="BQ22">
        <v>0.01</v>
      </c>
      <c r="BR22">
        <v>0.04</v>
      </c>
      <c r="BS22">
        <v>0.02</v>
      </c>
      <c r="BT22">
        <v>0.01</v>
      </c>
      <c r="BU22" t="s">
        <v>159</v>
      </c>
      <c r="BV22">
        <v>150</v>
      </c>
      <c r="BW22">
        <v>0</v>
      </c>
      <c r="BX22">
        <v>2</v>
      </c>
      <c r="BY22">
        <v>0.06</v>
      </c>
      <c r="BZ22">
        <v>0</v>
      </c>
      <c r="CA22">
        <v>0.03</v>
      </c>
      <c r="CB22">
        <v>0</v>
      </c>
      <c r="CC22">
        <v>0</v>
      </c>
      <c r="CD22">
        <v>0</v>
      </c>
      <c r="CE22" t="s">
        <v>214</v>
      </c>
      <c r="CF22" t="s">
        <v>215</v>
      </c>
      <c r="CG22" t="s">
        <v>216</v>
      </c>
      <c r="CH22">
        <v>6000</v>
      </c>
      <c r="CI22">
        <v>500</v>
      </c>
      <c r="CJ22">
        <v>1</v>
      </c>
      <c r="CK22">
        <v>2</v>
      </c>
      <c r="CL22">
        <v>55537</v>
      </c>
      <c r="CM22">
        <v>55537</v>
      </c>
      <c r="CN22">
        <v>55537</v>
      </c>
      <c r="CO22">
        <v>0</v>
      </c>
      <c r="CP22">
        <v>-9999</v>
      </c>
      <c r="CQ22">
        <v>0</v>
      </c>
      <c r="CR22">
        <v>0</v>
      </c>
      <c r="CS22">
        <v>0</v>
      </c>
      <c r="CT22">
        <v>0</v>
      </c>
      <c r="CU22">
        <v>2.5299999999999998</v>
      </c>
      <c r="CV22">
        <v>2.4700000000000002</v>
      </c>
      <c r="CW22">
        <v>1.67</v>
      </c>
      <c r="CX22">
        <v>0.94</v>
      </c>
      <c r="CY22">
        <v>0.21</v>
      </c>
      <c r="CZ22">
        <v>-0.02</v>
      </c>
      <c r="DA22">
        <v>0.26</v>
      </c>
      <c r="DB22">
        <v>0.32</v>
      </c>
      <c r="DC22">
        <v>112.27</v>
      </c>
      <c r="DD22">
        <v>0</v>
      </c>
      <c r="DE22">
        <v>2.42</v>
      </c>
      <c r="DF22">
        <v>0</v>
      </c>
      <c r="DG22">
        <v>1</v>
      </c>
      <c r="DH22">
        <v>2.37</v>
      </c>
      <c r="DI22">
        <v>0</v>
      </c>
      <c r="DJ22">
        <v>1</v>
      </c>
      <c r="DK22">
        <v>0.6</v>
      </c>
      <c r="DL22">
        <v>0.6</v>
      </c>
      <c r="DM22">
        <v>0.11</v>
      </c>
      <c r="DN22">
        <v>0</v>
      </c>
      <c r="DO22" t="s">
        <v>1028</v>
      </c>
      <c r="DP22" t="s">
        <v>237</v>
      </c>
      <c r="DQ22" t="s">
        <v>238</v>
      </c>
      <c r="DR22" t="s">
        <v>239</v>
      </c>
      <c r="DS22" t="s">
        <v>240</v>
      </c>
      <c r="DT22" t="s">
        <v>241</v>
      </c>
      <c r="DU22" t="s">
        <v>242</v>
      </c>
    </row>
    <row r="23" spans="1:125" x14ac:dyDescent="0.45">
      <c r="A23" t="s">
        <v>1060</v>
      </c>
      <c r="B23" t="s">
        <v>1061</v>
      </c>
      <c r="C23" t="s">
        <v>161</v>
      </c>
      <c r="D23" t="s">
        <v>162</v>
      </c>
      <c r="E23" t="s">
        <v>163</v>
      </c>
      <c r="H23" t="s">
        <v>942</v>
      </c>
      <c r="I23" t="s">
        <v>1062</v>
      </c>
      <c r="J23">
        <v>0.18</v>
      </c>
      <c r="K23">
        <v>0.17137386931501161</v>
      </c>
      <c r="L23">
        <v>2.91</v>
      </c>
      <c r="M23">
        <v>0.17</v>
      </c>
      <c r="N23">
        <v>2.0299999999999998</v>
      </c>
      <c r="O23">
        <v>3.15</v>
      </c>
      <c r="P23">
        <v>3.09</v>
      </c>
      <c r="Q23">
        <v>4.28</v>
      </c>
      <c r="R23">
        <v>1.1299999999999999</v>
      </c>
      <c r="S23">
        <v>30.76</v>
      </c>
      <c r="T23">
        <v>31.32</v>
      </c>
      <c r="U23">
        <v>42.59</v>
      </c>
      <c r="V23">
        <v>0.44</v>
      </c>
      <c r="W23">
        <v>7.5</v>
      </c>
      <c r="X23" t="s">
        <v>1067</v>
      </c>
      <c r="Y23">
        <v>0</v>
      </c>
      <c r="Z23">
        <v>0</v>
      </c>
      <c r="AA23">
        <v>0</v>
      </c>
      <c r="AB23">
        <v>121.82</v>
      </c>
      <c r="AC23">
        <v>455.58</v>
      </c>
      <c r="AD23">
        <v>0.73</v>
      </c>
      <c r="AE23">
        <v>0.5</v>
      </c>
      <c r="AF23">
        <v>0.84</v>
      </c>
      <c r="AG23">
        <v>70.77</v>
      </c>
      <c r="AH23">
        <v>1</v>
      </c>
      <c r="AI23">
        <v>69.03</v>
      </c>
      <c r="AJ23">
        <v>67.8</v>
      </c>
      <c r="AK23">
        <v>31.21</v>
      </c>
      <c r="AL23">
        <v>30.1</v>
      </c>
      <c r="AM23">
        <v>30.1</v>
      </c>
      <c r="AN23">
        <v>100.6</v>
      </c>
      <c r="AO23">
        <v>156.19999999999999</v>
      </c>
      <c r="AP23">
        <v>153.5</v>
      </c>
      <c r="AQ23">
        <v>1.7</v>
      </c>
      <c r="AR23">
        <v>230</v>
      </c>
      <c r="AS23">
        <v>3.41</v>
      </c>
      <c r="AT23">
        <v>-18</v>
      </c>
      <c r="AU23">
        <v>4</v>
      </c>
      <c r="AV23">
        <v>123</v>
      </c>
      <c r="AW23">
        <v>13.88</v>
      </c>
      <c r="AX23">
        <v>97.08</v>
      </c>
      <c r="AY23">
        <v>18.420000000000002</v>
      </c>
      <c r="AZ23">
        <v>-44.25</v>
      </c>
      <c r="BA23">
        <v>9.3699999999999992</v>
      </c>
      <c r="BB23">
        <v>163.97</v>
      </c>
      <c r="BC23">
        <v>27.3</v>
      </c>
      <c r="BD23" t="s">
        <v>1080</v>
      </c>
      <c r="BE23" t="s">
        <v>161</v>
      </c>
      <c r="BF23">
        <v>35.85</v>
      </c>
      <c r="BG23">
        <v>127.13</v>
      </c>
      <c r="BH23">
        <v>41.3</v>
      </c>
      <c r="BI23">
        <v>12</v>
      </c>
      <c r="BJ23">
        <v>0.8</v>
      </c>
      <c r="BK23" t="s">
        <v>929</v>
      </c>
      <c r="BL23" t="s">
        <v>161</v>
      </c>
      <c r="BM23">
        <v>-1.29</v>
      </c>
      <c r="BN23" t="s">
        <v>159</v>
      </c>
      <c r="BO23">
        <v>0</v>
      </c>
      <c r="BP23">
        <v>0</v>
      </c>
      <c r="BQ23">
        <v>0</v>
      </c>
      <c r="BR23">
        <v>0</v>
      </c>
      <c r="BS23">
        <v>0.05</v>
      </c>
      <c r="BT23">
        <v>-0.05</v>
      </c>
      <c r="BU23" t="s">
        <v>159</v>
      </c>
      <c r="BV23">
        <v>150</v>
      </c>
      <c r="BW23">
        <v>0</v>
      </c>
      <c r="BX23">
        <v>2</v>
      </c>
      <c r="BY23">
        <v>0.06</v>
      </c>
      <c r="BZ23">
        <v>0</v>
      </c>
      <c r="CA23">
        <v>0.03</v>
      </c>
      <c r="CB23">
        <v>0</v>
      </c>
      <c r="CC23">
        <v>0</v>
      </c>
      <c r="CD23">
        <v>0</v>
      </c>
      <c r="CE23" t="s">
        <v>214</v>
      </c>
      <c r="CF23" t="s">
        <v>215</v>
      </c>
      <c r="CG23" t="s">
        <v>216</v>
      </c>
      <c r="CH23">
        <v>6000</v>
      </c>
      <c r="CI23">
        <v>500</v>
      </c>
      <c r="CJ23">
        <v>1</v>
      </c>
      <c r="CK23">
        <v>2</v>
      </c>
      <c r="CL23">
        <v>55537</v>
      </c>
      <c r="CM23">
        <v>55537</v>
      </c>
      <c r="CN23">
        <v>55537</v>
      </c>
      <c r="CO23">
        <v>0</v>
      </c>
      <c r="CP23">
        <v>-9999</v>
      </c>
      <c r="CQ23">
        <v>0</v>
      </c>
      <c r="CR23">
        <v>0</v>
      </c>
      <c r="CS23">
        <v>0</v>
      </c>
      <c r="CT23">
        <v>0</v>
      </c>
      <c r="CU23">
        <v>2.5299999999999998</v>
      </c>
      <c r="CV23">
        <v>2.4700000000000002</v>
      </c>
      <c r="CW23">
        <v>1.67</v>
      </c>
      <c r="CX23">
        <v>0.94</v>
      </c>
      <c r="CY23">
        <v>0.21</v>
      </c>
      <c r="CZ23">
        <v>-0.01</v>
      </c>
      <c r="DA23">
        <v>0.26</v>
      </c>
      <c r="DB23">
        <v>0.31</v>
      </c>
      <c r="DC23">
        <v>121.82</v>
      </c>
      <c r="DD23">
        <v>0</v>
      </c>
      <c r="DE23">
        <v>2.42</v>
      </c>
      <c r="DF23">
        <v>0</v>
      </c>
      <c r="DG23">
        <v>1</v>
      </c>
      <c r="DH23">
        <v>2.37</v>
      </c>
      <c r="DI23">
        <v>0</v>
      </c>
      <c r="DJ23">
        <v>1</v>
      </c>
      <c r="DK23">
        <v>0.6</v>
      </c>
      <c r="DL23">
        <v>0.6</v>
      </c>
      <c r="DM23">
        <v>0.11</v>
      </c>
      <c r="DN23">
        <v>0</v>
      </c>
      <c r="DO23" t="s">
        <v>1067</v>
      </c>
      <c r="DP23" t="s">
        <v>237</v>
      </c>
      <c r="DQ23" t="s">
        <v>238</v>
      </c>
      <c r="DR23" t="s">
        <v>239</v>
      </c>
      <c r="DS23" t="s">
        <v>240</v>
      </c>
      <c r="DT23" t="s">
        <v>241</v>
      </c>
      <c r="DU23" t="s">
        <v>242</v>
      </c>
    </row>
    <row r="24" spans="1:125" x14ac:dyDescent="0.45">
      <c r="A24" t="s">
        <v>1093</v>
      </c>
      <c r="B24" t="s">
        <v>1094</v>
      </c>
      <c r="C24" t="s">
        <v>161</v>
      </c>
      <c r="D24" t="s">
        <v>162</v>
      </c>
      <c r="E24" t="s">
        <v>163</v>
      </c>
      <c r="H24" t="s">
        <v>942</v>
      </c>
      <c r="I24" t="s">
        <v>1095</v>
      </c>
      <c r="J24">
        <v>0.21</v>
      </c>
      <c r="K24">
        <v>0.1887929774579544</v>
      </c>
      <c r="L24">
        <v>2.9</v>
      </c>
      <c r="M24">
        <v>0.19</v>
      </c>
      <c r="N24">
        <v>2.15</v>
      </c>
      <c r="O24">
        <v>3.16</v>
      </c>
      <c r="P24">
        <v>3.1</v>
      </c>
      <c r="Q24">
        <v>4.24</v>
      </c>
      <c r="R24">
        <v>1.08</v>
      </c>
      <c r="S24">
        <v>30.82</v>
      </c>
      <c r="T24">
        <v>31.41</v>
      </c>
      <c r="U24">
        <v>42.11</v>
      </c>
      <c r="V24">
        <v>0.44</v>
      </c>
      <c r="W24">
        <v>7.5</v>
      </c>
      <c r="X24" t="s">
        <v>1100</v>
      </c>
      <c r="Y24">
        <v>0</v>
      </c>
      <c r="Z24">
        <v>0</v>
      </c>
      <c r="AA24">
        <v>0</v>
      </c>
      <c r="AB24">
        <v>111.5</v>
      </c>
      <c r="AC24">
        <v>464.35</v>
      </c>
      <c r="AD24">
        <v>0.76</v>
      </c>
      <c r="AE24">
        <v>0.5</v>
      </c>
      <c r="AF24">
        <v>0.84</v>
      </c>
      <c r="AG24">
        <v>53.3</v>
      </c>
      <c r="AH24">
        <v>1</v>
      </c>
      <c r="AI24">
        <v>69.36</v>
      </c>
      <c r="AJ24">
        <v>68.06</v>
      </c>
      <c r="AK24">
        <v>31.17</v>
      </c>
      <c r="AL24">
        <v>29.9</v>
      </c>
      <c r="AM24">
        <v>29.9</v>
      </c>
      <c r="AN24">
        <v>100.6</v>
      </c>
      <c r="AO24">
        <v>155.9</v>
      </c>
      <c r="AP24">
        <v>155</v>
      </c>
      <c r="AQ24">
        <v>0.6</v>
      </c>
      <c r="AR24">
        <v>167</v>
      </c>
      <c r="AS24">
        <v>3.41</v>
      </c>
      <c r="AT24">
        <v>-27</v>
      </c>
      <c r="AU24">
        <v>10</v>
      </c>
      <c r="AV24">
        <v>115</v>
      </c>
      <c r="AW24">
        <v>13.45</v>
      </c>
      <c r="AX24">
        <v>97.26</v>
      </c>
      <c r="AY24">
        <v>28.66</v>
      </c>
      <c r="AZ24">
        <v>-43.77</v>
      </c>
      <c r="BA24">
        <v>9.3699999999999992</v>
      </c>
      <c r="BB24">
        <v>165.02</v>
      </c>
      <c r="BC24">
        <v>27.19</v>
      </c>
      <c r="BD24" t="s">
        <v>1116</v>
      </c>
      <c r="BE24" t="s">
        <v>161</v>
      </c>
      <c r="BF24">
        <v>35.85</v>
      </c>
      <c r="BG24">
        <v>127.13</v>
      </c>
      <c r="BH24">
        <v>41.5</v>
      </c>
      <c r="BI24">
        <v>12</v>
      </c>
      <c r="BJ24">
        <v>0.8</v>
      </c>
      <c r="BK24" t="s">
        <v>929</v>
      </c>
      <c r="BL24" t="s">
        <v>161</v>
      </c>
      <c r="BM24">
        <v>-1.29</v>
      </c>
      <c r="BN24" t="s">
        <v>159</v>
      </c>
      <c r="BO24">
        <v>0</v>
      </c>
      <c r="BP24">
        <v>0</v>
      </c>
      <c r="BQ24">
        <v>-0.01</v>
      </c>
      <c r="BR24">
        <v>-0.19</v>
      </c>
      <c r="BS24">
        <v>-0.15</v>
      </c>
      <c r="BT24">
        <v>-0.44</v>
      </c>
      <c r="BU24" t="s">
        <v>159</v>
      </c>
      <c r="BV24">
        <v>150</v>
      </c>
      <c r="BW24">
        <v>0</v>
      </c>
      <c r="BX24">
        <v>2</v>
      </c>
      <c r="BY24">
        <v>0.06</v>
      </c>
      <c r="BZ24">
        <v>0</v>
      </c>
      <c r="CA24">
        <v>0.03</v>
      </c>
      <c r="CB24">
        <v>0</v>
      </c>
      <c r="CC24">
        <v>0</v>
      </c>
      <c r="CD24">
        <v>0</v>
      </c>
      <c r="CE24" t="s">
        <v>214</v>
      </c>
      <c r="CF24" t="s">
        <v>215</v>
      </c>
      <c r="CG24" t="s">
        <v>216</v>
      </c>
      <c r="CH24">
        <v>6000</v>
      </c>
      <c r="CI24">
        <v>500</v>
      </c>
      <c r="CJ24">
        <v>1</v>
      </c>
      <c r="CK24">
        <v>2</v>
      </c>
      <c r="CL24">
        <v>55537</v>
      </c>
      <c r="CM24">
        <v>55537</v>
      </c>
      <c r="CN24">
        <v>55537</v>
      </c>
      <c r="CO24">
        <v>0</v>
      </c>
      <c r="CP24">
        <v>-9999</v>
      </c>
      <c r="CQ24">
        <v>0</v>
      </c>
      <c r="CR24">
        <v>0</v>
      </c>
      <c r="CS24">
        <v>0</v>
      </c>
      <c r="CT24">
        <v>0</v>
      </c>
      <c r="CU24">
        <v>2.5299999999999998</v>
      </c>
      <c r="CV24">
        <v>2.4700000000000002</v>
      </c>
      <c r="CW24">
        <v>1.67</v>
      </c>
      <c r="CX24">
        <v>0.94</v>
      </c>
      <c r="CY24">
        <v>0.21</v>
      </c>
      <c r="CZ24">
        <v>-0.01</v>
      </c>
      <c r="DA24">
        <v>0.28000000000000003</v>
      </c>
      <c r="DB24">
        <v>0.25</v>
      </c>
      <c r="DC24">
        <v>111.5</v>
      </c>
      <c r="DD24">
        <v>0</v>
      </c>
      <c r="DE24">
        <v>2.42</v>
      </c>
      <c r="DF24">
        <v>0</v>
      </c>
      <c r="DG24">
        <v>1</v>
      </c>
      <c r="DH24">
        <v>2.37</v>
      </c>
      <c r="DI24">
        <v>0</v>
      </c>
      <c r="DJ24">
        <v>1</v>
      </c>
      <c r="DK24">
        <v>0.6</v>
      </c>
      <c r="DL24">
        <v>0.6</v>
      </c>
      <c r="DM24">
        <v>0.11</v>
      </c>
      <c r="DN24">
        <v>0</v>
      </c>
      <c r="DO24" t="s">
        <v>1100</v>
      </c>
      <c r="DP24" t="s">
        <v>237</v>
      </c>
      <c r="DQ24" t="s">
        <v>238</v>
      </c>
      <c r="DR24" t="s">
        <v>239</v>
      </c>
      <c r="DS24" t="s">
        <v>240</v>
      </c>
      <c r="DT24" t="s">
        <v>241</v>
      </c>
      <c r="DU24" t="s">
        <v>242</v>
      </c>
    </row>
    <row r="25" spans="1:125" x14ac:dyDescent="0.45">
      <c r="A25" t="s">
        <v>1132</v>
      </c>
      <c r="B25" t="s">
        <v>1133</v>
      </c>
      <c r="C25" t="s">
        <v>161</v>
      </c>
      <c r="D25" t="s">
        <v>162</v>
      </c>
      <c r="E25" t="s">
        <v>163</v>
      </c>
      <c r="H25" t="s">
        <v>942</v>
      </c>
      <c r="I25" t="s">
        <v>1134</v>
      </c>
      <c r="J25">
        <v>0.25</v>
      </c>
      <c r="K25">
        <v>0.21945295622755959</v>
      </c>
      <c r="L25">
        <v>2.91</v>
      </c>
      <c r="M25">
        <v>0.23</v>
      </c>
      <c r="N25">
        <v>2.38</v>
      </c>
      <c r="O25">
        <v>3.17</v>
      </c>
      <c r="P25">
        <v>3.1</v>
      </c>
      <c r="Q25">
        <v>4.18</v>
      </c>
      <c r="R25">
        <v>1.01</v>
      </c>
      <c r="S25">
        <v>30.82</v>
      </c>
      <c r="T25">
        <v>31.47</v>
      </c>
      <c r="U25">
        <v>41.55</v>
      </c>
      <c r="V25">
        <v>0.44</v>
      </c>
      <c r="W25">
        <v>7.5</v>
      </c>
      <c r="X25" t="s">
        <v>1139</v>
      </c>
      <c r="Y25">
        <v>0</v>
      </c>
      <c r="Z25">
        <v>0</v>
      </c>
      <c r="AA25">
        <v>0</v>
      </c>
      <c r="AB25">
        <v>101.32</v>
      </c>
      <c r="AC25">
        <v>436.79</v>
      </c>
      <c r="AD25">
        <v>0.77</v>
      </c>
      <c r="AE25">
        <v>0.5</v>
      </c>
      <c r="AF25">
        <v>0.84</v>
      </c>
      <c r="AG25">
        <v>60</v>
      </c>
      <c r="AH25">
        <v>1</v>
      </c>
      <c r="AI25">
        <v>69.69</v>
      </c>
      <c r="AJ25">
        <v>68.25</v>
      </c>
      <c r="AK25">
        <v>31.12</v>
      </c>
      <c r="AL25">
        <v>29.67</v>
      </c>
      <c r="AM25">
        <v>29.67</v>
      </c>
      <c r="AN25">
        <v>100.6</v>
      </c>
      <c r="AO25">
        <v>156.19999999999999</v>
      </c>
      <c r="AP25">
        <v>150</v>
      </c>
      <c r="AQ25">
        <v>4</v>
      </c>
      <c r="AR25">
        <v>186</v>
      </c>
      <c r="AS25">
        <v>3.41</v>
      </c>
      <c r="AT25">
        <v>-17</v>
      </c>
      <c r="AU25">
        <v>1</v>
      </c>
      <c r="AV25">
        <v>140</v>
      </c>
      <c r="AW25">
        <v>12.94</v>
      </c>
      <c r="AX25">
        <v>97.46</v>
      </c>
      <c r="AY25">
        <v>17.03</v>
      </c>
      <c r="AZ25">
        <v>-36.58</v>
      </c>
      <c r="BA25">
        <v>9.3699999999999992</v>
      </c>
      <c r="BB25">
        <v>165.55</v>
      </c>
      <c r="BC25">
        <v>27.14</v>
      </c>
      <c r="BD25" t="s">
        <v>1157</v>
      </c>
      <c r="BE25" t="s">
        <v>161</v>
      </c>
      <c r="BF25">
        <v>35.85</v>
      </c>
      <c r="BG25">
        <v>127.13</v>
      </c>
      <c r="BH25">
        <v>41.7</v>
      </c>
      <c r="BI25">
        <v>13</v>
      </c>
      <c r="BJ25">
        <v>0.79</v>
      </c>
      <c r="BK25" t="s">
        <v>929</v>
      </c>
      <c r="BL25" t="s">
        <v>161</v>
      </c>
      <c r="BM25">
        <v>-1.29</v>
      </c>
      <c r="BN25" t="s">
        <v>159</v>
      </c>
      <c r="BO25">
        <v>0</v>
      </c>
      <c r="BP25">
        <v>0</v>
      </c>
      <c r="BQ25">
        <v>-0.01</v>
      </c>
      <c r="BR25">
        <v>0.13</v>
      </c>
      <c r="BS25">
        <v>7.0000000000000007E-2</v>
      </c>
      <c r="BT25">
        <v>-0.25</v>
      </c>
      <c r="BU25" t="s">
        <v>159</v>
      </c>
      <c r="BV25">
        <v>150</v>
      </c>
      <c r="BW25">
        <v>0</v>
      </c>
      <c r="BX25">
        <v>2</v>
      </c>
      <c r="BY25">
        <v>0.06</v>
      </c>
      <c r="BZ25">
        <v>0</v>
      </c>
      <c r="CA25">
        <v>0.03</v>
      </c>
      <c r="CB25">
        <v>0</v>
      </c>
      <c r="CC25">
        <v>0</v>
      </c>
      <c r="CD25">
        <v>0</v>
      </c>
      <c r="CE25" t="s">
        <v>214</v>
      </c>
      <c r="CF25" t="s">
        <v>215</v>
      </c>
      <c r="CG25" t="s">
        <v>216</v>
      </c>
      <c r="CH25">
        <v>6000</v>
      </c>
      <c r="CI25">
        <v>500</v>
      </c>
      <c r="CJ25">
        <v>1</v>
      </c>
      <c r="CK25">
        <v>2</v>
      </c>
      <c r="CL25">
        <v>55537</v>
      </c>
      <c r="CM25">
        <v>55537</v>
      </c>
      <c r="CN25">
        <v>55537</v>
      </c>
      <c r="CO25">
        <v>0</v>
      </c>
      <c r="CP25">
        <v>-9999</v>
      </c>
      <c r="CQ25">
        <v>0</v>
      </c>
      <c r="CR25">
        <v>0</v>
      </c>
      <c r="CS25">
        <v>0</v>
      </c>
      <c r="CT25">
        <v>0</v>
      </c>
      <c r="CU25">
        <v>2.5299999999999998</v>
      </c>
      <c r="CV25">
        <v>2.4700000000000002</v>
      </c>
      <c r="CW25">
        <v>1.67</v>
      </c>
      <c r="CX25">
        <v>0.93</v>
      </c>
      <c r="CY25">
        <v>0.21</v>
      </c>
      <c r="CZ25">
        <v>-0.02</v>
      </c>
      <c r="DA25">
        <v>0.28000000000000003</v>
      </c>
      <c r="DB25">
        <v>0.27</v>
      </c>
      <c r="DC25">
        <v>101.32</v>
      </c>
      <c r="DD25">
        <v>0</v>
      </c>
      <c r="DE25">
        <v>2.42</v>
      </c>
      <c r="DF25">
        <v>0</v>
      </c>
      <c r="DG25">
        <v>1</v>
      </c>
      <c r="DH25">
        <v>2.37</v>
      </c>
      <c r="DI25">
        <v>0</v>
      </c>
      <c r="DJ25">
        <v>1</v>
      </c>
      <c r="DK25">
        <v>0.6</v>
      </c>
      <c r="DL25">
        <v>0.6</v>
      </c>
      <c r="DM25">
        <v>0.11</v>
      </c>
      <c r="DN25">
        <v>0</v>
      </c>
      <c r="DO25" t="s">
        <v>1139</v>
      </c>
      <c r="DP25" t="s">
        <v>237</v>
      </c>
      <c r="DQ25" t="s">
        <v>238</v>
      </c>
      <c r="DR25" t="s">
        <v>239</v>
      </c>
      <c r="DS25" t="s">
        <v>240</v>
      </c>
      <c r="DT25" t="s">
        <v>241</v>
      </c>
      <c r="DU25" t="s">
        <v>242</v>
      </c>
    </row>
    <row r="26" spans="1:125" x14ac:dyDescent="0.45">
      <c r="A26" t="s">
        <v>1172</v>
      </c>
      <c r="B26" t="s">
        <v>1173</v>
      </c>
      <c r="C26" t="s">
        <v>161</v>
      </c>
      <c r="D26" t="s">
        <v>162</v>
      </c>
      <c r="E26" t="s">
        <v>163</v>
      </c>
      <c r="H26" t="s">
        <v>942</v>
      </c>
      <c r="I26" t="s">
        <v>1174</v>
      </c>
      <c r="J26">
        <v>0.19</v>
      </c>
      <c r="K26">
        <v>0.17230493022088189</v>
      </c>
      <c r="L26">
        <v>2.91</v>
      </c>
      <c r="M26">
        <v>0.18</v>
      </c>
      <c r="N26">
        <v>1.84</v>
      </c>
      <c r="O26">
        <v>3.18</v>
      </c>
      <c r="P26">
        <v>3.13</v>
      </c>
      <c r="Q26">
        <v>4.1900000000000004</v>
      </c>
      <c r="R26">
        <v>1.01</v>
      </c>
      <c r="S26">
        <v>31.15</v>
      </c>
      <c r="T26">
        <v>31.66</v>
      </c>
      <c r="U26">
        <v>41.7</v>
      </c>
      <c r="V26">
        <v>0.44</v>
      </c>
      <c r="W26">
        <v>7.5</v>
      </c>
      <c r="X26" t="s">
        <v>1179</v>
      </c>
      <c r="Y26">
        <v>0</v>
      </c>
      <c r="Z26">
        <v>0</v>
      </c>
      <c r="AA26">
        <v>0</v>
      </c>
      <c r="AB26">
        <v>106.6</v>
      </c>
      <c r="AC26">
        <v>449.2</v>
      </c>
      <c r="AD26">
        <v>0.76</v>
      </c>
      <c r="AE26">
        <v>0.5</v>
      </c>
      <c r="AF26">
        <v>0.84</v>
      </c>
      <c r="AG26">
        <v>53.81</v>
      </c>
      <c r="AH26">
        <v>1</v>
      </c>
      <c r="AI26">
        <v>70.150000000000006</v>
      </c>
      <c r="AJ26">
        <v>69.040000000000006</v>
      </c>
      <c r="AK26">
        <v>31.11</v>
      </c>
      <c r="AL26">
        <v>29.73</v>
      </c>
      <c r="AM26">
        <v>29.73</v>
      </c>
      <c r="AN26">
        <v>100.6</v>
      </c>
      <c r="AO26">
        <v>156.19999999999999</v>
      </c>
      <c r="AP26">
        <v>153.80000000000001</v>
      </c>
      <c r="AQ26">
        <v>1.5</v>
      </c>
      <c r="AR26">
        <v>168</v>
      </c>
      <c r="AS26">
        <v>3.41</v>
      </c>
      <c r="AT26">
        <v>-16</v>
      </c>
      <c r="AU26">
        <v>0</v>
      </c>
      <c r="AV26">
        <v>124</v>
      </c>
      <c r="AW26">
        <v>18.38</v>
      </c>
      <c r="AX26">
        <v>94.9</v>
      </c>
      <c r="AY26">
        <v>16</v>
      </c>
      <c r="AZ26">
        <v>-56</v>
      </c>
      <c r="BA26">
        <v>9.3699999999999992</v>
      </c>
      <c r="BB26">
        <v>166.08</v>
      </c>
      <c r="BC26">
        <v>27.09</v>
      </c>
      <c r="BD26" t="s">
        <v>1191</v>
      </c>
      <c r="BE26" t="s">
        <v>161</v>
      </c>
      <c r="BF26">
        <v>35.85</v>
      </c>
      <c r="BG26">
        <v>127.13</v>
      </c>
      <c r="BH26">
        <v>41.6</v>
      </c>
      <c r="BI26">
        <v>14</v>
      </c>
      <c r="BJ26">
        <v>0.74</v>
      </c>
      <c r="BK26" t="s">
        <v>929</v>
      </c>
      <c r="BL26" t="s">
        <v>161</v>
      </c>
      <c r="BM26">
        <v>-1.29</v>
      </c>
      <c r="BN26" t="s">
        <v>159</v>
      </c>
      <c r="BO26">
        <v>0</v>
      </c>
      <c r="BP26">
        <v>0</v>
      </c>
      <c r="BQ26">
        <v>0.01</v>
      </c>
      <c r="BR26">
        <v>7.0000000000000007E-2</v>
      </c>
      <c r="BS26">
        <v>0.01</v>
      </c>
      <c r="BT26">
        <v>0.31</v>
      </c>
      <c r="BU26" t="s">
        <v>159</v>
      </c>
      <c r="BV26">
        <v>150</v>
      </c>
      <c r="BW26">
        <v>0</v>
      </c>
      <c r="BX26">
        <v>2</v>
      </c>
      <c r="BY26">
        <v>0.06</v>
      </c>
      <c r="BZ26">
        <v>0</v>
      </c>
      <c r="CA26">
        <v>0.03</v>
      </c>
      <c r="CB26">
        <v>0</v>
      </c>
      <c r="CC26">
        <v>0</v>
      </c>
      <c r="CD26">
        <v>0</v>
      </c>
      <c r="CE26" t="s">
        <v>214</v>
      </c>
      <c r="CF26" t="s">
        <v>215</v>
      </c>
      <c r="CG26" t="s">
        <v>216</v>
      </c>
      <c r="CH26">
        <v>6000</v>
      </c>
      <c r="CI26">
        <v>500</v>
      </c>
      <c r="CJ26">
        <v>1</v>
      </c>
      <c r="CK26">
        <v>2</v>
      </c>
      <c r="CL26">
        <v>55537</v>
      </c>
      <c r="CM26">
        <v>55537</v>
      </c>
      <c r="CN26">
        <v>55537</v>
      </c>
      <c r="CO26">
        <v>0</v>
      </c>
      <c r="CP26">
        <v>-9999</v>
      </c>
      <c r="CQ26">
        <v>0</v>
      </c>
      <c r="CR26">
        <v>0</v>
      </c>
      <c r="CS26">
        <v>0</v>
      </c>
      <c r="CT26">
        <v>0</v>
      </c>
      <c r="CU26">
        <v>2.5299999999999998</v>
      </c>
      <c r="CV26">
        <v>2.4700000000000002</v>
      </c>
      <c r="CW26">
        <v>1.67</v>
      </c>
      <c r="CX26">
        <v>0.94</v>
      </c>
      <c r="CY26">
        <v>0.21</v>
      </c>
      <c r="CZ26">
        <v>-0.02</v>
      </c>
      <c r="DA26">
        <v>0.28999999999999998</v>
      </c>
      <c r="DB26">
        <v>0.25</v>
      </c>
      <c r="DC26">
        <v>106.6</v>
      </c>
      <c r="DD26">
        <v>0</v>
      </c>
      <c r="DE26">
        <v>2.42</v>
      </c>
      <c r="DF26">
        <v>0</v>
      </c>
      <c r="DG26">
        <v>1</v>
      </c>
      <c r="DH26">
        <v>2.37</v>
      </c>
      <c r="DI26">
        <v>0</v>
      </c>
      <c r="DJ26">
        <v>1</v>
      </c>
      <c r="DK26">
        <v>0.6</v>
      </c>
      <c r="DL26">
        <v>0.6</v>
      </c>
      <c r="DM26">
        <v>0.11</v>
      </c>
      <c r="DN26">
        <v>0</v>
      </c>
      <c r="DO26" t="s">
        <v>1179</v>
      </c>
      <c r="DP26" t="s">
        <v>237</v>
      </c>
      <c r="DQ26" t="s">
        <v>238</v>
      </c>
      <c r="DR26" t="s">
        <v>239</v>
      </c>
      <c r="DS26" t="s">
        <v>240</v>
      </c>
      <c r="DT26" t="s">
        <v>241</v>
      </c>
      <c r="DU26" t="s">
        <v>242</v>
      </c>
    </row>
    <row r="27" spans="1:125" x14ac:dyDescent="0.45">
      <c r="A27" t="s">
        <v>1206</v>
      </c>
      <c r="B27" t="s">
        <v>1207</v>
      </c>
      <c r="C27" t="s">
        <v>161</v>
      </c>
      <c r="D27" t="s">
        <v>162</v>
      </c>
      <c r="E27" t="s">
        <v>163</v>
      </c>
      <c r="H27" t="s">
        <v>942</v>
      </c>
      <c r="I27" t="s">
        <v>1208</v>
      </c>
      <c r="J27">
        <v>0.22</v>
      </c>
      <c r="K27">
        <v>0.1975960345168061</v>
      </c>
      <c r="L27">
        <v>2.91</v>
      </c>
      <c r="M27">
        <v>0.2</v>
      </c>
      <c r="N27">
        <v>2.08</v>
      </c>
      <c r="O27">
        <v>3.19</v>
      </c>
      <c r="P27">
        <v>3.13</v>
      </c>
      <c r="Q27">
        <v>4.18</v>
      </c>
      <c r="R27">
        <v>0.99</v>
      </c>
      <c r="S27">
        <v>31.13</v>
      </c>
      <c r="T27">
        <v>31.7</v>
      </c>
      <c r="U27">
        <v>41.55</v>
      </c>
      <c r="V27">
        <v>0.44</v>
      </c>
      <c r="W27">
        <v>7.5</v>
      </c>
      <c r="X27" t="s">
        <v>1213</v>
      </c>
      <c r="Y27">
        <v>0</v>
      </c>
      <c r="Z27">
        <v>0</v>
      </c>
      <c r="AA27">
        <v>0</v>
      </c>
      <c r="AB27">
        <v>103.57</v>
      </c>
      <c r="AC27">
        <v>442.29</v>
      </c>
      <c r="AD27">
        <v>0.77</v>
      </c>
      <c r="AE27">
        <v>0.5</v>
      </c>
      <c r="AF27">
        <v>0.84</v>
      </c>
      <c r="AG27">
        <v>52.75</v>
      </c>
      <c r="AH27">
        <v>1</v>
      </c>
      <c r="AI27">
        <v>70.290000000000006</v>
      </c>
      <c r="AJ27">
        <v>69.03</v>
      </c>
      <c r="AK27">
        <v>31.1</v>
      </c>
      <c r="AL27">
        <v>29.67</v>
      </c>
      <c r="AM27">
        <v>29.67</v>
      </c>
      <c r="AN27">
        <v>100.6</v>
      </c>
      <c r="AO27">
        <v>156.19999999999999</v>
      </c>
      <c r="AP27">
        <v>152.5</v>
      </c>
      <c r="AQ27">
        <v>2.4</v>
      </c>
      <c r="AR27">
        <v>164</v>
      </c>
      <c r="AS27">
        <v>3.41</v>
      </c>
      <c r="AT27">
        <v>-15</v>
      </c>
      <c r="AU27">
        <v>4</v>
      </c>
      <c r="AV27">
        <v>129</v>
      </c>
      <c r="AW27">
        <v>13.88</v>
      </c>
      <c r="AX27">
        <v>97.08</v>
      </c>
      <c r="AY27">
        <v>15.51</v>
      </c>
      <c r="AZ27">
        <v>-35.880000000000003</v>
      </c>
      <c r="BA27">
        <v>9.3699999999999992</v>
      </c>
      <c r="BB27">
        <v>166.08</v>
      </c>
      <c r="BC27">
        <v>27.09</v>
      </c>
      <c r="BD27" t="s">
        <v>1224</v>
      </c>
      <c r="BE27" t="s">
        <v>161</v>
      </c>
      <c r="BF27">
        <v>35.85</v>
      </c>
      <c r="BG27">
        <v>127.13</v>
      </c>
      <c r="BH27">
        <v>41.2</v>
      </c>
      <c r="BI27">
        <v>12</v>
      </c>
      <c r="BJ27">
        <v>0.84</v>
      </c>
      <c r="BK27" t="s">
        <v>929</v>
      </c>
      <c r="BL27" t="s">
        <v>161</v>
      </c>
      <c r="BM27">
        <v>-1.29</v>
      </c>
      <c r="BN27" t="s">
        <v>159</v>
      </c>
      <c r="BO27">
        <v>0</v>
      </c>
      <c r="BP27">
        <v>0</v>
      </c>
      <c r="BQ27">
        <v>0</v>
      </c>
      <c r="BR27">
        <v>0.04</v>
      </c>
      <c r="BS27">
        <v>-0.05</v>
      </c>
      <c r="BT27">
        <v>0.06</v>
      </c>
      <c r="BU27" t="s">
        <v>159</v>
      </c>
      <c r="BV27">
        <v>150</v>
      </c>
      <c r="BW27">
        <v>0</v>
      </c>
      <c r="BX27">
        <v>2</v>
      </c>
      <c r="BY27">
        <v>0.06</v>
      </c>
      <c r="BZ27">
        <v>0</v>
      </c>
      <c r="CA27">
        <v>0.03</v>
      </c>
      <c r="CB27">
        <v>0</v>
      </c>
      <c r="CC27">
        <v>0</v>
      </c>
      <c r="CD27">
        <v>0</v>
      </c>
      <c r="CE27" t="s">
        <v>214</v>
      </c>
      <c r="CF27" t="s">
        <v>215</v>
      </c>
      <c r="CG27" t="s">
        <v>216</v>
      </c>
      <c r="CH27">
        <v>6000</v>
      </c>
      <c r="CI27">
        <v>500</v>
      </c>
      <c r="CJ27">
        <v>1</v>
      </c>
      <c r="CK27">
        <v>2</v>
      </c>
      <c r="CL27">
        <v>55537</v>
      </c>
      <c r="CM27">
        <v>55537</v>
      </c>
      <c r="CN27">
        <v>55537</v>
      </c>
      <c r="CO27">
        <v>0</v>
      </c>
      <c r="CP27">
        <v>-9999</v>
      </c>
      <c r="CQ27">
        <v>0</v>
      </c>
      <c r="CR27">
        <v>0</v>
      </c>
      <c r="CS27">
        <v>0</v>
      </c>
      <c r="CT27">
        <v>0</v>
      </c>
      <c r="CU27">
        <v>2.5299999999999998</v>
      </c>
      <c r="CV27">
        <v>2.4700000000000002</v>
      </c>
      <c r="CW27">
        <v>1.67</v>
      </c>
      <c r="CX27">
        <v>0.94</v>
      </c>
      <c r="CY27">
        <v>0.21</v>
      </c>
      <c r="CZ27">
        <v>-0.02</v>
      </c>
      <c r="DA27">
        <v>0.28999999999999998</v>
      </c>
      <c r="DB27">
        <v>0.25</v>
      </c>
      <c r="DC27">
        <v>103.57</v>
      </c>
      <c r="DD27">
        <v>0</v>
      </c>
      <c r="DE27">
        <v>2.42</v>
      </c>
      <c r="DF27">
        <v>0</v>
      </c>
      <c r="DG27">
        <v>1</v>
      </c>
      <c r="DH27">
        <v>2.37</v>
      </c>
      <c r="DI27">
        <v>0</v>
      </c>
      <c r="DJ27">
        <v>1</v>
      </c>
      <c r="DK27">
        <v>0.6</v>
      </c>
      <c r="DL27">
        <v>0.6</v>
      </c>
      <c r="DM27">
        <v>0.11</v>
      </c>
      <c r="DN27">
        <v>0</v>
      </c>
      <c r="DO27" t="s">
        <v>1213</v>
      </c>
      <c r="DP27" t="s">
        <v>237</v>
      </c>
      <c r="DQ27" t="s">
        <v>238</v>
      </c>
      <c r="DR27" t="s">
        <v>239</v>
      </c>
      <c r="DS27" t="s">
        <v>240</v>
      </c>
      <c r="DT27" t="s">
        <v>241</v>
      </c>
      <c r="DU27" t="s">
        <v>242</v>
      </c>
    </row>
    <row r="28" spans="1:125" x14ac:dyDescent="0.45">
      <c r="A28" t="s">
        <v>1239</v>
      </c>
      <c r="B28" t="s">
        <v>1240</v>
      </c>
      <c r="C28" t="s">
        <v>161</v>
      </c>
      <c r="D28" t="s">
        <v>162</v>
      </c>
      <c r="E28" t="s">
        <v>163</v>
      </c>
      <c r="H28" t="s">
        <v>942</v>
      </c>
      <c r="I28" t="s">
        <v>1241</v>
      </c>
      <c r="J28">
        <v>0.16</v>
      </c>
      <c r="K28">
        <v>0.1469540211935742</v>
      </c>
      <c r="L28">
        <v>2.91</v>
      </c>
      <c r="M28">
        <v>0.15</v>
      </c>
      <c r="N28">
        <v>1.74</v>
      </c>
      <c r="O28">
        <v>3.11</v>
      </c>
      <c r="P28">
        <v>3.06</v>
      </c>
      <c r="Q28">
        <v>4.25</v>
      </c>
      <c r="R28">
        <v>1.1399999999999999</v>
      </c>
      <c r="S28">
        <v>30.4</v>
      </c>
      <c r="T28">
        <v>30.87</v>
      </c>
      <c r="U28">
        <v>42.2</v>
      </c>
      <c r="V28">
        <v>0.44</v>
      </c>
      <c r="W28">
        <v>7.5</v>
      </c>
      <c r="X28" t="s">
        <v>1246</v>
      </c>
      <c r="Y28">
        <v>0</v>
      </c>
      <c r="Z28">
        <v>0</v>
      </c>
      <c r="AA28">
        <v>0</v>
      </c>
      <c r="AB28">
        <v>112.49</v>
      </c>
      <c r="AC28">
        <v>471.03</v>
      </c>
      <c r="AD28">
        <v>0.76</v>
      </c>
      <c r="AE28">
        <v>0.5</v>
      </c>
      <c r="AF28">
        <v>0.84</v>
      </c>
      <c r="AG28">
        <v>54.03</v>
      </c>
      <c r="AH28">
        <v>1</v>
      </c>
      <c r="AI28">
        <v>68.55</v>
      </c>
      <c r="AJ28">
        <v>67.489999999999995</v>
      </c>
      <c r="AK28">
        <v>31.08</v>
      </c>
      <c r="AL28">
        <v>29.94</v>
      </c>
      <c r="AM28">
        <v>29.94</v>
      </c>
      <c r="AN28">
        <v>100.6</v>
      </c>
      <c r="AO28">
        <v>156.1</v>
      </c>
      <c r="AP28">
        <v>146.69999999999999</v>
      </c>
      <c r="AQ28">
        <v>6</v>
      </c>
      <c r="AR28">
        <v>169</v>
      </c>
      <c r="AS28">
        <v>3.4</v>
      </c>
      <c r="AT28">
        <v>-10</v>
      </c>
      <c r="AU28">
        <v>5</v>
      </c>
      <c r="AV28">
        <v>118</v>
      </c>
      <c r="AW28">
        <v>17.149999999999999</v>
      </c>
      <c r="AX28">
        <v>95.55</v>
      </c>
      <c r="AY28">
        <v>11.17</v>
      </c>
      <c r="AZ28">
        <v>-35.26</v>
      </c>
      <c r="BA28">
        <v>9.3699999999999992</v>
      </c>
      <c r="BB28">
        <v>166.61</v>
      </c>
      <c r="BC28">
        <v>27.04</v>
      </c>
      <c r="BD28" t="s">
        <v>1265</v>
      </c>
      <c r="BE28" t="s">
        <v>161</v>
      </c>
      <c r="BF28">
        <v>35.85</v>
      </c>
      <c r="BG28">
        <v>127.13</v>
      </c>
      <c r="BH28">
        <v>43.4</v>
      </c>
      <c r="BI28">
        <v>12</v>
      </c>
      <c r="BJ28">
        <v>0.84</v>
      </c>
      <c r="BK28" t="s">
        <v>929</v>
      </c>
      <c r="BL28" t="s">
        <v>161</v>
      </c>
      <c r="BM28">
        <v>-1.29</v>
      </c>
      <c r="BN28" t="s">
        <v>159</v>
      </c>
      <c r="BO28">
        <v>0</v>
      </c>
      <c r="BP28">
        <v>0</v>
      </c>
      <c r="BQ28">
        <v>0.01</v>
      </c>
      <c r="BR28">
        <v>-0.01</v>
      </c>
      <c r="BS28">
        <v>0.03</v>
      </c>
      <c r="BT28">
        <v>0.23</v>
      </c>
      <c r="BU28" t="s">
        <v>159</v>
      </c>
      <c r="BV28">
        <v>150</v>
      </c>
      <c r="BW28">
        <v>0</v>
      </c>
      <c r="BX28">
        <v>2</v>
      </c>
      <c r="BY28">
        <v>0.06</v>
      </c>
      <c r="BZ28">
        <v>0</v>
      </c>
      <c r="CA28">
        <v>0.03</v>
      </c>
      <c r="CB28">
        <v>0</v>
      </c>
      <c r="CC28">
        <v>0</v>
      </c>
      <c r="CD28">
        <v>0</v>
      </c>
      <c r="CE28" t="s">
        <v>214</v>
      </c>
      <c r="CF28" t="s">
        <v>215</v>
      </c>
      <c r="CG28" t="s">
        <v>216</v>
      </c>
      <c r="CH28">
        <v>6000</v>
      </c>
      <c r="CI28">
        <v>500</v>
      </c>
      <c r="CJ28">
        <v>1</v>
      </c>
      <c r="CK28">
        <v>2</v>
      </c>
      <c r="CL28">
        <v>55537</v>
      </c>
      <c r="CM28">
        <v>55537</v>
      </c>
      <c r="CN28">
        <v>55537</v>
      </c>
      <c r="CO28">
        <v>0</v>
      </c>
      <c r="CP28">
        <v>-9999</v>
      </c>
      <c r="CQ28">
        <v>0</v>
      </c>
      <c r="CR28">
        <v>0</v>
      </c>
      <c r="CS28">
        <v>0</v>
      </c>
      <c r="CT28">
        <v>0</v>
      </c>
      <c r="CU28">
        <v>2.5299999999999998</v>
      </c>
      <c r="CV28">
        <v>2.4700000000000002</v>
      </c>
      <c r="CW28">
        <v>1.67</v>
      </c>
      <c r="CX28">
        <v>0.92</v>
      </c>
      <c r="CY28">
        <v>0.21</v>
      </c>
      <c r="CZ28">
        <v>-0.01</v>
      </c>
      <c r="DA28">
        <v>0.28999999999999998</v>
      </c>
      <c r="DB28">
        <v>0.25</v>
      </c>
      <c r="DC28">
        <v>112.49</v>
      </c>
      <c r="DD28">
        <v>0</v>
      </c>
      <c r="DE28">
        <v>2.42</v>
      </c>
      <c r="DF28">
        <v>0</v>
      </c>
      <c r="DG28">
        <v>1</v>
      </c>
      <c r="DH28">
        <v>2.37</v>
      </c>
      <c r="DI28">
        <v>0</v>
      </c>
      <c r="DJ28">
        <v>1</v>
      </c>
      <c r="DK28">
        <v>0.6</v>
      </c>
      <c r="DL28">
        <v>0.6</v>
      </c>
      <c r="DM28">
        <v>0.11</v>
      </c>
      <c r="DN28">
        <v>0</v>
      </c>
      <c r="DO28" t="s">
        <v>1246</v>
      </c>
      <c r="DP28" t="s">
        <v>237</v>
      </c>
      <c r="DQ28" t="s">
        <v>238</v>
      </c>
      <c r="DR28" t="s">
        <v>239</v>
      </c>
      <c r="DS28" t="s">
        <v>240</v>
      </c>
      <c r="DT28" t="s">
        <v>241</v>
      </c>
      <c r="DU28" t="s">
        <v>242</v>
      </c>
    </row>
    <row r="29" spans="1:125" x14ac:dyDescent="0.45">
      <c r="A29" t="s">
        <v>1278</v>
      </c>
      <c r="B29" t="s">
        <v>1279</v>
      </c>
      <c r="C29" t="s">
        <v>161</v>
      </c>
      <c r="D29" t="s">
        <v>162</v>
      </c>
      <c r="E29" t="s">
        <v>163</v>
      </c>
      <c r="H29" t="s">
        <v>1280</v>
      </c>
      <c r="I29" t="s">
        <v>1281</v>
      </c>
      <c r="J29">
        <v>0.1</v>
      </c>
      <c r="K29">
        <v>0.1004004740407072</v>
      </c>
      <c r="L29">
        <v>2.91</v>
      </c>
      <c r="M29">
        <v>0.1</v>
      </c>
      <c r="N29">
        <v>1.21</v>
      </c>
      <c r="O29">
        <v>3.09</v>
      </c>
      <c r="P29">
        <v>3.06</v>
      </c>
      <c r="Q29">
        <v>4.2699999999999996</v>
      </c>
      <c r="R29">
        <v>1.18</v>
      </c>
      <c r="S29">
        <v>30.41</v>
      </c>
      <c r="T29">
        <v>30.74</v>
      </c>
      <c r="U29">
        <v>42.45</v>
      </c>
      <c r="V29">
        <v>0.44</v>
      </c>
      <c r="W29">
        <v>7.5</v>
      </c>
      <c r="X29" t="s">
        <v>1286</v>
      </c>
      <c r="Y29">
        <v>0</v>
      </c>
      <c r="Z29">
        <v>0</v>
      </c>
      <c r="AA29">
        <v>0</v>
      </c>
      <c r="AB29">
        <v>107.66</v>
      </c>
      <c r="AC29">
        <v>458.55</v>
      </c>
      <c r="AD29">
        <v>0.77</v>
      </c>
      <c r="AE29">
        <v>0.5</v>
      </c>
      <c r="AF29">
        <v>0.84</v>
      </c>
      <c r="AG29">
        <v>48.21</v>
      </c>
      <c r="AH29">
        <v>1</v>
      </c>
      <c r="AI29">
        <v>68.459999999999994</v>
      </c>
      <c r="AJ29">
        <v>67.72</v>
      </c>
      <c r="AK29">
        <v>31.02</v>
      </c>
      <c r="AL29">
        <v>30.04</v>
      </c>
      <c r="AM29">
        <v>30.04</v>
      </c>
      <c r="AN29">
        <v>100.6</v>
      </c>
      <c r="AO29">
        <v>156.30000000000001</v>
      </c>
      <c r="AP29">
        <v>151.9</v>
      </c>
      <c r="AQ29">
        <v>2.8</v>
      </c>
      <c r="AR29">
        <v>150</v>
      </c>
      <c r="AS29">
        <v>3.4</v>
      </c>
      <c r="AT29">
        <v>-21</v>
      </c>
      <c r="AU29">
        <v>5</v>
      </c>
      <c r="AV29">
        <v>268</v>
      </c>
      <c r="AW29">
        <v>40.44</v>
      </c>
      <c r="AX29">
        <v>76.11</v>
      </c>
      <c r="AY29">
        <v>21.56</v>
      </c>
      <c r="AZ29">
        <v>101.72</v>
      </c>
      <c r="BA29">
        <v>9.3699999999999992</v>
      </c>
      <c r="BB29">
        <v>167.68</v>
      </c>
      <c r="BC29">
        <v>26.95</v>
      </c>
      <c r="BD29" t="s">
        <v>1302</v>
      </c>
      <c r="BE29" t="s">
        <v>161</v>
      </c>
      <c r="BF29">
        <v>35.85</v>
      </c>
      <c r="BG29">
        <v>127.13</v>
      </c>
      <c r="BH29">
        <v>41.4</v>
      </c>
      <c r="BI29">
        <v>12</v>
      </c>
      <c r="BJ29">
        <v>0.89</v>
      </c>
      <c r="BK29" t="s">
        <v>1306</v>
      </c>
      <c r="BL29" t="s">
        <v>161</v>
      </c>
      <c r="BM29">
        <v>-1.1299999999999999</v>
      </c>
      <c r="BN29" t="s">
        <v>159</v>
      </c>
      <c r="BO29">
        <v>0</v>
      </c>
      <c r="BP29">
        <v>0</v>
      </c>
      <c r="BQ29">
        <v>0</v>
      </c>
      <c r="BR29">
        <v>0.01</v>
      </c>
      <c r="BS29">
        <v>0.03</v>
      </c>
      <c r="BT29">
        <v>-0.01</v>
      </c>
      <c r="BU29" t="s">
        <v>159</v>
      </c>
      <c r="BV29">
        <v>150</v>
      </c>
      <c r="BW29">
        <v>0</v>
      </c>
      <c r="BX29">
        <v>2</v>
      </c>
      <c r="BY29">
        <v>0.06</v>
      </c>
      <c r="BZ29">
        <v>0</v>
      </c>
      <c r="CA29">
        <v>0.03</v>
      </c>
      <c r="CB29">
        <v>0</v>
      </c>
      <c r="CC29">
        <v>0</v>
      </c>
      <c r="CD29">
        <v>0</v>
      </c>
      <c r="CE29" t="s">
        <v>214</v>
      </c>
      <c r="CF29" t="s">
        <v>215</v>
      </c>
      <c r="CG29" t="s">
        <v>216</v>
      </c>
      <c r="CH29">
        <v>6000</v>
      </c>
      <c r="CI29">
        <v>500</v>
      </c>
      <c r="CJ29">
        <v>1</v>
      </c>
      <c r="CK29">
        <v>2</v>
      </c>
      <c r="CL29">
        <v>55537</v>
      </c>
      <c r="CM29">
        <v>55537</v>
      </c>
      <c r="CN29">
        <v>55537</v>
      </c>
      <c r="CO29">
        <v>0</v>
      </c>
      <c r="CP29">
        <v>-9999</v>
      </c>
      <c r="CQ29">
        <v>0</v>
      </c>
      <c r="CR29">
        <v>0</v>
      </c>
      <c r="CS29">
        <v>0</v>
      </c>
      <c r="CT29">
        <v>0</v>
      </c>
      <c r="CU29">
        <v>2.5299999999999998</v>
      </c>
      <c r="CV29">
        <v>2.4700000000000002</v>
      </c>
      <c r="CW29">
        <v>1.67</v>
      </c>
      <c r="CX29">
        <v>0.93</v>
      </c>
      <c r="CY29">
        <v>0.21</v>
      </c>
      <c r="CZ29">
        <v>-0.01</v>
      </c>
      <c r="DA29">
        <v>0.31</v>
      </c>
      <c r="DB29">
        <v>0.24</v>
      </c>
      <c r="DC29">
        <v>107.66</v>
      </c>
      <c r="DD29">
        <v>0</v>
      </c>
      <c r="DE29">
        <v>2.42</v>
      </c>
      <c r="DF29">
        <v>0</v>
      </c>
      <c r="DG29">
        <v>1</v>
      </c>
      <c r="DH29">
        <v>2.37</v>
      </c>
      <c r="DI29">
        <v>0</v>
      </c>
      <c r="DJ29">
        <v>1</v>
      </c>
      <c r="DK29">
        <v>0.6</v>
      </c>
      <c r="DL29">
        <v>0.6</v>
      </c>
      <c r="DM29">
        <v>0.11</v>
      </c>
      <c r="DN29">
        <v>0</v>
      </c>
      <c r="DO29" t="s">
        <v>1286</v>
      </c>
      <c r="DP29" t="s">
        <v>237</v>
      </c>
      <c r="DQ29" t="s">
        <v>238</v>
      </c>
      <c r="DR29" t="s">
        <v>239</v>
      </c>
      <c r="DS29" t="s">
        <v>240</v>
      </c>
      <c r="DT29" t="s">
        <v>241</v>
      </c>
      <c r="DU29" t="s">
        <v>242</v>
      </c>
    </row>
    <row r="30" spans="1:125" x14ac:dyDescent="0.45">
      <c r="A30" t="s">
        <v>1316</v>
      </c>
      <c r="B30" t="s">
        <v>1317</v>
      </c>
      <c r="C30" t="s">
        <v>161</v>
      </c>
      <c r="D30" t="s">
        <v>162</v>
      </c>
      <c r="E30" t="s">
        <v>163</v>
      </c>
      <c r="H30" t="s">
        <v>1280</v>
      </c>
      <c r="I30" t="s">
        <v>1318</v>
      </c>
      <c r="J30">
        <v>7.0000000000000007E-2</v>
      </c>
      <c r="K30">
        <v>7.3102497336936023E-2</v>
      </c>
      <c r="L30">
        <v>2.9</v>
      </c>
      <c r="M30">
        <v>7.0000000000000007E-2</v>
      </c>
      <c r="N30">
        <v>0.92</v>
      </c>
      <c r="O30">
        <v>3.04</v>
      </c>
      <c r="P30">
        <v>3.01</v>
      </c>
      <c r="Q30">
        <v>4.29</v>
      </c>
      <c r="R30">
        <v>1.25</v>
      </c>
      <c r="S30">
        <v>29.97</v>
      </c>
      <c r="T30">
        <v>30.22</v>
      </c>
      <c r="U30">
        <v>42.67</v>
      </c>
      <c r="V30">
        <v>0.44</v>
      </c>
      <c r="W30">
        <v>7.5</v>
      </c>
      <c r="X30" t="s">
        <v>1323</v>
      </c>
      <c r="Y30">
        <v>0</v>
      </c>
      <c r="Z30">
        <v>0</v>
      </c>
      <c r="AA30">
        <v>0</v>
      </c>
      <c r="AB30">
        <v>122.98</v>
      </c>
      <c r="AC30">
        <v>448.54</v>
      </c>
      <c r="AD30">
        <v>0.73</v>
      </c>
      <c r="AE30">
        <v>0.5</v>
      </c>
      <c r="AF30">
        <v>0.84</v>
      </c>
      <c r="AG30">
        <v>42.37</v>
      </c>
      <c r="AH30">
        <v>1</v>
      </c>
      <c r="AI30">
        <v>67.44</v>
      </c>
      <c r="AJ30">
        <v>66.87</v>
      </c>
      <c r="AK30">
        <v>30.99</v>
      </c>
      <c r="AL30">
        <v>30.13</v>
      </c>
      <c r="AM30">
        <v>30.13</v>
      </c>
      <c r="AN30">
        <v>100.6</v>
      </c>
      <c r="AO30">
        <v>155.9</v>
      </c>
      <c r="AP30">
        <v>153.5</v>
      </c>
      <c r="AQ30">
        <v>1.5</v>
      </c>
      <c r="AR30">
        <v>139</v>
      </c>
      <c r="AS30">
        <v>3.4</v>
      </c>
      <c r="AT30">
        <v>-23</v>
      </c>
      <c r="AU30">
        <v>0</v>
      </c>
      <c r="AV30">
        <v>286</v>
      </c>
      <c r="AW30">
        <v>42.41</v>
      </c>
      <c r="AX30">
        <v>73.84</v>
      </c>
      <c r="AY30">
        <v>23</v>
      </c>
      <c r="AZ30">
        <v>106</v>
      </c>
      <c r="BA30">
        <v>9.3699999999999992</v>
      </c>
      <c r="BB30">
        <v>168.21</v>
      </c>
      <c r="BC30">
        <v>26.91</v>
      </c>
      <c r="BD30" t="s">
        <v>1337</v>
      </c>
      <c r="BE30" t="s">
        <v>161</v>
      </c>
      <c r="BF30">
        <v>35.85</v>
      </c>
      <c r="BG30">
        <v>127.13</v>
      </c>
      <c r="BH30">
        <v>40.200000000000003</v>
      </c>
      <c r="BI30">
        <v>12</v>
      </c>
      <c r="BJ30">
        <v>0.88</v>
      </c>
      <c r="BK30" t="s">
        <v>1306</v>
      </c>
      <c r="BL30" t="s">
        <v>161</v>
      </c>
      <c r="BM30">
        <v>-1.1299999999999999</v>
      </c>
      <c r="BN30" t="s">
        <v>159</v>
      </c>
      <c r="BO30">
        <v>0</v>
      </c>
      <c r="BP30">
        <v>0</v>
      </c>
      <c r="BQ30">
        <v>0</v>
      </c>
      <c r="BR30">
        <v>-0.08</v>
      </c>
      <c r="BS30">
        <v>-0.1</v>
      </c>
      <c r="BT30">
        <v>-0.28000000000000003</v>
      </c>
      <c r="BU30" t="s">
        <v>159</v>
      </c>
      <c r="BV30">
        <v>150</v>
      </c>
      <c r="BW30">
        <v>0</v>
      </c>
      <c r="BX30">
        <v>2</v>
      </c>
      <c r="BY30">
        <v>0.06</v>
      </c>
      <c r="BZ30">
        <v>0</v>
      </c>
      <c r="CA30">
        <v>0.03</v>
      </c>
      <c r="CB30">
        <v>0</v>
      </c>
      <c r="CC30">
        <v>0</v>
      </c>
      <c r="CD30">
        <v>0</v>
      </c>
      <c r="CE30" t="s">
        <v>214</v>
      </c>
      <c r="CF30" t="s">
        <v>215</v>
      </c>
      <c r="CG30" t="s">
        <v>216</v>
      </c>
      <c r="CH30">
        <v>6000</v>
      </c>
      <c r="CI30">
        <v>500</v>
      </c>
      <c r="CJ30">
        <v>1</v>
      </c>
      <c r="CK30">
        <v>2</v>
      </c>
      <c r="CL30">
        <v>55537</v>
      </c>
      <c r="CM30">
        <v>55537</v>
      </c>
      <c r="CN30">
        <v>55537</v>
      </c>
      <c r="CO30">
        <v>0</v>
      </c>
      <c r="CP30">
        <v>-9999</v>
      </c>
      <c r="CQ30">
        <v>0</v>
      </c>
      <c r="CR30">
        <v>0</v>
      </c>
      <c r="CS30">
        <v>0</v>
      </c>
      <c r="CT30">
        <v>0</v>
      </c>
      <c r="CU30">
        <v>2.5299999999999998</v>
      </c>
      <c r="CV30">
        <v>2.4700000000000002</v>
      </c>
      <c r="CW30">
        <v>1.67</v>
      </c>
      <c r="CX30">
        <v>0.94</v>
      </c>
      <c r="CY30">
        <v>0.22</v>
      </c>
      <c r="CZ30">
        <v>-0.01</v>
      </c>
      <c r="DA30">
        <v>0.31</v>
      </c>
      <c r="DB30">
        <v>0.23</v>
      </c>
      <c r="DC30">
        <v>122.98</v>
      </c>
      <c r="DD30">
        <v>0</v>
      </c>
      <c r="DE30">
        <v>2.42</v>
      </c>
      <c r="DF30">
        <v>0</v>
      </c>
      <c r="DG30">
        <v>1</v>
      </c>
      <c r="DH30">
        <v>2.37</v>
      </c>
      <c r="DI30">
        <v>0</v>
      </c>
      <c r="DJ30">
        <v>1</v>
      </c>
      <c r="DK30">
        <v>0.6</v>
      </c>
      <c r="DL30">
        <v>0.6</v>
      </c>
      <c r="DM30">
        <v>0.11</v>
      </c>
      <c r="DN30">
        <v>0</v>
      </c>
      <c r="DO30" t="s">
        <v>1323</v>
      </c>
      <c r="DP30" t="s">
        <v>237</v>
      </c>
      <c r="DQ30" t="s">
        <v>238</v>
      </c>
      <c r="DR30" t="s">
        <v>239</v>
      </c>
      <c r="DS30" t="s">
        <v>240</v>
      </c>
      <c r="DT30" t="s">
        <v>241</v>
      </c>
      <c r="DU30" t="s">
        <v>242</v>
      </c>
    </row>
    <row r="31" spans="1:125" x14ac:dyDescent="0.45">
      <c r="A31" t="s">
        <v>1351</v>
      </c>
      <c r="B31" t="s">
        <v>1352</v>
      </c>
      <c r="C31" t="s">
        <v>161</v>
      </c>
      <c r="D31" t="s">
        <v>162</v>
      </c>
      <c r="E31" t="s">
        <v>163</v>
      </c>
      <c r="H31" t="s">
        <v>1280</v>
      </c>
      <c r="I31" t="s">
        <v>1353</v>
      </c>
      <c r="J31">
        <v>0.05</v>
      </c>
      <c r="K31">
        <v>4.8630267143168787E-2</v>
      </c>
      <c r="L31">
        <v>2.91</v>
      </c>
      <c r="M31">
        <v>0.05</v>
      </c>
      <c r="N31">
        <v>0.6</v>
      </c>
      <c r="O31">
        <v>3.05</v>
      </c>
      <c r="P31">
        <v>3.03</v>
      </c>
      <c r="Q31">
        <v>4.28</v>
      </c>
      <c r="R31">
        <v>1.23</v>
      </c>
      <c r="S31">
        <v>30.12</v>
      </c>
      <c r="T31">
        <v>30.28</v>
      </c>
      <c r="U31">
        <v>42.52</v>
      </c>
      <c r="V31">
        <v>0.44</v>
      </c>
      <c r="W31">
        <v>7.5</v>
      </c>
      <c r="X31" t="s">
        <v>1358</v>
      </c>
      <c r="Y31">
        <v>0</v>
      </c>
      <c r="Z31">
        <v>0</v>
      </c>
      <c r="AA31">
        <v>0</v>
      </c>
      <c r="AB31">
        <v>110.76</v>
      </c>
      <c r="AC31">
        <v>466.51</v>
      </c>
      <c r="AD31">
        <v>0.76</v>
      </c>
      <c r="AE31">
        <v>0.5</v>
      </c>
      <c r="AF31">
        <v>0.84</v>
      </c>
      <c r="AG31">
        <v>44.52</v>
      </c>
      <c r="AH31">
        <v>1</v>
      </c>
      <c r="AI31">
        <v>67.66</v>
      </c>
      <c r="AJ31">
        <v>67.290000000000006</v>
      </c>
      <c r="AK31">
        <v>30.97</v>
      </c>
      <c r="AL31">
        <v>30.07</v>
      </c>
      <c r="AM31">
        <v>30.07</v>
      </c>
      <c r="AN31">
        <v>100.61</v>
      </c>
      <c r="AO31">
        <v>156.1</v>
      </c>
      <c r="AP31">
        <v>154</v>
      </c>
      <c r="AQ31">
        <v>1.4</v>
      </c>
      <c r="AR31">
        <v>139</v>
      </c>
      <c r="AS31">
        <v>3.4</v>
      </c>
      <c r="AT31">
        <v>-27</v>
      </c>
      <c r="AU31">
        <v>-4</v>
      </c>
      <c r="AV31">
        <v>321</v>
      </c>
      <c r="AW31">
        <v>51.22</v>
      </c>
      <c r="AX31">
        <v>62.64</v>
      </c>
      <c r="AY31">
        <v>27.27</v>
      </c>
      <c r="AZ31">
        <v>132.24</v>
      </c>
      <c r="BA31">
        <v>9.3699999999999992</v>
      </c>
      <c r="BB31">
        <v>168.75</v>
      </c>
      <c r="BC31">
        <v>26.87</v>
      </c>
      <c r="BD31" t="s">
        <v>1376</v>
      </c>
      <c r="BE31" t="s">
        <v>161</v>
      </c>
      <c r="BF31">
        <v>35.85</v>
      </c>
      <c r="BG31">
        <v>127.13</v>
      </c>
      <c r="BH31">
        <v>39.1</v>
      </c>
      <c r="BI31">
        <v>12</v>
      </c>
      <c r="BJ31">
        <v>0.88</v>
      </c>
      <c r="BK31" t="s">
        <v>1306</v>
      </c>
      <c r="BL31" t="s">
        <v>161</v>
      </c>
      <c r="BM31">
        <v>-1.1299999999999999</v>
      </c>
      <c r="BN31" t="s">
        <v>159</v>
      </c>
      <c r="BO31">
        <v>0</v>
      </c>
      <c r="BP31">
        <v>0</v>
      </c>
      <c r="BQ31">
        <v>0</v>
      </c>
      <c r="BR31">
        <v>-0.08</v>
      </c>
      <c r="BS31">
        <v>-0.22</v>
      </c>
      <c r="BT31">
        <v>-0.43</v>
      </c>
      <c r="BU31" t="s">
        <v>159</v>
      </c>
      <c r="BV31">
        <v>150</v>
      </c>
      <c r="BW31">
        <v>0</v>
      </c>
      <c r="BX31">
        <v>2</v>
      </c>
      <c r="BY31">
        <v>0.06</v>
      </c>
      <c r="BZ31">
        <v>0</v>
      </c>
      <c r="CA31">
        <v>0.03</v>
      </c>
      <c r="CB31">
        <v>0</v>
      </c>
      <c r="CC31">
        <v>0</v>
      </c>
      <c r="CD31">
        <v>0</v>
      </c>
      <c r="CE31" t="s">
        <v>214</v>
      </c>
      <c r="CF31" t="s">
        <v>215</v>
      </c>
      <c r="CG31" t="s">
        <v>216</v>
      </c>
      <c r="CH31">
        <v>6000</v>
      </c>
      <c r="CI31">
        <v>500</v>
      </c>
      <c r="CJ31">
        <v>1</v>
      </c>
      <c r="CK31">
        <v>2</v>
      </c>
      <c r="CL31">
        <v>55537</v>
      </c>
      <c r="CM31">
        <v>55537</v>
      </c>
      <c r="CN31">
        <v>55537</v>
      </c>
      <c r="CO31">
        <v>0</v>
      </c>
      <c r="CP31">
        <v>-9999</v>
      </c>
      <c r="CQ31">
        <v>0</v>
      </c>
      <c r="CR31">
        <v>0</v>
      </c>
      <c r="CS31">
        <v>0</v>
      </c>
      <c r="CT31">
        <v>0</v>
      </c>
      <c r="CU31">
        <v>2.5299999999999998</v>
      </c>
      <c r="CV31">
        <v>2.4700000000000002</v>
      </c>
      <c r="CW31">
        <v>1.67</v>
      </c>
      <c r="CX31">
        <v>0.94</v>
      </c>
      <c r="CY31">
        <v>0.22</v>
      </c>
      <c r="CZ31">
        <v>-0.01</v>
      </c>
      <c r="DA31">
        <v>0.32</v>
      </c>
      <c r="DB31">
        <v>0.23</v>
      </c>
      <c r="DC31">
        <v>110.76</v>
      </c>
      <c r="DD31">
        <v>0</v>
      </c>
      <c r="DE31">
        <v>2.42</v>
      </c>
      <c r="DF31">
        <v>0</v>
      </c>
      <c r="DG31">
        <v>1</v>
      </c>
      <c r="DH31">
        <v>2.37</v>
      </c>
      <c r="DI31">
        <v>0</v>
      </c>
      <c r="DJ31">
        <v>1</v>
      </c>
      <c r="DK31">
        <v>0.6</v>
      </c>
      <c r="DL31">
        <v>0.6</v>
      </c>
      <c r="DM31">
        <v>0.11</v>
      </c>
      <c r="DN31">
        <v>0</v>
      </c>
      <c r="DO31" t="s">
        <v>1358</v>
      </c>
      <c r="DP31" t="s">
        <v>237</v>
      </c>
      <c r="DQ31" t="s">
        <v>238</v>
      </c>
      <c r="DR31" t="s">
        <v>239</v>
      </c>
      <c r="DS31" t="s">
        <v>240</v>
      </c>
      <c r="DT31" t="s">
        <v>241</v>
      </c>
      <c r="DU31" t="s">
        <v>242</v>
      </c>
    </row>
    <row r="32" spans="1:125" x14ac:dyDescent="0.45">
      <c r="A32" t="s">
        <v>1389</v>
      </c>
      <c r="B32" t="s">
        <v>1390</v>
      </c>
      <c r="C32" t="s">
        <v>161</v>
      </c>
      <c r="D32" t="s">
        <v>162</v>
      </c>
      <c r="E32" t="s">
        <v>163</v>
      </c>
      <c r="H32" t="s">
        <v>1280</v>
      </c>
      <c r="I32" t="s">
        <v>1391</v>
      </c>
      <c r="J32">
        <v>0.01</v>
      </c>
      <c r="K32">
        <v>8.5890484596226179E-3</v>
      </c>
      <c r="L32">
        <v>2.91</v>
      </c>
      <c r="M32">
        <v>0.01</v>
      </c>
      <c r="N32">
        <v>0.09</v>
      </c>
      <c r="O32">
        <v>3.03</v>
      </c>
      <c r="P32">
        <v>3.02</v>
      </c>
      <c r="Q32">
        <v>4.17</v>
      </c>
      <c r="R32">
        <v>1.1399999999999999</v>
      </c>
      <c r="S32">
        <v>30.06</v>
      </c>
      <c r="T32">
        <v>30.08</v>
      </c>
      <c r="U32">
        <v>41.43</v>
      </c>
      <c r="V32">
        <v>0.44</v>
      </c>
      <c r="W32">
        <v>7.5</v>
      </c>
      <c r="X32" t="s">
        <v>1396</v>
      </c>
      <c r="Y32">
        <v>0</v>
      </c>
      <c r="Z32">
        <v>0</v>
      </c>
      <c r="AA32">
        <v>0</v>
      </c>
      <c r="AB32">
        <v>118.79</v>
      </c>
      <c r="AC32">
        <v>454.99</v>
      </c>
      <c r="AD32">
        <v>0.74</v>
      </c>
      <c r="AE32">
        <v>0.5</v>
      </c>
      <c r="AF32">
        <v>0.84</v>
      </c>
      <c r="AG32">
        <v>45.62</v>
      </c>
      <c r="AH32">
        <v>1</v>
      </c>
      <c r="AI32">
        <v>67.239999999999995</v>
      </c>
      <c r="AJ32">
        <v>67.180000000000007</v>
      </c>
      <c r="AK32">
        <v>30.96</v>
      </c>
      <c r="AL32">
        <v>29.62</v>
      </c>
      <c r="AM32">
        <v>29.62</v>
      </c>
      <c r="AN32">
        <v>100.6</v>
      </c>
      <c r="AO32">
        <v>156</v>
      </c>
      <c r="AP32">
        <v>154.5</v>
      </c>
      <c r="AQ32">
        <v>0.9</v>
      </c>
      <c r="AR32">
        <v>147</v>
      </c>
      <c r="AS32">
        <v>3.4</v>
      </c>
      <c r="AT32">
        <v>-20</v>
      </c>
      <c r="AU32">
        <v>0</v>
      </c>
      <c r="AV32">
        <v>263</v>
      </c>
      <c r="AW32">
        <v>34.229999999999997</v>
      </c>
      <c r="AX32">
        <v>82.68</v>
      </c>
      <c r="AY32">
        <v>20</v>
      </c>
      <c r="AZ32">
        <v>83</v>
      </c>
      <c r="BA32">
        <v>9.3699999999999992</v>
      </c>
      <c r="BB32">
        <v>168.75</v>
      </c>
      <c r="BC32">
        <v>26.87</v>
      </c>
      <c r="BD32" t="s">
        <v>1408</v>
      </c>
      <c r="BE32" t="s">
        <v>161</v>
      </c>
      <c r="BF32">
        <v>35.85</v>
      </c>
      <c r="BG32">
        <v>127.13</v>
      </c>
      <c r="BH32">
        <v>37.6</v>
      </c>
      <c r="BI32">
        <v>13</v>
      </c>
      <c r="BJ32">
        <v>0.82</v>
      </c>
      <c r="BK32" t="s">
        <v>1306</v>
      </c>
      <c r="BL32" t="s">
        <v>161</v>
      </c>
      <c r="BM32">
        <v>-1.1299999999999999</v>
      </c>
      <c r="BN32" t="s">
        <v>159</v>
      </c>
      <c r="BO32">
        <v>0</v>
      </c>
      <c r="BP32">
        <v>0</v>
      </c>
      <c r="BQ32">
        <v>-9999</v>
      </c>
      <c r="BR32">
        <v>-0.12</v>
      </c>
      <c r="BS32">
        <v>-0.36</v>
      </c>
      <c r="BT32">
        <v>-9999</v>
      </c>
      <c r="BU32" t="s">
        <v>159</v>
      </c>
      <c r="BV32">
        <v>150</v>
      </c>
      <c r="BW32">
        <v>0</v>
      </c>
      <c r="BX32">
        <v>2</v>
      </c>
      <c r="BY32">
        <v>0.06</v>
      </c>
      <c r="BZ32">
        <v>0</v>
      </c>
      <c r="CA32">
        <v>0.03</v>
      </c>
      <c r="CB32">
        <v>0</v>
      </c>
      <c r="CC32">
        <v>0</v>
      </c>
      <c r="CD32">
        <v>0</v>
      </c>
      <c r="CE32" t="s">
        <v>214</v>
      </c>
      <c r="CF32" t="s">
        <v>215</v>
      </c>
      <c r="CG32" t="s">
        <v>216</v>
      </c>
      <c r="CH32">
        <v>6000</v>
      </c>
      <c r="CI32">
        <v>500</v>
      </c>
      <c r="CJ32">
        <v>1</v>
      </c>
      <c r="CK32">
        <v>2</v>
      </c>
      <c r="CL32">
        <v>55537</v>
      </c>
      <c r="CM32">
        <v>55537</v>
      </c>
      <c r="CN32">
        <v>55537</v>
      </c>
      <c r="CO32">
        <v>0</v>
      </c>
      <c r="CP32">
        <v>-9999</v>
      </c>
      <c r="CQ32">
        <v>0</v>
      </c>
      <c r="CR32">
        <v>0</v>
      </c>
      <c r="CS32">
        <v>0</v>
      </c>
      <c r="CT32">
        <v>0</v>
      </c>
      <c r="CU32">
        <v>2.5299999999999998</v>
      </c>
      <c r="CV32">
        <v>2.4700000000000002</v>
      </c>
      <c r="CW32">
        <v>1.67</v>
      </c>
      <c r="CX32">
        <v>0.94</v>
      </c>
      <c r="CY32">
        <v>0.22</v>
      </c>
      <c r="CZ32">
        <v>-0.02</v>
      </c>
      <c r="DA32">
        <v>0.32</v>
      </c>
      <c r="DB32">
        <v>0.24</v>
      </c>
      <c r="DC32">
        <v>118.79</v>
      </c>
      <c r="DD32">
        <v>0</v>
      </c>
      <c r="DE32">
        <v>2.42</v>
      </c>
      <c r="DF32">
        <v>0</v>
      </c>
      <c r="DG32">
        <v>1</v>
      </c>
      <c r="DH32">
        <v>2.37</v>
      </c>
      <c r="DI32">
        <v>0</v>
      </c>
      <c r="DJ32">
        <v>1</v>
      </c>
      <c r="DK32">
        <v>0.6</v>
      </c>
      <c r="DL32">
        <v>0.6</v>
      </c>
      <c r="DM32">
        <v>0.11</v>
      </c>
      <c r="DN32">
        <v>0</v>
      </c>
      <c r="DO32" t="s">
        <v>1396</v>
      </c>
      <c r="DP32" t="s">
        <v>237</v>
      </c>
      <c r="DQ32" t="s">
        <v>238</v>
      </c>
      <c r="DR32" t="s">
        <v>239</v>
      </c>
      <c r="DS32" t="s">
        <v>240</v>
      </c>
      <c r="DT32" t="s">
        <v>241</v>
      </c>
      <c r="DU32" t="s">
        <v>242</v>
      </c>
    </row>
    <row r="33" spans="1:125" x14ac:dyDescent="0.45">
      <c r="A33" t="s">
        <v>1422</v>
      </c>
      <c r="B33" t="s">
        <v>1423</v>
      </c>
      <c r="C33" t="s">
        <v>161</v>
      </c>
      <c r="D33" t="s">
        <v>162</v>
      </c>
      <c r="E33" t="s">
        <v>163</v>
      </c>
      <c r="H33" t="s">
        <v>1280</v>
      </c>
      <c r="I33" t="s">
        <v>1424</v>
      </c>
      <c r="J33">
        <v>0.1</v>
      </c>
      <c r="K33">
        <v>9.6941026330693292E-2</v>
      </c>
      <c r="L33">
        <v>2.91</v>
      </c>
      <c r="M33">
        <v>0.1</v>
      </c>
      <c r="N33">
        <v>1.1399999999999999</v>
      </c>
      <c r="O33">
        <v>3.05</v>
      </c>
      <c r="P33">
        <v>3.02</v>
      </c>
      <c r="Q33">
        <v>4.2</v>
      </c>
      <c r="R33">
        <v>1.1499999999999999</v>
      </c>
      <c r="S33">
        <v>30.02</v>
      </c>
      <c r="T33">
        <v>30.34</v>
      </c>
      <c r="U33">
        <v>41.77</v>
      </c>
      <c r="V33">
        <v>0.44</v>
      </c>
      <c r="W33">
        <v>7.5</v>
      </c>
      <c r="X33" t="s">
        <v>1429</v>
      </c>
      <c r="Y33">
        <v>0</v>
      </c>
      <c r="Z33">
        <v>0</v>
      </c>
      <c r="AA33">
        <v>0</v>
      </c>
      <c r="AB33">
        <v>116.35</v>
      </c>
      <c r="AC33">
        <v>473.27</v>
      </c>
      <c r="AD33">
        <v>0.75</v>
      </c>
      <c r="AE33">
        <v>0.5</v>
      </c>
      <c r="AF33">
        <v>0.84</v>
      </c>
      <c r="AG33">
        <v>48.78</v>
      </c>
      <c r="AH33">
        <v>1</v>
      </c>
      <c r="AI33">
        <v>67.89</v>
      </c>
      <c r="AJ33">
        <v>67.19</v>
      </c>
      <c r="AK33">
        <v>30.94</v>
      </c>
      <c r="AL33">
        <v>29.76</v>
      </c>
      <c r="AM33">
        <v>29.76</v>
      </c>
      <c r="AN33">
        <v>100.6</v>
      </c>
      <c r="AO33">
        <v>156.19999999999999</v>
      </c>
      <c r="AP33">
        <v>153.69999999999999</v>
      </c>
      <c r="AQ33">
        <v>1.6</v>
      </c>
      <c r="AR33">
        <v>154</v>
      </c>
      <c r="AS33">
        <v>3.4</v>
      </c>
      <c r="AT33">
        <v>-13</v>
      </c>
      <c r="AU33">
        <v>4</v>
      </c>
      <c r="AV33">
        <v>303</v>
      </c>
      <c r="AW33">
        <v>39.31</v>
      </c>
      <c r="AX33">
        <v>77.37</v>
      </c>
      <c r="AY33">
        <v>13.59</v>
      </c>
      <c r="AZ33">
        <v>140.27000000000001</v>
      </c>
      <c r="BA33">
        <v>9.3699999999999992</v>
      </c>
      <c r="BB33">
        <v>168.75</v>
      </c>
      <c r="BC33">
        <v>26.87</v>
      </c>
      <c r="BD33" t="s">
        <v>1443</v>
      </c>
      <c r="BE33" t="s">
        <v>161</v>
      </c>
      <c r="BF33">
        <v>35.85</v>
      </c>
      <c r="BG33">
        <v>127.13</v>
      </c>
      <c r="BH33">
        <v>36.9</v>
      </c>
      <c r="BI33">
        <v>13</v>
      </c>
      <c r="BJ33">
        <v>0.82</v>
      </c>
      <c r="BK33" t="s">
        <v>1306</v>
      </c>
      <c r="BL33" t="s">
        <v>161</v>
      </c>
      <c r="BM33">
        <v>-1.1299999999999999</v>
      </c>
      <c r="BN33" t="s">
        <v>159</v>
      </c>
      <c r="BO33">
        <v>0</v>
      </c>
      <c r="BP33">
        <v>0</v>
      </c>
      <c r="BQ33">
        <v>0.01</v>
      </c>
      <c r="BR33">
        <v>-7.0000000000000007E-2</v>
      </c>
      <c r="BS33">
        <v>-0.23</v>
      </c>
      <c r="BT33">
        <v>-0.38</v>
      </c>
      <c r="BU33" t="s">
        <v>159</v>
      </c>
      <c r="BV33">
        <v>150</v>
      </c>
      <c r="BW33">
        <v>0</v>
      </c>
      <c r="BX33">
        <v>2</v>
      </c>
      <c r="BY33">
        <v>0.06</v>
      </c>
      <c r="BZ33">
        <v>0</v>
      </c>
      <c r="CA33">
        <v>0.03</v>
      </c>
      <c r="CB33">
        <v>0</v>
      </c>
      <c r="CC33">
        <v>0</v>
      </c>
      <c r="CD33">
        <v>0</v>
      </c>
      <c r="CE33" t="s">
        <v>214</v>
      </c>
      <c r="CF33" t="s">
        <v>215</v>
      </c>
      <c r="CG33" t="s">
        <v>216</v>
      </c>
      <c r="CH33">
        <v>6000</v>
      </c>
      <c r="CI33">
        <v>500</v>
      </c>
      <c r="CJ33">
        <v>1</v>
      </c>
      <c r="CK33">
        <v>2</v>
      </c>
      <c r="CL33">
        <v>55537</v>
      </c>
      <c r="CM33">
        <v>55537</v>
      </c>
      <c r="CN33">
        <v>55537</v>
      </c>
      <c r="CO33">
        <v>0</v>
      </c>
      <c r="CP33">
        <v>-9999</v>
      </c>
      <c r="CQ33">
        <v>0</v>
      </c>
      <c r="CR33">
        <v>0</v>
      </c>
      <c r="CS33">
        <v>0</v>
      </c>
      <c r="CT33">
        <v>0</v>
      </c>
      <c r="CU33">
        <v>2.5299999999999998</v>
      </c>
      <c r="CV33">
        <v>2.4700000000000002</v>
      </c>
      <c r="CW33">
        <v>1.67</v>
      </c>
      <c r="CX33">
        <v>0.94</v>
      </c>
      <c r="CY33">
        <v>0.22</v>
      </c>
      <c r="CZ33">
        <v>-0.01</v>
      </c>
      <c r="DA33">
        <v>0.32</v>
      </c>
      <c r="DB33">
        <v>0.24</v>
      </c>
      <c r="DC33">
        <v>116.35</v>
      </c>
      <c r="DD33">
        <v>0</v>
      </c>
      <c r="DE33">
        <v>2.42</v>
      </c>
      <c r="DF33">
        <v>0</v>
      </c>
      <c r="DG33">
        <v>1</v>
      </c>
      <c r="DH33">
        <v>2.37</v>
      </c>
      <c r="DI33">
        <v>0</v>
      </c>
      <c r="DJ33">
        <v>1</v>
      </c>
      <c r="DK33">
        <v>0.6</v>
      </c>
      <c r="DL33">
        <v>0.6</v>
      </c>
      <c r="DM33">
        <v>0.11</v>
      </c>
      <c r="DN33">
        <v>0</v>
      </c>
      <c r="DO33" t="s">
        <v>1429</v>
      </c>
      <c r="DP33" t="s">
        <v>237</v>
      </c>
      <c r="DQ33" t="s">
        <v>238</v>
      </c>
      <c r="DR33" t="s">
        <v>239</v>
      </c>
      <c r="DS33" t="s">
        <v>240</v>
      </c>
      <c r="DT33" t="s">
        <v>241</v>
      </c>
      <c r="DU33" t="s">
        <v>242</v>
      </c>
    </row>
    <row r="34" spans="1:125" x14ac:dyDescent="0.45">
      <c r="A34" t="s">
        <v>1457</v>
      </c>
      <c r="B34" t="s">
        <v>1458</v>
      </c>
      <c r="C34" t="s">
        <v>161</v>
      </c>
      <c r="D34" t="s">
        <v>162</v>
      </c>
      <c r="E34" t="s">
        <v>163</v>
      </c>
      <c r="H34" t="s">
        <v>1280</v>
      </c>
      <c r="I34" t="s">
        <v>1459</v>
      </c>
      <c r="J34">
        <v>0.04</v>
      </c>
      <c r="K34">
        <v>4.0952170526774981E-2</v>
      </c>
      <c r="L34">
        <v>2.91</v>
      </c>
      <c r="M34">
        <v>0.04</v>
      </c>
      <c r="N34">
        <v>0.5</v>
      </c>
      <c r="O34">
        <v>3.04</v>
      </c>
      <c r="P34">
        <v>3.02</v>
      </c>
      <c r="Q34">
        <v>4.22</v>
      </c>
      <c r="R34">
        <v>1.18</v>
      </c>
      <c r="S34">
        <v>30.05</v>
      </c>
      <c r="T34">
        <v>30.18</v>
      </c>
      <c r="U34">
        <v>41.93</v>
      </c>
      <c r="V34">
        <v>0.44</v>
      </c>
      <c r="W34">
        <v>7.5</v>
      </c>
      <c r="X34" t="s">
        <v>1464</v>
      </c>
      <c r="Y34">
        <v>0</v>
      </c>
      <c r="Z34">
        <v>0</v>
      </c>
      <c r="AA34">
        <v>0</v>
      </c>
      <c r="AB34">
        <v>116.37</v>
      </c>
      <c r="AC34">
        <v>461.34</v>
      </c>
      <c r="AD34">
        <v>0.75</v>
      </c>
      <c r="AE34">
        <v>0.5</v>
      </c>
      <c r="AF34">
        <v>0.84</v>
      </c>
      <c r="AG34">
        <v>45.85</v>
      </c>
      <c r="AH34">
        <v>1</v>
      </c>
      <c r="AI34">
        <v>67.599999999999994</v>
      </c>
      <c r="AJ34">
        <v>67.3</v>
      </c>
      <c r="AK34">
        <v>30.92</v>
      </c>
      <c r="AL34">
        <v>29.83</v>
      </c>
      <c r="AM34">
        <v>29.83</v>
      </c>
      <c r="AN34">
        <v>100.61</v>
      </c>
      <c r="AO34">
        <v>156</v>
      </c>
      <c r="AP34">
        <v>154.1</v>
      </c>
      <c r="AQ34">
        <v>1.3</v>
      </c>
      <c r="AR34">
        <v>146</v>
      </c>
      <c r="AS34">
        <v>3.37</v>
      </c>
      <c r="AT34">
        <v>-20</v>
      </c>
      <c r="AU34">
        <v>-1</v>
      </c>
      <c r="AV34">
        <v>297</v>
      </c>
      <c r="AW34">
        <v>41.53</v>
      </c>
      <c r="AX34">
        <v>74.86</v>
      </c>
      <c r="AY34">
        <v>20.02</v>
      </c>
      <c r="AZ34">
        <v>114.08</v>
      </c>
      <c r="BA34">
        <v>9.3699999999999992</v>
      </c>
      <c r="BB34">
        <v>168.75</v>
      </c>
      <c r="BC34">
        <v>26.87</v>
      </c>
      <c r="BD34" t="s">
        <v>1479</v>
      </c>
      <c r="BE34" t="s">
        <v>161</v>
      </c>
      <c r="BF34">
        <v>35.85</v>
      </c>
      <c r="BG34">
        <v>127.13</v>
      </c>
      <c r="BH34">
        <v>36.799999999999997</v>
      </c>
      <c r="BI34">
        <v>11</v>
      </c>
      <c r="BJ34">
        <v>0.93</v>
      </c>
      <c r="BK34" t="s">
        <v>1306</v>
      </c>
      <c r="BL34" t="s">
        <v>161</v>
      </c>
      <c r="BM34">
        <v>-1.1299999999999999</v>
      </c>
      <c r="BN34" t="s">
        <v>159</v>
      </c>
      <c r="BO34">
        <v>0</v>
      </c>
      <c r="BP34">
        <v>0</v>
      </c>
      <c r="BQ34">
        <v>0</v>
      </c>
      <c r="BR34">
        <v>-0.11</v>
      </c>
      <c r="BS34">
        <v>-0.24</v>
      </c>
      <c r="BT34">
        <v>-0.53</v>
      </c>
      <c r="BU34" t="s">
        <v>159</v>
      </c>
      <c r="BV34">
        <v>150</v>
      </c>
      <c r="BW34">
        <v>0</v>
      </c>
      <c r="BX34">
        <v>2</v>
      </c>
      <c r="BY34">
        <v>0.06</v>
      </c>
      <c r="BZ34">
        <v>0</v>
      </c>
      <c r="CA34">
        <v>0.03</v>
      </c>
      <c r="CB34">
        <v>0</v>
      </c>
      <c r="CC34">
        <v>0</v>
      </c>
      <c r="CD34">
        <v>0</v>
      </c>
      <c r="CE34" t="s">
        <v>214</v>
      </c>
      <c r="CF34" t="s">
        <v>215</v>
      </c>
      <c r="CG34" t="s">
        <v>216</v>
      </c>
      <c r="CH34">
        <v>6000</v>
      </c>
      <c r="CI34">
        <v>500</v>
      </c>
      <c r="CJ34">
        <v>1</v>
      </c>
      <c r="CK34">
        <v>2</v>
      </c>
      <c r="CL34">
        <v>55537</v>
      </c>
      <c r="CM34">
        <v>55537</v>
      </c>
      <c r="CN34">
        <v>55537</v>
      </c>
      <c r="CO34">
        <v>0</v>
      </c>
      <c r="CP34">
        <v>-9999</v>
      </c>
      <c r="CQ34">
        <v>0</v>
      </c>
      <c r="CR34">
        <v>0</v>
      </c>
      <c r="CS34">
        <v>0</v>
      </c>
      <c r="CT34">
        <v>0</v>
      </c>
      <c r="CU34">
        <v>2.5299999999999998</v>
      </c>
      <c r="CV34">
        <v>2.4700000000000002</v>
      </c>
      <c r="CW34">
        <v>1.67</v>
      </c>
      <c r="CX34">
        <v>0.94</v>
      </c>
      <c r="CY34">
        <v>0.22</v>
      </c>
      <c r="CZ34">
        <v>-0.01</v>
      </c>
      <c r="DA34">
        <v>0.32</v>
      </c>
      <c r="DB34">
        <v>0.23</v>
      </c>
      <c r="DC34">
        <v>116.37</v>
      </c>
      <c r="DD34">
        <v>0</v>
      </c>
      <c r="DE34">
        <v>2.42</v>
      </c>
      <c r="DF34">
        <v>0</v>
      </c>
      <c r="DG34">
        <v>1</v>
      </c>
      <c r="DH34">
        <v>2.37</v>
      </c>
      <c r="DI34">
        <v>0</v>
      </c>
      <c r="DJ34">
        <v>1</v>
      </c>
      <c r="DK34">
        <v>0.6</v>
      </c>
      <c r="DL34">
        <v>0.6</v>
      </c>
      <c r="DM34">
        <v>0.11</v>
      </c>
      <c r="DN34">
        <v>0</v>
      </c>
      <c r="DO34" t="s">
        <v>1464</v>
      </c>
      <c r="DP34" t="s">
        <v>237</v>
      </c>
      <c r="DQ34" t="s">
        <v>238</v>
      </c>
      <c r="DR34" t="s">
        <v>239</v>
      </c>
      <c r="DS34" t="s">
        <v>240</v>
      </c>
      <c r="DT34" t="s">
        <v>241</v>
      </c>
      <c r="DU34" t="s">
        <v>242</v>
      </c>
    </row>
    <row r="35" spans="1:125" x14ac:dyDescent="0.45">
      <c r="A35" t="s">
        <v>1496</v>
      </c>
      <c r="B35" t="s">
        <v>1497</v>
      </c>
      <c r="C35" t="s">
        <v>161</v>
      </c>
      <c r="D35" t="s">
        <v>162</v>
      </c>
      <c r="E35" t="s">
        <v>163</v>
      </c>
      <c r="H35" t="s">
        <v>1280</v>
      </c>
      <c r="I35" t="s">
        <v>1498</v>
      </c>
      <c r="J35">
        <v>0.03</v>
      </c>
      <c r="K35">
        <v>3.3546955059384889E-2</v>
      </c>
      <c r="L35">
        <v>2.91</v>
      </c>
      <c r="M35">
        <v>0.03</v>
      </c>
      <c r="N35">
        <v>0.38</v>
      </c>
      <c r="O35">
        <v>3.03</v>
      </c>
      <c r="P35">
        <v>3.02</v>
      </c>
      <c r="Q35">
        <v>4.1900000000000004</v>
      </c>
      <c r="R35">
        <v>1.1599999999999999</v>
      </c>
      <c r="S35">
        <v>30.02</v>
      </c>
      <c r="T35">
        <v>30.12</v>
      </c>
      <c r="U35">
        <v>41.63</v>
      </c>
      <c r="V35">
        <v>0.44</v>
      </c>
      <c r="W35">
        <v>7.5</v>
      </c>
      <c r="X35" t="s">
        <v>1503</v>
      </c>
      <c r="Y35">
        <v>0</v>
      </c>
      <c r="Z35">
        <v>0</v>
      </c>
      <c r="AA35">
        <v>0</v>
      </c>
      <c r="AB35">
        <v>108.47</v>
      </c>
      <c r="AC35">
        <v>448.66</v>
      </c>
      <c r="AD35">
        <v>0.76</v>
      </c>
      <c r="AE35">
        <v>0.5</v>
      </c>
      <c r="AF35">
        <v>0.84</v>
      </c>
      <c r="AG35">
        <v>46.81</v>
      </c>
      <c r="AH35">
        <v>1</v>
      </c>
      <c r="AI35">
        <v>67.62</v>
      </c>
      <c r="AJ35">
        <v>67.38</v>
      </c>
      <c r="AK35">
        <v>30.89</v>
      </c>
      <c r="AL35">
        <v>29.7</v>
      </c>
      <c r="AM35">
        <v>29.7</v>
      </c>
      <c r="AN35">
        <v>100.6</v>
      </c>
      <c r="AO35">
        <v>156</v>
      </c>
      <c r="AP35">
        <v>145.6</v>
      </c>
      <c r="AQ35">
        <v>6.7</v>
      </c>
      <c r="AR35">
        <v>147</v>
      </c>
      <c r="AS35">
        <v>3.4</v>
      </c>
      <c r="AT35">
        <v>-22</v>
      </c>
      <c r="AU35">
        <v>2</v>
      </c>
      <c r="AV35">
        <v>304</v>
      </c>
      <c r="AW35">
        <v>45.83</v>
      </c>
      <c r="AX35">
        <v>69.680000000000007</v>
      </c>
      <c r="AY35">
        <v>22.09</v>
      </c>
      <c r="AZ35">
        <v>129.33000000000001</v>
      </c>
      <c r="BA35">
        <v>9.3699999999999992</v>
      </c>
      <c r="BB35">
        <v>169.29</v>
      </c>
      <c r="BC35">
        <v>26.83</v>
      </c>
      <c r="BD35" t="s">
        <v>1521</v>
      </c>
      <c r="BE35" t="s">
        <v>161</v>
      </c>
      <c r="BF35">
        <v>35.85</v>
      </c>
      <c r="BG35">
        <v>127.13</v>
      </c>
      <c r="BH35">
        <v>36.5</v>
      </c>
      <c r="BI35">
        <v>13</v>
      </c>
      <c r="BJ35">
        <v>0.84</v>
      </c>
      <c r="BK35" t="s">
        <v>1306</v>
      </c>
      <c r="BL35" t="s">
        <v>161</v>
      </c>
      <c r="BM35">
        <v>-1.1299999999999999</v>
      </c>
      <c r="BN35" t="s">
        <v>159</v>
      </c>
      <c r="BO35">
        <v>0</v>
      </c>
      <c r="BP35">
        <v>0</v>
      </c>
      <c r="BQ35">
        <v>0.01</v>
      </c>
      <c r="BR35">
        <v>-0.11</v>
      </c>
      <c r="BS35">
        <v>-0.17</v>
      </c>
      <c r="BT35">
        <v>-0.38</v>
      </c>
      <c r="BU35" t="s">
        <v>159</v>
      </c>
      <c r="BV35">
        <v>150</v>
      </c>
      <c r="BW35">
        <v>0</v>
      </c>
      <c r="BX35">
        <v>2</v>
      </c>
      <c r="BY35">
        <v>0.06</v>
      </c>
      <c r="BZ35">
        <v>0</v>
      </c>
      <c r="CA35">
        <v>0.03</v>
      </c>
      <c r="CB35">
        <v>0</v>
      </c>
      <c r="CC35">
        <v>0</v>
      </c>
      <c r="CD35">
        <v>0</v>
      </c>
      <c r="CE35" t="s">
        <v>214</v>
      </c>
      <c r="CF35" t="s">
        <v>215</v>
      </c>
      <c r="CG35" t="s">
        <v>216</v>
      </c>
      <c r="CH35">
        <v>6000</v>
      </c>
      <c r="CI35">
        <v>500</v>
      </c>
      <c r="CJ35">
        <v>1</v>
      </c>
      <c r="CK35">
        <v>2</v>
      </c>
      <c r="CL35">
        <v>55537</v>
      </c>
      <c r="CM35">
        <v>55537</v>
      </c>
      <c r="CN35">
        <v>55537</v>
      </c>
      <c r="CO35">
        <v>0</v>
      </c>
      <c r="CP35">
        <v>-9999</v>
      </c>
      <c r="CQ35">
        <v>0</v>
      </c>
      <c r="CR35">
        <v>0</v>
      </c>
      <c r="CS35">
        <v>0</v>
      </c>
      <c r="CT35">
        <v>0</v>
      </c>
      <c r="CU35">
        <v>2.5299999999999998</v>
      </c>
      <c r="CV35">
        <v>2.4700000000000002</v>
      </c>
      <c r="CW35">
        <v>1.67</v>
      </c>
      <c r="CX35">
        <v>0.92</v>
      </c>
      <c r="CY35">
        <v>0.22</v>
      </c>
      <c r="CZ35">
        <v>-0.01</v>
      </c>
      <c r="DA35">
        <v>0.33</v>
      </c>
      <c r="DB35">
        <v>0.24</v>
      </c>
      <c r="DC35">
        <v>108.47</v>
      </c>
      <c r="DD35">
        <v>0</v>
      </c>
      <c r="DE35">
        <v>2.42</v>
      </c>
      <c r="DF35">
        <v>0</v>
      </c>
      <c r="DG35">
        <v>1</v>
      </c>
      <c r="DH35">
        <v>2.37</v>
      </c>
      <c r="DI35">
        <v>0</v>
      </c>
      <c r="DJ35">
        <v>1</v>
      </c>
      <c r="DK35">
        <v>0.6</v>
      </c>
      <c r="DL35">
        <v>0.6</v>
      </c>
      <c r="DM35">
        <v>0.11</v>
      </c>
      <c r="DN35">
        <v>0</v>
      </c>
      <c r="DO35" t="s">
        <v>1503</v>
      </c>
      <c r="DP35" t="s">
        <v>237</v>
      </c>
      <c r="DQ35" t="s">
        <v>238</v>
      </c>
      <c r="DR35" t="s">
        <v>239</v>
      </c>
      <c r="DS35" t="s">
        <v>240</v>
      </c>
      <c r="DT35" t="s">
        <v>241</v>
      </c>
      <c r="DU35" t="s">
        <v>242</v>
      </c>
    </row>
    <row r="36" spans="1:125" x14ac:dyDescent="0.45">
      <c r="A36" t="s">
        <v>1534</v>
      </c>
      <c r="B36" t="s">
        <v>1535</v>
      </c>
      <c r="C36" t="s">
        <v>161</v>
      </c>
      <c r="D36" t="s">
        <v>162</v>
      </c>
      <c r="E36" t="s">
        <v>163</v>
      </c>
      <c r="H36" t="s">
        <v>1280</v>
      </c>
      <c r="I36" t="s">
        <v>1536</v>
      </c>
      <c r="J36">
        <v>7.0000000000000007E-2</v>
      </c>
      <c r="K36">
        <v>6.9972693607340111E-2</v>
      </c>
      <c r="L36">
        <v>2.91</v>
      </c>
      <c r="M36">
        <v>7.0000000000000007E-2</v>
      </c>
      <c r="N36">
        <v>0.83</v>
      </c>
      <c r="O36">
        <v>3.03</v>
      </c>
      <c r="P36">
        <v>3.01</v>
      </c>
      <c r="Q36">
        <v>4.1900000000000004</v>
      </c>
      <c r="R36">
        <v>1.1599999999999999</v>
      </c>
      <c r="S36">
        <v>29.89</v>
      </c>
      <c r="T36">
        <v>30.12</v>
      </c>
      <c r="U36">
        <v>41.69</v>
      </c>
      <c r="V36">
        <v>0.44</v>
      </c>
      <c r="W36">
        <v>7.5</v>
      </c>
      <c r="X36" t="s">
        <v>1541</v>
      </c>
      <c r="Y36">
        <v>0</v>
      </c>
      <c r="Z36">
        <v>0</v>
      </c>
      <c r="AA36">
        <v>0</v>
      </c>
      <c r="AB36">
        <v>110.25</v>
      </c>
      <c r="AC36">
        <v>453.81</v>
      </c>
      <c r="AD36">
        <v>0.76</v>
      </c>
      <c r="AE36">
        <v>0.5</v>
      </c>
      <c r="AF36">
        <v>0.84</v>
      </c>
      <c r="AG36">
        <v>48.97</v>
      </c>
      <c r="AH36">
        <v>1</v>
      </c>
      <c r="AI36">
        <v>67.67</v>
      </c>
      <c r="AJ36">
        <v>67.16</v>
      </c>
      <c r="AK36">
        <v>30.87</v>
      </c>
      <c r="AL36">
        <v>29.73</v>
      </c>
      <c r="AM36">
        <v>29.73</v>
      </c>
      <c r="AN36">
        <v>100.61</v>
      </c>
      <c r="AO36">
        <v>156.1</v>
      </c>
      <c r="AP36">
        <v>150.9</v>
      </c>
      <c r="AQ36">
        <v>3.3</v>
      </c>
      <c r="AR36">
        <v>154</v>
      </c>
      <c r="AS36">
        <v>3.4</v>
      </c>
      <c r="AT36">
        <v>-20</v>
      </c>
      <c r="AU36">
        <v>6</v>
      </c>
      <c r="AV36">
        <v>326</v>
      </c>
      <c r="AW36">
        <v>47.56</v>
      </c>
      <c r="AX36">
        <v>67.489999999999995</v>
      </c>
      <c r="AY36">
        <v>20.85</v>
      </c>
      <c r="AZ36">
        <v>163.08000000000001</v>
      </c>
      <c r="BA36">
        <v>9.3699999999999992</v>
      </c>
      <c r="BB36">
        <v>169.83</v>
      </c>
      <c r="BC36">
        <v>26.8</v>
      </c>
      <c r="BD36" t="s">
        <v>1557</v>
      </c>
      <c r="BE36" t="s">
        <v>161</v>
      </c>
      <c r="BF36">
        <v>35.85</v>
      </c>
      <c r="BG36">
        <v>127.13</v>
      </c>
      <c r="BH36">
        <v>35.5</v>
      </c>
      <c r="BI36">
        <v>14</v>
      </c>
      <c r="BJ36">
        <v>0.8</v>
      </c>
      <c r="BK36" t="s">
        <v>1306</v>
      </c>
      <c r="BL36" t="s">
        <v>161</v>
      </c>
      <c r="BM36">
        <v>-1.1299999999999999</v>
      </c>
      <c r="BN36" t="s">
        <v>159</v>
      </c>
      <c r="BO36">
        <v>0</v>
      </c>
      <c r="BP36">
        <v>0</v>
      </c>
      <c r="BQ36">
        <v>0.01</v>
      </c>
      <c r="BR36">
        <v>0.05</v>
      </c>
      <c r="BS36">
        <v>0.05</v>
      </c>
      <c r="BT36">
        <v>0.03</v>
      </c>
      <c r="BU36" t="s">
        <v>159</v>
      </c>
      <c r="BV36">
        <v>150</v>
      </c>
      <c r="BW36">
        <v>0</v>
      </c>
      <c r="BX36">
        <v>2</v>
      </c>
      <c r="BY36">
        <v>0.06</v>
      </c>
      <c r="BZ36">
        <v>0</v>
      </c>
      <c r="CA36">
        <v>0.03</v>
      </c>
      <c r="CB36">
        <v>0</v>
      </c>
      <c r="CC36">
        <v>0</v>
      </c>
      <c r="CD36">
        <v>0</v>
      </c>
      <c r="CE36" t="s">
        <v>214</v>
      </c>
      <c r="CF36" t="s">
        <v>215</v>
      </c>
      <c r="CG36" t="s">
        <v>216</v>
      </c>
      <c r="CH36">
        <v>6000</v>
      </c>
      <c r="CI36">
        <v>500</v>
      </c>
      <c r="CJ36">
        <v>1</v>
      </c>
      <c r="CK36">
        <v>2</v>
      </c>
      <c r="CL36">
        <v>55537</v>
      </c>
      <c r="CM36">
        <v>55537</v>
      </c>
      <c r="CN36">
        <v>55537</v>
      </c>
      <c r="CO36">
        <v>0</v>
      </c>
      <c r="CP36">
        <v>-9999</v>
      </c>
      <c r="CQ36">
        <v>0</v>
      </c>
      <c r="CR36">
        <v>0</v>
      </c>
      <c r="CS36">
        <v>0</v>
      </c>
      <c r="CT36">
        <v>0</v>
      </c>
      <c r="CU36">
        <v>2.5299999999999998</v>
      </c>
      <c r="CV36">
        <v>2.4700000000000002</v>
      </c>
      <c r="CW36">
        <v>1.67</v>
      </c>
      <c r="CX36">
        <v>0.93</v>
      </c>
      <c r="CY36">
        <v>0.22</v>
      </c>
      <c r="CZ36">
        <v>-0.01</v>
      </c>
      <c r="DA36">
        <v>0.33</v>
      </c>
      <c r="DB36">
        <v>0.24</v>
      </c>
      <c r="DC36">
        <v>110.25</v>
      </c>
      <c r="DD36">
        <v>0</v>
      </c>
      <c r="DE36">
        <v>2.42</v>
      </c>
      <c r="DF36">
        <v>0</v>
      </c>
      <c r="DG36">
        <v>1</v>
      </c>
      <c r="DH36">
        <v>2.37</v>
      </c>
      <c r="DI36">
        <v>0</v>
      </c>
      <c r="DJ36">
        <v>1</v>
      </c>
      <c r="DK36">
        <v>0.6</v>
      </c>
      <c r="DL36">
        <v>0.6</v>
      </c>
      <c r="DM36">
        <v>0.11</v>
      </c>
      <c r="DN36">
        <v>0</v>
      </c>
      <c r="DO36" t="s">
        <v>1541</v>
      </c>
      <c r="DP36" t="s">
        <v>237</v>
      </c>
      <c r="DQ36" t="s">
        <v>238</v>
      </c>
      <c r="DR36" t="s">
        <v>239</v>
      </c>
      <c r="DS36" t="s">
        <v>240</v>
      </c>
      <c r="DT36" t="s">
        <v>241</v>
      </c>
      <c r="DU36" t="s">
        <v>242</v>
      </c>
    </row>
    <row r="37" spans="1:125" x14ac:dyDescent="0.45">
      <c r="A37" t="s">
        <v>1569</v>
      </c>
      <c r="B37" t="s">
        <v>1570</v>
      </c>
      <c r="C37" t="s">
        <v>161</v>
      </c>
      <c r="D37" t="s">
        <v>162</v>
      </c>
      <c r="E37" t="s">
        <v>163</v>
      </c>
      <c r="H37" t="s">
        <v>1280</v>
      </c>
      <c r="I37" t="s">
        <v>1571</v>
      </c>
      <c r="J37">
        <v>0.17</v>
      </c>
      <c r="K37">
        <v>0.1578095068872889</v>
      </c>
      <c r="L37">
        <v>2.91</v>
      </c>
      <c r="M37">
        <v>0.16</v>
      </c>
      <c r="N37">
        <v>1.82</v>
      </c>
      <c r="O37">
        <v>3.07</v>
      </c>
      <c r="P37">
        <v>3.02</v>
      </c>
      <c r="Q37">
        <v>4.17</v>
      </c>
      <c r="R37">
        <v>1.1000000000000001</v>
      </c>
      <c r="S37">
        <v>29.97</v>
      </c>
      <c r="T37">
        <v>30.47</v>
      </c>
      <c r="U37">
        <v>41.45</v>
      </c>
      <c r="V37">
        <v>0.44</v>
      </c>
      <c r="W37">
        <v>7.5</v>
      </c>
      <c r="X37" t="s">
        <v>1576</v>
      </c>
      <c r="Y37">
        <v>0</v>
      </c>
      <c r="Z37">
        <v>0</v>
      </c>
      <c r="AA37">
        <v>0</v>
      </c>
      <c r="AB37">
        <v>108.59</v>
      </c>
      <c r="AC37">
        <v>466.57</v>
      </c>
      <c r="AD37">
        <v>0.77</v>
      </c>
      <c r="AE37">
        <v>0.5</v>
      </c>
      <c r="AF37">
        <v>0.84</v>
      </c>
      <c r="AG37">
        <v>48.98</v>
      </c>
      <c r="AH37">
        <v>1</v>
      </c>
      <c r="AI37">
        <v>68.55</v>
      </c>
      <c r="AJ37">
        <v>67.430000000000007</v>
      </c>
      <c r="AK37">
        <v>30.85</v>
      </c>
      <c r="AL37">
        <v>29.63</v>
      </c>
      <c r="AM37">
        <v>29.63</v>
      </c>
      <c r="AN37">
        <v>100.61</v>
      </c>
      <c r="AO37">
        <v>156.30000000000001</v>
      </c>
      <c r="AP37">
        <v>153.9</v>
      </c>
      <c r="AQ37">
        <v>1.6</v>
      </c>
      <c r="AR37">
        <v>152</v>
      </c>
      <c r="AS37">
        <v>3.4</v>
      </c>
      <c r="AT37">
        <v>-30</v>
      </c>
      <c r="AU37">
        <v>4</v>
      </c>
      <c r="AV37">
        <v>270</v>
      </c>
      <c r="AW37">
        <v>45.53</v>
      </c>
      <c r="AX37">
        <v>70.05</v>
      </c>
      <c r="AY37">
        <v>30.24</v>
      </c>
      <c r="AZ37">
        <v>97.96</v>
      </c>
      <c r="BA37">
        <v>9.3699999999999992</v>
      </c>
      <c r="BB37">
        <v>169.83</v>
      </c>
      <c r="BC37">
        <v>26.8</v>
      </c>
      <c r="BD37" t="s">
        <v>1591</v>
      </c>
      <c r="BE37" t="s">
        <v>161</v>
      </c>
      <c r="BF37">
        <v>35.85</v>
      </c>
      <c r="BG37">
        <v>127.13</v>
      </c>
      <c r="BH37">
        <v>34.799999999999997</v>
      </c>
      <c r="BI37">
        <v>15</v>
      </c>
      <c r="BJ37">
        <v>0.74</v>
      </c>
      <c r="BK37" t="s">
        <v>1306</v>
      </c>
      <c r="BL37" t="s">
        <v>161</v>
      </c>
      <c r="BM37">
        <v>-1.1299999999999999</v>
      </c>
      <c r="BN37" t="s">
        <v>159</v>
      </c>
      <c r="BO37">
        <v>0</v>
      </c>
      <c r="BP37">
        <v>0</v>
      </c>
      <c r="BQ37">
        <v>0</v>
      </c>
      <c r="BR37">
        <v>-0.04</v>
      </c>
      <c r="BS37">
        <v>-0.28000000000000003</v>
      </c>
      <c r="BT37">
        <v>-0.61</v>
      </c>
      <c r="BU37" t="s">
        <v>159</v>
      </c>
      <c r="BV37">
        <v>150</v>
      </c>
      <c r="BW37">
        <v>0</v>
      </c>
      <c r="BX37">
        <v>2</v>
      </c>
      <c r="BY37">
        <v>0.06</v>
      </c>
      <c r="BZ37">
        <v>0</v>
      </c>
      <c r="CA37">
        <v>0.03</v>
      </c>
      <c r="CB37">
        <v>0</v>
      </c>
      <c r="CC37">
        <v>0</v>
      </c>
      <c r="CD37">
        <v>0</v>
      </c>
      <c r="CE37" t="s">
        <v>214</v>
      </c>
      <c r="CF37" t="s">
        <v>215</v>
      </c>
      <c r="CG37" t="s">
        <v>216</v>
      </c>
      <c r="CH37">
        <v>6000</v>
      </c>
      <c r="CI37">
        <v>500</v>
      </c>
      <c r="CJ37">
        <v>1</v>
      </c>
      <c r="CK37">
        <v>2</v>
      </c>
      <c r="CL37">
        <v>55537</v>
      </c>
      <c r="CM37">
        <v>55537</v>
      </c>
      <c r="CN37">
        <v>55537</v>
      </c>
      <c r="CO37">
        <v>0</v>
      </c>
      <c r="CP37">
        <v>-9999</v>
      </c>
      <c r="CQ37">
        <v>0</v>
      </c>
      <c r="CR37">
        <v>0</v>
      </c>
      <c r="CS37">
        <v>0</v>
      </c>
      <c r="CT37">
        <v>0</v>
      </c>
      <c r="CU37">
        <v>2.5299999999999998</v>
      </c>
      <c r="CV37">
        <v>2.4700000000000002</v>
      </c>
      <c r="CW37">
        <v>1.67</v>
      </c>
      <c r="CX37">
        <v>0.94</v>
      </c>
      <c r="CY37">
        <v>0.22</v>
      </c>
      <c r="CZ37">
        <v>-0.01</v>
      </c>
      <c r="DA37">
        <v>0.33</v>
      </c>
      <c r="DB37">
        <v>0.24</v>
      </c>
      <c r="DC37">
        <v>108.59</v>
      </c>
      <c r="DD37">
        <v>0</v>
      </c>
      <c r="DE37">
        <v>2.42</v>
      </c>
      <c r="DF37">
        <v>0</v>
      </c>
      <c r="DG37">
        <v>1</v>
      </c>
      <c r="DH37">
        <v>2.37</v>
      </c>
      <c r="DI37">
        <v>0</v>
      </c>
      <c r="DJ37">
        <v>1</v>
      </c>
      <c r="DK37">
        <v>0.6</v>
      </c>
      <c r="DL37">
        <v>0.6</v>
      </c>
      <c r="DM37">
        <v>0.11</v>
      </c>
      <c r="DN37">
        <v>0</v>
      </c>
      <c r="DO37" t="s">
        <v>1576</v>
      </c>
      <c r="DP37" t="s">
        <v>237</v>
      </c>
      <c r="DQ37" t="s">
        <v>238</v>
      </c>
      <c r="DR37" t="s">
        <v>239</v>
      </c>
      <c r="DS37" t="s">
        <v>240</v>
      </c>
      <c r="DT37" t="s">
        <v>241</v>
      </c>
      <c r="DU37" t="s">
        <v>242</v>
      </c>
    </row>
    <row r="38" spans="1:125" x14ac:dyDescent="0.45">
      <c r="A38" t="s">
        <v>1605</v>
      </c>
      <c r="B38" t="s">
        <v>1606</v>
      </c>
      <c r="C38" t="s">
        <v>161</v>
      </c>
      <c r="D38" t="s">
        <v>162</v>
      </c>
      <c r="E38" t="s">
        <v>163</v>
      </c>
      <c r="H38" t="s">
        <v>1607</v>
      </c>
      <c r="I38" t="s">
        <v>1608</v>
      </c>
      <c r="J38">
        <v>0.24</v>
      </c>
      <c r="K38">
        <v>0.21419697117900779</v>
      </c>
      <c r="L38">
        <v>2.9</v>
      </c>
      <c r="M38">
        <v>0.22</v>
      </c>
      <c r="N38">
        <v>2.44</v>
      </c>
      <c r="O38">
        <v>3.05</v>
      </c>
      <c r="P38">
        <v>2.99</v>
      </c>
      <c r="Q38">
        <v>4.13</v>
      </c>
      <c r="R38">
        <v>1.07</v>
      </c>
      <c r="S38">
        <v>29.67</v>
      </c>
      <c r="T38">
        <v>30.34</v>
      </c>
      <c r="U38">
        <v>41.01</v>
      </c>
      <c r="V38">
        <v>0.44</v>
      </c>
      <c r="W38">
        <v>7.5</v>
      </c>
      <c r="X38" t="s">
        <v>1613</v>
      </c>
      <c r="Y38">
        <v>0</v>
      </c>
      <c r="Z38">
        <v>0</v>
      </c>
      <c r="AA38">
        <v>0</v>
      </c>
      <c r="AB38">
        <v>123.54</v>
      </c>
      <c r="AC38">
        <v>474.15</v>
      </c>
      <c r="AD38">
        <v>0.74</v>
      </c>
      <c r="AE38">
        <v>0.5</v>
      </c>
      <c r="AF38">
        <v>0.84</v>
      </c>
      <c r="AG38">
        <v>52.8</v>
      </c>
      <c r="AH38">
        <v>1</v>
      </c>
      <c r="AI38">
        <v>68.48</v>
      </c>
      <c r="AJ38">
        <v>66.97</v>
      </c>
      <c r="AK38">
        <v>30.79</v>
      </c>
      <c r="AL38">
        <v>29.44</v>
      </c>
      <c r="AM38">
        <v>29.44</v>
      </c>
      <c r="AN38">
        <v>100.6</v>
      </c>
      <c r="AO38">
        <v>155.9</v>
      </c>
      <c r="AP38">
        <v>153.80000000000001</v>
      </c>
      <c r="AQ38">
        <v>1.3</v>
      </c>
      <c r="AR38">
        <v>170</v>
      </c>
      <c r="AS38">
        <v>3.4</v>
      </c>
      <c r="AT38">
        <v>-23</v>
      </c>
      <c r="AU38">
        <v>4</v>
      </c>
      <c r="AV38">
        <v>300</v>
      </c>
      <c r="AW38">
        <v>46.63</v>
      </c>
      <c r="AX38">
        <v>68.67</v>
      </c>
      <c r="AY38">
        <v>23.33</v>
      </c>
      <c r="AZ38">
        <v>130.15</v>
      </c>
      <c r="BA38">
        <v>9.3699999999999992</v>
      </c>
      <c r="BB38">
        <v>171.46</v>
      </c>
      <c r="BC38">
        <v>26.7</v>
      </c>
      <c r="BD38" t="s">
        <v>1628</v>
      </c>
      <c r="BE38" t="s">
        <v>161</v>
      </c>
      <c r="BF38">
        <v>35.85</v>
      </c>
      <c r="BG38">
        <v>127.13</v>
      </c>
      <c r="BH38">
        <v>33.6</v>
      </c>
      <c r="BI38">
        <v>12</v>
      </c>
      <c r="BJ38">
        <v>0.88</v>
      </c>
      <c r="BK38" t="s">
        <v>1306</v>
      </c>
      <c r="BL38" t="s">
        <v>161</v>
      </c>
      <c r="BM38">
        <v>-1.1299999999999999</v>
      </c>
      <c r="BN38" t="s">
        <v>159</v>
      </c>
      <c r="BO38">
        <v>0</v>
      </c>
      <c r="BP38">
        <v>0</v>
      </c>
      <c r="BQ38">
        <v>0</v>
      </c>
      <c r="BR38">
        <v>-0.08</v>
      </c>
      <c r="BS38">
        <v>-0.28000000000000003</v>
      </c>
      <c r="BT38">
        <v>-0.66</v>
      </c>
      <c r="BU38" t="s">
        <v>159</v>
      </c>
      <c r="BV38">
        <v>150</v>
      </c>
      <c r="BW38">
        <v>0</v>
      </c>
      <c r="BX38">
        <v>2</v>
      </c>
      <c r="BY38">
        <v>0.06</v>
      </c>
      <c r="BZ38">
        <v>0</v>
      </c>
      <c r="CA38">
        <v>0.03</v>
      </c>
      <c r="CB38">
        <v>0</v>
      </c>
      <c r="CC38">
        <v>0</v>
      </c>
      <c r="CD38">
        <v>0</v>
      </c>
      <c r="CE38" t="s">
        <v>214</v>
      </c>
      <c r="CF38" t="s">
        <v>215</v>
      </c>
      <c r="CG38" t="s">
        <v>216</v>
      </c>
      <c r="CH38">
        <v>6000</v>
      </c>
      <c r="CI38">
        <v>500</v>
      </c>
      <c r="CJ38">
        <v>1</v>
      </c>
      <c r="CK38">
        <v>2</v>
      </c>
      <c r="CL38">
        <v>55537</v>
      </c>
      <c r="CM38">
        <v>55537</v>
      </c>
      <c r="CN38">
        <v>55537</v>
      </c>
      <c r="CO38">
        <v>0</v>
      </c>
      <c r="CP38">
        <v>-9999</v>
      </c>
      <c r="CQ38">
        <v>0</v>
      </c>
      <c r="CR38">
        <v>0</v>
      </c>
      <c r="CS38">
        <v>0</v>
      </c>
      <c r="CT38">
        <v>0</v>
      </c>
      <c r="CU38">
        <v>2.5299999999999998</v>
      </c>
      <c r="CV38">
        <v>2.4700000000000002</v>
      </c>
      <c r="CW38">
        <v>1.67</v>
      </c>
      <c r="CX38">
        <v>0.94</v>
      </c>
      <c r="CY38">
        <v>0.22</v>
      </c>
      <c r="CZ38">
        <v>-0.02</v>
      </c>
      <c r="DA38">
        <v>0.35</v>
      </c>
      <c r="DB38">
        <v>0.26</v>
      </c>
      <c r="DC38">
        <v>123.54</v>
      </c>
      <c r="DD38">
        <v>0</v>
      </c>
      <c r="DE38">
        <v>2.42</v>
      </c>
      <c r="DF38">
        <v>0</v>
      </c>
      <c r="DG38">
        <v>1</v>
      </c>
      <c r="DH38">
        <v>2.37</v>
      </c>
      <c r="DI38">
        <v>0</v>
      </c>
      <c r="DJ38">
        <v>1</v>
      </c>
      <c r="DK38">
        <v>0.6</v>
      </c>
      <c r="DL38">
        <v>0.6</v>
      </c>
      <c r="DM38">
        <v>0.11</v>
      </c>
      <c r="DN38">
        <v>0</v>
      </c>
      <c r="DO38" t="s">
        <v>1613</v>
      </c>
      <c r="DP38" t="s">
        <v>237</v>
      </c>
      <c r="DQ38" t="s">
        <v>238</v>
      </c>
      <c r="DR38" t="s">
        <v>239</v>
      </c>
      <c r="DS38" t="s">
        <v>240</v>
      </c>
      <c r="DT38" t="s">
        <v>241</v>
      </c>
      <c r="DU38" t="s">
        <v>242</v>
      </c>
    </row>
    <row r="39" spans="1:125" x14ac:dyDescent="0.45">
      <c r="A39" t="s">
        <v>1642</v>
      </c>
      <c r="B39" t="s">
        <v>1643</v>
      </c>
      <c r="C39" t="s">
        <v>161</v>
      </c>
      <c r="D39" t="s">
        <v>162</v>
      </c>
      <c r="E39" t="s">
        <v>163</v>
      </c>
      <c r="H39" t="s">
        <v>1607</v>
      </c>
      <c r="I39" t="s">
        <v>1644</v>
      </c>
      <c r="J39">
        <v>0.34</v>
      </c>
      <c r="K39">
        <v>0.28852716268149742</v>
      </c>
      <c r="L39">
        <v>2.91</v>
      </c>
      <c r="M39">
        <v>0.3</v>
      </c>
      <c r="N39">
        <v>3.14</v>
      </c>
      <c r="O39">
        <v>3.05</v>
      </c>
      <c r="P39">
        <v>2.97</v>
      </c>
      <c r="Q39">
        <v>4.0599999999999996</v>
      </c>
      <c r="R39">
        <v>1</v>
      </c>
      <c r="S39">
        <v>29.5</v>
      </c>
      <c r="T39">
        <v>30.37</v>
      </c>
      <c r="U39">
        <v>40.35</v>
      </c>
      <c r="V39">
        <v>0.44</v>
      </c>
      <c r="W39">
        <v>7.5</v>
      </c>
      <c r="X39" t="s">
        <v>1649</v>
      </c>
      <c r="Y39">
        <v>0</v>
      </c>
      <c r="Z39">
        <v>0</v>
      </c>
      <c r="AA39">
        <v>0</v>
      </c>
      <c r="AB39">
        <v>111.2</v>
      </c>
      <c r="AC39">
        <v>477.05</v>
      </c>
      <c r="AD39">
        <v>0.77</v>
      </c>
      <c r="AE39">
        <v>0.5</v>
      </c>
      <c r="AF39">
        <v>0.84</v>
      </c>
      <c r="AG39">
        <v>57.98</v>
      </c>
      <c r="AH39">
        <v>1</v>
      </c>
      <c r="AI39">
        <v>68.67</v>
      </c>
      <c r="AJ39">
        <v>66.72</v>
      </c>
      <c r="AK39">
        <v>30.75</v>
      </c>
      <c r="AL39">
        <v>29.16</v>
      </c>
      <c r="AM39">
        <v>29.16</v>
      </c>
      <c r="AN39">
        <v>100.6</v>
      </c>
      <c r="AO39">
        <v>156.1</v>
      </c>
      <c r="AP39">
        <v>154.5</v>
      </c>
      <c r="AQ39">
        <v>1</v>
      </c>
      <c r="AR39">
        <v>180</v>
      </c>
      <c r="AS39">
        <v>3.4</v>
      </c>
      <c r="AT39">
        <v>-16</v>
      </c>
      <c r="AU39">
        <v>1</v>
      </c>
      <c r="AV39">
        <v>312</v>
      </c>
      <c r="AW39">
        <v>40.619999999999997</v>
      </c>
      <c r="AX39">
        <v>75.91</v>
      </c>
      <c r="AY39">
        <v>16.03</v>
      </c>
      <c r="AZ39">
        <v>135.62</v>
      </c>
      <c r="BA39">
        <v>9.3699999999999992</v>
      </c>
      <c r="BB39">
        <v>172.01</v>
      </c>
      <c r="BC39">
        <v>26.67</v>
      </c>
      <c r="BD39" t="s">
        <v>1664</v>
      </c>
      <c r="BE39" t="s">
        <v>161</v>
      </c>
      <c r="BF39">
        <v>35.85</v>
      </c>
      <c r="BG39">
        <v>127.13</v>
      </c>
      <c r="BH39">
        <v>33.6</v>
      </c>
      <c r="BI39">
        <v>14</v>
      </c>
      <c r="BJ39">
        <v>0.76</v>
      </c>
      <c r="BK39" t="s">
        <v>1306</v>
      </c>
      <c r="BL39" t="s">
        <v>161</v>
      </c>
      <c r="BM39">
        <v>-1.1299999999999999</v>
      </c>
      <c r="BN39" t="s">
        <v>159</v>
      </c>
      <c r="BO39">
        <v>0</v>
      </c>
      <c r="BP39">
        <v>0</v>
      </c>
      <c r="BQ39">
        <v>0</v>
      </c>
      <c r="BR39">
        <v>0.03</v>
      </c>
      <c r="BS39">
        <v>0.06</v>
      </c>
      <c r="BT39">
        <v>0.19</v>
      </c>
      <c r="BU39" t="s">
        <v>159</v>
      </c>
      <c r="BV39">
        <v>150</v>
      </c>
      <c r="BW39">
        <v>0</v>
      </c>
      <c r="BX39">
        <v>2</v>
      </c>
      <c r="BY39">
        <v>0.06</v>
      </c>
      <c r="BZ39">
        <v>0</v>
      </c>
      <c r="CA39">
        <v>0.03</v>
      </c>
      <c r="CB39">
        <v>0</v>
      </c>
      <c r="CC39">
        <v>0</v>
      </c>
      <c r="CD39">
        <v>0</v>
      </c>
      <c r="CE39" t="s">
        <v>214</v>
      </c>
      <c r="CF39" t="s">
        <v>215</v>
      </c>
      <c r="CG39" t="s">
        <v>216</v>
      </c>
      <c r="CH39">
        <v>6000</v>
      </c>
      <c r="CI39">
        <v>500</v>
      </c>
      <c r="CJ39">
        <v>1</v>
      </c>
      <c r="CK39">
        <v>2</v>
      </c>
      <c r="CL39">
        <v>55537</v>
      </c>
      <c r="CM39">
        <v>55537</v>
      </c>
      <c r="CN39">
        <v>55537</v>
      </c>
      <c r="CO39">
        <v>0</v>
      </c>
      <c r="CP39">
        <v>-9999</v>
      </c>
      <c r="CQ39">
        <v>0</v>
      </c>
      <c r="CR39">
        <v>0</v>
      </c>
      <c r="CS39">
        <v>0</v>
      </c>
      <c r="CT39">
        <v>0</v>
      </c>
      <c r="CU39">
        <v>2.5299999999999998</v>
      </c>
      <c r="CV39">
        <v>2.4700000000000002</v>
      </c>
      <c r="CW39">
        <v>1.67</v>
      </c>
      <c r="CX39">
        <v>0.94</v>
      </c>
      <c r="CY39">
        <v>0.22</v>
      </c>
      <c r="CZ39">
        <v>-0.02</v>
      </c>
      <c r="DA39">
        <v>0.35</v>
      </c>
      <c r="DB39">
        <v>0.26</v>
      </c>
      <c r="DC39">
        <v>111.2</v>
      </c>
      <c r="DD39">
        <v>0</v>
      </c>
      <c r="DE39">
        <v>2.42</v>
      </c>
      <c r="DF39">
        <v>0</v>
      </c>
      <c r="DG39">
        <v>1</v>
      </c>
      <c r="DH39">
        <v>2.37</v>
      </c>
      <c r="DI39">
        <v>0</v>
      </c>
      <c r="DJ39">
        <v>1</v>
      </c>
      <c r="DK39">
        <v>0.6</v>
      </c>
      <c r="DL39">
        <v>0.6</v>
      </c>
      <c r="DM39">
        <v>0.11</v>
      </c>
      <c r="DN39">
        <v>0</v>
      </c>
      <c r="DO39" t="s">
        <v>1649</v>
      </c>
      <c r="DP39" t="s">
        <v>237</v>
      </c>
      <c r="DQ39" t="s">
        <v>238</v>
      </c>
      <c r="DR39" t="s">
        <v>239</v>
      </c>
      <c r="DS39" t="s">
        <v>240</v>
      </c>
      <c r="DT39" t="s">
        <v>241</v>
      </c>
      <c r="DU39" t="s">
        <v>242</v>
      </c>
    </row>
    <row r="40" spans="1:125" x14ac:dyDescent="0.45">
      <c r="A40" t="s">
        <v>1679</v>
      </c>
      <c r="B40" t="s">
        <v>1680</v>
      </c>
      <c r="C40" t="s">
        <v>161</v>
      </c>
      <c r="D40" t="s">
        <v>162</v>
      </c>
      <c r="E40" t="s">
        <v>163</v>
      </c>
      <c r="H40" t="s">
        <v>1607</v>
      </c>
      <c r="I40" t="s">
        <v>1681</v>
      </c>
      <c r="J40">
        <v>0.24</v>
      </c>
      <c r="K40">
        <v>0.21339867979250321</v>
      </c>
      <c r="L40">
        <v>2.91</v>
      </c>
      <c r="M40">
        <v>0.22</v>
      </c>
      <c r="N40">
        <v>2.38</v>
      </c>
      <c r="O40">
        <v>3.05</v>
      </c>
      <c r="P40">
        <v>2.98</v>
      </c>
      <c r="Q40">
        <v>4.0999999999999996</v>
      </c>
      <c r="R40">
        <v>1.05</v>
      </c>
      <c r="S40">
        <v>29.65</v>
      </c>
      <c r="T40">
        <v>30.3</v>
      </c>
      <c r="U40">
        <v>40.770000000000003</v>
      </c>
      <c r="V40">
        <v>0.44</v>
      </c>
      <c r="W40">
        <v>7.5</v>
      </c>
      <c r="X40" t="s">
        <v>1686</v>
      </c>
      <c r="Y40">
        <v>0</v>
      </c>
      <c r="Z40">
        <v>0</v>
      </c>
      <c r="AA40">
        <v>0</v>
      </c>
      <c r="AB40">
        <v>118.89</v>
      </c>
      <c r="AC40">
        <v>478.67</v>
      </c>
      <c r="AD40">
        <v>0.75</v>
      </c>
      <c r="AE40">
        <v>0.5</v>
      </c>
      <c r="AF40">
        <v>0.84</v>
      </c>
      <c r="AG40">
        <v>57.77</v>
      </c>
      <c r="AH40">
        <v>1</v>
      </c>
      <c r="AI40">
        <v>68.599999999999994</v>
      </c>
      <c r="AJ40">
        <v>67.12</v>
      </c>
      <c r="AK40">
        <v>30.73</v>
      </c>
      <c r="AL40">
        <v>29.34</v>
      </c>
      <c r="AM40">
        <v>29.34</v>
      </c>
      <c r="AN40">
        <v>100.6</v>
      </c>
      <c r="AO40">
        <v>156.19999999999999</v>
      </c>
      <c r="AP40">
        <v>155.19999999999999</v>
      </c>
      <c r="AQ40">
        <v>0.6</v>
      </c>
      <c r="AR40">
        <v>183</v>
      </c>
      <c r="AS40">
        <v>3.4</v>
      </c>
      <c r="AT40">
        <v>-10</v>
      </c>
      <c r="AU40">
        <v>4</v>
      </c>
      <c r="AV40">
        <v>289</v>
      </c>
      <c r="AW40">
        <v>35.44</v>
      </c>
      <c r="AX40">
        <v>81.47</v>
      </c>
      <c r="AY40">
        <v>10.76</v>
      </c>
      <c r="AZ40">
        <v>130.93</v>
      </c>
      <c r="BA40">
        <v>9.3699999999999992</v>
      </c>
      <c r="BB40">
        <v>172.01</v>
      </c>
      <c r="BC40">
        <v>26.67</v>
      </c>
      <c r="BD40" t="s">
        <v>1700</v>
      </c>
      <c r="BE40" t="s">
        <v>161</v>
      </c>
      <c r="BF40">
        <v>35.85</v>
      </c>
      <c r="BG40">
        <v>127.13</v>
      </c>
      <c r="BH40">
        <v>33.200000000000003</v>
      </c>
      <c r="BI40">
        <v>13</v>
      </c>
      <c r="BJ40">
        <v>0.85</v>
      </c>
      <c r="BK40" t="s">
        <v>1306</v>
      </c>
      <c r="BL40" t="s">
        <v>161</v>
      </c>
      <c r="BM40">
        <v>-1.1299999999999999</v>
      </c>
      <c r="BN40" t="s">
        <v>159</v>
      </c>
      <c r="BO40">
        <v>0</v>
      </c>
      <c r="BP40">
        <v>0</v>
      </c>
      <c r="BQ40">
        <v>0</v>
      </c>
      <c r="BR40">
        <v>0.15</v>
      </c>
      <c r="BS40">
        <v>0.05</v>
      </c>
      <c r="BT40">
        <v>0.28000000000000003</v>
      </c>
      <c r="BU40" t="s">
        <v>159</v>
      </c>
      <c r="BV40">
        <v>150</v>
      </c>
      <c r="BW40">
        <v>0</v>
      </c>
      <c r="BX40">
        <v>2</v>
      </c>
      <c r="BY40">
        <v>0.06</v>
      </c>
      <c r="BZ40">
        <v>0</v>
      </c>
      <c r="CA40">
        <v>0.03</v>
      </c>
      <c r="CB40">
        <v>0</v>
      </c>
      <c r="CC40">
        <v>0</v>
      </c>
      <c r="CD40">
        <v>0</v>
      </c>
      <c r="CE40" t="s">
        <v>214</v>
      </c>
      <c r="CF40" t="s">
        <v>215</v>
      </c>
      <c r="CG40" t="s">
        <v>216</v>
      </c>
      <c r="CH40">
        <v>6000</v>
      </c>
      <c r="CI40">
        <v>500</v>
      </c>
      <c r="CJ40">
        <v>1</v>
      </c>
      <c r="CK40">
        <v>2</v>
      </c>
      <c r="CL40">
        <v>55537</v>
      </c>
      <c r="CM40">
        <v>55537</v>
      </c>
      <c r="CN40">
        <v>55537</v>
      </c>
      <c r="CO40">
        <v>0</v>
      </c>
      <c r="CP40">
        <v>-9999</v>
      </c>
      <c r="CQ40">
        <v>0</v>
      </c>
      <c r="CR40">
        <v>0</v>
      </c>
      <c r="CS40">
        <v>0</v>
      </c>
      <c r="CT40">
        <v>0</v>
      </c>
      <c r="CU40">
        <v>2.5299999999999998</v>
      </c>
      <c r="CV40">
        <v>2.4700000000000002</v>
      </c>
      <c r="CW40">
        <v>1.67</v>
      </c>
      <c r="CX40">
        <v>0.94</v>
      </c>
      <c r="CY40">
        <v>0.22</v>
      </c>
      <c r="CZ40">
        <v>-0.02</v>
      </c>
      <c r="DA40">
        <v>0.36</v>
      </c>
      <c r="DB40">
        <v>0.27</v>
      </c>
      <c r="DC40">
        <v>118.89</v>
      </c>
      <c r="DD40">
        <v>0</v>
      </c>
      <c r="DE40">
        <v>2.42</v>
      </c>
      <c r="DF40">
        <v>0</v>
      </c>
      <c r="DG40">
        <v>1</v>
      </c>
      <c r="DH40">
        <v>2.37</v>
      </c>
      <c r="DI40">
        <v>0</v>
      </c>
      <c r="DJ40">
        <v>1</v>
      </c>
      <c r="DK40">
        <v>0.6</v>
      </c>
      <c r="DL40">
        <v>0.6</v>
      </c>
      <c r="DM40">
        <v>0.11</v>
      </c>
      <c r="DN40">
        <v>0</v>
      </c>
      <c r="DO40" t="s">
        <v>1686</v>
      </c>
      <c r="DP40" t="s">
        <v>237</v>
      </c>
      <c r="DQ40" t="s">
        <v>238</v>
      </c>
      <c r="DR40" t="s">
        <v>239</v>
      </c>
      <c r="DS40" t="s">
        <v>240</v>
      </c>
      <c r="DT40" t="s">
        <v>241</v>
      </c>
      <c r="DU40" t="s">
        <v>242</v>
      </c>
    </row>
    <row r="41" spans="1:125" x14ac:dyDescent="0.45">
      <c r="A41" t="s">
        <v>1714</v>
      </c>
      <c r="B41" t="s">
        <v>1715</v>
      </c>
      <c r="C41" t="s">
        <v>161</v>
      </c>
      <c r="D41" t="s">
        <v>162</v>
      </c>
      <c r="E41" t="s">
        <v>163</v>
      </c>
      <c r="H41" t="s">
        <v>1607</v>
      </c>
      <c r="I41" t="s">
        <v>1716</v>
      </c>
      <c r="J41">
        <v>0.25</v>
      </c>
      <c r="K41">
        <v>0.22128946971517419</v>
      </c>
      <c r="L41">
        <v>2.91</v>
      </c>
      <c r="M41">
        <v>0.23</v>
      </c>
      <c r="N41">
        <v>2.4</v>
      </c>
      <c r="O41">
        <v>3.06</v>
      </c>
      <c r="P41">
        <v>2.99</v>
      </c>
      <c r="Q41">
        <v>4.07</v>
      </c>
      <c r="R41">
        <v>1.02</v>
      </c>
      <c r="S41">
        <v>29.72</v>
      </c>
      <c r="T41">
        <v>30.38</v>
      </c>
      <c r="U41">
        <v>40.49</v>
      </c>
      <c r="V41">
        <v>0.44</v>
      </c>
      <c r="W41">
        <v>7.5</v>
      </c>
      <c r="X41" t="s">
        <v>1721</v>
      </c>
      <c r="Y41">
        <v>0</v>
      </c>
      <c r="Z41">
        <v>0</v>
      </c>
      <c r="AA41">
        <v>0</v>
      </c>
      <c r="AB41">
        <v>103.84</v>
      </c>
      <c r="AC41">
        <v>449.42</v>
      </c>
      <c r="AD41">
        <v>0.77</v>
      </c>
      <c r="AE41">
        <v>0.5</v>
      </c>
      <c r="AF41">
        <v>0.84</v>
      </c>
      <c r="AG41">
        <v>62.65</v>
      </c>
      <c r="AH41">
        <v>1</v>
      </c>
      <c r="AI41">
        <v>68.849999999999994</v>
      </c>
      <c r="AJ41">
        <v>67.36</v>
      </c>
      <c r="AK41">
        <v>30.71</v>
      </c>
      <c r="AL41">
        <v>29.22</v>
      </c>
      <c r="AM41">
        <v>29.22</v>
      </c>
      <c r="AN41">
        <v>100.6</v>
      </c>
      <c r="AO41">
        <v>156</v>
      </c>
      <c r="AP41">
        <v>154.30000000000001</v>
      </c>
      <c r="AQ41">
        <v>1.1000000000000001</v>
      </c>
      <c r="AR41">
        <v>194</v>
      </c>
      <c r="AS41">
        <v>3.4</v>
      </c>
      <c r="AT41">
        <v>-10</v>
      </c>
      <c r="AU41">
        <v>-5</v>
      </c>
      <c r="AV41">
        <v>290</v>
      </c>
      <c r="AW41">
        <v>28.98</v>
      </c>
      <c r="AX41">
        <v>87.48</v>
      </c>
      <c r="AY41">
        <v>11.17</v>
      </c>
      <c r="AZ41">
        <v>83.26</v>
      </c>
      <c r="BA41">
        <v>9.3699999999999992</v>
      </c>
      <c r="BB41">
        <v>172.01</v>
      </c>
      <c r="BC41">
        <v>26.67</v>
      </c>
      <c r="BD41" t="s">
        <v>1735</v>
      </c>
      <c r="BE41" t="s">
        <v>161</v>
      </c>
      <c r="BF41">
        <v>35.85</v>
      </c>
      <c r="BG41">
        <v>127.13</v>
      </c>
      <c r="BH41">
        <v>33.700000000000003</v>
      </c>
      <c r="BI41">
        <v>14</v>
      </c>
      <c r="BJ41">
        <v>0.76</v>
      </c>
      <c r="BK41" t="s">
        <v>1306</v>
      </c>
      <c r="BL41" t="s">
        <v>161</v>
      </c>
      <c r="BM41">
        <v>-1.1299999999999999</v>
      </c>
      <c r="BN41" t="s">
        <v>159</v>
      </c>
      <c r="BO41">
        <v>0</v>
      </c>
      <c r="BP41">
        <v>0</v>
      </c>
      <c r="BQ41">
        <v>0</v>
      </c>
      <c r="BR41">
        <v>-0.14000000000000001</v>
      </c>
      <c r="BS41">
        <v>-0.2</v>
      </c>
      <c r="BT41">
        <v>-0.48</v>
      </c>
      <c r="BU41" t="s">
        <v>159</v>
      </c>
      <c r="BV41">
        <v>150</v>
      </c>
      <c r="BW41">
        <v>0</v>
      </c>
      <c r="BX41">
        <v>2</v>
      </c>
      <c r="BY41">
        <v>0.06</v>
      </c>
      <c r="BZ41">
        <v>0</v>
      </c>
      <c r="CA41">
        <v>0.03</v>
      </c>
      <c r="CB41">
        <v>0</v>
      </c>
      <c r="CC41">
        <v>0</v>
      </c>
      <c r="CD41">
        <v>0</v>
      </c>
      <c r="CE41" t="s">
        <v>214</v>
      </c>
      <c r="CF41" t="s">
        <v>215</v>
      </c>
      <c r="CG41" t="s">
        <v>216</v>
      </c>
      <c r="CH41">
        <v>6000</v>
      </c>
      <c r="CI41">
        <v>500</v>
      </c>
      <c r="CJ41">
        <v>1</v>
      </c>
      <c r="CK41">
        <v>2</v>
      </c>
      <c r="CL41">
        <v>55537</v>
      </c>
      <c r="CM41">
        <v>55537</v>
      </c>
      <c r="CN41">
        <v>55537</v>
      </c>
      <c r="CO41">
        <v>0</v>
      </c>
      <c r="CP41">
        <v>-9999</v>
      </c>
      <c r="CQ41">
        <v>0</v>
      </c>
      <c r="CR41">
        <v>0</v>
      </c>
      <c r="CS41">
        <v>0</v>
      </c>
      <c r="CT41">
        <v>0</v>
      </c>
      <c r="CU41">
        <v>2.5299999999999998</v>
      </c>
      <c r="CV41">
        <v>2.4700000000000002</v>
      </c>
      <c r="CW41">
        <v>1.67</v>
      </c>
      <c r="CX41">
        <v>0.94</v>
      </c>
      <c r="CY41">
        <v>0.22</v>
      </c>
      <c r="CZ41">
        <v>-0.02</v>
      </c>
      <c r="DA41">
        <v>0.36</v>
      </c>
      <c r="DB41">
        <v>0.28000000000000003</v>
      </c>
      <c r="DC41">
        <v>103.84</v>
      </c>
      <c r="DD41">
        <v>0</v>
      </c>
      <c r="DE41">
        <v>2.42</v>
      </c>
      <c r="DF41">
        <v>0</v>
      </c>
      <c r="DG41">
        <v>1</v>
      </c>
      <c r="DH41">
        <v>2.37</v>
      </c>
      <c r="DI41">
        <v>0</v>
      </c>
      <c r="DJ41">
        <v>1</v>
      </c>
      <c r="DK41">
        <v>0.6</v>
      </c>
      <c r="DL41">
        <v>0.6</v>
      </c>
      <c r="DM41">
        <v>0.11</v>
      </c>
      <c r="DN41">
        <v>0</v>
      </c>
      <c r="DO41" t="s">
        <v>1721</v>
      </c>
      <c r="DP41" t="s">
        <v>237</v>
      </c>
      <c r="DQ41" t="s">
        <v>238</v>
      </c>
      <c r="DR41" t="s">
        <v>239</v>
      </c>
      <c r="DS41" t="s">
        <v>240</v>
      </c>
      <c r="DT41" t="s">
        <v>241</v>
      </c>
      <c r="DU41" t="s">
        <v>242</v>
      </c>
    </row>
    <row r="42" spans="1:125" x14ac:dyDescent="0.45">
      <c r="A42" t="s">
        <v>1750</v>
      </c>
      <c r="B42" t="s">
        <v>1751</v>
      </c>
      <c r="C42" t="s">
        <v>161</v>
      </c>
      <c r="D42" t="s">
        <v>162</v>
      </c>
      <c r="E42" t="s">
        <v>163</v>
      </c>
      <c r="H42" t="s">
        <v>1607</v>
      </c>
      <c r="I42" t="s">
        <v>1752</v>
      </c>
      <c r="J42">
        <v>0.31</v>
      </c>
      <c r="K42">
        <v>0.26775752043157253</v>
      </c>
      <c r="L42">
        <v>2.9</v>
      </c>
      <c r="M42">
        <v>0.28000000000000003</v>
      </c>
      <c r="N42">
        <v>2.86</v>
      </c>
      <c r="O42">
        <v>3.06</v>
      </c>
      <c r="P42">
        <v>2.98</v>
      </c>
      <c r="Q42">
        <v>4.05</v>
      </c>
      <c r="R42">
        <v>0.99</v>
      </c>
      <c r="S42">
        <v>29.66</v>
      </c>
      <c r="T42">
        <v>30.44</v>
      </c>
      <c r="U42">
        <v>40.28</v>
      </c>
      <c r="V42">
        <v>0.44</v>
      </c>
      <c r="W42">
        <v>7.5</v>
      </c>
      <c r="X42" t="s">
        <v>1757</v>
      </c>
      <c r="Y42">
        <v>0</v>
      </c>
      <c r="Z42">
        <v>0</v>
      </c>
      <c r="AA42">
        <v>0</v>
      </c>
      <c r="AB42">
        <v>110.91</v>
      </c>
      <c r="AC42">
        <v>471.8</v>
      </c>
      <c r="AD42">
        <v>0.76</v>
      </c>
      <c r="AE42">
        <v>0.5</v>
      </c>
      <c r="AF42">
        <v>0.84</v>
      </c>
      <c r="AG42">
        <v>59.11</v>
      </c>
      <c r="AH42">
        <v>1</v>
      </c>
      <c r="AI42">
        <v>69.099999999999994</v>
      </c>
      <c r="AJ42">
        <v>67.319999999999993</v>
      </c>
      <c r="AK42">
        <v>30.69</v>
      </c>
      <c r="AL42">
        <v>29.13</v>
      </c>
      <c r="AM42">
        <v>29.13</v>
      </c>
      <c r="AN42">
        <v>100.6</v>
      </c>
      <c r="AO42">
        <v>155.9</v>
      </c>
      <c r="AP42">
        <v>148.6</v>
      </c>
      <c r="AQ42">
        <v>4.7</v>
      </c>
      <c r="AR42">
        <v>184</v>
      </c>
      <c r="AS42">
        <v>3.39</v>
      </c>
      <c r="AT42">
        <v>-12</v>
      </c>
      <c r="AU42">
        <v>11</v>
      </c>
      <c r="AV42">
        <v>234</v>
      </c>
      <c r="AW42">
        <v>34.229999999999997</v>
      </c>
      <c r="AX42">
        <v>82.68</v>
      </c>
      <c r="AY42">
        <v>16.22</v>
      </c>
      <c r="AZ42">
        <v>97.07</v>
      </c>
      <c r="BA42">
        <v>9.3699999999999992</v>
      </c>
      <c r="BB42">
        <v>172.55</v>
      </c>
      <c r="BC42">
        <v>26.64</v>
      </c>
      <c r="BD42" t="s">
        <v>1773</v>
      </c>
      <c r="BE42" t="s">
        <v>161</v>
      </c>
      <c r="BF42">
        <v>35.85</v>
      </c>
      <c r="BG42">
        <v>127.13</v>
      </c>
      <c r="BH42">
        <v>37.4</v>
      </c>
      <c r="BI42">
        <v>14</v>
      </c>
      <c r="BJ42">
        <v>0.76</v>
      </c>
      <c r="BK42" t="s">
        <v>1306</v>
      </c>
      <c r="BL42" t="s">
        <v>161</v>
      </c>
      <c r="BM42">
        <v>-1.1299999999999999</v>
      </c>
      <c r="BN42" t="s">
        <v>159</v>
      </c>
      <c r="BO42">
        <v>0</v>
      </c>
      <c r="BP42">
        <v>0</v>
      </c>
      <c r="BQ42">
        <v>0.01</v>
      </c>
      <c r="BR42">
        <v>0.02</v>
      </c>
      <c r="BS42">
        <v>0.06</v>
      </c>
      <c r="BT42">
        <v>0</v>
      </c>
      <c r="BU42" t="s">
        <v>159</v>
      </c>
      <c r="BV42">
        <v>150</v>
      </c>
      <c r="BW42">
        <v>0</v>
      </c>
      <c r="BX42">
        <v>2</v>
      </c>
      <c r="BY42">
        <v>0.06</v>
      </c>
      <c r="BZ42">
        <v>0</v>
      </c>
      <c r="CA42">
        <v>0.03</v>
      </c>
      <c r="CB42">
        <v>0</v>
      </c>
      <c r="CC42">
        <v>0</v>
      </c>
      <c r="CD42">
        <v>0</v>
      </c>
      <c r="CE42" t="s">
        <v>214</v>
      </c>
      <c r="CF42" t="s">
        <v>215</v>
      </c>
      <c r="CG42" t="s">
        <v>216</v>
      </c>
      <c r="CH42">
        <v>6000</v>
      </c>
      <c r="CI42">
        <v>500</v>
      </c>
      <c r="CJ42">
        <v>1</v>
      </c>
      <c r="CK42">
        <v>2</v>
      </c>
      <c r="CL42">
        <v>55537</v>
      </c>
      <c r="CM42">
        <v>55537</v>
      </c>
      <c r="CN42">
        <v>55537</v>
      </c>
      <c r="CO42">
        <v>0</v>
      </c>
      <c r="CP42">
        <v>-9999</v>
      </c>
      <c r="CQ42">
        <v>0</v>
      </c>
      <c r="CR42">
        <v>0</v>
      </c>
      <c r="CS42">
        <v>0</v>
      </c>
      <c r="CT42">
        <v>0</v>
      </c>
      <c r="CU42">
        <v>2.5299999999999998</v>
      </c>
      <c r="CV42">
        <v>2.4700000000000002</v>
      </c>
      <c r="CW42">
        <v>1.67</v>
      </c>
      <c r="CX42">
        <v>0.93</v>
      </c>
      <c r="CY42">
        <v>0.22</v>
      </c>
      <c r="CZ42">
        <v>-0.02</v>
      </c>
      <c r="DA42">
        <v>0.36</v>
      </c>
      <c r="DB42">
        <v>0.27</v>
      </c>
      <c r="DC42">
        <v>110.91</v>
      </c>
      <c r="DD42">
        <v>0</v>
      </c>
      <c r="DE42">
        <v>2.42</v>
      </c>
      <c r="DF42">
        <v>0</v>
      </c>
      <c r="DG42">
        <v>1</v>
      </c>
      <c r="DH42">
        <v>2.37</v>
      </c>
      <c r="DI42">
        <v>0</v>
      </c>
      <c r="DJ42">
        <v>1</v>
      </c>
      <c r="DK42">
        <v>0.6</v>
      </c>
      <c r="DL42">
        <v>0.6</v>
      </c>
      <c r="DM42">
        <v>0.11</v>
      </c>
      <c r="DN42">
        <v>0</v>
      </c>
      <c r="DO42" t="s">
        <v>1757</v>
      </c>
      <c r="DP42" t="s">
        <v>237</v>
      </c>
      <c r="DQ42" t="s">
        <v>238</v>
      </c>
      <c r="DR42" t="s">
        <v>239</v>
      </c>
      <c r="DS42" t="s">
        <v>240</v>
      </c>
      <c r="DT42" t="s">
        <v>241</v>
      </c>
      <c r="DU42" t="s">
        <v>242</v>
      </c>
    </row>
    <row r="43" spans="1:125" x14ac:dyDescent="0.45">
      <c r="A43" t="s">
        <v>1786</v>
      </c>
      <c r="B43" t="s">
        <v>1787</v>
      </c>
      <c r="C43" t="s">
        <v>161</v>
      </c>
      <c r="D43" t="s">
        <v>162</v>
      </c>
      <c r="E43" t="s">
        <v>163</v>
      </c>
      <c r="H43" t="s">
        <v>1607</v>
      </c>
      <c r="I43" t="s">
        <v>1788</v>
      </c>
      <c r="J43">
        <v>0.24</v>
      </c>
      <c r="K43">
        <v>0.2178929337014277</v>
      </c>
      <c r="L43">
        <v>2.91</v>
      </c>
      <c r="M43">
        <v>0.22</v>
      </c>
      <c r="N43">
        <v>2.34</v>
      </c>
      <c r="O43">
        <v>3.09</v>
      </c>
      <c r="P43">
        <v>3.03</v>
      </c>
      <c r="Q43">
        <v>4.0999999999999996</v>
      </c>
      <c r="R43">
        <v>1.01</v>
      </c>
      <c r="S43">
        <v>30.08</v>
      </c>
      <c r="T43">
        <v>30.72</v>
      </c>
      <c r="U43">
        <v>40.799999999999997</v>
      </c>
      <c r="V43">
        <v>0.44</v>
      </c>
      <c r="W43">
        <v>7.5</v>
      </c>
      <c r="X43" t="s">
        <v>1793</v>
      </c>
      <c r="Y43">
        <v>0</v>
      </c>
      <c r="Z43">
        <v>0</v>
      </c>
      <c r="AA43">
        <v>0</v>
      </c>
      <c r="AB43">
        <v>112.42</v>
      </c>
      <c r="AC43">
        <v>463.84</v>
      </c>
      <c r="AD43">
        <v>0.76</v>
      </c>
      <c r="AE43">
        <v>0.5</v>
      </c>
      <c r="AF43">
        <v>0.84</v>
      </c>
      <c r="AG43">
        <v>62.37</v>
      </c>
      <c r="AH43">
        <v>1</v>
      </c>
      <c r="AI43">
        <v>70.12</v>
      </c>
      <c r="AJ43">
        <v>68.650000000000006</v>
      </c>
      <c r="AK43">
        <v>30.59</v>
      </c>
      <c r="AL43">
        <v>29.35</v>
      </c>
      <c r="AM43">
        <v>29.35</v>
      </c>
      <c r="AN43">
        <v>100.59</v>
      </c>
      <c r="AO43">
        <v>156.1</v>
      </c>
      <c r="AP43">
        <v>154.6</v>
      </c>
      <c r="AQ43">
        <v>1</v>
      </c>
      <c r="AR43">
        <v>196</v>
      </c>
      <c r="AS43">
        <v>3.39</v>
      </c>
      <c r="AT43">
        <v>-18</v>
      </c>
      <c r="AU43">
        <v>0</v>
      </c>
      <c r="AV43">
        <v>318</v>
      </c>
      <c r="AW43">
        <v>42.27</v>
      </c>
      <c r="AX43">
        <v>74</v>
      </c>
      <c r="AY43">
        <v>18</v>
      </c>
      <c r="AZ43">
        <v>138</v>
      </c>
      <c r="BA43">
        <v>9.3699999999999992</v>
      </c>
      <c r="BB43">
        <v>174.75</v>
      </c>
      <c r="BC43">
        <v>26.55</v>
      </c>
      <c r="BD43" t="s">
        <v>1811</v>
      </c>
      <c r="BE43" t="s">
        <v>161</v>
      </c>
      <c r="BF43">
        <v>35.85</v>
      </c>
      <c r="BG43">
        <v>127.13</v>
      </c>
      <c r="BH43">
        <v>36.5</v>
      </c>
      <c r="BI43">
        <v>15</v>
      </c>
      <c r="BJ43">
        <v>0.73</v>
      </c>
      <c r="BK43" t="s">
        <v>1815</v>
      </c>
      <c r="BL43" t="s">
        <v>161</v>
      </c>
      <c r="BM43">
        <v>-1.0900000000000001</v>
      </c>
      <c r="BN43" t="s">
        <v>159</v>
      </c>
      <c r="BO43">
        <v>0</v>
      </c>
      <c r="BP43">
        <v>0</v>
      </c>
      <c r="BQ43">
        <v>0</v>
      </c>
      <c r="BR43">
        <v>0.02</v>
      </c>
      <c r="BS43">
        <v>-7.0000000000000007E-2</v>
      </c>
      <c r="BT43">
        <v>-0.12</v>
      </c>
      <c r="BU43" t="s">
        <v>159</v>
      </c>
      <c r="BV43">
        <v>150</v>
      </c>
      <c r="BW43">
        <v>0</v>
      </c>
      <c r="BX43">
        <v>2</v>
      </c>
      <c r="BY43">
        <v>0.06</v>
      </c>
      <c r="BZ43">
        <v>0</v>
      </c>
      <c r="CA43">
        <v>0.03</v>
      </c>
      <c r="CB43">
        <v>0</v>
      </c>
      <c r="CC43">
        <v>0</v>
      </c>
      <c r="CD43">
        <v>0</v>
      </c>
      <c r="CE43" t="s">
        <v>214</v>
      </c>
      <c r="CF43" t="s">
        <v>215</v>
      </c>
      <c r="CG43" t="s">
        <v>216</v>
      </c>
      <c r="CH43">
        <v>6000</v>
      </c>
      <c r="CI43">
        <v>500</v>
      </c>
      <c r="CJ43">
        <v>1</v>
      </c>
      <c r="CK43">
        <v>2</v>
      </c>
      <c r="CL43">
        <v>55537</v>
      </c>
      <c r="CM43">
        <v>55537</v>
      </c>
      <c r="CN43">
        <v>55537</v>
      </c>
      <c r="CO43">
        <v>0</v>
      </c>
      <c r="CP43">
        <v>-9999</v>
      </c>
      <c r="CQ43">
        <v>0</v>
      </c>
      <c r="CR43">
        <v>0</v>
      </c>
      <c r="CS43">
        <v>0</v>
      </c>
      <c r="CT43">
        <v>0</v>
      </c>
      <c r="CU43">
        <v>2.5299999999999998</v>
      </c>
      <c r="CV43">
        <v>2.4700000000000002</v>
      </c>
      <c r="CW43">
        <v>1.67</v>
      </c>
      <c r="CX43">
        <v>0.94</v>
      </c>
      <c r="CY43">
        <v>0.22</v>
      </c>
      <c r="CZ43">
        <v>-0.01</v>
      </c>
      <c r="DA43">
        <v>0.39</v>
      </c>
      <c r="DB43">
        <v>0.28000000000000003</v>
      </c>
      <c r="DC43">
        <v>112.42</v>
      </c>
      <c r="DD43">
        <v>0</v>
      </c>
      <c r="DE43">
        <v>2.42</v>
      </c>
      <c r="DF43">
        <v>0</v>
      </c>
      <c r="DG43">
        <v>1</v>
      </c>
      <c r="DH43">
        <v>2.37</v>
      </c>
      <c r="DI43">
        <v>0</v>
      </c>
      <c r="DJ43">
        <v>1</v>
      </c>
      <c r="DK43">
        <v>0.6</v>
      </c>
      <c r="DL43">
        <v>0.6</v>
      </c>
      <c r="DM43">
        <v>0.11</v>
      </c>
      <c r="DN43">
        <v>0</v>
      </c>
      <c r="DO43" t="s">
        <v>1793</v>
      </c>
      <c r="DP43" t="s">
        <v>237</v>
      </c>
      <c r="DQ43" t="s">
        <v>238</v>
      </c>
      <c r="DR43" t="s">
        <v>239</v>
      </c>
      <c r="DS43" t="s">
        <v>240</v>
      </c>
      <c r="DT43" t="s">
        <v>241</v>
      </c>
      <c r="DU43" t="s">
        <v>242</v>
      </c>
    </row>
    <row r="44" spans="1:125" x14ac:dyDescent="0.45">
      <c r="A44" t="s">
        <v>1828</v>
      </c>
      <c r="B44" t="s">
        <v>1829</v>
      </c>
      <c r="C44" t="s">
        <v>161</v>
      </c>
      <c r="D44" t="s">
        <v>162</v>
      </c>
      <c r="E44" t="s">
        <v>163</v>
      </c>
      <c r="H44" t="s">
        <v>1607</v>
      </c>
      <c r="I44" t="s">
        <v>1830</v>
      </c>
      <c r="J44">
        <v>0.23</v>
      </c>
      <c r="K44">
        <v>0.20419574838783569</v>
      </c>
      <c r="L44">
        <v>2.9</v>
      </c>
      <c r="M44">
        <v>0.21</v>
      </c>
      <c r="N44">
        <v>2.13</v>
      </c>
      <c r="O44">
        <v>3.09</v>
      </c>
      <c r="P44">
        <v>3.03</v>
      </c>
      <c r="Q44">
        <v>4.08</v>
      </c>
      <c r="R44">
        <v>0.99</v>
      </c>
      <c r="S44">
        <v>30.14</v>
      </c>
      <c r="T44">
        <v>30.72</v>
      </c>
      <c r="U44">
        <v>40.54</v>
      </c>
      <c r="V44">
        <v>0.44</v>
      </c>
      <c r="W44">
        <v>7.5</v>
      </c>
      <c r="X44" t="s">
        <v>1835</v>
      </c>
      <c r="Y44">
        <v>0</v>
      </c>
      <c r="Z44">
        <v>0</v>
      </c>
      <c r="AA44">
        <v>0</v>
      </c>
      <c r="AB44">
        <v>102.48</v>
      </c>
      <c r="AC44">
        <v>455.83</v>
      </c>
      <c r="AD44">
        <v>0.78</v>
      </c>
      <c r="AE44">
        <v>0.5</v>
      </c>
      <c r="AF44">
        <v>0.84</v>
      </c>
      <c r="AG44">
        <v>38.090000000000003</v>
      </c>
      <c r="AH44">
        <v>1</v>
      </c>
      <c r="AI44">
        <v>70.180000000000007</v>
      </c>
      <c r="AJ44">
        <v>68.84</v>
      </c>
      <c r="AK44">
        <v>30.58</v>
      </c>
      <c r="AL44">
        <v>29.24</v>
      </c>
      <c r="AM44">
        <v>29.24</v>
      </c>
      <c r="AN44">
        <v>100.59</v>
      </c>
      <c r="AO44">
        <v>155.69999999999999</v>
      </c>
      <c r="AP44">
        <v>152.19999999999999</v>
      </c>
      <c r="AQ44">
        <v>2.2999999999999998</v>
      </c>
      <c r="AR44">
        <v>117</v>
      </c>
      <c r="AS44">
        <v>3.39</v>
      </c>
      <c r="AT44">
        <v>-24</v>
      </c>
      <c r="AU44">
        <v>2</v>
      </c>
      <c r="AV44">
        <v>258</v>
      </c>
      <c r="AW44">
        <v>34.659999999999997</v>
      </c>
      <c r="AX44">
        <v>82.25</v>
      </c>
      <c r="AY44">
        <v>24.08</v>
      </c>
      <c r="AZ44">
        <v>82.91</v>
      </c>
      <c r="BA44">
        <v>9.3699999999999992</v>
      </c>
      <c r="BB44">
        <v>174.75</v>
      </c>
      <c r="BC44">
        <v>26.55</v>
      </c>
      <c r="BD44" t="s">
        <v>1849</v>
      </c>
      <c r="BE44" t="s">
        <v>161</v>
      </c>
      <c r="BF44">
        <v>35.85</v>
      </c>
      <c r="BG44">
        <v>127.13</v>
      </c>
      <c r="BH44">
        <v>36.9</v>
      </c>
      <c r="BI44">
        <v>13</v>
      </c>
      <c r="BJ44">
        <v>0.84</v>
      </c>
      <c r="BK44" t="s">
        <v>1815</v>
      </c>
      <c r="BL44" t="s">
        <v>161</v>
      </c>
      <c r="BM44">
        <v>-1.0900000000000001</v>
      </c>
      <c r="BN44" t="s">
        <v>159</v>
      </c>
      <c r="BO44">
        <v>0</v>
      </c>
      <c r="BP44">
        <v>0</v>
      </c>
      <c r="BQ44">
        <v>0.01</v>
      </c>
      <c r="BR44">
        <v>-0.17</v>
      </c>
      <c r="BS44">
        <v>-0.1</v>
      </c>
      <c r="BT44">
        <v>-0.56999999999999995</v>
      </c>
      <c r="BU44" t="s">
        <v>159</v>
      </c>
      <c r="BV44">
        <v>150</v>
      </c>
      <c r="BW44">
        <v>0</v>
      </c>
      <c r="BX44">
        <v>2</v>
      </c>
      <c r="BY44">
        <v>0.06</v>
      </c>
      <c r="BZ44">
        <v>0</v>
      </c>
      <c r="CA44">
        <v>0.03</v>
      </c>
      <c r="CB44">
        <v>0</v>
      </c>
      <c r="CC44">
        <v>0</v>
      </c>
      <c r="CD44">
        <v>0</v>
      </c>
      <c r="CE44" t="s">
        <v>214</v>
      </c>
      <c r="CF44" t="s">
        <v>215</v>
      </c>
      <c r="CG44" t="s">
        <v>216</v>
      </c>
      <c r="CH44">
        <v>6000</v>
      </c>
      <c r="CI44">
        <v>500</v>
      </c>
      <c r="CJ44">
        <v>1</v>
      </c>
      <c r="CK44">
        <v>2</v>
      </c>
      <c r="CL44">
        <v>55537</v>
      </c>
      <c r="CM44">
        <v>55537</v>
      </c>
      <c r="CN44">
        <v>55537</v>
      </c>
      <c r="CO44">
        <v>0</v>
      </c>
      <c r="CP44">
        <v>-9999</v>
      </c>
      <c r="CQ44">
        <v>0</v>
      </c>
      <c r="CR44">
        <v>0</v>
      </c>
      <c r="CS44">
        <v>0</v>
      </c>
      <c r="CT44">
        <v>0</v>
      </c>
      <c r="CU44">
        <v>2.5299999999999998</v>
      </c>
      <c r="CV44">
        <v>2.4700000000000002</v>
      </c>
      <c r="CW44">
        <v>1.67</v>
      </c>
      <c r="CX44">
        <v>0.93</v>
      </c>
      <c r="CY44">
        <v>0.22</v>
      </c>
      <c r="CZ44">
        <v>-0.02</v>
      </c>
      <c r="DA44">
        <v>0.39</v>
      </c>
      <c r="DB44">
        <v>0.21</v>
      </c>
      <c r="DC44">
        <v>102.48</v>
      </c>
      <c r="DD44">
        <v>0</v>
      </c>
      <c r="DE44">
        <v>2.42</v>
      </c>
      <c r="DF44">
        <v>0</v>
      </c>
      <c r="DG44">
        <v>1</v>
      </c>
      <c r="DH44">
        <v>2.37</v>
      </c>
      <c r="DI44">
        <v>0</v>
      </c>
      <c r="DJ44">
        <v>1</v>
      </c>
      <c r="DK44">
        <v>0.6</v>
      </c>
      <c r="DL44">
        <v>0.6</v>
      </c>
      <c r="DM44">
        <v>0.11</v>
      </c>
      <c r="DN44">
        <v>0</v>
      </c>
      <c r="DO44" t="s">
        <v>1835</v>
      </c>
      <c r="DP44" t="s">
        <v>237</v>
      </c>
      <c r="DQ44" t="s">
        <v>238</v>
      </c>
      <c r="DR44" t="s">
        <v>239</v>
      </c>
      <c r="DS44" t="s">
        <v>240</v>
      </c>
      <c r="DT44" t="s">
        <v>241</v>
      </c>
      <c r="DU44" t="s">
        <v>242</v>
      </c>
    </row>
    <row r="45" spans="1:125" x14ac:dyDescent="0.45">
      <c r="A45" t="s">
        <v>1864</v>
      </c>
      <c r="B45" t="s">
        <v>1865</v>
      </c>
      <c r="C45" t="s">
        <v>161</v>
      </c>
      <c r="D45" t="s">
        <v>162</v>
      </c>
      <c r="E45" t="s">
        <v>163</v>
      </c>
      <c r="H45" t="s">
        <v>1607</v>
      </c>
      <c r="I45" t="s">
        <v>1866</v>
      </c>
      <c r="J45">
        <v>0.24</v>
      </c>
      <c r="K45">
        <v>0.2153412976865737</v>
      </c>
      <c r="L45">
        <v>2.91</v>
      </c>
      <c r="M45">
        <v>0.22</v>
      </c>
      <c r="N45">
        <v>2.2799999999999998</v>
      </c>
      <c r="O45">
        <v>3.1</v>
      </c>
      <c r="P45">
        <v>3.04</v>
      </c>
      <c r="Q45">
        <v>4.09</v>
      </c>
      <c r="R45">
        <v>1</v>
      </c>
      <c r="S45">
        <v>30.17</v>
      </c>
      <c r="T45">
        <v>30.8</v>
      </c>
      <c r="U45">
        <v>40.700000000000003</v>
      </c>
      <c r="V45">
        <v>0.44</v>
      </c>
      <c r="W45">
        <v>7.5</v>
      </c>
      <c r="X45" t="s">
        <v>1871</v>
      </c>
      <c r="Y45">
        <v>0</v>
      </c>
      <c r="Z45">
        <v>0</v>
      </c>
      <c r="AA45">
        <v>0</v>
      </c>
      <c r="AB45">
        <v>115.55</v>
      </c>
      <c r="AC45">
        <v>471.97</v>
      </c>
      <c r="AD45">
        <v>0.76</v>
      </c>
      <c r="AE45">
        <v>0.5</v>
      </c>
      <c r="AF45">
        <v>0.84</v>
      </c>
      <c r="AG45">
        <v>59.95</v>
      </c>
      <c r="AH45">
        <v>1</v>
      </c>
      <c r="AI45">
        <v>70.430000000000007</v>
      </c>
      <c r="AJ45">
        <v>69</v>
      </c>
      <c r="AK45">
        <v>30.56</v>
      </c>
      <c r="AL45">
        <v>29.31</v>
      </c>
      <c r="AM45">
        <v>29.31</v>
      </c>
      <c r="AN45">
        <v>100.59</v>
      </c>
      <c r="AO45">
        <v>156</v>
      </c>
      <c r="AP45">
        <v>150.19999999999999</v>
      </c>
      <c r="AQ45">
        <v>3.8</v>
      </c>
      <c r="AR45">
        <v>189</v>
      </c>
      <c r="AS45">
        <v>3.36</v>
      </c>
      <c r="AT45">
        <v>-17</v>
      </c>
      <c r="AU45">
        <v>0</v>
      </c>
      <c r="AV45">
        <v>249</v>
      </c>
      <c r="AW45">
        <v>26.85</v>
      </c>
      <c r="AX45">
        <v>89.22</v>
      </c>
      <c r="AY45">
        <v>17</v>
      </c>
      <c r="AZ45">
        <v>69</v>
      </c>
      <c r="BA45">
        <v>9.3699999999999992</v>
      </c>
      <c r="BB45">
        <v>175.3</v>
      </c>
      <c r="BC45">
        <v>26.54</v>
      </c>
      <c r="BD45" t="s">
        <v>1889</v>
      </c>
      <c r="BE45" t="s">
        <v>161</v>
      </c>
      <c r="BF45">
        <v>35.85</v>
      </c>
      <c r="BG45">
        <v>127.13</v>
      </c>
      <c r="BH45">
        <v>36.5</v>
      </c>
      <c r="BI45">
        <v>14</v>
      </c>
      <c r="BJ45">
        <v>0.74</v>
      </c>
      <c r="BK45" t="s">
        <v>1815</v>
      </c>
      <c r="BL45" t="s">
        <v>161</v>
      </c>
      <c r="BM45">
        <v>-1.0900000000000001</v>
      </c>
      <c r="BN45" t="s">
        <v>159</v>
      </c>
      <c r="BO45">
        <v>0</v>
      </c>
      <c r="BP45">
        <v>0</v>
      </c>
      <c r="BQ45">
        <v>0</v>
      </c>
      <c r="BR45">
        <v>0.06</v>
      </c>
      <c r="BS45">
        <v>0.02</v>
      </c>
      <c r="BT45">
        <v>-7.0000000000000007E-2</v>
      </c>
      <c r="BU45" t="s">
        <v>159</v>
      </c>
      <c r="BV45">
        <v>150</v>
      </c>
      <c r="BW45">
        <v>0</v>
      </c>
      <c r="BX45">
        <v>2</v>
      </c>
      <c r="BY45">
        <v>0.06</v>
      </c>
      <c r="BZ45">
        <v>0</v>
      </c>
      <c r="CA45">
        <v>0.03</v>
      </c>
      <c r="CB45">
        <v>0</v>
      </c>
      <c r="CC45">
        <v>0</v>
      </c>
      <c r="CD45">
        <v>0</v>
      </c>
      <c r="CE45" t="s">
        <v>214</v>
      </c>
      <c r="CF45" t="s">
        <v>215</v>
      </c>
      <c r="CG45" t="s">
        <v>216</v>
      </c>
      <c r="CH45">
        <v>6000</v>
      </c>
      <c r="CI45">
        <v>500</v>
      </c>
      <c r="CJ45">
        <v>1</v>
      </c>
      <c r="CK45">
        <v>2</v>
      </c>
      <c r="CL45">
        <v>55537</v>
      </c>
      <c r="CM45">
        <v>55537</v>
      </c>
      <c r="CN45">
        <v>55537</v>
      </c>
      <c r="CO45">
        <v>0</v>
      </c>
      <c r="CP45">
        <v>-9999</v>
      </c>
      <c r="CQ45">
        <v>0</v>
      </c>
      <c r="CR45">
        <v>0</v>
      </c>
      <c r="CS45">
        <v>0</v>
      </c>
      <c r="CT45">
        <v>0</v>
      </c>
      <c r="CU45">
        <v>2.5299999999999998</v>
      </c>
      <c r="CV45">
        <v>2.4700000000000002</v>
      </c>
      <c r="CW45">
        <v>1.67</v>
      </c>
      <c r="CX45">
        <v>0.93</v>
      </c>
      <c r="CY45">
        <v>0.22</v>
      </c>
      <c r="CZ45">
        <v>-0.01</v>
      </c>
      <c r="DA45">
        <v>0.39</v>
      </c>
      <c r="DB45">
        <v>0.27</v>
      </c>
      <c r="DC45">
        <v>115.55</v>
      </c>
      <c r="DD45">
        <v>0</v>
      </c>
      <c r="DE45">
        <v>2.42</v>
      </c>
      <c r="DF45">
        <v>0</v>
      </c>
      <c r="DG45">
        <v>1</v>
      </c>
      <c r="DH45">
        <v>2.37</v>
      </c>
      <c r="DI45">
        <v>0</v>
      </c>
      <c r="DJ45">
        <v>1</v>
      </c>
      <c r="DK45">
        <v>0.6</v>
      </c>
      <c r="DL45">
        <v>0.6</v>
      </c>
      <c r="DM45">
        <v>0.11</v>
      </c>
      <c r="DN45">
        <v>0</v>
      </c>
      <c r="DO45" t="s">
        <v>1871</v>
      </c>
      <c r="DP45" t="s">
        <v>237</v>
      </c>
      <c r="DQ45" t="s">
        <v>238</v>
      </c>
      <c r="DR45" t="s">
        <v>239</v>
      </c>
      <c r="DS45" t="s">
        <v>240</v>
      </c>
      <c r="DT45" t="s">
        <v>241</v>
      </c>
      <c r="DU45" t="s">
        <v>242</v>
      </c>
    </row>
    <row r="46" spans="1:125" x14ac:dyDescent="0.45">
      <c r="A46" t="s">
        <v>1900</v>
      </c>
      <c r="B46" t="s">
        <v>1901</v>
      </c>
      <c r="C46" t="s">
        <v>161</v>
      </c>
      <c r="D46" t="s">
        <v>162</v>
      </c>
      <c r="E46" t="s">
        <v>163</v>
      </c>
      <c r="H46" t="s">
        <v>1607</v>
      </c>
      <c r="I46" t="s">
        <v>1902</v>
      </c>
      <c r="J46">
        <v>0.18</v>
      </c>
      <c r="K46">
        <v>0.16709412094648601</v>
      </c>
      <c r="L46">
        <v>2.91</v>
      </c>
      <c r="M46">
        <v>0.17</v>
      </c>
      <c r="N46">
        <v>1.74</v>
      </c>
      <c r="O46">
        <v>3.09</v>
      </c>
      <c r="P46">
        <v>3.04</v>
      </c>
      <c r="Q46">
        <v>4.09</v>
      </c>
      <c r="R46">
        <v>0.99</v>
      </c>
      <c r="S46">
        <v>30.26</v>
      </c>
      <c r="T46">
        <v>30.74</v>
      </c>
      <c r="U46">
        <v>40.61</v>
      </c>
      <c r="V46">
        <v>0.44</v>
      </c>
      <c r="W46">
        <v>7.5</v>
      </c>
      <c r="X46" t="s">
        <v>1907</v>
      </c>
      <c r="Y46">
        <v>0</v>
      </c>
      <c r="Z46">
        <v>0</v>
      </c>
      <c r="AA46">
        <v>0</v>
      </c>
      <c r="AB46">
        <v>110.33</v>
      </c>
      <c r="AC46">
        <v>457.87</v>
      </c>
      <c r="AD46">
        <v>0.76</v>
      </c>
      <c r="AE46">
        <v>0.5</v>
      </c>
      <c r="AF46">
        <v>0.84</v>
      </c>
      <c r="AG46">
        <v>57.06</v>
      </c>
      <c r="AH46">
        <v>1</v>
      </c>
      <c r="AI46">
        <v>70.36</v>
      </c>
      <c r="AJ46">
        <v>69.27</v>
      </c>
      <c r="AK46">
        <v>30.54</v>
      </c>
      <c r="AL46">
        <v>29.27</v>
      </c>
      <c r="AM46">
        <v>29.27</v>
      </c>
      <c r="AN46">
        <v>100.59</v>
      </c>
      <c r="AO46">
        <v>156.19999999999999</v>
      </c>
      <c r="AP46">
        <v>150.1</v>
      </c>
      <c r="AQ46">
        <v>3.9</v>
      </c>
      <c r="AR46">
        <v>179</v>
      </c>
      <c r="AS46">
        <v>3.39</v>
      </c>
      <c r="AT46">
        <v>-23</v>
      </c>
      <c r="AU46">
        <v>5</v>
      </c>
      <c r="AV46">
        <v>292</v>
      </c>
      <c r="AW46">
        <v>44.85</v>
      </c>
      <c r="AX46">
        <v>70.900000000000006</v>
      </c>
      <c r="AY46">
        <v>23.51</v>
      </c>
      <c r="AZ46">
        <v>124.62</v>
      </c>
      <c r="BA46">
        <v>9.3699999999999992</v>
      </c>
      <c r="BB46">
        <v>175.85</v>
      </c>
      <c r="BC46">
        <v>26.52</v>
      </c>
      <c r="BD46" t="s">
        <v>1926</v>
      </c>
      <c r="BE46" t="s">
        <v>161</v>
      </c>
      <c r="BF46">
        <v>35.85</v>
      </c>
      <c r="BG46">
        <v>127.13</v>
      </c>
      <c r="BH46">
        <v>34.799999999999997</v>
      </c>
      <c r="BI46">
        <v>15</v>
      </c>
      <c r="BJ46">
        <v>0.73</v>
      </c>
      <c r="BK46" t="s">
        <v>1815</v>
      </c>
      <c r="BL46" t="s">
        <v>161</v>
      </c>
      <c r="BM46">
        <v>-1.0900000000000001</v>
      </c>
      <c r="BN46" t="s">
        <v>159</v>
      </c>
      <c r="BO46">
        <v>0</v>
      </c>
      <c r="BP46">
        <v>0</v>
      </c>
      <c r="BQ46">
        <v>0.01</v>
      </c>
      <c r="BR46">
        <v>-7.0000000000000007E-2</v>
      </c>
      <c r="BS46">
        <v>-0.34</v>
      </c>
      <c r="BT46">
        <v>-0.69</v>
      </c>
      <c r="BU46" t="s">
        <v>159</v>
      </c>
      <c r="BV46">
        <v>150</v>
      </c>
      <c r="BW46">
        <v>0</v>
      </c>
      <c r="BX46">
        <v>2</v>
      </c>
      <c r="BY46">
        <v>0.06</v>
      </c>
      <c r="BZ46">
        <v>0</v>
      </c>
      <c r="CA46">
        <v>0.03</v>
      </c>
      <c r="CB46">
        <v>0</v>
      </c>
      <c r="CC46">
        <v>0</v>
      </c>
      <c r="CD46">
        <v>0</v>
      </c>
      <c r="CE46" t="s">
        <v>214</v>
      </c>
      <c r="CF46" t="s">
        <v>215</v>
      </c>
      <c r="CG46" t="s">
        <v>216</v>
      </c>
      <c r="CH46">
        <v>6000</v>
      </c>
      <c r="CI46">
        <v>500</v>
      </c>
      <c r="CJ46">
        <v>1</v>
      </c>
      <c r="CK46">
        <v>2</v>
      </c>
      <c r="CL46">
        <v>55537</v>
      </c>
      <c r="CM46">
        <v>55537</v>
      </c>
      <c r="CN46">
        <v>55537</v>
      </c>
      <c r="CO46">
        <v>0</v>
      </c>
      <c r="CP46">
        <v>-9999</v>
      </c>
      <c r="CQ46">
        <v>0</v>
      </c>
      <c r="CR46">
        <v>0</v>
      </c>
      <c r="CS46">
        <v>0</v>
      </c>
      <c r="CT46">
        <v>0</v>
      </c>
      <c r="CU46">
        <v>2.5299999999999998</v>
      </c>
      <c r="CV46">
        <v>2.4700000000000002</v>
      </c>
      <c r="CW46">
        <v>1.67</v>
      </c>
      <c r="CX46">
        <v>0.93</v>
      </c>
      <c r="CY46">
        <v>0.22</v>
      </c>
      <c r="CZ46">
        <v>-0.01</v>
      </c>
      <c r="DA46">
        <v>0.4</v>
      </c>
      <c r="DB46">
        <v>0.26</v>
      </c>
      <c r="DC46">
        <v>110.33</v>
      </c>
      <c r="DD46">
        <v>0</v>
      </c>
      <c r="DE46">
        <v>2.42</v>
      </c>
      <c r="DF46">
        <v>0</v>
      </c>
      <c r="DG46">
        <v>1</v>
      </c>
      <c r="DH46">
        <v>2.37</v>
      </c>
      <c r="DI46">
        <v>0</v>
      </c>
      <c r="DJ46">
        <v>1</v>
      </c>
      <c r="DK46">
        <v>0.6</v>
      </c>
      <c r="DL46">
        <v>0.6</v>
      </c>
      <c r="DM46">
        <v>0.11</v>
      </c>
      <c r="DN46">
        <v>0</v>
      </c>
      <c r="DO46" t="s">
        <v>1907</v>
      </c>
      <c r="DP46" t="s">
        <v>237</v>
      </c>
      <c r="DQ46" t="s">
        <v>238</v>
      </c>
      <c r="DR46" t="s">
        <v>239</v>
      </c>
      <c r="DS46" t="s">
        <v>240</v>
      </c>
      <c r="DT46" t="s">
        <v>241</v>
      </c>
      <c r="DU46" t="s">
        <v>242</v>
      </c>
    </row>
    <row r="47" spans="1:125" x14ac:dyDescent="0.45">
      <c r="A47" t="s">
        <v>1937</v>
      </c>
      <c r="B47" t="s">
        <v>1938</v>
      </c>
      <c r="C47" t="s">
        <v>161</v>
      </c>
      <c r="D47" t="s">
        <v>162</v>
      </c>
      <c r="E47" t="s">
        <v>163</v>
      </c>
      <c r="H47" t="s">
        <v>2250</v>
      </c>
      <c r="I47" t="s">
        <v>1939</v>
      </c>
      <c r="J47">
        <v>0.1</v>
      </c>
      <c r="K47">
        <v>9.9349594628848875E-2</v>
      </c>
      <c r="L47">
        <v>2.91</v>
      </c>
      <c r="M47">
        <v>0.1</v>
      </c>
      <c r="N47">
        <v>1.19</v>
      </c>
      <c r="O47">
        <v>3</v>
      </c>
      <c r="P47">
        <v>2.96</v>
      </c>
      <c r="Q47">
        <v>4.1500000000000004</v>
      </c>
      <c r="R47">
        <v>1.1599999999999999</v>
      </c>
      <c r="S47">
        <v>29.45</v>
      </c>
      <c r="T47">
        <v>29.78</v>
      </c>
      <c r="U47">
        <v>41.27</v>
      </c>
      <c r="V47">
        <v>0.44</v>
      </c>
      <c r="W47">
        <v>7.5</v>
      </c>
      <c r="X47" t="s">
        <v>1944</v>
      </c>
      <c r="Y47">
        <v>0</v>
      </c>
      <c r="Z47">
        <v>0</v>
      </c>
      <c r="AA47">
        <v>0</v>
      </c>
      <c r="AB47">
        <v>120.42</v>
      </c>
      <c r="AC47">
        <v>462.64</v>
      </c>
      <c r="AD47">
        <v>0.74</v>
      </c>
      <c r="AE47">
        <v>0.5</v>
      </c>
      <c r="AF47">
        <v>0.84</v>
      </c>
      <c r="AG47">
        <v>59.03</v>
      </c>
      <c r="AH47">
        <v>1</v>
      </c>
      <c r="AI47">
        <v>68.27</v>
      </c>
      <c r="AJ47">
        <v>67.53</v>
      </c>
      <c r="AK47">
        <v>30.51</v>
      </c>
      <c r="AL47">
        <v>29.55</v>
      </c>
      <c r="AM47">
        <v>29.55</v>
      </c>
      <c r="AN47">
        <v>100.6</v>
      </c>
      <c r="AO47">
        <v>156.19999999999999</v>
      </c>
      <c r="AP47">
        <v>144.4</v>
      </c>
      <c r="AQ47">
        <v>7.5</v>
      </c>
      <c r="AR47">
        <v>190</v>
      </c>
      <c r="AS47">
        <v>3.39</v>
      </c>
      <c r="AT47">
        <v>-12</v>
      </c>
      <c r="AU47">
        <v>2</v>
      </c>
      <c r="AV47">
        <v>115</v>
      </c>
      <c r="AW47">
        <v>21.12</v>
      </c>
      <c r="AX47">
        <v>93.28</v>
      </c>
      <c r="AY47">
        <v>12.16</v>
      </c>
      <c r="AZ47">
        <v>-55.47</v>
      </c>
      <c r="BA47">
        <v>9.3699999999999992</v>
      </c>
      <c r="BB47">
        <v>176.4</v>
      </c>
      <c r="BC47">
        <v>26.51</v>
      </c>
      <c r="BD47" t="s">
        <v>1960</v>
      </c>
      <c r="BE47" t="s">
        <v>161</v>
      </c>
      <c r="BF47">
        <v>35.85</v>
      </c>
      <c r="BG47">
        <v>127.13</v>
      </c>
      <c r="BH47">
        <v>33.6</v>
      </c>
      <c r="BI47">
        <v>15</v>
      </c>
      <c r="BJ47">
        <v>0.73</v>
      </c>
      <c r="BK47" t="s">
        <v>1815</v>
      </c>
      <c r="BL47" t="s">
        <v>161</v>
      </c>
      <c r="BM47">
        <v>-1.0900000000000001</v>
      </c>
      <c r="BN47" t="s">
        <v>159</v>
      </c>
      <c r="BO47">
        <v>0</v>
      </c>
      <c r="BP47">
        <v>0</v>
      </c>
      <c r="BQ47">
        <v>0.01</v>
      </c>
      <c r="BR47">
        <v>-0.11</v>
      </c>
      <c r="BS47">
        <v>-0.11</v>
      </c>
      <c r="BT47">
        <v>-0.28000000000000003</v>
      </c>
      <c r="BU47" t="s">
        <v>159</v>
      </c>
      <c r="BV47">
        <v>150</v>
      </c>
      <c r="BW47">
        <v>0</v>
      </c>
      <c r="BX47">
        <v>2</v>
      </c>
      <c r="BY47">
        <v>0.06</v>
      </c>
      <c r="BZ47">
        <v>0</v>
      </c>
      <c r="CA47">
        <v>0.03</v>
      </c>
      <c r="CB47">
        <v>0</v>
      </c>
      <c r="CC47">
        <v>0</v>
      </c>
      <c r="CD47">
        <v>0</v>
      </c>
      <c r="CE47" t="s">
        <v>214</v>
      </c>
      <c r="CF47" t="s">
        <v>215</v>
      </c>
      <c r="CG47" t="s">
        <v>216</v>
      </c>
      <c r="CH47">
        <v>6000</v>
      </c>
      <c r="CI47">
        <v>500</v>
      </c>
      <c r="CJ47">
        <v>1</v>
      </c>
      <c r="CK47">
        <v>2</v>
      </c>
      <c r="CL47">
        <v>55537</v>
      </c>
      <c r="CM47">
        <v>55537</v>
      </c>
      <c r="CN47">
        <v>55537</v>
      </c>
      <c r="CO47">
        <v>0</v>
      </c>
      <c r="CP47">
        <v>-9999</v>
      </c>
      <c r="CQ47">
        <v>0</v>
      </c>
      <c r="CR47">
        <v>0</v>
      </c>
      <c r="CS47">
        <v>0</v>
      </c>
      <c r="CT47">
        <v>0</v>
      </c>
      <c r="CU47">
        <v>2.5299999999999998</v>
      </c>
      <c r="CV47">
        <v>2.4700000000000002</v>
      </c>
      <c r="CW47">
        <v>1.67</v>
      </c>
      <c r="CX47">
        <v>0.91</v>
      </c>
      <c r="CY47">
        <v>0.22</v>
      </c>
      <c r="CZ47">
        <v>-0.01</v>
      </c>
      <c r="DA47">
        <v>0.4</v>
      </c>
      <c r="DB47">
        <v>0.27</v>
      </c>
      <c r="DC47">
        <v>120.42</v>
      </c>
      <c r="DD47">
        <v>0</v>
      </c>
      <c r="DE47">
        <v>2.42</v>
      </c>
      <c r="DF47">
        <v>0</v>
      </c>
      <c r="DG47">
        <v>1</v>
      </c>
      <c r="DH47">
        <v>2.37</v>
      </c>
      <c r="DI47">
        <v>0</v>
      </c>
      <c r="DJ47">
        <v>1</v>
      </c>
      <c r="DK47">
        <v>0.6</v>
      </c>
      <c r="DL47">
        <v>0.6</v>
      </c>
      <c r="DM47">
        <v>0.11</v>
      </c>
      <c r="DN47">
        <v>0</v>
      </c>
      <c r="DO47" t="s">
        <v>1944</v>
      </c>
      <c r="DP47" t="s">
        <v>237</v>
      </c>
      <c r="DQ47" t="s">
        <v>238</v>
      </c>
      <c r="DR47" t="s">
        <v>239</v>
      </c>
      <c r="DS47" t="s">
        <v>240</v>
      </c>
      <c r="DT47" t="s">
        <v>241</v>
      </c>
      <c r="DU47" t="s">
        <v>242</v>
      </c>
    </row>
    <row r="48" spans="1:125" x14ac:dyDescent="0.45">
      <c r="A48" t="s">
        <v>1973</v>
      </c>
      <c r="B48" t="s">
        <v>1974</v>
      </c>
      <c r="C48" t="s">
        <v>161</v>
      </c>
      <c r="D48" t="s">
        <v>162</v>
      </c>
      <c r="E48" t="s">
        <v>163</v>
      </c>
      <c r="H48" t="s">
        <v>2250</v>
      </c>
      <c r="I48" t="s">
        <v>1975</v>
      </c>
      <c r="J48">
        <v>0.19</v>
      </c>
      <c r="K48">
        <v>0.1770664347758594</v>
      </c>
      <c r="L48">
        <v>2.91</v>
      </c>
      <c r="M48">
        <v>0.18</v>
      </c>
      <c r="N48">
        <v>1.91</v>
      </c>
      <c r="O48">
        <v>3.07</v>
      </c>
      <c r="P48">
        <v>3.02</v>
      </c>
      <c r="Q48">
        <v>4.0999999999999996</v>
      </c>
      <c r="R48">
        <v>1.03</v>
      </c>
      <c r="S48">
        <v>29.99</v>
      </c>
      <c r="T48">
        <v>30.52</v>
      </c>
      <c r="U48">
        <v>40.79</v>
      </c>
      <c r="V48">
        <v>0.44</v>
      </c>
      <c r="W48">
        <v>7.5</v>
      </c>
      <c r="X48" t="s">
        <v>1980</v>
      </c>
      <c r="Y48">
        <v>0</v>
      </c>
      <c r="Z48">
        <v>0</v>
      </c>
      <c r="AA48">
        <v>0</v>
      </c>
      <c r="AB48">
        <v>115.33</v>
      </c>
      <c r="AC48">
        <v>451.25</v>
      </c>
      <c r="AD48">
        <v>0.74</v>
      </c>
      <c r="AE48">
        <v>0.5</v>
      </c>
      <c r="AF48">
        <v>0.84</v>
      </c>
      <c r="AG48">
        <v>51.9</v>
      </c>
      <c r="AH48">
        <v>1</v>
      </c>
      <c r="AI48">
        <v>70.02</v>
      </c>
      <c r="AJ48">
        <v>68.81</v>
      </c>
      <c r="AK48">
        <v>30.5</v>
      </c>
      <c r="AL48">
        <v>29.35</v>
      </c>
      <c r="AM48">
        <v>29.35</v>
      </c>
      <c r="AN48">
        <v>100.6</v>
      </c>
      <c r="AO48">
        <v>156</v>
      </c>
      <c r="AP48">
        <v>154.69999999999999</v>
      </c>
      <c r="AQ48">
        <v>0.8</v>
      </c>
      <c r="AR48">
        <v>166</v>
      </c>
      <c r="AS48">
        <v>3.39</v>
      </c>
      <c r="AT48">
        <v>-15</v>
      </c>
      <c r="AU48">
        <v>3</v>
      </c>
      <c r="AV48">
        <v>114</v>
      </c>
      <c r="AW48">
        <v>20.39</v>
      </c>
      <c r="AX48">
        <v>93.73</v>
      </c>
      <c r="AY48">
        <v>15.29</v>
      </c>
      <c r="AZ48">
        <v>-54.55</v>
      </c>
      <c r="BA48">
        <v>9.3699999999999992</v>
      </c>
      <c r="BB48">
        <v>176.4</v>
      </c>
      <c r="BC48">
        <v>26.51</v>
      </c>
      <c r="BD48" t="s">
        <v>1994</v>
      </c>
      <c r="BE48" t="s">
        <v>161</v>
      </c>
      <c r="BF48">
        <v>35.85</v>
      </c>
      <c r="BG48">
        <v>127.13</v>
      </c>
      <c r="BH48">
        <v>33.5</v>
      </c>
      <c r="BI48">
        <v>15</v>
      </c>
      <c r="BJ48">
        <v>0.73</v>
      </c>
      <c r="BK48" t="s">
        <v>1815</v>
      </c>
      <c r="BL48" t="s">
        <v>161</v>
      </c>
      <c r="BM48">
        <v>-1.0900000000000001</v>
      </c>
      <c r="BN48" t="s">
        <v>159</v>
      </c>
      <c r="BO48">
        <v>0</v>
      </c>
      <c r="BP48">
        <v>0</v>
      </c>
      <c r="BQ48">
        <v>0.01</v>
      </c>
      <c r="BR48">
        <v>-0.02</v>
      </c>
      <c r="BS48">
        <v>-0.05</v>
      </c>
      <c r="BT48">
        <v>-0.17</v>
      </c>
      <c r="BU48" t="s">
        <v>159</v>
      </c>
      <c r="BV48">
        <v>150</v>
      </c>
      <c r="BW48">
        <v>0</v>
      </c>
      <c r="BX48">
        <v>2</v>
      </c>
      <c r="BY48">
        <v>0.06</v>
      </c>
      <c r="BZ48">
        <v>0</v>
      </c>
      <c r="CA48">
        <v>0.03</v>
      </c>
      <c r="CB48">
        <v>0</v>
      </c>
      <c r="CC48">
        <v>0</v>
      </c>
      <c r="CD48">
        <v>0</v>
      </c>
      <c r="CE48" t="s">
        <v>214</v>
      </c>
      <c r="CF48" t="s">
        <v>215</v>
      </c>
      <c r="CG48" t="s">
        <v>216</v>
      </c>
      <c r="CH48">
        <v>6000</v>
      </c>
      <c r="CI48">
        <v>500</v>
      </c>
      <c r="CJ48">
        <v>1</v>
      </c>
      <c r="CK48">
        <v>2</v>
      </c>
      <c r="CL48">
        <v>55537</v>
      </c>
      <c r="CM48">
        <v>55537</v>
      </c>
      <c r="CN48">
        <v>55537</v>
      </c>
      <c r="CO48">
        <v>0</v>
      </c>
      <c r="CP48">
        <v>-9999</v>
      </c>
      <c r="CQ48">
        <v>0</v>
      </c>
      <c r="CR48">
        <v>0</v>
      </c>
      <c r="CS48">
        <v>0</v>
      </c>
      <c r="CT48">
        <v>0</v>
      </c>
      <c r="CU48">
        <v>2.5299999999999998</v>
      </c>
      <c r="CV48">
        <v>2.4700000000000002</v>
      </c>
      <c r="CW48">
        <v>1.67</v>
      </c>
      <c r="CX48">
        <v>0.94</v>
      </c>
      <c r="CY48">
        <v>0.22</v>
      </c>
      <c r="CZ48">
        <v>-0.01</v>
      </c>
      <c r="DA48">
        <v>0.41</v>
      </c>
      <c r="DB48">
        <v>0.25</v>
      </c>
      <c r="DC48">
        <v>115.33</v>
      </c>
      <c r="DD48">
        <v>0</v>
      </c>
      <c r="DE48">
        <v>2.42</v>
      </c>
      <c r="DF48">
        <v>0</v>
      </c>
      <c r="DG48">
        <v>1</v>
      </c>
      <c r="DH48">
        <v>2.37</v>
      </c>
      <c r="DI48">
        <v>0</v>
      </c>
      <c r="DJ48">
        <v>1</v>
      </c>
      <c r="DK48">
        <v>0.6</v>
      </c>
      <c r="DL48">
        <v>0.6</v>
      </c>
      <c r="DM48">
        <v>0.11</v>
      </c>
      <c r="DN48">
        <v>0</v>
      </c>
      <c r="DO48" t="s">
        <v>1980</v>
      </c>
      <c r="DP48" t="s">
        <v>237</v>
      </c>
      <c r="DQ48" t="s">
        <v>238</v>
      </c>
      <c r="DR48" t="s">
        <v>239</v>
      </c>
      <c r="DS48" t="s">
        <v>240</v>
      </c>
      <c r="DT48" t="s">
        <v>241</v>
      </c>
      <c r="DU48" t="s">
        <v>242</v>
      </c>
    </row>
    <row r="49" spans="1:125" x14ac:dyDescent="0.45">
      <c r="A49" t="s">
        <v>2008</v>
      </c>
      <c r="B49" t="s">
        <v>2009</v>
      </c>
      <c r="C49" t="s">
        <v>161</v>
      </c>
      <c r="D49" t="s">
        <v>162</v>
      </c>
      <c r="E49" t="s">
        <v>163</v>
      </c>
      <c r="H49" t="s">
        <v>2250</v>
      </c>
      <c r="I49" t="s">
        <v>2010</v>
      </c>
      <c r="J49">
        <v>0.23</v>
      </c>
      <c r="K49">
        <v>0.20987707674804279</v>
      </c>
      <c r="L49">
        <v>2.91</v>
      </c>
      <c r="M49">
        <v>0.22</v>
      </c>
      <c r="N49">
        <v>2.2000000000000002</v>
      </c>
      <c r="O49">
        <v>3.1</v>
      </c>
      <c r="P49">
        <v>3.04</v>
      </c>
      <c r="Q49">
        <v>4.09</v>
      </c>
      <c r="R49">
        <v>0.99</v>
      </c>
      <c r="S49">
        <v>30.2</v>
      </c>
      <c r="T49">
        <v>30.81</v>
      </c>
      <c r="U49">
        <v>40.65</v>
      </c>
      <c r="V49">
        <v>0.44</v>
      </c>
      <c r="W49">
        <v>7.5</v>
      </c>
      <c r="X49" t="s">
        <v>2015</v>
      </c>
      <c r="Y49">
        <v>0</v>
      </c>
      <c r="Z49">
        <v>0</v>
      </c>
      <c r="AA49">
        <v>0</v>
      </c>
      <c r="AB49">
        <v>119.36</v>
      </c>
      <c r="AC49">
        <v>487.76</v>
      </c>
      <c r="AD49">
        <v>0.76</v>
      </c>
      <c r="AE49">
        <v>0.5</v>
      </c>
      <c r="AF49">
        <v>0.84</v>
      </c>
      <c r="AG49">
        <v>52.66</v>
      </c>
      <c r="AH49">
        <v>1</v>
      </c>
      <c r="AI49">
        <v>70.72</v>
      </c>
      <c r="AJ49">
        <v>69.33</v>
      </c>
      <c r="AK49">
        <v>30.49</v>
      </c>
      <c r="AL49">
        <v>29.29</v>
      </c>
      <c r="AM49">
        <v>29.29</v>
      </c>
      <c r="AN49">
        <v>100.6</v>
      </c>
      <c r="AO49">
        <v>156</v>
      </c>
      <c r="AP49">
        <v>153.1</v>
      </c>
      <c r="AQ49">
        <v>1.9</v>
      </c>
      <c r="AR49">
        <v>166</v>
      </c>
      <c r="AS49">
        <v>3.39</v>
      </c>
      <c r="AT49">
        <v>-8</v>
      </c>
      <c r="AU49">
        <v>-2</v>
      </c>
      <c r="AV49">
        <v>93</v>
      </c>
      <c r="AW49">
        <v>28.75</v>
      </c>
      <c r="AX49">
        <v>87.68</v>
      </c>
      <c r="AY49">
        <v>8.24</v>
      </c>
      <c r="AZ49">
        <v>-101.09</v>
      </c>
      <c r="BA49">
        <v>9.3699999999999992</v>
      </c>
      <c r="BB49">
        <v>176.95</v>
      </c>
      <c r="BC49">
        <v>26.5</v>
      </c>
      <c r="BD49" t="s">
        <v>2033</v>
      </c>
      <c r="BE49" t="s">
        <v>161</v>
      </c>
      <c r="BF49">
        <v>35.85</v>
      </c>
      <c r="BG49">
        <v>127.13</v>
      </c>
      <c r="BH49">
        <v>33.299999999999997</v>
      </c>
      <c r="BI49">
        <v>13</v>
      </c>
      <c r="BJ49">
        <v>0.84</v>
      </c>
      <c r="BK49" t="s">
        <v>1815</v>
      </c>
      <c r="BL49" t="s">
        <v>161</v>
      </c>
      <c r="BM49">
        <v>-1.0900000000000001</v>
      </c>
      <c r="BN49" t="s">
        <v>159</v>
      </c>
      <c r="BO49">
        <v>0</v>
      </c>
      <c r="BP49">
        <v>0</v>
      </c>
      <c r="BQ49">
        <v>0.01</v>
      </c>
      <c r="BR49">
        <v>0.05</v>
      </c>
      <c r="BS49">
        <v>0.15</v>
      </c>
      <c r="BT49">
        <v>0.45</v>
      </c>
      <c r="BU49" t="s">
        <v>159</v>
      </c>
      <c r="BV49">
        <v>150</v>
      </c>
      <c r="BW49">
        <v>0</v>
      </c>
      <c r="BX49">
        <v>2</v>
      </c>
      <c r="BY49">
        <v>0.06</v>
      </c>
      <c r="BZ49">
        <v>0</v>
      </c>
      <c r="CA49">
        <v>0.03</v>
      </c>
      <c r="CB49">
        <v>0</v>
      </c>
      <c r="CC49">
        <v>0</v>
      </c>
      <c r="CD49">
        <v>0</v>
      </c>
      <c r="CE49" t="s">
        <v>214</v>
      </c>
      <c r="CF49" t="s">
        <v>215</v>
      </c>
      <c r="CG49" t="s">
        <v>216</v>
      </c>
      <c r="CH49">
        <v>6000</v>
      </c>
      <c r="CI49">
        <v>500</v>
      </c>
      <c r="CJ49">
        <v>1</v>
      </c>
      <c r="CK49">
        <v>2</v>
      </c>
      <c r="CL49">
        <v>55537</v>
      </c>
      <c r="CM49">
        <v>55537</v>
      </c>
      <c r="CN49">
        <v>55537</v>
      </c>
      <c r="CO49">
        <v>0</v>
      </c>
      <c r="CP49">
        <v>-9999</v>
      </c>
      <c r="CQ49">
        <v>0</v>
      </c>
      <c r="CR49">
        <v>0</v>
      </c>
      <c r="CS49">
        <v>0</v>
      </c>
      <c r="CT49">
        <v>0</v>
      </c>
      <c r="CU49">
        <v>2.5299999999999998</v>
      </c>
      <c r="CV49">
        <v>2.4700000000000002</v>
      </c>
      <c r="CW49">
        <v>1.67</v>
      </c>
      <c r="CX49">
        <v>0.94</v>
      </c>
      <c r="CY49">
        <v>0.22</v>
      </c>
      <c r="CZ49">
        <v>-0.01</v>
      </c>
      <c r="DA49">
        <v>0.41</v>
      </c>
      <c r="DB49">
        <v>0.25</v>
      </c>
      <c r="DC49">
        <v>119.36</v>
      </c>
      <c r="DD49">
        <v>0</v>
      </c>
      <c r="DE49">
        <v>2.42</v>
      </c>
      <c r="DF49">
        <v>0</v>
      </c>
      <c r="DG49">
        <v>1</v>
      </c>
      <c r="DH49">
        <v>2.37</v>
      </c>
      <c r="DI49">
        <v>0</v>
      </c>
      <c r="DJ49">
        <v>1</v>
      </c>
      <c r="DK49">
        <v>0.6</v>
      </c>
      <c r="DL49">
        <v>0.6</v>
      </c>
      <c r="DM49">
        <v>0.11</v>
      </c>
      <c r="DN49">
        <v>0</v>
      </c>
      <c r="DO49" t="s">
        <v>2015</v>
      </c>
      <c r="DP49" t="s">
        <v>237</v>
      </c>
      <c r="DQ49" t="s">
        <v>238</v>
      </c>
      <c r="DR49" t="s">
        <v>239</v>
      </c>
      <c r="DS49" t="s">
        <v>240</v>
      </c>
      <c r="DT49" t="s">
        <v>241</v>
      </c>
      <c r="DU49" t="s">
        <v>242</v>
      </c>
    </row>
    <row r="50" spans="1:125" x14ac:dyDescent="0.45">
      <c r="A50" t="s">
        <v>2046</v>
      </c>
      <c r="B50" t="s">
        <v>2047</v>
      </c>
      <c r="C50" t="s">
        <v>161</v>
      </c>
      <c r="D50" t="s">
        <v>162</v>
      </c>
      <c r="E50" t="s">
        <v>163</v>
      </c>
      <c r="H50" t="s">
        <v>2250</v>
      </c>
      <c r="I50" t="s">
        <v>2048</v>
      </c>
      <c r="J50">
        <v>0.13</v>
      </c>
      <c r="K50">
        <v>0.1203913456684364</v>
      </c>
      <c r="L50">
        <v>2.91</v>
      </c>
      <c r="M50">
        <v>0.12</v>
      </c>
      <c r="N50">
        <v>1.38</v>
      </c>
      <c r="O50">
        <v>3.05</v>
      </c>
      <c r="P50">
        <v>3.02</v>
      </c>
      <c r="Q50">
        <v>4.17</v>
      </c>
      <c r="R50">
        <v>1.1100000000000001</v>
      </c>
      <c r="S50">
        <v>29.97</v>
      </c>
      <c r="T50">
        <v>30.35</v>
      </c>
      <c r="U50">
        <v>41.41</v>
      </c>
      <c r="V50">
        <v>0.44</v>
      </c>
      <c r="W50">
        <v>7.5</v>
      </c>
      <c r="X50" t="s">
        <v>2053</v>
      </c>
      <c r="Y50">
        <v>0</v>
      </c>
      <c r="Z50">
        <v>0</v>
      </c>
      <c r="AA50">
        <v>0</v>
      </c>
      <c r="AB50">
        <v>114</v>
      </c>
      <c r="AC50">
        <v>473.5</v>
      </c>
      <c r="AD50">
        <v>0.76</v>
      </c>
      <c r="AE50">
        <v>0.5</v>
      </c>
      <c r="AF50">
        <v>0.84</v>
      </c>
      <c r="AG50">
        <v>42.41</v>
      </c>
      <c r="AH50">
        <v>1</v>
      </c>
      <c r="AI50">
        <v>69.680000000000007</v>
      </c>
      <c r="AJ50">
        <v>68.81</v>
      </c>
      <c r="AK50">
        <v>30.49</v>
      </c>
      <c r="AL50">
        <v>29.61</v>
      </c>
      <c r="AM50">
        <v>29.61</v>
      </c>
      <c r="AN50">
        <v>100.61</v>
      </c>
      <c r="AO50">
        <v>156.1</v>
      </c>
      <c r="AP50">
        <v>152.19999999999999</v>
      </c>
      <c r="AQ50">
        <v>2.5</v>
      </c>
      <c r="AR50">
        <v>133</v>
      </c>
      <c r="AS50">
        <v>3.38</v>
      </c>
      <c r="AT50">
        <v>-20</v>
      </c>
      <c r="AU50">
        <v>1</v>
      </c>
      <c r="AV50">
        <v>99</v>
      </c>
      <c r="AW50">
        <v>28.32</v>
      </c>
      <c r="AX50">
        <v>88.03</v>
      </c>
      <c r="AY50">
        <v>20.02</v>
      </c>
      <c r="AZ50">
        <v>-78.08</v>
      </c>
      <c r="BA50">
        <v>9.3699999999999992</v>
      </c>
      <c r="BB50">
        <v>176.95</v>
      </c>
      <c r="BC50">
        <v>26.5</v>
      </c>
      <c r="BD50" t="s">
        <v>2064</v>
      </c>
      <c r="BE50" t="s">
        <v>161</v>
      </c>
      <c r="BF50">
        <v>35.85</v>
      </c>
      <c r="BG50">
        <v>127.13</v>
      </c>
      <c r="BH50">
        <v>32.9</v>
      </c>
      <c r="BI50">
        <v>14</v>
      </c>
      <c r="BJ50">
        <v>0.81</v>
      </c>
      <c r="BK50" t="s">
        <v>1815</v>
      </c>
      <c r="BL50" t="s">
        <v>161</v>
      </c>
      <c r="BM50">
        <v>-1.0900000000000001</v>
      </c>
      <c r="BN50" t="s">
        <v>159</v>
      </c>
      <c r="BO50">
        <v>0</v>
      </c>
      <c r="BP50">
        <v>0</v>
      </c>
      <c r="BQ50">
        <v>0</v>
      </c>
      <c r="BR50">
        <v>0.04</v>
      </c>
      <c r="BS50">
        <v>-0.03</v>
      </c>
      <c r="BT50">
        <v>-0.09</v>
      </c>
      <c r="BU50" t="s">
        <v>159</v>
      </c>
      <c r="BV50">
        <v>150</v>
      </c>
      <c r="BW50">
        <v>0</v>
      </c>
      <c r="BX50">
        <v>2</v>
      </c>
      <c r="BY50">
        <v>0.06</v>
      </c>
      <c r="BZ50">
        <v>0</v>
      </c>
      <c r="CA50">
        <v>0.03</v>
      </c>
      <c r="CB50">
        <v>0</v>
      </c>
      <c r="CC50">
        <v>0</v>
      </c>
      <c r="CD50">
        <v>0</v>
      </c>
      <c r="CE50" t="s">
        <v>214</v>
      </c>
      <c r="CF50" t="s">
        <v>215</v>
      </c>
      <c r="CG50" t="s">
        <v>216</v>
      </c>
      <c r="CH50">
        <v>6000</v>
      </c>
      <c r="CI50">
        <v>500</v>
      </c>
      <c r="CJ50">
        <v>1</v>
      </c>
      <c r="CK50">
        <v>2</v>
      </c>
      <c r="CL50">
        <v>55537</v>
      </c>
      <c r="CM50">
        <v>55537</v>
      </c>
      <c r="CN50">
        <v>55537</v>
      </c>
      <c r="CO50">
        <v>0</v>
      </c>
      <c r="CP50">
        <v>-9999</v>
      </c>
      <c r="CQ50">
        <v>0</v>
      </c>
      <c r="CR50">
        <v>0</v>
      </c>
      <c r="CS50">
        <v>0</v>
      </c>
      <c r="CT50">
        <v>0</v>
      </c>
      <c r="CU50">
        <v>2.5299999999999998</v>
      </c>
      <c r="CV50">
        <v>2.4700000000000002</v>
      </c>
      <c r="CW50">
        <v>1.67</v>
      </c>
      <c r="CX50">
        <v>0.93</v>
      </c>
      <c r="CY50">
        <v>0.22</v>
      </c>
      <c r="CZ50">
        <v>-0.01</v>
      </c>
      <c r="DA50">
        <v>0.41</v>
      </c>
      <c r="DB50">
        <v>0.22</v>
      </c>
      <c r="DC50">
        <v>114</v>
      </c>
      <c r="DD50">
        <v>0</v>
      </c>
      <c r="DE50">
        <v>2.42</v>
      </c>
      <c r="DF50">
        <v>0</v>
      </c>
      <c r="DG50">
        <v>1</v>
      </c>
      <c r="DH50">
        <v>2.37</v>
      </c>
      <c r="DI50">
        <v>0</v>
      </c>
      <c r="DJ50">
        <v>1</v>
      </c>
      <c r="DK50">
        <v>0.6</v>
      </c>
      <c r="DL50">
        <v>0.6</v>
      </c>
      <c r="DM50">
        <v>0.11</v>
      </c>
      <c r="DN50">
        <v>0</v>
      </c>
      <c r="DO50" t="s">
        <v>2053</v>
      </c>
      <c r="DP50" t="s">
        <v>237</v>
      </c>
      <c r="DQ50" t="s">
        <v>238</v>
      </c>
      <c r="DR50" t="s">
        <v>239</v>
      </c>
      <c r="DS50" t="s">
        <v>240</v>
      </c>
      <c r="DT50" t="s">
        <v>241</v>
      </c>
      <c r="DU50" t="s">
        <v>242</v>
      </c>
    </row>
    <row r="51" spans="1:125" x14ac:dyDescent="0.45">
      <c r="A51" t="s">
        <v>2076</v>
      </c>
      <c r="B51" t="s">
        <v>2077</v>
      </c>
      <c r="C51" t="s">
        <v>161</v>
      </c>
      <c r="D51" t="s">
        <v>162</v>
      </c>
      <c r="E51" t="s">
        <v>163</v>
      </c>
      <c r="H51" t="s">
        <v>2250</v>
      </c>
      <c r="I51" t="s">
        <v>2078</v>
      </c>
      <c r="J51">
        <v>0.23</v>
      </c>
      <c r="K51">
        <v>0.20666667668245381</v>
      </c>
      <c r="L51">
        <v>2.91</v>
      </c>
      <c r="M51">
        <v>0.21</v>
      </c>
      <c r="N51">
        <v>2.17</v>
      </c>
      <c r="O51">
        <v>3.1</v>
      </c>
      <c r="P51">
        <v>3.04</v>
      </c>
      <c r="Q51">
        <v>4.08</v>
      </c>
      <c r="R51">
        <v>0.99</v>
      </c>
      <c r="S51">
        <v>30.19</v>
      </c>
      <c r="T51">
        <v>30.78</v>
      </c>
      <c r="U51">
        <v>40.58</v>
      </c>
      <c r="V51">
        <v>0.44</v>
      </c>
      <c r="W51">
        <v>7.5</v>
      </c>
      <c r="X51" t="s">
        <v>2083</v>
      </c>
      <c r="Y51">
        <v>0</v>
      </c>
      <c r="Z51">
        <v>0</v>
      </c>
      <c r="AA51">
        <v>0</v>
      </c>
      <c r="AB51">
        <v>142.15</v>
      </c>
      <c r="AC51">
        <v>530.69000000000005</v>
      </c>
      <c r="AD51">
        <v>0.73</v>
      </c>
      <c r="AE51">
        <v>0.5</v>
      </c>
      <c r="AF51">
        <v>0.84</v>
      </c>
      <c r="AG51">
        <v>49.51</v>
      </c>
      <c r="AH51">
        <v>1</v>
      </c>
      <c r="AI51">
        <v>70.680000000000007</v>
      </c>
      <c r="AJ51">
        <v>69.319999999999993</v>
      </c>
      <c r="AK51">
        <v>30.49</v>
      </c>
      <c r="AL51">
        <v>29.26</v>
      </c>
      <c r="AM51">
        <v>29.26</v>
      </c>
      <c r="AN51">
        <v>100.61</v>
      </c>
      <c r="AO51">
        <v>156</v>
      </c>
      <c r="AP51">
        <v>154</v>
      </c>
      <c r="AQ51">
        <v>1.3</v>
      </c>
      <c r="AR51">
        <v>161</v>
      </c>
      <c r="AS51">
        <v>3.38</v>
      </c>
      <c r="AT51">
        <v>0</v>
      </c>
      <c r="AU51">
        <v>5</v>
      </c>
      <c r="AV51">
        <v>117</v>
      </c>
      <c r="AW51">
        <v>22.26</v>
      </c>
      <c r="AX51">
        <v>92.55</v>
      </c>
      <c r="AY51">
        <v>5</v>
      </c>
      <c r="AZ51">
        <v>27</v>
      </c>
      <c r="BA51">
        <v>9.3699999999999992</v>
      </c>
      <c r="BB51">
        <v>177.5</v>
      </c>
      <c r="BC51">
        <v>26.49</v>
      </c>
      <c r="BD51" t="s">
        <v>2097</v>
      </c>
      <c r="BE51" t="s">
        <v>161</v>
      </c>
      <c r="BF51">
        <v>35.85</v>
      </c>
      <c r="BG51">
        <v>127.13</v>
      </c>
      <c r="BH51">
        <v>32.9</v>
      </c>
      <c r="BI51">
        <v>14</v>
      </c>
      <c r="BJ51">
        <v>0.76</v>
      </c>
      <c r="BK51" t="s">
        <v>1815</v>
      </c>
      <c r="BL51" t="s">
        <v>161</v>
      </c>
      <c r="BM51">
        <v>-1.0900000000000001</v>
      </c>
      <c r="BN51" t="s">
        <v>159</v>
      </c>
      <c r="BO51">
        <v>0</v>
      </c>
      <c r="BP51">
        <v>0</v>
      </c>
      <c r="BQ51">
        <v>0</v>
      </c>
      <c r="BR51">
        <v>0.09</v>
      </c>
      <c r="BS51">
        <v>0.05</v>
      </c>
      <c r="BT51">
        <v>0.46</v>
      </c>
      <c r="BU51" t="s">
        <v>159</v>
      </c>
      <c r="BV51">
        <v>150</v>
      </c>
      <c r="BW51">
        <v>0</v>
      </c>
      <c r="BX51">
        <v>2</v>
      </c>
      <c r="BY51">
        <v>0.06</v>
      </c>
      <c r="BZ51">
        <v>0</v>
      </c>
      <c r="CA51">
        <v>0.03</v>
      </c>
      <c r="CB51">
        <v>0</v>
      </c>
      <c r="CC51">
        <v>0</v>
      </c>
      <c r="CD51">
        <v>0</v>
      </c>
      <c r="CE51" t="s">
        <v>214</v>
      </c>
      <c r="CF51" t="s">
        <v>215</v>
      </c>
      <c r="CG51" t="s">
        <v>216</v>
      </c>
      <c r="CH51">
        <v>6000</v>
      </c>
      <c r="CI51">
        <v>500</v>
      </c>
      <c r="CJ51">
        <v>1</v>
      </c>
      <c r="CK51">
        <v>2</v>
      </c>
      <c r="CL51">
        <v>55537</v>
      </c>
      <c r="CM51">
        <v>55537</v>
      </c>
      <c r="CN51">
        <v>55537</v>
      </c>
      <c r="CO51">
        <v>0</v>
      </c>
      <c r="CP51">
        <v>-9999</v>
      </c>
      <c r="CQ51">
        <v>0</v>
      </c>
      <c r="CR51">
        <v>0</v>
      </c>
      <c r="CS51">
        <v>0</v>
      </c>
      <c r="CT51">
        <v>0</v>
      </c>
      <c r="CU51">
        <v>2.5299999999999998</v>
      </c>
      <c r="CV51">
        <v>2.4700000000000002</v>
      </c>
      <c r="CW51">
        <v>1.67</v>
      </c>
      <c r="CX51">
        <v>0.94</v>
      </c>
      <c r="CY51">
        <v>0.22</v>
      </c>
      <c r="CZ51">
        <v>-0.01</v>
      </c>
      <c r="DA51">
        <v>0.42</v>
      </c>
      <c r="DB51">
        <v>0.25</v>
      </c>
      <c r="DC51">
        <v>142.15</v>
      </c>
      <c r="DD51">
        <v>0</v>
      </c>
      <c r="DE51">
        <v>2.42</v>
      </c>
      <c r="DF51">
        <v>0</v>
      </c>
      <c r="DG51">
        <v>1</v>
      </c>
      <c r="DH51">
        <v>2.37</v>
      </c>
      <c r="DI51">
        <v>0</v>
      </c>
      <c r="DJ51">
        <v>1</v>
      </c>
      <c r="DK51">
        <v>0.6</v>
      </c>
      <c r="DL51">
        <v>0.6</v>
      </c>
      <c r="DM51">
        <v>0.11</v>
      </c>
      <c r="DN51">
        <v>0</v>
      </c>
      <c r="DO51" t="s">
        <v>2083</v>
      </c>
      <c r="DP51" t="s">
        <v>237</v>
      </c>
      <c r="DQ51" t="s">
        <v>238</v>
      </c>
      <c r="DR51" t="s">
        <v>239</v>
      </c>
      <c r="DS51" t="s">
        <v>240</v>
      </c>
      <c r="DT51" t="s">
        <v>241</v>
      </c>
      <c r="DU51" t="s">
        <v>242</v>
      </c>
    </row>
    <row r="52" spans="1:125" x14ac:dyDescent="0.45">
      <c r="A52" t="s">
        <v>2109</v>
      </c>
      <c r="B52" t="s">
        <v>2110</v>
      </c>
      <c r="C52" t="s">
        <v>161</v>
      </c>
      <c r="D52" t="s">
        <v>162</v>
      </c>
      <c r="E52" t="s">
        <v>163</v>
      </c>
      <c r="H52" t="s">
        <v>2250</v>
      </c>
      <c r="I52" t="s">
        <v>2111</v>
      </c>
      <c r="J52">
        <v>0.21</v>
      </c>
      <c r="K52">
        <v>0.19557059142353539</v>
      </c>
      <c r="L52">
        <v>2.91</v>
      </c>
      <c r="M52">
        <v>0.2</v>
      </c>
      <c r="N52">
        <v>2.0699999999999998</v>
      </c>
      <c r="O52">
        <v>3.05</v>
      </c>
      <c r="P52">
        <v>2.99</v>
      </c>
      <c r="Q52">
        <v>4.0599999999999996</v>
      </c>
      <c r="R52">
        <v>1.01</v>
      </c>
      <c r="S52">
        <v>29.75</v>
      </c>
      <c r="T52">
        <v>30.32</v>
      </c>
      <c r="U52">
        <v>40.35</v>
      </c>
      <c r="V52">
        <v>0.44</v>
      </c>
      <c r="W52">
        <v>7.5</v>
      </c>
      <c r="X52" t="s">
        <v>2116</v>
      </c>
      <c r="Y52">
        <v>0</v>
      </c>
      <c r="Z52">
        <v>0</v>
      </c>
      <c r="AA52">
        <v>0</v>
      </c>
      <c r="AB52">
        <v>114.64</v>
      </c>
      <c r="AC52">
        <v>477.83</v>
      </c>
      <c r="AD52">
        <v>0.76</v>
      </c>
      <c r="AE52">
        <v>0.5</v>
      </c>
      <c r="AF52">
        <v>0.84</v>
      </c>
      <c r="AG52">
        <v>52.04</v>
      </c>
      <c r="AH52">
        <v>1</v>
      </c>
      <c r="AI52">
        <v>69.66</v>
      </c>
      <c r="AJ52">
        <v>68.349999999999994</v>
      </c>
      <c r="AK52">
        <v>30.48</v>
      </c>
      <c r="AL52">
        <v>29.16</v>
      </c>
      <c r="AM52">
        <v>29.16</v>
      </c>
      <c r="AN52">
        <v>100.6</v>
      </c>
      <c r="AO52">
        <v>156.19999999999999</v>
      </c>
      <c r="AP52">
        <v>153.19999999999999</v>
      </c>
      <c r="AQ52">
        <v>1.9</v>
      </c>
      <c r="AR52">
        <v>163</v>
      </c>
      <c r="AS52">
        <v>3.38</v>
      </c>
      <c r="AT52">
        <v>-22</v>
      </c>
      <c r="AU52">
        <v>-2</v>
      </c>
      <c r="AV52">
        <v>100</v>
      </c>
      <c r="AW52">
        <v>31.93</v>
      </c>
      <c r="AX52">
        <v>84.87</v>
      </c>
      <c r="AY52">
        <v>22.09</v>
      </c>
      <c r="AZ52">
        <v>-85.33</v>
      </c>
      <c r="BA52">
        <v>9.3699999999999992</v>
      </c>
      <c r="BB52">
        <v>178.06</v>
      </c>
      <c r="BC52">
        <v>26.48</v>
      </c>
      <c r="BD52" t="s">
        <v>2132</v>
      </c>
      <c r="BE52" t="s">
        <v>161</v>
      </c>
      <c r="BF52">
        <v>35.85</v>
      </c>
      <c r="BG52">
        <v>127.13</v>
      </c>
      <c r="BH52">
        <v>32.4</v>
      </c>
      <c r="BI52">
        <v>15</v>
      </c>
      <c r="BJ52">
        <v>0.73</v>
      </c>
      <c r="BK52" t="s">
        <v>1815</v>
      </c>
      <c r="BL52" t="s">
        <v>161</v>
      </c>
      <c r="BM52">
        <v>-1.0900000000000001</v>
      </c>
      <c r="BN52" t="s">
        <v>159</v>
      </c>
      <c r="BO52">
        <v>0</v>
      </c>
      <c r="BP52">
        <v>0</v>
      </c>
      <c r="BQ52">
        <v>0</v>
      </c>
      <c r="BR52">
        <v>-0.25</v>
      </c>
      <c r="BS52">
        <v>-0.35</v>
      </c>
      <c r="BT52">
        <v>-0.66</v>
      </c>
      <c r="BU52" t="s">
        <v>159</v>
      </c>
      <c r="BV52">
        <v>150</v>
      </c>
      <c r="BW52">
        <v>0</v>
      </c>
      <c r="BX52">
        <v>2</v>
      </c>
      <c r="BY52">
        <v>0.06</v>
      </c>
      <c r="BZ52">
        <v>0</v>
      </c>
      <c r="CA52">
        <v>0.03</v>
      </c>
      <c r="CB52">
        <v>0</v>
      </c>
      <c r="CC52">
        <v>0</v>
      </c>
      <c r="CD52">
        <v>0</v>
      </c>
      <c r="CE52" t="s">
        <v>214</v>
      </c>
      <c r="CF52" t="s">
        <v>215</v>
      </c>
      <c r="CG52" t="s">
        <v>216</v>
      </c>
      <c r="CH52">
        <v>6000</v>
      </c>
      <c r="CI52">
        <v>500</v>
      </c>
      <c r="CJ52">
        <v>1</v>
      </c>
      <c r="CK52">
        <v>2</v>
      </c>
      <c r="CL52">
        <v>55537</v>
      </c>
      <c r="CM52">
        <v>55537</v>
      </c>
      <c r="CN52">
        <v>55537</v>
      </c>
      <c r="CO52">
        <v>0</v>
      </c>
      <c r="CP52">
        <v>-9999</v>
      </c>
      <c r="CQ52">
        <v>0</v>
      </c>
      <c r="CR52">
        <v>0</v>
      </c>
      <c r="CS52">
        <v>0</v>
      </c>
      <c r="CT52">
        <v>0</v>
      </c>
      <c r="CU52">
        <v>2.5299999999999998</v>
      </c>
      <c r="CV52">
        <v>2.4700000000000002</v>
      </c>
      <c r="CW52">
        <v>1.67</v>
      </c>
      <c r="CX52">
        <v>0.94</v>
      </c>
      <c r="CY52">
        <v>0.22</v>
      </c>
      <c r="CZ52">
        <v>-0.02</v>
      </c>
      <c r="DA52">
        <v>0.42</v>
      </c>
      <c r="DB52">
        <v>0.25</v>
      </c>
      <c r="DC52">
        <v>114.64</v>
      </c>
      <c r="DD52">
        <v>0</v>
      </c>
      <c r="DE52">
        <v>2.42</v>
      </c>
      <c r="DF52">
        <v>0</v>
      </c>
      <c r="DG52">
        <v>1</v>
      </c>
      <c r="DH52">
        <v>2.37</v>
      </c>
      <c r="DI52">
        <v>0</v>
      </c>
      <c r="DJ52">
        <v>1</v>
      </c>
      <c r="DK52">
        <v>0.6</v>
      </c>
      <c r="DL52">
        <v>0.6</v>
      </c>
      <c r="DM52">
        <v>0.11</v>
      </c>
      <c r="DN52">
        <v>0</v>
      </c>
      <c r="DO52" t="s">
        <v>2116</v>
      </c>
      <c r="DP52" t="s">
        <v>237</v>
      </c>
      <c r="DQ52" t="s">
        <v>238</v>
      </c>
      <c r="DR52" t="s">
        <v>239</v>
      </c>
      <c r="DS52" t="s">
        <v>240</v>
      </c>
      <c r="DT52" t="s">
        <v>241</v>
      </c>
      <c r="DU52" t="s">
        <v>242</v>
      </c>
    </row>
    <row r="53" spans="1:125" x14ac:dyDescent="0.45">
      <c r="A53" t="s">
        <v>2144</v>
      </c>
      <c r="B53" t="s">
        <v>2145</v>
      </c>
      <c r="C53" t="s">
        <v>161</v>
      </c>
      <c r="D53" t="s">
        <v>162</v>
      </c>
      <c r="E53" t="s">
        <v>163</v>
      </c>
      <c r="H53" t="s">
        <v>2250</v>
      </c>
      <c r="I53" t="s">
        <v>2146</v>
      </c>
      <c r="J53">
        <v>0.27</v>
      </c>
      <c r="K53">
        <v>0.23847246644289161</v>
      </c>
      <c r="L53">
        <v>2.91</v>
      </c>
      <c r="M53">
        <v>0.25</v>
      </c>
      <c r="N53">
        <v>2.4700000000000002</v>
      </c>
      <c r="O53">
        <v>3.06</v>
      </c>
      <c r="P53">
        <v>2.99</v>
      </c>
      <c r="Q53">
        <v>4.0199999999999996</v>
      </c>
      <c r="R53">
        <v>0.97</v>
      </c>
      <c r="S53">
        <v>29.7</v>
      </c>
      <c r="T53">
        <v>30.37</v>
      </c>
      <c r="U53">
        <v>39.97</v>
      </c>
      <c r="V53">
        <v>0.44</v>
      </c>
      <c r="W53">
        <v>7.5</v>
      </c>
      <c r="X53" t="s">
        <v>2151</v>
      </c>
      <c r="Y53">
        <v>0</v>
      </c>
      <c r="Z53">
        <v>0</v>
      </c>
      <c r="AA53">
        <v>0</v>
      </c>
      <c r="AB53">
        <v>110.72</v>
      </c>
      <c r="AC53">
        <v>475.23</v>
      </c>
      <c r="AD53">
        <v>0.77</v>
      </c>
      <c r="AE53">
        <v>0.5</v>
      </c>
      <c r="AF53">
        <v>0.84</v>
      </c>
      <c r="AG53">
        <v>47.68</v>
      </c>
      <c r="AH53">
        <v>1</v>
      </c>
      <c r="AI53">
        <v>69.83</v>
      </c>
      <c r="AJ53">
        <v>68.28</v>
      </c>
      <c r="AK53">
        <v>30.47</v>
      </c>
      <c r="AL53">
        <v>29</v>
      </c>
      <c r="AM53">
        <v>29</v>
      </c>
      <c r="AN53">
        <v>100.61</v>
      </c>
      <c r="AO53">
        <v>156.19999999999999</v>
      </c>
      <c r="AP53">
        <v>154.1</v>
      </c>
      <c r="AQ53">
        <v>1.4</v>
      </c>
      <c r="AR53">
        <v>148</v>
      </c>
      <c r="AS53">
        <v>3.38</v>
      </c>
      <c r="AT53">
        <v>-25</v>
      </c>
      <c r="AU53">
        <v>5</v>
      </c>
      <c r="AV53">
        <v>110</v>
      </c>
      <c r="AW53">
        <v>23.89</v>
      </c>
      <c r="AX53">
        <v>91.43</v>
      </c>
      <c r="AY53">
        <v>25.46</v>
      </c>
      <c r="AZ53">
        <v>-58.3</v>
      </c>
      <c r="BA53">
        <v>9.3699999999999992</v>
      </c>
      <c r="BB53">
        <v>178.06</v>
      </c>
      <c r="BC53">
        <v>26.48</v>
      </c>
      <c r="BD53" t="s">
        <v>2164</v>
      </c>
      <c r="BE53" t="s">
        <v>161</v>
      </c>
      <c r="BF53">
        <v>35.85</v>
      </c>
      <c r="BG53">
        <v>127.13</v>
      </c>
      <c r="BH53">
        <v>32.200000000000003</v>
      </c>
      <c r="BI53">
        <v>15</v>
      </c>
      <c r="BJ53">
        <v>0.73</v>
      </c>
      <c r="BK53" t="s">
        <v>1815</v>
      </c>
      <c r="BL53" t="s">
        <v>161</v>
      </c>
      <c r="BM53">
        <v>-1.0900000000000001</v>
      </c>
      <c r="BN53" t="s">
        <v>159</v>
      </c>
      <c r="BO53">
        <v>0</v>
      </c>
      <c r="BP53">
        <v>0</v>
      </c>
      <c r="BQ53">
        <v>0</v>
      </c>
      <c r="BR53">
        <v>7.0000000000000007E-2</v>
      </c>
      <c r="BS53">
        <v>-7.0000000000000007E-2</v>
      </c>
      <c r="BT53">
        <v>-7.0000000000000007E-2</v>
      </c>
      <c r="BU53" t="s">
        <v>159</v>
      </c>
      <c r="BV53">
        <v>150</v>
      </c>
      <c r="BW53">
        <v>0</v>
      </c>
      <c r="BX53">
        <v>2</v>
      </c>
      <c r="BY53">
        <v>0.06</v>
      </c>
      <c r="BZ53">
        <v>0</v>
      </c>
      <c r="CA53">
        <v>0.03</v>
      </c>
      <c r="CB53">
        <v>0</v>
      </c>
      <c r="CC53">
        <v>0</v>
      </c>
      <c r="CD53">
        <v>0</v>
      </c>
      <c r="CE53" t="s">
        <v>214</v>
      </c>
      <c r="CF53" t="s">
        <v>215</v>
      </c>
      <c r="CG53" t="s">
        <v>216</v>
      </c>
      <c r="CH53">
        <v>6000</v>
      </c>
      <c r="CI53">
        <v>500</v>
      </c>
      <c r="CJ53">
        <v>1</v>
      </c>
      <c r="CK53">
        <v>2</v>
      </c>
      <c r="CL53">
        <v>55537</v>
      </c>
      <c r="CM53">
        <v>55537</v>
      </c>
      <c r="CN53">
        <v>55537</v>
      </c>
      <c r="CO53">
        <v>0</v>
      </c>
      <c r="CP53">
        <v>-9999</v>
      </c>
      <c r="CQ53">
        <v>0</v>
      </c>
      <c r="CR53">
        <v>0</v>
      </c>
      <c r="CS53">
        <v>0</v>
      </c>
      <c r="CT53">
        <v>0</v>
      </c>
      <c r="CU53">
        <v>2.5299999999999998</v>
      </c>
      <c r="CV53">
        <v>2.4700000000000002</v>
      </c>
      <c r="CW53">
        <v>1.67</v>
      </c>
      <c r="CX53">
        <v>0.94</v>
      </c>
      <c r="CY53">
        <v>0.22</v>
      </c>
      <c r="CZ53">
        <v>-0.02</v>
      </c>
      <c r="DA53">
        <v>0.42</v>
      </c>
      <c r="DB53">
        <v>0.24</v>
      </c>
      <c r="DC53">
        <v>110.72</v>
      </c>
      <c r="DD53">
        <v>0</v>
      </c>
      <c r="DE53">
        <v>2.42</v>
      </c>
      <c r="DF53">
        <v>0</v>
      </c>
      <c r="DG53">
        <v>1</v>
      </c>
      <c r="DH53">
        <v>2.37</v>
      </c>
      <c r="DI53">
        <v>0</v>
      </c>
      <c r="DJ53">
        <v>1</v>
      </c>
      <c r="DK53">
        <v>0.6</v>
      </c>
      <c r="DL53">
        <v>0.6</v>
      </c>
      <c r="DM53">
        <v>0.11</v>
      </c>
      <c r="DN53">
        <v>0</v>
      </c>
      <c r="DO53" t="s">
        <v>2151</v>
      </c>
      <c r="DP53" t="s">
        <v>237</v>
      </c>
      <c r="DQ53" t="s">
        <v>238</v>
      </c>
      <c r="DR53" t="s">
        <v>239</v>
      </c>
      <c r="DS53" t="s">
        <v>240</v>
      </c>
      <c r="DT53" t="s">
        <v>241</v>
      </c>
      <c r="DU53" t="s">
        <v>242</v>
      </c>
    </row>
    <row r="54" spans="1:125" x14ac:dyDescent="0.45">
      <c r="A54" t="s">
        <v>2176</v>
      </c>
      <c r="B54" t="s">
        <v>2177</v>
      </c>
      <c r="C54" t="s">
        <v>161</v>
      </c>
      <c r="D54" t="s">
        <v>162</v>
      </c>
      <c r="E54" t="s">
        <v>163</v>
      </c>
      <c r="H54" t="s">
        <v>2250</v>
      </c>
      <c r="I54" t="s">
        <v>2178</v>
      </c>
      <c r="J54">
        <v>0.21</v>
      </c>
      <c r="K54">
        <v>0.1893785244186898</v>
      </c>
      <c r="L54">
        <v>2.91</v>
      </c>
      <c r="M54">
        <v>0.19</v>
      </c>
      <c r="N54">
        <v>1.96</v>
      </c>
      <c r="O54">
        <v>3.11</v>
      </c>
      <c r="P54">
        <v>3.05</v>
      </c>
      <c r="Q54">
        <v>4.09</v>
      </c>
      <c r="R54">
        <v>0.98</v>
      </c>
      <c r="S54">
        <v>30.33</v>
      </c>
      <c r="T54">
        <v>30.87</v>
      </c>
      <c r="U54">
        <v>40.65</v>
      </c>
      <c r="V54">
        <v>0.44</v>
      </c>
      <c r="W54">
        <v>7.5</v>
      </c>
      <c r="X54" t="s">
        <v>2183</v>
      </c>
      <c r="Y54">
        <v>0</v>
      </c>
      <c r="Z54">
        <v>0</v>
      </c>
      <c r="AA54">
        <v>0</v>
      </c>
      <c r="AB54">
        <v>114.28</v>
      </c>
      <c r="AC54">
        <v>468.1</v>
      </c>
      <c r="AD54">
        <v>0.76</v>
      </c>
      <c r="AE54">
        <v>0.5</v>
      </c>
      <c r="AF54">
        <v>0.84</v>
      </c>
      <c r="AG54">
        <v>48.25</v>
      </c>
      <c r="AH54">
        <v>1</v>
      </c>
      <c r="AI54">
        <v>71.040000000000006</v>
      </c>
      <c r="AJ54">
        <v>69.8</v>
      </c>
      <c r="AK54">
        <v>30.45</v>
      </c>
      <c r="AL54">
        <v>29.29</v>
      </c>
      <c r="AM54">
        <v>29.29</v>
      </c>
      <c r="AN54">
        <v>100.61</v>
      </c>
      <c r="AO54">
        <v>156.1</v>
      </c>
      <c r="AP54">
        <v>151.69999999999999</v>
      </c>
      <c r="AQ54">
        <v>2.8</v>
      </c>
      <c r="AR54">
        <v>152</v>
      </c>
      <c r="AS54">
        <v>3.38</v>
      </c>
      <c r="AT54">
        <v>-19</v>
      </c>
      <c r="AU54">
        <v>4</v>
      </c>
      <c r="AV54">
        <v>112</v>
      </c>
      <c r="AW54">
        <v>21.51</v>
      </c>
      <c r="AX54">
        <v>93.03</v>
      </c>
      <c r="AY54">
        <v>19.399999999999999</v>
      </c>
      <c r="AZ54">
        <v>-55.88</v>
      </c>
      <c r="BA54">
        <v>9.3699999999999992</v>
      </c>
      <c r="BB54">
        <v>178.61</v>
      </c>
      <c r="BC54">
        <v>26.47</v>
      </c>
      <c r="BD54" t="s">
        <v>2198</v>
      </c>
      <c r="BE54" t="s">
        <v>161</v>
      </c>
      <c r="BF54">
        <v>35.85</v>
      </c>
      <c r="BG54">
        <v>127.13</v>
      </c>
      <c r="BH54">
        <v>32.1</v>
      </c>
      <c r="BI54">
        <v>14</v>
      </c>
      <c r="BJ54">
        <v>0.78</v>
      </c>
      <c r="BK54" t="s">
        <v>1815</v>
      </c>
      <c r="BL54" t="s">
        <v>161</v>
      </c>
      <c r="BM54">
        <v>-1.0900000000000001</v>
      </c>
      <c r="BN54" t="s">
        <v>159</v>
      </c>
      <c r="BO54">
        <v>0</v>
      </c>
      <c r="BP54">
        <v>0</v>
      </c>
      <c r="BQ54">
        <v>0</v>
      </c>
      <c r="BR54">
        <v>-7.0000000000000007E-2</v>
      </c>
      <c r="BS54">
        <v>-0.17</v>
      </c>
      <c r="BT54">
        <v>-0.3</v>
      </c>
      <c r="BU54" t="s">
        <v>159</v>
      </c>
      <c r="BV54">
        <v>150</v>
      </c>
      <c r="BW54">
        <v>0</v>
      </c>
      <c r="BX54">
        <v>2</v>
      </c>
      <c r="BY54">
        <v>0.06</v>
      </c>
      <c r="BZ54">
        <v>0</v>
      </c>
      <c r="CA54">
        <v>0.03</v>
      </c>
      <c r="CB54">
        <v>0</v>
      </c>
      <c r="CC54">
        <v>0</v>
      </c>
      <c r="CD54">
        <v>0</v>
      </c>
      <c r="CE54" t="s">
        <v>214</v>
      </c>
      <c r="CF54" t="s">
        <v>215</v>
      </c>
      <c r="CG54" t="s">
        <v>216</v>
      </c>
      <c r="CH54">
        <v>6000</v>
      </c>
      <c r="CI54">
        <v>500</v>
      </c>
      <c r="CJ54">
        <v>1</v>
      </c>
      <c r="CK54">
        <v>2</v>
      </c>
      <c r="CL54">
        <v>55537</v>
      </c>
      <c r="CM54">
        <v>55537</v>
      </c>
      <c r="CN54">
        <v>55537</v>
      </c>
      <c r="CO54">
        <v>0</v>
      </c>
      <c r="CP54">
        <v>-9999</v>
      </c>
      <c r="CQ54">
        <v>0</v>
      </c>
      <c r="CR54">
        <v>0</v>
      </c>
      <c r="CS54">
        <v>0</v>
      </c>
      <c r="CT54">
        <v>0</v>
      </c>
      <c r="CU54">
        <v>2.5299999999999998</v>
      </c>
      <c r="CV54">
        <v>2.4700000000000002</v>
      </c>
      <c r="CW54">
        <v>1.67</v>
      </c>
      <c r="CX54">
        <v>0.93</v>
      </c>
      <c r="CY54">
        <v>0.22</v>
      </c>
      <c r="CZ54">
        <v>-0.01</v>
      </c>
      <c r="DA54">
        <v>0.43</v>
      </c>
      <c r="DB54">
        <v>0.24</v>
      </c>
      <c r="DC54">
        <v>114.28</v>
      </c>
      <c r="DD54">
        <v>0</v>
      </c>
      <c r="DE54">
        <v>2.42</v>
      </c>
      <c r="DF54">
        <v>0</v>
      </c>
      <c r="DG54">
        <v>1</v>
      </c>
      <c r="DH54">
        <v>2.37</v>
      </c>
      <c r="DI54">
        <v>0</v>
      </c>
      <c r="DJ54">
        <v>1</v>
      </c>
      <c r="DK54">
        <v>0.6</v>
      </c>
      <c r="DL54">
        <v>0.6</v>
      </c>
      <c r="DM54">
        <v>0.11</v>
      </c>
      <c r="DN54">
        <v>0</v>
      </c>
      <c r="DO54" t="s">
        <v>2183</v>
      </c>
      <c r="DP54" t="s">
        <v>237</v>
      </c>
      <c r="DQ54" t="s">
        <v>238</v>
      </c>
      <c r="DR54" t="s">
        <v>239</v>
      </c>
      <c r="DS54" t="s">
        <v>240</v>
      </c>
      <c r="DT54" t="s">
        <v>241</v>
      </c>
      <c r="DU54" t="s">
        <v>242</v>
      </c>
    </row>
    <row r="55" spans="1:125" x14ac:dyDescent="0.45">
      <c r="A55" t="s">
        <v>2213</v>
      </c>
      <c r="B55" t="s">
        <v>2214</v>
      </c>
      <c r="C55" t="s">
        <v>161</v>
      </c>
      <c r="D55" t="s">
        <v>162</v>
      </c>
      <c r="E55" t="s">
        <v>163</v>
      </c>
      <c r="H55" t="s">
        <v>2250</v>
      </c>
      <c r="I55" t="s">
        <v>2215</v>
      </c>
      <c r="J55">
        <v>0.12</v>
      </c>
      <c r="K55">
        <v>0.11261241886978079</v>
      </c>
      <c r="L55">
        <v>2.91</v>
      </c>
      <c r="M55">
        <v>0.11</v>
      </c>
      <c r="N55">
        <v>1.2</v>
      </c>
      <c r="O55">
        <v>3.09</v>
      </c>
      <c r="P55">
        <v>3.05</v>
      </c>
      <c r="Q55">
        <v>4.12</v>
      </c>
      <c r="R55">
        <v>1.04</v>
      </c>
      <c r="S55">
        <v>30.34</v>
      </c>
      <c r="T55">
        <v>30.67</v>
      </c>
      <c r="U55">
        <v>40.98</v>
      </c>
      <c r="V55">
        <v>0.44</v>
      </c>
      <c r="W55">
        <v>7.5</v>
      </c>
      <c r="X55" t="s">
        <v>2220</v>
      </c>
      <c r="Y55">
        <v>0</v>
      </c>
      <c r="Z55">
        <v>0</v>
      </c>
      <c r="AA55">
        <v>0</v>
      </c>
      <c r="AB55">
        <v>114.29</v>
      </c>
      <c r="AC55">
        <v>466.65</v>
      </c>
      <c r="AD55">
        <v>0.76</v>
      </c>
      <c r="AE55">
        <v>0.5</v>
      </c>
      <c r="AF55">
        <v>0.84</v>
      </c>
      <c r="AG55">
        <v>42.18</v>
      </c>
      <c r="AH55">
        <v>1</v>
      </c>
      <c r="AI55">
        <v>70.599999999999994</v>
      </c>
      <c r="AJ55">
        <v>69.84</v>
      </c>
      <c r="AK55">
        <v>30.44</v>
      </c>
      <c r="AL55">
        <v>29.43</v>
      </c>
      <c r="AM55">
        <v>29.43</v>
      </c>
      <c r="AN55">
        <v>100.6</v>
      </c>
      <c r="AO55">
        <v>156.1</v>
      </c>
      <c r="AP55">
        <v>153.9</v>
      </c>
      <c r="AQ55">
        <v>1.4</v>
      </c>
      <c r="AR55">
        <v>133</v>
      </c>
      <c r="AS55">
        <v>3.38</v>
      </c>
      <c r="AT55">
        <v>-33</v>
      </c>
      <c r="AU55">
        <v>3</v>
      </c>
      <c r="AV55">
        <v>123</v>
      </c>
      <c r="AW55">
        <v>25.3</v>
      </c>
      <c r="AX55">
        <v>90.41</v>
      </c>
      <c r="AY55">
        <v>33.119999999999997</v>
      </c>
      <c r="AZ55">
        <v>-51.5</v>
      </c>
      <c r="BA55">
        <v>9.3699999999999992</v>
      </c>
      <c r="BB55">
        <v>179.16</v>
      </c>
      <c r="BC55">
        <v>26.47</v>
      </c>
      <c r="BD55" t="s">
        <v>2234</v>
      </c>
      <c r="BE55" t="s">
        <v>161</v>
      </c>
      <c r="BF55">
        <v>35.85</v>
      </c>
      <c r="BG55">
        <v>127.13</v>
      </c>
      <c r="BH55">
        <v>32</v>
      </c>
      <c r="BI55">
        <v>13</v>
      </c>
      <c r="BJ55">
        <v>0.76</v>
      </c>
      <c r="BK55" t="s">
        <v>1815</v>
      </c>
      <c r="BL55" t="s">
        <v>161</v>
      </c>
      <c r="BM55">
        <v>-1.0900000000000001</v>
      </c>
      <c r="BN55" t="s">
        <v>159</v>
      </c>
      <c r="BO55">
        <v>0</v>
      </c>
      <c r="BP55">
        <v>0</v>
      </c>
      <c r="BQ55">
        <v>0</v>
      </c>
      <c r="BR55">
        <v>-0.15</v>
      </c>
      <c r="BS55">
        <v>-0.26</v>
      </c>
      <c r="BT55">
        <v>-0.55000000000000004</v>
      </c>
      <c r="BU55" t="s">
        <v>159</v>
      </c>
      <c r="BV55">
        <v>150</v>
      </c>
      <c r="BW55">
        <v>0</v>
      </c>
      <c r="BX55">
        <v>2</v>
      </c>
      <c r="BY55">
        <v>0.06</v>
      </c>
      <c r="BZ55">
        <v>0</v>
      </c>
      <c r="CA55">
        <v>0.03</v>
      </c>
      <c r="CB55">
        <v>0</v>
      </c>
      <c r="CC55">
        <v>0</v>
      </c>
      <c r="CD55">
        <v>0</v>
      </c>
      <c r="CE55" t="s">
        <v>214</v>
      </c>
      <c r="CF55" t="s">
        <v>215</v>
      </c>
      <c r="CG55" t="s">
        <v>216</v>
      </c>
      <c r="CH55">
        <v>6000</v>
      </c>
      <c r="CI55">
        <v>500</v>
      </c>
      <c r="CJ55">
        <v>1</v>
      </c>
      <c r="CK55">
        <v>2</v>
      </c>
      <c r="CL55">
        <v>55537</v>
      </c>
      <c r="CM55">
        <v>55537</v>
      </c>
      <c r="CN55">
        <v>55537</v>
      </c>
      <c r="CO55">
        <v>0</v>
      </c>
      <c r="CP55">
        <v>-9999</v>
      </c>
      <c r="CQ55">
        <v>0</v>
      </c>
      <c r="CR55">
        <v>0</v>
      </c>
      <c r="CS55">
        <v>0</v>
      </c>
      <c r="CT55">
        <v>0</v>
      </c>
      <c r="CU55">
        <v>2.5299999999999998</v>
      </c>
      <c r="CV55">
        <v>2.4700000000000002</v>
      </c>
      <c r="CW55">
        <v>1.67</v>
      </c>
      <c r="CX55">
        <v>0.94</v>
      </c>
      <c r="CY55">
        <v>0.22</v>
      </c>
      <c r="CZ55">
        <v>-0.01</v>
      </c>
      <c r="DA55">
        <v>0.43</v>
      </c>
      <c r="DB55">
        <v>0.22</v>
      </c>
      <c r="DC55">
        <v>114.29</v>
      </c>
      <c r="DD55">
        <v>0</v>
      </c>
      <c r="DE55">
        <v>2.42</v>
      </c>
      <c r="DF55">
        <v>0</v>
      </c>
      <c r="DG55">
        <v>1</v>
      </c>
      <c r="DH55">
        <v>2.37</v>
      </c>
      <c r="DI55">
        <v>0</v>
      </c>
      <c r="DJ55">
        <v>1</v>
      </c>
      <c r="DK55">
        <v>0.6</v>
      </c>
      <c r="DL55">
        <v>0.6</v>
      </c>
      <c r="DM55">
        <v>0.11</v>
      </c>
      <c r="DN55">
        <v>0</v>
      </c>
      <c r="DO55" t="s">
        <v>2220</v>
      </c>
      <c r="DP55" t="s">
        <v>237</v>
      </c>
      <c r="DQ55" t="s">
        <v>238</v>
      </c>
      <c r="DR55" t="s">
        <v>239</v>
      </c>
      <c r="DS55" t="s">
        <v>240</v>
      </c>
      <c r="DT55" t="s">
        <v>241</v>
      </c>
      <c r="DU55" t="s">
        <v>242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5"/>
  <sheetViews>
    <sheetView tabSelected="1" workbookViewId="0">
      <selection activeCell="J10" sqref="J10"/>
    </sheetView>
  </sheetViews>
  <sheetFormatPr defaultRowHeight="19.2" x14ac:dyDescent="0.45"/>
  <cols>
    <col min="13" max="16384" width="8.7265625" style="8"/>
  </cols>
  <sheetData>
    <row r="1" spans="1:23" ht="19.8" thickBot="1" x14ac:dyDescent="0.5">
      <c r="A1" s="11" t="s">
        <v>21</v>
      </c>
      <c r="B1" s="4" t="s">
        <v>2253</v>
      </c>
      <c r="C1" s="3" t="s">
        <v>15</v>
      </c>
      <c r="D1" s="4" t="s">
        <v>23</v>
      </c>
      <c r="E1" s="5" t="s">
        <v>2249</v>
      </c>
      <c r="F1" s="4" t="s">
        <v>30</v>
      </c>
      <c r="G1" s="4" t="s">
        <v>40</v>
      </c>
      <c r="H1" s="4" t="s">
        <v>41</v>
      </c>
      <c r="I1" s="4" t="s">
        <v>42</v>
      </c>
      <c r="J1" s="4" t="s">
        <v>45</v>
      </c>
      <c r="K1" s="4" t="s">
        <v>56</v>
      </c>
      <c r="L1" s="11" t="s">
        <v>51</v>
      </c>
      <c r="N1" s="2" t="s">
        <v>2252</v>
      </c>
      <c r="O1" s="2" t="s">
        <v>2251</v>
      </c>
      <c r="P1" s="2" t="s">
        <v>2249</v>
      </c>
      <c r="Q1" s="4" t="s">
        <v>30</v>
      </c>
      <c r="R1" s="4" t="s">
        <v>40</v>
      </c>
      <c r="S1" s="4" t="s">
        <v>41</v>
      </c>
      <c r="T1" s="4" t="s">
        <v>42</v>
      </c>
      <c r="U1" s="4" t="s">
        <v>45</v>
      </c>
      <c r="V1" s="4" t="s">
        <v>56</v>
      </c>
      <c r="W1" s="6" t="s">
        <v>51</v>
      </c>
    </row>
    <row r="2" spans="1:23" ht="19.8" thickTop="1" x14ac:dyDescent="0.45">
      <c r="A2" s="12" t="s">
        <v>164</v>
      </c>
      <c r="B2" s="8">
        <v>1</v>
      </c>
      <c r="C2" s="7" t="s">
        <v>160</v>
      </c>
      <c r="D2" s="8">
        <v>0.26</v>
      </c>
      <c r="E2" s="8">
        <v>0.23312231538327161</v>
      </c>
      <c r="F2" s="8">
        <v>0.97</v>
      </c>
      <c r="G2" s="8">
        <v>108.44</v>
      </c>
      <c r="H2" s="8">
        <v>440.97</v>
      </c>
      <c r="I2" s="8">
        <v>0.75</v>
      </c>
      <c r="J2" s="8">
        <v>84.56</v>
      </c>
      <c r="K2" s="8">
        <v>267</v>
      </c>
      <c r="L2" s="12">
        <v>29.03</v>
      </c>
      <c r="N2" s="12" t="s">
        <v>164</v>
      </c>
      <c r="O2" s="14">
        <f>AVERAGE(D2:D10)</f>
        <v>0.30222222222222223</v>
      </c>
      <c r="P2" s="14">
        <f>AVERAGE(E2:E10)</f>
        <v>0.25911426349674888</v>
      </c>
      <c r="Q2" s="14">
        <f>AVERAGE(F2:F10)</f>
        <v>0.9277777777777777</v>
      </c>
      <c r="R2" s="14">
        <f>AVERAGE(G2:G10)</f>
        <v>103.60666666666665</v>
      </c>
      <c r="S2" s="14">
        <f>AVERAGE(H2:H10)</f>
        <v>457.87222222222226</v>
      </c>
      <c r="T2" s="14">
        <f>AVERAGE(I2:I10)</f>
        <v>0.7744444444444446</v>
      </c>
      <c r="U2" s="14">
        <f>AVERAGE(J2:J10)</f>
        <v>43.881111111111103</v>
      </c>
      <c r="V2" s="14">
        <f>AVERAGE(K2:K10)</f>
        <v>135.77777777777777</v>
      </c>
      <c r="W2" s="14">
        <f>AVERAGE(L2:L10)</f>
        <v>29.488888888888887</v>
      </c>
    </row>
    <row r="3" spans="1:23" x14ac:dyDescent="0.45">
      <c r="A3" s="12" t="s">
        <v>164</v>
      </c>
      <c r="B3" s="8">
        <v>1</v>
      </c>
      <c r="C3" s="7" t="s">
        <v>243</v>
      </c>
      <c r="D3" s="8">
        <v>0.45</v>
      </c>
      <c r="E3" s="8">
        <v>0.36139813392642678</v>
      </c>
      <c r="F3" s="8">
        <v>0.88</v>
      </c>
      <c r="G3" s="8">
        <v>133.96</v>
      </c>
      <c r="H3" s="8">
        <v>528.85</v>
      </c>
      <c r="I3" s="8">
        <v>0.75</v>
      </c>
      <c r="J3" s="8">
        <v>60.84</v>
      </c>
      <c r="K3" s="8">
        <v>194</v>
      </c>
      <c r="L3" s="12">
        <v>29.03</v>
      </c>
      <c r="N3" s="12" t="s">
        <v>589</v>
      </c>
      <c r="O3" s="14">
        <f>AVERAGE(D11:D19)</f>
        <v>0.25333333333333335</v>
      </c>
      <c r="P3" s="14">
        <f>AVERAGE(E11:E19)</f>
        <v>0.22436332383642124</v>
      </c>
      <c r="Q3" s="14">
        <f>AVERAGE(F11:F19)</f>
        <v>1.01</v>
      </c>
      <c r="R3" s="14">
        <f>AVERAGE(G11:G19)</f>
        <v>101.02777777777779</v>
      </c>
      <c r="S3" s="14">
        <f>AVERAGE(H11:H19)</f>
        <v>447.4111111111111</v>
      </c>
      <c r="T3" s="14">
        <f>AVERAGE(I11:I19)</f>
        <v>0.77555555555555555</v>
      </c>
      <c r="U3" s="14">
        <f>AVERAGE(J11:J19)</f>
        <v>57.061111111111103</v>
      </c>
      <c r="V3" s="14">
        <f>AVERAGE(K11:K19)</f>
        <v>175.77777777777777</v>
      </c>
      <c r="W3" s="14">
        <f>AVERAGE(L11:L19)</f>
        <v>29.777777777777779</v>
      </c>
    </row>
    <row r="4" spans="1:23" x14ac:dyDescent="0.45">
      <c r="A4" s="12" t="s">
        <v>164</v>
      </c>
      <c r="B4" s="8">
        <v>1</v>
      </c>
      <c r="C4" s="7" t="s">
        <v>291</v>
      </c>
      <c r="D4" s="8">
        <v>0.34</v>
      </c>
      <c r="E4" s="8">
        <v>0.28613612493252572</v>
      </c>
      <c r="F4" s="8">
        <v>0.93</v>
      </c>
      <c r="G4" s="8">
        <v>104.42</v>
      </c>
      <c r="H4" s="8">
        <v>478.64</v>
      </c>
      <c r="I4" s="8">
        <v>0.78</v>
      </c>
      <c r="J4" s="8">
        <v>40.72</v>
      </c>
      <c r="K4" s="8">
        <v>124</v>
      </c>
      <c r="L4" s="12">
        <v>29.39</v>
      </c>
      <c r="N4" s="12" t="s">
        <v>942</v>
      </c>
      <c r="O4" s="14">
        <f>AVERAGE(D20:D28)</f>
        <v>0.23444444444444443</v>
      </c>
      <c r="P4" s="14">
        <f>AVERAGE(E20:E28)</f>
        <v>0.20754602951539888</v>
      </c>
      <c r="Q4" s="14">
        <f>AVERAGE(F20:F28)</f>
        <v>1.0566666666666666</v>
      </c>
      <c r="R4" s="14">
        <f>AVERAGE(G20:G28)</f>
        <v>111.10000000000001</v>
      </c>
      <c r="S4" s="14">
        <f>AVERAGE(H20:H28)</f>
        <v>450.81555555555548</v>
      </c>
      <c r="T4" s="14">
        <f>AVERAGE(I20:I28)</f>
        <v>0.75444444444444436</v>
      </c>
      <c r="U4" s="14">
        <f>AVERAGE(J20:J28)</f>
        <v>64.13</v>
      </c>
      <c r="V4" s="14">
        <f>AVERAGE(K20:K28)</f>
        <v>203.11111111111111</v>
      </c>
      <c r="W4" s="14">
        <f>AVERAGE(L20:L28)</f>
        <v>29.838888888888885</v>
      </c>
    </row>
    <row r="5" spans="1:23" x14ac:dyDescent="0.45">
      <c r="A5" s="12" t="s">
        <v>164</v>
      </c>
      <c r="B5" s="15">
        <v>1</v>
      </c>
      <c r="C5" s="7" t="s">
        <v>335</v>
      </c>
      <c r="D5" s="8">
        <v>0.27</v>
      </c>
      <c r="E5" s="8">
        <v>0.2349319426016479</v>
      </c>
      <c r="F5" s="8">
        <v>1.01</v>
      </c>
      <c r="G5" s="8">
        <v>97.34</v>
      </c>
      <c r="H5" s="8">
        <v>437.17</v>
      </c>
      <c r="I5" s="8">
        <v>0.78</v>
      </c>
      <c r="J5" s="8">
        <v>42.77</v>
      </c>
      <c r="K5" s="8">
        <v>131</v>
      </c>
      <c r="L5" s="12">
        <v>29.55</v>
      </c>
      <c r="N5" s="12" t="s">
        <v>1280</v>
      </c>
      <c r="O5" s="14">
        <f>AVERAGE(D29:D37)</f>
        <v>7.8750000000000001E-2</v>
      </c>
      <c r="P5" s="14">
        <f>AVERAGE(E29:E37)</f>
        <v>7.7669448866536761E-2</v>
      </c>
      <c r="Q5" s="14">
        <f>AVERAGE(F29:F37)</f>
        <v>1.1722222222222221</v>
      </c>
      <c r="R5" s="14">
        <f>AVERAGE(G29:G37)</f>
        <v>113.35777777777778</v>
      </c>
      <c r="S5" s="14">
        <f>AVERAGE(H29:H37)</f>
        <v>459.13777777777773</v>
      </c>
      <c r="T5" s="14">
        <f>AVERAGE(I29:I37)</f>
        <v>0.75444444444444436</v>
      </c>
      <c r="U5" s="14">
        <f>AVERAGE(J29:J37)</f>
        <v>46.678888888888892</v>
      </c>
      <c r="V5" s="14">
        <f>AVERAGE(K29:K37)</f>
        <v>147.55555555555554</v>
      </c>
      <c r="W5" s="14">
        <f>AVERAGE(L29:L37)</f>
        <v>29.834444444444443</v>
      </c>
    </row>
    <row r="6" spans="1:23" x14ac:dyDescent="0.45">
      <c r="A6" s="12" t="s">
        <v>164</v>
      </c>
      <c r="B6" s="15">
        <v>1</v>
      </c>
      <c r="C6" s="7" t="s">
        <v>382</v>
      </c>
      <c r="D6" s="8">
        <v>0.27</v>
      </c>
      <c r="E6" s="8">
        <v>0.23594898095858469</v>
      </c>
      <c r="F6" s="8">
        <v>0.93</v>
      </c>
      <c r="G6" s="8">
        <v>91.4</v>
      </c>
      <c r="H6" s="8">
        <v>421.67</v>
      </c>
      <c r="I6" s="8">
        <v>0.78</v>
      </c>
      <c r="J6" s="8">
        <v>41.12</v>
      </c>
      <c r="K6" s="8">
        <v>125</v>
      </c>
      <c r="L6" s="12">
        <v>29.6</v>
      </c>
      <c r="N6" s="12" t="s">
        <v>1607</v>
      </c>
      <c r="O6" s="14">
        <f>AVERAGE(D38:D46)</f>
        <v>0.25222222222222224</v>
      </c>
      <c r="P6" s="14">
        <f>AVERAGE(E38:E46)</f>
        <v>0.22329932272467534</v>
      </c>
      <c r="Q6" s="14">
        <f>AVERAGE(F38:F46)</f>
        <v>1.0133333333333334</v>
      </c>
      <c r="R6" s="14">
        <f>AVERAGE(G38:G46)</f>
        <v>112.12888888888888</v>
      </c>
      <c r="S6" s="14">
        <f>AVERAGE(H38:H46)</f>
        <v>466.73333333333335</v>
      </c>
      <c r="T6" s="14">
        <f>AVERAGE(I38:I46)</f>
        <v>0.76111111111111107</v>
      </c>
      <c r="U6" s="14">
        <f>AVERAGE(J38:J46)</f>
        <v>56.419999999999995</v>
      </c>
      <c r="V6" s="14">
        <f>AVERAGE(K38:K46)</f>
        <v>176.88888888888889</v>
      </c>
      <c r="W6" s="14">
        <f>AVERAGE(L38:L46)</f>
        <v>29.27333333333333</v>
      </c>
    </row>
    <row r="7" spans="1:23" x14ac:dyDescent="0.45">
      <c r="A7" s="12" t="s">
        <v>164</v>
      </c>
      <c r="B7" s="15">
        <v>1</v>
      </c>
      <c r="C7" s="7" t="s">
        <v>423</v>
      </c>
      <c r="D7" s="8">
        <v>0.24</v>
      </c>
      <c r="E7" s="8">
        <v>0.21423415540906501</v>
      </c>
      <c r="F7" s="8">
        <v>0.97</v>
      </c>
      <c r="G7" s="8">
        <v>98.62</v>
      </c>
      <c r="H7" s="8">
        <v>440.36</v>
      </c>
      <c r="I7" s="8">
        <v>0.78</v>
      </c>
      <c r="J7" s="8">
        <v>38.46</v>
      </c>
      <c r="K7" s="8">
        <v>118</v>
      </c>
      <c r="L7" s="12">
        <v>29.74</v>
      </c>
      <c r="N7" s="12" t="s">
        <v>2250</v>
      </c>
      <c r="O7" s="14">
        <f>AVERAGE(D47:D55)</f>
        <v>0.18777777777777777</v>
      </c>
      <c r="P7" s="14">
        <f>AVERAGE(E47:E55)</f>
        <v>0.17215390329539321</v>
      </c>
      <c r="Q7" s="14">
        <f>AVERAGE(F47:F55)</f>
        <v>1.0311111111111113</v>
      </c>
      <c r="R7" s="14">
        <f>AVERAGE(G47:G55)</f>
        <v>118.35444444444445</v>
      </c>
      <c r="S7" s="14">
        <f>AVERAGE(H47:H55)</f>
        <v>477.07222222222219</v>
      </c>
      <c r="T7" s="14">
        <f>AVERAGE(I47:I55)</f>
        <v>0.7533333333333333</v>
      </c>
      <c r="U7" s="14">
        <f>AVERAGE(J47:J55)</f>
        <v>49.517777777777781</v>
      </c>
      <c r="V7" s="14">
        <f>AVERAGE(K47:K55)</f>
        <v>156.88888888888889</v>
      </c>
      <c r="W7" s="14">
        <f>AVERAGE(L47:L55)</f>
        <v>29.326666666666668</v>
      </c>
    </row>
    <row r="8" spans="1:23" x14ac:dyDescent="0.45">
      <c r="A8" s="12" t="s">
        <v>164</v>
      </c>
      <c r="B8" s="15">
        <v>1</v>
      </c>
      <c r="C8" s="7" t="s">
        <v>466</v>
      </c>
      <c r="D8" s="8">
        <v>0.28000000000000003</v>
      </c>
      <c r="E8" s="8">
        <v>0.24238028886147889</v>
      </c>
      <c r="F8" s="8">
        <v>0.9</v>
      </c>
      <c r="G8" s="8">
        <v>100.79</v>
      </c>
      <c r="H8" s="8">
        <v>468.9</v>
      </c>
      <c r="I8" s="8">
        <v>0.79</v>
      </c>
      <c r="J8" s="8">
        <v>33.96</v>
      </c>
      <c r="K8" s="8">
        <v>103</v>
      </c>
      <c r="L8" s="12">
        <v>29.79</v>
      </c>
    </row>
    <row r="9" spans="1:23" x14ac:dyDescent="0.45">
      <c r="A9" s="12" t="s">
        <v>164</v>
      </c>
      <c r="B9" s="15">
        <v>1</v>
      </c>
      <c r="C9" s="7" t="s">
        <v>508</v>
      </c>
      <c r="D9" s="8">
        <v>0.28999999999999998</v>
      </c>
      <c r="E9" s="8">
        <v>0.2490556486880901</v>
      </c>
      <c r="F9" s="8">
        <v>0.9</v>
      </c>
      <c r="G9" s="8">
        <v>99.65</v>
      </c>
      <c r="H9" s="8">
        <v>460.64</v>
      </c>
      <c r="I9" s="8">
        <v>0.78</v>
      </c>
      <c r="J9" s="8">
        <v>20.74</v>
      </c>
      <c r="K9" s="8">
        <v>63</v>
      </c>
      <c r="L9" s="12">
        <v>29.71</v>
      </c>
    </row>
    <row r="10" spans="1:23" ht="19.8" thickBot="1" x14ac:dyDescent="0.5">
      <c r="A10" s="13" t="s">
        <v>164</v>
      </c>
      <c r="B10" s="10">
        <v>1</v>
      </c>
      <c r="C10" s="9" t="s">
        <v>549</v>
      </c>
      <c r="D10" s="10">
        <v>0.32</v>
      </c>
      <c r="E10" s="10">
        <v>0.27482078070964922</v>
      </c>
      <c r="F10" s="10">
        <v>0.86</v>
      </c>
      <c r="G10" s="10">
        <v>97.84</v>
      </c>
      <c r="H10" s="10">
        <v>443.65</v>
      </c>
      <c r="I10" s="10">
        <v>0.78</v>
      </c>
      <c r="J10" s="10">
        <v>31.76</v>
      </c>
      <c r="K10" s="10">
        <v>97</v>
      </c>
      <c r="L10" s="13">
        <v>29.56</v>
      </c>
    </row>
    <row r="11" spans="1:23" x14ac:dyDescent="0.45">
      <c r="A11" s="12" t="s">
        <v>589</v>
      </c>
      <c r="B11" s="15">
        <v>2</v>
      </c>
      <c r="C11" s="7" t="s">
        <v>588</v>
      </c>
      <c r="D11" s="8">
        <v>0.28999999999999998</v>
      </c>
      <c r="E11" s="8">
        <v>0.25514439357906332</v>
      </c>
      <c r="F11" s="8">
        <v>1.03</v>
      </c>
      <c r="G11" s="8">
        <v>99.23</v>
      </c>
      <c r="H11" s="8">
        <v>447.65</v>
      </c>
      <c r="I11" s="8">
        <v>0.78</v>
      </c>
      <c r="J11" s="8">
        <v>46.09</v>
      </c>
      <c r="K11" s="8">
        <v>141</v>
      </c>
      <c r="L11" s="12">
        <v>29.76</v>
      </c>
    </row>
    <row r="12" spans="1:23" x14ac:dyDescent="0.45">
      <c r="A12" s="12" t="s">
        <v>589</v>
      </c>
      <c r="B12" s="15">
        <v>2</v>
      </c>
      <c r="C12" s="7" t="s">
        <v>632</v>
      </c>
      <c r="D12" s="8">
        <v>0.23</v>
      </c>
      <c r="E12" s="8">
        <v>0.20694787577260729</v>
      </c>
      <c r="F12" s="8">
        <v>1.08</v>
      </c>
      <c r="G12" s="8">
        <v>100.24</v>
      </c>
      <c r="H12" s="8">
        <v>448.56</v>
      </c>
      <c r="I12" s="8">
        <v>0.78</v>
      </c>
      <c r="J12" s="8">
        <v>47.94</v>
      </c>
      <c r="K12" s="8">
        <v>147</v>
      </c>
      <c r="L12" s="12">
        <v>29.93</v>
      </c>
    </row>
    <row r="13" spans="1:23" x14ac:dyDescent="0.45">
      <c r="A13" s="12" t="s">
        <v>589</v>
      </c>
      <c r="B13" s="15">
        <v>2</v>
      </c>
      <c r="C13" s="7" t="s">
        <v>671</v>
      </c>
      <c r="D13" s="8">
        <v>0.32</v>
      </c>
      <c r="E13" s="8">
        <v>0.27371681243552881</v>
      </c>
      <c r="F13" s="8">
        <v>0.94</v>
      </c>
      <c r="G13" s="8">
        <v>94.14</v>
      </c>
      <c r="H13" s="8">
        <v>427.69</v>
      </c>
      <c r="I13" s="8">
        <v>0.78</v>
      </c>
      <c r="J13" s="8">
        <v>44.87</v>
      </c>
      <c r="K13" s="8">
        <v>137</v>
      </c>
      <c r="L13" s="12">
        <v>29.56</v>
      </c>
    </row>
    <row r="14" spans="1:23" x14ac:dyDescent="0.45">
      <c r="A14" s="12" t="s">
        <v>589</v>
      </c>
      <c r="B14" s="15">
        <v>2</v>
      </c>
      <c r="C14" s="7" t="s">
        <v>710</v>
      </c>
      <c r="D14" s="8">
        <v>0.23</v>
      </c>
      <c r="E14" s="8">
        <v>0.20768680206339629</v>
      </c>
      <c r="F14" s="8">
        <v>1.04</v>
      </c>
      <c r="G14" s="8">
        <v>99.13</v>
      </c>
      <c r="H14" s="8">
        <v>462.36</v>
      </c>
      <c r="I14" s="8">
        <v>0.79</v>
      </c>
      <c r="J14" s="8">
        <v>51.14</v>
      </c>
      <c r="K14" s="8">
        <v>155</v>
      </c>
      <c r="L14" s="12">
        <v>29.87</v>
      </c>
    </row>
    <row r="15" spans="1:23" x14ac:dyDescent="0.45">
      <c r="A15" s="12" t="s">
        <v>589</v>
      </c>
      <c r="B15" s="15">
        <v>2</v>
      </c>
      <c r="C15" s="7" t="s">
        <v>747</v>
      </c>
      <c r="D15" s="8">
        <v>0.35</v>
      </c>
      <c r="E15" s="8">
        <v>0.29231010234954441</v>
      </c>
      <c r="F15" s="8">
        <v>0.88</v>
      </c>
      <c r="G15" s="8">
        <v>95.49</v>
      </c>
      <c r="H15" s="8">
        <v>431.04</v>
      </c>
      <c r="I15" s="8">
        <v>0.78</v>
      </c>
      <c r="J15" s="8">
        <v>57.54</v>
      </c>
      <c r="K15" s="8">
        <v>176</v>
      </c>
      <c r="L15" s="12">
        <v>29.34</v>
      </c>
    </row>
    <row r="16" spans="1:23" x14ac:dyDescent="0.45">
      <c r="A16" s="12" t="s">
        <v>589</v>
      </c>
      <c r="B16" s="15">
        <v>2</v>
      </c>
      <c r="C16" s="7" t="s">
        <v>786</v>
      </c>
      <c r="D16" s="8">
        <v>0.18</v>
      </c>
      <c r="E16" s="8">
        <v>0.17048198681481591</v>
      </c>
      <c r="F16" s="8">
        <v>1.06</v>
      </c>
      <c r="G16" s="8">
        <v>102.75</v>
      </c>
      <c r="H16" s="8">
        <v>457.06</v>
      </c>
      <c r="I16" s="8">
        <v>0.78</v>
      </c>
      <c r="J16" s="8">
        <v>55.35</v>
      </c>
      <c r="K16" s="8">
        <v>170</v>
      </c>
      <c r="L16" s="12">
        <v>30.02</v>
      </c>
    </row>
    <row r="17" spans="1:12" x14ac:dyDescent="0.45">
      <c r="A17" s="12" t="s">
        <v>589</v>
      </c>
      <c r="B17" s="15">
        <v>2</v>
      </c>
      <c r="C17" s="7" t="s">
        <v>824</v>
      </c>
      <c r="D17" s="8">
        <v>0.28999999999999998</v>
      </c>
      <c r="E17" s="8">
        <v>0.25231355910005399</v>
      </c>
      <c r="F17" s="8">
        <v>0.95</v>
      </c>
      <c r="G17" s="8">
        <v>101.43</v>
      </c>
      <c r="H17" s="8">
        <v>441.51</v>
      </c>
      <c r="I17" s="8">
        <v>0.77</v>
      </c>
      <c r="J17" s="8">
        <v>64.06</v>
      </c>
      <c r="K17" s="8">
        <v>198</v>
      </c>
      <c r="L17" s="12">
        <v>29.69</v>
      </c>
    </row>
    <row r="18" spans="1:12" x14ac:dyDescent="0.45">
      <c r="A18" s="12" t="s">
        <v>589</v>
      </c>
      <c r="B18" s="15">
        <v>2</v>
      </c>
      <c r="C18" s="7" t="s">
        <v>861</v>
      </c>
      <c r="D18" s="8">
        <v>0.21</v>
      </c>
      <c r="E18" s="8">
        <v>0.19030734127938659</v>
      </c>
      <c r="F18" s="8">
        <v>1.02</v>
      </c>
      <c r="G18" s="8">
        <v>105.19</v>
      </c>
      <c r="H18" s="8">
        <v>441.09</v>
      </c>
      <c r="I18" s="8">
        <v>0.76</v>
      </c>
      <c r="J18" s="8">
        <v>71.64</v>
      </c>
      <c r="K18" s="8">
        <v>224</v>
      </c>
      <c r="L18" s="12">
        <v>29.73</v>
      </c>
    </row>
    <row r="19" spans="1:12" ht="19.8" thickBot="1" x14ac:dyDescent="0.5">
      <c r="A19" s="13" t="s">
        <v>589</v>
      </c>
      <c r="B19" s="10">
        <v>2</v>
      </c>
      <c r="C19" s="9" t="s">
        <v>899</v>
      </c>
      <c r="D19" s="10">
        <v>0.18</v>
      </c>
      <c r="E19" s="10">
        <v>0.17036104113339451</v>
      </c>
      <c r="F19" s="10">
        <v>1.0900000000000001</v>
      </c>
      <c r="G19" s="10">
        <v>111.65</v>
      </c>
      <c r="H19" s="10">
        <v>469.74</v>
      </c>
      <c r="I19" s="10">
        <v>0.76</v>
      </c>
      <c r="J19" s="10">
        <v>74.92</v>
      </c>
      <c r="K19" s="10">
        <v>234</v>
      </c>
      <c r="L19" s="13">
        <v>30.1</v>
      </c>
    </row>
    <row r="20" spans="1:12" x14ac:dyDescent="0.45">
      <c r="A20" s="12" t="s">
        <v>942</v>
      </c>
      <c r="B20" s="15">
        <v>3</v>
      </c>
      <c r="C20" s="7" t="s">
        <v>941</v>
      </c>
      <c r="D20" s="8">
        <v>0.38</v>
      </c>
      <c r="E20" s="8">
        <v>0.31338401036389368</v>
      </c>
      <c r="F20" s="8">
        <v>1</v>
      </c>
      <c r="G20" s="8">
        <v>109.67</v>
      </c>
      <c r="H20" s="8">
        <v>447.96</v>
      </c>
      <c r="I20" s="8">
        <v>0.76</v>
      </c>
      <c r="J20" s="8">
        <v>81.2</v>
      </c>
      <c r="K20" s="8">
        <v>256</v>
      </c>
      <c r="L20" s="12">
        <v>29.62</v>
      </c>
    </row>
    <row r="21" spans="1:12" x14ac:dyDescent="0.45">
      <c r="A21" s="12" t="s">
        <v>942</v>
      </c>
      <c r="B21" s="15">
        <v>3</v>
      </c>
      <c r="C21" s="7" t="s">
        <v>982</v>
      </c>
      <c r="D21" s="8">
        <v>0.21</v>
      </c>
      <c r="E21" s="8">
        <v>0.19019803015096121</v>
      </c>
      <c r="F21" s="8">
        <v>1.1100000000000001</v>
      </c>
      <c r="G21" s="8">
        <v>120.66</v>
      </c>
      <c r="H21" s="8">
        <v>444.8</v>
      </c>
      <c r="I21" s="8">
        <v>0.73</v>
      </c>
      <c r="J21" s="8">
        <v>75.290000000000006</v>
      </c>
      <c r="K21" s="8">
        <v>246</v>
      </c>
      <c r="L21" s="12">
        <v>30.04</v>
      </c>
    </row>
    <row r="22" spans="1:12" x14ac:dyDescent="0.45">
      <c r="A22" s="12" t="s">
        <v>942</v>
      </c>
      <c r="B22" s="15">
        <v>3</v>
      </c>
      <c r="C22" s="7" t="s">
        <v>1022</v>
      </c>
      <c r="D22" s="8">
        <v>0.31</v>
      </c>
      <c r="E22" s="8">
        <v>0.26785743619194702</v>
      </c>
      <c r="F22" s="8">
        <v>1.04</v>
      </c>
      <c r="G22" s="8">
        <v>112.27</v>
      </c>
      <c r="H22" s="8">
        <v>445.34</v>
      </c>
      <c r="I22" s="8">
        <v>0.75</v>
      </c>
      <c r="J22" s="8">
        <v>76.02</v>
      </c>
      <c r="K22" s="8">
        <v>242</v>
      </c>
      <c r="L22" s="12">
        <v>29.88</v>
      </c>
    </row>
    <row r="23" spans="1:12" x14ac:dyDescent="0.45">
      <c r="A23" s="12" t="s">
        <v>942</v>
      </c>
      <c r="B23" s="15">
        <v>3</v>
      </c>
      <c r="C23" s="7" t="s">
        <v>1061</v>
      </c>
      <c r="D23" s="8">
        <v>0.18</v>
      </c>
      <c r="E23" s="8">
        <v>0.17137386931501161</v>
      </c>
      <c r="F23" s="8">
        <v>1.1299999999999999</v>
      </c>
      <c r="G23" s="8">
        <v>121.82</v>
      </c>
      <c r="H23" s="8">
        <v>455.58</v>
      </c>
      <c r="I23" s="8">
        <v>0.73</v>
      </c>
      <c r="J23" s="8">
        <v>70.77</v>
      </c>
      <c r="K23" s="8">
        <v>230</v>
      </c>
      <c r="L23" s="12">
        <v>30.1</v>
      </c>
    </row>
    <row r="24" spans="1:12" x14ac:dyDescent="0.45">
      <c r="A24" s="12" t="s">
        <v>942</v>
      </c>
      <c r="B24" s="15">
        <v>3</v>
      </c>
      <c r="C24" s="7" t="s">
        <v>1094</v>
      </c>
      <c r="D24" s="8">
        <v>0.21</v>
      </c>
      <c r="E24" s="8">
        <v>0.1887929774579544</v>
      </c>
      <c r="F24" s="8">
        <v>1.08</v>
      </c>
      <c r="G24" s="8">
        <v>111.5</v>
      </c>
      <c r="H24" s="8">
        <v>464.35</v>
      </c>
      <c r="I24" s="8">
        <v>0.76</v>
      </c>
      <c r="J24" s="8">
        <v>53.3</v>
      </c>
      <c r="K24" s="8">
        <v>167</v>
      </c>
      <c r="L24" s="12">
        <v>29.9</v>
      </c>
    </row>
    <row r="25" spans="1:12" x14ac:dyDescent="0.45">
      <c r="A25" s="12" t="s">
        <v>942</v>
      </c>
      <c r="B25" s="15">
        <v>3</v>
      </c>
      <c r="C25" s="7" t="s">
        <v>1133</v>
      </c>
      <c r="D25" s="8">
        <v>0.25</v>
      </c>
      <c r="E25" s="8">
        <v>0.21945295622755959</v>
      </c>
      <c r="F25" s="8">
        <v>1.01</v>
      </c>
      <c r="G25" s="8">
        <v>101.32</v>
      </c>
      <c r="H25" s="8">
        <v>436.79</v>
      </c>
      <c r="I25" s="8">
        <v>0.77</v>
      </c>
      <c r="J25" s="8">
        <v>60</v>
      </c>
      <c r="K25" s="8">
        <v>186</v>
      </c>
      <c r="L25" s="12">
        <v>29.67</v>
      </c>
    </row>
    <row r="26" spans="1:12" x14ac:dyDescent="0.45">
      <c r="A26" s="12" t="s">
        <v>942</v>
      </c>
      <c r="B26" s="15">
        <v>3</v>
      </c>
      <c r="C26" s="7" t="s">
        <v>1173</v>
      </c>
      <c r="D26" s="8">
        <v>0.19</v>
      </c>
      <c r="E26" s="8">
        <v>0.17230493022088189</v>
      </c>
      <c r="F26" s="8">
        <v>1.01</v>
      </c>
      <c r="G26" s="8">
        <v>106.6</v>
      </c>
      <c r="H26" s="8">
        <v>449.2</v>
      </c>
      <c r="I26" s="8">
        <v>0.76</v>
      </c>
      <c r="J26" s="8">
        <v>53.81</v>
      </c>
      <c r="K26" s="8">
        <v>168</v>
      </c>
      <c r="L26" s="12">
        <v>29.73</v>
      </c>
    </row>
    <row r="27" spans="1:12" x14ac:dyDescent="0.45">
      <c r="A27" s="12" t="s">
        <v>942</v>
      </c>
      <c r="B27" s="15">
        <v>3</v>
      </c>
      <c r="C27" s="7" t="s">
        <v>1207</v>
      </c>
      <c r="D27" s="8">
        <v>0.22</v>
      </c>
      <c r="E27" s="8">
        <v>0.1975960345168061</v>
      </c>
      <c r="F27" s="8">
        <v>0.99</v>
      </c>
      <c r="G27" s="8">
        <v>103.57</v>
      </c>
      <c r="H27" s="8">
        <v>442.29</v>
      </c>
      <c r="I27" s="8">
        <v>0.77</v>
      </c>
      <c r="J27" s="8">
        <v>52.75</v>
      </c>
      <c r="K27" s="8">
        <v>164</v>
      </c>
      <c r="L27" s="12">
        <v>29.67</v>
      </c>
    </row>
    <row r="28" spans="1:12" ht="19.8" thickBot="1" x14ac:dyDescent="0.5">
      <c r="A28" s="13" t="s">
        <v>942</v>
      </c>
      <c r="B28" s="10">
        <v>3</v>
      </c>
      <c r="C28" s="9" t="s">
        <v>1240</v>
      </c>
      <c r="D28" s="10">
        <v>0.16</v>
      </c>
      <c r="E28" s="10">
        <v>0.1469540211935742</v>
      </c>
      <c r="F28" s="10">
        <v>1.1399999999999999</v>
      </c>
      <c r="G28" s="10">
        <v>112.49</v>
      </c>
      <c r="H28" s="10">
        <v>471.03</v>
      </c>
      <c r="I28" s="10">
        <v>0.76</v>
      </c>
      <c r="J28" s="10">
        <v>54.03</v>
      </c>
      <c r="K28" s="10">
        <v>169</v>
      </c>
      <c r="L28" s="13">
        <v>29.94</v>
      </c>
    </row>
    <row r="29" spans="1:12" x14ac:dyDescent="0.45">
      <c r="A29" s="12" t="s">
        <v>1280</v>
      </c>
      <c r="B29" s="15">
        <v>4</v>
      </c>
      <c r="C29" s="7" t="s">
        <v>1279</v>
      </c>
      <c r="D29" s="8">
        <v>0.1</v>
      </c>
      <c r="E29" s="8">
        <v>0.1004004740407072</v>
      </c>
      <c r="F29" s="8">
        <v>1.18</v>
      </c>
      <c r="G29" s="8">
        <v>107.66</v>
      </c>
      <c r="H29" s="8">
        <v>458.55</v>
      </c>
      <c r="I29" s="8">
        <v>0.77</v>
      </c>
      <c r="J29" s="8">
        <v>48.21</v>
      </c>
      <c r="K29" s="8">
        <v>150</v>
      </c>
      <c r="L29" s="12">
        <v>30.04</v>
      </c>
    </row>
    <row r="30" spans="1:12" x14ac:dyDescent="0.45">
      <c r="A30" s="12" t="s">
        <v>1280</v>
      </c>
      <c r="B30" s="15">
        <v>4</v>
      </c>
      <c r="C30" s="7" t="s">
        <v>1317</v>
      </c>
      <c r="D30" s="8">
        <v>7.0000000000000007E-2</v>
      </c>
      <c r="E30" s="8">
        <v>7.3102497336936023E-2</v>
      </c>
      <c r="F30" s="8">
        <v>1.25</v>
      </c>
      <c r="G30" s="8">
        <v>122.98</v>
      </c>
      <c r="H30" s="8">
        <v>448.54</v>
      </c>
      <c r="I30" s="8">
        <v>0.73</v>
      </c>
      <c r="J30" s="8">
        <v>42.37</v>
      </c>
      <c r="K30" s="8">
        <v>139</v>
      </c>
      <c r="L30" s="12">
        <v>30.13</v>
      </c>
    </row>
    <row r="31" spans="1:12" x14ac:dyDescent="0.45">
      <c r="A31" s="12" t="s">
        <v>1280</v>
      </c>
      <c r="B31" s="15">
        <v>4</v>
      </c>
      <c r="C31" s="7" t="s">
        <v>1352</v>
      </c>
      <c r="D31" s="8">
        <v>0.05</v>
      </c>
      <c r="E31" s="8">
        <v>4.8630267143168787E-2</v>
      </c>
      <c r="F31" s="8">
        <v>1.23</v>
      </c>
      <c r="G31" s="8">
        <v>110.76</v>
      </c>
      <c r="H31" s="8">
        <v>466.51</v>
      </c>
      <c r="I31" s="8">
        <v>0.76</v>
      </c>
      <c r="J31" s="8">
        <v>44.52</v>
      </c>
      <c r="K31" s="8">
        <v>139</v>
      </c>
      <c r="L31" s="12">
        <v>30.07</v>
      </c>
    </row>
    <row r="32" spans="1:12" x14ac:dyDescent="0.45">
      <c r="A32" s="12" t="s">
        <v>1280</v>
      </c>
      <c r="B32" s="15">
        <v>4</v>
      </c>
      <c r="C32" s="7" t="s">
        <v>1390</v>
      </c>
      <c r="D32" s="8"/>
      <c r="E32" s="8"/>
      <c r="F32" s="8">
        <v>1.1399999999999999</v>
      </c>
      <c r="G32" s="8">
        <v>118.79</v>
      </c>
      <c r="H32" s="8">
        <v>454.99</v>
      </c>
      <c r="I32" s="8">
        <v>0.74</v>
      </c>
      <c r="J32" s="8">
        <v>45.62</v>
      </c>
      <c r="K32" s="8">
        <v>147</v>
      </c>
      <c r="L32" s="12">
        <v>29.62</v>
      </c>
    </row>
    <row r="33" spans="1:12" x14ac:dyDescent="0.45">
      <c r="A33" s="12" t="s">
        <v>1280</v>
      </c>
      <c r="B33" s="15">
        <v>4</v>
      </c>
      <c r="C33" s="7" t="s">
        <v>1423</v>
      </c>
      <c r="D33" s="8">
        <v>0.1</v>
      </c>
      <c r="E33" s="8">
        <v>9.6941026330693292E-2</v>
      </c>
      <c r="F33" s="8">
        <v>1.1499999999999999</v>
      </c>
      <c r="G33" s="8">
        <v>116.35</v>
      </c>
      <c r="H33" s="8">
        <v>473.27</v>
      </c>
      <c r="I33" s="8">
        <v>0.75</v>
      </c>
      <c r="J33" s="8">
        <v>48.78</v>
      </c>
      <c r="K33" s="8">
        <v>154</v>
      </c>
      <c r="L33" s="12">
        <v>29.76</v>
      </c>
    </row>
    <row r="34" spans="1:12" x14ac:dyDescent="0.45">
      <c r="A34" s="12" t="s">
        <v>1280</v>
      </c>
      <c r="B34" s="15">
        <v>4</v>
      </c>
      <c r="C34" s="7" t="s">
        <v>1458</v>
      </c>
      <c r="D34" s="8">
        <v>0.04</v>
      </c>
      <c r="E34" s="8">
        <v>4.0952170526774981E-2</v>
      </c>
      <c r="F34" s="8">
        <v>1.18</v>
      </c>
      <c r="G34" s="8">
        <v>116.37</v>
      </c>
      <c r="H34" s="8">
        <v>461.34</v>
      </c>
      <c r="I34" s="8">
        <v>0.75</v>
      </c>
      <c r="J34" s="8">
        <v>45.85</v>
      </c>
      <c r="K34" s="8">
        <v>146</v>
      </c>
      <c r="L34" s="12">
        <v>29.83</v>
      </c>
    </row>
    <row r="35" spans="1:12" x14ac:dyDescent="0.45">
      <c r="A35" s="12" t="s">
        <v>1280</v>
      </c>
      <c r="B35" s="15">
        <v>4</v>
      </c>
      <c r="C35" s="7" t="s">
        <v>1497</v>
      </c>
      <c r="D35" s="8">
        <v>0.03</v>
      </c>
      <c r="E35" s="8">
        <v>3.3546955059384889E-2</v>
      </c>
      <c r="F35" s="8">
        <v>1.1599999999999999</v>
      </c>
      <c r="G35" s="8">
        <v>108.47</v>
      </c>
      <c r="H35" s="8">
        <v>448.66</v>
      </c>
      <c r="I35" s="8">
        <v>0.76</v>
      </c>
      <c r="J35" s="8">
        <v>46.81</v>
      </c>
      <c r="K35" s="8">
        <v>147</v>
      </c>
      <c r="L35" s="12">
        <v>29.7</v>
      </c>
    </row>
    <row r="36" spans="1:12" x14ac:dyDescent="0.45">
      <c r="A36" s="12" t="s">
        <v>1280</v>
      </c>
      <c r="B36" s="15">
        <v>4</v>
      </c>
      <c r="C36" s="7" t="s">
        <v>1535</v>
      </c>
      <c r="D36" s="8">
        <v>7.0000000000000007E-2</v>
      </c>
      <c r="E36" s="8">
        <v>6.9972693607340111E-2</v>
      </c>
      <c r="F36" s="8">
        <v>1.1599999999999999</v>
      </c>
      <c r="G36" s="8">
        <v>110.25</v>
      </c>
      <c r="H36" s="8">
        <v>453.81</v>
      </c>
      <c r="I36" s="8">
        <v>0.76</v>
      </c>
      <c r="J36" s="8">
        <v>48.97</v>
      </c>
      <c r="K36" s="8">
        <v>154</v>
      </c>
      <c r="L36" s="12">
        <v>29.73</v>
      </c>
    </row>
    <row r="37" spans="1:12" ht="19.8" thickBot="1" x14ac:dyDescent="0.5">
      <c r="A37" s="13" t="s">
        <v>1280</v>
      </c>
      <c r="B37" s="10">
        <v>4</v>
      </c>
      <c r="C37" s="9" t="s">
        <v>1570</v>
      </c>
      <c r="D37" s="10">
        <v>0.17</v>
      </c>
      <c r="E37" s="10">
        <v>0.1578095068872889</v>
      </c>
      <c r="F37" s="10">
        <v>1.1000000000000001</v>
      </c>
      <c r="G37" s="10">
        <v>108.59</v>
      </c>
      <c r="H37" s="10">
        <v>466.57</v>
      </c>
      <c r="I37" s="10">
        <v>0.77</v>
      </c>
      <c r="J37" s="10">
        <v>48.98</v>
      </c>
      <c r="K37" s="10">
        <v>152</v>
      </c>
      <c r="L37" s="13">
        <v>29.63</v>
      </c>
    </row>
    <row r="38" spans="1:12" x14ac:dyDescent="0.45">
      <c r="A38" s="12" t="s">
        <v>1607</v>
      </c>
      <c r="B38" s="15">
        <v>5</v>
      </c>
      <c r="C38" s="7" t="s">
        <v>1606</v>
      </c>
      <c r="D38" s="8">
        <v>0.24</v>
      </c>
      <c r="E38" s="8">
        <v>0.21419697117900779</v>
      </c>
      <c r="F38" s="8">
        <v>1.07</v>
      </c>
      <c r="G38" s="8">
        <v>123.54</v>
      </c>
      <c r="H38" s="8">
        <v>474.15</v>
      </c>
      <c r="I38" s="8">
        <v>0.74</v>
      </c>
      <c r="J38" s="8">
        <v>52.8</v>
      </c>
      <c r="K38" s="8">
        <v>170</v>
      </c>
      <c r="L38" s="12">
        <v>29.44</v>
      </c>
    </row>
    <row r="39" spans="1:12" x14ac:dyDescent="0.45">
      <c r="A39" s="12" t="s">
        <v>1607</v>
      </c>
      <c r="B39" s="15">
        <v>5</v>
      </c>
      <c r="C39" s="7" t="s">
        <v>1643</v>
      </c>
      <c r="D39" s="8">
        <v>0.34</v>
      </c>
      <c r="E39" s="8">
        <v>0.28852716268149742</v>
      </c>
      <c r="F39" s="8">
        <v>1</v>
      </c>
      <c r="G39" s="8">
        <v>111.2</v>
      </c>
      <c r="H39" s="8">
        <v>477.05</v>
      </c>
      <c r="I39" s="8">
        <v>0.77</v>
      </c>
      <c r="J39" s="8">
        <v>57.98</v>
      </c>
      <c r="K39" s="8">
        <v>180</v>
      </c>
      <c r="L39" s="12">
        <v>29.16</v>
      </c>
    </row>
    <row r="40" spans="1:12" x14ac:dyDescent="0.45">
      <c r="A40" s="12" t="s">
        <v>1607</v>
      </c>
      <c r="B40" s="15">
        <v>5</v>
      </c>
      <c r="C40" s="7" t="s">
        <v>1680</v>
      </c>
      <c r="D40" s="8">
        <v>0.24</v>
      </c>
      <c r="E40" s="8">
        <v>0.21339867979250321</v>
      </c>
      <c r="F40" s="8">
        <v>1.05</v>
      </c>
      <c r="G40" s="8">
        <v>118.89</v>
      </c>
      <c r="H40" s="8">
        <v>478.67</v>
      </c>
      <c r="I40" s="8">
        <v>0.75</v>
      </c>
      <c r="J40" s="8">
        <v>57.77</v>
      </c>
      <c r="K40" s="8">
        <v>183</v>
      </c>
      <c r="L40" s="12">
        <v>29.34</v>
      </c>
    </row>
    <row r="41" spans="1:12" x14ac:dyDescent="0.45">
      <c r="A41" s="12" t="s">
        <v>1607</v>
      </c>
      <c r="B41" s="15">
        <v>5</v>
      </c>
      <c r="C41" s="7" t="s">
        <v>1715</v>
      </c>
      <c r="D41" s="8">
        <v>0.25</v>
      </c>
      <c r="E41" s="8">
        <v>0.22128946971517419</v>
      </c>
      <c r="F41" s="8">
        <v>1.02</v>
      </c>
      <c r="G41" s="8">
        <v>103.84</v>
      </c>
      <c r="H41" s="8">
        <v>449.42</v>
      </c>
      <c r="I41" s="8">
        <v>0.77</v>
      </c>
      <c r="J41" s="8">
        <v>62.65</v>
      </c>
      <c r="K41" s="8">
        <v>194</v>
      </c>
      <c r="L41" s="12">
        <v>29.22</v>
      </c>
    </row>
    <row r="42" spans="1:12" x14ac:dyDescent="0.45">
      <c r="A42" s="12" t="s">
        <v>1607</v>
      </c>
      <c r="B42" s="15">
        <v>5</v>
      </c>
      <c r="C42" s="7" t="s">
        <v>1751</v>
      </c>
      <c r="D42" s="8">
        <v>0.31</v>
      </c>
      <c r="E42" s="8">
        <v>0.26775752043157253</v>
      </c>
      <c r="F42" s="8">
        <v>0.99</v>
      </c>
      <c r="G42" s="8">
        <v>110.91</v>
      </c>
      <c r="H42" s="8">
        <v>471.8</v>
      </c>
      <c r="I42" s="8">
        <v>0.76</v>
      </c>
      <c r="J42" s="8">
        <v>59.11</v>
      </c>
      <c r="K42" s="8">
        <v>184</v>
      </c>
      <c r="L42" s="12">
        <v>29.13</v>
      </c>
    </row>
    <row r="43" spans="1:12" x14ac:dyDescent="0.45">
      <c r="A43" s="12" t="s">
        <v>1607</v>
      </c>
      <c r="B43" s="15">
        <v>5</v>
      </c>
      <c r="C43" s="7" t="s">
        <v>1787</v>
      </c>
      <c r="D43" s="8">
        <v>0.24</v>
      </c>
      <c r="E43" s="8">
        <v>0.2178929337014277</v>
      </c>
      <c r="F43" s="8">
        <v>1.01</v>
      </c>
      <c r="G43" s="8">
        <v>112.42</v>
      </c>
      <c r="H43" s="8">
        <v>463.84</v>
      </c>
      <c r="I43" s="8">
        <v>0.76</v>
      </c>
      <c r="J43" s="8">
        <v>62.37</v>
      </c>
      <c r="K43" s="8">
        <v>196</v>
      </c>
      <c r="L43" s="12">
        <v>29.35</v>
      </c>
    </row>
    <row r="44" spans="1:12" x14ac:dyDescent="0.45">
      <c r="A44" s="12" t="s">
        <v>1607</v>
      </c>
      <c r="B44" s="15">
        <v>5</v>
      </c>
      <c r="C44" s="7" t="s">
        <v>1829</v>
      </c>
      <c r="D44" s="8">
        <v>0.23</v>
      </c>
      <c r="E44" s="8">
        <v>0.20419574838783569</v>
      </c>
      <c r="F44" s="8">
        <v>0.99</v>
      </c>
      <c r="G44" s="8">
        <v>102.48</v>
      </c>
      <c r="H44" s="8">
        <v>455.83</v>
      </c>
      <c r="I44" s="8">
        <v>0.78</v>
      </c>
      <c r="J44" s="8">
        <v>38.090000000000003</v>
      </c>
      <c r="K44" s="8">
        <v>117</v>
      </c>
      <c r="L44" s="12">
        <v>29.24</v>
      </c>
    </row>
    <row r="45" spans="1:12" x14ac:dyDescent="0.45">
      <c r="A45" s="12" t="s">
        <v>1607</v>
      </c>
      <c r="B45" s="15">
        <v>5</v>
      </c>
      <c r="C45" s="7" t="s">
        <v>1865</v>
      </c>
      <c r="D45" s="8">
        <v>0.24</v>
      </c>
      <c r="E45" s="8">
        <v>0.2153412976865737</v>
      </c>
      <c r="F45" s="8">
        <v>1</v>
      </c>
      <c r="G45" s="8">
        <v>115.55</v>
      </c>
      <c r="H45" s="8">
        <v>471.97</v>
      </c>
      <c r="I45" s="8">
        <v>0.76</v>
      </c>
      <c r="J45" s="8">
        <v>59.95</v>
      </c>
      <c r="K45" s="8">
        <v>189</v>
      </c>
      <c r="L45" s="12">
        <v>29.31</v>
      </c>
    </row>
    <row r="46" spans="1:12" ht="19.8" thickBot="1" x14ac:dyDescent="0.5">
      <c r="A46" s="13" t="s">
        <v>1607</v>
      </c>
      <c r="B46" s="10">
        <v>5</v>
      </c>
      <c r="C46" s="9" t="s">
        <v>1901</v>
      </c>
      <c r="D46" s="10">
        <v>0.18</v>
      </c>
      <c r="E46" s="10">
        <v>0.16709412094648601</v>
      </c>
      <c r="F46" s="10">
        <v>0.99</v>
      </c>
      <c r="G46" s="10">
        <v>110.33</v>
      </c>
      <c r="H46" s="10">
        <v>457.87</v>
      </c>
      <c r="I46" s="10">
        <v>0.76</v>
      </c>
      <c r="J46" s="10">
        <v>57.06</v>
      </c>
      <c r="K46" s="10">
        <v>179</v>
      </c>
      <c r="L46" s="13">
        <v>29.27</v>
      </c>
    </row>
    <row r="47" spans="1:12" x14ac:dyDescent="0.45">
      <c r="A47" s="12" t="s">
        <v>2250</v>
      </c>
      <c r="B47" s="15">
        <v>6</v>
      </c>
      <c r="C47" s="7" t="s">
        <v>1938</v>
      </c>
      <c r="D47" s="8">
        <v>0.1</v>
      </c>
      <c r="E47" s="8">
        <v>9.9349594628848875E-2</v>
      </c>
      <c r="F47" s="8">
        <v>1.1599999999999999</v>
      </c>
      <c r="G47" s="8">
        <v>120.42</v>
      </c>
      <c r="H47" s="8">
        <v>462.64</v>
      </c>
      <c r="I47" s="8">
        <v>0.74</v>
      </c>
      <c r="J47" s="8">
        <v>59.03</v>
      </c>
      <c r="K47" s="8">
        <v>190</v>
      </c>
      <c r="L47" s="12">
        <v>29.55</v>
      </c>
    </row>
    <row r="48" spans="1:12" x14ac:dyDescent="0.45">
      <c r="A48" s="12" t="s">
        <v>2250</v>
      </c>
      <c r="B48" s="15">
        <v>6</v>
      </c>
      <c r="C48" s="7" t="s">
        <v>1974</v>
      </c>
      <c r="D48" s="8">
        <v>0.19</v>
      </c>
      <c r="E48" s="8">
        <v>0.1770664347758594</v>
      </c>
      <c r="F48" s="8">
        <v>1.03</v>
      </c>
      <c r="G48" s="8">
        <v>115.33</v>
      </c>
      <c r="H48" s="8">
        <v>451.25</v>
      </c>
      <c r="I48" s="8">
        <v>0.74</v>
      </c>
      <c r="J48" s="8">
        <v>51.9</v>
      </c>
      <c r="K48" s="8">
        <v>166</v>
      </c>
      <c r="L48" s="12">
        <v>29.35</v>
      </c>
    </row>
    <row r="49" spans="1:12" x14ac:dyDescent="0.45">
      <c r="A49" s="12" t="s">
        <v>2250</v>
      </c>
      <c r="B49" s="15">
        <v>6</v>
      </c>
      <c r="C49" s="7" t="s">
        <v>2009</v>
      </c>
      <c r="D49" s="8">
        <v>0.23</v>
      </c>
      <c r="E49" s="8">
        <v>0.20987707674804279</v>
      </c>
      <c r="F49" s="8">
        <v>0.99</v>
      </c>
      <c r="G49" s="8">
        <v>119.36</v>
      </c>
      <c r="H49" s="8">
        <v>487.76</v>
      </c>
      <c r="I49" s="8">
        <v>0.76</v>
      </c>
      <c r="J49" s="8">
        <v>52.66</v>
      </c>
      <c r="K49" s="8">
        <v>166</v>
      </c>
      <c r="L49" s="12">
        <v>29.29</v>
      </c>
    </row>
    <row r="50" spans="1:12" x14ac:dyDescent="0.45">
      <c r="A50" s="12" t="s">
        <v>2250</v>
      </c>
      <c r="B50" s="15">
        <v>6</v>
      </c>
      <c r="C50" s="7" t="s">
        <v>2047</v>
      </c>
      <c r="D50" s="8">
        <v>0.13</v>
      </c>
      <c r="E50" s="8">
        <v>0.1203913456684364</v>
      </c>
      <c r="F50" s="8">
        <v>1.1100000000000001</v>
      </c>
      <c r="G50" s="8">
        <v>114</v>
      </c>
      <c r="H50" s="8">
        <v>473.5</v>
      </c>
      <c r="I50" s="8">
        <v>0.76</v>
      </c>
      <c r="J50" s="8">
        <v>42.41</v>
      </c>
      <c r="K50" s="8">
        <v>133</v>
      </c>
      <c r="L50" s="12">
        <v>29.61</v>
      </c>
    </row>
    <row r="51" spans="1:12" x14ac:dyDescent="0.45">
      <c r="A51" s="12" t="s">
        <v>2250</v>
      </c>
      <c r="B51" s="15">
        <v>6</v>
      </c>
      <c r="C51" s="7" t="s">
        <v>2077</v>
      </c>
      <c r="D51" s="8">
        <v>0.23</v>
      </c>
      <c r="E51" s="8">
        <v>0.20666667668245381</v>
      </c>
      <c r="F51" s="8">
        <v>0.99</v>
      </c>
      <c r="G51" s="8">
        <v>142.15</v>
      </c>
      <c r="H51" s="8">
        <v>530.69000000000005</v>
      </c>
      <c r="I51" s="8">
        <v>0.73</v>
      </c>
      <c r="J51" s="8">
        <v>49.51</v>
      </c>
      <c r="K51" s="8">
        <v>161</v>
      </c>
      <c r="L51" s="12">
        <v>29.26</v>
      </c>
    </row>
    <row r="52" spans="1:12" x14ac:dyDescent="0.45">
      <c r="A52" s="12" t="s">
        <v>2250</v>
      </c>
      <c r="B52" s="15">
        <v>6</v>
      </c>
      <c r="C52" s="7" t="s">
        <v>2110</v>
      </c>
      <c r="D52" s="8">
        <v>0.21</v>
      </c>
      <c r="E52" s="8">
        <v>0.19557059142353539</v>
      </c>
      <c r="F52" s="8">
        <v>1.01</v>
      </c>
      <c r="G52" s="8">
        <v>114.64</v>
      </c>
      <c r="H52" s="8">
        <v>477.83</v>
      </c>
      <c r="I52" s="8">
        <v>0.76</v>
      </c>
      <c r="J52" s="8">
        <v>52.04</v>
      </c>
      <c r="K52" s="8">
        <v>163</v>
      </c>
      <c r="L52" s="12">
        <v>29.16</v>
      </c>
    </row>
    <row r="53" spans="1:12" x14ac:dyDescent="0.45">
      <c r="A53" s="12" t="s">
        <v>2250</v>
      </c>
      <c r="B53" s="15">
        <v>6</v>
      </c>
      <c r="C53" s="7" t="s">
        <v>2145</v>
      </c>
      <c r="D53" s="8">
        <v>0.27</v>
      </c>
      <c r="E53" s="8">
        <v>0.23847246644289161</v>
      </c>
      <c r="F53" s="8">
        <v>0.97</v>
      </c>
      <c r="G53" s="8">
        <v>110.72</v>
      </c>
      <c r="H53" s="8">
        <v>475.23</v>
      </c>
      <c r="I53" s="8">
        <v>0.77</v>
      </c>
      <c r="J53" s="8">
        <v>47.68</v>
      </c>
      <c r="K53" s="8">
        <v>148</v>
      </c>
      <c r="L53" s="12">
        <v>29</v>
      </c>
    </row>
    <row r="54" spans="1:12" x14ac:dyDescent="0.45">
      <c r="A54" s="12" t="s">
        <v>2250</v>
      </c>
      <c r="B54" s="15">
        <v>6</v>
      </c>
      <c r="C54" s="7" t="s">
        <v>2177</v>
      </c>
      <c r="D54" s="8">
        <v>0.21</v>
      </c>
      <c r="E54" s="8">
        <v>0.1893785244186898</v>
      </c>
      <c r="F54" s="8">
        <v>0.98</v>
      </c>
      <c r="G54" s="8">
        <v>114.28</v>
      </c>
      <c r="H54" s="8">
        <v>468.1</v>
      </c>
      <c r="I54" s="8">
        <v>0.76</v>
      </c>
      <c r="J54" s="8">
        <v>48.25</v>
      </c>
      <c r="K54" s="8">
        <v>152</v>
      </c>
      <c r="L54" s="12">
        <v>29.29</v>
      </c>
    </row>
    <row r="55" spans="1:12" ht="19.8" thickBot="1" x14ac:dyDescent="0.5">
      <c r="A55" s="13" t="s">
        <v>2250</v>
      </c>
      <c r="B55" s="10">
        <v>6</v>
      </c>
      <c r="C55" s="9" t="s">
        <v>2214</v>
      </c>
      <c r="D55" s="10">
        <v>0.12</v>
      </c>
      <c r="E55" s="10">
        <v>0.11261241886978079</v>
      </c>
      <c r="F55" s="10">
        <v>1.04</v>
      </c>
      <c r="G55" s="10">
        <v>114.29</v>
      </c>
      <c r="H55" s="10">
        <v>466.65</v>
      </c>
      <c r="I55" s="10">
        <v>0.76</v>
      </c>
      <c r="J55" s="10">
        <v>42.18</v>
      </c>
      <c r="K55" s="10">
        <v>133</v>
      </c>
      <c r="L55" s="13">
        <v>29.43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수식x</vt:lpstr>
      <vt:lpstr>Clean_Data</vt:lpstr>
      <vt:lpstr>Selected_Data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2026-09-03T13:47:13Z</dcterms:created>
  <dcterms:modified xsi:type="dcterms:W3CDTF">2026-10-26T04:34:51Z</dcterms:modified>
</cp:coreProperties>
</file>