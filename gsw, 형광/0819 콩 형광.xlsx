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7" documentId="13_ncr:1_{09A32D48-56B1-4DAA-B233-648A4A38C200}" xr6:coauthVersionLast="47" xr6:coauthVersionMax="47" xr10:uidLastSave="{B4E9AB1A-84F7-4231-A4BF-4EFA07FAE4A5}"/>
  <bookViews>
    <workbookView xWindow="-108" yWindow="-108" windowWidth="23256" windowHeight="12456" activeTab="1" xr2:uid="{00000000-000D-0000-FFFF-FFFF00000000}"/>
  </bookViews>
  <sheets>
    <sheet name="dar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P21" i="1" s="1"/>
  <c r="AF21" i="1"/>
  <c r="U21" i="1"/>
  <c r="M21" i="1"/>
  <c r="K21" i="1"/>
  <c r="AL20" i="1"/>
  <c r="P20" i="1" s="1"/>
  <c r="AF20" i="1"/>
  <c r="U20" i="1"/>
  <c r="M20" i="1"/>
  <c r="K20" i="1"/>
  <c r="AL19" i="1"/>
  <c r="P19" i="1" s="1"/>
  <c r="AF19" i="1"/>
  <c r="U19" i="1"/>
  <c r="M19" i="1" s="1"/>
  <c r="K19" i="1"/>
  <c r="AL18" i="1"/>
  <c r="P18" i="1" s="1"/>
  <c r="AF18" i="1"/>
  <c r="U18" i="1"/>
  <c r="M18" i="1" s="1"/>
  <c r="K18" i="1"/>
  <c r="AL17" i="1"/>
  <c r="P17" i="1" s="1"/>
  <c r="AF17" i="1"/>
  <c r="U17" i="1"/>
  <c r="M17" i="1"/>
  <c r="K17" i="1"/>
  <c r="AL16" i="1"/>
  <c r="P16" i="1" s="1"/>
  <c r="AF16" i="1"/>
  <c r="U16" i="1"/>
  <c r="M16" i="1"/>
  <c r="K16" i="1"/>
  <c r="AL15" i="1"/>
  <c r="P15" i="1" s="1"/>
  <c r="AF15" i="1"/>
  <c r="U15" i="1"/>
  <c r="M15" i="1" s="1"/>
  <c r="K15" i="1"/>
  <c r="AL14" i="1"/>
  <c r="P14" i="1" s="1"/>
  <c r="AF14" i="1"/>
  <c r="U14" i="1"/>
  <c r="M14" i="1" s="1"/>
  <c r="K14" i="1"/>
  <c r="AL13" i="1"/>
  <c r="P13" i="1" s="1"/>
  <c r="AF13" i="1"/>
  <c r="U13" i="1"/>
  <c r="M13" i="1"/>
  <c r="K13" i="1"/>
  <c r="AL12" i="1"/>
  <c r="P12" i="1" s="1"/>
  <c r="AF12" i="1"/>
  <c r="U12" i="1"/>
  <c r="M12" i="1" s="1"/>
  <c r="K12" i="1"/>
  <c r="AL11" i="1"/>
  <c r="P11" i="1" s="1"/>
  <c r="AF11" i="1"/>
  <c r="U11" i="1"/>
  <c r="M11" i="1" s="1"/>
  <c r="K11" i="1"/>
  <c r="AL10" i="1"/>
  <c r="P10" i="1" s="1"/>
  <c r="AF10" i="1"/>
  <c r="U10" i="1"/>
  <c r="M10" i="1"/>
  <c r="K10" i="1"/>
  <c r="AL9" i="1"/>
  <c r="P9" i="1" s="1"/>
  <c r="AF9" i="1"/>
  <c r="U9" i="1"/>
  <c r="M9" i="1"/>
  <c r="K9" i="1"/>
  <c r="AL8" i="1"/>
  <c r="P8" i="1" s="1"/>
  <c r="AF8" i="1"/>
  <c r="U8" i="1"/>
  <c r="M8" i="1" s="1"/>
  <c r="K8" i="1"/>
  <c r="AL7" i="1"/>
  <c r="P7" i="1" s="1"/>
  <c r="AF7" i="1"/>
  <c r="U7" i="1"/>
  <c r="M7" i="1" s="1"/>
  <c r="K7" i="1"/>
  <c r="AL6" i="1"/>
  <c r="P6" i="1" s="1"/>
  <c r="AF6" i="1"/>
  <c r="U6" i="1"/>
  <c r="M6" i="1"/>
  <c r="K6" i="1"/>
  <c r="AL5" i="1"/>
  <c r="P5" i="1" s="1"/>
  <c r="AF5" i="1"/>
  <c r="U5" i="1"/>
  <c r="M5" i="1" s="1"/>
  <c r="K5" i="1"/>
  <c r="AL4" i="1"/>
  <c r="P4" i="1" s="1"/>
  <c r="AF4" i="1"/>
  <c r="U4" i="1"/>
  <c r="M4" i="1" s="1"/>
  <c r="K4" i="1"/>
  <c r="Q15" i="1" l="1"/>
  <c r="T15" i="1"/>
  <c r="Q19" i="1"/>
  <c r="T19" i="1"/>
  <c r="L19" i="1" s="1"/>
  <c r="J19" i="1" s="1"/>
  <c r="T4" i="1"/>
  <c r="L4" i="1" s="1"/>
  <c r="J4" i="1" s="1"/>
  <c r="Q4" i="1"/>
  <c r="T10" i="1"/>
  <c r="L10" i="1" s="1"/>
  <c r="J10" i="1" s="1"/>
  <c r="Q10" i="1"/>
  <c r="T16" i="1"/>
  <c r="L16" i="1" s="1"/>
  <c r="J16" i="1" s="1"/>
  <c r="Q16" i="1"/>
  <c r="Q6" i="1"/>
  <c r="T6" i="1"/>
  <c r="L6" i="1" s="1"/>
  <c r="J6" i="1" s="1"/>
  <c r="T18" i="1"/>
  <c r="L18" i="1" s="1"/>
  <c r="J18" i="1" s="1"/>
  <c r="Q18" i="1"/>
  <c r="T7" i="1"/>
  <c r="L7" i="1" s="1"/>
  <c r="J7" i="1" s="1"/>
  <c r="Q7" i="1"/>
  <c r="T20" i="1"/>
  <c r="L20" i="1" s="1"/>
  <c r="J20" i="1" s="1"/>
  <c r="Q20" i="1"/>
  <c r="Q13" i="1"/>
  <c r="T13" i="1"/>
  <c r="L13" i="1" s="1"/>
  <c r="J13" i="1" s="1"/>
  <c r="T9" i="1"/>
  <c r="L9" i="1" s="1"/>
  <c r="J9" i="1" s="1"/>
  <c r="Q9" i="1"/>
  <c r="L15" i="1"/>
  <c r="J15" i="1" s="1"/>
  <c r="T11" i="1"/>
  <c r="L11" i="1" s="1"/>
  <c r="J11" i="1" s="1"/>
  <c r="Q11" i="1"/>
  <c r="Q8" i="1"/>
  <c r="T8" i="1"/>
  <c r="L8" i="1" s="1"/>
  <c r="J8" i="1" s="1"/>
  <c r="Q5" i="1"/>
  <c r="T5" i="1"/>
  <c r="L5" i="1" s="1"/>
  <c r="J5" i="1" s="1"/>
  <c r="T12" i="1"/>
  <c r="L12" i="1" s="1"/>
  <c r="J12" i="1" s="1"/>
  <c r="Q12" i="1"/>
  <c r="T17" i="1"/>
  <c r="L17" i="1" s="1"/>
  <c r="J17" i="1" s="1"/>
  <c r="Q17" i="1"/>
  <c r="T14" i="1"/>
  <c r="L14" i="1" s="1"/>
  <c r="J14" i="1" s="1"/>
  <c r="Q14" i="1"/>
  <c r="Q21" i="1"/>
  <c r="T21" i="1"/>
  <c r="L21" i="1" s="1"/>
  <c r="J21" i="1" s="1"/>
</calcChain>
</file>

<file path=xl/sharedStrings.xml><?xml version="1.0" encoding="utf-8"?>
<sst xmlns="http://schemas.openxmlformats.org/spreadsheetml/2006/main" count="2090" uniqueCount="723">
  <si>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</si>
  <si>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</si>
  <si>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</si>
  <si>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</si>
  <si>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</si>
  <si>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</si>
  <si>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</si>
  <si>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</si>
  <si>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</si>
  <si>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</si>
  <si>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</si>
  <si>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</si>
  <si>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</si>
  <si>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</si>
  <si>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</si>
  <si>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</si>
  <si>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</si>
  <si>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</si>
  <si>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</si>
  <si>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</si>
  <si>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</si>
  <si>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</si>
  <si>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</si>
  <si>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</si>
  <si>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</si>
  <si>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</si>
  <si>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</si>
  <si>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</si>
  <si>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</si>
  <si>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</si>
  <si>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</si>
  <si>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</si>
  <si>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</si>
  <si>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</si>
  <si>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</si>
  <si>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</si>
  <si>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</si>
  <si>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</si>
  <si>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</si>
  <si>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</si>
  <si>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</si>
  <si>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</si>
  <si>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</si>
  <si>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</si>
  <si>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</si>
  <si>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</si>
  <si>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</si>
  <si>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</si>
  <si>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</si>
  <si>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</si>
  <si>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</si>
  <si>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</si>
  <si>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</si>
  <si>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</si>
  <si>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</si>
  <si>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</si>
  <si>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</si>
  <si>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</si>
  <si>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</si>
  <si>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</si>
  <si>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</si>
  <si>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</si>
  <si>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</si>
  <si>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</si>
  <si>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</si>
  <si>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</si>
  <si>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</si>
  <si>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</si>
  <si>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</si>
  <si>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</si>
  <si>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</si>
  <si>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</si>
  <si>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</si>
  <si>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</si>
  <si>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</si>
  <si>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</si>
  <si>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</si>
  <si>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</si>
  <si>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</si>
  <si>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</si>
  <si>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</si>
  <si>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</si>
  <si>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</si>
  <si>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</si>
  <si>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</si>
  <si>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</si>
  <si>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</si>
  <si>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</si>
  <si>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</si>
  <si>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</si>
  <si>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</si>
  <si>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</si>
  <si>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</si>
  <si>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</si>
  <si>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</si>
  <si>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</si>
  <si>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</si>
  <si>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</si>
  <si>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</si>
  <si>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</si>
  <si>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</si>
  <si>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</si>
  <si>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</si>
  <si>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</si>
  <si>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</si>
  <si>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</si>
  <si>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</si>
  <si>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</si>
  <si>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</si>
  <si>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</si>
  <si>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</si>
  <si>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</si>
  <si>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</si>
  <si>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</si>
  <si>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</si>
  <si>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</si>
  <si>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</si>
  <si>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</si>
  <si>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</si>
  <si>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</si>
  <si>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</si>
  <si>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</si>
  <si>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</si>
  <si>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</si>
  <si>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</si>
  <si>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</si>
  <si>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</si>
  <si>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</si>
  <si>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</si>
  <si>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</si>
  <si>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</si>
  <si>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</si>
  <si>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</si>
  <si>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</si>
  <si>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</si>
  <si>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</si>
  <si>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</si>
  <si>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</si>
  <si>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20:49:50</t>
  </si>
  <si>
    <t>2026-08-19</t>
  </si>
  <si>
    <t>Moon</t>
  </si>
  <si>
    <t>001</t>
  </si>
  <si>
    <t>2.058255</t>
  </si>
  <si>
    <t>2.007157</t>
  </si>
  <si>
    <t>19.832787</t>
  </si>
  <si>
    <t>20.337688</t>
  </si>
  <si>
    <t>7.500000</t>
  </si>
  <si>
    <t>PSF-01106_20260819204950_c64</t>
  </si>
  <si>
    <t>112.430695</t>
  </si>
  <si>
    <t>620.119568</t>
  </si>
  <si>
    <t>0.818695</t>
  </si>
  <si>
    <t>0.000000</t>
  </si>
  <si>
    <t>0.5</t>
  </si>
  <si>
    <t>0.84</t>
  </si>
  <si>
    <t>1.000000</t>
  </si>
  <si>
    <t>67.19</t>
  </si>
  <si>
    <t>65.53</t>
  </si>
  <si>
    <t>24.38</t>
  </si>
  <si>
    <t>24.61</t>
  </si>
  <si>
    <t>101.20</t>
  </si>
  <si>
    <t>156.2</t>
  </si>
  <si>
    <t>149.5</t>
  </si>
  <si>
    <t>4.3</t>
  </si>
  <si>
    <t>-0</t>
  </si>
  <si>
    <t>4.123</t>
  </si>
  <si>
    <t>20:49:27</t>
  </si>
  <si>
    <t>-1.87</t>
  </si>
  <si>
    <t>-0.066</t>
  </si>
  <si>
    <t>-0.234</t>
  </si>
  <si>
    <t>-9999.000</t>
  </si>
  <si>
    <t>0.572</t>
  </si>
  <si>
    <t>0.799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</si>
  <si>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</si>
  <si>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</si>
  <si>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</si>
  <si>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</si>
  <si>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</si>
  <si>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</si>
  <si>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</si>
  <si>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</si>
  <si>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</si>
  <si>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</si>
  <si>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</si>
  <si>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</si>
  <si>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2.526667</t>
  </si>
  <si>
    <t>2.467677</t>
  </si>
  <si>
    <t>1.671656</t>
  </si>
  <si>
    <t>0.927320</t>
  </si>
  <si>
    <t>0.279615</t>
  </si>
  <si>
    <t>0.003675</t>
  </si>
  <si>
    <t>0.116164</t>
  </si>
  <si>
    <t>0.107038</t>
  </si>
  <si>
    <t>0.000225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</si>
  <si>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</si>
  <si>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</si>
  <si>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</si>
  <si>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</si>
  <si>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</si>
  <si>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</si>
  <si>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</si>
  <si>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</si>
  <si>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</si>
  <si>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</si>
  <si>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</si>
  <si>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</si>
  <si>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</si>
  <si>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</si>
  <si>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20:51:10</t>
  </si>
  <si>
    <t>002</t>
  </si>
  <si>
    <t>2.305043</t>
  </si>
  <si>
    <t>2.190342</t>
  </si>
  <si>
    <t>21.641827</t>
  </si>
  <si>
    <t>22.775137</t>
  </si>
  <si>
    <t>PSF-01106_20260819205110_774</t>
  </si>
  <si>
    <t>106.553795</t>
  </si>
  <si>
    <t>629.583496</t>
  </si>
  <si>
    <t>0.830755</t>
  </si>
  <si>
    <t>73.72</t>
  </si>
  <si>
    <t>70.05</t>
  </si>
  <si>
    <t>24.72</t>
  </si>
  <si>
    <t>25.05</t>
  </si>
  <si>
    <t>101.21</t>
  </si>
  <si>
    <t>155.7</t>
  </si>
  <si>
    <t>142.4</t>
  </si>
  <si>
    <t>8.5</t>
  </si>
  <si>
    <t>4.118</t>
  </si>
  <si>
    <t>-0.137</t>
  </si>
  <si>
    <t>-0.487</t>
  </si>
  <si>
    <t>0.311</t>
  </si>
  <si>
    <t>0.671</t>
  </si>
  <si>
    <t>2.532784</t>
  </si>
  <si>
    <t>2.475797</t>
  </si>
  <si>
    <t>1.667662</t>
  </si>
  <si>
    <t>0.909384</t>
  </si>
  <si>
    <t>0.275803</t>
  </si>
  <si>
    <t>0.004833</t>
  </si>
  <si>
    <t>0.129334</t>
  </si>
  <si>
    <t>0.107032</t>
  </si>
  <si>
    <t>0.000219</t>
  </si>
  <si>
    <t>3</t>
  </si>
  <si>
    <t>20:51:37</t>
  </si>
  <si>
    <t>003</t>
  </si>
  <si>
    <t>2.300294</t>
  </si>
  <si>
    <t>2.233019</t>
  </si>
  <si>
    <t>22.064316</t>
  </si>
  <si>
    <t>22.729055</t>
  </si>
  <si>
    <t>PSF-01106_20260819205137_d73</t>
  </si>
  <si>
    <t>103.630898</t>
  </si>
  <si>
    <t>641.646606</t>
  </si>
  <si>
    <t>0.838492</t>
  </si>
  <si>
    <t>73.08</t>
  </si>
  <si>
    <t>70.94</t>
  </si>
  <si>
    <t>24.83</t>
  </si>
  <si>
    <t>25.04</t>
  </si>
  <si>
    <t>155.9</t>
  </si>
  <si>
    <t>145.1</t>
  </si>
  <si>
    <t>6.9</t>
  </si>
  <si>
    <t>4.117</t>
  </si>
  <si>
    <t>-0.090</t>
  </si>
  <si>
    <t>-0.343</t>
  </si>
  <si>
    <t>0.252</t>
  </si>
  <si>
    <t>0.365</t>
  </si>
  <si>
    <t>2.533976</t>
  </si>
  <si>
    <t>2.474976</t>
  </si>
  <si>
    <t>1.669032</t>
  </si>
  <si>
    <t>0.916078</t>
  </si>
  <si>
    <t>0.274577</t>
  </si>
  <si>
    <t>0.003424</t>
  </si>
  <si>
    <t>0.133235</t>
  </si>
  <si>
    <t>0.107030</t>
  </si>
  <si>
    <t>4</t>
  </si>
  <si>
    <t>20:52:08</t>
  </si>
  <si>
    <t>004</t>
  </si>
  <si>
    <t>2.360957</t>
  </si>
  <si>
    <t>2.293346</t>
  </si>
  <si>
    <t>22.657991</t>
  </si>
  <si>
    <t>23.325985</t>
  </si>
  <si>
    <t>PSF-01106_20260819205208_d62</t>
  </si>
  <si>
    <t>92.100266</t>
  </si>
  <si>
    <t>606.518616</t>
  </si>
  <si>
    <t>0.848149</t>
  </si>
  <si>
    <t>74.36</t>
  </si>
  <si>
    <t>72.23</t>
  </si>
  <si>
    <t>24.98</t>
  </si>
  <si>
    <t>25.21</t>
  </si>
  <si>
    <t>101.22</t>
  </si>
  <si>
    <t>138.8</t>
  </si>
  <si>
    <t>11.0</t>
  </si>
  <si>
    <t>4.116</t>
  </si>
  <si>
    <t>-0.095</t>
  </si>
  <si>
    <t>0.229</t>
  </si>
  <si>
    <t>0.438</t>
  </si>
  <si>
    <t>2.535699</t>
  </si>
  <si>
    <t>2.476554</t>
  </si>
  <si>
    <t>1.669544</t>
  </si>
  <si>
    <t>0.900416</t>
  </si>
  <si>
    <t>0.272986</t>
  </si>
  <si>
    <t>0.003767</t>
  </si>
  <si>
    <t>0.137790</t>
  </si>
  <si>
    <t>0.107027</t>
  </si>
  <si>
    <t>0.000232</t>
  </si>
  <si>
    <t>20:52:29</t>
  </si>
  <si>
    <t>005</t>
  </si>
  <si>
    <t>2.380742</t>
  </si>
  <si>
    <t>2.327861</t>
  </si>
  <si>
    <t>22.998264</t>
  </si>
  <si>
    <t>23.520699</t>
  </si>
  <si>
    <t>PSF-01106_20260819205229_7a1</t>
  </si>
  <si>
    <t>101.855637</t>
  </si>
  <si>
    <t>637.157349</t>
  </si>
  <si>
    <t>0.840141</t>
  </si>
  <si>
    <t>74.56</t>
  </si>
  <si>
    <t>72.91</t>
  </si>
  <si>
    <t>25.07</t>
  </si>
  <si>
    <t>25.03</t>
  </si>
  <si>
    <t>137.5</t>
  </si>
  <si>
    <t>11.8</t>
  </si>
  <si>
    <t>4.115</t>
  </si>
  <si>
    <t>-0.081</t>
  </si>
  <si>
    <t>-0.321</t>
  </si>
  <si>
    <t>0.219</t>
  </si>
  <si>
    <t>0.580</t>
  </si>
  <si>
    <t>2.536605</t>
  </si>
  <si>
    <t>2.476798</t>
  </si>
  <si>
    <t>1.669442</t>
  </si>
  <si>
    <t>0.897037</t>
  </si>
  <si>
    <t>0.271969</t>
  </si>
  <si>
    <t>0.000529</t>
  </si>
  <si>
    <t>0.140709</t>
  </si>
  <si>
    <t>0.107026</t>
  </si>
  <si>
    <t>0.000233</t>
  </si>
  <si>
    <t>6</t>
  </si>
  <si>
    <t>20:52:59</t>
  </si>
  <si>
    <t>006</t>
  </si>
  <si>
    <t>2.422397</t>
  </si>
  <si>
    <t>2.361803</t>
  </si>
  <si>
    <t>23.329847</t>
  </si>
  <si>
    <t>23.928391</t>
  </si>
  <si>
    <t>PSF-01106_20260819205259_e7d</t>
  </si>
  <si>
    <t>98.528625</t>
  </si>
  <si>
    <t>615.908508</t>
  </si>
  <si>
    <t>0.840027</t>
  </si>
  <si>
    <t>75.31</t>
  </si>
  <si>
    <t>73.42</t>
  </si>
  <si>
    <t>25.19</t>
  </si>
  <si>
    <t>25.32</t>
  </si>
  <si>
    <t>101.24</t>
  </si>
  <si>
    <t>156.1</t>
  </si>
  <si>
    <t>148.9</t>
  </si>
  <si>
    <t>4.7</t>
  </si>
  <si>
    <t>-0.071</t>
  </si>
  <si>
    <t>-0.258</t>
  </si>
  <si>
    <t>0.349</t>
  </si>
  <si>
    <t>0.604</t>
  </si>
  <si>
    <t>2.537282</t>
  </si>
  <si>
    <t>2.477710</t>
  </si>
  <si>
    <t>1.671136</t>
  </si>
  <si>
    <t>0.925732</t>
  </si>
  <si>
    <t>0.270620</t>
  </si>
  <si>
    <t>0.002415</t>
  </si>
  <si>
    <t>0.144978</t>
  </si>
  <si>
    <t>0.107029</t>
  </si>
  <si>
    <t>0.000220</t>
  </si>
  <si>
    <t>7</t>
  </si>
  <si>
    <t>20:53:53</t>
  </si>
  <si>
    <t>007</t>
  </si>
  <si>
    <t>2.493090</t>
  </si>
  <si>
    <t>2.423971</t>
  </si>
  <si>
    <t>23.945066</t>
  </si>
  <si>
    <t>24.627851</t>
  </si>
  <si>
    <t>PSF-01106_20260819205353_2ea</t>
  </si>
  <si>
    <t>93.683479</t>
  </si>
  <si>
    <t>613.947998</t>
  </si>
  <si>
    <t>0.847408</t>
  </si>
  <si>
    <t>76.41</t>
  </si>
  <si>
    <t>74.29</t>
  </si>
  <si>
    <t>25.43</t>
  </si>
  <si>
    <t>25.30</t>
  </si>
  <si>
    <t>101.23</t>
  </si>
  <si>
    <t>155.6</t>
  </si>
  <si>
    <t>135.8</t>
  </si>
  <si>
    <t>12.7</t>
  </si>
  <si>
    <t>4.113</t>
  </si>
  <si>
    <t>-0.085</t>
  </si>
  <si>
    <t>-0.274</t>
  </si>
  <si>
    <t>0.175</t>
  </si>
  <si>
    <t>0.423</t>
  </si>
  <si>
    <t>2.538415</t>
  </si>
  <si>
    <t>2.479056</t>
  </si>
  <si>
    <t>1.666998</t>
  </si>
  <si>
    <t>0.892899</t>
  </si>
  <si>
    <t>0.268051</t>
  </si>
  <si>
    <t>-0.000604</t>
  </si>
  <si>
    <t>0.152496</t>
  </si>
  <si>
    <t>0.107028</t>
  </si>
  <si>
    <t>0.000229</t>
  </si>
  <si>
    <t>8</t>
  </si>
  <si>
    <t>20:54:19</t>
  </si>
  <si>
    <t>008</t>
  </si>
  <si>
    <t>2.514665</t>
  </si>
  <si>
    <t>2.460828</t>
  </si>
  <si>
    <t>24.308554</t>
  </si>
  <si>
    <t>24.840366</t>
  </si>
  <si>
    <t>PSF-01106_20260819205419_41b</t>
  </si>
  <si>
    <t>101.205109</t>
  </si>
  <si>
    <t>622.599731</t>
  </si>
  <si>
    <t>0.837448</t>
  </si>
  <si>
    <t>76.52</t>
  </si>
  <si>
    <t>74.89</t>
  </si>
  <si>
    <t>25.55</t>
  </si>
  <si>
    <t>25.45</t>
  </si>
  <si>
    <t>156.0</t>
  </si>
  <si>
    <t>151.8</t>
  </si>
  <si>
    <t>2.7</t>
  </si>
  <si>
    <t>4.111</t>
  </si>
  <si>
    <t>-0.260</t>
  </si>
  <si>
    <t>0.553</t>
  </si>
  <si>
    <t>0.658</t>
  </si>
  <si>
    <t>2.539202</t>
  </si>
  <si>
    <t>2.479183</t>
  </si>
  <si>
    <t>1.669903</t>
  </si>
  <si>
    <t>0.933189</t>
  </si>
  <si>
    <t>0.266776</t>
  </si>
  <si>
    <t>-0.000324</t>
  </si>
  <si>
    <t>0.155993</t>
  </si>
  <si>
    <t>9</t>
  </si>
  <si>
    <t>20:54:46</t>
  </si>
  <si>
    <t>009</t>
  </si>
  <si>
    <t>2.543892</t>
  </si>
  <si>
    <t>2.501095</t>
  </si>
  <si>
    <t>24.706074</t>
  </si>
  <si>
    <t>25.128828</t>
  </si>
  <si>
    <t>PSF-01106_20260819205446_7ea</t>
  </si>
  <si>
    <t>135.895721</t>
  </si>
  <si>
    <t>686.965210</t>
  </si>
  <si>
    <t>0.802180</t>
  </si>
  <si>
    <t>76.84</t>
  </si>
  <si>
    <t>75.55</t>
  </si>
  <si>
    <t>25.68</t>
  </si>
  <si>
    <t>25.13</t>
  </si>
  <si>
    <t>155.0</t>
  </si>
  <si>
    <t>0.6</t>
  </si>
  <si>
    <t>-0.045</t>
  </si>
  <si>
    <t>-0.107</t>
  </si>
  <si>
    <t>-0.370</t>
  </si>
  <si>
    <t>0.809</t>
  </si>
  <si>
    <t>0.725</t>
  </si>
  <si>
    <t>1.971</t>
  </si>
  <si>
    <t>2.540077</t>
  </si>
  <si>
    <t>2.479561</t>
  </si>
  <si>
    <t>1.670292</t>
  </si>
  <si>
    <t>0.941581</t>
  </si>
  <si>
    <t>0.265447</t>
  </si>
  <si>
    <t>-0.005546</t>
  </si>
  <si>
    <t>0.159548</t>
  </si>
  <si>
    <t>0.000223</t>
  </si>
  <si>
    <t>137.0</t>
  </si>
  <si>
    <t>0.453</t>
  </si>
  <si>
    <t>0.000224</t>
  </si>
  <si>
    <t>101.25</t>
  </si>
  <si>
    <t>0.000221</t>
  </si>
  <si>
    <t>149.3</t>
  </si>
  <si>
    <t>0.724</t>
  </si>
  <si>
    <t>26.62</t>
  </si>
  <si>
    <t>-0.014</t>
  </si>
  <si>
    <t>0.107024</t>
  </si>
  <si>
    <t>19</t>
  </si>
  <si>
    <t>21:00:02</t>
  </si>
  <si>
    <t>019</t>
  </si>
  <si>
    <t>2.699631</t>
  </si>
  <si>
    <t>2.703949</t>
  </si>
  <si>
    <t>26.706984</t>
  </si>
  <si>
    <t>26.664343</t>
  </si>
  <si>
    <t>PSF-01106_20260819210002_c9f</t>
  </si>
  <si>
    <t>104.343292</t>
  </si>
  <si>
    <t>639.583801</t>
  </si>
  <si>
    <t>0.836857</t>
  </si>
  <si>
    <t>75.87</t>
  </si>
  <si>
    <t>75.99</t>
  </si>
  <si>
    <t>26.90</t>
  </si>
  <si>
    <t>26.38</t>
  </si>
  <si>
    <t>147.4</t>
  </si>
  <si>
    <t>5.5</t>
  </si>
  <si>
    <t>4.099</t>
  </si>
  <si>
    <t>-0.006</t>
  </si>
  <si>
    <t>-0.086</t>
  </si>
  <si>
    <t>2.540436</t>
  </si>
  <si>
    <t>2.478146</t>
  </si>
  <si>
    <t>1.669738</t>
  </si>
  <si>
    <t>0.922094</t>
  </si>
  <si>
    <t>0.252846</t>
  </si>
  <si>
    <t>-0.005291</t>
  </si>
  <si>
    <t>0.199981</t>
  </si>
  <si>
    <t>20</t>
  </si>
  <si>
    <t>21:01:11</t>
  </si>
  <si>
    <t>020</t>
  </si>
  <si>
    <t>2.709237</t>
  </si>
  <si>
    <t>2.720721</t>
  </si>
  <si>
    <t>26.874638</t>
  </si>
  <si>
    <t>26.761200</t>
  </si>
  <si>
    <t>PSF-01106_20260819210111_afb</t>
  </si>
  <si>
    <t>120.944740</t>
  </si>
  <si>
    <t>673.319580</t>
  </si>
  <si>
    <t>0.820375</t>
  </si>
  <si>
    <t>75.13</t>
  </si>
  <si>
    <t>75.45</t>
  </si>
  <si>
    <t>27.13</t>
  </si>
  <si>
    <t>26.52</t>
  </si>
  <si>
    <t>146.5</t>
  </si>
  <si>
    <t>6.2</t>
  </si>
  <si>
    <t>21:00:22</t>
  </si>
  <si>
    <t>-1.86</t>
  </si>
  <si>
    <t>-0.001</t>
  </si>
  <si>
    <t>0.001</t>
  </si>
  <si>
    <t>0.329</t>
  </si>
  <si>
    <t>0.715</t>
  </si>
  <si>
    <t>2.539658</t>
  </si>
  <si>
    <t>2.477169</t>
  </si>
  <si>
    <t>1.671601</t>
  </si>
  <si>
    <t>0.919638</t>
  </si>
  <si>
    <t>0.250584</t>
  </si>
  <si>
    <t>-0.006334</t>
  </si>
  <si>
    <t>0.208531</t>
  </si>
  <si>
    <t>0.000230</t>
  </si>
  <si>
    <t>21</t>
  </si>
  <si>
    <t>21:01:33</t>
  </si>
  <si>
    <t>021</t>
  </si>
  <si>
    <t>2.726331</t>
  </si>
  <si>
    <t>2.733138</t>
  </si>
  <si>
    <t>26.997355</t>
  </si>
  <si>
    <t>26.930115</t>
  </si>
  <si>
    <t>PSF-01106_20260819210133_06d</t>
  </si>
  <si>
    <t>100.335358</t>
  </si>
  <si>
    <t>610.671387</t>
  </si>
  <si>
    <t>0.835697</t>
  </si>
  <si>
    <t>75.32</t>
  </si>
  <si>
    <t>75.51</t>
  </si>
  <si>
    <t>27.19</t>
  </si>
  <si>
    <t>26.16</t>
  </si>
  <si>
    <t>146.4</t>
  </si>
  <si>
    <t>6.1</t>
  </si>
  <si>
    <t>4.098</t>
  </si>
  <si>
    <t>-0.003</t>
  </si>
  <si>
    <t>-0.012</t>
  </si>
  <si>
    <t>0.298</t>
  </si>
  <si>
    <t>0.535</t>
  </si>
  <si>
    <t>2.539731</t>
  </si>
  <si>
    <t>2.477402</t>
  </si>
  <si>
    <t>1.669456</t>
  </si>
  <si>
    <t>0.919511</t>
  </si>
  <si>
    <t>0.249953</t>
  </si>
  <si>
    <t>-0.011348</t>
  </si>
  <si>
    <t>0.211226</t>
  </si>
  <si>
    <t>0.107020</t>
  </si>
  <si>
    <t>22</t>
  </si>
  <si>
    <t>21:02:00</t>
  </si>
  <si>
    <t>022</t>
  </si>
  <si>
    <t>2.722840</t>
  </si>
  <si>
    <t>2.734865</t>
  </si>
  <si>
    <t>27.012945</t>
  </si>
  <si>
    <t>26.894171</t>
  </si>
  <si>
    <t>PSF-01106_20260819210200_738</t>
  </si>
  <si>
    <t>117.190361</t>
  </si>
  <si>
    <t>634.808777</t>
  </si>
  <si>
    <t>0.815393</t>
  </si>
  <si>
    <t>74.91</t>
  </si>
  <si>
    <t>75.24</t>
  </si>
  <si>
    <t>27.26</t>
  </si>
  <si>
    <t>27.01</t>
  </si>
  <si>
    <t>139.4</t>
  </si>
  <si>
    <t>10.6</t>
  </si>
  <si>
    <t>4.097</t>
  </si>
  <si>
    <t>-0.007</t>
  </si>
  <si>
    <t>0.057</t>
  </si>
  <si>
    <t>2.539342</t>
  </si>
  <si>
    <t>2.476864</t>
  </si>
  <si>
    <t>1.669526</t>
  </si>
  <si>
    <t>0.901922</t>
  </si>
  <si>
    <t>0.249231</t>
  </si>
  <si>
    <t>-0.002197</t>
  </si>
  <si>
    <t>0.214455</t>
  </si>
  <si>
    <t>23</t>
  </si>
  <si>
    <t>21:02:16</t>
  </si>
  <si>
    <t>023</t>
  </si>
  <si>
    <t>2.728280</t>
  </si>
  <si>
    <t>2.742238</t>
  </si>
  <si>
    <t>27.084431</t>
  </si>
  <si>
    <t>26.946573</t>
  </si>
  <si>
    <t>PSF-01106_20260819210216_b1d</t>
  </si>
  <si>
    <t>106.831673</t>
  </si>
  <si>
    <t>594.647522</t>
  </si>
  <si>
    <t>0.820345</t>
  </si>
  <si>
    <t>74.88</t>
  </si>
  <si>
    <t>75.26</t>
  </si>
  <si>
    <t>27.30</t>
  </si>
  <si>
    <t>26.65</t>
  </si>
  <si>
    <t>149.1</t>
  </si>
  <si>
    <t>4.5</t>
  </si>
  <si>
    <t>-0.002</t>
  </si>
  <si>
    <t>-0.004</t>
  </si>
  <si>
    <t>0.699</t>
  </si>
  <si>
    <t>2.539366</t>
  </si>
  <si>
    <t>2.476821</t>
  </si>
  <si>
    <t>1.670728</t>
  </si>
  <si>
    <t>0.926331</t>
  </si>
  <si>
    <t>0.248829</t>
  </si>
  <si>
    <t>-0.006955</t>
  </si>
  <si>
    <t>0.216314</t>
  </si>
  <si>
    <t>24</t>
  </si>
  <si>
    <t>21:02:55</t>
  </si>
  <si>
    <t>024</t>
  </si>
  <si>
    <t>2.736235</t>
  </si>
  <si>
    <t>2.747080</t>
  </si>
  <si>
    <t>27.133467</t>
  </si>
  <si>
    <t>27.026350</t>
  </si>
  <si>
    <t>PSF-01106_20260819210255_7fc</t>
  </si>
  <si>
    <t>108.495712</t>
  </si>
  <si>
    <t>619.484436</t>
  </si>
  <si>
    <t>0.824861</t>
  </si>
  <si>
    <t>74.66</t>
  </si>
  <si>
    <t>74.95</t>
  </si>
  <si>
    <t>27.40</t>
  </si>
  <si>
    <t>4.095</t>
  </si>
  <si>
    <t>0.000</t>
  </si>
  <si>
    <t>0.008</t>
  </si>
  <si>
    <t>0.010</t>
  </si>
  <si>
    <t>0.717</t>
  </si>
  <si>
    <t>2.538927</t>
  </si>
  <si>
    <t>2.476527</t>
  </si>
  <si>
    <t>1.670611</t>
  </si>
  <si>
    <t>0.926816</t>
  </si>
  <si>
    <t>0.247844</t>
  </si>
  <si>
    <t>-0.009693</t>
  </si>
  <si>
    <t>0.221130</t>
  </si>
  <si>
    <t>25</t>
  </si>
  <si>
    <t>21:03:10</t>
  </si>
  <si>
    <t>025</t>
  </si>
  <si>
    <t>2.743855</t>
  </si>
  <si>
    <t>2.750030</t>
  </si>
  <si>
    <t>27.161999</t>
  </si>
  <si>
    <t>27.101007</t>
  </si>
  <si>
    <t>PSF-01106_20260819210310_4c2</t>
  </si>
  <si>
    <t>91.455818</t>
  </si>
  <si>
    <t>609.883911</t>
  </si>
  <si>
    <t>0.850044</t>
  </si>
  <si>
    <t>74.71</t>
  </si>
  <si>
    <t>27.44</t>
  </si>
  <si>
    <t>26.14</t>
  </si>
  <si>
    <t>12.1</t>
  </si>
  <si>
    <t>4.096</t>
  </si>
  <si>
    <t>0.009</t>
  </si>
  <si>
    <t>0.210</t>
  </si>
  <si>
    <t>0.536</t>
  </si>
  <si>
    <t>2.538822</t>
  </si>
  <si>
    <t>2.476592</t>
  </si>
  <si>
    <t>1.669259</t>
  </si>
  <si>
    <t>0.895850</t>
  </si>
  <si>
    <t>0.247503</t>
  </si>
  <si>
    <t>-0.014556</t>
  </si>
  <si>
    <t>0.222847</t>
  </si>
  <si>
    <t>0.000234</t>
  </si>
  <si>
    <t>26</t>
  </si>
  <si>
    <t>21:03:22</t>
  </si>
  <si>
    <t>026</t>
  </si>
  <si>
    <t>2.739083</t>
  </si>
  <si>
    <t>2.748316</t>
  </si>
  <si>
    <t>27.144802</t>
  </si>
  <si>
    <t>27.053610</t>
  </si>
  <si>
    <t>PSF-01106_20260819210322_4dd</t>
  </si>
  <si>
    <t>120.652557</t>
  </si>
  <si>
    <t>636.200317</t>
  </si>
  <si>
    <t>0.810354</t>
  </si>
  <si>
    <t>74.48</t>
  </si>
  <si>
    <t>74.73</t>
  </si>
  <si>
    <t>27.46</t>
  </si>
  <si>
    <t>143.2</t>
  </si>
  <si>
    <t>8.2</t>
  </si>
  <si>
    <t>4.092</t>
  </si>
  <si>
    <t>-0.000</t>
  </si>
  <si>
    <t>0.538</t>
  </si>
  <si>
    <t>0.884</t>
  </si>
  <si>
    <t>2.538609</t>
  </si>
  <si>
    <t>2.476291</t>
  </si>
  <si>
    <t>1.670174</t>
  </si>
  <si>
    <t>0.911276</t>
  </si>
  <si>
    <t>0.247264</t>
  </si>
  <si>
    <t>-0.009229</t>
  </si>
  <si>
    <t>0.224186</t>
  </si>
  <si>
    <t>0.107022</t>
  </si>
  <si>
    <t>27</t>
  </si>
  <si>
    <t>21:03:35</t>
  </si>
  <si>
    <t>027</t>
  </si>
  <si>
    <t>2.743528</t>
  </si>
  <si>
    <t>2.747130</t>
  </si>
  <si>
    <t>27.133963</t>
  </si>
  <si>
    <t>27.098377</t>
  </si>
  <si>
    <t>PSF-01106_20260819210335_607</t>
  </si>
  <si>
    <t>107.515808</t>
  </si>
  <si>
    <t>620.177490</t>
  </si>
  <si>
    <t>0.826637</t>
  </si>
  <si>
    <t>74.58</t>
  </si>
  <si>
    <t>27.49</t>
  </si>
  <si>
    <t>26.22</t>
  </si>
  <si>
    <t>147.0</t>
  </si>
  <si>
    <t>5.9</t>
  </si>
  <si>
    <t>0.002</t>
  </si>
  <si>
    <t>0.018</t>
  </si>
  <si>
    <t>0.128</t>
  </si>
  <si>
    <t>0.627</t>
  </si>
  <si>
    <t>2.538402</t>
  </si>
  <si>
    <t>2.476293</t>
  </si>
  <si>
    <t>1.672142</t>
  </si>
  <si>
    <t>0.920876</t>
  </si>
  <si>
    <t>0.247005</t>
  </si>
  <si>
    <t>-0.014245</t>
  </si>
  <si>
    <t>0.225643</t>
  </si>
  <si>
    <t>처리</t>
    <phoneticPr fontId="1" type="noConversion"/>
  </si>
  <si>
    <t>처리_</t>
    <phoneticPr fontId="1" type="noConversion"/>
  </si>
  <si>
    <t>Fo</t>
    <phoneticPr fontId="1" type="noConversion"/>
  </si>
  <si>
    <t>Fm</t>
    <phoneticPr fontId="1" type="noConversion"/>
  </si>
  <si>
    <t>Fv/Fm</t>
    <phoneticPr fontId="1" type="noConversion"/>
  </si>
  <si>
    <t>ETc</t>
    <phoneticPr fontId="1" type="noConversion"/>
  </si>
  <si>
    <t>침수 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</si>
</sst>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workbookViewId="0">
      <selection activeCell="X21" sqref="X13:Z21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f t="shared" ref="J4:J21" si="0">1/((1/L4)-(1/K4))</f>
        <v>0.1821620475258785</v>
      </c>
      <c r="K4">
        <f t="shared" ref="K4:K21" si="1">BH4+(BI4*AN4)+(BJ4*AN4*POWER(V4,2))+(BK4*AN4*V4)+(BL4*POWER(AN4,2))</f>
        <v>2.9066320800000001</v>
      </c>
      <c r="L4">
        <f t="shared" ref="L4:L21" si="2">((M4/1000)*(1000-((T4+S4)/2)))/(T4-S4)</f>
        <v>0.17141901636588339</v>
      </c>
      <c r="M4">
        <f t="shared" ref="M4:M21" si="3">(AN4*(S4-R4))/(100*U4*(1000-S4))*1000</f>
        <v>1.8222058467625675</v>
      </c>
      <c r="N4" t="s">
        <v>142</v>
      </c>
      <c r="O4" t="s">
        <v>143</v>
      </c>
      <c r="P4">
        <f t="shared" ref="P4:P21" si="4">0.61365*EXP((17.502*AL4)/(240.97+AL4))</f>
        <v>3.1064923096837429</v>
      </c>
      <c r="Q4">
        <f t="shared" ref="Q4:Q21" si="5">P4-N4</f>
        <v>1.048237309683743</v>
      </c>
      <c r="R4" t="s">
        <v>144</v>
      </c>
      <c r="S4" t="s">
        <v>145</v>
      </c>
      <c r="T4">
        <f t="shared" ref="T4:T21" si="6">(P4/AM4)*1000</f>
        <v>30.696564324938169</v>
      </c>
      <c r="U4">
        <f t="shared" ref="U4:U21" si="7">V4*BG4</f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f t="shared" ref="AF4:AF21" si="8">AC4*AD4*AE4*AQ4</f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f t="shared" ref="AL4:AL21" si="9">(AK4-AJ4)*(AJ4*0+0)+AK4</f>
        <v>24.61</v>
      </c>
      <c r="AM4" t="s">
        <v>159</v>
      </c>
      <c r="AN4" t="s">
        <v>160</v>
      </c>
      <c r="AO4" t="s">
        <v>161</v>
      </c>
      <c r="AP4" t="s">
        <v>162</v>
      </c>
      <c r="AQ4" t="s">
        <v>163</v>
      </c>
      <c r="AR4" t="s">
        <v>164</v>
      </c>
      <c r="AS4" t="s">
        <v>165</v>
      </c>
      <c r="AT4" t="s">
        <v>139</v>
      </c>
      <c r="AU4" t="s">
        <v>166</v>
      </c>
      <c r="AV4" t="s">
        <v>137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169</v>
      </c>
      <c r="BC4" t="s">
        <v>137</v>
      </c>
      <c r="BD4" t="s">
        <v>172</v>
      </c>
      <c r="BE4" t="s">
        <v>169</v>
      </c>
      <c r="BF4" t="s">
        <v>173</v>
      </c>
      <c r="BG4" t="s">
        <v>174</v>
      </c>
      <c r="BH4" t="s">
        <v>151</v>
      </c>
      <c r="BI4" t="s">
        <v>175</v>
      </c>
      <c r="BJ4" t="s">
        <v>151</v>
      </c>
      <c r="BK4" t="s">
        <v>151</v>
      </c>
      <c r="BL4" t="s">
        <v>176</v>
      </c>
      <c r="BM4" t="s">
        <v>177</v>
      </c>
      <c r="BN4" t="s">
        <v>137</v>
      </c>
      <c r="BO4" t="s">
        <v>178</v>
      </c>
      <c r="BP4" t="s">
        <v>179</v>
      </c>
      <c r="BQ4" t="s">
        <v>180</v>
      </c>
      <c r="BR4" t="s">
        <v>154</v>
      </c>
      <c r="BS4" t="s">
        <v>181</v>
      </c>
      <c r="BT4" t="s">
        <v>182</v>
      </c>
      <c r="BU4" t="s">
        <v>182</v>
      </c>
      <c r="BV4" t="s">
        <v>182</v>
      </c>
      <c r="BW4" t="s">
        <v>151</v>
      </c>
      <c r="BX4" t="s">
        <v>183</v>
      </c>
      <c r="BY4" t="s">
        <v>151</v>
      </c>
      <c r="BZ4" t="s">
        <v>151</v>
      </c>
      <c r="CA4" t="s">
        <v>151</v>
      </c>
      <c r="CB4" t="s">
        <v>151</v>
      </c>
      <c r="CC4" t="s">
        <v>184</v>
      </c>
      <c r="CD4" t="s">
        <v>185</v>
      </c>
      <c r="CE4" t="s">
        <v>186</v>
      </c>
      <c r="CF4" t="s">
        <v>187</v>
      </c>
      <c r="CG4" t="s">
        <v>188</v>
      </c>
      <c r="CH4" t="s">
        <v>189</v>
      </c>
      <c r="CI4" t="s">
        <v>190</v>
      </c>
      <c r="CJ4" t="s">
        <v>191</v>
      </c>
      <c r="CK4" t="s">
        <v>148</v>
      </c>
      <c r="CL4" t="s">
        <v>192</v>
      </c>
      <c r="CM4" t="s">
        <v>193</v>
      </c>
      <c r="CN4" t="s">
        <v>194</v>
      </c>
      <c r="CO4" t="s">
        <v>154</v>
      </c>
      <c r="CP4" t="s">
        <v>195</v>
      </c>
      <c r="CQ4" t="s">
        <v>196</v>
      </c>
      <c r="CR4" t="s">
        <v>154</v>
      </c>
      <c r="CS4" t="s">
        <v>197</v>
      </c>
      <c r="CT4" t="s">
        <v>198</v>
      </c>
      <c r="CU4" t="s">
        <v>199</v>
      </c>
      <c r="CV4" t="s">
        <v>151</v>
      </c>
      <c r="CW4" t="s">
        <v>147</v>
      </c>
      <c r="CX4" t="s">
        <v>200</v>
      </c>
      <c r="CY4" t="s">
        <v>201</v>
      </c>
      <c r="CZ4" t="s">
        <v>202</v>
      </c>
      <c r="DA4" t="s">
        <v>203</v>
      </c>
      <c r="DB4" t="s">
        <v>204</v>
      </c>
      <c r="DC4" t="s">
        <v>205</v>
      </c>
    </row>
    <row r="5" spans="1:107" x14ac:dyDescent="0.45">
      <c r="A5" t="s">
        <v>206</v>
      </c>
      <c r="B5" t="s">
        <v>207</v>
      </c>
      <c r="C5" t="s">
        <v>139</v>
      </c>
      <c r="D5" t="s">
        <v>76</v>
      </c>
      <c r="E5" t="s">
        <v>140</v>
      </c>
      <c r="F5" t="s">
        <v>19</v>
      </c>
      <c r="G5" t="s">
        <v>208</v>
      </c>
      <c r="H5" t="s">
        <v>19</v>
      </c>
      <c r="I5" t="s">
        <v>19</v>
      </c>
      <c r="J5">
        <f t="shared" si="0"/>
        <v>0.53986319720975284</v>
      </c>
      <c r="K5">
        <f t="shared" si="1"/>
        <v>2.9026216799999998</v>
      </c>
      <c r="L5">
        <f t="shared" si="2"/>
        <v>0.45519985601948798</v>
      </c>
      <c r="M5">
        <f t="shared" si="3"/>
        <v>4.0872330528518654</v>
      </c>
      <c r="N5" t="s">
        <v>209</v>
      </c>
      <c r="O5" t="s">
        <v>210</v>
      </c>
      <c r="P5">
        <f t="shared" si="4"/>
        <v>3.189168419013876</v>
      </c>
      <c r="Q5">
        <f t="shared" si="5"/>
        <v>0.88412541901387609</v>
      </c>
      <c r="R5" t="s">
        <v>211</v>
      </c>
      <c r="S5" t="s">
        <v>212</v>
      </c>
      <c r="T5">
        <f t="shared" si="6"/>
        <v>31.510408250310011</v>
      </c>
      <c r="U5">
        <f t="shared" si="7"/>
        <v>0.4417875</v>
      </c>
      <c r="V5" t="s">
        <v>146</v>
      </c>
      <c r="W5" t="s">
        <v>213</v>
      </c>
      <c r="X5" t="s">
        <v>214</v>
      </c>
      <c r="Y5" t="s">
        <v>215</v>
      </c>
      <c r="Z5" t="s">
        <v>216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f t="shared" si="8"/>
        <v>0</v>
      </c>
      <c r="AG5" t="s">
        <v>154</v>
      </c>
      <c r="AH5" t="s">
        <v>217</v>
      </c>
      <c r="AI5" t="s">
        <v>218</v>
      </c>
      <c r="AJ5" t="s">
        <v>219</v>
      </c>
      <c r="AK5" t="s">
        <v>220</v>
      </c>
      <c r="AL5">
        <f t="shared" si="9"/>
        <v>25.05</v>
      </c>
      <c r="AM5" t="s">
        <v>221</v>
      </c>
      <c r="AN5" t="s">
        <v>222</v>
      </c>
      <c r="AO5" t="s">
        <v>223</v>
      </c>
      <c r="AP5" t="s">
        <v>224</v>
      </c>
      <c r="AQ5" t="s">
        <v>163</v>
      </c>
      <c r="AR5" t="s">
        <v>225</v>
      </c>
      <c r="AS5" t="s">
        <v>165</v>
      </c>
      <c r="AT5" t="s">
        <v>139</v>
      </c>
      <c r="AU5" t="s">
        <v>166</v>
      </c>
      <c r="AV5" t="s">
        <v>137</v>
      </c>
      <c r="AW5" t="s">
        <v>226</v>
      </c>
      <c r="AX5" t="s">
        <v>227</v>
      </c>
      <c r="AY5" t="s">
        <v>169</v>
      </c>
      <c r="AZ5" t="s">
        <v>228</v>
      </c>
      <c r="BA5" t="s">
        <v>229</v>
      </c>
      <c r="BB5" t="s">
        <v>169</v>
      </c>
      <c r="BC5" t="s">
        <v>137</v>
      </c>
      <c r="BD5" t="s">
        <v>172</v>
      </c>
      <c r="BE5" t="s">
        <v>169</v>
      </c>
      <c r="BF5" t="s">
        <v>173</v>
      </c>
      <c r="BG5" t="s">
        <v>174</v>
      </c>
      <c r="BH5" t="s">
        <v>151</v>
      </c>
      <c r="BI5" t="s">
        <v>175</v>
      </c>
      <c r="BJ5" t="s">
        <v>151</v>
      </c>
      <c r="BK5" t="s">
        <v>151</v>
      </c>
      <c r="BL5" t="s">
        <v>176</v>
      </c>
      <c r="BM5" t="s">
        <v>177</v>
      </c>
      <c r="BN5" t="s">
        <v>137</v>
      </c>
      <c r="BO5" t="s">
        <v>178</v>
      </c>
      <c r="BP5" t="s">
        <v>179</v>
      </c>
      <c r="BQ5" t="s">
        <v>180</v>
      </c>
      <c r="BR5" t="s">
        <v>154</v>
      </c>
      <c r="BS5" t="s">
        <v>181</v>
      </c>
      <c r="BT5" t="s">
        <v>182</v>
      </c>
      <c r="BU5" t="s">
        <v>182</v>
      </c>
      <c r="BV5" t="s">
        <v>182</v>
      </c>
      <c r="BW5" t="s">
        <v>151</v>
      </c>
      <c r="BX5" t="s">
        <v>183</v>
      </c>
      <c r="BY5" t="s">
        <v>151</v>
      </c>
      <c r="BZ5" t="s">
        <v>151</v>
      </c>
      <c r="CA5" t="s">
        <v>151</v>
      </c>
      <c r="CB5" t="s">
        <v>151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214</v>
      </c>
      <c r="CL5" t="s">
        <v>238</v>
      </c>
      <c r="CM5" t="s">
        <v>193</v>
      </c>
      <c r="CN5" t="s">
        <v>194</v>
      </c>
      <c r="CO5" t="s">
        <v>154</v>
      </c>
      <c r="CP5" t="s">
        <v>195</v>
      </c>
      <c r="CQ5" t="s">
        <v>196</v>
      </c>
      <c r="CR5" t="s">
        <v>154</v>
      </c>
      <c r="CS5" t="s">
        <v>197</v>
      </c>
      <c r="CT5" t="s">
        <v>198</v>
      </c>
      <c r="CU5" t="s">
        <v>199</v>
      </c>
      <c r="CV5" t="s">
        <v>151</v>
      </c>
      <c r="CW5" t="s">
        <v>213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</row>
    <row r="6" spans="1:107" x14ac:dyDescent="0.45">
      <c r="A6" t="s">
        <v>239</v>
      </c>
      <c r="B6" t="s">
        <v>240</v>
      </c>
      <c r="C6" t="s">
        <v>139</v>
      </c>
      <c r="D6" t="s">
        <v>76</v>
      </c>
      <c r="E6" t="s">
        <v>140</v>
      </c>
      <c r="F6" t="s">
        <v>19</v>
      </c>
      <c r="G6" t="s">
        <v>241</v>
      </c>
      <c r="H6" t="s">
        <v>19</v>
      </c>
      <c r="I6" t="s">
        <v>19</v>
      </c>
      <c r="J6">
        <f t="shared" si="0"/>
        <v>0.29342796801118537</v>
      </c>
      <c r="K6">
        <f t="shared" si="1"/>
        <v>2.9042299199999997</v>
      </c>
      <c r="L6">
        <f t="shared" si="2"/>
        <v>0.26650201926163858</v>
      </c>
      <c r="M6">
        <f t="shared" si="3"/>
        <v>2.4003184527431523</v>
      </c>
      <c r="N6" t="s">
        <v>242</v>
      </c>
      <c r="O6" t="s">
        <v>243</v>
      </c>
      <c r="P6">
        <f t="shared" si="4"/>
        <v>3.1872682753025634</v>
      </c>
      <c r="Q6">
        <f t="shared" si="5"/>
        <v>0.88697427530256334</v>
      </c>
      <c r="R6" t="s">
        <v>244</v>
      </c>
      <c r="S6" t="s">
        <v>245</v>
      </c>
      <c r="T6">
        <f t="shared" si="6"/>
        <v>31.491633981845304</v>
      </c>
      <c r="U6">
        <f t="shared" si="7"/>
        <v>0.4417875</v>
      </c>
      <c r="V6" t="s">
        <v>146</v>
      </c>
      <c r="W6" t="s">
        <v>246</v>
      </c>
      <c r="X6" t="s">
        <v>247</v>
      </c>
      <c r="Y6" t="s">
        <v>248</v>
      </c>
      <c r="Z6" t="s">
        <v>249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f t="shared" si="8"/>
        <v>0</v>
      </c>
      <c r="AG6" t="s">
        <v>154</v>
      </c>
      <c r="AH6" t="s">
        <v>250</v>
      </c>
      <c r="AI6" t="s">
        <v>251</v>
      </c>
      <c r="AJ6" t="s">
        <v>252</v>
      </c>
      <c r="AK6" t="s">
        <v>253</v>
      </c>
      <c r="AL6">
        <f t="shared" si="9"/>
        <v>25.04</v>
      </c>
      <c r="AM6" t="s">
        <v>221</v>
      </c>
      <c r="AN6" t="s">
        <v>254</v>
      </c>
      <c r="AO6" t="s">
        <v>255</v>
      </c>
      <c r="AP6" t="s">
        <v>256</v>
      </c>
      <c r="AQ6" t="s">
        <v>163</v>
      </c>
      <c r="AR6" t="s">
        <v>257</v>
      </c>
      <c r="AS6" t="s">
        <v>165</v>
      </c>
      <c r="AT6" t="s">
        <v>139</v>
      </c>
      <c r="AU6" t="s">
        <v>166</v>
      </c>
      <c r="AV6" t="s">
        <v>137</v>
      </c>
      <c r="AW6" t="s">
        <v>258</v>
      </c>
      <c r="AX6" t="s">
        <v>259</v>
      </c>
      <c r="AY6" t="s">
        <v>169</v>
      </c>
      <c r="AZ6" t="s">
        <v>260</v>
      </c>
      <c r="BA6" t="s">
        <v>261</v>
      </c>
      <c r="BB6" t="s">
        <v>169</v>
      </c>
      <c r="BC6" t="s">
        <v>137</v>
      </c>
      <c r="BD6" t="s">
        <v>172</v>
      </c>
      <c r="BE6" t="s">
        <v>169</v>
      </c>
      <c r="BF6" t="s">
        <v>173</v>
      </c>
      <c r="BG6" t="s">
        <v>174</v>
      </c>
      <c r="BH6" t="s">
        <v>151</v>
      </c>
      <c r="BI6" t="s">
        <v>175</v>
      </c>
      <c r="BJ6" t="s">
        <v>151</v>
      </c>
      <c r="BK6" t="s">
        <v>151</v>
      </c>
      <c r="BL6" t="s">
        <v>176</v>
      </c>
      <c r="BM6" t="s">
        <v>177</v>
      </c>
      <c r="BN6" t="s">
        <v>137</v>
      </c>
      <c r="BO6" t="s">
        <v>178</v>
      </c>
      <c r="BP6" t="s">
        <v>179</v>
      </c>
      <c r="BQ6" t="s">
        <v>180</v>
      </c>
      <c r="BR6" t="s">
        <v>154</v>
      </c>
      <c r="BS6" t="s">
        <v>181</v>
      </c>
      <c r="BT6" t="s">
        <v>182</v>
      </c>
      <c r="BU6" t="s">
        <v>182</v>
      </c>
      <c r="BV6" t="s">
        <v>182</v>
      </c>
      <c r="BW6" t="s">
        <v>151</v>
      </c>
      <c r="BX6" t="s">
        <v>183</v>
      </c>
      <c r="BY6" t="s">
        <v>151</v>
      </c>
      <c r="BZ6" t="s">
        <v>151</v>
      </c>
      <c r="CA6" t="s">
        <v>151</v>
      </c>
      <c r="CB6" t="s">
        <v>151</v>
      </c>
      <c r="CC6" t="s">
        <v>262</v>
      </c>
      <c r="CD6" t="s">
        <v>263</v>
      </c>
      <c r="CE6" t="s">
        <v>264</v>
      </c>
      <c r="CF6" t="s">
        <v>265</v>
      </c>
      <c r="CG6" t="s">
        <v>266</v>
      </c>
      <c r="CH6" t="s">
        <v>267</v>
      </c>
      <c r="CI6" t="s">
        <v>268</v>
      </c>
      <c r="CJ6" t="s">
        <v>269</v>
      </c>
      <c r="CK6" t="s">
        <v>247</v>
      </c>
      <c r="CL6" t="s">
        <v>238</v>
      </c>
      <c r="CM6" t="s">
        <v>193</v>
      </c>
      <c r="CN6" t="s">
        <v>194</v>
      </c>
      <c r="CO6" t="s">
        <v>154</v>
      </c>
      <c r="CP6" t="s">
        <v>195</v>
      </c>
      <c r="CQ6" t="s">
        <v>196</v>
      </c>
      <c r="CR6" t="s">
        <v>154</v>
      </c>
      <c r="CS6" t="s">
        <v>197</v>
      </c>
      <c r="CT6" t="s">
        <v>198</v>
      </c>
      <c r="CU6" t="s">
        <v>199</v>
      </c>
      <c r="CV6" t="s">
        <v>151</v>
      </c>
      <c r="CW6" t="s">
        <v>246</v>
      </c>
      <c r="CX6" t="s">
        <v>200</v>
      </c>
      <c r="CY6" t="s">
        <v>201</v>
      </c>
      <c r="CZ6" t="s">
        <v>202</v>
      </c>
      <c r="DA6" t="s">
        <v>203</v>
      </c>
      <c r="DB6" t="s">
        <v>204</v>
      </c>
      <c r="DC6" t="s">
        <v>205</v>
      </c>
    </row>
    <row r="7" spans="1:107" x14ac:dyDescent="0.45">
      <c r="A7" t="s">
        <v>270</v>
      </c>
      <c r="B7" t="s">
        <v>271</v>
      </c>
      <c r="C7" t="s">
        <v>139</v>
      </c>
      <c r="D7" t="s">
        <v>76</v>
      </c>
      <c r="E7" t="s">
        <v>140</v>
      </c>
      <c r="F7" t="s">
        <v>19</v>
      </c>
      <c r="G7" t="s">
        <v>272</v>
      </c>
      <c r="H7" t="s">
        <v>19</v>
      </c>
      <c r="I7" t="s">
        <v>19</v>
      </c>
      <c r="J7">
        <f t="shared" si="0"/>
        <v>0.30580478071628053</v>
      </c>
      <c r="K7">
        <f t="shared" si="1"/>
        <v>2.9042299199999997</v>
      </c>
      <c r="L7">
        <f t="shared" si="2"/>
        <v>0.27667220969202799</v>
      </c>
      <c r="M7">
        <f t="shared" si="3"/>
        <v>2.4135462188563137</v>
      </c>
      <c r="N7" t="s">
        <v>273</v>
      </c>
      <c r="O7" t="s">
        <v>274</v>
      </c>
      <c r="P7">
        <f t="shared" si="4"/>
        <v>3.2197056310272809</v>
      </c>
      <c r="Q7">
        <f t="shared" si="5"/>
        <v>0.85874863102728094</v>
      </c>
      <c r="R7" t="s">
        <v>275</v>
      </c>
      <c r="S7" t="s">
        <v>276</v>
      </c>
      <c r="T7">
        <f t="shared" si="6"/>
        <v>31.808986672863874</v>
      </c>
      <c r="U7">
        <f t="shared" si="7"/>
        <v>0.4417875</v>
      </c>
      <c r="V7" t="s">
        <v>146</v>
      </c>
      <c r="W7" t="s">
        <v>277</v>
      </c>
      <c r="X7" t="s">
        <v>278</v>
      </c>
      <c r="Y7" t="s">
        <v>279</v>
      </c>
      <c r="Z7" t="s">
        <v>280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f t="shared" si="8"/>
        <v>0</v>
      </c>
      <c r="AG7" t="s">
        <v>154</v>
      </c>
      <c r="AH7" t="s">
        <v>281</v>
      </c>
      <c r="AI7" t="s">
        <v>282</v>
      </c>
      <c r="AJ7" t="s">
        <v>283</v>
      </c>
      <c r="AK7" t="s">
        <v>284</v>
      </c>
      <c r="AL7">
        <f t="shared" si="9"/>
        <v>25.21</v>
      </c>
      <c r="AM7" t="s">
        <v>285</v>
      </c>
      <c r="AN7" t="s">
        <v>254</v>
      </c>
      <c r="AO7" t="s">
        <v>286</v>
      </c>
      <c r="AP7" t="s">
        <v>287</v>
      </c>
      <c r="AQ7" t="s">
        <v>163</v>
      </c>
      <c r="AR7" t="s">
        <v>288</v>
      </c>
      <c r="AS7" t="s">
        <v>165</v>
      </c>
      <c r="AT7" t="s">
        <v>139</v>
      </c>
      <c r="AU7" t="s">
        <v>166</v>
      </c>
      <c r="AV7" t="s">
        <v>137</v>
      </c>
      <c r="AW7" t="s">
        <v>289</v>
      </c>
      <c r="AX7" t="s">
        <v>259</v>
      </c>
      <c r="AY7" t="s">
        <v>169</v>
      </c>
      <c r="AZ7" t="s">
        <v>290</v>
      </c>
      <c r="BA7" t="s">
        <v>291</v>
      </c>
      <c r="BB7" t="s">
        <v>169</v>
      </c>
      <c r="BC7" t="s">
        <v>137</v>
      </c>
      <c r="BD7" t="s">
        <v>172</v>
      </c>
      <c r="BE7" t="s">
        <v>169</v>
      </c>
      <c r="BF7" t="s">
        <v>173</v>
      </c>
      <c r="BG7" t="s">
        <v>174</v>
      </c>
      <c r="BH7" t="s">
        <v>151</v>
      </c>
      <c r="BI7" t="s">
        <v>175</v>
      </c>
      <c r="BJ7" t="s">
        <v>151</v>
      </c>
      <c r="BK7" t="s">
        <v>151</v>
      </c>
      <c r="BL7" t="s">
        <v>176</v>
      </c>
      <c r="BM7" t="s">
        <v>177</v>
      </c>
      <c r="BN7" t="s">
        <v>137</v>
      </c>
      <c r="BO7" t="s">
        <v>178</v>
      </c>
      <c r="BP7" t="s">
        <v>179</v>
      </c>
      <c r="BQ7" t="s">
        <v>180</v>
      </c>
      <c r="BR7" t="s">
        <v>154</v>
      </c>
      <c r="BS7" t="s">
        <v>181</v>
      </c>
      <c r="BT7" t="s">
        <v>182</v>
      </c>
      <c r="BU7" t="s">
        <v>182</v>
      </c>
      <c r="BV7" t="s">
        <v>182</v>
      </c>
      <c r="BW7" t="s">
        <v>151</v>
      </c>
      <c r="BX7" t="s">
        <v>183</v>
      </c>
      <c r="BY7" t="s">
        <v>151</v>
      </c>
      <c r="BZ7" t="s">
        <v>151</v>
      </c>
      <c r="CA7" t="s">
        <v>151</v>
      </c>
      <c r="CB7" t="s">
        <v>151</v>
      </c>
      <c r="CC7" t="s">
        <v>292</v>
      </c>
      <c r="CD7" t="s">
        <v>293</v>
      </c>
      <c r="CE7" t="s">
        <v>294</v>
      </c>
      <c r="CF7" t="s">
        <v>295</v>
      </c>
      <c r="CG7" t="s">
        <v>296</v>
      </c>
      <c r="CH7" t="s">
        <v>297</v>
      </c>
      <c r="CI7" t="s">
        <v>298</v>
      </c>
      <c r="CJ7" t="s">
        <v>299</v>
      </c>
      <c r="CK7" t="s">
        <v>278</v>
      </c>
      <c r="CL7" t="s">
        <v>300</v>
      </c>
      <c r="CM7" t="s">
        <v>193</v>
      </c>
      <c r="CN7" t="s">
        <v>194</v>
      </c>
      <c r="CO7" t="s">
        <v>154</v>
      </c>
      <c r="CP7" t="s">
        <v>195</v>
      </c>
      <c r="CQ7" t="s">
        <v>196</v>
      </c>
      <c r="CR7" t="s">
        <v>154</v>
      </c>
      <c r="CS7" t="s">
        <v>197</v>
      </c>
      <c r="CT7" t="s">
        <v>198</v>
      </c>
      <c r="CU7" t="s">
        <v>199</v>
      </c>
      <c r="CV7" t="s">
        <v>151</v>
      </c>
      <c r="CW7" t="s">
        <v>277</v>
      </c>
      <c r="CX7" t="s">
        <v>200</v>
      </c>
      <c r="CY7" t="s">
        <v>201</v>
      </c>
      <c r="CZ7" t="s">
        <v>202</v>
      </c>
      <c r="DA7" t="s">
        <v>203</v>
      </c>
      <c r="DB7" t="s">
        <v>204</v>
      </c>
      <c r="DC7" t="s">
        <v>205</v>
      </c>
    </row>
    <row r="8" spans="1:107" x14ac:dyDescent="0.45">
      <c r="A8" t="s">
        <v>180</v>
      </c>
      <c r="B8" t="s">
        <v>301</v>
      </c>
      <c r="C8" t="s">
        <v>139</v>
      </c>
      <c r="D8" t="s">
        <v>76</v>
      </c>
      <c r="E8" t="s">
        <v>140</v>
      </c>
      <c r="F8" t="s">
        <v>19</v>
      </c>
      <c r="G8" t="s">
        <v>302</v>
      </c>
      <c r="H8" t="s">
        <v>19</v>
      </c>
      <c r="I8" t="s">
        <v>19</v>
      </c>
      <c r="J8">
        <f t="shared" si="0"/>
        <v>0.2509397999072715</v>
      </c>
      <c r="K8">
        <f t="shared" si="1"/>
        <v>2.9042299199999997</v>
      </c>
      <c r="L8">
        <f t="shared" si="2"/>
        <v>0.23098182972893444</v>
      </c>
      <c r="M8">
        <f t="shared" si="3"/>
        <v>1.8879996702064523</v>
      </c>
      <c r="N8" t="s">
        <v>303</v>
      </c>
      <c r="O8" t="s">
        <v>304</v>
      </c>
      <c r="P8">
        <f t="shared" si="4"/>
        <v>3.1853691209787405</v>
      </c>
      <c r="Q8">
        <f t="shared" si="5"/>
        <v>0.80462712097874034</v>
      </c>
      <c r="R8" t="s">
        <v>305</v>
      </c>
      <c r="S8" t="s">
        <v>306</v>
      </c>
      <c r="T8">
        <f t="shared" si="6"/>
        <v>31.469760136126659</v>
      </c>
      <c r="U8">
        <f t="shared" si="7"/>
        <v>0.4417875</v>
      </c>
      <c r="V8" t="s">
        <v>146</v>
      </c>
      <c r="W8" t="s">
        <v>307</v>
      </c>
      <c r="X8" t="s">
        <v>308</v>
      </c>
      <c r="Y8" t="s">
        <v>309</v>
      </c>
      <c r="Z8" t="s">
        <v>310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f t="shared" si="8"/>
        <v>0</v>
      </c>
      <c r="AG8" t="s">
        <v>154</v>
      </c>
      <c r="AH8" t="s">
        <v>311</v>
      </c>
      <c r="AI8" t="s">
        <v>312</v>
      </c>
      <c r="AJ8" t="s">
        <v>313</v>
      </c>
      <c r="AK8" t="s">
        <v>314</v>
      </c>
      <c r="AL8">
        <f t="shared" si="9"/>
        <v>25.03</v>
      </c>
      <c r="AM8" t="s">
        <v>285</v>
      </c>
      <c r="AN8" t="s">
        <v>254</v>
      </c>
      <c r="AO8" t="s">
        <v>315</v>
      </c>
      <c r="AP8" t="s">
        <v>316</v>
      </c>
      <c r="AQ8" t="s">
        <v>163</v>
      </c>
      <c r="AR8" t="s">
        <v>317</v>
      </c>
      <c r="AS8" t="s">
        <v>165</v>
      </c>
      <c r="AT8" t="s">
        <v>139</v>
      </c>
      <c r="AU8" t="s">
        <v>166</v>
      </c>
      <c r="AV8" t="s">
        <v>137</v>
      </c>
      <c r="AW8" t="s">
        <v>318</v>
      </c>
      <c r="AX8" t="s">
        <v>319</v>
      </c>
      <c r="AY8" t="s">
        <v>169</v>
      </c>
      <c r="AZ8" t="s">
        <v>320</v>
      </c>
      <c r="BA8" t="s">
        <v>321</v>
      </c>
      <c r="BB8" t="s">
        <v>169</v>
      </c>
      <c r="BC8" t="s">
        <v>137</v>
      </c>
      <c r="BD8" t="s">
        <v>172</v>
      </c>
      <c r="BE8" t="s">
        <v>169</v>
      </c>
      <c r="BF8" t="s">
        <v>173</v>
      </c>
      <c r="BG8" t="s">
        <v>174</v>
      </c>
      <c r="BH8" t="s">
        <v>151</v>
      </c>
      <c r="BI8" t="s">
        <v>175</v>
      </c>
      <c r="BJ8" t="s">
        <v>151</v>
      </c>
      <c r="BK8" t="s">
        <v>151</v>
      </c>
      <c r="BL8" t="s">
        <v>176</v>
      </c>
      <c r="BM8" t="s">
        <v>177</v>
      </c>
      <c r="BN8" t="s">
        <v>137</v>
      </c>
      <c r="BO8" t="s">
        <v>178</v>
      </c>
      <c r="BP8" t="s">
        <v>179</v>
      </c>
      <c r="BQ8" t="s">
        <v>180</v>
      </c>
      <c r="BR8" t="s">
        <v>154</v>
      </c>
      <c r="BS8" t="s">
        <v>181</v>
      </c>
      <c r="BT8" t="s">
        <v>182</v>
      </c>
      <c r="BU8" t="s">
        <v>182</v>
      </c>
      <c r="BV8" t="s">
        <v>182</v>
      </c>
      <c r="BW8" t="s">
        <v>151</v>
      </c>
      <c r="BX8" t="s">
        <v>183</v>
      </c>
      <c r="BY8" t="s">
        <v>151</v>
      </c>
      <c r="BZ8" t="s">
        <v>151</v>
      </c>
      <c r="CA8" t="s">
        <v>151</v>
      </c>
      <c r="CB8" t="s">
        <v>151</v>
      </c>
      <c r="CC8" t="s">
        <v>322</v>
      </c>
      <c r="CD8" t="s">
        <v>323</v>
      </c>
      <c r="CE8" t="s">
        <v>324</v>
      </c>
      <c r="CF8" t="s">
        <v>325</v>
      </c>
      <c r="CG8" t="s">
        <v>326</v>
      </c>
      <c r="CH8" t="s">
        <v>327</v>
      </c>
      <c r="CI8" t="s">
        <v>328</v>
      </c>
      <c r="CJ8" t="s">
        <v>329</v>
      </c>
      <c r="CK8" t="s">
        <v>308</v>
      </c>
      <c r="CL8" t="s">
        <v>330</v>
      </c>
      <c r="CM8" t="s">
        <v>193</v>
      </c>
      <c r="CN8" t="s">
        <v>194</v>
      </c>
      <c r="CO8" t="s">
        <v>154</v>
      </c>
      <c r="CP8" t="s">
        <v>195</v>
      </c>
      <c r="CQ8" t="s">
        <v>196</v>
      </c>
      <c r="CR8" t="s">
        <v>154</v>
      </c>
      <c r="CS8" t="s">
        <v>197</v>
      </c>
      <c r="CT8" t="s">
        <v>198</v>
      </c>
      <c r="CU8" t="s">
        <v>199</v>
      </c>
      <c r="CV8" t="s">
        <v>151</v>
      </c>
      <c r="CW8" t="s">
        <v>307</v>
      </c>
      <c r="CX8" t="s">
        <v>200</v>
      </c>
      <c r="CY8" t="s">
        <v>201</v>
      </c>
      <c r="CZ8" t="s">
        <v>202</v>
      </c>
      <c r="DA8" t="s">
        <v>203</v>
      </c>
      <c r="DB8" t="s">
        <v>204</v>
      </c>
      <c r="DC8" t="s">
        <v>205</v>
      </c>
    </row>
    <row r="9" spans="1:107" x14ac:dyDescent="0.45">
      <c r="A9" t="s">
        <v>331</v>
      </c>
      <c r="B9" t="s">
        <v>332</v>
      </c>
      <c r="C9" t="s">
        <v>139</v>
      </c>
      <c r="D9" t="s">
        <v>76</v>
      </c>
      <c r="E9" t="s">
        <v>140</v>
      </c>
      <c r="F9" t="s">
        <v>19</v>
      </c>
      <c r="G9" t="s">
        <v>333</v>
      </c>
      <c r="H9" t="s">
        <v>19</v>
      </c>
      <c r="I9" t="s">
        <v>19</v>
      </c>
      <c r="J9">
        <f t="shared" si="0"/>
        <v>0.28622193736447815</v>
      </c>
      <c r="K9">
        <f t="shared" si="1"/>
        <v>2.9058327199999998</v>
      </c>
      <c r="L9">
        <f t="shared" si="2"/>
        <v>0.26055727738139534</v>
      </c>
      <c r="M9">
        <f t="shared" si="3"/>
        <v>2.1667254293372968</v>
      </c>
      <c r="N9" t="s">
        <v>334</v>
      </c>
      <c r="O9" t="s">
        <v>335</v>
      </c>
      <c r="P9">
        <f t="shared" si="4"/>
        <v>3.2408478830815408</v>
      </c>
      <c r="Q9">
        <f t="shared" si="5"/>
        <v>0.81845088308154068</v>
      </c>
      <c r="R9" t="s">
        <v>336</v>
      </c>
      <c r="S9" t="s">
        <v>337</v>
      </c>
      <c r="T9">
        <f t="shared" si="6"/>
        <v>32.011535787055912</v>
      </c>
      <c r="U9">
        <f t="shared" si="7"/>
        <v>0.4417875</v>
      </c>
      <c r="V9" t="s">
        <v>146</v>
      </c>
      <c r="W9" t="s">
        <v>338</v>
      </c>
      <c r="X9" t="s">
        <v>339</v>
      </c>
      <c r="Y9" t="s">
        <v>340</v>
      </c>
      <c r="Z9" t="s">
        <v>341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f t="shared" si="8"/>
        <v>0</v>
      </c>
      <c r="AG9" t="s">
        <v>154</v>
      </c>
      <c r="AH9" t="s">
        <v>342</v>
      </c>
      <c r="AI9" t="s">
        <v>343</v>
      </c>
      <c r="AJ9" t="s">
        <v>344</v>
      </c>
      <c r="AK9" t="s">
        <v>345</v>
      </c>
      <c r="AL9">
        <f t="shared" si="9"/>
        <v>25.32</v>
      </c>
      <c r="AM9" t="s">
        <v>346</v>
      </c>
      <c r="AN9" t="s">
        <v>347</v>
      </c>
      <c r="AO9" t="s">
        <v>348</v>
      </c>
      <c r="AP9" t="s">
        <v>349</v>
      </c>
      <c r="AQ9" t="s">
        <v>163</v>
      </c>
      <c r="AR9" t="s">
        <v>317</v>
      </c>
      <c r="AS9" t="s">
        <v>165</v>
      </c>
      <c r="AT9" t="s">
        <v>139</v>
      </c>
      <c r="AU9" t="s">
        <v>166</v>
      </c>
      <c r="AV9" t="s">
        <v>137</v>
      </c>
      <c r="AW9" t="s">
        <v>350</v>
      </c>
      <c r="AX9" t="s">
        <v>351</v>
      </c>
      <c r="AY9" t="s">
        <v>169</v>
      </c>
      <c r="AZ9" t="s">
        <v>352</v>
      </c>
      <c r="BA9" t="s">
        <v>353</v>
      </c>
      <c r="BB9" t="s">
        <v>169</v>
      </c>
      <c r="BC9" t="s">
        <v>137</v>
      </c>
      <c r="BD9" t="s">
        <v>172</v>
      </c>
      <c r="BE9" t="s">
        <v>169</v>
      </c>
      <c r="BF9" t="s">
        <v>173</v>
      </c>
      <c r="BG9" t="s">
        <v>174</v>
      </c>
      <c r="BH9" t="s">
        <v>151</v>
      </c>
      <c r="BI9" t="s">
        <v>175</v>
      </c>
      <c r="BJ9" t="s">
        <v>151</v>
      </c>
      <c r="BK9" t="s">
        <v>151</v>
      </c>
      <c r="BL9" t="s">
        <v>176</v>
      </c>
      <c r="BM9" t="s">
        <v>177</v>
      </c>
      <c r="BN9" t="s">
        <v>137</v>
      </c>
      <c r="BO9" t="s">
        <v>178</v>
      </c>
      <c r="BP9" t="s">
        <v>179</v>
      </c>
      <c r="BQ9" t="s">
        <v>180</v>
      </c>
      <c r="BR9" t="s">
        <v>154</v>
      </c>
      <c r="BS9" t="s">
        <v>181</v>
      </c>
      <c r="BT9" t="s">
        <v>182</v>
      </c>
      <c r="BU9" t="s">
        <v>182</v>
      </c>
      <c r="BV9" t="s">
        <v>182</v>
      </c>
      <c r="BW9" t="s">
        <v>151</v>
      </c>
      <c r="BX9" t="s">
        <v>183</v>
      </c>
      <c r="BY9" t="s">
        <v>151</v>
      </c>
      <c r="BZ9" t="s">
        <v>151</v>
      </c>
      <c r="CA9" t="s">
        <v>151</v>
      </c>
      <c r="CB9" t="s">
        <v>151</v>
      </c>
      <c r="CC9" t="s">
        <v>354</v>
      </c>
      <c r="CD9" t="s">
        <v>355</v>
      </c>
      <c r="CE9" t="s">
        <v>356</v>
      </c>
      <c r="CF9" t="s">
        <v>357</v>
      </c>
      <c r="CG9" t="s">
        <v>358</v>
      </c>
      <c r="CH9" t="s">
        <v>359</v>
      </c>
      <c r="CI9" t="s">
        <v>360</v>
      </c>
      <c r="CJ9" t="s">
        <v>361</v>
      </c>
      <c r="CK9" t="s">
        <v>339</v>
      </c>
      <c r="CL9" t="s">
        <v>362</v>
      </c>
      <c r="CM9" t="s">
        <v>193</v>
      </c>
      <c r="CN9" t="s">
        <v>194</v>
      </c>
      <c r="CO9" t="s">
        <v>154</v>
      </c>
      <c r="CP9" t="s">
        <v>195</v>
      </c>
      <c r="CQ9" t="s">
        <v>196</v>
      </c>
      <c r="CR9" t="s">
        <v>154</v>
      </c>
      <c r="CS9" t="s">
        <v>197</v>
      </c>
      <c r="CT9" t="s">
        <v>198</v>
      </c>
      <c r="CU9" t="s">
        <v>199</v>
      </c>
      <c r="CV9" t="s">
        <v>151</v>
      </c>
      <c r="CW9" t="s">
        <v>338</v>
      </c>
      <c r="CX9" t="s">
        <v>200</v>
      </c>
      <c r="CY9" t="s">
        <v>201</v>
      </c>
      <c r="CZ9" t="s">
        <v>202</v>
      </c>
      <c r="DA9" t="s">
        <v>203</v>
      </c>
      <c r="DB9" t="s">
        <v>204</v>
      </c>
      <c r="DC9" t="s">
        <v>205</v>
      </c>
    </row>
    <row r="10" spans="1:107" x14ac:dyDescent="0.45">
      <c r="A10" t="s">
        <v>363</v>
      </c>
      <c r="B10" t="s">
        <v>364</v>
      </c>
      <c r="C10" t="s">
        <v>139</v>
      </c>
      <c r="D10" t="s">
        <v>76</v>
      </c>
      <c r="E10" t="s">
        <v>140</v>
      </c>
      <c r="F10" t="s">
        <v>19</v>
      </c>
      <c r="G10" t="s">
        <v>365</v>
      </c>
      <c r="H10" t="s">
        <v>19</v>
      </c>
      <c r="I10" t="s">
        <v>19</v>
      </c>
      <c r="J10">
        <f t="shared" si="0"/>
        <v>0.36726665562321614</v>
      </c>
      <c r="K10">
        <f t="shared" si="1"/>
        <v>2.90181552</v>
      </c>
      <c r="L10">
        <f t="shared" si="2"/>
        <v>0.32600590135448998</v>
      </c>
      <c r="M10">
        <f t="shared" si="3"/>
        <v>2.4655271543653861</v>
      </c>
      <c r="N10" t="s">
        <v>366</v>
      </c>
      <c r="O10" t="s">
        <v>367</v>
      </c>
      <c r="P10">
        <f t="shared" si="4"/>
        <v>3.2369948396053401</v>
      </c>
      <c r="Q10">
        <f t="shared" si="5"/>
        <v>0.74390483960534004</v>
      </c>
      <c r="R10" t="s">
        <v>368</v>
      </c>
      <c r="S10" t="s">
        <v>369</v>
      </c>
      <c r="T10">
        <f t="shared" si="6"/>
        <v>31.976635776008496</v>
      </c>
      <c r="U10">
        <f t="shared" si="7"/>
        <v>0.4417875</v>
      </c>
      <c r="V10" t="s">
        <v>146</v>
      </c>
      <c r="W10" t="s">
        <v>370</v>
      </c>
      <c r="X10" t="s">
        <v>371</v>
      </c>
      <c r="Y10" t="s">
        <v>372</v>
      </c>
      <c r="Z10" t="s">
        <v>373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f t="shared" si="8"/>
        <v>0</v>
      </c>
      <c r="AG10" t="s">
        <v>154</v>
      </c>
      <c r="AH10" t="s">
        <v>374</v>
      </c>
      <c r="AI10" t="s">
        <v>375</v>
      </c>
      <c r="AJ10" t="s">
        <v>376</v>
      </c>
      <c r="AK10" t="s">
        <v>377</v>
      </c>
      <c r="AL10">
        <f t="shared" si="9"/>
        <v>25.3</v>
      </c>
      <c r="AM10" t="s">
        <v>378</v>
      </c>
      <c r="AN10" t="s">
        <v>379</v>
      </c>
      <c r="AO10" t="s">
        <v>380</v>
      </c>
      <c r="AP10" t="s">
        <v>381</v>
      </c>
      <c r="AQ10" t="s">
        <v>163</v>
      </c>
      <c r="AR10" t="s">
        <v>382</v>
      </c>
      <c r="AS10" t="s">
        <v>165</v>
      </c>
      <c r="AT10" t="s">
        <v>139</v>
      </c>
      <c r="AU10" t="s">
        <v>166</v>
      </c>
      <c r="AV10" t="s">
        <v>137</v>
      </c>
      <c r="AW10" t="s">
        <v>383</v>
      </c>
      <c r="AX10" t="s">
        <v>384</v>
      </c>
      <c r="AY10" t="s">
        <v>169</v>
      </c>
      <c r="AZ10" t="s">
        <v>385</v>
      </c>
      <c r="BA10" t="s">
        <v>386</v>
      </c>
      <c r="BB10" t="s">
        <v>169</v>
      </c>
      <c r="BC10" t="s">
        <v>137</v>
      </c>
      <c r="BD10" t="s">
        <v>172</v>
      </c>
      <c r="BE10" t="s">
        <v>169</v>
      </c>
      <c r="BF10" t="s">
        <v>173</v>
      </c>
      <c r="BG10" t="s">
        <v>174</v>
      </c>
      <c r="BH10" t="s">
        <v>151</v>
      </c>
      <c r="BI10" t="s">
        <v>175</v>
      </c>
      <c r="BJ10" t="s">
        <v>151</v>
      </c>
      <c r="BK10" t="s">
        <v>151</v>
      </c>
      <c r="BL10" t="s">
        <v>176</v>
      </c>
      <c r="BM10" t="s">
        <v>177</v>
      </c>
      <c r="BN10" t="s">
        <v>137</v>
      </c>
      <c r="BO10" t="s">
        <v>178</v>
      </c>
      <c r="BP10" t="s">
        <v>179</v>
      </c>
      <c r="BQ10" t="s">
        <v>180</v>
      </c>
      <c r="BR10" t="s">
        <v>154</v>
      </c>
      <c r="BS10" t="s">
        <v>181</v>
      </c>
      <c r="BT10" t="s">
        <v>182</v>
      </c>
      <c r="BU10" t="s">
        <v>182</v>
      </c>
      <c r="BV10" t="s">
        <v>182</v>
      </c>
      <c r="BW10" t="s">
        <v>151</v>
      </c>
      <c r="BX10" t="s">
        <v>183</v>
      </c>
      <c r="BY10" t="s">
        <v>151</v>
      </c>
      <c r="BZ10" t="s">
        <v>151</v>
      </c>
      <c r="CA10" t="s">
        <v>151</v>
      </c>
      <c r="CB10" t="s">
        <v>151</v>
      </c>
      <c r="CC10" t="s">
        <v>387</v>
      </c>
      <c r="CD10" t="s">
        <v>388</v>
      </c>
      <c r="CE10" t="s">
        <v>389</v>
      </c>
      <c r="CF10" t="s">
        <v>390</v>
      </c>
      <c r="CG10" t="s">
        <v>391</v>
      </c>
      <c r="CH10" t="s">
        <v>392</v>
      </c>
      <c r="CI10" t="s">
        <v>393</v>
      </c>
      <c r="CJ10" t="s">
        <v>394</v>
      </c>
      <c r="CK10" t="s">
        <v>371</v>
      </c>
      <c r="CL10" t="s">
        <v>395</v>
      </c>
      <c r="CM10" t="s">
        <v>193</v>
      </c>
      <c r="CN10" t="s">
        <v>194</v>
      </c>
      <c r="CO10" t="s">
        <v>154</v>
      </c>
      <c r="CP10" t="s">
        <v>195</v>
      </c>
      <c r="CQ10" t="s">
        <v>196</v>
      </c>
      <c r="CR10" t="s">
        <v>154</v>
      </c>
      <c r="CS10" t="s">
        <v>197</v>
      </c>
      <c r="CT10" t="s">
        <v>198</v>
      </c>
      <c r="CU10" t="s">
        <v>199</v>
      </c>
      <c r="CV10" t="s">
        <v>151</v>
      </c>
      <c r="CW10" t="s">
        <v>370</v>
      </c>
      <c r="CX10" t="s">
        <v>200</v>
      </c>
      <c r="CY10" t="s">
        <v>201</v>
      </c>
      <c r="CZ10" t="s">
        <v>202</v>
      </c>
      <c r="DA10" t="s">
        <v>203</v>
      </c>
      <c r="DB10" t="s">
        <v>204</v>
      </c>
      <c r="DC10" t="s">
        <v>205</v>
      </c>
    </row>
    <row r="11" spans="1:107" x14ac:dyDescent="0.45">
      <c r="A11" t="s">
        <v>396</v>
      </c>
      <c r="B11" t="s">
        <v>397</v>
      </c>
      <c r="C11" t="s">
        <v>139</v>
      </c>
      <c r="D11" t="s">
        <v>76</v>
      </c>
      <c r="E11" t="s">
        <v>140</v>
      </c>
      <c r="F11" t="s">
        <v>19</v>
      </c>
      <c r="G11" t="s">
        <v>398</v>
      </c>
      <c r="H11" t="s">
        <v>19</v>
      </c>
      <c r="I11" t="s">
        <v>19</v>
      </c>
      <c r="J11">
        <f t="shared" si="0"/>
        <v>0.27597162522150609</v>
      </c>
      <c r="K11">
        <f t="shared" si="1"/>
        <v>2.9050319999999994</v>
      </c>
      <c r="L11">
        <f t="shared" si="2"/>
        <v>0.2520293897196223</v>
      </c>
      <c r="M11">
        <f t="shared" si="3"/>
        <v>1.9257219986530294</v>
      </c>
      <c r="N11" t="s">
        <v>399</v>
      </c>
      <c r="O11" t="s">
        <v>400</v>
      </c>
      <c r="P11">
        <f t="shared" si="4"/>
        <v>3.2659904832743254</v>
      </c>
      <c r="Q11">
        <f t="shared" si="5"/>
        <v>0.75132548327432547</v>
      </c>
      <c r="R11" t="s">
        <v>401</v>
      </c>
      <c r="S11" t="s">
        <v>402</v>
      </c>
      <c r="T11">
        <f t="shared" si="6"/>
        <v>32.263069083022081</v>
      </c>
      <c r="U11">
        <f t="shared" si="7"/>
        <v>0.4417875</v>
      </c>
      <c r="V11" t="s">
        <v>146</v>
      </c>
      <c r="W11" t="s">
        <v>403</v>
      </c>
      <c r="X11" t="s">
        <v>404</v>
      </c>
      <c r="Y11" t="s">
        <v>405</v>
      </c>
      <c r="Z11" t="s">
        <v>406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f t="shared" si="8"/>
        <v>0</v>
      </c>
      <c r="AG11" t="s">
        <v>154</v>
      </c>
      <c r="AH11" t="s">
        <v>407</v>
      </c>
      <c r="AI11" t="s">
        <v>408</v>
      </c>
      <c r="AJ11" t="s">
        <v>409</v>
      </c>
      <c r="AK11" t="s">
        <v>410</v>
      </c>
      <c r="AL11">
        <f t="shared" si="9"/>
        <v>25.45</v>
      </c>
      <c r="AM11" t="s">
        <v>378</v>
      </c>
      <c r="AN11" t="s">
        <v>411</v>
      </c>
      <c r="AO11" t="s">
        <v>412</v>
      </c>
      <c r="AP11" t="s">
        <v>413</v>
      </c>
      <c r="AQ11" t="s">
        <v>163</v>
      </c>
      <c r="AR11" t="s">
        <v>414</v>
      </c>
      <c r="AS11" t="s">
        <v>165</v>
      </c>
      <c r="AT11" t="s">
        <v>139</v>
      </c>
      <c r="AU11" t="s">
        <v>166</v>
      </c>
      <c r="AV11" t="s">
        <v>137</v>
      </c>
      <c r="AW11" t="s">
        <v>350</v>
      </c>
      <c r="AX11" t="s">
        <v>415</v>
      </c>
      <c r="AY11" t="s">
        <v>169</v>
      </c>
      <c r="AZ11" t="s">
        <v>416</v>
      </c>
      <c r="BA11" t="s">
        <v>417</v>
      </c>
      <c r="BB11" t="s">
        <v>169</v>
      </c>
      <c r="BC11" t="s">
        <v>137</v>
      </c>
      <c r="BD11" t="s">
        <v>172</v>
      </c>
      <c r="BE11" t="s">
        <v>169</v>
      </c>
      <c r="BF11" t="s">
        <v>173</v>
      </c>
      <c r="BG11" t="s">
        <v>174</v>
      </c>
      <c r="BH11" t="s">
        <v>151</v>
      </c>
      <c r="BI11" t="s">
        <v>175</v>
      </c>
      <c r="BJ11" t="s">
        <v>151</v>
      </c>
      <c r="BK11" t="s">
        <v>151</v>
      </c>
      <c r="BL11" t="s">
        <v>176</v>
      </c>
      <c r="BM11" t="s">
        <v>177</v>
      </c>
      <c r="BN11" t="s">
        <v>137</v>
      </c>
      <c r="BO11" t="s">
        <v>178</v>
      </c>
      <c r="BP11" t="s">
        <v>179</v>
      </c>
      <c r="BQ11" t="s">
        <v>180</v>
      </c>
      <c r="BR11" t="s">
        <v>154</v>
      </c>
      <c r="BS11" t="s">
        <v>181</v>
      </c>
      <c r="BT11" t="s">
        <v>182</v>
      </c>
      <c r="BU11" t="s">
        <v>182</v>
      </c>
      <c r="BV11" t="s">
        <v>182</v>
      </c>
      <c r="BW11" t="s">
        <v>151</v>
      </c>
      <c r="BX11" t="s">
        <v>183</v>
      </c>
      <c r="BY11" t="s">
        <v>151</v>
      </c>
      <c r="BZ11" t="s">
        <v>151</v>
      </c>
      <c r="CA11" t="s">
        <v>151</v>
      </c>
      <c r="CB11" t="s">
        <v>151</v>
      </c>
      <c r="CC11" t="s">
        <v>418</v>
      </c>
      <c r="CD11" t="s">
        <v>419</v>
      </c>
      <c r="CE11" t="s">
        <v>420</v>
      </c>
      <c r="CF11" t="s">
        <v>421</v>
      </c>
      <c r="CG11" t="s">
        <v>422</v>
      </c>
      <c r="CH11" t="s">
        <v>423</v>
      </c>
      <c r="CI11" t="s">
        <v>424</v>
      </c>
      <c r="CJ11" t="s">
        <v>299</v>
      </c>
      <c r="CK11" t="s">
        <v>404</v>
      </c>
      <c r="CL11" t="s">
        <v>330</v>
      </c>
      <c r="CM11" t="s">
        <v>193</v>
      </c>
      <c r="CN11" t="s">
        <v>194</v>
      </c>
      <c r="CO11" t="s">
        <v>154</v>
      </c>
      <c r="CP11" t="s">
        <v>195</v>
      </c>
      <c r="CQ11" t="s">
        <v>196</v>
      </c>
      <c r="CR11" t="s">
        <v>154</v>
      </c>
      <c r="CS11" t="s">
        <v>197</v>
      </c>
      <c r="CT11" t="s">
        <v>198</v>
      </c>
      <c r="CU11" t="s">
        <v>199</v>
      </c>
      <c r="CV11" t="s">
        <v>151</v>
      </c>
      <c r="CW11" t="s">
        <v>403</v>
      </c>
      <c r="CX11" t="s">
        <v>200</v>
      </c>
      <c r="CY11" t="s">
        <v>201</v>
      </c>
      <c r="CZ11" t="s">
        <v>202</v>
      </c>
      <c r="DA11" t="s">
        <v>203</v>
      </c>
      <c r="DB11" t="s">
        <v>204</v>
      </c>
      <c r="DC11" t="s">
        <v>205</v>
      </c>
    </row>
    <row r="12" spans="1:107" x14ac:dyDescent="0.45">
      <c r="A12" t="s">
        <v>425</v>
      </c>
      <c r="B12" t="s">
        <v>426</v>
      </c>
      <c r="C12" t="s">
        <v>139</v>
      </c>
      <c r="D12" t="s">
        <v>76</v>
      </c>
      <c r="E12" t="s">
        <v>140</v>
      </c>
      <c r="F12" t="s">
        <v>19</v>
      </c>
      <c r="G12" t="s">
        <v>427</v>
      </c>
      <c r="H12" t="s">
        <v>19</v>
      </c>
      <c r="I12" t="s">
        <v>19</v>
      </c>
      <c r="J12">
        <f t="shared" si="0"/>
        <v>0.24739965848429754</v>
      </c>
      <c r="K12">
        <f t="shared" si="1"/>
        <v>2.9050319999999994</v>
      </c>
      <c r="L12">
        <f t="shared" si="2"/>
        <v>0.22798398269845815</v>
      </c>
      <c r="M12">
        <f t="shared" si="3"/>
        <v>1.531269640393937</v>
      </c>
      <c r="N12" t="s">
        <v>428</v>
      </c>
      <c r="O12" t="s">
        <v>429</v>
      </c>
      <c r="P12">
        <f t="shared" si="4"/>
        <v>3.2044052389604514</v>
      </c>
      <c r="Q12">
        <f t="shared" si="5"/>
        <v>0.66051323896045133</v>
      </c>
      <c r="R12" t="s">
        <v>430</v>
      </c>
      <c r="S12" t="s">
        <v>431</v>
      </c>
      <c r="T12">
        <f t="shared" si="6"/>
        <v>31.654699584712549</v>
      </c>
      <c r="U12">
        <f t="shared" si="7"/>
        <v>0.4417875</v>
      </c>
      <c r="V12" t="s">
        <v>146</v>
      </c>
      <c r="W12" t="s">
        <v>432</v>
      </c>
      <c r="X12" t="s">
        <v>433</v>
      </c>
      <c r="Y12" t="s">
        <v>434</v>
      </c>
      <c r="Z12" t="s">
        <v>435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f t="shared" si="8"/>
        <v>0</v>
      </c>
      <c r="AG12" t="s">
        <v>154</v>
      </c>
      <c r="AH12" t="s">
        <v>436</v>
      </c>
      <c r="AI12" t="s">
        <v>437</v>
      </c>
      <c r="AJ12" t="s">
        <v>438</v>
      </c>
      <c r="AK12" t="s">
        <v>439</v>
      </c>
      <c r="AL12">
        <f t="shared" si="9"/>
        <v>25.13</v>
      </c>
      <c r="AM12" t="s">
        <v>378</v>
      </c>
      <c r="AN12" t="s">
        <v>411</v>
      </c>
      <c r="AO12" t="s">
        <v>440</v>
      </c>
      <c r="AP12" t="s">
        <v>441</v>
      </c>
      <c r="AQ12" t="s">
        <v>163</v>
      </c>
      <c r="AR12" t="s">
        <v>414</v>
      </c>
      <c r="AS12" t="s">
        <v>165</v>
      </c>
      <c r="AT12" t="s">
        <v>139</v>
      </c>
      <c r="AU12" t="s">
        <v>166</v>
      </c>
      <c r="AV12" t="s">
        <v>137</v>
      </c>
      <c r="AW12" t="s">
        <v>442</v>
      </c>
      <c r="AX12" t="s">
        <v>443</v>
      </c>
      <c r="AY12" t="s">
        <v>444</v>
      </c>
      <c r="AZ12" t="s">
        <v>445</v>
      </c>
      <c r="BA12" t="s">
        <v>446</v>
      </c>
      <c r="BB12" t="s">
        <v>447</v>
      </c>
      <c r="BC12" t="s">
        <v>137</v>
      </c>
      <c r="BD12" t="s">
        <v>172</v>
      </c>
      <c r="BE12" t="s">
        <v>169</v>
      </c>
      <c r="BF12" t="s">
        <v>173</v>
      </c>
      <c r="BG12" t="s">
        <v>174</v>
      </c>
      <c r="BH12" t="s">
        <v>151</v>
      </c>
      <c r="BI12" t="s">
        <v>175</v>
      </c>
      <c r="BJ12" t="s">
        <v>151</v>
      </c>
      <c r="BK12" t="s">
        <v>151</v>
      </c>
      <c r="BL12" t="s">
        <v>176</v>
      </c>
      <c r="BM12" t="s">
        <v>177</v>
      </c>
      <c r="BN12" t="s">
        <v>137</v>
      </c>
      <c r="BO12" t="s">
        <v>178</v>
      </c>
      <c r="BP12" t="s">
        <v>179</v>
      </c>
      <c r="BQ12" t="s">
        <v>180</v>
      </c>
      <c r="BR12" t="s">
        <v>154</v>
      </c>
      <c r="BS12" t="s">
        <v>181</v>
      </c>
      <c r="BT12" t="s">
        <v>182</v>
      </c>
      <c r="BU12" t="s">
        <v>182</v>
      </c>
      <c r="BV12" t="s">
        <v>182</v>
      </c>
      <c r="BW12" t="s">
        <v>151</v>
      </c>
      <c r="BX12" t="s">
        <v>183</v>
      </c>
      <c r="BY12" t="s">
        <v>151</v>
      </c>
      <c r="BZ12" t="s">
        <v>151</v>
      </c>
      <c r="CA12" t="s">
        <v>151</v>
      </c>
      <c r="CB12" t="s">
        <v>151</v>
      </c>
      <c r="CC12" t="s">
        <v>448</v>
      </c>
      <c r="CD12" t="s">
        <v>449</v>
      </c>
      <c r="CE12" t="s">
        <v>450</v>
      </c>
      <c r="CF12" t="s">
        <v>451</v>
      </c>
      <c r="CG12" t="s">
        <v>452</v>
      </c>
      <c r="CH12" t="s">
        <v>453</v>
      </c>
      <c r="CI12" t="s">
        <v>454</v>
      </c>
      <c r="CJ12" t="s">
        <v>299</v>
      </c>
      <c r="CK12" t="s">
        <v>433</v>
      </c>
      <c r="CL12" t="s">
        <v>455</v>
      </c>
      <c r="CM12" t="s">
        <v>193</v>
      </c>
      <c r="CN12" t="s">
        <v>194</v>
      </c>
      <c r="CO12" t="s">
        <v>154</v>
      </c>
      <c r="CP12" t="s">
        <v>195</v>
      </c>
      <c r="CQ12" t="s">
        <v>196</v>
      </c>
      <c r="CR12" t="s">
        <v>154</v>
      </c>
      <c r="CS12" t="s">
        <v>197</v>
      </c>
      <c r="CT12" t="s">
        <v>198</v>
      </c>
      <c r="CU12" t="s">
        <v>199</v>
      </c>
      <c r="CV12" t="s">
        <v>151</v>
      </c>
      <c r="CW12" t="s">
        <v>432</v>
      </c>
      <c r="CX12" t="s">
        <v>200</v>
      </c>
      <c r="CY12" t="s">
        <v>201</v>
      </c>
      <c r="CZ12" t="s">
        <v>202</v>
      </c>
      <c r="DA12" t="s">
        <v>203</v>
      </c>
      <c r="DB12" t="s">
        <v>204</v>
      </c>
      <c r="DC12" t="s">
        <v>205</v>
      </c>
    </row>
    <row r="13" spans="1:107" x14ac:dyDescent="0.45">
      <c r="A13" t="s">
        <v>466</v>
      </c>
      <c r="B13" t="s">
        <v>467</v>
      </c>
      <c r="C13" t="s">
        <v>139</v>
      </c>
      <c r="D13" t="s">
        <v>76</v>
      </c>
      <c r="E13" t="s">
        <v>140</v>
      </c>
      <c r="F13" t="s">
        <v>19</v>
      </c>
      <c r="G13" t="s">
        <v>468</v>
      </c>
      <c r="H13" t="s">
        <v>19</v>
      </c>
      <c r="I13" t="s">
        <v>19</v>
      </c>
      <c r="J13">
        <f t="shared" si="0"/>
        <v>-2.0079650124544365E-2</v>
      </c>
      <c r="K13">
        <f t="shared" si="1"/>
        <v>2.9050319999999994</v>
      </c>
      <c r="L13">
        <f t="shared" si="2"/>
        <v>-2.0219407146576818E-2</v>
      </c>
      <c r="M13">
        <f t="shared" si="3"/>
        <v>-0.15469487367136212</v>
      </c>
      <c r="N13" t="s">
        <v>469</v>
      </c>
      <c r="O13" t="s">
        <v>470</v>
      </c>
      <c r="P13">
        <f t="shared" si="4"/>
        <v>3.4508806834173615</v>
      </c>
      <c r="Q13">
        <f t="shared" si="5"/>
        <v>0.75124968341736142</v>
      </c>
      <c r="R13" t="s">
        <v>471</v>
      </c>
      <c r="S13" t="s">
        <v>472</v>
      </c>
      <c r="T13">
        <f t="shared" si="6"/>
        <v>34.08277218189987</v>
      </c>
      <c r="U13">
        <f t="shared" si="7"/>
        <v>0.4417875</v>
      </c>
      <c r="V13" t="s">
        <v>146</v>
      </c>
      <c r="W13" t="s">
        <v>473</v>
      </c>
      <c r="X13" t="s">
        <v>474</v>
      </c>
      <c r="Y13" t="s">
        <v>475</v>
      </c>
      <c r="Z13" t="s">
        <v>476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f t="shared" si="8"/>
        <v>0</v>
      </c>
      <c r="AG13" t="s">
        <v>154</v>
      </c>
      <c r="AH13" t="s">
        <v>477</v>
      </c>
      <c r="AI13" t="s">
        <v>478</v>
      </c>
      <c r="AJ13" t="s">
        <v>479</v>
      </c>
      <c r="AK13" t="s">
        <v>480</v>
      </c>
      <c r="AL13">
        <f t="shared" si="9"/>
        <v>26.38</v>
      </c>
      <c r="AM13" t="s">
        <v>459</v>
      </c>
      <c r="AN13" t="s">
        <v>411</v>
      </c>
      <c r="AO13" t="s">
        <v>481</v>
      </c>
      <c r="AP13" t="s">
        <v>482</v>
      </c>
      <c r="AQ13" t="s">
        <v>163</v>
      </c>
      <c r="AR13" t="s">
        <v>483</v>
      </c>
      <c r="AS13" t="s">
        <v>165</v>
      </c>
      <c r="AT13" t="s">
        <v>139</v>
      </c>
      <c r="AU13" t="s">
        <v>166</v>
      </c>
      <c r="AV13" t="s">
        <v>137</v>
      </c>
      <c r="AW13" t="s">
        <v>484</v>
      </c>
      <c r="AX13" t="s">
        <v>464</v>
      </c>
      <c r="AY13" t="s">
        <v>169</v>
      </c>
      <c r="AZ13" t="s">
        <v>485</v>
      </c>
      <c r="BA13" t="s">
        <v>457</v>
      </c>
      <c r="BB13" t="s">
        <v>169</v>
      </c>
      <c r="BC13" t="s">
        <v>137</v>
      </c>
      <c r="BD13" t="s">
        <v>172</v>
      </c>
      <c r="BE13" t="s">
        <v>169</v>
      </c>
      <c r="BF13" t="s">
        <v>173</v>
      </c>
      <c r="BG13" t="s">
        <v>174</v>
      </c>
      <c r="BH13" t="s">
        <v>151</v>
      </c>
      <c r="BI13" t="s">
        <v>175</v>
      </c>
      <c r="BJ13" t="s">
        <v>151</v>
      </c>
      <c r="BK13" t="s">
        <v>151</v>
      </c>
      <c r="BL13" t="s">
        <v>176</v>
      </c>
      <c r="BM13" t="s">
        <v>177</v>
      </c>
      <c r="BN13" t="s">
        <v>137</v>
      </c>
      <c r="BO13" t="s">
        <v>178</v>
      </c>
      <c r="BP13" t="s">
        <v>179</v>
      </c>
      <c r="BQ13" t="s">
        <v>180</v>
      </c>
      <c r="BR13" t="s">
        <v>154</v>
      </c>
      <c r="BS13" t="s">
        <v>181</v>
      </c>
      <c r="BT13" t="s">
        <v>182</v>
      </c>
      <c r="BU13" t="s">
        <v>182</v>
      </c>
      <c r="BV13" t="s">
        <v>182</v>
      </c>
      <c r="BW13" t="s">
        <v>151</v>
      </c>
      <c r="BX13" t="s">
        <v>183</v>
      </c>
      <c r="BY13" t="s">
        <v>151</v>
      </c>
      <c r="BZ13" t="s">
        <v>151</v>
      </c>
      <c r="CA13" t="s">
        <v>151</v>
      </c>
      <c r="CB13" t="s">
        <v>151</v>
      </c>
      <c r="CC13" t="s">
        <v>486</v>
      </c>
      <c r="CD13" t="s">
        <v>487</v>
      </c>
      <c r="CE13" t="s">
        <v>488</v>
      </c>
      <c r="CF13" t="s">
        <v>489</v>
      </c>
      <c r="CG13" t="s">
        <v>490</v>
      </c>
      <c r="CH13" t="s">
        <v>491</v>
      </c>
      <c r="CI13" t="s">
        <v>492</v>
      </c>
      <c r="CJ13" t="s">
        <v>465</v>
      </c>
      <c r="CK13" t="s">
        <v>474</v>
      </c>
      <c r="CL13" t="s">
        <v>300</v>
      </c>
      <c r="CM13" t="s">
        <v>193</v>
      </c>
      <c r="CN13" t="s">
        <v>194</v>
      </c>
      <c r="CO13" t="s">
        <v>154</v>
      </c>
      <c r="CP13" t="s">
        <v>195</v>
      </c>
      <c r="CQ13" t="s">
        <v>196</v>
      </c>
      <c r="CR13" t="s">
        <v>154</v>
      </c>
      <c r="CS13" t="s">
        <v>197</v>
      </c>
      <c r="CT13" t="s">
        <v>198</v>
      </c>
      <c r="CU13" t="s">
        <v>199</v>
      </c>
      <c r="CV13" t="s">
        <v>151</v>
      </c>
      <c r="CW13" t="s">
        <v>473</v>
      </c>
      <c r="CX13" t="s">
        <v>200</v>
      </c>
      <c r="CY13" t="s">
        <v>201</v>
      </c>
      <c r="CZ13" t="s">
        <v>202</v>
      </c>
      <c r="DA13" t="s">
        <v>203</v>
      </c>
      <c r="DB13" t="s">
        <v>204</v>
      </c>
      <c r="DC13" t="s">
        <v>205</v>
      </c>
    </row>
    <row r="14" spans="1:107" x14ac:dyDescent="0.45">
      <c r="A14" t="s">
        <v>493</v>
      </c>
      <c r="B14" t="s">
        <v>494</v>
      </c>
      <c r="C14" t="s">
        <v>139</v>
      </c>
      <c r="D14" t="s">
        <v>76</v>
      </c>
      <c r="E14" t="s">
        <v>140</v>
      </c>
      <c r="F14" t="s">
        <v>19</v>
      </c>
      <c r="G14" t="s">
        <v>495</v>
      </c>
      <c r="H14" t="s">
        <v>19</v>
      </c>
      <c r="I14" t="s">
        <v>19</v>
      </c>
      <c r="J14">
        <f t="shared" si="0"/>
        <v>-5.1582831599873959E-2</v>
      </c>
      <c r="K14">
        <f t="shared" si="1"/>
        <v>2.9066320800000001</v>
      </c>
      <c r="L14">
        <f t="shared" si="2"/>
        <v>-5.2514790485470052E-2</v>
      </c>
      <c r="M14">
        <f t="shared" si="3"/>
        <v>-0.41210392624781778</v>
      </c>
      <c r="N14" t="s">
        <v>496</v>
      </c>
      <c r="O14" t="s">
        <v>497</v>
      </c>
      <c r="P14">
        <f t="shared" si="4"/>
        <v>3.4794904942416971</v>
      </c>
      <c r="Q14">
        <f t="shared" si="5"/>
        <v>0.7702534942416972</v>
      </c>
      <c r="R14" t="s">
        <v>498</v>
      </c>
      <c r="S14" t="s">
        <v>499</v>
      </c>
      <c r="T14">
        <f t="shared" si="6"/>
        <v>34.368732657464413</v>
      </c>
      <c r="U14">
        <f t="shared" si="7"/>
        <v>0.4417875</v>
      </c>
      <c r="V14" t="s">
        <v>146</v>
      </c>
      <c r="W14" t="s">
        <v>500</v>
      </c>
      <c r="X14" t="s">
        <v>501</v>
      </c>
      <c r="Y14" t="s">
        <v>502</v>
      </c>
      <c r="Z14" t="s">
        <v>503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f t="shared" si="8"/>
        <v>0</v>
      </c>
      <c r="AG14" t="s">
        <v>154</v>
      </c>
      <c r="AH14" t="s">
        <v>504</v>
      </c>
      <c r="AI14" t="s">
        <v>505</v>
      </c>
      <c r="AJ14" t="s">
        <v>506</v>
      </c>
      <c r="AK14" t="s">
        <v>507</v>
      </c>
      <c r="AL14">
        <f t="shared" si="9"/>
        <v>26.52</v>
      </c>
      <c r="AM14" t="s">
        <v>346</v>
      </c>
      <c r="AN14" t="s">
        <v>160</v>
      </c>
      <c r="AO14" t="s">
        <v>508</v>
      </c>
      <c r="AP14" t="s">
        <v>509</v>
      </c>
      <c r="AQ14" t="s">
        <v>163</v>
      </c>
      <c r="AR14" t="s">
        <v>483</v>
      </c>
      <c r="AS14" t="s">
        <v>510</v>
      </c>
      <c r="AT14" t="s">
        <v>139</v>
      </c>
      <c r="AU14" t="s">
        <v>511</v>
      </c>
      <c r="AV14" t="s">
        <v>137</v>
      </c>
      <c r="AW14" t="s">
        <v>512</v>
      </c>
      <c r="AX14" t="s">
        <v>513</v>
      </c>
      <c r="AY14" t="s">
        <v>169</v>
      </c>
      <c r="AZ14" t="s">
        <v>514</v>
      </c>
      <c r="BA14" t="s">
        <v>515</v>
      </c>
      <c r="BB14" t="s">
        <v>169</v>
      </c>
      <c r="BC14" t="s">
        <v>137</v>
      </c>
      <c r="BD14" t="s">
        <v>172</v>
      </c>
      <c r="BE14" t="s">
        <v>169</v>
      </c>
      <c r="BF14" t="s">
        <v>173</v>
      </c>
      <c r="BG14" t="s">
        <v>174</v>
      </c>
      <c r="BH14" t="s">
        <v>151</v>
      </c>
      <c r="BI14" t="s">
        <v>175</v>
      </c>
      <c r="BJ14" t="s">
        <v>151</v>
      </c>
      <c r="BK14" t="s">
        <v>151</v>
      </c>
      <c r="BL14" t="s">
        <v>176</v>
      </c>
      <c r="BM14" t="s">
        <v>177</v>
      </c>
      <c r="BN14" t="s">
        <v>137</v>
      </c>
      <c r="BO14" t="s">
        <v>178</v>
      </c>
      <c r="BP14" t="s">
        <v>179</v>
      </c>
      <c r="BQ14" t="s">
        <v>180</v>
      </c>
      <c r="BR14" t="s">
        <v>154</v>
      </c>
      <c r="BS14" t="s">
        <v>181</v>
      </c>
      <c r="BT14" t="s">
        <v>182</v>
      </c>
      <c r="BU14" t="s">
        <v>182</v>
      </c>
      <c r="BV14" t="s">
        <v>182</v>
      </c>
      <c r="BW14" t="s">
        <v>151</v>
      </c>
      <c r="BX14" t="s">
        <v>183</v>
      </c>
      <c r="BY14" t="s">
        <v>151</v>
      </c>
      <c r="BZ14" t="s">
        <v>151</v>
      </c>
      <c r="CA14" t="s">
        <v>151</v>
      </c>
      <c r="CB14" t="s">
        <v>151</v>
      </c>
      <c r="CC14" t="s">
        <v>516</v>
      </c>
      <c r="CD14" t="s">
        <v>517</v>
      </c>
      <c r="CE14" t="s">
        <v>518</v>
      </c>
      <c r="CF14" t="s">
        <v>519</v>
      </c>
      <c r="CG14" t="s">
        <v>520</v>
      </c>
      <c r="CH14" t="s">
        <v>521</v>
      </c>
      <c r="CI14" t="s">
        <v>522</v>
      </c>
      <c r="CJ14" t="s">
        <v>299</v>
      </c>
      <c r="CK14" t="s">
        <v>501</v>
      </c>
      <c r="CL14" t="s">
        <v>523</v>
      </c>
      <c r="CM14" t="s">
        <v>193</v>
      </c>
      <c r="CN14" t="s">
        <v>194</v>
      </c>
      <c r="CO14" t="s">
        <v>154</v>
      </c>
      <c r="CP14" t="s">
        <v>195</v>
      </c>
      <c r="CQ14" t="s">
        <v>196</v>
      </c>
      <c r="CR14" t="s">
        <v>154</v>
      </c>
      <c r="CS14" t="s">
        <v>197</v>
      </c>
      <c r="CT14" t="s">
        <v>198</v>
      </c>
      <c r="CU14" t="s">
        <v>199</v>
      </c>
      <c r="CV14" t="s">
        <v>151</v>
      </c>
      <c r="CW14" t="s">
        <v>500</v>
      </c>
      <c r="CX14" t="s">
        <v>200</v>
      </c>
      <c r="CY14" t="s">
        <v>201</v>
      </c>
      <c r="CZ14" t="s">
        <v>202</v>
      </c>
      <c r="DA14" t="s">
        <v>203</v>
      </c>
      <c r="DB14" t="s">
        <v>204</v>
      </c>
      <c r="DC14" t="s">
        <v>205</v>
      </c>
    </row>
    <row r="15" spans="1:107" x14ac:dyDescent="0.45">
      <c r="A15" t="s">
        <v>524</v>
      </c>
      <c r="B15" t="s">
        <v>525</v>
      </c>
      <c r="C15" t="s">
        <v>139</v>
      </c>
      <c r="D15" t="s">
        <v>76</v>
      </c>
      <c r="E15" t="s">
        <v>140</v>
      </c>
      <c r="F15" t="s">
        <v>19</v>
      </c>
      <c r="G15" t="s">
        <v>526</v>
      </c>
      <c r="H15" t="s">
        <v>19</v>
      </c>
      <c r="I15" t="s">
        <v>19</v>
      </c>
      <c r="J15">
        <f t="shared" si="0"/>
        <v>-3.4786604038101014E-2</v>
      </c>
      <c r="K15">
        <f t="shared" si="1"/>
        <v>2.9042299199999997</v>
      </c>
      <c r="L15">
        <f t="shared" si="2"/>
        <v>-3.5208326193674581E-2</v>
      </c>
      <c r="M15">
        <f t="shared" si="3"/>
        <v>-0.24384640892607154</v>
      </c>
      <c r="N15" t="s">
        <v>527</v>
      </c>
      <c r="O15" t="s">
        <v>528</v>
      </c>
      <c r="P15">
        <f t="shared" si="4"/>
        <v>3.4063373881878358</v>
      </c>
      <c r="Q15">
        <f t="shared" si="5"/>
        <v>0.68000638818783576</v>
      </c>
      <c r="R15" t="s">
        <v>529</v>
      </c>
      <c r="S15" t="s">
        <v>530</v>
      </c>
      <c r="T15">
        <f t="shared" si="6"/>
        <v>33.646161479532161</v>
      </c>
      <c r="U15">
        <f t="shared" si="7"/>
        <v>0.4417875</v>
      </c>
      <c r="V15" t="s">
        <v>146</v>
      </c>
      <c r="W15" t="s">
        <v>531</v>
      </c>
      <c r="X15" t="s">
        <v>532</v>
      </c>
      <c r="Y15" t="s">
        <v>533</v>
      </c>
      <c r="Z15" t="s">
        <v>534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f t="shared" si="8"/>
        <v>0</v>
      </c>
      <c r="AG15" t="s">
        <v>154</v>
      </c>
      <c r="AH15" t="s">
        <v>535</v>
      </c>
      <c r="AI15" t="s">
        <v>536</v>
      </c>
      <c r="AJ15" t="s">
        <v>537</v>
      </c>
      <c r="AK15" t="s">
        <v>538</v>
      </c>
      <c r="AL15">
        <f t="shared" si="9"/>
        <v>26.16</v>
      </c>
      <c r="AM15" t="s">
        <v>346</v>
      </c>
      <c r="AN15" t="s">
        <v>254</v>
      </c>
      <c r="AO15" t="s">
        <v>539</v>
      </c>
      <c r="AP15" t="s">
        <v>540</v>
      </c>
      <c r="AQ15" t="s">
        <v>163</v>
      </c>
      <c r="AR15" t="s">
        <v>541</v>
      </c>
      <c r="AS15" t="s">
        <v>510</v>
      </c>
      <c r="AT15" t="s">
        <v>139</v>
      </c>
      <c r="AU15" t="s">
        <v>511</v>
      </c>
      <c r="AV15" t="s">
        <v>137</v>
      </c>
      <c r="AW15" t="s">
        <v>542</v>
      </c>
      <c r="AX15" t="s">
        <v>543</v>
      </c>
      <c r="AY15" t="s">
        <v>169</v>
      </c>
      <c r="AZ15" t="s">
        <v>544</v>
      </c>
      <c r="BA15" t="s">
        <v>545</v>
      </c>
      <c r="BB15" t="s">
        <v>169</v>
      </c>
      <c r="BC15" t="s">
        <v>137</v>
      </c>
      <c r="BD15" t="s">
        <v>172</v>
      </c>
      <c r="BE15" t="s">
        <v>169</v>
      </c>
      <c r="BF15" t="s">
        <v>173</v>
      </c>
      <c r="BG15" t="s">
        <v>174</v>
      </c>
      <c r="BH15" t="s">
        <v>151</v>
      </c>
      <c r="BI15" t="s">
        <v>175</v>
      </c>
      <c r="BJ15" t="s">
        <v>151</v>
      </c>
      <c r="BK15" t="s">
        <v>151</v>
      </c>
      <c r="BL15" t="s">
        <v>176</v>
      </c>
      <c r="BM15" t="s">
        <v>177</v>
      </c>
      <c r="BN15" t="s">
        <v>137</v>
      </c>
      <c r="BO15" t="s">
        <v>178</v>
      </c>
      <c r="BP15" t="s">
        <v>179</v>
      </c>
      <c r="BQ15" t="s">
        <v>180</v>
      </c>
      <c r="BR15" t="s">
        <v>154</v>
      </c>
      <c r="BS15" t="s">
        <v>181</v>
      </c>
      <c r="BT15" t="s">
        <v>182</v>
      </c>
      <c r="BU15" t="s">
        <v>182</v>
      </c>
      <c r="BV15" t="s">
        <v>182</v>
      </c>
      <c r="BW15" t="s">
        <v>151</v>
      </c>
      <c r="BX15" t="s">
        <v>183</v>
      </c>
      <c r="BY15" t="s">
        <v>151</v>
      </c>
      <c r="BZ15" t="s">
        <v>151</v>
      </c>
      <c r="CA15" t="s">
        <v>151</v>
      </c>
      <c r="CB15" t="s">
        <v>151</v>
      </c>
      <c r="CC15" t="s">
        <v>546</v>
      </c>
      <c r="CD15" t="s">
        <v>547</v>
      </c>
      <c r="CE15" t="s">
        <v>548</v>
      </c>
      <c r="CF15" t="s">
        <v>549</v>
      </c>
      <c r="CG15" t="s">
        <v>550</v>
      </c>
      <c r="CH15" t="s">
        <v>551</v>
      </c>
      <c r="CI15" t="s">
        <v>552</v>
      </c>
      <c r="CJ15" t="s">
        <v>553</v>
      </c>
      <c r="CK15" t="s">
        <v>532</v>
      </c>
      <c r="CL15" t="s">
        <v>362</v>
      </c>
      <c r="CM15" t="s">
        <v>193</v>
      </c>
      <c r="CN15" t="s">
        <v>194</v>
      </c>
      <c r="CO15" t="s">
        <v>154</v>
      </c>
      <c r="CP15" t="s">
        <v>195</v>
      </c>
      <c r="CQ15" t="s">
        <v>196</v>
      </c>
      <c r="CR15" t="s">
        <v>154</v>
      </c>
      <c r="CS15" t="s">
        <v>197</v>
      </c>
      <c r="CT15" t="s">
        <v>198</v>
      </c>
      <c r="CU15" t="s">
        <v>199</v>
      </c>
      <c r="CV15" t="s">
        <v>151</v>
      </c>
      <c r="CW15" t="s">
        <v>531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</row>
    <row r="16" spans="1:107" x14ac:dyDescent="0.45">
      <c r="A16" t="s">
        <v>554</v>
      </c>
      <c r="B16" t="s">
        <v>555</v>
      </c>
      <c r="C16" t="s">
        <v>139</v>
      </c>
      <c r="D16" t="s">
        <v>76</v>
      </c>
      <c r="E16" t="s">
        <v>140</v>
      </c>
      <c r="F16" t="s">
        <v>19</v>
      </c>
      <c r="G16" t="s">
        <v>556</v>
      </c>
      <c r="H16" t="s">
        <v>19</v>
      </c>
      <c r="I16" t="s">
        <v>19</v>
      </c>
      <c r="J16">
        <f t="shared" si="0"/>
        <v>-4.839203098971951E-2</v>
      </c>
      <c r="K16">
        <f t="shared" si="1"/>
        <v>2.9042299199999997</v>
      </c>
      <c r="L16">
        <f t="shared" si="2"/>
        <v>-4.9212031547987034E-2</v>
      </c>
      <c r="M16">
        <f t="shared" si="3"/>
        <v>-0.43071897040642465</v>
      </c>
      <c r="N16" t="s">
        <v>557</v>
      </c>
      <c r="O16" t="s">
        <v>558</v>
      </c>
      <c r="P16">
        <f t="shared" si="4"/>
        <v>3.5812623608065199</v>
      </c>
      <c r="Q16">
        <f t="shared" si="5"/>
        <v>0.85842236080651979</v>
      </c>
      <c r="R16" t="s">
        <v>559</v>
      </c>
      <c r="S16" t="s">
        <v>560</v>
      </c>
      <c r="T16">
        <f t="shared" si="6"/>
        <v>35.373986179440145</v>
      </c>
      <c r="U16">
        <f t="shared" si="7"/>
        <v>0.4417875</v>
      </c>
      <c r="V16" t="s">
        <v>146</v>
      </c>
      <c r="W16" t="s">
        <v>561</v>
      </c>
      <c r="X16" t="s">
        <v>562</v>
      </c>
      <c r="Y16" t="s">
        <v>563</v>
      </c>
      <c r="Z16" t="s">
        <v>564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f t="shared" si="8"/>
        <v>0</v>
      </c>
      <c r="AG16" t="s">
        <v>154</v>
      </c>
      <c r="AH16" t="s">
        <v>565</v>
      </c>
      <c r="AI16" t="s">
        <v>566</v>
      </c>
      <c r="AJ16" t="s">
        <v>567</v>
      </c>
      <c r="AK16" t="s">
        <v>568</v>
      </c>
      <c r="AL16">
        <f t="shared" si="9"/>
        <v>27.01</v>
      </c>
      <c r="AM16" t="s">
        <v>346</v>
      </c>
      <c r="AN16" t="s">
        <v>254</v>
      </c>
      <c r="AO16" t="s">
        <v>569</v>
      </c>
      <c r="AP16" t="s">
        <v>570</v>
      </c>
      <c r="AQ16" t="s">
        <v>163</v>
      </c>
      <c r="AR16" t="s">
        <v>571</v>
      </c>
      <c r="AS16" t="s">
        <v>510</v>
      </c>
      <c r="AT16" t="s">
        <v>139</v>
      </c>
      <c r="AU16" t="s">
        <v>511</v>
      </c>
      <c r="AV16" t="s">
        <v>137</v>
      </c>
      <c r="AW16" t="s">
        <v>542</v>
      </c>
      <c r="AX16" t="s">
        <v>572</v>
      </c>
      <c r="AY16" t="s">
        <v>169</v>
      </c>
      <c r="AZ16" t="s">
        <v>573</v>
      </c>
      <c r="BA16" t="s">
        <v>462</v>
      </c>
      <c r="BB16" t="s">
        <v>169</v>
      </c>
      <c r="BC16" t="s">
        <v>137</v>
      </c>
      <c r="BD16" t="s">
        <v>172</v>
      </c>
      <c r="BE16" t="s">
        <v>169</v>
      </c>
      <c r="BF16" t="s">
        <v>173</v>
      </c>
      <c r="BG16" t="s">
        <v>174</v>
      </c>
      <c r="BH16" t="s">
        <v>151</v>
      </c>
      <c r="BI16" t="s">
        <v>175</v>
      </c>
      <c r="BJ16" t="s">
        <v>151</v>
      </c>
      <c r="BK16" t="s">
        <v>151</v>
      </c>
      <c r="BL16" t="s">
        <v>176</v>
      </c>
      <c r="BM16" t="s">
        <v>177</v>
      </c>
      <c r="BN16" t="s">
        <v>137</v>
      </c>
      <c r="BO16" t="s">
        <v>178</v>
      </c>
      <c r="BP16" t="s">
        <v>179</v>
      </c>
      <c r="BQ16" t="s">
        <v>180</v>
      </c>
      <c r="BR16" t="s">
        <v>154</v>
      </c>
      <c r="BS16" t="s">
        <v>181</v>
      </c>
      <c r="BT16" t="s">
        <v>182</v>
      </c>
      <c r="BU16" t="s">
        <v>182</v>
      </c>
      <c r="BV16" t="s">
        <v>182</v>
      </c>
      <c r="BW16" t="s">
        <v>151</v>
      </c>
      <c r="BX16" t="s">
        <v>183</v>
      </c>
      <c r="BY16" t="s">
        <v>151</v>
      </c>
      <c r="BZ16" t="s">
        <v>151</v>
      </c>
      <c r="CA16" t="s">
        <v>151</v>
      </c>
      <c r="CB16" t="s">
        <v>151</v>
      </c>
      <c r="CC16" t="s">
        <v>574</v>
      </c>
      <c r="CD16" t="s">
        <v>575</v>
      </c>
      <c r="CE16" t="s">
        <v>576</v>
      </c>
      <c r="CF16" t="s">
        <v>577</v>
      </c>
      <c r="CG16" t="s">
        <v>578</v>
      </c>
      <c r="CH16" t="s">
        <v>579</v>
      </c>
      <c r="CI16" t="s">
        <v>580</v>
      </c>
      <c r="CJ16" t="s">
        <v>329</v>
      </c>
      <c r="CK16" t="s">
        <v>562</v>
      </c>
      <c r="CL16" t="s">
        <v>300</v>
      </c>
      <c r="CM16" t="s">
        <v>193</v>
      </c>
      <c r="CN16" t="s">
        <v>194</v>
      </c>
      <c r="CO16" t="s">
        <v>154</v>
      </c>
      <c r="CP16" t="s">
        <v>195</v>
      </c>
      <c r="CQ16" t="s">
        <v>196</v>
      </c>
      <c r="CR16" t="s">
        <v>154</v>
      </c>
      <c r="CS16" t="s">
        <v>197</v>
      </c>
      <c r="CT16" t="s">
        <v>198</v>
      </c>
      <c r="CU16" t="s">
        <v>199</v>
      </c>
      <c r="CV16" t="s">
        <v>151</v>
      </c>
      <c r="CW16" t="s">
        <v>561</v>
      </c>
      <c r="CX16" t="s">
        <v>200</v>
      </c>
      <c r="CY16" t="s">
        <v>201</v>
      </c>
      <c r="CZ16" t="s">
        <v>202</v>
      </c>
      <c r="DA16" t="s">
        <v>203</v>
      </c>
      <c r="DB16" t="s">
        <v>204</v>
      </c>
      <c r="DC16" t="s">
        <v>205</v>
      </c>
    </row>
    <row r="17" spans="1:107" x14ac:dyDescent="0.45">
      <c r="A17" t="s">
        <v>581</v>
      </c>
      <c r="B17" t="s">
        <v>582</v>
      </c>
      <c r="C17" t="s">
        <v>139</v>
      </c>
      <c r="D17" t="s">
        <v>76</v>
      </c>
      <c r="E17" t="s">
        <v>140</v>
      </c>
      <c r="F17" t="s">
        <v>19</v>
      </c>
      <c r="G17" t="s">
        <v>583</v>
      </c>
      <c r="H17" t="s">
        <v>19</v>
      </c>
      <c r="I17" t="s">
        <v>19</v>
      </c>
      <c r="J17">
        <f t="shared" si="0"/>
        <v>-6.1806890886929651E-2</v>
      </c>
      <c r="K17">
        <f t="shared" si="1"/>
        <v>2.9058327199999998</v>
      </c>
      <c r="L17">
        <f t="shared" si="2"/>
        <v>-6.3150089574509835E-2</v>
      </c>
      <c r="M17">
        <f t="shared" si="3"/>
        <v>-0.50059299310270911</v>
      </c>
      <c r="N17" t="s">
        <v>584</v>
      </c>
      <c r="O17" t="s">
        <v>585</v>
      </c>
      <c r="P17">
        <f t="shared" si="4"/>
        <v>3.5062419686344972</v>
      </c>
      <c r="Q17">
        <f t="shared" si="5"/>
        <v>0.7779619686344974</v>
      </c>
      <c r="R17" t="s">
        <v>586</v>
      </c>
      <c r="S17" t="s">
        <v>587</v>
      </c>
      <c r="T17">
        <f t="shared" si="6"/>
        <v>34.629550307501205</v>
      </c>
      <c r="U17">
        <f t="shared" si="7"/>
        <v>0.4417875</v>
      </c>
      <c r="V17" t="s">
        <v>146</v>
      </c>
      <c r="W17" t="s">
        <v>588</v>
      </c>
      <c r="X17" t="s">
        <v>589</v>
      </c>
      <c r="Y17" t="s">
        <v>590</v>
      </c>
      <c r="Z17" t="s">
        <v>591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f t="shared" si="8"/>
        <v>0</v>
      </c>
      <c r="AG17" t="s">
        <v>154</v>
      </c>
      <c r="AH17" t="s">
        <v>592</v>
      </c>
      <c r="AI17" t="s">
        <v>593</v>
      </c>
      <c r="AJ17" t="s">
        <v>594</v>
      </c>
      <c r="AK17" t="s">
        <v>595</v>
      </c>
      <c r="AL17">
        <f t="shared" si="9"/>
        <v>26.65</v>
      </c>
      <c r="AM17" t="s">
        <v>459</v>
      </c>
      <c r="AN17" t="s">
        <v>347</v>
      </c>
      <c r="AO17" t="s">
        <v>596</v>
      </c>
      <c r="AP17" t="s">
        <v>597</v>
      </c>
      <c r="AQ17" t="s">
        <v>163</v>
      </c>
      <c r="AR17" t="s">
        <v>571</v>
      </c>
      <c r="AS17" t="s">
        <v>510</v>
      </c>
      <c r="AT17" t="s">
        <v>139</v>
      </c>
      <c r="AU17" t="s">
        <v>511</v>
      </c>
      <c r="AV17" t="s">
        <v>137</v>
      </c>
      <c r="AW17" t="s">
        <v>598</v>
      </c>
      <c r="AX17" t="s">
        <v>599</v>
      </c>
      <c r="AY17" t="s">
        <v>169</v>
      </c>
      <c r="AZ17" t="s">
        <v>352</v>
      </c>
      <c r="BA17" t="s">
        <v>600</v>
      </c>
      <c r="BB17" t="s">
        <v>169</v>
      </c>
      <c r="BC17" t="s">
        <v>137</v>
      </c>
      <c r="BD17" t="s">
        <v>172</v>
      </c>
      <c r="BE17" t="s">
        <v>169</v>
      </c>
      <c r="BF17" t="s">
        <v>173</v>
      </c>
      <c r="BG17" t="s">
        <v>174</v>
      </c>
      <c r="BH17" t="s">
        <v>151</v>
      </c>
      <c r="BI17" t="s">
        <v>175</v>
      </c>
      <c r="BJ17" t="s">
        <v>151</v>
      </c>
      <c r="BK17" t="s">
        <v>151</v>
      </c>
      <c r="BL17" t="s">
        <v>176</v>
      </c>
      <c r="BM17" t="s">
        <v>177</v>
      </c>
      <c r="BN17" t="s">
        <v>137</v>
      </c>
      <c r="BO17" t="s">
        <v>178</v>
      </c>
      <c r="BP17" t="s">
        <v>179</v>
      </c>
      <c r="BQ17" t="s">
        <v>180</v>
      </c>
      <c r="BR17" t="s">
        <v>154</v>
      </c>
      <c r="BS17" t="s">
        <v>181</v>
      </c>
      <c r="BT17" t="s">
        <v>182</v>
      </c>
      <c r="BU17" t="s">
        <v>182</v>
      </c>
      <c r="BV17" t="s">
        <v>182</v>
      </c>
      <c r="BW17" t="s">
        <v>151</v>
      </c>
      <c r="BX17" t="s">
        <v>183</v>
      </c>
      <c r="BY17" t="s">
        <v>151</v>
      </c>
      <c r="BZ17" t="s">
        <v>151</v>
      </c>
      <c r="CA17" t="s">
        <v>151</v>
      </c>
      <c r="CB17" t="s">
        <v>151</v>
      </c>
      <c r="CC17" t="s">
        <v>601</v>
      </c>
      <c r="CD17" t="s">
        <v>602</v>
      </c>
      <c r="CE17" t="s">
        <v>603</v>
      </c>
      <c r="CF17" t="s">
        <v>604</v>
      </c>
      <c r="CG17" t="s">
        <v>605</v>
      </c>
      <c r="CH17" t="s">
        <v>606</v>
      </c>
      <c r="CI17" t="s">
        <v>607</v>
      </c>
      <c r="CJ17" t="s">
        <v>465</v>
      </c>
      <c r="CK17" t="s">
        <v>589</v>
      </c>
      <c r="CL17" t="s">
        <v>458</v>
      </c>
      <c r="CM17" t="s">
        <v>193</v>
      </c>
      <c r="CN17" t="s">
        <v>194</v>
      </c>
      <c r="CO17" t="s">
        <v>154</v>
      </c>
      <c r="CP17" t="s">
        <v>195</v>
      </c>
      <c r="CQ17" t="s">
        <v>196</v>
      </c>
      <c r="CR17" t="s">
        <v>154</v>
      </c>
      <c r="CS17" t="s">
        <v>197</v>
      </c>
      <c r="CT17" t="s">
        <v>198</v>
      </c>
      <c r="CU17" t="s">
        <v>199</v>
      </c>
      <c r="CV17" t="s">
        <v>151</v>
      </c>
      <c r="CW17" t="s">
        <v>588</v>
      </c>
      <c r="CX17" t="s">
        <v>200</v>
      </c>
      <c r="CY17" t="s">
        <v>201</v>
      </c>
      <c r="CZ17" t="s">
        <v>202</v>
      </c>
      <c r="DA17" t="s">
        <v>203</v>
      </c>
      <c r="DB17" t="s">
        <v>204</v>
      </c>
      <c r="DC17" t="s">
        <v>205</v>
      </c>
    </row>
    <row r="18" spans="1:107" x14ac:dyDescent="0.45">
      <c r="A18" t="s">
        <v>608</v>
      </c>
      <c r="B18" t="s">
        <v>609</v>
      </c>
      <c r="C18" t="s">
        <v>139</v>
      </c>
      <c r="D18" t="s">
        <v>76</v>
      </c>
      <c r="E18" t="s">
        <v>140</v>
      </c>
      <c r="F18" t="s">
        <v>19</v>
      </c>
      <c r="G18" t="s">
        <v>610</v>
      </c>
      <c r="H18" t="s">
        <v>19</v>
      </c>
      <c r="I18" t="s">
        <v>19</v>
      </c>
      <c r="J18">
        <f t="shared" si="0"/>
        <v>-5.0461604281504494E-2</v>
      </c>
      <c r="K18">
        <f t="shared" si="1"/>
        <v>2.9058327199999998</v>
      </c>
      <c r="L18">
        <f t="shared" si="2"/>
        <v>-5.1353388012398762E-2</v>
      </c>
      <c r="M18">
        <f t="shared" si="3"/>
        <v>-0.3889974921358923</v>
      </c>
      <c r="N18" t="s">
        <v>611</v>
      </c>
      <c r="O18" t="s">
        <v>612</v>
      </c>
      <c r="P18">
        <f t="shared" si="4"/>
        <v>3.4794904942416971</v>
      </c>
      <c r="Q18">
        <f t="shared" si="5"/>
        <v>0.7432554942416969</v>
      </c>
      <c r="R18" t="s">
        <v>613</v>
      </c>
      <c r="S18" t="s">
        <v>614</v>
      </c>
      <c r="T18">
        <f t="shared" si="6"/>
        <v>34.368732657464413</v>
      </c>
      <c r="U18">
        <f t="shared" si="7"/>
        <v>0.4417875</v>
      </c>
      <c r="V18" t="s">
        <v>146</v>
      </c>
      <c r="W18" t="s">
        <v>615</v>
      </c>
      <c r="X18" t="s">
        <v>616</v>
      </c>
      <c r="Y18" t="s">
        <v>617</v>
      </c>
      <c r="Z18" t="s">
        <v>618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f t="shared" si="8"/>
        <v>0</v>
      </c>
      <c r="AG18" t="s">
        <v>154</v>
      </c>
      <c r="AH18" t="s">
        <v>619</v>
      </c>
      <c r="AI18" t="s">
        <v>620</v>
      </c>
      <c r="AJ18" t="s">
        <v>621</v>
      </c>
      <c r="AK18" t="s">
        <v>507</v>
      </c>
      <c r="AL18">
        <f t="shared" si="9"/>
        <v>26.52</v>
      </c>
      <c r="AM18" t="s">
        <v>346</v>
      </c>
      <c r="AN18" t="s">
        <v>347</v>
      </c>
      <c r="AO18" t="s">
        <v>461</v>
      </c>
      <c r="AP18" t="s">
        <v>162</v>
      </c>
      <c r="AQ18" t="s">
        <v>163</v>
      </c>
      <c r="AR18" t="s">
        <v>622</v>
      </c>
      <c r="AS18" t="s">
        <v>510</v>
      </c>
      <c r="AT18" t="s">
        <v>139</v>
      </c>
      <c r="AU18" t="s">
        <v>511</v>
      </c>
      <c r="AV18" t="s">
        <v>137</v>
      </c>
      <c r="AW18" t="s">
        <v>623</v>
      </c>
      <c r="AX18" t="s">
        <v>624</v>
      </c>
      <c r="AY18" t="s">
        <v>169</v>
      </c>
      <c r="AZ18" t="s">
        <v>625</v>
      </c>
      <c r="BA18" t="s">
        <v>626</v>
      </c>
      <c r="BB18" t="s">
        <v>169</v>
      </c>
      <c r="BC18" t="s">
        <v>137</v>
      </c>
      <c r="BD18" t="s">
        <v>172</v>
      </c>
      <c r="BE18" t="s">
        <v>169</v>
      </c>
      <c r="BF18" t="s">
        <v>173</v>
      </c>
      <c r="BG18" t="s">
        <v>174</v>
      </c>
      <c r="BH18" t="s">
        <v>151</v>
      </c>
      <c r="BI18" t="s">
        <v>175</v>
      </c>
      <c r="BJ18" t="s">
        <v>151</v>
      </c>
      <c r="BK18" t="s">
        <v>151</v>
      </c>
      <c r="BL18" t="s">
        <v>176</v>
      </c>
      <c r="BM18" t="s">
        <v>177</v>
      </c>
      <c r="BN18" t="s">
        <v>137</v>
      </c>
      <c r="BO18" t="s">
        <v>178</v>
      </c>
      <c r="BP18" t="s">
        <v>179</v>
      </c>
      <c r="BQ18" t="s">
        <v>180</v>
      </c>
      <c r="BR18" t="s">
        <v>154</v>
      </c>
      <c r="BS18" t="s">
        <v>181</v>
      </c>
      <c r="BT18" t="s">
        <v>182</v>
      </c>
      <c r="BU18" t="s">
        <v>182</v>
      </c>
      <c r="BV18" t="s">
        <v>182</v>
      </c>
      <c r="BW18" t="s">
        <v>151</v>
      </c>
      <c r="BX18" t="s">
        <v>183</v>
      </c>
      <c r="BY18" t="s">
        <v>151</v>
      </c>
      <c r="BZ18" t="s">
        <v>151</v>
      </c>
      <c r="CA18" t="s">
        <v>151</v>
      </c>
      <c r="CB18" t="s">
        <v>151</v>
      </c>
      <c r="CC18" t="s">
        <v>627</v>
      </c>
      <c r="CD18" t="s">
        <v>628</v>
      </c>
      <c r="CE18" t="s">
        <v>629</v>
      </c>
      <c r="CF18" t="s">
        <v>630</v>
      </c>
      <c r="CG18" t="s">
        <v>631</v>
      </c>
      <c r="CH18" t="s">
        <v>632</v>
      </c>
      <c r="CI18" t="s">
        <v>633</v>
      </c>
      <c r="CJ18" t="s">
        <v>329</v>
      </c>
      <c r="CK18" t="s">
        <v>616</v>
      </c>
      <c r="CL18" t="s">
        <v>460</v>
      </c>
      <c r="CM18" t="s">
        <v>193</v>
      </c>
      <c r="CN18" t="s">
        <v>194</v>
      </c>
      <c r="CO18" t="s">
        <v>154</v>
      </c>
      <c r="CP18" t="s">
        <v>195</v>
      </c>
      <c r="CQ18" t="s">
        <v>196</v>
      </c>
      <c r="CR18" t="s">
        <v>154</v>
      </c>
      <c r="CS18" t="s">
        <v>197</v>
      </c>
      <c r="CT18" t="s">
        <v>198</v>
      </c>
      <c r="CU18" t="s">
        <v>199</v>
      </c>
      <c r="CV18" t="s">
        <v>151</v>
      </c>
      <c r="CW18" t="s">
        <v>615</v>
      </c>
      <c r="CX18" t="s">
        <v>200</v>
      </c>
      <c r="CY18" t="s">
        <v>201</v>
      </c>
      <c r="CZ18" t="s">
        <v>202</v>
      </c>
      <c r="DA18" t="s">
        <v>203</v>
      </c>
      <c r="DB18" t="s">
        <v>204</v>
      </c>
      <c r="DC18" t="s">
        <v>205</v>
      </c>
    </row>
    <row r="19" spans="1:107" x14ac:dyDescent="0.45">
      <c r="A19" t="s">
        <v>634</v>
      </c>
      <c r="B19" t="s">
        <v>635</v>
      </c>
      <c r="C19" t="s">
        <v>139</v>
      </c>
      <c r="D19" t="s">
        <v>76</v>
      </c>
      <c r="E19" t="s">
        <v>140</v>
      </c>
      <c r="F19" t="s">
        <v>19</v>
      </c>
      <c r="G19" t="s">
        <v>636</v>
      </c>
      <c r="H19" t="s">
        <v>19</v>
      </c>
      <c r="I19" t="s">
        <v>19</v>
      </c>
      <c r="J19">
        <f t="shared" si="0"/>
        <v>-3.2620726563062821E-2</v>
      </c>
      <c r="K19">
        <f t="shared" si="1"/>
        <v>2.9042299199999997</v>
      </c>
      <c r="L19">
        <f t="shared" si="2"/>
        <v>-3.2991289453004162E-2</v>
      </c>
      <c r="M19">
        <f t="shared" si="3"/>
        <v>-0.2212268381101764</v>
      </c>
      <c r="N19" t="s">
        <v>637</v>
      </c>
      <c r="O19" t="s">
        <v>638</v>
      </c>
      <c r="P19">
        <f t="shared" si="4"/>
        <v>3.4023130095943253</v>
      </c>
      <c r="Q19">
        <f t="shared" si="5"/>
        <v>0.65845800959432532</v>
      </c>
      <c r="R19" t="s">
        <v>639</v>
      </c>
      <c r="S19" t="s">
        <v>640</v>
      </c>
      <c r="T19">
        <f t="shared" si="6"/>
        <v>33.60309145278346</v>
      </c>
      <c r="U19">
        <f t="shared" si="7"/>
        <v>0.4417875</v>
      </c>
      <c r="V19" t="s">
        <v>146</v>
      </c>
      <c r="W19" t="s">
        <v>641</v>
      </c>
      <c r="X19" t="s">
        <v>642</v>
      </c>
      <c r="Y19" t="s">
        <v>643</v>
      </c>
      <c r="Z19" t="s">
        <v>644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f t="shared" si="8"/>
        <v>0</v>
      </c>
      <c r="AG19" t="s">
        <v>154</v>
      </c>
      <c r="AH19" t="s">
        <v>645</v>
      </c>
      <c r="AI19" t="s">
        <v>592</v>
      </c>
      <c r="AJ19" t="s">
        <v>646</v>
      </c>
      <c r="AK19" t="s">
        <v>647</v>
      </c>
      <c r="AL19">
        <f t="shared" si="9"/>
        <v>26.14</v>
      </c>
      <c r="AM19" t="s">
        <v>459</v>
      </c>
      <c r="AN19" t="s">
        <v>254</v>
      </c>
      <c r="AO19" t="s">
        <v>456</v>
      </c>
      <c r="AP19" t="s">
        <v>648</v>
      </c>
      <c r="AQ19" t="s">
        <v>163</v>
      </c>
      <c r="AR19" t="s">
        <v>649</v>
      </c>
      <c r="AS19" t="s">
        <v>510</v>
      </c>
      <c r="AT19" t="s">
        <v>139</v>
      </c>
      <c r="AU19" t="s">
        <v>511</v>
      </c>
      <c r="AV19" t="s">
        <v>137</v>
      </c>
      <c r="AW19" t="s">
        <v>512</v>
      </c>
      <c r="AX19" t="s">
        <v>650</v>
      </c>
      <c r="AY19" t="s">
        <v>169</v>
      </c>
      <c r="AZ19" t="s">
        <v>651</v>
      </c>
      <c r="BA19" t="s">
        <v>652</v>
      </c>
      <c r="BB19" t="s">
        <v>169</v>
      </c>
      <c r="BC19" t="s">
        <v>137</v>
      </c>
      <c r="BD19" t="s">
        <v>172</v>
      </c>
      <c r="BE19" t="s">
        <v>169</v>
      </c>
      <c r="BF19" t="s">
        <v>173</v>
      </c>
      <c r="BG19" t="s">
        <v>174</v>
      </c>
      <c r="BH19" t="s">
        <v>151</v>
      </c>
      <c r="BI19" t="s">
        <v>175</v>
      </c>
      <c r="BJ19" t="s">
        <v>151</v>
      </c>
      <c r="BK19" t="s">
        <v>151</v>
      </c>
      <c r="BL19" t="s">
        <v>176</v>
      </c>
      <c r="BM19" t="s">
        <v>177</v>
      </c>
      <c r="BN19" t="s">
        <v>137</v>
      </c>
      <c r="BO19" t="s">
        <v>178</v>
      </c>
      <c r="BP19" t="s">
        <v>179</v>
      </c>
      <c r="BQ19" t="s">
        <v>180</v>
      </c>
      <c r="BR19" t="s">
        <v>154</v>
      </c>
      <c r="BS19" t="s">
        <v>181</v>
      </c>
      <c r="BT19" t="s">
        <v>182</v>
      </c>
      <c r="BU19" t="s">
        <v>182</v>
      </c>
      <c r="BV19" t="s">
        <v>182</v>
      </c>
      <c r="BW19" t="s">
        <v>151</v>
      </c>
      <c r="BX19" t="s">
        <v>183</v>
      </c>
      <c r="BY19" t="s">
        <v>151</v>
      </c>
      <c r="BZ19" t="s">
        <v>151</v>
      </c>
      <c r="CA19" t="s">
        <v>151</v>
      </c>
      <c r="CB19" t="s">
        <v>151</v>
      </c>
      <c r="CC19" t="s">
        <v>653</v>
      </c>
      <c r="CD19" t="s">
        <v>654</v>
      </c>
      <c r="CE19" t="s">
        <v>655</v>
      </c>
      <c r="CF19" t="s">
        <v>656</v>
      </c>
      <c r="CG19" t="s">
        <v>657</v>
      </c>
      <c r="CH19" t="s">
        <v>658</v>
      </c>
      <c r="CI19" t="s">
        <v>659</v>
      </c>
      <c r="CJ19" t="s">
        <v>553</v>
      </c>
      <c r="CK19" t="s">
        <v>642</v>
      </c>
      <c r="CL19" t="s">
        <v>660</v>
      </c>
      <c r="CM19" t="s">
        <v>193</v>
      </c>
      <c r="CN19" t="s">
        <v>194</v>
      </c>
      <c r="CO19" t="s">
        <v>154</v>
      </c>
      <c r="CP19" t="s">
        <v>195</v>
      </c>
      <c r="CQ19" t="s">
        <v>196</v>
      </c>
      <c r="CR19" t="s">
        <v>154</v>
      </c>
      <c r="CS19" t="s">
        <v>197</v>
      </c>
      <c r="CT19" t="s">
        <v>198</v>
      </c>
      <c r="CU19" t="s">
        <v>199</v>
      </c>
      <c r="CV19" t="s">
        <v>151</v>
      </c>
      <c r="CW19" t="s">
        <v>641</v>
      </c>
      <c r="CX19" t="s">
        <v>200</v>
      </c>
      <c r="CY19" t="s">
        <v>201</v>
      </c>
      <c r="CZ19" t="s">
        <v>202</v>
      </c>
      <c r="DA19" t="s">
        <v>203</v>
      </c>
      <c r="DB19" t="s">
        <v>204</v>
      </c>
      <c r="DC19" t="s">
        <v>205</v>
      </c>
    </row>
    <row r="20" spans="1:107" x14ac:dyDescent="0.45">
      <c r="A20" t="s">
        <v>661</v>
      </c>
      <c r="B20" t="s">
        <v>662</v>
      </c>
      <c r="C20" t="s">
        <v>139</v>
      </c>
      <c r="D20" t="s">
        <v>76</v>
      </c>
      <c r="E20" t="s">
        <v>140</v>
      </c>
      <c r="F20" t="s">
        <v>19</v>
      </c>
      <c r="G20" t="s">
        <v>663</v>
      </c>
      <c r="H20" t="s">
        <v>19</v>
      </c>
      <c r="I20" t="s">
        <v>19</v>
      </c>
      <c r="J20">
        <f t="shared" si="0"/>
        <v>-4.2066328483086002E-2</v>
      </c>
      <c r="K20">
        <f t="shared" si="1"/>
        <v>2.9050319999999994</v>
      </c>
      <c r="L20">
        <f t="shared" si="2"/>
        <v>-4.2684420418190941E-2</v>
      </c>
      <c r="M20">
        <f t="shared" si="3"/>
        <v>-0.33096266448191181</v>
      </c>
      <c r="N20" t="s">
        <v>664</v>
      </c>
      <c r="O20" t="s">
        <v>665</v>
      </c>
      <c r="P20">
        <f t="shared" si="4"/>
        <v>3.5000526654963204</v>
      </c>
      <c r="Q20">
        <f t="shared" si="5"/>
        <v>0.7609696654963205</v>
      </c>
      <c r="R20" t="s">
        <v>666</v>
      </c>
      <c r="S20" t="s">
        <v>667</v>
      </c>
      <c r="T20">
        <f t="shared" si="6"/>
        <v>34.568421387617981</v>
      </c>
      <c r="U20">
        <f t="shared" si="7"/>
        <v>0.4417875</v>
      </c>
      <c r="V20" t="s">
        <v>146</v>
      </c>
      <c r="W20" t="s">
        <v>668</v>
      </c>
      <c r="X20" t="s">
        <v>669</v>
      </c>
      <c r="Y20" t="s">
        <v>670</v>
      </c>
      <c r="Z20" t="s">
        <v>671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f t="shared" si="8"/>
        <v>0</v>
      </c>
      <c r="AG20" t="s">
        <v>154</v>
      </c>
      <c r="AH20" t="s">
        <v>672</v>
      </c>
      <c r="AI20" t="s">
        <v>673</v>
      </c>
      <c r="AJ20" t="s">
        <v>674</v>
      </c>
      <c r="AK20" t="s">
        <v>463</v>
      </c>
      <c r="AL20">
        <f t="shared" si="9"/>
        <v>26.62</v>
      </c>
      <c r="AM20" t="s">
        <v>459</v>
      </c>
      <c r="AN20" t="s">
        <v>411</v>
      </c>
      <c r="AO20" t="s">
        <v>675</v>
      </c>
      <c r="AP20" t="s">
        <v>676</v>
      </c>
      <c r="AQ20" t="s">
        <v>163</v>
      </c>
      <c r="AR20" t="s">
        <v>677</v>
      </c>
      <c r="AS20" t="s">
        <v>510</v>
      </c>
      <c r="AT20" t="s">
        <v>139</v>
      </c>
      <c r="AU20" t="s">
        <v>511</v>
      </c>
      <c r="AV20" t="s">
        <v>137</v>
      </c>
      <c r="AW20" t="s">
        <v>678</v>
      </c>
      <c r="AX20" t="s">
        <v>624</v>
      </c>
      <c r="AY20" t="s">
        <v>169</v>
      </c>
      <c r="AZ20" t="s">
        <v>679</v>
      </c>
      <c r="BA20" t="s">
        <v>680</v>
      </c>
      <c r="BB20" t="s">
        <v>169</v>
      </c>
      <c r="BC20" t="s">
        <v>137</v>
      </c>
      <c r="BD20" t="s">
        <v>172</v>
      </c>
      <c r="BE20" t="s">
        <v>169</v>
      </c>
      <c r="BF20" t="s">
        <v>173</v>
      </c>
      <c r="BG20" t="s">
        <v>174</v>
      </c>
      <c r="BH20" t="s">
        <v>151</v>
      </c>
      <c r="BI20" t="s">
        <v>175</v>
      </c>
      <c r="BJ20" t="s">
        <v>151</v>
      </c>
      <c r="BK20" t="s">
        <v>151</v>
      </c>
      <c r="BL20" t="s">
        <v>176</v>
      </c>
      <c r="BM20" t="s">
        <v>177</v>
      </c>
      <c r="BN20" t="s">
        <v>137</v>
      </c>
      <c r="BO20" t="s">
        <v>178</v>
      </c>
      <c r="BP20" t="s">
        <v>179</v>
      </c>
      <c r="BQ20" t="s">
        <v>180</v>
      </c>
      <c r="BR20" t="s">
        <v>154</v>
      </c>
      <c r="BS20" t="s">
        <v>181</v>
      </c>
      <c r="BT20" t="s">
        <v>182</v>
      </c>
      <c r="BU20" t="s">
        <v>182</v>
      </c>
      <c r="BV20" t="s">
        <v>182</v>
      </c>
      <c r="BW20" t="s">
        <v>151</v>
      </c>
      <c r="BX20" t="s">
        <v>183</v>
      </c>
      <c r="BY20" t="s">
        <v>151</v>
      </c>
      <c r="BZ20" t="s">
        <v>151</v>
      </c>
      <c r="CA20" t="s">
        <v>151</v>
      </c>
      <c r="CB20" t="s">
        <v>151</v>
      </c>
      <c r="CC20" t="s">
        <v>681</v>
      </c>
      <c r="CD20" t="s">
        <v>682</v>
      </c>
      <c r="CE20" t="s">
        <v>683</v>
      </c>
      <c r="CF20" t="s">
        <v>684</v>
      </c>
      <c r="CG20" t="s">
        <v>685</v>
      </c>
      <c r="CH20" t="s">
        <v>686</v>
      </c>
      <c r="CI20" t="s">
        <v>687</v>
      </c>
      <c r="CJ20" t="s">
        <v>688</v>
      </c>
      <c r="CK20" t="s">
        <v>669</v>
      </c>
      <c r="CL20" t="s">
        <v>362</v>
      </c>
      <c r="CM20" t="s">
        <v>193</v>
      </c>
      <c r="CN20" t="s">
        <v>194</v>
      </c>
      <c r="CO20" t="s">
        <v>154</v>
      </c>
      <c r="CP20" t="s">
        <v>195</v>
      </c>
      <c r="CQ20" t="s">
        <v>196</v>
      </c>
      <c r="CR20" t="s">
        <v>154</v>
      </c>
      <c r="CS20" t="s">
        <v>197</v>
      </c>
      <c r="CT20" t="s">
        <v>198</v>
      </c>
      <c r="CU20" t="s">
        <v>199</v>
      </c>
      <c r="CV20" t="s">
        <v>151</v>
      </c>
      <c r="CW20" t="s">
        <v>668</v>
      </c>
      <c r="CX20" t="s">
        <v>200</v>
      </c>
      <c r="CY20" t="s">
        <v>201</v>
      </c>
      <c r="CZ20" t="s">
        <v>202</v>
      </c>
      <c r="DA20" t="s">
        <v>203</v>
      </c>
      <c r="DB20" t="s">
        <v>204</v>
      </c>
      <c r="DC20" t="s">
        <v>205</v>
      </c>
    </row>
    <row r="21" spans="1:107" x14ac:dyDescent="0.45">
      <c r="A21" t="s">
        <v>689</v>
      </c>
      <c r="B21" t="s">
        <v>690</v>
      </c>
      <c r="C21" t="s">
        <v>139</v>
      </c>
      <c r="D21" t="s">
        <v>76</v>
      </c>
      <c r="E21" t="s">
        <v>140</v>
      </c>
      <c r="F21" t="s">
        <v>19</v>
      </c>
      <c r="G21" t="s">
        <v>691</v>
      </c>
      <c r="H21" t="s">
        <v>19</v>
      </c>
      <c r="I21" t="s">
        <v>19</v>
      </c>
      <c r="J21">
        <f t="shared" si="0"/>
        <v>-1.8685566652180952E-2</v>
      </c>
      <c r="K21">
        <f t="shared" si="1"/>
        <v>2.9066320800000001</v>
      </c>
      <c r="L21">
        <f t="shared" si="2"/>
        <v>-1.8806465844565353E-2</v>
      </c>
      <c r="M21">
        <f t="shared" si="3"/>
        <v>-0.12932361987011817</v>
      </c>
      <c r="N21" t="s">
        <v>692</v>
      </c>
      <c r="O21" t="s">
        <v>693</v>
      </c>
      <c r="P21">
        <f t="shared" si="4"/>
        <v>3.4184354777465527</v>
      </c>
      <c r="Q21">
        <f t="shared" si="5"/>
        <v>0.67490747774655269</v>
      </c>
      <c r="R21" t="s">
        <v>694</v>
      </c>
      <c r="S21" t="s">
        <v>695</v>
      </c>
      <c r="T21">
        <f t="shared" si="6"/>
        <v>33.765660586196688</v>
      </c>
      <c r="U21">
        <f t="shared" si="7"/>
        <v>0.4417875</v>
      </c>
      <c r="V21" t="s">
        <v>146</v>
      </c>
      <c r="W21" t="s">
        <v>696</v>
      </c>
      <c r="X21" t="s">
        <v>697</v>
      </c>
      <c r="Y21" t="s">
        <v>698</v>
      </c>
      <c r="Z21" t="s">
        <v>699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f t="shared" si="8"/>
        <v>0</v>
      </c>
      <c r="AG21" t="s">
        <v>154</v>
      </c>
      <c r="AH21" t="s">
        <v>672</v>
      </c>
      <c r="AI21" t="s">
        <v>700</v>
      </c>
      <c r="AJ21" t="s">
        <v>701</v>
      </c>
      <c r="AK21" t="s">
        <v>702</v>
      </c>
      <c r="AL21">
        <f t="shared" si="9"/>
        <v>26.22</v>
      </c>
      <c r="AM21" t="s">
        <v>346</v>
      </c>
      <c r="AN21" t="s">
        <v>160</v>
      </c>
      <c r="AO21" t="s">
        <v>703</v>
      </c>
      <c r="AP21" t="s">
        <v>704</v>
      </c>
      <c r="AQ21" t="s">
        <v>163</v>
      </c>
      <c r="AR21" t="s">
        <v>622</v>
      </c>
      <c r="AS21" t="s">
        <v>510</v>
      </c>
      <c r="AT21" t="s">
        <v>139</v>
      </c>
      <c r="AU21" t="s">
        <v>511</v>
      </c>
      <c r="AV21" t="s">
        <v>137</v>
      </c>
      <c r="AW21" t="s">
        <v>705</v>
      </c>
      <c r="AX21" t="s">
        <v>706</v>
      </c>
      <c r="AY21" t="s">
        <v>169</v>
      </c>
      <c r="AZ21" t="s">
        <v>707</v>
      </c>
      <c r="BA21" t="s">
        <v>708</v>
      </c>
      <c r="BB21" t="s">
        <v>169</v>
      </c>
      <c r="BC21" t="s">
        <v>137</v>
      </c>
      <c r="BD21" t="s">
        <v>172</v>
      </c>
      <c r="BE21" t="s">
        <v>169</v>
      </c>
      <c r="BF21" t="s">
        <v>173</v>
      </c>
      <c r="BG21" t="s">
        <v>174</v>
      </c>
      <c r="BH21" t="s">
        <v>151</v>
      </c>
      <c r="BI21" t="s">
        <v>175</v>
      </c>
      <c r="BJ21" t="s">
        <v>151</v>
      </c>
      <c r="BK21" t="s">
        <v>151</v>
      </c>
      <c r="BL21" t="s">
        <v>176</v>
      </c>
      <c r="BM21" t="s">
        <v>177</v>
      </c>
      <c r="BN21" t="s">
        <v>137</v>
      </c>
      <c r="BO21" t="s">
        <v>178</v>
      </c>
      <c r="BP21" t="s">
        <v>179</v>
      </c>
      <c r="BQ21" t="s">
        <v>180</v>
      </c>
      <c r="BR21" t="s">
        <v>154</v>
      </c>
      <c r="BS21" t="s">
        <v>181</v>
      </c>
      <c r="BT21" t="s">
        <v>182</v>
      </c>
      <c r="BU21" t="s">
        <v>182</v>
      </c>
      <c r="BV21" t="s">
        <v>182</v>
      </c>
      <c r="BW21" t="s">
        <v>151</v>
      </c>
      <c r="BX21" t="s">
        <v>183</v>
      </c>
      <c r="BY21" t="s">
        <v>151</v>
      </c>
      <c r="BZ21" t="s">
        <v>151</v>
      </c>
      <c r="CA21" t="s">
        <v>151</v>
      </c>
      <c r="CB21" t="s">
        <v>151</v>
      </c>
      <c r="CC21" t="s">
        <v>709</v>
      </c>
      <c r="CD21" t="s">
        <v>710</v>
      </c>
      <c r="CE21" t="s">
        <v>711</v>
      </c>
      <c r="CF21" t="s">
        <v>712</v>
      </c>
      <c r="CG21" t="s">
        <v>713</v>
      </c>
      <c r="CH21" t="s">
        <v>714</v>
      </c>
      <c r="CI21" t="s">
        <v>715</v>
      </c>
      <c r="CJ21" t="s">
        <v>553</v>
      </c>
      <c r="CK21" t="s">
        <v>697</v>
      </c>
      <c r="CL21" t="s">
        <v>300</v>
      </c>
      <c r="CM21" t="s">
        <v>193</v>
      </c>
      <c r="CN21" t="s">
        <v>194</v>
      </c>
      <c r="CO21" t="s">
        <v>154</v>
      </c>
      <c r="CP21" t="s">
        <v>195</v>
      </c>
      <c r="CQ21" t="s">
        <v>196</v>
      </c>
      <c r="CR21" t="s">
        <v>154</v>
      </c>
      <c r="CS21" t="s">
        <v>197</v>
      </c>
      <c r="CT21" t="s">
        <v>198</v>
      </c>
      <c r="CU21" t="s">
        <v>199</v>
      </c>
      <c r="CV21" t="s">
        <v>151</v>
      </c>
      <c r="CW21" t="s">
        <v>696</v>
      </c>
      <c r="CX21" t="s">
        <v>200</v>
      </c>
      <c r="CY21" t="s">
        <v>201</v>
      </c>
      <c r="CZ21" t="s">
        <v>202</v>
      </c>
      <c r="DA21" t="s">
        <v>203</v>
      </c>
      <c r="DB21" t="s">
        <v>204</v>
      </c>
      <c r="DC21" t="s">
        <v>205</v>
      </c>
    </row>
  </sheetData>
  <phoneticPr fontId="1" type="noConversion"/>
  <pageMargins left="0.7" right="0.7" top="0.75" bottom="0.75" header="0.3" footer="0.3"/>
  <ignoredErrors>
    <ignoredError sqref="A1:DC12 A13:D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A7BF-566A-4B6E-BCC7-7C2EF97E5F9F}">
  <dimension ref="A1:E19"/>
  <sheetViews>
    <sheetView tabSelected="1" workbookViewId="0">
      <selection activeCell="F13" sqref="F13"/>
    </sheetView>
  </sheetViews>
  <sheetFormatPr defaultRowHeight="19.2" x14ac:dyDescent="0.45"/>
  <sheetData>
    <row r="1" spans="1:5" ht="19.8" thickBot="1" x14ac:dyDescent="0.5">
      <c r="A1" s="1" t="s">
        <v>716</v>
      </c>
      <c r="B1" s="2" t="s">
        <v>717</v>
      </c>
      <c r="C1" s="2" t="s">
        <v>718</v>
      </c>
      <c r="D1" s="2" t="s">
        <v>719</v>
      </c>
      <c r="E1" s="3" t="s">
        <v>720</v>
      </c>
    </row>
    <row r="2" spans="1:5" ht="19.8" thickTop="1" x14ac:dyDescent="0.45">
      <c r="A2" s="4" t="s">
        <v>721</v>
      </c>
      <c r="B2">
        <v>1</v>
      </c>
      <c r="C2" s="9">
        <v>112.430695</v>
      </c>
      <c r="D2" s="9">
        <v>620.11956799999996</v>
      </c>
      <c r="E2" s="9">
        <v>0.81869499999999995</v>
      </c>
    </row>
    <row r="3" spans="1:5" x14ac:dyDescent="0.45">
      <c r="A3" s="4" t="s">
        <v>721</v>
      </c>
      <c r="B3">
        <v>1</v>
      </c>
      <c r="C3" s="9">
        <v>106.55379499999999</v>
      </c>
      <c r="D3" s="9">
        <v>629.58349599999997</v>
      </c>
      <c r="E3" s="9">
        <v>0.83075500000000002</v>
      </c>
    </row>
    <row r="4" spans="1:5" x14ac:dyDescent="0.45">
      <c r="A4" s="4" t="s">
        <v>721</v>
      </c>
      <c r="B4">
        <v>1</v>
      </c>
      <c r="C4" s="9">
        <v>103.630898</v>
      </c>
      <c r="D4" s="9">
        <v>641.64660600000002</v>
      </c>
      <c r="E4" s="9">
        <v>0.83849200000000002</v>
      </c>
    </row>
    <row r="5" spans="1:5" x14ac:dyDescent="0.45">
      <c r="A5" s="4" t="s">
        <v>721</v>
      </c>
      <c r="B5">
        <v>1</v>
      </c>
      <c r="C5" s="9">
        <v>92.100266000000005</v>
      </c>
      <c r="D5" s="9">
        <v>606.51861599999995</v>
      </c>
      <c r="E5" s="9">
        <v>0.84814900000000004</v>
      </c>
    </row>
    <row r="6" spans="1:5" x14ac:dyDescent="0.45">
      <c r="A6" s="4" t="s">
        <v>721</v>
      </c>
      <c r="B6">
        <v>1</v>
      </c>
      <c r="C6" s="9">
        <v>101.855637</v>
      </c>
      <c r="D6" s="9">
        <v>637.15734899999995</v>
      </c>
      <c r="E6" s="9">
        <v>0.84014100000000003</v>
      </c>
    </row>
    <row r="7" spans="1:5" x14ac:dyDescent="0.45">
      <c r="A7" s="4" t="s">
        <v>721</v>
      </c>
      <c r="B7">
        <v>1</v>
      </c>
      <c r="C7" s="9">
        <v>98.528625000000005</v>
      </c>
      <c r="D7" s="9">
        <v>615.90850799999998</v>
      </c>
      <c r="E7" s="9">
        <v>0.84002699999999997</v>
      </c>
    </row>
    <row r="8" spans="1:5" x14ac:dyDescent="0.45">
      <c r="A8" s="4" t="s">
        <v>721</v>
      </c>
      <c r="B8">
        <v>1</v>
      </c>
      <c r="C8" s="9">
        <v>93.683479000000005</v>
      </c>
      <c r="D8" s="9">
        <v>613.94799799999998</v>
      </c>
      <c r="E8" s="9">
        <v>0.84740800000000005</v>
      </c>
    </row>
    <row r="9" spans="1:5" x14ac:dyDescent="0.45">
      <c r="A9" s="4" t="s">
        <v>721</v>
      </c>
      <c r="B9">
        <v>1</v>
      </c>
      <c r="C9" s="9">
        <v>101.20510899999999</v>
      </c>
      <c r="D9" s="9">
        <v>622.59973100000002</v>
      </c>
      <c r="E9" s="9">
        <v>0.83744799999999997</v>
      </c>
    </row>
    <row r="10" spans="1:5" x14ac:dyDescent="0.45">
      <c r="A10" s="5" t="s">
        <v>721</v>
      </c>
      <c r="B10" s="6">
        <v>1</v>
      </c>
      <c r="C10" s="9">
        <v>135.89572100000001</v>
      </c>
      <c r="D10" s="9">
        <v>686.96520999999996</v>
      </c>
      <c r="E10" s="9">
        <v>0.80218</v>
      </c>
    </row>
    <row r="11" spans="1:5" x14ac:dyDescent="0.45">
      <c r="A11" s="4" t="s">
        <v>722</v>
      </c>
      <c r="B11">
        <v>2</v>
      </c>
      <c r="C11" s="9">
        <v>104.34329200000001</v>
      </c>
      <c r="D11" s="9">
        <v>639.58380099999999</v>
      </c>
      <c r="E11" s="9">
        <v>0.83685699999999996</v>
      </c>
    </row>
    <row r="12" spans="1:5" x14ac:dyDescent="0.45">
      <c r="A12" s="4" t="s">
        <v>722</v>
      </c>
      <c r="B12">
        <v>2</v>
      </c>
      <c r="C12" s="9">
        <v>120.94474</v>
      </c>
      <c r="D12" s="9">
        <v>673.31957999999997</v>
      </c>
      <c r="E12" s="9">
        <v>0.82037499999999997</v>
      </c>
    </row>
    <row r="13" spans="1:5" x14ac:dyDescent="0.45">
      <c r="A13" s="4" t="s">
        <v>722</v>
      </c>
      <c r="B13">
        <v>2</v>
      </c>
      <c r="C13" s="9">
        <v>100.335358</v>
      </c>
      <c r="D13" s="9">
        <v>610.67138699999998</v>
      </c>
      <c r="E13" s="9">
        <v>0.83569700000000002</v>
      </c>
    </row>
    <row r="14" spans="1:5" x14ac:dyDescent="0.45">
      <c r="A14" s="4" t="s">
        <v>722</v>
      </c>
      <c r="B14">
        <v>2</v>
      </c>
      <c r="C14" s="9">
        <v>117.190361</v>
      </c>
      <c r="D14" s="9">
        <v>634.80877699999996</v>
      </c>
      <c r="E14" s="9">
        <v>0.81539300000000003</v>
      </c>
    </row>
    <row r="15" spans="1:5" x14ac:dyDescent="0.45">
      <c r="A15" s="4" t="s">
        <v>722</v>
      </c>
      <c r="B15">
        <v>2</v>
      </c>
      <c r="C15" s="9">
        <v>106.83167299999999</v>
      </c>
      <c r="D15" s="9">
        <v>594.64752199999998</v>
      </c>
      <c r="E15" s="9">
        <v>0.82034499999999999</v>
      </c>
    </row>
    <row r="16" spans="1:5" x14ac:dyDescent="0.45">
      <c r="A16" s="4" t="s">
        <v>722</v>
      </c>
      <c r="B16">
        <v>2</v>
      </c>
      <c r="C16" s="9">
        <v>108.495712</v>
      </c>
      <c r="D16" s="9">
        <v>619.48443599999996</v>
      </c>
      <c r="E16" s="9">
        <v>0.82486099999999996</v>
      </c>
    </row>
    <row r="17" spans="1:5" x14ac:dyDescent="0.45">
      <c r="A17" s="4" t="s">
        <v>722</v>
      </c>
      <c r="B17">
        <v>2</v>
      </c>
      <c r="C17" s="9">
        <v>91.455817999999994</v>
      </c>
      <c r="D17" s="9">
        <v>609.88391100000001</v>
      </c>
      <c r="E17" s="9">
        <v>0.85004400000000002</v>
      </c>
    </row>
    <row r="18" spans="1:5" x14ac:dyDescent="0.45">
      <c r="A18" s="4" t="s">
        <v>722</v>
      </c>
      <c r="B18">
        <v>2</v>
      </c>
      <c r="C18" s="9">
        <v>120.652557</v>
      </c>
      <c r="D18" s="9">
        <v>636.20031700000004</v>
      </c>
      <c r="E18" s="9">
        <v>0.81035400000000002</v>
      </c>
    </row>
    <row r="19" spans="1:5" ht="19.8" thickBot="1" x14ac:dyDescent="0.5">
      <c r="A19" s="7" t="s">
        <v>722</v>
      </c>
      <c r="B19" s="8">
        <v>2</v>
      </c>
      <c r="C19" s="9">
        <v>107.51580800000001</v>
      </c>
      <c r="D19" s="9">
        <v>620.17749000000003</v>
      </c>
      <c r="E19" s="9">
        <v>0.82663699999999996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modified xsi:type="dcterms:W3CDTF">2026-08-19T12:38:26Z</dcterms:modified>
</cp:coreProperties>
</file>