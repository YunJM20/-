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16" documentId="11_C6694FBD8B0B26D31E340A7E93D75D29F3DEC9F5" xr6:coauthVersionLast="47" xr6:coauthVersionMax="47" xr10:uidLastSave="{D7CCD0F1-B1B6-440C-B93C-2D9488551A0A}"/>
  <bookViews>
    <workbookView xWindow="28680" yWindow="-120" windowWidth="29040" windowHeight="15720" activeTab="4" xr2:uid="{00000000-000D-0000-FFFF-FFFF00000000}"/>
  </bookViews>
  <sheets>
    <sheet name="lightfluoromete" sheetId="1" r:id="rId1"/>
    <sheet name="Sheet1" sheetId="2" r:id="rId2"/>
    <sheet name="Clean_Data" sheetId="3" r:id="rId3"/>
    <sheet name="Selected_Data" sheetId="4" r:id="rId4"/>
    <sheet name="정리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R2" i="6"/>
  <c r="S2" i="6"/>
  <c r="T2" i="6"/>
  <c r="U2" i="6"/>
  <c r="V2" i="6"/>
  <c r="W2" i="6"/>
  <c r="Q3" i="6"/>
  <c r="R3" i="6"/>
  <c r="S3" i="6"/>
  <c r="T3" i="6"/>
  <c r="U3" i="6"/>
  <c r="V3" i="6"/>
  <c r="W3" i="6"/>
  <c r="Q4" i="6"/>
  <c r="R4" i="6"/>
  <c r="S4" i="6"/>
  <c r="T4" i="6"/>
  <c r="U4" i="6"/>
  <c r="V4" i="6"/>
  <c r="W4" i="6"/>
  <c r="Q5" i="6"/>
  <c r="R5" i="6"/>
  <c r="S5" i="6"/>
  <c r="T5" i="6"/>
  <c r="U5" i="6"/>
  <c r="V5" i="6"/>
  <c r="W5" i="6"/>
  <c r="Q6" i="6"/>
  <c r="R6" i="6"/>
  <c r="S6" i="6"/>
  <c r="T6" i="6"/>
  <c r="U6" i="6"/>
  <c r="V6" i="6"/>
  <c r="W6" i="6"/>
  <c r="Q7" i="6"/>
  <c r="R7" i="6"/>
  <c r="S7" i="6"/>
  <c r="T7" i="6"/>
  <c r="U7" i="6"/>
  <c r="V7" i="6"/>
  <c r="W7" i="6"/>
  <c r="P7" i="6"/>
  <c r="P6" i="6"/>
  <c r="P5" i="6"/>
  <c r="P4" i="6"/>
  <c r="P3" i="6"/>
  <c r="P2" i="6"/>
  <c r="AL57" i="1" l="1"/>
  <c r="AF57" i="1"/>
  <c r="U57" i="1"/>
  <c r="P57" i="1"/>
  <c r="T57" i="1" s="1"/>
  <c r="L57" i="1" s="1"/>
  <c r="J57" i="1" s="1"/>
  <c r="M57" i="1"/>
  <c r="K57" i="1"/>
  <c r="AL56" i="1"/>
  <c r="AF56" i="1"/>
  <c r="U56" i="1"/>
  <c r="P56" i="1"/>
  <c r="T56" i="1" s="1"/>
  <c r="L56" i="1" s="1"/>
  <c r="J56" i="1" s="1"/>
  <c r="M56" i="1"/>
  <c r="K56" i="1"/>
  <c r="AL55" i="1"/>
  <c r="AF55" i="1"/>
  <c r="U55" i="1"/>
  <c r="P55" i="1"/>
  <c r="Q55" i="1" s="1"/>
  <c r="M55" i="1"/>
  <c r="K55" i="1"/>
  <c r="AL54" i="1"/>
  <c r="AF54" i="1"/>
  <c r="U54" i="1"/>
  <c r="M54" i="1" s="1"/>
  <c r="L54" i="1" s="1"/>
  <c r="J54" i="1" s="1"/>
  <c r="P54" i="1"/>
  <c r="T54" i="1" s="1"/>
  <c r="K54" i="1"/>
  <c r="AL53" i="1"/>
  <c r="AF53" i="1"/>
  <c r="U53" i="1"/>
  <c r="P53" i="1"/>
  <c r="T53" i="1" s="1"/>
  <c r="M53" i="1"/>
  <c r="L53" i="1" s="1"/>
  <c r="J53" i="1" s="1"/>
  <c r="K53" i="1"/>
  <c r="AL52" i="1"/>
  <c r="P52" i="1" s="1"/>
  <c r="AF52" i="1"/>
  <c r="U52" i="1"/>
  <c r="M52" i="1" s="1"/>
  <c r="K52" i="1"/>
  <c r="AL51" i="1"/>
  <c r="P51" i="1" s="1"/>
  <c r="AF51" i="1"/>
  <c r="U51" i="1"/>
  <c r="M51" i="1" s="1"/>
  <c r="K51" i="1"/>
  <c r="AL50" i="1"/>
  <c r="P50" i="1" s="1"/>
  <c r="AF50" i="1"/>
  <c r="U50" i="1"/>
  <c r="M50" i="1"/>
  <c r="K50" i="1"/>
  <c r="AL49" i="1"/>
  <c r="AF49" i="1"/>
  <c r="U49" i="1"/>
  <c r="P49" i="1"/>
  <c r="T49" i="1" s="1"/>
  <c r="L49" i="1" s="1"/>
  <c r="J49" i="1" s="1"/>
  <c r="M49" i="1"/>
  <c r="K49" i="1"/>
  <c r="AL48" i="1"/>
  <c r="AF48" i="1"/>
  <c r="U48" i="1"/>
  <c r="P48" i="1"/>
  <c r="T48" i="1" s="1"/>
  <c r="L48" i="1" s="1"/>
  <c r="J48" i="1" s="1"/>
  <c r="M48" i="1"/>
  <c r="K48" i="1"/>
  <c r="AL47" i="1"/>
  <c r="AF47" i="1"/>
  <c r="U47" i="1"/>
  <c r="P47" i="1"/>
  <c r="Q47" i="1" s="1"/>
  <c r="M47" i="1"/>
  <c r="K47" i="1"/>
  <c r="AL46" i="1"/>
  <c r="AF46" i="1"/>
  <c r="U46" i="1"/>
  <c r="P46" i="1"/>
  <c r="Q46" i="1" s="1"/>
  <c r="M46" i="1"/>
  <c r="K46" i="1"/>
  <c r="AL45" i="1"/>
  <c r="AF45" i="1"/>
  <c r="U45" i="1"/>
  <c r="M45" i="1" s="1"/>
  <c r="P45" i="1"/>
  <c r="Q45" i="1" s="1"/>
  <c r="K45" i="1"/>
  <c r="AL44" i="1"/>
  <c r="AF44" i="1"/>
  <c r="U44" i="1"/>
  <c r="P44" i="1"/>
  <c r="T44" i="1" s="1"/>
  <c r="M44" i="1"/>
  <c r="K44" i="1"/>
  <c r="AL43" i="1"/>
  <c r="P43" i="1" s="1"/>
  <c r="AF43" i="1"/>
  <c r="U43" i="1"/>
  <c r="M43" i="1" s="1"/>
  <c r="K43" i="1"/>
  <c r="AL42" i="1"/>
  <c r="P42" i="1" s="1"/>
  <c r="AF42" i="1"/>
  <c r="U42" i="1"/>
  <c r="M42" i="1" s="1"/>
  <c r="K42" i="1"/>
  <c r="AL41" i="1"/>
  <c r="P41" i="1" s="1"/>
  <c r="AF41" i="1"/>
  <c r="U41" i="1"/>
  <c r="M41" i="1"/>
  <c r="K41" i="1"/>
  <c r="AL40" i="1"/>
  <c r="AF40" i="1"/>
  <c r="U40" i="1"/>
  <c r="P40" i="1"/>
  <c r="T40" i="1" s="1"/>
  <c r="L40" i="1" s="1"/>
  <c r="J40" i="1" s="1"/>
  <c r="M40" i="1"/>
  <c r="K40" i="1"/>
  <c r="AL39" i="1"/>
  <c r="AF39" i="1"/>
  <c r="U39" i="1"/>
  <c r="P39" i="1"/>
  <c r="T39" i="1" s="1"/>
  <c r="L39" i="1" s="1"/>
  <c r="J39" i="1" s="1"/>
  <c r="M39" i="1"/>
  <c r="K39" i="1"/>
  <c r="AL38" i="1"/>
  <c r="AF38" i="1"/>
  <c r="U38" i="1"/>
  <c r="P38" i="1"/>
  <c r="Q38" i="1" s="1"/>
  <c r="M38" i="1"/>
  <c r="K38" i="1"/>
  <c r="AL37" i="1"/>
  <c r="AF37" i="1"/>
  <c r="U37" i="1"/>
  <c r="P37" i="1"/>
  <c r="T37" i="1" s="1"/>
  <c r="L37" i="1" s="1"/>
  <c r="J37" i="1" s="1"/>
  <c r="M37" i="1"/>
  <c r="K37" i="1"/>
  <c r="AL36" i="1"/>
  <c r="AF36" i="1"/>
  <c r="U36" i="1"/>
  <c r="M36" i="1" s="1"/>
  <c r="P36" i="1"/>
  <c r="Q36" i="1" s="1"/>
  <c r="K36" i="1"/>
  <c r="AL35" i="1"/>
  <c r="AF35" i="1"/>
  <c r="U35" i="1"/>
  <c r="P35" i="1"/>
  <c r="T35" i="1" s="1"/>
  <c r="M35" i="1"/>
  <c r="L35" i="1" s="1"/>
  <c r="J35" i="1" s="1"/>
  <c r="K35" i="1"/>
  <c r="AL34" i="1"/>
  <c r="P34" i="1" s="1"/>
  <c r="AF34" i="1"/>
  <c r="U34" i="1"/>
  <c r="M34" i="1" s="1"/>
  <c r="K34" i="1"/>
  <c r="AL33" i="1"/>
  <c r="P33" i="1" s="1"/>
  <c r="AF33" i="1"/>
  <c r="U33" i="1"/>
  <c r="M33" i="1" s="1"/>
  <c r="K33" i="1"/>
  <c r="AL32" i="1"/>
  <c r="P32" i="1" s="1"/>
  <c r="AF32" i="1"/>
  <c r="U32" i="1"/>
  <c r="M32" i="1"/>
  <c r="K32" i="1"/>
  <c r="AL31" i="1"/>
  <c r="AF31" i="1"/>
  <c r="U31" i="1"/>
  <c r="P31" i="1"/>
  <c r="T31" i="1" s="1"/>
  <c r="L31" i="1" s="1"/>
  <c r="J31" i="1" s="1"/>
  <c r="M31" i="1"/>
  <c r="K31" i="1"/>
  <c r="AL30" i="1"/>
  <c r="AF30" i="1"/>
  <c r="U30" i="1"/>
  <c r="P30" i="1"/>
  <c r="T30" i="1" s="1"/>
  <c r="L30" i="1" s="1"/>
  <c r="J30" i="1" s="1"/>
  <c r="M30" i="1"/>
  <c r="K30" i="1"/>
  <c r="AL29" i="1"/>
  <c r="AF29" i="1"/>
  <c r="U29" i="1"/>
  <c r="P29" i="1"/>
  <c r="Q29" i="1" s="1"/>
  <c r="M29" i="1"/>
  <c r="K29" i="1"/>
  <c r="AL28" i="1"/>
  <c r="AF28" i="1"/>
  <c r="U28" i="1"/>
  <c r="P28" i="1"/>
  <c r="T28" i="1" s="1"/>
  <c r="L28" i="1" s="1"/>
  <c r="J28" i="1" s="1"/>
  <c r="M28" i="1"/>
  <c r="K28" i="1"/>
  <c r="AL27" i="1"/>
  <c r="AF27" i="1"/>
  <c r="U27" i="1"/>
  <c r="M27" i="1" s="1"/>
  <c r="P27" i="1"/>
  <c r="Q27" i="1" s="1"/>
  <c r="K27" i="1"/>
  <c r="AL26" i="1"/>
  <c r="AF26" i="1"/>
  <c r="U26" i="1"/>
  <c r="P26" i="1"/>
  <c r="Q26" i="1" s="1"/>
  <c r="M26" i="1"/>
  <c r="K26" i="1"/>
  <c r="AL25" i="1"/>
  <c r="P25" i="1" s="1"/>
  <c r="AF25" i="1"/>
  <c r="U25" i="1"/>
  <c r="M25" i="1" s="1"/>
  <c r="K25" i="1"/>
  <c r="AL24" i="1"/>
  <c r="P24" i="1" s="1"/>
  <c r="AF24" i="1"/>
  <c r="U24" i="1"/>
  <c r="M24" i="1" s="1"/>
  <c r="K24" i="1"/>
  <c r="AL23" i="1"/>
  <c r="P23" i="1" s="1"/>
  <c r="AF23" i="1"/>
  <c r="U23" i="1"/>
  <c r="M23" i="1"/>
  <c r="K23" i="1"/>
  <c r="AL22" i="1"/>
  <c r="AF22" i="1"/>
  <c r="U22" i="1"/>
  <c r="P22" i="1"/>
  <c r="T22" i="1" s="1"/>
  <c r="L22" i="1" s="1"/>
  <c r="J22" i="1" s="1"/>
  <c r="M22" i="1"/>
  <c r="K22" i="1"/>
  <c r="AL21" i="1"/>
  <c r="AF21" i="1"/>
  <c r="U21" i="1"/>
  <c r="P21" i="1"/>
  <c r="T21" i="1" s="1"/>
  <c r="L21" i="1" s="1"/>
  <c r="J21" i="1" s="1"/>
  <c r="M21" i="1"/>
  <c r="K21" i="1"/>
  <c r="AL20" i="1"/>
  <c r="AF20" i="1"/>
  <c r="U20" i="1"/>
  <c r="P20" i="1"/>
  <c r="T20" i="1" s="1"/>
  <c r="L20" i="1" s="1"/>
  <c r="J20" i="1" s="1"/>
  <c r="M20" i="1"/>
  <c r="K20" i="1"/>
  <c r="AL19" i="1"/>
  <c r="AF19" i="1"/>
  <c r="U19" i="1"/>
  <c r="P19" i="1"/>
  <c r="T19" i="1" s="1"/>
  <c r="L19" i="1" s="1"/>
  <c r="J19" i="1" s="1"/>
  <c r="M19" i="1"/>
  <c r="K19" i="1"/>
  <c r="AL18" i="1"/>
  <c r="AF18" i="1"/>
  <c r="U18" i="1"/>
  <c r="M18" i="1" s="1"/>
  <c r="P18" i="1"/>
  <c r="Q18" i="1" s="1"/>
  <c r="K18" i="1"/>
  <c r="AL17" i="1"/>
  <c r="AF17" i="1"/>
  <c r="U17" i="1"/>
  <c r="P17" i="1"/>
  <c r="T17" i="1" s="1"/>
  <c r="M17" i="1"/>
  <c r="L17" i="1" s="1"/>
  <c r="J17" i="1" s="1"/>
  <c r="K17" i="1"/>
  <c r="AL16" i="1"/>
  <c r="P16" i="1" s="1"/>
  <c r="AF16" i="1"/>
  <c r="U16" i="1"/>
  <c r="M16" i="1" s="1"/>
  <c r="K16" i="1"/>
  <c r="AL15" i="1"/>
  <c r="P15" i="1" s="1"/>
  <c r="AF15" i="1"/>
  <c r="U15" i="1"/>
  <c r="M15" i="1" s="1"/>
  <c r="K15" i="1"/>
  <c r="AL14" i="1"/>
  <c r="P14" i="1" s="1"/>
  <c r="AF14" i="1"/>
  <c r="U14" i="1"/>
  <c r="M14" i="1"/>
  <c r="K14" i="1"/>
  <c r="AL13" i="1"/>
  <c r="AF13" i="1"/>
  <c r="U13" i="1"/>
  <c r="P13" i="1"/>
  <c r="T13" i="1" s="1"/>
  <c r="L13" i="1" s="1"/>
  <c r="J13" i="1" s="1"/>
  <c r="M13" i="1"/>
  <c r="K13" i="1"/>
  <c r="AL12" i="1"/>
  <c r="AF12" i="1"/>
  <c r="U12" i="1"/>
  <c r="P12" i="1"/>
  <c r="T12" i="1" s="1"/>
  <c r="L12" i="1" s="1"/>
  <c r="J12" i="1" s="1"/>
  <c r="M12" i="1"/>
  <c r="K12" i="1"/>
  <c r="AL11" i="1"/>
  <c r="AF11" i="1"/>
  <c r="U11" i="1"/>
  <c r="P11" i="1"/>
  <c r="Q11" i="1" s="1"/>
  <c r="M11" i="1"/>
  <c r="K11" i="1"/>
  <c r="AL10" i="1"/>
  <c r="AF10" i="1"/>
  <c r="U10" i="1"/>
  <c r="P10" i="1"/>
  <c r="T10" i="1" s="1"/>
  <c r="L10" i="1" s="1"/>
  <c r="J10" i="1" s="1"/>
  <c r="M10" i="1"/>
  <c r="K10" i="1"/>
  <c r="AL9" i="1"/>
  <c r="AF9" i="1"/>
  <c r="U9" i="1"/>
  <c r="M9" i="1" s="1"/>
  <c r="P9" i="1"/>
  <c r="T9" i="1" s="1"/>
  <c r="K9" i="1"/>
  <c r="AL8" i="1"/>
  <c r="AF8" i="1"/>
  <c r="U8" i="1"/>
  <c r="P8" i="1"/>
  <c r="Q8" i="1" s="1"/>
  <c r="M8" i="1"/>
  <c r="K8" i="1"/>
  <c r="AL7" i="1"/>
  <c r="P7" i="1" s="1"/>
  <c r="AF7" i="1"/>
  <c r="U7" i="1"/>
  <c r="M7" i="1" s="1"/>
  <c r="K7" i="1"/>
  <c r="AL6" i="1"/>
  <c r="P6" i="1" s="1"/>
  <c r="AF6" i="1"/>
  <c r="U6" i="1"/>
  <c r="M6" i="1" s="1"/>
  <c r="K6" i="1"/>
  <c r="AL5" i="1"/>
  <c r="P5" i="1" s="1"/>
  <c r="AF5" i="1"/>
  <c r="U5" i="1"/>
  <c r="M5" i="1"/>
  <c r="K5" i="1"/>
  <c r="AL4" i="1"/>
  <c r="AF4" i="1"/>
  <c r="U4" i="1"/>
  <c r="P4" i="1"/>
  <c r="T4" i="1" s="1"/>
  <c r="L4" i="1" s="1"/>
  <c r="J4" i="1" s="1"/>
  <c r="M4" i="1"/>
  <c r="K4" i="1"/>
  <c r="Q7" i="1" l="1"/>
  <c r="T7" i="1"/>
  <c r="T24" i="1"/>
  <c r="Q24" i="1"/>
  <c r="Q25" i="1"/>
  <c r="T25" i="1"/>
  <c r="L25" i="1" s="1"/>
  <c r="J25" i="1" s="1"/>
  <c r="Q52" i="1"/>
  <c r="T52" i="1"/>
  <c r="L52" i="1" s="1"/>
  <c r="J52" i="1" s="1"/>
  <c r="L9" i="1"/>
  <c r="J9" i="1" s="1"/>
  <c r="L43" i="1"/>
  <c r="J43" i="1" s="1"/>
  <c r="Q16" i="1"/>
  <c r="T16" i="1"/>
  <c r="L16" i="1" s="1"/>
  <c r="J16" i="1" s="1"/>
  <c r="Q43" i="1"/>
  <c r="T43" i="1"/>
  <c r="T33" i="1"/>
  <c r="Q33" i="1"/>
  <c r="L44" i="1"/>
  <c r="J44" i="1" s="1"/>
  <c r="L24" i="1"/>
  <c r="J24" i="1" s="1"/>
  <c r="T51" i="1"/>
  <c r="L51" i="1" s="1"/>
  <c r="J51" i="1" s="1"/>
  <c r="Q51" i="1"/>
  <c r="Q14" i="1"/>
  <c r="T14" i="1"/>
  <c r="L14" i="1" s="1"/>
  <c r="J14" i="1" s="1"/>
  <c r="T41" i="1"/>
  <c r="L41" i="1" s="1"/>
  <c r="J41" i="1" s="1"/>
  <c r="Q41" i="1"/>
  <c r="T15" i="1"/>
  <c r="L15" i="1" s="1"/>
  <c r="J15" i="1" s="1"/>
  <c r="Q15" i="1"/>
  <c r="T42" i="1"/>
  <c r="L42" i="1" s="1"/>
  <c r="J42" i="1" s="1"/>
  <c r="Q42" i="1"/>
  <c r="L36" i="1"/>
  <c r="J36" i="1" s="1"/>
  <c r="T5" i="1"/>
  <c r="L5" i="1" s="1"/>
  <c r="J5" i="1" s="1"/>
  <c r="Q5" i="1"/>
  <c r="Q32" i="1"/>
  <c r="T32" i="1"/>
  <c r="L32" i="1" s="1"/>
  <c r="J32" i="1" s="1"/>
  <c r="L33" i="1"/>
  <c r="J33" i="1" s="1"/>
  <c r="T6" i="1"/>
  <c r="L6" i="1" s="1"/>
  <c r="J6" i="1" s="1"/>
  <c r="Q6" i="1"/>
  <c r="L7" i="1"/>
  <c r="J7" i="1" s="1"/>
  <c r="Q23" i="1"/>
  <c r="T23" i="1"/>
  <c r="L23" i="1" s="1"/>
  <c r="J23" i="1" s="1"/>
  <c r="L34" i="1"/>
  <c r="J34" i="1" s="1"/>
  <c r="T50" i="1"/>
  <c r="L50" i="1" s="1"/>
  <c r="J50" i="1" s="1"/>
  <c r="Q50" i="1"/>
  <c r="Q34" i="1"/>
  <c r="T34" i="1"/>
  <c r="Q20" i="1"/>
  <c r="Q56" i="1"/>
  <c r="T11" i="1"/>
  <c r="L11" i="1" s="1"/>
  <c r="J11" i="1" s="1"/>
  <c r="T29" i="1"/>
  <c r="L29" i="1" s="1"/>
  <c r="J29" i="1" s="1"/>
  <c r="T38" i="1"/>
  <c r="L38" i="1" s="1"/>
  <c r="J38" i="1" s="1"/>
  <c r="T47" i="1"/>
  <c r="L47" i="1" s="1"/>
  <c r="J47" i="1" s="1"/>
  <c r="Q4" i="1"/>
  <c r="Q13" i="1"/>
  <c r="Q22" i="1"/>
  <c r="Q31" i="1"/>
  <c r="Q40" i="1"/>
  <c r="Q49" i="1"/>
  <c r="T18" i="1"/>
  <c r="L18" i="1" s="1"/>
  <c r="J18" i="1" s="1"/>
  <c r="T27" i="1"/>
  <c r="L27" i="1" s="1"/>
  <c r="J27" i="1" s="1"/>
  <c r="Q53" i="1"/>
  <c r="T26" i="1"/>
  <c r="L26" i="1" s="1"/>
  <c r="J26" i="1" s="1"/>
  <c r="Q10" i="1"/>
  <c r="Q37" i="1"/>
  <c r="T46" i="1"/>
  <c r="L46" i="1" s="1"/>
  <c r="J46" i="1" s="1"/>
  <c r="Q12" i="1"/>
  <c r="Q21" i="1"/>
  <c r="Q39" i="1"/>
  <c r="Q48" i="1"/>
  <c r="Q57" i="1"/>
  <c r="Q30" i="1"/>
  <c r="Q17" i="1"/>
  <c r="T55" i="1"/>
  <c r="L55" i="1" s="1"/>
  <c r="J55" i="1" s="1"/>
  <c r="T36" i="1"/>
  <c r="T45" i="1"/>
  <c r="L45" i="1" s="1"/>
  <c r="J45" i="1" s="1"/>
  <c r="Q44" i="1"/>
  <c r="T8" i="1"/>
  <c r="L8" i="1" s="1"/>
  <c r="J8" i="1" s="1"/>
  <c r="Q28" i="1"/>
  <c r="Q9" i="1"/>
  <c r="Q54" i="1"/>
  <c r="Q35" i="1"/>
  <c r="Q19" i="1"/>
</calcChain>
</file>

<file path=xl/sharedStrings.xml><?xml version="1.0" encoding="utf-8"?>
<sst xmlns="http://schemas.openxmlformats.org/spreadsheetml/2006/main" count="14016" uniqueCount="2281">
  <si>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</si>
  <si>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</si>
  <si>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</si>
  <si>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</si>
  <si>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</si>
  <si>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</si>
  <si>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</si>
  <si>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</si>
  <si>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</si>
  <si>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</si>
  <si>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</si>
  <si>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</si>
  <si>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</si>
  <si>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</si>
  <si>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</si>
  <si>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</si>
  <si>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</si>
  <si>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</si>
  <si>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</si>
  <si>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</si>
  <si>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</si>
  <si>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</si>
  <si>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</si>
  <si>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</si>
  <si>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</si>
  <si>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</si>
  <si>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</si>
  <si>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</si>
  <si>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</si>
  <si>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</si>
  <si>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</si>
  <si>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</si>
  <si>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</si>
  <si>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</si>
  <si>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</si>
  <si>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</si>
  <si>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</si>
  <si>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</si>
  <si>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</si>
  <si>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</si>
  <si>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</si>
  <si>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</si>
  <si>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</si>
  <si>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</si>
  <si>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</si>
  <si>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</si>
  <si>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</si>
  <si>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</si>
  <si>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</si>
  <si>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</si>
  <si>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</si>
  <si>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</si>
  <si>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</si>
  <si>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</si>
  <si>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</si>
  <si>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</si>
  <si>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</si>
  <si>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</si>
  <si>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</si>
  <si>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</si>
  <si>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</si>
  <si>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</si>
  <si>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</si>
  <si>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</si>
  <si>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</si>
  <si>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</si>
  <si>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</si>
  <si>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</si>
  <si>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</si>
  <si>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</si>
  <si>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</si>
  <si>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</si>
  <si>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</si>
  <si>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</si>
  <si>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</si>
  <si>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</si>
  <si>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</si>
  <si>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</si>
  <si>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</si>
  <si>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</si>
  <si>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</si>
  <si>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</si>
  <si>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</si>
  <si>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</si>
  <si>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</si>
  <si>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</si>
  <si>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</si>
  <si>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</si>
  <si>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</si>
  <si>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</si>
  <si>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</si>
  <si>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</si>
  <si>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</si>
  <si>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</si>
  <si>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</si>
  <si>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</si>
  <si>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</si>
  <si>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</si>
  <si>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</si>
  <si>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</si>
  <si>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</si>
  <si>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</si>
  <si>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</si>
  <si>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</si>
  <si>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</si>
  <si>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</si>
  <si>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</si>
  <si>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</si>
  <si>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</si>
  <si>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</si>
  <si>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</si>
  <si>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</si>
  <si>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</si>
  <si>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</si>
  <si>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</si>
  <si>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</si>
  <si>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</si>
  <si>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</si>
  <si>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</si>
  <si>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</si>
  <si>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</si>
  <si>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</si>
  <si>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</si>
  <si>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</si>
  <si>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1</t>
  </si>
  <si>
    <t>09:19:03</t>
  </si>
  <si>
    <t>2026-09-25</t>
  </si>
  <si>
    <t>lightfluoromete</t>
  </si>
  <si>
    <t>yun</t>
  </si>
  <si>
    <t>ETc</t>
  </si>
  <si>
    <t>1.888434</t>
  </si>
  <si>
    <t>1.728195</t>
  </si>
  <si>
    <t>17.041281</t>
  </si>
  <si>
    <t>18.621363</t>
  </si>
  <si>
    <t>7.500000</t>
  </si>
  <si>
    <t>PSF-01106_20260925091903_665</t>
  </si>
  <si>
    <t>0.000000</t>
  </si>
  <si>
    <t>104.793190</t>
  </si>
  <si>
    <t>420.511017</t>
  </si>
  <si>
    <t>0.750796</t>
  </si>
  <si>
    <t>0.5</t>
  </si>
  <si>
    <t>0.84</t>
  </si>
  <si>
    <t>1.000000</t>
  </si>
  <si>
    <t>52.90</t>
  </si>
  <si>
    <t>48.41</t>
  </si>
  <si>
    <t>26.96</t>
  </si>
  <si>
    <t>25.20</t>
  </si>
  <si>
    <t>101.41</t>
  </si>
  <si>
    <t>156.0</t>
  </si>
  <si>
    <t>149.4</t>
  </si>
  <si>
    <t>4.2</t>
  </si>
  <si>
    <t>305</t>
  </si>
  <si>
    <t>3.903</t>
  </si>
  <si>
    <t>-22</t>
  </si>
  <si>
    <t>-4</t>
  </si>
  <si>
    <t>349</t>
  </si>
  <si>
    <t>22.34</t>
  </si>
  <si>
    <t>158.43</t>
  </si>
  <si>
    <t>00:00:00</t>
  </si>
  <si>
    <t>0000-00-00</t>
  </si>
  <si>
    <t>nan</t>
  </si>
  <si>
    <t>0</t>
  </si>
  <si>
    <t>09:18:11</t>
  </si>
  <si>
    <t>-1.01</t>
  </si>
  <si>
    <t>0.000</t>
  </si>
  <si>
    <t>-0.000</t>
  </si>
  <si>
    <t>0.004</t>
  </si>
  <si>
    <t>0.051</t>
  </si>
  <si>
    <t>0.075</t>
  </si>
  <si>
    <t>0.120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</si>
  <si>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</si>
  <si>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</si>
  <si>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</si>
  <si>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</si>
  <si>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</si>
  <si>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</si>
  <si>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</si>
  <si>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</si>
  <si>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</si>
  <si>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</si>
  <si>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</si>
  <si>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</si>
  <si>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2.502289</t>
  </si>
  <si>
    <t>2.447974</t>
  </si>
  <si>
    <t>1.670028</t>
  </si>
  <si>
    <t>0.927045</t>
  </si>
  <si>
    <t>0.252286</t>
  </si>
  <si>
    <t>-0.019895</t>
  </si>
  <si>
    <t>0.068172</t>
  </si>
  <si>
    <t>0.372950</t>
  </si>
  <si>
    <t>0.000338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</si>
  <si>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</si>
  <si>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</si>
  <si>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</si>
  <si>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</si>
  <si>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</si>
  <si>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</si>
  <si>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</si>
  <si>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</si>
  <si>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</si>
  <si>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</si>
  <si>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</si>
  <si>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</si>
  <si>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</si>
  <si>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</si>
  <si>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09:20:19</t>
  </si>
  <si>
    <t>1.932158</t>
  </si>
  <si>
    <t>1.786005</t>
  </si>
  <si>
    <t>17.607080</t>
  </si>
  <si>
    <t>19.047911</t>
  </si>
  <si>
    <t>PSF-01106_20260925092019_b3f</t>
  </si>
  <si>
    <t>113.897324</t>
  </si>
  <si>
    <t>460.418701</t>
  </si>
  <si>
    <t>0.752622</t>
  </si>
  <si>
    <t>53.97</t>
  </si>
  <si>
    <t>49.89</t>
  </si>
  <si>
    <t>27.00</t>
  </si>
  <si>
    <t>25.36</t>
  </si>
  <si>
    <t>101.44</t>
  </si>
  <si>
    <t>155.7</t>
  </si>
  <si>
    <t>155.1</t>
  </si>
  <si>
    <t>0.4</t>
  </si>
  <si>
    <t>348</t>
  </si>
  <si>
    <t>3.900</t>
  </si>
  <si>
    <t>5</t>
  </si>
  <si>
    <t>312</t>
  </si>
  <si>
    <t>5.10</t>
  </si>
  <si>
    <t>-59.33</t>
  </si>
  <si>
    <t>-0.001</t>
  </si>
  <si>
    <t>-0.002</t>
  </si>
  <si>
    <t>0.015</t>
  </si>
  <si>
    <t>0.278</t>
  </si>
  <si>
    <t>0.513</t>
  </si>
  <si>
    <t>2.504384</t>
  </si>
  <si>
    <t>2.449348</t>
  </si>
  <si>
    <t>1.667280</t>
  </si>
  <si>
    <t>0.941756</t>
  </si>
  <si>
    <t>0.251823</t>
  </si>
  <si>
    <t>-0.018546</t>
  </si>
  <si>
    <t>0.080680</t>
  </si>
  <si>
    <t>0.410218</t>
  </si>
  <si>
    <t>0.000335</t>
  </si>
  <si>
    <t>13</t>
  </si>
  <si>
    <t>09:26:49</t>
  </si>
  <si>
    <t>2.077279</t>
  </si>
  <si>
    <t>1.935739</t>
  </si>
  <si>
    <t>19.084902</t>
  </si>
  <si>
    <t>20.480379</t>
  </si>
  <si>
    <t>PSF-01106_20260925092649_b03</t>
  </si>
  <si>
    <t>132.539032</t>
  </si>
  <si>
    <t>472.575897</t>
  </si>
  <si>
    <t>0.719539</t>
  </si>
  <si>
    <t>55.69</t>
  </si>
  <si>
    <t>51.90</t>
  </si>
  <si>
    <t>27.70</t>
  </si>
  <si>
    <t>25.92</t>
  </si>
  <si>
    <t>101.43</t>
  </si>
  <si>
    <t>155.6</t>
  </si>
  <si>
    <t>0.2</t>
  </si>
  <si>
    <t>335</t>
  </si>
  <si>
    <t>3.891</t>
  </si>
  <si>
    <t>-28</t>
  </si>
  <si>
    <t>-15</t>
  </si>
  <si>
    <t>11</t>
  </si>
  <si>
    <t>81.09</t>
  </si>
  <si>
    <t>15.49</t>
  </si>
  <si>
    <t>31.48</t>
  </si>
  <si>
    <t>161.28</t>
  </si>
  <si>
    <t>-0.78</t>
  </si>
  <si>
    <t>121.17</t>
  </si>
  <si>
    <t>55.44</t>
  </si>
  <si>
    <t>00:24:58</t>
  </si>
  <si>
    <t>35.850124</t>
  </si>
  <si>
    <t>127.129692</t>
  </si>
  <si>
    <t>37.500000</t>
  </si>
  <si>
    <t>0.940000</t>
  </si>
  <si>
    <t>0.003</t>
  </si>
  <si>
    <t>0.006</t>
  </si>
  <si>
    <t>-0.087</t>
  </si>
  <si>
    <t>-0.059</t>
  </si>
  <si>
    <t>-0.073</t>
  </si>
  <si>
    <t>2.507077</t>
  </si>
  <si>
    <t>2.451415</t>
  </si>
  <si>
    <t>1.669989</t>
  </si>
  <si>
    <t>0.943101</t>
  </si>
  <si>
    <t>0.244908</t>
  </si>
  <si>
    <t>-0.020345</t>
  </si>
  <si>
    <t>0.136087</t>
  </si>
  <si>
    <t>0.399382</t>
  </si>
  <si>
    <t>0.000350</t>
  </si>
  <si>
    <t>14</t>
  </si>
  <si>
    <t>09:27:27</t>
  </si>
  <si>
    <t>2.123514</t>
  </si>
  <si>
    <t>1.973165</t>
  </si>
  <si>
    <t>19.453703</t>
  </si>
  <si>
    <t>20.936018</t>
  </si>
  <si>
    <t>PSF-01106_20260925092727_03e</t>
  </si>
  <si>
    <t>112.970711</t>
  </si>
  <si>
    <t>443.018311</t>
  </si>
  <si>
    <t>0.744998</t>
  </si>
  <si>
    <t>56.65</t>
  </si>
  <si>
    <t>52.64</t>
  </si>
  <si>
    <t>27.79</t>
  </si>
  <si>
    <t>26.25</t>
  </si>
  <si>
    <t>155.8</t>
  </si>
  <si>
    <t>154.5</t>
  </si>
  <si>
    <t>0.8</t>
  </si>
  <si>
    <t>339</t>
  </si>
  <si>
    <t>3.890</t>
  </si>
  <si>
    <t>-2</t>
  </si>
  <si>
    <t>260</t>
  </si>
  <si>
    <t>65.83</t>
  </si>
  <si>
    <t>40.94</t>
  </si>
  <si>
    <t>15.13</t>
  </si>
  <si>
    <t>72.32</t>
  </si>
  <si>
    <t>121.39</t>
  </si>
  <si>
    <t>55.27</t>
  </si>
  <si>
    <t>00:25:36</t>
  </si>
  <si>
    <t>35.850121</t>
  </si>
  <si>
    <t>127.129730</t>
  </si>
  <si>
    <t>37.000000</t>
  </si>
  <si>
    <t>9</t>
  </si>
  <si>
    <t>1.040000</t>
  </si>
  <si>
    <t>0.022</t>
  </si>
  <si>
    <t>-0.082</t>
  </si>
  <si>
    <t>-0.070</t>
  </si>
  <si>
    <t>2.508100</t>
  </si>
  <si>
    <t>2.452619</t>
  </si>
  <si>
    <t>1.668404</t>
  </si>
  <si>
    <t>0.940150</t>
  </si>
  <si>
    <t>0.244080</t>
  </si>
  <si>
    <t>-0.017439</t>
  </si>
  <si>
    <t>0.141078</t>
  </si>
  <si>
    <t>0.402333</t>
  </si>
  <si>
    <t>0.000342</t>
  </si>
  <si>
    <t>25</t>
  </si>
  <si>
    <t>09:35:51</t>
  </si>
  <si>
    <t>2.044765</t>
  </si>
  <si>
    <t>1.910821</t>
  </si>
  <si>
    <t>18.841412</t>
  </si>
  <si>
    <t>20.162151</t>
  </si>
  <si>
    <t>PSF-01106_20260925093551_a8c</t>
  </si>
  <si>
    <t>118.781807</t>
  </si>
  <si>
    <t>471.621033</t>
  </si>
  <si>
    <t>0.748141</t>
  </si>
  <si>
    <t>52.45</t>
  </si>
  <si>
    <t>49.01</t>
  </si>
  <si>
    <t>28.46</t>
  </si>
  <si>
    <t>26.82</t>
  </si>
  <si>
    <t>101.42</t>
  </si>
  <si>
    <t>156.1</t>
  </si>
  <si>
    <t>141.8</t>
  </si>
  <si>
    <t>9.2</t>
  </si>
  <si>
    <t>322</t>
  </si>
  <si>
    <t>3.876</t>
  </si>
  <si>
    <t>-11</t>
  </si>
  <si>
    <t>338</t>
  </si>
  <si>
    <t>61.98</t>
  </si>
  <si>
    <t>46.97</t>
  </si>
  <si>
    <t>11.18</t>
  </si>
  <si>
    <t>168.37</t>
  </si>
  <si>
    <t>123.41</t>
  </si>
  <si>
    <t>53.73</t>
  </si>
  <si>
    <t>00:34:00</t>
  </si>
  <si>
    <t>35.850151</t>
  </si>
  <si>
    <t>127.129669</t>
  </si>
  <si>
    <t>40.099998</t>
  </si>
  <si>
    <t>0.690000</t>
  </si>
  <si>
    <t>09:28:32</t>
  </si>
  <si>
    <t>-1.02</t>
  </si>
  <si>
    <t>-0.008</t>
  </si>
  <si>
    <t>0.158</t>
  </si>
  <si>
    <t>0.717</t>
  </si>
  <si>
    <t>2.502865</t>
  </si>
  <si>
    <t>2.447140</t>
  </si>
  <si>
    <t>1.670651</t>
  </si>
  <si>
    <t>0.907810</t>
  </si>
  <si>
    <t>0.237654</t>
  </si>
  <si>
    <t>-0.018801</t>
  </si>
  <si>
    <t>0.204059</t>
  </si>
  <si>
    <t>0.387533</t>
  </si>
  <si>
    <t>0.000345</t>
  </si>
  <si>
    <t>26</t>
  </si>
  <si>
    <t>09:36:25</t>
  </si>
  <si>
    <t>2.073244</t>
  </si>
  <si>
    <t>1.955522</t>
  </si>
  <si>
    <t>19.282326</t>
  </si>
  <si>
    <t>20.443115</t>
  </si>
  <si>
    <t>PSF-01106_20260925093625_97c</t>
  </si>
  <si>
    <t>100.109337</t>
  </si>
  <si>
    <t>434.668793</t>
  </si>
  <si>
    <t>0.769688</t>
  </si>
  <si>
    <t>53.08</t>
  </si>
  <si>
    <t>50.07</t>
  </si>
  <si>
    <t>28.50</t>
  </si>
  <si>
    <t>26.91</t>
  </si>
  <si>
    <t>156.2</t>
  </si>
  <si>
    <t>152.0</t>
  </si>
  <si>
    <t>2.7</t>
  </si>
  <si>
    <t>299</t>
  </si>
  <si>
    <t>10</t>
  </si>
  <si>
    <t>344</t>
  </si>
  <si>
    <t>71.19</t>
  </si>
  <si>
    <t>32.24</t>
  </si>
  <si>
    <t>29.60</t>
  </si>
  <si>
    <t>-175.41</t>
  </si>
  <si>
    <t>00:34:33</t>
  </si>
  <si>
    <t>35.850147</t>
  </si>
  <si>
    <t>127.129684</t>
  </si>
  <si>
    <t>38.900002</t>
  </si>
  <si>
    <t>0.780000</t>
  </si>
  <si>
    <t>0.002</t>
  </si>
  <si>
    <t>-0.003</t>
  </si>
  <si>
    <t>-0.007</t>
  </si>
  <si>
    <t>-0.121</t>
  </si>
  <si>
    <t>2.504348</t>
  </si>
  <si>
    <t>2.447945</t>
  </si>
  <si>
    <t>1.671528</t>
  </si>
  <si>
    <t>0.933664</t>
  </si>
  <si>
    <t>0.237355</t>
  </si>
  <si>
    <t>-0.018106</t>
  </si>
  <si>
    <t>0.208095</t>
  </si>
  <si>
    <t>0.367814</t>
  </si>
  <si>
    <t>37</t>
  </si>
  <si>
    <t>09:46:11</t>
  </si>
  <si>
    <t>1.983318</t>
  </si>
  <si>
    <t>1.828559</t>
  </si>
  <si>
    <t>18.026104</t>
  </si>
  <si>
    <t>19.551737</t>
  </si>
  <si>
    <t>PSF-01106_20260925094611_091</t>
  </si>
  <si>
    <t>113.098381</t>
  </si>
  <si>
    <t>458.106995</t>
  </si>
  <si>
    <t>0.753118</t>
  </si>
  <si>
    <t>50.38</t>
  </si>
  <si>
    <t>46.44</t>
  </si>
  <si>
    <t>28.63</t>
  </si>
  <si>
    <t>26.24</t>
  </si>
  <si>
    <t>151.7</t>
  </si>
  <si>
    <t>2.8</t>
  </si>
  <si>
    <t>175</t>
  </si>
  <si>
    <t>3.863</t>
  </si>
  <si>
    <t>78.12</t>
  </si>
  <si>
    <t>20.58</t>
  </si>
  <si>
    <t>28.41</t>
  </si>
  <si>
    <t>152.56</t>
  </si>
  <si>
    <t>-0.79</t>
  </si>
  <si>
    <t>125.74</t>
  </si>
  <si>
    <t>52.07</t>
  </si>
  <si>
    <t>00:44:18</t>
  </si>
  <si>
    <t>35.850117</t>
  </si>
  <si>
    <t>36.599998</t>
  </si>
  <si>
    <t>16</t>
  </si>
  <si>
    <t>0.680000</t>
  </si>
  <si>
    <t>09:38:55</t>
  </si>
  <si>
    <t>-0.94</t>
  </si>
  <si>
    <t>0.007</t>
  </si>
  <si>
    <t>0.008</t>
  </si>
  <si>
    <t>-0.005</t>
  </si>
  <si>
    <t>-0.057</t>
  </si>
  <si>
    <t>2.499186</t>
  </si>
  <si>
    <t>2.444338</t>
  </si>
  <si>
    <t>1.671066</t>
  </si>
  <si>
    <t>0.932910</t>
  </si>
  <si>
    <t>0.236069</t>
  </si>
  <si>
    <t>-0.027760</t>
  </si>
  <si>
    <t>0.275774</t>
  </si>
  <si>
    <t>0.259896</t>
  </si>
  <si>
    <t>0.000348</t>
  </si>
  <si>
    <t>38</t>
  </si>
  <si>
    <t>09:46:56</t>
  </si>
  <si>
    <t>2.050152</t>
  </si>
  <si>
    <t>1.875003</t>
  </si>
  <si>
    <t>18.482901</t>
  </si>
  <si>
    <t>20.209440</t>
  </si>
  <si>
    <t>PSF-01106_20260925094656_a10</t>
  </si>
  <si>
    <t>98.877670</t>
  </si>
  <si>
    <t>443.767181</t>
  </si>
  <si>
    <t>0.777186</t>
  </si>
  <si>
    <t>52.09</t>
  </si>
  <si>
    <t>47.64</t>
  </si>
  <si>
    <t>25.96</t>
  </si>
  <si>
    <t>101.45</t>
  </si>
  <si>
    <t>154.7</t>
  </si>
  <si>
    <t>1.0</t>
  </si>
  <si>
    <t>176</t>
  </si>
  <si>
    <t>3.861</t>
  </si>
  <si>
    <t>-16</t>
  </si>
  <si>
    <t>341</t>
  </si>
  <si>
    <t>65.45</t>
  </si>
  <si>
    <t>41.54</t>
  </si>
  <si>
    <t>16.00</t>
  </si>
  <si>
    <t>161.00</t>
  </si>
  <si>
    <t>125.98</t>
  </si>
  <si>
    <t>00:45:05</t>
  </si>
  <si>
    <t>127.129715</t>
  </si>
  <si>
    <t>36.099998</t>
  </si>
  <si>
    <t>0.710000</t>
  </si>
  <si>
    <t>0.025</t>
  </si>
  <si>
    <t>-0.123</t>
  </si>
  <si>
    <t>-0.240</t>
  </si>
  <si>
    <t>2.500888</t>
  </si>
  <si>
    <t>2.446546</t>
  </si>
  <si>
    <t>1.671958</t>
  </si>
  <si>
    <t>0.940623</t>
  </si>
  <si>
    <t>0.236123</t>
  </si>
  <si>
    <t>-0.030992</t>
  </si>
  <si>
    <t>0.280788</t>
  </si>
  <si>
    <t>0.260777</t>
  </si>
  <si>
    <t>0.000347</t>
  </si>
  <si>
    <t>39</t>
  </si>
  <si>
    <t>09:48:22</t>
  </si>
  <si>
    <t>2.056362</t>
  </si>
  <si>
    <t>1.891337</t>
  </si>
  <si>
    <t>18.641348</t>
  </si>
  <si>
    <t>20.267862</t>
  </si>
  <si>
    <t>PSF-01106_20260925094822_8b6</t>
  </si>
  <si>
    <t>104.312538</t>
  </si>
  <si>
    <t>443.354126</t>
  </si>
  <si>
    <t>0.764720</t>
  </si>
  <si>
    <t>52.26</t>
  </si>
  <si>
    <t>48.07</t>
  </si>
  <si>
    <t>28.62</t>
  </si>
  <si>
    <t>26.00</t>
  </si>
  <si>
    <t>101.46</t>
  </si>
  <si>
    <t>155.9</t>
  </si>
  <si>
    <t>152.6</t>
  </si>
  <si>
    <t>2.2</t>
  </si>
  <si>
    <t>127</t>
  </si>
  <si>
    <t>3.859</t>
  </si>
  <si>
    <t>-40</t>
  </si>
  <si>
    <t>-17</t>
  </si>
  <si>
    <t>268</t>
  </si>
  <si>
    <t>77.50</t>
  </si>
  <si>
    <t>21.65</t>
  </si>
  <si>
    <t>42.90</t>
  </si>
  <si>
    <t>62.56</t>
  </si>
  <si>
    <t>126.22</t>
  </si>
  <si>
    <t>51.74</t>
  </si>
  <si>
    <t>00:46:28</t>
  </si>
  <si>
    <t>35.850201</t>
  </si>
  <si>
    <t>127.129631</t>
  </si>
  <si>
    <t>35.900002</t>
  </si>
  <si>
    <t>-0.045</t>
  </si>
  <si>
    <t>-0.214</t>
  </si>
  <si>
    <t>-0.492</t>
  </si>
  <si>
    <t>2.501494</t>
  </si>
  <si>
    <t>2.446765</t>
  </si>
  <si>
    <t>1.669562</t>
  </si>
  <si>
    <t>0.935261</t>
  </si>
  <si>
    <t>0.236160</t>
  </si>
  <si>
    <t>-0.030421</t>
  </si>
  <si>
    <t>0.290235</t>
  </si>
  <si>
    <t>0.217408</t>
  </si>
  <si>
    <t>3</t>
  </si>
  <si>
    <t>09:20:56</t>
  </si>
  <si>
    <t>ETc75</t>
  </si>
  <si>
    <t>1.901064</t>
  </si>
  <si>
    <t>1.791693</t>
  </si>
  <si>
    <t>17.666939</t>
  </si>
  <si>
    <t>18.745392</t>
  </si>
  <si>
    <t>PSF-01106_20260925092056_856</t>
  </si>
  <si>
    <t>114.263535</t>
  </si>
  <si>
    <t>433.647034</t>
  </si>
  <si>
    <t>0.736506</t>
  </si>
  <si>
    <t>52.99</t>
  </si>
  <si>
    <t>49.94</t>
  </si>
  <si>
    <t>27.04</t>
  </si>
  <si>
    <t>26.01</t>
  </si>
  <si>
    <t>152.9</t>
  </si>
  <si>
    <t>1.9</t>
  </si>
  <si>
    <t>405</t>
  </si>
  <si>
    <t>-13</t>
  </si>
  <si>
    <t>-1</t>
  </si>
  <si>
    <t>309</t>
  </si>
  <si>
    <t>13.04</t>
  </si>
  <si>
    <t>124.56</t>
  </si>
  <si>
    <t>-0.017</t>
  </si>
  <si>
    <t>-0.013</t>
  </si>
  <si>
    <t>0.071</t>
  </si>
  <si>
    <t>2.504444</t>
  </si>
  <si>
    <t>2.448075</t>
  </si>
  <si>
    <t>1.669335</t>
  </si>
  <si>
    <t>0.936009</t>
  </si>
  <si>
    <t>0.251443</t>
  </si>
  <si>
    <t>-0.011371</t>
  </si>
  <si>
    <t>0.086316</t>
  </si>
  <si>
    <t>0.459844</t>
  </si>
  <si>
    <t>4</t>
  </si>
  <si>
    <t>09:21:53</t>
  </si>
  <si>
    <t>1.986375</t>
  </si>
  <si>
    <t>1.816280</t>
  </si>
  <si>
    <t>17.906296</t>
  </si>
  <si>
    <t>19.583218</t>
  </si>
  <si>
    <t>PSF-01106_20260925092153_841</t>
  </si>
  <si>
    <t>103.231789</t>
  </si>
  <si>
    <t>411.859619</t>
  </si>
  <si>
    <t>0.749352</t>
  </si>
  <si>
    <t>55.11</t>
  </si>
  <si>
    <t>50.40</t>
  </si>
  <si>
    <t>27.12</t>
  </si>
  <si>
    <t>25.62</t>
  </si>
  <si>
    <t>155.3</t>
  </si>
  <si>
    <t>452</t>
  </si>
  <si>
    <t>3.897</t>
  </si>
  <si>
    <t>289</t>
  </si>
  <si>
    <t>45.88</t>
  </si>
  <si>
    <t>69.62</t>
  </si>
  <si>
    <t>-81.37</t>
  </si>
  <si>
    <t>120.30</t>
  </si>
  <si>
    <t>56.14</t>
  </si>
  <si>
    <t>00:20:02</t>
  </si>
  <si>
    <t>35.850212</t>
  </si>
  <si>
    <t>127.129700</t>
  </si>
  <si>
    <t>33.500000</t>
  </si>
  <si>
    <t>8</t>
  </si>
  <si>
    <t>1.100000</t>
  </si>
  <si>
    <t>0.028</t>
  </si>
  <si>
    <t>0.104</t>
  </si>
  <si>
    <t>-0.036</t>
  </si>
  <si>
    <t>2.505075</t>
  </si>
  <si>
    <t>2.450787</t>
  </si>
  <si>
    <t>1.671022</t>
  </si>
  <si>
    <t>0.942260</t>
  </si>
  <si>
    <t>0.250676</t>
  </si>
  <si>
    <t>-0.016892</t>
  </si>
  <si>
    <t>0.094952</t>
  </si>
  <si>
    <t>0.501526</t>
  </si>
  <si>
    <t>0.000332</t>
  </si>
  <si>
    <t>15</t>
  </si>
  <si>
    <t>09:28:17</t>
  </si>
  <si>
    <t>2.043359</t>
  </si>
  <si>
    <t>1.866688</t>
  </si>
  <si>
    <t>18.406244</t>
  </si>
  <si>
    <t>20.148293</t>
  </si>
  <si>
    <t>PSF-01106_20260925092817_ae7</t>
  </si>
  <si>
    <t>93.531487</t>
  </si>
  <si>
    <t>391.994110</t>
  </si>
  <si>
    <t>0.761396</t>
  </si>
  <si>
    <t>54.21</t>
  </si>
  <si>
    <t>49.52</t>
  </si>
  <si>
    <t>27.89</t>
  </si>
  <si>
    <t>26.11</t>
  </si>
  <si>
    <t>152.5</t>
  </si>
  <si>
    <t>2.3</t>
  </si>
  <si>
    <t>342</t>
  </si>
  <si>
    <t>3.888</t>
  </si>
  <si>
    <t>-27</t>
  </si>
  <si>
    <t>96</t>
  </si>
  <si>
    <t>31.61</t>
  </si>
  <si>
    <t>85.16</t>
  </si>
  <si>
    <t>27.02</t>
  </si>
  <si>
    <t>-81.80</t>
  </si>
  <si>
    <t>121.61</t>
  </si>
  <si>
    <t>55.10</t>
  </si>
  <si>
    <t>00:26:22</t>
  </si>
  <si>
    <t>35.850128</t>
  </si>
  <si>
    <t>127.129646</t>
  </si>
  <si>
    <t>37.900002</t>
  </si>
  <si>
    <t>0.840000</t>
  </si>
  <si>
    <t>0.029</t>
  </si>
  <si>
    <t>0.131</t>
  </si>
  <si>
    <t>2.503691</t>
  </si>
  <si>
    <t>2.449484</t>
  </si>
  <si>
    <t>1.670974</t>
  </si>
  <si>
    <t>0.935070</t>
  </si>
  <si>
    <t>0.243158</t>
  </si>
  <si>
    <t>-0.020291</t>
  </si>
  <si>
    <t>0.147580</t>
  </si>
  <si>
    <t>0.404967</t>
  </si>
  <si>
    <t>0.000343</t>
  </si>
  <si>
    <t>09:29:03</t>
  </si>
  <si>
    <t>1.977829</t>
  </si>
  <si>
    <t>1.874286</t>
  </si>
  <si>
    <t>18.482121</t>
  </si>
  <si>
    <t>19.503149</t>
  </si>
  <si>
    <t>PSF-01106_20260925092903_c0f</t>
  </si>
  <si>
    <t>115.462303</t>
  </si>
  <si>
    <t>459.631561</t>
  </si>
  <si>
    <t>0.748794</t>
  </si>
  <si>
    <t>52.12</t>
  </si>
  <si>
    <t>49.39</t>
  </si>
  <si>
    <t>28.00</t>
  </si>
  <si>
    <t>26.93</t>
  </si>
  <si>
    <t>149.5</t>
  </si>
  <si>
    <t>4.1</t>
  </si>
  <si>
    <t>3.887</t>
  </si>
  <si>
    <t>147</t>
  </si>
  <si>
    <t>36.48</t>
  </si>
  <si>
    <t>80.41</t>
  </si>
  <si>
    <t>22.02</t>
  </si>
  <si>
    <t>-30.33</t>
  </si>
  <si>
    <t>121.83</t>
  </si>
  <si>
    <t>54.93</t>
  </si>
  <si>
    <t>00:27:11</t>
  </si>
  <si>
    <t>35.850163</t>
  </si>
  <si>
    <t>39.000000</t>
  </si>
  <si>
    <t>1.050000</t>
  </si>
  <si>
    <t>-0.119</t>
  </si>
  <si>
    <t>-0.207</t>
  </si>
  <si>
    <t>-0.338</t>
  </si>
  <si>
    <t>2.503493</t>
  </si>
  <si>
    <t>2.446806</t>
  </si>
  <si>
    <t>1.669413</t>
  </si>
  <si>
    <t>0.927369</t>
  </si>
  <si>
    <t>0.242072</t>
  </si>
  <si>
    <t>-0.011922</t>
  </si>
  <si>
    <t>0.153577</t>
  </si>
  <si>
    <t>0.402162</t>
  </si>
  <si>
    <t>0.000352</t>
  </si>
  <si>
    <t>27</t>
  </si>
  <si>
    <t>09:37:04</t>
  </si>
  <si>
    <t>1.975252</t>
  </si>
  <si>
    <t>1.879997</t>
  </si>
  <si>
    <t>18.538164</t>
  </si>
  <si>
    <t>19.477453</t>
  </si>
  <si>
    <t>PSF-01106_20260925093704_18b</t>
  </si>
  <si>
    <t>112.233643</t>
  </si>
  <si>
    <t>429.492828</t>
  </si>
  <si>
    <t>0.738683</t>
  </si>
  <si>
    <t>50.47</t>
  </si>
  <si>
    <t>48.04</t>
  </si>
  <si>
    <t>28.53</t>
  </si>
  <si>
    <t>27.15</t>
  </si>
  <si>
    <t>155.4</t>
  </si>
  <si>
    <t>314</t>
  </si>
  <si>
    <t>285</t>
  </si>
  <si>
    <t>63.56</t>
  </si>
  <si>
    <t>44.53</t>
  </si>
  <si>
    <t>26.42</t>
  </si>
  <si>
    <t>123.63</t>
  </si>
  <si>
    <t>53.56</t>
  </si>
  <si>
    <t>00:35:13</t>
  </si>
  <si>
    <t>35.850208</t>
  </si>
  <si>
    <t>39.099998</t>
  </si>
  <si>
    <t>-0.058</t>
  </si>
  <si>
    <t>-0.103</t>
  </si>
  <si>
    <t>0.130</t>
  </si>
  <si>
    <t>2.501472</t>
  </si>
  <si>
    <t>2.444586</t>
  </si>
  <si>
    <t>1.671306</t>
  </si>
  <si>
    <t>0.942398</t>
  </si>
  <si>
    <t>0.237036</t>
  </si>
  <si>
    <t>-0.015706</t>
  </si>
  <si>
    <t>0.212757</t>
  </si>
  <si>
    <t>0.380630</t>
  </si>
  <si>
    <t>0.000344</t>
  </si>
  <si>
    <t>28</t>
  </si>
  <si>
    <t>09:38:01</t>
  </si>
  <si>
    <t>2.009834</t>
  </si>
  <si>
    <t>1.870314</t>
  </si>
  <si>
    <t>18.442997</t>
  </si>
  <si>
    <t>19.818796</t>
  </si>
  <si>
    <t>PSF-01106_20260925093801_5c7</t>
  </si>
  <si>
    <t>116.231201</t>
  </si>
  <si>
    <t>461.402527</t>
  </si>
  <si>
    <t>0.748092</t>
  </si>
  <si>
    <t>51.29</t>
  </si>
  <si>
    <t>47.73</t>
  </si>
  <si>
    <t>28.55</t>
  </si>
  <si>
    <t>26.61</t>
  </si>
  <si>
    <t>132.6</t>
  </si>
  <si>
    <t>15.1</t>
  </si>
  <si>
    <t>3.874</t>
  </si>
  <si>
    <t>323</t>
  </si>
  <si>
    <t>67.69</t>
  </si>
  <si>
    <t>37.97</t>
  </si>
  <si>
    <t>15.00</t>
  </si>
  <si>
    <t>143.00</t>
  </si>
  <si>
    <t>123.86</t>
  </si>
  <si>
    <t>53.40</t>
  </si>
  <si>
    <t>00:36:10</t>
  </si>
  <si>
    <t>35.850216</t>
  </si>
  <si>
    <t>127.129738</t>
  </si>
  <si>
    <t>0.720000</t>
  </si>
  <si>
    <t>-0.080</t>
  </si>
  <si>
    <t>-0.198</t>
  </si>
  <si>
    <t>-0.339</t>
  </si>
  <si>
    <t>2.501023</t>
  </si>
  <si>
    <t>2.445629</t>
  </si>
  <si>
    <t>1.671225</t>
  </si>
  <si>
    <t>0.884882</t>
  </si>
  <si>
    <t>0.236814</t>
  </si>
  <si>
    <t>-0.022380</t>
  </si>
  <si>
    <t>0.219428</t>
  </si>
  <si>
    <t>0.410749</t>
  </si>
  <si>
    <t>40</t>
  </si>
  <si>
    <t>09:49:15</t>
  </si>
  <si>
    <t>1.980506</t>
  </si>
  <si>
    <t>1.854809</t>
  </si>
  <si>
    <t>18.280012</t>
  </si>
  <si>
    <t>19.518814</t>
  </si>
  <si>
    <t>PSF-01106_20260925094915_8e2</t>
  </si>
  <si>
    <t>92.118858</t>
  </si>
  <si>
    <t>407.654297</t>
  </si>
  <si>
    <t>0.774027</t>
  </si>
  <si>
    <t>50.39</t>
  </si>
  <si>
    <t>47.19</t>
  </si>
  <si>
    <t>28.60</t>
  </si>
  <si>
    <t>26.69</t>
  </si>
  <si>
    <t>101.47</t>
  </si>
  <si>
    <t>146.1</t>
  </si>
  <si>
    <t>6.4</t>
  </si>
  <si>
    <t>122</t>
  </si>
  <si>
    <t>3.858</t>
  </si>
  <si>
    <t>-21</t>
  </si>
  <si>
    <t>-33</t>
  </si>
  <si>
    <t>142</t>
  </si>
  <si>
    <t>34.13</t>
  </si>
  <si>
    <t>82.77</t>
  </si>
  <si>
    <t>38.47</t>
  </si>
  <si>
    <t>-99.11</t>
  </si>
  <si>
    <t>126.46</t>
  </si>
  <si>
    <t>51.58</t>
  </si>
  <si>
    <t>00:47:24</t>
  </si>
  <si>
    <t>35.850155</t>
  </si>
  <si>
    <t>127.129601</t>
  </si>
  <si>
    <t>36.900002</t>
  </si>
  <si>
    <t>0.013</t>
  </si>
  <si>
    <t>2.500254</t>
  </si>
  <si>
    <t>2.444361</t>
  </si>
  <si>
    <t>1.670133</t>
  </si>
  <si>
    <t>0.918667</t>
  </si>
  <si>
    <t>0.236341</t>
  </si>
  <si>
    <t>-0.022058</t>
  </si>
  <si>
    <t>0.295935</t>
  </si>
  <si>
    <t>0.213830</t>
  </si>
  <si>
    <t>0.000349</t>
  </si>
  <si>
    <t>41</t>
  </si>
  <si>
    <t>09:49:56</t>
  </si>
  <si>
    <t>1.963764</t>
  </si>
  <si>
    <t>1.842523</t>
  </si>
  <si>
    <t>18.159159</t>
  </si>
  <si>
    <t>19.354057</t>
  </si>
  <si>
    <t>PSF-01106_20260925094956_51c</t>
  </si>
  <si>
    <t>96.561310</t>
  </si>
  <si>
    <t>437.167511</t>
  </si>
  <si>
    <t>0.779121</t>
  </si>
  <si>
    <t>46.86</t>
  </si>
  <si>
    <t>28.61</t>
  </si>
  <si>
    <t>26.72</t>
  </si>
  <si>
    <t>153.3</t>
  </si>
  <si>
    <t>1.8</t>
  </si>
  <si>
    <t>126</t>
  </si>
  <si>
    <t>3.857</t>
  </si>
  <si>
    <t>-31</t>
  </si>
  <si>
    <t>129</t>
  </si>
  <si>
    <t>23.98</t>
  </si>
  <si>
    <t>91.37</t>
  </si>
  <si>
    <t>32.71</t>
  </si>
  <si>
    <t>-30.32</t>
  </si>
  <si>
    <t>126.71</t>
  </si>
  <si>
    <t>51.41</t>
  </si>
  <si>
    <t>00:48:05</t>
  </si>
  <si>
    <t>35.850174</t>
  </si>
  <si>
    <t>127.129623</t>
  </si>
  <si>
    <t>37.099998</t>
  </si>
  <si>
    <t>12</t>
  </si>
  <si>
    <t>0.890000</t>
  </si>
  <si>
    <t>09:49:30</t>
  </si>
  <si>
    <t>-0.88</t>
  </si>
  <si>
    <t>-0.027</t>
  </si>
  <si>
    <t>-0.109</t>
  </si>
  <si>
    <t>-0.181</t>
  </si>
  <si>
    <t>2.499783</t>
  </si>
  <si>
    <t>2.443715</t>
  </si>
  <si>
    <t>1.670202</t>
  </si>
  <si>
    <t>0.937052</t>
  </si>
  <si>
    <t>0.236280</t>
  </si>
  <si>
    <t>-0.021855</t>
  </si>
  <si>
    <t>0.300308</t>
  </si>
  <si>
    <t>0.217164</t>
  </si>
  <si>
    <t>42</t>
  </si>
  <si>
    <t>09:50:25</t>
  </si>
  <si>
    <t>1.912868</t>
  </si>
  <si>
    <t>1.831109</t>
  </si>
  <si>
    <t>18.045198</t>
  </si>
  <si>
    <t>18.850910</t>
  </si>
  <si>
    <t>PSF-01106_20260925095025_458</t>
  </si>
  <si>
    <t>112.773659</t>
  </si>
  <si>
    <t>472.000488</t>
  </si>
  <si>
    <t>0.761073</t>
  </si>
  <si>
    <t>48.67</t>
  </si>
  <si>
    <t>46.59</t>
  </si>
  <si>
    <t>150.8</t>
  </si>
  <si>
    <t>3.4</t>
  </si>
  <si>
    <t>107</t>
  </si>
  <si>
    <t>3.856</t>
  </si>
  <si>
    <t>-20</t>
  </si>
  <si>
    <t>47</t>
  </si>
  <si>
    <t>104</t>
  </si>
  <si>
    <t>37.95</t>
  </si>
  <si>
    <t>78.86</t>
  </si>
  <si>
    <t>50.14</t>
  </si>
  <si>
    <t>-3.69</t>
  </si>
  <si>
    <t>00:48:34</t>
  </si>
  <si>
    <t>127.129639</t>
  </si>
  <si>
    <t>37.200001</t>
  </si>
  <si>
    <t>0.810000</t>
  </si>
  <si>
    <t>-0.016</t>
  </si>
  <si>
    <t>0.092</t>
  </si>
  <si>
    <t>0.295</t>
  </si>
  <si>
    <t>2.499402</t>
  </si>
  <si>
    <t>2.442071</t>
  </si>
  <si>
    <t>1.671140</t>
  </si>
  <si>
    <t>0.930789</t>
  </si>
  <si>
    <t>0.236355</t>
  </si>
  <si>
    <t>-0.018881</t>
  </si>
  <si>
    <t>0.303449</t>
  </si>
  <si>
    <t>0.199984</t>
  </si>
  <si>
    <t>09:22:18</t>
  </si>
  <si>
    <t>ETc50</t>
  </si>
  <si>
    <t>1.881356</t>
  </si>
  <si>
    <t>1.829832</t>
  </si>
  <si>
    <t>18.039104</t>
  </si>
  <si>
    <t>18.547045</t>
  </si>
  <si>
    <t>PSF-01106_20260925092218_6c8</t>
  </si>
  <si>
    <t>113.061188</t>
  </si>
  <si>
    <t>466.568115</t>
  </si>
  <si>
    <t>0.757675</t>
  </si>
  <si>
    <t>52.08</t>
  </si>
  <si>
    <t>50.65</t>
  </si>
  <si>
    <t>27.16</t>
  </si>
  <si>
    <t>26.60</t>
  </si>
  <si>
    <t>152.7</t>
  </si>
  <si>
    <t>3.873</t>
  </si>
  <si>
    <t>116</t>
  </si>
  <si>
    <t>37.82</t>
  </si>
  <si>
    <t>78.99</t>
  </si>
  <si>
    <t>41.65</t>
  </si>
  <si>
    <t>-107.09</t>
  </si>
  <si>
    <t>00:20:26</t>
  </si>
  <si>
    <t>35.850224</t>
  </si>
  <si>
    <t>127.129677</t>
  </si>
  <si>
    <t>33.799999</t>
  </si>
  <si>
    <t>-1.571</t>
  </si>
  <si>
    <t>2.505430</t>
  </si>
  <si>
    <t>2.446887</t>
  </si>
  <si>
    <t>1.670892</t>
  </si>
  <si>
    <t>0.935451</t>
  </si>
  <si>
    <t>0.250278</t>
  </si>
  <si>
    <t>-0.005756</t>
  </si>
  <si>
    <t>0.098527</t>
  </si>
  <si>
    <t>0.380792</t>
  </si>
  <si>
    <t>6</t>
  </si>
  <si>
    <t>09:22:35</t>
  </si>
  <si>
    <t>1.882902</t>
  </si>
  <si>
    <t>1.841590</t>
  </si>
  <si>
    <t>18.155685</t>
  </si>
  <si>
    <t>18.562962</t>
  </si>
  <si>
    <t>PSF-01106_20260925092235_787</t>
  </si>
  <si>
    <t>109.654427</t>
  </si>
  <si>
    <t>420.041443</t>
  </si>
  <si>
    <t>0.738944</t>
  </si>
  <si>
    <t>52.02</t>
  </si>
  <si>
    <t>50.88</t>
  </si>
  <si>
    <t>27.19</t>
  </si>
  <si>
    <t>27.31</t>
  </si>
  <si>
    <t>151.3</t>
  </si>
  <si>
    <t>2.9</t>
  </si>
  <si>
    <t>388</t>
  </si>
  <si>
    <t>-26</t>
  </si>
  <si>
    <t>130</t>
  </si>
  <si>
    <t>30.24</t>
  </si>
  <si>
    <t>86.40</t>
  </si>
  <si>
    <t>26.07</t>
  </si>
  <si>
    <t>-54.55</t>
  </si>
  <si>
    <t>00:20:44</t>
  </si>
  <si>
    <t>127.129707</t>
  </si>
  <si>
    <t>1.080000</t>
  </si>
  <si>
    <t>-9999.000</t>
  </si>
  <si>
    <t>-0.466</t>
  </si>
  <si>
    <t>-0.968</t>
  </si>
  <si>
    <t>2.505743</t>
  </si>
  <si>
    <t>1.669242</t>
  </si>
  <si>
    <t>0.932073</t>
  </si>
  <si>
    <t>0.249948</t>
  </si>
  <si>
    <t>0.002299</t>
  </si>
  <si>
    <t>0.101038</t>
  </si>
  <si>
    <t>0.445464</t>
  </si>
  <si>
    <t>17</t>
  </si>
  <si>
    <t>09:29:38</t>
  </si>
  <si>
    <t>1.893614</t>
  </si>
  <si>
    <t>1.821602</t>
  </si>
  <si>
    <t>17.962528</t>
  </si>
  <si>
    <t>18.672621</t>
  </si>
  <si>
    <t>PSF-01106_20260925092938_524</t>
  </si>
  <si>
    <t>101.802353</t>
  </si>
  <si>
    <t>410.205963</t>
  </si>
  <si>
    <t>0.751826</t>
  </si>
  <si>
    <t>49.73</t>
  </si>
  <si>
    <t>47.84</t>
  </si>
  <si>
    <t>28.06</t>
  </si>
  <si>
    <t>148.1</t>
  </si>
  <si>
    <t>5.0</t>
  </si>
  <si>
    <t>326</t>
  </si>
  <si>
    <t>3.879</t>
  </si>
  <si>
    <t>-9</t>
  </si>
  <si>
    <t>-6</t>
  </si>
  <si>
    <t>103</t>
  </si>
  <si>
    <t>48.90</t>
  </si>
  <si>
    <t>65.73</t>
  </si>
  <si>
    <t>10.80</t>
  </si>
  <si>
    <t>-110.90</t>
  </si>
  <si>
    <t>00:27:46</t>
  </si>
  <si>
    <t>35.850231</t>
  </si>
  <si>
    <t>127.129753</t>
  </si>
  <si>
    <t>40.000000</t>
  </si>
  <si>
    <t>0.072</t>
  </si>
  <si>
    <t>0.125</t>
  </si>
  <si>
    <t>2.501279</t>
  </si>
  <si>
    <t>1.669538</t>
  </si>
  <si>
    <t>0.923806</t>
  </si>
  <si>
    <t>0.241505</t>
  </si>
  <si>
    <t>-0.010314</t>
  </si>
  <si>
    <t>0.157982</t>
  </si>
  <si>
    <t>0.391105</t>
  </si>
  <si>
    <t>18</t>
  </si>
  <si>
    <t>09:30:15</t>
  </si>
  <si>
    <t>1.979923</t>
  </si>
  <si>
    <t>1.828233</t>
  </si>
  <si>
    <t>18.028404</t>
  </si>
  <si>
    <t>19.524231</t>
  </si>
  <si>
    <t>PSF-01106_20260925093015_0af</t>
  </si>
  <si>
    <t>98.508957</t>
  </si>
  <si>
    <t>413.758270</t>
  </si>
  <si>
    <t>0.761917</t>
  </si>
  <si>
    <t>51.89</t>
  </si>
  <si>
    <t>47.92</t>
  </si>
  <si>
    <t>28.09</t>
  </si>
  <si>
    <t>26.37</t>
  </si>
  <si>
    <t>151.5</t>
  </si>
  <si>
    <t>3.0</t>
  </si>
  <si>
    <t>319</t>
  </si>
  <si>
    <t>3.885</t>
  </si>
  <si>
    <t>-12</t>
  </si>
  <si>
    <t>123</t>
  </si>
  <si>
    <t>42.76</t>
  </si>
  <si>
    <t>73.42</t>
  </si>
  <si>
    <t>12.00</t>
  </si>
  <si>
    <t>-57.00</t>
  </si>
  <si>
    <t>122.05</t>
  </si>
  <si>
    <t>54.75</t>
  </si>
  <si>
    <t>00:28:24</t>
  </si>
  <si>
    <t>35.850235</t>
  </si>
  <si>
    <t>127.129745</t>
  </si>
  <si>
    <t>40.299999</t>
  </si>
  <si>
    <t>-0.152</t>
  </si>
  <si>
    <t>-0.169</t>
  </si>
  <si>
    <t>2.501384</t>
  </si>
  <si>
    <t>2.446496</t>
  </si>
  <si>
    <t>1.670844</t>
  </si>
  <si>
    <t>0.932364</t>
  </si>
  <si>
    <t>0.241177</t>
  </si>
  <si>
    <t>-0.019647</t>
  </si>
  <si>
    <t>0.162687</t>
  </si>
  <si>
    <t>0.385537</t>
  </si>
  <si>
    <t>29</t>
  </si>
  <si>
    <t>09:38:41</t>
  </si>
  <si>
    <t>2.045148</t>
  </si>
  <si>
    <t>1.865644</t>
  </si>
  <si>
    <t>18.396496</t>
  </si>
  <si>
    <t>20.166529</t>
  </si>
  <si>
    <t>PSF-01106_20260925093841_b9f</t>
  </si>
  <si>
    <t>94.238876</t>
  </si>
  <si>
    <t>408.990387</t>
  </si>
  <si>
    <t>0.769582</t>
  </si>
  <si>
    <t>52.15</t>
  </si>
  <si>
    <t>47.57</t>
  </si>
  <si>
    <t>28.57</t>
  </si>
  <si>
    <t>25.87</t>
  </si>
  <si>
    <t>152.1</t>
  </si>
  <si>
    <t>2.6</t>
  </si>
  <si>
    <t>69</t>
  </si>
  <si>
    <t>41.00</t>
  </si>
  <si>
    <t>75.47</t>
  </si>
  <si>
    <t>28.02</t>
  </si>
  <si>
    <t>-108.87</t>
  </si>
  <si>
    <t>00:36:50</t>
  </si>
  <si>
    <t>35.850204</t>
  </si>
  <si>
    <t>39.799999</t>
  </si>
  <si>
    <t>0.730000</t>
  </si>
  <si>
    <t>-0.145</t>
  </si>
  <si>
    <t>-0.122</t>
  </si>
  <si>
    <t>-0.283</t>
  </si>
  <si>
    <t>2.500803</t>
  </si>
  <si>
    <t>2.446738</t>
  </si>
  <si>
    <t>1.671236</t>
  </si>
  <si>
    <t>0.933970</t>
  </si>
  <si>
    <t>0.236700</t>
  </si>
  <si>
    <t>-0.031248</t>
  </si>
  <si>
    <t>0.224162</t>
  </si>
  <si>
    <t>0.372684</t>
  </si>
  <si>
    <t>30</t>
  </si>
  <si>
    <t>09:39:15</t>
  </si>
  <si>
    <t>2.010945</t>
  </si>
  <si>
    <t>1.867895</t>
  </si>
  <si>
    <t>18.418739</t>
  </si>
  <si>
    <t>19.829311</t>
  </si>
  <si>
    <t>PSF-01106_20260925093915_3e7</t>
  </si>
  <si>
    <t>104.584694</t>
  </si>
  <si>
    <t>432.970032</t>
  </si>
  <si>
    <t>0.758448</t>
  </si>
  <si>
    <t>51.21</t>
  </si>
  <si>
    <t>28.59</t>
  </si>
  <si>
    <t>26.28</t>
  </si>
  <si>
    <t>153.8</t>
  </si>
  <si>
    <t>1.5</t>
  </si>
  <si>
    <t>3.872</t>
  </si>
  <si>
    <t>-29</t>
  </si>
  <si>
    <t>61.74</t>
  </si>
  <si>
    <t>47.35</t>
  </si>
  <si>
    <t>29.56</t>
  </si>
  <si>
    <t>-152.77</t>
  </si>
  <si>
    <t>124.10</t>
  </si>
  <si>
    <t>53.23</t>
  </si>
  <si>
    <t>00:37:24</t>
  </si>
  <si>
    <t>35.850220</t>
  </si>
  <si>
    <t>39.700001</t>
  </si>
  <si>
    <t>-0.076</t>
  </si>
  <si>
    <t>-0.276</t>
  </si>
  <si>
    <t>-0.474</t>
  </si>
  <si>
    <t>2.500797</t>
  </si>
  <si>
    <t>2.445426</t>
  </si>
  <si>
    <t>1.671071</t>
  </si>
  <si>
    <t>0.938485</t>
  </si>
  <si>
    <t>0.236498</t>
  </si>
  <si>
    <t>-0.026708</t>
  </si>
  <si>
    <t>0.228032</t>
  </si>
  <si>
    <t>0.373178</t>
  </si>
  <si>
    <t>43</t>
  </si>
  <si>
    <t>09:51:17</t>
  </si>
  <si>
    <t>2.007495</t>
  </si>
  <si>
    <t>1.855487</t>
  </si>
  <si>
    <t>18.286158</t>
  </si>
  <si>
    <t>19.784224</t>
  </si>
  <si>
    <t>PSF-01106_20260925095117_b86</t>
  </si>
  <si>
    <t>92.282295</t>
  </si>
  <si>
    <t>412.700043</t>
  </si>
  <si>
    <t>0.776394</t>
  </si>
  <si>
    <t>51.19</t>
  </si>
  <si>
    <t>47.31</t>
  </si>
  <si>
    <t>26.03</t>
  </si>
  <si>
    <t>141.7</t>
  </si>
  <si>
    <t>117</t>
  </si>
  <si>
    <t>3.854</t>
  </si>
  <si>
    <t>32.00</t>
  </si>
  <si>
    <t>84.81</t>
  </si>
  <si>
    <t>23.59</t>
  </si>
  <si>
    <t>-81.48</t>
  </si>
  <si>
    <t>126.95</t>
  </si>
  <si>
    <t>51.25</t>
  </si>
  <si>
    <t>00:49:26</t>
  </si>
  <si>
    <t>36.500000</t>
  </si>
  <si>
    <t>0.740000</t>
  </si>
  <si>
    <t>-0.024</t>
  </si>
  <si>
    <t>0.026</t>
  </si>
  <si>
    <t>0.182</t>
  </si>
  <si>
    <t>2.500435</t>
  </si>
  <si>
    <t>2.445328</t>
  </si>
  <si>
    <t>1.670824</t>
  </si>
  <si>
    <t>0.907704</t>
  </si>
  <si>
    <t>-0.029395</t>
  </si>
  <si>
    <t>0.309036</t>
  </si>
  <si>
    <t>0.208672</t>
  </si>
  <si>
    <t>44</t>
  </si>
  <si>
    <t>09:52:06</t>
  </si>
  <si>
    <t>1.946652</t>
  </si>
  <si>
    <t>1.838523</t>
  </si>
  <si>
    <t>18.118567</t>
  </si>
  <si>
    <t>19.184181</t>
  </si>
  <si>
    <t>PSF-01106_20260925095206_265</t>
  </si>
  <si>
    <t>120.030640</t>
  </si>
  <si>
    <t>525.799866</t>
  </si>
  <si>
    <t>0.771718</t>
  </si>
  <si>
    <t>49.75</t>
  </si>
  <si>
    <t>46.98</t>
  </si>
  <si>
    <t>26.46</t>
  </si>
  <si>
    <t>146.6</t>
  </si>
  <si>
    <t>6.1</t>
  </si>
  <si>
    <t>113</t>
  </si>
  <si>
    <t>3.853</t>
  </si>
  <si>
    <t>136</t>
  </si>
  <si>
    <t>35.97</t>
  </si>
  <si>
    <t>80.94</t>
  </si>
  <si>
    <t>-51.68</t>
  </si>
  <si>
    <t>127.19</t>
  </si>
  <si>
    <t>51.09</t>
  </si>
  <si>
    <t>00:50:15</t>
  </si>
  <si>
    <t>35.850246</t>
  </si>
  <si>
    <t>37.700001</t>
  </si>
  <si>
    <t>0.750000</t>
  </si>
  <si>
    <t>-0.452</t>
  </si>
  <si>
    <t>0.231</t>
  </si>
  <si>
    <t>0.411</t>
  </si>
  <si>
    <t>2.499970</t>
  </si>
  <si>
    <t>2.443472</t>
  </si>
  <si>
    <t>1.671162</t>
  </si>
  <si>
    <t>0.920087</t>
  </si>
  <si>
    <t>0.237048</t>
  </si>
  <si>
    <t>-0.023940</t>
  </si>
  <si>
    <t>0.314298</t>
  </si>
  <si>
    <t>0.205384</t>
  </si>
  <si>
    <t>45</t>
  </si>
  <si>
    <t>09:52:55</t>
  </si>
  <si>
    <t>1.977908</t>
  </si>
  <si>
    <t>1.839836</t>
  </si>
  <si>
    <t>18.132042</t>
  </si>
  <si>
    <t>19.492777</t>
  </si>
  <si>
    <t>PSF-01106_20260925095255_2c9</t>
  </si>
  <si>
    <t>101.094246</t>
  </si>
  <si>
    <t>462.702148</t>
  </si>
  <si>
    <t>0.781513</t>
  </si>
  <si>
    <t>50.68</t>
  </si>
  <si>
    <t>47.14</t>
  </si>
  <si>
    <t>28.48</t>
  </si>
  <si>
    <t>112</t>
  </si>
  <si>
    <t>-32</t>
  </si>
  <si>
    <t>-35</t>
  </si>
  <si>
    <t>102</t>
  </si>
  <si>
    <t>56.57</t>
  </si>
  <si>
    <t>55.09</t>
  </si>
  <si>
    <t>46.00</t>
  </si>
  <si>
    <t>-130.88</t>
  </si>
  <si>
    <t>127.44</t>
  </si>
  <si>
    <t>50.93</t>
  </si>
  <si>
    <t>00:51:04</t>
  </si>
  <si>
    <t>35.850262</t>
  </si>
  <si>
    <t>127.129761</t>
  </si>
  <si>
    <t>-0.149</t>
  </si>
  <si>
    <t>-0.305</t>
  </si>
  <si>
    <t>2.500204</t>
  </si>
  <si>
    <t>2.444684</t>
  </si>
  <si>
    <t>1.670683</t>
  </si>
  <si>
    <t>0.237476</t>
  </si>
  <si>
    <t>-0.029208</t>
  </si>
  <si>
    <t>0.319390</t>
  </si>
  <si>
    <t>0.204690</t>
  </si>
  <si>
    <t>7</t>
  </si>
  <si>
    <t>09:23:22</t>
  </si>
  <si>
    <t>ETc25</t>
  </si>
  <si>
    <t>2.004436</t>
  </si>
  <si>
    <t>1.834218</t>
  </si>
  <si>
    <t>18.084743</t>
  </si>
  <si>
    <t>19.763029</t>
  </si>
  <si>
    <t>PSF-01106_20260925092322_765</t>
  </si>
  <si>
    <t>107.772232</t>
  </si>
  <si>
    <t>428.308716</t>
  </si>
  <si>
    <t>0.748377</t>
  </si>
  <si>
    <t>55.08</t>
  </si>
  <si>
    <t>27.28</t>
  </si>
  <si>
    <t>25.47</t>
  </si>
  <si>
    <t>5.1</t>
  </si>
  <si>
    <t>413</t>
  </si>
  <si>
    <t>3.895</t>
  </si>
  <si>
    <t>73.55</t>
  </si>
  <si>
    <t>28.32</t>
  </si>
  <si>
    <t>20.85</t>
  </si>
  <si>
    <t>156.08</t>
  </si>
  <si>
    <t>120.52</t>
  </si>
  <si>
    <t>55.96</t>
  </si>
  <si>
    <t>00:21:31</t>
  </si>
  <si>
    <t>35.850178</t>
  </si>
  <si>
    <t>37.299999</t>
  </si>
  <si>
    <t>1.170000</t>
  </si>
  <si>
    <t>0.005</t>
  </si>
  <si>
    <t>-0.031</t>
  </si>
  <si>
    <t>-0.049</t>
  </si>
  <si>
    <t>2.505052</t>
  </si>
  <si>
    <t>2.450710</t>
  </si>
  <si>
    <t>1.671220</t>
  </si>
  <si>
    <t>0.923874</t>
  </si>
  <si>
    <t>0.249033</t>
  </si>
  <si>
    <t>-0.020593</t>
  </si>
  <si>
    <t>0.107725</t>
  </si>
  <si>
    <t>0.467232</t>
  </si>
  <si>
    <t>09:23:38</t>
  </si>
  <si>
    <t>1.902854</t>
  </si>
  <si>
    <t>1.840174</t>
  </si>
  <si>
    <t>18.143557</t>
  </si>
  <si>
    <t>18.761560</t>
  </si>
  <si>
    <t>PSF-01106_20260925092338_061</t>
  </si>
  <si>
    <t>99.587563</t>
  </si>
  <si>
    <t>392.307037</t>
  </si>
  <si>
    <t>0.746149</t>
  </si>
  <si>
    <t>52.19</t>
  </si>
  <si>
    <t>27.32</t>
  </si>
  <si>
    <t>144.5</t>
  </si>
  <si>
    <t>7.4</t>
  </si>
  <si>
    <t>363</t>
  </si>
  <si>
    <t>3.871</t>
  </si>
  <si>
    <t>-25</t>
  </si>
  <si>
    <t>252</t>
  </si>
  <si>
    <t>57.69</t>
  </si>
  <si>
    <t>53.45</t>
  </si>
  <si>
    <t>36.85</t>
  </si>
  <si>
    <t>20.48</t>
  </si>
  <si>
    <t>00:21:47</t>
  </si>
  <si>
    <t>35.850185</t>
  </si>
  <si>
    <t>-0.037</t>
  </si>
  <si>
    <t>-0.084</t>
  </si>
  <si>
    <t>-0.231</t>
  </si>
  <si>
    <t>2.505141</t>
  </si>
  <si>
    <t>2.447000</t>
  </si>
  <si>
    <t>1.670513</t>
  </si>
  <si>
    <t>0.914563</t>
  </si>
  <si>
    <t>0.248712</t>
  </si>
  <si>
    <t>-0.002426</t>
  </si>
  <si>
    <t>0.109907</t>
  </si>
  <si>
    <t>0.423356</t>
  </si>
  <si>
    <t>0.000339</t>
  </si>
  <si>
    <t>19</t>
  </si>
  <si>
    <t>09:31:07</t>
  </si>
  <si>
    <t>2.051267</t>
  </si>
  <si>
    <t>1.898669</t>
  </si>
  <si>
    <t>18.723858</t>
  </si>
  <si>
    <t>20.228708</t>
  </si>
  <si>
    <t>PSF-01106_20260925093107_893</t>
  </si>
  <si>
    <t>121.050240</t>
  </si>
  <si>
    <t>471.299896</t>
  </si>
  <si>
    <t>0.743157</t>
  </si>
  <si>
    <t>53.61</t>
  </si>
  <si>
    <t>49.63</t>
  </si>
  <si>
    <t>28.14</t>
  </si>
  <si>
    <t>26.22</t>
  </si>
  <si>
    <t>101.40</t>
  </si>
  <si>
    <t>155.5</t>
  </si>
  <si>
    <t>306</t>
  </si>
  <si>
    <t>3.884</t>
  </si>
  <si>
    <t>-7</t>
  </si>
  <si>
    <t>159</t>
  </si>
  <si>
    <t>34.03</t>
  </si>
  <si>
    <t>82.87</t>
  </si>
  <si>
    <t>22.09</t>
  </si>
  <si>
    <t>-39.91</t>
  </si>
  <si>
    <t>122.28</t>
  </si>
  <si>
    <t>54.58</t>
  </si>
  <si>
    <t>00:29:16</t>
  </si>
  <si>
    <t>40.900002</t>
  </si>
  <si>
    <t>-0.114</t>
  </si>
  <si>
    <t>-0.054</t>
  </si>
  <si>
    <t>-0.146</t>
  </si>
  <si>
    <t>2.503792</t>
  </si>
  <si>
    <t>2.448692</t>
  </si>
  <si>
    <t>1.668661</t>
  </si>
  <si>
    <t>0.942896</t>
  </si>
  <si>
    <t>0.240714</t>
  </si>
  <si>
    <t>-0.022015</t>
  </si>
  <si>
    <t>0.169267</t>
  </si>
  <si>
    <t>0.373983</t>
  </si>
  <si>
    <t>0.000337</t>
  </si>
  <si>
    <t>20</t>
  </si>
  <si>
    <t>09:31:55</t>
  </si>
  <si>
    <t>1.995772</t>
  </si>
  <si>
    <t>1.857471</t>
  </si>
  <si>
    <t>18.317396</t>
  </si>
  <si>
    <t>19.681244</t>
  </si>
  <si>
    <t>PSF-01106_20260925093155_94d</t>
  </si>
  <si>
    <t>117.737534</t>
  </si>
  <si>
    <t>458.209991</t>
  </si>
  <si>
    <t>0.743049</t>
  </si>
  <si>
    <t>52.01</t>
  </si>
  <si>
    <t>28.19</t>
  </si>
  <si>
    <t>26.43</t>
  </si>
  <si>
    <t>1.7</t>
  </si>
  <si>
    <t>297</t>
  </si>
  <si>
    <t>3.882</t>
  </si>
  <si>
    <t>161</t>
  </si>
  <si>
    <t>42.05</t>
  </si>
  <si>
    <t>74.26</t>
  </si>
  <si>
    <t>17.00</t>
  </si>
  <si>
    <t>-19.00</t>
  </si>
  <si>
    <t>122.50</t>
  </si>
  <si>
    <t>54.41</t>
  </si>
  <si>
    <t>00:30:04</t>
  </si>
  <si>
    <t>42.099998</t>
  </si>
  <si>
    <t>0.700000</t>
  </si>
  <si>
    <t>-0.022</t>
  </si>
  <si>
    <t>-0.021</t>
  </si>
  <si>
    <t>-0.172</t>
  </si>
  <si>
    <t>2.502060</t>
  </si>
  <si>
    <t>2.446629</t>
  </si>
  <si>
    <t>1.670170</t>
  </si>
  <si>
    <t>0.937078</t>
  </si>
  <si>
    <t>0.240242</t>
  </si>
  <si>
    <t>-0.020121</t>
  </si>
  <si>
    <t>0.175369</t>
  </si>
  <si>
    <t>0.366032</t>
  </si>
  <si>
    <t>0.000340</t>
  </si>
  <si>
    <t>31</t>
  </si>
  <si>
    <t>09:40:25</t>
  </si>
  <si>
    <t>2.029824</t>
  </si>
  <si>
    <t>1.893673</t>
  </si>
  <si>
    <t>18.673248</t>
  </si>
  <si>
    <t>20.015818</t>
  </si>
  <si>
    <t>PSF-01106_20260925094025_594</t>
  </si>
  <si>
    <t>104.859352</t>
  </si>
  <si>
    <t>451.944702</t>
  </si>
  <si>
    <t>0.767982</t>
  </si>
  <si>
    <t>51.65</t>
  </si>
  <si>
    <t>48.19</t>
  </si>
  <si>
    <t>26.62</t>
  </si>
  <si>
    <t>145.4</t>
  </si>
  <si>
    <t>6.8</t>
  </si>
  <si>
    <t>274</t>
  </si>
  <si>
    <t>3.870</t>
  </si>
  <si>
    <t>308</t>
  </si>
  <si>
    <t>69.94</t>
  </si>
  <si>
    <t>34.31</t>
  </si>
  <si>
    <t>17.11</t>
  </si>
  <si>
    <t>134.81</t>
  </si>
  <si>
    <t>124.33</t>
  </si>
  <si>
    <t>53.06</t>
  </si>
  <si>
    <t>00:38:33</t>
  </si>
  <si>
    <t>35.850159</t>
  </si>
  <si>
    <t>-0.320</t>
  </si>
  <si>
    <t>0.504</t>
  </si>
  <si>
    <t>1.062</t>
  </si>
  <si>
    <t>2.501666</t>
  </si>
  <si>
    <t>2.445984</t>
  </si>
  <si>
    <t>1.669817</t>
  </si>
  <si>
    <t>0.916888</t>
  </si>
  <si>
    <t>0.236359</t>
  </si>
  <si>
    <t>-0.022827</t>
  </si>
  <si>
    <t>0.236270</t>
  </si>
  <si>
    <t>0.345863</t>
  </si>
  <si>
    <t>32</t>
  </si>
  <si>
    <t>09:41:26</t>
  </si>
  <si>
    <t>2.093786</t>
  </si>
  <si>
    <t>1.958970</t>
  </si>
  <si>
    <t>19.316610</t>
  </si>
  <si>
    <t>20.645979</t>
  </si>
  <si>
    <t>PSF-01106_20260925094126_386</t>
  </si>
  <si>
    <t>103.840111</t>
  </si>
  <si>
    <t>444.861542</t>
  </si>
  <si>
    <t>0.766579</t>
  </si>
  <si>
    <t>53.27</t>
  </si>
  <si>
    <t>49.84</t>
  </si>
  <si>
    <t>26.48</t>
  </si>
  <si>
    <t>2.0</t>
  </si>
  <si>
    <t>266</t>
  </si>
  <si>
    <t>-14</t>
  </si>
  <si>
    <t>-24</t>
  </si>
  <si>
    <t>343</t>
  </si>
  <si>
    <t>78.75</t>
  </si>
  <si>
    <t>19.50</t>
  </si>
  <si>
    <t>27.57</t>
  </si>
  <si>
    <t>101.52</t>
  </si>
  <si>
    <t>52.89</t>
  </si>
  <si>
    <t>00:39:35</t>
  </si>
  <si>
    <t>38.700001</t>
  </si>
  <si>
    <t>0.770000</t>
  </si>
  <si>
    <t>0.034</t>
  </si>
  <si>
    <t>0.074</t>
  </si>
  <si>
    <t>-0.090</t>
  </si>
  <si>
    <t>2.504006</t>
  </si>
  <si>
    <t>2.448062</t>
  </si>
  <si>
    <t>1.670708</t>
  </si>
  <si>
    <t>0.936046</t>
  </si>
  <si>
    <t>0.236335</t>
  </si>
  <si>
    <t>-0.024525</t>
  </si>
  <si>
    <t>0.243473</t>
  </si>
  <si>
    <t>0.339096</t>
  </si>
  <si>
    <t>46</t>
  </si>
  <si>
    <t>09:54:09</t>
  </si>
  <si>
    <t>2.035141</t>
  </si>
  <si>
    <t>1.967206</t>
  </si>
  <si>
    <t>19.387695</t>
  </si>
  <si>
    <t>20.057220</t>
  </si>
  <si>
    <t>PSF-01106_20260925095409_f0f</t>
  </si>
  <si>
    <t>107.674240</t>
  </si>
  <si>
    <t>476.184021</t>
  </si>
  <si>
    <t>0.773881</t>
  </si>
  <si>
    <t>52.35</t>
  </si>
  <si>
    <t>50.60</t>
  </si>
  <si>
    <t>28.42</t>
  </si>
  <si>
    <t>26.95</t>
  </si>
  <si>
    <t>131</t>
  </si>
  <si>
    <t>3.851</t>
  </si>
  <si>
    <t>-45</t>
  </si>
  <si>
    <t>18.33</t>
  </si>
  <si>
    <t>94.93</t>
  </si>
  <si>
    <t>47.45</t>
  </si>
  <si>
    <t>-28.38</t>
  </si>
  <si>
    <t>127.69</t>
  </si>
  <si>
    <t>50.77</t>
  </si>
  <si>
    <t>00:52:18</t>
  </si>
  <si>
    <t>35.850197</t>
  </si>
  <si>
    <t>-0.154</t>
  </si>
  <si>
    <t>2.505115</t>
  </si>
  <si>
    <t>2.446843</t>
  </si>
  <si>
    <t>1.670843</t>
  </si>
  <si>
    <t>0.916979</t>
  </si>
  <si>
    <t>0.238106</t>
  </si>
  <si>
    <t>-0.016675</t>
  </si>
  <si>
    <t>0.327151</t>
  </si>
  <si>
    <t>0.221604</t>
  </si>
  <si>
    <t>0.000341</t>
  </si>
  <si>
    <t>09:54:36</t>
  </si>
  <si>
    <t>2.079436</t>
  </si>
  <si>
    <t>1.990106</t>
  </si>
  <si>
    <t>19.614737</t>
  </si>
  <si>
    <t>20.495178</t>
  </si>
  <si>
    <t>PSF-01106_20260925095436_870</t>
  </si>
  <si>
    <t>93.647362</t>
  </si>
  <si>
    <t>423.395264</t>
  </si>
  <si>
    <t>0.778818</t>
  </si>
  <si>
    <t>53.55</t>
  </si>
  <si>
    <t>28.39</t>
  </si>
  <si>
    <t>26.83</t>
  </si>
  <si>
    <t>140.2</t>
  </si>
  <si>
    <t>10.2</t>
  </si>
  <si>
    <t>183</t>
  </si>
  <si>
    <t>3.850</t>
  </si>
  <si>
    <t>-8</t>
  </si>
  <si>
    <t>231</t>
  </si>
  <si>
    <t>61.45</t>
  </si>
  <si>
    <t>8.06</t>
  </si>
  <si>
    <t>43.85</t>
  </si>
  <si>
    <t>00:52:45</t>
  </si>
  <si>
    <t>36.700001</t>
  </si>
  <si>
    <t>0.670000</t>
  </si>
  <si>
    <t>-0.043</t>
  </si>
  <si>
    <t>0.118</t>
  </si>
  <si>
    <t>0.189</t>
  </si>
  <si>
    <t>2.506038</t>
  </si>
  <si>
    <t>2.448393</t>
  </si>
  <si>
    <t>1.670057</t>
  </si>
  <si>
    <t>0.903720</t>
  </si>
  <si>
    <t>0.238307</t>
  </si>
  <si>
    <t>-0.017940</t>
  </si>
  <si>
    <t>0.329943</t>
  </si>
  <si>
    <t>0.266319</t>
  </si>
  <si>
    <t>48</t>
  </si>
  <si>
    <t>09:55:22</t>
  </si>
  <si>
    <t>2.031142</t>
  </si>
  <si>
    <t>1.940441</t>
  </si>
  <si>
    <t>19.125980</t>
  </si>
  <si>
    <t>20.019981</t>
  </si>
  <si>
    <t>PSF-01106_20260925095522_a45</t>
  </si>
  <si>
    <t>111.889961</t>
  </si>
  <si>
    <t>492.943878</t>
  </si>
  <si>
    <t>0.773017</t>
  </si>
  <si>
    <t>52.41</t>
  </si>
  <si>
    <t>28.36</t>
  </si>
  <si>
    <t>26.78</t>
  </si>
  <si>
    <t>155.0</t>
  </si>
  <si>
    <t>0.6</t>
  </si>
  <si>
    <t>3.849</t>
  </si>
  <si>
    <t>-37</t>
  </si>
  <si>
    <t>-36</t>
  </si>
  <si>
    <t>39.58</t>
  </si>
  <si>
    <t>77.07</t>
  </si>
  <si>
    <t>-104.36</t>
  </si>
  <si>
    <t>127.94</t>
  </si>
  <si>
    <t>50.61</t>
  </si>
  <si>
    <t>00:53:28</t>
  </si>
  <si>
    <t>36.299999</t>
  </si>
  <si>
    <t>-0.050</t>
  </si>
  <si>
    <t>2.504380</t>
  </si>
  <si>
    <t>2.446936</t>
  </si>
  <si>
    <t>1.669253</t>
  </si>
  <si>
    <t>0.941563</t>
  </si>
  <si>
    <t>0.238624</t>
  </si>
  <si>
    <t>-0.018022</t>
  </si>
  <si>
    <t>0.334776</t>
  </si>
  <si>
    <t>0.221362</t>
  </si>
  <si>
    <t>09:24:11</t>
  </si>
  <si>
    <t>침수ETc</t>
  </si>
  <si>
    <t>2.018186</t>
  </si>
  <si>
    <t>1.852919</t>
  </si>
  <si>
    <t>18.270746</t>
  </si>
  <si>
    <t>19.900372</t>
  </si>
  <si>
    <t>PSF-01106_20260925092411_af8</t>
  </si>
  <si>
    <t>115.253448</t>
  </si>
  <si>
    <t>452.586304</t>
  </si>
  <si>
    <t>0.745345</t>
  </si>
  <si>
    <t>55.14</t>
  </si>
  <si>
    <t>50.62</t>
  </si>
  <si>
    <t>27.38</t>
  </si>
  <si>
    <t>25.69</t>
  </si>
  <si>
    <t>153.9</t>
  </si>
  <si>
    <t>444</t>
  </si>
  <si>
    <t>-23</t>
  </si>
  <si>
    <t>-19</t>
  </si>
  <si>
    <t>33.86</t>
  </si>
  <si>
    <t>83.04</t>
  </si>
  <si>
    <t>29.50</t>
  </si>
  <si>
    <t>-92.39</t>
  </si>
  <si>
    <t>120.73</t>
  </si>
  <si>
    <t>55.79</t>
  </si>
  <si>
    <t>00:22:20</t>
  </si>
  <si>
    <t>35.850227</t>
  </si>
  <si>
    <t>127.129578</t>
  </si>
  <si>
    <t>38.599998</t>
  </si>
  <si>
    <t>1.210000</t>
  </si>
  <si>
    <t>-0.041</t>
  </si>
  <si>
    <t>0.084</t>
  </si>
  <si>
    <t>2.505344</t>
  </si>
  <si>
    <t>2.450767</t>
  </si>
  <si>
    <t>1.671499</t>
  </si>
  <si>
    <t>0.938542</t>
  </si>
  <si>
    <t>0.248060</t>
  </si>
  <si>
    <t>-0.019216</t>
  </si>
  <si>
    <t>0.114495</t>
  </si>
  <si>
    <t>0.493914</t>
  </si>
  <si>
    <t>09:24:47</t>
  </si>
  <si>
    <t>2.007524</t>
  </si>
  <si>
    <t>1.844302</t>
  </si>
  <si>
    <t>18.184437</t>
  </si>
  <si>
    <t>19.793772</t>
  </si>
  <si>
    <t>PSF-01106_20260925092447_ddb</t>
  </si>
  <si>
    <t>95.056412</t>
  </si>
  <si>
    <t>384.592651</t>
  </si>
  <si>
    <t>0.752839</t>
  </si>
  <si>
    <t>54.61</t>
  </si>
  <si>
    <t>50.17</t>
  </si>
  <si>
    <t>27.45</t>
  </si>
  <si>
    <t>151.1</t>
  </si>
  <si>
    <t>3.3</t>
  </si>
  <si>
    <t>450</t>
  </si>
  <si>
    <t>118</t>
  </si>
  <si>
    <t>28.84</t>
  </si>
  <si>
    <t>87.60</t>
  </si>
  <si>
    <t>-62.00</t>
  </si>
  <si>
    <t>00:22:56</t>
  </si>
  <si>
    <t>127.129608</t>
  </si>
  <si>
    <t>39.599998</t>
  </si>
  <si>
    <t>1.260000</t>
  </si>
  <si>
    <t>-0.051</t>
  </si>
  <si>
    <t>0.027</t>
  </si>
  <si>
    <t>2.504698</t>
  </si>
  <si>
    <t>2.450086</t>
  </si>
  <si>
    <t>1.672185</t>
  </si>
  <si>
    <t>0.931554</t>
  </si>
  <si>
    <t>0.247352</t>
  </si>
  <si>
    <t>-0.016098</t>
  </si>
  <si>
    <t>0.119519</t>
  </si>
  <si>
    <t>0.499177</t>
  </si>
  <si>
    <t>21</t>
  </si>
  <si>
    <t>09:32:32</t>
  </si>
  <si>
    <t>1.965502</t>
  </si>
  <si>
    <t>1.883904</t>
  </si>
  <si>
    <t>18.576235</t>
  </si>
  <si>
    <t>19.380831</t>
  </si>
  <si>
    <t>PSF-01106_20260925093232_940</t>
  </si>
  <si>
    <t>102.463242</t>
  </si>
  <si>
    <t>417.947540</t>
  </si>
  <si>
    <t>0.754842</t>
  </si>
  <si>
    <t>51.10</t>
  </si>
  <si>
    <t>48.98</t>
  </si>
  <si>
    <t>28.23</t>
  </si>
  <si>
    <t>26.89</t>
  </si>
  <si>
    <t>3.881</t>
  </si>
  <si>
    <t>72.77</t>
  </si>
  <si>
    <t>29.63</t>
  </si>
  <si>
    <t>21.86</t>
  </si>
  <si>
    <t>158.85</t>
  </si>
  <si>
    <t>00:30:41</t>
  </si>
  <si>
    <t>127.129784</t>
  </si>
  <si>
    <t>41.700001</t>
  </si>
  <si>
    <t>-0.040</t>
  </si>
  <si>
    <t>-0.177</t>
  </si>
  <si>
    <t>-0.382</t>
  </si>
  <si>
    <t>2.502855</t>
  </si>
  <si>
    <t>2.445443</t>
  </si>
  <si>
    <t>1.669449</t>
  </si>
  <si>
    <t>0.937084</t>
  </si>
  <si>
    <t>0.239835</t>
  </si>
  <si>
    <t>-0.015178</t>
  </si>
  <si>
    <t>0.179909</t>
  </si>
  <si>
    <t>0.355429</t>
  </si>
  <si>
    <t>22</t>
  </si>
  <si>
    <t>09:33:38</t>
  </si>
  <si>
    <t>2.059991</t>
  </si>
  <si>
    <t>1.911436</t>
  </si>
  <si>
    <t>18.847664</t>
  </si>
  <si>
    <t>20.312487</t>
  </si>
  <si>
    <t>PSF-01106_20260925093338_39c</t>
  </si>
  <si>
    <t>94.877243</t>
  </si>
  <si>
    <t>415.035370</t>
  </si>
  <si>
    <t>0.771400</t>
  </si>
  <si>
    <t>53.32</t>
  </si>
  <si>
    <t>49.47</t>
  </si>
  <si>
    <t>28.31</t>
  </si>
  <si>
    <t>1.4</t>
  </si>
  <si>
    <t>3.878</t>
  </si>
  <si>
    <t>57.51</t>
  </si>
  <si>
    <t>53.72</t>
  </si>
  <si>
    <t>-141.32</t>
  </si>
  <si>
    <t>122.72</t>
  </si>
  <si>
    <t>54.24</t>
  </si>
  <si>
    <t>00:31:46</t>
  </si>
  <si>
    <t>0.308</t>
  </si>
  <si>
    <t>0.094</t>
  </si>
  <si>
    <t>2.503547</t>
  </si>
  <si>
    <t>2.448285</t>
  </si>
  <si>
    <t>1.670645</t>
  </si>
  <si>
    <t>0.938499</t>
  </si>
  <si>
    <t>0.239125</t>
  </si>
  <si>
    <t>-0.023832</t>
  </si>
  <si>
    <t>0.187922</t>
  </si>
  <si>
    <t>0.338992</t>
  </si>
  <si>
    <t>0.000354</t>
  </si>
  <si>
    <t>33</t>
  </si>
  <si>
    <t>09:42:11</t>
  </si>
  <si>
    <t>2.061901</t>
  </si>
  <si>
    <t>1.890430</t>
  </si>
  <si>
    <t>18.639568</t>
  </si>
  <si>
    <t>20.330267</t>
  </si>
  <si>
    <t>PSF-01106_20260925094211_d99</t>
  </si>
  <si>
    <t>100.545288</t>
  </si>
  <si>
    <t>432.118896</t>
  </si>
  <si>
    <t>0.767320</t>
  </si>
  <si>
    <t>52.44</t>
  </si>
  <si>
    <t>48.08</t>
  </si>
  <si>
    <t>26.14</t>
  </si>
  <si>
    <t>253</t>
  </si>
  <si>
    <t>3.867</t>
  </si>
  <si>
    <t>57</t>
  </si>
  <si>
    <t>47.62</t>
  </si>
  <si>
    <t>67.40</t>
  </si>
  <si>
    <t>31.00</t>
  </si>
  <si>
    <t>-123.00</t>
  </si>
  <si>
    <t>124.79</t>
  </si>
  <si>
    <t>52.73</t>
  </si>
  <si>
    <t>00:40:20</t>
  </si>
  <si>
    <t>35.850098</t>
  </si>
  <si>
    <t>127.129616</t>
  </si>
  <si>
    <t>38.799999</t>
  </si>
  <si>
    <t>-0.053</t>
  </si>
  <si>
    <t>-0.120</t>
  </si>
  <si>
    <t>2.501512</t>
  </si>
  <si>
    <t>2.446995</t>
  </si>
  <si>
    <t>1.669690</t>
  </si>
  <si>
    <t>0.936972</t>
  </si>
  <si>
    <t>0.236273</t>
  </si>
  <si>
    <t>-0.028652</t>
  </si>
  <si>
    <t>0.248653</t>
  </si>
  <si>
    <t>0.327903</t>
  </si>
  <si>
    <t>34</t>
  </si>
  <si>
    <t>09:42:53</t>
  </si>
  <si>
    <t>2.086879</t>
  </si>
  <si>
    <t>1.894511</t>
  </si>
  <si>
    <t>18.679029</t>
  </si>
  <si>
    <t>20.575695</t>
  </si>
  <si>
    <t>PSF-01106_20260925094253_6b1</t>
  </si>
  <si>
    <t>115.334991</t>
  </si>
  <si>
    <t>476.999054</t>
  </si>
  <si>
    <t>0.758207</t>
  </si>
  <si>
    <t>3.1</t>
  </si>
  <si>
    <t>265</t>
  </si>
  <si>
    <t>106</t>
  </si>
  <si>
    <t>25.78</t>
  </si>
  <si>
    <t>90.05</t>
  </si>
  <si>
    <t>26.86</t>
  </si>
  <si>
    <t>-58.35</t>
  </si>
  <si>
    <t>125.03</t>
  </si>
  <si>
    <t>52.56</t>
  </si>
  <si>
    <t>00:41:01</t>
  </si>
  <si>
    <t>-0.132</t>
  </si>
  <si>
    <t>-0.393</t>
  </si>
  <si>
    <t>-0.679</t>
  </si>
  <si>
    <t>2.501668</t>
  </si>
  <si>
    <t>2.447819</t>
  </si>
  <si>
    <t>0.931924</t>
  </si>
  <si>
    <t>0.236294</t>
  </si>
  <si>
    <t>-0.029511</t>
  </si>
  <si>
    <t>0.253392</t>
  </si>
  <si>
    <t>0.338344</t>
  </si>
  <si>
    <t>49</t>
  </si>
  <si>
    <t>09:56:07</t>
  </si>
  <si>
    <t>1.975363</t>
  </si>
  <si>
    <t>1.858262</t>
  </si>
  <si>
    <t>18.317024</t>
  </si>
  <si>
    <t>19.471291</t>
  </si>
  <si>
    <t>PSF-01106_20260925095607_12e</t>
  </si>
  <si>
    <t>104.451302</t>
  </si>
  <si>
    <t>453.120239</t>
  </si>
  <si>
    <t>0.769484</t>
  </si>
  <si>
    <t>51.06</t>
  </si>
  <si>
    <t>48.03</t>
  </si>
  <si>
    <t>28.33</t>
  </si>
  <si>
    <t>152.2</t>
  </si>
  <si>
    <t>2.4</t>
  </si>
  <si>
    <t>188</t>
  </si>
  <si>
    <t>3.847</t>
  </si>
  <si>
    <t>-18</t>
  </si>
  <si>
    <t>317</t>
  </si>
  <si>
    <t>68.04</t>
  </si>
  <si>
    <t>37.40</t>
  </si>
  <si>
    <t>18.11</t>
  </si>
  <si>
    <t>143.45</t>
  </si>
  <si>
    <t>128.19</t>
  </si>
  <si>
    <t>50.45</t>
  </si>
  <si>
    <t>00:54:16</t>
  </si>
  <si>
    <t>-0.197</t>
  </si>
  <si>
    <t>2.501503</t>
  </si>
  <si>
    <t>2.445205</t>
  </si>
  <si>
    <t>1.669505</t>
  </si>
  <si>
    <t>0.934355</t>
  </si>
  <si>
    <t>0.238908</t>
  </si>
  <si>
    <t>-0.022540</t>
  </si>
  <si>
    <t>0.339398</t>
  </si>
  <si>
    <t>0.270739</t>
  </si>
  <si>
    <t>50</t>
  </si>
  <si>
    <t>09:56:55</t>
  </si>
  <si>
    <t>2.022718</t>
  </si>
  <si>
    <t>1.882285</t>
  </si>
  <si>
    <t>18.554049</t>
  </si>
  <si>
    <t>19.938328</t>
  </si>
  <si>
    <t>PSF-01106_20260925095655_0c2</t>
  </si>
  <si>
    <t>86.059212</t>
  </si>
  <si>
    <t>402.696838</t>
  </si>
  <si>
    <t>0.786293</t>
  </si>
  <si>
    <t>52.42</t>
  </si>
  <si>
    <t>48.78</t>
  </si>
  <si>
    <t>28.29</t>
  </si>
  <si>
    <t>154.2</t>
  </si>
  <si>
    <t>1.1</t>
  </si>
  <si>
    <t>189</t>
  </si>
  <si>
    <t>3.846</t>
  </si>
  <si>
    <t>315</t>
  </si>
  <si>
    <t>67.30</t>
  </si>
  <si>
    <t>38.59</t>
  </si>
  <si>
    <t>17.03</t>
  </si>
  <si>
    <t>131.58</t>
  </si>
  <si>
    <t>128.44</t>
  </si>
  <si>
    <t>50.29</t>
  </si>
  <si>
    <t>00:55:03</t>
  </si>
  <si>
    <t>35.850182</t>
  </si>
  <si>
    <t>-0.009</t>
  </si>
  <si>
    <t>-0.033</t>
  </si>
  <si>
    <t>2.502572</t>
  </si>
  <si>
    <t>2.446962</t>
  </si>
  <si>
    <t>1.668768</t>
  </si>
  <si>
    <t>0.939426</t>
  </si>
  <si>
    <t>0.239331</t>
  </si>
  <si>
    <t>-0.023780</t>
  </si>
  <si>
    <t>0.344412</t>
  </si>
  <si>
    <t>0.272260</t>
  </si>
  <si>
    <t>51</t>
  </si>
  <si>
    <t>09:57:29</t>
  </si>
  <si>
    <t>1.985095</t>
  </si>
  <si>
    <t>1.882320</t>
  </si>
  <si>
    <t>18.556042</t>
  </si>
  <si>
    <t>19.569201</t>
  </si>
  <si>
    <t>PSF-01106_20260925095729_cb7</t>
  </si>
  <si>
    <t>94.547150</t>
  </si>
  <si>
    <t>431.426514</t>
  </si>
  <si>
    <t>0.780850</t>
  </si>
  <si>
    <t>51.53</t>
  </si>
  <si>
    <t>48.86</t>
  </si>
  <si>
    <t>28.26</t>
  </si>
  <si>
    <t>26.39</t>
  </si>
  <si>
    <t>134.1</t>
  </si>
  <si>
    <t>14.0</t>
  </si>
  <si>
    <t>186</t>
  </si>
  <si>
    <t>320</t>
  </si>
  <si>
    <t>58.50</t>
  </si>
  <si>
    <t>52.25</t>
  </si>
  <si>
    <t>20.10</t>
  </si>
  <si>
    <t>55.48</t>
  </si>
  <si>
    <t>00:55:37</t>
  </si>
  <si>
    <t>0.033</t>
  </si>
  <si>
    <t>0.114</t>
  </si>
  <si>
    <t>0.196</t>
  </si>
  <si>
    <t>2.502694</t>
  </si>
  <si>
    <t>2.445825</t>
  </si>
  <si>
    <t>1.669929</t>
  </si>
  <si>
    <t>0.888777</t>
  </si>
  <si>
    <t>0.239605</t>
  </si>
  <si>
    <t>-0.021468</t>
  </si>
  <si>
    <t>0.347930</t>
  </si>
  <si>
    <t>0.269612</t>
  </si>
  <si>
    <t>09:25:36</t>
  </si>
  <si>
    <t>침수ETc50</t>
  </si>
  <si>
    <t>1.985759</t>
  </si>
  <si>
    <t>1.845432</t>
  </si>
  <si>
    <t>18.196699</t>
  </si>
  <si>
    <t>19.580378</t>
  </si>
  <si>
    <t>PSF-01106_20260925092536_6f4</t>
  </si>
  <si>
    <t>105.087517</t>
  </si>
  <si>
    <t>423.375977</t>
  </si>
  <si>
    <t>0.751787</t>
  </si>
  <si>
    <t>53.70</t>
  </si>
  <si>
    <t>49.91</t>
  </si>
  <si>
    <t>27.56</t>
  </si>
  <si>
    <t>143.0</t>
  </si>
  <si>
    <t>8.3</t>
  </si>
  <si>
    <t>415</t>
  </si>
  <si>
    <t>140</t>
  </si>
  <si>
    <t>39.56</t>
  </si>
  <si>
    <t>77.10</t>
  </si>
  <si>
    <t>20.59</t>
  </si>
  <si>
    <t>-25.65</t>
  </si>
  <si>
    <t>120.95</t>
  </si>
  <si>
    <t>55.62</t>
  </si>
  <si>
    <t>00:23:45</t>
  </si>
  <si>
    <t>39.500000</t>
  </si>
  <si>
    <t>0.950000</t>
  </si>
  <si>
    <t>0.035</t>
  </si>
  <si>
    <t>0.020</t>
  </si>
  <si>
    <t>2.504303</t>
  </si>
  <si>
    <t>2.448900</t>
  </si>
  <si>
    <t>1.670225</t>
  </si>
  <si>
    <t>0.910975</t>
  </si>
  <si>
    <t>0.246359</t>
  </si>
  <si>
    <t>-0.015043</t>
  </si>
  <si>
    <t>0.126310</t>
  </si>
  <si>
    <t>0.469257</t>
  </si>
  <si>
    <t>0.000346</t>
  </si>
  <si>
    <t>09:26:08</t>
  </si>
  <si>
    <t>2.070733</t>
  </si>
  <si>
    <t>1.890819</t>
  </si>
  <si>
    <t>18.642998</t>
  </si>
  <si>
    <t>20.416901</t>
  </si>
  <si>
    <t>PSF-01106_20260925092608_81a</t>
  </si>
  <si>
    <t>122.025848</t>
  </si>
  <si>
    <t>471.678619</t>
  </si>
  <si>
    <t>0.741295</t>
  </si>
  <si>
    <t>50.94</t>
  </si>
  <si>
    <t>27.62</t>
  </si>
  <si>
    <t>25.67</t>
  </si>
  <si>
    <t>152.3</t>
  </si>
  <si>
    <t>425</t>
  </si>
  <si>
    <t>46.53</t>
  </si>
  <si>
    <t>68.80</t>
  </si>
  <si>
    <t>9.05</t>
  </si>
  <si>
    <t>-68.37</t>
  </si>
  <si>
    <t>00:24:17</t>
  </si>
  <si>
    <t>127.129654</t>
  </si>
  <si>
    <t>38.099998</t>
  </si>
  <si>
    <t>-0.340</t>
  </si>
  <si>
    <t>-0.693</t>
  </si>
  <si>
    <t>2.505754</t>
  </si>
  <si>
    <t>2.451560</t>
  </si>
  <si>
    <t>1.670025</t>
  </si>
  <si>
    <t>0.934464</t>
  </si>
  <si>
    <t>0.245735</t>
  </si>
  <si>
    <t>-0.022308</t>
  </si>
  <si>
    <t>0.130652</t>
  </si>
  <si>
    <t>0.477851</t>
  </si>
  <si>
    <t>23</t>
  </si>
  <si>
    <t>09:34:05</t>
  </si>
  <si>
    <t>1.967181</t>
  </si>
  <si>
    <t>1.906382</t>
  </si>
  <si>
    <t>18.797415</t>
  </si>
  <si>
    <t>19.396906</t>
  </si>
  <si>
    <t>PSF-01106_20260925093405_dda</t>
  </si>
  <si>
    <t>107.273697</t>
  </si>
  <si>
    <t>442.050568</t>
  </si>
  <si>
    <t>0.757327</t>
  </si>
  <si>
    <t>50.82</t>
  </si>
  <si>
    <t>49.25</t>
  </si>
  <si>
    <t>28.34</t>
  </si>
  <si>
    <t>27.24</t>
  </si>
  <si>
    <t>122.0</t>
  </si>
  <si>
    <t>21.9</t>
  </si>
  <si>
    <t>295</t>
  </si>
  <si>
    <t>72.83</t>
  </si>
  <si>
    <t>29.52</t>
  </si>
  <si>
    <t>25.61</t>
  </si>
  <si>
    <t>171.01</t>
  </si>
  <si>
    <t>122.95</t>
  </si>
  <si>
    <t>54.07</t>
  </si>
  <si>
    <t>00:32:14</t>
  </si>
  <si>
    <t>35.850166</t>
  </si>
  <si>
    <t>41.400002</t>
  </si>
  <si>
    <t>0.137</t>
  </si>
  <si>
    <t>0.247</t>
  </si>
  <si>
    <t>0.463</t>
  </si>
  <si>
    <t>2.503222</t>
  </si>
  <si>
    <t>2.445067</t>
  </si>
  <si>
    <t>1.670710</t>
  </si>
  <si>
    <t>0.859052</t>
  </si>
  <si>
    <t>0.238810</t>
  </si>
  <si>
    <t>-0.012410</t>
  </si>
  <si>
    <t>0.191297</t>
  </si>
  <si>
    <t>0.359476</t>
  </si>
  <si>
    <t>24</t>
  </si>
  <si>
    <t>09:34:35</t>
  </si>
  <si>
    <t>2.069905</t>
  </si>
  <si>
    <t>1.911332</t>
  </si>
  <si>
    <t>18.847059</t>
  </si>
  <si>
    <t>20.410698</t>
  </si>
  <si>
    <t>PSF-01106_20260925093435_346</t>
  </si>
  <si>
    <t>94.131592</t>
  </si>
  <si>
    <t>410.134796</t>
  </si>
  <si>
    <t>0.770486</t>
  </si>
  <si>
    <t>53.38</t>
  </si>
  <si>
    <t>49.29</t>
  </si>
  <si>
    <t>28.37</t>
  </si>
  <si>
    <t>26.31</t>
  </si>
  <si>
    <t>150.0</t>
  </si>
  <si>
    <t>3.9</t>
  </si>
  <si>
    <t>300</t>
  </si>
  <si>
    <t>-10</t>
  </si>
  <si>
    <t>333</t>
  </si>
  <si>
    <t>76.32</t>
  </si>
  <si>
    <t>23.65</t>
  </si>
  <si>
    <t>22.27</t>
  </si>
  <si>
    <t>125.73</t>
  </si>
  <si>
    <t>00:32:44</t>
  </si>
  <si>
    <t>127.129723</t>
  </si>
  <si>
    <t>0.790000</t>
  </si>
  <si>
    <t>0.009</t>
  </si>
  <si>
    <t>-0.062</t>
  </si>
  <si>
    <t>2.503271</t>
  </si>
  <si>
    <t>2.448347</t>
  </si>
  <si>
    <t>1.671157</t>
  </si>
  <si>
    <t>0.928590</t>
  </si>
  <si>
    <t>0.238518</t>
  </si>
  <si>
    <t>-0.023836</t>
  </si>
  <si>
    <t>0.194850</t>
  </si>
  <si>
    <t>0.368922</t>
  </si>
  <si>
    <t>35</t>
  </si>
  <si>
    <t>09:43:43</t>
  </si>
  <si>
    <t>1.982969</t>
  </si>
  <si>
    <t>1.866702</t>
  </si>
  <si>
    <t>18.404659</t>
  </si>
  <si>
    <t>19.550993</t>
  </si>
  <si>
    <t>PSF-01106_20260925094343_c5b</t>
  </si>
  <si>
    <t>116.618515</t>
  </si>
  <si>
    <t>476.976868</t>
  </si>
  <si>
    <t>0.755505</t>
  </si>
  <si>
    <t>50.43</t>
  </si>
  <si>
    <t>47.48</t>
  </si>
  <si>
    <t>26.57</t>
  </si>
  <si>
    <t>1.2</t>
  </si>
  <si>
    <t>235</t>
  </si>
  <si>
    <t>3.865</t>
  </si>
  <si>
    <t>-3</t>
  </si>
  <si>
    <t>166</t>
  </si>
  <si>
    <t>41.80</t>
  </si>
  <si>
    <t>74.55</t>
  </si>
  <si>
    <t>12.36</t>
  </si>
  <si>
    <t>-28.15</t>
  </si>
  <si>
    <t>00:41:48</t>
  </si>
  <si>
    <t>38.400002</t>
  </si>
  <si>
    <t>-0.138</t>
  </si>
  <si>
    <t>-0.108</t>
  </si>
  <si>
    <t>-0.481</t>
  </si>
  <si>
    <t>2.500659</t>
  </si>
  <si>
    <t>2.444417</t>
  </si>
  <si>
    <t>1.671063</t>
  </si>
  <si>
    <t>0.939468</t>
  </si>
  <si>
    <t>0.236283</t>
  </si>
  <si>
    <t>-0.023626</t>
  </si>
  <si>
    <t>0.259108</t>
  </si>
  <si>
    <t>0.311893</t>
  </si>
  <si>
    <t>0.000353</t>
  </si>
  <si>
    <t>36</t>
  </si>
  <si>
    <t>09:45:29</t>
  </si>
  <si>
    <t>2.014382</t>
  </si>
  <si>
    <t>1.858831</t>
  </si>
  <si>
    <t>18.324938</t>
  </si>
  <si>
    <t>19.858406</t>
  </si>
  <si>
    <t>PSF-01106_20260925094529_9bd</t>
  </si>
  <si>
    <t>113.969566</t>
  </si>
  <si>
    <t>480.455872</t>
  </si>
  <si>
    <t>0.762789</t>
  </si>
  <si>
    <t>51.16</t>
  </si>
  <si>
    <t>47.21</t>
  </si>
  <si>
    <t>26.21</t>
  </si>
  <si>
    <t>0.0</t>
  </si>
  <si>
    <t>234</t>
  </si>
  <si>
    <t>97</t>
  </si>
  <si>
    <t>39.33</t>
  </si>
  <si>
    <t>77.35</t>
  </si>
  <si>
    <t>16.03</t>
  </si>
  <si>
    <t>-86.62</t>
  </si>
  <si>
    <t>125.50</t>
  </si>
  <si>
    <t>52.23</t>
  </si>
  <si>
    <t>00:43:38</t>
  </si>
  <si>
    <t>-0.060</t>
  </si>
  <si>
    <t>-0.102</t>
  </si>
  <si>
    <t>2.500280</t>
  </si>
  <si>
    <t>2.445354</t>
  </si>
  <si>
    <t>1.668932</t>
  </si>
  <si>
    <t>0.943622</t>
  </si>
  <si>
    <t>0.236068</t>
  </si>
  <si>
    <t>-0.028070</t>
  </si>
  <si>
    <t>0.271209</t>
  </si>
  <si>
    <t>0.310897</t>
  </si>
  <si>
    <t>0.000351</t>
  </si>
  <si>
    <t>52</t>
  </si>
  <si>
    <t>09:57:56</t>
  </si>
  <si>
    <t>1.906980</t>
  </si>
  <si>
    <t>1.853492</t>
  </si>
  <si>
    <t>18.271585</t>
  </si>
  <si>
    <t>18.798864</t>
  </si>
  <si>
    <t>PSF-01106_20260925095756_a5a</t>
  </si>
  <si>
    <t>101.014496</t>
  </si>
  <si>
    <t>456.118225</t>
  </si>
  <si>
    <t>0.778534</t>
  </si>
  <si>
    <t>49.58</t>
  </si>
  <si>
    <t>26.79</t>
  </si>
  <si>
    <t>148.6</t>
  </si>
  <si>
    <t>4.8</t>
  </si>
  <si>
    <t>185</t>
  </si>
  <si>
    <t>357</t>
  </si>
  <si>
    <t>60.85</t>
  </si>
  <si>
    <t>48.70</t>
  </si>
  <si>
    <t>177.00</t>
  </si>
  <si>
    <t>128.69</t>
  </si>
  <si>
    <t>50.13</t>
  </si>
  <si>
    <t>00:56:05</t>
  </si>
  <si>
    <t>35.850193</t>
  </si>
  <si>
    <t>36.400002</t>
  </si>
  <si>
    <t>0.117</t>
  </si>
  <si>
    <t>0.056</t>
  </si>
  <si>
    <t>0.285</t>
  </si>
  <si>
    <t>2.501745</t>
  </si>
  <si>
    <t>2.443314</t>
  </si>
  <si>
    <t>1.671318</t>
  </si>
  <si>
    <t>0.925134</t>
  </si>
  <si>
    <t>0.239860</t>
  </si>
  <si>
    <t>-0.016430</t>
  </si>
  <si>
    <t>0.350727</t>
  </si>
  <si>
    <t>0.268704</t>
  </si>
  <si>
    <t>53</t>
  </si>
  <si>
    <t>09:58:51</t>
  </si>
  <si>
    <t>2.009013</t>
  </si>
  <si>
    <t>1.878762</t>
  </si>
  <si>
    <t>18.520458</t>
  </si>
  <si>
    <t>19.804455</t>
  </si>
  <si>
    <t>PSF-01106_20260925095851_ec5</t>
  </si>
  <si>
    <t>87.526558</t>
  </si>
  <si>
    <t>427.080627</t>
  </si>
  <si>
    <t>0.795058</t>
  </si>
  <si>
    <t>28.17</t>
  </si>
  <si>
    <t>9.0</t>
  </si>
  <si>
    <t>165</t>
  </si>
  <si>
    <t>3.844</t>
  </si>
  <si>
    <t>-30</t>
  </si>
  <si>
    <t>75.60</t>
  </si>
  <si>
    <t>24.86</t>
  </si>
  <si>
    <t>41.41</t>
  </si>
  <si>
    <t>65.89</t>
  </si>
  <si>
    <t>00:56:58</t>
  </si>
  <si>
    <t>0.880000</t>
  </si>
  <si>
    <t>-0.079</t>
  </si>
  <si>
    <t>-0.175</t>
  </si>
  <si>
    <t>2.502922</t>
  </si>
  <si>
    <t>2.446971</t>
  </si>
  <si>
    <t>1.668521</t>
  </si>
  <si>
    <t>0.907902</t>
  </si>
  <si>
    <t>0.240414</t>
  </si>
  <si>
    <t>-0.025983</t>
  </si>
  <si>
    <t>0.356262</t>
  </si>
  <si>
    <t>0.250538</t>
  </si>
  <si>
    <t>54</t>
  </si>
  <si>
    <t>09:59:27</t>
  </si>
  <si>
    <t>2.005409</t>
  </si>
  <si>
    <t>1.877700</t>
  </si>
  <si>
    <t>18.510223</t>
  </si>
  <si>
    <t>19.769169</t>
  </si>
  <si>
    <t>PSF-01106_20260925095927_a0a</t>
  </si>
  <si>
    <t>89.609383</t>
  </si>
  <si>
    <t>416.461243</t>
  </si>
  <si>
    <t>0.784831</t>
  </si>
  <si>
    <t>49.10</t>
  </si>
  <si>
    <t>28.13</t>
  </si>
  <si>
    <t>25.97</t>
  </si>
  <si>
    <t>150.7</t>
  </si>
  <si>
    <t>3.5</t>
  </si>
  <si>
    <t>190</t>
  </si>
  <si>
    <t>3.839</t>
  </si>
  <si>
    <t>324</t>
  </si>
  <si>
    <t>53.24</t>
  </si>
  <si>
    <t>59.85</t>
  </si>
  <si>
    <t>18.35</t>
  </si>
  <si>
    <t>121.22</t>
  </si>
  <si>
    <t>92.02</t>
  </si>
  <si>
    <t>36.58</t>
  </si>
  <si>
    <t>00:57:36</t>
  </si>
  <si>
    <t>0.516858</t>
  </si>
  <si>
    <t>36.799999</t>
  </si>
  <si>
    <t>0.018</t>
  </si>
  <si>
    <t>-0.148</t>
  </si>
  <si>
    <t>2.503045</t>
  </si>
  <si>
    <t>2.447007</t>
  </si>
  <si>
    <t>0.930331</t>
  </si>
  <si>
    <t>0.240779</t>
  </si>
  <si>
    <t>-0.024863</t>
  </si>
  <si>
    <t>0.359932</t>
  </si>
  <si>
    <t>0.272897</t>
  </si>
  <si>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</si>
  <si>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</si>
  <si>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</si>
  <si>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</si>
  <si>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</si>
  <si>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</si>
  <si>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</si>
  <si>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</si>
  <si>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</si>
  <si>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</si>
  <si>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</si>
  <si>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</si>
  <si>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</si>
  <si>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</si>
  <si>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</si>
  <si>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</si>
  <si>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</si>
  <si>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</si>
  <si>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</si>
  <si>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</si>
  <si>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</si>
  <si>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</si>
  <si>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</si>
  <si>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</si>
  <si>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</si>
  <si>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</si>
  <si>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</si>
  <si>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</si>
  <si>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</si>
  <si>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</si>
  <si>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</si>
  <si>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</si>
  <si>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</si>
  <si>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</si>
  <si>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</si>
  <si>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</si>
  <si>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</si>
  <si>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</si>
  <si>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</si>
  <si>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</si>
  <si>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</si>
  <si>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</si>
  <si>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</si>
  <si>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</si>
  <si>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</si>
  <si>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</si>
  <si>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</si>
  <si>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</si>
  <si>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</si>
  <si>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</si>
  <si>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</si>
  <si>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</si>
  <si>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</si>
  <si>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</si>
  <si>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</si>
  <si>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</si>
  <si>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</si>
  <si>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</si>
  <si>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</si>
  <si>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</si>
  <si>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</si>
  <si>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</si>
  <si>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</si>
  <si>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</si>
  <si>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</si>
  <si>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</si>
  <si>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</si>
  <si>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</si>
  <si>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</si>
  <si>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</si>
  <si>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</si>
  <si>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</si>
  <si>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</si>
  <si>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</si>
  <si>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</si>
  <si>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</si>
  <si>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</si>
  <si>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</si>
  <si>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</si>
  <si>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</si>
  <si>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</si>
  <si>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</si>
  <si>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</si>
  <si>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</si>
  <si>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</si>
  <si>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</si>
  <si>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</si>
  <si>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</si>
  <si>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</si>
  <si>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보정gsw</t>
    <phoneticPr fontId="1" type="noConversion"/>
  </si>
  <si>
    <t>처리</t>
    <phoneticPr fontId="1" type="noConversion"/>
  </si>
  <si>
    <t>처리_</t>
    <phoneticPr fontId="1" type="noConversion"/>
  </si>
  <si>
    <t>average</t>
    <phoneticPr fontId="1" type="noConversion"/>
  </si>
  <si>
    <t>보정 gsw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</si>
</sst>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(정리!$B$2:$B$10,정리!$B$20:$B$28,정리!$B$38:$B$55)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</c:numCache>
            </c:numRef>
          </c:xVal>
          <c:yVal>
            <c:numRef>
              <c:f>(정리!$E$2:$E$10,정리!$E$20:$E$28,정리!$E$38:$E$55)</c:f>
              <c:numCache>
                <c:formatCode>General</c:formatCode>
                <c:ptCount val="36"/>
                <c:pt idx="0">
                  <c:v>0.41767032915760649</c:v>
                </c:pt>
                <c:pt idx="1">
                  <c:v>0.38312986021122059</c:v>
                </c:pt>
                <c:pt idx="2">
                  <c:v>0.37905644174727071</c:v>
                </c:pt>
                <c:pt idx="3">
                  <c:v>0.39507611925823788</c:v>
                </c:pt>
                <c:pt idx="4">
                  <c:v>0.31122240909576332</c:v>
                </c:pt>
                <c:pt idx="5">
                  <c:v>0.2757624178577463</c:v>
                </c:pt>
                <c:pt idx="6">
                  <c:v>0.3733769602283894</c:v>
                </c:pt>
                <c:pt idx="7">
                  <c:v>0.45618507626806248</c:v>
                </c:pt>
                <c:pt idx="8">
                  <c:v>0.4285050610697001</c:v>
                </c:pt>
                <c:pt idx="9">
                  <c:v>0.1138223901095555</c:v>
                </c:pt>
                <c:pt idx="11">
                  <c:v>0.148958729354181</c:v>
                </c:pt>
                <c:pt idx="12">
                  <c:v>0.35757437945062731</c:v>
                </c:pt>
                <c:pt idx="13">
                  <c:v>0.47168711892072879</c:v>
                </c:pt>
                <c:pt idx="14">
                  <c:v>0.34914444476498968</c:v>
                </c:pt>
                <c:pt idx="15">
                  <c:v>0.38332951161564283</c:v>
                </c:pt>
                <c:pt idx="16">
                  <c:v>0.25015686137210219</c:v>
                </c:pt>
                <c:pt idx="17">
                  <c:v>0.34546217241457522</c:v>
                </c:pt>
                <c:pt idx="18">
                  <c:v>0.43871250449665938</c:v>
                </c:pt>
                <c:pt idx="19">
                  <c:v>0.40956009760657441</c:v>
                </c:pt>
                <c:pt idx="20">
                  <c:v>0.1806648666067911</c:v>
                </c:pt>
                <c:pt idx="21">
                  <c:v>0.37647606966277403</c:v>
                </c:pt>
                <c:pt idx="22">
                  <c:v>0.43809116504553708</c:v>
                </c:pt>
                <c:pt idx="23">
                  <c:v>0.5025803165862619</c:v>
                </c:pt>
                <c:pt idx="24">
                  <c:v>0.27761421487624782</c:v>
                </c:pt>
                <c:pt idx="25">
                  <c:v>0.34805342768431369</c:v>
                </c:pt>
                <c:pt idx="26">
                  <c:v>0.24544821624400051</c:v>
                </c:pt>
                <c:pt idx="27">
                  <c:v>0.33951113292769658</c:v>
                </c:pt>
                <c:pt idx="28">
                  <c:v>0.49417890838173267</c:v>
                </c:pt>
                <c:pt idx="29">
                  <c:v>0.12969188597593501</c:v>
                </c:pt>
                <c:pt idx="30">
                  <c:v>0.39894568076238801</c:v>
                </c:pt>
                <c:pt idx="31">
                  <c:v>0.26921301378413931</c:v>
                </c:pt>
                <c:pt idx="32">
                  <c:v>0.38261457350277678</c:v>
                </c:pt>
                <c:pt idx="33">
                  <c:v>0.1167281659377554</c:v>
                </c:pt>
                <c:pt idx="34">
                  <c:v>0.33429904809333122</c:v>
                </c:pt>
                <c:pt idx="35">
                  <c:v>0.32538548543994972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A-4DB0-832D-CE07B17F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327952"/>
        <c:axId val="1294328432"/>
      </c:scatterChart>
      <c:valAx>
        <c:axId val="12943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4328432"/>
        <c:crosses val="autoZero"/>
        <c:crossBetween val="midCat"/>
      </c:valAx>
      <c:valAx>
        <c:axId val="12943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432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</xdr:colOff>
      <xdr:row>7</xdr:row>
      <xdr:rowOff>10477</xdr:rowOff>
    </xdr:from>
    <xdr:to>
      <xdr:col>19</xdr:col>
      <xdr:colOff>180975</xdr:colOff>
      <xdr:row>18</xdr:row>
      <xdr:rowOff>31432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3E82803-9753-6841-5141-F15878D0E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7"/>
  <sheetViews>
    <sheetView topLeftCell="A17" workbookViewId="0">
      <selection activeCell="A4" sqref="A4:A57"/>
    </sheetView>
  </sheetViews>
  <sheetFormatPr defaultRowHeight="19.2" x14ac:dyDescent="0.45"/>
  <sheetData>
    <row r="1" spans="1:124" ht="19.2" customHeight="1" x14ac:dyDescent="0.45">
      <c r="A1" t="s">
        <v>2187</v>
      </c>
      <c r="B1" t="s">
        <v>2187</v>
      </c>
      <c r="C1" t="s">
        <v>2187</v>
      </c>
      <c r="D1" t="s">
        <v>2187</v>
      </c>
      <c r="E1" t="s">
        <v>2187</v>
      </c>
      <c r="F1" t="s">
        <v>2188</v>
      </c>
      <c r="G1" t="s">
        <v>2188</v>
      </c>
      <c r="H1" t="s">
        <v>2188</v>
      </c>
      <c r="I1" t="s">
        <v>2188</v>
      </c>
      <c r="J1" t="s">
        <v>2189</v>
      </c>
      <c r="K1" t="s">
        <v>2189</v>
      </c>
      <c r="L1" t="s">
        <v>2189</v>
      </c>
      <c r="M1" t="s">
        <v>2189</v>
      </c>
      <c r="N1" t="s">
        <v>2189</v>
      </c>
      <c r="O1" t="s">
        <v>2189</v>
      </c>
      <c r="P1" t="s">
        <v>2189</v>
      </c>
      <c r="Q1" t="s">
        <v>2189</v>
      </c>
      <c r="R1" t="s">
        <v>2189</v>
      </c>
      <c r="S1" t="s">
        <v>2189</v>
      </c>
      <c r="T1" t="s">
        <v>2189</v>
      </c>
      <c r="U1" t="s">
        <v>2189</v>
      </c>
      <c r="V1" t="s">
        <v>2189</v>
      </c>
      <c r="W1" t="s">
        <v>2190</v>
      </c>
      <c r="X1" t="s">
        <v>2190</v>
      </c>
      <c r="Y1" t="s">
        <v>2190</v>
      </c>
      <c r="Z1" t="s">
        <v>2190</v>
      </c>
      <c r="AA1" t="s">
        <v>2190</v>
      </c>
      <c r="AB1" t="s">
        <v>2190</v>
      </c>
      <c r="AC1" t="s">
        <v>2190</v>
      </c>
      <c r="AD1" t="s">
        <v>2190</v>
      </c>
      <c r="AE1" t="s">
        <v>2190</v>
      </c>
      <c r="AF1" t="s">
        <v>2190</v>
      </c>
      <c r="AG1" t="s">
        <v>2190</v>
      </c>
      <c r="AH1" t="s">
        <v>2191</v>
      </c>
      <c r="AI1" t="s">
        <v>2191</v>
      </c>
      <c r="AJ1" t="s">
        <v>2191</v>
      </c>
      <c r="AK1" t="s">
        <v>2191</v>
      </c>
      <c r="AL1" t="s">
        <v>2191</v>
      </c>
      <c r="AM1" t="s">
        <v>2191</v>
      </c>
      <c r="AN1" t="s">
        <v>2191</v>
      </c>
      <c r="AO1" t="s">
        <v>2191</v>
      </c>
      <c r="AP1" t="s">
        <v>2191</v>
      </c>
      <c r="AQ1" t="s">
        <v>2191</v>
      </c>
      <c r="AR1" t="s">
        <v>2191</v>
      </c>
      <c r="AS1" t="s">
        <v>2192</v>
      </c>
      <c r="AT1" t="s">
        <v>2192</v>
      </c>
      <c r="AU1" t="s">
        <v>2192</v>
      </c>
      <c r="AV1" t="s">
        <v>2192</v>
      </c>
      <c r="AW1" t="s">
        <v>2192</v>
      </c>
      <c r="AX1" t="s">
        <v>2192</v>
      </c>
      <c r="AY1" t="s">
        <v>2192</v>
      </c>
      <c r="AZ1" t="s">
        <v>2192</v>
      </c>
      <c r="BA1" t="s">
        <v>2192</v>
      </c>
      <c r="BB1" t="s">
        <v>2192</v>
      </c>
      <c r="BC1" t="s">
        <v>2193</v>
      </c>
      <c r="BD1" t="s">
        <v>2193</v>
      </c>
      <c r="BE1" t="s">
        <v>2193</v>
      </c>
      <c r="BF1" t="s">
        <v>2193</v>
      </c>
      <c r="BG1" t="s">
        <v>2193</v>
      </c>
      <c r="BH1" t="s">
        <v>2193</v>
      </c>
      <c r="BI1" t="s">
        <v>2193</v>
      </c>
      <c r="BJ1" t="s">
        <v>2194</v>
      </c>
      <c r="BK1" t="s">
        <v>2194</v>
      </c>
      <c r="BL1" t="s">
        <v>2194</v>
      </c>
      <c r="BM1" t="s">
        <v>2194</v>
      </c>
      <c r="BN1" t="s">
        <v>2195</v>
      </c>
      <c r="BO1" t="s">
        <v>2195</v>
      </c>
      <c r="BP1" t="s">
        <v>2195</v>
      </c>
      <c r="BQ1" t="s">
        <v>2195</v>
      </c>
      <c r="BR1" t="s">
        <v>2195</v>
      </c>
      <c r="BS1" t="s">
        <v>2195</v>
      </c>
      <c r="BT1" t="s">
        <v>2196</v>
      </c>
      <c r="BU1" t="s">
        <v>2196</v>
      </c>
      <c r="BV1" t="s">
        <v>2196</v>
      </c>
      <c r="BW1" t="s">
        <v>2196</v>
      </c>
      <c r="BX1" t="s">
        <v>2196</v>
      </c>
      <c r="BY1" t="s">
        <v>2196</v>
      </c>
      <c r="BZ1" t="s">
        <v>2196</v>
      </c>
      <c r="CA1" t="s">
        <v>2196</v>
      </c>
      <c r="CB1" t="s">
        <v>2196</v>
      </c>
      <c r="CC1" t="s">
        <v>2196</v>
      </c>
      <c r="CD1" t="s">
        <v>2196</v>
      </c>
      <c r="CE1" t="s">
        <v>2197</v>
      </c>
      <c r="CF1" t="s">
        <v>2197</v>
      </c>
      <c r="CG1" t="s">
        <v>2197</v>
      </c>
      <c r="CH1" t="s">
        <v>2197</v>
      </c>
      <c r="CI1" t="s">
        <v>2197</v>
      </c>
      <c r="CJ1" t="s">
        <v>2197</v>
      </c>
      <c r="CK1" t="s">
        <v>2197</v>
      </c>
      <c r="CL1" t="s">
        <v>2197</v>
      </c>
      <c r="CM1" t="s">
        <v>2197</v>
      </c>
      <c r="CN1" t="s">
        <v>2197</v>
      </c>
      <c r="CO1" t="s">
        <v>2197</v>
      </c>
      <c r="CP1" t="s">
        <v>2197</v>
      </c>
      <c r="CQ1" t="s">
        <v>2197</v>
      </c>
      <c r="CR1" t="s">
        <v>2197</v>
      </c>
      <c r="CS1" t="s">
        <v>2197</v>
      </c>
      <c r="CT1" t="s">
        <v>2198</v>
      </c>
      <c r="CU1" t="s">
        <v>2198</v>
      </c>
      <c r="CV1" t="s">
        <v>2198</v>
      </c>
      <c r="CW1" t="s">
        <v>2198</v>
      </c>
      <c r="CX1" t="s">
        <v>2198</v>
      </c>
      <c r="CY1" t="s">
        <v>2198</v>
      </c>
      <c r="CZ1" t="s">
        <v>2198</v>
      </c>
      <c r="DA1" t="s">
        <v>2198</v>
      </c>
      <c r="DB1" t="s">
        <v>2198</v>
      </c>
      <c r="DC1" t="s">
        <v>2198</v>
      </c>
      <c r="DD1" t="s">
        <v>2199</v>
      </c>
      <c r="DE1" t="s">
        <v>2199</v>
      </c>
      <c r="DF1" t="s">
        <v>2199</v>
      </c>
      <c r="DG1" t="s">
        <v>2199</v>
      </c>
      <c r="DH1" t="s">
        <v>2199</v>
      </c>
      <c r="DI1" t="s">
        <v>2199</v>
      </c>
      <c r="DJ1" t="s">
        <v>2199</v>
      </c>
      <c r="DK1" t="s">
        <v>2199</v>
      </c>
      <c r="DL1" t="s">
        <v>2199</v>
      </c>
      <c r="DM1" t="s">
        <v>2199</v>
      </c>
      <c r="DN1" t="s">
        <v>2200</v>
      </c>
      <c r="DO1" t="s">
        <v>2200</v>
      </c>
      <c r="DP1" t="s">
        <v>2200</v>
      </c>
      <c r="DQ1" t="s">
        <v>2200</v>
      </c>
      <c r="DR1" t="s">
        <v>2200</v>
      </c>
      <c r="DS1" t="s">
        <v>2200</v>
      </c>
      <c r="DT1" t="s">
        <v>2200</v>
      </c>
    </row>
    <row r="2" spans="1:124" ht="19.2" customHeight="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</row>
    <row r="3" spans="1:124" ht="19.2" customHeight="1" x14ac:dyDescent="0.45">
      <c r="B3" t="s">
        <v>2201</v>
      </c>
      <c r="C3" t="s">
        <v>2202</v>
      </c>
      <c r="J3" t="s">
        <v>2203</v>
      </c>
      <c r="K3" t="s">
        <v>2203</v>
      </c>
      <c r="L3" t="s">
        <v>2203</v>
      </c>
      <c r="M3" t="s">
        <v>2204</v>
      </c>
      <c r="N3" t="s">
        <v>2205</v>
      </c>
      <c r="O3" t="s">
        <v>2205</v>
      </c>
      <c r="P3" t="s">
        <v>2205</v>
      </c>
      <c r="Q3" t="s">
        <v>2205</v>
      </c>
      <c r="R3" t="s">
        <v>2206</v>
      </c>
      <c r="S3" t="s">
        <v>2206</v>
      </c>
      <c r="T3" t="s">
        <v>2206</v>
      </c>
      <c r="U3" t="s">
        <v>2207</v>
      </c>
      <c r="V3" t="s">
        <v>2208</v>
      </c>
      <c r="AF3" t="s">
        <v>2209</v>
      </c>
      <c r="AH3" t="s">
        <v>2210</v>
      </c>
      <c r="AI3" t="s">
        <v>2210</v>
      </c>
      <c r="AJ3" t="s">
        <v>2211</v>
      </c>
      <c r="AK3" t="s">
        <v>2211</v>
      </c>
      <c r="AL3" t="s">
        <v>2211</v>
      </c>
      <c r="AM3" t="s">
        <v>2205</v>
      </c>
      <c r="AN3" t="s">
        <v>2212</v>
      </c>
      <c r="AO3" t="s">
        <v>2212</v>
      </c>
      <c r="AP3" t="s">
        <v>2210</v>
      </c>
      <c r="AQ3" t="s">
        <v>2209</v>
      </c>
      <c r="AR3" t="s">
        <v>2213</v>
      </c>
      <c r="AS3" t="s">
        <v>2214</v>
      </c>
      <c r="AT3" t="s">
        <v>2214</v>
      </c>
      <c r="AU3" t="s">
        <v>2214</v>
      </c>
      <c r="AV3" t="s">
        <v>2214</v>
      </c>
      <c r="AW3" t="s">
        <v>2210</v>
      </c>
      <c r="AX3" t="s">
        <v>2214</v>
      </c>
      <c r="AY3" t="s">
        <v>2214</v>
      </c>
      <c r="AZ3" t="s">
        <v>2214</v>
      </c>
      <c r="BA3" t="s">
        <v>2214</v>
      </c>
      <c r="BB3" t="s">
        <v>2214</v>
      </c>
      <c r="BC3" t="s">
        <v>2201</v>
      </c>
      <c r="BD3" t="s">
        <v>2202</v>
      </c>
      <c r="BE3" t="s">
        <v>2214</v>
      </c>
      <c r="BF3" t="s">
        <v>2214</v>
      </c>
      <c r="BG3" t="s">
        <v>2215</v>
      </c>
      <c r="BJ3" t="s">
        <v>2201</v>
      </c>
      <c r="BK3" t="s">
        <v>2202</v>
      </c>
      <c r="BL3" t="s">
        <v>2210</v>
      </c>
      <c r="BU3" t="s">
        <v>2212</v>
      </c>
      <c r="BV3" t="s">
        <v>2216</v>
      </c>
      <c r="BW3" t="s">
        <v>2217</v>
      </c>
      <c r="CG3" t="s">
        <v>2209</v>
      </c>
      <c r="CH3" t="s">
        <v>2218</v>
      </c>
      <c r="CI3" t="s">
        <v>2219</v>
      </c>
      <c r="CJ3" t="s">
        <v>2217</v>
      </c>
      <c r="CK3" t="s">
        <v>2220</v>
      </c>
      <c r="CL3" t="s">
        <v>2220</v>
      </c>
      <c r="CM3" t="s">
        <v>2220</v>
      </c>
      <c r="CO3" t="s">
        <v>2210</v>
      </c>
      <c r="CT3" t="s">
        <v>2213</v>
      </c>
      <c r="CU3" t="s">
        <v>2213</v>
      </c>
      <c r="CV3" t="s">
        <v>2213</v>
      </c>
      <c r="CW3" t="s">
        <v>2213</v>
      </c>
      <c r="CX3" t="s">
        <v>2213</v>
      </c>
      <c r="CY3" t="s">
        <v>2213</v>
      </c>
      <c r="CZ3" t="s">
        <v>2213</v>
      </c>
      <c r="DA3" t="s">
        <v>2213</v>
      </c>
      <c r="DB3" t="s">
        <v>2213</v>
      </c>
      <c r="DC3" t="s">
        <v>2221</v>
      </c>
    </row>
    <row r="4" spans="1:124" ht="19.2" customHeight="1" x14ac:dyDescent="0.45">
      <c r="A4" t="s">
        <v>124</v>
      </c>
      <c r="B4" t="s">
        <v>125</v>
      </c>
      <c r="C4" t="s">
        <v>126</v>
      </c>
      <c r="D4" t="s">
        <v>127</v>
      </c>
      <c r="E4" t="s">
        <v>128</v>
      </c>
      <c r="I4" t="s">
        <v>2222</v>
      </c>
      <c r="J4">
        <f t="shared" ref="J4:J35" si="0">1/((1/L4)-(1/K4))</f>
        <v>0.49477776159029091</v>
      </c>
      <c r="K4">
        <f t="shared" ref="K4:K35" si="1">BY4+(BZ4*AN4)+(CA4*AN4*POWER(V4,2))+(CB4*AN4*V4)+(CC4*POWER(AN4,2))</f>
        <v>2.9050319999999994</v>
      </c>
      <c r="L4">
        <f t="shared" ref="L4:L35" si="2">((M4/1000)*(1000-((T4+S4)/2)))/(T4-S4)</f>
        <v>0.4227722523026804</v>
      </c>
      <c r="M4">
        <f t="shared" ref="M4:M35" si="3">(AN4*(S4-R4))/(100*U4*(1000-S4))*1000</f>
        <v>5.6853106577684898</v>
      </c>
      <c r="N4" t="s">
        <v>130</v>
      </c>
      <c r="O4" t="s">
        <v>131</v>
      </c>
      <c r="P4">
        <f t="shared" ref="P4:P35" si="4">0.61365*EXP((17.502*AL4)/(240.97+AL4))</f>
        <v>3.2177895977677848</v>
      </c>
      <c r="Q4">
        <f t="shared" ref="Q4:Q35" si="5">P4-N4</f>
        <v>1.3293555977677849</v>
      </c>
      <c r="R4" t="s">
        <v>132</v>
      </c>
      <c r="S4" t="s">
        <v>133</v>
      </c>
      <c r="T4">
        <f t="shared" ref="T4:T35" si="6">(P4/AM4)*1000</f>
        <v>31.730495984299228</v>
      </c>
      <c r="U4">
        <f t="shared" ref="U4:U35" si="7">V4*BX4</f>
        <v>0.4417875</v>
      </c>
      <c r="V4" t="s">
        <v>134</v>
      </c>
      <c r="W4" t="s">
        <v>135</v>
      </c>
      <c r="X4" t="s">
        <v>136</v>
      </c>
      <c r="Y4" t="s">
        <v>136</v>
      </c>
      <c r="Z4" t="s">
        <v>136</v>
      </c>
      <c r="AA4" t="s">
        <v>137</v>
      </c>
      <c r="AB4" t="s">
        <v>138</v>
      </c>
      <c r="AC4" t="s">
        <v>139</v>
      </c>
      <c r="AD4" t="s">
        <v>140</v>
      </c>
      <c r="AE4" t="s">
        <v>141</v>
      </c>
      <c r="AF4">
        <f t="shared" ref="AF4:AF35" si="8">AC4*AD4*AE4*AQ4</f>
        <v>96.176967599999998</v>
      </c>
      <c r="AG4" t="s">
        <v>142</v>
      </c>
      <c r="AH4" t="s">
        <v>143</v>
      </c>
      <c r="AI4" t="s">
        <v>144</v>
      </c>
      <c r="AJ4" t="s">
        <v>145</v>
      </c>
      <c r="AK4" t="s">
        <v>146</v>
      </c>
      <c r="AL4">
        <f t="shared" ref="AL4:AL35" si="9">(AK4-AJ4)*(AJ4*0+0)+AK4</f>
        <v>25.2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154</v>
      </c>
      <c r="AU4" t="s">
        <v>155</v>
      </c>
      <c r="AX4" t="s">
        <v>156</v>
      </c>
      <c r="AY4" t="s">
        <v>157</v>
      </c>
      <c r="BC4" t="s">
        <v>158</v>
      </c>
      <c r="BD4" t="s">
        <v>159</v>
      </c>
      <c r="BE4" t="s">
        <v>160</v>
      </c>
      <c r="BF4" t="s">
        <v>160</v>
      </c>
      <c r="BG4" t="s">
        <v>160</v>
      </c>
      <c r="BH4" t="s">
        <v>161</v>
      </c>
      <c r="BI4" t="s">
        <v>160</v>
      </c>
      <c r="BJ4" t="s">
        <v>162</v>
      </c>
      <c r="BK4" t="s">
        <v>126</v>
      </c>
      <c r="BL4" t="s">
        <v>163</v>
      </c>
      <c r="BM4" t="s">
        <v>124</v>
      </c>
      <c r="BN4" t="s">
        <v>164</v>
      </c>
      <c r="BO4" t="s">
        <v>165</v>
      </c>
      <c r="BP4" t="s">
        <v>166</v>
      </c>
      <c r="BQ4" t="s">
        <v>167</v>
      </c>
      <c r="BR4" t="s">
        <v>168</v>
      </c>
      <c r="BS4" t="s">
        <v>169</v>
      </c>
      <c r="BT4" t="s">
        <v>124</v>
      </c>
      <c r="BU4" t="s">
        <v>170</v>
      </c>
      <c r="BV4" t="s">
        <v>171</v>
      </c>
      <c r="BW4" t="s">
        <v>172</v>
      </c>
      <c r="BX4" t="s">
        <v>173</v>
      </c>
      <c r="BY4" t="s">
        <v>136</v>
      </c>
      <c r="BZ4" t="s">
        <v>174</v>
      </c>
      <c r="CA4" t="s">
        <v>136</v>
      </c>
      <c r="CB4" t="s">
        <v>136</v>
      </c>
      <c r="CC4" t="s">
        <v>175</v>
      </c>
      <c r="CD4" t="s">
        <v>176</v>
      </c>
      <c r="CE4" t="s">
        <v>161</v>
      </c>
      <c r="CF4" t="s">
        <v>177</v>
      </c>
      <c r="CG4" t="s">
        <v>178</v>
      </c>
      <c r="CH4" t="s">
        <v>179</v>
      </c>
      <c r="CI4" t="s">
        <v>142</v>
      </c>
      <c r="CJ4" t="s">
        <v>172</v>
      </c>
      <c r="CK4" t="s">
        <v>180</v>
      </c>
      <c r="CL4" t="s">
        <v>180</v>
      </c>
      <c r="CM4" t="s">
        <v>180</v>
      </c>
      <c r="CN4" t="s">
        <v>136</v>
      </c>
      <c r="CO4" t="s">
        <v>181</v>
      </c>
      <c r="CP4" t="s">
        <v>136</v>
      </c>
      <c r="CQ4" t="s">
        <v>136</v>
      </c>
      <c r="CR4" t="s">
        <v>136</v>
      </c>
      <c r="CS4" t="s">
        <v>136</v>
      </c>
      <c r="CT4" t="s">
        <v>182</v>
      </c>
      <c r="CU4" t="s">
        <v>183</v>
      </c>
      <c r="CV4" t="s">
        <v>184</v>
      </c>
      <c r="CW4" t="s">
        <v>185</v>
      </c>
      <c r="CX4" t="s">
        <v>186</v>
      </c>
      <c r="CY4" t="s">
        <v>187</v>
      </c>
      <c r="CZ4" t="s">
        <v>188</v>
      </c>
      <c r="DA4" t="s">
        <v>189</v>
      </c>
      <c r="DB4" t="s">
        <v>137</v>
      </c>
      <c r="DC4" t="s">
        <v>190</v>
      </c>
      <c r="DD4" t="s">
        <v>191</v>
      </c>
      <c r="DE4" t="s">
        <v>192</v>
      </c>
      <c r="DF4" t="s">
        <v>142</v>
      </c>
      <c r="DG4" t="s">
        <v>193</v>
      </c>
      <c r="DH4" t="s">
        <v>194</v>
      </c>
      <c r="DI4" t="s">
        <v>142</v>
      </c>
      <c r="DJ4" t="s">
        <v>195</v>
      </c>
      <c r="DK4" t="s">
        <v>196</v>
      </c>
      <c r="DL4" t="s">
        <v>197</v>
      </c>
      <c r="DM4" t="s">
        <v>136</v>
      </c>
      <c r="DN4" t="s">
        <v>135</v>
      </c>
      <c r="DO4" t="s">
        <v>198</v>
      </c>
      <c r="DP4" t="s">
        <v>199</v>
      </c>
      <c r="DQ4" t="s">
        <v>200</v>
      </c>
      <c r="DR4" t="s">
        <v>201</v>
      </c>
      <c r="DS4" t="s">
        <v>202</v>
      </c>
      <c r="DT4" t="s">
        <v>203</v>
      </c>
    </row>
    <row r="5" spans="1:124" ht="19.2" customHeight="1" x14ac:dyDescent="0.45">
      <c r="A5" t="s">
        <v>204</v>
      </c>
      <c r="B5" t="s">
        <v>205</v>
      </c>
      <c r="C5" t="s">
        <v>126</v>
      </c>
      <c r="D5" t="s">
        <v>127</v>
      </c>
      <c r="E5" t="s">
        <v>128</v>
      </c>
      <c r="I5" t="s">
        <v>2223</v>
      </c>
      <c r="J5">
        <f t="shared" si="0"/>
        <v>0.4488371687077598</v>
      </c>
      <c r="K5">
        <f t="shared" si="1"/>
        <v>2.9026216799999998</v>
      </c>
      <c r="L5">
        <f t="shared" si="2"/>
        <v>0.38872758267143587</v>
      </c>
      <c r="M5">
        <f t="shared" si="3"/>
        <v>5.1765502764392686</v>
      </c>
      <c r="N5" t="s">
        <v>206</v>
      </c>
      <c r="O5" t="s">
        <v>207</v>
      </c>
      <c r="P5">
        <f t="shared" si="4"/>
        <v>3.2485659932677993</v>
      </c>
      <c r="Q5">
        <f t="shared" si="5"/>
        <v>1.3164079932677992</v>
      </c>
      <c r="R5" t="s">
        <v>208</v>
      </c>
      <c r="S5" t="s">
        <v>209</v>
      </c>
      <c r="T5">
        <f t="shared" si="6"/>
        <v>32.024507031425465</v>
      </c>
      <c r="U5">
        <f t="shared" si="7"/>
        <v>0.4417875</v>
      </c>
      <c r="V5" t="s">
        <v>134</v>
      </c>
      <c r="W5" t="s">
        <v>210</v>
      </c>
      <c r="X5" t="s">
        <v>136</v>
      </c>
      <c r="Y5" t="s">
        <v>136</v>
      </c>
      <c r="Z5" t="s">
        <v>136</v>
      </c>
      <c r="AA5" t="s">
        <v>211</v>
      </c>
      <c r="AB5" t="s">
        <v>212</v>
      </c>
      <c r="AC5" t="s">
        <v>213</v>
      </c>
      <c r="AD5" t="s">
        <v>140</v>
      </c>
      <c r="AE5" t="s">
        <v>141</v>
      </c>
      <c r="AF5">
        <f t="shared" si="8"/>
        <v>110.00323152</v>
      </c>
      <c r="AG5" t="s">
        <v>142</v>
      </c>
      <c r="AH5" t="s">
        <v>214</v>
      </c>
      <c r="AI5" t="s">
        <v>215</v>
      </c>
      <c r="AJ5" t="s">
        <v>216</v>
      </c>
      <c r="AK5" t="s">
        <v>217</v>
      </c>
      <c r="AL5">
        <f t="shared" si="9"/>
        <v>25.36</v>
      </c>
      <c r="AM5" t="s">
        <v>218</v>
      </c>
      <c r="AN5" t="s">
        <v>219</v>
      </c>
      <c r="AO5" t="s">
        <v>220</v>
      </c>
      <c r="AP5" t="s">
        <v>221</v>
      </c>
      <c r="AQ5" t="s">
        <v>222</v>
      </c>
      <c r="AR5" t="s">
        <v>223</v>
      </c>
      <c r="AS5" t="s">
        <v>224</v>
      </c>
      <c r="AT5" t="s">
        <v>124</v>
      </c>
      <c r="AU5" t="s">
        <v>225</v>
      </c>
      <c r="AX5" t="s">
        <v>226</v>
      </c>
      <c r="AY5" t="s">
        <v>227</v>
      </c>
      <c r="BC5" t="s">
        <v>158</v>
      </c>
      <c r="BD5" t="s">
        <v>159</v>
      </c>
      <c r="BE5" t="s">
        <v>160</v>
      </c>
      <c r="BF5" t="s">
        <v>160</v>
      </c>
      <c r="BG5" t="s">
        <v>160</v>
      </c>
      <c r="BH5" t="s">
        <v>161</v>
      </c>
      <c r="BI5" t="s">
        <v>160</v>
      </c>
      <c r="BJ5" t="s">
        <v>162</v>
      </c>
      <c r="BK5" t="s">
        <v>126</v>
      </c>
      <c r="BL5" t="s">
        <v>163</v>
      </c>
      <c r="BM5" t="s">
        <v>124</v>
      </c>
      <c r="BN5" t="s">
        <v>228</v>
      </c>
      <c r="BO5" t="s">
        <v>164</v>
      </c>
      <c r="BP5" t="s">
        <v>229</v>
      </c>
      <c r="BQ5" t="s">
        <v>230</v>
      </c>
      <c r="BR5" t="s">
        <v>231</v>
      </c>
      <c r="BS5" t="s">
        <v>232</v>
      </c>
      <c r="BT5" t="s">
        <v>124</v>
      </c>
      <c r="BU5" t="s">
        <v>170</v>
      </c>
      <c r="BV5" t="s">
        <v>171</v>
      </c>
      <c r="BW5" t="s">
        <v>172</v>
      </c>
      <c r="BX5" t="s">
        <v>173</v>
      </c>
      <c r="BY5" t="s">
        <v>136</v>
      </c>
      <c r="BZ5" t="s">
        <v>174</v>
      </c>
      <c r="CA5" t="s">
        <v>136</v>
      </c>
      <c r="CB5" t="s">
        <v>136</v>
      </c>
      <c r="CC5" t="s">
        <v>175</v>
      </c>
      <c r="CD5" t="s">
        <v>176</v>
      </c>
      <c r="CE5" t="s">
        <v>161</v>
      </c>
      <c r="CF5" t="s">
        <v>177</v>
      </c>
      <c r="CG5" t="s">
        <v>178</v>
      </c>
      <c r="CH5" t="s">
        <v>179</v>
      </c>
      <c r="CI5" t="s">
        <v>142</v>
      </c>
      <c r="CJ5" t="s">
        <v>172</v>
      </c>
      <c r="CK5" t="s">
        <v>180</v>
      </c>
      <c r="CL5" t="s">
        <v>180</v>
      </c>
      <c r="CM5" t="s">
        <v>180</v>
      </c>
      <c r="CN5" t="s">
        <v>136</v>
      </c>
      <c r="CO5" t="s">
        <v>181</v>
      </c>
      <c r="CP5" t="s">
        <v>136</v>
      </c>
      <c r="CQ5" t="s">
        <v>136</v>
      </c>
      <c r="CR5" t="s">
        <v>136</v>
      </c>
      <c r="CS5" t="s">
        <v>136</v>
      </c>
      <c r="CT5" t="s">
        <v>233</v>
      </c>
      <c r="CU5" t="s">
        <v>234</v>
      </c>
      <c r="CV5" t="s">
        <v>235</v>
      </c>
      <c r="CW5" t="s">
        <v>236</v>
      </c>
      <c r="CX5" t="s">
        <v>237</v>
      </c>
      <c r="CY5" t="s">
        <v>238</v>
      </c>
      <c r="CZ5" t="s">
        <v>239</v>
      </c>
      <c r="DA5" t="s">
        <v>240</v>
      </c>
      <c r="DB5" t="s">
        <v>211</v>
      </c>
      <c r="DC5" t="s">
        <v>241</v>
      </c>
      <c r="DD5" t="s">
        <v>191</v>
      </c>
      <c r="DE5" t="s">
        <v>192</v>
      </c>
      <c r="DF5" t="s">
        <v>142</v>
      </c>
      <c r="DG5" t="s">
        <v>193</v>
      </c>
      <c r="DH5" t="s">
        <v>194</v>
      </c>
      <c r="DI5" t="s">
        <v>142</v>
      </c>
      <c r="DJ5" t="s">
        <v>195</v>
      </c>
      <c r="DK5" t="s">
        <v>196</v>
      </c>
      <c r="DL5" t="s">
        <v>197</v>
      </c>
      <c r="DM5" t="s">
        <v>136</v>
      </c>
      <c r="DN5" t="s">
        <v>210</v>
      </c>
      <c r="DO5" t="s">
        <v>198</v>
      </c>
      <c r="DP5" t="s">
        <v>199</v>
      </c>
      <c r="DQ5" t="s">
        <v>200</v>
      </c>
      <c r="DR5" t="s">
        <v>201</v>
      </c>
      <c r="DS5" t="s">
        <v>202</v>
      </c>
      <c r="DT5" t="s">
        <v>203</v>
      </c>
    </row>
    <row r="6" spans="1:124" ht="19.2" customHeight="1" x14ac:dyDescent="0.45">
      <c r="A6" t="s">
        <v>553</v>
      </c>
      <c r="B6" t="s">
        <v>554</v>
      </c>
      <c r="C6" t="s">
        <v>126</v>
      </c>
      <c r="D6" t="s">
        <v>127</v>
      </c>
      <c r="E6" t="s">
        <v>128</v>
      </c>
      <c r="I6" t="s">
        <v>2224</v>
      </c>
      <c r="J6">
        <f t="shared" si="0"/>
        <v>0.28522783856659684</v>
      </c>
      <c r="K6">
        <f t="shared" si="1"/>
        <v>2.9042299199999997</v>
      </c>
      <c r="L6">
        <f t="shared" si="2"/>
        <v>0.25972039308472439</v>
      </c>
      <c r="M6">
        <f t="shared" si="3"/>
        <v>3.8783964902928614</v>
      </c>
      <c r="N6" t="s">
        <v>556</v>
      </c>
      <c r="O6" t="s">
        <v>557</v>
      </c>
      <c r="P6">
        <f t="shared" si="4"/>
        <v>3.3762556146426332</v>
      </c>
      <c r="Q6">
        <f t="shared" si="5"/>
        <v>1.4751916146426332</v>
      </c>
      <c r="R6" t="s">
        <v>558</v>
      </c>
      <c r="S6" t="s">
        <v>559</v>
      </c>
      <c r="T6">
        <f t="shared" si="6"/>
        <v>33.28984041256787</v>
      </c>
      <c r="U6">
        <f t="shared" si="7"/>
        <v>0.4417875</v>
      </c>
      <c r="V6" t="s">
        <v>134</v>
      </c>
      <c r="W6" t="s">
        <v>560</v>
      </c>
      <c r="X6" t="s">
        <v>136</v>
      </c>
      <c r="Y6" t="s">
        <v>136</v>
      </c>
      <c r="Z6" t="s">
        <v>136</v>
      </c>
      <c r="AA6" t="s">
        <v>561</v>
      </c>
      <c r="AB6" t="s">
        <v>562</v>
      </c>
      <c r="AC6" t="s">
        <v>563</v>
      </c>
      <c r="AD6" t="s">
        <v>140</v>
      </c>
      <c r="AE6" t="s">
        <v>141</v>
      </c>
      <c r="AF6">
        <f t="shared" si="8"/>
        <v>125.2796706</v>
      </c>
      <c r="AG6" t="s">
        <v>142</v>
      </c>
      <c r="AH6" t="s">
        <v>564</v>
      </c>
      <c r="AI6" t="s">
        <v>565</v>
      </c>
      <c r="AJ6" t="s">
        <v>566</v>
      </c>
      <c r="AK6" t="s">
        <v>567</v>
      </c>
      <c r="AL6">
        <f t="shared" si="9"/>
        <v>26.01</v>
      </c>
      <c r="AM6" t="s">
        <v>349</v>
      </c>
      <c r="AN6" t="s">
        <v>524</v>
      </c>
      <c r="AO6" t="s">
        <v>568</v>
      </c>
      <c r="AP6" t="s">
        <v>569</v>
      </c>
      <c r="AQ6" t="s">
        <v>570</v>
      </c>
      <c r="AR6" t="s">
        <v>223</v>
      </c>
      <c r="AS6" t="s">
        <v>571</v>
      </c>
      <c r="AT6" t="s">
        <v>572</v>
      </c>
      <c r="AU6" t="s">
        <v>573</v>
      </c>
      <c r="AX6" t="s">
        <v>574</v>
      </c>
      <c r="AY6" t="s">
        <v>575</v>
      </c>
      <c r="BC6" t="s">
        <v>158</v>
      </c>
      <c r="BD6" t="s">
        <v>159</v>
      </c>
      <c r="BE6" t="s">
        <v>160</v>
      </c>
      <c r="BF6" t="s">
        <v>160</v>
      </c>
      <c r="BG6" t="s">
        <v>160</v>
      </c>
      <c r="BH6" t="s">
        <v>161</v>
      </c>
      <c r="BI6" t="s">
        <v>160</v>
      </c>
      <c r="BJ6" t="s">
        <v>162</v>
      </c>
      <c r="BK6" t="s">
        <v>126</v>
      </c>
      <c r="BL6" t="s">
        <v>163</v>
      </c>
      <c r="BM6" t="s">
        <v>124</v>
      </c>
      <c r="BN6" t="s">
        <v>171</v>
      </c>
      <c r="BO6" t="s">
        <v>171</v>
      </c>
      <c r="BP6" t="s">
        <v>276</v>
      </c>
      <c r="BQ6" t="s">
        <v>576</v>
      </c>
      <c r="BR6" t="s">
        <v>577</v>
      </c>
      <c r="BS6" t="s">
        <v>578</v>
      </c>
      <c r="BT6" t="s">
        <v>124</v>
      </c>
      <c r="BU6" t="s">
        <v>170</v>
      </c>
      <c r="BV6" t="s">
        <v>171</v>
      </c>
      <c r="BW6" t="s">
        <v>172</v>
      </c>
      <c r="BX6" t="s">
        <v>173</v>
      </c>
      <c r="BY6" t="s">
        <v>136</v>
      </c>
      <c r="BZ6" t="s">
        <v>174</v>
      </c>
      <c r="CA6" t="s">
        <v>136</v>
      </c>
      <c r="CB6" t="s">
        <v>136</v>
      </c>
      <c r="CC6" t="s">
        <v>175</v>
      </c>
      <c r="CD6" t="s">
        <v>176</v>
      </c>
      <c r="CE6" t="s">
        <v>161</v>
      </c>
      <c r="CF6" t="s">
        <v>177</v>
      </c>
      <c r="CG6" t="s">
        <v>178</v>
      </c>
      <c r="CH6" t="s">
        <v>179</v>
      </c>
      <c r="CI6" t="s">
        <v>142</v>
      </c>
      <c r="CJ6" t="s">
        <v>172</v>
      </c>
      <c r="CK6" t="s">
        <v>180</v>
      </c>
      <c r="CL6" t="s">
        <v>180</v>
      </c>
      <c r="CM6" t="s">
        <v>180</v>
      </c>
      <c r="CN6" t="s">
        <v>136</v>
      </c>
      <c r="CO6" t="s">
        <v>181</v>
      </c>
      <c r="CP6" t="s">
        <v>136</v>
      </c>
      <c r="CQ6" t="s">
        <v>136</v>
      </c>
      <c r="CR6" t="s">
        <v>136</v>
      </c>
      <c r="CS6" t="s">
        <v>136</v>
      </c>
      <c r="CT6" t="s">
        <v>579</v>
      </c>
      <c r="CU6" t="s">
        <v>580</v>
      </c>
      <c r="CV6" t="s">
        <v>581</v>
      </c>
      <c r="CW6" t="s">
        <v>582</v>
      </c>
      <c r="CX6" t="s">
        <v>583</v>
      </c>
      <c r="CY6" t="s">
        <v>584</v>
      </c>
      <c r="CZ6" t="s">
        <v>585</v>
      </c>
      <c r="DA6" t="s">
        <v>586</v>
      </c>
      <c r="DB6" t="s">
        <v>561</v>
      </c>
      <c r="DC6" t="s">
        <v>334</v>
      </c>
      <c r="DD6" t="s">
        <v>191</v>
      </c>
      <c r="DE6" t="s">
        <v>192</v>
      </c>
      <c r="DF6" t="s">
        <v>142</v>
      </c>
      <c r="DG6" t="s">
        <v>193</v>
      </c>
      <c r="DH6" t="s">
        <v>194</v>
      </c>
      <c r="DI6" t="s">
        <v>142</v>
      </c>
      <c r="DJ6" t="s">
        <v>195</v>
      </c>
      <c r="DK6" t="s">
        <v>196</v>
      </c>
      <c r="DL6" t="s">
        <v>197</v>
      </c>
      <c r="DM6" t="s">
        <v>136</v>
      </c>
      <c r="DN6" t="s">
        <v>560</v>
      </c>
      <c r="DO6" t="s">
        <v>198</v>
      </c>
      <c r="DP6" t="s">
        <v>199</v>
      </c>
      <c r="DQ6" t="s">
        <v>200</v>
      </c>
      <c r="DR6" t="s">
        <v>201</v>
      </c>
      <c r="DS6" t="s">
        <v>202</v>
      </c>
      <c r="DT6" t="s">
        <v>203</v>
      </c>
    </row>
    <row r="7" spans="1:124" ht="19.2" customHeight="1" x14ac:dyDescent="0.45">
      <c r="A7" t="s">
        <v>587</v>
      </c>
      <c r="B7" t="s">
        <v>588</v>
      </c>
      <c r="C7" t="s">
        <v>126</v>
      </c>
      <c r="D7" t="s">
        <v>127</v>
      </c>
      <c r="E7" t="s">
        <v>128</v>
      </c>
      <c r="I7" t="s">
        <v>2225</v>
      </c>
      <c r="J7">
        <f t="shared" si="0"/>
        <v>0.53915103360803751</v>
      </c>
      <c r="K7">
        <f t="shared" si="1"/>
        <v>2.9058327199999998</v>
      </c>
      <c r="L7">
        <f t="shared" si="2"/>
        <v>0.45477216339241655</v>
      </c>
      <c r="M7">
        <f t="shared" si="3"/>
        <v>6.0435428428907816</v>
      </c>
      <c r="N7" t="s">
        <v>589</v>
      </c>
      <c r="O7" t="s">
        <v>590</v>
      </c>
      <c r="P7">
        <f t="shared" si="4"/>
        <v>3.2991262994486892</v>
      </c>
      <c r="Q7">
        <f t="shared" si="5"/>
        <v>1.3127512994486892</v>
      </c>
      <c r="R7" t="s">
        <v>591</v>
      </c>
      <c r="S7" t="s">
        <v>592</v>
      </c>
      <c r="T7">
        <f t="shared" si="6"/>
        <v>32.526139203871523</v>
      </c>
      <c r="U7">
        <f t="shared" si="7"/>
        <v>0.4417875</v>
      </c>
      <c r="V7" t="s">
        <v>134</v>
      </c>
      <c r="W7" t="s">
        <v>593</v>
      </c>
      <c r="X7" t="s">
        <v>136</v>
      </c>
      <c r="Y7" t="s">
        <v>136</v>
      </c>
      <c r="Z7" t="s">
        <v>136</v>
      </c>
      <c r="AA7" t="s">
        <v>594</v>
      </c>
      <c r="AB7" t="s">
        <v>595</v>
      </c>
      <c r="AC7" t="s">
        <v>596</v>
      </c>
      <c r="AD7" t="s">
        <v>140</v>
      </c>
      <c r="AE7" t="s">
        <v>141</v>
      </c>
      <c r="AF7">
        <f t="shared" si="8"/>
        <v>142.25698367999999</v>
      </c>
      <c r="AG7" t="s">
        <v>142</v>
      </c>
      <c r="AH7" t="s">
        <v>597</v>
      </c>
      <c r="AI7" t="s">
        <v>598</v>
      </c>
      <c r="AJ7" t="s">
        <v>599</v>
      </c>
      <c r="AK7" t="s">
        <v>600</v>
      </c>
      <c r="AL7">
        <f t="shared" si="9"/>
        <v>25.62</v>
      </c>
      <c r="AM7" t="s">
        <v>256</v>
      </c>
      <c r="AN7" t="s">
        <v>350</v>
      </c>
      <c r="AO7" t="s">
        <v>601</v>
      </c>
      <c r="AP7" t="s">
        <v>140</v>
      </c>
      <c r="AQ7" t="s">
        <v>602</v>
      </c>
      <c r="AR7" t="s">
        <v>603</v>
      </c>
      <c r="AS7" t="s">
        <v>263</v>
      </c>
      <c r="AT7" t="s">
        <v>204</v>
      </c>
      <c r="AU7" t="s">
        <v>604</v>
      </c>
      <c r="AV7" t="s">
        <v>605</v>
      </c>
      <c r="AW7" t="s">
        <v>606</v>
      </c>
      <c r="AX7" t="s">
        <v>359</v>
      </c>
      <c r="AY7" t="s">
        <v>607</v>
      </c>
      <c r="AZ7" t="s">
        <v>268</v>
      </c>
      <c r="BA7" t="s">
        <v>608</v>
      </c>
      <c r="BB7" t="s">
        <v>609</v>
      </c>
      <c r="BC7" t="s">
        <v>610</v>
      </c>
      <c r="BD7" t="s">
        <v>126</v>
      </c>
      <c r="BE7" t="s">
        <v>611</v>
      </c>
      <c r="BF7" t="s">
        <v>612</v>
      </c>
      <c r="BG7" t="s">
        <v>613</v>
      </c>
      <c r="BH7" t="s">
        <v>614</v>
      </c>
      <c r="BI7" t="s">
        <v>615</v>
      </c>
      <c r="BJ7" t="s">
        <v>162</v>
      </c>
      <c r="BK7" t="s">
        <v>126</v>
      </c>
      <c r="BL7" t="s">
        <v>163</v>
      </c>
      <c r="BM7" t="s">
        <v>124</v>
      </c>
      <c r="BN7" t="s">
        <v>276</v>
      </c>
      <c r="BO7" t="s">
        <v>228</v>
      </c>
      <c r="BP7" t="s">
        <v>456</v>
      </c>
      <c r="BQ7" t="s">
        <v>616</v>
      </c>
      <c r="BR7" t="s">
        <v>617</v>
      </c>
      <c r="BS7" t="s">
        <v>618</v>
      </c>
      <c r="BT7" t="s">
        <v>124</v>
      </c>
      <c r="BU7" t="s">
        <v>170</v>
      </c>
      <c r="BV7" t="s">
        <v>171</v>
      </c>
      <c r="BW7" t="s">
        <v>172</v>
      </c>
      <c r="BX7" t="s">
        <v>173</v>
      </c>
      <c r="BY7" t="s">
        <v>136</v>
      </c>
      <c r="BZ7" t="s">
        <v>174</v>
      </c>
      <c r="CA7" t="s">
        <v>136</v>
      </c>
      <c r="CB7" t="s">
        <v>136</v>
      </c>
      <c r="CC7" t="s">
        <v>175</v>
      </c>
      <c r="CD7" t="s">
        <v>176</v>
      </c>
      <c r="CE7" t="s">
        <v>161</v>
      </c>
      <c r="CF7" t="s">
        <v>177</v>
      </c>
      <c r="CG7" t="s">
        <v>178</v>
      </c>
      <c r="CH7" t="s">
        <v>179</v>
      </c>
      <c r="CI7" t="s">
        <v>142</v>
      </c>
      <c r="CJ7" t="s">
        <v>172</v>
      </c>
      <c r="CK7" t="s">
        <v>180</v>
      </c>
      <c r="CL7" t="s">
        <v>180</v>
      </c>
      <c r="CM7" t="s">
        <v>180</v>
      </c>
      <c r="CN7" t="s">
        <v>136</v>
      </c>
      <c r="CO7" t="s">
        <v>181</v>
      </c>
      <c r="CP7" t="s">
        <v>136</v>
      </c>
      <c r="CQ7" t="s">
        <v>136</v>
      </c>
      <c r="CR7" t="s">
        <v>136</v>
      </c>
      <c r="CS7" t="s">
        <v>136</v>
      </c>
      <c r="CT7" t="s">
        <v>619</v>
      </c>
      <c r="CU7" t="s">
        <v>620</v>
      </c>
      <c r="CV7" t="s">
        <v>621</v>
      </c>
      <c r="CW7" t="s">
        <v>622</v>
      </c>
      <c r="CX7" t="s">
        <v>623</v>
      </c>
      <c r="CY7" t="s">
        <v>624</v>
      </c>
      <c r="CZ7" t="s">
        <v>625</v>
      </c>
      <c r="DA7" t="s">
        <v>626</v>
      </c>
      <c r="DB7" t="s">
        <v>594</v>
      </c>
      <c r="DC7" t="s">
        <v>627</v>
      </c>
      <c r="DD7" t="s">
        <v>191</v>
      </c>
      <c r="DE7" t="s">
        <v>192</v>
      </c>
      <c r="DF7" t="s">
        <v>142</v>
      </c>
      <c r="DG7" t="s">
        <v>193</v>
      </c>
      <c r="DH7" t="s">
        <v>194</v>
      </c>
      <c r="DI7" t="s">
        <v>142</v>
      </c>
      <c r="DJ7" t="s">
        <v>195</v>
      </c>
      <c r="DK7" t="s">
        <v>196</v>
      </c>
      <c r="DL7" t="s">
        <v>197</v>
      </c>
      <c r="DM7" t="s">
        <v>136</v>
      </c>
      <c r="DN7" t="s">
        <v>593</v>
      </c>
      <c r="DO7" t="s">
        <v>198</v>
      </c>
      <c r="DP7" t="s">
        <v>199</v>
      </c>
      <c r="DQ7" t="s">
        <v>200</v>
      </c>
      <c r="DR7" t="s">
        <v>201</v>
      </c>
      <c r="DS7" t="s">
        <v>202</v>
      </c>
      <c r="DT7" t="s">
        <v>203</v>
      </c>
    </row>
    <row r="8" spans="1:124" ht="19.2" customHeight="1" x14ac:dyDescent="0.45">
      <c r="A8" t="s">
        <v>224</v>
      </c>
      <c r="B8" t="s">
        <v>909</v>
      </c>
      <c r="C8" t="s">
        <v>126</v>
      </c>
      <c r="D8" t="s">
        <v>127</v>
      </c>
      <c r="E8" t="s">
        <v>128</v>
      </c>
      <c r="I8" t="s">
        <v>2226</v>
      </c>
      <c r="J8">
        <f t="shared" si="0"/>
        <v>0.11632677205785986</v>
      </c>
      <c r="K8">
        <f t="shared" si="1"/>
        <v>2.9058327199999998</v>
      </c>
      <c r="L8">
        <f t="shared" si="2"/>
        <v>0.11184920628644286</v>
      </c>
      <c r="M8">
        <f t="shared" si="3"/>
        <v>1.828661249612491</v>
      </c>
      <c r="N8" t="s">
        <v>911</v>
      </c>
      <c r="O8" t="s">
        <v>912</v>
      </c>
      <c r="P8">
        <f t="shared" si="4"/>
        <v>3.4959317648587658</v>
      </c>
      <c r="Q8">
        <f t="shared" si="5"/>
        <v>1.6145757648587657</v>
      </c>
      <c r="R8" t="s">
        <v>913</v>
      </c>
      <c r="S8" t="s">
        <v>914</v>
      </c>
      <c r="T8">
        <f t="shared" si="6"/>
        <v>34.463049732440517</v>
      </c>
      <c r="U8">
        <f t="shared" si="7"/>
        <v>0.4417875</v>
      </c>
      <c r="V8" t="s">
        <v>134</v>
      </c>
      <c r="W8" t="s">
        <v>915</v>
      </c>
      <c r="X8" t="s">
        <v>136</v>
      </c>
      <c r="Y8" t="s">
        <v>136</v>
      </c>
      <c r="Z8" t="s">
        <v>136</v>
      </c>
      <c r="AA8" t="s">
        <v>916</v>
      </c>
      <c r="AB8" t="s">
        <v>917</v>
      </c>
      <c r="AC8" t="s">
        <v>918</v>
      </c>
      <c r="AD8" t="s">
        <v>140</v>
      </c>
      <c r="AE8" t="s">
        <v>141</v>
      </c>
      <c r="AF8">
        <f t="shared" si="8"/>
        <v>99.922179</v>
      </c>
      <c r="AG8" t="s">
        <v>142</v>
      </c>
      <c r="AH8" t="s">
        <v>919</v>
      </c>
      <c r="AI8" t="s">
        <v>920</v>
      </c>
      <c r="AJ8" t="s">
        <v>921</v>
      </c>
      <c r="AK8" t="s">
        <v>922</v>
      </c>
      <c r="AL8">
        <f t="shared" si="9"/>
        <v>26.6</v>
      </c>
      <c r="AM8" t="s">
        <v>218</v>
      </c>
      <c r="AN8" t="s">
        <v>350</v>
      </c>
      <c r="AO8" t="s">
        <v>923</v>
      </c>
      <c r="AP8" t="s">
        <v>526</v>
      </c>
      <c r="AQ8" t="s">
        <v>724</v>
      </c>
      <c r="AR8" t="s">
        <v>924</v>
      </c>
      <c r="AS8" t="s">
        <v>805</v>
      </c>
      <c r="AT8" t="s">
        <v>646</v>
      </c>
      <c r="AU8" t="s">
        <v>925</v>
      </c>
      <c r="AV8" t="s">
        <v>926</v>
      </c>
      <c r="AW8" t="s">
        <v>927</v>
      </c>
      <c r="AX8" t="s">
        <v>928</v>
      </c>
      <c r="AY8" t="s">
        <v>929</v>
      </c>
      <c r="AZ8" t="s">
        <v>268</v>
      </c>
      <c r="BA8" t="s">
        <v>608</v>
      </c>
      <c r="BB8" t="s">
        <v>609</v>
      </c>
      <c r="BC8" t="s">
        <v>930</v>
      </c>
      <c r="BD8" t="s">
        <v>126</v>
      </c>
      <c r="BE8" t="s">
        <v>931</v>
      </c>
      <c r="BF8" t="s">
        <v>932</v>
      </c>
      <c r="BG8" t="s">
        <v>933</v>
      </c>
      <c r="BH8" t="s">
        <v>614</v>
      </c>
      <c r="BI8" t="s">
        <v>615</v>
      </c>
      <c r="BJ8" t="s">
        <v>162</v>
      </c>
      <c r="BK8" t="s">
        <v>126</v>
      </c>
      <c r="BL8" t="s">
        <v>163</v>
      </c>
      <c r="BM8" t="s">
        <v>124</v>
      </c>
      <c r="BN8" t="s">
        <v>171</v>
      </c>
      <c r="BO8" t="s">
        <v>165</v>
      </c>
      <c r="BP8" t="s">
        <v>411</v>
      </c>
      <c r="BQ8" t="s">
        <v>817</v>
      </c>
      <c r="BR8" t="s">
        <v>458</v>
      </c>
      <c r="BS8" t="s">
        <v>934</v>
      </c>
      <c r="BT8" t="s">
        <v>124</v>
      </c>
      <c r="BU8" t="s">
        <v>170</v>
      </c>
      <c r="BV8" t="s">
        <v>171</v>
      </c>
      <c r="BW8" t="s">
        <v>172</v>
      </c>
      <c r="BX8" t="s">
        <v>173</v>
      </c>
      <c r="BY8" t="s">
        <v>136</v>
      </c>
      <c r="BZ8" t="s">
        <v>174</v>
      </c>
      <c r="CA8" t="s">
        <v>136</v>
      </c>
      <c r="CB8" t="s">
        <v>136</v>
      </c>
      <c r="CC8" t="s">
        <v>175</v>
      </c>
      <c r="CD8" t="s">
        <v>176</v>
      </c>
      <c r="CE8" t="s">
        <v>161</v>
      </c>
      <c r="CF8" t="s">
        <v>177</v>
      </c>
      <c r="CG8" t="s">
        <v>178</v>
      </c>
      <c r="CH8" t="s">
        <v>179</v>
      </c>
      <c r="CI8" t="s">
        <v>142</v>
      </c>
      <c r="CJ8" t="s">
        <v>172</v>
      </c>
      <c r="CK8" t="s">
        <v>180</v>
      </c>
      <c r="CL8" t="s">
        <v>180</v>
      </c>
      <c r="CM8" t="s">
        <v>180</v>
      </c>
      <c r="CN8" t="s">
        <v>136</v>
      </c>
      <c r="CO8" t="s">
        <v>181</v>
      </c>
      <c r="CP8" t="s">
        <v>136</v>
      </c>
      <c r="CQ8" t="s">
        <v>136</v>
      </c>
      <c r="CR8" t="s">
        <v>136</v>
      </c>
      <c r="CS8" t="s">
        <v>136</v>
      </c>
      <c r="CT8" t="s">
        <v>935</v>
      </c>
      <c r="CU8" t="s">
        <v>936</v>
      </c>
      <c r="CV8" t="s">
        <v>937</v>
      </c>
      <c r="CW8" t="s">
        <v>938</v>
      </c>
      <c r="CX8" t="s">
        <v>939</v>
      </c>
      <c r="CY8" t="s">
        <v>940</v>
      </c>
      <c r="CZ8" t="s">
        <v>941</v>
      </c>
      <c r="DA8" t="s">
        <v>942</v>
      </c>
      <c r="DB8" t="s">
        <v>916</v>
      </c>
      <c r="DC8" t="s">
        <v>745</v>
      </c>
      <c r="DD8" t="s">
        <v>191</v>
      </c>
      <c r="DE8" t="s">
        <v>192</v>
      </c>
      <c r="DF8" t="s">
        <v>142</v>
      </c>
      <c r="DG8" t="s">
        <v>193</v>
      </c>
      <c r="DH8" t="s">
        <v>194</v>
      </c>
      <c r="DI8" t="s">
        <v>142</v>
      </c>
      <c r="DJ8" t="s">
        <v>195</v>
      </c>
      <c r="DK8" t="s">
        <v>196</v>
      </c>
      <c r="DL8" t="s">
        <v>197</v>
      </c>
      <c r="DM8" t="s">
        <v>136</v>
      </c>
      <c r="DN8" t="s">
        <v>915</v>
      </c>
      <c r="DO8" t="s">
        <v>198</v>
      </c>
      <c r="DP8" t="s">
        <v>199</v>
      </c>
      <c r="DQ8" t="s">
        <v>200</v>
      </c>
      <c r="DR8" t="s">
        <v>201</v>
      </c>
      <c r="DS8" t="s">
        <v>202</v>
      </c>
      <c r="DT8" t="s">
        <v>203</v>
      </c>
    </row>
    <row r="9" spans="1:124" ht="19.2" customHeight="1" x14ac:dyDescent="0.45">
      <c r="A9" t="s">
        <v>943</v>
      </c>
      <c r="B9" t="s">
        <v>944</v>
      </c>
      <c r="C9" t="s">
        <v>126</v>
      </c>
      <c r="D9" t="s">
        <v>127</v>
      </c>
      <c r="E9" t="s">
        <v>128</v>
      </c>
      <c r="I9" t="s">
        <v>2227</v>
      </c>
      <c r="J9">
        <f t="shared" si="0"/>
        <v>8.438400175150125E-2</v>
      </c>
      <c r="K9">
        <f t="shared" si="1"/>
        <v>2.9042299199999997</v>
      </c>
      <c r="L9">
        <f t="shared" si="2"/>
        <v>8.2001405692581658E-2</v>
      </c>
      <c r="M9">
        <f t="shared" si="3"/>
        <v>1.4644013915812595</v>
      </c>
      <c r="N9" t="s">
        <v>945</v>
      </c>
      <c r="O9" t="s">
        <v>946</v>
      </c>
      <c r="P9">
        <f t="shared" si="4"/>
        <v>3.644845869401534</v>
      </c>
      <c r="Q9">
        <f t="shared" si="5"/>
        <v>1.7619438694015339</v>
      </c>
      <c r="R9" t="s">
        <v>947</v>
      </c>
      <c r="S9" t="s">
        <v>948</v>
      </c>
      <c r="T9">
        <f t="shared" si="6"/>
        <v>35.934593999817935</v>
      </c>
      <c r="U9">
        <f t="shared" si="7"/>
        <v>0.4417875</v>
      </c>
      <c r="V9" t="s">
        <v>134</v>
      </c>
      <c r="W9" t="s">
        <v>949</v>
      </c>
      <c r="X9" t="s">
        <v>136</v>
      </c>
      <c r="Y9" t="s">
        <v>136</v>
      </c>
      <c r="Z9" t="s">
        <v>136</v>
      </c>
      <c r="AA9" t="s">
        <v>950</v>
      </c>
      <c r="AB9" t="s">
        <v>951</v>
      </c>
      <c r="AC9" t="s">
        <v>952</v>
      </c>
      <c r="AD9" t="s">
        <v>140</v>
      </c>
      <c r="AE9" t="s">
        <v>141</v>
      </c>
      <c r="AF9">
        <f t="shared" si="8"/>
        <v>120.41831424</v>
      </c>
      <c r="AG9" t="s">
        <v>142</v>
      </c>
      <c r="AH9" t="s">
        <v>953</v>
      </c>
      <c r="AI9" t="s">
        <v>954</v>
      </c>
      <c r="AJ9" t="s">
        <v>955</v>
      </c>
      <c r="AK9" t="s">
        <v>956</v>
      </c>
      <c r="AL9">
        <f t="shared" si="9"/>
        <v>27.31</v>
      </c>
      <c r="AM9" t="s">
        <v>256</v>
      </c>
      <c r="AN9" t="s">
        <v>524</v>
      </c>
      <c r="AO9" t="s">
        <v>957</v>
      </c>
      <c r="AP9" t="s">
        <v>958</v>
      </c>
      <c r="AQ9" t="s">
        <v>959</v>
      </c>
      <c r="AR9" t="s">
        <v>603</v>
      </c>
      <c r="AS9" t="s">
        <v>960</v>
      </c>
      <c r="AT9" t="s">
        <v>309</v>
      </c>
      <c r="AU9" t="s">
        <v>961</v>
      </c>
      <c r="AV9" t="s">
        <v>962</v>
      </c>
      <c r="AW9" t="s">
        <v>963</v>
      </c>
      <c r="AX9" t="s">
        <v>964</v>
      </c>
      <c r="AY9" t="s">
        <v>965</v>
      </c>
      <c r="AZ9" t="s">
        <v>268</v>
      </c>
      <c r="BA9" t="s">
        <v>608</v>
      </c>
      <c r="BB9" t="s">
        <v>609</v>
      </c>
      <c r="BC9" t="s">
        <v>966</v>
      </c>
      <c r="BD9" t="s">
        <v>126</v>
      </c>
      <c r="BE9" t="s">
        <v>931</v>
      </c>
      <c r="BF9" t="s">
        <v>967</v>
      </c>
      <c r="BG9" t="s">
        <v>450</v>
      </c>
      <c r="BH9" t="s">
        <v>321</v>
      </c>
      <c r="BI9" t="s">
        <v>968</v>
      </c>
      <c r="BJ9" t="s">
        <v>162</v>
      </c>
      <c r="BK9" t="s">
        <v>126</v>
      </c>
      <c r="BL9" t="s">
        <v>163</v>
      </c>
      <c r="BM9" t="s">
        <v>124</v>
      </c>
      <c r="BN9" t="s">
        <v>228</v>
      </c>
      <c r="BO9" t="s">
        <v>165</v>
      </c>
      <c r="BP9" t="s">
        <v>969</v>
      </c>
      <c r="BQ9" t="s">
        <v>970</v>
      </c>
      <c r="BR9" t="s">
        <v>971</v>
      </c>
      <c r="BS9" t="s">
        <v>969</v>
      </c>
      <c r="BT9" t="s">
        <v>124</v>
      </c>
      <c r="BU9" t="s">
        <v>170</v>
      </c>
      <c r="BV9" t="s">
        <v>171</v>
      </c>
      <c r="BW9" t="s">
        <v>172</v>
      </c>
      <c r="BX9" t="s">
        <v>173</v>
      </c>
      <c r="BY9" t="s">
        <v>136</v>
      </c>
      <c r="BZ9" t="s">
        <v>174</v>
      </c>
      <c r="CA9" t="s">
        <v>136</v>
      </c>
      <c r="CB9" t="s">
        <v>136</v>
      </c>
      <c r="CC9" t="s">
        <v>175</v>
      </c>
      <c r="CD9" t="s">
        <v>176</v>
      </c>
      <c r="CE9" t="s">
        <v>161</v>
      </c>
      <c r="CF9" t="s">
        <v>177</v>
      </c>
      <c r="CG9" t="s">
        <v>178</v>
      </c>
      <c r="CH9" t="s">
        <v>179</v>
      </c>
      <c r="CI9" t="s">
        <v>142</v>
      </c>
      <c r="CJ9" t="s">
        <v>172</v>
      </c>
      <c r="CK9" t="s">
        <v>180</v>
      </c>
      <c r="CL9" t="s">
        <v>180</v>
      </c>
      <c r="CM9" t="s">
        <v>180</v>
      </c>
      <c r="CN9" t="s">
        <v>136</v>
      </c>
      <c r="CO9" t="s">
        <v>181</v>
      </c>
      <c r="CP9" t="s">
        <v>136</v>
      </c>
      <c r="CQ9" t="s">
        <v>136</v>
      </c>
      <c r="CR9" t="s">
        <v>136</v>
      </c>
      <c r="CS9" t="s">
        <v>136</v>
      </c>
      <c r="CT9" t="s">
        <v>972</v>
      </c>
      <c r="CU9" t="s">
        <v>701</v>
      </c>
      <c r="CV9" t="s">
        <v>973</v>
      </c>
      <c r="CW9" t="s">
        <v>974</v>
      </c>
      <c r="CX9" t="s">
        <v>975</v>
      </c>
      <c r="CY9" t="s">
        <v>976</v>
      </c>
      <c r="CZ9" t="s">
        <v>977</v>
      </c>
      <c r="DA9" t="s">
        <v>978</v>
      </c>
      <c r="DB9" t="s">
        <v>950</v>
      </c>
      <c r="DC9" t="s">
        <v>826</v>
      </c>
      <c r="DD9" t="s">
        <v>191</v>
      </c>
      <c r="DE9" t="s">
        <v>192</v>
      </c>
      <c r="DF9" t="s">
        <v>142</v>
      </c>
      <c r="DG9" t="s">
        <v>193</v>
      </c>
      <c r="DH9" t="s">
        <v>194</v>
      </c>
      <c r="DI9" t="s">
        <v>142</v>
      </c>
      <c r="DJ9" t="s">
        <v>195</v>
      </c>
      <c r="DK9" t="s">
        <v>196</v>
      </c>
      <c r="DL9" t="s">
        <v>197</v>
      </c>
      <c r="DM9" t="s">
        <v>136</v>
      </c>
      <c r="DN9" t="s">
        <v>949</v>
      </c>
      <c r="DO9" t="s">
        <v>198</v>
      </c>
      <c r="DP9" t="s">
        <v>199</v>
      </c>
      <c r="DQ9" t="s">
        <v>200</v>
      </c>
      <c r="DR9" t="s">
        <v>201</v>
      </c>
      <c r="DS9" t="s">
        <v>202</v>
      </c>
      <c r="DT9" t="s">
        <v>203</v>
      </c>
    </row>
    <row r="10" spans="1:124" ht="19.2" customHeight="1" x14ac:dyDescent="0.45">
      <c r="A10" t="s">
        <v>1237</v>
      </c>
      <c r="B10" t="s">
        <v>1238</v>
      </c>
      <c r="C10" t="s">
        <v>126</v>
      </c>
      <c r="D10" t="s">
        <v>127</v>
      </c>
      <c r="E10" t="s">
        <v>128</v>
      </c>
      <c r="I10" t="s">
        <v>2228</v>
      </c>
      <c r="J10">
        <f t="shared" si="0"/>
        <v>0.5638453241846848</v>
      </c>
      <c r="K10">
        <f t="shared" si="1"/>
        <v>2.9058327199999998</v>
      </c>
      <c r="L10">
        <f t="shared" si="2"/>
        <v>0.47221677953115959</v>
      </c>
      <c r="M10">
        <f t="shared" si="3"/>
        <v>6.0495681371349619</v>
      </c>
      <c r="N10" t="s">
        <v>1240</v>
      </c>
      <c r="O10" t="s">
        <v>1241</v>
      </c>
      <c r="P10">
        <f t="shared" si="4"/>
        <v>3.2698736619444517</v>
      </c>
      <c r="Q10">
        <f t="shared" si="5"/>
        <v>1.2654376619444516</v>
      </c>
      <c r="R10" t="s">
        <v>1242</v>
      </c>
      <c r="S10" t="s">
        <v>1243</v>
      </c>
      <c r="T10">
        <f t="shared" si="6"/>
        <v>32.240915617673551</v>
      </c>
      <c r="U10">
        <f t="shared" si="7"/>
        <v>0.4417875</v>
      </c>
      <c r="V10" t="s">
        <v>134</v>
      </c>
      <c r="W10" t="s">
        <v>1244</v>
      </c>
      <c r="X10" t="s">
        <v>136</v>
      </c>
      <c r="Y10" t="s">
        <v>136</v>
      </c>
      <c r="Z10" t="s">
        <v>136</v>
      </c>
      <c r="AA10" t="s">
        <v>1245</v>
      </c>
      <c r="AB10" t="s">
        <v>1246</v>
      </c>
      <c r="AC10" t="s">
        <v>1247</v>
      </c>
      <c r="AD10" t="s">
        <v>140</v>
      </c>
      <c r="AE10" t="s">
        <v>141</v>
      </c>
      <c r="AF10">
        <f t="shared" si="8"/>
        <v>129.81347441999998</v>
      </c>
      <c r="AG10" t="s">
        <v>142</v>
      </c>
      <c r="AH10" t="s">
        <v>1248</v>
      </c>
      <c r="AI10" t="s">
        <v>598</v>
      </c>
      <c r="AJ10" t="s">
        <v>1249</v>
      </c>
      <c r="AK10" t="s">
        <v>1250</v>
      </c>
      <c r="AL10">
        <f t="shared" si="9"/>
        <v>25.47</v>
      </c>
      <c r="AM10" t="s">
        <v>349</v>
      </c>
      <c r="AN10" t="s">
        <v>350</v>
      </c>
      <c r="AO10" t="s">
        <v>992</v>
      </c>
      <c r="AP10" t="s">
        <v>1251</v>
      </c>
      <c r="AQ10" t="s">
        <v>1252</v>
      </c>
      <c r="AR10" t="s">
        <v>1253</v>
      </c>
      <c r="AS10" t="s">
        <v>887</v>
      </c>
      <c r="AT10" t="s">
        <v>943</v>
      </c>
      <c r="AU10" t="s">
        <v>1032</v>
      </c>
      <c r="AV10" t="s">
        <v>1254</v>
      </c>
      <c r="AW10" t="s">
        <v>1255</v>
      </c>
      <c r="AX10" t="s">
        <v>1256</v>
      </c>
      <c r="AY10" t="s">
        <v>1257</v>
      </c>
      <c r="AZ10" t="s">
        <v>268</v>
      </c>
      <c r="BA10" t="s">
        <v>1258</v>
      </c>
      <c r="BB10" t="s">
        <v>1259</v>
      </c>
      <c r="BC10" t="s">
        <v>1260</v>
      </c>
      <c r="BD10" t="s">
        <v>126</v>
      </c>
      <c r="BE10" t="s">
        <v>1261</v>
      </c>
      <c r="BF10" t="s">
        <v>656</v>
      </c>
      <c r="BG10" t="s">
        <v>1262</v>
      </c>
      <c r="BH10" t="s">
        <v>1237</v>
      </c>
      <c r="BI10" t="s">
        <v>1263</v>
      </c>
      <c r="BJ10" t="s">
        <v>162</v>
      </c>
      <c r="BK10" t="s">
        <v>126</v>
      </c>
      <c r="BL10" t="s">
        <v>163</v>
      </c>
      <c r="BM10" t="s">
        <v>124</v>
      </c>
      <c r="BN10" t="s">
        <v>411</v>
      </c>
      <c r="BO10" t="s">
        <v>164</v>
      </c>
      <c r="BP10" t="s">
        <v>1264</v>
      </c>
      <c r="BQ10" t="s">
        <v>168</v>
      </c>
      <c r="BR10" t="s">
        <v>1265</v>
      </c>
      <c r="BS10" t="s">
        <v>1266</v>
      </c>
      <c r="BT10" t="s">
        <v>124</v>
      </c>
      <c r="BU10" t="s">
        <v>170</v>
      </c>
      <c r="BV10" t="s">
        <v>171</v>
      </c>
      <c r="BW10" t="s">
        <v>172</v>
      </c>
      <c r="BX10" t="s">
        <v>173</v>
      </c>
      <c r="BY10" t="s">
        <v>136</v>
      </c>
      <c r="BZ10" t="s">
        <v>174</v>
      </c>
      <c r="CA10" t="s">
        <v>136</v>
      </c>
      <c r="CB10" t="s">
        <v>136</v>
      </c>
      <c r="CC10" t="s">
        <v>175</v>
      </c>
      <c r="CD10" t="s">
        <v>176</v>
      </c>
      <c r="CE10" t="s">
        <v>161</v>
      </c>
      <c r="CF10" t="s">
        <v>177</v>
      </c>
      <c r="CG10" t="s">
        <v>178</v>
      </c>
      <c r="CH10" t="s">
        <v>179</v>
      </c>
      <c r="CI10" t="s">
        <v>142</v>
      </c>
      <c r="CJ10" t="s">
        <v>172</v>
      </c>
      <c r="CK10" t="s">
        <v>180</v>
      </c>
      <c r="CL10" t="s">
        <v>180</v>
      </c>
      <c r="CM10" t="s">
        <v>180</v>
      </c>
      <c r="CN10" t="s">
        <v>136</v>
      </c>
      <c r="CO10" t="s">
        <v>181</v>
      </c>
      <c r="CP10" t="s">
        <v>136</v>
      </c>
      <c r="CQ10" t="s">
        <v>136</v>
      </c>
      <c r="CR10" t="s">
        <v>136</v>
      </c>
      <c r="CS10" t="s">
        <v>136</v>
      </c>
      <c r="CT10" t="s">
        <v>1267</v>
      </c>
      <c r="CU10" t="s">
        <v>1268</v>
      </c>
      <c r="CV10" t="s">
        <v>1269</v>
      </c>
      <c r="CW10" t="s">
        <v>1270</v>
      </c>
      <c r="CX10" t="s">
        <v>1271</v>
      </c>
      <c r="CY10" t="s">
        <v>1272</v>
      </c>
      <c r="CZ10" t="s">
        <v>1273</v>
      </c>
      <c r="DA10" t="s">
        <v>1274</v>
      </c>
      <c r="DB10" t="s">
        <v>1245</v>
      </c>
      <c r="DC10" t="s">
        <v>241</v>
      </c>
      <c r="DD10" t="s">
        <v>191</v>
      </c>
      <c r="DE10" t="s">
        <v>192</v>
      </c>
      <c r="DF10" t="s">
        <v>142</v>
      </c>
      <c r="DG10" t="s">
        <v>193</v>
      </c>
      <c r="DH10" t="s">
        <v>194</v>
      </c>
      <c r="DI10" t="s">
        <v>142</v>
      </c>
      <c r="DJ10" t="s">
        <v>195</v>
      </c>
      <c r="DK10" t="s">
        <v>196</v>
      </c>
      <c r="DL10" t="s">
        <v>197</v>
      </c>
      <c r="DM10" t="s">
        <v>136</v>
      </c>
      <c r="DN10" t="s">
        <v>1244</v>
      </c>
      <c r="DO10" t="s">
        <v>198</v>
      </c>
      <c r="DP10" t="s">
        <v>199</v>
      </c>
      <c r="DQ10" t="s">
        <v>200</v>
      </c>
      <c r="DR10" t="s">
        <v>201</v>
      </c>
      <c r="DS10" t="s">
        <v>202</v>
      </c>
      <c r="DT10" t="s">
        <v>203</v>
      </c>
    </row>
    <row r="11" spans="1:124" ht="19.2" customHeight="1" x14ac:dyDescent="0.45">
      <c r="A11" t="s">
        <v>614</v>
      </c>
      <c r="B11" t="s">
        <v>1275</v>
      </c>
      <c r="C11" t="s">
        <v>126</v>
      </c>
      <c r="D11" t="s">
        <v>127</v>
      </c>
      <c r="E11" t="s">
        <v>128</v>
      </c>
      <c r="I11" t="s">
        <v>2229</v>
      </c>
      <c r="J11">
        <f t="shared" si="0"/>
        <v>0.13645795822557871</v>
      </c>
      <c r="K11">
        <f t="shared" si="1"/>
        <v>2.9058327199999998</v>
      </c>
      <c r="L11">
        <f t="shared" si="2"/>
        <v>0.13033731548214619</v>
      </c>
      <c r="M11">
        <f t="shared" si="3"/>
        <v>2.2253868083418102</v>
      </c>
      <c r="N11" t="s">
        <v>1276</v>
      </c>
      <c r="O11" t="s">
        <v>1277</v>
      </c>
      <c r="P11">
        <f t="shared" si="4"/>
        <v>3.5875768359973317</v>
      </c>
      <c r="Q11">
        <f t="shared" si="5"/>
        <v>1.6847228359973316</v>
      </c>
      <c r="R11" t="s">
        <v>1278</v>
      </c>
      <c r="S11" t="s">
        <v>1279</v>
      </c>
      <c r="T11">
        <f t="shared" si="6"/>
        <v>35.373465154775502</v>
      </c>
      <c r="U11">
        <f t="shared" si="7"/>
        <v>0.4417875</v>
      </c>
      <c r="V11" t="s">
        <v>134</v>
      </c>
      <c r="W11" t="s">
        <v>1280</v>
      </c>
      <c r="X11" t="s">
        <v>136</v>
      </c>
      <c r="Y11" t="s">
        <v>136</v>
      </c>
      <c r="Z11" t="s">
        <v>136</v>
      </c>
      <c r="AA11" t="s">
        <v>1281</v>
      </c>
      <c r="AB11" t="s">
        <v>1282</v>
      </c>
      <c r="AC11" t="s">
        <v>1283</v>
      </c>
      <c r="AD11" t="s">
        <v>140</v>
      </c>
      <c r="AE11" t="s">
        <v>141</v>
      </c>
      <c r="AF11">
        <f t="shared" si="8"/>
        <v>113.75787653999998</v>
      </c>
      <c r="AG11" t="s">
        <v>142</v>
      </c>
      <c r="AH11" t="s">
        <v>1284</v>
      </c>
      <c r="AI11" t="s">
        <v>719</v>
      </c>
      <c r="AJ11" t="s">
        <v>1285</v>
      </c>
      <c r="AK11" t="s">
        <v>566</v>
      </c>
      <c r="AL11">
        <f t="shared" si="9"/>
        <v>27.04</v>
      </c>
      <c r="AM11" t="s">
        <v>349</v>
      </c>
      <c r="AN11" t="s">
        <v>350</v>
      </c>
      <c r="AO11" t="s">
        <v>1286</v>
      </c>
      <c r="AP11" t="s">
        <v>1287</v>
      </c>
      <c r="AQ11" t="s">
        <v>1288</v>
      </c>
      <c r="AR11" t="s">
        <v>1289</v>
      </c>
      <c r="AS11" t="s">
        <v>1290</v>
      </c>
      <c r="AT11" t="s">
        <v>261</v>
      </c>
      <c r="AU11" t="s">
        <v>1291</v>
      </c>
      <c r="AV11" t="s">
        <v>1292</v>
      </c>
      <c r="AW11" t="s">
        <v>1293</v>
      </c>
      <c r="AX11" t="s">
        <v>1294</v>
      </c>
      <c r="AY11" t="s">
        <v>1295</v>
      </c>
      <c r="AZ11" t="s">
        <v>268</v>
      </c>
      <c r="BA11" t="s">
        <v>1258</v>
      </c>
      <c r="BB11" t="s">
        <v>1259</v>
      </c>
      <c r="BC11" t="s">
        <v>1296</v>
      </c>
      <c r="BD11" t="s">
        <v>126</v>
      </c>
      <c r="BE11" t="s">
        <v>1297</v>
      </c>
      <c r="BF11" t="s">
        <v>540</v>
      </c>
      <c r="BG11" t="s">
        <v>274</v>
      </c>
      <c r="BH11" t="s">
        <v>321</v>
      </c>
      <c r="BI11" t="s">
        <v>968</v>
      </c>
      <c r="BJ11" t="s">
        <v>162</v>
      </c>
      <c r="BK11" t="s">
        <v>126</v>
      </c>
      <c r="BL11" t="s">
        <v>163</v>
      </c>
      <c r="BM11" t="s">
        <v>124</v>
      </c>
      <c r="BN11" t="s">
        <v>165</v>
      </c>
      <c r="BO11" t="s">
        <v>164</v>
      </c>
      <c r="BP11" t="s">
        <v>276</v>
      </c>
      <c r="BQ11" t="s">
        <v>1298</v>
      </c>
      <c r="BR11" t="s">
        <v>1299</v>
      </c>
      <c r="BS11" t="s">
        <v>1300</v>
      </c>
      <c r="BT11" t="s">
        <v>124</v>
      </c>
      <c r="BU11" t="s">
        <v>170</v>
      </c>
      <c r="BV11" t="s">
        <v>171</v>
      </c>
      <c r="BW11" t="s">
        <v>172</v>
      </c>
      <c r="BX11" t="s">
        <v>173</v>
      </c>
      <c r="BY11" t="s">
        <v>136</v>
      </c>
      <c r="BZ11" t="s">
        <v>174</v>
      </c>
      <c r="CA11" t="s">
        <v>136</v>
      </c>
      <c r="CB11" t="s">
        <v>136</v>
      </c>
      <c r="CC11" t="s">
        <v>175</v>
      </c>
      <c r="CD11" t="s">
        <v>176</v>
      </c>
      <c r="CE11" t="s">
        <v>161</v>
      </c>
      <c r="CF11" t="s">
        <v>177</v>
      </c>
      <c r="CG11" t="s">
        <v>178</v>
      </c>
      <c r="CH11" t="s">
        <v>179</v>
      </c>
      <c r="CI11" t="s">
        <v>142</v>
      </c>
      <c r="CJ11" t="s">
        <v>172</v>
      </c>
      <c r="CK11" t="s">
        <v>180</v>
      </c>
      <c r="CL11" t="s">
        <v>180</v>
      </c>
      <c r="CM11" t="s">
        <v>180</v>
      </c>
      <c r="CN11" t="s">
        <v>136</v>
      </c>
      <c r="CO11" t="s">
        <v>181</v>
      </c>
      <c r="CP11" t="s">
        <v>136</v>
      </c>
      <c r="CQ11" t="s">
        <v>136</v>
      </c>
      <c r="CR11" t="s">
        <v>136</v>
      </c>
      <c r="CS11" t="s">
        <v>136</v>
      </c>
      <c r="CT11" t="s">
        <v>1301</v>
      </c>
      <c r="CU11" t="s">
        <v>1302</v>
      </c>
      <c r="CV11" t="s">
        <v>1303</v>
      </c>
      <c r="CW11" t="s">
        <v>1304</v>
      </c>
      <c r="CX11" t="s">
        <v>1305</v>
      </c>
      <c r="CY11" t="s">
        <v>1306</v>
      </c>
      <c r="CZ11" t="s">
        <v>1307</v>
      </c>
      <c r="DA11" t="s">
        <v>1308</v>
      </c>
      <c r="DB11" t="s">
        <v>1281</v>
      </c>
      <c r="DC11" t="s">
        <v>1309</v>
      </c>
      <c r="DD11" t="s">
        <v>191</v>
      </c>
      <c r="DE11" t="s">
        <v>192</v>
      </c>
      <c r="DF11" t="s">
        <v>142</v>
      </c>
      <c r="DG11" t="s">
        <v>193</v>
      </c>
      <c r="DH11" t="s">
        <v>194</v>
      </c>
      <c r="DI11" t="s">
        <v>142</v>
      </c>
      <c r="DJ11" t="s">
        <v>195</v>
      </c>
      <c r="DK11" t="s">
        <v>196</v>
      </c>
      <c r="DL11" t="s">
        <v>197</v>
      </c>
      <c r="DM11" t="s">
        <v>136</v>
      </c>
      <c r="DN11" t="s">
        <v>1280</v>
      </c>
      <c r="DO11" t="s">
        <v>198</v>
      </c>
      <c r="DP11" t="s">
        <v>199</v>
      </c>
      <c r="DQ11" t="s">
        <v>200</v>
      </c>
      <c r="DR11" t="s">
        <v>201</v>
      </c>
      <c r="DS11" t="s">
        <v>202</v>
      </c>
      <c r="DT11" t="s">
        <v>203</v>
      </c>
    </row>
    <row r="12" spans="1:124" ht="19.2" customHeight="1" x14ac:dyDescent="0.45">
      <c r="A12" t="s">
        <v>321</v>
      </c>
      <c r="B12" t="s">
        <v>1566</v>
      </c>
      <c r="C12" t="s">
        <v>126</v>
      </c>
      <c r="D12" t="s">
        <v>127</v>
      </c>
      <c r="E12" t="s">
        <v>128</v>
      </c>
      <c r="I12" t="s">
        <v>2230</v>
      </c>
      <c r="J12">
        <f t="shared" si="0"/>
        <v>0.53011048379665815</v>
      </c>
      <c r="K12">
        <f t="shared" si="1"/>
        <v>2.9066320800000001</v>
      </c>
      <c r="L12">
        <f t="shared" si="2"/>
        <v>0.44834203014772378</v>
      </c>
      <c r="M12">
        <f t="shared" si="3"/>
        <v>5.878754531230963</v>
      </c>
      <c r="N12" t="s">
        <v>1568</v>
      </c>
      <c r="O12" t="s">
        <v>1569</v>
      </c>
      <c r="P12">
        <f t="shared" si="4"/>
        <v>3.3128555870610019</v>
      </c>
      <c r="Q12">
        <f t="shared" si="5"/>
        <v>1.2946695870610019</v>
      </c>
      <c r="R12" t="s">
        <v>1570</v>
      </c>
      <c r="S12" t="s">
        <v>1571</v>
      </c>
      <c r="T12">
        <f t="shared" si="6"/>
        <v>32.667937945577378</v>
      </c>
      <c r="U12">
        <f t="shared" si="7"/>
        <v>0.4417875</v>
      </c>
      <c r="V12" t="s">
        <v>134</v>
      </c>
      <c r="W12" t="s">
        <v>1572</v>
      </c>
      <c r="X12" t="s">
        <v>136</v>
      </c>
      <c r="Y12" t="s">
        <v>136</v>
      </c>
      <c r="Z12" t="s">
        <v>136</v>
      </c>
      <c r="AA12" t="s">
        <v>1573</v>
      </c>
      <c r="AB12" t="s">
        <v>1574</v>
      </c>
      <c r="AC12" t="s">
        <v>1575</v>
      </c>
      <c r="AD12" t="s">
        <v>140</v>
      </c>
      <c r="AE12" t="s">
        <v>141</v>
      </c>
      <c r="AF12">
        <f t="shared" si="8"/>
        <v>138.99193560000001</v>
      </c>
      <c r="AG12" t="s">
        <v>142</v>
      </c>
      <c r="AH12" t="s">
        <v>1576</v>
      </c>
      <c r="AI12" t="s">
        <v>1577</v>
      </c>
      <c r="AJ12" t="s">
        <v>1578</v>
      </c>
      <c r="AK12" t="s">
        <v>1579</v>
      </c>
      <c r="AL12">
        <f t="shared" si="9"/>
        <v>25.69</v>
      </c>
      <c r="AM12" t="s">
        <v>147</v>
      </c>
      <c r="AN12" t="s">
        <v>396</v>
      </c>
      <c r="AO12" t="s">
        <v>1580</v>
      </c>
      <c r="AP12" t="s">
        <v>1106</v>
      </c>
      <c r="AQ12" t="s">
        <v>1581</v>
      </c>
      <c r="AR12" t="s">
        <v>1253</v>
      </c>
      <c r="AS12" t="s">
        <v>1582</v>
      </c>
      <c r="AT12" t="s">
        <v>1583</v>
      </c>
      <c r="AU12" t="s">
        <v>845</v>
      </c>
      <c r="AV12" t="s">
        <v>1584</v>
      </c>
      <c r="AW12" t="s">
        <v>1585</v>
      </c>
      <c r="AX12" t="s">
        <v>1586</v>
      </c>
      <c r="AY12" t="s">
        <v>1587</v>
      </c>
      <c r="AZ12" t="s">
        <v>268</v>
      </c>
      <c r="BA12" t="s">
        <v>1588</v>
      </c>
      <c r="BB12" t="s">
        <v>1589</v>
      </c>
      <c r="BC12" t="s">
        <v>1590</v>
      </c>
      <c r="BD12" t="s">
        <v>126</v>
      </c>
      <c r="BE12" t="s">
        <v>1591</v>
      </c>
      <c r="BF12" t="s">
        <v>1592</v>
      </c>
      <c r="BG12" t="s">
        <v>1593</v>
      </c>
      <c r="BH12" t="s">
        <v>321</v>
      </c>
      <c r="BI12" t="s">
        <v>1594</v>
      </c>
      <c r="BJ12" t="s">
        <v>162</v>
      </c>
      <c r="BK12" t="s">
        <v>126</v>
      </c>
      <c r="BL12" t="s">
        <v>163</v>
      </c>
      <c r="BM12" t="s">
        <v>124</v>
      </c>
      <c r="BN12" t="s">
        <v>411</v>
      </c>
      <c r="BO12" t="s">
        <v>228</v>
      </c>
      <c r="BP12" t="s">
        <v>276</v>
      </c>
      <c r="BQ12" t="s">
        <v>1595</v>
      </c>
      <c r="BR12" t="s">
        <v>616</v>
      </c>
      <c r="BS12" t="s">
        <v>1596</v>
      </c>
      <c r="BT12" t="s">
        <v>124</v>
      </c>
      <c r="BU12" t="s">
        <v>170</v>
      </c>
      <c r="BV12" t="s">
        <v>171</v>
      </c>
      <c r="BW12" t="s">
        <v>172</v>
      </c>
      <c r="BX12" t="s">
        <v>173</v>
      </c>
      <c r="BY12" t="s">
        <v>136</v>
      </c>
      <c r="BZ12" t="s">
        <v>174</v>
      </c>
      <c r="CA12" t="s">
        <v>136</v>
      </c>
      <c r="CB12" t="s">
        <v>136</v>
      </c>
      <c r="CC12" t="s">
        <v>175</v>
      </c>
      <c r="CD12" t="s">
        <v>176</v>
      </c>
      <c r="CE12" t="s">
        <v>161</v>
      </c>
      <c r="CF12" t="s">
        <v>177</v>
      </c>
      <c r="CG12" t="s">
        <v>178</v>
      </c>
      <c r="CH12" t="s">
        <v>179</v>
      </c>
      <c r="CI12" t="s">
        <v>142</v>
      </c>
      <c r="CJ12" t="s">
        <v>172</v>
      </c>
      <c r="CK12" t="s">
        <v>180</v>
      </c>
      <c r="CL12" t="s">
        <v>180</v>
      </c>
      <c r="CM12" t="s">
        <v>180</v>
      </c>
      <c r="CN12" t="s">
        <v>136</v>
      </c>
      <c r="CO12" t="s">
        <v>181</v>
      </c>
      <c r="CP12" t="s">
        <v>136</v>
      </c>
      <c r="CQ12" t="s">
        <v>136</v>
      </c>
      <c r="CR12" t="s">
        <v>136</v>
      </c>
      <c r="CS12" t="s">
        <v>136</v>
      </c>
      <c r="CT12" t="s">
        <v>1597</v>
      </c>
      <c r="CU12" t="s">
        <v>1598</v>
      </c>
      <c r="CV12" t="s">
        <v>1599</v>
      </c>
      <c r="CW12" t="s">
        <v>1600</v>
      </c>
      <c r="CX12" t="s">
        <v>1601</v>
      </c>
      <c r="CY12" t="s">
        <v>1602</v>
      </c>
      <c r="CZ12" t="s">
        <v>1603</v>
      </c>
      <c r="DA12" t="s">
        <v>1604</v>
      </c>
      <c r="DB12" t="s">
        <v>1573</v>
      </c>
      <c r="DC12" t="s">
        <v>334</v>
      </c>
      <c r="DD12" t="s">
        <v>191</v>
      </c>
      <c r="DE12" t="s">
        <v>192</v>
      </c>
      <c r="DF12" t="s">
        <v>142</v>
      </c>
      <c r="DG12" t="s">
        <v>193</v>
      </c>
      <c r="DH12" t="s">
        <v>194</v>
      </c>
      <c r="DI12" t="s">
        <v>142</v>
      </c>
      <c r="DJ12" t="s">
        <v>195</v>
      </c>
      <c r="DK12" t="s">
        <v>196</v>
      </c>
      <c r="DL12" t="s">
        <v>197</v>
      </c>
      <c r="DM12" t="s">
        <v>136</v>
      </c>
      <c r="DN12" t="s">
        <v>1572</v>
      </c>
      <c r="DO12" t="s">
        <v>198</v>
      </c>
      <c r="DP12" t="s">
        <v>199</v>
      </c>
      <c r="DQ12" t="s">
        <v>200</v>
      </c>
      <c r="DR12" t="s">
        <v>201</v>
      </c>
      <c r="DS12" t="s">
        <v>202</v>
      </c>
      <c r="DT12" t="s">
        <v>203</v>
      </c>
    </row>
    <row r="13" spans="1:124" ht="19.2" customHeight="1" x14ac:dyDescent="0.45">
      <c r="A13" t="s">
        <v>400</v>
      </c>
      <c r="B13" t="s">
        <v>1605</v>
      </c>
      <c r="C13" t="s">
        <v>126</v>
      </c>
      <c r="D13" t="s">
        <v>127</v>
      </c>
      <c r="E13" t="s">
        <v>128</v>
      </c>
      <c r="I13" t="s">
        <v>2231</v>
      </c>
      <c r="J13">
        <f t="shared" si="0"/>
        <v>0.48749398207778311</v>
      </c>
      <c r="K13">
        <f t="shared" si="1"/>
        <v>2.9066320800000001</v>
      </c>
      <c r="L13">
        <f t="shared" si="2"/>
        <v>0.41747584538648669</v>
      </c>
      <c r="M13">
        <f t="shared" si="3"/>
        <v>5.8049248891446226</v>
      </c>
      <c r="N13" t="s">
        <v>1606</v>
      </c>
      <c r="O13" t="s">
        <v>1607</v>
      </c>
      <c r="P13">
        <f t="shared" si="4"/>
        <v>3.3802530638605148</v>
      </c>
      <c r="Q13">
        <f t="shared" si="5"/>
        <v>1.3727290638605147</v>
      </c>
      <c r="R13" t="s">
        <v>1608</v>
      </c>
      <c r="S13" t="s">
        <v>1609</v>
      </c>
      <c r="T13">
        <f t="shared" si="6"/>
        <v>33.329255214558415</v>
      </c>
      <c r="U13">
        <f t="shared" si="7"/>
        <v>0.4417875</v>
      </c>
      <c r="V13" t="s">
        <v>134</v>
      </c>
      <c r="W13" t="s">
        <v>1610</v>
      </c>
      <c r="X13" t="s">
        <v>136</v>
      </c>
      <c r="Y13" t="s">
        <v>136</v>
      </c>
      <c r="Z13" t="s">
        <v>136</v>
      </c>
      <c r="AA13" t="s">
        <v>1611</v>
      </c>
      <c r="AB13" t="s">
        <v>1612</v>
      </c>
      <c r="AC13" t="s">
        <v>1613</v>
      </c>
      <c r="AD13" t="s">
        <v>140</v>
      </c>
      <c r="AE13" t="s">
        <v>141</v>
      </c>
      <c r="AF13">
        <f t="shared" si="8"/>
        <v>142.28657100000001</v>
      </c>
      <c r="AG13" t="s">
        <v>142</v>
      </c>
      <c r="AH13" t="s">
        <v>1614</v>
      </c>
      <c r="AI13" t="s">
        <v>1615</v>
      </c>
      <c r="AJ13" t="s">
        <v>1616</v>
      </c>
      <c r="AK13" t="s">
        <v>1141</v>
      </c>
      <c r="AL13">
        <f t="shared" si="9"/>
        <v>26.03</v>
      </c>
      <c r="AM13" t="s">
        <v>349</v>
      </c>
      <c r="AN13" t="s">
        <v>396</v>
      </c>
      <c r="AO13" t="s">
        <v>1617</v>
      </c>
      <c r="AP13" t="s">
        <v>1618</v>
      </c>
      <c r="AQ13" t="s">
        <v>1619</v>
      </c>
      <c r="AR13" t="s">
        <v>1253</v>
      </c>
      <c r="AS13" t="s">
        <v>646</v>
      </c>
      <c r="AT13" t="s">
        <v>161</v>
      </c>
      <c r="AU13" t="s">
        <v>1620</v>
      </c>
      <c r="AV13" t="s">
        <v>1621</v>
      </c>
      <c r="AW13" t="s">
        <v>1622</v>
      </c>
      <c r="AX13" t="s">
        <v>216</v>
      </c>
      <c r="AY13" t="s">
        <v>1623</v>
      </c>
      <c r="AZ13" t="s">
        <v>268</v>
      </c>
      <c r="BA13" t="s">
        <v>1588</v>
      </c>
      <c r="BB13" t="s">
        <v>1589</v>
      </c>
      <c r="BC13" t="s">
        <v>1624</v>
      </c>
      <c r="BD13" t="s">
        <v>126</v>
      </c>
      <c r="BE13" t="s">
        <v>1486</v>
      </c>
      <c r="BF13" t="s">
        <v>1625</v>
      </c>
      <c r="BG13" t="s">
        <v>1626</v>
      </c>
      <c r="BH13" t="s">
        <v>321</v>
      </c>
      <c r="BI13" t="s">
        <v>1627</v>
      </c>
      <c r="BJ13" t="s">
        <v>162</v>
      </c>
      <c r="BK13" t="s">
        <v>126</v>
      </c>
      <c r="BL13" t="s">
        <v>163</v>
      </c>
      <c r="BM13" t="s">
        <v>124</v>
      </c>
      <c r="BN13" t="s">
        <v>171</v>
      </c>
      <c r="BO13" t="s">
        <v>164</v>
      </c>
      <c r="BP13" t="s">
        <v>166</v>
      </c>
      <c r="BQ13" t="s">
        <v>1628</v>
      </c>
      <c r="BR13" t="s">
        <v>1629</v>
      </c>
      <c r="BS13" t="s">
        <v>817</v>
      </c>
      <c r="BT13" t="s">
        <v>124</v>
      </c>
      <c r="BU13" t="s">
        <v>170</v>
      </c>
      <c r="BV13" t="s">
        <v>171</v>
      </c>
      <c r="BW13" t="s">
        <v>172</v>
      </c>
      <c r="BX13" t="s">
        <v>173</v>
      </c>
      <c r="BY13" t="s">
        <v>136</v>
      </c>
      <c r="BZ13" t="s">
        <v>174</v>
      </c>
      <c r="CA13" t="s">
        <v>136</v>
      </c>
      <c r="CB13" t="s">
        <v>136</v>
      </c>
      <c r="CC13" t="s">
        <v>175</v>
      </c>
      <c r="CD13" t="s">
        <v>176</v>
      </c>
      <c r="CE13" t="s">
        <v>161</v>
      </c>
      <c r="CF13" t="s">
        <v>177</v>
      </c>
      <c r="CG13" t="s">
        <v>178</v>
      </c>
      <c r="CH13" t="s">
        <v>179</v>
      </c>
      <c r="CI13" t="s">
        <v>142</v>
      </c>
      <c r="CJ13" t="s">
        <v>172</v>
      </c>
      <c r="CK13" t="s">
        <v>180</v>
      </c>
      <c r="CL13" t="s">
        <v>180</v>
      </c>
      <c r="CM13" t="s">
        <v>180</v>
      </c>
      <c r="CN13" t="s">
        <v>136</v>
      </c>
      <c r="CO13" t="s">
        <v>181</v>
      </c>
      <c r="CP13" t="s">
        <v>136</v>
      </c>
      <c r="CQ13" t="s">
        <v>136</v>
      </c>
      <c r="CR13" t="s">
        <v>136</v>
      </c>
      <c r="CS13" t="s">
        <v>136</v>
      </c>
      <c r="CT13" t="s">
        <v>1630</v>
      </c>
      <c r="CU13" t="s">
        <v>1631</v>
      </c>
      <c r="CV13" t="s">
        <v>1632</v>
      </c>
      <c r="CW13" t="s">
        <v>1633</v>
      </c>
      <c r="CX13" t="s">
        <v>1634</v>
      </c>
      <c r="CY13" t="s">
        <v>1635</v>
      </c>
      <c r="CZ13" t="s">
        <v>1636</v>
      </c>
      <c r="DA13" t="s">
        <v>1637</v>
      </c>
      <c r="DB13" t="s">
        <v>1611</v>
      </c>
      <c r="DC13" t="s">
        <v>1387</v>
      </c>
      <c r="DD13" t="s">
        <v>191</v>
      </c>
      <c r="DE13" t="s">
        <v>192</v>
      </c>
      <c r="DF13" t="s">
        <v>142</v>
      </c>
      <c r="DG13" t="s">
        <v>193</v>
      </c>
      <c r="DH13" t="s">
        <v>194</v>
      </c>
      <c r="DI13" t="s">
        <v>142</v>
      </c>
      <c r="DJ13" t="s">
        <v>195</v>
      </c>
      <c r="DK13" t="s">
        <v>196</v>
      </c>
      <c r="DL13" t="s">
        <v>197</v>
      </c>
      <c r="DM13" t="s">
        <v>136</v>
      </c>
      <c r="DN13" t="s">
        <v>1610</v>
      </c>
      <c r="DO13" t="s">
        <v>198</v>
      </c>
      <c r="DP13" t="s">
        <v>199</v>
      </c>
      <c r="DQ13" t="s">
        <v>200</v>
      </c>
      <c r="DR13" t="s">
        <v>201</v>
      </c>
      <c r="DS13" t="s">
        <v>202</v>
      </c>
      <c r="DT13" t="s">
        <v>203</v>
      </c>
    </row>
    <row r="14" spans="1:124" ht="19.2" customHeight="1" x14ac:dyDescent="0.45">
      <c r="A14" t="s">
        <v>263</v>
      </c>
      <c r="B14" t="s">
        <v>1874</v>
      </c>
      <c r="C14" t="s">
        <v>126</v>
      </c>
      <c r="D14" t="s">
        <v>127</v>
      </c>
      <c r="E14" t="s">
        <v>128</v>
      </c>
      <c r="I14" t="s">
        <v>2232</v>
      </c>
      <c r="J14">
        <f t="shared" si="0"/>
        <v>0.38944164994117064</v>
      </c>
      <c r="K14">
        <f t="shared" si="1"/>
        <v>2.9050319999999994</v>
      </c>
      <c r="L14">
        <f t="shared" si="2"/>
        <v>0.34340552556312026</v>
      </c>
      <c r="M14">
        <f t="shared" si="3"/>
        <v>4.9835007709690444</v>
      </c>
      <c r="N14" t="s">
        <v>1876</v>
      </c>
      <c r="O14" t="s">
        <v>1877</v>
      </c>
      <c r="P14">
        <f t="shared" si="4"/>
        <v>3.4184354777465527</v>
      </c>
      <c r="Q14">
        <f t="shared" si="5"/>
        <v>1.4326764777465526</v>
      </c>
      <c r="R14" t="s">
        <v>1878</v>
      </c>
      <c r="S14" t="s">
        <v>1879</v>
      </c>
      <c r="T14">
        <f t="shared" si="6"/>
        <v>33.705733363700972</v>
      </c>
      <c r="U14">
        <f t="shared" si="7"/>
        <v>0.4417875</v>
      </c>
      <c r="V14" t="s">
        <v>134</v>
      </c>
      <c r="W14" t="s">
        <v>1880</v>
      </c>
      <c r="X14" t="s">
        <v>136</v>
      </c>
      <c r="Y14" t="s">
        <v>136</v>
      </c>
      <c r="Z14" t="s">
        <v>136</v>
      </c>
      <c r="AA14" t="s">
        <v>1881</v>
      </c>
      <c r="AB14" t="s">
        <v>1882</v>
      </c>
      <c r="AC14" t="s">
        <v>1883</v>
      </c>
      <c r="AD14" t="s">
        <v>140</v>
      </c>
      <c r="AE14" t="s">
        <v>141</v>
      </c>
      <c r="AF14">
        <f t="shared" si="8"/>
        <v>131.03647409999999</v>
      </c>
      <c r="AG14" t="s">
        <v>142</v>
      </c>
      <c r="AH14" t="s">
        <v>1884</v>
      </c>
      <c r="AI14" t="s">
        <v>1885</v>
      </c>
      <c r="AJ14" t="s">
        <v>1886</v>
      </c>
      <c r="AK14" t="s">
        <v>1323</v>
      </c>
      <c r="AL14">
        <f t="shared" si="9"/>
        <v>26.22</v>
      </c>
      <c r="AM14" t="s">
        <v>349</v>
      </c>
      <c r="AN14" t="s">
        <v>148</v>
      </c>
      <c r="AO14" t="s">
        <v>1887</v>
      </c>
      <c r="AP14" t="s">
        <v>1888</v>
      </c>
      <c r="AQ14" t="s">
        <v>1889</v>
      </c>
      <c r="AR14" t="s">
        <v>260</v>
      </c>
      <c r="AS14" t="s">
        <v>887</v>
      </c>
      <c r="AT14" t="s">
        <v>224</v>
      </c>
      <c r="AU14" t="s">
        <v>1890</v>
      </c>
      <c r="AV14" t="s">
        <v>1891</v>
      </c>
      <c r="AW14" t="s">
        <v>1892</v>
      </c>
      <c r="AX14" t="s">
        <v>1893</v>
      </c>
      <c r="AY14" t="s">
        <v>1894</v>
      </c>
      <c r="AZ14" t="s">
        <v>268</v>
      </c>
      <c r="BA14" t="s">
        <v>1895</v>
      </c>
      <c r="BB14" t="s">
        <v>1896</v>
      </c>
      <c r="BC14" t="s">
        <v>1897</v>
      </c>
      <c r="BD14" t="s">
        <v>126</v>
      </c>
      <c r="BE14" t="s">
        <v>318</v>
      </c>
      <c r="BF14" t="s">
        <v>408</v>
      </c>
      <c r="BG14" t="s">
        <v>1898</v>
      </c>
      <c r="BH14" t="s">
        <v>263</v>
      </c>
      <c r="BI14" t="s">
        <v>1899</v>
      </c>
      <c r="BJ14" t="s">
        <v>162</v>
      </c>
      <c r="BK14" t="s">
        <v>126</v>
      </c>
      <c r="BL14" t="s">
        <v>163</v>
      </c>
      <c r="BM14" t="s">
        <v>124</v>
      </c>
      <c r="BN14" t="s">
        <v>171</v>
      </c>
      <c r="BO14" t="s">
        <v>164</v>
      </c>
      <c r="BP14" t="s">
        <v>276</v>
      </c>
      <c r="BQ14" t="s">
        <v>1900</v>
      </c>
      <c r="BR14" t="s">
        <v>817</v>
      </c>
      <c r="BS14" t="s">
        <v>1901</v>
      </c>
      <c r="BT14" t="s">
        <v>124</v>
      </c>
      <c r="BU14" t="s">
        <v>170</v>
      </c>
      <c r="BV14" t="s">
        <v>171</v>
      </c>
      <c r="BW14" t="s">
        <v>172</v>
      </c>
      <c r="BX14" t="s">
        <v>173</v>
      </c>
      <c r="BY14" t="s">
        <v>136</v>
      </c>
      <c r="BZ14" t="s">
        <v>174</v>
      </c>
      <c r="CA14" t="s">
        <v>136</v>
      </c>
      <c r="CB14" t="s">
        <v>136</v>
      </c>
      <c r="CC14" t="s">
        <v>175</v>
      </c>
      <c r="CD14" t="s">
        <v>176</v>
      </c>
      <c r="CE14" t="s">
        <v>161</v>
      </c>
      <c r="CF14" t="s">
        <v>177</v>
      </c>
      <c r="CG14" t="s">
        <v>178</v>
      </c>
      <c r="CH14" t="s">
        <v>179</v>
      </c>
      <c r="CI14" t="s">
        <v>142</v>
      </c>
      <c r="CJ14" t="s">
        <v>172</v>
      </c>
      <c r="CK14" t="s">
        <v>180</v>
      </c>
      <c r="CL14" t="s">
        <v>180</v>
      </c>
      <c r="CM14" t="s">
        <v>180</v>
      </c>
      <c r="CN14" t="s">
        <v>136</v>
      </c>
      <c r="CO14" t="s">
        <v>181</v>
      </c>
      <c r="CP14" t="s">
        <v>136</v>
      </c>
      <c r="CQ14" t="s">
        <v>136</v>
      </c>
      <c r="CR14" t="s">
        <v>136</v>
      </c>
      <c r="CS14" t="s">
        <v>136</v>
      </c>
      <c r="CT14" t="s">
        <v>1902</v>
      </c>
      <c r="CU14" t="s">
        <v>1903</v>
      </c>
      <c r="CV14" t="s">
        <v>1904</v>
      </c>
      <c r="CW14" t="s">
        <v>1905</v>
      </c>
      <c r="CX14" t="s">
        <v>1906</v>
      </c>
      <c r="CY14" t="s">
        <v>1907</v>
      </c>
      <c r="CZ14" t="s">
        <v>1908</v>
      </c>
      <c r="DA14" t="s">
        <v>1909</v>
      </c>
      <c r="DB14" t="s">
        <v>1881</v>
      </c>
      <c r="DC14" t="s">
        <v>1910</v>
      </c>
      <c r="DD14" t="s">
        <v>191</v>
      </c>
      <c r="DE14" t="s">
        <v>192</v>
      </c>
      <c r="DF14" t="s">
        <v>142</v>
      </c>
      <c r="DG14" t="s">
        <v>193</v>
      </c>
      <c r="DH14" t="s">
        <v>194</v>
      </c>
      <c r="DI14" t="s">
        <v>142</v>
      </c>
      <c r="DJ14" t="s">
        <v>195</v>
      </c>
      <c r="DK14" t="s">
        <v>196</v>
      </c>
      <c r="DL14" t="s">
        <v>197</v>
      </c>
      <c r="DM14" t="s">
        <v>136</v>
      </c>
      <c r="DN14" t="s">
        <v>1880</v>
      </c>
      <c r="DO14" t="s">
        <v>198</v>
      </c>
      <c r="DP14" t="s">
        <v>199</v>
      </c>
      <c r="DQ14" t="s">
        <v>200</v>
      </c>
      <c r="DR14" t="s">
        <v>201</v>
      </c>
      <c r="DS14" t="s">
        <v>202</v>
      </c>
      <c r="DT14" t="s">
        <v>203</v>
      </c>
    </row>
    <row r="15" spans="1:124" ht="19.2" customHeight="1" x14ac:dyDescent="0.45">
      <c r="A15" t="s">
        <v>856</v>
      </c>
      <c r="B15" t="s">
        <v>1911</v>
      </c>
      <c r="C15" t="s">
        <v>126</v>
      </c>
      <c r="D15" t="s">
        <v>127</v>
      </c>
      <c r="E15" t="s">
        <v>128</v>
      </c>
      <c r="I15" t="s">
        <v>2233</v>
      </c>
      <c r="J15">
        <f t="shared" si="0"/>
        <v>0.61837996799119888</v>
      </c>
      <c r="K15">
        <f t="shared" si="1"/>
        <v>2.9050319999999994</v>
      </c>
      <c r="L15">
        <f t="shared" si="2"/>
        <v>0.50985056856624023</v>
      </c>
      <c r="M15">
        <f t="shared" si="3"/>
        <v>6.3943994014019978</v>
      </c>
      <c r="N15" t="s">
        <v>1912</v>
      </c>
      <c r="O15" t="s">
        <v>1913</v>
      </c>
      <c r="P15">
        <f t="shared" si="4"/>
        <v>3.3089278500235317</v>
      </c>
      <c r="Q15">
        <f t="shared" si="5"/>
        <v>1.2381948500235316</v>
      </c>
      <c r="R15" t="s">
        <v>1914</v>
      </c>
      <c r="S15" t="s">
        <v>1915</v>
      </c>
      <c r="T15">
        <f t="shared" si="6"/>
        <v>32.625989450044685</v>
      </c>
      <c r="U15">
        <f t="shared" si="7"/>
        <v>0.4417875</v>
      </c>
      <c r="V15" t="s">
        <v>134</v>
      </c>
      <c r="W15" t="s">
        <v>1916</v>
      </c>
      <c r="X15" t="s">
        <v>136</v>
      </c>
      <c r="Y15" t="s">
        <v>136</v>
      </c>
      <c r="Z15" t="s">
        <v>136</v>
      </c>
      <c r="AA15" t="s">
        <v>1917</v>
      </c>
      <c r="AB15" t="s">
        <v>1918</v>
      </c>
      <c r="AC15" t="s">
        <v>1919</v>
      </c>
      <c r="AD15" t="s">
        <v>140</v>
      </c>
      <c r="AE15" t="s">
        <v>141</v>
      </c>
      <c r="AF15">
        <f t="shared" si="8"/>
        <v>132.3211575</v>
      </c>
      <c r="AG15" t="s">
        <v>142</v>
      </c>
      <c r="AH15" t="s">
        <v>1589</v>
      </c>
      <c r="AI15" t="s">
        <v>1920</v>
      </c>
      <c r="AJ15" t="s">
        <v>1921</v>
      </c>
      <c r="AK15" t="s">
        <v>1922</v>
      </c>
      <c r="AL15">
        <f t="shared" si="9"/>
        <v>25.67</v>
      </c>
      <c r="AM15" t="s">
        <v>349</v>
      </c>
      <c r="AN15" t="s">
        <v>148</v>
      </c>
      <c r="AO15" t="s">
        <v>1923</v>
      </c>
      <c r="AP15" t="s">
        <v>1783</v>
      </c>
      <c r="AQ15" t="s">
        <v>1924</v>
      </c>
      <c r="AR15" t="s">
        <v>1717</v>
      </c>
      <c r="AS15" t="s">
        <v>996</v>
      </c>
      <c r="AT15" t="s">
        <v>572</v>
      </c>
      <c r="AU15" t="s">
        <v>1620</v>
      </c>
      <c r="AV15" t="s">
        <v>1925</v>
      </c>
      <c r="AW15" t="s">
        <v>1926</v>
      </c>
      <c r="AX15" t="s">
        <v>1927</v>
      </c>
      <c r="AY15" t="s">
        <v>1928</v>
      </c>
      <c r="AZ15" t="s">
        <v>268</v>
      </c>
      <c r="BA15" t="s">
        <v>269</v>
      </c>
      <c r="BB15" t="s">
        <v>270</v>
      </c>
      <c r="BC15" t="s">
        <v>1929</v>
      </c>
      <c r="BD15" t="s">
        <v>126</v>
      </c>
      <c r="BE15" t="s">
        <v>1829</v>
      </c>
      <c r="BF15" t="s">
        <v>1930</v>
      </c>
      <c r="BG15" t="s">
        <v>1931</v>
      </c>
      <c r="BH15" t="s">
        <v>321</v>
      </c>
      <c r="BI15" t="s">
        <v>322</v>
      </c>
      <c r="BJ15" t="s">
        <v>162</v>
      </c>
      <c r="BK15" t="s">
        <v>126</v>
      </c>
      <c r="BL15" t="s">
        <v>163</v>
      </c>
      <c r="BM15" t="s">
        <v>124</v>
      </c>
      <c r="BN15" t="s">
        <v>229</v>
      </c>
      <c r="BO15" t="s">
        <v>228</v>
      </c>
      <c r="BP15" t="s">
        <v>276</v>
      </c>
      <c r="BQ15" t="s">
        <v>1082</v>
      </c>
      <c r="BR15" t="s">
        <v>1932</v>
      </c>
      <c r="BS15" t="s">
        <v>1933</v>
      </c>
      <c r="BT15" t="s">
        <v>124</v>
      </c>
      <c r="BU15" t="s">
        <v>170</v>
      </c>
      <c r="BV15" t="s">
        <v>171</v>
      </c>
      <c r="BW15" t="s">
        <v>172</v>
      </c>
      <c r="BX15" t="s">
        <v>173</v>
      </c>
      <c r="BY15" t="s">
        <v>136</v>
      </c>
      <c r="BZ15" t="s">
        <v>174</v>
      </c>
      <c r="CA15" t="s">
        <v>136</v>
      </c>
      <c r="CB15" t="s">
        <v>136</v>
      </c>
      <c r="CC15" t="s">
        <v>175</v>
      </c>
      <c r="CD15" t="s">
        <v>176</v>
      </c>
      <c r="CE15" t="s">
        <v>161</v>
      </c>
      <c r="CF15" t="s">
        <v>177</v>
      </c>
      <c r="CG15" t="s">
        <v>178</v>
      </c>
      <c r="CH15" t="s">
        <v>179</v>
      </c>
      <c r="CI15" t="s">
        <v>142</v>
      </c>
      <c r="CJ15" t="s">
        <v>172</v>
      </c>
      <c r="CK15" t="s">
        <v>180</v>
      </c>
      <c r="CL15" t="s">
        <v>180</v>
      </c>
      <c r="CM15" t="s">
        <v>180</v>
      </c>
      <c r="CN15" t="s">
        <v>136</v>
      </c>
      <c r="CO15" t="s">
        <v>181</v>
      </c>
      <c r="CP15" t="s">
        <v>136</v>
      </c>
      <c r="CQ15" t="s">
        <v>136</v>
      </c>
      <c r="CR15" t="s">
        <v>136</v>
      </c>
      <c r="CS15" t="s">
        <v>136</v>
      </c>
      <c r="CT15" t="s">
        <v>1934</v>
      </c>
      <c r="CU15" t="s">
        <v>1935</v>
      </c>
      <c r="CV15" t="s">
        <v>1936</v>
      </c>
      <c r="CW15" t="s">
        <v>1937</v>
      </c>
      <c r="CX15" t="s">
        <v>1938</v>
      </c>
      <c r="CY15" t="s">
        <v>1939</v>
      </c>
      <c r="CZ15" t="s">
        <v>1940</v>
      </c>
      <c r="DA15" t="s">
        <v>1941</v>
      </c>
      <c r="DB15" t="s">
        <v>1917</v>
      </c>
      <c r="DC15" t="s">
        <v>334</v>
      </c>
      <c r="DD15" t="s">
        <v>191</v>
      </c>
      <c r="DE15" t="s">
        <v>192</v>
      </c>
      <c r="DF15" t="s">
        <v>142</v>
      </c>
      <c r="DG15" t="s">
        <v>193</v>
      </c>
      <c r="DH15" t="s">
        <v>194</v>
      </c>
      <c r="DI15" t="s">
        <v>142</v>
      </c>
      <c r="DJ15" t="s">
        <v>195</v>
      </c>
      <c r="DK15" t="s">
        <v>196</v>
      </c>
      <c r="DL15" t="s">
        <v>197</v>
      </c>
      <c r="DM15" t="s">
        <v>136</v>
      </c>
      <c r="DN15" t="s">
        <v>1916</v>
      </c>
      <c r="DO15" t="s">
        <v>198</v>
      </c>
      <c r="DP15" t="s">
        <v>199</v>
      </c>
      <c r="DQ15" t="s">
        <v>200</v>
      </c>
      <c r="DR15" t="s">
        <v>201</v>
      </c>
      <c r="DS15" t="s">
        <v>202</v>
      </c>
      <c r="DT15" t="s">
        <v>203</v>
      </c>
    </row>
    <row r="16" spans="1:124" ht="19.2" customHeight="1" x14ac:dyDescent="0.45">
      <c r="A16" t="s">
        <v>242</v>
      </c>
      <c r="B16" t="s">
        <v>243</v>
      </c>
      <c r="C16" t="s">
        <v>126</v>
      </c>
      <c r="D16" t="s">
        <v>127</v>
      </c>
      <c r="E16" t="s">
        <v>128</v>
      </c>
      <c r="I16" t="s">
        <v>2234</v>
      </c>
      <c r="J16">
        <f t="shared" si="0"/>
        <v>0.44734968314028273</v>
      </c>
      <c r="K16">
        <f t="shared" si="1"/>
        <v>2.9050319999999994</v>
      </c>
      <c r="L16">
        <f t="shared" si="2"/>
        <v>0.38765429105167931</v>
      </c>
      <c r="M16">
        <f t="shared" si="3"/>
        <v>5.0306107864787775</v>
      </c>
      <c r="N16" t="s">
        <v>244</v>
      </c>
      <c r="O16" t="s">
        <v>245</v>
      </c>
      <c r="P16">
        <f t="shared" si="4"/>
        <v>3.358318143010222</v>
      </c>
      <c r="Q16">
        <f t="shared" si="5"/>
        <v>1.2810391430102221</v>
      </c>
      <c r="R16" t="s">
        <v>246</v>
      </c>
      <c r="S16" t="s">
        <v>247</v>
      </c>
      <c r="T16">
        <f t="shared" si="6"/>
        <v>33.109712540769223</v>
      </c>
      <c r="U16">
        <f t="shared" si="7"/>
        <v>0.4417875</v>
      </c>
      <c r="V16" t="s">
        <v>134</v>
      </c>
      <c r="W16" t="s">
        <v>248</v>
      </c>
      <c r="X16" t="s">
        <v>136</v>
      </c>
      <c r="Y16" t="s">
        <v>136</v>
      </c>
      <c r="Z16" t="s">
        <v>136</v>
      </c>
      <c r="AA16" t="s">
        <v>249</v>
      </c>
      <c r="AB16" t="s">
        <v>250</v>
      </c>
      <c r="AC16" t="s">
        <v>251</v>
      </c>
      <c r="AD16" t="s">
        <v>140</v>
      </c>
      <c r="AE16" t="s">
        <v>141</v>
      </c>
      <c r="AF16">
        <f t="shared" si="8"/>
        <v>101.2391373</v>
      </c>
      <c r="AG16" t="s">
        <v>142</v>
      </c>
      <c r="AH16" t="s">
        <v>252</v>
      </c>
      <c r="AI16" t="s">
        <v>253</v>
      </c>
      <c r="AJ16" t="s">
        <v>254</v>
      </c>
      <c r="AK16" t="s">
        <v>255</v>
      </c>
      <c r="AL16">
        <f t="shared" si="9"/>
        <v>25.92</v>
      </c>
      <c r="AM16" t="s">
        <v>256</v>
      </c>
      <c r="AN16" t="s">
        <v>148</v>
      </c>
      <c r="AO16" t="s">
        <v>257</v>
      </c>
      <c r="AP16" t="s">
        <v>258</v>
      </c>
      <c r="AQ16" t="s">
        <v>259</v>
      </c>
      <c r="AR16" t="s">
        <v>260</v>
      </c>
      <c r="AS16" t="s">
        <v>261</v>
      </c>
      <c r="AT16" t="s">
        <v>262</v>
      </c>
      <c r="AU16" t="s">
        <v>263</v>
      </c>
      <c r="AV16" t="s">
        <v>264</v>
      </c>
      <c r="AW16" t="s">
        <v>265</v>
      </c>
      <c r="AX16" t="s">
        <v>266</v>
      </c>
      <c r="AY16" t="s">
        <v>267</v>
      </c>
      <c r="AZ16" t="s">
        <v>268</v>
      </c>
      <c r="BA16" t="s">
        <v>269</v>
      </c>
      <c r="BB16" t="s">
        <v>270</v>
      </c>
      <c r="BC16" t="s">
        <v>271</v>
      </c>
      <c r="BD16" t="s">
        <v>126</v>
      </c>
      <c r="BE16" t="s">
        <v>272</v>
      </c>
      <c r="BF16" t="s">
        <v>273</v>
      </c>
      <c r="BG16" t="s">
        <v>274</v>
      </c>
      <c r="BH16" t="s">
        <v>263</v>
      </c>
      <c r="BI16" t="s">
        <v>275</v>
      </c>
      <c r="BJ16" t="s">
        <v>162</v>
      </c>
      <c r="BK16" t="s">
        <v>126</v>
      </c>
      <c r="BL16" t="s">
        <v>163</v>
      </c>
      <c r="BM16" t="s">
        <v>124</v>
      </c>
      <c r="BN16" t="s">
        <v>276</v>
      </c>
      <c r="BO16" t="s">
        <v>171</v>
      </c>
      <c r="BP16" t="s">
        <v>277</v>
      </c>
      <c r="BQ16" t="s">
        <v>278</v>
      </c>
      <c r="BR16" t="s">
        <v>279</v>
      </c>
      <c r="BS16" t="s">
        <v>280</v>
      </c>
      <c r="BT16" t="s">
        <v>124</v>
      </c>
      <c r="BU16" t="s">
        <v>170</v>
      </c>
      <c r="BV16" t="s">
        <v>171</v>
      </c>
      <c r="BW16" t="s">
        <v>172</v>
      </c>
      <c r="BX16" t="s">
        <v>173</v>
      </c>
      <c r="BY16" t="s">
        <v>136</v>
      </c>
      <c r="BZ16" t="s">
        <v>174</v>
      </c>
      <c r="CA16" t="s">
        <v>136</v>
      </c>
      <c r="CB16" t="s">
        <v>136</v>
      </c>
      <c r="CC16" t="s">
        <v>175</v>
      </c>
      <c r="CD16" t="s">
        <v>176</v>
      </c>
      <c r="CE16" t="s">
        <v>161</v>
      </c>
      <c r="CF16" t="s">
        <v>177</v>
      </c>
      <c r="CG16" t="s">
        <v>178</v>
      </c>
      <c r="CH16" t="s">
        <v>179</v>
      </c>
      <c r="CI16" t="s">
        <v>142</v>
      </c>
      <c r="CJ16" t="s">
        <v>172</v>
      </c>
      <c r="CK16" t="s">
        <v>180</v>
      </c>
      <c r="CL16" t="s">
        <v>180</v>
      </c>
      <c r="CM16" t="s">
        <v>180</v>
      </c>
      <c r="CN16" t="s">
        <v>136</v>
      </c>
      <c r="CO16" t="s">
        <v>181</v>
      </c>
      <c r="CP16" t="s">
        <v>136</v>
      </c>
      <c r="CQ16" t="s">
        <v>136</v>
      </c>
      <c r="CR16" t="s">
        <v>136</v>
      </c>
      <c r="CS16" t="s">
        <v>136</v>
      </c>
      <c r="CT16" t="s">
        <v>281</v>
      </c>
      <c r="CU16" t="s">
        <v>282</v>
      </c>
      <c r="CV16" t="s">
        <v>283</v>
      </c>
      <c r="CW16" t="s">
        <v>284</v>
      </c>
      <c r="CX16" t="s">
        <v>285</v>
      </c>
      <c r="CY16" t="s">
        <v>286</v>
      </c>
      <c r="CZ16" t="s">
        <v>287</v>
      </c>
      <c r="DA16" t="s">
        <v>288</v>
      </c>
      <c r="DB16" t="s">
        <v>249</v>
      </c>
      <c r="DC16" t="s">
        <v>289</v>
      </c>
      <c r="DD16" t="s">
        <v>191</v>
      </c>
      <c r="DE16" t="s">
        <v>192</v>
      </c>
      <c r="DF16" t="s">
        <v>142</v>
      </c>
      <c r="DG16" t="s">
        <v>193</v>
      </c>
      <c r="DH16" t="s">
        <v>194</v>
      </c>
      <c r="DI16" t="s">
        <v>142</v>
      </c>
      <c r="DJ16" t="s">
        <v>195</v>
      </c>
      <c r="DK16" t="s">
        <v>196</v>
      </c>
      <c r="DL16" t="s">
        <v>197</v>
      </c>
      <c r="DM16" t="s">
        <v>136</v>
      </c>
      <c r="DN16" t="s">
        <v>248</v>
      </c>
      <c r="DO16" t="s">
        <v>198</v>
      </c>
      <c r="DP16" t="s">
        <v>199</v>
      </c>
      <c r="DQ16" t="s">
        <v>200</v>
      </c>
      <c r="DR16" t="s">
        <v>201</v>
      </c>
      <c r="DS16" t="s">
        <v>202</v>
      </c>
      <c r="DT16" t="s">
        <v>203</v>
      </c>
    </row>
    <row r="17" spans="1:124" ht="19.2" customHeight="1" x14ac:dyDescent="0.45">
      <c r="A17" t="s">
        <v>290</v>
      </c>
      <c r="B17" t="s">
        <v>291</v>
      </c>
      <c r="C17" t="s">
        <v>126</v>
      </c>
      <c r="D17" t="s">
        <v>127</v>
      </c>
      <c r="E17" t="s">
        <v>128</v>
      </c>
      <c r="I17" t="s">
        <v>2235</v>
      </c>
      <c r="J17">
        <f t="shared" si="0"/>
        <v>0.470510905022823</v>
      </c>
      <c r="K17">
        <f t="shared" si="1"/>
        <v>2.9034264800000003</v>
      </c>
      <c r="L17">
        <f t="shared" si="2"/>
        <v>0.40489602054745549</v>
      </c>
      <c r="M17">
        <f t="shared" si="3"/>
        <v>5.3392893747631653</v>
      </c>
      <c r="N17" t="s">
        <v>292</v>
      </c>
      <c r="O17" t="s">
        <v>293</v>
      </c>
      <c r="P17">
        <f t="shared" si="4"/>
        <v>3.4244985814706008</v>
      </c>
      <c r="Q17">
        <f t="shared" si="5"/>
        <v>1.3009845814706007</v>
      </c>
      <c r="R17" t="s">
        <v>294</v>
      </c>
      <c r="S17" t="s">
        <v>295</v>
      </c>
      <c r="T17">
        <f t="shared" si="6"/>
        <v>33.762186547082727</v>
      </c>
      <c r="U17">
        <f t="shared" si="7"/>
        <v>0.4417875</v>
      </c>
      <c r="V17" t="s">
        <v>134</v>
      </c>
      <c r="W17" t="s">
        <v>296</v>
      </c>
      <c r="X17" t="s">
        <v>136</v>
      </c>
      <c r="Y17" t="s">
        <v>136</v>
      </c>
      <c r="Z17" t="s">
        <v>136</v>
      </c>
      <c r="AA17" t="s">
        <v>297</v>
      </c>
      <c r="AB17" t="s">
        <v>298</v>
      </c>
      <c r="AC17" t="s">
        <v>299</v>
      </c>
      <c r="AD17" t="s">
        <v>140</v>
      </c>
      <c r="AE17" t="s">
        <v>141</v>
      </c>
      <c r="AF17">
        <f t="shared" si="8"/>
        <v>106.07281524</v>
      </c>
      <c r="AG17" t="s">
        <v>142</v>
      </c>
      <c r="AH17" t="s">
        <v>300</v>
      </c>
      <c r="AI17" t="s">
        <v>301</v>
      </c>
      <c r="AJ17" t="s">
        <v>302</v>
      </c>
      <c r="AK17" t="s">
        <v>303</v>
      </c>
      <c r="AL17">
        <f t="shared" si="9"/>
        <v>26.25</v>
      </c>
      <c r="AM17" t="s">
        <v>256</v>
      </c>
      <c r="AN17" t="s">
        <v>304</v>
      </c>
      <c r="AO17" t="s">
        <v>305</v>
      </c>
      <c r="AP17" t="s">
        <v>306</v>
      </c>
      <c r="AQ17" t="s">
        <v>307</v>
      </c>
      <c r="AR17" t="s">
        <v>308</v>
      </c>
      <c r="AS17" t="s">
        <v>262</v>
      </c>
      <c r="AT17" t="s">
        <v>309</v>
      </c>
      <c r="AU17" t="s">
        <v>310</v>
      </c>
      <c r="AV17" t="s">
        <v>311</v>
      </c>
      <c r="AW17" t="s">
        <v>312</v>
      </c>
      <c r="AX17" t="s">
        <v>313</v>
      </c>
      <c r="AY17" t="s">
        <v>314</v>
      </c>
      <c r="AZ17" t="s">
        <v>268</v>
      </c>
      <c r="BA17" t="s">
        <v>315</v>
      </c>
      <c r="BB17" t="s">
        <v>316</v>
      </c>
      <c r="BC17" t="s">
        <v>317</v>
      </c>
      <c r="BD17" t="s">
        <v>126</v>
      </c>
      <c r="BE17" t="s">
        <v>318</v>
      </c>
      <c r="BF17" t="s">
        <v>319</v>
      </c>
      <c r="BG17" t="s">
        <v>320</v>
      </c>
      <c r="BH17" t="s">
        <v>321</v>
      </c>
      <c r="BI17" t="s">
        <v>322</v>
      </c>
      <c r="BJ17" t="s">
        <v>162</v>
      </c>
      <c r="BK17" t="s">
        <v>126</v>
      </c>
      <c r="BL17" t="s">
        <v>163</v>
      </c>
      <c r="BM17" t="s">
        <v>124</v>
      </c>
      <c r="BN17" t="s">
        <v>229</v>
      </c>
      <c r="BO17" t="s">
        <v>164</v>
      </c>
      <c r="BP17" t="s">
        <v>165</v>
      </c>
      <c r="BQ17" t="s">
        <v>323</v>
      </c>
      <c r="BR17" t="s">
        <v>324</v>
      </c>
      <c r="BS17" t="s">
        <v>325</v>
      </c>
      <c r="BT17" t="s">
        <v>124</v>
      </c>
      <c r="BU17" t="s">
        <v>170</v>
      </c>
      <c r="BV17" t="s">
        <v>171</v>
      </c>
      <c r="BW17" t="s">
        <v>172</v>
      </c>
      <c r="BX17" t="s">
        <v>173</v>
      </c>
      <c r="BY17" t="s">
        <v>136</v>
      </c>
      <c r="BZ17" t="s">
        <v>174</v>
      </c>
      <c r="CA17" t="s">
        <v>136</v>
      </c>
      <c r="CB17" t="s">
        <v>136</v>
      </c>
      <c r="CC17" t="s">
        <v>175</v>
      </c>
      <c r="CD17" t="s">
        <v>176</v>
      </c>
      <c r="CE17" t="s">
        <v>161</v>
      </c>
      <c r="CF17" t="s">
        <v>177</v>
      </c>
      <c r="CG17" t="s">
        <v>178</v>
      </c>
      <c r="CH17" t="s">
        <v>179</v>
      </c>
      <c r="CI17" t="s">
        <v>142</v>
      </c>
      <c r="CJ17" t="s">
        <v>172</v>
      </c>
      <c r="CK17" t="s">
        <v>180</v>
      </c>
      <c r="CL17" t="s">
        <v>180</v>
      </c>
      <c r="CM17" t="s">
        <v>180</v>
      </c>
      <c r="CN17" t="s">
        <v>136</v>
      </c>
      <c r="CO17" t="s">
        <v>181</v>
      </c>
      <c r="CP17" t="s">
        <v>136</v>
      </c>
      <c r="CQ17" t="s">
        <v>136</v>
      </c>
      <c r="CR17" t="s">
        <v>136</v>
      </c>
      <c r="CS17" t="s">
        <v>136</v>
      </c>
      <c r="CT17" t="s">
        <v>326</v>
      </c>
      <c r="CU17" t="s">
        <v>327</v>
      </c>
      <c r="CV17" t="s">
        <v>328</v>
      </c>
      <c r="CW17" t="s">
        <v>329</v>
      </c>
      <c r="CX17" t="s">
        <v>330</v>
      </c>
      <c r="CY17" t="s">
        <v>331</v>
      </c>
      <c r="CZ17" t="s">
        <v>332</v>
      </c>
      <c r="DA17" t="s">
        <v>333</v>
      </c>
      <c r="DB17" t="s">
        <v>297</v>
      </c>
      <c r="DC17" t="s">
        <v>334</v>
      </c>
      <c r="DD17" t="s">
        <v>191</v>
      </c>
      <c r="DE17" t="s">
        <v>192</v>
      </c>
      <c r="DF17" t="s">
        <v>142</v>
      </c>
      <c r="DG17" t="s">
        <v>193</v>
      </c>
      <c r="DH17" t="s">
        <v>194</v>
      </c>
      <c r="DI17" t="s">
        <v>142</v>
      </c>
      <c r="DJ17" t="s">
        <v>195</v>
      </c>
      <c r="DK17" t="s">
        <v>196</v>
      </c>
      <c r="DL17" t="s">
        <v>197</v>
      </c>
      <c r="DM17" t="s">
        <v>136</v>
      </c>
      <c r="DN17" t="s">
        <v>296</v>
      </c>
      <c r="DO17" t="s">
        <v>198</v>
      </c>
      <c r="DP17" t="s">
        <v>199</v>
      </c>
      <c r="DQ17" t="s">
        <v>200</v>
      </c>
      <c r="DR17" t="s">
        <v>201</v>
      </c>
      <c r="DS17" t="s">
        <v>202</v>
      </c>
      <c r="DT17" t="s">
        <v>203</v>
      </c>
    </row>
    <row r="18" spans="1:124" ht="19.2" customHeight="1" x14ac:dyDescent="0.45">
      <c r="A18" t="s">
        <v>628</v>
      </c>
      <c r="B18" t="s">
        <v>629</v>
      </c>
      <c r="C18" t="s">
        <v>126</v>
      </c>
      <c r="D18" t="s">
        <v>127</v>
      </c>
      <c r="E18" t="s">
        <v>128</v>
      </c>
      <c r="I18" t="s">
        <v>2236</v>
      </c>
      <c r="J18">
        <f t="shared" si="0"/>
        <v>0.54413080479087272</v>
      </c>
      <c r="K18">
        <f t="shared" si="1"/>
        <v>2.9058327199999998</v>
      </c>
      <c r="L18">
        <f t="shared" si="2"/>
        <v>0.45831009086308988</v>
      </c>
      <c r="M18">
        <f t="shared" si="3"/>
        <v>6.2818779226804891</v>
      </c>
      <c r="N18" t="s">
        <v>630</v>
      </c>
      <c r="O18" t="s">
        <v>631</v>
      </c>
      <c r="P18">
        <f t="shared" si="4"/>
        <v>3.3962842273057383</v>
      </c>
      <c r="Q18">
        <f t="shared" si="5"/>
        <v>1.3529252273057382</v>
      </c>
      <c r="R18" t="s">
        <v>632</v>
      </c>
      <c r="S18" t="s">
        <v>633</v>
      </c>
      <c r="T18">
        <f t="shared" si="6"/>
        <v>33.487322296447822</v>
      </c>
      <c r="U18">
        <f t="shared" si="7"/>
        <v>0.4417875</v>
      </c>
      <c r="V18" t="s">
        <v>134</v>
      </c>
      <c r="W18" t="s">
        <v>634</v>
      </c>
      <c r="X18" t="s">
        <v>136</v>
      </c>
      <c r="Y18" t="s">
        <v>136</v>
      </c>
      <c r="Z18" t="s">
        <v>136</v>
      </c>
      <c r="AA18" t="s">
        <v>635</v>
      </c>
      <c r="AB18" t="s">
        <v>636</v>
      </c>
      <c r="AC18" t="s">
        <v>637</v>
      </c>
      <c r="AD18" t="s">
        <v>140</v>
      </c>
      <c r="AE18" t="s">
        <v>141</v>
      </c>
      <c r="AF18">
        <f t="shared" si="8"/>
        <v>109.36692143999998</v>
      </c>
      <c r="AG18" t="s">
        <v>142</v>
      </c>
      <c r="AH18" t="s">
        <v>638</v>
      </c>
      <c r="AI18" t="s">
        <v>639</v>
      </c>
      <c r="AJ18" t="s">
        <v>640</v>
      </c>
      <c r="AK18" t="s">
        <v>641</v>
      </c>
      <c r="AL18">
        <f t="shared" si="9"/>
        <v>26.11</v>
      </c>
      <c r="AM18" t="s">
        <v>349</v>
      </c>
      <c r="AN18" t="s">
        <v>350</v>
      </c>
      <c r="AO18" t="s">
        <v>642</v>
      </c>
      <c r="AP18" t="s">
        <v>643</v>
      </c>
      <c r="AQ18" t="s">
        <v>644</v>
      </c>
      <c r="AR18" t="s">
        <v>645</v>
      </c>
      <c r="AS18" t="s">
        <v>646</v>
      </c>
      <c r="AT18" t="s">
        <v>124</v>
      </c>
      <c r="AU18" t="s">
        <v>647</v>
      </c>
      <c r="AV18" t="s">
        <v>648</v>
      </c>
      <c r="AW18" t="s">
        <v>649</v>
      </c>
      <c r="AX18" t="s">
        <v>650</v>
      </c>
      <c r="AY18" t="s">
        <v>651</v>
      </c>
      <c r="AZ18" t="s">
        <v>268</v>
      </c>
      <c r="BA18" t="s">
        <v>652</v>
      </c>
      <c r="BB18" t="s">
        <v>653</v>
      </c>
      <c r="BC18" t="s">
        <v>654</v>
      </c>
      <c r="BD18" t="s">
        <v>126</v>
      </c>
      <c r="BE18" t="s">
        <v>655</v>
      </c>
      <c r="BF18" t="s">
        <v>656</v>
      </c>
      <c r="BG18" t="s">
        <v>657</v>
      </c>
      <c r="BH18" t="s">
        <v>263</v>
      </c>
      <c r="BI18" t="s">
        <v>658</v>
      </c>
      <c r="BJ18" t="s">
        <v>162</v>
      </c>
      <c r="BK18" t="s">
        <v>126</v>
      </c>
      <c r="BL18" t="s">
        <v>163</v>
      </c>
      <c r="BM18" t="s">
        <v>124</v>
      </c>
      <c r="BN18" t="s">
        <v>164</v>
      </c>
      <c r="BO18" t="s">
        <v>228</v>
      </c>
      <c r="BP18" t="s">
        <v>166</v>
      </c>
      <c r="BQ18" t="s">
        <v>325</v>
      </c>
      <c r="BR18" t="s">
        <v>659</v>
      </c>
      <c r="BS18" t="s">
        <v>660</v>
      </c>
      <c r="BT18" t="s">
        <v>124</v>
      </c>
      <c r="BU18" t="s">
        <v>170</v>
      </c>
      <c r="BV18" t="s">
        <v>171</v>
      </c>
      <c r="BW18" t="s">
        <v>172</v>
      </c>
      <c r="BX18" t="s">
        <v>173</v>
      </c>
      <c r="BY18" t="s">
        <v>136</v>
      </c>
      <c r="BZ18" t="s">
        <v>174</v>
      </c>
      <c r="CA18" t="s">
        <v>136</v>
      </c>
      <c r="CB18" t="s">
        <v>136</v>
      </c>
      <c r="CC18" t="s">
        <v>175</v>
      </c>
      <c r="CD18" t="s">
        <v>176</v>
      </c>
      <c r="CE18" t="s">
        <v>161</v>
      </c>
      <c r="CF18" t="s">
        <v>177</v>
      </c>
      <c r="CG18" t="s">
        <v>178</v>
      </c>
      <c r="CH18" t="s">
        <v>179</v>
      </c>
      <c r="CI18" t="s">
        <v>142</v>
      </c>
      <c r="CJ18" t="s">
        <v>172</v>
      </c>
      <c r="CK18" t="s">
        <v>180</v>
      </c>
      <c r="CL18" t="s">
        <v>180</v>
      </c>
      <c r="CM18" t="s">
        <v>180</v>
      </c>
      <c r="CN18" t="s">
        <v>136</v>
      </c>
      <c r="CO18" t="s">
        <v>181</v>
      </c>
      <c r="CP18" t="s">
        <v>136</v>
      </c>
      <c r="CQ18" t="s">
        <v>136</v>
      </c>
      <c r="CR18" t="s">
        <v>136</v>
      </c>
      <c r="CS18" t="s">
        <v>136</v>
      </c>
      <c r="CT18" t="s">
        <v>661</v>
      </c>
      <c r="CU18" t="s">
        <v>662</v>
      </c>
      <c r="CV18" t="s">
        <v>663</v>
      </c>
      <c r="CW18" t="s">
        <v>664</v>
      </c>
      <c r="CX18" t="s">
        <v>665</v>
      </c>
      <c r="CY18" t="s">
        <v>666</v>
      </c>
      <c r="CZ18" t="s">
        <v>667</v>
      </c>
      <c r="DA18" t="s">
        <v>668</v>
      </c>
      <c r="DB18" t="s">
        <v>635</v>
      </c>
      <c r="DC18" t="s">
        <v>669</v>
      </c>
      <c r="DD18" t="s">
        <v>191</v>
      </c>
      <c r="DE18" t="s">
        <v>192</v>
      </c>
      <c r="DF18" t="s">
        <v>142</v>
      </c>
      <c r="DG18" t="s">
        <v>193</v>
      </c>
      <c r="DH18" t="s">
        <v>194</v>
      </c>
      <c r="DI18" t="s">
        <v>142</v>
      </c>
      <c r="DJ18" t="s">
        <v>195</v>
      </c>
      <c r="DK18" t="s">
        <v>196</v>
      </c>
      <c r="DL18" t="s">
        <v>197</v>
      </c>
      <c r="DM18" t="s">
        <v>136</v>
      </c>
      <c r="DN18" t="s">
        <v>634</v>
      </c>
      <c r="DO18" t="s">
        <v>198</v>
      </c>
      <c r="DP18" t="s">
        <v>199</v>
      </c>
      <c r="DQ18" t="s">
        <v>200</v>
      </c>
      <c r="DR18" t="s">
        <v>201</v>
      </c>
      <c r="DS18" t="s">
        <v>202</v>
      </c>
      <c r="DT18" t="s">
        <v>203</v>
      </c>
    </row>
    <row r="19" spans="1:124" ht="19.2" customHeight="1" x14ac:dyDescent="0.45">
      <c r="A19" t="s">
        <v>451</v>
      </c>
      <c r="B19" t="s">
        <v>670</v>
      </c>
      <c r="C19" t="s">
        <v>126</v>
      </c>
      <c r="D19" t="s">
        <v>127</v>
      </c>
      <c r="E19" t="s">
        <v>128</v>
      </c>
      <c r="I19" t="s">
        <v>2237</v>
      </c>
      <c r="J19">
        <f t="shared" si="0"/>
        <v>0.24795313431792657</v>
      </c>
      <c r="K19">
        <f t="shared" si="1"/>
        <v>2.9042299199999997</v>
      </c>
      <c r="L19">
        <f t="shared" si="2"/>
        <v>0.22844895078586103</v>
      </c>
      <c r="M19">
        <f t="shared" si="3"/>
        <v>3.6747190460780801</v>
      </c>
      <c r="N19" t="s">
        <v>671</v>
      </c>
      <c r="O19" t="s">
        <v>672</v>
      </c>
      <c r="P19">
        <f t="shared" si="4"/>
        <v>3.5644711671828677</v>
      </c>
      <c r="Q19">
        <f t="shared" si="5"/>
        <v>1.5866421671828677</v>
      </c>
      <c r="R19" t="s">
        <v>673</v>
      </c>
      <c r="S19" t="s">
        <v>674</v>
      </c>
      <c r="T19">
        <f t="shared" si="6"/>
        <v>35.149109231662244</v>
      </c>
      <c r="U19">
        <f t="shared" si="7"/>
        <v>0.4417875</v>
      </c>
      <c r="V19" t="s">
        <v>134</v>
      </c>
      <c r="W19" t="s">
        <v>675</v>
      </c>
      <c r="X19" t="s">
        <v>136</v>
      </c>
      <c r="Y19" t="s">
        <v>136</v>
      </c>
      <c r="Z19" t="s">
        <v>136</v>
      </c>
      <c r="AA19" t="s">
        <v>676</v>
      </c>
      <c r="AB19" t="s">
        <v>677</v>
      </c>
      <c r="AC19" t="s">
        <v>678</v>
      </c>
      <c r="AD19" t="s">
        <v>140</v>
      </c>
      <c r="AE19" t="s">
        <v>141</v>
      </c>
      <c r="AF19">
        <f t="shared" si="8"/>
        <v>106.29879624</v>
      </c>
      <c r="AG19" t="s">
        <v>142</v>
      </c>
      <c r="AH19" t="s">
        <v>679</v>
      </c>
      <c r="AI19" t="s">
        <v>680</v>
      </c>
      <c r="AJ19" t="s">
        <v>681</v>
      </c>
      <c r="AK19" t="s">
        <v>682</v>
      </c>
      <c r="AL19">
        <f t="shared" si="9"/>
        <v>26.93</v>
      </c>
      <c r="AM19" t="s">
        <v>147</v>
      </c>
      <c r="AN19" t="s">
        <v>524</v>
      </c>
      <c r="AO19" t="s">
        <v>683</v>
      </c>
      <c r="AP19" t="s">
        <v>684</v>
      </c>
      <c r="AQ19" t="s">
        <v>356</v>
      </c>
      <c r="AR19" t="s">
        <v>685</v>
      </c>
      <c r="AS19" t="s">
        <v>153</v>
      </c>
      <c r="AT19" t="s">
        <v>124</v>
      </c>
      <c r="AU19" t="s">
        <v>686</v>
      </c>
      <c r="AV19" t="s">
        <v>687</v>
      </c>
      <c r="AW19" t="s">
        <v>688</v>
      </c>
      <c r="AX19" t="s">
        <v>689</v>
      </c>
      <c r="AY19" t="s">
        <v>690</v>
      </c>
      <c r="AZ19" t="s">
        <v>268</v>
      </c>
      <c r="BA19" t="s">
        <v>691</v>
      </c>
      <c r="BB19" t="s">
        <v>692</v>
      </c>
      <c r="BC19" t="s">
        <v>693</v>
      </c>
      <c r="BD19" t="s">
        <v>126</v>
      </c>
      <c r="BE19" t="s">
        <v>694</v>
      </c>
      <c r="BF19" t="s">
        <v>365</v>
      </c>
      <c r="BG19" t="s">
        <v>695</v>
      </c>
      <c r="BH19" t="s">
        <v>614</v>
      </c>
      <c r="BI19" t="s">
        <v>696</v>
      </c>
      <c r="BJ19" t="s">
        <v>368</v>
      </c>
      <c r="BK19" t="s">
        <v>126</v>
      </c>
      <c r="BL19" t="s">
        <v>369</v>
      </c>
      <c r="BM19" t="s">
        <v>124</v>
      </c>
      <c r="BN19" t="s">
        <v>171</v>
      </c>
      <c r="BO19" t="s">
        <v>171</v>
      </c>
      <c r="BP19" t="s">
        <v>276</v>
      </c>
      <c r="BQ19" t="s">
        <v>697</v>
      </c>
      <c r="BR19" t="s">
        <v>698</v>
      </c>
      <c r="BS19" t="s">
        <v>699</v>
      </c>
      <c r="BT19" t="s">
        <v>124</v>
      </c>
      <c r="BU19" t="s">
        <v>170</v>
      </c>
      <c r="BV19" t="s">
        <v>171</v>
      </c>
      <c r="BW19" t="s">
        <v>172</v>
      </c>
      <c r="BX19" t="s">
        <v>173</v>
      </c>
      <c r="BY19" t="s">
        <v>136</v>
      </c>
      <c r="BZ19" t="s">
        <v>174</v>
      </c>
      <c r="CA19" t="s">
        <v>136</v>
      </c>
      <c r="CB19" t="s">
        <v>136</v>
      </c>
      <c r="CC19" t="s">
        <v>175</v>
      </c>
      <c r="CD19" t="s">
        <v>176</v>
      </c>
      <c r="CE19" t="s">
        <v>161</v>
      </c>
      <c r="CF19" t="s">
        <v>177</v>
      </c>
      <c r="CG19" t="s">
        <v>178</v>
      </c>
      <c r="CH19" t="s">
        <v>179</v>
      </c>
      <c r="CI19" t="s">
        <v>142</v>
      </c>
      <c r="CJ19" t="s">
        <v>172</v>
      </c>
      <c r="CK19" t="s">
        <v>180</v>
      </c>
      <c r="CL19" t="s">
        <v>180</v>
      </c>
      <c r="CM19" t="s">
        <v>180</v>
      </c>
      <c r="CN19" t="s">
        <v>136</v>
      </c>
      <c r="CO19" t="s">
        <v>181</v>
      </c>
      <c r="CP19" t="s">
        <v>136</v>
      </c>
      <c r="CQ19" t="s">
        <v>136</v>
      </c>
      <c r="CR19" t="s">
        <v>136</v>
      </c>
      <c r="CS19" t="s">
        <v>136</v>
      </c>
      <c r="CT19" t="s">
        <v>700</v>
      </c>
      <c r="CU19" t="s">
        <v>701</v>
      </c>
      <c r="CV19" t="s">
        <v>702</v>
      </c>
      <c r="CW19" t="s">
        <v>703</v>
      </c>
      <c r="CX19" t="s">
        <v>704</v>
      </c>
      <c r="CY19" t="s">
        <v>705</v>
      </c>
      <c r="CZ19" t="s">
        <v>706</v>
      </c>
      <c r="DA19" t="s">
        <v>707</v>
      </c>
      <c r="DB19" t="s">
        <v>676</v>
      </c>
      <c r="DC19" t="s">
        <v>708</v>
      </c>
      <c r="DD19" t="s">
        <v>191</v>
      </c>
      <c r="DE19" t="s">
        <v>192</v>
      </c>
      <c r="DF19" t="s">
        <v>142</v>
      </c>
      <c r="DG19" t="s">
        <v>193</v>
      </c>
      <c r="DH19" t="s">
        <v>194</v>
      </c>
      <c r="DI19" t="s">
        <v>142</v>
      </c>
      <c r="DJ19" t="s">
        <v>195</v>
      </c>
      <c r="DK19" t="s">
        <v>196</v>
      </c>
      <c r="DL19" t="s">
        <v>197</v>
      </c>
      <c r="DM19" t="s">
        <v>136</v>
      </c>
      <c r="DN19" t="s">
        <v>675</v>
      </c>
      <c r="DO19" t="s">
        <v>198</v>
      </c>
      <c r="DP19" t="s">
        <v>199</v>
      </c>
      <c r="DQ19" t="s">
        <v>200</v>
      </c>
      <c r="DR19" t="s">
        <v>201</v>
      </c>
      <c r="DS19" t="s">
        <v>202</v>
      </c>
      <c r="DT19" t="s">
        <v>203</v>
      </c>
    </row>
    <row r="20" spans="1:124" ht="19.2" customHeight="1" x14ac:dyDescent="0.45">
      <c r="A20" t="s">
        <v>979</v>
      </c>
      <c r="B20" t="s">
        <v>980</v>
      </c>
      <c r="C20" t="s">
        <v>126</v>
      </c>
      <c r="D20" t="s">
        <v>127</v>
      </c>
      <c r="E20" t="s">
        <v>128</v>
      </c>
      <c r="I20" t="s">
        <v>2238</v>
      </c>
      <c r="J20">
        <f t="shared" si="0"/>
        <v>0.15511703675964722</v>
      </c>
      <c r="K20">
        <f t="shared" si="1"/>
        <v>2.9042299199999997</v>
      </c>
      <c r="L20">
        <f t="shared" si="2"/>
        <v>0.14725218996940978</v>
      </c>
      <c r="M20">
        <f t="shared" si="3"/>
        <v>2.5534890927931801</v>
      </c>
      <c r="N20" t="s">
        <v>981</v>
      </c>
      <c r="O20" t="s">
        <v>982</v>
      </c>
      <c r="P20">
        <f t="shared" si="4"/>
        <v>3.6044629734325402</v>
      </c>
      <c r="Q20">
        <f t="shared" si="5"/>
        <v>1.7108489734325403</v>
      </c>
      <c r="R20" t="s">
        <v>983</v>
      </c>
      <c r="S20" t="s">
        <v>984</v>
      </c>
      <c r="T20">
        <f t="shared" si="6"/>
        <v>35.543466851716204</v>
      </c>
      <c r="U20">
        <f t="shared" si="7"/>
        <v>0.4417875</v>
      </c>
      <c r="V20" t="s">
        <v>134</v>
      </c>
      <c r="W20" t="s">
        <v>985</v>
      </c>
      <c r="X20" t="s">
        <v>136</v>
      </c>
      <c r="Y20" t="s">
        <v>136</v>
      </c>
      <c r="Z20" t="s">
        <v>136</v>
      </c>
      <c r="AA20" t="s">
        <v>986</v>
      </c>
      <c r="AB20" t="s">
        <v>987</v>
      </c>
      <c r="AC20" t="s">
        <v>988</v>
      </c>
      <c r="AD20" t="s">
        <v>140</v>
      </c>
      <c r="AE20" t="s">
        <v>141</v>
      </c>
      <c r="AF20">
        <f t="shared" si="8"/>
        <v>102.94001592000001</v>
      </c>
      <c r="AG20" t="s">
        <v>142</v>
      </c>
      <c r="AH20" t="s">
        <v>989</v>
      </c>
      <c r="AI20" t="s">
        <v>990</v>
      </c>
      <c r="AJ20" t="s">
        <v>991</v>
      </c>
      <c r="AK20" t="s">
        <v>599</v>
      </c>
      <c r="AL20">
        <f t="shared" si="9"/>
        <v>27.12</v>
      </c>
      <c r="AM20" t="s">
        <v>147</v>
      </c>
      <c r="AN20" t="s">
        <v>524</v>
      </c>
      <c r="AO20" t="s">
        <v>992</v>
      </c>
      <c r="AP20" t="s">
        <v>993</v>
      </c>
      <c r="AQ20" t="s">
        <v>994</v>
      </c>
      <c r="AR20" t="s">
        <v>995</v>
      </c>
      <c r="AS20" t="s">
        <v>996</v>
      </c>
      <c r="AT20" t="s">
        <v>997</v>
      </c>
      <c r="AU20" t="s">
        <v>998</v>
      </c>
      <c r="AV20" t="s">
        <v>999</v>
      </c>
      <c r="AW20" t="s">
        <v>1000</v>
      </c>
      <c r="AX20" t="s">
        <v>1001</v>
      </c>
      <c r="AY20" t="s">
        <v>1002</v>
      </c>
      <c r="AZ20" t="s">
        <v>268</v>
      </c>
      <c r="BA20" t="s">
        <v>691</v>
      </c>
      <c r="BB20" t="s">
        <v>692</v>
      </c>
      <c r="BC20" t="s">
        <v>1003</v>
      </c>
      <c r="BD20" t="s">
        <v>126</v>
      </c>
      <c r="BE20" t="s">
        <v>1004</v>
      </c>
      <c r="BF20" t="s">
        <v>1005</v>
      </c>
      <c r="BG20" t="s">
        <v>1006</v>
      </c>
      <c r="BH20" t="s">
        <v>263</v>
      </c>
      <c r="BI20" t="s">
        <v>857</v>
      </c>
      <c r="BJ20" t="s">
        <v>368</v>
      </c>
      <c r="BK20" t="s">
        <v>126</v>
      </c>
      <c r="BL20" t="s">
        <v>369</v>
      </c>
      <c r="BM20" t="s">
        <v>124</v>
      </c>
      <c r="BN20" t="s">
        <v>228</v>
      </c>
      <c r="BO20" t="s">
        <v>164</v>
      </c>
      <c r="BP20" t="s">
        <v>411</v>
      </c>
      <c r="BQ20" t="s">
        <v>1007</v>
      </c>
      <c r="BR20" t="s">
        <v>171</v>
      </c>
      <c r="BS20" t="s">
        <v>1008</v>
      </c>
      <c r="BT20" t="s">
        <v>124</v>
      </c>
      <c r="BU20" t="s">
        <v>170</v>
      </c>
      <c r="BV20" t="s">
        <v>171</v>
      </c>
      <c r="BW20" t="s">
        <v>172</v>
      </c>
      <c r="BX20" t="s">
        <v>173</v>
      </c>
      <c r="BY20" t="s">
        <v>136</v>
      </c>
      <c r="BZ20" t="s">
        <v>174</v>
      </c>
      <c r="CA20" t="s">
        <v>136</v>
      </c>
      <c r="CB20" t="s">
        <v>136</v>
      </c>
      <c r="CC20" t="s">
        <v>175</v>
      </c>
      <c r="CD20" t="s">
        <v>176</v>
      </c>
      <c r="CE20" t="s">
        <v>161</v>
      </c>
      <c r="CF20" t="s">
        <v>177</v>
      </c>
      <c r="CG20" t="s">
        <v>178</v>
      </c>
      <c r="CH20" t="s">
        <v>179</v>
      </c>
      <c r="CI20" t="s">
        <v>142</v>
      </c>
      <c r="CJ20" t="s">
        <v>172</v>
      </c>
      <c r="CK20" t="s">
        <v>180</v>
      </c>
      <c r="CL20" t="s">
        <v>180</v>
      </c>
      <c r="CM20" t="s">
        <v>180</v>
      </c>
      <c r="CN20" t="s">
        <v>136</v>
      </c>
      <c r="CO20" t="s">
        <v>181</v>
      </c>
      <c r="CP20" t="s">
        <v>136</v>
      </c>
      <c r="CQ20" t="s">
        <v>136</v>
      </c>
      <c r="CR20" t="s">
        <v>136</v>
      </c>
      <c r="CS20" t="s">
        <v>136</v>
      </c>
      <c r="CT20" t="s">
        <v>1009</v>
      </c>
      <c r="CU20" t="s">
        <v>864</v>
      </c>
      <c r="CV20" t="s">
        <v>1010</v>
      </c>
      <c r="CW20" t="s">
        <v>1011</v>
      </c>
      <c r="CX20" t="s">
        <v>1012</v>
      </c>
      <c r="CY20" t="s">
        <v>1013</v>
      </c>
      <c r="CZ20" t="s">
        <v>1014</v>
      </c>
      <c r="DA20" t="s">
        <v>1015</v>
      </c>
      <c r="DB20" t="s">
        <v>986</v>
      </c>
      <c r="DC20" t="s">
        <v>467</v>
      </c>
      <c r="DD20" t="s">
        <v>191</v>
      </c>
      <c r="DE20" t="s">
        <v>192</v>
      </c>
      <c r="DF20" t="s">
        <v>142</v>
      </c>
      <c r="DG20" t="s">
        <v>193</v>
      </c>
      <c r="DH20" t="s">
        <v>194</v>
      </c>
      <c r="DI20" t="s">
        <v>142</v>
      </c>
      <c r="DJ20" t="s">
        <v>195</v>
      </c>
      <c r="DK20" t="s">
        <v>196</v>
      </c>
      <c r="DL20" t="s">
        <v>197</v>
      </c>
      <c r="DM20" t="s">
        <v>136</v>
      </c>
      <c r="DN20" t="s">
        <v>985</v>
      </c>
      <c r="DO20" t="s">
        <v>198</v>
      </c>
      <c r="DP20" t="s">
        <v>199</v>
      </c>
      <c r="DQ20" t="s">
        <v>200</v>
      </c>
      <c r="DR20" t="s">
        <v>201</v>
      </c>
      <c r="DS20" t="s">
        <v>202</v>
      </c>
      <c r="DT20" t="s">
        <v>203</v>
      </c>
    </row>
    <row r="21" spans="1:124" ht="19.2" customHeight="1" x14ac:dyDescent="0.45">
      <c r="A21" t="s">
        <v>1016</v>
      </c>
      <c r="B21" t="s">
        <v>1017</v>
      </c>
      <c r="C21" t="s">
        <v>126</v>
      </c>
      <c r="D21" t="s">
        <v>127</v>
      </c>
      <c r="E21" t="s">
        <v>128</v>
      </c>
      <c r="I21" t="s">
        <v>2239</v>
      </c>
      <c r="J21">
        <f t="shared" si="0"/>
        <v>0.41376803790680816</v>
      </c>
      <c r="K21">
        <f t="shared" si="1"/>
        <v>2.9058327199999998</v>
      </c>
      <c r="L21">
        <f t="shared" si="2"/>
        <v>0.3621943693608341</v>
      </c>
      <c r="M21">
        <f t="shared" si="3"/>
        <v>5.3905612147834976</v>
      </c>
      <c r="N21" t="s">
        <v>1018</v>
      </c>
      <c r="O21" t="s">
        <v>1019</v>
      </c>
      <c r="P21">
        <f t="shared" si="4"/>
        <v>3.4488450088919684</v>
      </c>
      <c r="Q21">
        <f t="shared" si="5"/>
        <v>1.4689220088919683</v>
      </c>
      <c r="R21" t="s">
        <v>1020</v>
      </c>
      <c r="S21" t="s">
        <v>1021</v>
      </c>
      <c r="T21">
        <f t="shared" si="6"/>
        <v>34.00892425689743</v>
      </c>
      <c r="U21">
        <f t="shared" si="7"/>
        <v>0.4417875</v>
      </c>
      <c r="V21" t="s">
        <v>134</v>
      </c>
      <c r="W21" t="s">
        <v>1022</v>
      </c>
      <c r="X21" t="s">
        <v>136</v>
      </c>
      <c r="Y21" t="s">
        <v>136</v>
      </c>
      <c r="Z21" t="s">
        <v>136</v>
      </c>
      <c r="AA21" t="s">
        <v>1023</v>
      </c>
      <c r="AB21" t="s">
        <v>1024</v>
      </c>
      <c r="AC21" t="s">
        <v>1025</v>
      </c>
      <c r="AD21" t="s">
        <v>140</v>
      </c>
      <c r="AE21" t="s">
        <v>141</v>
      </c>
      <c r="AF21">
        <f t="shared" si="8"/>
        <v>102.08163965999999</v>
      </c>
      <c r="AG21" t="s">
        <v>142</v>
      </c>
      <c r="AH21" t="s">
        <v>1026</v>
      </c>
      <c r="AI21" t="s">
        <v>1027</v>
      </c>
      <c r="AJ21" t="s">
        <v>1028</v>
      </c>
      <c r="AK21" t="s">
        <v>1029</v>
      </c>
      <c r="AL21">
        <f t="shared" si="9"/>
        <v>26.37</v>
      </c>
      <c r="AM21" t="s">
        <v>147</v>
      </c>
      <c r="AN21" t="s">
        <v>350</v>
      </c>
      <c r="AO21" t="s">
        <v>1030</v>
      </c>
      <c r="AP21" t="s">
        <v>1031</v>
      </c>
      <c r="AQ21" t="s">
        <v>1032</v>
      </c>
      <c r="AR21" t="s">
        <v>1033</v>
      </c>
      <c r="AS21" t="s">
        <v>1034</v>
      </c>
      <c r="AT21" t="s">
        <v>161</v>
      </c>
      <c r="AU21" t="s">
        <v>1035</v>
      </c>
      <c r="AV21" t="s">
        <v>1036</v>
      </c>
      <c r="AW21" t="s">
        <v>1037</v>
      </c>
      <c r="AX21" t="s">
        <v>1038</v>
      </c>
      <c r="AY21" t="s">
        <v>1039</v>
      </c>
      <c r="AZ21" t="s">
        <v>268</v>
      </c>
      <c r="BA21" t="s">
        <v>1040</v>
      </c>
      <c r="BB21" t="s">
        <v>1041</v>
      </c>
      <c r="BC21" t="s">
        <v>1042</v>
      </c>
      <c r="BD21" t="s">
        <v>126</v>
      </c>
      <c r="BE21" t="s">
        <v>1043</v>
      </c>
      <c r="BF21" t="s">
        <v>1044</v>
      </c>
      <c r="BG21" t="s">
        <v>1045</v>
      </c>
      <c r="BH21" t="s">
        <v>400</v>
      </c>
      <c r="BI21" t="s">
        <v>275</v>
      </c>
      <c r="BJ21" t="s">
        <v>368</v>
      </c>
      <c r="BK21" t="s">
        <v>126</v>
      </c>
      <c r="BL21" t="s">
        <v>369</v>
      </c>
      <c r="BM21" t="s">
        <v>124</v>
      </c>
      <c r="BN21" t="s">
        <v>171</v>
      </c>
      <c r="BO21" t="s">
        <v>228</v>
      </c>
      <c r="BP21" t="s">
        <v>276</v>
      </c>
      <c r="BQ21" t="s">
        <v>1046</v>
      </c>
      <c r="BR21" t="s">
        <v>1047</v>
      </c>
      <c r="BS21" t="s">
        <v>861</v>
      </c>
      <c r="BT21" t="s">
        <v>124</v>
      </c>
      <c r="BU21" t="s">
        <v>170</v>
      </c>
      <c r="BV21" t="s">
        <v>171</v>
      </c>
      <c r="BW21" t="s">
        <v>172</v>
      </c>
      <c r="BX21" t="s">
        <v>173</v>
      </c>
      <c r="BY21" t="s">
        <v>136</v>
      </c>
      <c r="BZ21" t="s">
        <v>174</v>
      </c>
      <c r="CA21" t="s">
        <v>136</v>
      </c>
      <c r="CB21" t="s">
        <v>136</v>
      </c>
      <c r="CC21" t="s">
        <v>175</v>
      </c>
      <c r="CD21" t="s">
        <v>176</v>
      </c>
      <c r="CE21" t="s">
        <v>161</v>
      </c>
      <c r="CF21" t="s">
        <v>177</v>
      </c>
      <c r="CG21" t="s">
        <v>178</v>
      </c>
      <c r="CH21" t="s">
        <v>179</v>
      </c>
      <c r="CI21" t="s">
        <v>142</v>
      </c>
      <c r="CJ21" t="s">
        <v>172</v>
      </c>
      <c r="CK21" t="s">
        <v>180</v>
      </c>
      <c r="CL21" t="s">
        <v>180</v>
      </c>
      <c r="CM21" t="s">
        <v>180</v>
      </c>
      <c r="CN21" t="s">
        <v>136</v>
      </c>
      <c r="CO21" t="s">
        <v>181</v>
      </c>
      <c r="CP21" t="s">
        <v>136</v>
      </c>
      <c r="CQ21" t="s">
        <v>136</v>
      </c>
      <c r="CR21" t="s">
        <v>136</v>
      </c>
      <c r="CS21" t="s">
        <v>136</v>
      </c>
      <c r="CT21" t="s">
        <v>1048</v>
      </c>
      <c r="CU21" t="s">
        <v>1049</v>
      </c>
      <c r="CV21" t="s">
        <v>1050</v>
      </c>
      <c r="CW21" t="s">
        <v>1051</v>
      </c>
      <c r="CX21" t="s">
        <v>1052</v>
      </c>
      <c r="CY21" t="s">
        <v>1053</v>
      </c>
      <c r="CZ21" t="s">
        <v>1054</v>
      </c>
      <c r="DA21" t="s">
        <v>1055</v>
      </c>
      <c r="DB21" t="s">
        <v>1023</v>
      </c>
      <c r="DC21" t="s">
        <v>467</v>
      </c>
      <c r="DD21" t="s">
        <v>191</v>
      </c>
      <c r="DE21" t="s">
        <v>192</v>
      </c>
      <c r="DF21" t="s">
        <v>142</v>
      </c>
      <c r="DG21" t="s">
        <v>193</v>
      </c>
      <c r="DH21" t="s">
        <v>194</v>
      </c>
      <c r="DI21" t="s">
        <v>142</v>
      </c>
      <c r="DJ21" t="s">
        <v>195</v>
      </c>
      <c r="DK21" t="s">
        <v>196</v>
      </c>
      <c r="DL21" t="s">
        <v>197</v>
      </c>
      <c r="DM21" t="s">
        <v>136</v>
      </c>
      <c r="DN21" t="s">
        <v>1022</v>
      </c>
      <c r="DO21" t="s">
        <v>198</v>
      </c>
      <c r="DP21" t="s">
        <v>199</v>
      </c>
      <c r="DQ21" t="s">
        <v>200</v>
      </c>
      <c r="DR21" t="s">
        <v>201</v>
      </c>
      <c r="DS21" t="s">
        <v>202</v>
      </c>
      <c r="DT21" t="s">
        <v>203</v>
      </c>
    </row>
    <row r="22" spans="1:124" ht="19.2" customHeight="1" x14ac:dyDescent="0.45">
      <c r="A22" t="s">
        <v>1310</v>
      </c>
      <c r="B22" t="s">
        <v>1311</v>
      </c>
      <c r="C22" t="s">
        <v>126</v>
      </c>
      <c r="D22" t="s">
        <v>127</v>
      </c>
      <c r="E22" t="s">
        <v>128</v>
      </c>
      <c r="I22" t="s">
        <v>2240</v>
      </c>
      <c r="J22">
        <f t="shared" si="0"/>
        <v>0.45168589768383871</v>
      </c>
      <c r="K22">
        <f t="shared" si="1"/>
        <v>2.9034264800000003</v>
      </c>
      <c r="L22">
        <f t="shared" si="2"/>
        <v>0.39087715949567164</v>
      </c>
      <c r="M22">
        <f t="shared" si="3"/>
        <v>5.4165472012683642</v>
      </c>
      <c r="N22" t="s">
        <v>1312</v>
      </c>
      <c r="O22" t="s">
        <v>1313</v>
      </c>
      <c r="P22">
        <f t="shared" si="4"/>
        <v>3.4184354777465527</v>
      </c>
      <c r="Q22">
        <f t="shared" si="5"/>
        <v>1.3671684777465525</v>
      </c>
      <c r="R22" t="s">
        <v>1314</v>
      </c>
      <c r="S22" t="s">
        <v>1315</v>
      </c>
      <c r="T22">
        <f t="shared" si="6"/>
        <v>33.712381437342721</v>
      </c>
      <c r="U22">
        <f t="shared" si="7"/>
        <v>0.4417875</v>
      </c>
      <c r="V22" t="s">
        <v>134</v>
      </c>
      <c r="W22" t="s">
        <v>1316</v>
      </c>
      <c r="X22" t="s">
        <v>136</v>
      </c>
      <c r="Y22" t="s">
        <v>136</v>
      </c>
      <c r="Z22" t="s">
        <v>136</v>
      </c>
      <c r="AA22" t="s">
        <v>1317</v>
      </c>
      <c r="AB22" t="s">
        <v>1318</v>
      </c>
      <c r="AC22" t="s">
        <v>1319</v>
      </c>
      <c r="AD22" t="s">
        <v>140</v>
      </c>
      <c r="AE22" t="s">
        <v>141</v>
      </c>
      <c r="AF22">
        <f t="shared" si="8"/>
        <v>95.510537639999995</v>
      </c>
      <c r="AG22" t="s">
        <v>142</v>
      </c>
      <c r="AH22" t="s">
        <v>1320</v>
      </c>
      <c r="AI22" t="s">
        <v>1321</v>
      </c>
      <c r="AJ22" t="s">
        <v>1322</v>
      </c>
      <c r="AK22" t="s">
        <v>1323</v>
      </c>
      <c r="AL22">
        <f t="shared" si="9"/>
        <v>26.22</v>
      </c>
      <c r="AM22" t="s">
        <v>1324</v>
      </c>
      <c r="AN22" t="s">
        <v>304</v>
      </c>
      <c r="AO22" t="s">
        <v>1325</v>
      </c>
      <c r="AP22" t="s">
        <v>258</v>
      </c>
      <c r="AQ22" t="s">
        <v>1326</v>
      </c>
      <c r="AR22" t="s">
        <v>1327</v>
      </c>
      <c r="AS22" t="s">
        <v>804</v>
      </c>
      <c r="AT22" t="s">
        <v>1328</v>
      </c>
      <c r="AU22" t="s">
        <v>1329</v>
      </c>
      <c r="AV22" t="s">
        <v>1330</v>
      </c>
      <c r="AW22" t="s">
        <v>1331</v>
      </c>
      <c r="AX22" t="s">
        <v>1332</v>
      </c>
      <c r="AY22" t="s">
        <v>1333</v>
      </c>
      <c r="AZ22" t="s">
        <v>268</v>
      </c>
      <c r="BA22" t="s">
        <v>1334</v>
      </c>
      <c r="BB22" t="s">
        <v>1335</v>
      </c>
      <c r="BC22" t="s">
        <v>1336</v>
      </c>
      <c r="BD22" t="s">
        <v>126</v>
      </c>
      <c r="BE22" t="s">
        <v>771</v>
      </c>
      <c r="BF22" t="s">
        <v>365</v>
      </c>
      <c r="BG22" t="s">
        <v>1337</v>
      </c>
      <c r="BH22" t="s">
        <v>242</v>
      </c>
      <c r="BI22" t="s">
        <v>1153</v>
      </c>
      <c r="BJ22" t="s">
        <v>368</v>
      </c>
      <c r="BK22" t="s">
        <v>126</v>
      </c>
      <c r="BL22" t="s">
        <v>369</v>
      </c>
      <c r="BM22" t="s">
        <v>124</v>
      </c>
      <c r="BN22" t="s">
        <v>165</v>
      </c>
      <c r="BO22" t="s">
        <v>228</v>
      </c>
      <c r="BP22" t="s">
        <v>411</v>
      </c>
      <c r="BQ22" t="s">
        <v>1338</v>
      </c>
      <c r="BR22" t="s">
        <v>1339</v>
      </c>
      <c r="BS22" t="s">
        <v>1340</v>
      </c>
      <c r="BT22" t="s">
        <v>124</v>
      </c>
      <c r="BU22" t="s">
        <v>170</v>
      </c>
      <c r="BV22" t="s">
        <v>171</v>
      </c>
      <c r="BW22" t="s">
        <v>172</v>
      </c>
      <c r="BX22" t="s">
        <v>173</v>
      </c>
      <c r="BY22" t="s">
        <v>136</v>
      </c>
      <c r="BZ22" t="s">
        <v>174</v>
      </c>
      <c r="CA22" t="s">
        <v>136</v>
      </c>
      <c r="CB22" t="s">
        <v>136</v>
      </c>
      <c r="CC22" t="s">
        <v>175</v>
      </c>
      <c r="CD22" t="s">
        <v>176</v>
      </c>
      <c r="CE22" t="s">
        <v>161</v>
      </c>
      <c r="CF22" t="s">
        <v>177</v>
      </c>
      <c r="CG22" t="s">
        <v>178</v>
      </c>
      <c r="CH22" t="s">
        <v>179</v>
      </c>
      <c r="CI22" t="s">
        <v>142</v>
      </c>
      <c r="CJ22" t="s">
        <v>172</v>
      </c>
      <c r="CK22" t="s">
        <v>180</v>
      </c>
      <c r="CL22" t="s">
        <v>180</v>
      </c>
      <c r="CM22" t="s">
        <v>180</v>
      </c>
      <c r="CN22" t="s">
        <v>136</v>
      </c>
      <c r="CO22" t="s">
        <v>181</v>
      </c>
      <c r="CP22" t="s">
        <v>136</v>
      </c>
      <c r="CQ22" t="s">
        <v>136</v>
      </c>
      <c r="CR22" t="s">
        <v>136</v>
      </c>
      <c r="CS22" t="s">
        <v>136</v>
      </c>
      <c r="CT22" t="s">
        <v>1341</v>
      </c>
      <c r="CU22" t="s">
        <v>1342</v>
      </c>
      <c r="CV22" t="s">
        <v>1343</v>
      </c>
      <c r="CW22" t="s">
        <v>1344</v>
      </c>
      <c r="CX22" t="s">
        <v>1345</v>
      </c>
      <c r="CY22" t="s">
        <v>1346</v>
      </c>
      <c r="CZ22" t="s">
        <v>1347</v>
      </c>
      <c r="DA22" t="s">
        <v>1348</v>
      </c>
      <c r="DB22" t="s">
        <v>1317</v>
      </c>
      <c r="DC22" t="s">
        <v>1349</v>
      </c>
      <c r="DD22" t="s">
        <v>191</v>
      </c>
      <c r="DE22" t="s">
        <v>192</v>
      </c>
      <c r="DF22" t="s">
        <v>142</v>
      </c>
      <c r="DG22" t="s">
        <v>193</v>
      </c>
      <c r="DH22" t="s">
        <v>194</v>
      </c>
      <c r="DI22" t="s">
        <v>142</v>
      </c>
      <c r="DJ22" t="s">
        <v>195</v>
      </c>
      <c r="DK22" t="s">
        <v>196</v>
      </c>
      <c r="DL22" t="s">
        <v>197</v>
      </c>
      <c r="DM22" t="s">
        <v>136</v>
      </c>
      <c r="DN22" t="s">
        <v>1316</v>
      </c>
      <c r="DO22" t="s">
        <v>198</v>
      </c>
      <c r="DP22" t="s">
        <v>199</v>
      </c>
      <c r="DQ22" t="s">
        <v>200</v>
      </c>
      <c r="DR22" t="s">
        <v>201</v>
      </c>
      <c r="DS22" t="s">
        <v>202</v>
      </c>
      <c r="DT22" t="s">
        <v>203</v>
      </c>
    </row>
    <row r="23" spans="1:124" ht="19.2" customHeight="1" x14ac:dyDescent="0.45">
      <c r="A23" t="s">
        <v>1350</v>
      </c>
      <c r="B23" t="s">
        <v>1351</v>
      </c>
      <c r="C23" t="s">
        <v>126</v>
      </c>
      <c r="D23" t="s">
        <v>127</v>
      </c>
      <c r="E23" t="s">
        <v>128</v>
      </c>
      <c r="I23" t="s">
        <v>2241</v>
      </c>
      <c r="J23">
        <f t="shared" si="0"/>
        <v>0.3732912048333642</v>
      </c>
      <c r="K23">
        <f t="shared" si="1"/>
        <v>2.9050319999999994</v>
      </c>
      <c r="L23">
        <f t="shared" si="2"/>
        <v>0.33078584007844902</v>
      </c>
      <c r="M23">
        <f t="shared" si="3"/>
        <v>4.9125822410887423</v>
      </c>
      <c r="N23" t="s">
        <v>1352</v>
      </c>
      <c r="O23" t="s">
        <v>1353</v>
      </c>
      <c r="P23">
        <f t="shared" si="4"/>
        <v>3.461074802256455</v>
      </c>
      <c r="Q23">
        <f t="shared" si="5"/>
        <v>1.4653028022564549</v>
      </c>
      <c r="R23" t="s">
        <v>1354</v>
      </c>
      <c r="S23" t="s">
        <v>1355</v>
      </c>
      <c r="T23">
        <f t="shared" si="6"/>
        <v>34.132887596217508</v>
      </c>
      <c r="U23">
        <f t="shared" si="7"/>
        <v>0.4417875</v>
      </c>
      <c r="V23" t="s">
        <v>134</v>
      </c>
      <c r="W23" t="s">
        <v>1356</v>
      </c>
      <c r="X23" t="s">
        <v>136</v>
      </c>
      <c r="Y23" t="s">
        <v>136</v>
      </c>
      <c r="Z23" t="s">
        <v>136</v>
      </c>
      <c r="AA23" t="s">
        <v>1357</v>
      </c>
      <c r="AB23" t="s">
        <v>1358</v>
      </c>
      <c r="AC23" t="s">
        <v>1359</v>
      </c>
      <c r="AD23" t="s">
        <v>140</v>
      </c>
      <c r="AE23" t="s">
        <v>141</v>
      </c>
      <c r="AF23">
        <f t="shared" si="8"/>
        <v>92.687932259999997</v>
      </c>
      <c r="AG23" t="s">
        <v>142</v>
      </c>
      <c r="AH23" t="s">
        <v>1360</v>
      </c>
      <c r="AI23" t="s">
        <v>144</v>
      </c>
      <c r="AJ23" t="s">
        <v>1361</v>
      </c>
      <c r="AK23" t="s">
        <v>1362</v>
      </c>
      <c r="AL23">
        <f t="shared" si="9"/>
        <v>26.43</v>
      </c>
      <c r="AM23" t="s">
        <v>1324</v>
      </c>
      <c r="AN23" t="s">
        <v>148</v>
      </c>
      <c r="AO23" t="s">
        <v>840</v>
      </c>
      <c r="AP23" t="s">
        <v>1363</v>
      </c>
      <c r="AQ23" t="s">
        <v>1364</v>
      </c>
      <c r="AR23" t="s">
        <v>1365</v>
      </c>
      <c r="AS23" t="s">
        <v>530</v>
      </c>
      <c r="AT23" t="s">
        <v>161</v>
      </c>
      <c r="AU23" t="s">
        <v>1366</v>
      </c>
      <c r="AV23" t="s">
        <v>1367</v>
      </c>
      <c r="AW23" t="s">
        <v>1368</v>
      </c>
      <c r="AX23" t="s">
        <v>1369</v>
      </c>
      <c r="AY23" t="s">
        <v>1370</v>
      </c>
      <c r="AZ23" t="s">
        <v>268</v>
      </c>
      <c r="BA23" t="s">
        <v>1371</v>
      </c>
      <c r="BB23" t="s">
        <v>1372</v>
      </c>
      <c r="BC23" t="s">
        <v>1373</v>
      </c>
      <c r="BD23" t="s">
        <v>126</v>
      </c>
      <c r="BE23" t="s">
        <v>1188</v>
      </c>
      <c r="BF23" t="s">
        <v>365</v>
      </c>
      <c r="BG23" t="s">
        <v>1374</v>
      </c>
      <c r="BH23" t="s">
        <v>290</v>
      </c>
      <c r="BI23" t="s">
        <v>1375</v>
      </c>
      <c r="BJ23" t="s">
        <v>368</v>
      </c>
      <c r="BK23" t="s">
        <v>126</v>
      </c>
      <c r="BL23" t="s">
        <v>369</v>
      </c>
      <c r="BM23" t="s">
        <v>124</v>
      </c>
      <c r="BN23" t="s">
        <v>171</v>
      </c>
      <c r="BO23" t="s">
        <v>171</v>
      </c>
      <c r="BP23" t="s">
        <v>276</v>
      </c>
      <c r="BQ23" t="s">
        <v>1376</v>
      </c>
      <c r="BR23" t="s">
        <v>1377</v>
      </c>
      <c r="BS23" t="s">
        <v>1378</v>
      </c>
      <c r="BT23" t="s">
        <v>124</v>
      </c>
      <c r="BU23" t="s">
        <v>170</v>
      </c>
      <c r="BV23" t="s">
        <v>171</v>
      </c>
      <c r="BW23" t="s">
        <v>172</v>
      </c>
      <c r="BX23" t="s">
        <v>173</v>
      </c>
      <c r="BY23" t="s">
        <v>136</v>
      </c>
      <c r="BZ23" t="s">
        <v>174</v>
      </c>
      <c r="CA23" t="s">
        <v>136</v>
      </c>
      <c r="CB23" t="s">
        <v>136</v>
      </c>
      <c r="CC23" t="s">
        <v>175</v>
      </c>
      <c r="CD23" t="s">
        <v>176</v>
      </c>
      <c r="CE23" t="s">
        <v>161</v>
      </c>
      <c r="CF23" t="s">
        <v>177</v>
      </c>
      <c r="CG23" t="s">
        <v>178</v>
      </c>
      <c r="CH23" t="s">
        <v>179</v>
      </c>
      <c r="CI23" t="s">
        <v>142</v>
      </c>
      <c r="CJ23" t="s">
        <v>172</v>
      </c>
      <c r="CK23" t="s">
        <v>180</v>
      </c>
      <c r="CL23" t="s">
        <v>180</v>
      </c>
      <c r="CM23" t="s">
        <v>180</v>
      </c>
      <c r="CN23" t="s">
        <v>136</v>
      </c>
      <c r="CO23" t="s">
        <v>181</v>
      </c>
      <c r="CP23" t="s">
        <v>136</v>
      </c>
      <c r="CQ23" t="s">
        <v>136</v>
      </c>
      <c r="CR23" t="s">
        <v>136</v>
      </c>
      <c r="CS23" t="s">
        <v>136</v>
      </c>
      <c r="CT23" t="s">
        <v>1379</v>
      </c>
      <c r="CU23" t="s">
        <v>1380</v>
      </c>
      <c r="CV23" t="s">
        <v>1381</v>
      </c>
      <c r="CW23" t="s">
        <v>1382</v>
      </c>
      <c r="CX23" t="s">
        <v>1383</v>
      </c>
      <c r="CY23" t="s">
        <v>1384</v>
      </c>
      <c r="CZ23" t="s">
        <v>1385</v>
      </c>
      <c r="DA23" t="s">
        <v>1386</v>
      </c>
      <c r="DB23" t="s">
        <v>1357</v>
      </c>
      <c r="DC23" t="s">
        <v>1387</v>
      </c>
      <c r="DD23" t="s">
        <v>191</v>
      </c>
      <c r="DE23" t="s">
        <v>192</v>
      </c>
      <c r="DF23" t="s">
        <v>142</v>
      </c>
      <c r="DG23" t="s">
        <v>193</v>
      </c>
      <c r="DH23" t="s">
        <v>194</v>
      </c>
      <c r="DI23" t="s">
        <v>142</v>
      </c>
      <c r="DJ23" t="s">
        <v>195</v>
      </c>
      <c r="DK23" t="s">
        <v>196</v>
      </c>
      <c r="DL23" t="s">
        <v>197</v>
      </c>
      <c r="DM23" t="s">
        <v>136</v>
      </c>
      <c r="DN23" t="s">
        <v>1356</v>
      </c>
      <c r="DO23" t="s">
        <v>198</v>
      </c>
      <c r="DP23" t="s">
        <v>199</v>
      </c>
      <c r="DQ23" t="s">
        <v>200</v>
      </c>
      <c r="DR23" t="s">
        <v>201</v>
      </c>
      <c r="DS23" t="s">
        <v>202</v>
      </c>
      <c r="DT23" t="s">
        <v>203</v>
      </c>
    </row>
    <row r="24" spans="1:124" ht="19.2" customHeight="1" x14ac:dyDescent="0.45">
      <c r="A24" t="s">
        <v>1638</v>
      </c>
      <c r="B24" t="s">
        <v>1639</v>
      </c>
      <c r="C24" t="s">
        <v>126</v>
      </c>
      <c r="D24" t="s">
        <v>127</v>
      </c>
      <c r="E24" t="s">
        <v>128</v>
      </c>
      <c r="I24" t="s">
        <v>2242</v>
      </c>
      <c r="J24">
        <f t="shared" si="0"/>
        <v>0.19139724979968775</v>
      </c>
      <c r="K24">
        <f t="shared" si="1"/>
        <v>2.9042299199999997</v>
      </c>
      <c r="L24">
        <f t="shared" si="2"/>
        <v>0.17956349036371066</v>
      </c>
      <c r="M24">
        <f t="shared" si="3"/>
        <v>2.8954107474747315</v>
      </c>
      <c r="N24" t="s">
        <v>1640</v>
      </c>
      <c r="O24" t="s">
        <v>1641</v>
      </c>
      <c r="P24">
        <f t="shared" si="4"/>
        <v>3.5561013727841471</v>
      </c>
      <c r="Q24">
        <f t="shared" si="5"/>
        <v>1.590599372784147</v>
      </c>
      <c r="R24" t="s">
        <v>1642</v>
      </c>
      <c r="S24" t="s">
        <v>1643</v>
      </c>
      <c r="T24">
        <f t="shared" si="6"/>
        <v>35.066575020058643</v>
      </c>
      <c r="U24">
        <f t="shared" si="7"/>
        <v>0.4417875</v>
      </c>
      <c r="V24" t="s">
        <v>134</v>
      </c>
      <c r="W24" t="s">
        <v>1644</v>
      </c>
      <c r="X24" t="s">
        <v>136</v>
      </c>
      <c r="Y24" t="s">
        <v>136</v>
      </c>
      <c r="Z24" t="s">
        <v>136</v>
      </c>
      <c r="AA24" t="s">
        <v>1645</v>
      </c>
      <c r="AB24" t="s">
        <v>1646</v>
      </c>
      <c r="AC24" t="s">
        <v>1647</v>
      </c>
      <c r="AD24" t="s">
        <v>140</v>
      </c>
      <c r="AE24" t="s">
        <v>141</v>
      </c>
      <c r="AF24">
        <f t="shared" si="8"/>
        <v>90.3545874</v>
      </c>
      <c r="AG24" t="s">
        <v>142</v>
      </c>
      <c r="AH24" t="s">
        <v>1648</v>
      </c>
      <c r="AI24" t="s">
        <v>1649</v>
      </c>
      <c r="AJ24" t="s">
        <v>1650</v>
      </c>
      <c r="AK24" t="s">
        <v>1651</v>
      </c>
      <c r="AL24">
        <f t="shared" si="9"/>
        <v>26.89</v>
      </c>
      <c r="AM24" t="s">
        <v>147</v>
      </c>
      <c r="AN24" t="s">
        <v>524</v>
      </c>
      <c r="AO24" t="s">
        <v>840</v>
      </c>
      <c r="AP24" t="s">
        <v>1363</v>
      </c>
      <c r="AQ24" t="s">
        <v>725</v>
      </c>
      <c r="AR24" t="s">
        <v>1652</v>
      </c>
      <c r="AS24" t="s">
        <v>887</v>
      </c>
      <c r="AT24" t="s">
        <v>321</v>
      </c>
      <c r="AU24" t="s">
        <v>724</v>
      </c>
      <c r="AV24" t="s">
        <v>1653</v>
      </c>
      <c r="AW24" t="s">
        <v>1654</v>
      </c>
      <c r="AX24" t="s">
        <v>1655</v>
      </c>
      <c r="AY24" t="s">
        <v>1656</v>
      </c>
      <c r="AZ24" t="s">
        <v>268</v>
      </c>
      <c r="BA24" t="s">
        <v>1371</v>
      </c>
      <c r="BB24" t="s">
        <v>1372</v>
      </c>
      <c r="BC24" t="s">
        <v>1657</v>
      </c>
      <c r="BD24" t="s">
        <v>126</v>
      </c>
      <c r="BE24" t="s">
        <v>539</v>
      </c>
      <c r="BF24" t="s">
        <v>1658</v>
      </c>
      <c r="BG24" t="s">
        <v>1659</v>
      </c>
      <c r="BH24" t="s">
        <v>290</v>
      </c>
      <c r="BI24" t="s">
        <v>367</v>
      </c>
      <c r="BJ24" t="s">
        <v>368</v>
      </c>
      <c r="BK24" t="s">
        <v>126</v>
      </c>
      <c r="BL24" t="s">
        <v>369</v>
      </c>
      <c r="BM24" t="s">
        <v>124</v>
      </c>
      <c r="BN24" t="s">
        <v>165</v>
      </c>
      <c r="BO24" t="s">
        <v>164</v>
      </c>
      <c r="BP24" t="s">
        <v>166</v>
      </c>
      <c r="BQ24" t="s">
        <v>1660</v>
      </c>
      <c r="BR24" t="s">
        <v>1661</v>
      </c>
      <c r="BS24" t="s">
        <v>1662</v>
      </c>
      <c r="BT24" t="s">
        <v>124</v>
      </c>
      <c r="BU24" t="s">
        <v>170</v>
      </c>
      <c r="BV24" t="s">
        <v>171</v>
      </c>
      <c r="BW24" t="s">
        <v>172</v>
      </c>
      <c r="BX24" t="s">
        <v>173</v>
      </c>
      <c r="BY24" t="s">
        <v>136</v>
      </c>
      <c r="BZ24" t="s">
        <v>174</v>
      </c>
      <c r="CA24" t="s">
        <v>136</v>
      </c>
      <c r="CB24" t="s">
        <v>136</v>
      </c>
      <c r="CC24" t="s">
        <v>175</v>
      </c>
      <c r="CD24" t="s">
        <v>176</v>
      </c>
      <c r="CE24" t="s">
        <v>161</v>
      </c>
      <c r="CF24" t="s">
        <v>177</v>
      </c>
      <c r="CG24" t="s">
        <v>178</v>
      </c>
      <c r="CH24" t="s">
        <v>179</v>
      </c>
      <c r="CI24" t="s">
        <v>142</v>
      </c>
      <c r="CJ24" t="s">
        <v>172</v>
      </c>
      <c r="CK24" t="s">
        <v>180</v>
      </c>
      <c r="CL24" t="s">
        <v>180</v>
      </c>
      <c r="CM24" t="s">
        <v>180</v>
      </c>
      <c r="CN24" t="s">
        <v>136</v>
      </c>
      <c r="CO24" t="s">
        <v>181</v>
      </c>
      <c r="CP24" t="s">
        <v>136</v>
      </c>
      <c r="CQ24" t="s">
        <v>136</v>
      </c>
      <c r="CR24" t="s">
        <v>136</v>
      </c>
      <c r="CS24" t="s">
        <v>136</v>
      </c>
      <c r="CT24" t="s">
        <v>1663</v>
      </c>
      <c r="CU24" t="s">
        <v>1664</v>
      </c>
      <c r="CV24" t="s">
        <v>1665</v>
      </c>
      <c r="CW24" t="s">
        <v>1666</v>
      </c>
      <c r="CX24" t="s">
        <v>1667</v>
      </c>
      <c r="CY24" t="s">
        <v>1668</v>
      </c>
      <c r="CZ24" t="s">
        <v>1669</v>
      </c>
      <c r="DA24" t="s">
        <v>1670</v>
      </c>
      <c r="DB24" t="s">
        <v>1645</v>
      </c>
      <c r="DC24" t="s">
        <v>241</v>
      </c>
      <c r="DD24" t="s">
        <v>191</v>
      </c>
      <c r="DE24" t="s">
        <v>192</v>
      </c>
      <c r="DF24" t="s">
        <v>142</v>
      </c>
      <c r="DG24" t="s">
        <v>193</v>
      </c>
      <c r="DH24" t="s">
        <v>194</v>
      </c>
      <c r="DI24" t="s">
        <v>142</v>
      </c>
      <c r="DJ24" t="s">
        <v>195</v>
      </c>
      <c r="DK24" t="s">
        <v>196</v>
      </c>
      <c r="DL24" t="s">
        <v>197</v>
      </c>
      <c r="DM24" t="s">
        <v>136</v>
      </c>
      <c r="DN24" t="s">
        <v>1644</v>
      </c>
      <c r="DO24" t="s">
        <v>198</v>
      </c>
      <c r="DP24" t="s">
        <v>199</v>
      </c>
      <c r="DQ24" t="s">
        <v>200</v>
      </c>
      <c r="DR24" t="s">
        <v>201</v>
      </c>
      <c r="DS24" t="s">
        <v>202</v>
      </c>
      <c r="DT24" t="s">
        <v>203</v>
      </c>
    </row>
    <row r="25" spans="1:124" ht="19.2" customHeight="1" x14ac:dyDescent="0.45">
      <c r="A25" t="s">
        <v>1671</v>
      </c>
      <c r="B25" t="s">
        <v>1672</v>
      </c>
      <c r="C25" t="s">
        <v>126</v>
      </c>
      <c r="D25" t="s">
        <v>127</v>
      </c>
      <c r="E25" t="s">
        <v>128</v>
      </c>
      <c r="I25" t="s">
        <v>2243</v>
      </c>
      <c r="J25">
        <f t="shared" si="0"/>
        <v>0.44069112143849914</v>
      </c>
      <c r="K25">
        <f t="shared" si="1"/>
        <v>2.9058327199999998</v>
      </c>
      <c r="L25">
        <f t="shared" si="2"/>
        <v>0.38265816732954477</v>
      </c>
      <c r="M25">
        <f t="shared" si="3"/>
        <v>5.2830784193279454</v>
      </c>
      <c r="N25" t="s">
        <v>1673</v>
      </c>
      <c r="O25" t="s">
        <v>1674</v>
      </c>
      <c r="P25">
        <f t="shared" si="4"/>
        <v>3.4224765042824301</v>
      </c>
      <c r="Q25">
        <f t="shared" si="5"/>
        <v>1.36248550428243</v>
      </c>
      <c r="R25" t="s">
        <v>1675</v>
      </c>
      <c r="S25" t="s">
        <v>1676</v>
      </c>
      <c r="T25">
        <f t="shared" si="6"/>
        <v>33.745577837531357</v>
      </c>
      <c r="U25">
        <f t="shared" si="7"/>
        <v>0.4417875</v>
      </c>
      <c r="V25" t="s">
        <v>134</v>
      </c>
      <c r="W25" t="s">
        <v>1677</v>
      </c>
      <c r="X25" t="s">
        <v>136</v>
      </c>
      <c r="Y25" t="s">
        <v>136</v>
      </c>
      <c r="Z25" t="s">
        <v>136</v>
      </c>
      <c r="AA25" t="s">
        <v>1678</v>
      </c>
      <c r="AB25" t="s">
        <v>1679</v>
      </c>
      <c r="AC25" t="s">
        <v>1680</v>
      </c>
      <c r="AD25" t="s">
        <v>140</v>
      </c>
      <c r="AE25" t="s">
        <v>141</v>
      </c>
      <c r="AF25">
        <f t="shared" si="8"/>
        <v>86.180807999999999</v>
      </c>
      <c r="AG25" t="s">
        <v>142</v>
      </c>
      <c r="AH25" t="s">
        <v>1681</v>
      </c>
      <c r="AI25" t="s">
        <v>1682</v>
      </c>
      <c r="AJ25" t="s">
        <v>1683</v>
      </c>
      <c r="AK25" t="s">
        <v>436</v>
      </c>
      <c r="AL25">
        <f t="shared" si="9"/>
        <v>26.24</v>
      </c>
      <c r="AM25" t="s">
        <v>349</v>
      </c>
      <c r="AN25" t="s">
        <v>350</v>
      </c>
      <c r="AO25" t="s">
        <v>1105</v>
      </c>
      <c r="AP25" t="s">
        <v>1684</v>
      </c>
      <c r="AQ25" t="s">
        <v>1439</v>
      </c>
      <c r="AR25" t="s">
        <v>1685</v>
      </c>
      <c r="AS25" t="s">
        <v>844</v>
      </c>
      <c r="AT25" t="s">
        <v>263</v>
      </c>
      <c r="AU25" t="s">
        <v>1016</v>
      </c>
      <c r="AV25" t="s">
        <v>1686</v>
      </c>
      <c r="AW25" t="s">
        <v>1687</v>
      </c>
      <c r="AX25" t="s">
        <v>848</v>
      </c>
      <c r="AY25" t="s">
        <v>1688</v>
      </c>
      <c r="AZ25" t="s">
        <v>268</v>
      </c>
      <c r="BA25" t="s">
        <v>1689</v>
      </c>
      <c r="BB25" t="s">
        <v>1690</v>
      </c>
      <c r="BC25" t="s">
        <v>1691</v>
      </c>
      <c r="BD25" t="s">
        <v>126</v>
      </c>
      <c r="BE25" t="s">
        <v>1297</v>
      </c>
      <c r="BF25" t="s">
        <v>1044</v>
      </c>
      <c r="BG25" t="s">
        <v>1659</v>
      </c>
      <c r="BH25" t="s">
        <v>290</v>
      </c>
      <c r="BI25" t="s">
        <v>1153</v>
      </c>
      <c r="BJ25" t="s">
        <v>368</v>
      </c>
      <c r="BK25" t="s">
        <v>126</v>
      </c>
      <c r="BL25" t="s">
        <v>369</v>
      </c>
      <c r="BM25" t="s">
        <v>124</v>
      </c>
      <c r="BN25" t="s">
        <v>276</v>
      </c>
      <c r="BO25" t="s">
        <v>228</v>
      </c>
      <c r="BP25" t="s">
        <v>411</v>
      </c>
      <c r="BQ25" t="s">
        <v>457</v>
      </c>
      <c r="BR25" t="s">
        <v>1692</v>
      </c>
      <c r="BS25" t="s">
        <v>1693</v>
      </c>
      <c r="BT25" t="s">
        <v>124</v>
      </c>
      <c r="BU25" t="s">
        <v>170</v>
      </c>
      <c r="BV25" t="s">
        <v>171</v>
      </c>
      <c r="BW25" t="s">
        <v>172</v>
      </c>
      <c r="BX25" t="s">
        <v>173</v>
      </c>
      <c r="BY25" t="s">
        <v>136</v>
      </c>
      <c r="BZ25" t="s">
        <v>174</v>
      </c>
      <c r="CA25" t="s">
        <v>136</v>
      </c>
      <c r="CB25" t="s">
        <v>136</v>
      </c>
      <c r="CC25" t="s">
        <v>175</v>
      </c>
      <c r="CD25" t="s">
        <v>176</v>
      </c>
      <c r="CE25" t="s">
        <v>161</v>
      </c>
      <c r="CF25" t="s">
        <v>177</v>
      </c>
      <c r="CG25" t="s">
        <v>178</v>
      </c>
      <c r="CH25" t="s">
        <v>179</v>
      </c>
      <c r="CI25" t="s">
        <v>142</v>
      </c>
      <c r="CJ25" t="s">
        <v>172</v>
      </c>
      <c r="CK25" t="s">
        <v>180</v>
      </c>
      <c r="CL25" t="s">
        <v>180</v>
      </c>
      <c r="CM25" t="s">
        <v>180</v>
      </c>
      <c r="CN25" t="s">
        <v>136</v>
      </c>
      <c r="CO25" t="s">
        <v>181</v>
      </c>
      <c r="CP25" t="s">
        <v>136</v>
      </c>
      <c r="CQ25" t="s">
        <v>136</v>
      </c>
      <c r="CR25" t="s">
        <v>136</v>
      </c>
      <c r="CS25" t="s">
        <v>136</v>
      </c>
      <c r="CT25" t="s">
        <v>1694</v>
      </c>
      <c r="CU25" t="s">
        <v>1695</v>
      </c>
      <c r="CV25" t="s">
        <v>1696</v>
      </c>
      <c r="CW25" t="s">
        <v>1697</v>
      </c>
      <c r="CX25" t="s">
        <v>1698</v>
      </c>
      <c r="CY25" t="s">
        <v>1699</v>
      </c>
      <c r="CZ25" t="s">
        <v>1700</v>
      </c>
      <c r="DA25" t="s">
        <v>1701</v>
      </c>
      <c r="DB25" t="s">
        <v>1678</v>
      </c>
      <c r="DC25" t="s">
        <v>1702</v>
      </c>
      <c r="DD25" t="s">
        <v>191</v>
      </c>
      <c r="DE25" t="s">
        <v>192</v>
      </c>
      <c r="DF25" t="s">
        <v>142</v>
      </c>
      <c r="DG25" t="s">
        <v>193</v>
      </c>
      <c r="DH25" t="s">
        <v>194</v>
      </c>
      <c r="DI25" t="s">
        <v>142</v>
      </c>
      <c r="DJ25" t="s">
        <v>195</v>
      </c>
      <c r="DK25" t="s">
        <v>196</v>
      </c>
      <c r="DL25" t="s">
        <v>197</v>
      </c>
      <c r="DM25" t="s">
        <v>136</v>
      </c>
      <c r="DN25" t="s">
        <v>1677</v>
      </c>
      <c r="DO25" t="s">
        <v>198</v>
      </c>
      <c r="DP25" t="s">
        <v>199</v>
      </c>
      <c r="DQ25" t="s">
        <v>200</v>
      </c>
      <c r="DR25" t="s">
        <v>201</v>
      </c>
      <c r="DS25" t="s">
        <v>202</v>
      </c>
      <c r="DT25" t="s">
        <v>203</v>
      </c>
    </row>
    <row r="26" spans="1:124" ht="19.2" customHeight="1" x14ac:dyDescent="0.45">
      <c r="A26" t="s">
        <v>1942</v>
      </c>
      <c r="B26" t="s">
        <v>1943</v>
      </c>
      <c r="C26" t="s">
        <v>126</v>
      </c>
      <c r="D26" t="s">
        <v>127</v>
      </c>
      <c r="E26" t="s">
        <v>128</v>
      </c>
      <c r="I26" t="s">
        <v>2244</v>
      </c>
      <c r="J26">
        <f t="shared" si="0"/>
        <v>0.13403668821351614</v>
      </c>
      <c r="K26">
        <f t="shared" si="1"/>
        <v>2.9058327199999998</v>
      </c>
      <c r="L26">
        <f t="shared" si="2"/>
        <v>0.12812662058406307</v>
      </c>
      <c r="M26">
        <f t="shared" si="3"/>
        <v>2.1601250222585131</v>
      </c>
      <c r="N26" t="s">
        <v>1944</v>
      </c>
      <c r="O26" t="s">
        <v>1945</v>
      </c>
      <c r="P26">
        <f t="shared" si="4"/>
        <v>3.6299222562165974</v>
      </c>
      <c r="Q26">
        <f t="shared" si="5"/>
        <v>1.6627412562165973</v>
      </c>
      <c r="R26" t="s">
        <v>1946</v>
      </c>
      <c r="S26" t="s">
        <v>1947</v>
      </c>
      <c r="T26">
        <f t="shared" si="6"/>
        <v>35.790990497107053</v>
      </c>
      <c r="U26">
        <f t="shared" si="7"/>
        <v>0.4417875</v>
      </c>
      <c r="V26" t="s">
        <v>134</v>
      </c>
      <c r="W26" t="s">
        <v>1948</v>
      </c>
      <c r="X26" t="s">
        <v>136</v>
      </c>
      <c r="Y26" t="s">
        <v>136</v>
      </c>
      <c r="Z26" t="s">
        <v>136</v>
      </c>
      <c r="AA26" t="s">
        <v>1949</v>
      </c>
      <c r="AB26" t="s">
        <v>1950</v>
      </c>
      <c r="AC26" t="s">
        <v>1951</v>
      </c>
      <c r="AD26" t="s">
        <v>140</v>
      </c>
      <c r="AE26" t="s">
        <v>141</v>
      </c>
      <c r="AF26">
        <f t="shared" si="8"/>
        <v>91.924351259999995</v>
      </c>
      <c r="AG26" t="s">
        <v>142</v>
      </c>
      <c r="AH26" t="s">
        <v>1952</v>
      </c>
      <c r="AI26" t="s">
        <v>1953</v>
      </c>
      <c r="AJ26" t="s">
        <v>1954</v>
      </c>
      <c r="AK26" t="s">
        <v>1955</v>
      </c>
      <c r="AL26">
        <f t="shared" si="9"/>
        <v>27.24</v>
      </c>
      <c r="AM26" t="s">
        <v>349</v>
      </c>
      <c r="AN26" t="s">
        <v>350</v>
      </c>
      <c r="AO26" t="s">
        <v>1956</v>
      </c>
      <c r="AP26" t="s">
        <v>1957</v>
      </c>
      <c r="AQ26" t="s">
        <v>604</v>
      </c>
      <c r="AR26" t="s">
        <v>1652</v>
      </c>
      <c r="AS26" t="s">
        <v>262</v>
      </c>
      <c r="AT26" t="s">
        <v>1638</v>
      </c>
      <c r="AU26" t="s">
        <v>1958</v>
      </c>
      <c r="AV26" t="s">
        <v>1959</v>
      </c>
      <c r="AW26" t="s">
        <v>1960</v>
      </c>
      <c r="AX26" t="s">
        <v>1961</v>
      </c>
      <c r="AY26" t="s">
        <v>1962</v>
      </c>
      <c r="AZ26" t="s">
        <v>268</v>
      </c>
      <c r="BA26" t="s">
        <v>1963</v>
      </c>
      <c r="BB26" t="s">
        <v>1964</v>
      </c>
      <c r="BC26" t="s">
        <v>1965</v>
      </c>
      <c r="BD26" t="s">
        <v>126</v>
      </c>
      <c r="BE26" t="s">
        <v>1966</v>
      </c>
      <c r="BF26" t="s">
        <v>319</v>
      </c>
      <c r="BG26" t="s">
        <v>1967</v>
      </c>
      <c r="BH26" t="s">
        <v>628</v>
      </c>
      <c r="BI26" t="s">
        <v>1153</v>
      </c>
      <c r="BJ26" t="s">
        <v>368</v>
      </c>
      <c r="BK26" t="s">
        <v>126</v>
      </c>
      <c r="BL26" t="s">
        <v>369</v>
      </c>
      <c r="BM26" t="s">
        <v>124</v>
      </c>
      <c r="BN26" t="s">
        <v>171</v>
      </c>
      <c r="BO26" t="s">
        <v>171</v>
      </c>
      <c r="BP26" t="s">
        <v>1264</v>
      </c>
      <c r="BQ26" t="s">
        <v>1968</v>
      </c>
      <c r="BR26" t="s">
        <v>1969</v>
      </c>
      <c r="BS26" t="s">
        <v>1970</v>
      </c>
      <c r="BT26" t="s">
        <v>124</v>
      </c>
      <c r="BU26" t="s">
        <v>170</v>
      </c>
      <c r="BV26" t="s">
        <v>171</v>
      </c>
      <c r="BW26" t="s">
        <v>172</v>
      </c>
      <c r="BX26" t="s">
        <v>173</v>
      </c>
      <c r="BY26" t="s">
        <v>136</v>
      </c>
      <c r="BZ26" t="s">
        <v>174</v>
      </c>
      <c r="CA26" t="s">
        <v>136</v>
      </c>
      <c r="CB26" t="s">
        <v>136</v>
      </c>
      <c r="CC26" t="s">
        <v>175</v>
      </c>
      <c r="CD26" t="s">
        <v>176</v>
      </c>
      <c r="CE26" t="s">
        <v>161</v>
      </c>
      <c r="CF26" t="s">
        <v>177</v>
      </c>
      <c r="CG26" t="s">
        <v>178</v>
      </c>
      <c r="CH26" t="s">
        <v>179</v>
      </c>
      <c r="CI26" t="s">
        <v>142</v>
      </c>
      <c r="CJ26" t="s">
        <v>172</v>
      </c>
      <c r="CK26" t="s">
        <v>180</v>
      </c>
      <c r="CL26" t="s">
        <v>180</v>
      </c>
      <c r="CM26" t="s">
        <v>180</v>
      </c>
      <c r="CN26" t="s">
        <v>136</v>
      </c>
      <c r="CO26" t="s">
        <v>181</v>
      </c>
      <c r="CP26" t="s">
        <v>136</v>
      </c>
      <c r="CQ26" t="s">
        <v>136</v>
      </c>
      <c r="CR26" t="s">
        <v>136</v>
      </c>
      <c r="CS26" t="s">
        <v>136</v>
      </c>
      <c r="CT26" t="s">
        <v>1971</v>
      </c>
      <c r="CU26" t="s">
        <v>1972</v>
      </c>
      <c r="CV26" t="s">
        <v>1973</v>
      </c>
      <c r="CW26" t="s">
        <v>1974</v>
      </c>
      <c r="CX26" t="s">
        <v>1975</v>
      </c>
      <c r="CY26" t="s">
        <v>1976</v>
      </c>
      <c r="CZ26" t="s">
        <v>1977</v>
      </c>
      <c r="DA26" t="s">
        <v>1978</v>
      </c>
      <c r="DB26" t="s">
        <v>1949</v>
      </c>
      <c r="DC26" t="s">
        <v>1387</v>
      </c>
      <c r="DD26" t="s">
        <v>191</v>
      </c>
      <c r="DE26" t="s">
        <v>192</v>
      </c>
      <c r="DF26" t="s">
        <v>142</v>
      </c>
      <c r="DG26" t="s">
        <v>193</v>
      </c>
      <c r="DH26" t="s">
        <v>194</v>
      </c>
      <c r="DI26" t="s">
        <v>142</v>
      </c>
      <c r="DJ26" t="s">
        <v>195</v>
      </c>
      <c r="DK26" t="s">
        <v>196</v>
      </c>
      <c r="DL26" t="s">
        <v>197</v>
      </c>
      <c r="DM26" t="s">
        <v>136</v>
      </c>
      <c r="DN26" t="s">
        <v>1948</v>
      </c>
      <c r="DO26" t="s">
        <v>198</v>
      </c>
      <c r="DP26" t="s">
        <v>199</v>
      </c>
      <c r="DQ26" t="s">
        <v>200</v>
      </c>
      <c r="DR26" t="s">
        <v>201</v>
      </c>
      <c r="DS26" t="s">
        <v>202</v>
      </c>
      <c r="DT26" t="s">
        <v>203</v>
      </c>
    </row>
    <row r="27" spans="1:124" ht="19.2" customHeight="1" x14ac:dyDescent="0.45">
      <c r="A27" t="s">
        <v>1979</v>
      </c>
      <c r="B27" t="s">
        <v>1980</v>
      </c>
      <c r="C27" t="s">
        <v>126</v>
      </c>
      <c r="D27" t="s">
        <v>127</v>
      </c>
      <c r="E27" t="s">
        <v>128</v>
      </c>
      <c r="I27" t="s">
        <v>2245</v>
      </c>
      <c r="J27">
        <f t="shared" si="0"/>
        <v>0.47342752225866275</v>
      </c>
      <c r="K27">
        <f t="shared" si="1"/>
        <v>2.9058327199999998</v>
      </c>
      <c r="L27">
        <f t="shared" si="2"/>
        <v>0.40710128433560527</v>
      </c>
      <c r="M27">
        <f t="shared" si="3"/>
        <v>5.6400368269457539</v>
      </c>
      <c r="N27" t="s">
        <v>1981</v>
      </c>
      <c r="O27" t="s">
        <v>1982</v>
      </c>
      <c r="P27">
        <f t="shared" si="4"/>
        <v>3.436652968110574</v>
      </c>
      <c r="Q27">
        <f t="shared" si="5"/>
        <v>1.3667479681105741</v>
      </c>
      <c r="R27" t="s">
        <v>1983</v>
      </c>
      <c r="S27" t="s">
        <v>1984</v>
      </c>
      <c r="T27">
        <f t="shared" si="6"/>
        <v>33.888699024855278</v>
      </c>
      <c r="U27">
        <f t="shared" si="7"/>
        <v>0.4417875</v>
      </c>
      <c r="V27" t="s">
        <v>134</v>
      </c>
      <c r="W27" t="s">
        <v>1985</v>
      </c>
      <c r="X27" t="s">
        <v>136</v>
      </c>
      <c r="Y27" t="s">
        <v>136</v>
      </c>
      <c r="Z27" t="s">
        <v>136</v>
      </c>
      <c r="AA27" t="s">
        <v>1986</v>
      </c>
      <c r="AB27" t="s">
        <v>1987</v>
      </c>
      <c r="AC27" t="s">
        <v>1988</v>
      </c>
      <c r="AD27" t="s">
        <v>140</v>
      </c>
      <c r="AE27" t="s">
        <v>141</v>
      </c>
      <c r="AF27">
        <f t="shared" si="8"/>
        <v>97.081236000000004</v>
      </c>
      <c r="AG27" t="s">
        <v>142</v>
      </c>
      <c r="AH27" t="s">
        <v>1989</v>
      </c>
      <c r="AI27" t="s">
        <v>1990</v>
      </c>
      <c r="AJ27" t="s">
        <v>1991</v>
      </c>
      <c r="AK27" t="s">
        <v>1992</v>
      </c>
      <c r="AL27">
        <f t="shared" si="9"/>
        <v>26.31</v>
      </c>
      <c r="AM27" t="s">
        <v>147</v>
      </c>
      <c r="AN27" t="s">
        <v>350</v>
      </c>
      <c r="AO27" t="s">
        <v>1993</v>
      </c>
      <c r="AP27" t="s">
        <v>1994</v>
      </c>
      <c r="AQ27" t="s">
        <v>1995</v>
      </c>
      <c r="AR27" t="s">
        <v>995</v>
      </c>
      <c r="AS27" t="s">
        <v>887</v>
      </c>
      <c r="AT27" t="s">
        <v>1996</v>
      </c>
      <c r="AU27" t="s">
        <v>1997</v>
      </c>
      <c r="AV27" t="s">
        <v>1998</v>
      </c>
      <c r="AW27" t="s">
        <v>1999</v>
      </c>
      <c r="AX27" t="s">
        <v>2000</v>
      </c>
      <c r="AY27" t="s">
        <v>2001</v>
      </c>
      <c r="AZ27" t="s">
        <v>268</v>
      </c>
      <c r="BA27" t="s">
        <v>1963</v>
      </c>
      <c r="BB27" t="s">
        <v>1964</v>
      </c>
      <c r="BC27" t="s">
        <v>2002</v>
      </c>
      <c r="BD27" t="s">
        <v>126</v>
      </c>
      <c r="BE27" t="s">
        <v>814</v>
      </c>
      <c r="BF27" t="s">
        <v>2003</v>
      </c>
      <c r="BG27" t="s">
        <v>1337</v>
      </c>
      <c r="BH27" t="s">
        <v>290</v>
      </c>
      <c r="BI27" t="s">
        <v>2004</v>
      </c>
      <c r="BJ27" t="s">
        <v>368</v>
      </c>
      <c r="BK27" t="s">
        <v>126</v>
      </c>
      <c r="BL27" t="s">
        <v>369</v>
      </c>
      <c r="BM27" t="s">
        <v>124</v>
      </c>
      <c r="BN27" t="s">
        <v>164</v>
      </c>
      <c r="BO27" t="s">
        <v>171</v>
      </c>
      <c r="BP27" t="s">
        <v>171</v>
      </c>
      <c r="BQ27" t="s">
        <v>1628</v>
      </c>
      <c r="BR27" t="s">
        <v>2005</v>
      </c>
      <c r="BS27" t="s">
        <v>2006</v>
      </c>
      <c r="BT27" t="s">
        <v>124</v>
      </c>
      <c r="BU27" t="s">
        <v>170</v>
      </c>
      <c r="BV27" t="s">
        <v>171</v>
      </c>
      <c r="BW27" t="s">
        <v>172</v>
      </c>
      <c r="BX27" t="s">
        <v>173</v>
      </c>
      <c r="BY27" t="s">
        <v>136</v>
      </c>
      <c r="BZ27" t="s">
        <v>174</v>
      </c>
      <c r="CA27" t="s">
        <v>136</v>
      </c>
      <c r="CB27" t="s">
        <v>136</v>
      </c>
      <c r="CC27" t="s">
        <v>175</v>
      </c>
      <c r="CD27" t="s">
        <v>176</v>
      </c>
      <c r="CE27" t="s">
        <v>161</v>
      </c>
      <c r="CF27" t="s">
        <v>177</v>
      </c>
      <c r="CG27" t="s">
        <v>178</v>
      </c>
      <c r="CH27" t="s">
        <v>179</v>
      </c>
      <c r="CI27" t="s">
        <v>142</v>
      </c>
      <c r="CJ27" t="s">
        <v>172</v>
      </c>
      <c r="CK27" t="s">
        <v>180</v>
      </c>
      <c r="CL27" t="s">
        <v>180</v>
      </c>
      <c r="CM27" t="s">
        <v>180</v>
      </c>
      <c r="CN27" t="s">
        <v>136</v>
      </c>
      <c r="CO27" t="s">
        <v>181</v>
      </c>
      <c r="CP27" t="s">
        <v>136</v>
      </c>
      <c r="CQ27" t="s">
        <v>136</v>
      </c>
      <c r="CR27" t="s">
        <v>136</v>
      </c>
      <c r="CS27" t="s">
        <v>136</v>
      </c>
      <c r="CT27" t="s">
        <v>2007</v>
      </c>
      <c r="CU27" t="s">
        <v>2008</v>
      </c>
      <c r="CV27" t="s">
        <v>2009</v>
      </c>
      <c r="CW27" t="s">
        <v>2010</v>
      </c>
      <c r="CX27" t="s">
        <v>2011</v>
      </c>
      <c r="CY27" t="s">
        <v>2012</v>
      </c>
      <c r="CZ27" t="s">
        <v>2013</v>
      </c>
      <c r="DA27" t="s">
        <v>2014</v>
      </c>
      <c r="DB27" t="s">
        <v>1986</v>
      </c>
      <c r="DC27" t="s">
        <v>508</v>
      </c>
      <c r="DD27" t="s">
        <v>191</v>
      </c>
      <c r="DE27" t="s">
        <v>192</v>
      </c>
      <c r="DF27" t="s">
        <v>142</v>
      </c>
      <c r="DG27" t="s">
        <v>193</v>
      </c>
      <c r="DH27" t="s">
        <v>194</v>
      </c>
      <c r="DI27" t="s">
        <v>142</v>
      </c>
      <c r="DJ27" t="s">
        <v>195</v>
      </c>
      <c r="DK27" t="s">
        <v>196</v>
      </c>
      <c r="DL27" t="s">
        <v>197</v>
      </c>
      <c r="DM27" t="s">
        <v>136</v>
      </c>
      <c r="DN27" t="s">
        <v>1985</v>
      </c>
      <c r="DO27" t="s">
        <v>198</v>
      </c>
      <c r="DP27" t="s">
        <v>199</v>
      </c>
      <c r="DQ27" t="s">
        <v>200</v>
      </c>
      <c r="DR27" t="s">
        <v>201</v>
      </c>
      <c r="DS27" t="s">
        <v>202</v>
      </c>
      <c r="DT27" t="s">
        <v>203</v>
      </c>
    </row>
    <row r="28" spans="1:124" ht="19.2" customHeight="1" x14ac:dyDescent="0.45">
      <c r="A28" t="s">
        <v>335</v>
      </c>
      <c r="B28" t="s">
        <v>336</v>
      </c>
      <c r="C28" t="s">
        <v>126</v>
      </c>
      <c r="D28" t="s">
        <v>127</v>
      </c>
      <c r="E28" t="s">
        <v>128</v>
      </c>
      <c r="I28" t="s">
        <v>2246</v>
      </c>
      <c r="J28">
        <f t="shared" si="0"/>
        <v>0.35185696352996693</v>
      </c>
      <c r="K28">
        <f t="shared" si="1"/>
        <v>2.9058327199999998</v>
      </c>
      <c r="L28">
        <f t="shared" si="2"/>
        <v>0.31385355166098322</v>
      </c>
      <c r="M28">
        <f t="shared" si="3"/>
        <v>4.762689515363034</v>
      </c>
      <c r="N28" t="s">
        <v>337</v>
      </c>
      <c r="O28" t="s">
        <v>338</v>
      </c>
      <c r="P28">
        <f t="shared" si="4"/>
        <v>3.5414955106111412</v>
      </c>
      <c r="Q28">
        <f t="shared" si="5"/>
        <v>1.4967305106111413</v>
      </c>
      <c r="R28" t="s">
        <v>339</v>
      </c>
      <c r="S28" t="s">
        <v>340</v>
      </c>
      <c r="T28">
        <f t="shared" si="6"/>
        <v>34.919103831701257</v>
      </c>
      <c r="U28">
        <f t="shared" si="7"/>
        <v>0.4417875</v>
      </c>
      <c r="V28" t="s">
        <v>134</v>
      </c>
      <c r="W28" t="s">
        <v>341</v>
      </c>
      <c r="X28" t="s">
        <v>136</v>
      </c>
      <c r="Y28" t="s">
        <v>136</v>
      </c>
      <c r="Z28" t="s">
        <v>136</v>
      </c>
      <c r="AA28" t="s">
        <v>342</v>
      </c>
      <c r="AB28" t="s">
        <v>343</v>
      </c>
      <c r="AC28" t="s">
        <v>344</v>
      </c>
      <c r="AD28" t="s">
        <v>140</v>
      </c>
      <c r="AE28" t="s">
        <v>141</v>
      </c>
      <c r="AF28">
        <f t="shared" si="8"/>
        <v>101.17858883999999</v>
      </c>
      <c r="AG28" t="s">
        <v>142</v>
      </c>
      <c r="AH28" t="s">
        <v>345</v>
      </c>
      <c r="AI28" t="s">
        <v>346</v>
      </c>
      <c r="AJ28" t="s">
        <v>347</v>
      </c>
      <c r="AK28" t="s">
        <v>348</v>
      </c>
      <c r="AL28">
        <f t="shared" si="9"/>
        <v>26.82</v>
      </c>
      <c r="AM28" t="s">
        <v>349</v>
      </c>
      <c r="AN28" t="s">
        <v>350</v>
      </c>
      <c r="AO28" t="s">
        <v>351</v>
      </c>
      <c r="AP28" t="s">
        <v>352</v>
      </c>
      <c r="AQ28" t="s">
        <v>353</v>
      </c>
      <c r="AR28" t="s">
        <v>354</v>
      </c>
      <c r="AS28" t="s">
        <v>355</v>
      </c>
      <c r="AT28" t="s">
        <v>204</v>
      </c>
      <c r="AU28" t="s">
        <v>356</v>
      </c>
      <c r="AV28" t="s">
        <v>357</v>
      </c>
      <c r="AW28" t="s">
        <v>358</v>
      </c>
      <c r="AX28" t="s">
        <v>359</v>
      </c>
      <c r="AY28" t="s">
        <v>360</v>
      </c>
      <c r="AZ28" t="s">
        <v>268</v>
      </c>
      <c r="BA28" t="s">
        <v>361</v>
      </c>
      <c r="BB28" t="s">
        <v>362</v>
      </c>
      <c r="BC28" t="s">
        <v>363</v>
      </c>
      <c r="BD28" t="s">
        <v>126</v>
      </c>
      <c r="BE28" t="s">
        <v>364</v>
      </c>
      <c r="BF28" t="s">
        <v>365</v>
      </c>
      <c r="BG28" t="s">
        <v>366</v>
      </c>
      <c r="BH28" t="s">
        <v>290</v>
      </c>
      <c r="BI28" t="s">
        <v>367</v>
      </c>
      <c r="BJ28" t="s">
        <v>368</v>
      </c>
      <c r="BK28" t="s">
        <v>126</v>
      </c>
      <c r="BL28" t="s">
        <v>369</v>
      </c>
      <c r="BM28" t="s">
        <v>124</v>
      </c>
      <c r="BN28" t="s">
        <v>165</v>
      </c>
      <c r="BO28" t="s">
        <v>228</v>
      </c>
      <c r="BP28" t="s">
        <v>276</v>
      </c>
      <c r="BQ28" t="s">
        <v>370</v>
      </c>
      <c r="BR28" t="s">
        <v>371</v>
      </c>
      <c r="BS28" t="s">
        <v>372</v>
      </c>
      <c r="BT28" t="s">
        <v>124</v>
      </c>
      <c r="BU28" t="s">
        <v>170</v>
      </c>
      <c r="BV28" t="s">
        <v>171</v>
      </c>
      <c r="BW28" t="s">
        <v>172</v>
      </c>
      <c r="BX28" t="s">
        <v>173</v>
      </c>
      <c r="BY28" t="s">
        <v>136</v>
      </c>
      <c r="BZ28" t="s">
        <v>174</v>
      </c>
      <c r="CA28" t="s">
        <v>136</v>
      </c>
      <c r="CB28" t="s">
        <v>136</v>
      </c>
      <c r="CC28" t="s">
        <v>175</v>
      </c>
      <c r="CD28" t="s">
        <v>176</v>
      </c>
      <c r="CE28" t="s">
        <v>161</v>
      </c>
      <c r="CF28" t="s">
        <v>177</v>
      </c>
      <c r="CG28" t="s">
        <v>178</v>
      </c>
      <c r="CH28" t="s">
        <v>179</v>
      </c>
      <c r="CI28" t="s">
        <v>142</v>
      </c>
      <c r="CJ28" t="s">
        <v>172</v>
      </c>
      <c r="CK28" t="s">
        <v>180</v>
      </c>
      <c r="CL28" t="s">
        <v>180</v>
      </c>
      <c r="CM28" t="s">
        <v>180</v>
      </c>
      <c r="CN28" t="s">
        <v>136</v>
      </c>
      <c r="CO28" t="s">
        <v>181</v>
      </c>
      <c r="CP28" t="s">
        <v>136</v>
      </c>
      <c r="CQ28" t="s">
        <v>136</v>
      </c>
      <c r="CR28" t="s">
        <v>136</v>
      </c>
      <c r="CS28" t="s">
        <v>136</v>
      </c>
      <c r="CT28" t="s">
        <v>373</v>
      </c>
      <c r="CU28" t="s">
        <v>374</v>
      </c>
      <c r="CV28" t="s">
        <v>375</v>
      </c>
      <c r="CW28" t="s">
        <v>376</v>
      </c>
      <c r="CX28" t="s">
        <v>377</v>
      </c>
      <c r="CY28" t="s">
        <v>378</v>
      </c>
      <c r="CZ28" t="s">
        <v>379</v>
      </c>
      <c r="DA28" t="s">
        <v>380</v>
      </c>
      <c r="DB28" t="s">
        <v>342</v>
      </c>
      <c r="DC28" t="s">
        <v>381</v>
      </c>
      <c r="DD28" t="s">
        <v>191</v>
      </c>
      <c r="DE28" t="s">
        <v>192</v>
      </c>
      <c r="DF28" t="s">
        <v>142</v>
      </c>
      <c r="DG28" t="s">
        <v>193</v>
      </c>
      <c r="DH28" t="s">
        <v>194</v>
      </c>
      <c r="DI28" t="s">
        <v>142</v>
      </c>
      <c r="DJ28" t="s">
        <v>195</v>
      </c>
      <c r="DK28" t="s">
        <v>196</v>
      </c>
      <c r="DL28" t="s">
        <v>197</v>
      </c>
      <c r="DM28" t="s">
        <v>136</v>
      </c>
      <c r="DN28" t="s">
        <v>341</v>
      </c>
      <c r="DO28" t="s">
        <v>198</v>
      </c>
      <c r="DP28" t="s">
        <v>199</v>
      </c>
      <c r="DQ28" t="s">
        <v>200</v>
      </c>
      <c r="DR28" t="s">
        <v>201</v>
      </c>
      <c r="DS28" t="s">
        <v>202</v>
      </c>
      <c r="DT28" t="s">
        <v>203</v>
      </c>
    </row>
    <row r="29" spans="1:124" ht="19.2" customHeight="1" x14ac:dyDescent="0.45">
      <c r="A29" t="s">
        <v>382</v>
      </c>
      <c r="B29" t="s">
        <v>383</v>
      </c>
      <c r="C29" t="s">
        <v>126</v>
      </c>
      <c r="D29" t="s">
        <v>127</v>
      </c>
      <c r="E29" t="s">
        <v>128</v>
      </c>
      <c r="I29" t="s">
        <v>2247</v>
      </c>
      <c r="J29">
        <f t="shared" si="0"/>
        <v>0.30719972879671892</v>
      </c>
      <c r="K29">
        <f t="shared" si="1"/>
        <v>2.9066320800000001</v>
      </c>
      <c r="L29">
        <f t="shared" si="2"/>
        <v>0.27783550596636764</v>
      </c>
      <c r="M29">
        <f t="shared" si="3"/>
        <v>4.1897800864144976</v>
      </c>
      <c r="N29" t="s">
        <v>384</v>
      </c>
      <c r="O29" t="s">
        <v>385</v>
      </c>
      <c r="P29">
        <f t="shared" si="4"/>
        <v>3.560284122883826</v>
      </c>
      <c r="Q29">
        <f t="shared" si="5"/>
        <v>1.4870401228838261</v>
      </c>
      <c r="R29" t="s">
        <v>386</v>
      </c>
      <c r="S29" t="s">
        <v>387</v>
      </c>
      <c r="T29">
        <f t="shared" si="6"/>
        <v>35.104359326403326</v>
      </c>
      <c r="U29">
        <f t="shared" si="7"/>
        <v>0.4417875</v>
      </c>
      <c r="V29" t="s">
        <v>134</v>
      </c>
      <c r="W29" t="s">
        <v>388</v>
      </c>
      <c r="X29" t="s">
        <v>136</v>
      </c>
      <c r="Y29" t="s">
        <v>136</v>
      </c>
      <c r="Z29" t="s">
        <v>136</v>
      </c>
      <c r="AA29" t="s">
        <v>389</v>
      </c>
      <c r="AB29" t="s">
        <v>390</v>
      </c>
      <c r="AC29" t="s">
        <v>391</v>
      </c>
      <c r="AD29" t="s">
        <v>140</v>
      </c>
      <c r="AE29" t="s">
        <v>141</v>
      </c>
      <c r="AF29">
        <f t="shared" si="8"/>
        <v>96.657419039999994</v>
      </c>
      <c r="AG29" t="s">
        <v>142</v>
      </c>
      <c r="AH29" t="s">
        <v>392</v>
      </c>
      <c r="AI29" t="s">
        <v>393</v>
      </c>
      <c r="AJ29" t="s">
        <v>394</v>
      </c>
      <c r="AK29" t="s">
        <v>395</v>
      </c>
      <c r="AL29">
        <f t="shared" si="9"/>
        <v>26.91</v>
      </c>
      <c r="AM29" t="s">
        <v>349</v>
      </c>
      <c r="AN29" t="s">
        <v>396</v>
      </c>
      <c r="AO29" t="s">
        <v>397</v>
      </c>
      <c r="AP29" t="s">
        <v>398</v>
      </c>
      <c r="AQ29" t="s">
        <v>399</v>
      </c>
      <c r="AR29" t="s">
        <v>354</v>
      </c>
      <c r="AS29" t="s">
        <v>261</v>
      </c>
      <c r="AT29" t="s">
        <v>400</v>
      </c>
      <c r="AU29" t="s">
        <v>401</v>
      </c>
      <c r="AV29" t="s">
        <v>402</v>
      </c>
      <c r="AW29" t="s">
        <v>403</v>
      </c>
      <c r="AX29" t="s">
        <v>404</v>
      </c>
      <c r="AY29" t="s">
        <v>405</v>
      </c>
      <c r="AZ29" t="s">
        <v>268</v>
      </c>
      <c r="BA29" t="s">
        <v>361</v>
      </c>
      <c r="BB29" t="s">
        <v>362</v>
      </c>
      <c r="BC29" t="s">
        <v>406</v>
      </c>
      <c r="BD29" t="s">
        <v>126</v>
      </c>
      <c r="BE29" t="s">
        <v>407</v>
      </c>
      <c r="BF29" t="s">
        <v>408</v>
      </c>
      <c r="BG29" t="s">
        <v>409</v>
      </c>
      <c r="BH29" t="s">
        <v>242</v>
      </c>
      <c r="BI29" t="s">
        <v>410</v>
      </c>
      <c r="BJ29" t="s">
        <v>368</v>
      </c>
      <c r="BK29" t="s">
        <v>126</v>
      </c>
      <c r="BL29" t="s">
        <v>369</v>
      </c>
      <c r="BM29" t="s">
        <v>124</v>
      </c>
      <c r="BN29" t="s">
        <v>411</v>
      </c>
      <c r="BO29" t="s">
        <v>164</v>
      </c>
      <c r="BP29" t="s">
        <v>412</v>
      </c>
      <c r="BQ29" t="s">
        <v>171</v>
      </c>
      <c r="BR29" t="s">
        <v>413</v>
      </c>
      <c r="BS29" t="s">
        <v>414</v>
      </c>
      <c r="BT29" t="s">
        <v>124</v>
      </c>
      <c r="BU29" t="s">
        <v>170</v>
      </c>
      <c r="BV29" t="s">
        <v>171</v>
      </c>
      <c r="BW29" t="s">
        <v>172</v>
      </c>
      <c r="BX29" t="s">
        <v>173</v>
      </c>
      <c r="BY29" t="s">
        <v>136</v>
      </c>
      <c r="BZ29" t="s">
        <v>174</v>
      </c>
      <c r="CA29" t="s">
        <v>136</v>
      </c>
      <c r="CB29" t="s">
        <v>136</v>
      </c>
      <c r="CC29" t="s">
        <v>175</v>
      </c>
      <c r="CD29" t="s">
        <v>176</v>
      </c>
      <c r="CE29" t="s">
        <v>161</v>
      </c>
      <c r="CF29" t="s">
        <v>177</v>
      </c>
      <c r="CG29" t="s">
        <v>178</v>
      </c>
      <c r="CH29" t="s">
        <v>179</v>
      </c>
      <c r="CI29" t="s">
        <v>142</v>
      </c>
      <c r="CJ29" t="s">
        <v>172</v>
      </c>
      <c r="CK29" t="s">
        <v>180</v>
      </c>
      <c r="CL29" t="s">
        <v>180</v>
      </c>
      <c r="CM29" t="s">
        <v>180</v>
      </c>
      <c r="CN29" t="s">
        <v>136</v>
      </c>
      <c r="CO29" t="s">
        <v>181</v>
      </c>
      <c r="CP29" t="s">
        <v>136</v>
      </c>
      <c r="CQ29" t="s">
        <v>136</v>
      </c>
      <c r="CR29" t="s">
        <v>136</v>
      </c>
      <c r="CS29" t="s">
        <v>136</v>
      </c>
      <c r="CT29" t="s">
        <v>415</v>
      </c>
      <c r="CU29" t="s">
        <v>416</v>
      </c>
      <c r="CV29" t="s">
        <v>417</v>
      </c>
      <c r="CW29" t="s">
        <v>418</v>
      </c>
      <c r="CX29" t="s">
        <v>419</v>
      </c>
      <c r="CY29" t="s">
        <v>420</v>
      </c>
      <c r="CZ29" t="s">
        <v>421</v>
      </c>
      <c r="DA29" t="s">
        <v>422</v>
      </c>
      <c r="DB29" t="s">
        <v>389</v>
      </c>
      <c r="DC29" t="s">
        <v>381</v>
      </c>
      <c r="DD29" t="s">
        <v>191</v>
      </c>
      <c r="DE29" t="s">
        <v>192</v>
      </c>
      <c r="DF29" t="s">
        <v>142</v>
      </c>
      <c r="DG29" t="s">
        <v>193</v>
      </c>
      <c r="DH29" t="s">
        <v>194</v>
      </c>
      <c r="DI29" t="s">
        <v>142</v>
      </c>
      <c r="DJ29" t="s">
        <v>195</v>
      </c>
      <c r="DK29" t="s">
        <v>196</v>
      </c>
      <c r="DL29" t="s">
        <v>197</v>
      </c>
      <c r="DM29" t="s">
        <v>136</v>
      </c>
      <c r="DN29" t="s">
        <v>388</v>
      </c>
      <c r="DO29" t="s">
        <v>198</v>
      </c>
      <c r="DP29" t="s">
        <v>199</v>
      </c>
      <c r="DQ29" t="s">
        <v>200</v>
      </c>
      <c r="DR29" t="s">
        <v>201</v>
      </c>
      <c r="DS29" t="s">
        <v>202</v>
      </c>
      <c r="DT29" t="s">
        <v>203</v>
      </c>
    </row>
    <row r="30" spans="1:124" ht="19.2" customHeight="1" x14ac:dyDescent="0.45">
      <c r="A30" t="s">
        <v>709</v>
      </c>
      <c r="B30" t="s">
        <v>710</v>
      </c>
      <c r="C30" t="s">
        <v>126</v>
      </c>
      <c r="D30" t="s">
        <v>127</v>
      </c>
      <c r="E30" t="s">
        <v>128</v>
      </c>
      <c r="I30" t="s">
        <v>2248</v>
      </c>
      <c r="J30">
        <f t="shared" si="0"/>
        <v>0.21949764287618725</v>
      </c>
      <c r="K30">
        <f t="shared" si="1"/>
        <v>2.9058327199999998</v>
      </c>
      <c r="L30">
        <f t="shared" si="2"/>
        <v>0.20408192369318739</v>
      </c>
      <c r="M30">
        <f t="shared" si="3"/>
        <v>3.3847853375934727</v>
      </c>
      <c r="N30" t="s">
        <v>711</v>
      </c>
      <c r="O30" t="s">
        <v>712</v>
      </c>
      <c r="P30">
        <f t="shared" si="4"/>
        <v>3.6108131373185941</v>
      </c>
      <c r="Q30">
        <f t="shared" si="5"/>
        <v>1.6355611373185941</v>
      </c>
      <c r="R30" t="s">
        <v>713</v>
      </c>
      <c r="S30" t="s">
        <v>714</v>
      </c>
      <c r="T30">
        <f t="shared" si="6"/>
        <v>35.606085566695533</v>
      </c>
      <c r="U30">
        <f t="shared" si="7"/>
        <v>0.4417875</v>
      </c>
      <c r="V30" t="s">
        <v>134</v>
      </c>
      <c r="W30" t="s">
        <v>715</v>
      </c>
      <c r="X30" t="s">
        <v>136</v>
      </c>
      <c r="Y30" t="s">
        <v>136</v>
      </c>
      <c r="Z30" t="s">
        <v>136</v>
      </c>
      <c r="AA30" t="s">
        <v>716</v>
      </c>
      <c r="AB30" t="s">
        <v>717</v>
      </c>
      <c r="AC30" t="s">
        <v>718</v>
      </c>
      <c r="AD30" t="s">
        <v>140</v>
      </c>
      <c r="AE30" t="s">
        <v>141</v>
      </c>
      <c r="AF30">
        <f t="shared" si="8"/>
        <v>97.417514039999986</v>
      </c>
      <c r="AG30" t="s">
        <v>142</v>
      </c>
      <c r="AH30" t="s">
        <v>719</v>
      </c>
      <c r="AI30" t="s">
        <v>720</v>
      </c>
      <c r="AJ30" t="s">
        <v>721</v>
      </c>
      <c r="AK30" t="s">
        <v>722</v>
      </c>
      <c r="AL30">
        <f t="shared" si="9"/>
        <v>27.15</v>
      </c>
      <c r="AM30" t="s">
        <v>147</v>
      </c>
      <c r="AN30" t="s">
        <v>350</v>
      </c>
      <c r="AO30" t="s">
        <v>723</v>
      </c>
      <c r="AP30" t="s">
        <v>140</v>
      </c>
      <c r="AQ30" t="s">
        <v>724</v>
      </c>
      <c r="AR30" t="s">
        <v>354</v>
      </c>
      <c r="AS30" t="s">
        <v>262</v>
      </c>
      <c r="AT30" t="s">
        <v>153</v>
      </c>
      <c r="AU30" t="s">
        <v>725</v>
      </c>
      <c r="AV30" t="s">
        <v>726</v>
      </c>
      <c r="AW30" t="s">
        <v>727</v>
      </c>
      <c r="AX30" t="s">
        <v>728</v>
      </c>
      <c r="AY30" t="s">
        <v>479</v>
      </c>
      <c r="AZ30" t="s">
        <v>268</v>
      </c>
      <c r="BA30" t="s">
        <v>729</v>
      </c>
      <c r="BB30" t="s">
        <v>730</v>
      </c>
      <c r="BC30" t="s">
        <v>731</v>
      </c>
      <c r="BD30" t="s">
        <v>126</v>
      </c>
      <c r="BE30" t="s">
        <v>732</v>
      </c>
      <c r="BF30" t="s">
        <v>319</v>
      </c>
      <c r="BG30" t="s">
        <v>733</v>
      </c>
      <c r="BH30" t="s">
        <v>290</v>
      </c>
      <c r="BI30" t="s">
        <v>367</v>
      </c>
      <c r="BJ30" t="s">
        <v>368</v>
      </c>
      <c r="BK30" t="s">
        <v>126</v>
      </c>
      <c r="BL30" t="s">
        <v>369</v>
      </c>
      <c r="BM30" t="s">
        <v>124</v>
      </c>
      <c r="BN30" t="s">
        <v>171</v>
      </c>
      <c r="BO30" t="s">
        <v>171</v>
      </c>
      <c r="BP30" t="s">
        <v>166</v>
      </c>
      <c r="BQ30" t="s">
        <v>734</v>
      </c>
      <c r="BR30" t="s">
        <v>735</v>
      </c>
      <c r="BS30" t="s">
        <v>736</v>
      </c>
      <c r="BT30" t="s">
        <v>124</v>
      </c>
      <c r="BU30" t="s">
        <v>170</v>
      </c>
      <c r="BV30" t="s">
        <v>171</v>
      </c>
      <c r="BW30" t="s">
        <v>172</v>
      </c>
      <c r="BX30" t="s">
        <v>173</v>
      </c>
      <c r="BY30" t="s">
        <v>136</v>
      </c>
      <c r="BZ30" t="s">
        <v>174</v>
      </c>
      <c r="CA30" t="s">
        <v>136</v>
      </c>
      <c r="CB30" t="s">
        <v>136</v>
      </c>
      <c r="CC30" t="s">
        <v>175</v>
      </c>
      <c r="CD30" t="s">
        <v>176</v>
      </c>
      <c r="CE30" t="s">
        <v>161</v>
      </c>
      <c r="CF30" t="s">
        <v>177</v>
      </c>
      <c r="CG30" t="s">
        <v>178</v>
      </c>
      <c r="CH30" t="s">
        <v>179</v>
      </c>
      <c r="CI30" t="s">
        <v>142</v>
      </c>
      <c r="CJ30" t="s">
        <v>172</v>
      </c>
      <c r="CK30" t="s">
        <v>180</v>
      </c>
      <c r="CL30" t="s">
        <v>180</v>
      </c>
      <c r="CM30" t="s">
        <v>180</v>
      </c>
      <c r="CN30" t="s">
        <v>136</v>
      </c>
      <c r="CO30" t="s">
        <v>181</v>
      </c>
      <c r="CP30" t="s">
        <v>136</v>
      </c>
      <c r="CQ30" t="s">
        <v>136</v>
      </c>
      <c r="CR30" t="s">
        <v>136</v>
      </c>
      <c r="CS30" t="s">
        <v>136</v>
      </c>
      <c r="CT30" t="s">
        <v>737</v>
      </c>
      <c r="CU30" t="s">
        <v>738</v>
      </c>
      <c r="CV30" t="s">
        <v>739</v>
      </c>
      <c r="CW30" t="s">
        <v>740</v>
      </c>
      <c r="CX30" t="s">
        <v>741</v>
      </c>
      <c r="CY30" t="s">
        <v>742</v>
      </c>
      <c r="CZ30" t="s">
        <v>743</v>
      </c>
      <c r="DA30" t="s">
        <v>744</v>
      </c>
      <c r="DB30" t="s">
        <v>716</v>
      </c>
      <c r="DC30" t="s">
        <v>745</v>
      </c>
      <c r="DD30" t="s">
        <v>191</v>
      </c>
      <c r="DE30" t="s">
        <v>192</v>
      </c>
      <c r="DF30" t="s">
        <v>142</v>
      </c>
      <c r="DG30" t="s">
        <v>193</v>
      </c>
      <c r="DH30" t="s">
        <v>194</v>
      </c>
      <c r="DI30" t="s">
        <v>142</v>
      </c>
      <c r="DJ30" t="s">
        <v>195</v>
      </c>
      <c r="DK30" t="s">
        <v>196</v>
      </c>
      <c r="DL30" t="s">
        <v>197</v>
      </c>
      <c r="DM30" t="s">
        <v>136</v>
      </c>
      <c r="DN30" t="s">
        <v>715</v>
      </c>
      <c r="DO30" t="s">
        <v>198</v>
      </c>
      <c r="DP30" t="s">
        <v>199</v>
      </c>
      <c r="DQ30" t="s">
        <v>200</v>
      </c>
      <c r="DR30" t="s">
        <v>201</v>
      </c>
      <c r="DS30" t="s">
        <v>202</v>
      </c>
      <c r="DT30" t="s">
        <v>203</v>
      </c>
    </row>
    <row r="31" spans="1:124" ht="19.2" customHeight="1" x14ac:dyDescent="0.45">
      <c r="A31" t="s">
        <v>746</v>
      </c>
      <c r="B31" t="s">
        <v>747</v>
      </c>
      <c r="C31" t="s">
        <v>126</v>
      </c>
      <c r="D31" t="s">
        <v>127</v>
      </c>
      <c r="E31" t="s">
        <v>128</v>
      </c>
      <c r="I31" t="s">
        <v>2249</v>
      </c>
      <c r="J31">
        <f t="shared" si="0"/>
        <v>0.37073030022080389</v>
      </c>
      <c r="K31">
        <f t="shared" si="1"/>
        <v>2.9058327199999998</v>
      </c>
      <c r="L31">
        <f t="shared" si="2"/>
        <v>0.3287836156450421</v>
      </c>
      <c r="M31">
        <f t="shared" si="3"/>
        <v>4.9595023294768641</v>
      </c>
      <c r="N31" t="s">
        <v>748</v>
      </c>
      <c r="O31" t="s">
        <v>749</v>
      </c>
      <c r="P31">
        <f t="shared" si="4"/>
        <v>3.4979916853388753</v>
      </c>
      <c r="Q31">
        <f t="shared" si="5"/>
        <v>1.4881576853388752</v>
      </c>
      <c r="R31" t="s">
        <v>750</v>
      </c>
      <c r="S31" t="s">
        <v>751</v>
      </c>
      <c r="T31">
        <f t="shared" si="6"/>
        <v>34.493557689960312</v>
      </c>
      <c r="U31">
        <f t="shared" si="7"/>
        <v>0.4417875</v>
      </c>
      <c r="V31" t="s">
        <v>134</v>
      </c>
      <c r="W31" t="s">
        <v>752</v>
      </c>
      <c r="X31" t="s">
        <v>136</v>
      </c>
      <c r="Y31" t="s">
        <v>136</v>
      </c>
      <c r="Z31" t="s">
        <v>136</v>
      </c>
      <c r="AA31" t="s">
        <v>753</v>
      </c>
      <c r="AB31" t="s">
        <v>754</v>
      </c>
      <c r="AC31" t="s">
        <v>755</v>
      </c>
      <c r="AD31" t="s">
        <v>140</v>
      </c>
      <c r="AE31" t="s">
        <v>141</v>
      </c>
      <c r="AF31">
        <f t="shared" si="8"/>
        <v>109.34112671999999</v>
      </c>
      <c r="AG31" t="s">
        <v>142</v>
      </c>
      <c r="AH31" t="s">
        <v>756</v>
      </c>
      <c r="AI31" t="s">
        <v>757</v>
      </c>
      <c r="AJ31" t="s">
        <v>758</v>
      </c>
      <c r="AK31" t="s">
        <v>759</v>
      </c>
      <c r="AL31">
        <f t="shared" si="9"/>
        <v>26.61</v>
      </c>
      <c r="AM31" t="s">
        <v>147</v>
      </c>
      <c r="AN31" t="s">
        <v>350</v>
      </c>
      <c r="AO31" t="s">
        <v>760</v>
      </c>
      <c r="AP31" t="s">
        <v>761</v>
      </c>
      <c r="AQ31" t="s">
        <v>222</v>
      </c>
      <c r="AR31" t="s">
        <v>762</v>
      </c>
      <c r="AS31" t="s">
        <v>262</v>
      </c>
      <c r="AT31" t="s">
        <v>161</v>
      </c>
      <c r="AU31" t="s">
        <v>763</v>
      </c>
      <c r="AV31" t="s">
        <v>764</v>
      </c>
      <c r="AW31" t="s">
        <v>765</v>
      </c>
      <c r="AX31" t="s">
        <v>766</v>
      </c>
      <c r="AY31" t="s">
        <v>767</v>
      </c>
      <c r="AZ31" t="s">
        <v>268</v>
      </c>
      <c r="BA31" t="s">
        <v>768</v>
      </c>
      <c r="BB31" t="s">
        <v>769</v>
      </c>
      <c r="BC31" t="s">
        <v>770</v>
      </c>
      <c r="BD31" t="s">
        <v>126</v>
      </c>
      <c r="BE31" t="s">
        <v>771</v>
      </c>
      <c r="BF31" t="s">
        <v>772</v>
      </c>
      <c r="BG31" t="s">
        <v>733</v>
      </c>
      <c r="BH31" t="s">
        <v>290</v>
      </c>
      <c r="BI31" t="s">
        <v>773</v>
      </c>
      <c r="BJ31" t="s">
        <v>368</v>
      </c>
      <c r="BK31" t="s">
        <v>126</v>
      </c>
      <c r="BL31" t="s">
        <v>369</v>
      </c>
      <c r="BM31" t="s">
        <v>124</v>
      </c>
      <c r="BN31" t="s">
        <v>165</v>
      </c>
      <c r="BO31" t="s">
        <v>171</v>
      </c>
      <c r="BP31" t="s">
        <v>166</v>
      </c>
      <c r="BQ31" t="s">
        <v>774</v>
      </c>
      <c r="BR31" t="s">
        <v>775</v>
      </c>
      <c r="BS31" t="s">
        <v>776</v>
      </c>
      <c r="BT31" t="s">
        <v>124</v>
      </c>
      <c r="BU31" t="s">
        <v>170</v>
      </c>
      <c r="BV31" t="s">
        <v>171</v>
      </c>
      <c r="BW31" t="s">
        <v>172</v>
      </c>
      <c r="BX31" t="s">
        <v>173</v>
      </c>
      <c r="BY31" t="s">
        <v>136</v>
      </c>
      <c r="BZ31" t="s">
        <v>174</v>
      </c>
      <c r="CA31" t="s">
        <v>136</v>
      </c>
      <c r="CB31" t="s">
        <v>136</v>
      </c>
      <c r="CC31" t="s">
        <v>175</v>
      </c>
      <c r="CD31" t="s">
        <v>176</v>
      </c>
      <c r="CE31" t="s">
        <v>161</v>
      </c>
      <c r="CF31" t="s">
        <v>177</v>
      </c>
      <c r="CG31" t="s">
        <v>178</v>
      </c>
      <c r="CH31" t="s">
        <v>179</v>
      </c>
      <c r="CI31" t="s">
        <v>142</v>
      </c>
      <c r="CJ31" t="s">
        <v>172</v>
      </c>
      <c r="CK31" t="s">
        <v>180</v>
      </c>
      <c r="CL31" t="s">
        <v>180</v>
      </c>
      <c r="CM31" t="s">
        <v>180</v>
      </c>
      <c r="CN31" t="s">
        <v>136</v>
      </c>
      <c r="CO31" t="s">
        <v>181</v>
      </c>
      <c r="CP31" t="s">
        <v>136</v>
      </c>
      <c r="CQ31" t="s">
        <v>136</v>
      </c>
      <c r="CR31" t="s">
        <v>136</v>
      </c>
      <c r="CS31" t="s">
        <v>136</v>
      </c>
      <c r="CT31" t="s">
        <v>777</v>
      </c>
      <c r="CU31" t="s">
        <v>778</v>
      </c>
      <c r="CV31" t="s">
        <v>779</v>
      </c>
      <c r="CW31" t="s">
        <v>780</v>
      </c>
      <c r="CX31" t="s">
        <v>781</v>
      </c>
      <c r="CY31" t="s">
        <v>782</v>
      </c>
      <c r="CZ31" t="s">
        <v>783</v>
      </c>
      <c r="DA31" t="s">
        <v>784</v>
      </c>
      <c r="DB31" t="s">
        <v>753</v>
      </c>
      <c r="DC31" t="s">
        <v>467</v>
      </c>
      <c r="DD31" t="s">
        <v>191</v>
      </c>
      <c r="DE31" t="s">
        <v>192</v>
      </c>
      <c r="DF31" t="s">
        <v>142</v>
      </c>
      <c r="DG31" t="s">
        <v>193</v>
      </c>
      <c r="DH31" t="s">
        <v>194</v>
      </c>
      <c r="DI31" t="s">
        <v>142</v>
      </c>
      <c r="DJ31" t="s">
        <v>195</v>
      </c>
      <c r="DK31" t="s">
        <v>196</v>
      </c>
      <c r="DL31" t="s">
        <v>197</v>
      </c>
      <c r="DM31" t="s">
        <v>136</v>
      </c>
      <c r="DN31" t="s">
        <v>752</v>
      </c>
      <c r="DO31" t="s">
        <v>198</v>
      </c>
      <c r="DP31" t="s">
        <v>199</v>
      </c>
      <c r="DQ31" t="s">
        <v>200</v>
      </c>
      <c r="DR31" t="s">
        <v>201</v>
      </c>
      <c r="DS31" t="s">
        <v>202</v>
      </c>
      <c r="DT31" t="s">
        <v>203</v>
      </c>
    </row>
    <row r="32" spans="1:124" ht="19.2" customHeight="1" x14ac:dyDescent="0.45">
      <c r="A32" t="s">
        <v>1056</v>
      </c>
      <c r="B32" t="s">
        <v>1057</v>
      </c>
      <c r="C32" t="s">
        <v>126</v>
      </c>
      <c r="D32" t="s">
        <v>127</v>
      </c>
      <c r="E32" t="s">
        <v>128</v>
      </c>
      <c r="I32" t="s">
        <v>2250</v>
      </c>
      <c r="J32">
        <f t="shared" si="0"/>
        <v>0.5799314718202514</v>
      </c>
      <c r="K32">
        <f t="shared" si="1"/>
        <v>2.9058327199999998</v>
      </c>
      <c r="L32">
        <f t="shared" si="2"/>
        <v>0.48344746042417991</v>
      </c>
      <c r="M32">
        <f t="shared" si="3"/>
        <v>6.3829078096484375</v>
      </c>
      <c r="N32" t="s">
        <v>1058</v>
      </c>
      <c r="O32" t="s">
        <v>1059</v>
      </c>
      <c r="P32">
        <f t="shared" si="4"/>
        <v>3.348388892893543</v>
      </c>
      <c r="Q32">
        <f t="shared" si="5"/>
        <v>1.3032408928935428</v>
      </c>
      <c r="R32" t="s">
        <v>1060</v>
      </c>
      <c r="S32" t="s">
        <v>1061</v>
      </c>
      <c r="T32">
        <f t="shared" si="6"/>
        <v>33.018330469318052</v>
      </c>
      <c r="U32">
        <f t="shared" si="7"/>
        <v>0.4417875</v>
      </c>
      <c r="V32" t="s">
        <v>134</v>
      </c>
      <c r="W32" t="s">
        <v>1062</v>
      </c>
      <c r="X32" t="s">
        <v>136</v>
      </c>
      <c r="Y32" t="s">
        <v>136</v>
      </c>
      <c r="Z32" t="s">
        <v>136</v>
      </c>
      <c r="AA32" t="s">
        <v>1063</v>
      </c>
      <c r="AB32" t="s">
        <v>1064</v>
      </c>
      <c r="AC32" t="s">
        <v>1065</v>
      </c>
      <c r="AD32" t="s">
        <v>140</v>
      </c>
      <c r="AE32" t="s">
        <v>141</v>
      </c>
      <c r="AF32">
        <f t="shared" si="8"/>
        <v>98.583454200000006</v>
      </c>
      <c r="AG32" t="s">
        <v>142</v>
      </c>
      <c r="AH32" t="s">
        <v>1066</v>
      </c>
      <c r="AI32" t="s">
        <v>1067</v>
      </c>
      <c r="AJ32" t="s">
        <v>1068</v>
      </c>
      <c r="AK32" t="s">
        <v>1069</v>
      </c>
      <c r="AL32">
        <f t="shared" si="9"/>
        <v>25.87</v>
      </c>
      <c r="AM32" t="s">
        <v>147</v>
      </c>
      <c r="AN32" t="s">
        <v>350</v>
      </c>
      <c r="AO32" t="s">
        <v>1070</v>
      </c>
      <c r="AP32" t="s">
        <v>1071</v>
      </c>
      <c r="AQ32" t="s">
        <v>151</v>
      </c>
      <c r="AR32" t="s">
        <v>924</v>
      </c>
      <c r="AS32" t="s">
        <v>261</v>
      </c>
      <c r="AT32" t="s">
        <v>124</v>
      </c>
      <c r="AU32" t="s">
        <v>1072</v>
      </c>
      <c r="AV32" t="s">
        <v>1073</v>
      </c>
      <c r="AW32" t="s">
        <v>1074</v>
      </c>
      <c r="AX32" t="s">
        <v>1075</v>
      </c>
      <c r="AY32" t="s">
        <v>1076</v>
      </c>
      <c r="AZ32" t="s">
        <v>268</v>
      </c>
      <c r="BA32" t="s">
        <v>768</v>
      </c>
      <c r="BB32" t="s">
        <v>769</v>
      </c>
      <c r="BC32" t="s">
        <v>1077</v>
      </c>
      <c r="BD32" t="s">
        <v>126</v>
      </c>
      <c r="BE32" t="s">
        <v>1078</v>
      </c>
      <c r="BF32" t="s">
        <v>408</v>
      </c>
      <c r="BG32" t="s">
        <v>1079</v>
      </c>
      <c r="BH32" t="s">
        <v>242</v>
      </c>
      <c r="BI32" t="s">
        <v>1080</v>
      </c>
      <c r="BJ32" t="s">
        <v>368</v>
      </c>
      <c r="BK32" t="s">
        <v>126</v>
      </c>
      <c r="BL32" t="s">
        <v>369</v>
      </c>
      <c r="BM32" t="s">
        <v>124</v>
      </c>
      <c r="BN32" t="s">
        <v>412</v>
      </c>
      <c r="BO32" t="s">
        <v>164</v>
      </c>
      <c r="BP32" t="s">
        <v>455</v>
      </c>
      <c r="BQ32" t="s">
        <v>1081</v>
      </c>
      <c r="BR32" t="s">
        <v>1082</v>
      </c>
      <c r="BS32" t="s">
        <v>1083</v>
      </c>
      <c r="BT32" t="s">
        <v>124</v>
      </c>
      <c r="BU32" t="s">
        <v>170</v>
      </c>
      <c r="BV32" t="s">
        <v>171</v>
      </c>
      <c r="BW32" t="s">
        <v>172</v>
      </c>
      <c r="BX32" t="s">
        <v>173</v>
      </c>
      <c r="BY32" t="s">
        <v>136</v>
      </c>
      <c r="BZ32" t="s">
        <v>174</v>
      </c>
      <c r="CA32" t="s">
        <v>136</v>
      </c>
      <c r="CB32" t="s">
        <v>136</v>
      </c>
      <c r="CC32" t="s">
        <v>175</v>
      </c>
      <c r="CD32" t="s">
        <v>176</v>
      </c>
      <c r="CE32" t="s">
        <v>161</v>
      </c>
      <c r="CF32" t="s">
        <v>177</v>
      </c>
      <c r="CG32" t="s">
        <v>178</v>
      </c>
      <c r="CH32" t="s">
        <v>179</v>
      </c>
      <c r="CI32" t="s">
        <v>142</v>
      </c>
      <c r="CJ32" t="s">
        <v>172</v>
      </c>
      <c r="CK32" t="s">
        <v>180</v>
      </c>
      <c r="CL32" t="s">
        <v>180</v>
      </c>
      <c r="CM32" t="s">
        <v>180</v>
      </c>
      <c r="CN32" t="s">
        <v>136</v>
      </c>
      <c r="CO32" t="s">
        <v>181</v>
      </c>
      <c r="CP32" t="s">
        <v>136</v>
      </c>
      <c r="CQ32" t="s">
        <v>136</v>
      </c>
      <c r="CR32" t="s">
        <v>136</v>
      </c>
      <c r="CS32" t="s">
        <v>136</v>
      </c>
      <c r="CT32" t="s">
        <v>1084</v>
      </c>
      <c r="CU32" t="s">
        <v>1085</v>
      </c>
      <c r="CV32" t="s">
        <v>1086</v>
      </c>
      <c r="CW32" t="s">
        <v>1087</v>
      </c>
      <c r="CX32" t="s">
        <v>1088</v>
      </c>
      <c r="CY32" t="s">
        <v>1089</v>
      </c>
      <c r="CZ32" t="s">
        <v>1090</v>
      </c>
      <c r="DA32" t="s">
        <v>1091</v>
      </c>
      <c r="DB32" t="s">
        <v>1063</v>
      </c>
      <c r="DC32" t="s">
        <v>381</v>
      </c>
      <c r="DD32" t="s">
        <v>191</v>
      </c>
      <c r="DE32" t="s">
        <v>192</v>
      </c>
      <c r="DF32" t="s">
        <v>142</v>
      </c>
      <c r="DG32" t="s">
        <v>193</v>
      </c>
      <c r="DH32" t="s">
        <v>194</v>
      </c>
      <c r="DI32" t="s">
        <v>142</v>
      </c>
      <c r="DJ32" t="s">
        <v>195</v>
      </c>
      <c r="DK32" t="s">
        <v>196</v>
      </c>
      <c r="DL32" t="s">
        <v>197</v>
      </c>
      <c r="DM32" t="s">
        <v>136</v>
      </c>
      <c r="DN32" t="s">
        <v>1062</v>
      </c>
      <c r="DO32" t="s">
        <v>198</v>
      </c>
      <c r="DP32" t="s">
        <v>199</v>
      </c>
      <c r="DQ32" t="s">
        <v>200</v>
      </c>
      <c r="DR32" t="s">
        <v>201</v>
      </c>
      <c r="DS32" t="s">
        <v>202</v>
      </c>
      <c r="DT32" t="s">
        <v>203</v>
      </c>
    </row>
    <row r="33" spans="1:124" ht="19.2" customHeight="1" x14ac:dyDescent="0.45">
      <c r="A33" t="s">
        <v>1092</v>
      </c>
      <c r="B33" t="s">
        <v>1093</v>
      </c>
      <c r="C33" t="s">
        <v>126</v>
      </c>
      <c r="D33" t="s">
        <v>127</v>
      </c>
      <c r="E33" t="s">
        <v>128</v>
      </c>
      <c r="I33" t="s">
        <v>2251</v>
      </c>
      <c r="J33">
        <f t="shared" si="0"/>
        <v>0.40243140428067753</v>
      </c>
      <c r="K33">
        <f t="shared" si="1"/>
        <v>2.9058327199999998</v>
      </c>
      <c r="L33">
        <f t="shared" si="2"/>
        <v>0.35347792624284657</v>
      </c>
      <c r="M33">
        <f t="shared" si="3"/>
        <v>5.0849071471965974</v>
      </c>
      <c r="N33" t="s">
        <v>1094</v>
      </c>
      <c r="O33" t="s">
        <v>1095</v>
      </c>
      <c r="P33">
        <f t="shared" si="4"/>
        <v>3.4305710741675233</v>
      </c>
      <c r="Q33">
        <f t="shared" si="5"/>
        <v>1.4196260741675233</v>
      </c>
      <c r="R33" t="s">
        <v>1096</v>
      </c>
      <c r="S33" t="s">
        <v>1097</v>
      </c>
      <c r="T33">
        <f t="shared" si="6"/>
        <v>33.828725709175856</v>
      </c>
      <c r="U33">
        <f t="shared" si="7"/>
        <v>0.4417875</v>
      </c>
      <c r="V33" t="s">
        <v>134</v>
      </c>
      <c r="W33" t="s">
        <v>1098</v>
      </c>
      <c r="X33" t="s">
        <v>136</v>
      </c>
      <c r="Y33" t="s">
        <v>136</v>
      </c>
      <c r="Z33" t="s">
        <v>136</v>
      </c>
      <c r="AA33" t="s">
        <v>1099</v>
      </c>
      <c r="AB33" t="s">
        <v>1100</v>
      </c>
      <c r="AC33" t="s">
        <v>1101</v>
      </c>
      <c r="AD33" t="s">
        <v>140</v>
      </c>
      <c r="AE33" t="s">
        <v>141</v>
      </c>
      <c r="AF33">
        <f t="shared" si="8"/>
        <v>97.157188799999986</v>
      </c>
      <c r="AG33" t="s">
        <v>142</v>
      </c>
      <c r="AH33" t="s">
        <v>1102</v>
      </c>
      <c r="AI33" t="s">
        <v>1067</v>
      </c>
      <c r="AJ33" t="s">
        <v>1103</v>
      </c>
      <c r="AK33" t="s">
        <v>1104</v>
      </c>
      <c r="AL33">
        <f t="shared" si="9"/>
        <v>26.28</v>
      </c>
      <c r="AM33" t="s">
        <v>147</v>
      </c>
      <c r="AN33" t="s">
        <v>350</v>
      </c>
      <c r="AO33" t="s">
        <v>1105</v>
      </c>
      <c r="AP33" t="s">
        <v>1106</v>
      </c>
      <c r="AQ33" t="s">
        <v>151</v>
      </c>
      <c r="AR33" t="s">
        <v>1107</v>
      </c>
      <c r="AS33" t="s">
        <v>1108</v>
      </c>
      <c r="AT33" t="s">
        <v>943</v>
      </c>
      <c r="AU33" t="s">
        <v>628</v>
      </c>
      <c r="AV33" t="s">
        <v>1109</v>
      </c>
      <c r="AW33" t="s">
        <v>1110</v>
      </c>
      <c r="AX33" t="s">
        <v>1111</v>
      </c>
      <c r="AY33" t="s">
        <v>1112</v>
      </c>
      <c r="AZ33" t="s">
        <v>268</v>
      </c>
      <c r="BA33" t="s">
        <v>1113</v>
      </c>
      <c r="BB33" t="s">
        <v>1114</v>
      </c>
      <c r="BC33" t="s">
        <v>1115</v>
      </c>
      <c r="BD33" t="s">
        <v>126</v>
      </c>
      <c r="BE33" t="s">
        <v>1116</v>
      </c>
      <c r="BF33" t="s">
        <v>932</v>
      </c>
      <c r="BG33" t="s">
        <v>1117</v>
      </c>
      <c r="BH33" t="s">
        <v>628</v>
      </c>
      <c r="BI33" t="s">
        <v>452</v>
      </c>
      <c r="BJ33" t="s">
        <v>453</v>
      </c>
      <c r="BK33" t="s">
        <v>126</v>
      </c>
      <c r="BL33" t="s">
        <v>454</v>
      </c>
      <c r="BM33" t="s">
        <v>124</v>
      </c>
      <c r="BN33" t="s">
        <v>171</v>
      </c>
      <c r="BO33" t="s">
        <v>164</v>
      </c>
      <c r="BP33" t="s">
        <v>411</v>
      </c>
      <c r="BQ33" t="s">
        <v>1118</v>
      </c>
      <c r="BR33" t="s">
        <v>1119</v>
      </c>
      <c r="BS33" t="s">
        <v>1120</v>
      </c>
      <c r="BT33" t="s">
        <v>124</v>
      </c>
      <c r="BU33" t="s">
        <v>170</v>
      </c>
      <c r="BV33" t="s">
        <v>171</v>
      </c>
      <c r="BW33" t="s">
        <v>172</v>
      </c>
      <c r="BX33" t="s">
        <v>173</v>
      </c>
      <c r="BY33" t="s">
        <v>136</v>
      </c>
      <c r="BZ33" t="s">
        <v>174</v>
      </c>
      <c r="CA33" t="s">
        <v>136</v>
      </c>
      <c r="CB33" t="s">
        <v>136</v>
      </c>
      <c r="CC33" t="s">
        <v>175</v>
      </c>
      <c r="CD33" t="s">
        <v>176</v>
      </c>
      <c r="CE33" t="s">
        <v>161</v>
      </c>
      <c r="CF33" t="s">
        <v>177</v>
      </c>
      <c r="CG33" t="s">
        <v>178</v>
      </c>
      <c r="CH33" t="s">
        <v>179</v>
      </c>
      <c r="CI33" t="s">
        <v>142</v>
      </c>
      <c r="CJ33" t="s">
        <v>172</v>
      </c>
      <c r="CK33" t="s">
        <v>180</v>
      </c>
      <c r="CL33" t="s">
        <v>180</v>
      </c>
      <c r="CM33" t="s">
        <v>180</v>
      </c>
      <c r="CN33" t="s">
        <v>136</v>
      </c>
      <c r="CO33" t="s">
        <v>181</v>
      </c>
      <c r="CP33" t="s">
        <v>136</v>
      </c>
      <c r="CQ33" t="s">
        <v>136</v>
      </c>
      <c r="CR33" t="s">
        <v>136</v>
      </c>
      <c r="CS33" t="s">
        <v>136</v>
      </c>
      <c r="CT33" t="s">
        <v>1121</v>
      </c>
      <c r="CU33" t="s">
        <v>1122</v>
      </c>
      <c r="CV33" t="s">
        <v>1123</v>
      </c>
      <c r="CW33" t="s">
        <v>1124</v>
      </c>
      <c r="CX33" t="s">
        <v>1125</v>
      </c>
      <c r="CY33" t="s">
        <v>1126</v>
      </c>
      <c r="CZ33" t="s">
        <v>1127</v>
      </c>
      <c r="DA33" t="s">
        <v>1128</v>
      </c>
      <c r="DB33" t="s">
        <v>1099</v>
      </c>
      <c r="DC33" t="s">
        <v>381</v>
      </c>
      <c r="DD33" t="s">
        <v>191</v>
      </c>
      <c r="DE33" t="s">
        <v>192</v>
      </c>
      <c r="DF33" t="s">
        <v>142</v>
      </c>
      <c r="DG33" t="s">
        <v>193</v>
      </c>
      <c r="DH33" t="s">
        <v>194</v>
      </c>
      <c r="DI33" t="s">
        <v>142</v>
      </c>
      <c r="DJ33" t="s">
        <v>195</v>
      </c>
      <c r="DK33" t="s">
        <v>196</v>
      </c>
      <c r="DL33" t="s">
        <v>197</v>
      </c>
      <c r="DM33" t="s">
        <v>136</v>
      </c>
      <c r="DN33" t="s">
        <v>1098</v>
      </c>
      <c r="DO33" t="s">
        <v>198</v>
      </c>
      <c r="DP33" t="s">
        <v>199</v>
      </c>
      <c r="DQ33" t="s">
        <v>200</v>
      </c>
      <c r="DR33" t="s">
        <v>201</v>
      </c>
      <c r="DS33" t="s">
        <v>202</v>
      </c>
      <c r="DT33" t="s">
        <v>203</v>
      </c>
    </row>
    <row r="34" spans="1:124" ht="19.2" customHeight="1" x14ac:dyDescent="0.45">
      <c r="A34" t="s">
        <v>1388</v>
      </c>
      <c r="B34" t="s">
        <v>1389</v>
      </c>
      <c r="C34" t="s">
        <v>126</v>
      </c>
      <c r="D34" t="s">
        <v>127</v>
      </c>
      <c r="E34" t="s">
        <v>128</v>
      </c>
      <c r="I34" t="s">
        <v>2252</v>
      </c>
      <c r="J34">
        <f t="shared" si="0"/>
        <v>0.36539937144205242</v>
      </c>
      <c r="K34">
        <f t="shared" si="1"/>
        <v>2.9050319999999994</v>
      </c>
      <c r="L34">
        <f t="shared" si="2"/>
        <v>0.32457396173734593</v>
      </c>
      <c r="M34">
        <f t="shared" si="3"/>
        <v>4.8375898839070732</v>
      </c>
      <c r="N34" t="s">
        <v>1390</v>
      </c>
      <c r="O34" t="s">
        <v>1391</v>
      </c>
      <c r="P34">
        <f t="shared" si="4"/>
        <v>3.5000526654963204</v>
      </c>
      <c r="Q34">
        <f t="shared" si="5"/>
        <v>1.4702286654963204</v>
      </c>
      <c r="R34" t="s">
        <v>1392</v>
      </c>
      <c r="S34" t="s">
        <v>1393</v>
      </c>
      <c r="T34">
        <f t="shared" si="6"/>
        <v>34.513880933796678</v>
      </c>
      <c r="U34">
        <f t="shared" si="7"/>
        <v>0.4417875</v>
      </c>
      <c r="V34" t="s">
        <v>134</v>
      </c>
      <c r="W34" t="s">
        <v>1394</v>
      </c>
      <c r="X34" t="s">
        <v>136</v>
      </c>
      <c r="Y34" t="s">
        <v>136</v>
      </c>
      <c r="Z34" t="s">
        <v>136</v>
      </c>
      <c r="AA34" t="s">
        <v>1395</v>
      </c>
      <c r="AB34" t="s">
        <v>1396</v>
      </c>
      <c r="AC34" t="s">
        <v>1397</v>
      </c>
      <c r="AD34" t="s">
        <v>140</v>
      </c>
      <c r="AE34" t="s">
        <v>141</v>
      </c>
      <c r="AF34">
        <f t="shared" si="8"/>
        <v>88.379368560000003</v>
      </c>
      <c r="AG34" t="s">
        <v>142</v>
      </c>
      <c r="AH34" t="s">
        <v>1398</v>
      </c>
      <c r="AI34" t="s">
        <v>1399</v>
      </c>
      <c r="AJ34" t="s">
        <v>797</v>
      </c>
      <c r="AK34" t="s">
        <v>1400</v>
      </c>
      <c r="AL34">
        <f t="shared" si="9"/>
        <v>26.62</v>
      </c>
      <c r="AM34" t="s">
        <v>147</v>
      </c>
      <c r="AN34" t="s">
        <v>148</v>
      </c>
      <c r="AO34" t="s">
        <v>1401</v>
      </c>
      <c r="AP34" t="s">
        <v>1402</v>
      </c>
      <c r="AQ34" t="s">
        <v>1403</v>
      </c>
      <c r="AR34" t="s">
        <v>1404</v>
      </c>
      <c r="AS34" t="s">
        <v>530</v>
      </c>
      <c r="AT34" t="s">
        <v>204</v>
      </c>
      <c r="AU34" t="s">
        <v>1405</v>
      </c>
      <c r="AV34" t="s">
        <v>1406</v>
      </c>
      <c r="AW34" t="s">
        <v>1407</v>
      </c>
      <c r="AX34" t="s">
        <v>1408</v>
      </c>
      <c r="AY34" t="s">
        <v>1409</v>
      </c>
      <c r="AZ34" t="s">
        <v>268</v>
      </c>
      <c r="BA34" t="s">
        <v>1410</v>
      </c>
      <c r="BB34" t="s">
        <v>1411</v>
      </c>
      <c r="BC34" t="s">
        <v>1412</v>
      </c>
      <c r="BD34" t="s">
        <v>126</v>
      </c>
      <c r="BE34" t="s">
        <v>1413</v>
      </c>
      <c r="BF34" t="s">
        <v>932</v>
      </c>
      <c r="BG34" t="s">
        <v>695</v>
      </c>
      <c r="BH34" t="s">
        <v>451</v>
      </c>
      <c r="BI34" t="s">
        <v>452</v>
      </c>
      <c r="BJ34" t="s">
        <v>453</v>
      </c>
      <c r="BK34" t="s">
        <v>126</v>
      </c>
      <c r="BL34" t="s">
        <v>454</v>
      </c>
      <c r="BM34" t="s">
        <v>124</v>
      </c>
      <c r="BN34" t="s">
        <v>411</v>
      </c>
      <c r="BO34" t="s">
        <v>165</v>
      </c>
      <c r="BP34" t="s">
        <v>411</v>
      </c>
      <c r="BQ34" t="s">
        <v>1414</v>
      </c>
      <c r="BR34" t="s">
        <v>1415</v>
      </c>
      <c r="BS34" t="s">
        <v>1416</v>
      </c>
      <c r="BT34" t="s">
        <v>124</v>
      </c>
      <c r="BU34" t="s">
        <v>170</v>
      </c>
      <c r="BV34" t="s">
        <v>171</v>
      </c>
      <c r="BW34" t="s">
        <v>172</v>
      </c>
      <c r="BX34" t="s">
        <v>173</v>
      </c>
      <c r="BY34" t="s">
        <v>136</v>
      </c>
      <c r="BZ34" t="s">
        <v>174</v>
      </c>
      <c r="CA34" t="s">
        <v>136</v>
      </c>
      <c r="CB34" t="s">
        <v>136</v>
      </c>
      <c r="CC34" t="s">
        <v>175</v>
      </c>
      <c r="CD34" t="s">
        <v>176</v>
      </c>
      <c r="CE34" t="s">
        <v>161</v>
      </c>
      <c r="CF34" t="s">
        <v>177</v>
      </c>
      <c r="CG34" t="s">
        <v>178</v>
      </c>
      <c r="CH34" t="s">
        <v>179</v>
      </c>
      <c r="CI34" t="s">
        <v>142</v>
      </c>
      <c r="CJ34" t="s">
        <v>172</v>
      </c>
      <c r="CK34" t="s">
        <v>180</v>
      </c>
      <c r="CL34" t="s">
        <v>180</v>
      </c>
      <c r="CM34" t="s">
        <v>180</v>
      </c>
      <c r="CN34" t="s">
        <v>136</v>
      </c>
      <c r="CO34" t="s">
        <v>181</v>
      </c>
      <c r="CP34" t="s">
        <v>136</v>
      </c>
      <c r="CQ34" t="s">
        <v>136</v>
      </c>
      <c r="CR34" t="s">
        <v>136</v>
      </c>
      <c r="CS34" t="s">
        <v>136</v>
      </c>
      <c r="CT34" t="s">
        <v>1417</v>
      </c>
      <c r="CU34" t="s">
        <v>1418</v>
      </c>
      <c r="CV34" t="s">
        <v>1419</v>
      </c>
      <c r="CW34" t="s">
        <v>1420</v>
      </c>
      <c r="CX34" t="s">
        <v>1421</v>
      </c>
      <c r="CY34" t="s">
        <v>1422</v>
      </c>
      <c r="CZ34" t="s">
        <v>1423</v>
      </c>
      <c r="DA34" t="s">
        <v>1424</v>
      </c>
      <c r="DB34" t="s">
        <v>1395</v>
      </c>
      <c r="DC34" t="s">
        <v>508</v>
      </c>
      <c r="DD34" t="s">
        <v>191</v>
      </c>
      <c r="DE34" t="s">
        <v>192</v>
      </c>
      <c r="DF34" t="s">
        <v>142</v>
      </c>
      <c r="DG34" t="s">
        <v>193</v>
      </c>
      <c r="DH34" t="s">
        <v>194</v>
      </c>
      <c r="DI34" t="s">
        <v>142</v>
      </c>
      <c r="DJ34" t="s">
        <v>195</v>
      </c>
      <c r="DK34" t="s">
        <v>196</v>
      </c>
      <c r="DL34" t="s">
        <v>197</v>
      </c>
      <c r="DM34" t="s">
        <v>136</v>
      </c>
      <c r="DN34" t="s">
        <v>1394</v>
      </c>
      <c r="DO34" t="s">
        <v>198</v>
      </c>
      <c r="DP34" t="s">
        <v>199</v>
      </c>
      <c r="DQ34" t="s">
        <v>200</v>
      </c>
      <c r="DR34" t="s">
        <v>201</v>
      </c>
      <c r="DS34" t="s">
        <v>202</v>
      </c>
      <c r="DT34" t="s">
        <v>203</v>
      </c>
    </row>
    <row r="35" spans="1:124" ht="19.2" customHeight="1" x14ac:dyDescent="0.45">
      <c r="A35" t="s">
        <v>1425</v>
      </c>
      <c r="B35" t="s">
        <v>1426</v>
      </c>
      <c r="C35" t="s">
        <v>126</v>
      </c>
      <c r="D35" t="s">
        <v>127</v>
      </c>
      <c r="E35" t="s">
        <v>128</v>
      </c>
      <c r="I35" t="s">
        <v>2253</v>
      </c>
      <c r="J35">
        <f t="shared" si="0"/>
        <v>0.38939389487971532</v>
      </c>
      <c r="K35">
        <f t="shared" si="1"/>
        <v>2.9058327199999998</v>
      </c>
      <c r="L35">
        <f t="shared" si="2"/>
        <v>0.34337957687047282</v>
      </c>
      <c r="M35">
        <f t="shared" si="3"/>
        <v>4.7961782542216094</v>
      </c>
      <c r="N35" t="s">
        <v>1427</v>
      </c>
      <c r="O35" t="s">
        <v>1428</v>
      </c>
      <c r="P35">
        <f t="shared" si="4"/>
        <v>3.4712952066680014</v>
      </c>
      <c r="Q35">
        <f t="shared" si="5"/>
        <v>1.3775092066680013</v>
      </c>
      <c r="R35" t="s">
        <v>1429</v>
      </c>
      <c r="S35" t="s">
        <v>1430</v>
      </c>
      <c r="T35">
        <f t="shared" si="6"/>
        <v>34.230304769431037</v>
      </c>
      <c r="U35">
        <f t="shared" si="7"/>
        <v>0.4417875</v>
      </c>
      <c r="V35" t="s">
        <v>134</v>
      </c>
      <c r="W35" t="s">
        <v>1431</v>
      </c>
      <c r="X35" t="s">
        <v>136</v>
      </c>
      <c r="Y35" t="s">
        <v>136</v>
      </c>
      <c r="Z35" t="s">
        <v>136</v>
      </c>
      <c r="AA35" t="s">
        <v>1432</v>
      </c>
      <c r="AB35" t="s">
        <v>1433</v>
      </c>
      <c r="AC35" t="s">
        <v>1434</v>
      </c>
      <c r="AD35" t="s">
        <v>140</v>
      </c>
      <c r="AE35" t="s">
        <v>141</v>
      </c>
      <c r="AF35">
        <f t="shared" si="8"/>
        <v>85.642205880000006</v>
      </c>
      <c r="AG35" t="s">
        <v>142</v>
      </c>
      <c r="AH35" t="s">
        <v>1435</v>
      </c>
      <c r="AI35" t="s">
        <v>1436</v>
      </c>
      <c r="AJ35" t="s">
        <v>797</v>
      </c>
      <c r="AK35" t="s">
        <v>1437</v>
      </c>
      <c r="AL35">
        <f t="shared" si="9"/>
        <v>26.48</v>
      </c>
      <c r="AM35" t="s">
        <v>147</v>
      </c>
      <c r="AN35" t="s">
        <v>350</v>
      </c>
      <c r="AO35" t="s">
        <v>568</v>
      </c>
      <c r="AP35" t="s">
        <v>1438</v>
      </c>
      <c r="AQ35" t="s">
        <v>1439</v>
      </c>
      <c r="AR35" t="s">
        <v>1404</v>
      </c>
      <c r="AS35" t="s">
        <v>1440</v>
      </c>
      <c r="AT35" t="s">
        <v>1441</v>
      </c>
      <c r="AU35" t="s">
        <v>1442</v>
      </c>
      <c r="AV35" t="s">
        <v>1443</v>
      </c>
      <c r="AW35" t="s">
        <v>1444</v>
      </c>
      <c r="AX35" t="s">
        <v>1445</v>
      </c>
      <c r="AY35" t="s">
        <v>1446</v>
      </c>
      <c r="AZ35" t="s">
        <v>268</v>
      </c>
      <c r="BA35" t="s">
        <v>575</v>
      </c>
      <c r="BB35" t="s">
        <v>1447</v>
      </c>
      <c r="BC35" t="s">
        <v>1448</v>
      </c>
      <c r="BD35" t="s">
        <v>126</v>
      </c>
      <c r="BE35" t="s">
        <v>655</v>
      </c>
      <c r="BF35" t="s">
        <v>656</v>
      </c>
      <c r="BG35" t="s">
        <v>1449</v>
      </c>
      <c r="BH35" t="s">
        <v>290</v>
      </c>
      <c r="BI35" t="s">
        <v>1450</v>
      </c>
      <c r="BJ35" t="s">
        <v>453</v>
      </c>
      <c r="BK35" t="s">
        <v>126</v>
      </c>
      <c r="BL35" t="s">
        <v>454</v>
      </c>
      <c r="BM35" t="s">
        <v>124</v>
      </c>
      <c r="BN35" t="s">
        <v>171</v>
      </c>
      <c r="BO35" t="s">
        <v>164</v>
      </c>
      <c r="BP35" t="s">
        <v>276</v>
      </c>
      <c r="BQ35" t="s">
        <v>1451</v>
      </c>
      <c r="BR35" t="s">
        <v>1452</v>
      </c>
      <c r="BS35" t="s">
        <v>1453</v>
      </c>
      <c r="BT35" t="s">
        <v>124</v>
      </c>
      <c r="BU35" t="s">
        <v>170</v>
      </c>
      <c r="BV35" t="s">
        <v>171</v>
      </c>
      <c r="BW35" t="s">
        <v>172</v>
      </c>
      <c r="BX35" t="s">
        <v>173</v>
      </c>
      <c r="BY35" t="s">
        <v>136</v>
      </c>
      <c r="BZ35" t="s">
        <v>174</v>
      </c>
      <c r="CA35" t="s">
        <v>136</v>
      </c>
      <c r="CB35" t="s">
        <v>136</v>
      </c>
      <c r="CC35" t="s">
        <v>175</v>
      </c>
      <c r="CD35" t="s">
        <v>176</v>
      </c>
      <c r="CE35" t="s">
        <v>161</v>
      </c>
      <c r="CF35" t="s">
        <v>177</v>
      </c>
      <c r="CG35" t="s">
        <v>178</v>
      </c>
      <c r="CH35" t="s">
        <v>179</v>
      </c>
      <c r="CI35" t="s">
        <v>142</v>
      </c>
      <c r="CJ35" t="s">
        <v>172</v>
      </c>
      <c r="CK35" t="s">
        <v>180</v>
      </c>
      <c r="CL35" t="s">
        <v>180</v>
      </c>
      <c r="CM35" t="s">
        <v>180</v>
      </c>
      <c r="CN35" t="s">
        <v>136</v>
      </c>
      <c r="CO35" t="s">
        <v>181</v>
      </c>
      <c r="CP35" t="s">
        <v>136</v>
      </c>
      <c r="CQ35" t="s">
        <v>136</v>
      </c>
      <c r="CR35" t="s">
        <v>136</v>
      </c>
      <c r="CS35" t="s">
        <v>136</v>
      </c>
      <c r="CT35" t="s">
        <v>1454</v>
      </c>
      <c r="CU35" t="s">
        <v>1455</v>
      </c>
      <c r="CV35" t="s">
        <v>1456</v>
      </c>
      <c r="CW35" t="s">
        <v>1457</v>
      </c>
      <c r="CX35" t="s">
        <v>1458</v>
      </c>
      <c r="CY35" t="s">
        <v>1459</v>
      </c>
      <c r="CZ35" t="s">
        <v>1460</v>
      </c>
      <c r="DA35" t="s">
        <v>1461</v>
      </c>
      <c r="DB35" t="s">
        <v>1432</v>
      </c>
      <c r="DC35" t="s">
        <v>826</v>
      </c>
      <c r="DD35" t="s">
        <v>191</v>
      </c>
      <c r="DE35" t="s">
        <v>192</v>
      </c>
      <c r="DF35" t="s">
        <v>142</v>
      </c>
      <c r="DG35" t="s">
        <v>193</v>
      </c>
      <c r="DH35" t="s">
        <v>194</v>
      </c>
      <c r="DI35" t="s">
        <v>142</v>
      </c>
      <c r="DJ35" t="s">
        <v>195</v>
      </c>
      <c r="DK35" t="s">
        <v>196</v>
      </c>
      <c r="DL35" t="s">
        <v>197</v>
      </c>
      <c r="DM35" t="s">
        <v>136</v>
      </c>
      <c r="DN35" t="s">
        <v>1431</v>
      </c>
      <c r="DO35" t="s">
        <v>198</v>
      </c>
      <c r="DP35" t="s">
        <v>199</v>
      </c>
      <c r="DQ35" t="s">
        <v>200</v>
      </c>
      <c r="DR35" t="s">
        <v>201</v>
      </c>
      <c r="DS35" t="s">
        <v>202</v>
      </c>
      <c r="DT35" t="s">
        <v>203</v>
      </c>
    </row>
    <row r="36" spans="1:124" ht="19.2" customHeight="1" x14ac:dyDescent="0.45">
      <c r="A36" t="s">
        <v>1703</v>
      </c>
      <c r="B36" t="s">
        <v>1704</v>
      </c>
      <c r="C36" t="s">
        <v>126</v>
      </c>
      <c r="D36" t="s">
        <v>127</v>
      </c>
      <c r="E36" t="s">
        <v>128</v>
      </c>
      <c r="I36" t="s">
        <v>2254</v>
      </c>
      <c r="J36">
        <f t="shared" ref="J36:J57" si="10">1/((1/L36)-(1/K36))</f>
        <v>0.53061460365536095</v>
      </c>
      <c r="K36">
        <f t="shared" ref="K36:K57" si="11">BY36+(BZ36*AN36)+(CA36*AN36*POWER(V36,2))+(CB36*AN36*V36)+(CC36*POWER(AN36,2))</f>
        <v>2.9050319999999994</v>
      </c>
      <c r="L36">
        <f t="shared" ref="L36:L57" si="12">((M36/1000)*(1000-((T36+S36)/2)))/(T36-S36)</f>
        <v>0.44866442364767967</v>
      </c>
      <c r="M36">
        <f t="shared" ref="M36:M57" si="13">(AN36*(S36-R36))/(100*U36*(1000-S36))*1000</f>
        <v>6.0939344690680421</v>
      </c>
      <c r="N36" t="s">
        <v>1705</v>
      </c>
      <c r="O36" t="s">
        <v>1706</v>
      </c>
      <c r="P36">
        <f t="shared" ref="P36:P57" si="14">0.61365*EXP((17.502*AL36)/(240.97+AL36))</f>
        <v>3.4023130095943253</v>
      </c>
      <c r="Q36">
        <f t="shared" ref="Q36:Q57" si="15">P36-N36</f>
        <v>1.340412009594325</v>
      </c>
      <c r="R36" t="s">
        <v>1707</v>
      </c>
      <c r="S36" t="s">
        <v>1708</v>
      </c>
      <c r="T36">
        <f t="shared" ref="T36:T57" si="16">(P36/AM36)*1000</f>
        <v>33.546766018480824</v>
      </c>
      <c r="U36">
        <f t="shared" ref="U36:U57" si="17">V36*BX36</f>
        <v>0.4417875</v>
      </c>
      <c r="V36" t="s">
        <v>134</v>
      </c>
      <c r="W36" t="s">
        <v>1709</v>
      </c>
      <c r="X36" t="s">
        <v>136</v>
      </c>
      <c r="Y36" t="s">
        <v>136</v>
      </c>
      <c r="Z36" t="s">
        <v>136</v>
      </c>
      <c r="AA36" t="s">
        <v>1710</v>
      </c>
      <c r="AB36" t="s">
        <v>1711</v>
      </c>
      <c r="AC36" t="s">
        <v>1712</v>
      </c>
      <c r="AD36" t="s">
        <v>140</v>
      </c>
      <c r="AE36" t="s">
        <v>141</v>
      </c>
      <c r="AF36">
        <f t="shared" ref="AF36:AF57" si="18">AC36*AD36*AE36*AQ36</f>
        <v>81.535423200000011</v>
      </c>
      <c r="AG36" t="s">
        <v>142</v>
      </c>
      <c r="AH36" t="s">
        <v>1713</v>
      </c>
      <c r="AI36" t="s">
        <v>1714</v>
      </c>
      <c r="AJ36" t="s">
        <v>838</v>
      </c>
      <c r="AK36" t="s">
        <v>1715</v>
      </c>
      <c r="AL36">
        <f t="shared" ref="AL36:AL57" si="19">(AK36-AJ36)*(AJ36*0+0)+AK36</f>
        <v>26.14</v>
      </c>
      <c r="AM36" t="s">
        <v>349</v>
      </c>
      <c r="AN36" t="s">
        <v>148</v>
      </c>
      <c r="AO36" t="s">
        <v>840</v>
      </c>
      <c r="AP36" t="s">
        <v>1363</v>
      </c>
      <c r="AQ36" t="s">
        <v>1716</v>
      </c>
      <c r="AR36" t="s">
        <v>1717</v>
      </c>
      <c r="AS36" t="s">
        <v>844</v>
      </c>
      <c r="AT36" t="s">
        <v>161</v>
      </c>
      <c r="AU36" t="s">
        <v>1718</v>
      </c>
      <c r="AV36" t="s">
        <v>1719</v>
      </c>
      <c r="AW36" t="s">
        <v>1720</v>
      </c>
      <c r="AX36" t="s">
        <v>1721</v>
      </c>
      <c r="AY36" t="s">
        <v>1722</v>
      </c>
      <c r="AZ36" t="s">
        <v>268</v>
      </c>
      <c r="BA36" t="s">
        <v>1723</v>
      </c>
      <c r="BB36" t="s">
        <v>1724</v>
      </c>
      <c r="BC36" t="s">
        <v>1725</v>
      </c>
      <c r="BD36" t="s">
        <v>126</v>
      </c>
      <c r="BE36" t="s">
        <v>1726</v>
      </c>
      <c r="BF36" t="s">
        <v>1727</v>
      </c>
      <c r="BG36" t="s">
        <v>1728</v>
      </c>
      <c r="BH36" t="s">
        <v>290</v>
      </c>
      <c r="BI36" t="s">
        <v>773</v>
      </c>
      <c r="BJ36" t="s">
        <v>453</v>
      </c>
      <c r="BK36" t="s">
        <v>126</v>
      </c>
      <c r="BL36" t="s">
        <v>454</v>
      </c>
      <c r="BM36" t="s">
        <v>124</v>
      </c>
      <c r="BN36" t="s">
        <v>166</v>
      </c>
      <c r="BO36" t="s">
        <v>171</v>
      </c>
      <c r="BP36" t="s">
        <v>276</v>
      </c>
      <c r="BQ36" t="s">
        <v>860</v>
      </c>
      <c r="BR36" t="s">
        <v>1729</v>
      </c>
      <c r="BS36" t="s">
        <v>1730</v>
      </c>
      <c r="BT36" t="s">
        <v>124</v>
      </c>
      <c r="BU36" t="s">
        <v>170</v>
      </c>
      <c r="BV36" t="s">
        <v>171</v>
      </c>
      <c r="BW36" t="s">
        <v>172</v>
      </c>
      <c r="BX36" t="s">
        <v>173</v>
      </c>
      <c r="BY36" t="s">
        <v>136</v>
      </c>
      <c r="BZ36" t="s">
        <v>174</v>
      </c>
      <c r="CA36" t="s">
        <v>136</v>
      </c>
      <c r="CB36" t="s">
        <v>136</v>
      </c>
      <c r="CC36" t="s">
        <v>175</v>
      </c>
      <c r="CD36" t="s">
        <v>176</v>
      </c>
      <c r="CE36" t="s">
        <v>161</v>
      </c>
      <c r="CF36" t="s">
        <v>177</v>
      </c>
      <c r="CG36" t="s">
        <v>178</v>
      </c>
      <c r="CH36" t="s">
        <v>179</v>
      </c>
      <c r="CI36" t="s">
        <v>142</v>
      </c>
      <c r="CJ36" t="s">
        <v>172</v>
      </c>
      <c r="CK36" t="s">
        <v>180</v>
      </c>
      <c r="CL36" t="s">
        <v>180</v>
      </c>
      <c r="CM36" t="s">
        <v>180</v>
      </c>
      <c r="CN36" t="s">
        <v>136</v>
      </c>
      <c r="CO36" t="s">
        <v>181</v>
      </c>
      <c r="CP36" t="s">
        <v>136</v>
      </c>
      <c r="CQ36" t="s">
        <v>136</v>
      </c>
      <c r="CR36" t="s">
        <v>136</v>
      </c>
      <c r="CS36" t="s">
        <v>136</v>
      </c>
      <c r="CT36" t="s">
        <v>1731</v>
      </c>
      <c r="CU36" t="s">
        <v>1732</v>
      </c>
      <c r="CV36" t="s">
        <v>1733</v>
      </c>
      <c r="CW36" t="s">
        <v>1734</v>
      </c>
      <c r="CX36" t="s">
        <v>1735</v>
      </c>
      <c r="CY36" t="s">
        <v>1736</v>
      </c>
      <c r="CZ36" t="s">
        <v>1737</v>
      </c>
      <c r="DA36" t="s">
        <v>1738</v>
      </c>
      <c r="DB36" t="s">
        <v>1710</v>
      </c>
      <c r="DC36" t="s">
        <v>1387</v>
      </c>
      <c r="DD36" t="s">
        <v>191</v>
      </c>
      <c r="DE36" t="s">
        <v>192</v>
      </c>
      <c r="DF36" t="s">
        <v>142</v>
      </c>
      <c r="DG36" t="s">
        <v>193</v>
      </c>
      <c r="DH36" t="s">
        <v>194</v>
      </c>
      <c r="DI36" t="s">
        <v>142</v>
      </c>
      <c r="DJ36" t="s">
        <v>195</v>
      </c>
      <c r="DK36" t="s">
        <v>196</v>
      </c>
      <c r="DL36" t="s">
        <v>197</v>
      </c>
      <c r="DM36" t="s">
        <v>136</v>
      </c>
      <c r="DN36" t="s">
        <v>1709</v>
      </c>
      <c r="DO36" t="s">
        <v>198</v>
      </c>
      <c r="DP36" t="s">
        <v>199</v>
      </c>
      <c r="DQ36" t="s">
        <v>200</v>
      </c>
      <c r="DR36" t="s">
        <v>201</v>
      </c>
      <c r="DS36" t="s">
        <v>202</v>
      </c>
      <c r="DT36" t="s">
        <v>203</v>
      </c>
    </row>
    <row r="37" spans="1:124" ht="19.2" customHeight="1" x14ac:dyDescent="0.45">
      <c r="A37" t="s">
        <v>1739</v>
      </c>
      <c r="B37" t="s">
        <v>1740</v>
      </c>
      <c r="C37" t="s">
        <v>126</v>
      </c>
      <c r="D37" t="s">
        <v>127</v>
      </c>
      <c r="E37" t="s">
        <v>128</v>
      </c>
      <c r="I37" t="s">
        <v>2255</v>
      </c>
      <c r="J37">
        <f t="shared" si="10"/>
        <v>0.63158171006336938</v>
      </c>
      <c r="K37">
        <f t="shared" si="11"/>
        <v>2.9058327199999998</v>
      </c>
      <c r="L37">
        <f t="shared" si="12"/>
        <v>0.51881701585720474</v>
      </c>
      <c r="M37">
        <f t="shared" si="13"/>
        <v>6.8424157907358101</v>
      </c>
      <c r="N37" t="s">
        <v>1741</v>
      </c>
      <c r="O37" t="s">
        <v>1742</v>
      </c>
      <c r="P37">
        <f t="shared" si="14"/>
        <v>3.388260365048168</v>
      </c>
      <c r="Q37">
        <f t="shared" si="15"/>
        <v>1.3013813650481678</v>
      </c>
      <c r="R37" t="s">
        <v>1743</v>
      </c>
      <c r="S37" t="s">
        <v>1744</v>
      </c>
      <c r="T37">
        <f t="shared" si="16"/>
        <v>33.408207109526401</v>
      </c>
      <c r="U37">
        <f t="shared" si="17"/>
        <v>0.4417875</v>
      </c>
      <c r="V37" t="s">
        <v>134</v>
      </c>
      <c r="W37" t="s">
        <v>1745</v>
      </c>
      <c r="X37" t="s">
        <v>136</v>
      </c>
      <c r="Y37" t="s">
        <v>136</v>
      </c>
      <c r="Z37" t="s">
        <v>136</v>
      </c>
      <c r="AA37" t="s">
        <v>1746</v>
      </c>
      <c r="AB37" t="s">
        <v>1747</v>
      </c>
      <c r="AC37" t="s">
        <v>1748</v>
      </c>
      <c r="AD37" t="s">
        <v>140</v>
      </c>
      <c r="AE37" t="s">
        <v>141</v>
      </c>
      <c r="AF37">
        <f t="shared" si="18"/>
        <v>84.388439099999985</v>
      </c>
      <c r="AG37" t="s">
        <v>142</v>
      </c>
      <c r="AH37" t="s">
        <v>392</v>
      </c>
      <c r="AI37" t="s">
        <v>1399</v>
      </c>
      <c r="AJ37" t="s">
        <v>838</v>
      </c>
      <c r="AK37" t="s">
        <v>964</v>
      </c>
      <c r="AL37">
        <f t="shared" si="19"/>
        <v>26.07</v>
      </c>
      <c r="AM37" t="s">
        <v>349</v>
      </c>
      <c r="AN37" t="s">
        <v>350</v>
      </c>
      <c r="AO37" t="s">
        <v>957</v>
      </c>
      <c r="AP37" t="s">
        <v>1749</v>
      </c>
      <c r="AQ37" t="s">
        <v>1750</v>
      </c>
      <c r="AR37" t="s">
        <v>1717</v>
      </c>
      <c r="AS37" t="s">
        <v>960</v>
      </c>
      <c r="AT37" t="s">
        <v>1237</v>
      </c>
      <c r="AU37" t="s">
        <v>1751</v>
      </c>
      <c r="AV37" t="s">
        <v>1752</v>
      </c>
      <c r="AW37" t="s">
        <v>1753</v>
      </c>
      <c r="AX37" t="s">
        <v>1754</v>
      </c>
      <c r="AY37" t="s">
        <v>1755</v>
      </c>
      <c r="AZ37" t="s">
        <v>268</v>
      </c>
      <c r="BA37" t="s">
        <v>1756</v>
      </c>
      <c r="BB37" t="s">
        <v>1757</v>
      </c>
      <c r="BC37" t="s">
        <v>1758</v>
      </c>
      <c r="BD37" t="s">
        <v>126</v>
      </c>
      <c r="BE37" t="s">
        <v>272</v>
      </c>
      <c r="BF37" t="s">
        <v>365</v>
      </c>
      <c r="BG37" t="s">
        <v>1449</v>
      </c>
      <c r="BH37" t="s">
        <v>628</v>
      </c>
      <c r="BI37" t="s">
        <v>496</v>
      </c>
      <c r="BJ37" t="s">
        <v>453</v>
      </c>
      <c r="BK37" t="s">
        <v>126</v>
      </c>
      <c r="BL37" t="s">
        <v>454</v>
      </c>
      <c r="BM37" t="s">
        <v>124</v>
      </c>
      <c r="BN37" t="s">
        <v>276</v>
      </c>
      <c r="BO37" t="s">
        <v>164</v>
      </c>
      <c r="BP37" t="s">
        <v>166</v>
      </c>
      <c r="BQ37" t="s">
        <v>1759</v>
      </c>
      <c r="BR37" t="s">
        <v>1760</v>
      </c>
      <c r="BS37" t="s">
        <v>1761</v>
      </c>
      <c r="BT37" t="s">
        <v>124</v>
      </c>
      <c r="BU37" t="s">
        <v>170</v>
      </c>
      <c r="BV37" t="s">
        <v>171</v>
      </c>
      <c r="BW37" t="s">
        <v>172</v>
      </c>
      <c r="BX37" t="s">
        <v>173</v>
      </c>
      <c r="BY37" t="s">
        <v>136</v>
      </c>
      <c r="BZ37" t="s">
        <v>174</v>
      </c>
      <c r="CA37" t="s">
        <v>136</v>
      </c>
      <c r="CB37" t="s">
        <v>136</v>
      </c>
      <c r="CC37" t="s">
        <v>175</v>
      </c>
      <c r="CD37" t="s">
        <v>176</v>
      </c>
      <c r="CE37" t="s">
        <v>161</v>
      </c>
      <c r="CF37" t="s">
        <v>177</v>
      </c>
      <c r="CG37" t="s">
        <v>178</v>
      </c>
      <c r="CH37" t="s">
        <v>179</v>
      </c>
      <c r="CI37" t="s">
        <v>142</v>
      </c>
      <c r="CJ37" t="s">
        <v>172</v>
      </c>
      <c r="CK37" t="s">
        <v>180</v>
      </c>
      <c r="CL37" t="s">
        <v>180</v>
      </c>
      <c r="CM37" t="s">
        <v>180</v>
      </c>
      <c r="CN37" t="s">
        <v>136</v>
      </c>
      <c r="CO37" t="s">
        <v>181</v>
      </c>
      <c r="CP37" t="s">
        <v>136</v>
      </c>
      <c r="CQ37" t="s">
        <v>136</v>
      </c>
      <c r="CR37" t="s">
        <v>136</v>
      </c>
      <c r="CS37" t="s">
        <v>136</v>
      </c>
      <c r="CT37" t="s">
        <v>1762</v>
      </c>
      <c r="CU37" t="s">
        <v>1763</v>
      </c>
      <c r="CV37" t="s">
        <v>1456</v>
      </c>
      <c r="CW37" t="s">
        <v>1764</v>
      </c>
      <c r="CX37" t="s">
        <v>1765</v>
      </c>
      <c r="CY37" t="s">
        <v>1766</v>
      </c>
      <c r="CZ37" t="s">
        <v>1767</v>
      </c>
      <c r="DA37" t="s">
        <v>1768</v>
      </c>
      <c r="DB37" t="s">
        <v>1746</v>
      </c>
      <c r="DC37" t="s">
        <v>826</v>
      </c>
      <c r="DD37" t="s">
        <v>191</v>
      </c>
      <c r="DE37" t="s">
        <v>192</v>
      </c>
      <c r="DF37" t="s">
        <v>142</v>
      </c>
      <c r="DG37" t="s">
        <v>193</v>
      </c>
      <c r="DH37" t="s">
        <v>194</v>
      </c>
      <c r="DI37" t="s">
        <v>142</v>
      </c>
      <c r="DJ37" t="s">
        <v>195</v>
      </c>
      <c r="DK37" t="s">
        <v>196</v>
      </c>
      <c r="DL37" t="s">
        <v>197</v>
      </c>
      <c r="DM37" t="s">
        <v>136</v>
      </c>
      <c r="DN37" t="s">
        <v>1745</v>
      </c>
      <c r="DO37" t="s">
        <v>198</v>
      </c>
      <c r="DP37" t="s">
        <v>199</v>
      </c>
      <c r="DQ37" t="s">
        <v>200</v>
      </c>
      <c r="DR37" t="s">
        <v>201</v>
      </c>
      <c r="DS37" t="s">
        <v>202</v>
      </c>
      <c r="DT37" t="s">
        <v>203</v>
      </c>
    </row>
    <row r="38" spans="1:124" ht="19.2" customHeight="1" x14ac:dyDescent="0.45">
      <c r="A38" t="s">
        <v>2015</v>
      </c>
      <c r="B38" t="s">
        <v>2016</v>
      </c>
      <c r="C38" t="s">
        <v>126</v>
      </c>
      <c r="D38" t="s">
        <v>127</v>
      </c>
      <c r="E38" t="s">
        <v>128</v>
      </c>
      <c r="I38" t="s">
        <v>2256</v>
      </c>
      <c r="J38">
        <f t="shared" si="10"/>
        <v>0.29839401844912977</v>
      </c>
      <c r="K38">
        <f t="shared" si="11"/>
        <v>2.9058327199999998</v>
      </c>
      <c r="L38">
        <f t="shared" si="12"/>
        <v>0.2706060379114868</v>
      </c>
      <c r="M38">
        <f t="shared" si="13"/>
        <v>4.1311944963716218</v>
      </c>
      <c r="N38" t="s">
        <v>2017</v>
      </c>
      <c r="O38" t="s">
        <v>2018</v>
      </c>
      <c r="P38">
        <f t="shared" si="14"/>
        <v>3.4897583568837658</v>
      </c>
      <c r="Q38">
        <f t="shared" si="15"/>
        <v>1.5067893568837658</v>
      </c>
      <c r="R38" t="s">
        <v>2019</v>
      </c>
      <c r="S38" t="s">
        <v>2020</v>
      </c>
      <c r="T38">
        <f t="shared" si="16"/>
        <v>34.405583721618513</v>
      </c>
      <c r="U38">
        <f t="shared" si="17"/>
        <v>0.4417875</v>
      </c>
      <c r="V38" t="s">
        <v>134</v>
      </c>
      <c r="W38" t="s">
        <v>2021</v>
      </c>
      <c r="X38" t="s">
        <v>136</v>
      </c>
      <c r="Y38" t="s">
        <v>136</v>
      </c>
      <c r="Z38" t="s">
        <v>136</v>
      </c>
      <c r="AA38" t="s">
        <v>2022</v>
      </c>
      <c r="AB38" t="s">
        <v>2023</v>
      </c>
      <c r="AC38" t="s">
        <v>2024</v>
      </c>
      <c r="AD38" t="s">
        <v>140</v>
      </c>
      <c r="AE38" t="s">
        <v>141</v>
      </c>
      <c r="AF38">
        <f t="shared" si="18"/>
        <v>74.568343499999997</v>
      </c>
      <c r="AG38" t="s">
        <v>142</v>
      </c>
      <c r="AH38" t="s">
        <v>2025</v>
      </c>
      <c r="AI38" t="s">
        <v>2026</v>
      </c>
      <c r="AJ38" t="s">
        <v>838</v>
      </c>
      <c r="AK38" t="s">
        <v>2027</v>
      </c>
      <c r="AL38">
        <f t="shared" si="19"/>
        <v>26.57</v>
      </c>
      <c r="AM38" t="s">
        <v>256</v>
      </c>
      <c r="AN38" t="s">
        <v>350</v>
      </c>
      <c r="AO38" t="s">
        <v>1817</v>
      </c>
      <c r="AP38" t="s">
        <v>2028</v>
      </c>
      <c r="AQ38" t="s">
        <v>2029</v>
      </c>
      <c r="AR38" t="s">
        <v>2030</v>
      </c>
      <c r="AS38" t="s">
        <v>1034</v>
      </c>
      <c r="AT38" t="s">
        <v>2031</v>
      </c>
      <c r="AU38" t="s">
        <v>2032</v>
      </c>
      <c r="AV38" t="s">
        <v>2033</v>
      </c>
      <c r="AW38" t="s">
        <v>2034</v>
      </c>
      <c r="AX38" t="s">
        <v>2035</v>
      </c>
      <c r="AY38" t="s">
        <v>2036</v>
      </c>
      <c r="AZ38" t="s">
        <v>268</v>
      </c>
      <c r="BA38" t="s">
        <v>1756</v>
      </c>
      <c r="BB38" t="s">
        <v>1757</v>
      </c>
      <c r="BC38" t="s">
        <v>2037</v>
      </c>
      <c r="BD38" t="s">
        <v>126</v>
      </c>
      <c r="BE38" t="s">
        <v>853</v>
      </c>
      <c r="BF38" t="s">
        <v>319</v>
      </c>
      <c r="BG38" t="s">
        <v>2038</v>
      </c>
      <c r="BH38" t="s">
        <v>451</v>
      </c>
      <c r="BI38" t="s">
        <v>367</v>
      </c>
      <c r="BJ38" t="s">
        <v>453</v>
      </c>
      <c r="BK38" t="s">
        <v>126</v>
      </c>
      <c r="BL38" t="s">
        <v>454</v>
      </c>
      <c r="BM38" t="s">
        <v>124</v>
      </c>
      <c r="BN38" t="s">
        <v>171</v>
      </c>
      <c r="BO38" t="s">
        <v>165</v>
      </c>
      <c r="BP38" t="s">
        <v>276</v>
      </c>
      <c r="BQ38" t="s">
        <v>2039</v>
      </c>
      <c r="BR38" t="s">
        <v>2040</v>
      </c>
      <c r="BS38" t="s">
        <v>2041</v>
      </c>
      <c r="BT38" t="s">
        <v>124</v>
      </c>
      <c r="BU38" t="s">
        <v>170</v>
      </c>
      <c r="BV38" t="s">
        <v>171</v>
      </c>
      <c r="BW38" t="s">
        <v>172</v>
      </c>
      <c r="BX38" t="s">
        <v>173</v>
      </c>
      <c r="BY38" t="s">
        <v>136</v>
      </c>
      <c r="BZ38" t="s">
        <v>174</v>
      </c>
      <c r="CA38" t="s">
        <v>136</v>
      </c>
      <c r="CB38" t="s">
        <v>136</v>
      </c>
      <c r="CC38" t="s">
        <v>175</v>
      </c>
      <c r="CD38" t="s">
        <v>176</v>
      </c>
      <c r="CE38" t="s">
        <v>161</v>
      </c>
      <c r="CF38" t="s">
        <v>177</v>
      </c>
      <c r="CG38" t="s">
        <v>178</v>
      </c>
      <c r="CH38" t="s">
        <v>179</v>
      </c>
      <c r="CI38" t="s">
        <v>142</v>
      </c>
      <c r="CJ38" t="s">
        <v>172</v>
      </c>
      <c r="CK38" t="s">
        <v>180</v>
      </c>
      <c r="CL38" t="s">
        <v>180</v>
      </c>
      <c r="CM38" t="s">
        <v>180</v>
      </c>
      <c r="CN38" t="s">
        <v>136</v>
      </c>
      <c r="CO38" t="s">
        <v>181</v>
      </c>
      <c r="CP38" t="s">
        <v>136</v>
      </c>
      <c r="CQ38" t="s">
        <v>136</v>
      </c>
      <c r="CR38" t="s">
        <v>136</v>
      </c>
      <c r="CS38" t="s">
        <v>136</v>
      </c>
      <c r="CT38" t="s">
        <v>2042</v>
      </c>
      <c r="CU38" t="s">
        <v>2043</v>
      </c>
      <c r="CV38" t="s">
        <v>2044</v>
      </c>
      <c r="CW38" t="s">
        <v>2045</v>
      </c>
      <c r="CX38" t="s">
        <v>2046</v>
      </c>
      <c r="CY38" t="s">
        <v>2047</v>
      </c>
      <c r="CZ38" t="s">
        <v>2048</v>
      </c>
      <c r="DA38" t="s">
        <v>2049</v>
      </c>
      <c r="DB38" t="s">
        <v>2022</v>
      </c>
      <c r="DC38" t="s">
        <v>2050</v>
      </c>
      <c r="DD38" t="s">
        <v>191</v>
      </c>
      <c r="DE38" t="s">
        <v>192</v>
      </c>
      <c r="DF38" t="s">
        <v>142</v>
      </c>
      <c r="DG38" t="s">
        <v>193</v>
      </c>
      <c r="DH38" t="s">
        <v>194</v>
      </c>
      <c r="DI38" t="s">
        <v>142</v>
      </c>
      <c r="DJ38" t="s">
        <v>195</v>
      </c>
      <c r="DK38" t="s">
        <v>196</v>
      </c>
      <c r="DL38" t="s">
        <v>197</v>
      </c>
      <c r="DM38" t="s">
        <v>136</v>
      </c>
      <c r="DN38" t="s">
        <v>2021</v>
      </c>
      <c r="DO38" t="s">
        <v>198</v>
      </c>
      <c r="DP38" t="s">
        <v>199</v>
      </c>
      <c r="DQ38" t="s">
        <v>200</v>
      </c>
      <c r="DR38" t="s">
        <v>201</v>
      </c>
      <c r="DS38" t="s">
        <v>202</v>
      </c>
      <c r="DT38" t="s">
        <v>203</v>
      </c>
    </row>
    <row r="39" spans="1:124" ht="19.2" customHeight="1" x14ac:dyDescent="0.45">
      <c r="A39" t="s">
        <v>2051</v>
      </c>
      <c r="B39" t="s">
        <v>2052</v>
      </c>
      <c r="C39" t="s">
        <v>126</v>
      </c>
      <c r="D39" t="s">
        <v>127</v>
      </c>
      <c r="E39" t="s">
        <v>128</v>
      </c>
      <c r="I39" t="s">
        <v>2257</v>
      </c>
      <c r="J39">
        <f t="shared" si="10"/>
        <v>0.44886643362980078</v>
      </c>
      <c r="K39">
        <f t="shared" si="11"/>
        <v>2.9042299199999997</v>
      </c>
      <c r="L39">
        <f t="shared" si="12"/>
        <v>0.38877836755874123</v>
      </c>
      <c r="M39">
        <f t="shared" si="13"/>
        <v>5.521010708838701</v>
      </c>
      <c r="N39" t="s">
        <v>2053</v>
      </c>
      <c r="O39" t="s">
        <v>2054</v>
      </c>
      <c r="P39">
        <f t="shared" si="14"/>
        <v>3.4164165274908198</v>
      </c>
      <c r="Q39">
        <f t="shared" si="15"/>
        <v>1.4020345274908199</v>
      </c>
      <c r="R39" t="s">
        <v>2055</v>
      </c>
      <c r="S39" t="s">
        <v>2056</v>
      </c>
      <c r="T39">
        <f t="shared" si="16"/>
        <v>33.679185010753351</v>
      </c>
      <c r="U39">
        <f t="shared" si="17"/>
        <v>0.4417875</v>
      </c>
      <c r="V39" t="s">
        <v>134</v>
      </c>
      <c r="W39" t="s">
        <v>2057</v>
      </c>
      <c r="X39" t="s">
        <v>136</v>
      </c>
      <c r="Y39" t="s">
        <v>136</v>
      </c>
      <c r="Z39" t="s">
        <v>136</v>
      </c>
      <c r="AA39" t="s">
        <v>2058</v>
      </c>
      <c r="AB39" t="s">
        <v>2059</v>
      </c>
      <c r="AC39" t="s">
        <v>2060</v>
      </c>
      <c r="AD39" t="s">
        <v>140</v>
      </c>
      <c r="AE39" t="s">
        <v>141</v>
      </c>
      <c r="AF39">
        <f t="shared" si="18"/>
        <v>74.966902919999995</v>
      </c>
      <c r="AG39" t="s">
        <v>142</v>
      </c>
      <c r="AH39" t="s">
        <v>2061</v>
      </c>
      <c r="AI39" t="s">
        <v>2062</v>
      </c>
      <c r="AJ39" t="s">
        <v>435</v>
      </c>
      <c r="AK39" t="s">
        <v>2063</v>
      </c>
      <c r="AL39">
        <f t="shared" si="19"/>
        <v>26.21</v>
      </c>
      <c r="AM39" t="s">
        <v>218</v>
      </c>
      <c r="AN39" t="s">
        <v>524</v>
      </c>
      <c r="AO39" t="s">
        <v>304</v>
      </c>
      <c r="AP39" t="s">
        <v>2064</v>
      </c>
      <c r="AQ39" t="s">
        <v>2065</v>
      </c>
      <c r="AR39" t="s">
        <v>440</v>
      </c>
      <c r="AS39" t="s">
        <v>486</v>
      </c>
      <c r="AT39" t="s">
        <v>572</v>
      </c>
      <c r="AU39" t="s">
        <v>2066</v>
      </c>
      <c r="AV39" t="s">
        <v>2067</v>
      </c>
      <c r="AW39" t="s">
        <v>2068</v>
      </c>
      <c r="AX39" t="s">
        <v>2069</v>
      </c>
      <c r="AY39" t="s">
        <v>2070</v>
      </c>
      <c r="AZ39" t="s">
        <v>445</v>
      </c>
      <c r="BA39" t="s">
        <v>2071</v>
      </c>
      <c r="BB39" t="s">
        <v>2072</v>
      </c>
      <c r="BC39" t="s">
        <v>2073</v>
      </c>
      <c r="BD39" t="s">
        <v>126</v>
      </c>
      <c r="BE39" t="s">
        <v>814</v>
      </c>
      <c r="BF39" t="s">
        <v>494</v>
      </c>
      <c r="BG39" t="s">
        <v>896</v>
      </c>
      <c r="BH39" t="s">
        <v>451</v>
      </c>
      <c r="BI39" t="s">
        <v>452</v>
      </c>
      <c r="BJ39" t="s">
        <v>453</v>
      </c>
      <c r="BK39" t="s">
        <v>126</v>
      </c>
      <c r="BL39" t="s">
        <v>454</v>
      </c>
      <c r="BM39" t="s">
        <v>124</v>
      </c>
      <c r="BN39" t="s">
        <v>228</v>
      </c>
      <c r="BO39" t="s">
        <v>228</v>
      </c>
      <c r="BP39" t="s">
        <v>276</v>
      </c>
      <c r="BQ39" t="s">
        <v>1521</v>
      </c>
      <c r="BR39" t="s">
        <v>2074</v>
      </c>
      <c r="BS39" t="s">
        <v>2075</v>
      </c>
      <c r="BT39" t="s">
        <v>124</v>
      </c>
      <c r="BU39" t="s">
        <v>170</v>
      </c>
      <c r="BV39" t="s">
        <v>171</v>
      </c>
      <c r="BW39" t="s">
        <v>172</v>
      </c>
      <c r="BX39" t="s">
        <v>173</v>
      </c>
      <c r="BY39" t="s">
        <v>136</v>
      </c>
      <c r="BZ39" t="s">
        <v>174</v>
      </c>
      <c r="CA39" t="s">
        <v>136</v>
      </c>
      <c r="CB39" t="s">
        <v>136</v>
      </c>
      <c r="CC39" t="s">
        <v>175</v>
      </c>
      <c r="CD39" t="s">
        <v>176</v>
      </c>
      <c r="CE39" t="s">
        <v>161</v>
      </c>
      <c r="CF39" t="s">
        <v>177</v>
      </c>
      <c r="CG39" t="s">
        <v>178</v>
      </c>
      <c r="CH39" t="s">
        <v>179</v>
      </c>
      <c r="CI39" t="s">
        <v>142</v>
      </c>
      <c r="CJ39" t="s">
        <v>172</v>
      </c>
      <c r="CK39" t="s">
        <v>180</v>
      </c>
      <c r="CL39" t="s">
        <v>180</v>
      </c>
      <c r="CM39" t="s">
        <v>180</v>
      </c>
      <c r="CN39" t="s">
        <v>136</v>
      </c>
      <c r="CO39" t="s">
        <v>181</v>
      </c>
      <c r="CP39" t="s">
        <v>136</v>
      </c>
      <c r="CQ39" t="s">
        <v>136</v>
      </c>
      <c r="CR39" t="s">
        <v>136</v>
      </c>
      <c r="CS39" t="s">
        <v>136</v>
      </c>
      <c r="CT39" t="s">
        <v>2076</v>
      </c>
      <c r="CU39" t="s">
        <v>2077</v>
      </c>
      <c r="CV39" t="s">
        <v>2078</v>
      </c>
      <c r="CW39" t="s">
        <v>2079</v>
      </c>
      <c r="CX39" t="s">
        <v>2080</v>
      </c>
      <c r="CY39" t="s">
        <v>2081</v>
      </c>
      <c r="CZ39" t="s">
        <v>2082</v>
      </c>
      <c r="DA39" t="s">
        <v>2083</v>
      </c>
      <c r="DB39" t="s">
        <v>2058</v>
      </c>
      <c r="DC39" t="s">
        <v>2084</v>
      </c>
      <c r="DD39" t="s">
        <v>191</v>
      </c>
      <c r="DE39" t="s">
        <v>192</v>
      </c>
      <c r="DF39" t="s">
        <v>142</v>
      </c>
      <c r="DG39" t="s">
        <v>193</v>
      </c>
      <c r="DH39" t="s">
        <v>194</v>
      </c>
      <c r="DI39" t="s">
        <v>142</v>
      </c>
      <c r="DJ39" t="s">
        <v>195</v>
      </c>
      <c r="DK39" t="s">
        <v>196</v>
      </c>
      <c r="DL39" t="s">
        <v>197</v>
      </c>
      <c r="DM39" t="s">
        <v>136</v>
      </c>
      <c r="DN39" t="s">
        <v>2057</v>
      </c>
      <c r="DO39" t="s">
        <v>198</v>
      </c>
      <c r="DP39" t="s">
        <v>199</v>
      </c>
      <c r="DQ39" t="s">
        <v>200</v>
      </c>
      <c r="DR39" t="s">
        <v>201</v>
      </c>
      <c r="DS39" t="s">
        <v>202</v>
      </c>
      <c r="DT39" t="s">
        <v>203</v>
      </c>
    </row>
    <row r="40" spans="1:124" ht="19.2" customHeight="1" x14ac:dyDescent="0.45">
      <c r="A40" t="s">
        <v>423</v>
      </c>
      <c r="B40" t="s">
        <v>424</v>
      </c>
      <c r="C40" t="s">
        <v>126</v>
      </c>
      <c r="D40" t="s">
        <v>127</v>
      </c>
      <c r="E40" t="s">
        <v>128</v>
      </c>
      <c r="I40" t="s">
        <v>2258</v>
      </c>
      <c r="J40">
        <f t="shared" si="10"/>
        <v>0.43348814000796698</v>
      </c>
      <c r="K40">
        <f t="shared" si="11"/>
        <v>2.9058327199999998</v>
      </c>
      <c r="L40">
        <f t="shared" si="12"/>
        <v>0.37721562969665823</v>
      </c>
      <c r="M40">
        <f t="shared" si="13"/>
        <v>5.4981283254200504</v>
      </c>
      <c r="N40" t="s">
        <v>425</v>
      </c>
      <c r="O40" t="s">
        <v>426</v>
      </c>
      <c r="P40">
        <f t="shared" si="14"/>
        <v>3.4224765042824301</v>
      </c>
      <c r="Q40">
        <f t="shared" si="15"/>
        <v>1.4391585042824302</v>
      </c>
      <c r="R40" t="s">
        <v>427</v>
      </c>
      <c r="S40" t="s">
        <v>428</v>
      </c>
      <c r="T40">
        <f t="shared" si="16"/>
        <v>33.738924529598094</v>
      </c>
      <c r="U40">
        <f t="shared" si="17"/>
        <v>0.4417875</v>
      </c>
      <c r="V40" t="s">
        <v>134</v>
      </c>
      <c r="W40" t="s">
        <v>429</v>
      </c>
      <c r="X40" t="s">
        <v>136</v>
      </c>
      <c r="Y40" t="s">
        <v>136</v>
      </c>
      <c r="Z40" t="s">
        <v>136</v>
      </c>
      <c r="AA40" t="s">
        <v>430</v>
      </c>
      <c r="AB40" t="s">
        <v>431</v>
      </c>
      <c r="AC40" t="s">
        <v>432</v>
      </c>
      <c r="AD40" t="s">
        <v>140</v>
      </c>
      <c r="AE40" t="s">
        <v>141</v>
      </c>
      <c r="AF40">
        <f t="shared" si="18"/>
        <v>55.354172999999996</v>
      </c>
      <c r="AG40" t="s">
        <v>142</v>
      </c>
      <c r="AH40" t="s">
        <v>433</v>
      </c>
      <c r="AI40" t="s">
        <v>434</v>
      </c>
      <c r="AJ40" t="s">
        <v>435</v>
      </c>
      <c r="AK40" t="s">
        <v>436</v>
      </c>
      <c r="AL40">
        <f t="shared" si="19"/>
        <v>26.24</v>
      </c>
      <c r="AM40" t="s">
        <v>218</v>
      </c>
      <c r="AN40" t="s">
        <v>350</v>
      </c>
      <c r="AO40" t="s">
        <v>437</v>
      </c>
      <c r="AP40" t="s">
        <v>438</v>
      </c>
      <c r="AQ40" t="s">
        <v>439</v>
      </c>
      <c r="AR40" t="s">
        <v>440</v>
      </c>
      <c r="AS40" t="s">
        <v>261</v>
      </c>
      <c r="AT40" t="s">
        <v>224</v>
      </c>
      <c r="AU40" t="s">
        <v>353</v>
      </c>
      <c r="AV40" t="s">
        <v>441</v>
      </c>
      <c r="AW40" t="s">
        <v>442</v>
      </c>
      <c r="AX40" t="s">
        <v>443</v>
      </c>
      <c r="AY40" t="s">
        <v>444</v>
      </c>
      <c r="AZ40" t="s">
        <v>445</v>
      </c>
      <c r="BA40" t="s">
        <v>446</v>
      </c>
      <c r="BB40" t="s">
        <v>447</v>
      </c>
      <c r="BC40" t="s">
        <v>448</v>
      </c>
      <c r="BD40" t="s">
        <v>126</v>
      </c>
      <c r="BE40" t="s">
        <v>449</v>
      </c>
      <c r="BF40" t="s">
        <v>319</v>
      </c>
      <c r="BG40" t="s">
        <v>450</v>
      </c>
      <c r="BH40" t="s">
        <v>451</v>
      </c>
      <c r="BI40" t="s">
        <v>452</v>
      </c>
      <c r="BJ40" t="s">
        <v>453</v>
      </c>
      <c r="BK40" t="s">
        <v>126</v>
      </c>
      <c r="BL40" t="s">
        <v>454</v>
      </c>
      <c r="BM40" t="s">
        <v>124</v>
      </c>
      <c r="BN40" t="s">
        <v>171</v>
      </c>
      <c r="BO40" t="s">
        <v>171</v>
      </c>
      <c r="BP40" t="s">
        <v>455</v>
      </c>
      <c r="BQ40" t="s">
        <v>456</v>
      </c>
      <c r="BR40" t="s">
        <v>457</v>
      </c>
      <c r="BS40" t="s">
        <v>458</v>
      </c>
      <c r="BT40" t="s">
        <v>124</v>
      </c>
      <c r="BU40" t="s">
        <v>170</v>
      </c>
      <c r="BV40" t="s">
        <v>171</v>
      </c>
      <c r="BW40" t="s">
        <v>172</v>
      </c>
      <c r="BX40" t="s">
        <v>173</v>
      </c>
      <c r="BY40" t="s">
        <v>136</v>
      </c>
      <c r="BZ40" t="s">
        <v>174</v>
      </c>
      <c r="CA40" t="s">
        <v>136</v>
      </c>
      <c r="CB40" t="s">
        <v>136</v>
      </c>
      <c r="CC40" t="s">
        <v>175</v>
      </c>
      <c r="CD40" t="s">
        <v>176</v>
      </c>
      <c r="CE40" t="s">
        <v>161</v>
      </c>
      <c r="CF40" t="s">
        <v>177</v>
      </c>
      <c r="CG40" t="s">
        <v>178</v>
      </c>
      <c r="CH40" t="s">
        <v>179</v>
      </c>
      <c r="CI40" t="s">
        <v>142</v>
      </c>
      <c r="CJ40" t="s">
        <v>172</v>
      </c>
      <c r="CK40" t="s">
        <v>180</v>
      </c>
      <c r="CL40" t="s">
        <v>180</v>
      </c>
      <c r="CM40" t="s">
        <v>180</v>
      </c>
      <c r="CN40" t="s">
        <v>136</v>
      </c>
      <c r="CO40" t="s">
        <v>181</v>
      </c>
      <c r="CP40" t="s">
        <v>136</v>
      </c>
      <c r="CQ40" t="s">
        <v>136</v>
      </c>
      <c r="CR40" t="s">
        <v>136</v>
      </c>
      <c r="CS40" t="s">
        <v>136</v>
      </c>
      <c r="CT40" t="s">
        <v>459</v>
      </c>
      <c r="CU40" t="s">
        <v>460</v>
      </c>
      <c r="CV40" t="s">
        <v>461</v>
      </c>
      <c r="CW40" t="s">
        <v>462</v>
      </c>
      <c r="CX40" t="s">
        <v>463</v>
      </c>
      <c r="CY40" t="s">
        <v>464</v>
      </c>
      <c r="CZ40" t="s">
        <v>465</v>
      </c>
      <c r="DA40" t="s">
        <v>466</v>
      </c>
      <c r="DB40" t="s">
        <v>430</v>
      </c>
      <c r="DC40" t="s">
        <v>467</v>
      </c>
      <c r="DD40" t="s">
        <v>191</v>
      </c>
      <c r="DE40" t="s">
        <v>192</v>
      </c>
      <c r="DF40" t="s">
        <v>142</v>
      </c>
      <c r="DG40" t="s">
        <v>193</v>
      </c>
      <c r="DH40" t="s">
        <v>194</v>
      </c>
      <c r="DI40" t="s">
        <v>142</v>
      </c>
      <c r="DJ40" t="s">
        <v>195</v>
      </c>
      <c r="DK40" t="s">
        <v>196</v>
      </c>
      <c r="DL40" t="s">
        <v>197</v>
      </c>
      <c r="DM40" t="s">
        <v>136</v>
      </c>
      <c r="DN40" t="s">
        <v>429</v>
      </c>
      <c r="DO40" t="s">
        <v>198</v>
      </c>
      <c r="DP40" t="s">
        <v>199</v>
      </c>
      <c r="DQ40" t="s">
        <v>200</v>
      </c>
      <c r="DR40" t="s">
        <v>201</v>
      </c>
      <c r="DS40" t="s">
        <v>202</v>
      </c>
      <c r="DT40" t="s">
        <v>203</v>
      </c>
    </row>
    <row r="41" spans="1:124" ht="19.2" customHeight="1" x14ac:dyDescent="0.45">
      <c r="A41" t="s">
        <v>468</v>
      </c>
      <c r="B41" t="s">
        <v>469</v>
      </c>
      <c r="C41" t="s">
        <v>126</v>
      </c>
      <c r="D41" t="s">
        <v>127</v>
      </c>
      <c r="E41" t="s">
        <v>128</v>
      </c>
      <c r="I41" t="s">
        <v>2259</v>
      </c>
      <c r="J41">
        <f t="shared" si="10"/>
        <v>0.55704804281079479</v>
      </c>
      <c r="K41">
        <f t="shared" si="11"/>
        <v>2.9066320800000001</v>
      </c>
      <c r="L41">
        <f t="shared" si="12"/>
        <v>0.46746052000354288</v>
      </c>
      <c r="M41">
        <f t="shared" si="13"/>
        <v>6.230325659639095</v>
      </c>
      <c r="N41" t="s">
        <v>470</v>
      </c>
      <c r="O41" t="s">
        <v>471</v>
      </c>
      <c r="P41">
        <f t="shared" si="14"/>
        <v>3.3662800500260777</v>
      </c>
      <c r="Q41">
        <f t="shared" si="15"/>
        <v>1.3161280500260775</v>
      </c>
      <c r="R41" t="s">
        <v>472</v>
      </c>
      <c r="S41" t="s">
        <v>473</v>
      </c>
      <c r="T41">
        <f t="shared" si="16"/>
        <v>33.181666338354631</v>
      </c>
      <c r="U41">
        <f t="shared" si="17"/>
        <v>0.4417875</v>
      </c>
      <c r="V41" t="s">
        <v>134</v>
      </c>
      <c r="W41" t="s">
        <v>474</v>
      </c>
      <c r="X41" t="s">
        <v>136</v>
      </c>
      <c r="Y41" t="s">
        <v>136</v>
      </c>
      <c r="Z41" t="s">
        <v>136</v>
      </c>
      <c r="AA41" t="s">
        <v>475</v>
      </c>
      <c r="AB41" t="s">
        <v>476</v>
      </c>
      <c r="AC41" t="s">
        <v>477</v>
      </c>
      <c r="AD41" t="s">
        <v>140</v>
      </c>
      <c r="AE41" t="s">
        <v>141</v>
      </c>
      <c r="AF41">
        <f t="shared" si="18"/>
        <v>57.449589120000006</v>
      </c>
      <c r="AG41" t="s">
        <v>142</v>
      </c>
      <c r="AH41" t="s">
        <v>478</v>
      </c>
      <c r="AI41" t="s">
        <v>479</v>
      </c>
      <c r="AJ41" t="s">
        <v>435</v>
      </c>
      <c r="AK41" t="s">
        <v>480</v>
      </c>
      <c r="AL41">
        <f t="shared" si="19"/>
        <v>25.96</v>
      </c>
      <c r="AM41" t="s">
        <v>481</v>
      </c>
      <c r="AN41" t="s">
        <v>396</v>
      </c>
      <c r="AO41" t="s">
        <v>482</v>
      </c>
      <c r="AP41" t="s">
        <v>483</v>
      </c>
      <c r="AQ41" t="s">
        <v>484</v>
      </c>
      <c r="AR41" t="s">
        <v>485</v>
      </c>
      <c r="AS41" t="s">
        <v>486</v>
      </c>
      <c r="AT41" t="s">
        <v>161</v>
      </c>
      <c r="AU41" t="s">
        <v>487</v>
      </c>
      <c r="AV41" t="s">
        <v>488</v>
      </c>
      <c r="AW41" t="s">
        <v>489</v>
      </c>
      <c r="AX41" t="s">
        <v>490</v>
      </c>
      <c r="AY41" t="s">
        <v>491</v>
      </c>
      <c r="AZ41" t="s">
        <v>445</v>
      </c>
      <c r="BA41" t="s">
        <v>492</v>
      </c>
      <c r="BB41" t="s">
        <v>253</v>
      </c>
      <c r="BC41" t="s">
        <v>493</v>
      </c>
      <c r="BD41" t="s">
        <v>126</v>
      </c>
      <c r="BE41" t="s">
        <v>449</v>
      </c>
      <c r="BF41" t="s">
        <v>494</v>
      </c>
      <c r="BG41" t="s">
        <v>495</v>
      </c>
      <c r="BH41" t="s">
        <v>290</v>
      </c>
      <c r="BI41" t="s">
        <v>496</v>
      </c>
      <c r="BJ41" t="s">
        <v>453</v>
      </c>
      <c r="BK41" t="s">
        <v>126</v>
      </c>
      <c r="BL41" t="s">
        <v>454</v>
      </c>
      <c r="BM41" t="s">
        <v>124</v>
      </c>
      <c r="BN41" t="s">
        <v>164</v>
      </c>
      <c r="BO41" t="s">
        <v>228</v>
      </c>
      <c r="BP41" t="s">
        <v>411</v>
      </c>
      <c r="BQ41" t="s">
        <v>497</v>
      </c>
      <c r="BR41" t="s">
        <v>498</v>
      </c>
      <c r="BS41" t="s">
        <v>499</v>
      </c>
      <c r="BT41" t="s">
        <v>124</v>
      </c>
      <c r="BU41" t="s">
        <v>170</v>
      </c>
      <c r="BV41" t="s">
        <v>171</v>
      </c>
      <c r="BW41" t="s">
        <v>172</v>
      </c>
      <c r="BX41" t="s">
        <v>173</v>
      </c>
      <c r="BY41" t="s">
        <v>136</v>
      </c>
      <c r="BZ41" t="s">
        <v>174</v>
      </c>
      <c r="CA41" t="s">
        <v>136</v>
      </c>
      <c r="CB41" t="s">
        <v>136</v>
      </c>
      <c r="CC41" t="s">
        <v>175</v>
      </c>
      <c r="CD41" t="s">
        <v>176</v>
      </c>
      <c r="CE41" t="s">
        <v>161</v>
      </c>
      <c r="CF41" t="s">
        <v>177</v>
      </c>
      <c r="CG41" t="s">
        <v>178</v>
      </c>
      <c r="CH41" t="s">
        <v>179</v>
      </c>
      <c r="CI41" t="s">
        <v>142</v>
      </c>
      <c r="CJ41" t="s">
        <v>172</v>
      </c>
      <c r="CK41" t="s">
        <v>180</v>
      </c>
      <c r="CL41" t="s">
        <v>180</v>
      </c>
      <c r="CM41" t="s">
        <v>180</v>
      </c>
      <c r="CN41" t="s">
        <v>136</v>
      </c>
      <c r="CO41" t="s">
        <v>181</v>
      </c>
      <c r="CP41" t="s">
        <v>136</v>
      </c>
      <c r="CQ41" t="s">
        <v>136</v>
      </c>
      <c r="CR41" t="s">
        <v>136</v>
      </c>
      <c r="CS41" t="s">
        <v>136</v>
      </c>
      <c r="CT41" t="s">
        <v>500</v>
      </c>
      <c r="CU41" t="s">
        <v>501</v>
      </c>
      <c r="CV41" t="s">
        <v>502</v>
      </c>
      <c r="CW41" t="s">
        <v>503</v>
      </c>
      <c r="CX41" t="s">
        <v>504</v>
      </c>
      <c r="CY41" t="s">
        <v>505</v>
      </c>
      <c r="CZ41" t="s">
        <v>506</v>
      </c>
      <c r="DA41" t="s">
        <v>507</v>
      </c>
      <c r="DB41" t="s">
        <v>475</v>
      </c>
      <c r="DC41" t="s">
        <v>508</v>
      </c>
      <c r="DD41" t="s">
        <v>191</v>
      </c>
      <c r="DE41" t="s">
        <v>192</v>
      </c>
      <c r="DF41" t="s">
        <v>142</v>
      </c>
      <c r="DG41" t="s">
        <v>193</v>
      </c>
      <c r="DH41" t="s">
        <v>194</v>
      </c>
      <c r="DI41" t="s">
        <v>142</v>
      </c>
      <c r="DJ41" t="s">
        <v>195</v>
      </c>
      <c r="DK41" t="s">
        <v>196</v>
      </c>
      <c r="DL41" t="s">
        <v>197</v>
      </c>
      <c r="DM41" t="s">
        <v>136</v>
      </c>
      <c r="DN41" t="s">
        <v>474</v>
      </c>
      <c r="DO41" t="s">
        <v>198</v>
      </c>
      <c r="DP41" t="s">
        <v>199</v>
      </c>
      <c r="DQ41" t="s">
        <v>200</v>
      </c>
      <c r="DR41" t="s">
        <v>201</v>
      </c>
      <c r="DS41" t="s">
        <v>202</v>
      </c>
      <c r="DT41" t="s">
        <v>203</v>
      </c>
    </row>
    <row r="42" spans="1:124" ht="19.2" customHeight="1" x14ac:dyDescent="0.45">
      <c r="A42" t="s">
        <v>509</v>
      </c>
      <c r="B42" t="s">
        <v>510</v>
      </c>
      <c r="C42" t="s">
        <v>126</v>
      </c>
      <c r="D42" t="s">
        <v>127</v>
      </c>
      <c r="E42" t="s">
        <v>128</v>
      </c>
      <c r="I42" t="s">
        <v>2260</v>
      </c>
      <c r="J42">
        <f t="shared" si="10"/>
        <v>0.51711407137073773</v>
      </c>
      <c r="K42">
        <f t="shared" si="11"/>
        <v>2.9042299199999997</v>
      </c>
      <c r="L42">
        <f t="shared" si="12"/>
        <v>0.43895561566325247</v>
      </c>
      <c r="M42">
        <f t="shared" si="13"/>
        <v>5.8584556002071224</v>
      </c>
      <c r="N42" t="s">
        <v>511</v>
      </c>
      <c r="O42" t="s">
        <v>512</v>
      </c>
      <c r="P42">
        <f t="shared" si="14"/>
        <v>3.3742584387997652</v>
      </c>
      <c r="Q42">
        <f t="shared" si="15"/>
        <v>1.3178964387997651</v>
      </c>
      <c r="R42" t="s">
        <v>513</v>
      </c>
      <c r="S42" t="s">
        <v>514</v>
      </c>
      <c r="T42">
        <f t="shared" si="16"/>
        <v>33.257031724815356</v>
      </c>
      <c r="U42">
        <f t="shared" si="17"/>
        <v>0.4417875</v>
      </c>
      <c r="V42" t="s">
        <v>134</v>
      </c>
      <c r="W42" t="s">
        <v>515</v>
      </c>
      <c r="X42" t="s">
        <v>136</v>
      </c>
      <c r="Y42" t="s">
        <v>136</v>
      </c>
      <c r="Z42" t="s">
        <v>136</v>
      </c>
      <c r="AA42" t="s">
        <v>516</v>
      </c>
      <c r="AB42" t="s">
        <v>517</v>
      </c>
      <c r="AC42" t="s">
        <v>518</v>
      </c>
      <c r="AD42" t="s">
        <v>140</v>
      </c>
      <c r="AE42" t="s">
        <v>141</v>
      </c>
      <c r="AF42">
        <f t="shared" si="18"/>
        <v>40.790164799999999</v>
      </c>
      <c r="AG42" t="s">
        <v>142</v>
      </c>
      <c r="AH42" t="s">
        <v>519</v>
      </c>
      <c r="AI42" t="s">
        <v>520</v>
      </c>
      <c r="AJ42" t="s">
        <v>521</v>
      </c>
      <c r="AK42" t="s">
        <v>522</v>
      </c>
      <c r="AL42">
        <f t="shared" si="19"/>
        <v>26</v>
      </c>
      <c r="AM42" t="s">
        <v>523</v>
      </c>
      <c r="AN42" t="s">
        <v>524</v>
      </c>
      <c r="AO42" t="s">
        <v>525</v>
      </c>
      <c r="AP42" t="s">
        <v>526</v>
      </c>
      <c r="AQ42" t="s">
        <v>527</v>
      </c>
      <c r="AR42" t="s">
        <v>528</v>
      </c>
      <c r="AS42" t="s">
        <v>529</v>
      </c>
      <c r="AT42" t="s">
        <v>530</v>
      </c>
      <c r="AU42" t="s">
        <v>531</v>
      </c>
      <c r="AV42" t="s">
        <v>532</v>
      </c>
      <c r="AW42" t="s">
        <v>533</v>
      </c>
      <c r="AX42" t="s">
        <v>534</v>
      </c>
      <c r="AY42" t="s">
        <v>535</v>
      </c>
      <c r="AZ42" t="s">
        <v>445</v>
      </c>
      <c r="BA42" t="s">
        <v>536</v>
      </c>
      <c r="BB42" t="s">
        <v>537</v>
      </c>
      <c r="BC42" t="s">
        <v>538</v>
      </c>
      <c r="BD42" t="s">
        <v>126</v>
      </c>
      <c r="BE42" t="s">
        <v>539</v>
      </c>
      <c r="BF42" t="s">
        <v>540</v>
      </c>
      <c r="BG42" t="s">
        <v>541</v>
      </c>
      <c r="BH42" t="s">
        <v>242</v>
      </c>
      <c r="BI42" t="s">
        <v>410</v>
      </c>
      <c r="BJ42" t="s">
        <v>453</v>
      </c>
      <c r="BK42" t="s">
        <v>126</v>
      </c>
      <c r="BL42" t="s">
        <v>454</v>
      </c>
      <c r="BM42" t="s">
        <v>124</v>
      </c>
      <c r="BN42" t="s">
        <v>411</v>
      </c>
      <c r="BO42" t="s">
        <v>171</v>
      </c>
      <c r="BP42" t="s">
        <v>166</v>
      </c>
      <c r="BQ42" t="s">
        <v>542</v>
      </c>
      <c r="BR42" t="s">
        <v>543</v>
      </c>
      <c r="BS42" t="s">
        <v>544</v>
      </c>
      <c r="BT42" t="s">
        <v>124</v>
      </c>
      <c r="BU42" t="s">
        <v>170</v>
      </c>
      <c r="BV42" t="s">
        <v>171</v>
      </c>
      <c r="BW42" t="s">
        <v>172</v>
      </c>
      <c r="BX42" t="s">
        <v>173</v>
      </c>
      <c r="BY42" t="s">
        <v>136</v>
      </c>
      <c r="BZ42" t="s">
        <v>174</v>
      </c>
      <c r="CA42" t="s">
        <v>136</v>
      </c>
      <c r="CB42" t="s">
        <v>136</v>
      </c>
      <c r="CC42" t="s">
        <v>175</v>
      </c>
      <c r="CD42" t="s">
        <v>176</v>
      </c>
      <c r="CE42" t="s">
        <v>161</v>
      </c>
      <c r="CF42" t="s">
        <v>177</v>
      </c>
      <c r="CG42" t="s">
        <v>178</v>
      </c>
      <c r="CH42" t="s">
        <v>179</v>
      </c>
      <c r="CI42" t="s">
        <v>142</v>
      </c>
      <c r="CJ42" t="s">
        <v>172</v>
      </c>
      <c r="CK42" t="s">
        <v>180</v>
      </c>
      <c r="CL42" t="s">
        <v>180</v>
      </c>
      <c r="CM42" t="s">
        <v>180</v>
      </c>
      <c r="CN42" t="s">
        <v>136</v>
      </c>
      <c r="CO42" t="s">
        <v>181</v>
      </c>
      <c r="CP42" t="s">
        <v>136</v>
      </c>
      <c r="CQ42" t="s">
        <v>136</v>
      </c>
      <c r="CR42" t="s">
        <v>136</v>
      </c>
      <c r="CS42" t="s">
        <v>136</v>
      </c>
      <c r="CT42" t="s">
        <v>545</v>
      </c>
      <c r="CU42" t="s">
        <v>546</v>
      </c>
      <c r="CV42" t="s">
        <v>547</v>
      </c>
      <c r="CW42" t="s">
        <v>548</v>
      </c>
      <c r="CX42" t="s">
        <v>549</v>
      </c>
      <c r="CY42" t="s">
        <v>550</v>
      </c>
      <c r="CZ42" t="s">
        <v>551</v>
      </c>
      <c r="DA42" t="s">
        <v>552</v>
      </c>
      <c r="DB42" t="s">
        <v>516</v>
      </c>
      <c r="DC42" t="s">
        <v>334</v>
      </c>
      <c r="DD42" t="s">
        <v>191</v>
      </c>
      <c r="DE42" t="s">
        <v>192</v>
      </c>
      <c r="DF42" t="s">
        <v>142</v>
      </c>
      <c r="DG42" t="s">
        <v>193</v>
      </c>
      <c r="DH42" t="s">
        <v>194</v>
      </c>
      <c r="DI42" t="s">
        <v>142</v>
      </c>
      <c r="DJ42" t="s">
        <v>195</v>
      </c>
      <c r="DK42" t="s">
        <v>196</v>
      </c>
      <c r="DL42" t="s">
        <v>197</v>
      </c>
      <c r="DM42" t="s">
        <v>136</v>
      </c>
      <c r="DN42" t="s">
        <v>515</v>
      </c>
      <c r="DO42" t="s">
        <v>198</v>
      </c>
      <c r="DP42" t="s">
        <v>199</v>
      </c>
      <c r="DQ42" t="s">
        <v>200</v>
      </c>
      <c r="DR42" t="s">
        <v>201</v>
      </c>
      <c r="DS42" t="s">
        <v>202</v>
      </c>
      <c r="DT42" t="s">
        <v>203</v>
      </c>
    </row>
    <row r="43" spans="1:124" ht="19.2" customHeight="1" x14ac:dyDescent="0.45">
      <c r="A43" t="s">
        <v>785</v>
      </c>
      <c r="B43" t="s">
        <v>786</v>
      </c>
      <c r="C43" t="s">
        <v>126</v>
      </c>
      <c r="D43" t="s">
        <v>127</v>
      </c>
      <c r="E43" t="s">
        <v>128</v>
      </c>
      <c r="I43" t="s">
        <v>2261</v>
      </c>
      <c r="J43">
        <f t="shared" si="10"/>
        <v>0.31862566652181518</v>
      </c>
      <c r="K43">
        <f t="shared" si="11"/>
        <v>2.9050319999999994</v>
      </c>
      <c r="L43">
        <f t="shared" si="12"/>
        <v>0.28713277060398995</v>
      </c>
      <c r="M43">
        <f t="shared" si="13"/>
        <v>4.4614271707361359</v>
      </c>
      <c r="N43" t="s">
        <v>787</v>
      </c>
      <c r="O43" t="s">
        <v>788</v>
      </c>
      <c r="P43">
        <f t="shared" si="14"/>
        <v>3.5145092362326329</v>
      </c>
      <c r="Q43">
        <f t="shared" si="15"/>
        <v>1.5340032362326328</v>
      </c>
      <c r="R43" t="s">
        <v>789</v>
      </c>
      <c r="S43" t="s">
        <v>790</v>
      </c>
      <c r="T43">
        <f t="shared" si="16"/>
        <v>34.635943985736006</v>
      </c>
      <c r="U43">
        <f t="shared" si="17"/>
        <v>0.4417875</v>
      </c>
      <c r="V43" t="s">
        <v>134</v>
      </c>
      <c r="W43" t="s">
        <v>791</v>
      </c>
      <c r="X43" t="s">
        <v>136</v>
      </c>
      <c r="Y43" t="s">
        <v>136</v>
      </c>
      <c r="Z43" t="s">
        <v>136</v>
      </c>
      <c r="AA43" t="s">
        <v>792</v>
      </c>
      <c r="AB43" t="s">
        <v>793</v>
      </c>
      <c r="AC43" t="s">
        <v>794</v>
      </c>
      <c r="AD43" t="s">
        <v>140</v>
      </c>
      <c r="AE43" t="s">
        <v>141</v>
      </c>
      <c r="AF43">
        <f t="shared" si="18"/>
        <v>39.66114348</v>
      </c>
      <c r="AG43" t="s">
        <v>142</v>
      </c>
      <c r="AH43" t="s">
        <v>795</v>
      </c>
      <c r="AI43" t="s">
        <v>796</v>
      </c>
      <c r="AJ43" t="s">
        <v>797</v>
      </c>
      <c r="AK43" t="s">
        <v>798</v>
      </c>
      <c r="AL43">
        <f t="shared" si="19"/>
        <v>26.69</v>
      </c>
      <c r="AM43" t="s">
        <v>799</v>
      </c>
      <c r="AN43" t="s">
        <v>148</v>
      </c>
      <c r="AO43" t="s">
        <v>800</v>
      </c>
      <c r="AP43" t="s">
        <v>801</v>
      </c>
      <c r="AQ43" t="s">
        <v>802</v>
      </c>
      <c r="AR43" t="s">
        <v>803</v>
      </c>
      <c r="AS43" t="s">
        <v>804</v>
      </c>
      <c r="AT43" t="s">
        <v>805</v>
      </c>
      <c r="AU43" t="s">
        <v>806</v>
      </c>
      <c r="AV43" t="s">
        <v>807</v>
      </c>
      <c r="AW43" t="s">
        <v>808</v>
      </c>
      <c r="AX43" t="s">
        <v>809</v>
      </c>
      <c r="AY43" t="s">
        <v>810</v>
      </c>
      <c r="AZ43" t="s">
        <v>445</v>
      </c>
      <c r="BA43" t="s">
        <v>811</v>
      </c>
      <c r="BB43" t="s">
        <v>812</v>
      </c>
      <c r="BC43" t="s">
        <v>813</v>
      </c>
      <c r="BD43" t="s">
        <v>126</v>
      </c>
      <c r="BE43" t="s">
        <v>814</v>
      </c>
      <c r="BF43" t="s">
        <v>815</v>
      </c>
      <c r="BG43" t="s">
        <v>816</v>
      </c>
      <c r="BH43" t="s">
        <v>290</v>
      </c>
      <c r="BI43" t="s">
        <v>410</v>
      </c>
      <c r="BJ43" t="s">
        <v>453</v>
      </c>
      <c r="BK43" t="s">
        <v>126</v>
      </c>
      <c r="BL43" t="s">
        <v>454</v>
      </c>
      <c r="BM43" t="s">
        <v>124</v>
      </c>
      <c r="BN43" t="s">
        <v>411</v>
      </c>
      <c r="BO43" t="s">
        <v>164</v>
      </c>
      <c r="BP43" t="s">
        <v>276</v>
      </c>
      <c r="BQ43" t="s">
        <v>276</v>
      </c>
      <c r="BR43" t="s">
        <v>817</v>
      </c>
      <c r="BS43" t="s">
        <v>165</v>
      </c>
      <c r="BT43" t="s">
        <v>124</v>
      </c>
      <c r="BU43" t="s">
        <v>170</v>
      </c>
      <c r="BV43" t="s">
        <v>171</v>
      </c>
      <c r="BW43" t="s">
        <v>172</v>
      </c>
      <c r="BX43" t="s">
        <v>173</v>
      </c>
      <c r="BY43" t="s">
        <v>136</v>
      </c>
      <c r="BZ43" t="s">
        <v>174</v>
      </c>
      <c r="CA43" t="s">
        <v>136</v>
      </c>
      <c r="CB43" t="s">
        <v>136</v>
      </c>
      <c r="CC43" t="s">
        <v>175</v>
      </c>
      <c r="CD43" t="s">
        <v>176</v>
      </c>
      <c r="CE43" t="s">
        <v>161</v>
      </c>
      <c r="CF43" t="s">
        <v>177</v>
      </c>
      <c r="CG43" t="s">
        <v>178</v>
      </c>
      <c r="CH43" t="s">
        <v>179</v>
      </c>
      <c r="CI43" t="s">
        <v>142</v>
      </c>
      <c r="CJ43" t="s">
        <v>172</v>
      </c>
      <c r="CK43" t="s">
        <v>180</v>
      </c>
      <c r="CL43" t="s">
        <v>180</v>
      </c>
      <c r="CM43" t="s">
        <v>180</v>
      </c>
      <c r="CN43" t="s">
        <v>136</v>
      </c>
      <c r="CO43" t="s">
        <v>181</v>
      </c>
      <c r="CP43" t="s">
        <v>136</v>
      </c>
      <c r="CQ43" t="s">
        <v>136</v>
      </c>
      <c r="CR43" t="s">
        <v>136</v>
      </c>
      <c r="CS43" t="s">
        <v>136</v>
      </c>
      <c r="CT43" t="s">
        <v>818</v>
      </c>
      <c r="CU43" t="s">
        <v>819</v>
      </c>
      <c r="CV43" t="s">
        <v>820</v>
      </c>
      <c r="CW43" t="s">
        <v>821</v>
      </c>
      <c r="CX43" t="s">
        <v>822</v>
      </c>
      <c r="CY43" t="s">
        <v>823</v>
      </c>
      <c r="CZ43" t="s">
        <v>824</v>
      </c>
      <c r="DA43" t="s">
        <v>825</v>
      </c>
      <c r="DB43" t="s">
        <v>792</v>
      </c>
      <c r="DC43" t="s">
        <v>826</v>
      </c>
      <c r="DD43" t="s">
        <v>191</v>
      </c>
      <c r="DE43" t="s">
        <v>192</v>
      </c>
      <c r="DF43" t="s">
        <v>142</v>
      </c>
      <c r="DG43" t="s">
        <v>193</v>
      </c>
      <c r="DH43" t="s">
        <v>194</v>
      </c>
      <c r="DI43" t="s">
        <v>142</v>
      </c>
      <c r="DJ43" t="s">
        <v>195</v>
      </c>
      <c r="DK43" t="s">
        <v>196</v>
      </c>
      <c r="DL43" t="s">
        <v>197</v>
      </c>
      <c r="DM43" t="s">
        <v>136</v>
      </c>
      <c r="DN43" t="s">
        <v>791</v>
      </c>
      <c r="DO43" t="s">
        <v>198</v>
      </c>
      <c r="DP43" t="s">
        <v>199</v>
      </c>
      <c r="DQ43" t="s">
        <v>200</v>
      </c>
      <c r="DR43" t="s">
        <v>201</v>
      </c>
      <c r="DS43" t="s">
        <v>202</v>
      </c>
      <c r="DT43" t="s">
        <v>203</v>
      </c>
    </row>
    <row r="44" spans="1:124" ht="19.2" customHeight="1" x14ac:dyDescent="0.45">
      <c r="A44" t="s">
        <v>827</v>
      </c>
      <c r="B44" t="s">
        <v>828</v>
      </c>
      <c r="C44" t="s">
        <v>126</v>
      </c>
      <c r="D44" t="s">
        <v>127</v>
      </c>
      <c r="E44" t="s">
        <v>128</v>
      </c>
      <c r="I44" t="s">
        <v>2262</v>
      </c>
      <c r="J44">
        <f t="shared" si="10"/>
        <v>0.30112884657715916</v>
      </c>
      <c r="K44">
        <f t="shared" si="11"/>
        <v>2.9050319999999994</v>
      </c>
      <c r="L44">
        <f t="shared" si="12"/>
        <v>0.27284624112469191</v>
      </c>
      <c r="M44">
        <f t="shared" si="13"/>
        <v>4.3025881114845417</v>
      </c>
      <c r="N44" t="s">
        <v>829</v>
      </c>
      <c r="O44" t="s">
        <v>830</v>
      </c>
      <c r="P44">
        <f t="shared" si="14"/>
        <v>3.5207208506259615</v>
      </c>
      <c r="Q44">
        <f t="shared" si="15"/>
        <v>1.5569568506259615</v>
      </c>
      <c r="R44" t="s">
        <v>831</v>
      </c>
      <c r="S44" t="s">
        <v>832</v>
      </c>
      <c r="T44">
        <f t="shared" si="16"/>
        <v>34.697160250576147</v>
      </c>
      <c r="U44">
        <f t="shared" si="17"/>
        <v>0.4417875</v>
      </c>
      <c r="V44" t="s">
        <v>134</v>
      </c>
      <c r="W44" t="s">
        <v>833</v>
      </c>
      <c r="X44" t="s">
        <v>136</v>
      </c>
      <c r="Y44" t="s">
        <v>136</v>
      </c>
      <c r="Z44" t="s">
        <v>136</v>
      </c>
      <c r="AA44" t="s">
        <v>834</v>
      </c>
      <c r="AB44" t="s">
        <v>835</v>
      </c>
      <c r="AC44" t="s">
        <v>836</v>
      </c>
      <c r="AD44" t="s">
        <v>140</v>
      </c>
      <c r="AE44" t="s">
        <v>141</v>
      </c>
      <c r="AF44">
        <f t="shared" si="18"/>
        <v>41.231083319999996</v>
      </c>
      <c r="AG44" t="s">
        <v>142</v>
      </c>
      <c r="AH44" t="s">
        <v>565</v>
      </c>
      <c r="AI44" t="s">
        <v>837</v>
      </c>
      <c r="AJ44" t="s">
        <v>838</v>
      </c>
      <c r="AK44" t="s">
        <v>839</v>
      </c>
      <c r="AL44">
        <f t="shared" si="19"/>
        <v>26.72</v>
      </c>
      <c r="AM44" t="s">
        <v>799</v>
      </c>
      <c r="AN44" t="s">
        <v>148</v>
      </c>
      <c r="AO44" t="s">
        <v>840</v>
      </c>
      <c r="AP44" t="s">
        <v>841</v>
      </c>
      <c r="AQ44" t="s">
        <v>842</v>
      </c>
      <c r="AR44" t="s">
        <v>843</v>
      </c>
      <c r="AS44" t="s">
        <v>844</v>
      </c>
      <c r="AT44" t="s">
        <v>263</v>
      </c>
      <c r="AU44" t="s">
        <v>845</v>
      </c>
      <c r="AV44" t="s">
        <v>846</v>
      </c>
      <c r="AW44" t="s">
        <v>847</v>
      </c>
      <c r="AX44" t="s">
        <v>848</v>
      </c>
      <c r="AY44" t="s">
        <v>849</v>
      </c>
      <c r="AZ44" t="s">
        <v>445</v>
      </c>
      <c r="BA44" t="s">
        <v>850</v>
      </c>
      <c r="BB44" t="s">
        <v>851</v>
      </c>
      <c r="BC44" t="s">
        <v>852</v>
      </c>
      <c r="BD44" t="s">
        <v>126</v>
      </c>
      <c r="BE44" t="s">
        <v>853</v>
      </c>
      <c r="BF44" t="s">
        <v>854</v>
      </c>
      <c r="BG44" t="s">
        <v>855</v>
      </c>
      <c r="BH44" t="s">
        <v>856</v>
      </c>
      <c r="BI44" t="s">
        <v>857</v>
      </c>
      <c r="BJ44" t="s">
        <v>858</v>
      </c>
      <c r="BK44" t="s">
        <v>126</v>
      </c>
      <c r="BL44" t="s">
        <v>859</v>
      </c>
      <c r="BM44" t="s">
        <v>124</v>
      </c>
      <c r="BN44" t="s">
        <v>164</v>
      </c>
      <c r="BO44" t="s">
        <v>228</v>
      </c>
      <c r="BP44" t="s">
        <v>166</v>
      </c>
      <c r="BQ44" t="s">
        <v>860</v>
      </c>
      <c r="BR44" t="s">
        <v>861</v>
      </c>
      <c r="BS44" t="s">
        <v>862</v>
      </c>
      <c r="BT44" t="s">
        <v>124</v>
      </c>
      <c r="BU44" t="s">
        <v>170</v>
      </c>
      <c r="BV44" t="s">
        <v>171</v>
      </c>
      <c r="BW44" t="s">
        <v>172</v>
      </c>
      <c r="BX44" t="s">
        <v>173</v>
      </c>
      <c r="BY44" t="s">
        <v>136</v>
      </c>
      <c r="BZ44" t="s">
        <v>174</v>
      </c>
      <c r="CA44" t="s">
        <v>136</v>
      </c>
      <c r="CB44" t="s">
        <v>136</v>
      </c>
      <c r="CC44" t="s">
        <v>175</v>
      </c>
      <c r="CD44" t="s">
        <v>176</v>
      </c>
      <c r="CE44" t="s">
        <v>161</v>
      </c>
      <c r="CF44" t="s">
        <v>177</v>
      </c>
      <c r="CG44" t="s">
        <v>178</v>
      </c>
      <c r="CH44" t="s">
        <v>179</v>
      </c>
      <c r="CI44" t="s">
        <v>142</v>
      </c>
      <c r="CJ44" t="s">
        <v>172</v>
      </c>
      <c r="CK44" t="s">
        <v>180</v>
      </c>
      <c r="CL44" t="s">
        <v>180</v>
      </c>
      <c r="CM44" t="s">
        <v>180</v>
      </c>
      <c r="CN44" t="s">
        <v>136</v>
      </c>
      <c r="CO44" t="s">
        <v>181</v>
      </c>
      <c r="CP44" t="s">
        <v>136</v>
      </c>
      <c r="CQ44" t="s">
        <v>136</v>
      </c>
      <c r="CR44" t="s">
        <v>136</v>
      </c>
      <c r="CS44" t="s">
        <v>136</v>
      </c>
      <c r="CT44" t="s">
        <v>863</v>
      </c>
      <c r="CU44" t="s">
        <v>864</v>
      </c>
      <c r="CV44" t="s">
        <v>865</v>
      </c>
      <c r="CW44" t="s">
        <v>866</v>
      </c>
      <c r="CX44" t="s">
        <v>867</v>
      </c>
      <c r="CY44" t="s">
        <v>868</v>
      </c>
      <c r="CZ44" t="s">
        <v>869</v>
      </c>
      <c r="DA44" t="s">
        <v>870</v>
      </c>
      <c r="DB44" t="s">
        <v>834</v>
      </c>
      <c r="DC44" t="s">
        <v>467</v>
      </c>
      <c r="DD44" t="s">
        <v>191</v>
      </c>
      <c r="DE44" t="s">
        <v>192</v>
      </c>
      <c r="DF44" t="s">
        <v>142</v>
      </c>
      <c r="DG44" t="s">
        <v>193</v>
      </c>
      <c r="DH44" t="s">
        <v>194</v>
      </c>
      <c r="DI44" t="s">
        <v>142</v>
      </c>
      <c r="DJ44" t="s">
        <v>195</v>
      </c>
      <c r="DK44" t="s">
        <v>196</v>
      </c>
      <c r="DL44" t="s">
        <v>197</v>
      </c>
      <c r="DM44" t="s">
        <v>136</v>
      </c>
      <c r="DN44" t="s">
        <v>833</v>
      </c>
      <c r="DO44" t="s">
        <v>198</v>
      </c>
      <c r="DP44" t="s">
        <v>199</v>
      </c>
      <c r="DQ44" t="s">
        <v>200</v>
      </c>
      <c r="DR44" t="s">
        <v>201</v>
      </c>
      <c r="DS44" t="s">
        <v>202</v>
      </c>
      <c r="DT44" t="s">
        <v>203</v>
      </c>
    </row>
    <row r="45" spans="1:124" ht="19.2" customHeight="1" x14ac:dyDescent="0.45">
      <c r="A45" t="s">
        <v>871</v>
      </c>
      <c r="B45" t="s">
        <v>872</v>
      </c>
      <c r="C45" t="s">
        <v>126</v>
      </c>
      <c r="D45" t="s">
        <v>127</v>
      </c>
      <c r="E45" t="s">
        <v>128</v>
      </c>
      <c r="I45" t="s">
        <v>2263</v>
      </c>
      <c r="J45">
        <f t="shared" si="10"/>
        <v>0.1837068041867754</v>
      </c>
      <c r="K45">
        <f t="shared" si="11"/>
        <v>2.9058327199999998</v>
      </c>
      <c r="L45">
        <f t="shared" si="12"/>
        <v>0.1727834320660056</v>
      </c>
      <c r="M45">
        <f t="shared" si="13"/>
        <v>2.9015783751812338</v>
      </c>
      <c r="N45" t="s">
        <v>873</v>
      </c>
      <c r="O45" t="s">
        <v>874</v>
      </c>
      <c r="P45">
        <f t="shared" si="14"/>
        <v>3.5707597933929329</v>
      </c>
      <c r="Q45">
        <f t="shared" si="15"/>
        <v>1.6578917933929329</v>
      </c>
      <c r="R45" t="s">
        <v>875</v>
      </c>
      <c r="S45" t="s">
        <v>876</v>
      </c>
      <c r="T45">
        <f t="shared" si="16"/>
        <v>35.190300516339143</v>
      </c>
      <c r="U45">
        <f t="shared" si="17"/>
        <v>0.4417875</v>
      </c>
      <c r="V45" t="s">
        <v>134</v>
      </c>
      <c r="W45" t="s">
        <v>877</v>
      </c>
      <c r="X45" t="s">
        <v>136</v>
      </c>
      <c r="Y45" t="s">
        <v>136</v>
      </c>
      <c r="Z45" t="s">
        <v>136</v>
      </c>
      <c r="AA45" t="s">
        <v>878</v>
      </c>
      <c r="AB45" t="s">
        <v>879</v>
      </c>
      <c r="AC45" t="s">
        <v>880</v>
      </c>
      <c r="AD45" t="s">
        <v>140</v>
      </c>
      <c r="AE45" t="s">
        <v>141</v>
      </c>
      <c r="AF45">
        <f t="shared" si="18"/>
        <v>34.202620619999998</v>
      </c>
      <c r="AG45" t="s">
        <v>142</v>
      </c>
      <c r="AH45" t="s">
        <v>881</v>
      </c>
      <c r="AI45" t="s">
        <v>882</v>
      </c>
      <c r="AJ45" t="s">
        <v>797</v>
      </c>
      <c r="AK45" t="s">
        <v>145</v>
      </c>
      <c r="AL45">
        <f t="shared" si="19"/>
        <v>26.96</v>
      </c>
      <c r="AM45" t="s">
        <v>799</v>
      </c>
      <c r="AN45" t="s">
        <v>350</v>
      </c>
      <c r="AO45" t="s">
        <v>883</v>
      </c>
      <c r="AP45" t="s">
        <v>884</v>
      </c>
      <c r="AQ45" t="s">
        <v>885</v>
      </c>
      <c r="AR45" t="s">
        <v>886</v>
      </c>
      <c r="AS45" t="s">
        <v>887</v>
      </c>
      <c r="AT45" t="s">
        <v>888</v>
      </c>
      <c r="AU45" t="s">
        <v>889</v>
      </c>
      <c r="AV45" t="s">
        <v>890</v>
      </c>
      <c r="AW45" t="s">
        <v>891</v>
      </c>
      <c r="AX45" t="s">
        <v>892</v>
      </c>
      <c r="AY45" t="s">
        <v>893</v>
      </c>
      <c r="AZ45" t="s">
        <v>445</v>
      </c>
      <c r="BA45" t="s">
        <v>850</v>
      </c>
      <c r="BB45" t="s">
        <v>851</v>
      </c>
      <c r="BC45" t="s">
        <v>894</v>
      </c>
      <c r="BD45" t="s">
        <v>126</v>
      </c>
      <c r="BE45" t="s">
        <v>732</v>
      </c>
      <c r="BF45" t="s">
        <v>895</v>
      </c>
      <c r="BG45" t="s">
        <v>896</v>
      </c>
      <c r="BH45" t="s">
        <v>242</v>
      </c>
      <c r="BI45" t="s">
        <v>897</v>
      </c>
      <c r="BJ45" t="s">
        <v>858</v>
      </c>
      <c r="BK45" t="s">
        <v>126</v>
      </c>
      <c r="BL45" t="s">
        <v>859</v>
      </c>
      <c r="BM45" t="s">
        <v>124</v>
      </c>
      <c r="BN45" t="s">
        <v>171</v>
      </c>
      <c r="BO45" t="s">
        <v>171</v>
      </c>
      <c r="BP45" t="s">
        <v>411</v>
      </c>
      <c r="BQ45" t="s">
        <v>898</v>
      </c>
      <c r="BR45" t="s">
        <v>899</v>
      </c>
      <c r="BS45" t="s">
        <v>900</v>
      </c>
      <c r="BT45" t="s">
        <v>124</v>
      </c>
      <c r="BU45" t="s">
        <v>170</v>
      </c>
      <c r="BV45" t="s">
        <v>171</v>
      </c>
      <c r="BW45" t="s">
        <v>172</v>
      </c>
      <c r="BX45" t="s">
        <v>173</v>
      </c>
      <c r="BY45" t="s">
        <v>136</v>
      </c>
      <c r="BZ45" t="s">
        <v>174</v>
      </c>
      <c r="CA45" t="s">
        <v>136</v>
      </c>
      <c r="CB45" t="s">
        <v>136</v>
      </c>
      <c r="CC45" t="s">
        <v>175</v>
      </c>
      <c r="CD45" t="s">
        <v>176</v>
      </c>
      <c r="CE45" t="s">
        <v>161</v>
      </c>
      <c r="CF45" t="s">
        <v>177</v>
      </c>
      <c r="CG45" t="s">
        <v>178</v>
      </c>
      <c r="CH45" t="s">
        <v>179</v>
      </c>
      <c r="CI45" t="s">
        <v>142</v>
      </c>
      <c r="CJ45" t="s">
        <v>172</v>
      </c>
      <c r="CK45" t="s">
        <v>180</v>
      </c>
      <c r="CL45" t="s">
        <v>180</v>
      </c>
      <c r="CM45" t="s">
        <v>180</v>
      </c>
      <c r="CN45" t="s">
        <v>136</v>
      </c>
      <c r="CO45" t="s">
        <v>181</v>
      </c>
      <c r="CP45" t="s">
        <v>136</v>
      </c>
      <c r="CQ45" t="s">
        <v>136</v>
      </c>
      <c r="CR45" t="s">
        <v>136</v>
      </c>
      <c r="CS45" t="s">
        <v>136</v>
      </c>
      <c r="CT45" t="s">
        <v>901</v>
      </c>
      <c r="CU45" t="s">
        <v>902</v>
      </c>
      <c r="CV45" t="s">
        <v>903</v>
      </c>
      <c r="CW45" t="s">
        <v>904</v>
      </c>
      <c r="CX45" t="s">
        <v>905</v>
      </c>
      <c r="CY45" t="s">
        <v>906</v>
      </c>
      <c r="CZ45" t="s">
        <v>907</v>
      </c>
      <c r="DA45" t="s">
        <v>908</v>
      </c>
      <c r="DB45" t="s">
        <v>878</v>
      </c>
      <c r="DC45" t="s">
        <v>669</v>
      </c>
      <c r="DD45" t="s">
        <v>191</v>
      </c>
      <c r="DE45" t="s">
        <v>192</v>
      </c>
      <c r="DF45" t="s">
        <v>142</v>
      </c>
      <c r="DG45" t="s">
        <v>193</v>
      </c>
      <c r="DH45" t="s">
        <v>194</v>
      </c>
      <c r="DI45" t="s">
        <v>142</v>
      </c>
      <c r="DJ45" t="s">
        <v>195</v>
      </c>
      <c r="DK45" t="s">
        <v>196</v>
      </c>
      <c r="DL45" t="s">
        <v>197</v>
      </c>
      <c r="DM45" t="s">
        <v>136</v>
      </c>
      <c r="DN45" t="s">
        <v>877</v>
      </c>
      <c r="DO45" t="s">
        <v>198</v>
      </c>
      <c r="DP45" t="s">
        <v>199</v>
      </c>
      <c r="DQ45" t="s">
        <v>200</v>
      </c>
      <c r="DR45" t="s">
        <v>201</v>
      </c>
      <c r="DS45" t="s">
        <v>202</v>
      </c>
      <c r="DT45" t="s">
        <v>203</v>
      </c>
    </row>
    <row r="46" spans="1:124" ht="19.2" customHeight="1" x14ac:dyDescent="0.45">
      <c r="A46" t="s">
        <v>1129</v>
      </c>
      <c r="B46" t="s">
        <v>1130</v>
      </c>
      <c r="C46" t="s">
        <v>126</v>
      </c>
      <c r="D46" t="s">
        <v>127</v>
      </c>
      <c r="E46" t="s">
        <v>128</v>
      </c>
      <c r="I46" t="s">
        <v>2264</v>
      </c>
      <c r="J46">
        <f t="shared" si="10"/>
        <v>0.44853935711976556</v>
      </c>
      <c r="K46">
        <f t="shared" si="11"/>
        <v>2.9058327199999998</v>
      </c>
      <c r="L46">
        <f t="shared" si="12"/>
        <v>0.38856164735473475</v>
      </c>
      <c r="M46">
        <f t="shared" si="13"/>
        <v>5.4000619088491106</v>
      </c>
      <c r="N46" t="s">
        <v>1131</v>
      </c>
      <c r="O46" t="s">
        <v>1132</v>
      </c>
      <c r="P46">
        <f t="shared" si="14"/>
        <v>3.3802530638605148</v>
      </c>
      <c r="Q46">
        <f t="shared" si="15"/>
        <v>1.3727580638605148</v>
      </c>
      <c r="R46" t="s">
        <v>1133</v>
      </c>
      <c r="S46" t="s">
        <v>1134</v>
      </c>
      <c r="T46">
        <f t="shared" si="16"/>
        <v>33.312832008086282</v>
      </c>
      <c r="U46">
        <f t="shared" si="17"/>
        <v>0.4417875</v>
      </c>
      <c r="V46" t="s">
        <v>134</v>
      </c>
      <c r="W46" t="s">
        <v>1135</v>
      </c>
      <c r="X46" t="s">
        <v>136</v>
      </c>
      <c r="Y46" t="s">
        <v>136</v>
      </c>
      <c r="Z46" t="s">
        <v>136</v>
      </c>
      <c r="AA46" t="s">
        <v>1136</v>
      </c>
      <c r="AB46" t="s">
        <v>1137</v>
      </c>
      <c r="AC46" t="s">
        <v>1138</v>
      </c>
      <c r="AD46" t="s">
        <v>140</v>
      </c>
      <c r="AE46" t="s">
        <v>141</v>
      </c>
      <c r="AF46">
        <f t="shared" si="18"/>
        <v>38.152001159999998</v>
      </c>
      <c r="AG46" t="s">
        <v>142</v>
      </c>
      <c r="AH46" t="s">
        <v>1139</v>
      </c>
      <c r="AI46" t="s">
        <v>1140</v>
      </c>
      <c r="AJ46" t="s">
        <v>1068</v>
      </c>
      <c r="AK46" t="s">
        <v>1141</v>
      </c>
      <c r="AL46">
        <f t="shared" si="19"/>
        <v>26.03</v>
      </c>
      <c r="AM46" t="s">
        <v>799</v>
      </c>
      <c r="AN46" t="s">
        <v>350</v>
      </c>
      <c r="AO46" t="s">
        <v>1142</v>
      </c>
      <c r="AP46" t="s">
        <v>352</v>
      </c>
      <c r="AQ46" t="s">
        <v>1143</v>
      </c>
      <c r="AR46" t="s">
        <v>1144</v>
      </c>
      <c r="AS46" t="s">
        <v>804</v>
      </c>
      <c r="AT46" t="s">
        <v>355</v>
      </c>
      <c r="AU46" t="s">
        <v>527</v>
      </c>
      <c r="AV46" t="s">
        <v>1145</v>
      </c>
      <c r="AW46" t="s">
        <v>1146</v>
      </c>
      <c r="AX46" t="s">
        <v>1147</v>
      </c>
      <c r="AY46" t="s">
        <v>1148</v>
      </c>
      <c r="AZ46" t="s">
        <v>445</v>
      </c>
      <c r="BA46" t="s">
        <v>1149</v>
      </c>
      <c r="BB46" t="s">
        <v>1150</v>
      </c>
      <c r="BC46" t="s">
        <v>1151</v>
      </c>
      <c r="BD46" t="s">
        <v>126</v>
      </c>
      <c r="BE46" t="s">
        <v>1116</v>
      </c>
      <c r="BF46" t="s">
        <v>408</v>
      </c>
      <c r="BG46" t="s">
        <v>1152</v>
      </c>
      <c r="BH46" t="s">
        <v>628</v>
      </c>
      <c r="BI46" t="s">
        <v>1153</v>
      </c>
      <c r="BJ46" t="s">
        <v>858</v>
      </c>
      <c r="BK46" t="s">
        <v>126</v>
      </c>
      <c r="BL46" t="s">
        <v>859</v>
      </c>
      <c r="BM46" t="s">
        <v>124</v>
      </c>
      <c r="BN46" t="s">
        <v>164</v>
      </c>
      <c r="BO46" t="s">
        <v>165</v>
      </c>
      <c r="BP46" t="s">
        <v>166</v>
      </c>
      <c r="BQ46" t="s">
        <v>1154</v>
      </c>
      <c r="BR46" t="s">
        <v>1155</v>
      </c>
      <c r="BS46" t="s">
        <v>1156</v>
      </c>
      <c r="BT46" t="s">
        <v>124</v>
      </c>
      <c r="BU46" t="s">
        <v>170</v>
      </c>
      <c r="BV46" t="s">
        <v>171</v>
      </c>
      <c r="BW46" t="s">
        <v>172</v>
      </c>
      <c r="BX46" t="s">
        <v>173</v>
      </c>
      <c r="BY46" t="s">
        <v>136</v>
      </c>
      <c r="BZ46" t="s">
        <v>174</v>
      </c>
      <c r="CA46" t="s">
        <v>136</v>
      </c>
      <c r="CB46" t="s">
        <v>136</v>
      </c>
      <c r="CC46" t="s">
        <v>175</v>
      </c>
      <c r="CD46" t="s">
        <v>176</v>
      </c>
      <c r="CE46" t="s">
        <v>161</v>
      </c>
      <c r="CF46" t="s">
        <v>177</v>
      </c>
      <c r="CG46" t="s">
        <v>178</v>
      </c>
      <c r="CH46" t="s">
        <v>179</v>
      </c>
      <c r="CI46" t="s">
        <v>142</v>
      </c>
      <c r="CJ46" t="s">
        <v>172</v>
      </c>
      <c r="CK46" t="s">
        <v>180</v>
      </c>
      <c r="CL46" t="s">
        <v>180</v>
      </c>
      <c r="CM46" t="s">
        <v>180</v>
      </c>
      <c r="CN46" t="s">
        <v>136</v>
      </c>
      <c r="CO46" t="s">
        <v>181</v>
      </c>
      <c r="CP46" t="s">
        <v>136</v>
      </c>
      <c r="CQ46" t="s">
        <v>136</v>
      </c>
      <c r="CR46" t="s">
        <v>136</v>
      </c>
      <c r="CS46" t="s">
        <v>136</v>
      </c>
      <c r="CT46" t="s">
        <v>1157</v>
      </c>
      <c r="CU46" t="s">
        <v>1158</v>
      </c>
      <c r="CV46" t="s">
        <v>1159</v>
      </c>
      <c r="CW46" t="s">
        <v>1160</v>
      </c>
      <c r="CX46" t="s">
        <v>1088</v>
      </c>
      <c r="CY46" t="s">
        <v>1161</v>
      </c>
      <c r="CZ46" t="s">
        <v>1162</v>
      </c>
      <c r="DA46" t="s">
        <v>1163</v>
      </c>
      <c r="DB46" t="s">
        <v>1136</v>
      </c>
      <c r="DC46" t="s">
        <v>745</v>
      </c>
      <c r="DD46" t="s">
        <v>191</v>
      </c>
      <c r="DE46" t="s">
        <v>192</v>
      </c>
      <c r="DF46" t="s">
        <v>142</v>
      </c>
      <c r="DG46" t="s">
        <v>193</v>
      </c>
      <c r="DH46" t="s">
        <v>194</v>
      </c>
      <c r="DI46" t="s">
        <v>142</v>
      </c>
      <c r="DJ46" t="s">
        <v>195</v>
      </c>
      <c r="DK46" t="s">
        <v>196</v>
      </c>
      <c r="DL46" t="s">
        <v>197</v>
      </c>
      <c r="DM46" t="s">
        <v>136</v>
      </c>
      <c r="DN46" t="s">
        <v>1135</v>
      </c>
      <c r="DO46" t="s">
        <v>198</v>
      </c>
      <c r="DP46" t="s">
        <v>199</v>
      </c>
      <c r="DQ46" t="s">
        <v>200</v>
      </c>
      <c r="DR46" t="s">
        <v>201</v>
      </c>
      <c r="DS46" t="s">
        <v>202</v>
      </c>
      <c r="DT46" t="s">
        <v>203</v>
      </c>
    </row>
    <row r="47" spans="1:124" ht="19.2" customHeight="1" x14ac:dyDescent="0.45">
      <c r="A47" t="s">
        <v>1164</v>
      </c>
      <c r="B47" t="s">
        <v>1165</v>
      </c>
      <c r="C47" t="s">
        <v>126</v>
      </c>
      <c r="D47" t="s">
        <v>127</v>
      </c>
      <c r="E47" t="s">
        <v>128</v>
      </c>
      <c r="I47" t="s">
        <v>2265</v>
      </c>
      <c r="J47">
        <f t="shared" si="10"/>
        <v>0.27273903188029558</v>
      </c>
      <c r="K47">
        <f t="shared" si="11"/>
        <v>2.9058327199999998</v>
      </c>
      <c r="L47">
        <f t="shared" si="12"/>
        <v>0.24933651486396669</v>
      </c>
      <c r="M47">
        <f t="shared" si="13"/>
        <v>3.8388570051804116</v>
      </c>
      <c r="N47" t="s">
        <v>1166</v>
      </c>
      <c r="O47" t="s">
        <v>1167</v>
      </c>
      <c r="P47">
        <f t="shared" si="14"/>
        <v>3.4672038869763697</v>
      </c>
      <c r="Q47">
        <f t="shared" si="15"/>
        <v>1.5205518869763697</v>
      </c>
      <c r="R47" t="s">
        <v>1168</v>
      </c>
      <c r="S47" t="s">
        <v>1169</v>
      </c>
      <c r="T47">
        <f t="shared" si="16"/>
        <v>34.169743638280963</v>
      </c>
      <c r="U47">
        <f t="shared" si="17"/>
        <v>0.4417875</v>
      </c>
      <c r="V47" t="s">
        <v>134</v>
      </c>
      <c r="W47" t="s">
        <v>1170</v>
      </c>
      <c r="X47" t="s">
        <v>136</v>
      </c>
      <c r="Y47" t="s">
        <v>136</v>
      </c>
      <c r="Z47" t="s">
        <v>136</v>
      </c>
      <c r="AA47" t="s">
        <v>1171</v>
      </c>
      <c r="AB47" t="s">
        <v>1172</v>
      </c>
      <c r="AC47" t="s">
        <v>1173</v>
      </c>
      <c r="AD47" t="s">
        <v>140</v>
      </c>
      <c r="AE47" t="s">
        <v>141</v>
      </c>
      <c r="AF47">
        <f t="shared" si="18"/>
        <v>36.625736279999998</v>
      </c>
      <c r="AG47" t="s">
        <v>142</v>
      </c>
      <c r="AH47" t="s">
        <v>1174</v>
      </c>
      <c r="AI47" t="s">
        <v>1175</v>
      </c>
      <c r="AJ47" t="s">
        <v>721</v>
      </c>
      <c r="AK47" t="s">
        <v>1176</v>
      </c>
      <c r="AL47">
        <f t="shared" si="19"/>
        <v>26.46</v>
      </c>
      <c r="AM47" t="s">
        <v>799</v>
      </c>
      <c r="AN47" t="s">
        <v>350</v>
      </c>
      <c r="AO47" t="s">
        <v>1177</v>
      </c>
      <c r="AP47" t="s">
        <v>1178</v>
      </c>
      <c r="AQ47" t="s">
        <v>1179</v>
      </c>
      <c r="AR47" t="s">
        <v>1180</v>
      </c>
      <c r="AS47" t="s">
        <v>262</v>
      </c>
      <c r="AT47" t="s">
        <v>309</v>
      </c>
      <c r="AU47" t="s">
        <v>1181</v>
      </c>
      <c r="AV47" t="s">
        <v>1182</v>
      </c>
      <c r="AW47" t="s">
        <v>1183</v>
      </c>
      <c r="AX47" t="s">
        <v>313</v>
      </c>
      <c r="AY47" t="s">
        <v>1184</v>
      </c>
      <c r="AZ47" t="s">
        <v>445</v>
      </c>
      <c r="BA47" t="s">
        <v>1185</v>
      </c>
      <c r="BB47" t="s">
        <v>1186</v>
      </c>
      <c r="BC47" t="s">
        <v>1187</v>
      </c>
      <c r="BD47" t="s">
        <v>126</v>
      </c>
      <c r="BE47" t="s">
        <v>1188</v>
      </c>
      <c r="BF47" t="s">
        <v>319</v>
      </c>
      <c r="BG47" t="s">
        <v>1189</v>
      </c>
      <c r="BH47" t="s">
        <v>628</v>
      </c>
      <c r="BI47" t="s">
        <v>1190</v>
      </c>
      <c r="BJ47" t="s">
        <v>858</v>
      </c>
      <c r="BK47" t="s">
        <v>126</v>
      </c>
      <c r="BL47" t="s">
        <v>859</v>
      </c>
      <c r="BM47" t="s">
        <v>124</v>
      </c>
      <c r="BN47" t="s">
        <v>228</v>
      </c>
      <c r="BO47" t="s">
        <v>165</v>
      </c>
      <c r="BP47" t="s">
        <v>276</v>
      </c>
      <c r="BQ47" t="s">
        <v>1191</v>
      </c>
      <c r="BR47" t="s">
        <v>1192</v>
      </c>
      <c r="BS47" t="s">
        <v>1193</v>
      </c>
      <c r="BT47" t="s">
        <v>124</v>
      </c>
      <c r="BU47" t="s">
        <v>170</v>
      </c>
      <c r="BV47" t="s">
        <v>171</v>
      </c>
      <c r="BW47" t="s">
        <v>172</v>
      </c>
      <c r="BX47" t="s">
        <v>173</v>
      </c>
      <c r="BY47" t="s">
        <v>136</v>
      </c>
      <c r="BZ47" t="s">
        <v>174</v>
      </c>
      <c r="CA47" t="s">
        <v>136</v>
      </c>
      <c r="CB47" t="s">
        <v>136</v>
      </c>
      <c r="CC47" t="s">
        <v>175</v>
      </c>
      <c r="CD47" t="s">
        <v>176</v>
      </c>
      <c r="CE47" t="s">
        <v>161</v>
      </c>
      <c r="CF47" t="s">
        <v>177</v>
      </c>
      <c r="CG47" t="s">
        <v>178</v>
      </c>
      <c r="CH47" t="s">
        <v>179</v>
      </c>
      <c r="CI47" t="s">
        <v>142</v>
      </c>
      <c r="CJ47" t="s">
        <v>172</v>
      </c>
      <c r="CK47" t="s">
        <v>180</v>
      </c>
      <c r="CL47" t="s">
        <v>180</v>
      </c>
      <c r="CM47" t="s">
        <v>180</v>
      </c>
      <c r="CN47" t="s">
        <v>136</v>
      </c>
      <c r="CO47" t="s">
        <v>181</v>
      </c>
      <c r="CP47" t="s">
        <v>136</v>
      </c>
      <c r="CQ47" t="s">
        <v>136</v>
      </c>
      <c r="CR47" t="s">
        <v>136</v>
      </c>
      <c r="CS47" t="s">
        <v>136</v>
      </c>
      <c r="CT47" t="s">
        <v>1194</v>
      </c>
      <c r="CU47" t="s">
        <v>1195</v>
      </c>
      <c r="CV47" t="s">
        <v>1196</v>
      </c>
      <c r="CW47" t="s">
        <v>1197</v>
      </c>
      <c r="CX47" t="s">
        <v>1198</v>
      </c>
      <c r="CY47" t="s">
        <v>1199</v>
      </c>
      <c r="CZ47" t="s">
        <v>1200</v>
      </c>
      <c r="DA47" t="s">
        <v>1201</v>
      </c>
      <c r="DB47" t="s">
        <v>1171</v>
      </c>
      <c r="DC47" t="s">
        <v>381</v>
      </c>
      <c r="DD47" t="s">
        <v>191</v>
      </c>
      <c r="DE47" t="s">
        <v>192</v>
      </c>
      <c r="DF47" t="s">
        <v>142</v>
      </c>
      <c r="DG47" t="s">
        <v>193</v>
      </c>
      <c r="DH47" t="s">
        <v>194</v>
      </c>
      <c r="DI47" t="s">
        <v>142</v>
      </c>
      <c r="DJ47" t="s">
        <v>195</v>
      </c>
      <c r="DK47" t="s">
        <v>196</v>
      </c>
      <c r="DL47" t="s">
        <v>197</v>
      </c>
      <c r="DM47" t="s">
        <v>136</v>
      </c>
      <c r="DN47" t="s">
        <v>1170</v>
      </c>
      <c r="DO47" t="s">
        <v>198</v>
      </c>
      <c r="DP47" t="s">
        <v>199</v>
      </c>
      <c r="DQ47" t="s">
        <v>200</v>
      </c>
      <c r="DR47" t="s">
        <v>201</v>
      </c>
      <c r="DS47" t="s">
        <v>202</v>
      </c>
      <c r="DT47" t="s">
        <v>203</v>
      </c>
    </row>
    <row r="48" spans="1:124" ht="19.2" customHeight="1" x14ac:dyDescent="0.45">
      <c r="A48" t="s">
        <v>1202</v>
      </c>
      <c r="B48" t="s">
        <v>1203</v>
      </c>
      <c r="C48" t="s">
        <v>126</v>
      </c>
      <c r="D48" t="s">
        <v>127</v>
      </c>
      <c r="E48" t="s">
        <v>128</v>
      </c>
      <c r="I48" t="s">
        <v>2266</v>
      </c>
      <c r="J48">
        <f t="shared" si="10"/>
        <v>0.39657120581355321</v>
      </c>
      <c r="K48">
        <f t="shared" si="11"/>
        <v>2.9058327199999998</v>
      </c>
      <c r="L48">
        <f t="shared" si="12"/>
        <v>0.3489487087437339</v>
      </c>
      <c r="M48">
        <f t="shared" si="13"/>
        <v>4.9035683998239019</v>
      </c>
      <c r="N48" t="s">
        <v>1204</v>
      </c>
      <c r="O48" t="s">
        <v>1205</v>
      </c>
      <c r="P48">
        <f t="shared" si="14"/>
        <v>3.3662800500260777</v>
      </c>
      <c r="Q48">
        <f t="shared" si="15"/>
        <v>1.3883720500260777</v>
      </c>
      <c r="R48" t="s">
        <v>1206</v>
      </c>
      <c r="S48" t="s">
        <v>1207</v>
      </c>
      <c r="T48">
        <f t="shared" si="16"/>
        <v>33.175126145915812</v>
      </c>
      <c r="U48">
        <f t="shared" si="17"/>
        <v>0.4417875</v>
      </c>
      <c r="V48" t="s">
        <v>134</v>
      </c>
      <c r="W48" t="s">
        <v>1208</v>
      </c>
      <c r="X48" t="s">
        <v>136</v>
      </c>
      <c r="Y48" t="s">
        <v>136</v>
      </c>
      <c r="Z48" t="s">
        <v>136</v>
      </c>
      <c r="AA48" t="s">
        <v>1209</v>
      </c>
      <c r="AB48" t="s">
        <v>1210</v>
      </c>
      <c r="AC48" t="s">
        <v>1211</v>
      </c>
      <c r="AD48" t="s">
        <v>140</v>
      </c>
      <c r="AE48" t="s">
        <v>141</v>
      </c>
      <c r="AF48">
        <f t="shared" si="18"/>
        <v>36.762371519999995</v>
      </c>
      <c r="AG48" t="s">
        <v>142</v>
      </c>
      <c r="AH48" t="s">
        <v>1212</v>
      </c>
      <c r="AI48" t="s">
        <v>1213</v>
      </c>
      <c r="AJ48" t="s">
        <v>1214</v>
      </c>
      <c r="AK48" t="s">
        <v>480</v>
      </c>
      <c r="AL48">
        <f t="shared" si="19"/>
        <v>25.96</v>
      </c>
      <c r="AM48" t="s">
        <v>799</v>
      </c>
      <c r="AN48" t="s">
        <v>350</v>
      </c>
      <c r="AO48" t="s">
        <v>840</v>
      </c>
      <c r="AP48" t="s">
        <v>841</v>
      </c>
      <c r="AQ48" t="s">
        <v>1215</v>
      </c>
      <c r="AR48" t="s">
        <v>1180</v>
      </c>
      <c r="AS48" t="s">
        <v>1216</v>
      </c>
      <c r="AT48" t="s">
        <v>1217</v>
      </c>
      <c r="AU48" t="s">
        <v>1218</v>
      </c>
      <c r="AV48" t="s">
        <v>1219</v>
      </c>
      <c r="AW48" t="s">
        <v>1220</v>
      </c>
      <c r="AX48" t="s">
        <v>1221</v>
      </c>
      <c r="AY48" t="s">
        <v>1222</v>
      </c>
      <c r="AZ48" t="s">
        <v>445</v>
      </c>
      <c r="BA48" t="s">
        <v>1223</v>
      </c>
      <c r="BB48" t="s">
        <v>1224</v>
      </c>
      <c r="BC48" t="s">
        <v>1225</v>
      </c>
      <c r="BD48" t="s">
        <v>126</v>
      </c>
      <c r="BE48" t="s">
        <v>1226</v>
      </c>
      <c r="BF48" t="s">
        <v>1227</v>
      </c>
      <c r="BG48" t="s">
        <v>896</v>
      </c>
      <c r="BH48" t="s">
        <v>451</v>
      </c>
      <c r="BI48" t="s">
        <v>773</v>
      </c>
      <c r="BJ48" t="s">
        <v>858</v>
      </c>
      <c r="BK48" t="s">
        <v>126</v>
      </c>
      <c r="BL48" t="s">
        <v>859</v>
      </c>
      <c r="BM48" t="s">
        <v>124</v>
      </c>
      <c r="BN48" t="s">
        <v>228</v>
      </c>
      <c r="BO48" t="s">
        <v>165</v>
      </c>
      <c r="BP48" t="s">
        <v>411</v>
      </c>
      <c r="BQ48" t="s">
        <v>697</v>
      </c>
      <c r="BR48" t="s">
        <v>1228</v>
      </c>
      <c r="BS48" t="s">
        <v>1229</v>
      </c>
      <c r="BT48" t="s">
        <v>124</v>
      </c>
      <c r="BU48" t="s">
        <v>170</v>
      </c>
      <c r="BV48" t="s">
        <v>171</v>
      </c>
      <c r="BW48" t="s">
        <v>172</v>
      </c>
      <c r="BX48" t="s">
        <v>173</v>
      </c>
      <c r="BY48" t="s">
        <v>136</v>
      </c>
      <c r="BZ48" t="s">
        <v>174</v>
      </c>
      <c r="CA48" t="s">
        <v>136</v>
      </c>
      <c r="CB48" t="s">
        <v>136</v>
      </c>
      <c r="CC48" t="s">
        <v>175</v>
      </c>
      <c r="CD48" t="s">
        <v>176</v>
      </c>
      <c r="CE48" t="s">
        <v>161</v>
      </c>
      <c r="CF48" t="s">
        <v>177</v>
      </c>
      <c r="CG48" t="s">
        <v>178</v>
      </c>
      <c r="CH48" t="s">
        <v>179</v>
      </c>
      <c r="CI48" t="s">
        <v>142</v>
      </c>
      <c r="CJ48" t="s">
        <v>172</v>
      </c>
      <c r="CK48" t="s">
        <v>180</v>
      </c>
      <c r="CL48" t="s">
        <v>180</v>
      </c>
      <c r="CM48" t="s">
        <v>180</v>
      </c>
      <c r="CN48" t="s">
        <v>136</v>
      </c>
      <c r="CO48" t="s">
        <v>181</v>
      </c>
      <c r="CP48" t="s">
        <v>136</v>
      </c>
      <c r="CQ48" t="s">
        <v>136</v>
      </c>
      <c r="CR48" t="s">
        <v>136</v>
      </c>
      <c r="CS48" t="s">
        <v>136</v>
      </c>
      <c r="CT48" t="s">
        <v>1230</v>
      </c>
      <c r="CU48" t="s">
        <v>1231</v>
      </c>
      <c r="CV48" t="s">
        <v>1232</v>
      </c>
      <c r="CW48" t="s">
        <v>866</v>
      </c>
      <c r="CX48" t="s">
        <v>1233</v>
      </c>
      <c r="CY48" t="s">
        <v>1234</v>
      </c>
      <c r="CZ48" t="s">
        <v>1235</v>
      </c>
      <c r="DA48" t="s">
        <v>1236</v>
      </c>
      <c r="DB48" t="s">
        <v>1209</v>
      </c>
      <c r="DC48" t="s">
        <v>508</v>
      </c>
      <c r="DD48" t="s">
        <v>191</v>
      </c>
      <c r="DE48" t="s">
        <v>192</v>
      </c>
      <c r="DF48" t="s">
        <v>142</v>
      </c>
      <c r="DG48" t="s">
        <v>193</v>
      </c>
      <c r="DH48" t="s">
        <v>194</v>
      </c>
      <c r="DI48" t="s">
        <v>142</v>
      </c>
      <c r="DJ48" t="s">
        <v>195</v>
      </c>
      <c r="DK48" t="s">
        <v>196</v>
      </c>
      <c r="DL48" t="s">
        <v>197</v>
      </c>
      <c r="DM48" t="s">
        <v>136</v>
      </c>
      <c r="DN48" t="s">
        <v>1208</v>
      </c>
      <c r="DO48" t="s">
        <v>198</v>
      </c>
      <c r="DP48" t="s">
        <v>199</v>
      </c>
      <c r="DQ48" t="s">
        <v>200</v>
      </c>
      <c r="DR48" t="s">
        <v>201</v>
      </c>
      <c r="DS48" t="s">
        <v>202</v>
      </c>
      <c r="DT48" t="s">
        <v>203</v>
      </c>
    </row>
    <row r="49" spans="1:124" ht="19.2" customHeight="1" x14ac:dyDescent="0.45">
      <c r="A49" t="s">
        <v>1462</v>
      </c>
      <c r="B49" t="s">
        <v>1463</v>
      </c>
      <c r="C49" t="s">
        <v>126</v>
      </c>
      <c r="D49" t="s">
        <v>127</v>
      </c>
      <c r="E49" t="s">
        <v>128</v>
      </c>
      <c r="I49" t="s">
        <v>2267</v>
      </c>
      <c r="J49">
        <f t="shared" si="10"/>
        <v>0.16410415564733094</v>
      </c>
      <c r="K49">
        <f t="shared" si="11"/>
        <v>2.9058327199999998</v>
      </c>
      <c r="L49">
        <f t="shared" si="12"/>
        <v>0.15533193165981168</v>
      </c>
      <c r="M49">
        <f t="shared" si="13"/>
        <v>2.4141016897877305</v>
      </c>
      <c r="N49" t="s">
        <v>1464</v>
      </c>
      <c r="O49" t="s">
        <v>1465</v>
      </c>
      <c r="P49">
        <f t="shared" si="14"/>
        <v>3.5686625094010407</v>
      </c>
      <c r="Q49">
        <f t="shared" si="15"/>
        <v>1.5335215094010408</v>
      </c>
      <c r="R49" t="s">
        <v>1466</v>
      </c>
      <c r="S49" t="s">
        <v>1467</v>
      </c>
      <c r="T49">
        <f t="shared" si="16"/>
        <v>35.169631510801622</v>
      </c>
      <c r="U49">
        <f t="shared" si="17"/>
        <v>0.4417875</v>
      </c>
      <c r="V49" t="s">
        <v>134</v>
      </c>
      <c r="W49" t="s">
        <v>1468</v>
      </c>
      <c r="X49" t="s">
        <v>136</v>
      </c>
      <c r="Y49" t="s">
        <v>136</v>
      </c>
      <c r="Z49" t="s">
        <v>136</v>
      </c>
      <c r="AA49" t="s">
        <v>1469</v>
      </c>
      <c r="AB49" t="s">
        <v>1470</v>
      </c>
      <c r="AC49" t="s">
        <v>1471</v>
      </c>
      <c r="AD49" t="s">
        <v>140</v>
      </c>
      <c r="AE49" t="s">
        <v>141</v>
      </c>
      <c r="AF49">
        <f t="shared" si="18"/>
        <v>42.578932620000003</v>
      </c>
      <c r="AG49" t="s">
        <v>142</v>
      </c>
      <c r="AH49" t="s">
        <v>1472</v>
      </c>
      <c r="AI49" t="s">
        <v>1473</v>
      </c>
      <c r="AJ49" t="s">
        <v>1474</v>
      </c>
      <c r="AK49" t="s">
        <v>1475</v>
      </c>
      <c r="AL49">
        <f t="shared" si="19"/>
        <v>26.95</v>
      </c>
      <c r="AM49" t="s">
        <v>799</v>
      </c>
      <c r="AN49" t="s">
        <v>350</v>
      </c>
      <c r="AO49" t="s">
        <v>1401</v>
      </c>
      <c r="AP49" t="s">
        <v>1402</v>
      </c>
      <c r="AQ49" t="s">
        <v>1476</v>
      </c>
      <c r="AR49" t="s">
        <v>1477</v>
      </c>
      <c r="AS49" t="s">
        <v>1478</v>
      </c>
      <c r="AT49" t="s">
        <v>530</v>
      </c>
      <c r="AU49" t="s">
        <v>439</v>
      </c>
      <c r="AV49" t="s">
        <v>1479</v>
      </c>
      <c r="AW49" t="s">
        <v>1480</v>
      </c>
      <c r="AX49" t="s">
        <v>1481</v>
      </c>
      <c r="AY49" t="s">
        <v>1482</v>
      </c>
      <c r="AZ49" t="s">
        <v>445</v>
      </c>
      <c r="BA49" t="s">
        <v>1483</v>
      </c>
      <c r="BB49" t="s">
        <v>1484</v>
      </c>
      <c r="BC49" t="s">
        <v>1485</v>
      </c>
      <c r="BD49" t="s">
        <v>126</v>
      </c>
      <c r="BE49" t="s">
        <v>1486</v>
      </c>
      <c r="BF49" t="s">
        <v>365</v>
      </c>
      <c r="BG49" t="s">
        <v>450</v>
      </c>
      <c r="BH49" t="s">
        <v>628</v>
      </c>
      <c r="BI49" t="s">
        <v>773</v>
      </c>
      <c r="BJ49" t="s">
        <v>858</v>
      </c>
      <c r="BK49" t="s">
        <v>126</v>
      </c>
      <c r="BL49" t="s">
        <v>859</v>
      </c>
      <c r="BM49" t="s">
        <v>124</v>
      </c>
      <c r="BN49" t="s">
        <v>164</v>
      </c>
      <c r="BO49" t="s">
        <v>164</v>
      </c>
      <c r="BP49" t="s">
        <v>276</v>
      </c>
      <c r="BQ49" t="s">
        <v>165</v>
      </c>
      <c r="BR49" t="s">
        <v>1453</v>
      </c>
      <c r="BS49" t="s">
        <v>1487</v>
      </c>
      <c r="BT49" t="s">
        <v>124</v>
      </c>
      <c r="BU49" t="s">
        <v>170</v>
      </c>
      <c r="BV49" t="s">
        <v>171</v>
      </c>
      <c r="BW49" t="s">
        <v>172</v>
      </c>
      <c r="BX49" t="s">
        <v>173</v>
      </c>
      <c r="BY49" t="s">
        <v>136</v>
      </c>
      <c r="BZ49" t="s">
        <v>174</v>
      </c>
      <c r="CA49" t="s">
        <v>136</v>
      </c>
      <c r="CB49" t="s">
        <v>136</v>
      </c>
      <c r="CC49" t="s">
        <v>175</v>
      </c>
      <c r="CD49" t="s">
        <v>176</v>
      </c>
      <c r="CE49" t="s">
        <v>161</v>
      </c>
      <c r="CF49" t="s">
        <v>177</v>
      </c>
      <c r="CG49" t="s">
        <v>178</v>
      </c>
      <c r="CH49" t="s">
        <v>179</v>
      </c>
      <c r="CI49" t="s">
        <v>142</v>
      </c>
      <c r="CJ49" t="s">
        <v>172</v>
      </c>
      <c r="CK49" t="s">
        <v>180</v>
      </c>
      <c r="CL49" t="s">
        <v>180</v>
      </c>
      <c r="CM49" t="s">
        <v>180</v>
      </c>
      <c r="CN49" t="s">
        <v>136</v>
      </c>
      <c r="CO49" t="s">
        <v>181</v>
      </c>
      <c r="CP49" t="s">
        <v>136</v>
      </c>
      <c r="CQ49" t="s">
        <v>136</v>
      </c>
      <c r="CR49" t="s">
        <v>136</v>
      </c>
      <c r="CS49" t="s">
        <v>136</v>
      </c>
      <c r="CT49" t="s">
        <v>1488</v>
      </c>
      <c r="CU49" t="s">
        <v>1489</v>
      </c>
      <c r="CV49" t="s">
        <v>1490</v>
      </c>
      <c r="CW49" t="s">
        <v>1491</v>
      </c>
      <c r="CX49" t="s">
        <v>1492</v>
      </c>
      <c r="CY49" t="s">
        <v>1493</v>
      </c>
      <c r="CZ49" t="s">
        <v>1494</v>
      </c>
      <c r="DA49" t="s">
        <v>1495</v>
      </c>
      <c r="DB49" t="s">
        <v>1469</v>
      </c>
      <c r="DC49" t="s">
        <v>1496</v>
      </c>
      <c r="DD49" t="s">
        <v>191</v>
      </c>
      <c r="DE49" t="s">
        <v>192</v>
      </c>
      <c r="DF49" t="s">
        <v>142</v>
      </c>
      <c r="DG49" t="s">
        <v>193</v>
      </c>
      <c r="DH49" t="s">
        <v>194</v>
      </c>
      <c r="DI49" t="s">
        <v>142</v>
      </c>
      <c r="DJ49" t="s">
        <v>195</v>
      </c>
      <c r="DK49" t="s">
        <v>196</v>
      </c>
      <c r="DL49" t="s">
        <v>197</v>
      </c>
      <c r="DM49" t="s">
        <v>136</v>
      </c>
      <c r="DN49" t="s">
        <v>1468</v>
      </c>
      <c r="DO49" t="s">
        <v>198</v>
      </c>
      <c r="DP49" t="s">
        <v>199</v>
      </c>
      <c r="DQ49" t="s">
        <v>200</v>
      </c>
      <c r="DR49" t="s">
        <v>201</v>
      </c>
      <c r="DS49" t="s">
        <v>202</v>
      </c>
      <c r="DT49" t="s">
        <v>203</v>
      </c>
    </row>
    <row r="50" spans="1:124" ht="19.2" customHeight="1" x14ac:dyDescent="0.45">
      <c r="A50" t="s">
        <v>888</v>
      </c>
      <c r="B50" t="s">
        <v>1497</v>
      </c>
      <c r="C50" t="s">
        <v>126</v>
      </c>
      <c r="D50" t="s">
        <v>127</v>
      </c>
      <c r="E50" t="s">
        <v>128</v>
      </c>
      <c r="I50" t="s">
        <v>2268</v>
      </c>
      <c r="J50">
        <f t="shared" si="10"/>
        <v>0.23084550780271362</v>
      </c>
      <c r="K50">
        <f t="shared" si="11"/>
        <v>2.9050319999999994</v>
      </c>
      <c r="L50">
        <f t="shared" si="12"/>
        <v>0.2138519714352704</v>
      </c>
      <c r="M50">
        <f t="shared" si="13"/>
        <v>3.1739848883543327</v>
      </c>
      <c r="N50" t="s">
        <v>1498</v>
      </c>
      <c r="O50" t="s">
        <v>1499</v>
      </c>
      <c r="P50">
        <f t="shared" si="14"/>
        <v>3.5435788505219916</v>
      </c>
      <c r="Q50">
        <f t="shared" si="15"/>
        <v>1.4641428505219918</v>
      </c>
      <c r="R50" t="s">
        <v>1500</v>
      </c>
      <c r="S50" t="s">
        <v>1501</v>
      </c>
      <c r="T50">
        <f t="shared" si="16"/>
        <v>34.925870791661659</v>
      </c>
      <c r="U50">
        <f t="shared" si="17"/>
        <v>0.4417875</v>
      </c>
      <c r="V50" t="s">
        <v>134</v>
      </c>
      <c r="W50" t="s">
        <v>1502</v>
      </c>
      <c r="X50" t="s">
        <v>136</v>
      </c>
      <c r="Y50" t="s">
        <v>136</v>
      </c>
      <c r="Z50" t="s">
        <v>136</v>
      </c>
      <c r="AA50" t="s">
        <v>1503</v>
      </c>
      <c r="AB50" t="s">
        <v>1504</v>
      </c>
      <c r="AC50" t="s">
        <v>1505</v>
      </c>
      <c r="AD50" t="s">
        <v>140</v>
      </c>
      <c r="AE50" t="s">
        <v>141</v>
      </c>
      <c r="AF50">
        <f t="shared" si="18"/>
        <v>59.859951479999999</v>
      </c>
      <c r="AG50" t="s">
        <v>142</v>
      </c>
      <c r="AH50" t="s">
        <v>1506</v>
      </c>
      <c r="AI50" t="s">
        <v>1150</v>
      </c>
      <c r="AJ50" t="s">
        <v>1507</v>
      </c>
      <c r="AK50" t="s">
        <v>1508</v>
      </c>
      <c r="AL50">
        <f t="shared" si="19"/>
        <v>26.83</v>
      </c>
      <c r="AM50" t="s">
        <v>523</v>
      </c>
      <c r="AN50" t="s">
        <v>148</v>
      </c>
      <c r="AO50" t="s">
        <v>1509</v>
      </c>
      <c r="AP50" t="s">
        <v>1510</v>
      </c>
      <c r="AQ50" t="s">
        <v>1511</v>
      </c>
      <c r="AR50" t="s">
        <v>1512</v>
      </c>
      <c r="AS50" t="s">
        <v>1513</v>
      </c>
      <c r="AT50" t="s">
        <v>572</v>
      </c>
      <c r="AU50" t="s">
        <v>1514</v>
      </c>
      <c r="AV50" t="s">
        <v>919</v>
      </c>
      <c r="AW50" t="s">
        <v>1515</v>
      </c>
      <c r="AX50" t="s">
        <v>1516</v>
      </c>
      <c r="AY50" t="s">
        <v>1517</v>
      </c>
      <c r="AZ50" t="s">
        <v>445</v>
      </c>
      <c r="BA50" t="s">
        <v>1483</v>
      </c>
      <c r="BB50" t="s">
        <v>1484</v>
      </c>
      <c r="BC50" t="s">
        <v>1518</v>
      </c>
      <c r="BD50" t="s">
        <v>126</v>
      </c>
      <c r="BE50" t="s">
        <v>539</v>
      </c>
      <c r="BF50" t="s">
        <v>408</v>
      </c>
      <c r="BG50" t="s">
        <v>1519</v>
      </c>
      <c r="BH50" t="s">
        <v>979</v>
      </c>
      <c r="BI50" t="s">
        <v>1520</v>
      </c>
      <c r="BJ50" t="s">
        <v>858</v>
      </c>
      <c r="BK50" t="s">
        <v>126</v>
      </c>
      <c r="BL50" t="s">
        <v>859</v>
      </c>
      <c r="BM50" t="s">
        <v>124</v>
      </c>
      <c r="BN50" t="s">
        <v>228</v>
      </c>
      <c r="BO50" t="s">
        <v>171</v>
      </c>
      <c r="BP50" t="s">
        <v>166</v>
      </c>
      <c r="BQ50" t="s">
        <v>1521</v>
      </c>
      <c r="BR50" t="s">
        <v>1522</v>
      </c>
      <c r="BS50" t="s">
        <v>1523</v>
      </c>
      <c r="BT50" t="s">
        <v>124</v>
      </c>
      <c r="BU50" t="s">
        <v>170</v>
      </c>
      <c r="BV50" t="s">
        <v>171</v>
      </c>
      <c r="BW50" t="s">
        <v>172</v>
      </c>
      <c r="BX50" t="s">
        <v>173</v>
      </c>
      <c r="BY50" t="s">
        <v>136</v>
      </c>
      <c r="BZ50" t="s">
        <v>174</v>
      </c>
      <c r="CA50" t="s">
        <v>136</v>
      </c>
      <c r="CB50" t="s">
        <v>136</v>
      </c>
      <c r="CC50" t="s">
        <v>175</v>
      </c>
      <c r="CD50" t="s">
        <v>176</v>
      </c>
      <c r="CE50" t="s">
        <v>161</v>
      </c>
      <c r="CF50" t="s">
        <v>177</v>
      </c>
      <c r="CG50" t="s">
        <v>178</v>
      </c>
      <c r="CH50" t="s">
        <v>179</v>
      </c>
      <c r="CI50" t="s">
        <v>142</v>
      </c>
      <c r="CJ50" t="s">
        <v>172</v>
      </c>
      <c r="CK50" t="s">
        <v>180</v>
      </c>
      <c r="CL50" t="s">
        <v>180</v>
      </c>
      <c r="CM50" t="s">
        <v>180</v>
      </c>
      <c r="CN50" t="s">
        <v>136</v>
      </c>
      <c r="CO50" t="s">
        <v>181</v>
      </c>
      <c r="CP50" t="s">
        <v>136</v>
      </c>
      <c r="CQ50" t="s">
        <v>136</v>
      </c>
      <c r="CR50" t="s">
        <v>136</v>
      </c>
      <c r="CS50" t="s">
        <v>136</v>
      </c>
      <c r="CT50" t="s">
        <v>1524</v>
      </c>
      <c r="CU50" t="s">
        <v>1525</v>
      </c>
      <c r="CV50" t="s">
        <v>1526</v>
      </c>
      <c r="CW50" t="s">
        <v>1527</v>
      </c>
      <c r="CX50" t="s">
        <v>1528</v>
      </c>
      <c r="CY50" t="s">
        <v>1529</v>
      </c>
      <c r="CZ50" t="s">
        <v>1530</v>
      </c>
      <c r="DA50" t="s">
        <v>1531</v>
      </c>
      <c r="DB50" t="s">
        <v>1503</v>
      </c>
      <c r="DC50" t="s">
        <v>467</v>
      </c>
      <c r="DD50" t="s">
        <v>191</v>
      </c>
      <c r="DE50" t="s">
        <v>192</v>
      </c>
      <c r="DF50" t="s">
        <v>142</v>
      </c>
      <c r="DG50" t="s">
        <v>193</v>
      </c>
      <c r="DH50" t="s">
        <v>194</v>
      </c>
      <c r="DI50" t="s">
        <v>142</v>
      </c>
      <c r="DJ50" t="s">
        <v>195</v>
      </c>
      <c r="DK50" t="s">
        <v>196</v>
      </c>
      <c r="DL50" t="s">
        <v>197</v>
      </c>
      <c r="DM50" t="s">
        <v>136</v>
      </c>
      <c r="DN50" t="s">
        <v>1502</v>
      </c>
      <c r="DO50" t="s">
        <v>198</v>
      </c>
      <c r="DP50" t="s">
        <v>199</v>
      </c>
      <c r="DQ50" t="s">
        <v>200</v>
      </c>
      <c r="DR50" t="s">
        <v>201</v>
      </c>
      <c r="DS50" t="s">
        <v>202</v>
      </c>
      <c r="DT50" t="s">
        <v>203</v>
      </c>
    </row>
    <row r="51" spans="1:124" ht="19.2" customHeight="1" x14ac:dyDescent="0.45">
      <c r="A51" t="s">
        <v>1532</v>
      </c>
      <c r="B51" t="s">
        <v>1533</v>
      </c>
      <c r="C51" t="s">
        <v>126</v>
      </c>
      <c r="D51" t="s">
        <v>127</v>
      </c>
      <c r="E51" t="s">
        <v>128</v>
      </c>
      <c r="I51" t="s">
        <v>2269</v>
      </c>
      <c r="J51">
        <f t="shared" si="10"/>
        <v>0.22811697102399242</v>
      </c>
      <c r="K51">
        <f t="shared" si="11"/>
        <v>2.9042299199999997</v>
      </c>
      <c r="L51">
        <f t="shared" si="12"/>
        <v>0.21150407523704159</v>
      </c>
      <c r="M51">
        <f t="shared" si="13"/>
        <v>3.2192408885874659</v>
      </c>
      <c r="N51" t="s">
        <v>1534</v>
      </c>
      <c r="O51" t="s">
        <v>1535</v>
      </c>
      <c r="P51">
        <f t="shared" si="14"/>
        <v>3.5331728400654026</v>
      </c>
      <c r="Q51">
        <f t="shared" si="15"/>
        <v>1.5020308400654026</v>
      </c>
      <c r="R51" t="s">
        <v>1536</v>
      </c>
      <c r="S51" t="s">
        <v>1537</v>
      </c>
      <c r="T51">
        <f t="shared" si="16"/>
        <v>34.823308102359576</v>
      </c>
      <c r="U51">
        <f t="shared" si="17"/>
        <v>0.4417875</v>
      </c>
      <c r="V51" t="s">
        <v>134</v>
      </c>
      <c r="W51" t="s">
        <v>1538</v>
      </c>
      <c r="X51" t="s">
        <v>136</v>
      </c>
      <c r="Y51" t="s">
        <v>136</v>
      </c>
      <c r="Z51" t="s">
        <v>136</v>
      </c>
      <c r="AA51" t="s">
        <v>1539</v>
      </c>
      <c r="AB51" t="s">
        <v>1540</v>
      </c>
      <c r="AC51" t="s">
        <v>1541</v>
      </c>
      <c r="AD51" t="s">
        <v>140</v>
      </c>
      <c r="AE51" t="s">
        <v>141</v>
      </c>
      <c r="AF51">
        <f t="shared" si="18"/>
        <v>42.531395339999996</v>
      </c>
      <c r="AG51" t="s">
        <v>142</v>
      </c>
      <c r="AH51" t="s">
        <v>1542</v>
      </c>
      <c r="AI51" t="s">
        <v>393</v>
      </c>
      <c r="AJ51" t="s">
        <v>1543</v>
      </c>
      <c r="AK51" t="s">
        <v>1544</v>
      </c>
      <c r="AL51">
        <f t="shared" si="19"/>
        <v>26.78</v>
      </c>
      <c r="AM51" t="s">
        <v>523</v>
      </c>
      <c r="AN51" t="s">
        <v>524</v>
      </c>
      <c r="AO51" t="s">
        <v>1545</v>
      </c>
      <c r="AP51" t="s">
        <v>1546</v>
      </c>
      <c r="AQ51" t="s">
        <v>1476</v>
      </c>
      <c r="AR51" t="s">
        <v>1547</v>
      </c>
      <c r="AS51" t="s">
        <v>1548</v>
      </c>
      <c r="AT51" t="s">
        <v>1549</v>
      </c>
      <c r="AU51" t="s">
        <v>842</v>
      </c>
      <c r="AV51" t="s">
        <v>1550</v>
      </c>
      <c r="AW51" t="s">
        <v>1551</v>
      </c>
      <c r="AX51" t="s">
        <v>1174</v>
      </c>
      <c r="AY51" t="s">
        <v>1552</v>
      </c>
      <c r="AZ51" t="s">
        <v>445</v>
      </c>
      <c r="BA51" t="s">
        <v>1553</v>
      </c>
      <c r="BB51" t="s">
        <v>1554</v>
      </c>
      <c r="BC51" t="s">
        <v>1555</v>
      </c>
      <c r="BD51" t="s">
        <v>126</v>
      </c>
      <c r="BE51" t="s">
        <v>539</v>
      </c>
      <c r="BF51" t="s">
        <v>967</v>
      </c>
      <c r="BG51" t="s">
        <v>1556</v>
      </c>
      <c r="BH51" t="s">
        <v>451</v>
      </c>
      <c r="BI51" t="s">
        <v>773</v>
      </c>
      <c r="BJ51" t="s">
        <v>858</v>
      </c>
      <c r="BK51" t="s">
        <v>126</v>
      </c>
      <c r="BL51" t="s">
        <v>859</v>
      </c>
      <c r="BM51" t="s">
        <v>124</v>
      </c>
      <c r="BN51" t="s">
        <v>165</v>
      </c>
      <c r="BO51" t="s">
        <v>165</v>
      </c>
      <c r="BP51" t="s">
        <v>276</v>
      </c>
      <c r="BQ51" t="s">
        <v>1557</v>
      </c>
      <c r="BR51" t="s">
        <v>278</v>
      </c>
      <c r="BS51" t="s">
        <v>861</v>
      </c>
      <c r="BT51" t="s">
        <v>124</v>
      </c>
      <c r="BU51" t="s">
        <v>170</v>
      </c>
      <c r="BV51" t="s">
        <v>171</v>
      </c>
      <c r="BW51" t="s">
        <v>172</v>
      </c>
      <c r="BX51" t="s">
        <v>173</v>
      </c>
      <c r="BY51" t="s">
        <v>136</v>
      </c>
      <c r="BZ51" t="s">
        <v>174</v>
      </c>
      <c r="CA51" t="s">
        <v>136</v>
      </c>
      <c r="CB51" t="s">
        <v>136</v>
      </c>
      <c r="CC51" t="s">
        <v>175</v>
      </c>
      <c r="CD51" t="s">
        <v>176</v>
      </c>
      <c r="CE51" t="s">
        <v>161</v>
      </c>
      <c r="CF51" t="s">
        <v>177</v>
      </c>
      <c r="CG51" t="s">
        <v>178</v>
      </c>
      <c r="CH51" t="s">
        <v>179</v>
      </c>
      <c r="CI51" t="s">
        <v>142</v>
      </c>
      <c r="CJ51" t="s">
        <v>172</v>
      </c>
      <c r="CK51" t="s">
        <v>180</v>
      </c>
      <c r="CL51" t="s">
        <v>180</v>
      </c>
      <c r="CM51" t="s">
        <v>180</v>
      </c>
      <c r="CN51" t="s">
        <v>136</v>
      </c>
      <c r="CO51" t="s">
        <v>181</v>
      </c>
      <c r="CP51" t="s">
        <v>136</v>
      </c>
      <c r="CQ51" t="s">
        <v>136</v>
      </c>
      <c r="CR51" t="s">
        <v>136</v>
      </c>
      <c r="CS51" t="s">
        <v>136</v>
      </c>
      <c r="CT51" t="s">
        <v>1558</v>
      </c>
      <c r="CU51" t="s">
        <v>1559</v>
      </c>
      <c r="CV51" t="s">
        <v>1560</v>
      </c>
      <c r="CW51" t="s">
        <v>1561</v>
      </c>
      <c r="CX51" t="s">
        <v>1562</v>
      </c>
      <c r="CY51" t="s">
        <v>1563</v>
      </c>
      <c r="CZ51" t="s">
        <v>1564</v>
      </c>
      <c r="DA51" t="s">
        <v>1565</v>
      </c>
      <c r="DB51" t="s">
        <v>1539</v>
      </c>
      <c r="DC51" t="s">
        <v>826</v>
      </c>
      <c r="DD51" t="s">
        <v>191</v>
      </c>
      <c r="DE51" t="s">
        <v>192</v>
      </c>
      <c r="DF51" t="s">
        <v>142</v>
      </c>
      <c r="DG51" t="s">
        <v>193</v>
      </c>
      <c r="DH51" t="s">
        <v>194</v>
      </c>
      <c r="DI51" t="s">
        <v>142</v>
      </c>
      <c r="DJ51" t="s">
        <v>195</v>
      </c>
      <c r="DK51" t="s">
        <v>196</v>
      </c>
      <c r="DL51" t="s">
        <v>197</v>
      </c>
      <c r="DM51" t="s">
        <v>136</v>
      </c>
      <c r="DN51" t="s">
        <v>1538</v>
      </c>
      <c r="DO51" t="s">
        <v>198</v>
      </c>
      <c r="DP51" t="s">
        <v>199</v>
      </c>
      <c r="DQ51" t="s">
        <v>200</v>
      </c>
      <c r="DR51" t="s">
        <v>201</v>
      </c>
      <c r="DS51" t="s">
        <v>202</v>
      </c>
      <c r="DT51" t="s">
        <v>203</v>
      </c>
    </row>
    <row r="52" spans="1:124" ht="19.2" customHeight="1" x14ac:dyDescent="0.45">
      <c r="A52" t="s">
        <v>1769</v>
      </c>
      <c r="B52" t="s">
        <v>1770</v>
      </c>
      <c r="C52" t="s">
        <v>126</v>
      </c>
      <c r="D52" t="s">
        <v>127</v>
      </c>
      <c r="E52" t="s">
        <v>128</v>
      </c>
      <c r="I52" t="s">
        <v>2270</v>
      </c>
      <c r="J52">
        <f t="shared" si="10"/>
        <v>0.30787643964859879</v>
      </c>
      <c r="K52">
        <f t="shared" si="11"/>
        <v>2.9042299199999997</v>
      </c>
      <c r="L52">
        <f t="shared" si="12"/>
        <v>0.2783668619828496</v>
      </c>
      <c r="M52">
        <f t="shared" si="13"/>
        <v>4.1541163578849432</v>
      </c>
      <c r="N52" t="s">
        <v>1771</v>
      </c>
      <c r="O52" t="s">
        <v>1772</v>
      </c>
      <c r="P52">
        <f t="shared" si="14"/>
        <v>3.4488450088919684</v>
      </c>
      <c r="Q52">
        <f t="shared" si="15"/>
        <v>1.4734820088919685</v>
      </c>
      <c r="R52" t="s">
        <v>1773</v>
      </c>
      <c r="S52" t="s">
        <v>1774</v>
      </c>
      <c r="T52">
        <f t="shared" si="16"/>
        <v>33.995515119684256</v>
      </c>
      <c r="U52">
        <f t="shared" si="17"/>
        <v>0.4417875</v>
      </c>
      <c r="V52" t="s">
        <v>134</v>
      </c>
      <c r="W52" t="s">
        <v>1775</v>
      </c>
      <c r="X52" t="s">
        <v>136</v>
      </c>
      <c r="Y52" t="s">
        <v>136</v>
      </c>
      <c r="Z52" t="s">
        <v>136</v>
      </c>
      <c r="AA52" t="s">
        <v>1776</v>
      </c>
      <c r="AB52" t="s">
        <v>1777</v>
      </c>
      <c r="AC52" t="s">
        <v>1778</v>
      </c>
      <c r="AD52" t="s">
        <v>140</v>
      </c>
      <c r="AE52" t="s">
        <v>141</v>
      </c>
      <c r="AF52">
        <f t="shared" si="18"/>
        <v>60.758456639999991</v>
      </c>
      <c r="AG52" t="s">
        <v>142</v>
      </c>
      <c r="AH52" t="s">
        <v>1779</v>
      </c>
      <c r="AI52" t="s">
        <v>1780</v>
      </c>
      <c r="AJ52" t="s">
        <v>1781</v>
      </c>
      <c r="AK52" t="s">
        <v>1029</v>
      </c>
      <c r="AL52">
        <f t="shared" si="19"/>
        <v>26.37</v>
      </c>
      <c r="AM52" t="s">
        <v>481</v>
      </c>
      <c r="AN52" t="s">
        <v>524</v>
      </c>
      <c r="AO52" t="s">
        <v>1782</v>
      </c>
      <c r="AP52" t="s">
        <v>1783</v>
      </c>
      <c r="AQ52" t="s">
        <v>1784</v>
      </c>
      <c r="AR52" t="s">
        <v>1785</v>
      </c>
      <c r="AS52" t="s">
        <v>1786</v>
      </c>
      <c r="AT52" t="s">
        <v>204</v>
      </c>
      <c r="AU52" t="s">
        <v>1787</v>
      </c>
      <c r="AV52" t="s">
        <v>1788</v>
      </c>
      <c r="AW52" t="s">
        <v>1789</v>
      </c>
      <c r="AX52" t="s">
        <v>1790</v>
      </c>
      <c r="AY52" t="s">
        <v>1791</v>
      </c>
      <c r="AZ52" t="s">
        <v>445</v>
      </c>
      <c r="BA52" t="s">
        <v>1792</v>
      </c>
      <c r="BB52" t="s">
        <v>1793</v>
      </c>
      <c r="BC52" t="s">
        <v>1794</v>
      </c>
      <c r="BD52" t="s">
        <v>126</v>
      </c>
      <c r="BE52" t="s">
        <v>1486</v>
      </c>
      <c r="BF52" t="s">
        <v>1658</v>
      </c>
      <c r="BG52" t="s">
        <v>1152</v>
      </c>
      <c r="BH52" t="s">
        <v>628</v>
      </c>
      <c r="BI52" t="s">
        <v>773</v>
      </c>
      <c r="BJ52" t="s">
        <v>858</v>
      </c>
      <c r="BK52" t="s">
        <v>126</v>
      </c>
      <c r="BL52" t="s">
        <v>859</v>
      </c>
      <c r="BM52" t="s">
        <v>124</v>
      </c>
      <c r="BN52" t="s">
        <v>228</v>
      </c>
      <c r="BO52" t="s">
        <v>171</v>
      </c>
      <c r="BP52" t="s">
        <v>276</v>
      </c>
      <c r="BQ52" t="s">
        <v>618</v>
      </c>
      <c r="BR52" t="s">
        <v>1795</v>
      </c>
      <c r="BS52" t="s">
        <v>458</v>
      </c>
      <c r="BT52" t="s">
        <v>124</v>
      </c>
      <c r="BU52" t="s">
        <v>170</v>
      </c>
      <c r="BV52" t="s">
        <v>171</v>
      </c>
      <c r="BW52" t="s">
        <v>172</v>
      </c>
      <c r="BX52" t="s">
        <v>173</v>
      </c>
      <c r="BY52" t="s">
        <v>136</v>
      </c>
      <c r="BZ52" t="s">
        <v>174</v>
      </c>
      <c r="CA52" t="s">
        <v>136</v>
      </c>
      <c r="CB52" t="s">
        <v>136</v>
      </c>
      <c r="CC52" t="s">
        <v>175</v>
      </c>
      <c r="CD52" t="s">
        <v>176</v>
      </c>
      <c r="CE52" t="s">
        <v>161</v>
      </c>
      <c r="CF52" t="s">
        <v>177</v>
      </c>
      <c r="CG52" t="s">
        <v>178</v>
      </c>
      <c r="CH52" t="s">
        <v>179</v>
      </c>
      <c r="CI52" t="s">
        <v>142</v>
      </c>
      <c r="CJ52" t="s">
        <v>172</v>
      </c>
      <c r="CK52" t="s">
        <v>180</v>
      </c>
      <c r="CL52" t="s">
        <v>180</v>
      </c>
      <c r="CM52" t="s">
        <v>180</v>
      </c>
      <c r="CN52" t="s">
        <v>136</v>
      </c>
      <c r="CO52" t="s">
        <v>181</v>
      </c>
      <c r="CP52" t="s">
        <v>136</v>
      </c>
      <c r="CQ52" t="s">
        <v>136</v>
      </c>
      <c r="CR52" t="s">
        <v>136</v>
      </c>
      <c r="CS52" t="s">
        <v>136</v>
      </c>
      <c r="CT52" t="s">
        <v>1796</v>
      </c>
      <c r="CU52" t="s">
        <v>1797</v>
      </c>
      <c r="CV52" t="s">
        <v>1798</v>
      </c>
      <c r="CW52" t="s">
        <v>1799</v>
      </c>
      <c r="CX52" t="s">
        <v>1800</v>
      </c>
      <c r="CY52" t="s">
        <v>1801</v>
      </c>
      <c r="CZ52" t="s">
        <v>1802</v>
      </c>
      <c r="DA52" t="s">
        <v>1803</v>
      </c>
      <c r="DB52" t="s">
        <v>1776</v>
      </c>
      <c r="DC52" t="s">
        <v>708</v>
      </c>
      <c r="DD52" t="s">
        <v>191</v>
      </c>
      <c r="DE52" t="s">
        <v>192</v>
      </c>
      <c r="DF52" t="s">
        <v>142</v>
      </c>
      <c r="DG52" t="s">
        <v>193</v>
      </c>
      <c r="DH52" t="s">
        <v>194</v>
      </c>
      <c r="DI52" t="s">
        <v>142</v>
      </c>
      <c r="DJ52" t="s">
        <v>195</v>
      </c>
      <c r="DK52" t="s">
        <v>196</v>
      </c>
      <c r="DL52" t="s">
        <v>197</v>
      </c>
      <c r="DM52" t="s">
        <v>136</v>
      </c>
      <c r="DN52" t="s">
        <v>1775</v>
      </c>
      <c r="DO52" t="s">
        <v>198</v>
      </c>
      <c r="DP52" t="s">
        <v>199</v>
      </c>
      <c r="DQ52" t="s">
        <v>200</v>
      </c>
      <c r="DR52" t="s">
        <v>201</v>
      </c>
      <c r="DS52" t="s">
        <v>202</v>
      </c>
      <c r="DT52" t="s">
        <v>203</v>
      </c>
    </row>
    <row r="53" spans="1:124" ht="19.2" customHeight="1" x14ac:dyDescent="0.45">
      <c r="A53" t="s">
        <v>1804</v>
      </c>
      <c r="B53" t="s">
        <v>1805</v>
      </c>
      <c r="C53" t="s">
        <v>126</v>
      </c>
      <c r="D53" t="s">
        <v>127</v>
      </c>
      <c r="E53" t="s">
        <v>128</v>
      </c>
      <c r="I53" t="s">
        <v>2271</v>
      </c>
      <c r="J53">
        <f t="shared" si="10"/>
        <v>0.40102318895905098</v>
      </c>
      <c r="K53">
        <f t="shared" si="11"/>
        <v>2.9034264800000003</v>
      </c>
      <c r="L53">
        <f t="shared" si="12"/>
        <v>0.35235560004293737</v>
      </c>
      <c r="M53">
        <f t="shared" si="13"/>
        <v>4.9810884646352722</v>
      </c>
      <c r="N53" t="s">
        <v>1806</v>
      </c>
      <c r="O53" t="s">
        <v>1807</v>
      </c>
      <c r="P53">
        <f t="shared" si="14"/>
        <v>3.4184354777465527</v>
      </c>
      <c r="Q53">
        <f t="shared" si="15"/>
        <v>1.3957174777465529</v>
      </c>
      <c r="R53" t="s">
        <v>1808</v>
      </c>
      <c r="S53" t="s">
        <v>1809</v>
      </c>
      <c r="T53">
        <f t="shared" si="16"/>
        <v>33.69576616802911</v>
      </c>
      <c r="U53">
        <f t="shared" si="17"/>
        <v>0.4417875</v>
      </c>
      <c r="V53" t="s">
        <v>134</v>
      </c>
      <c r="W53" t="s">
        <v>1810</v>
      </c>
      <c r="X53" t="s">
        <v>136</v>
      </c>
      <c r="Y53" t="s">
        <v>136</v>
      </c>
      <c r="Z53" t="s">
        <v>136</v>
      </c>
      <c r="AA53" t="s">
        <v>1811</v>
      </c>
      <c r="AB53" t="s">
        <v>1812</v>
      </c>
      <c r="AC53" t="s">
        <v>1813</v>
      </c>
      <c r="AD53" t="s">
        <v>140</v>
      </c>
      <c r="AE53" t="s">
        <v>141</v>
      </c>
      <c r="AF53">
        <f t="shared" si="18"/>
        <v>62.415938339999997</v>
      </c>
      <c r="AG53" t="s">
        <v>142</v>
      </c>
      <c r="AH53" t="s">
        <v>1814</v>
      </c>
      <c r="AI53" t="s">
        <v>1815</v>
      </c>
      <c r="AJ53" t="s">
        <v>1816</v>
      </c>
      <c r="AK53" t="s">
        <v>1323</v>
      </c>
      <c r="AL53">
        <f t="shared" si="19"/>
        <v>26.22</v>
      </c>
      <c r="AM53" t="s">
        <v>481</v>
      </c>
      <c r="AN53" t="s">
        <v>304</v>
      </c>
      <c r="AO53" t="s">
        <v>1817</v>
      </c>
      <c r="AP53" t="s">
        <v>1818</v>
      </c>
      <c r="AQ53" t="s">
        <v>1819</v>
      </c>
      <c r="AR53" t="s">
        <v>1820</v>
      </c>
      <c r="AS53" t="s">
        <v>530</v>
      </c>
      <c r="AT53" t="s">
        <v>572</v>
      </c>
      <c r="AU53" t="s">
        <v>1821</v>
      </c>
      <c r="AV53" t="s">
        <v>1822</v>
      </c>
      <c r="AW53" t="s">
        <v>1823</v>
      </c>
      <c r="AX53" t="s">
        <v>1824</v>
      </c>
      <c r="AY53" t="s">
        <v>1825</v>
      </c>
      <c r="AZ53" t="s">
        <v>445</v>
      </c>
      <c r="BA53" t="s">
        <v>1826</v>
      </c>
      <c r="BB53" t="s">
        <v>1827</v>
      </c>
      <c r="BC53" t="s">
        <v>1828</v>
      </c>
      <c r="BD53" t="s">
        <v>126</v>
      </c>
      <c r="BE53" t="s">
        <v>1829</v>
      </c>
      <c r="BF53" t="s">
        <v>1658</v>
      </c>
      <c r="BG53" t="s">
        <v>450</v>
      </c>
      <c r="BH53" t="s">
        <v>979</v>
      </c>
      <c r="BI53" t="s">
        <v>1520</v>
      </c>
      <c r="BJ53" t="s">
        <v>858</v>
      </c>
      <c r="BK53" t="s">
        <v>126</v>
      </c>
      <c r="BL53" t="s">
        <v>859</v>
      </c>
      <c r="BM53" t="s">
        <v>124</v>
      </c>
      <c r="BN53" t="s">
        <v>411</v>
      </c>
      <c r="BO53" t="s">
        <v>171</v>
      </c>
      <c r="BP53" t="s">
        <v>411</v>
      </c>
      <c r="BQ53" t="s">
        <v>1830</v>
      </c>
      <c r="BR53" t="s">
        <v>1831</v>
      </c>
      <c r="BS53" t="s">
        <v>498</v>
      </c>
      <c r="BT53" t="s">
        <v>124</v>
      </c>
      <c r="BU53" t="s">
        <v>170</v>
      </c>
      <c r="BV53" t="s">
        <v>171</v>
      </c>
      <c r="BW53" t="s">
        <v>172</v>
      </c>
      <c r="BX53" t="s">
        <v>173</v>
      </c>
      <c r="BY53" t="s">
        <v>136</v>
      </c>
      <c r="BZ53" t="s">
        <v>174</v>
      </c>
      <c r="CA53" t="s">
        <v>136</v>
      </c>
      <c r="CB53" t="s">
        <v>136</v>
      </c>
      <c r="CC53" t="s">
        <v>175</v>
      </c>
      <c r="CD53" t="s">
        <v>176</v>
      </c>
      <c r="CE53" t="s">
        <v>161</v>
      </c>
      <c r="CF53" t="s">
        <v>177</v>
      </c>
      <c r="CG53" t="s">
        <v>178</v>
      </c>
      <c r="CH53" t="s">
        <v>179</v>
      </c>
      <c r="CI53" t="s">
        <v>142</v>
      </c>
      <c r="CJ53" t="s">
        <v>172</v>
      </c>
      <c r="CK53" t="s">
        <v>180</v>
      </c>
      <c r="CL53" t="s">
        <v>180</v>
      </c>
      <c r="CM53" t="s">
        <v>180</v>
      </c>
      <c r="CN53" t="s">
        <v>136</v>
      </c>
      <c r="CO53" t="s">
        <v>181</v>
      </c>
      <c r="CP53" t="s">
        <v>136</v>
      </c>
      <c r="CQ53" t="s">
        <v>136</v>
      </c>
      <c r="CR53" t="s">
        <v>136</v>
      </c>
      <c r="CS53" t="s">
        <v>136</v>
      </c>
      <c r="CT53" t="s">
        <v>1832</v>
      </c>
      <c r="CU53" t="s">
        <v>1833</v>
      </c>
      <c r="CV53" t="s">
        <v>1834</v>
      </c>
      <c r="CW53" t="s">
        <v>1835</v>
      </c>
      <c r="CX53" t="s">
        <v>1836</v>
      </c>
      <c r="CY53" t="s">
        <v>1837</v>
      </c>
      <c r="CZ53" t="s">
        <v>1838</v>
      </c>
      <c r="DA53" t="s">
        <v>1839</v>
      </c>
      <c r="DB53" t="s">
        <v>1811</v>
      </c>
      <c r="DC53" t="s">
        <v>1309</v>
      </c>
      <c r="DD53" t="s">
        <v>191</v>
      </c>
      <c r="DE53" t="s">
        <v>192</v>
      </c>
      <c r="DF53" t="s">
        <v>142</v>
      </c>
      <c r="DG53" t="s">
        <v>193</v>
      </c>
      <c r="DH53" t="s">
        <v>194</v>
      </c>
      <c r="DI53" t="s">
        <v>142</v>
      </c>
      <c r="DJ53" t="s">
        <v>195</v>
      </c>
      <c r="DK53" t="s">
        <v>196</v>
      </c>
      <c r="DL53" t="s">
        <v>197</v>
      </c>
      <c r="DM53" t="s">
        <v>136</v>
      </c>
      <c r="DN53" t="s">
        <v>1810</v>
      </c>
      <c r="DO53" t="s">
        <v>198</v>
      </c>
      <c r="DP53" t="s">
        <v>199</v>
      </c>
      <c r="DQ53" t="s">
        <v>200</v>
      </c>
      <c r="DR53" t="s">
        <v>201</v>
      </c>
      <c r="DS53" t="s">
        <v>202</v>
      </c>
      <c r="DT53" t="s">
        <v>203</v>
      </c>
    </row>
    <row r="54" spans="1:124" ht="19.2" customHeight="1" x14ac:dyDescent="0.45">
      <c r="A54" t="s">
        <v>1840</v>
      </c>
      <c r="B54" t="s">
        <v>1841</v>
      </c>
      <c r="C54" t="s">
        <v>126</v>
      </c>
      <c r="D54" t="s">
        <v>127</v>
      </c>
      <c r="E54" t="s">
        <v>128</v>
      </c>
      <c r="I54" t="s">
        <v>2272</v>
      </c>
      <c r="J54">
        <f t="shared" si="10"/>
        <v>0.26806604495130609</v>
      </c>
      <c r="K54">
        <f t="shared" si="11"/>
        <v>2.9050319999999994</v>
      </c>
      <c r="L54">
        <f t="shared" si="12"/>
        <v>0.24541959550730905</v>
      </c>
      <c r="M54">
        <f t="shared" si="13"/>
        <v>3.6489829632882627</v>
      </c>
      <c r="N54" t="s">
        <v>1842</v>
      </c>
      <c r="O54" t="s">
        <v>1843</v>
      </c>
      <c r="P54">
        <f t="shared" si="14"/>
        <v>3.4529174070814612</v>
      </c>
      <c r="Q54">
        <f t="shared" si="15"/>
        <v>1.4678224070814612</v>
      </c>
      <c r="R54" t="s">
        <v>1844</v>
      </c>
      <c r="S54" t="s">
        <v>1845</v>
      </c>
      <c r="T54">
        <f t="shared" si="16"/>
        <v>34.039012293784126</v>
      </c>
      <c r="U54">
        <f t="shared" si="17"/>
        <v>0.4417875</v>
      </c>
      <c r="V54" t="s">
        <v>134</v>
      </c>
      <c r="W54" t="s">
        <v>1846</v>
      </c>
      <c r="X54" t="s">
        <v>136</v>
      </c>
      <c r="Y54" t="s">
        <v>136</v>
      </c>
      <c r="Z54" t="s">
        <v>136</v>
      </c>
      <c r="AA54" t="s">
        <v>1847</v>
      </c>
      <c r="AB54" t="s">
        <v>1848</v>
      </c>
      <c r="AC54" t="s">
        <v>1849</v>
      </c>
      <c r="AD54" t="s">
        <v>140</v>
      </c>
      <c r="AE54" t="s">
        <v>141</v>
      </c>
      <c r="AF54">
        <f t="shared" si="18"/>
        <v>61.000002000000002</v>
      </c>
      <c r="AG54" t="s">
        <v>142</v>
      </c>
      <c r="AH54" t="s">
        <v>1850</v>
      </c>
      <c r="AI54" t="s">
        <v>1851</v>
      </c>
      <c r="AJ54" t="s">
        <v>1852</v>
      </c>
      <c r="AK54" t="s">
        <v>1853</v>
      </c>
      <c r="AL54">
        <f t="shared" si="19"/>
        <v>26.39</v>
      </c>
      <c r="AM54" t="s">
        <v>218</v>
      </c>
      <c r="AN54" t="s">
        <v>148</v>
      </c>
      <c r="AO54" t="s">
        <v>1854</v>
      </c>
      <c r="AP54" t="s">
        <v>1855</v>
      </c>
      <c r="AQ54" t="s">
        <v>1856</v>
      </c>
      <c r="AR54" t="s">
        <v>1785</v>
      </c>
      <c r="AS54" t="s">
        <v>309</v>
      </c>
      <c r="AT54" t="s">
        <v>887</v>
      </c>
      <c r="AU54" t="s">
        <v>1857</v>
      </c>
      <c r="AV54" t="s">
        <v>1858</v>
      </c>
      <c r="AW54" t="s">
        <v>1859</v>
      </c>
      <c r="AX54" t="s">
        <v>1860</v>
      </c>
      <c r="AY54" t="s">
        <v>1861</v>
      </c>
      <c r="AZ54" t="s">
        <v>445</v>
      </c>
      <c r="BA54" t="s">
        <v>1826</v>
      </c>
      <c r="BB54" t="s">
        <v>1827</v>
      </c>
      <c r="BC54" t="s">
        <v>1862</v>
      </c>
      <c r="BD54" t="s">
        <v>126</v>
      </c>
      <c r="BE54" t="s">
        <v>1486</v>
      </c>
      <c r="BF54" t="s">
        <v>1658</v>
      </c>
      <c r="BG54" t="s">
        <v>1556</v>
      </c>
      <c r="BH54" t="s">
        <v>628</v>
      </c>
      <c r="BI54" t="s">
        <v>773</v>
      </c>
      <c r="BJ54" t="s">
        <v>858</v>
      </c>
      <c r="BK54" t="s">
        <v>126</v>
      </c>
      <c r="BL54" t="s">
        <v>859</v>
      </c>
      <c r="BM54" t="s">
        <v>124</v>
      </c>
      <c r="BN54" t="s">
        <v>229</v>
      </c>
      <c r="BO54" t="s">
        <v>164</v>
      </c>
      <c r="BP54" t="s">
        <v>277</v>
      </c>
      <c r="BQ54" t="s">
        <v>1863</v>
      </c>
      <c r="BR54" t="s">
        <v>1864</v>
      </c>
      <c r="BS54" t="s">
        <v>1865</v>
      </c>
      <c r="BT54" t="s">
        <v>124</v>
      </c>
      <c r="BU54" t="s">
        <v>170</v>
      </c>
      <c r="BV54" t="s">
        <v>171</v>
      </c>
      <c r="BW54" t="s">
        <v>172</v>
      </c>
      <c r="BX54" t="s">
        <v>173</v>
      </c>
      <c r="BY54" t="s">
        <v>136</v>
      </c>
      <c r="BZ54" t="s">
        <v>174</v>
      </c>
      <c r="CA54" t="s">
        <v>136</v>
      </c>
      <c r="CB54" t="s">
        <v>136</v>
      </c>
      <c r="CC54" t="s">
        <v>175</v>
      </c>
      <c r="CD54" t="s">
        <v>176</v>
      </c>
      <c r="CE54" t="s">
        <v>161</v>
      </c>
      <c r="CF54" t="s">
        <v>177</v>
      </c>
      <c r="CG54" t="s">
        <v>178</v>
      </c>
      <c r="CH54" t="s">
        <v>179</v>
      </c>
      <c r="CI54" t="s">
        <v>142</v>
      </c>
      <c r="CJ54" t="s">
        <v>172</v>
      </c>
      <c r="CK54" t="s">
        <v>180</v>
      </c>
      <c r="CL54" t="s">
        <v>180</v>
      </c>
      <c r="CM54" t="s">
        <v>180</v>
      </c>
      <c r="CN54" t="s">
        <v>136</v>
      </c>
      <c r="CO54" t="s">
        <v>181</v>
      </c>
      <c r="CP54" t="s">
        <v>136</v>
      </c>
      <c r="CQ54" t="s">
        <v>136</v>
      </c>
      <c r="CR54" t="s">
        <v>136</v>
      </c>
      <c r="CS54" t="s">
        <v>136</v>
      </c>
      <c r="CT54" t="s">
        <v>1866</v>
      </c>
      <c r="CU54" t="s">
        <v>1867</v>
      </c>
      <c r="CV54" t="s">
        <v>1868</v>
      </c>
      <c r="CW54" t="s">
        <v>1869</v>
      </c>
      <c r="CX54" t="s">
        <v>1870</v>
      </c>
      <c r="CY54" t="s">
        <v>1871</v>
      </c>
      <c r="CZ54" t="s">
        <v>1872</v>
      </c>
      <c r="DA54" t="s">
        <v>1873</v>
      </c>
      <c r="DB54" t="s">
        <v>1847</v>
      </c>
      <c r="DC54" t="s">
        <v>745</v>
      </c>
      <c r="DD54" t="s">
        <v>191</v>
      </c>
      <c r="DE54" t="s">
        <v>192</v>
      </c>
      <c r="DF54" t="s">
        <v>142</v>
      </c>
      <c r="DG54" t="s">
        <v>193</v>
      </c>
      <c r="DH54" t="s">
        <v>194</v>
      </c>
      <c r="DI54" t="s">
        <v>142</v>
      </c>
      <c r="DJ54" t="s">
        <v>195</v>
      </c>
      <c r="DK54" t="s">
        <v>196</v>
      </c>
      <c r="DL54" t="s">
        <v>197</v>
      </c>
      <c r="DM54" t="s">
        <v>136</v>
      </c>
      <c r="DN54" t="s">
        <v>1846</v>
      </c>
      <c r="DO54" t="s">
        <v>198</v>
      </c>
      <c r="DP54" t="s">
        <v>199</v>
      </c>
      <c r="DQ54" t="s">
        <v>200</v>
      </c>
      <c r="DR54" t="s">
        <v>201</v>
      </c>
      <c r="DS54" t="s">
        <v>202</v>
      </c>
      <c r="DT54" t="s">
        <v>203</v>
      </c>
    </row>
    <row r="55" spans="1:124" ht="19.2" customHeight="1" x14ac:dyDescent="0.45">
      <c r="A55" t="s">
        <v>2085</v>
      </c>
      <c r="B55" t="s">
        <v>2086</v>
      </c>
      <c r="C55" t="s">
        <v>126</v>
      </c>
      <c r="D55" t="s">
        <v>127</v>
      </c>
      <c r="E55" t="s">
        <v>128</v>
      </c>
      <c r="I55" t="s">
        <v>2273</v>
      </c>
      <c r="J55">
        <f t="shared" si="10"/>
        <v>0.11986546328735236</v>
      </c>
      <c r="K55">
        <f t="shared" si="11"/>
        <v>2.9058327199999998</v>
      </c>
      <c r="L55">
        <f t="shared" si="12"/>
        <v>0.11511689670247195</v>
      </c>
      <c r="M55">
        <f t="shared" si="13"/>
        <v>1.8987680352005045</v>
      </c>
      <c r="N55" t="s">
        <v>2087</v>
      </c>
      <c r="O55" t="s">
        <v>2088</v>
      </c>
      <c r="P55">
        <f t="shared" si="14"/>
        <v>3.535251905263451</v>
      </c>
      <c r="Q55">
        <f t="shared" si="15"/>
        <v>1.6282719052634511</v>
      </c>
      <c r="R55" t="s">
        <v>2089</v>
      </c>
      <c r="S55" t="s">
        <v>2090</v>
      </c>
      <c r="T55">
        <f t="shared" si="16"/>
        <v>34.850669413086074</v>
      </c>
      <c r="U55">
        <f t="shared" si="17"/>
        <v>0.4417875</v>
      </c>
      <c r="V55" t="s">
        <v>134</v>
      </c>
      <c r="W55" t="s">
        <v>2091</v>
      </c>
      <c r="X55" t="s">
        <v>136</v>
      </c>
      <c r="Y55" t="s">
        <v>136</v>
      </c>
      <c r="Z55" t="s">
        <v>136</v>
      </c>
      <c r="AA55" t="s">
        <v>2092</v>
      </c>
      <c r="AB55" t="s">
        <v>2093</v>
      </c>
      <c r="AC55" t="s">
        <v>2094</v>
      </c>
      <c r="AD55" t="s">
        <v>140</v>
      </c>
      <c r="AE55" t="s">
        <v>141</v>
      </c>
      <c r="AF55">
        <f t="shared" si="18"/>
        <v>60.49209179999999</v>
      </c>
      <c r="AG55" t="s">
        <v>142</v>
      </c>
      <c r="AH55" t="s">
        <v>2095</v>
      </c>
      <c r="AI55" t="s">
        <v>1399</v>
      </c>
      <c r="AJ55" t="s">
        <v>1650</v>
      </c>
      <c r="AK55" t="s">
        <v>2096</v>
      </c>
      <c r="AL55">
        <f t="shared" si="19"/>
        <v>26.79</v>
      </c>
      <c r="AM55" t="s">
        <v>218</v>
      </c>
      <c r="AN55" t="s">
        <v>350</v>
      </c>
      <c r="AO55" t="s">
        <v>2097</v>
      </c>
      <c r="AP55" t="s">
        <v>2098</v>
      </c>
      <c r="AQ55" t="s">
        <v>2099</v>
      </c>
      <c r="AR55" t="s">
        <v>1820</v>
      </c>
      <c r="AS55" t="s">
        <v>262</v>
      </c>
      <c r="AT55" t="s">
        <v>161</v>
      </c>
      <c r="AU55" t="s">
        <v>2100</v>
      </c>
      <c r="AV55" t="s">
        <v>2101</v>
      </c>
      <c r="AW55" t="s">
        <v>2102</v>
      </c>
      <c r="AX55" t="s">
        <v>766</v>
      </c>
      <c r="AY55" t="s">
        <v>2103</v>
      </c>
      <c r="AZ55" t="s">
        <v>445</v>
      </c>
      <c r="BA55" t="s">
        <v>2104</v>
      </c>
      <c r="BB55" t="s">
        <v>2105</v>
      </c>
      <c r="BC55" t="s">
        <v>2106</v>
      </c>
      <c r="BD55" t="s">
        <v>126</v>
      </c>
      <c r="BE55" t="s">
        <v>2107</v>
      </c>
      <c r="BF55" t="s">
        <v>1005</v>
      </c>
      <c r="BG55" t="s">
        <v>2108</v>
      </c>
      <c r="BH55" t="s">
        <v>451</v>
      </c>
      <c r="BI55" t="s">
        <v>773</v>
      </c>
      <c r="BJ55" t="s">
        <v>858</v>
      </c>
      <c r="BK55" t="s">
        <v>126</v>
      </c>
      <c r="BL55" t="s">
        <v>859</v>
      </c>
      <c r="BM55" t="s">
        <v>124</v>
      </c>
      <c r="BN55" t="s">
        <v>411</v>
      </c>
      <c r="BO55" t="s">
        <v>171</v>
      </c>
      <c r="BP55" t="s">
        <v>276</v>
      </c>
      <c r="BQ55" t="s">
        <v>2109</v>
      </c>
      <c r="BR55" t="s">
        <v>2110</v>
      </c>
      <c r="BS55" t="s">
        <v>2111</v>
      </c>
      <c r="BT55" t="s">
        <v>124</v>
      </c>
      <c r="BU55" t="s">
        <v>170</v>
      </c>
      <c r="BV55" t="s">
        <v>171</v>
      </c>
      <c r="BW55" t="s">
        <v>172</v>
      </c>
      <c r="BX55" t="s">
        <v>173</v>
      </c>
      <c r="BY55" t="s">
        <v>136</v>
      </c>
      <c r="BZ55" t="s">
        <v>174</v>
      </c>
      <c r="CA55" t="s">
        <v>136</v>
      </c>
      <c r="CB55" t="s">
        <v>136</v>
      </c>
      <c r="CC55" t="s">
        <v>175</v>
      </c>
      <c r="CD55" t="s">
        <v>176</v>
      </c>
      <c r="CE55" t="s">
        <v>161</v>
      </c>
      <c r="CF55" t="s">
        <v>177</v>
      </c>
      <c r="CG55" t="s">
        <v>178</v>
      </c>
      <c r="CH55" t="s">
        <v>179</v>
      </c>
      <c r="CI55" t="s">
        <v>142</v>
      </c>
      <c r="CJ55" t="s">
        <v>172</v>
      </c>
      <c r="CK55" t="s">
        <v>180</v>
      </c>
      <c r="CL55" t="s">
        <v>180</v>
      </c>
      <c r="CM55" t="s">
        <v>180</v>
      </c>
      <c r="CN55" t="s">
        <v>136</v>
      </c>
      <c r="CO55" t="s">
        <v>181</v>
      </c>
      <c r="CP55" t="s">
        <v>136</v>
      </c>
      <c r="CQ55" t="s">
        <v>136</v>
      </c>
      <c r="CR55" t="s">
        <v>136</v>
      </c>
      <c r="CS55" t="s">
        <v>136</v>
      </c>
      <c r="CT55" t="s">
        <v>2112</v>
      </c>
      <c r="CU55" t="s">
        <v>2113</v>
      </c>
      <c r="CV55" t="s">
        <v>2114</v>
      </c>
      <c r="CW55" t="s">
        <v>2115</v>
      </c>
      <c r="CX55" t="s">
        <v>2116</v>
      </c>
      <c r="CY55" t="s">
        <v>2117</v>
      </c>
      <c r="CZ55" t="s">
        <v>2118</v>
      </c>
      <c r="DA55" t="s">
        <v>2119</v>
      </c>
      <c r="DB55" t="s">
        <v>2092</v>
      </c>
      <c r="DC55" t="s">
        <v>289</v>
      </c>
      <c r="DD55" t="s">
        <v>191</v>
      </c>
      <c r="DE55" t="s">
        <v>192</v>
      </c>
      <c r="DF55" t="s">
        <v>142</v>
      </c>
      <c r="DG55" t="s">
        <v>193</v>
      </c>
      <c r="DH55" t="s">
        <v>194</v>
      </c>
      <c r="DI55" t="s">
        <v>142</v>
      </c>
      <c r="DJ55" t="s">
        <v>195</v>
      </c>
      <c r="DK55" t="s">
        <v>196</v>
      </c>
      <c r="DL55" t="s">
        <v>197</v>
      </c>
      <c r="DM55" t="s">
        <v>136</v>
      </c>
      <c r="DN55" t="s">
        <v>2091</v>
      </c>
      <c r="DO55" t="s">
        <v>198</v>
      </c>
      <c r="DP55" t="s">
        <v>199</v>
      </c>
      <c r="DQ55" t="s">
        <v>200</v>
      </c>
      <c r="DR55" t="s">
        <v>201</v>
      </c>
      <c r="DS55" t="s">
        <v>202</v>
      </c>
      <c r="DT55" t="s">
        <v>203</v>
      </c>
    </row>
    <row r="56" spans="1:124" ht="19.2" customHeight="1" x14ac:dyDescent="0.45">
      <c r="A56" t="s">
        <v>2120</v>
      </c>
      <c r="B56" t="s">
        <v>2121</v>
      </c>
      <c r="C56" t="s">
        <v>126</v>
      </c>
      <c r="D56" t="s">
        <v>127</v>
      </c>
      <c r="E56" t="s">
        <v>128</v>
      </c>
      <c r="I56" t="s">
        <v>2274</v>
      </c>
      <c r="J56">
        <f t="shared" si="10"/>
        <v>0.38265949926178844</v>
      </c>
      <c r="K56">
        <f t="shared" si="11"/>
        <v>2.9034264800000003</v>
      </c>
      <c r="L56">
        <f t="shared" si="12"/>
        <v>0.33809940762104035</v>
      </c>
      <c r="M56">
        <f t="shared" si="13"/>
        <v>4.6196100164854865</v>
      </c>
      <c r="N56" t="s">
        <v>2122</v>
      </c>
      <c r="O56" t="s">
        <v>2123</v>
      </c>
      <c r="P56">
        <f t="shared" si="14"/>
        <v>3.358318143010222</v>
      </c>
      <c r="Q56">
        <f t="shared" si="15"/>
        <v>1.3493051430102221</v>
      </c>
      <c r="R56" t="s">
        <v>2124</v>
      </c>
      <c r="S56" t="s">
        <v>2125</v>
      </c>
      <c r="T56">
        <f t="shared" si="16"/>
        <v>33.106448570684364</v>
      </c>
      <c r="U56">
        <f t="shared" si="17"/>
        <v>0.4417875</v>
      </c>
      <c r="V56" t="s">
        <v>134</v>
      </c>
      <c r="W56" t="s">
        <v>2126</v>
      </c>
      <c r="X56" t="s">
        <v>136</v>
      </c>
      <c r="Y56" t="s">
        <v>136</v>
      </c>
      <c r="Z56" t="s">
        <v>136</v>
      </c>
      <c r="AA56" t="s">
        <v>2127</v>
      </c>
      <c r="AB56" t="s">
        <v>2128</v>
      </c>
      <c r="AC56" t="s">
        <v>2129</v>
      </c>
      <c r="AD56" t="s">
        <v>140</v>
      </c>
      <c r="AE56" t="s">
        <v>141</v>
      </c>
      <c r="AF56">
        <f t="shared" si="18"/>
        <v>55.097519400000003</v>
      </c>
      <c r="AG56" t="s">
        <v>142</v>
      </c>
      <c r="AH56" t="s">
        <v>1542</v>
      </c>
      <c r="AI56" t="s">
        <v>346</v>
      </c>
      <c r="AJ56" t="s">
        <v>2130</v>
      </c>
      <c r="AK56" t="s">
        <v>255</v>
      </c>
      <c r="AL56">
        <f t="shared" si="19"/>
        <v>25.92</v>
      </c>
      <c r="AM56" t="s">
        <v>218</v>
      </c>
      <c r="AN56" t="s">
        <v>304</v>
      </c>
      <c r="AO56" t="s">
        <v>351</v>
      </c>
      <c r="AP56" t="s">
        <v>2131</v>
      </c>
      <c r="AQ56" t="s">
        <v>2132</v>
      </c>
      <c r="AR56" t="s">
        <v>2133</v>
      </c>
      <c r="AS56" t="s">
        <v>2134</v>
      </c>
      <c r="AT56" t="s">
        <v>2134</v>
      </c>
      <c r="AU56" t="s">
        <v>1958</v>
      </c>
      <c r="AV56" t="s">
        <v>2135</v>
      </c>
      <c r="AW56" t="s">
        <v>2136</v>
      </c>
      <c r="AX56" t="s">
        <v>2137</v>
      </c>
      <c r="AY56" t="s">
        <v>2138</v>
      </c>
      <c r="AZ56" t="s">
        <v>445</v>
      </c>
      <c r="BA56" t="s">
        <v>2104</v>
      </c>
      <c r="BB56" t="s">
        <v>2105</v>
      </c>
      <c r="BC56" t="s">
        <v>2139</v>
      </c>
      <c r="BD56" t="s">
        <v>126</v>
      </c>
      <c r="BE56" t="s">
        <v>1261</v>
      </c>
      <c r="BF56" t="s">
        <v>967</v>
      </c>
      <c r="BG56" t="s">
        <v>450</v>
      </c>
      <c r="BH56" t="s">
        <v>856</v>
      </c>
      <c r="BI56" t="s">
        <v>2140</v>
      </c>
      <c r="BJ56" t="s">
        <v>858</v>
      </c>
      <c r="BK56" t="s">
        <v>126</v>
      </c>
      <c r="BL56" t="s">
        <v>859</v>
      </c>
      <c r="BM56" t="s">
        <v>124</v>
      </c>
      <c r="BN56" t="s">
        <v>171</v>
      </c>
      <c r="BO56" t="s">
        <v>164</v>
      </c>
      <c r="BP56" t="s">
        <v>276</v>
      </c>
      <c r="BQ56" t="s">
        <v>577</v>
      </c>
      <c r="BR56" t="s">
        <v>2141</v>
      </c>
      <c r="BS56" t="s">
        <v>2142</v>
      </c>
      <c r="BT56" t="s">
        <v>124</v>
      </c>
      <c r="BU56" t="s">
        <v>170</v>
      </c>
      <c r="BV56" t="s">
        <v>171</v>
      </c>
      <c r="BW56" t="s">
        <v>172</v>
      </c>
      <c r="BX56" t="s">
        <v>173</v>
      </c>
      <c r="BY56" t="s">
        <v>136</v>
      </c>
      <c r="BZ56" t="s">
        <v>174</v>
      </c>
      <c r="CA56" t="s">
        <v>136</v>
      </c>
      <c r="CB56" t="s">
        <v>136</v>
      </c>
      <c r="CC56" t="s">
        <v>175</v>
      </c>
      <c r="CD56" t="s">
        <v>176</v>
      </c>
      <c r="CE56" t="s">
        <v>161</v>
      </c>
      <c r="CF56" t="s">
        <v>177</v>
      </c>
      <c r="CG56" t="s">
        <v>178</v>
      </c>
      <c r="CH56" t="s">
        <v>179</v>
      </c>
      <c r="CI56" t="s">
        <v>142</v>
      </c>
      <c r="CJ56" t="s">
        <v>172</v>
      </c>
      <c r="CK56" t="s">
        <v>180</v>
      </c>
      <c r="CL56" t="s">
        <v>180</v>
      </c>
      <c r="CM56" t="s">
        <v>180</v>
      </c>
      <c r="CN56" t="s">
        <v>136</v>
      </c>
      <c r="CO56" t="s">
        <v>181</v>
      </c>
      <c r="CP56" t="s">
        <v>136</v>
      </c>
      <c r="CQ56" t="s">
        <v>136</v>
      </c>
      <c r="CR56" t="s">
        <v>136</v>
      </c>
      <c r="CS56" t="s">
        <v>136</v>
      </c>
      <c r="CT56" t="s">
        <v>2143</v>
      </c>
      <c r="CU56" t="s">
        <v>2144</v>
      </c>
      <c r="CV56" t="s">
        <v>2145</v>
      </c>
      <c r="CW56" t="s">
        <v>2146</v>
      </c>
      <c r="CX56" t="s">
        <v>2147</v>
      </c>
      <c r="CY56" t="s">
        <v>2148</v>
      </c>
      <c r="CZ56" t="s">
        <v>2149</v>
      </c>
      <c r="DA56" t="s">
        <v>2150</v>
      </c>
      <c r="DB56" t="s">
        <v>2127</v>
      </c>
      <c r="DC56" t="s">
        <v>669</v>
      </c>
      <c r="DD56" t="s">
        <v>191</v>
      </c>
      <c r="DE56" t="s">
        <v>192</v>
      </c>
      <c r="DF56" t="s">
        <v>142</v>
      </c>
      <c r="DG56" t="s">
        <v>193</v>
      </c>
      <c r="DH56" t="s">
        <v>194</v>
      </c>
      <c r="DI56" t="s">
        <v>142</v>
      </c>
      <c r="DJ56" t="s">
        <v>195</v>
      </c>
      <c r="DK56" t="s">
        <v>196</v>
      </c>
      <c r="DL56" t="s">
        <v>197</v>
      </c>
      <c r="DM56" t="s">
        <v>136</v>
      </c>
      <c r="DN56" t="s">
        <v>2126</v>
      </c>
      <c r="DO56" t="s">
        <v>198</v>
      </c>
      <c r="DP56" t="s">
        <v>199</v>
      </c>
      <c r="DQ56" t="s">
        <v>200</v>
      </c>
      <c r="DR56" t="s">
        <v>201</v>
      </c>
      <c r="DS56" t="s">
        <v>202</v>
      </c>
      <c r="DT56" t="s">
        <v>203</v>
      </c>
    </row>
    <row r="57" spans="1:124" ht="19.2" customHeight="1" x14ac:dyDescent="0.45">
      <c r="A57" t="s">
        <v>2151</v>
      </c>
      <c r="B57" t="s">
        <v>2152</v>
      </c>
      <c r="C57" t="s">
        <v>126</v>
      </c>
      <c r="D57" t="s">
        <v>127</v>
      </c>
      <c r="E57" t="s">
        <v>128</v>
      </c>
      <c r="I57" t="s">
        <v>2275</v>
      </c>
      <c r="J57">
        <f t="shared" si="10"/>
        <v>0.37077722674313324</v>
      </c>
      <c r="K57">
        <f t="shared" si="11"/>
        <v>2.9058327199999998</v>
      </c>
      <c r="L57">
        <f t="shared" si="12"/>
        <v>0.32882052328870581</v>
      </c>
      <c r="M57">
        <f t="shared" si="13"/>
        <v>4.538038995622319</v>
      </c>
      <c r="N57" t="s">
        <v>2153</v>
      </c>
      <c r="O57" t="s">
        <v>2154</v>
      </c>
      <c r="P57">
        <f t="shared" si="14"/>
        <v>3.3682731009301663</v>
      </c>
      <c r="Q57">
        <f t="shared" si="15"/>
        <v>1.3628641009301661</v>
      </c>
      <c r="R57" t="s">
        <v>2155</v>
      </c>
      <c r="S57" t="s">
        <v>2156</v>
      </c>
      <c r="T57">
        <f t="shared" si="16"/>
        <v>33.204584985510316</v>
      </c>
      <c r="U57">
        <f t="shared" si="17"/>
        <v>0.4417875</v>
      </c>
      <c r="V57" t="s">
        <v>134</v>
      </c>
      <c r="W57" t="s">
        <v>2157</v>
      </c>
      <c r="X57" t="s">
        <v>136</v>
      </c>
      <c r="Y57" t="s">
        <v>136</v>
      </c>
      <c r="Z57" t="s">
        <v>136</v>
      </c>
      <c r="AA57" t="s">
        <v>2158</v>
      </c>
      <c r="AB57" t="s">
        <v>2159</v>
      </c>
      <c r="AC57" t="s">
        <v>2160</v>
      </c>
      <c r="AD57" t="s">
        <v>140</v>
      </c>
      <c r="AE57" t="s">
        <v>141</v>
      </c>
      <c r="AF57">
        <f t="shared" si="18"/>
        <v>62.629513799999991</v>
      </c>
      <c r="AG57" t="s">
        <v>142</v>
      </c>
      <c r="AH57" t="s">
        <v>1713</v>
      </c>
      <c r="AI57" t="s">
        <v>2161</v>
      </c>
      <c r="AJ57" t="s">
        <v>2162</v>
      </c>
      <c r="AK57" t="s">
        <v>2163</v>
      </c>
      <c r="AL57">
        <f t="shared" si="19"/>
        <v>25.97</v>
      </c>
      <c r="AM57" t="s">
        <v>218</v>
      </c>
      <c r="AN57" t="s">
        <v>350</v>
      </c>
      <c r="AO57" t="s">
        <v>2164</v>
      </c>
      <c r="AP57" t="s">
        <v>2165</v>
      </c>
      <c r="AQ57" t="s">
        <v>2166</v>
      </c>
      <c r="AR57" t="s">
        <v>2167</v>
      </c>
      <c r="AS57" t="s">
        <v>530</v>
      </c>
      <c r="AT57" t="s">
        <v>1328</v>
      </c>
      <c r="AU57" t="s">
        <v>2168</v>
      </c>
      <c r="AV57" t="s">
        <v>2169</v>
      </c>
      <c r="AW57" t="s">
        <v>2170</v>
      </c>
      <c r="AX57" t="s">
        <v>2171</v>
      </c>
      <c r="AY57" t="s">
        <v>2172</v>
      </c>
      <c r="AZ57" t="s">
        <v>445</v>
      </c>
      <c r="BA57" t="s">
        <v>2173</v>
      </c>
      <c r="BB57" t="s">
        <v>2174</v>
      </c>
      <c r="BC57" t="s">
        <v>2175</v>
      </c>
      <c r="BD57" t="s">
        <v>126</v>
      </c>
      <c r="BE57" t="s">
        <v>2176</v>
      </c>
      <c r="BF57" t="s">
        <v>2003</v>
      </c>
      <c r="BG57" t="s">
        <v>2177</v>
      </c>
      <c r="BH57" t="s">
        <v>979</v>
      </c>
      <c r="BI57" t="s">
        <v>1520</v>
      </c>
      <c r="BJ57" t="s">
        <v>858</v>
      </c>
      <c r="BK57" t="s">
        <v>126</v>
      </c>
      <c r="BL57" t="s">
        <v>859</v>
      </c>
      <c r="BM57" t="s">
        <v>124</v>
      </c>
      <c r="BN57" t="s">
        <v>164</v>
      </c>
      <c r="BO57" t="s">
        <v>165</v>
      </c>
      <c r="BP57" t="s">
        <v>276</v>
      </c>
      <c r="BQ57" t="s">
        <v>735</v>
      </c>
      <c r="BR57" t="s">
        <v>2178</v>
      </c>
      <c r="BS57" t="s">
        <v>2179</v>
      </c>
      <c r="BT57" t="s">
        <v>124</v>
      </c>
      <c r="BU57" t="s">
        <v>170</v>
      </c>
      <c r="BV57" t="s">
        <v>171</v>
      </c>
      <c r="BW57" t="s">
        <v>172</v>
      </c>
      <c r="BX57" t="s">
        <v>173</v>
      </c>
      <c r="BY57" t="s">
        <v>136</v>
      </c>
      <c r="BZ57" t="s">
        <v>174</v>
      </c>
      <c r="CA57" t="s">
        <v>136</v>
      </c>
      <c r="CB57" t="s">
        <v>136</v>
      </c>
      <c r="CC57" t="s">
        <v>175</v>
      </c>
      <c r="CD57" t="s">
        <v>176</v>
      </c>
      <c r="CE57" t="s">
        <v>161</v>
      </c>
      <c r="CF57" t="s">
        <v>177</v>
      </c>
      <c r="CG57" t="s">
        <v>178</v>
      </c>
      <c r="CH57" t="s">
        <v>179</v>
      </c>
      <c r="CI57" t="s">
        <v>142</v>
      </c>
      <c r="CJ57" t="s">
        <v>172</v>
      </c>
      <c r="CK57" t="s">
        <v>180</v>
      </c>
      <c r="CL57" t="s">
        <v>180</v>
      </c>
      <c r="CM57" t="s">
        <v>180</v>
      </c>
      <c r="CN57" t="s">
        <v>136</v>
      </c>
      <c r="CO57" t="s">
        <v>181</v>
      </c>
      <c r="CP57" t="s">
        <v>136</v>
      </c>
      <c r="CQ57" t="s">
        <v>136</v>
      </c>
      <c r="CR57" t="s">
        <v>136</v>
      </c>
      <c r="CS57" t="s">
        <v>136</v>
      </c>
      <c r="CT57" t="s">
        <v>2180</v>
      </c>
      <c r="CU57" t="s">
        <v>2181</v>
      </c>
      <c r="CV57" t="s">
        <v>663</v>
      </c>
      <c r="CW57" t="s">
        <v>2182</v>
      </c>
      <c r="CX57" t="s">
        <v>2183</v>
      </c>
      <c r="CY57" t="s">
        <v>2184</v>
      </c>
      <c r="CZ57" t="s">
        <v>2185</v>
      </c>
      <c r="DA57" t="s">
        <v>2186</v>
      </c>
      <c r="DB57" t="s">
        <v>2158</v>
      </c>
      <c r="DC57" t="s">
        <v>1702</v>
      </c>
      <c r="DD57" t="s">
        <v>191</v>
      </c>
      <c r="DE57" t="s">
        <v>192</v>
      </c>
      <c r="DF57" t="s">
        <v>142</v>
      </c>
      <c r="DG57" t="s">
        <v>193</v>
      </c>
      <c r="DH57" t="s">
        <v>194</v>
      </c>
      <c r="DI57" t="s">
        <v>142</v>
      </c>
      <c r="DJ57" t="s">
        <v>195</v>
      </c>
      <c r="DK57" t="s">
        <v>196</v>
      </c>
      <c r="DL57" t="s">
        <v>197</v>
      </c>
      <c r="DM57" t="s">
        <v>136</v>
      </c>
      <c r="DN57" t="s">
        <v>2157</v>
      </c>
      <c r="DO57" t="s">
        <v>198</v>
      </c>
      <c r="DP57" t="s">
        <v>199</v>
      </c>
      <c r="DQ57" t="s">
        <v>200</v>
      </c>
      <c r="DR57" t="s">
        <v>201</v>
      </c>
      <c r="DS57" t="s">
        <v>202</v>
      </c>
      <c r="DT57" t="s">
        <v>203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55"/>
  <sheetViews>
    <sheetView topLeftCell="A30" workbookViewId="0">
      <selection activeCell="H2" sqref="H2:H55"/>
    </sheetView>
  </sheetViews>
  <sheetFormatPr defaultRowHeight="19.2" x14ac:dyDescent="0.45"/>
  <cols>
    <col min="8" max="8" width="10.1796875" bestFit="1" customWidth="1"/>
  </cols>
  <sheetData>
    <row r="1" spans="1:1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4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H2" t="s">
        <v>129</v>
      </c>
      <c r="I2">
        <v>1</v>
      </c>
      <c r="J2">
        <v>0.49477776159029091</v>
      </c>
      <c r="K2">
        <v>2.9050319999999989</v>
      </c>
      <c r="L2">
        <v>0.4227722523026804</v>
      </c>
      <c r="M2">
        <v>5.6853106577684898</v>
      </c>
      <c r="N2" t="s">
        <v>130</v>
      </c>
      <c r="O2" t="s">
        <v>131</v>
      </c>
      <c r="P2">
        <v>3.2177895977677848</v>
      </c>
      <c r="Q2">
        <v>1.3293555977677849</v>
      </c>
      <c r="R2" t="s">
        <v>132</v>
      </c>
      <c r="S2" t="s">
        <v>133</v>
      </c>
      <c r="T2">
        <v>31.730495984299228</v>
      </c>
      <c r="U2">
        <v>0.4417875</v>
      </c>
      <c r="V2" t="s">
        <v>134</v>
      </c>
      <c r="W2" t="s">
        <v>135</v>
      </c>
      <c r="X2" t="s">
        <v>136</v>
      </c>
      <c r="Y2" t="s">
        <v>136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  <c r="AE2" t="s">
        <v>141</v>
      </c>
      <c r="AF2">
        <v>96.176967599999998</v>
      </c>
      <c r="AG2" t="s">
        <v>142</v>
      </c>
      <c r="AH2" t="s">
        <v>143</v>
      </c>
      <c r="AI2" t="s">
        <v>144</v>
      </c>
      <c r="AJ2" t="s">
        <v>145</v>
      </c>
      <c r="AK2" t="s">
        <v>146</v>
      </c>
      <c r="AL2">
        <v>25.2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154</v>
      </c>
      <c r="AU2" t="s">
        <v>155</v>
      </c>
      <c r="AX2" t="s">
        <v>156</v>
      </c>
      <c r="AY2" t="s">
        <v>157</v>
      </c>
      <c r="BC2" t="s">
        <v>158</v>
      </c>
      <c r="BD2" t="s">
        <v>159</v>
      </c>
      <c r="BE2" t="s">
        <v>160</v>
      </c>
      <c r="BF2" t="s">
        <v>160</v>
      </c>
      <c r="BG2" t="s">
        <v>160</v>
      </c>
      <c r="BH2" t="s">
        <v>161</v>
      </c>
      <c r="BI2" t="s">
        <v>160</v>
      </c>
      <c r="BJ2" t="s">
        <v>162</v>
      </c>
      <c r="BK2" t="s">
        <v>126</v>
      </c>
      <c r="BL2" t="s">
        <v>163</v>
      </c>
      <c r="BM2" t="s">
        <v>124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124</v>
      </c>
      <c r="BU2" t="s">
        <v>170</v>
      </c>
      <c r="BV2" t="s">
        <v>171</v>
      </c>
      <c r="BW2" t="s">
        <v>172</v>
      </c>
      <c r="BX2" t="s">
        <v>173</v>
      </c>
      <c r="BY2" t="s">
        <v>136</v>
      </c>
      <c r="BZ2" t="s">
        <v>174</v>
      </c>
      <c r="CA2" t="s">
        <v>136</v>
      </c>
      <c r="CB2" t="s">
        <v>136</v>
      </c>
      <c r="CC2" t="s">
        <v>175</v>
      </c>
      <c r="CD2" t="s">
        <v>176</v>
      </c>
      <c r="CE2" t="s">
        <v>161</v>
      </c>
      <c r="CF2" t="s">
        <v>177</v>
      </c>
      <c r="CG2" t="s">
        <v>178</v>
      </c>
      <c r="CH2" t="s">
        <v>179</v>
      </c>
      <c r="CI2" t="s">
        <v>142</v>
      </c>
      <c r="CJ2" t="s">
        <v>172</v>
      </c>
      <c r="CK2" t="s">
        <v>180</v>
      </c>
      <c r="CL2" t="s">
        <v>180</v>
      </c>
      <c r="CM2" t="s">
        <v>180</v>
      </c>
      <c r="CN2" t="s">
        <v>136</v>
      </c>
      <c r="CO2" t="s">
        <v>181</v>
      </c>
      <c r="CP2" t="s">
        <v>136</v>
      </c>
      <c r="CQ2" t="s">
        <v>136</v>
      </c>
      <c r="CR2" t="s">
        <v>136</v>
      </c>
      <c r="CS2" t="s">
        <v>136</v>
      </c>
      <c r="CT2" t="s">
        <v>182</v>
      </c>
      <c r="CU2" t="s">
        <v>183</v>
      </c>
      <c r="CV2" t="s">
        <v>184</v>
      </c>
      <c r="CW2" t="s">
        <v>185</v>
      </c>
      <c r="CX2" t="s">
        <v>186</v>
      </c>
      <c r="CY2" t="s">
        <v>187</v>
      </c>
      <c r="CZ2" t="s">
        <v>188</v>
      </c>
      <c r="DA2" t="s">
        <v>189</v>
      </c>
      <c r="DB2" t="s">
        <v>137</v>
      </c>
      <c r="DC2" t="s">
        <v>190</v>
      </c>
      <c r="DD2" t="s">
        <v>191</v>
      </c>
      <c r="DE2" t="s">
        <v>192</v>
      </c>
      <c r="DF2" t="s">
        <v>142</v>
      </c>
      <c r="DG2" t="s">
        <v>193</v>
      </c>
      <c r="DH2" t="s">
        <v>194</v>
      </c>
      <c r="DI2" t="s">
        <v>142</v>
      </c>
      <c r="DJ2" t="s">
        <v>195</v>
      </c>
      <c r="DK2" t="s">
        <v>196</v>
      </c>
      <c r="DL2" t="s">
        <v>197</v>
      </c>
      <c r="DM2" t="s">
        <v>136</v>
      </c>
      <c r="DN2" t="s">
        <v>135</v>
      </c>
      <c r="DO2" t="s">
        <v>198</v>
      </c>
      <c r="DP2" t="s">
        <v>199</v>
      </c>
      <c r="DQ2" t="s">
        <v>200</v>
      </c>
      <c r="DR2" t="s">
        <v>201</v>
      </c>
      <c r="DS2" t="s">
        <v>202</v>
      </c>
      <c r="DT2" t="s">
        <v>203</v>
      </c>
    </row>
    <row r="3" spans="1:124" x14ac:dyDescent="0.45">
      <c r="A3" t="s">
        <v>204</v>
      </c>
      <c r="B3" t="s">
        <v>205</v>
      </c>
      <c r="C3" t="s">
        <v>126</v>
      </c>
      <c r="D3" t="s">
        <v>127</v>
      </c>
      <c r="E3" t="s">
        <v>128</v>
      </c>
      <c r="H3" t="s">
        <v>129</v>
      </c>
      <c r="I3">
        <v>2</v>
      </c>
      <c r="J3">
        <v>0.4488371687077598</v>
      </c>
      <c r="K3">
        <v>2.9026216800000002</v>
      </c>
      <c r="L3">
        <v>0.38872758267143592</v>
      </c>
      <c r="M3">
        <v>5.1765502764392686</v>
      </c>
      <c r="N3" t="s">
        <v>206</v>
      </c>
      <c r="O3" t="s">
        <v>207</v>
      </c>
      <c r="P3">
        <v>3.2485659932677988</v>
      </c>
      <c r="Q3">
        <v>1.316407993267799</v>
      </c>
      <c r="R3" t="s">
        <v>208</v>
      </c>
      <c r="S3" t="s">
        <v>209</v>
      </c>
      <c r="T3">
        <v>32.024507031425458</v>
      </c>
      <c r="U3">
        <v>0.4417875</v>
      </c>
      <c r="V3" t="s">
        <v>134</v>
      </c>
      <c r="W3" t="s">
        <v>210</v>
      </c>
      <c r="X3" t="s">
        <v>136</v>
      </c>
      <c r="Y3" t="s">
        <v>136</v>
      </c>
      <c r="Z3" t="s">
        <v>136</v>
      </c>
      <c r="AA3" t="s">
        <v>211</v>
      </c>
      <c r="AB3" t="s">
        <v>212</v>
      </c>
      <c r="AC3" t="s">
        <v>213</v>
      </c>
      <c r="AD3" t="s">
        <v>140</v>
      </c>
      <c r="AE3" t="s">
        <v>141</v>
      </c>
      <c r="AF3">
        <v>110.00323152</v>
      </c>
      <c r="AG3" t="s">
        <v>142</v>
      </c>
      <c r="AH3" t="s">
        <v>214</v>
      </c>
      <c r="AI3" t="s">
        <v>215</v>
      </c>
      <c r="AJ3" t="s">
        <v>216</v>
      </c>
      <c r="AK3" t="s">
        <v>217</v>
      </c>
      <c r="AL3">
        <v>25.36</v>
      </c>
      <c r="AM3" t="s">
        <v>218</v>
      </c>
      <c r="AN3" t="s">
        <v>219</v>
      </c>
      <c r="AO3" t="s">
        <v>220</v>
      </c>
      <c r="AP3" t="s">
        <v>221</v>
      </c>
      <c r="AQ3" t="s">
        <v>222</v>
      </c>
      <c r="AR3" t="s">
        <v>223</v>
      </c>
      <c r="AS3" t="s">
        <v>224</v>
      </c>
      <c r="AT3" t="s">
        <v>124</v>
      </c>
      <c r="AU3" t="s">
        <v>225</v>
      </c>
      <c r="AX3" t="s">
        <v>226</v>
      </c>
      <c r="AY3" t="s">
        <v>227</v>
      </c>
      <c r="BC3" t="s">
        <v>158</v>
      </c>
      <c r="BD3" t="s">
        <v>159</v>
      </c>
      <c r="BE3" t="s">
        <v>160</v>
      </c>
      <c r="BF3" t="s">
        <v>160</v>
      </c>
      <c r="BG3" t="s">
        <v>160</v>
      </c>
      <c r="BH3" t="s">
        <v>161</v>
      </c>
      <c r="BI3" t="s">
        <v>160</v>
      </c>
      <c r="BJ3" t="s">
        <v>162</v>
      </c>
      <c r="BK3" t="s">
        <v>126</v>
      </c>
      <c r="BL3" t="s">
        <v>163</v>
      </c>
      <c r="BM3" t="s">
        <v>124</v>
      </c>
      <c r="BN3" t="s">
        <v>228</v>
      </c>
      <c r="BO3" t="s">
        <v>164</v>
      </c>
      <c r="BP3" t="s">
        <v>229</v>
      </c>
      <c r="BQ3" t="s">
        <v>230</v>
      </c>
      <c r="BR3" t="s">
        <v>231</v>
      </c>
      <c r="BS3" t="s">
        <v>232</v>
      </c>
      <c r="BT3" t="s">
        <v>124</v>
      </c>
      <c r="BU3" t="s">
        <v>170</v>
      </c>
      <c r="BV3" t="s">
        <v>171</v>
      </c>
      <c r="BW3" t="s">
        <v>172</v>
      </c>
      <c r="BX3" t="s">
        <v>173</v>
      </c>
      <c r="BY3" t="s">
        <v>136</v>
      </c>
      <c r="BZ3" t="s">
        <v>174</v>
      </c>
      <c r="CA3" t="s">
        <v>136</v>
      </c>
      <c r="CB3" t="s">
        <v>136</v>
      </c>
      <c r="CC3" t="s">
        <v>175</v>
      </c>
      <c r="CD3" t="s">
        <v>176</v>
      </c>
      <c r="CE3" t="s">
        <v>161</v>
      </c>
      <c r="CF3" t="s">
        <v>177</v>
      </c>
      <c r="CG3" t="s">
        <v>178</v>
      </c>
      <c r="CH3" t="s">
        <v>179</v>
      </c>
      <c r="CI3" t="s">
        <v>142</v>
      </c>
      <c r="CJ3" t="s">
        <v>172</v>
      </c>
      <c r="CK3" t="s">
        <v>180</v>
      </c>
      <c r="CL3" t="s">
        <v>180</v>
      </c>
      <c r="CM3" t="s">
        <v>180</v>
      </c>
      <c r="CN3" t="s">
        <v>136</v>
      </c>
      <c r="CO3" t="s">
        <v>181</v>
      </c>
      <c r="CP3" t="s">
        <v>136</v>
      </c>
      <c r="CQ3" t="s">
        <v>136</v>
      </c>
      <c r="CR3" t="s">
        <v>136</v>
      </c>
      <c r="CS3" t="s">
        <v>136</v>
      </c>
      <c r="CT3" t="s">
        <v>233</v>
      </c>
      <c r="CU3" t="s">
        <v>234</v>
      </c>
      <c r="CV3" t="s">
        <v>235</v>
      </c>
      <c r="CW3" t="s">
        <v>236</v>
      </c>
      <c r="CX3" t="s">
        <v>237</v>
      </c>
      <c r="CY3" t="s">
        <v>238</v>
      </c>
      <c r="CZ3" t="s">
        <v>239</v>
      </c>
      <c r="DA3" t="s">
        <v>240</v>
      </c>
      <c r="DB3" t="s">
        <v>211</v>
      </c>
      <c r="DC3" t="s">
        <v>241</v>
      </c>
      <c r="DD3" t="s">
        <v>191</v>
      </c>
      <c r="DE3" t="s">
        <v>192</v>
      </c>
      <c r="DF3" t="s">
        <v>142</v>
      </c>
      <c r="DG3" t="s">
        <v>193</v>
      </c>
      <c r="DH3" t="s">
        <v>194</v>
      </c>
      <c r="DI3" t="s">
        <v>142</v>
      </c>
      <c r="DJ3" t="s">
        <v>195</v>
      </c>
      <c r="DK3" t="s">
        <v>196</v>
      </c>
      <c r="DL3" t="s">
        <v>197</v>
      </c>
      <c r="DM3" t="s">
        <v>136</v>
      </c>
      <c r="DN3" t="s">
        <v>210</v>
      </c>
      <c r="DO3" t="s">
        <v>198</v>
      </c>
      <c r="DP3" t="s">
        <v>199</v>
      </c>
      <c r="DQ3" t="s">
        <v>200</v>
      </c>
      <c r="DR3" t="s">
        <v>201</v>
      </c>
      <c r="DS3" t="s">
        <v>202</v>
      </c>
      <c r="DT3" t="s">
        <v>203</v>
      </c>
    </row>
    <row r="4" spans="1:124" x14ac:dyDescent="0.45">
      <c r="A4" t="s">
        <v>242</v>
      </c>
      <c r="B4" t="s">
        <v>243</v>
      </c>
      <c r="C4" t="s">
        <v>126</v>
      </c>
      <c r="D4" t="s">
        <v>127</v>
      </c>
      <c r="E4" t="s">
        <v>128</v>
      </c>
      <c r="H4" t="s">
        <v>129</v>
      </c>
      <c r="I4">
        <v>3</v>
      </c>
      <c r="J4">
        <v>0.44734968314028267</v>
      </c>
      <c r="K4">
        <v>2.9050319999999989</v>
      </c>
      <c r="L4">
        <v>0.38765429105167931</v>
      </c>
      <c r="M4">
        <v>5.0306107864787766</v>
      </c>
      <c r="N4" t="s">
        <v>244</v>
      </c>
      <c r="O4" t="s">
        <v>245</v>
      </c>
      <c r="P4">
        <v>3.358318143010222</v>
      </c>
      <c r="Q4">
        <v>1.2810391430102219</v>
      </c>
      <c r="R4" t="s">
        <v>246</v>
      </c>
      <c r="S4" t="s">
        <v>247</v>
      </c>
      <c r="T4">
        <v>33.109712540769223</v>
      </c>
      <c r="U4">
        <v>0.4417875</v>
      </c>
      <c r="V4" t="s">
        <v>134</v>
      </c>
      <c r="W4" t="s">
        <v>248</v>
      </c>
      <c r="X4" t="s">
        <v>136</v>
      </c>
      <c r="Y4" t="s">
        <v>136</v>
      </c>
      <c r="Z4" t="s">
        <v>136</v>
      </c>
      <c r="AA4" t="s">
        <v>249</v>
      </c>
      <c r="AB4" t="s">
        <v>250</v>
      </c>
      <c r="AC4" t="s">
        <v>251</v>
      </c>
      <c r="AD4" t="s">
        <v>140</v>
      </c>
      <c r="AE4" t="s">
        <v>141</v>
      </c>
      <c r="AF4">
        <v>101.2391373</v>
      </c>
      <c r="AG4" t="s">
        <v>142</v>
      </c>
      <c r="AH4" t="s">
        <v>252</v>
      </c>
      <c r="AI4" t="s">
        <v>253</v>
      </c>
      <c r="AJ4" t="s">
        <v>254</v>
      </c>
      <c r="AK4" t="s">
        <v>255</v>
      </c>
      <c r="AL4">
        <v>25.92</v>
      </c>
      <c r="AM4" t="s">
        <v>256</v>
      </c>
      <c r="AN4" t="s">
        <v>148</v>
      </c>
      <c r="AO4" t="s">
        <v>257</v>
      </c>
      <c r="AP4" t="s">
        <v>258</v>
      </c>
      <c r="AQ4" t="s">
        <v>259</v>
      </c>
      <c r="AR4" t="s">
        <v>260</v>
      </c>
      <c r="AS4" t="s">
        <v>261</v>
      </c>
      <c r="AT4" t="s">
        <v>262</v>
      </c>
      <c r="AU4" t="s">
        <v>263</v>
      </c>
      <c r="AV4" t="s">
        <v>264</v>
      </c>
      <c r="AW4" t="s">
        <v>265</v>
      </c>
      <c r="AX4" t="s">
        <v>266</v>
      </c>
      <c r="AY4" t="s">
        <v>267</v>
      </c>
      <c r="AZ4" t="s">
        <v>268</v>
      </c>
      <c r="BA4" t="s">
        <v>269</v>
      </c>
      <c r="BB4" t="s">
        <v>270</v>
      </c>
      <c r="BC4" t="s">
        <v>271</v>
      </c>
      <c r="BD4" t="s">
        <v>126</v>
      </c>
      <c r="BE4" t="s">
        <v>272</v>
      </c>
      <c r="BF4" t="s">
        <v>273</v>
      </c>
      <c r="BG4" t="s">
        <v>274</v>
      </c>
      <c r="BH4" t="s">
        <v>263</v>
      </c>
      <c r="BI4" t="s">
        <v>275</v>
      </c>
      <c r="BJ4" t="s">
        <v>162</v>
      </c>
      <c r="BK4" t="s">
        <v>126</v>
      </c>
      <c r="BL4" t="s">
        <v>163</v>
      </c>
      <c r="BM4" t="s">
        <v>124</v>
      </c>
      <c r="BN4" t="s">
        <v>276</v>
      </c>
      <c r="BO4" t="s">
        <v>171</v>
      </c>
      <c r="BP4" t="s">
        <v>277</v>
      </c>
      <c r="BQ4" t="s">
        <v>278</v>
      </c>
      <c r="BR4" t="s">
        <v>279</v>
      </c>
      <c r="BS4" t="s">
        <v>280</v>
      </c>
      <c r="BT4" t="s">
        <v>124</v>
      </c>
      <c r="BU4" t="s">
        <v>170</v>
      </c>
      <c r="BV4" t="s">
        <v>171</v>
      </c>
      <c r="BW4" t="s">
        <v>172</v>
      </c>
      <c r="BX4" t="s">
        <v>173</v>
      </c>
      <c r="BY4" t="s">
        <v>136</v>
      </c>
      <c r="BZ4" t="s">
        <v>174</v>
      </c>
      <c r="CA4" t="s">
        <v>136</v>
      </c>
      <c r="CB4" t="s">
        <v>136</v>
      </c>
      <c r="CC4" t="s">
        <v>175</v>
      </c>
      <c r="CD4" t="s">
        <v>176</v>
      </c>
      <c r="CE4" t="s">
        <v>161</v>
      </c>
      <c r="CF4" t="s">
        <v>177</v>
      </c>
      <c r="CG4" t="s">
        <v>178</v>
      </c>
      <c r="CH4" t="s">
        <v>179</v>
      </c>
      <c r="CI4" t="s">
        <v>142</v>
      </c>
      <c r="CJ4" t="s">
        <v>172</v>
      </c>
      <c r="CK4" t="s">
        <v>180</v>
      </c>
      <c r="CL4" t="s">
        <v>180</v>
      </c>
      <c r="CM4" t="s">
        <v>180</v>
      </c>
      <c r="CN4" t="s">
        <v>136</v>
      </c>
      <c r="CO4" t="s">
        <v>181</v>
      </c>
      <c r="CP4" t="s">
        <v>136</v>
      </c>
      <c r="CQ4" t="s">
        <v>136</v>
      </c>
      <c r="CR4" t="s">
        <v>136</v>
      </c>
      <c r="CS4" t="s">
        <v>136</v>
      </c>
      <c r="CT4" t="s">
        <v>281</v>
      </c>
      <c r="CU4" t="s">
        <v>282</v>
      </c>
      <c r="CV4" t="s">
        <v>283</v>
      </c>
      <c r="CW4" t="s">
        <v>284</v>
      </c>
      <c r="CX4" t="s">
        <v>285</v>
      </c>
      <c r="CY4" t="s">
        <v>286</v>
      </c>
      <c r="CZ4" t="s">
        <v>287</v>
      </c>
      <c r="DA4" t="s">
        <v>288</v>
      </c>
      <c r="DB4" t="s">
        <v>249</v>
      </c>
      <c r="DC4" t="s">
        <v>289</v>
      </c>
      <c r="DD4" t="s">
        <v>191</v>
      </c>
      <c r="DE4" t="s">
        <v>192</v>
      </c>
      <c r="DF4" t="s">
        <v>142</v>
      </c>
      <c r="DG4" t="s">
        <v>193</v>
      </c>
      <c r="DH4" t="s">
        <v>194</v>
      </c>
      <c r="DI4" t="s">
        <v>142</v>
      </c>
      <c r="DJ4" t="s">
        <v>195</v>
      </c>
      <c r="DK4" t="s">
        <v>196</v>
      </c>
      <c r="DL4" t="s">
        <v>197</v>
      </c>
      <c r="DM4" t="s">
        <v>136</v>
      </c>
      <c r="DN4" t="s">
        <v>248</v>
      </c>
      <c r="DO4" t="s">
        <v>198</v>
      </c>
      <c r="DP4" t="s">
        <v>199</v>
      </c>
      <c r="DQ4" t="s">
        <v>200</v>
      </c>
      <c r="DR4" t="s">
        <v>201</v>
      </c>
      <c r="DS4" t="s">
        <v>202</v>
      </c>
      <c r="DT4" t="s">
        <v>203</v>
      </c>
    </row>
    <row r="5" spans="1:124" x14ac:dyDescent="0.45">
      <c r="A5" t="s">
        <v>290</v>
      </c>
      <c r="B5" t="s">
        <v>291</v>
      </c>
      <c r="C5" t="s">
        <v>126</v>
      </c>
      <c r="D5" t="s">
        <v>127</v>
      </c>
      <c r="E5" t="s">
        <v>128</v>
      </c>
      <c r="H5" t="s">
        <v>129</v>
      </c>
      <c r="I5">
        <v>4</v>
      </c>
      <c r="J5">
        <v>0.470510905022823</v>
      </c>
      <c r="K5">
        <v>2.9034264799999998</v>
      </c>
      <c r="L5">
        <v>0.40489602054745549</v>
      </c>
      <c r="M5">
        <v>5.3392893747631653</v>
      </c>
      <c r="N5" t="s">
        <v>292</v>
      </c>
      <c r="O5" t="s">
        <v>293</v>
      </c>
      <c r="P5">
        <v>3.4244985814706008</v>
      </c>
      <c r="Q5">
        <v>1.3009845814706009</v>
      </c>
      <c r="R5" t="s">
        <v>294</v>
      </c>
      <c r="S5" t="s">
        <v>295</v>
      </c>
      <c r="T5">
        <v>33.762186547082727</v>
      </c>
      <c r="U5">
        <v>0.4417875</v>
      </c>
      <c r="V5" t="s">
        <v>134</v>
      </c>
      <c r="W5" t="s">
        <v>296</v>
      </c>
      <c r="X5" t="s">
        <v>136</v>
      </c>
      <c r="Y5" t="s">
        <v>136</v>
      </c>
      <c r="Z5" t="s">
        <v>136</v>
      </c>
      <c r="AA5" t="s">
        <v>297</v>
      </c>
      <c r="AB5" t="s">
        <v>298</v>
      </c>
      <c r="AC5" t="s">
        <v>299</v>
      </c>
      <c r="AD5" t="s">
        <v>140</v>
      </c>
      <c r="AE5" t="s">
        <v>141</v>
      </c>
      <c r="AF5">
        <v>106.07281524</v>
      </c>
      <c r="AG5" t="s">
        <v>142</v>
      </c>
      <c r="AH5" t="s">
        <v>300</v>
      </c>
      <c r="AI5" t="s">
        <v>301</v>
      </c>
      <c r="AJ5" t="s">
        <v>302</v>
      </c>
      <c r="AK5" t="s">
        <v>303</v>
      </c>
      <c r="AL5">
        <v>26.25</v>
      </c>
      <c r="AM5" t="s">
        <v>256</v>
      </c>
      <c r="AN5" t="s">
        <v>304</v>
      </c>
      <c r="AO5" t="s">
        <v>305</v>
      </c>
      <c r="AP5" t="s">
        <v>306</v>
      </c>
      <c r="AQ5" t="s">
        <v>307</v>
      </c>
      <c r="AR5" t="s">
        <v>308</v>
      </c>
      <c r="AS5" t="s">
        <v>262</v>
      </c>
      <c r="AT5" t="s">
        <v>309</v>
      </c>
      <c r="AU5" t="s">
        <v>310</v>
      </c>
      <c r="AV5" t="s">
        <v>311</v>
      </c>
      <c r="AW5" t="s">
        <v>312</v>
      </c>
      <c r="AX5" t="s">
        <v>313</v>
      </c>
      <c r="AY5" t="s">
        <v>314</v>
      </c>
      <c r="AZ5" t="s">
        <v>268</v>
      </c>
      <c r="BA5" t="s">
        <v>315</v>
      </c>
      <c r="BB5" t="s">
        <v>316</v>
      </c>
      <c r="BC5" t="s">
        <v>317</v>
      </c>
      <c r="BD5" t="s">
        <v>126</v>
      </c>
      <c r="BE5" t="s">
        <v>318</v>
      </c>
      <c r="BF5" t="s">
        <v>319</v>
      </c>
      <c r="BG5" t="s">
        <v>320</v>
      </c>
      <c r="BH5" t="s">
        <v>321</v>
      </c>
      <c r="BI5" t="s">
        <v>322</v>
      </c>
      <c r="BJ5" t="s">
        <v>162</v>
      </c>
      <c r="BK5" t="s">
        <v>126</v>
      </c>
      <c r="BL5" t="s">
        <v>163</v>
      </c>
      <c r="BM5" t="s">
        <v>124</v>
      </c>
      <c r="BN5" t="s">
        <v>229</v>
      </c>
      <c r="BO5" t="s">
        <v>164</v>
      </c>
      <c r="BP5" t="s">
        <v>165</v>
      </c>
      <c r="BQ5" t="s">
        <v>323</v>
      </c>
      <c r="BR5" t="s">
        <v>324</v>
      </c>
      <c r="BS5" t="s">
        <v>325</v>
      </c>
      <c r="BT5" t="s">
        <v>124</v>
      </c>
      <c r="BU5" t="s">
        <v>170</v>
      </c>
      <c r="BV5" t="s">
        <v>171</v>
      </c>
      <c r="BW5" t="s">
        <v>172</v>
      </c>
      <c r="BX5" t="s">
        <v>173</v>
      </c>
      <c r="BY5" t="s">
        <v>136</v>
      </c>
      <c r="BZ5" t="s">
        <v>174</v>
      </c>
      <c r="CA5" t="s">
        <v>136</v>
      </c>
      <c r="CB5" t="s">
        <v>136</v>
      </c>
      <c r="CC5" t="s">
        <v>175</v>
      </c>
      <c r="CD5" t="s">
        <v>176</v>
      </c>
      <c r="CE5" t="s">
        <v>161</v>
      </c>
      <c r="CF5" t="s">
        <v>177</v>
      </c>
      <c r="CG5" t="s">
        <v>178</v>
      </c>
      <c r="CH5" t="s">
        <v>179</v>
      </c>
      <c r="CI5" t="s">
        <v>142</v>
      </c>
      <c r="CJ5" t="s">
        <v>172</v>
      </c>
      <c r="CK5" t="s">
        <v>180</v>
      </c>
      <c r="CL5" t="s">
        <v>180</v>
      </c>
      <c r="CM5" t="s">
        <v>180</v>
      </c>
      <c r="CN5" t="s">
        <v>136</v>
      </c>
      <c r="CO5" t="s">
        <v>181</v>
      </c>
      <c r="CP5" t="s">
        <v>136</v>
      </c>
      <c r="CQ5" t="s">
        <v>136</v>
      </c>
      <c r="CR5" t="s">
        <v>136</v>
      </c>
      <c r="CS5" t="s">
        <v>136</v>
      </c>
      <c r="CT5" t="s">
        <v>326</v>
      </c>
      <c r="CU5" t="s">
        <v>327</v>
      </c>
      <c r="CV5" t="s">
        <v>328</v>
      </c>
      <c r="CW5" t="s">
        <v>329</v>
      </c>
      <c r="CX5" t="s">
        <v>330</v>
      </c>
      <c r="CY5" t="s">
        <v>331</v>
      </c>
      <c r="CZ5" t="s">
        <v>332</v>
      </c>
      <c r="DA5" t="s">
        <v>333</v>
      </c>
      <c r="DB5" t="s">
        <v>297</v>
      </c>
      <c r="DC5" t="s">
        <v>334</v>
      </c>
      <c r="DD5" t="s">
        <v>191</v>
      </c>
      <c r="DE5" t="s">
        <v>192</v>
      </c>
      <c r="DF5" t="s">
        <v>142</v>
      </c>
      <c r="DG5" t="s">
        <v>193</v>
      </c>
      <c r="DH5" t="s">
        <v>194</v>
      </c>
      <c r="DI5" t="s">
        <v>142</v>
      </c>
      <c r="DJ5" t="s">
        <v>195</v>
      </c>
      <c r="DK5" t="s">
        <v>196</v>
      </c>
      <c r="DL5" t="s">
        <v>197</v>
      </c>
      <c r="DM5" t="s">
        <v>136</v>
      </c>
      <c r="DN5" t="s">
        <v>296</v>
      </c>
      <c r="DO5" t="s">
        <v>198</v>
      </c>
      <c r="DP5" t="s">
        <v>199</v>
      </c>
      <c r="DQ5" t="s">
        <v>200</v>
      </c>
      <c r="DR5" t="s">
        <v>201</v>
      </c>
      <c r="DS5" t="s">
        <v>202</v>
      </c>
      <c r="DT5" t="s">
        <v>203</v>
      </c>
    </row>
    <row r="6" spans="1:124" x14ac:dyDescent="0.45">
      <c r="A6" t="s">
        <v>335</v>
      </c>
      <c r="B6" t="s">
        <v>336</v>
      </c>
      <c r="C6" t="s">
        <v>126</v>
      </c>
      <c r="D6" t="s">
        <v>127</v>
      </c>
      <c r="E6" t="s">
        <v>128</v>
      </c>
      <c r="H6" t="s">
        <v>129</v>
      </c>
      <c r="I6">
        <v>5</v>
      </c>
      <c r="J6">
        <v>0.35185696352996693</v>
      </c>
      <c r="K6">
        <v>2.9058327199999998</v>
      </c>
      <c r="L6">
        <v>0.31385355166098322</v>
      </c>
      <c r="M6">
        <v>4.762689515363034</v>
      </c>
      <c r="N6" t="s">
        <v>337</v>
      </c>
      <c r="O6" t="s">
        <v>338</v>
      </c>
      <c r="P6">
        <v>3.5414955106111412</v>
      </c>
      <c r="Q6">
        <v>1.496730510611141</v>
      </c>
      <c r="R6" t="s">
        <v>339</v>
      </c>
      <c r="S6" t="s">
        <v>340</v>
      </c>
      <c r="T6">
        <v>34.919103831701257</v>
      </c>
      <c r="U6">
        <v>0.4417875</v>
      </c>
      <c r="V6" t="s">
        <v>134</v>
      </c>
      <c r="W6" t="s">
        <v>341</v>
      </c>
      <c r="X6" t="s">
        <v>136</v>
      </c>
      <c r="Y6" t="s">
        <v>136</v>
      </c>
      <c r="Z6" t="s">
        <v>136</v>
      </c>
      <c r="AA6" t="s">
        <v>342</v>
      </c>
      <c r="AB6" t="s">
        <v>343</v>
      </c>
      <c r="AC6" t="s">
        <v>344</v>
      </c>
      <c r="AD6" t="s">
        <v>140</v>
      </c>
      <c r="AE6" t="s">
        <v>141</v>
      </c>
      <c r="AF6">
        <v>101.17858884</v>
      </c>
      <c r="AG6" t="s">
        <v>142</v>
      </c>
      <c r="AH6" t="s">
        <v>345</v>
      </c>
      <c r="AI6" t="s">
        <v>346</v>
      </c>
      <c r="AJ6" t="s">
        <v>347</v>
      </c>
      <c r="AK6" t="s">
        <v>348</v>
      </c>
      <c r="AL6">
        <v>26.82</v>
      </c>
      <c r="AM6" t="s">
        <v>349</v>
      </c>
      <c r="AN6" t="s">
        <v>350</v>
      </c>
      <c r="AO6" t="s">
        <v>351</v>
      </c>
      <c r="AP6" t="s">
        <v>352</v>
      </c>
      <c r="AQ6" t="s">
        <v>353</v>
      </c>
      <c r="AR6" t="s">
        <v>354</v>
      </c>
      <c r="AS6" t="s">
        <v>355</v>
      </c>
      <c r="AT6" t="s">
        <v>204</v>
      </c>
      <c r="AU6" t="s">
        <v>356</v>
      </c>
      <c r="AV6" t="s">
        <v>357</v>
      </c>
      <c r="AW6" t="s">
        <v>358</v>
      </c>
      <c r="AX6" t="s">
        <v>359</v>
      </c>
      <c r="AY6" t="s">
        <v>360</v>
      </c>
      <c r="AZ6" t="s">
        <v>268</v>
      </c>
      <c r="BA6" t="s">
        <v>361</v>
      </c>
      <c r="BB6" t="s">
        <v>362</v>
      </c>
      <c r="BC6" t="s">
        <v>363</v>
      </c>
      <c r="BD6" t="s">
        <v>126</v>
      </c>
      <c r="BE6" t="s">
        <v>364</v>
      </c>
      <c r="BF6" t="s">
        <v>365</v>
      </c>
      <c r="BG6" t="s">
        <v>366</v>
      </c>
      <c r="BH6" t="s">
        <v>290</v>
      </c>
      <c r="BI6" t="s">
        <v>367</v>
      </c>
      <c r="BJ6" t="s">
        <v>368</v>
      </c>
      <c r="BK6" t="s">
        <v>126</v>
      </c>
      <c r="BL6" t="s">
        <v>369</v>
      </c>
      <c r="BM6" t="s">
        <v>124</v>
      </c>
      <c r="BN6" t="s">
        <v>165</v>
      </c>
      <c r="BO6" t="s">
        <v>228</v>
      </c>
      <c r="BP6" t="s">
        <v>276</v>
      </c>
      <c r="BQ6" t="s">
        <v>370</v>
      </c>
      <c r="BR6" t="s">
        <v>371</v>
      </c>
      <c r="BS6" t="s">
        <v>372</v>
      </c>
      <c r="BT6" t="s">
        <v>124</v>
      </c>
      <c r="BU6" t="s">
        <v>170</v>
      </c>
      <c r="BV6" t="s">
        <v>171</v>
      </c>
      <c r="BW6" t="s">
        <v>172</v>
      </c>
      <c r="BX6" t="s">
        <v>173</v>
      </c>
      <c r="BY6" t="s">
        <v>136</v>
      </c>
      <c r="BZ6" t="s">
        <v>174</v>
      </c>
      <c r="CA6" t="s">
        <v>136</v>
      </c>
      <c r="CB6" t="s">
        <v>136</v>
      </c>
      <c r="CC6" t="s">
        <v>175</v>
      </c>
      <c r="CD6" t="s">
        <v>176</v>
      </c>
      <c r="CE6" t="s">
        <v>161</v>
      </c>
      <c r="CF6" t="s">
        <v>177</v>
      </c>
      <c r="CG6" t="s">
        <v>178</v>
      </c>
      <c r="CH6" t="s">
        <v>179</v>
      </c>
      <c r="CI6" t="s">
        <v>142</v>
      </c>
      <c r="CJ6" t="s">
        <v>172</v>
      </c>
      <c r="CK6" t="s">
        <v>180</v>
      </c>
      <c r="CL6" t="s">
        <v>180</v>
      </c>
      <c r="CM6" t="s">
        <v>180</v>
      </c>
      <c r="CN6" t="s">
        <v>136</v>
      </c>
      <c r="CO6" t="s">
        <v>181</v>
      </c>
      <c r="CP6" t="s">
        <v>136</v>
      </c>
      <c r="CQ6" t="s">
        <v>136</v>
      </c>
      <c r="CR6" t="s">
        <v>136</v>
      </c>
      <c r="CS6" t="s">
        <v>136</v>
      </c>
      <c r="CT6" t="s">
        <v>373</v>
      </c>
      <c r="CU6" t="s">
        <v>374</v>
      </c>
      <c r="CV6" t="s">
        <v>375</v>
      </c>
      <c r="CW6" t="s">
        <v>376</v>
      </c>
      <c r="CX6" t="s">
        <v>377</v>
      </c>
      <c r="CY6" t="s">
        <v>378</v>
      </c>
      <c r="CZ6" t="s">
        <v>379</v>
      </c>
      <c r="DA6" t="s">
        <v>380</v>
      </c>
      <c r="DB6" t="s">
        <v>342</v>
      </c>
      <c r="DC6" t="s">
        <v>381</v>
      </c>
      <c r="DD6" t="s">
        <v>191</v>
      </c>
      <c r="DE6" t="s">
        <v>192</v>
      </c>
      <c r="DF6" t="s">
        <v>142</v>
      </c>
      <c r="DG6" t="s">
        <v>193</v>
      </c>
      <c r="DH6" t="s">
        <v>194</v>
      </c>
      <c r="DI6" t="s">
        <v>142</v>
      </c>
      <c r="DJ6" t="s">
        <v>195</v>
      </c>
      <c r="DK6" t="s">
        <v>196</v>
      </c>
      <c r="DL6" t="s">
        <v>197</v>
      </c>
      <c r="DM6" t="s">
        <v>136</v>
      </c>
      <c r="DN6" t="s">
        <v>341</v>
      </c>
      <c r="DO6" t="s">
        <v>198</v>
      </c>
      <c r="DP6" t="s">
        <v>199</v>
      </c>
      <c r="DQ6" t="s">
        <v>200</v>
      </c>
      <c r="DR6" t="s">
        <v>201</v>
      </c>
      <c r="DS6" t="s">
        <v>202</v>
      </c>
      <c r="DT6" t="s">
        <v>203</v>
      </c>
    </row>
    <row r="7" spans="1:124" x14ac:dyDescent="0.45">
      <c r="A7" t="s">
        <v>382</v>
      </c>
      <c r="B7" t="s">
        <v>383</v>
      </c>
      <c r="C7" t="s">
        <v>126</v>
      </c>
      <c r="D7" t="s">
        <v>127</v>
      </c>
      <c r="E7" t="s">
        <v>128</v>
      </c>
      <c r="H7" t="s">
        <v>129</v>
      </c>
      <c r="I7">
        <v>6</v>
      </c>
      <c r="J7">
        <v>0.30719972879671892</v>
      </c>
      <c r="K7">
        <v>2.9066320800000001</v>
      </c>
      <c r="L7">
        <v>0.27783550596636758</v>
      </c>
      <c r="M7">
        <v>4.1897800864144976</v>
      </c>
      <c r="N7" t="s">
        <v>384</v>
      </c>
      <c r="O7" t="s">
        <v>385</v>
      </c>
      <c r="P7">
        <v>3.560284122883826</v>
      </c>
      <c r="Q7">
        <v>1.4870401228838259</v>
      </c>
      <c r="R7" t="s">
        <v>386</v>
      </c>
      <c r="S7" t="s">
        <v>387</v>
      </c>
      <c r="T7">
        <v>35.104359326403333</v>
      </c>
      <c r="U7">
        <v>0.4417875</v>
      </c>
      <c r="V7" t="s">
        <v>134</v>
      </c>
      <c r="W7" t="s">
        <v>388</v>
      </c>
      <c r="X7" t="s">
        <v>136</v>
      </c>
      <c r="Y7" t="s">
        <v>136</v>
      </c>
      <c r="Z7" t="s">
        <v>136</v>
      </c>
      <c r="AA7" t="s">
        <v>389</v>
      </c>
      <c r="AB7" t="s">
        <v>390</v>
      </c>
      <c r="AC7" t="s">
        <v>391</v>
      </c>
      <c r="AD7" t="s">
        <v>140</v>
      </c>
      <c r="AE7" t="s">
        <v>141</v>
      </c>
      <c r="AF7">
        <v>96.657419039999994</v>
      </c>
      <c r="AG7" t="s">
        <v>142</v>
      </c>
      <c r="AH7" t="s">
        <v>392</v>
      </c>
      <c r="AI7" t="s">
        <v>393</v>
      </c>
      <c r="AJ7" t="s">
        <v>394</v>
      </c>
      <c r="AK7" t="s">
        <v>395</v>
      </c>
      <c r="AL7">
        <v>26.91</v>
      </c>
      <c r="AM7" t="s">
        <v>349</v>
      </c>
      <c r="AN7" t="s">
        <v>396</v>
      </c>
      <c r="AO7" t="s">
        <v>397</v>
      </c>
      <c r="AP7" t="s">
        <v>398</v>
      </c>
      <c r="AQ7" t="s">
        <v>399</v>
      </c>
      <c r="AR7" t="s">
        <v>354</v>
      </c>
      <c r="AS7" t="s">
        <v>261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Y7" t="s">
        <v>405</v>
      </c>
      <c r="AZ7" t="s">
        <v>268</v>
      </c>
      <c r="BA7" t="s">
        <v>361</v>
      </c>
      <c r="BB7" t="s">
        <v>362</v>
      </c>
      <c r="BC7" t="s">
        <v>406</v>
      </c>
      <c r="BD7" t="s">
        <v>126</v>
      </c>
      <c r="BE7" t="s">
        <v>407</v>
      </c>
      <c r="BF7" t="s">
        <v>408</v>
      </c>
      <c r="BG7" t="s">
        <v>409</v>
      </c>
      <c r="BH7" t="s">
        <v>242</v>
      </c>
      <c r="BI7" t="s">
        <v>410</v>
      </c>
      <c r="BJ7" t="s">
        <v>368</v>
      </c>
      <c r="BK7" t="s">
        <v>126</v>
      </c>
      <c r="BL7" t="s">
        <v>369</v>
      </c>
      <c r="BM7" t="s">
        <v>124</v>
      </c>
      <c r="BN7" t="s">
        <v>411</v>
      </c>
      <c r="BO7" t="s">
        <v>164</v>
      </c>
      <c r="BP7" t="s">
        <v>412</v>
      </c>
      <c r="BQ7" t="s">
        <v>171</v>
      </c>
      <c r="BR7" t="s">
        <v>413</v>
      </c>
      <c r="BS7" t="s">
        <v>414</v>
      </c>
      <c r="BT7" t="s">
        <v>124</v>
      </c>
      <c r="BU7" t="s">
        <v>170</v>
      </c>
      <c r="BV7" t="s">
        <v>171</v>
      </c>
      <c r="BW7" t="s">
        <v>172</v>
      </c>
      <c r="BX7" t="s">
        <v>173</v>
      </c>
      <c r="BY7" t="s">
        <v>136</v>
      </c>
      <c r="BZ7" t="s">
        <v>174</v>
      </c>
      <c r="CA7" t="s">
        <v>136</v>
      </c>
      <c r="CB7" t="s">
        <v>136</v>
      </c>
      <c r="CC7" t="s">
        <v>175</v>
      </c>
      <c r="CD7" t="s">
        <v>176</v>
      </c>
      <c r="CE7" t="s">
        <v>161</v>
      </c>
      <c r="CF7" t="s">
        <v>177</v>
      </c>
      <c r="CG7" t="s">
        <v>178</v>
      </c>
      <c r="CH7" t="s">
        <v>179</v>
      </c>
      <c r="CI7" t="s">
        <v>142</v>
      </c>
      <c r="CJ7" t="s">
        <v>172</v>
      </c>
      <c r="CK7" t="s">
        <v>180</v>
      </c>
      <c r="CL7" t="s">
        <v>180</v>
      </c>
      <c r="CM7" t="s">
        <v>180</v>
      </c>
      <c r="CN7" t="s">
        <v>136</v>
      </c>
      <c r="CO7" t="s">
        <v>181</v>
      </c>
      <c r="CP7" t="s">
        <v>136</v>
      </c>
      <c r="CQ7" t="s">
        <v>136</v>
      </c>
      <c r="CR7" t="s">
        <v>136</v>
      </c>
      <c r="CS7" t="s">
        <v>136</v>
      </c>
      <c r="CT7" t="s">
        <v>415</v>
      </c>
      <c r="CU7" t="s">
        <v>416</v>
      </c>
      <c r="CV7" t="s">
        <v>417</v>
      </c>
      <c r="CW7" t="s">
        <v>418</v>
      </c>
      <c r="CX7" t="s">
        <v>419</v>
      </c>
      <c r="CY7" t="s">
        <v>420</v>
      </c>
      <c r="CZ7" t="s">
        <v>421</v>
      </c>
      <c r="DA7" t="s">
        <v>422</v>
      </c>
      <c r="DB7" t="s">
        <v>389</v>
      </c>
      <c r="DC7" t="s">
        <v>381</v>
      </c>
      <c r="DD7" t="s">
        <v>191</v>
      </c>
      <c r="DE7" t="s">
        <v>192</v>
      </c>
      <c r="DF7" t="s">
        <v>142</v>
      </c>
      <c r="DG7" t="s">
        <v>193</v>
      </c>
      <c r="DH7" t="s">
        <v>194</v>
      </c>
      <c r="DI7" t="s">
        <v>142</v>
      </c>
      <c r="DJ7" t="s">
        <v>195</v>
      </c>
      <c r="DK7" t="s">
        <v>196</v>
      </c>
      <c r="DL7" t="s">
        <v>197</v>
      </c>
      <c r="DM7" t="s">
        <v>136</v>
      </c>
      <c r="DN7" t="s">
        <v>388</v>
      </c>
      <c r="DO7" t="s">
        <v>198</v>
      </c>
      <c r="DP7" t="s">
        <v>199</v>
      </c>
      <c r="DQ7" t="s">
        <v>200</v>
      </c>
      <c r="DR7" t="s">
        <v>201</v>
      </c>
      <c r="DS7" t="s">
        <v>202</v>
      </c>
      <c r="DT7" t="s">
        <v>203</v>
      </c>
    </row>
    <row r="8" spans="1:124" x14ac:dyDescent="0.45">
      <c r="A8" t="s">
        <v>423</v>
      </c>
      <c r="B8" t="s">
        <v>424</v>
      </c>
      <c r="C8" t="s">
        <v>126</v>
      </c>
      <c r="D8" t="s">
        <v>127</v>
      </c>
      <c r="E8" t="s">
        <v>128</v>
      </c>
      <c r="H8" t="s">
        <v>129</v>
      </c>
      <c r="I8">
        <v>7</v>
      </c>
      <c r="J8">
        <v>0.43348814000796698</v>
      </c>
      <c r="K8">
        <v>2.9058327199999998</v>
      </c>
      <c r="L8">
        <v>0.37721562969665817</v>
      </c>
      <c r="M8">
        <v>5.4981283254200504</v>
      </c>
      <c r="N8" t="s">
        <v>425</v>
      </c>
      <c r="O8" t="s">
        <v>426</v>
      </c>
      <c r="P8">
        <v>3.4224765042824301</v>
      </c>
      <c r="Q8">
        <v>1.43915850428243</v>
      </c>
      <c r="R8" t="s">
        <v>427</v>
      </c>
      <c r="S8" t="s">
        <v>428</v>
      </c>
      <c r="T8">
        <v>33.738924529598087</v>
      </c>
      <c r="U8">
        <v>0.4417875</v>
      </c>
      <c r="V8" t="s">
        <v>134</v>
      </c>
      <c r="W8" t="s">
        <v>429</v>
      </c>
      <c r="X8" t="s">
        <v>136</v>
      </c>
      <c r="Y8" t="s">
        <v>136</v>
      </c>
      <c r="Z8" t="s">
        <v>136</v>
      </c>
      <c r="AA8" t="s">
        <v>430</v>
      </c>
      <c r="AB8" t="s">
        <v>431</v>
      </c>
      <c r="AC8" t="s">
        <v>432</v>
      </c>
      <c r="AD8" t="s">
        <v>140</v>
      </c>
      <c r="AE8" t="s">
        <v>141</v>
      </c>
      <c r="AF8">
        <v>55.354173000000003</v>
      </c>
      <c r="AG8" t="s">
        <v>142</v>
      </c>
      <c r="AH8" t="s">
        <v>433</v>
      </c>
      <c r="AI8" t="s">
        <v>434</v>
      </c>
      <c r="AJ8" t="s">
        <v>435</v>
      </c>
      <c r="AK8" t="s">
        <v>436</v>
      </c>
      <c r="AL8">
        <v>26.24</v>
      </c>
      <c r="AM8" t="s">
        <v>218</v>
      </c>
      <c r="AN8" t="s">
        <v>350</v>
      </c>
      <c r="AO8" t="s">
        <v>437</v>
      </c>
      <c r="AP8" t="s">
        <v>438</v>
      </c>
      <c r="AQ8" t="s">
        <v>439</v>
      </c>
      <c r="AR8" t="s">
        <v>440</v>
      </c>
      <c r="AS8" t="s">
        <v>261</v>
      </c>
      <c r="AT8" t="s">
        <v>224</v>
      </c>
      <c r="AU8" t="s">
        <v>353</v>
      </c>
      <c r="AV8" t="s">
        <v>441</v>
      </c>
      <c r="AW8" t="s">
        <v>442</v>
      </c>
      <c r="AX8" t="s">
        <v>443</v>
      </c>
      <c r="AY8" t="s">
        <v>444</v>
      </c>
      <c r="AZ8" t="s">
        <v>445</v>
      </c>
      <c r="BA8" t="s">
        <v>446</v>
      </c>
      <c r="BB8" t="s">
        <v>447</v>
      </c>
      <c r="BC8" t="s">
        <v>448</v>
      </c>
      <c r="BD8" t="s">
        <v>126</v>
      </c>
      <c r="BE8" t="s">
        <v>449</v>
      </c>
      <c r="BF8" t="s">
        <v>319</v>
      </c>
      <c r="BG8" t="s">
        <v>450</v>
      </c>
      <c r="BH8" t="s">
        <v>451</v>
      </c>
      <c r="BI8" t="s">
        <v>452</v>
      </c>
      <c r="BJ8" t="s">
        <v>453</v>
      </c>
      <c r="BK8" t="s">
        <v>126</v>
      </c>
      <c r="BL8" t="s">
        <v>454</v>
      </c>
      <c r="BM8" t="s">
        <v>124</v>
      </c>
      <c r="BN8" t="s">
        <v>171</v>
      </c>
      <c r="BO8" t="s">
        <v>171</v>
      </c>
      <c r="BP8" t="s">
        <v>455</v>
      </c>
      <c r="BQ8" t="s">
        <v>456</v>
      </c>
      <c r="BR8" t="s">
        <v>457</v>
      </c>
      <c r="BS8" t="s">
        <v>458</v>
      </c>
      <c r="BT8" t="s">
        <v>124</v>
      </c>
      <c r="BU8" t="s">
        <v>170</v>
      </c>
      <c r="BV8" t="s">
        <v>171</v>
      </c>
      <c r="BW8" t="s">
        <v>172</v>
      </c>
      <c r="BX8" t="s">
        <v>173</v>
      </c>
      <c r="BY8" t="s">
        <v>136</v>
      </c>
      <c r="BZ8" t="s">
        <v>174</v>
      </c>
      <c r="CA8" t="s">
        <v>136</v>
      </c>
      <c r="CB8" t="s">
        <v>136</v>
      </c>
      <c r="CC8" t="s">
        <v>175</v>
      </c>
      <c r="CD8" t="s">
        <v>176</v>
      </c>
      <c r="CE8" t="s">
        <v>161</v>
      </c>
      <c r="CF8" t="s">
        <v>177</v>
      </c>
      <c r="CG8" t="s">
        <v>178</v>
      </c>
      <c r="CH8" t="s">
        <v>179</v>
      </c>
      <c r="CI8" t="s">
        <v>142</v>
      </c>
      <c r="CJ8" t="s">
        <v>172</v>
      </c>
      <c r="CK8" t="s">
        <v>180</v>
      </c>
      <c r="CL8" t="s">
        <v>180</v>
      </c>
      <c r="CM8" t="s">
        <v>180</v>
      </c>
      <c r="CN8" t="s">
        <v>136</v>
      </c>
      <c r="CO8" t="s">
        <v>181</v>
      </c>
      <c r="CP8" t="s">
        <v>136</v>
      </c>
      <c r="CQ8" t="s">
        <v>136</v>
      </c>
      <c r="CR8" t="s">
        <v>136</v>
      </c>
      <c r="CS8" t="s">
        <v>136</v>
      </c>
      <c r="CT8" t="s">
        <v>459</v>
      </c>
      <c r="CU8" t="s">
        <v>460</v>
      </c>
      <c r="CV8" t="s">
        <v>461</v>
      </c>
      <c r="CW8" t="s">
        <v>462</v>
      </c>
      <c r="CX8" t="s">
        <v>463</v>
      </c>
      <c r="CY8" t="s">
        <v>464</v>
      </c>
      <c r="CZ8" t="s">
        <v>465</v>
      </c>
      <c r="DA8" t="s">
        <v>466</v>
      </c>
      <c r="DB8" t="s">
        <v>430</v>
      </c>
      <c r="DC8" t="s">
        <v>467</v>
      </c>
      <c r="DD8" t="s">
        <v>191</v>
      </c>
      <c r="DE8" t="s">
        <v>192</v>
      </c>
      <c r="DF8" t="s">
        <v>142</v>
      </c>
      <c r="DG8" t="s">
        <v>193</v>
      </c>
      <c r="DH8" t="s">
        <v>194</v>
      </c>
      <c r="DI8" t="s">
        <v>142</v>
      </c>
      <c r="DJ8" t="s">
        <v>195</v>
      </c>
      <c r="DK8" t="s">
        <v>196</v>
      </c>
      <c r="DL8" t="s">
        <v>197</v>
      </c>
      <c r="DM8" t="s">
        <v>136</v>
      </c>
      <c r="DN8" t="s">
        <v>429</v>
      </c>
      <c r="DO8" t="s">
        <v>198</v>
      </c>
      <c r="DP8" t="s">
        <v>199</v>
      </c>
      <c r="DQ8" t="s">
        <v>200</v>
      </c>
      <c r="DR8" t="s">
        <v>201</v>
      </c>
      <c r="DS8" t="s">
        <v>202</v>
      </c>
      <c r="DT8" t="s">
        <v>203</v>
      </c>
    </row>
    <row r="9" spans="1:124" x14ac:dyDescent="0.45">
      <c r="A9" t="s">
        <v>468</v>
      </c>
      <c r="B9" t="s">
        <v>469</v>
      </c>
      <c r="C9" t="s">
        <v>126</v>
      </c>
      <c r="D9" t="s">
        <v>127</v>
      </c>
      <c r="E9" t="s">
        <v>128</v>
      </c>
      <c r="H9" t="s">
        <v>129</v>
      </c>
      <c r="I9">
        <v>8</v>
      </c>
      <c r="J9">
        <v>0.55704804281079479</v>
      </c>
      <c r="K9">
        <v>2.9066320800000001</v>
      </c>
      <c r="L9">
        <v>0.46746052000354288</v>
      </c>
      <c r="M9">
        <v>6.230325659639095</v>
      </c>
      <c r="N9" t="s">
        <v>470</v>
      </c>
      <c r="O9" t="s">
        <v>471</v>
      </c>
      <c r="P9">
        <v>3.3662800500260781</v>
      </c>
      <c r="Q9">
        <v>1.316128050026077</v>
      </c>
      <c r="R9" t="s">
        <v>472</v>
      </c>
      <c r="S9" t="s">
        <v>473</v>
      </c>
      <c r="T9">
        <v>33.181666338354631</v>
      </c>
      <c r="U9">
        <v>0.4417875</v>
      </c>
      <c r="V9" t="s">
        <v>134</v>
      </c>
      <c r="W9" t="s">
        <v>474</v>
      </c>
      <c r="X9" t="s">
        <v>136</v>
      </c>
      <c r="Y9" t="s">
        <v>136</v>
      </c>
      <c r="Z9" t="s">
        <v>136</v>
      </c>
      <c r="AA9" t="s">
        <v>475</v>
      </c>
      <c r="AB9" t="s">
        <v>476</v>
      </c>
      <c r="AC9" t="s">
        <v>477</v>
      </c>
      <c r="AD9" t="s">
        <v>140</v>
      </c>
      <c r="AE9" t="s">
        <v>141</v>
      </c>
      <c r="AF9">
        <v>57.449589120000013</v>
      </c>
      <c r="AG9" t="s">
        <v>142</v>
      </c>
      <c r="AH9" t="s">
        <v>478</v>
      </c>
      <c r="AI9" t="s">
        <v>479</v>
      </c>
      <c r="AJ9" t="s">
        <v>435</v>
      </c>
      <c r="AK9" t="s">
        <v>480</v>
      </c>
      <c r="AL9">
        <v>25.96</v>
      </c>
      <c r="AM9" t="s">
        <v>481</v>
      </c>
      <c r="AN9" t="s">
        <v>396</v>
      </c>
      <c r="AO9" t="s">
        <v>482</v>
      </c>
      <c r="AP9" t="s">
        <v>483</v>
      </c>
      <c r="AQ9" t="s">
        <v>484</v>
      </c>
      <c r="AR9" t="s">
        <v>485</v>
      </c>
      <c r="AS9" t="s">
        <v>486</v>
      </c>
      <c r="AT9" t="s">
        <v>161</v>
      </c>
      <c r="AU9" t="s">
        <v>487</v>
      </c>
      <c r="AV9" t="s">
        <v>488</v>
      </c>
      <c r="AW9" t="s">
        <v>489</v>
      </c>
      <c r="AX9" t="s">
        <v>490</v>
      </c>
      <c r="AY9" t="s">
        <v>491</v>
      </c>
      <c r="AZ9" t="s">
        <v>445</v>
      </c>
      <c r="BA9" t="s">
        <v>492</v>
      </c>
      <c r="BB9" t="s">
        <v>253</v>
      </c>
      <c r="BC9" t="s">
        <v>493</v>
      </c>
      <c r="BD9" t="s">
        <v>126</v>
      </c>
      <c r="BE9" t="s">
        <v>449</v>
      </c>
      <c r="BF9" t="s">
        <v>494</v>
      </c>
      <c r="BG9" t="s">
        <v>495</v>
      </c>
      <c r="BH9" t="s">
        <v>290</v>
      </c>
      <c r="BI9" t="s">
        <v>496</v>
      </c>
      <c r="BJ9" t="s">
        <v>453</v>
      </c>
      <c r="BK9" t="s">
        <v>126</v>
      </c>
      <c r="BL9" t="s">
        <v>454</v>
      </c>
      <c r="BM9" t="s">
        <v>124</v>
      </c>
      <c r="BN9" t="s">
        <v>164</v>
      </c>
      <c r="BO9" t="s">
        <v>228</v>
      </c>
      <c r="BP9" t="s">
        <v>411</v>
      </c>
      <c r="BQ9" t="s">
        <v>497</v>
      </c>
      <c r="BR9" t="s">
        <v>498</v>
      </c>
      <c r="BS9" t="s">
        <v>499</v>
      </c>
      <c r="BT9" t="s">
        <v>124</v>
      </c>
      <c r="BU9" t="s">
        <v>170</v>
      </c>
      <c r="BV9" t="s">
        <v>171</v>
      </c>
      <c r="BW9" t="s">
        <v>172</v>
      </c>
      <c r="BX9" t="s">
        <v>173</v>
      </c>
      <c r="BY9" t="s">
        <v>136</v>
      </c>
      <c r="BZ9" t="s">
        <v>174</v>
      </c>
      <c r="CA9" t="s">
        <v>136</v>
      </c>
      <c r="CB9" t="s">
        <v>136</v>
      </c>
      <c r="CC9" t="s">
        <v>175</v>
      </c>
      <c r="CD9" t="s">
        <v>176</v>
      </c>
      <c r="CE9" t="s">
        <v>161</v>
      </c>
      <c r="CF9" t="s">
        <v>177</v>
      </c>
      <c r="CG9" t="s">
        <v>178</v>
      </c>
      <c r="CH9" t="s">
        <v>179</v>
      </c>
      <c r="CI9" t="s">
        <v>142</v>
      </c>
      <c r="CJ9" t="s">
        <v>172</v>
      </c>
      <c r="CK9" t="s">
        <v>180</v>
      </c>
      <c r="CL9" t="s">
        <v>180</v>
      </c>
      <c r="CM9" t="s">
        <v>180</v>
      </c>
      <c r="CN9" t="s">
        <v>136</v>
      </c>
      <c r="CO9" t="s">
        <v>181</v>
      </c>
      <c r="CP9" t="s">
        <v>136</v>
      </c>
      <c r="CQ9" t="s">
        <v>136</v>
      </c>
      <c r="CR9" t="s">
        <v>136</v>
      </c>
      <c r="CS9" t="s">
        <v>136</v>
      </c>
      <c r="CT9" t="s">
        <v>500</v>
      </c>
      <c r="CU9" t="s">
        <v>501</v>
      </c>
      <c r="CV9" t="s">
        <v>502</v>
      </c>
      <c r="CW9" t="s">
        <v>503</v>
      </c>
      <c r="CX9" t="s">
        <v>504</v>
      </c>
      <c r="CY9" t="s">
        <v>505</v>
      </c>
      <c r="CZ9" t="s">
        <v>506</v>
      </c>
      <c r="DA9" t="s">
        <v>507</v>
      </c>
      <c r="DB9" t="s">
        <v>475</v>
      </c>
      <c r="DC9" t="s">
        <v>508</v>
      </c>
      <c r="DD9" t="s">
        <v>191</v>
      </c>
      <c r="DE9" t="s">
        <v>192</v>
      </c>
      <c r="DF9" t="s">
        <v>142</v>
      </c>
      <c r="DG9" t="s">
        <v>193</v>
      </c>
      <c r="DH9" t="s">
        <v>194</v>
      </c>
      <c r="DI9" t="s">
        <v>142</v>
      </c>
      <c r="DJ9" t="s">
        <v>195</v>
      </c>
      <c r="DK9" t="s">
        <v>196</v>
      </c>
      <c r="DL9" t="s">
        <v>197</v>
      </c>
      <c r="DM9" t="s">
        <v>136</v>
      </c>
      <c r="DN9" t="s">
        <v>474</v>
      </c>
      <c r="DO9" t="s">
        <v>198</v>
      </c>
      <c r="DP9" t="s">
        <v>199</v>
      </c>
      <c r="DQ9" t="s">
        <v>200</v>
      </c>
      <c r="DR9" t="s">
        <v>201</v>
      </c>
      <c r="DS9" t="s">
        <v>202</v>
      </c>
      <c r="DT9" t="s">
        <v>203</v>
      </c>
    </row>
    <row r="10" spans="1:124" x14ac:dyDescent="0.45">
      <c r="A10" t="s">
        <v>509</v>
      </c>
      <c r="B10" t="s">
        <v>510</v>
      </c>
      <c r="C10" t="s">
        <v>126</v>
      </c>
      <c r="D10" t="s">
        <v>127</v>
      </c>
      <c r="E10" t="s">
        <v>128</v>
      </c>
      <c r="H10" t="s">
        <v>129</v>
      </c>
      <c r="I10">
        <v>9</v>
      </c>
      <c r="J10">
        <v>0.51711407137073773</v>
      </c>
      <c r="K10">
        <v>2.9042299200000001</v>
      </c>
      <c r="L10">
        <v>0.43895561566325247</v>
      </c>
      <c r="M10">
        <v>5.8584556002071224</v>
      </c>
      <c r="N10" t="s">
        <v>511</v>
      </c>
      <c r="O10" t="s">
        <v>512</v>
      </c>
      <c r="P10">
        <v>3.3742584387997652</v>
      </c>
      <c r="Q10">
        <v>1.3178964387997649</v>
      </c>
      <c r="R10" t="s">
        <v>513</v>
      </c>
      <c r="S10" t="s">
        <v>514</v>
      </c>
      <c r="T10">
        <v>33.257031724815363</v>
      </c>
      <c r="U10">
        <v>0.4417875</v>
      </c>
      <c r="V10" t="s">
        <v>134</v>
      </c>
      <c r="W10" t="s">
        <v>515</v>
      </c>
      <c r="X10" t="s">
        <v>136</v>
      </c>
      <c r="Y10" t="s">
        <v>136</v>
      </c>
      <c r="Z10" t="s">
        <v>136</v>
      </c>
      <c r="AA10" t="s">
        <v>516</v>
      </c>
      <c r="AB10" t="s">
        <v>517</v>
      </c>
      <c r="AC10" t="s">
        <v>518</v>
      </c>
      <c r="AD10" t="s">
        <v>140</v>
      </c>
      <c r="AE10" t="s">
        <v>141</v>
      </c>
      <c r="AF10">
        <v>40.790164799999999</v>
      </c>
      <c r="AG10" t="s">
        <v>142</v>
      </c>
      <c r="AH10" t="s">
        <v>519</v>
      </c>
      <c r="AI10" t="s">
        <v>520</v>
      </c>
      <c r="AJ10" t="s">
        <v>521</v>
      </c>
      <c r="AK10" t="s">
        <v>522</v>
      </c>
      <c r="AL10">
        <v>26</v>
      </c>
      <c r="AM10" t="s">
        <v>523</v>
      </c>
      <c r="AN10" t="s">
        <v>524</v>
      </c>
      <c r="AO10" t="s">
        <v>525</v>
      </c>
      <c r="AP10" t="s">
        <v>526</v>
      </c>
      <c r="AQ10" t="s">
        <v>527</v>
      </c>
      <c r="AR10" t="s">
        <v>528</v>
      </c>
      <c r="AS10" t="s">
        <v>529</v>
      </c>
      <c r="AT10" t="s">
        <v>530</v>
      </c>
      <c r="AU10" t="s">
        <v>531</v>
      </c>
      <c r="AV10" t="s">
        <v>532</v>
      </c>
      <c r="AW10" t="s">
        <v>533</v>
      </c>
      <c r="AX10" t="s">
        <v>534</v>
      </c>
      <c r="AY10" t="s">
        <v>535</v>
      </c>
      <c r="AZ10" t="s">
        <v>445</v>
      </c>
      <c r="BA10" t="s">
        <v>536</v>
      </c>
      <c r="BB10" t="s">
        <v>537</v>
      </c>
      <c r="BC10" t="s">
        <v>538</v>
      </c>
      <c r="BD10" t="s">
        <v>126</v>
      </c>
      <c r="BE10" t="s">
        <v>539</v>
      </c>
      <c r="BF10" t="s">
        <v>540</v>
      </c>
      <c r="BG10" t="s">
        <v>541</v>
      </c>
      <c r="BH10" t="s">
        <v>242</v>
      </c>
      <c r="BI10" t="s">
        <v>410</v>
      </c>
      <c r="BJ10" t="s">
        <v>453</v>
      </c>
      <c r="BK10" t="s">
        <v>126</v>
      </c>
      <c r="BL10" t="s">
        <v>454</v>
      </c>
      <c r="BM10" t="s">
        <v>124</v>
      </c>
      <c r="BN10" t="s">
        <v>411</v>
      </c>
      <c r="BO10" t="s">
        <v>171</v>
      </c>
      <c r="BP10" t="s">
        <v>166</v>
      </c>
      <c r="BQ10" t="s">
        <v>542</v>
      </c>
      <c r="BR10" t="s">
        <v>543</v>
      </c>
      <c r="BS10" t="s">
        <v>544</v>
      </c>
      <c r="BT10" t="s">
        <v>124</v>
      </c>
      <c r="BU10" t="s">
        <v>170</v>
      </c>
      <c r="BV10" t="s">
        <v>171</v>
      </c>
      <c r="BW10" t="s">
        <v>172</v>
      </c>
      <c r="BX10" t="s">
        <v>173</v>
      </c>
      <c r="BY10" t="s">
        <v>136</v>
      </c>
      <c r="BZ10" t="s">
        <v>174</v>
      </c>
      <c r="CA10" t="s">
        <v>136</v>
      </c>
      <c r="CB10" t="s">
        <v>136</v>
      </c>
      <c r="CC10" t="s">
        <v>175</v>
      </c>
      <c r="CD10" t="s">
        <v>176</v>
      </c>
      <c r="CE10" t="s">
        <v>161</v>
      </c>
      <c r="CF10" t="s">
        <v>177</v>
      </c>
      <c r="CG10" t="s">
        <v>178</v>
      </c>
      <c r="CH10" t="s">
        <v>179</v>
      </c>
      <c r="CI10" t="s">
        <v>142</v>
      </c>
      <c r="CJ10" t="s">
        <v>172</v>
      </c>
      <c r="CK10" t="s">
        <v>180</v>
      </c>
      <c r="CL10" t="s">
        <v>180</v>
      </c>
      <c r="CM10" t="s">
        <v>180</v>
      </c>
      <c r="CN10" t="s">
        <v>136</v>
      </c>
      <c r="CO10" t="s">
        <v>181</v>
      </c>
      <c r="CP10" t="s">
        <v>136</v>
      </c>
      <c r="CQ10" t="s">
        <v>136</v>
      </c>
      <c r="CR10" t="s">
        <v>136</v>
      </c>
      <c r="CS10" t="s">
        <v>136</v>
      </c>
      <c r="CT10" t="s">
        <v>545</v>
      </c>
      <c r="CU10" t="s">
        <v>546</v>
      </c>
      <c r="CV10" t="s">
        <v>547</v>
      </c>
      <c r="CW10" t="s">
        <v>548</v>
      </c>
      <c r="CX10" t="s">
        <v>549</v>
      </c>
      <c r="CY10" t="s">
        <v>550</v>
      </c>
      <c r="CZ10" t="s">
        <v>551</v>
      </c>
      <c r="DA10" t="s">
        <v>552</v>
      </c>
      <c r="DB10" t="s">
        <v>516</v>
      </c>
      <c r="DC10" t="s">
        <v>334</v>
      </c>
      <c r="DD10" t="s">
        <v>191</v>
      </c>
      <c r="DE10" t="s">
        <v>192</v>
      </c>
      <c r="DF10" t="s">
        <v>142</v>
      </c>
      <c r="DG10" t="s">
        <v>193</v>
      </c>
      <c r="DH10" t="s">
        <v>194</v>
      </c>
      <c r="DI10" t="s">
        <v>142</v>
      </c>
      <c r="DJ10" t="s">
        <v>195</v>
      </c>
      <c r="DK10" t="s">
        <v>196</v>
      </c>
      <c r="DL10" t="s">
        <v>197</v>
      </c>
      <c r="DM10" t="s">
        <v>136</v>
      </c>
      <c r="DN10" t="s">
        <v>515</v>
      </c>
      <c r="DO10" t="s">
        <v>198</v>
      </c>
      <c r="DP10" t="s">
        <v>199</v>
      </c>
      <c r="DQ10" t="s">
        <v>200</v>
      </c>
      <c r="DR10" t="s">
        <v>201</v>
      </c>
      <c r="DS10" t="s">
        <v>202</v>
      </c>
      <c r="DT10" t="s">
        <v>203</v>
      </c>
    </row>
    <row r="11" spans="1:124" x14ac:dyDescent="0.45">
      <c r="A11" t="s">
        <v>553</v>
      </c>
      <c r="B11" t="s">
        <v>554</v>
      </c>
      <c r="C11" t="s">
        <v>126</v>
      </c>
      <c r="D11" t="s">
        <v>127</v>
      </c>
      <c r="E11" t="s">
        <v>128</v>
      </c>
      <c r="H11" t="s">
        <v>555</v>
      </c>
      <c r="I11">
        <v>1</v>
      </c>
      <c r="J11">
        <v>0.28522783856659678</v>
      </c>
      <c r="K11">
        <v>2.9042299200000001</v>
      </c>
      <c r="L11">
        <v>0.25972039308472439</v>
      </c>
      <c r="M11">
        <v>3.8783964902928609</v>
      </c>
      <c r="N11" t="s">
        <v>556</v>
      </c>
      <c r="O11" t="s">
        <v>557</v>
      </c>
      <c r="P11">
        <v>3.3762556146426328</v>
      </c>
      <c r="Q11">
        <v>1.4751916146426329</v>
      </c>
      <c r="R11" t="s">
        <v>558</v>
      </c>
      <c r="S11" t="s">
        <v>559</v>
      </c>
      <c r="T11">
        <v>33.28984041256787</v>
      </c>
      <c r="U11">
        <v>0.4417875</v>
      </c>
      <c r="V11" t="s">
        <v>134</v>
      </c>
      <c r="W11" t="s">
        <v>560</v>
      </c>
      <c r="X11" t="s">
        <v>136</v>
      </c>
      <c r="Y11" t="s">
        <v>136</v>
      </c>
      <c r="Z11" t="s">
        <v>136</v>
      </c>
      <c r="AA11" t="s">
        <v>561</v>
      </c>
      <c r="AB11" t="s">
        <v>562</v>
      </c>
      <c r="AC11" t="s">
        <v>563</v>
      </c>
      <c r="AD11" t="s">
        <v>140</v>
      </c>
      <c r="AE11" t="s">
        <v>141</v>
      </c>
      <c r="AF11">
        <v>125.2796706</v>
      </c>
      <c r="AG11" t="s">
        <v>142</v>
      </c>
      <c r="AH11" t="s">
        <v>564</v>
      </c>
      <c r="AI11" t="s">
        <v>565</v>
      </c>
      <c r="AJ11" t="s">
        <v>566</v>
      </c>
      <c r="AK11" t="s">
        <v>567</v>
      </c>
      <c r="AL11">
        <v>26.01</v>
      </c>
      <c r="AM11" t="s">
        <v>349</v>
      </c>
      <c r="AN11" t="s">
        <v>524</v>
      </c>
      <c r="AO11" t="s">
        <v>568</v>
      </c>
      <c r="AP11" t="s">
        <v>569</v>
      </c>
      <c r="AQ11" t="s">
        <v>570</v>
      </c>
      <c r="AR11" t="s">
        <v>223</v>
      </c>
      <c r="AS11" t="s">
        <v>571</v>
      </c>
      <c r="AT11" t="s">
        <v>572</v>
      </c>
      <c r="AU11" t="s">
        <v>573</v>
      </c>
      <c r="AX11" t="s">
        <v>574</v>
      </c>
      <c r="AY11" t="s">
        <v>575</v>
      </c>
      <c r="BC11" t="s">
        <v>158</v>
      </c>
      <c r="BD11" t="s">
        <v>159</v>
      </c>
      <c r="BE11" t="s">
        <v>160</v>
      </c>
      <c r="BF11" t="s">
        <v>160</v>
      </c>
      <c r="BG11" t="s">
        <v>160</v>
      </c>
      <c r="BH11" t="s">
        <v>161</v>
      </c>
      <c r="BI11" t="s">
        <v>160</v>
      </c>
      <c r="BJ11" t="s">
        <v>162</v>
      </c>
      <c r="BK11" t="s">
        <v>126</v>
      </c>
      <c r="BL11" t="s">
        <v>163</v>
      </c>
      <c r="BM11" t="s">
        <v>124</v>
      </c>
      <c r="BN11" t="s">
        <v>171</v>
      </c>
      <c r="BO11" t="s">
        <v>171</v>
      </c>
      <c r="BP11" t="s">
        <v>276</v>
      </c>
      <c r="BQ11" t="s">
        <v>576</v>
      </c>
      <c r="BR11" t="s">
        <v>577</v>
      </c>
      <c r="BS11" t="s">
        <v>578</v>
      </c>
      <c r="BT11" t="s">
        <v>124</v>
      </c>
      <c r="BU11" t="s">
        <v>170</v>
      </c>
      <c r="BV11" t="s">
        <v>171</v>
      </c>
      <c r="BW11" t="s">
        <v>172</v>
      </c>
      <c r="BX11" t="s">
        <v>173</v>
      </c>
      <c r="BY11" t="s">
        <v>136</v>
      </c>
      <c r="BZ11" t="s">
        <v>174</v>
      </c>
      <c r="CA11" t="s">
        <v>136</v>
      </c>
      <c r="CB11" t="s">
        <v>136</v>
      </c>
      <c r="CC11" t="s">
        <v>175</v>
      </c>
      <c r="CD11" t="s">
        <v>176</v>
      </c>
      <c r="CE11" t="s">
        <v>161</v>
      </c>
      <c r="CF11" t="s">
        <v>177</v>
      </c>
      <c r="CG11" t="s">
        <v>178</v>
      </c>
      <c r="CH11" t="s">
        <v>179</v>
      </c>
      <c r="CI11" t="s">
        <v>142</v>
      </c>
      <c r="CJ11" t="s">
        <v>172</v>
      </c>
      <c r="CK11" t="s">
        <v>180</v>
      </c>
      <c r="CL11" t="s">
        <v>180</v>
      </c>
      <c r="CM11" t="s">
        <v>180</v>
      </c>
      <c r="CN11" t="s">
        <v>136</v>
      </c>
      <c r="CO11" t="s">
        <v>181</v>
      </c>
      <c r="CP11" t="s">
        <v>136</v>
      </c>
      <c r="CQ11" t="s">
        <v>136</v>
      </c>
      <c r="CR11" t="s">
        <v>136</v>
      </c>
      <c r="CS11" t="s">
        <v>136</v>
      </c>
      <c r="CT11" t="s">
        <v>579</v>
      </c>
      <c r="CU11" t="s">
        <v>580</v>
      </c>
      <c r="CV11" t="s">
        <v>581</v>
      </c>
      <c r="CW11" t="s">
        <v>582</v>
      </c>
      <c r="CX11" t="s">
        <v>583</v>
      </c>
      <c r="CY11" t="s">
        <v>584</v>
      </c>
      <c r="CZ11" t="s">
        <v>585</v>
      </c>
      <c r="DA11" t="s">
        <v>586</v>
      </c>
      <c r="DB11" t="s">
        <v>561</v>
      </c>
      <c r="DC11" t="s">
        <v>334</v>
      </c>
      <c r="DD11" t="s">
        <v>191</v>
      </c>
      <c r="DE11" t="s">
        <v>192</v>
      </c>
      <c r="DF11" t="s">
        <v>142</v>
      </c>
      <c r="DG11" t="s">
        <v>193</v>
      </c>
      <c r="DH11" t="s">
        <v>194</v>
      </c>
      <c r="DI11" t="s">
        <v>142</v>
      </c>
      <c r="DJ11" t="s">
        <v>195</v>
      </c>
      <c r="DK11" t="s">
        <v>196</v>
      </c>
      <c r="DL11" t="s">
        <v>197</v>
      </c>
      <c r="DM11" t="s">
        <v>136</v>
      </c>
      <c r="DN11" t="s">
        <v>560</v>
      </c>
      <c r="DO11" t="s">
        <v>198</v>
      </c>
      <c r="DP11" t="s">
        <v>199</v>
      </c>
      <c r="DQ11" t="s">
        <v>200</v>
      </c>
      <c r="DR11" t="s">
        <v>201</v>
      </c>
      <c r="DS11" t="s">
        <v>202</v>
      </c>
      <c r="DT11" t="s">
        <v>203</v>
      </c>
    </row>
    <row r="12" spans="1:124" x14ac:dyDescent="0.45">
      <c r="A12" t="s">
        <v>587</v>
      </c>
      <c r="B12" t="s">
        <v>588</v>
      </c>
      <c r="C12" t="s">
        <v>126</v>
      </c>
      <c r="D12" t="s">
        <v>127</v>
      </c>
      <c r="E12" t="s">
        <v>128</v>
      </c>
      <c r="H12" t="s">
        <v>555</v>
      </c>
      <c r="I12">
        <v>2</v>
      </c>
      <c r="J12">
        <v>0.53915103360803751</v>
      </c>
      <c r="K12">
        <v>2.9058327199999998</v>
      </c>
      <c r="L12">
        <v>0.45477216339241661</v>
      </c>
      <c r="M12">
        <v>6.0435428428907816</v>
      </c>
      <c r="N12" t="s">
        <v>589</v>
      </c>
      <c r="O12" t="s">
        <v>590</v>
      </c>
      <c r="P12">
        <v>3.2991262994486892</v>
      </c>
      <c r="Q12">
        <v>1.312751299448689</v>
      </c>
      <c r="R12" t="s">
        <v>591</v>
      </c>
      <c r="S12" t="s">
        <v>592</v>
      </c>
      <c r="T12">
        <v>32.526139203871523</v>
      </c>
      <c r="U12">
        <v>0.4417875</v>
      </c>
      <c r="V12" t="s">
        <v>134</v>
      </c>
      <c r="W12" t="s">
        <v>593</v>
      </c>
      <c r="X12" t="s">
        <v>136</v>
      </c>
      <c r="Y12" t="s">
        <v>136</v>
      </c>
      <c r="Z12" t="s">
        <v>136</v>
      </c>
      <c r="AA12" t="s">
        <v>594</v>
      </c>
      <c r="AB12" t="s">
        <v>595</v>
      </c>
      <c r="AC12" t="s">
        <v>596</v>
      </c>
      <c r="AD12" t="s">
        <v>140</v>
      </c>
      <c r="AE12" t="s">
        <v>141</v>
      </c>
      <c r="AF12">
        <v>142.25698367999999</v>
      </c>
      <c r="AG12" t="s">
        <v>142</v>
      </c>
      <c r="AH12" t="s">
        <v>597</v>
      </c>
      <c r="AI12" t="s">
        <v>598</v>
      </c>
      <c r="AJ12" t="s">
        <v>599</v>
      </c>
      <c r="AK12" t="s">
        <v>600</v>
      </c>
      <c r="AL12">
        <v>25.62</v>
      </c>
      <c r="AM12" t="s">
        <v>256</v>
      </c>
      <c r="AN12" t="s">
        <v>350</v>
      </c>
      <c r="AO12" t="s">
        <v>601</v>
      </c>
      <c r="AP12" t="s">
        <v>140</v>
      </c>
      <c r="AQ12" t="s">
        <v>602</v>
      </c>
      <c r="AR12" t="s">
        <v>603</v>
      </c>
      <c r="AS12" t="s">
        <v>263</v>
      </c>
      <c r="AT12" t="s">
        <v>204</v>
      </c>
      <c r="AU12" t="s">
        <v>604</v>
      </c>
      <c r="AV12" t="s">
        <v>605</v>
      </c>
      <c r="AW12" t="s">
        <v>606</v>
      </c>
      <c r="AX12" t="s">
        <v>359</v>
      </c>
      <c r="AY12" t="s">
        <v>607</v>
      </c>
      <c r="AZ12" t="s">
        <v>268</v>
      </c>
      <c r="BA12" t="s">
        <v>608</v>
      </c>
      <c r="BB12" t="s">
        <v>609</v>
      </c>
      <c r="BC12" t="s">
        <v>610</v>
      </c>
      <c r="BD12" t="s">
        <v>126</v>
      </c>
      <c r="BE12" t="s">
        <v>611</v>
      </c>
      <c r="BF12" t="s">
        <v>612</v>
      </c>
      <c r="BG12" t="s">
        <v>613</v>
      </c>
      <c r="BH12" t="s">
        <v>614</v>
      </c>
      <c r="BI12" t="s">
        <v>615</v>
      </c>
      <c r="BJ12" t="s">
        <v>162</v>
      </c>
      <c r="BK12" t="s">
        <v>126</v>
      </c>
      <c r="BL12" t="s">
        <v>163</v>
      </c>
      <c r="BM12" t="s">
        <v>124</v>
      </c>
      <c r="BN12" t="s">
        <v>276</v>
      </c>
      <c r="BO12" t="s">
        <v>228</v>
      </c>
      <c r="BP12" t="s">
        <v>456</v>
      </c>
      <c r="BQ12" t="s">
        <v>616</v>
      </c>
      <c r="BR12" t="s">
        <v>617</v>
      </c>
      <c r="BS12" t="s">
        <v>618</v>
      </c>
      <c r="BT12" t="s">
        <v>124</v>
      </c>
      <c r="BU12" t="s">
        <v>170</v>
      </c>
      <c r="BV12" t="s">
        <v>171</v>
      </c>
      <c r="BW12" t="s">
        <v>172</v>
      </c>
      <c r="BX12" t="s">
        <v>173</v>
      </c>
      <c r="BY12" t="s">
        <v>136</v>
      </c>
      <c r="BZ12" t="s">
        <v>174</v>
      </c>
      <c r="CA12" t="s">
        <v>136</v>
      </c>
      <c r="CB12" t="s">
        <v>136</v>
      </c>
      <c r="CC12" t="s">
        <v>175</v>
      </c>
      <c r="CD12" t="s">
        <v>176</v>
      </c>
      <c r="CE12" t="s">
        <v>161</v>
      </c>
      <c r="CF12" t="s">
        <v>177</v>
      </c>
      <c r="CG12" t="s">
        <v>178</v>
      </c>
      <c r="CH12" t="s">
        <v>179</v>
      </c>
      <c r="CI12" t="s">
        <v>142</v>
      </c>
      <c r="CJ12" t="s">
        <v>172</v>
      </c>
      <c r="CK12" t="s">
        <v>180</v>
      </c>
      <c r="CL12" t="s">
        <v>180</v>
      </c>
      <c r="CM12" t="s">
        <v>180</v>
      </c>
      <c r="CN12" t="s">
        <v>136</v>
      </c>
      <c r="CO12" t="s">
        <v>181</v>
      </c>
      <c r="CP12" t="s">
        <v>136</v>
      </c>
      <c r="CQ12" t="s">
        <v>136</v>
      </c>
      <c r="CR12" t="s">
        <v>136</v>
      </c>
      <c r="CS12" t="s">
        <v>136</v>
      </c>
      <c r="CT12" t="s">
        <v>619</v>
      </c>
      <c r="CU12" t="s">
        <v>620</v>
      </c>
      <c r="CV12" t="s">
        <v>621</v>
      </c>
      <c r="CW12" t="s">
        <v>622</v>
      </c>
      <c r="CX12" t="s">
        <v>623</v>
      </c>
      <c r="CY12" t="s">
        <v>624</v>
      </c>
      <c r="CZ12" t="s">
        <v>625</v>
      </c>
      <c r="DA12" t="s">
        <v>626</v>
      </c>
      <c r="DB12" t="s">
        <v>594</v>
      </c>
      <c r="DC12" t="s">
        <v>627</v>
      </c>
      <c r="DD12" t="s">
        <v>191</v>
      </c>
      <c r="DE12" t="s">
        <v>192</v>
      </c>
      <c r="DF12" t="s">
        <v>142</v>
      </c>
      <c r="DG12" t="s">
        <v>193</v>
      </c>
      <c r="DH12" t="s">
        <v>194</v>
      </c>
      <c r="DI12" t="s">
        <v>142</v>
      </c>
      <c r="DJ12" t="s">
        <v>195</v>
      </c>
      <c r="DK12" t="s">
        <v>196</v>
      </c>
      <c r="DL12" t="s">
        <v>197</v>
      </c>
      <c r="DM12" t="s">
        <v>136</v>
      </c>
      <c r="DN12" t="s">
        <v>593</v>
      </c>
      <c r="DO12" t="s">
        <v>198</v>
      </c>
      <c r="DP12" t="s">
        <v>199</v>
      </c>
      <c r="DQ12" t="s">
        <v>200</v>
      </c>
      <c r="DR12" t="s">
        <v>201</v>
      </c>
      <c r="DS12" t="s">
        <v>202</v>
      </c>
      <c r="DT12" t="s">
        <v>203</v>
      </c>
    </row>
    <row r="13" spans="1:124" x14ac:dyDescent="0.45">
      <c r="A13" t="s">
        <v>628</v>
      </c>
      <c r="B13" t="s">
        <v>629</v>
      </c>
      <c r="C13" t="s">
        <v>126</v>
      </c>
      <c r="D13" t="s">
        <v>127</v>
      </c>
      <c r="E13" t="s">
        <v>128</v>
      </c>
      <c r="H13" t="s">
        <v>555</v>
      </c>
      <c r="I13">
        <v>3</v>
      </c>
      <c r="J13">
        <v>0.54413080479087272</v>
      </c>
      <c r="K13">
        <v>2.9058327199999998</v>
      </c>
      <c r="L13">
        <v>0.45831009086308988</v>
      </c>
      <c r="M13">
        <v>6.2818779226804891</v>
      </c>
      <c r="N13" t="s">
        <v>630</v>
      </c>
      <c r="O13" t="s">
        <v>631</v>
      </c>
      <c r="P13">
        <v>3.3962842273057379</v>
      </c>
      <c r="Q13">
        <v>1.3529252273057379</v>
      </c>
      <c r="R13" t="s">
        <v>632</v>
      </c>
      <c r="S13" t="s">
        <v>633</v>
      </c>
      <c r="T13">
        <v>33.487322296447822</v>
      </c>
      <c r="U13">
        <v>0.4417875</v>
      </c>
      <c r="V13" t="s">
        <v>134</v>
      </c>
      <c r="W13" t="s">
        <v>634</v>
      </c>
      <c r="X13" t="s">
        <v>136</v>
      </c>
      <c r="Y13" t="s">
        <v>136</v>
      </c>
      <c r="Z13" t="s">
        <v>136</v>
      </c>
      <c r="AA13" t="s">
        <v>635</v>
      </c>
      <c r="AB13" t="s">
        <v>636</v>
      </c>
      <c r="AC13" t="s">
        <v>637</v>
      </c>
      <c r="AD13" t="s">
        <v>140</v>
      </c>
      <c r="AE13" t="s">
        <v>141</v>
      </c>
      <c r="AF13">
        <v>109.36692144</v>
      </c>
      <c r="AG13" t="s">
        <v>142</v>
      </c>
      <c r="AH13" t="s">
        <v>638</v>
      </c>
      <c r="AI13" t="s">
        <v>639</v>
      </c>
      <c r="AJ13" t="s">
        <v>640</v>
      </c>
      <c r="AK13" t="s">
        <v>641</v>
      </c>
      <c r="AL13">
        <v>26.11</v>
      </c>
      <c r="AM13" t="s">
        <v>349</v>
      </c>
      <c r="AN13" t="s">
        <v>350</v>
      </c>
      <c r="AO13" t="s">
        <v>642</v>
      </c>
      <c r="AP13" t="s">
        <v>643</v>
      </c>
      <c r="AQ13" t="s">
        <v>644</v>
      </c>
      <c r="AR13" t="s">
        <v>645</v>
      </c>
      <c r="AS13" t="s">
        <v>646</v>
      </c>
      <c r="AT13" t="s">
        <v>124</v>
      </c>
      <c r="AU13" t="s">
        <v>647</v>
      </c>
      <c r="AV13" t="s">
        <v>648</v>
      </c>
      <c r="AW13" t="s">
        <v>649</v>
      </c>
      <c r="AX13" t="s">
        <v>650</v>
      </c>
      <c r="AY13" t="s">
        <v>651</v>
      </c>
      <c r="AZ13" t="s">
        <v>268</v>
      </c>
      <c r="BA13" t="s">
        <v>652</v>
      </c>
      <c r="BB13" t="s">
        <v>653</v>
      </c>
      <c r="BC13" t="s">
        <v>654</v>
      </c>
      <c r="BD13" t="s">
        <v>126</v>
      </c>
      <c r="BE13" t="s">
        <v>655</v>
      </c>
      <c r="BF13" t="s">
        <v>656</v>
      </c>
      <c r="BG13" t="s">
        <v>657</v>
      </c>
      <c r="BH13" t="s">
        <v>263</v>
      </c>
      <c r="BI13" t="s">
        <v>658</v>
      </c>
      <c r="BJ13" t="s">
        <v>162</v>
      </c>
      <c r="BK13" t="s">
        <v>126</v>
      </c>
      <c r="BL13" t="s">
        <v>163</v>
      </c>
      <c r="BM13" t="s">
        <v>124</v>
      </c>
      <c r="BN13" t="s">
        <v>164</v>
      </c>
      <c r="BO13" t="s">
        <v>228</v>
      </c>
      <c r="BP13" t="s">
        <v>166</v>
      </c>
      <c r="BQ13" t="s">
        <v>325</v>
      </c>
      <c r="BR13" t="s">
        <v>659</v>
      </c>
      <c r="BS13" t="s">
        <v>660</v>
      </c>
      <c r="BT13" t="s">
        <v>124</v>
      </c>
      <c r="BU13" t="s">
        <v>170</v>
      </c>
      <c r="BV13" t="s">
        <v>171</v>
      </c>
      <c r="BW13" t="s">
        <v>172</v>
      </c>
      <c r="BX13" t="s">
        <v>173</v>
      </c>
      <c r="BY13" t="s">
        <v>136</v>
      </c>
      <c r="BZ13" t="s">
        <v>174</v>
      </c>
      <c r="CA13" t="s">
        <v>136</v>
      </c>
      <c r="CB13" t="s">
        <v>136</v>
      </c>
      <c r="CC13" t="s">
        <v>175</v>
      </c>
      <c r="CD13" t="s">
        <v>176</v>
      </c>
      <c r="CE13" t="s">
        <v>161</v>
      </c>
      <c r="CF13" t="s">
        <v>177</v>
      </c>
      <c r="CG13" t="s">
        <v>178</v>
      </c>
      <c r="CH13" t="s">
        <v>179</v>
      </c>
      <c r="CI13" t="s">
        <v>142</v>
      </c>
      <c r="CJ13" t="s">
        <v>172</v>
      </c>
      <c r="CK13" t="s">
        <v>180</v>
      </c>
      <c r="CL13" t="s">
        <v>180</v>
      </c>
      <c r="CM13" t="s">
        <v>180</v>
      </c>
      <c r="CN13" t="s">
        <v>136</v>
      </c>
      <c r="CO13" t="s">
        <v>181</v>
      </c>
      <c r="CP13" t="s">
        <v>136</v>
      </c>
      <c r="CQ13" t="s">
        <v>136</v>
      </c>
      <c r="CR13" t="s">
        <v>136</v>
      </c>
      <c r="CS13" t="s">
        <v>136</v>
      </c>
      <c r="CT13" t="s">
        <v>661</v>
      </c>
      <c r="CU13" t="s">
        <v>662</v>
      </c>
      <c r="CV13" t="s">
        <v>663</v>
      </c>
      <c r="CW13" t="s">
        <v>664</v>
      </c>
      <c r="CX13" t="s">
        <v>665</v>
      </c>
      <c r="CY13" t="s">
        <v>666</v>
      </c>
      <c r="CZ13" t="s">
        <v>667</v>
      </c>
      <c r="DA13" t="s">
        <v>668</v>
      </c>
      <c r="DB13" t="s">
        <v>635</v>
      </c>
      <c r="DC13" t="s">
        <v>669</v>
      </c>
      <c r="DD13" t="s">
        <v>191</v>
      </c>
      <c r="DE13" t="s">
        <v>192</v>
      </c>
      <c r="DF13" t="s">
        <v>142</v>
      </c>
      <c r="DG13" t="s">
        <v>193</v>
      </c>
      <c r="DH13" t="s">
        <v>194</v>
      </c>
      <c r="DI13" t="s">
        <v>142</v>
      </c>
      <c r="DJ13" t="s">
        <v>195</v>
      </c>
      <c r="DK13" t="s">
        <v>196</v>
      </c>
      <c r="DL13" t="s">
        <v>197</v>
      </c>
      <c r="DM13" t="s">
        <v>136</v>
      </c>
      <c r="DN13" t="s">
        <v>634</v>
      </c>
      <c r="DO13" t="s">
        <v>198</v>
      </c>
      <c r="DP13" t="s">
        <v>199</v>
      </c>
      <c r="DQ13" t="s">
        <v>200</v>
      </c>
      <c r="DR13" t="s">
        <v>201</v>
      </c>
      <c r="DS13" t="s">
        <v>202</v>
      </c>
      <c r="DT13" t="s">
        <v>203</v>
      </c>
    </row>
    <row r="14" spans="1:124" x14ac:dyDescent="0.45">
      <c r="A14" t="s">
        <v>451</v>
      </c>
      <c r="B14" t="s">
        <v>670</v>
      </c>
      <c r="C14" t="s">
        <v>126</v>
      </c>
      <c r="D14" t="s">
        <v>127</v>
      </c>
      <c r="E14" t="s">
        <v>128</v>
      </c>
      <c r="H14" t="s">
        <v>555</v>
      </c>
      <c r="I14">
        <v>4</v>
      </c>
      <c r="J14">
        <v>0.24795313431792659</v>
      </c>
      <c r="K14">
        <v>2.9042299200000001</v>
      </c>
      <c r="L14">
        <v>0.228448950785861</v>
      </c>
      <c r="M14">
        <v>3.6747190460780801</v>
      </c>
      <c r="N14" t="s">
        <v>671</v>
      </c>
      <c r="O14" t="s">
        <v>672</v>
      </c>
      <c r="P14">
        <v>3.5644711671828682</v>
      </c>
      <c r="Q14">
        <v>1.5866421671828681</v>
      </c>
      <c r="R14" t="s">
        <v>673</v>
      </c>
      <c r="S14" t="s">
        <v>674</v>
      </c>
      <c r="T14">
        <v>35.149109231662237</v>
      </c>
      <c r="U14">
        <v>0.4417875</v>
      </c>
      <c r="V14" t="s">
        <v>134</v>
      </c>
      <c r="W14" t="s">
        <v>675</v>
      </c>
      <c r="X14" t="s">
        <v>136</v>
      </c>
      <c r="Y14" t="s">
        <v>136</v>
      </c>
      <c r="Z14" t="s">
        <v>136</v>
      </c>
      <c r="AA14" t="s">
        <v>676</v>
      </c>
      <c r="AB14" t="s">
        <v>677</v>
      </c>
      <c r="AC14" t="s">
        <v>678</v>
      </c>
      <c r="AD14" t="s">
        <v>140</v>
      </c>
      <c r="AE14" t="s">
        <v>141</v>
      </c>
      <c r="AF14">
        <v>106.29879624</v>
      </c>
      <c r="AG14" t="s">
        <v>142</v>
      </c>
      <c r="AH14" t="s">
        <v>679</v>
      </c>
      <c r="AI14" t="s">
        <v>680</v>
      </c>
      <c r="AJ14" t="s">
        <v>681</v>
      </c>
      <c r="AK14" t="s">
        <v>682</v>
      </c>
      <c r="AL14">
        <v>26.93</v>
      </c>
      <c r="AM14" t="s">
        <v>147</v>
      </c>
      <c r="AN14" t="s">
        <v>524</v>
      </c>
      <c r="AO14" t="s">
        <v>683</v>
      </c>
      <c r="AP14" t="s">
        <v>684</v>
      </c>
      <c r="AQ14" t="s">
        <v>356</v>
      </c>
      <c r="AR14" t="s">
        <v>685</v>
      </c>
      <c r="AS14" t="s">
        <v>153</v>
      </c>
      <c r="AT14" t="s">
        <v>124</v>
      </c>
      <c r="AU14" t="s">
        <v>686</v>
      </c>
      <c r="AV14" t="s">
        <v>687</v>
      </c>
      <c r="AW14" t="s">
        <v>688</v>
      </c>
      <c r="AX14" t="s">
        <v>689</v>
      </c>
      <c r="AY14" t="s">
        <v>690</v>
      </c>
      <c r="AZ14" t="s">
        <v>268</v>
      </c>
      <c r="BA14" t="s">
        <v>691</v>
      </c>
      <c r="BB14" t="s">
        <v>692</v>
      </c>
      <c r="BC14" t="s">
        <v>693</v>
      </c>
      <c r="BD14" t="s">
        <v>126</v>
      </c>
      <c r="BE14" t="s">
        <v>694</v>
      </c>
      <c r="BF14" t="s">
        <v>365</v>
      </c>
      <c r="BG14" t="s">
        <v>695</v>
      </c>
      <c r="BH14" t="s">
        <v>614</v>
      </c>
      <c r="BI14" t="s">
        <v>696</v>
      </c>
      <c r="BJ14" t="s">
        <v>368</v>
      </c>
      <c r="BK14" t="s">
        <v>126</v>
      </c>
      <c r="BL14" t="s">
        <v>369</v>
      </c>
      <c r="BM14" t="s">
        <v>124</v>
      </c>
      <c r="BN14" t="s">
        <v>171</v>
      </c>
      <c r="BO14" t="s">
        <v>171</v>
      </c>
      <c r="BP14" t="s">
        <v>276</v>
      </c>
      <c r="BQ14" t="s">
        <v>697</v>
      </c>
      <c r="BR14" t="s">
        <v>698</v>
      </c>
      <c r="BS14" t="s">
        <v>699</v>
      </c>
      <c r="BT14" t="s">
        <v>124</v>
      </c>
      <c r="BU14" t="s">
        <v>170</v>
      </c>
      <c r="BV14" t="s">
        <v>171</v>
      </c>
      <c r="BW14" t="s">
        <v>172</v>
      </c>
      <c r="BX14" t="s">
        <v>173</v>
      </c>
      <c r="BY14" t="s">
        <v>136</v>
      </c>
      <c r="BZ14" t="s">
        <v>174</v>
      </c>
      <c r="CA14" t="s">
        <v>136</v>
      </c>
      <c r="CB14" t="s">
        <v>136</v>
      </c>
      <c r="CC14" t="s">
        <v>175</v>
      </c>
      <c r="CD14" t="s">
        <v>176</v>
      </c>
      <c r="CE14" t="s">
        <v>161</v>
      </c>
      <c r="CF14" t="s">
        <v>177</v>
      </c>
      <c r="CG14" t="s">
        <v>178</v>
      </c>
      <c r="CH14" t="s">
        <v>179</v>
      </c>
      <c r="CI14" t="s">
        <v>142</v>
      </c>
      <c r="CJ14" t="s">
        <v>172</v>
      </c>
      <c r="CK14" t="s">
        <v>180</v>
      </c>
      <c r="CL14" t="s">
        <v>180</v>
      </c>
      <c r="CM14" t="s">
        <v>180</v>
      </c>
      <c r="CN14" t="s">
        <v>136</v>
      </c>
      <c r="CO14" t="s">
        <v>181</v>
      </c>
      <c r="CP14" t="s">
        <v>136</v>
      </c>
      <c r="CQ14" t="s">
        <v>136</v>
      </c>
      <c r="CR14" t="s">
        <v>136</v>
      </c>
      <c r="CS14" t="s">
        <v>136</v>
      </c>
      <c r="CT14" t="s">
        <v>700</v>
      </c>
      <c r="CU14" t="s">
        <v>701</v>
      </c>
      <c r="CV14" t="s">
        <v>702</v>
      </c>
      <c r="CW14" t="s">
        <v>703</v>
      </c>
      <c r="CX14" t="s">
        <v>704</v>
      </c>
      <c r="CY14" t="s">
        <v>705</v>
      </c>
      <c r="CZ14" t="s">
        <v>706</v>
      </c>
      <c r="DA14" t="s">
        <v>707</v>
      </c>
      <c r="DB14" t="s">
        <v>676</v>
      </c>
      <c r="DC14" t="s">
        <v>708</v>
      </c>
      <c r="DD14" t="s">
        <v>191</v>
      </c>
      <c r="DE14" t="s">
        <v>192</v>
      </c>
      <c r="DF14" t="s">
        <v>142</v>
      </c>
      <c r="DG14" t="s">
        <v>193</v>
      </c>
      <c r="DH14" t="s">
        <v>194</v>
      </c>
      <c r="DI14" t="s">
        <v>142</v>
      </c>
      <c r="DJ14" t="s">
        <v>195</v>
      </c>
      <c r="DK14" t="s">
        <v>196</v>
      </c>
      <c r="DL14" t="s">
        <v>197</v>
      </c>
      <c r="DM14" t="s">
        <v>136</v>
      </c>
      <c r="DN14" t="s">
        <v>675</v>
      </c>
      <c r="DO14" t="s">
        <v>198</v>
      </c>
      <c r="DP14" t="s">
        <v>199</v>
      </c>
      <c r="DQ14" t="s">
        <v>200</v>
      </c>
      <c r="DR14" t="s">
        <v>201</v>
      </c>
      <c r="DS14" t="s">
        <v>202</v>
      </c>
      <c r="DT14" t="s">
        <v>203</v>
      </c>
    </row>
    <row r="15" spans="1:124" x14ac:dyDescent="0.45">
      <c r="A15" t="s">
        <v>709</v>
      </c>
      <c r="B15" t="s">
        <v>710</v>
      </c>
      <c r="C15" t="s">
        <v>126</v>
      </c>
      <c r="D15" t="s">
        <v>127</v>
      </c>
      <c r="E15" t="s">
        <v>128</v>
      </c>
      <c r="H15" t="s">
        <v>555</v>
      </c>
      <c r="I15">
        <v>5</v>
      </c>
      <c r="J15">
        <v>0.21949764287618731</v>
      </c>
      <c r="K15">
        <v>2.9058327199999998</v>
      </c>
      <c r="L15">
        <v>0.20408192369318739</v>
      </c>
      <c r="M15">
        <v>3.3847853375934731</v>
      </c>
      <c r="N15" t="s">
        <v>711</v>
      </c>
      <c r="O15" t="s">
        <v>712</v>
      </c>
      <c r="P15">
        <v>3.6108131373185941</v>
      </c>
      <c r="Q15">
        <v>1.6355611373185941</v>
      </c>
      <c r="R15" t="s">
        <v>713</v>
      </c>
      <c r="S15" t="s">
        <v>714</v>
      </c>
      <c r="T15">
        <v>35.606085566695533</v>
      </c>
      <c r="U15">
        <v>0.4417875</v>
      </c>
      <c r="V15" t="s">
        <v>134</v>
      </c>
      <c r="W15" t="s">
        <v>715</v>
      </c>
      <c r="X15" t="s">
        <v>136</v>
      </c>
      <c r="Y15" t="s">
        <v>136</v>
      </c>
      <c r="Z15" t="s">
        <v>136</v>
      </c>
      <c r="AA15" t="s">
        <v>716</v>
      </c>
      <c r="AB15" t="s">
        <v>717</v>
      </c>
      <c r="AC15" t="s">
        <v>718</v>
      </c>
      <c r="AD15" t="s">
        <v>140</v>
      </c>
      <c r="AE15" t="s">
        <v>141</v>
      </c>
      <c r="AF15">
        <v>97.417514039999986</v>
      </c>
      <c r="AG15" t="s">
        <v>142</v>
      </c>
      <c r="AH15" t="s">
        <v>719</v>
      </c>
      <c r="AI15" t="s">
        <v>720</v>
      </c>
      <c r="AJ15" t="s">
        <v>721</v>
      </c>
      <c r="AK15" t="s">
        <v>722</v>
      </c>
      <c r="AL15">
        <v>27.15</v>
      </c>
      <c r="AM15" t="s">
        <v>147</v>
      </c>
      <c r="AN15" t="s">
        <v>350</v>
      </c>
      <c r="AO15" t="s">
        <v>723</v>
      </c>
      <c r="AP15" t="s">
        <v>140</v>
      </c>
      <c r="AQ15" t="s">
        <v>724</v>
      </c>
      <c r="AR15" t="s">
        <v>354</v>
      </c>
      <c r="AS15" t="s">
        <v>262</v>
      </c>
      <c r="AT15" t="s">
        <v>153</v>
      </c>
      <c r="AU15" t="s">
        <v>725</v>
      </c>
      <c r="AV15" t="s">
        <v>726</v>
      </c>
      <c r="AW15" t="s">
        <v>727</v>
      </c>
      <c r="AX15" t="s">
        <v>728</v>
      </c>
      <c r="AY15" t="s">
        <v>479</v>
      </c>
      <c r="AZ15" t="s">
        <v>268</v>
      </c>
      <c r="BA15" t="s">
        <v>729</v>
      </c>
      <c r="BB15" t="s">
        <v>730</v>
      </c>
      <c r="BC15" t="s">
        <v>731</v>
      </c>
      <c r="BD15" t="s">
        <v>126</v>
      </c>
      <c r="BE15" t="s">
        <v>732</v>
      </c>
      <c r="BF15" t="s">
        <v>319</v>
      </c>
      <c r="BG15" t="s">
        <v>733</v>
      </c>
      <c r="BH15" t="s">
        <v>290</v>
      </c>
      <c r="BI15" t="s">
        <v>367</v>
      </c>
      <c r="BJ15" t="s">
        <v>368</v>
      </c>
      <c r="BK15" t="s">
        <v>126</v>
      </c>
      <c r="BL15" t="s">
        <v>369</v>
      </c>
      <c r="BM15" t="s">
        <v>124</v>
      </c>
      <c r="BN15" t="s">
        <v>171</v>
      </c>
      <c r="BO15" t="s">
        <v>171</v>
      </c>
      <c r="BP15" t="s">
        <v>166</v>
      </c>
      <c r="BQ15" t="s">
        <v>734</v>
      </c>
      <c r="BR15" t="s">
        <v>735</v>
      </c>
      <c r="BS15" t="s">
        <v>736</v>
      </c>
      <c r="BT15" t="s">
        <v>124</v>
      </c>
      <c r="BU15" t="s">
        <v>170</v>
      </c>
      <c r="BV15" t="s">
        <v>171</v>
      </c>
      <c r="BW15" t="s">
        <v>172</v>
      </c>
      <c r="BX15" t="s">
        <v>173</v>
      </c>
      <c r="BY15" t="s">
        <v>136</v>
      </c>
      <c r="BZ15" t="s">
        <v>174</v>
      </c>
      <c r="CA15" t="s">
        <v>136</v>
      </c>
      <c r="CB15" t="s">
        <v>136</v>
      </c>
      <c r="CC15" t="s">
        <v>175</v>
      </c>
      <c r="CD15" t="s">
        <v>176</v>
      </c>
      <c r="CE15" t="s">
        <v>161</v>
      </c>
      <c r="CF15" t="s">
        <v>177</v>
      </c>
      <c r="CG15" t="s">
        <v>178</v>
      </c>
      <c r="CH15" t="s">
        <v>179</v>
      </c>
      <c r="CI15" t="s">
        <v>142</v>
      </c>
      <c r="CJ15" t="s">
        <v>172</v>
      </c>
      <c r="CK15" t="s">
        <v>180</v>
      </c>
      <c r="CL15" t="s">
        <v>180</v>
      </c>
      <c r="CM15" t="s">
        <v>180</v>
      </c>
      <c r="CN15" t="s">
        <v>136</v>
      </c>
      <c r="CO15" t="s">
        <v>181</v>
      </c>
      <c r="CP15" t="s">
        <v>136</v>
      </c>
      <c r="CQ15" t="s">
        <v>136</v>
      </c>
      <c r="CR15" t="s">
        <v>136</v>
      </c>
      <c r="CS15" t="s">
        <v>136</v>
      </c>
      <c r="CT15" t="s">
        <v>737</v>
      </c>
      <c r="CU15" t="s">
        <v>738</v>
      </c>
      <c r="CV15" t="s">
        <v>739</v>
      </c>
      <c r="CW15" t="s">
        <v>740</v>
      </c>
      <c r="CX15" t="s">
        <v>741</v>
      </c>
      <c r="CY15" t="s">
        <v>742</v>
      </c>
      <c r="CZ15" t="s">
        <v>743</v>
      </c>
      <c r="DA15" t="s">
        <v>744</v>
      </c>
      <c r="DB15" t="s">
        <v>716</v>
      </c>
      <c r="DC15" t="s">
        <v>745</v>
      </c>
      <c r="DD15" t="s">
        <v>191</v>
      </c>
      <c r="DE15" t="s">
        <v>192</v>
      </c>
      <c r="DF15" t="s">
        <v>142</v>
      </c>
      <c r="DG15" t="s">
        <v>193</v>
      </c>
      <c r="DH15" t="s">
        <v>194</v>
      </c>
      <c r="DI15" t="s">
        <v>142</v>
      </c>
      <c r="DJ15" t="s">
        <v>195</v>
      </c>
      <c r="DK15" t="s">
        <v>196</v>
      </c>
      <c r="DL15" t="s">
        <v>197</v>
      </c>
      <c r="DM15" t="s">
        <v>136</v>
      </c>
      <c r="DN15" t="s">
        <v>715</v>
      </c>
      <c r="DO15" t="s">
        <v>198</v>
      </c>
      <c r="DP15" t="s">
        <v>199</v>
      </c>
      <c r="DQ15" t="s">
        <v>200</v>
      </c>
      <c r="DR15" t="s">
        <v>201</v>
      </c>
      <c r="DS15" t="s">
        <v>202</v>
      </c>
      <c r="DT15" t="s">
        <v>203</v>
      </c>
    </row>
    <row r="16" spans="1:124" x14ac:dyDescent="0.45">
      <c r="A16" t="s">
        <v>746</v>
      </c>
      <c r="B16" t="s">
        <v>747</v>
      </c>
      <c r="C16" t="s">
        <v>126</v>
      </c>
      <c r="D16" t="s">
        <v>127</v>
      </c>
      <c r="E16" t="s">
        <v>128</v>
      </c>
      <c r="H16" t="s">
        <v>555</v>
      </c>
      <c r="I16">
        <v>6</v>
      </c>
      <c r="J16">
        <v>0.37073030022080389</v>
      </c>
      <c r="K16">
        <v>2.9058327199999998</v>
      </c>
      <c r="L16">
        <v>0.3287836156450421</v>
      </c>
      <c r="M16">
        <v>4.9595023294768641</v>
      </c>
      <c r="N16" t="s">
        <v>748</v>
      </c>
      <c r="O16" t="s">
        <v>749</v>
      </c>
      <c r="P16">
        <v>3.4979916853388748</v>
      </c>
      <c r="Q16">
        <v>1.4881576853388749</v>
      </c>
      <c r="R16" t="s">
        <v>750</v>
      </c>
      <c r="S16" t="s">
        <v>751</v>
      </c>
      <c r="T16">
        <v>34.493557689960312</v>
      </c>
      <c r="U16">
        <v>0.4417875</v>
      </c>
      <c r="V16" t="s">
        <v>134</v>
      </c>
      <c r="W16" t="s">
        <v>752</v>
      </c>
      <c r="X16" t="s">
        <v>136</v>
      </c>
      <c r="Y16" t="s">
        <v>136</v>
      </c>
      <c r="Z16" t="s">
        <v>136</v>
      </c>
      <c r="AA16" t="s">
        <v>753</v>
      </c>
      <c r="AB16" t="s">
        <v>754</v>
      </c>
      <c r="AC16" t="s">
        <v>755</v>
      </c>
      <c r="AD16" t="s">
        <v>140</v>
      </c>
      <c r="AE16" t="s">
        <v>141</v>
      </c>
      <c r="AF16">
        <v>109.34112672000001</v>
      </c>
      <c r="AG16" t="s">
        <v>142</v>
      </c>
      <c r="AH16" t="s">
        <v>756</v>
      </c>
      <c r="AI16" t="s">
        <v>757</v>
      </c>
      <c r="AJ16" t="s">
        <v>758</v>
      </c>
      <c r="AK16" t="s">
        <v>759</v>
      </c>
      <c r="AL16">
        <v>26.61</v>
      </c>
      <c r="AM16" t="s">
        <v>147</v>
      </c>
      <c r="AN16" t="s">
        <v>350</v>
      </c>
      <c r="AO16" t="s">
        <v>760</v>
      </c>
      <c r="AP16" t="s">
        <v>761</v>
      </c>
      <c r="AQ16" t="s">
        <v>222</v>
      </c>
      <c r="AR16" t="s">
        <v>762</v>
      </c>
      <c r="AS16" t="s">
        <v>262</v>
      </c>
      <c r="AT16" t="s">
        <v>161</v>
      </c>
      <c r="AU16" t="s">
        <v>763</v>
      </c>
      <c r="AV16" t="s">
        <v>764</v>
      </c>
      <c r="AW16" t="s">
        <v>765</v>
      </c>
      <c r="AX16" t="s">
        <v>766</v>
      </c>
      <c r="AY16" t="s">
        <v>767</v>
      </c>
      <c r="AZ16" t="s">
        <v>268</v>
      </c>
      <c r="BA16" t="s">
        <v>768</v>
      </c>
      <c r="BB16" t="s">
        <v>769</v>
      </c>
      <c r="BC16" t="s">
        <v>770</v>
      </c>
      <c r="BD16" t="s">
        <v>126</v>
      </c>
      <c r="BE16" t="s">
        <v>771</v>
      </c>
      <c r="BF16" t="s">
        <v>772</v>
      </c>
      <c r="BG16" t="s">
        <v>733</v>
      </c>
      <c r="BH16" t="s">
        <v>290</v>
      </c>
      <c r="BI16" t="s">
        <v>773</v>
      </c>
      <c r="BJ16" t="s">
        <v>368</v>
      </c>
      <c r="BK16" t="s">
        <v>126</v>
      </c>
      <c r="BL16" t="s">
        <v>369</v>
      </c>
      <c r="BM16" t="s">
        <v>124</v>
      </c>
      <c r="BN16" t="s">
        <v>165</v>
      </c>
      <c r="BO16" t="s">
        <v>171</v>
      </c>
      <c r="BP16" t="s">
        <v>166</v>
      </c>
      <c r="BQ16" t="s">
        <v>774</v>
      </c>
      <c r="BR16" t="s">
        <v>775</v>
      </c>
      <c r="BS16" t="s">
        <v>776</v>
      </c>
      <c r="BT16" t="s">
        <v>124</v>
      </c>
      <c r="BU16" t="s">
        <v>170</v>
      </c>
      <c r="BV16" t="s">
        <v>171</v>
      </c>
      <c r="BW16" t="s">
        <v>172</v>
      </c>
      <c r="BX16" t="s">
        <v>173</v>
      </c>
      <c r="BY16" t="s">
        <v>136</v>
      </c>
      <c r="BZ16" t="s">
        <v>174</v>
      </c>
      <c r="CA16" t="s">
        <v>136</v>
      </c>
      <c r="CB16" t="s">
        <v>136</v>
      </c>
      <c r="CC16" t="s">
        <v>175</v>
      </c>
      <c r="CD16" t="s">
        <v>176</v>
      </c>
      <c r="CE16" t="s">
        <v>161</v>
      </c>
      <c r="CF16" t="s">
        <v>177</v>
      </c>
      <c r="CG16" t="s">
        <v>178</v>
      </c>
      <c r="CH16" t="s">
        <v>179</v>
      </c>
      <c r="CI16" t="s">
        <v>142</v>
      </c>
      <c r="CJ16" t="s">
        <v>172</v>
      </c>
      <c r="CK16" t="s">
        <v>180</v>
      </c>
      <c r="CL16" t="s">
        <v>180</v>
      </c>
      <c r="CM16" t="s">
        <v>180</v>
      </c>
      <c r="CN16" t="s">
        <v>136</v>
      </c>
      <c r="CO16" t="s">
        <v>181</v>
      </c>
      <c r="CP16" t="s">
        <v>136</v>
      </c>
      <c r="CQ16" t="s">
        <v>136</v>
      </c>
      <c r="CR16" t="s">
        <v>136</v>
      </c>
      <c r="CS16" t="s">
        <v>136</v>
      </c>
      <c r="CT16" t="s">
        <v>777</v>
      </c>
      <c r="CU16" t="s">
        <v>778</v>
      </c>
      <c r="CV16" t="s">
        <v>779</v>
      </c>
      <c r="CW16" t="s">
        <v>780</v>
      </c>
      <c r="CX16" t="s">
        <v>781</v>
      </c>
      <c r="CY16" t="s">
        <v>782</v>
      </c>
      <c r="CZ16" t="s">
        <v>783</v>
      </c>
      <c r="DA16" t="s">
        <v>784</v>
      </c>
      <c r="DB16" t="s">
        <v>753</v>
      </c>
      <c r="DC16" t="s">
        <v>467</v>
      </c>
      <c r="DD16" t="s">
        <v>191</v>
      </c>
      <c r="DE16" t="s">
        <v>192</v>
      </c>
      <c r="DF16" t="s">
        <v>142</v>
      </c>
      <c r="DG16" t="s">
        <v>193</v>
      </c>
      <c r="DH16" t="s">
        <v>194</v>
      </c>
      <c r="DI16" t="s">
        <v>142</v>
      </c>
      <c r="DJ16" t="s">
        <v>195</v>
      </c>
      <c r="DK16" t="s">
        <v>196</v>
      </c>
      <c r="DL16" t="s">
        <v>197</v>
      </c>
      <c r="DM16" t="s">
        <v>136</v>
      </c>
      <c r="DN16" t="s">
        <v>752</v>
      </c>
      <c r="DO16" t="s">
        <v>198</v>
      </c>
      <c r="DP16" t="s">
        <v>199</v>
      </c>
      <c r="DQ16" t="s">
        <v>200</v>
      </c>
      <c r="DR16" t="s">
        <v>201</v>
      </c>
      <c r="DS16" t="s">
        <v>202</v>
      </c>
      <c r="DT16" t="s">
        <v>203</v>
      </c>
    </row>
    <row r="17" spans="1:124" x14ac:dyDescent="0.45">
      <c r="A17" t="s">
        <v>785</v>
      </c>
      <c r="B17" t="s">
        <v>786</v>
      </c>
      <c r="C17" t="s">
        <v>126</v>
      </c>
      <c r="D17" t="s">
        <v>127</v>
      </c>
      <c r="E17" t="s">
        <v>128</v>
      </c>
      <c r="H17" t="s">
        <v>555</v>
      </c>
      <c r="I17">
        <v>7</v>
      </c>
      <c r="J17">
        <v>0.31862566652181518</v>
      </c>
      <c r="K17">
        <v>2.9050319999999989</v>
      </c>
      <c r="L17">
        <v>0.28713277060399001</v>
      </c>
      <c r="M17">
        <v>4.4614271707361359</v>
      </c>
      <c r="N17" t="s">
        <v>787</v>
      </c>
      <c r="O17" t="s">
        <v>788</v>
      </c>
      <c r="P17">
        <v>3.5145092362326329</v>
      </c>
      <c r="Q17">
        <v>1.534003236232633</v>
      </c>
      <c r="R17" t="s">
        <v>789</v>
      </c>
      <c r="S17" t="s">
        <v>790</v>
      </c>
      <c r="T17">
        <v>34.635943985736013</v>
      </c>
      <c r="U17">
        <v>0.4417875</v>
      </c>
      <c r="V17" t="s">
        <v>134</v>
      </c>
      <c r="W17" t="s">
        <v>791</v>
      </c>
      <c r="X17" t="s">
        <v>136</v>
      </c>
      <c r="Y17" t="s">
        <v>136</v>
      </c>
      <c r="Z17" t="s">
        <v>136</v>
      </c>
      <c r="AA17" t="s">
        <v>792</v>
      </c>
      <c r="AB17" t="s">
        <v>793</v>
      </c>
      <c r="AC17" t="s">
        <v>794</v>
      </c>
      <c r="AD17" t="s">
        <v>140</v>
      </c>
      <c r="AE17" t="s">
        <v>141</v>
      </c>
      <c r="AF17">
        <v>39.66114348</v>
      </c>
      <c r="AG17" t="s">
        <v>142</v>
      </c>
      <c r="AH17" t="s">
        <v>795</v>
      </c>
      <c r="AI17" t="s">
        <v>796</v>
      </c>
      <c r="AJ17" t="s">
        <v>797</v>
      </c>
      <c r="AK17" t="s">
        <v>798</v>
      </c>
      <c r="AL17">
        <v>26.69</v>
      </c>
      <c r="AM17" t="s">
        <v>799</v>
      </c>
      <c r="AN17" t="s">
        <v>148</v>
      </c>
      <c r="AO17" t="s">
        <v>800</v>
      </c>
      <c r="AP17" t="s">
        <v>801</v>
      </c>
      <c r="AQ17" t="s">
        <v>802</v>
      </c>
      <c r="AR17" t="s">
        <v>803</v>
      </c>
      <c r="AS17" t="s">
        <v>804</v>
      </c>
      <c r="AT17" t="s">
        <v>805</v>
      </c>
      <c r="AU17" t="s">
        <v>806</v>
      </c>
      <c r="AV17" t="s">
        <v>807</v>
      </c>
      <c r="AW17" t="s">
        <v>808</v>
      </c>
      <c r="AX17" t="s">
        <v>809</v>
      </c>
      <c r="AY17" t="s">
        <v>810</v>
      </c>
      <c r="AZ17" t="s">
        <v>445</v>
      </c>
      <c r="BA17" t="s">
        <v>811</v>
      </c>
      <c r="BB17" t="s">
        <v>812</v>
      </c>
      <c r="BC17" t="s">
        <v>813</v>
      </c>
      <c r="BD17" t="s">
        <v>126</v>
      </c>
      <c r="BE17" t="s">
        <v>814</v>
      </c>
      <c r="BF17" t="s">
        <v>815</v>
      </c>
      <c r="BG17" t="s">
        <v>816</v>
      </c>
      <c r="BH17" t="s">
        <v>290</v>
      </c>
      <c r="BI17" t="s">
        <v>410</v>
      </c>
      <c r="BJ17" t="s">
        <v>453</v>
      </c>
      <c r="BK17" t="s">
        <v>126</v>
      </c>
      <c r="BL17" t="s">
        <v>454</v>
      </c>
      <c r="BM17" t="s">
        <v>124</v>
      </c>
      <c r="BN17" t="s">
        <v>411</v>
      </c>
      <c r="BO17" t="s">
        <v>164</v>
      </c>
      <c r="BP17" t="s">
        <v>276</v>
      </c>
      <c r="BQ17" t="s">
        <v>276</v>
      </c>
      <c r="BR17" t="s">
        <v>817</v>
      </c>
      <c r="BS17" t="s">
        <v>165</v>
      </c>
      <c r="BT17" t="s">
        <v>124</v>
      </c>
      <c r="BU17" t="s">
        <v>170</v>
      </c>
      <c r="BV17" t="s">
        <v>171</v>
      </c>
      <c r="BW17" t="s">
        <v>172</v>
      </c>
      <c r="BX17" t="s">
        <v>173</v>
      </c>
      <c r="BY17" t="s">
        <v>136</v>
      </c>
      <c r="BZ17" t="s">
        <v>174</v>
      </c>
      <c r="CA17" t="s">
        <v>136</v>
      </c>
      <c r="CB17" t="s">
        <v>136</v>
      </c>
      <c r="CC17" t="s">
        <v>175</v>
      </c>
      <c r="CD17" t="s">
        <v>176</v>
      </c>
      <c r="CE17" t="s">
        <v>161</v>
      </c>
      <c r="CF17" t="s">
        <v>177</v>
      </c>
      <c r="CG17" t="s">
        <v>178</v>
      </c>
      <c r="CH17" t="s">
        <v>179</v>
      </c>
      <c r="CI17" t="s">
        <v>142</v>
      </c>
      <c r="CJ17" t="s">
        <v>172</v>
      </c>
      <c r="CK17" t="s">
        <v>180</v>
      </c>
      <c r="CL17" t="s">
        <v>180</v>
      </c>
      <c r="CM17" t="s">
        <v>180</v>
      </c>
      <c r="CN17" t="s">
        <v>136</v>
      </c>
      <c r="CO17" t="s">
        <v>181</v>
      </c>
      <c r="CP17" t="s">
        <v>136</v>
      </c>
      <c r="CQ17" t="s">
        <v>136</v>
      </c>
      <c r="CR17" t="s">
        <v>136</v>
      </c>
      <c r="CS17" t="s">
        <v>136</v>
      </c>
      <c r="CT17" t="s">
        <v>818</v>
      </c>
      <c r="CU17" t="s">
        <v>819</v>
      </c>
      <c r="CV17" t="s">
        <v>820</v>
      </c>
      <c r="CW17" t="s">
        <v>821</v>
      </c>
      <c r="CX17" t="s">
        <v>822</v>
      </c>
      <c r="CY17" t="s">
        <v>823</v>
      </c>
      <c r="CZ17" t="s">
        <v>824</v>
      </c>
      <c r="DA17" t="s">
        <v>825</v>
      </c>
      <c r="DB17" t="s">
        <v>792</v>
      </c>
      <c r="DC17" t="s">
        <v>826</v>
      </c>
      <c r="DD17" t="s">
        <v>191</v>
      </c>
      <c r="DE17" t="s">
        <v>192</v>
      </c>
      <c r="DF17" t="s">
        <v>142</v>
      </c>
      <c r="DG17" t="s">
        <v>193</v>
      </c>
      <c r="DH17" t="s">
        <v>194</v>
      </c>
      <c r="DI17" t="s">
        <v>142</v>
      </c>
      <c r="DJ17" t="s">
        <v>195</v>
      </c>
      <c r="DK17" t="s">
        <v>196</v>
      </c>
      <c r="DL17" t="s">
        <v>197</v>
      </c>
      <c r="DM17" t="s">
        <v>136</v>
      </c>
      <c r="DN17" t="s">
        <v>791</v>
      </c>
      <c r="DO17" t="s">
        <v>198</v>
      </c>
      <c r="DP17" t="s">
        <v>199</v>
      </c>
      <c r="DQ17" t="s">
        <v>200</v>
      </c>
      <c r="DR17" t="s">
        <v>201</v>
      </c>
      <c r="DS17" t="s">
        <v>202</v>
      </c>
      <c r="DT17" t="s">
        <v>203</v>
      </c>
    </row>
    <row r="18" spans="1:124" x14ac:dyDescent="0.45">
      <c r="A18" t="s">
        <v>827</v>
      </c>
      <c r="B18" t="s">
        <v>828</v>
      </c>
      <c r="C18" t="s">
        <v>126</v>
      </c>
      <c r="D18" t="s">
        <v>127</v>
      </c>
      <c r="E18" t="s">
        <v>128</v>
      </c>
      <c r="H18" t="s">
        <v>555</v>
      </c>
      <c r="I18">
        <v>8</v>
      </c>
      <c r="J18">
        <v>0.30112884657715921</v>
      </c>
      <c r="K18">
        <v>2.9050319999999989</v>
      </c>
      <c r="L18">
        <v>0.27284624112469191</v>
      </c>
      <c r="M18">
        <v>4.3025881114845417</v>
      </c>
      <c r="N18" t="s">
        <v>829</v>
      </c>
      <c r="O18" t="s">
        <v>830</v>
      </c>
      <c r="P18">
        <v>3.520720850625962</v>
      </c>
      <c r="Q18">
        <v>1.556956850625961</v>
      </c>
      <c r="R18" t="s">
        <v>831</v>
      </c>
      <c r="S18" t="s">
        <v>832</v>
      </c>
      <c r="T18">
        <v>34.697160250576147</v>
      </c>
      <c r="U18">
        <v>0.4417875</v>
      </c>
      <c r="V18" t="s">
        <v>134</v>
      </c>
      <c r="W18" t="s">
        <v>833</v>
      </c>
      <c r="X18" t="s">
        <v>136</v>
      </c>
      <c r="Y18" t="s">
        <v>136</v>
      </c>
      <c r="Z18" t="s">
        <v>136</v>
      </c>
      <c r="AA18" t="s">
        <v>834</v>
      </c>
      <c r="AB18" t="s">
        <v>835</v>
      </c>
      <c r="AC18" t="s">
        <v>836</v>
      </c>
      <c r="AD18" t="s">
        <v>140</v>
      </c>
      <c r="AE18" t="s">
        <v>141</v>
      </c>
      <c r="AF18">
        <v>41.231083320000003</v>
      </c>
      <c r="AG18" t="s">
        <v>142</v>
      </c>
      <c r="AH18" t="s">
        <v>565</v>
      </c>
      <c r="AI18" t="s">
        <v>837</v>
      </c>
      <c r="AJ18" t="s">
        <v>838</v>
      </c>
      <c r="AK18" t="s">
        <v>839</v>
      </c>
      <c r="AL18">
        <v>26.72</v>
      </c>
      <c r="AM18" t="s">
        <v>799</v>
      </c>
      <c r="AN18" t="s">
        <v>148</v>
      </c>
      <c r="AO18" t="s">
        <v>840</v>
      </c>
      <c r="AP18" t="s">
        <v>841</v>
      </c>
      <c r="AQ18" t="s">
        <v>842</v>
      </c>
      <c r="AR18" t="s">
        <v>843</v>
      </c>
      <c r="AS18" t="s">
        <v>844</v>
      </c>
      <c r="AT18" t="s">
        <v>263</v>
      </c>
      <c r="AU18" t="s">
        <v>845</v>
      </c>
      <c r="AV18" t="s">
        <v>846</v>
      </c>
      <c r="AW18" t="s">
        <v>847</v>
      </c>
      <c r="AX18" t="s">
        <v>848</v>
      </c>
      <c r="AY18" t="s">
        <v>849</v>
      </c>
      <c r="AZ18" t="s">
        <v>445</v>
      </c>
      <c r="BA18" t="s">
        <v>850</v>
      </c>
      <c r="BB18" t="s">
        <v>851</v>
      </c>
      <c r="BC18" t="s">
        <v>852</v>
      </c>
      <c r="BD18" t="s">
        <v>126</v>
      </c>
      <c r="BE18" t="s">
        <v>853</v>
      </c>
      <c r="BF18" t="s">
        <v>854</v>
      </c>
      <c r="BG18" t="s">
        <v>855</v>
      </c>
      <c r="BH18" t="s">
        <v>856</v>
      </c>
      <c r="BI18" t="s">
        <v>857</v>
      </c>
      <c r="BJ18" t="s">
        <v>858</v>
      </c>
      <c r="BK18" t="s">
        <v>126</v>
      </c>
      <c r="BL18" t="s">
        <v>859</v>
      </c>
      <c r="BM18" t="s">
        <v>124</v>
      </c>
      <c r="BN18" t="s">
        <v>164</v>
      </c>
      <c r="BO18" t="s">
        <v>228</v>
      </c>
      <c r="BP18" t="s">
        <v>166</v>
      </c>
      <c r="BQ18" t="s">
        <v>860</v>
      </c>
      <c r="BR18" t="s">
        <v>861</v>
      </c>
      <c r="BS18" t="s">
        <v>862</v>
      </c>
      <c r="BT18" t="s">
        <v>124</v>
      </c>
      <c r="BU18" t="s">
        <v>170</v>
      </c>
      <c r="BV18" t="s">
        <v>171</v>
      </c>
      <c r="BW18" t="s">
        <v>172</v>
      </c>
      <c r="BX18" t="s">
        <v>173</v>
      </c>
      <c r="BY18" t="s">
        <v>136</v>
      </c>
      <c r="BZ18" t="s">
        <v>174</v>
      </c>
      <c r="CA18" t="s">
        <v>136</v>
      </c>
      <c r="CB18" t="s">
        <v>136</v>
      </c>
      <c r="CC18" t="s">
        <v>175</v>
      </c>
      <c r="CD18" t="s">
        <v>176</v>
      </c>
      <c r="CE18" t="s">
        <v>161</v>
      </c>
      <c r="CF18" t="s">
        <v>177</v>
      </c>
      <c r="CG18" t="s">
        <v>178</v>
      </c>
      <c r="CH18" t="s">
        <v>179</v>
      </c>
      <c r="CI18" t="s">
        <v>142</v>
      </c>
      <c r="CJ18" t="s">
        <v>172</v>
      </c>
      <c r="CK18" t="s">
        <v>180</v>
      </c>
      <c r="CL18" t="s">
        <v>180</v>
      </c>
      <c r="CM18" t="s">
        <v>180</v>
      </c>
      <c r="CN18" t="s">
        <v>136</v>
      </c>
      <c r="CO18" t="s">
        <v>181</v>
      </c>
      <c r="CP18" t="s">
        <v>136</v>
      </c>
      <c r="CQ18" t="s">
        <v>136</v>
      </c>
      <c r="CR18" t="s">
        <v>136</v>
      </c>
      <c r="CS18" t="s">
        <v>136</v>
      </c>
      <c r="CT18" t="s">
        <v>863</v>
      </c>
      <c r="CU18" t="s">
        <v>864</v>
      </c>
      <c r="CV18" t="s">
        <v>865</v>
      </c>
      <c r="CW18" t="s">
        <v>866</v>
      </c>
      <c r="CX18" t="s">
        <v>867</v>
      </c>
      <c r="CY18" t="s">
        <v>868</v>
      </c>
      <c r="CZ18" t="s">
        <v>869</v>
      </c>
      <c r="DA18" t="s">
        <v>870</v>
      </c>
      <c r="DB18" t="s">
        <v>834</v>
      </c>
      <c r="DC18" t="s">
        <v>467</v>
      </c>
      <c r="DD18" t="s">
        <v>191</v>
      </c>
      <c r="DE18" t="s">
        <v>192</v>
      </c>
      <c r="DF18" t="s">
        <v>142</v>
      </c>
      <c r="DG18" t="s">
        <v>193</v>
      </c>
      <c r="DH18" t="s">
        <v>194</v>
      </c>
      <c r="DI18" t="s">
        <v>142</v>
      </c>
      <c r="DJ18" t="s">
        <v>195</v>
      </c>
      <c r="DK18" t="s">
        <v>196</v>
      </c>
      <c r="DL18" t="s">
        <v>197</v>
      </c>
      <c r="DM18" t="s">
        <v>136</v>
      </c>
      <c r="DN18" t="s">
        <v>833</v>
      </c>
      <c r="DO18" t="s">
        <v>198</v>
      </c>
      <c r="DP18" t="s">
        <v>199</v>
      </c>
      <c r="DQ18" t="s">
        <v>200</v>
      </c>
      <c r="DR18" t="s">
        <v>201</v>
      </c>
      <c r="DS18" t="s">
        <v>202</v>
      </c>
      <c r="DT18" t="s">
        <v>203</v>
      </c>
    </row>
    <row r="19" spans="1:124" x14ac:dyDescent="0.45">
      <c r="A19" t="s">
        <v>871</v>
      </c>
      <c r="B19" t="s">
        <v>872</v>
      </c>
      <c r="C19" t="s">
        <v>126</v>
      </c>
      <c r="D19" t="s">
        <v>127</v>
      </c>
      <c r="E19" t="s">
        <v>128</v>
      </c>
      <c r="H19" t="s">
        <v>555</v>
      </c>
      <c r="I19">
        <v>9</v>
      </c>
      <c r="J19">
        <v>0.1837068041867754</v>
      </c>
      <c r="K19">
        <v>2.9058327199999998</v>
      </c>
      <c r="L19">
        <v>0.1727834320660056</v>
      </c>
      <c r="M19">
        <v>2.9015783751812338</v>
      </c>
      <c r="N19" t="s">
        <v>873</v>
      </c>
      <c r="O19" t="s">
        <v>874</v>
      </c>
      <c r="P19">
        <v>3.5707597933929329</v>
      </c>
      <c r="Q19">
        <v>1.6578917933929329</v>
      </c>
      <c r="R19" t="s">
        <v>875</v>
      </c>
      <c r="S19" t="s">
        <v>876</v>
      </c>
      <c r="T19">
        <v>35.190300516339143</v>
      </c>
      <c r="U19">
        <v>0.4417875</v>
      </c>
      <c r="V19" t="s">
        <v>134</v>
      </c>
      <c r="W19" t="s">
        <v>877</v>
      </c>
      <c r="X19" t="s">
        <v>136</v>
      </c>
      <c r="Y19" t="s">
        <v>136</v>
      </c>
      <c r="Z19" t="s">
        <v>136</v>
      </c>
      <c r="AA19" t="s">
        <v>878</v>
      </c>
      <c r="AB19" t="s">
        <v>879</v>
      </c>
      <c r="AC19" t="s">
        <v>880</v>
      </c>
      <c r="AD19" t="s">
        <v>140</v>
      </c>
      <c r="AE19" t="s">
        <v>141</v>
      </c>
      <c r="AF19">
        <v>34.202620619999998</v>
      </c>
      <c r="AG19" t="s">
        <v>142</v>
      </c>
      <c r="AH19" t="s">
        <v>881</v>
      </c>
      <c r="AI19" t="s">
        <v>882</v>
      </c>
      <c r="AJ19" t="s">
        <v>797</v>
      </c>
      <c r="AK19" t="s">
        <v>145</v>
      </c>
      <c r="AL19">
        <v>26.96</v>
      </c>
      <c r="AM19" t="s">
        <v>799</v>
      </c>
      <c r="AN19" t="s">
        <v>350</v>
      </c>
      <c r="AO19" t="s">
        <v>883</v>
      </c>
      <c r="AP19" t="s">
        <v>884</v>
      </c>
      <c r="AQ19" t="s">
        <v>885</v>
      </c>
      <c r="AR19" t="s">
        <v>886</v>
      </c>
      <c r="AS19" t="s">
        <v>887</v>
      </c>
      <c r="AT19" t="s">
        <v>888</v>
      </c>
      <c r="AU19" t="s">
        <v>889</v>
      </c>
      <c r="AV19" t="s">
        <v>890</v>
      </c>
      <c r="AW19" t="s">
        <v>891</v>
      </c>
      <c r="AX19" t="s">
        <v>892</v>
      </c>
      <c r="AY19" t="s">
        <v>893</v>
      </c>
      <c r="AZ19" t="s">
        <v>445</v>
      </c>
      <c r="BA19" t="s">
        <v>850</v>
      </c>
      <c r="BB19" t="s">
        <v>851</v>
      </c>
      <c r="BC19" t="s">
        <v>894</v>
      </c>
      <c r="BD19" t="s">
        <v>126</v>
      </c>
      <c r="BE19" t="s">
        <v>732</v>
      </c>
      <c r="BF19" t="s">
        <v>895</v>
      </c>
      <c r="BG19" t="s">
        <v>896</v>
      </c>
      <c r="BH19" t="s">
        <v>242</v>
      </c>
      <c r="BI19" t="s">
        <v>897</v>
      </c>
      <c r="BJ19" t="s">
        <v>858</v>
      </c>
      <c r="BK19" t="s">
        <v>126</v>
      </c>
      <c r="BL19" t="s">
        <v>859</v>
      </c>
      <c r="BM19" t="s">
        <v>124</v>
      </c>
      <c r="BN19" t="s">
        <v>171</v>
      </c>
      <c r="BO19" t="s">
        <v>171</v>
      </c>
      <c r="BP19" t="s">
        <v>411</v>
      </c>
      <c r="BQ19" t="s">
        <v>898</v>
      </c>
      <c r="BR19" t="s">
        <v>899</v>
      </c>
      <c r="BS19" t="s">
        <v>900</v>
      </c>
      <c r="BT19" t="s">
        <v>124</v>
      </c>
      <c r="BU19" t="s">
        <v>170</v>
      </c>
      <c r="BV19" t="s">
        <v>171</v>
      </c>
      <c r="BW19" t="s">
        <v>172</v>
      </c>
      <c r="BX19" t="s">
        <v>173</v>
      </c>
      <c r="BY19" t="s">
        <v>136</v>
      </c>
      <c r="BZ19" t="s">
        <v>174</v>
      </c>
      <c r="CA19" t="s">
        <v>136</v>
      </c>
      <c r="CB19" t="s">
        <v>136</v>
      </c>
      <c r="CC19" t="s">
        <v>175</v>
      </c>
      <c r="CD19" t="s">
        <v>176</v>
      </c>
      <c r="CE19" t="s">
        <v>161</v>
      </c>
      <c r="CF19" t="s">
        <v>177</v>
      </c>
      <c r="CG19" t="s">
        <v>178</v>
      </c>
      <c r="CH19" t="s">
        <v>179</v>
      </c>
      <c r="CI19" t="s">
        <v>142</v>
      </c>
      <c r="CJ19" t="s">
        <v>172</v>
      </c>
      <c r="CK19" t="s">
        <v>180</v>
      </c>
      <c r="CL19" t="s">
        <v>180</v>
      </c>
      <c r="CM19" t="s">
        <v>180</v>
      </c>
      <c r="CN19" t="s">
        <v>136</v>
      </c>
      <c r="CO19" t="s">
        <v>181</v>
      </c>
      <c r="CP19" t="s">
        <v>136</v>
      </c>
      <c r="CQ19" t="s">
        <v>136</v>
      </c>
      <c r="CR19" t="s">
        <v>136</v>
      </c>
      <c r="CS19" t="s">
        <v>136</v>
      </c>
      <c r="CT19" t="s">
        <v>901</v>
      </c>
      <c r="CU19" t="s">
        <v>902</v>
      </c>
      <c r="CV19" t="s">
        <v>903</v>
      </c>
      <c r="CW19" t="s">
        <v>904</v>
      </c>
      <c r="CX19" t="s">
        <v>905</v>
      </c>
      <c r="CY19" t="s">
        <v>906</v>
      </c>
      <c r="CZ19" t="s">
        <v>907</v>
      </c>
      <c r="DA19" t="s">
        <v>908</v>
      </c>
      <c r="DB19" t="s">
        <v>878</v>
      </c>
      <c r="DC19" t="s">
        <v>669</v>
      </c>
      <c r="DD19" t="s">
        <v>191</v>
      </c>
      <c r="DE19" t="s">
        <v>192</v>
      </c>
      <c r="DF19" t="s">
        <v>142</v>
      </c>
      <c r="DG19" t="s">
        <v>193</v>
      </c>
      <c r="DH19" t="s">
        <v>194</v>
      </c>
      <c r="DI19" t="s">
        <v>142</v>
      </c>
      <c r="DJ19" t="s">
        <v>195</v>
      </c>
      <c r="DK19" t="s">
        <v>196</v>
      </c>
      <c r="DL19" t="s">
        <v>197</v>
      </c>
      <c r="DM19" t="s">
        <v>136</v>
      </c>
      <c r="DN19" t="s">
        <v>877</v>
      </c>
      <c r="DO19" t="s">
        <v>198</v>
      </c>
      <c r="DP19" t="s">
        <v>199</v>
      </c>
      <c r="DQ19" t="s">
        <v>200</v>
      </c>
      <c r="DR19" t="s">
        <v>201</v>
      </c>
      <c r="DS19" t="s">
        <v>202</v>
      </c>
      <c r="DT19" t="s">
        <v>203</v>
      </c>
    </row>
    <row r="20" spans="1:124" x14ac:dyDescent="0.45">
      <c r="A20" t="s">
        <v>224</v>
      </c>
      <c r="B20" t="s">
        <v>909</v>
      </c>
      <c r="C20" t="s">
        <v>126</v>
      </c>
      <c r="D20" t="s">
        <v>127</v>
      </c>
      <c r="E20" t="s">
        <v>128</v>
      </c>
      <c r="H20" t="s">
        <v>910</v>
      </c>
      <c r="I20">
        <v>1</v>
      </c>
      <c r="J20">
        <v>0.11632677205785991</v>
      </c>
      <c r="K20">
        <v>2.9058327199999998</v>
      </c>
      <c r="L20">
        <v>0.1118492062864429</v>
      </c>
      <c r="M20">
        <v>1.828661249612491</v>
      </c>
      <c r="N20" t="s">
        <v>911</v>
      </c>
      <c r="O20" t="s">
        <v>912</v>
      </c>
      <c r="P20">
        <v>3.4959317648587662</v>
      </c>
      <c r="Q20">
        <v>1.614575764858766</v>
      </c>
      <c r="R20" t="s">
        <v>913</v>
      </c>
      <c r="S20" t="s">
        <v>914</v>
      </c>
      <c r="T20">
        <v>34.463049732440517</v>
      </c>
      <c r="U20">
        <v>0.4417875</v>
      </c>
      <c r="V20" t="s">
        <v>134</v>
      </c>
      <c r="W20" t="s">
        <v>915</v>
      </c>
      <c r="X20" t="s">
        <v>136</v>
      </c>
      <c r="Y20" t="s">
        <v>136</v>
      </c>
      <c r="Z20" t="s">
        <v>136</v>
      </c>
      <c r="AA20" t="s">
        <v>916</v>
      </c>
      <c r="AB20" t="s">
        <v>917</v>
      </c>
      <c r="AC20" t="s">
        <v>918</v>
      </c>
      <c r="AD20" t="s">
        <v>140</v>
      </c>
      <c r="AE20" t="s">
        <v>141</v>
      </c>
      <c r="AF20">
        <v>99.922179</v>
      </c>
      <c r="AG20" t="s">
        <v>142</v>
      </c>
      <c r="AH20" t="s">
        <v>919</v>
      </c>
      <c r="AI20" t="s">
        <v>920</v>
      </c>
      <c r="AJ20" t="s">
        <v>921</v>
      </c>
      <c r="AK20" t="s">
        <v>922</v>
      </c>
      <c r="AL20">
        <v>26.6</v>
      </c>
      <c r="AM20" t="s">
        <v>218</v>
      </c>
      <c r="AN20" t="s">
        <v>350</v>
      </c>
      <c r="AO20" t="s">
        <v>923</v>
      </c>
      <c r="AP20" t="s">
        <v>526</v>
      </c>
      <c r="AQ20" t="s">
        <v>724</v>
      </c>
      <c r="AR20" t="s">
        <v>924</v>
      </c>
      <c r="AS20" t="s">
        <v>805</v>
      </c>
      <c r="AT20" t="s">
        <v>646</v>
      </c>
      <c r="AU20" t="s">
        <v>925</v>
      </c>
      <c r="AV20" t="s">
        <v>926</v>
      </c>
      <c r="AW20" t="s">
        <v>927</v>
      </c>
      <c r="AX20" t="s">
        <v>928</v>
      </c>
      <c r="AY20" t="s">
        <v>929</v>
      </c>
      <c r="AZ20" t="s">
        <v>268</v>
      </c>
      <c r="BA20" t="s">
        <v>608</v>
      </c>
      <c r="BB20" t="s">
        <v>609</v>
      </c>
      <c r="BC20" t="s">
        <v>930</v>
      </c>
      <c r="BD20" t="s">
        <v>126</v>
      </c>
      <c r="BE20" t="s">
        <v>931</v>
      </c>
      <c r="BF20" t="s">
        <v>932</v>
      </c>
      <c r="BG20" t="s">
        <v>933</v>
      </c>
      <c r="BH20" t="s">
        <v>614</v>
      </c>
      <c r="BI20" t="s">
        <v>615</v>
      </c>
      <c r="BJ20" t="s">
        <v>162</v>
      </c>
      <c r="BK20" t="s">
        <v>126</v>
      </c>
      <c r="BL20" t="s">
        <v>163</v>
      </c>
      <c r="BM20" t="s">
        <v>124</v>
      </c>
      <c r="BN20" t="s">
        <v>171</v>
      </c>
      <c r="BO20" t="s">
        <v>165</v>
      </c>
      <c r="BP20" t="s">
        <v>411</v>
      </c>
      <c r="BQ20" t="s">
        <v>817</v>
      </c>
      <c r="BR20" t="s">
        <v>458</v>
      </c>
      <c r="BS20" t="s">
        <v>934</v>
      </c>
      <c r="BT20" t="s">
        <v>124</v>
      </c>
      <c r="BU20" t="s">
        <v>170</v>
      </c>
      <c r="BV20" t="s">
        <v>171</v>
      </c>
      <c r="BW20" t="s">
        <v>172</v>
      </c>
      <c r="BX20" t="s">
        <v>173</v>
      </c>
      <c r="BY20" t="s">
        <v>136</v>
      </c>
      <c r="BZ20" t="s">
        <v>174</v>
      </c>
      <c r="CA20" t="s">
        <v>136</v>
      </c>
      <c r="CB20" t="s">
        <v>136</v>
      </c>
      <c r="CC20" t="s">
        <v>175</v>
      </c>
      <c r="CD20" t="s">
        <v>176</v>
      </c>
      <c r="CE20" t="s">
        <v>161</v>
      </c>
      <c r="CF20" t="s">
        <v>177</v>
      </c>
      <c r="CG20" t="s">
        <v>178</v>
      </c>
      <c r="CH20" t="s">
        <v>179</v>
      </c>
      <c r="CI20" t="s">
        <v>142</v>
      </c>
      <c r="CJ20" t="s">
        <v>172</v>
      </c>
      <c r="CK20" t="s">
        <v>180</v>
      </c>
      <c r="CL20" t="s">
        <v>180</v>
      </c>
      <c r="CM20" t="s">
        <v>180</v>
      </c>
      <c r="CN20" t="s">
        <v>136</v>
      </c>
      <c r="CO20" t="s">
        <v>181</v>
      </c>
      <c r="CP20" t="s">
        <v>136</v>
      </c>
      <c r="CQ20" t="s">
        <v>136</v>
      </c>
      <c r="CR20" t="s">
        <v>136</v>
      </c>
      <c r="CS20" t="s">
        <v>136</v>
      </c>
      <c r="CT20" t="s">
        <v>935</v>
      </c>
      <c r="CU20" t="s">
        <v>936</v>
      </c>
      <c r="CV20" t="s">
        <v>937</v>
      </c>
      <c r="CW20" t="s">
        <v>938</v>
      </c>
      <c r="CX20" t="s">
        <v>939</v>
      </c>
      <c r="CY20" t="s">
        <v>940</v>
      </c>
      <c r="CZ20" t="s">
        <v>941</v>
      </c>
      <c r="DA20" t="s">
        <v>942</v>
      </c>
      <c r="DB20" t="s">
        <v>916</v>
      </c>
      <c r="DC20" t="s">
        <v>745</v>
      </c>
      <c r="DD20" t="s">
        <v>191</v>
      </c>
      <c r="DE20" t="s">
        <v>192</v>
      </c>
      <c r="DF20" t="s">
        <v>142</v>
      </c>
      <c r="DG20" t="s">
        <v>193</v>
      </c>
      <c r="DH20" t="s">
        <v>194</v>
      </c>
      <c r="DI20" t="s">
        <v>142</v>
      </c>
      <c r="DJ20" t="s">
        <v>195</v>
      </c>
      <c r="DK20" t="s">
        <v>196</v>
      </c>
      <c r="DL20" t="s">
        <v>197</v>
      </c>
      <c r="DM20" t="s">
        <v>136</v>
      </c>
      <c r="DN20" t="s">
        <v>915</v>
      </c>
      <c r="DO20" t="s">
        <v>198</v>
      </c>
      <c r="DP20" t="s">
        <v>199</v>
      </c>
      <c r="DQ20" t="s">
        <v>200</v>
      </c>
      <c r="DR20" t="s">
        <v>201</v>
      </c>
      <c r="DS20" t="s">
        <v>202</v>
      </c>
      <c r="DT20" t="s">
        <v>203</v>
      </c>
    </row>
    <row r="21" spans="1:124" x14ac:dyDescent="0.45">
      <c r="A21" t="s">
        <v>943</v>
      </c>
      <c r="B21" t="s">
        <v>944</v>
      </c>
      <c r="C21" t="s">
        <v>126</v>
      </c>
      <c r="D21" t="s">
        <v>127</v>
      </c>
      <c r="E21" t="s">
        <v>128</v>
      </c>
      <c r="H21" t="s">
        <v>910</v>
      </c>
      <c r="I21">
        <v>2</v>
      </c>
      <c r="J21">
        <v>8.438400175150125E-2</v>
      </c>
      <c r="K21">
        <v>2.9042299200000001</v>
      </c>
      <c r="L21">
        <v>8.2001405692581658E-2</v>
      </c>
      <c r="M21">
        <v>1.464401391581259</v>
      </c>
      <c r="N21" t="s">
        <v>945</v>
      </c>
      <c r="O21" t="s">
        <v>946</v>
      </c>
      <c r="P21">
        <v>3.644845869401534</v>
      </c>
      <c r="Q21">
        <v>1.7619438694015339</v>
      </c>
      <c r="R21" t="s">
        <v>947</v>
      </c>
      <c r="S21" t="s">
        <v>948</v>
      </c>
      <c r="T21">
        <v>35.934593999817928</v>
      </c>
      <c r="U21">
        <v>0.4417875</v>
      </c>
      <c r="V21" t="s">
        <v>134</v>
      </c>
      <c r="W21" t="s">
        <v>949</v>
      </c>
      <c r="X21" t="s">
        <v>136</v>
      </c>
      <c r="Y21" t="s">
        <v>136</v>
      </c>
      <c r="Z21" t="s">
        <v>136</v>
      </c>
      <c r="AA21" t="s">
        <v>950</v>
      </c>
      <c r="AB21" t="s">
        <v>951</v>
      </c>
      <c r="AC21" t="s">
        <v>952</v>
      </c>
      <c r="AD21" t="s">
        <v>140</v>
      </c>
      <c r="AE21" t="s">
        <v>141</v>
      </c>
      <c r="AF21">
        <v>120.41831424</v>
      </c>
      <c r="AG21" t="s">
        <v>142</v>
      </c>
      <c r="AH21" t="s">
        <v>953</v>
      </c>
      <c r="AI21" t="s">
        <v>954</v>
      </c>
      <c r="AJ21" t="s">
        <v>955</v>
      </c>
      <c r="AK21" t="s">
        <v>956</v>
      </c>
      <c r="AL21">
        <v>27.31</v>
      </c>
      <c r="AM21" t="s">
        <v>256</v>
      </c>
      <c r="AN21" t="s">
        <v>524</v>
      </c>
      <c r="AO21" t="s">
        <v>957</v>
      </c>
      <c r="AP21" t="s">
        <v>958</v>
      </c>
      <c r="AQ21" t="s">
        <v>959</v>
      </c>
      <c r="AR21" t="s">
        <v>603</v>
      </c>
      <c r="AS21" t="s">
        <v>960</v>
      </c>
      <c r="AT21" t="s">
        <v>309</v>
      </c>
      <c r="AU21" t="s">
        <v>961</v>
      </c>
      <c r="AV21" t="s">
        <v>962</v>
      </c>
      <c r="AW21" t="s">
        <v>963</v>
      </c>
      <c r="AX21" t="s">
        <v>964</v>
      </c>
      <c r="AY21" t="s">
        <v>965</v>
      </c>
      <c r="AZ21" t="s">
        <v>268</v>
      </c>
      <c r="BA21" t="s">
        <v>608</v>
      </c>
      <c r="BB21" t="s">
        <v>609</v>
      </c>
      <c r="BC21" t="s">
        <v>966</v>
      </c>
      <c r="BD21" t="s">
        <v>126</v>
      </c>
      <c r="BE21" t="s">
        <v>931</v>
      </c>
      <c r="BF21" t="s">
        <v>967</v>
      </c>
      <c r="BG21" t="s">
        <v>450</v>
      </c>
      <c r="BH21" t="s">
        <v>321</v>
      </c>
      <c r="BI21" t="s">
        <v>968</v>
      </c>
      <c r="BJ21" t="s">
        <v>162</v>
      </c>
      <c r="BK21" t="s">
        <v>126</v>
      </c>
      <c r="BL21" t="s">
        <v>163</v>
      </c>
      <c r="BM21" t="s">
        <v>124</v>
      </c>
      <c r="BN21" t="s">
        <v>228</v>
      </c>
      <c r="BO21" t="s">
        <v>165</v>
      </c>
      <c r="BP21" t="s">
        <v>969</v>
      </c>
      <c r="BQ21" t="s">
        <v>970</v>
      </c>
      <c r="BR21" t="s">
        <v>971</v>
      </c>
      <c r="BS21" t="s">
        <v>969</v>
      </c>
      <c r="BT21" t="s">
        <v>124</v>
      </c>
      <c r="BU21" t="s">
        <v>170</v>
      </c>
      <c r="BV21" t="s">
        <v>171</v>
      </c>
      <c r="BW21" t="s">
        <v>172</v>
      </c>
      <c r="BX21" t="s">
        <v>173</v>
      </c>
      <c r="BY21" t="s">
        <v>136</v>
      </c>
      <c r="BZ21" t="s">
        <v>174</v>
      </c>
      <c r="CA21" t="s">
        <v>136</v>
      </c>
      <c r="CB21" t="s">
        <v>136</v>
      </c>
      <c r="CC21" t="s">
        <v>175</v>
      </c>
      <c r="CD21" t="s">
        <v>176</v>
      </c>
      <c r="CE21" t="s">
        <v>161</v>
      </c>
      <c r="CF21" t="s">
        <v>177</v>
      </c>
      <c r="CG21" t="s">
        <v>178</v>
      </c>
      <c r="CH21" t="s">
        <v>179</v>
      </c>
      <c r="CI21" t="s">
        <v>142</v>
      </c>
      <c r="CJ21" t="s">
        <v>172</v>
      </c>
      <c r="CK21" t="s">
        <v>180</v>
      </c>
      <c r="CL21" t="s">
        <v>180</v>
      </c>
      <c r="CM21" t="s">
        <v>180</v>
      </c>
      <c r="CN21" t="s">
        <v>136</v>
      </c>
      <c r="CO21" t="s">
        <v>181</v>
      </c>
      <c r="CP21" t="s">
        <v>136</v>
      </c>
      <c r="CQ21" t="s">
        <v>136</v>
      </c>
      <c r="CR21" t="s">
        <v>136</v>
      </c>
      <c r="CS21" t="s">
        <v>136</v>
      </c>
      <c r="CT21" t="s">
        <v>972</v>
      </c>
      <c r="CU21" t="s">
        <v>701</v>
      </c>
      <c r="CV21" t="s">
        <v>973</v>
      </c>
      <c r="CW21" t="s">
        <v>974</v>
      </c>
      <c r="CX21" t="s">
        <v>975</v>
      </c>
      <c r="CY21" t="s">
        <v>976</v>
      </c>
      <c r="CZ21" t="s">
        <v>977</v>
      </c>
      <c r="DA21" t="s">
        <v>978</v>
      </c>
      <c r="DB21" t="s">
        <v>950</v>
      </c>
      <c r="DC21" t="s">
        <v>826</v>
      </c>
      <c r="DD21" t="s">
        <v>191</v>
      </c>
      <c r="DE21" t="s">
        <v>192</v>
      </c>
      <c r="DF21" t="s">
        <v>142</v>
      </c>
      <c r="DG21" t="s">
        <v>193</v>
      </c>
      <c r="DH21" t="s">
        <v>194</v>
      </c>
      <c r="DI21" t="s">
        <v>142</v>
      </c>
      <c r="DJ21" t="s">
        <v>195</v>
      </c>
      <c r="DK21" t="s">
        <v>196</v>
      </c>
      <c r="DL21" t="s">
        <v>197</v>
      </c>
      <c r="DM21" t="s">
        <v>136</v>
      </c>
      <c r="DN21" t="s">
        <v>949</v>
      </c>
      <c r="DO21" t="s">
        <v>198</v>
      </c>
      <c r="DP21" t="s">
        <v>199</v>
      </c>
      <c r="DQ21" t="s">
        <v>200</v>
      </c>
      <c r="DR21" t="s">
        <v>201</v>
      </c>
      <c r="DS21" t="s">
        <v>202</v>
      </c>
      <c r="DT21" t="s">
        <v>203</v>
      </c>
    </row>
    <row r="22" spans="1:124" x14ac:dyDescent="0.45">
      <c r="A22" t="s">
        <v>979</v>
      </c>
      <c r="B22" t="s">
        <v>980</v>
      </c>
      <c r="C22" t="s">
        <v>126</v>
      </c>
      <c r="D22" t="s">
        <v>127</v>
      </c>
      <c r="E22" t="s">
        <v>128</v>
      </c>
      <c r="H22" t="s">
        <v>910</v>
      </c>
      <c r="I22">
        <v>3</v>
      </c>
      <c r="J22">
        <v>0.15511703675964719</v>
      </c>
      <c r="K22">
        <v>2.9042299200000001</v>
      </c>
      <c r="L22">
        <v>0.14725218996940981</v>
      </c>
      <c r="M22">
        <v>2.5534890927931801</v>
      </c>
      <c r="N22" t="s">
        <v>981</v>
      </c>
      <c r="O22" t="s">
        <v>982</v>
      </c>
      <c r="P22">
        <v>3.6044629734325402</v>
      </c>
      <c r="Q22">
        <v>1.7108489734325401</v>
      </c>
      <c r="R22" t="s">
        <v>983</v>
      </c>
      <c r="S22" t="s">
        <v>984</v>
      </c>
      <c r="T22">
        <v>35.543466851716197</v>
      </c>
      <c r="U22">
        <v>0.4417875</v>
      </c>
      <c r="V22" t="s">
        <v>134</v>
      </c>
      <c r="W22" t="s">
        <v>985</v>
      </c>
      <c r="X22" t="s">
        <v>136</v>
      </c>
      <c r="Y22" t="s">
        <v>136</v>
      </c>
      <c r="Z22" t="s">
        <v>136</v>
      </c>
      <c r="AA22" t="s">
        <v>986</v>
      </c>
      <c r="AB22" t="s">
        <v>987</v>
      </c>
      <c r="AC22" t="s">
        <v>988</v>
      </c>
      <c r="AD22" t="s">
        <v>140</v>
      </c>
      <c r="AE22" t="s">
        <v>141</v>
      </c>
      <c r="AF22">
        <v>102.94001591999999</v>
      </c>
      <c r="AG22" t="s">
        <v>142</v>
      </c>
      <c r="AH22" t="s">
        <v>989</v>
      </c>
      <c r="AI22" t="s">
        <v>990</v>
      </c>
      <c r="AJ22" t="s">
        <v>991</v>
      </c>
      <c r="AK22" t="s">
        <v>599</v>
      </c>
      <c r="AL22">
        <v>27.12</v>
      </c>
      <c r="AM22" t="s">
        <v>147</v>
      </c>
      <c r="AN22" t="s">
        <v>524</v>
      </c>
      <c r="AO22" t="s">
        <v>992</v>
      </c>
      <c r="AP22" t="s">
        <v>993</v>
      </c>
      <c r="AQ22" t="s">
        <v>994</v>
      </c>
      <c r="AR22" t="s">
        <v>995</v>
      </c>
      <c r="AS22" t="s">
        <v>996</v>
      </c>
      <c r="AT22" t="s">
        <v>997</v>
      </c>
      <c r="AU22" t="s">
        <v>998</v>
      </c>
      <c r="AV22" t="s">
        <v>999</v>
      </c>
      <c r="AW22" t="s">
        <v>1000</v>
      </c>
      <c r="AX22" t="s">
        <v>1001</v>
      </c>
      <c r="AY22" t="s">
        <v>1002</v>
      </c>
      <c r="AZ22" t="s">
        <v>268</v>
      </c>
      <c r="BA22" t="s">
        <v>691</v>
      </c>
      <c r="BB22" t="s">
        <v>692</v>
      </c>
      <c r="BC22" t="s">
        <v>1003</v>
      </c>
      <c r="BD22" t="s">
        <v>126</v>
      </c>
      <c r="BE22" t="s">
        <v>1004</v>
      </c>
      <c r="BF22" t="s">
        <v>1005</v>
      </c>
      <c r="BG22" t="s">
        <v>1006</v>
      </c>
      <c r="BH22" t="s">
        <v>263</v>
      </c>
      <c r="BI22" t="s">
        <v>857</v>
      </c>
      <c r="BJ22" t="s">
        <v>368</v>
      </c>
      <c r="BK22" t="s">
        <v>126</v>
      </c>
      <c r="BL22" t="s">
        <v>369</v>
      </c>
      <c r="BM22" t="s">
        <v>124</v>
      </c>
      <c r="BN22" t="s">
        <v>228</v>
      </c>
      <c r="BO22" t="s">
        <v>164</v>
      </c>
      <c r="BP22" t="s">
        <v>411</v>
      </c>
      <c r="BQ22" t="s">
        <v>1007</v>
      </c>
      <c r="BR22" t="s">
        <v>171</v>
      </c>
      <c r="BS22" t="s">
        <v>1008</v>
      </c>
      <c r="BT22" t="s">
        <v>124</v>
      </c>
      <c r="BU22" t="s">
        <v>170</v>
      </c>
      <c r="BV22" t="s">
        <v>171</v>
      </c>
      <c r="BW22" t="s">
        <v>172</v>
      </c>
      <c r="BX22" t="s">
        <v>173</v>
      </c>
      <c r="BY22" t="s">
        <v>136</v>
      </c>
      <c r="BZ22" t="s">
        <v>174</v>
      </c>
      <c r="CA22" t="s">
        <v>136</v>
      </c>
      <c r="CB22" t="s">
        <v>136</v>
      </c>
      <c r="CC22" t="s">
        <v>175</v>
      </c>
      <c r="CD22" t="s">
        <v>176</v>
      </c>
      <c r="CE22" t="s">
        <v>161</v>
      </c>
      <c r="CF22" t="s">
        <v>177</v>
      </c>
      <c r="CG22" t="s">
        <v>178</v>
      </c>
      <c r="CH22" t="s">
        <v>179</v>
      </c>
      <c r="CI22" t="s">
        <v>142</v>
      </c>
      <c r="CJ22" t="s">
        <v>172</v>
      </c>
      <c r="CK22" t="s">
        <v>180</v>
      </c>
      <c r="CL22" t="s">
        <v>180</v>
      </c>
      <c r="CM22" t="s">
        <v>180</v>
      </c>
      <c r="CN22" t="s">
        <v>136</v>
      </c>
      <c r="CO22" t="s">
        <v>181</v>
      </c>
      <c r="CP22" t="s">
        <v>136</v>
      </c>
      <c r="CQ22" t="s">
        <v>136</v>
      </c>
      <c r="CR22" t="s">
        <v>136</v>
      </c>
      <c r="CS22" t="s">
        <v>136</v>
      </c>
      <c r="CT22" t="s">
        <v>1009</v>
      </c>
      <c r="CU22" t="s">
        <v>864</v>
      </c>
      <c r="CV22" t="s">
        <v>1010</v>
      </c>
      <c r="CW22" t="s">
        <v>1011</v>
      </c>
      <c r="CX22" t="s">
        <v>1012</v>
      </c>
      <c r="CY22" t="s">
        <v>1013</v>
      </c>
      <c r="CZ22" t="s">
        <v>1014</v>
      </c>
      <c r="DA22" t="s">
        <v>1015</v>
      </c>
      <c r="DB22" t="s">
        <v>986</v>
      </c>
      <c r="DC22" t="s">
        <v>467</v>
      </c>
      <c r="DD22" t="s">
        <v>191</v>
      </c>
      <c r="DE22" t="s">
        <v>192</v>
      </c>
      <c r="DF22" t="s">
        <v>142</v>
      </c>
      <c r="DG22" t="s">
        <v>193</v>
      </c>
      <c r="DH22" t="s">
        <v>194</v>
      </c>
      <c r="DI22" t="s">
        <v>142</v>
      </c>
      <c r="DJ22" t="s">
        <v>195</v>
      </c>
      <c r="DK22" t="s">
        <v>196</v>
      </c>
      <c r="DL22" t="s">
        <v>197</v>
      </c>
      <c r="DM22" t="s">
        <v>136</v>
      </c>
      <c r="DN22" t="s">
        <v>985</v>
      </c>
      <c r="DO22" t="s">
        <v>198</v>
      </c>
      <c r="DP22" t="s">
        <v>199</v>
      </c>
      <c r="DQ22" t="s">
        <v>200</v>
      </c>
      <c r="DR22" t="s">
        <v>201</v>
      </c>
      <c r="DS22" t="s">
        <v>202</v>
      </c>
      <c r="DT22" t="s">
        <v>203</v>
      </c>
    </row>
    <row r="23" spans="1:124" x14ac:dyDescent="0.45">
      <c r="A23" t="s">
        <v>1016</v>
      </c>
      <c r="B23" t="s">
        <v>1017</v>
      </c>
      <c r="C23" t="s">
        <v>126</v>
      </c>
      <c r="D23" t="s">
        <v>127</v>
      </c>
      <c r="E23" t="s">
        <v>128</v>
      </c>
      <c r="H23" t="s">
        <v>910</v>
      </c>
      <c r="I23">
        <v>4</v>
      </c>
      <c r="J23">
        <v>0.41376803790680822</v>
      </c>
      <c r="K23">
        <v>2.9058327199999998</v>
      </c>
      <c r="L23">
        <v>0.3621943693608341</v>
      </c>
      <c r="M23">
        <v>5.3905612147834976</v>
      </c>
      <c r="N23" t="s">
        <v>1018</v>
      </c>
      <c r="O23" t="s">
        <v>1019</v>
      </c>
      <c r="P23">
        <v>3.448845008891968</v>
      </c>
      <c r="Q23">
        <v>1.4689220088919679</v>
      </c>
      <c r="R23" t="s">
        <v>1020</v>
      </c>
      <c r="S23" t="s">
        <v>1021</v>
      </c>
      <c r="T23">
        <v>34.00892425689743</v>
      </c>
      <c r="U23">
        <v>0.4417875</v>
      </c>
      <c r="V23" t="s">
        <v>134</v>
      </c>
      <c r="W23" t="s">
        <v>1022</v>
      </c>
      <c r="X23" t="s">
        <v>136</v>
      </c>
      <c r="Y23" t="s">
        <v>136</v>
      </c>
      <c r="Z23" t="s">
        <v>136</v>
      </c>
      <c r="AA23" t="s">
        <v>1023</v>
      </c>
      <c r="AB23" t="s">
        <v>1024</v>
      </c>
      <c r="AC23" t="s">
        <v>1025</v>
      </c>
      <c r="AD23" t="s">
        <v>140</v>
      </c>
      <c r="AE23" t="s">
        <v>141</v>
      </c>
      <c r="AF23">
        <v>102.08163965999999</v>
      </c>
      <c r="AG23" t="s">
        <v>142</v>
      </c>
      <c r="AH23" t="s">
        <v>1026</v>
      </c>
      <c r="AI23" t="s">
        <v>1027</v>
      </c>
      <c r="AJ23" t="s">
        <v>1028</v>
      </c>
      <c r="AK23" t="s">
        <v>1029</v>
      </c>
      <c r="AL23">
        <v>26.37</v>
      </c>
      <c r="AM23" t="s">
        <v>147</v>
      </c>
      <c r="AN23" t="s">
        <v>350</v>
      </c>
      <c r="AO23" t="s">
        <v>1030</v>
      </c>
      <c r="AP23" t="s">
        <v>1031</v>
      </c>
      <c r="AQ23" t="s">
        <v>1032</v>
      </c>
      <c r="AR23" t="s">
        <v>1033</v>
      </c>
      <c r="AS23" t="s">
        <v>1034</v>
      </c>
      <c r="AT23" t="s">
        <v>161</v>
      </c>
      <c r="AU23" t="s">
        <v>1035</v>
      </c>
      <c r="AV23" t="s">
        <v>1036</v>
      </c>
      <c r="AW23" t="s">
        <v>1037</v>
      </c>
      <c r="AX23" t="s">
        <v>1038</v>
      </c>
      <c r="AY23" t="s">
        <v>1039</v>
      </c>
      <c r="AZ23" t="s">
        <v>268</v>
      </c>
      <c r="BA23" t="s">
        <v>1040</v>
      </c>
      <c r="BB23" t="s">
        <v>1041</v>
      </c>
      <c r="BC23" t="s">
        <v>1042</v>
      </c>
      <c r="BD23" t="s">
        <v>126</v>
      </c>
      <c r="BE23" t="s">
        <v>1043</v>
      </c>
      <c r="BF23" t="s">
        <v>1044</v>
      </c>
      <c r="BG23" t="s">
        <v>1045</v>
      </c>
      <c r="BH23" t="s">
        <v>400</v>
      </c>
      <c r="BI23" t="s">
        <v>275</v>
      </c>
      <c r="BJ23" t="s">
        <v>368</v>
      </c>
      <c r="BK23" t="s">
        <v>126</v>
      </c>
      <c r="BL23" t="s">
        <v>369</v>
      </c>
      <c r="BM23" t="s">
        <v>124</v>
      </c>
      <c r="BN23" t="s">
        <v>171</v>
      </c>
      <c r="BO23" t="s">
        <v>228</v>
      </c>
      <c r="BP23" t="s">
        <v>276</v>
      </c>
      <c r="BQ23" t="s">
        <v>1046</v>
      </c>
      <c r="BR23" t="s">
        <v>1047</v>
      </c>
      <c r="BS23" t="s">
        <v>861</v>
      </c>
      <c r="BT23" t="s">
        <v>124</v>
      </c>
      <c r="BU23" t="s">
        <v>170</v>
      </c>
      <c r="BV23" t="s">
        <v>171</v>
      </c>
      <c r="BW23" t="s">
        <v>172</v>
      </c>
      <c r="BX23" t="s">
        <v>173</v>
      </c>
      <c r="BY23" t="s">
        <v>136</v>
      </c>
      <c r="BZ23" t="s">
        <v>174</v>
      </c>
      <c r="CA23" t="s">
        <v>136</v>
      </c>
      <c r="CB23" t="s">
        <v>136</v>
      </c>
      <c r="CC23" t="s">
        <v>175</v>
      </c>
      <c r="CD23" t="s">
        <v>176</v>
      </c>
      <c r="CE23" t="s">
        <v>161</v>
      </c>
      <c r="CF23" t="s">
        <v>177</v>
      </c>
      <c r="CG23" t="s">
        <v>178</v>
      </c>
      <c r="CH23" t="s">
        <v>179</v>
      </c>
      <c r="CI23" t="s">
        <v>142</v>
      </c>
      <c r="CJ23" t="s">
        <v>172</v>
      </c>
      <c r="CK23" t="s">
        <v>180</v>
      </c>
      <c r="CL23" t="s">
        <v>180</v>
      </c>
      <c r="CM23" t="s">
        <v>180</v>
      </c>
      <c r="CN23" t="s">
        <v>136</v>
      </c>
      <c r="CO23" t="s">
        <v>181</v>
      </c>
      <c r="CP23" t="s">
        <v>136</v>
      </c>
      <c r="CQ23" t="s">
        <v>136</v>
      </c>
      <c r="CR23" t="s">
        <v>136</v>
      </c>
      <c r="CS23" t="s">
        <v>136</v>
      </c>
      <c r="CT23" t="s">
        <v>1048</v>
      </c>
      <c r="CU23" t="s">
        <v>1049</v>
      </c>
      <c r="CV23" t="s">
        <v>1050</v>
      </c>
      <c r="CW23" t="s">
        <v>1051</v>
      </c>
      <c r="CX23" t="s">
        <v>1052</v>
      </c>
      <c r="CY23" t="s">
        <v>1053</v>
      </c>
      <c r="CZ23" t="s">
        <v>1054</v>
      </c>
      <c r="DA23" t="s">
        <v>1055</v>
      </c>
      <c r="DB23" t="s">
        <v>1023</v>
      </c>
      <c r="DC23" t="s">
        <v>467</v>
      </c>
      <c r="DD23" t="s">
        <v>191</v>
      </c>
      <c r="DE23" t="s">
        <v>192</v>
      </c>
      <c r="DF23" t="s">
        <v>142</v>
      </c>
      <c r="DG23" t="s">
        <v>193</v>
      </c>
      <c r="DH23" t="s">
        <v>194</v>
      </c>
      <c r="DI23" t="s">
        <v>142</v>
      </c>
      <c r="DJ23" t="s">
        <v>195</v>
      </c>
      <c r="DK23" t="s">
        <v>196</v>
      </c>
      <c r="DL23" t="s">
        <v>197</v>
      </c>
      <c r="DM23" t="s">
        <v>136</v>
      </c>
      <c r="DN23" t="s">
        <v>1022</v>
      </c>
      <c r="DO23" t="s">
        <v>198</v>
      </c>
      <c r="DP23" t="s">
        <v>199</v>
      </c>
      <c r="DQ23" t="s">
        <v>200</v>
      </c>
      <c r="DR23" t="s">
        <v>201</v>
      </c>
      <c r="DS23" t="s">
        <v>202</v>
      </c>
      <c r="DT23" t="s">
        <v>203</v>
      </c>
    </row>
    <row r="24" spans="1:124" x14ac:dyDescent="0.45">
      <c r="A24" t="s">
        <v>1056</v>
      </c>
      <c r="B24" t="s">
        <v>1057</v>
      </c>
      <c r="C24" t="s">
        <v>126</v>
      </c>
      <c r="D24" t="s">
        <v>127</v>
      </c>
      <c r="E24" t="s">
        <v>128</v>
      </c>
      <c r="H24" t="s">
        <v>910</v>
      </c>
      <c r="I24">
        <v>5</v>
      </c>
      <c r="J24">
        <v>0.5799314718202514</v>
      </c>
      <c r="K24">
        <v>2.9058327199999998</v>
      </c>
      <c r="L24">
        <v>0.48344746042417991</v>
      </c>
      <c r="M24">
        <v>6.3829078096484384</v>
      </c>
      <c r="N24" t="s">
        <v>1058</v>
      </c>
      <c r="O24" t="s">
        <v>1059</v>
      </c>
      <c r="P24">
        <v>3.348388892893543</v>
      </c>
      <c r="Q24">
        <v>1.3032408928935431</v>
      </c>
      <c r="R24" t="s">
        <v>1060</v>
      </c>
      <c r="S24" t="s">
        <v>1061</v>
      </c>
      <c r="T24">
        <v>33.018330469318052</v>
      </c>
      <c r="U24">
        <v>0.4417875</v>
      </c>
      <c r="V24" t="s">
        <v>134</v>
      </c>
      <c r="W24" t="s">
        <v>1062</v>
      </c>
      <c r="X24" t="s">
        <v>136</v>
      </c>
      <c r="Y24" t="s">
        <v>136</v>
      </c>
      <c r="Z24" t="s">
        <v>136</v>
      </c>
      <c r="AA24" t="s">
        <v>1063</v>
      </c>
      <c r="AB24" t="s">
        <v>1064</v>
      </c>
      <c r="AC24" t="s">
        <v>1065</v>
      </c>
      <c r="AD24" t="s">
        <v>140</v>
      </c>
      <c r="AE24" t="s">
        <v>141</v>
      </c>
      <c r="AF24">
        <v>98.583454200000006</v>
      </c>
      <c r="AG24" t="s">
        <v>142</v>
      </c>
      <c r="AH24" t="s">
        <v>1066</v>
      </c>
      <c r="AI24" t="s">
        <v>1067</v>
      </c>
      <c r="AJ24" t="s">
        <v>1068</v>
      </c>
      <c r="AK24" t="s">
        <v>1069</v>
      </c>
      <c r="AL24">
        <v>25.87</v>
      </c>
      <c r="AM24" t="s">
        <v>147</v>
      </c>
      <c r="AN24" t="s">
        <v>350</v>
      </c>
      <c r="AO24" t="s">
        <v>1070</v>
      </c>
      <c r="AP24" t="s">
        <v>1071</v>
      </c>
      <c r="AQ24" t="s">
        <v>151</v>
      </c>
      <c r="AR24" t="s">
        <v>924</v>
      </c>
      <c r="AS24" t="s">
        <v>261</v>
      </c>
      <c r="AT24" t="s">
        <v>124</v>
      </c>
      <c r="AU24" t="s">
        <v>1072</v>
      </c>
      <c r="AV24" t="s">
        <v>1073</v>
      </c>
      <c r="AW24" t="s">
        <v>1074</v>
      </c>
      <c r="AX24" t="s">
        <v>1075</v>
      </c>
      <c r="AY24" t="s">
        <v>1076</v>
      </c>
      <c r="AZ24" t="s">
        <v>268</v>
      </c>
      <c r="BA24" t="s">
        <v>768</v>
      </c>
      <c r="BB24" t="s">
        <v>769</v>
      </c>
      <c r="BC24" t="s">
        <v>1077</v>
      </c>
      <c r="BD24" t="s">
        <v>126</v>
      </c>
      <c r="BE24" t="s">
        <v>1078</v>
      </c>
      <c r="BF24" t="s">
        <v>408</v>
      </c>
      <c r="BG24" t="s">
        <v>1079</v>
      </c>
      <c r="BH24" t="s">
        <v>242</v>
      </c>
      <c r="BI24" t="s">
        <v>1080</v>
      </c>
      <c r="BJ24" t="s">
        <v>368</v>
      </c>
      <c r="BK24" t="s">
        <v>126</v>
      </c>
      <c r="BL24" t="s">
        <v>369</v>
      </c>
      <c r="BM24" t="s">
        <v>124</v>
      </c>
      <c r="BN24" t="s">
        <v>412</v>
      </c>
      <c r="BO24" t="s">
        <v>164</v>
      </c>
      <c r="BP24" t="s">
        <v>455</v>
      </c>
      <c r="BQ24" t="s">
        <v>1081</v>
      </c>
      <c r="BR24" t="s">
        <v>1082</v>
      </c>
      <c r="BS24" t="s">
        <v>1083</v>
      </c>
      <c r="BT24" t="s">
        <v>124</v>
      </c>
      <c r="BU24" t="s">
        <v>170</v>
      </c>
      <c r="BV24" t="s">
        <v>171</v>
      </c>
      <c r="BW24" t="s">
        <v>172</v>
      </c>
      <c r="BX24" t="s">
        <v>173</v>
      </c>
      <c r="BY24" t="s">
        <v>136</v>
      </c>
      <c r="BZ24" t="s">
        <v>174</v>
      </c>
      <c r="CA24" t="s">
        <v>136</v>
      </c>
      <c r="CB24" t="s">
        <v>136</v>
      </c>
      <c r="CC24" t="s">
        <v>175</v>
      </c>
      <c r="CD24" t="s">
        <v>176</v>
      </c>
      <c r="CE24" t="s">
        <v>161</v>
      </c>
      <c r="CF24" t="s">
        <v>177</v>
      </c>
      <c r="CG24" t="s">
        <v>178</v>
      </c>
      <c r="CH24" t="s">
        <v>179</v>
      </c>
      <c r="CI24" t="s">
        <v>142</v>
      </c>
      <c r="CJ24" t="s">
        <v>172</v>
      </c>
      <c r="CK24" t="s">
        <v>180</v>
      </c>
      <c r="CL24" t="s">
        <v>180</v>
      </c>
      <c r="CM24" t="s">
        <v>180</v>
      </c>
      <c r="CN24" t="s">
        <v>136</v>
      </c>
      <c r="CO24" t="s">
        <v>181</v>
      </c>
      <c r="CP24" t="s">
        <v>136</v>
      </c>
      <c r="CQ24" t="s">
        <v>136</v>
      </c>
      <c r="CR24" t="s">
        <v>136</v>
      </c>
      <c r="CS24" t="s">
        <v>136</v>
      </c>
      <c r="CT24" t="s">
        <v>1084</v>
      </c>
      <c r="CU24" t="s">
        <v>1085</v>
      </c>
      <c r="CV24" t="s">
        <v>1086</v>
      </c>
      <c r="CW24" t="s">
        <v>1087</v>
      </c>
      <c r="CX24" t="s">
        <v>1088</v>
      </c>
      <c r="CY24" t="s">
        <v>1089</v>
      </c>
      <c r="CZ24" t="s">
        <v>1090</v>
      </c>
      <c r="DA24" t="s">
        <v>1091</v>
      </c>
      <c r="DB24" t="s">
        <v>1063</v>
      </c>
      <c r="DC24" t="s">
        <v>381</v>
      </c>
      <c r="DD24" t="s">
        <v>191</v>
      </c>
      <c r="DE24" t="s">
        <v>192</v>
      </c>
      <c r="DF24" t="s">
        <v>142</v>
      </c>
      <c r="DG24" t="s">
        <v>193</v>
      </c>
      <c r="DH24" t="s">
        <v>194</v>
      </c>
      <c r="DI24" t="s">
        <v>142</v>
      </c>
      <c r="DJ24" t="s">
        <v>195</v>
      </c>
      <c r="DK24" t="s">
        <v>196</v>
      </c>
      <c r="DL24" t="s">
        <v>197</v>
      </c>
      <c r="DM24" t="s">
        <v>136</v>
      </c>
      <c r="DN24" t="s">
        <v>1062</v>
      </c>
      <c r="DO24" t="s">
        <v>198</v>
      </c>
      <c r="DP24" t="s">
        <v>199</v>
      </c>
      <c r="DQ24" t="s">
        <v>200</v>
      </c>
      <c r="DR24" t="s">
        <v>201</v>
      </c>
      <c r="DS24" t="s">
        <v>202</v>
      </c>
      <c r="DT24" t="s">
        <v>203</v>
      </c>
    </row>
    <row r="25" spans="1:124" x14ac:dyDescent="0.45">
      <c r="A25" t="s">
        <v>1092</v>
      </c>
      <c r="B25" t="s">
        <v>1093</v>
      </c>
      <c r="C25" t="s">
        <v>126</v>
      </c>
      <c r="D25" t="s">
        <v>127</v>
      </c>
      <c r="E25" t="s">
        <v>128</v>
      </c>
      <c r="H25" t="s">
        <v>910</v>
      </c>
      <c r="I25">
        <v>6</v>
      </c>
      <c r="J25">
        <v>0.40243140428067747</v>
      </c>
      <c r="K25">
        <v>2.9058327199999998</v>
      </c>
      <c r="L25">
        <v>0.35347792624284657</v>
      </c>
      <c r="M25">
        <v>5.0849071471965974</v>
      </c>
      <c r="N25" t="s">
        <v>1094</v>
      </c>
      <c r="O25" t="s">
        <v>1095</v>
      </c>
      <c r="P25">
        <v>3.4305710741675228</v>
      </c>
      <c r="Q25">
        <v>1.4196260741675231</v>
      </c>
      <c r="R25" t="s">
        <v>1096</v>
      </c>
      <c r="S25" t="s">
        <v>1097</v>
      </c>
      <c r="T25">
        <v>33.828725709175863</v>
      </c>
      <c r="U25">
        <v>0.4417875</v>
      </c>
      <c r="V25" t="s">
        <v>134</v>
      </c>
      <c r="W25" t="s">
        <v>1098</v>
      </c>
      <c r="X25" t="s">
        <v>136</v>
      </c>
      <c r="Y25" t="s">
        <v>136</v>
      </c>
      <c r="Z25" t="s">
        <v>136</v>
      </c>
      <c r="AA25" t="s">
        <v>1099</v>
      </c>
      <c r="AB25" t="s">
        <v>1100</v>
      </c>
      <c r="AC25" t="s">
        <v>1101</v>
      </c>
      <c r="AD25" t="s">
        <v>140</v>
      </c>
      <c r="AE25" t="s">
        <v>141</v>
      </c>
      <c r="AF25">
        <v>97.157188799999986</v>
      </c>
      <c r="AG25" t="s">
        <v>142</v>
      </c>
      <c r="AH25" t="s">
        <v>1102</v>
      </c>
      <c r="AI25" t="s">
        <v>1067</v>
      </c>
      <c r="AJ25" t="s">
        <v>1103</v>
      </c>
      <c r="AK25" t="s">
        <v>1104</v>
      </c>
      <c r="AL25">
        <v>26.28</v>
      </c>
      <c r="AM25" t="s">
        <v>147</v>
      </c>
      <c r="AN25" t="s">
        <v>350</v>
      </c>
      <c r="AO25" t="s">
        <v>1105</v>
      </c>
      <c r="AP25" t="s">
        <v>1106</v>
      </c>
      <c r="AQ25" t="s">
        <v>151</v>
      </c>
      <c r="AR25" t="s">
        <v>1107</v>
      </c>
      <c r="AS25" t="s">
        <v>1108</v>
      </c>
      <c r="AT25" t="s">
        <v>943</v>
      </c>
      <c r="AU25" t="s">
        <v>628</v>
      </c>
      <c r="AV25" t="s">
        <v>1109</v>
      </c>
      <c r="AW25" t="s">
        <v>1110</v>
      </c>
      <c r="AX25" t="s">
        <v>1111</v>
      </c>
      <c r="AY25" t="s">
        <v>1112</v>
      </c>
      <c r="AZ25" t="s">
        <v>268</v>
      </c>
      <c r="BA25" t="s">
        <v>1113</v>
      </c>
      <c r="BB25" t="s">
        <v>1114</v>
      </c>
      <c r="BC25" t="s">
        <v>1115</v>
      </c>
      <c r="BD25" t="s">
        <v>126</v>
      </c>
      <c r="BE25" t="s">
        <v>1116</v>
      </c>
      <c r="BF25" t="s">
        <v>932</v>
      </c>
      <c r="BG25" t="s">
        <v>1117</v>
      </c>
      <c r="BH25" t="s">
        <v>628</v>
      </c>
      <c r="BI25" t="s">
        <v>452</v>
      </c>
      <c r="BJ25" t="s">
        <v>453</v>
      </c>
      <c r="BK25" t="s">
        <v>126</v>
      </c>
      <c r="BL25" t="s">
        <v>454</v>
      </c>
      <c r="BM25" t="s">
        <v>124</v>
      </c>
      <c r="BN25" t="s">
        <v>171</v>
      </c>
      <c r="BO25" t="s">
        <v>164</v>
      </c>
      <c r="BP25" t="s">
        <v>411</v>
      </c>
      <c r="BQ25" t="s">
        <v>1118</v>
      </c>
      <c r="BR25" t="s">
        <v>1119</v>
      </c>
      <c r="BS25" t="s">
        <v>1120</v>
      </c>
      <c r="BT25" t="s">
        <v>124</v>
      </c>
      <c r="BU25" t="s">
        <v>170</v>
      </c>
      <c r="BV25" t="s">
        <v>171</v>
      </c>
      <c r="BW25" t="s">
        <v>172</v>
      </c>
      <c r="BX25" t="s">
        <v>173</v>
      </c>
      <c r="BY25" t="s">
        <v>136</v>
      </c>
      <c r="BZ25" t="s">
        <v>174</v>
      </c>
      <c r="CA25" t="s">
        <v>136</v>
      </c>
      <c r="CB25" t="s">
        <v>136</v>
      </c>
      <c r="CC25" t="s">
        <v>175</v>
      </c>
      <c r="CD25" t="s">
        <v>176</v>
      </c>
      <c r="CE25" t="s">
        <v>161</v>
      </c>
      <c r="CF25" t="s">
        <v>177</v>
      </c>
      <c r="CG25" t="s">
        <v>178</v>
      </c>
      <c r="CH25" t="s">
        <v>179</v>
      </c>
      <c r="CI25" t="s">
        <v>142</v>
      </c>
      <c r="CJ25" t="s">
        <v>172</v>
      </c>
      <c r="CK25" t="s">
        <v>180</v>
      </c>
      <c r="CL25" t="s">
        <v>180</v>
      </c>
      <c r="CM25" t="s">
        <v>180</v>
      </c>
      <c r="CN25" t="s">
        <v>136</v>
      </c>
      <c r="CO25" t="s">
        <v>181</v>
      </c>
      <c r="CP25" t="s">
        <v>136</v>
      </c>
      <c r="CQ25" t="s">
        <v>136</v>
      </c>
      <c r="CR25" t="s">
        <v>136</v>
      </c>
      <c r="CS25" t="s">
        <v>136</v>
      </c>
      <c r="CT25" t="s">
        <v>1121</v>
      </c>
      <c r="CU25" t="s">
        <v>1122</v>
      </c>
      <c r="CV25" t="s">
        <v>1123</v>
      </c>
      <c r="CW25" t="s">
        <v>1124</v>
      </c>
      <c r="CX25" t="s">
        <v>1125</v>
      </c>
      <c r="CY25" t="s">
        <v>1126</v>
      </c>
      <c r="CZ25" t="s">
        <v>1127</v>
      </c>
      <c r="DA25" t="s">
        <v>1128</v>
      </c>
      <c r="DB25" t="s">
        <v>1099</v>
      </c>
      <c r="DC25" t="s">
        <v>381</v>
      </c>
      <c r="DD25" t="s">
        <v>191</v>
      </c>
      <c r="DE25" t="s">
        <v>192</v>
      </c>
      <c r="DF25" t="s">
        <v>142</v>
      </c>
      <c r="DG25" t="s">
        <v>193</v>
      </c>
      <c r="DH25" t="s">
        <v>194</v>
      </c>
      <c r="DI25" t="s">
        <v>142</v>
      </c>
      <c r="DJ25" t="s">
        <v>195</v>
      </c>
      <c r="DK25" t="s">
        <v>196</v>
      </c>
      <c r="DL25" t="s">
        <v>197</v>
      </c>
      <c r="DM25" t="s">
        <v>136</v>
      </c>
      <c r="DN25" t="s">
        <v>1098</v>
      </c>
      <c r="DO25" t="s">
        <v>198</v>
      </c>
      <c r="DP25" t="s">
        <v>199</v>
      </c>
      <c r="DQ25" t="s">
        <v>200</v>
      </c>
      <c r="DR25" t="s">
        <v>201</v>
      </c>
      <c r="DS25" t="s">
        <v>202</v>
      </c>
      <c r="DT25" t="s">
        <v>203</v>
      </c>
    </row>
    <row r="26" spans="1:124" x14ac:dyDescent="0.45">
      <c r="A26" t="s">
        <v>1129</v>
      </c>
      <c r="B26" t="s">
        <v>1130</v>
      </c>
      <c r="C26" t="s">
        <v>126</v>
      </c>
      <c r="D26" t="s">
        <v>127</v>
      </c>
      <c r="E26" t="s">
        <v>128</v>
      </c>
      <c r="H26" t="s">
        <v>910</v>
      </c>
      <c r="I26">
        <v>7</v>
      </c>
      <c r="J26">
        <v>0.44853935711976561</v>
      </c>
      <c r="K26">
        <v>2.9058327199999998</v>
      </c>
      <c r="L26">
        <v>0.38856164735473481</v>
      </c>
      <c r="M26">
        <v>5.4000619088491106</v>
      </c>
      <c r="N26" t="s">
        <v>1131</v>
      </c>
      <c r="O26" t="s">
        <v>1132</v>
      </c>
      <c r="P26">
        <v>3.3802530638605148</v>
      </c>
      <c r="Q26">
        <v>1.372758063860515</v>
      </c>
      <c r="R26" t="s">
        <v>1133</v>
      </c>
      <c r="S26" t="s">
        <v>1134</v>
      </c>
      <c r="T26">
        <v>33.312832008086282</v>
      </c>
      <c r="U26">
        <v>0.4417875</v>
      </c>
      <c r="V26" t="s">
        <v>134</v>
      </c>
      <c r="W26" t="s">
        <v>1135</v>
      </c>
      <c r="X26" t="s">
        <v>136</v>
      </c>
      <c r="Y26" t="s">
        <v>136</v>
      </c>
      <c r="Z26" t="s">
        <v>136</v>
      </c>
      <c r="AA26" t="s">
        <v>1136</v>
      </c>
      <c r="AB26" t="s">
        <v>1137</v>
      </c>
      <c r="AC26" t="s">
        <v>1138</v>
      </c>
      <c r="AD26" t="s">
        <v>140</v>
      </c>
      <c r="AE26" t="s">
        <v>141</v>
      </c>
      <c r="AF26">
        <v>38.152001159999998</v>
      </c>
      <c r="AG26" t="s">
        <v>142</v>
      </c>
      <c r="AH26" t="s">
        <v>1139</v>
      </c>
      <c r="AI26" t="s">
        <v>1140</v>
      </c>
      <c r="AJ26" t="s">
        <v>1068</v>
      </c>
      <c r="AK26" t="s">
        <v>1141</v>
      </c>
      <c r="AL26">
        <v>26.03</v>
      </c>
      <c r="AM26" t="s">
        <v>799</v>
      </c>
      <c r="AN26" t="s">
        <v>350</v>
      </c>
      <c r="AO26" t="s">
        <v>1142</v>
      </c>
      <c r="AP26" t="s">
        <v>352</v>
      </c>
      <c r="AQ26" t="s">
        <v>1143</v>
      </c>
      <c r="AR26" t="s">
        <v>1144</v>
      </c>
      <c r="AS26" t="s">
        <v>804</v>
      </c>
      <c r="AT26" t="s">
        <v>355</v>
      </c>
      <c r="AU26" t="s">
        <v>527</v>
      </c>
      <c r="AV26" t="s">
        <v>1145</v>
      </c>
      <c r="AW26" t="s">
        <v>1146</v>
      </c>
      <c r="AX26" t="s">
        <v>1147</v>
      </c>
      <c r="AY26" t="s">
        <v>1148</v>
      </c>
      <c r="AZ26" t="s">
        <v>445</v>
      </c>
      <c r="BA26" t="s">
        <v>1149</v>
      </c>
      <c r="BB26" t="s">
        <v>1150</v>
      </c>
      <c r="BC26" t="s">
        <v>1151</v>
      </c>
      <c r="BD26" t="s">
        <v>126</v>
      </c>
      <c r="BE26" t="s">
        <v>1116</v>
      </c>
      <c r="BF26" t="s">
        <v>408</v>
      </c>
      <c r="BG26" t="s">
        <v>1152</v>
      </c>
      <c r="BH26" t="s">
        <v>628</v>
      </c>
      <c r="BI26" t="s">
        <v>1153</v>
      </c>
      <c r="BJ26" t="s">
        <v>858</v>
      </c>
      <c r="BK26" t="s">
        <v>126</v>
      </c>
      <c r="BL26" t="s">
        <v>859</v>
      </c>
      <c r="BM26" t="s">
        <v>124</v>
      </c>
      <c r="BN26" t="s">
        <v>164</v>
      </c>
      <c r="BO26" t="s">
        <v>165</v>
      </c>
      <c r="BP26" t="s">
        <v>166</v>
      </c>
      <c r="BQ26" t="s">
        <v>1154</v>
      </c>
      <c r="BR26" t="s">
        <v>1155</v>
      </c>
      <c r="BS26" t="s">
        <v>1156</v>
      </c>
      <c r="BT26" t="s">
        <v>124</v>
      </c>
      <c r="BU26" t="s">
        <v>170</v>
      </c>
      <c r="BV26" t="s">
        <v>171</v>
      </c>
      <c r="BW26" t="s">
        <v>172</v>
      </c>
      <c r="BX26" t="s">
        <v>173</v>
      </c>
      <c r="BY26" t="s">
        <v>136</v>
      </c>
      <c r="BZ26" t="s">
        <v>174</v>
      </c>
      <c r="CA26" t="s">
        <v>136</v>
      </c>
      <c r="CB26" t="s">
        <v>136</v>
      </c>
      <c r="CC26" t="s">
        <v>175</v>
      </c>
      <c r="CD26" t="s">
        <v>176</v>
      </c>
      <c r="CE26" t="s">
        <v>161</v>
      </c>
      <c r="CF26" t="s">
        <v>177</v>
      </c>
      <c r="CG26" t="s">
        <v>178</v>
      </c>
      <c r="CH26" t="s">
        <v>179</v>
      </c>
      <c r="CI26" t="s">
        <v>142</v>
      </c>
      <c r="CJ26" t="s">
        <v>172</v>
      </c>
      <c r="CK26" t="s">
        <v>180</v>
      </c>
      <c r="CL26" t="s">
        <v>180</v>
      </c>
      <c r="CM26" t="s">
        <v>180</v>
      </c>
      <c r="CN26" t="s">
        <v>136</v>
      </c>
      <c r="CO26" t="s">
        <v>181</v>
      </c>
      <c r="CP26" t="s">
        <v>136</v>
      </c>
      <c r="CQ26" t="s">
        <v>136</v>
      </c>
      <c r="CR26" t="s">
        <v>136</v>
      </c>
      <c r="CS26" t="s">
        <v>136</v>
      </c>
      <c r="CT26" t="s">
        <v>1157</v>
      </c>
      <c r="CU26" t="s">
        <v>1158</v>
      </c>
      <c r="CV26" t="s">
        <v>1159</v>
      </c>
      <c r="CW26" t="s">
        <v>1160</v>
      </c>
      <c r="CX26" t="s">
        <v>1088</v>
      </c>
      <c r="CY26" t="s">
        <v>1161</v>
      </c>
      <c r="CZ26" t="s">
        <v>1162</v>
      </c>
      <c r="DA26" t="s">
        <v>1163</v>
      </c>
      <c r="DB26" t="s">
        <v>1136</v>
      </c>
      <c r="DC26" t="s">
        <v>745</v>
      </c>
      <c r="DD26" t="s">
        <v>191</v>
      </c>
      <c r="DE26" t="s">
        <v>192</v>
      </c>
      <c r="DF26" t="s">
        <v>142</v>
      </c>
      <c r="DG26" t="s">
        <v>193</v>
      </c>
      <c r="DH26" t="s">
        <v>194</v>
      </c>
      <c r="DI26" t="s">
        <v>142</v>
      </c>
      <c r="DJ26" t="s">
        <v>195</v>
      </c>
      <c r="DK26" t="s">
        <v>196</v>
      </c>
      <c r="DL26" t="s">
        <v>197</v>
      </c>
      <c r="DM26" t="s">
        <v>136</v>
      </c>
      <c r="DN26" t="s">
        <v>1135</v>
      </c>
      <c r="DO26" t="s">
        <v>198</v>
      </c>
      <c r="DP26" t="s">
        <v>199</v>
      </c>
      <c r="DQ26" t="s">
        <v>200</v>
      </c>
      <c r="DR26" t="s">
        <v>201</v>
      </c>
      <c r="DS26" t="s">
        <v>202</v>
      </c>
      <c r="DT26" t="s">
        <v>203</v>
      </c>
    </row>
    <row r="27" spans="1:124" x14ac:dyDescent="0.45">
      <c r="A27" t="s">
        <v>1164</v>
      </c>
      <c r="B27" t="s">
        <v>1165</v>
      </c>
      <c r="C27" t="s">
        <v>126</v>
      </c>
      <c r="D27" t="s">
        <v>127</v>
      </c>
      <c r="E27" t="s">
        <v>128</v>
      </c>
      <c r="H27" t="s">
        <v>910</v>
      </c>
      <c r="I27">
        <v>8</v>
      </c>
      <c r="J27">
        <v>0.27273903188029558</v>
      </c>
      <c r="K27">
        <v>2.9058327199999998</v>
      </c>
      <c r="L27">
        <v>0.24933651486396671</v>
      </c>
      <c r="M27">
        <v>3.8388570051804121</v>
      </c>
      <c r="N27" t="s">
        <v>1166</v>
      </c>
      <c r="O27" t="s">
        <v>1167</v>
      </c>
      <c r="P27">
        <v>3.4672038869763702</v>
      </c>
      <c r="Q27">
        <v>1.5205518869763699</v>
      </c>
      <c r="R27" t="s">
        <v>1168</v>
      </c>
      <c r="S27" t="s">
        <v>1169</v>
      </c>
      <c r="T27">
        <v>34.169743638280963</v>
      </c>
      <c r="U27">
        <v>0.4417875</v>
      </c>
      <c r="V27" t="s">
        <v>134</v>
      </c>
      <c r="W27" t="s">
        <v>1170</v>
      </c>
      <c r="X27" t="s">
        <v>136</v>
      </c>
      <c r="Y27" t="s">
        <v>136</v>
      </c>
      <c r="Z27" t="s">
        <v>136</v>
      </c>
      <c r="AA27" t="s">
        <v>1171</v>
      </c>
      <c r="AB27" t="s">
        <v>1172</v>
      </c>
      <c r="AC27" t="s">
        <v>1173</v>
      </c>
      <c r="AD27" t="s">
        <v>140</v>
      </c>
      <c r="AE27" t="s">
        <v>141</v>
      </c>
      <c r="AF27">
        <v>36.625736279999998</v>
      </c>
      <c r="AG27" t="s">
        <v>142</v>
      </c>
      <c r="AH27" t="s">
        <v>1174</v>
      </c>
      <c r="AI27" t="s">
        <v>1175</v>
      </c>
      <c r="AJ27" t="s">
        <v>721</v>
      </c>
      <c r="AK27" t="s">
        <v>1176</v>
      </c>
      <c r="AL27">
        <v>26.46</v>
      </c>
      <c r="AM27" t="s">
        <v>799</v>
      </c>
      <c r="AN27" t="s">
        <v>350</v>
      </c>
      <c r="AO27" t="s">
        <v>1177</v>
      </c>
      <c r="AP27" t="s">
        <v>1178</v>
      </c>
      <c r="AQ27" t="s">
        <v>1179</v>
      </c>
      <c r="AR27" t="s">
        <v>1180</v>
      </c>
      <c r="AS27" t="s">
        <v>262</v>
      </c>
      <c r="AT27" t="s">
        <v>309</v>
      </c>
      <c r="AU27" t="s">
        <v>1181</v>
      </c>
      <c r="AV27" t="s">
        <v>1182</v>
      </c>
      <c r="AW27" t="s">
        <v>1183</v>
      </c>
      <c r="AX27" t="s">
        <v>313</v>
      </c>
      <c r="AY27" t="s">
        <v>1184</v>
      </c>
      <c r="AZ27" t="s">
        <v>445</v>
      </c>
      <c r="BA27" t="s">
        <v>1185</v>
      </c>
      <c r="BB27" t="s">
        <v>1186</v>
      </c>
      <c r="BC27" t="s">
        <v>1187</v>
      </c>
      <c r="BD27" t="s">
        <v>126</v>
      </c>
      <c r="BE27" t="s">
        <v>1188</v>
      </c>
      <c r="BF27" t="s">
        <v>319</v>
      </c>
      <c r="BG27" t="s">
        <v>1189</v>
      </c>
      <c r="BH27" t="s">
        <v>628</v>
      </c>
      <c r="BI27" t="s">
        <v>1190</v>
      </c>
      <c r="BJ27" t="s">
        <v>858</v>
      </c>
      <c r="BK27" t="s">
        <v>126</v>
      </c>
      <c r="BL27" t="s">
        <v>859</v>
      </c>
      <c r="BM27" t="s">
        <v>124</v>
      </c>
      <c r="BN27" t="s">
        <v>228</v>
      </c>
      <c r="BO27" t="s">
        <v>165</v>
      </c>
      <c r="BP27" t="s">
        <v>276</v>
      </c>
      <c r="BQ27" t="s">
        <v>1191</v>
      </c>
      <c r="BR27" t="s">
        <v>1192</v>
      </c>
      <c r="BS27" t="s">
        <v>1193</v>
      </c>
      <c r="BT27" t="s">
        <v>124</v>
      </c>
      <c r="BU27" t="s">
        <v>170</v>
      </c>
      <c r="BV27" t="s">
        <v>171</v>
      </c>
      <c r="BW27" t="s">
        <v>172</v>
      </c>
      <c r="BX27" t="s">
        <v>173</v>
      </c>
      <c r="BY27" t="s">
        <v>136</v>
      </c>
      <c r="BZ27" t="s">
        <v>174</v>
      </c>
      <c r="CA27" t="s">
        <v>136</v>
      </c>
      <c r="CB27" t="s">
        <v>136</v>
      </c>
      <c r="CC27" t="s">
        <v>175</v>
      </c>
      <c r="CD27" t="s">
        <v>176</v>
      </c>
      <c r="CE27" t="s">
        <v>161</v>
      </c>
      <c r="CF27" t="s">
        <v>177</v>
      </c>
      <c r="CG27" t="s">
        <v>178</v>
      </c>
      <c r="CH27" t="s">
        <v>179</v>
      </c>
      <c r="CI27" t="s">
        <v>142</v>
      </c>
      <c r="CJ27" t="s">
        <v>172</v>
      </c>
      <c r="CK27" t="s">
        <v>180</v>
      </c>
      <c r="CL27" t="s">
        <v>180</v>
      </c>
      <c r="CM27" t="s">
        <v>180</v>
      </c>
      <c r="CN27" t="s">
        <v>136</v>
      </c>
      <c r="CO27" t="s">
        <v>181</v>
      </c>
      <c r="CP27" t="s">
        <v>136</v>
      </c>
      <c r="CQ27" t="s">
        <v>136</v>
      </c>
      <c r="CR27" t="s">
        <v>136</v>
      </c>
      <c r="CS27" t="s">
        <v>136</v>
      </c>
      <c r="CT27" t="s">
        <v>1194</v>
      </c>
      <c r="CU27" t="s">
        <v>1195</v>
      </c>
      <c r="CV27" t="s">
        <v>1196</v>
      </c>
      <c r="CW27" t="s">
        <v>1197</v>
      </c>
      <c r="CX27" t="s">
        <v>1198</v>
      </c>
      <c r="CY27" t="s">
        <v>1199</v>
      </c>
      <c r="CZ27" t="s">
        <v>1200</v>
      </c>
      <c r="DA27" t="s">
        <v>1201</v>
      </c>
      <c r="DB27" t="s">
        <v>1171</v>
      </c>
      <c r="DC27" t="s">
        <v>381</v>
      </c>
      <c r="DD27" t="s">
        <v>191</v>
      </c>
      <c r="DE27" t="s">
        <v>192</v>
      </c>
      <c r="DF27" t="s">
        <v>142</v>
      </c>
      <c r="DG27" t="s">
        <v>193</v>
      </c>
      <c r="DH27" t="s">
        <v>194</v>
      </c>
      <c r="DI27" t="s">
        <v>142</v>
      </c>
      <c r="DJ27" t="s">
        <v>195</v>
      </c>
      <c r="DK27" t="s">
        <v>196</v>
      </c>
      <c r="DL27" t="s">
        <v>197</v>
      </c>
      <c r="DM27" t="s">
        <v>136</v>
      </c>
      <c r="DN27" t="s">
        <v>1170</v>
      </c>
      <c r="DO27" t="s">
        <v>198</v>
      </c>
      <c r="DP27" t="s">
        <v>199</v>
      </c>
      <c r="DQ27" t="s">
        <v>200</v>
      </c>
      <c r="DR27" t="s">
        <v>201</v>
      </c>
      <c r="DS27" t="s">
        <v>202</v>
      </c>
      <c r="DT27" t="s">
        <v>203</v>
      </c>
    </row>
    <row r="28" spans="1:124" x14ac:dyDescent="0.45">
      <c r="A28" t="s">
        <v>1202</v>
      </c>
      <c r="B28" t="s">
        <v>1203</v>
      </c>
      <c r="C28" t="s">
        <v>126</v>
      </c>
      <c r="D28" t="s">
        <v>127</v>
      </c>
      <c r="E28" t="s">
        <v>128</v>
      </c>
      <c r="H28" t="s">
        <v>910</v>
      </c>
      <c r="I28">
        <v>9</v>
      </c>
      <c r="J28">
        <v>0.39657120581355321</v>
      </c>
      <c r="K28">
        <v>2.9058327199999998</v>
      </c>
      <c r="L28">
        <v>0.3489487087437339</v>
      </c>
      <c r="M28">
        <v>4.9035683998239019</v>
      </c>
      <c r="N28" t="s">
        <v>1204</v>
      </c>
      <c r="O28" t="s">
        <v>1205</v>
      </c>
      <c r="P28">
        <v>3.3662800500260781</v>
      </c>
      <c r="Q28">
        <v>1.3883720500260781</v>
      </c>
      <c r="R28" t="s">
        <v>1206</v>
      </c>
      <c r="S28" t="s">
        <v>1207</v>
      </c>
      <c r="T28">
        <v>33.175126145915812</v>
      </c>
      <c r="U28">
        <v>0.4417875</v>
      </c>
      <c r="V28" t="s">
        <v>134</v>
      </c>
      <c r="W28" t="s">
        <v>1208</v>
      </c>
      <c r="X28" t="s">
        <v>136</v>
      </c>
      <c r="Y28" t="s">
        <v>136</v>
      </c>
      <c r="Z28" t="s">
        <v>136</v>
      </c>
      <c r="AA28" t="s">
        <v>1209</v>
      </c>
      <c r="AB28" t="s">
        <v>1210</v>
      </c>
      <c r="AC28" t="s">
        <v>1211</v>
      </c>
      <c r="AD28" t="s">
        <v>140</v>
      </c>
      <c r="AE28" t="s">
        <v>141</v>
      </c>
      <c r="AF28">
        <v>36.762371519999988</v>
      </c>
      <c r="AG28" t="s">
        <v>142</v>
      </c>
      <c r="AH28" t="s">
        <v>1212</v>
      </c>
      <c r="AI28" t="s">
        <v>1213</v>
      </c>
      <c r="AJ28" t="s">
        <v>1214</v>
      </c>
      <c r="AK28" t="s">
        <v>480</v>
      </c>
      <c r="AL28">
        <v>25.96</v>
      </c>
      <c r="AM28" t="s">
        <v>799</v>
      </c>
      <c r="AN28" t="s">
        <v>350</v>
      </c>
      <c r="AO28" t="s">
        <v>840</v>
      </c>
      <c r="AP28" t="s">
        <v>841</v>
      </c>
      <c r="AQ28" t="s">
        <v>1215</v>
      </c>
      <c r="AR28" t="s">
        <v>1180</v>
      </c>
      <c r="AS28" t="s">
        <v>1216</v>
      </c>
      <c r="AT28" t="s">
        <v>1217</v>
      </c>
      <c r="AU28" t="s">
        <v>1218</v>
      </c>
      <c r="AV28" t="s">
        <v>1219</v>
      </c>
      <c r="AW28" t="s">
        <v>1220</v>
      </c>
      <c r="AX28" t="s">
        <v>1221</v>
      </c>
      <c r="AY28" t="s">
        <v>1222</v>
      </c>
      <c r="AZ28" t="s">
        <v>445</v>
      </c>
      <c r="BA28" t="s">
        <v>1223</v>
      </c>
      <c r="BB28" t="s">
        <v>1224</v>
      </c>
      <c r="BC28" t="s">
        <v>1225</v>
      </c>
      <c r="BD28" t="s">
        <v>126</v>
      </c>
      <c r="BE28" t="s">
        <v>1226</v>
      </c>
      <c r="BF28" t="s">
        <v>1227</v>
      </c>
      <c r="BG28" t="s">
        <v>896</v>
      </c>
      <c r="BH28" t="s">
        <v>451</v>
      </c>
      <c r="BI28" t="s">
        <v>773</v>
      </c>
      <c r="BJ28" t="s">
        <v>858</v>
      </c>
      <c r="BK28" t="s">
        <v>126</v>
      </c>
      <c r="BL28" t="s">
        <v>859</v>
      </c>
      <c r="BM28" t="s">
        <v>124</v>
      </c>
      <c r="BN28" t="s">
        <v>228</v>
      </c>
      <c r="BO28" t="s">
        <v>165</v>
      </c>
      <c r="BP28" t="s">
        <v>411</v>
      </c>
      <c r="BQ28" t="s">
        <v>697</v>
      </c>
      <c r="BR28" t="s">
        <v>1228</v>
      </c>
      <c r="BS28" t="s">
        <v>1229</v>
      </c>
      <c r="BT28" t="s">
        <v>124</v>
      </c>
      <c r="BU28" t="s">
        <v>170</v>
      </c>
      <c r="BV28" t="s">
        <v>171</v>
      </c>
      <c r="BW28" t="s">
        <v>172</v>
      </c>
      <c r="BX28" t="s">
        <v>173</v>
      </c>
      <c r="BY28" t="s">
        <v>136</v>
      </c>
      <c r="BZ28" t="s">
        <v>174</v>
      </c>
      <c r="CA28" t="s">
        <v>136</v>
      </c>
      <c r="CB28" t="s">
        <v>136</v>
      </c>
      <c r="CC28" t="s">
        <v>175</v>
      </c>
      <c r="CD28" t="s">
        <v>176</v>
      </c>
      <c r="CE28" t="s">
        <v>161</v>
      </c>
      <c r="CF28" t="s">
        <v>177</v>
      </c>
      <c r="CG28" t="s">
        <v>178</v>
      </c>
      <c r="CH28" t="s">
        <v>179</v>
      </c>
      <c r="CI28" t="s">
        <v>142</v>
      </c>
      <c r="CJ28" t="s">
        <v>172</v>
      </c>
      <c r="CK28" t="s">
        <v>180</v>
      </c>
      <c r="CL28" t="s">
        <v>180</v>
      </c>
      <c r="CM28" t="s">
        <v>180</v>
      </c>
      <c r="CN28" t="s">
        <v>136</v>
      </c>
      <c r="CO28" t="s">
        <v>181</v>
      </c>
      <c r="CP28" t="s">
        <v>136</v>
      </c>
      <c r="CQ28" t="s">
        <v>136</v>
      </c>
      <c r="CR28" t="s">
        <v>136</v>
      </c>
      <c r="CS28" t="s">
        <v>136</v>
      </c>
      <c r="CT28" t="s">
        <v>1230</v>
      </c>
      <c r="CU28" t="s">
        <v>1231</v>
      </c>
      <c r="CV28" t="s">
        <v>1232</v>
      </c>
      <c r="CW28" t="s">
        <v>866</v>
      </c>
      <c r="CX28" t="s">
        <v>1233</v>
      </c>
      <c r="CY28" t="s">
        <v>1234</v>
      </c>
      <c r="CZ28" t="s">
        <v>1235</v>
      </c>
      <c r="DA28" t="s">
        <v>1236</v>
      </c>
      <c r="DB28" t="s">
        <v>1209</v>
      </c>
      <c r="DC28" t="s">
        <v>508</v>
      </c>
      <c r="DD28" t="s">
        <v>191</v>
      </c>
      <c r="DE28" t="s">
        <v>192</v>
      </c>
      <c r="DF28" t="s">
        <v>142</v>
      </c>
      <c r="DG28" t="s">
        <v>193</v>
      </c>
      <c r="DH28" t="s">
        <v>194</v>
      </c>
      <c r="DI28" t="s">
        <v>142</v>
      </c>
      <c r="DJ28" t="s">
        <v>195</v>
      </c>
      <c r="DK28" t="s">
        <v>196</v>
      </c>
      <c r="DL28" t="s">
        <v>197</v>
      </c>
      <c r="DM28" t="s">
        <v>136</v>
      </c>
      <c r="DN28" t="s">
        <v>1208</v>
      </c>
      <c r="DO28" t="s">
        <v>198</v>
      </c>
      <c r="DP28" t="s">
        <v>199</v>
      </c>
      <c r="DQ28" t="s">
        <v>200</v>
      </c>
      <c r="DR28" t="s">
        <v>201</v>
      </c>
      <c r="DS28" t="s">
        <v>202</v>
      </c>
      <c r="DT28" t="s">
        <v>203</v>
      </c>
    </row>
    <row r="29" spans="1:124" x14ac:dyDescent="0.45">
      <c r="A29" t="s">
        <v>1237</v>
      </c>
      <c r="B29" t="s">
        <v>1238</v>
      </c>
      <c r="C29" t="s">
        <v>126</v>
      </c>
      <c r="D29" t="s">
        <v>127</v>
      </c>
      <c r="E29" t="s">
        <v>128</v>
      </c>
      <c r="H29" t="s">
        <v>1239</v>
      </c>
      <c r="I29">
        <v>1</v>
      </c>
      <c r="J29">
        <v>0.5638453241846848</v>
      </c>
      <c r="K29">
        <v>2.9058327199999998</v>
      </c>
      <c r="L29">
        <v>0.47221677953115959</v>
      </c>
      <c r="M29">
        <v>6.0495681371349619</v>
      </c>
      <c r="N29" t="s">
        <v>1240</v>
      </c>
      <c r="O29" t="s">
        <v>1241</v>
      </c>
      <c r="P29">
        <v>3.2698736619444522</v>
      </c>
      <c r="Q29">
        <v>1.2654376619444521</v>
      </c>
      <c r="R29" t="s">
        <v>1242</v>
      </c>
      <c r="S29" t="s">
        <v>1243</v>
      </c>
      <c r="T29">
        <v>32.240915617673551</v>
      </c>
      <c r="U29">
        <v>0.4417875</v>
      </c>
      <c r="V29" t="s">
        <v>134</v>
      </c>
      <c r="W29" t="s">
        <v>1244</v>
      </c>
      <c r="X29" t="s">
        <v>136</v>
      </c>
      <c r="Y29" t="s">
        <v>136</v>
      </c>
      <c r="Z29" t="s">
        <v>136</v>
      </c>
      <c r="AA29" t="s">
        <v>1245</v>
      </c>
      <c r="AB29" t="s">
        <v>1246</v>
      </c>
      <c r="AC29" t="s">
        <v>1247</v>
      </c>
      <c r="AD29" t="s">
        <v>140</v>
      </c>
      <c r="AE29" t="s">
        <v>141</v>
      </c>
      <c r="AF29">
        <v>129.81347442000001</v>
      </c>
      <c r="AG29" t="s">
        <v>142</v>
      </c>
      <c r="AH29" t="s">
        <v>1248</v>
      </c>
      <c r="AI29" t="s">
        <v>598</v>
      </c>
      <c r="AJ29" t="s">
        <v>1249</v>
      </c>
      <c r="AK29" t="s">
        <v>1250</v>
      </c>
      <c r="AL29">
        <v>25.47</v>
      </c>
      <c r="AM29" t="s">
        <v>349</v>
      </c>
      <c r="AN29" t="s">
        <v>350</v>
      </c>
      <c r="AO29" t="s">
        <v>992</v>
      </c>
      <c r="AP29" t="s">
        <v>1251</v>
      </c>
      <c r="AQ29" t="s">
        <v>1252</v>
      </c>
      <c r="AR29" t="s">
        <v>1253</v>
      </c>
      <c r="AS29" t="s">
        <v>887</v>
      </c>
      <c r="AT29" t="s">
        <v>943</v>
      </c>
      <c r="AU29" t="s">
        <v>1032</v>
      </c>
      <c r="AV29" t="s">
        <v>1254</v>
      </c>
      <c r="AW29" t="s">
        <v>1255</v>
      </c>
      <c r="AX29" t="s">
        <v>1256</v>
      </c>
      <c r="AY29" t="s">
        <v>1257</v>
      </c>
      <c r="AZ29" t="s">
        <v>268</v>
      </c>
      <c r="BA29" t="s">
        <v>1258</v>
      </c>
      <c r="BB29" t="s">
        <v>1259</v>
      </c>
      <c r="BC29" t="s">
        <v>1260</v>
      </c>
      <c r="BD29" t="s">
        <v>126</v>
      </c>
      <c r="BE29" t="s">
        <v>1261</v>
      </c>
      <c r="BF29" t="s">
        <v>656</v>
      </c>
      <c r="BG29" t="s">
        <v>1262</v>
      </c>
      <c r="BH29" t="s">
        <v>1237</v>
      </c>
      <c r="BI29" t="s">
        <v>1263</v>
      </c>
      <c r="BJ29" t="s">
        <v>162</v>
      </c>
      <c r="BK29" t="s">
        <v>126</v>
      </c>
      <c r="BL29" t="s">
        <v>163</v>
      </c>
      <c r="BM29" t="s">
        <v>124</v>
      </c>
      <c r="BN29" t="s">
        <v>411</v>
      </c>
      <c r="BO29" t="s">
        <v>164</v>
      </c>
      <c r="BP29" t="s">
        <v>1264</v>
      </c>
      <c r="BQ29" t="s">
        <v>168</v>
      </c>
      <c r="BR29" t="s">
        <v>1265</v>
      </c>
      <c r="BS29" t="s">
        <v>1266</v>
      </c>
      <c r="BT29" t="s">
        <v>124</v>
      </c>
      <c r="BU29" t="s">
        <v>170</v>
      </c>
      <c r="BV29" t="s">
        <v>171</v>
      </c>
      <c r="BW29" t="s">
        <v>172</v>
      </c>
      <c r="BX29" t="s">
        <v>173</v>
      </c>
      <c r="BY29" t="s">
        <v>136</v>
      </c>
      <c r="BZ29" t="s">
        <v>174</v>
      </c>
      <c r="CA29" t="s">
        <v>136</v>
      </c>
      <c r="CB29" t="s">
        <v>136</v>
      </c>
      <c r="CC29" t="s">
        <v>175</v>
      </c>
      <c r="CD29" t="s">
        <v>176</v>
      </c>
      <c r="CE29" t="s">
        <v>161</v>
      </c>
      <c r="CF29" t="s">
        <v>177</v>
      </c>
      <c r="CG29" t="s">
        <v>178</v>
      </c>
      <c r="CH29" t="s">
        <v>179</v>
      </c>
      <c r="CI29" t="s">
        <v>142</v>
      </c>
      <c r="CJ29" t="s">
        <v>172</v>
      </c>
      <c r="CK29" t="s">
        <v>180</v>
      </c>
      <c r="CL29" t="s">
        <v>180</v>
      </c>
      <c r="CM29" t="s">
        <v>180</v>
      </c>
      <c r="CN29" t="s">
        <v>136</v>
      </c>
      <c r="CO29" t="s">
        <v>181</v>
      </c>
      <c r="CP29" t="s">
        <v>136</v>
      </c>
      <c r="CQ29" t="s">
        <v>136</v>
      </c>
      <c r="CR29" t="s">
        <v>136</v>
      </c>
      <c r="CS29" t="s">
        <v>136</v>
      </c>
      <c r="CT29" t="s">
        <v>1267</v>
      </c>
      <c r="CU29" t="s">
        <v>1268</v>
      </c>
      <c r="CV29" t="s">
        <v>1269</v>
      </c>
      <c r="CW29" t="s">
        <v>1270</v>
      </c>
      <c r="CX29" t="s">
        <v>1271</v>
      </c>
      <c r="CY29" t="s">
        <v>1272</v>
      </c>
      <c r="CZ29" t="s">
        <v>1273</v>
      </c>
      <c r="DA29" t="s">
        <v>1274</v>
      </c>
      <c r="DB29" t="s">
        <v>1245</v>
      </c>
      <c r="DC29" t="s">
        <v>241</v>
      </c>
      <c r="DD29" t="s">
        <v>191</v>
      </c>
      <c r="DE29" t="s">
        <v>192</v>
      </c>
      <c r="DF29" t="s">
        <v>142</v>
      </c>
      <c r="DG29" t="s">
        <v>193</v>
      </c>
      <c r="DH29" t="s">
        <v>194</v>
      </c>
      <c r="DI29" t="s">
        <v>142</v>
      </c>
      <c r="DJ29" t="s">
        <v>195</v>
      </c>
      <c r="DK29" t="s">
        <v>196</v>
      </c>
      <c r="DL29" t="s">
        <v>197</v>
      </c>
      <c r="DM29" t="s">
        <v>136</v>
      </c>
      <c r="DN29" t="s">
        <v>1244</v>
      </c>
      <c r="DO29" t="s">
        <v>198</v>
      </c>
      <c r="DP29" t="s">
        <v>199</v>
      </c>
      <c r="DQ29" t="s">
        <v>200</v>
      </c>
      <c r="DR29" t="s">
        <v>201</v>
      </c>
      <c r="DS29" t="s">
        <v>202</v>
      </c>
      <c r="DT29" t="s">
        <v>203</v>
      </c>
    </row>
    <row r="30" spans="1:124" x14ac:dyDescent="0.45">
      <c r="A30" t="s">
        <v>614</v>
      </c>
      <c r="B30" t="s">
        <v>1275</v>
      </c>
      <c r="C30" t="s">
        <v>126</v>
      </c>
      <c r="D30" t="s">
        <v>127</v>
      </c>
      <c r="E30" t="s">
        <v>128</v>
      </c>
      <c r="H30" t="s">
        <v>1239</v>
      </c>
      <c r="I30">
        <v>2</v>
      </c>
      <c r="J30">
        <v>0.13645795822557871</v>
      </c>
      <c r="K30">
        <v>2.9058327199999998</v>
      </c>
      <c r="L30">
        <v>0.13033731548214619</v>
      </c>
      <c r="M30">
        <v>2.2253868083418098</v>
      </c>
      <c r="N30" t="s">
        <v>1276</v>
      </c>
      <c r="O30" t="s">
        <v>1277</v>
      </c>
      <c r="P30">
        <v>3.5875768359973321</v>
      </c>
      <c r="Q30">
        <v>1.6847228359973321</v>
      </c>
      <c r="R30" t="s">
        <v>1278</v>
      </c>
      <c r="S30" t="s">
        <v>1279</v>
      </c>
      <c r="T30">
        <v>35.373465154775502</v>
      </c>
      <c r="U30">
        <v>0.4417875</v>
      </c>
      <c r="V30" t="s">
        <v>134</v>
      </c>
      <c r="W30" t="s">
        <v>1280</v>
      </c>
      <c r="X30" t="s">
        <v>136</v>
      </c>
      <c r="Y30" t="s">
        <v>136</v>
      </c>
      <c r="Z30" t="s">
        <v>136</v>
      </c>
      <c r="AA30" t="s">
        <v>1281</v>
      </c>
      <c r="AB30" t="s">
        <v>1282</v>
      </c>
      <c r="AC30" t="s">
        <v>1283</v>
      </c>
      <c r="AD30" t="s">
        <v>140</v>
      </c>
      <c r="AE30" t="s">
        <v>141</v>
      </c>
      <c r="AF30">
        <v>113.75787654</v>
      </c>
      <c r="AG30" t="s">
        <v>142</v>
      </c>
      <c r="AH30" t="s">
        <v>1284</v>
      </c>
      <c r="AI30" t="s">
        <v>719</v>
      </c>
      <c r="AJ30" t="s">
        <v>1285</v>
      </c>
      <c r="AK30" t="s">
        <v>566</v>
      </c>
      <c r="AL30">
        <v>27.04</v>
      </c>
      <c r="AM30" t="s">
        <v>349</v>
      </c>
      <c r="AN30" t="s">
        <v>350</v>
      </c>
      <c r="AO30" t="s">
        <v>1286</v>
      </c>
      <c r="AP30" t="s">
        <v>1287</v>
      </c>
      <c r="AQ30" t="s">
        <v>1288</v>
      </c>
      <c r="AR30" t="s">
        <v>1289</v>
      </c>
      <c r="AS30" t="s">
        <v>1290</v>
      </c>
      <c r="AT30" t="s">
        <v>261</v>
      </c>
      <c r="AU30" t="s">
        <v>1291</v>
      </c>
      <c r="AV30" t="s">
        <v>1292</v>
      </c>
      <c r="AW30" t="s">
        <v>1293</v>
      </c>
      <c r="AX30" t="s">
        <v>1294</v>
      </c>
      <c r="AY30" t="s">
        <v>1295</v>
      </c>
      <c r="AZ30" t="s">
        <v>268</v>
      </c>
      <c r="BA30" t="s">
        <v>1258</v>
      </c>
      <c r="BB30" t="s">
        <v>1259</v>
      </c>
      <c r="BC30" t="s">
        <v>1296</v>
      </c>
      <c r="BD30" t="s">
        <v>126</v>
      </c>
      <c r="BE30" t="s">
        <v>1297</v>
      </c>
      <c r="BF30" t="s">
        <v>540</v>
      </c>
      <c r="BG30" t="s">
        <v>274</v>
      </c>
      <c r="BH30" t="s">
        <v>321</v>
      </c>
      <c r="BI30" t="s">
        <v>968</v>
      </c>
      <c r="BJ30" t="s">
        <v>162</v>
      </c>
      <c r="BK30" t="s">
        <v>126</v>
      </c>
      <c r="BL30" t="s">
        <v>163</v>
      </c>
      <c r="BM30" t="s">
        <v>124</v>
      </c>
      <c r="BN30" t="s">
        <v>165</v>
      </c>
      <c r="BO30" t="s">
        <v>164</v>
      </c>
      <c r="BP30" t="s">
        <v>276</v>
      </c>
      <c r="BQ30" t="s">
        <v>1298</v>
      </c>
      <c r="BR30" t="s">
        <v>1299</v>
      </c>
      <c r="BS30" t="s">
        <v>1300</v>
      </c>
      <c r="BT30" t="s">
        <v>124</v>
      </c>
      <c r="BU30" t="s">
        <v>170</v>
      </c>
      <c r="BV30" t="s">
        <v>171</v>
      </c>
      <c r="BW30" t="s">
        <v>172</v>
      </c>
      <c r="BX30" t="s">
        <v>173</v>
      </c>
      <c r="BY30" t="s">
        <v>136</v>
      </c>
      <c r="BZ30" t="s">
        <v>174</v>
      </c>
      <c r="CA30" t="s">
        <v>136</v>
      </c>
      <c r="CB30" t="s">
        <v>136</v>
      </c>
      <c r="CC30" t="s">
        <v>175</v>
      </c>
      <c r="CD30" t="s">
        <v>176</v>
      </c>
      <c r="CE30" t="s">
        <v>161</v>
      </c>
      <c r="CF30" t="s">
        <v>177</v>
      </c>
      <c r="CG30" t="s">
        <v>178</v>
      </c>
      <c r="CH30" t="s">
        <v>179</v>
      </c>
      <c r="CI30" t="s">
        <v>142</v>
      </c>
      <c r="CJ30" t="s">
        <v>172</v>
      </c>
      <c r="CK30" t="s">
        <v>180</v>
      </c>
      <c r="CL30" t="s">
        <v>180</v>
      </c>
      <c r="CM30" t="s">
        <v>180</v>
      </c>
      <c r="CN30" t="s">
        <v>136</v>
      </c>
      <c r="CO30" t="s">
        <v>181</v>
      </c>
      <c r="CP30" t="s">
        <v>136</v>
      </c>
      <c r="CQ30" t="s">
        <v>136</v>
      </c>
      <c r="CR30" t="s">
        <v>136</v>
      </c>
      <c r="CS30" t="s">
        <v>136</v>
      </c>
      <c r="CT30" t="s">
        <v>1301</v>
      </c>
      <c r="CU30" t="s">
        <v>1302</v>
      </c>
      <c r="CV30" t="s">
        <v>1303</v>
      </c>
      <c r="CW30" t="s">
        <v>1304</v>
      </c>
      <c r="CX30" t="s">
        <v>1305</v>
      </c>
      <c r="CY30" t="s">
        <v>1306</v>
      </c>
      <c r="CZ30" t="s">
        <v>1307</v>
      </c>
      <c r="DA30" t="s">
        <v>1308</v>
      </c>
      <c r="DB30" t="s">
        <v>1281</v>
      </c>
      <c r="DC30" t="s">
        <v>1309</v>
      </c>
      <c r="DD30" t="s">
        <v>191</v>
      </c>
      <c r="DE30" t="s">
        <v>192</v>
      </c>
      <c r="DF30" t="s">
        <v>142</v>
      </c>
      <c r="DG30" t="s">
        <v>193</v>
      </c>
      <c r="DH30" t="s">
        <v>194</v>
      </c>
      <c r="DI30" t="s">
        <v>142</v>
      </c>
      <c r="DJ30" t="s">
        <v>195</v>
      </c>
      <c r="DK30" t="s">
        <v>196</v>
      </c>
      <c r="DL30" t="s">
        <v>197</v>
      </c>
      <c r="DM30" t="s">
        <v>136</v>
      </c>
      <c r="DN30" t="s">
        <v>1280</v>
      </c>
      <c r="DO30" t="s">
        <v>198</v>
      </c>
      <c r="DP30" t="s">
        <v>199</v>
      </c>
      <c r="DQ30" t="s">
        <v>200</v>
      </c>
      <c r="DR30" t="s">
        <v>201</v>
      </c>
      <c r="DS30" t="s">
        <v>202</v>
      </c>
      <c r="DT30" t="s">
        <v>203</v>
      </c>
    </row>
    <row r="31" spans="1:124" x14ac:dyDescent="0.45">
      <c r="A31" t="s">
        <v>1310</v>
      </c>
      <c r="B31" t="s">
        <v>1311</v>
      </c>
      <c r="C31" t="s">
        <v>126</v>
      </c>
      <c r="D31" t="s">
        <v>127</v>
      </c>
      <c r="E31" t="s">
        <v>128</v>
      </c>
      <c r="H31" t="s">
        <v>1239</v>
      </c>
      <c r="I31">
        <v>3</v>
      </c>
      <c r="J31">
        <v>0.45168589768383871</v>
      </c>
      <c r="K31">
        <v>2.9034264799999998</v>
      </c>
      <c r="L31">
        <v>0.39087715949567159</v>
      </c>
      <c r="M31">
        <v>5.4165472012683642</v>
      </c>
      <c r="N31" t="s">
        <v>1312</v>
      </c>
      <c r="O31" t="s">
        <v>1313</v>
      </c>
      <c r="P31">
        <v>3.4184354777465531</v>
      </c>
      <c r="Q31">
        <v>1.367168477746552</v>
      </c>
      <c r="R31" t="s">
        <v>1314</v>
      </c>
      <c r="S31" t="s">
        <v>1315</v>
      </c>
      <c r="T31">
        <v>33.712381437342721</v>
      </c>
      <c r="U31">
        <v>0.4417875</v>
      </c>
      <c r="V31" t="s">
        <v>134</v>
      </c>
      <c r="W31" t="s">
        <v>1316</v>
      </c>
      <c r="X31" t="s">
        <v>136</v>
      </c>
      <c r="Y31" t="s">
        <v>136</v>
      </c>
      <c r="Z31" t="s">
        <v>136</v>
      </c>
      <c r="AA31" t="s">
        <v>1317</v>
      </c>
      <c r="AB31" t="s">
        <v>1318</v>
      </c>
      <c r="AC31" t="s">
        <v>1319</v>
      </c>
      <c r="AD31" t="s">
        <v>140</v>
      </c>
      <c r="AE31" t="s">
        <v>141</v>
      </c>
      <c r="AF31">
        <v>95.510537639999995</v>
      </c>
      <c r="AG31" t="s">
        <v>142</v>
      </c>
      <c r="AH31" t="s">
        <v>1320</v>
      </c>
      <c r="AI31" t="s">
        <v>1321</v>
      </c>
      <c r="AJ31" t="s">
        <v>1322</v>
      </c>
      <c r="AK31" t="s">
        <v>1323</v>
      </c>
      <c r="AL31">
        <v>26.22</v>
      </c>
      <c r="AM31" t="s">
        <v>1324</v>
      </c>
      <c r="AN31" t="s">
        <v>304</v>
      </c>
      <c r="AO31" t="s">
        <v>1325</v>
      </c>
      <c r="AP31" t="s">
        <v>258</v>
      </c>
      <c r="AQ31" t="s">
        <v>1326</v>
      </c>
      <c r="AR31" t="s">
        <v>1327</v>
      </c>
      <c r="AS31" t="s">
        <v>804</v>
      </c>
      <c r="AT31" t="s">
        <v>1328</v>
      </c>
      <c r="AU31" t="s">
        <v>1329</v>
      </c>
      <c r="AV31" t="s">
        <v>1330</v>
      </c>
      <c r="AW31" t="s">
        <v>1331</v>
      </c>
      <c r="AX31" t="s">
        <v>1332</v>
      </c>
      <c r="AY31" t="s">
        <v>1333</v>
      </c>
      <c r="AZ31" t="s">
        <v>268</v>
      </c>
      <c r="BA31" t="s">
        <v>1334</v>
      </c>
      <c r="BB31" t="s">
        <v>1335</v>
      </c>
      <c r="BC31" t="s">
        <v>1336</v>
      </c>
      <c r="BD31" t="s">
        <v>126</v>
      </c>
      <c r="BE31" t="s">
        <v>771</v>
      </c>
      <c r="BF31" t="s">
        <v>365</v>
      </c>
      <c r="BG31" t="s">
        <v>1337</v>
      </c>
      <c r="BH31" t="s">
        <v>242</v>
      </c>
      <c r="BI31" t="s">
        <v>1153</v>
      </c>
      <c r="BJ31" t="s">
        <v>368</v>
      </c>
      <c r="BK31" t="s">
        <v>126</v>
      </c>
      <c r="BL31" t="s">
        <v>369</v>
      </c>
      <c r="BM31" t="s">
        <v>124</v>
      </c>
      <c r="BN31" t="s">
        <v>165</v>
      </c>
      <c r="BO31" t="s">
        <v>228</v>
      </c>
      <c r="BP31" t="s">
        <v>411</v>
      </c>
      <c r="BQ31" t="s">
        <v>1338</v>
      </c>
      <c r="BR31" t="s">
        <v>1339</v>
      </c>
      <c r="BS31" t="s">
        <v>1340</v>
      </c>
      <c r="BT31" t="s">
        <v>124</v>
      </c>
      <c r="BU31" t="s">
        <v>170</v>
      </c>
      <c r="BV31" t="s">
        <v>171</v>
      </c>
      <c r="BW31" t="s">
        <v>172</v>
      </c>
      <c r="BX31" t="s">
        <v>173</v>
      </c>
      <c r="BY31" t="s">
        <v>136</v>
      </c>
      <c r="BZ31" t="s">
        <v>174</v>
      </c>
      <c r="CA31" t="s">
        <v>136</v>
      </c>
      <c r="CB31" t="s">
        <v>136</v>
      </c>
      <c r="CC31" t="s">
        <v>175</v>
      </c>
      <c r="CD31" t="s">
        <v>176</v>
      </c>
      <c r="CE31" t="s">
        <v>161</v>
      </c>
      <c r="CF31" t="s">
        <v>177</v>
      </c>
      <c r="CG31" t="s">
        <v>178</v>
      </c>
      <c r="CH31" t="s">
        <v>179</v>
      </c>
      <c r="CI31" t="s">
        <v>142</v>
      </c>
      <c r="CJ31" t="s">
        <v>172</v>
      </c>
      <c r="CK31" t="s">
        <v>180</v>
      </c>
      <c r="CL31" t="s">
        <v>180</v>
      </c>
      <c r="CM31" t="s">
        <v>180</v>
      </c>
      <c r="CN31" t="s">
        <v>136</v>
      </c>
      <c r="CO31" t="s">
        <v>181</v>
      </c>
      <c r="CP31" t="s">
        <v>136</v>
      </c>
      <c r="CQ31" t="s">
        <v>136</v>
      </c>
      <c r="CR31" t="s">
        <v>136</v>
      </c>
      <c r="CS31" t="s">
        <v>136</v>
      </c>
      <c r="CT31" t="s">
        <v>1341</v>
      </c>
      <c r="CU31" t="s">
        <v>1342</v>
      </c>
      <c r="CV31" t="s">
        <v>1343</v>
      </c>
      <c r="CW31" t="s">
        <v>1344</v>
      </c>
      <c r="CX31" t="s">
        <v>1345</v>
      </c>
      <c r="CY31" t="s">
        <v>1346</v>
      </c>
      <c r="CZ31" t="s">
        <v>1347</v>
      </c>
      <c r="DA31" t="s">
        <v>1348</v>
      </c>
      <c r="DB31" t="s">
        <v>1317</v>
      </c>
      <c r="DC31" t="s">
        <v>1349</v>
      </c>
      <c r="DD31" t="s">
        <v>191</v>
      </c>
      <c r="DE31" t="s">
        <v>192</v>
      </c>
      <c r="DF31" t="s">
        <v>142</v>
      </c>
      <c r="DG31" t="s">
        <v>193</v>
      </c>
      <c r="DH31" t="s">
        <v>194</v>
      </c>
      <c r="DI31" t="s">
        <v>142</v>
      </c>
      <c r="DJ31" t="s">
        <v>195</v>
      </c>
      <c r="DK31" t="s">
        <v>196</v>
      </c>
      <c r="DL31" t="s">
        <v>197</v>
      </c>
      <c r="DM31" t="s">
        <v>136</v>
      </c>
      <c r="DN31" t="s">
        <v>1316</v>
      </c>
      <c r="DO31" t="s">
        <v>198</v>
      </c>
      <c r="DP31" t="s">
        <v>199</v>
      </c>
      <c r="DQ31" t="s">
        <v>200</v>
      </c>
      <c r="DR31" t="s">
        <v>201</v>
      </c>
      <c r="DS31" t="s">
        <v>202</v>
      </c>
      <c r="DT31" t="s">
        <v>203</v>
      </c>
    </row>
    <row r="32" spans="1:124" x14ac:dyDescent="0.45">
      <c r="A32" t="s">
        <v>1350</v>
      </c>
      <c r="B32" t="s">
        <v>1351</v>
      </c>
      <c r="C32" t="s">
        <v>126</v>
      </c>
      <c r="D32" t="s">
        <v>127</v>
      </c>
      <c r="E32" t="s">
        <v>128</v>
      </c>
      <c r="H32" t="s">
        <v>1239</v>
      </c>
      <c r="I32">
        <v>4</v>
      </c>
      <c r="J32">
        <v>0.3732912048333642</v>
      </c>
      <c r="K32">
        <v>2.9050319999999989</v>
      </c>
      <c r="L32">
        <v>0.33078584007844902</v>
      </c>
      <c r="M32">
        <v>4.9125822410887423</v>
      </c>
      <c r="N32" t="s">
        <v>1352</v>
      </c>
      <c r="O32" t="s">
        <v>1353</v>
      </c>
      <c r="P32">
        <v>3.461074802256455</v>
      </c>
      <c r="Q32">
        <v>1.4653028022564549</v>
      </c>
      <c r="R32" t="s">
        <v>1354</v>
      </c>
      <c r="S32" t="s">
        <v>1355</v>
      </c>
      <c r="T32">
        <v>34.132887596217508</v>
      </c>
      <c r="U32">
        <v>0.4417875</v>
      </c>
      <c r="V32" t="s">
        <v>134</v>
      </c>
      <c r="W32" t="s">
        <v>1356</v>
      </c>
      <c r="X32" t="s">
        <v>136</v>
      </c>
      <c r="Y32" t="s">
        <v>136</v>
      </c>
      <c r="Z32" t="s">
        <v>136</v>
      </c>
      <c r="AA32" t="s">
        <v>1357</v>
      </c>
      <c r="AB32" t="s">
        <v>1358</v>
      </c>
      <c r="AC32" t="s">
        <v>1359</v>
      </c>
      <c r="AD32" t="s">
        <v>140</v>
      </c>
      <c r="AE32" t="s">
        <v>141</v>
      </c>
      <c r="AF32">
        <v>92.687932259999997</v>
      </c>
      <c r="AG32" t="s">
        <v>142</v>
      </c>
      <c r="AH32" t="s">
        <v>1360</v>
      </c>
      <c r="AI32" t="s">
        <v>144</v>
      </c>
      <c r="AJ32" t="s">
        <v>1361</v>
      </c>
      <c r="AK32" t="s">
        <v>1362</v>
      </c>
      <c r="AL32">
        <v>26.43</v>
      </c>
      <c r="AM32" t="s">
        <v>1324</v>
      </c>
      <c r="AN32" t="s">
        <v>148</v>
      </c>
      <c r="AO32" t="s">
        <v>840</v>
      </c>
      <c r="AP32" t="s">
        <v>1363</v>
      </c>
      <c r="AQ32" t="s">
        <v>1364</v>
      </c>
      <c r="AR32" t="s">
        <v>1365</v>
      </c>
      <c r="AS32" t="s">
        <v>530</v>
      </c>
      <c r="AT32" t="s">
        <v>161</v>
      </c>
      <c r="AU32" t="s">
        <v>1366</v>
      </c>
      <c r="AV32" t="s">
        <v>1367</v>
      </c>
      <c r="AW32" t="s">
        <v>1368</v>
      </c>
      <c r="AX32" t="s">
        <v>1369</v>
      </c>
      <c r="AY32" t="s">
        <v>1370</v>
      </c>
      <c r="AZ32" t="s">
        <v>268</v>
      </c>
      <c r="BA32" t="s">
        <v>1371</v>
      </c>
      <c r="BB32" t="s">
        <v>1372</v>
      </c>
      <c r="BC32" t="s">
        <v>1373</v>
      </c>
      <c r="BD32" t="s">
        <v>126</v>
      </c>
      <c r="BE32" t="s">
        <v>1188</v>
      </c>
      <c r="BF32" t="s">
        <v>365</v>
      </c>
      <c r="BG32" t="s">
        <v>1374</v>
      </c>
      <c r="BH32" t="s">
        <v>290</v>
      </c>
      <c r="BI32" t="s">
        <v>1375</v>
      </c>
      <c r="BJ32" t="s">
        <v>368</v>
      </c>
      <c r="BK32" t="s">
        <v>126</v>
      </c>
      <c r="BL32" t="s">
        <v>369</v>
      </c>
      <c r="BM32" t="s">
        <v>124</v>
      </c>
      <c r="BN32" t="s">
        <v>171</v>
      </c>
      <c r="BO32" t="s">
        <v>171</v>
      </c>
      <c r="BP32" t="s">
        <v>276</v>
      </c>
      <c r="BQ32" t="s">
        <v>1376</v>
      </c>
      <c r="BR32" t="s">
        <v>1377</v>
      </c>
      <c r="BS32" t="s">
        <v>1378</v>
      </c>
      <c r="BT32" t="s">
        <v>124</v>
      </c>
      <c r="BU32" t="s">
        <v>170</v>
      </c>
      <c r="BV32" t="s">
        <v>171</v>
      </c>
      <c r="BW32" t="s">
        <v>172</v>
      </c>
      <c r="BX32" t="s">
        <v>173</v>
      </c>
      <c r="BY32" t="s">
        <v>136</v>
      </c>
      <c r="BZ32" t="s">
        <v>174</v>
      </c>
      <c r="CA32" t="s">
        <v>136</v>
      </c>
      <c r="CB32" t="s">
        <v>136</v>
      </c>
      <c r="CC32" t="s">
        <v>175</v>
      </c>
      <c r="CD32" t="s">
        <v>176</v>
      </c>
      <c r="CE32" t="s">
        <v>161</v>
      </c>
      <c r="CF32" t="s">
        <v>177</v>
      </c>
      <c r="CG32" t="s">
        <v>178</v>
      </c>
      <c r="CH32" t="s">
        <v>179</v>
      </c>
      <c r="CI32" t="s">
        <v>142</v>
      </c>
      <c r="CJ32" t="s">
        <v>172</v>
      </c>
      <c r="CK32" t="s">
        <v>180</v>
      </c>
      <c r="CL32" t="s">
        <v>180</v>
      </c>
      <c r="CM32" t="s">
        <v>180</v>
      </c>
      <c r="CN32" t="s">
        <v>136</v>
      </c>
      <c r="CO32" t="s">
        <v>181</v>
      </c>
      <c r="CP32" t="s">
        <v>136</v>
      </c>
      <c r="CQ32" t="s">
        <v>136</v>
      </c>
      <c r="CR32" t="s">
        <v>136</v>
      </c>
      <c r="CS32" t="s">
        <v>136</v>
      </c>
      <c r="CT32" t="s">
        <v>1379</v>
      </c>
      <c r="CU32" t="s">
        <v>1380</v>
      </c>
      <c r="CV32" t="s">
        <v>1381</v>
      </c>
      <c r="CW32" t="s">
        <v>1382</v>
      </c>
      <c r="CX32" t="s">
        <v>1383</v>
      </c>
      <c r="CY32" t="s">
        <v>1384</v>
      </c>
      <c r="CZ32" t="s">
        <v>1385</v>
      </c>
      <c r="DA32" t="s">
        <v>1386</v>
      </c>
      <c r="DB32" t="s">
        <v>1357</v>
      </c>
      <c r="DC32" t="s">
        <v>1387</v>
      </c>
      <c r="DD32" t="s">
        <v>191</v>
      </c>
      <c r="DE32" t="s">
        <v>192</v>
      </c>
      <c r="DF32" t="s">
        <v>142</v>
      </c>
      <c r="DG32" t="s">
        <v>193</v>
      </c>
      <c r="DH32" t="s">
        <v>194</v>
      </c>
      <c r="DI32" t="s">
        <v>142</v>
      </c>
      <c r="DJ32" t="s">
        <v>195</v>
      </c>
      <c r="DK32" t="s">
        <v>196</v>
      </c>
      <c r="DL32" t="s">
        <v>197</v>
      </c>
      <c r="DM32" t="s">
        <v>136</v>
      </c>
      <c r="DN32" t="s">
        <v>1356</v>
      </c>
      <c r="DO32" t="s">
        <v>198</v>
      </c>
      <c r="DP32" t="s">
        <v>199</v>
      </c>
      <c r="DQ32" t="s">
        <v>200</v>
      </c>
      <c r="DR32" t="s">
        <v>201</v>
      </c>
      <c r="DS32" t="s">
        <v>202</v>
      </c>
      <c r="DT32" t="s">
        <v>203</v>
      </c>
    </row>
    <row r="33" spans="1:124" x14ac:dyDescent="0.45">
      <c r="A33" t="s">
        <v>1388</v>
      </c>
      <c r="B33" t="s">
        <v>1389</v>
      </c>
      <c r="C33" t="s">
        <v>126</v>
      </c>
      <c r="D33" t="s">
        <v>127</v>
      </c>
      <c r="E33" t="s">
        <v>128</v>
      </c>
      <c r="H33" t="s">
        <v>1239</v>
      </c>
      <c r="I33">
        <v>5</v>
      </c>
      <c r="J33">
        <v>0.36539937144205242</v>
      </c>
      <c r="K33">
        <v>2.9050319999999989</v>
      </c>
      <c r="L33">
        <v>0.32457396173734587</v>
      </c>
      <c r="M33">
        <v>4.8375898839070732</v>
      </c>
      <c r="N33" t="s">
        <v>1390</v>
      </c>
      <c r="O33" t="s">
        <v>1391</v>
      </c>
      <c r="P33">
        <v>3.50005266549632</v>
      </c>
      <c r="Q33">
        <v>1.4702286654963199</v>
      </c>
      <c r="R33" t="s">
        <v>1392</v>
      </c>
      <c r="S33" t="s">
        <v>1393</v>
      </c>
      <c r="T33">
        <v>34.513880933796678</v>
      </c>
      <c r="U33">
        <v>0.4417875</v>
      </c>
      <c r="V33" t="s">
        <v>134</v>
      </c>
      <c r="W33" t="s">
        <v>1394</v>
      </c>
      <c r="X33" t="s">
        <v>136</v>
      </c>
      <c r="Y33" t="s">
        <v>136</v>
      </c>
      <c r="Z33" t="s">
        <v>136</v>
      </c>
      <c r="AA33" t="s">
        <v>1395</v>
      </c>
      <c r="AB33" t="s">
        <v>1396</v>
      </c>
      <c r="AC33" t="s">
        <v>1397</v>
      </c>
      <c r="AD33" t="s">
        <v>140</v>
      </c>
      <c r="AE33" t="s">
        <v>141</v>
      </c>
      <c r="AF33">
        <v>88.379368560000003</v>
      </c>
      <c r="AG33" t="s">
        <v>142</v>
      </c>
      <c r="AH33" t="s">
        <v>1398</v>
      </c>
      <c r="AI33" t="s">
        <v>1399</v>
      </c>
      <c r="AJ33" t="s">
        <v>797</v>
      </c>
      <c r="AK33" t="s">
        <v>1400</v>
      </c>
      <c r="AL33">
        <v>26.62</v>
      </c>
      <c r="AM33" t="s">
        <v>147</v>
      </c>
      <c r="AN33" t="s">
        <v>148</v>
      </c>
      <c r="AO33" t="s">
        <v>1401</v>
      </c>
      <c r="AP33" t="s">
        <v>1402</v>
      </c>
      <c r="AQ33" t="s">
        <v>1403</v>
      </c>
      <c r="AR33" t="s">
        <v>1404</v>
      </c>
      <c r="AS33" t="s">
        <v>530</v>
      </c>
      <c r="AT33" t="s">
        <v>204</v>
      </c>
      <c r="AU33" t="s">
        <v>1405</v>
      </c>
      <c r="AV33" t="s">
        <v>1406</v>
      </c>
      <c r="AW33" t="s">
        <v>1407</v>
      </c>
      <c r="AX33" t="s">
        <v>1408</v>
      </c>
      <c r="AY33" t="s">
        <v>1409</v>
      </c>
      <c r="AZ33" t="s">
        <v>268</v>
      </c>
      <c r="BA33" t="s">
        <v>1410</v>
      </c>
      <c r="BB33" t="s">
        <v>1411</v>
      </c>
      <c r="BC33" t="s">
        <v>1412</v>
      </c>
      <c r="BD33" t="s">
        <v>126</v>
      </c>
      <c r="BE33" t="s">
        <v>1413</v>
      </c>
      <c r="BF33" t="s">
        <v>932</v>
      </c>
      <c r="BG33" t="s">
        <v>695</v>
      </c>
      <c r="BH33" t="s">
        <v>451</v>
      </c>
      <c r="BI33" t="s">
        <v>452</v>
      </c>
      <c r="BJ33" t="s">
        <v>453</v>
      </c>
      <c r="BK33" t="s">
        <v>126</v>
      </c>
      <c r="BL33" t="s">
        <v>454</v>
      </c>
      <c r="BM33" t="s">
        <v>124</v>
      </c>
      <c r="BN33" t="s">
        <v>411</v>
      </c>
      <c r="BO33" t="s">
        <v>165</v>
      </c>
      <c r="BP33" t="s">
        <v>411</v>
      </c>
      <c r="BQ33" t="s">
        <v>1414</v>
      </c>
      <c r="BR33" t="s">
        <v>1415</v>
      </c>
      <c r="BS33" t="s">
        <v>1416</v>
      </c>
      <c r="BT33" t="s">
        <v>124</v>
      </c>
      <c r="BU33" t="s">
        <v>170</v>
      </c>
      <c r="BV33" t="s">
        <v>171</v>
      </c>
      <c r="BW33" t="s">
        <v>172</v>
      </c>
      <c r="BX33" t="s">
        <v>173</v>
      </c>
      <c r="BY33" t="s">
        <v>136</v>
      </c>
      <c r="BZ33" t="s">
        <v>174</v>
      </c>
      <c r="CA33" t="s">
        <v>136</v>
      </c>
      <c r="CB33" t="s">
        <v>136</v>
      </c>
      <c r="CC33" t="s">
        <v>175</v>
      </c>
      <c r="CD33" t="s">
        <v>176</v>
      </c>
      <c r="CE33" t="s">
        <v>161</v>
      </c>
      <c r="CF33" t="s">
        <v>177</v>
      </c>
      <c r="CG33" t="s">
        <v>178</v>
      </c>
      <c r="CH33" t="s">
        <v>179</v>
      </c>
      <c r="CI33" t="s">
        <v>142</v>
      </c>
      <c r="CJ33" t="s">
        <v>172</v>
      </c>
      <c r="CK33" t="s">
        <v>180</v>
      </c>
      <c r="CL33" t="s">
        <v>180</v>
      </c>
      <c r="CM33" t="s">
        <v>180</v>
      </c>
      <c r="CN33" t="s">
        <v>136</v>
      </c>
      <c r="CO33" t="s">
        <v>181</v>
      </c>
      <c r="CP33" t="s">
        <v>136</v>
      </c>
      <c r="CQ33" t="s">
        <v>136</v>
      </c>
      <c r="CR33" t="s">
        <v>136</v>
      </c>
      <c r="CS33" t="s">
        <v>136</v>
      </c>
      <c r="CT33" t="s">
        <v>1417</v>
      </c>
      <c r="CU33" t="s">
        <v>1418</v>
      </c>
      <c r="CV33" t="s">
        <v>1419</v>
      </c>
      <c r="CW33" t="s">
        <v>1420</v>
      </c>
      <c r="CX33" t="s">
        <v>1421</v>
      </c>
      <c r="CY33" t="s">
        <v>1422</v>
      </c>
      <c r="CZ33" t="s">
        <v>1423</v>
      </c>
      <c r="DA33" t="s">
        <v>1424</v>
      </c>
      <c r="DB33" t="s">
        <v>1395</v>
      </c>
      <c r="DC33" t="s">
        <v>508</v>
      </c>
      <c r="DD33" t="s">
        <v>191</v>
      </c>
      <c r="DE33" t="s">
        <v>192</v>
      </c>
      <c r="DF33" t="s">
        <v>142</v>
      </c>
      <c r="DG33" t="s">
        <v>193</v>
      </c>
      <c r="DH33" t="s">
        <v>194</v>
      </c>
      <c r="DI33" t="s">
        <v>142</v>
      </c>
      <c r="DJ33" t="s">
        <v>195</v>
      </c>
      <c r="DK33" t="s">
        <v>196</v>
      </c>
      <c r="DL33" t="s">
        <v>197</v>
      </c>
      <c r="DM33" t="s">
        <v>136</v>
      </c>
      <c r="DN33" t="s">
        <v>1394</v>
      </c>
      <c r="DO33" t="s">
        <v>198</v>
      </c>
      <c r="DP33" t="s">
        <v>199</v>
      </c>
      <c r="DQ33" t="s">
        <v>200</v>
      </c>
      <c r="DR33" t="s">
        <v>201</v>
      </c>
      <c r="DS33" t="s">
        <v>202</v>
      </c>
      <c r="DT33" t="s">
        <v>203</v>
      </c>
    </row>
    <row r="34" spans="1:124" x14ac:dyDescent="0.45">
      <c r="A34" t="s">
        <v>1425</v>
      </c>
      <c r="B34" t="s">
        <v>1426</v>
      </c>
      <c r="C34" t="s">
        <v>126</v>
      </c>
      <c r="D34" t="s">
        <v>127</v>
      </c>
      <c r="E34" t="s">
        <v>128</v>
      </c>
      <c r="H34" t="s">
        <v>1239</v>
      </c>
      <c r="I34">
        <v>6</v>
      </c>
      <c r="J34">
        <v>0.38939389487971532</v>
      </c>
      <c r="K34">
        <v>2.9058327199999998</v>
      </c>
      <c r="L34">
        <v>0.34337957687047282</v>
      </c>
      <c r="M34">
        <v>4.7961782542216094</v>
      </c>
      <c r="N34" t="s">
        <v>1427</v>
      </c>
      <c r="O34" t="s">
        <v>1428</v>
      </c>
      <c r="P34">
        <v>3.471295206668001</v>
      </c>
      <c r="Q34">
        <v>1.377509206668001</v>
      </c>
      <c r="R34" t="s">
        <v>1429</v>
      </c>
      <c r="S34" t="s">
        <v>1430</v>
      </c>
      <c r="T34">
        <v>34.230304769431037</v>
      </c>
      <c r="U34">
        <v>0.4417875</v>
      </c>
      <c r="V34" t="s">
        <v>134</v>
      </c>
      <c r="W34" t="s">
        <v>1431</v>
      </c>
      <c r="X34" t="s">
        <v>136</v>
      </c>
      <c r="Y34" t="s">
        <v>136</v>
      </c>
      <c r="Z34" t="s">
        <v>136</v>
      </c>
      <c r="AA34" t="s">
        <v>1432</v>
      </c>
      <c r="AB34" t="s">
        <v>1433</v>
      </c>
      <c r="AC34" t="s">
        <v>1434</v>
      </c>
      <c r="AD34" t="s">
        <v>140</v>
      </c>
      <c r="AE34" t="s">
        <v>141</v>
      </c>
      <c r="AF34">
        <v>85.642205880000006</v>
      </c>
      <c r="AG34" t="s">
        <v>142</v>
      </c>
      <c r="AH34" t="s">
        <v>1435</v>
      </c>
      <c r="AI34" t="s">
        <v>1436</v>
      </c>
      <c r="AJ34" t="s">
        <v>797</v>
      </c>
      <c r="AK34" t="s">
        <v>1437</v>
      </c>
      <c r="AL34">
        <v>26.48</v>
      </c>
      <c r="AM34" t="s">
        <v>147</v>
      </c>
      <c r="AN34" t="s">
        <v>350</v>
      </c>
      <c r="AO34" t="s">
        <v>568</v>
      </c>
      <c r="AP34" t="s">
        <v>1438</v>
      </c>
      <c r="AQ34" t="s">
        <v>1439</v>
      </c>
      <c r="AR34" t="s">
        <v>1404</v>
      </c>
      <c r="AS34" t="s">
        <v>1440</v>
      </c>
      <c r="AT34" t="s">
        <v>1441</v>
      </c>
      <c r="AU34" t="s">
        <v>1442</v>
      </c>
      <c r="AV34" t="s">
        <v>1443</v>
      </c>
      <c r="AW34" t="s">
        <v>1444</v>
      </c>
      <c r="AX34" t="s">
        <v>1445</v>
      </c>
      <c r="AY34" t="s">
        <v>1446</v>
      </c>
      <c r="AZ34" t="s">
        <v>268</v>
      </c>
      <c r="BA34" t="s">
        <v>575</v>
      </c>
      <c r="BB34" t="s">
        <v>1447</v>
      </c>
      <c r="BC34" t="s">
        <v>1448</v>
      </c>
      <c r="BD34" t="s">
        <v>126</v>
      </c>
      <c r="BE34" t="s">
        <v>655</v>
      </c>
      <c r="BF34" t="s">
        <v>656</v>
      </c>
      <c r="BG34" t="s">
        <v>1449</v>
      </c>
      <c r="BH34" t="s">
        <v>290</v>
      </c>
      <c r="BI34" t="s">
        <v>1450</v>
      </c>
      <c r="BJ34" t="s">
        <v>453</v>
      </c>
      <c r="BK34" t="s">
        <v>126</v>
      </c>
      <c r="BL34" t="s">
        <v>454</v>
      </c>
      <c r="BM34" t="s">
        <v>124</v>
      </c>
      <c r="BN34" t="s">
        <v>171</v>
      </c>
      <c r="BO34" t="s">
        <v>164</v>
      </c>
      <c r="BP34" t="s">
        <v>276</v>
      </c>
      <c r="BQ34" t="s">
        <v>1451</v>
      </c>
      <c r="BR34" t="s">
        <v>1452</v>
      </c>
      <c r="BS34" t="s">
        <v>1453</v>
      </c>
      <c r="BT34" t="s">
        <v>124</v>
      </c>
      <c r="BU34" t="s">
        <v>170</v>
      </c>
      <c r="BV34" t="s">
        <v>171</v>
      </c>
      <c r="BW34" t="s">
        <v>172</v>
      </c>
      <c r="BX34" t="s">
        <v>173</v>
      </c>
      <c r="BY34" t="s">
        <v>136</v>
      </c>
      <c r="BZ34" t="s">
        <v>174</v>
      </c>
      <c r="CA34" t="s">
        <v>136</v>
      </c>
      <c r="CB34" t="s">
        <v>136</v>
      </c>
      <c r="CC34" t="s">
        <v>175</v>
      </c>
      <c r="CD34" t="s">
        <v>176</v>
      </c>
      <c r="CE34" t="s">
        <v>161</v>
      </c>
      <c r="CF34" t="s">
        <v>177</v>
      </c>
      <c r="CG34" t="s">
        <v>178</v>
      </c>
      <c r="CH34" t="s">
        <v>179</v>
      </c>
      <c r="CI34" t="s">
        <v>142</v>
      </c>
      <c r="CJ34" t="s">
        <v>172</v>
      </c>
      <c r="CK34" t="s">
        <v>180</v>
      </c>
      <c r="CL34" t="s">
        <v>180</v>
      </c>
      <c r="CM34" t="s">
        <v>180</v>
      </c>
      <c r="CN34" t="s">
        <v>136</v>
      </c>
      <c r="CO34" t="s">
        <v>181</v>
      </c>
      <c r="CP34" t="s">
        <v>136</v>
      </c>
      <c r="CQ34" t="s">
        <v>136</v>
      </c>
      <c r="CR34" t="s">
        <v>136</v>
      </c>
      <c r="CS34" t="s">
        <v>136</v>
      </c>
      <c r="CT34" t="s">
        <v>1454</v>
      </c>
      <c r="CU34" t="s">
        <v>1455</v>
      </c>
      <c r="CV34" t="s">
        <v>1456</v>
      </c>
      <c r="CW34" t="s">
        <v>1457</v>
      </c>
      <c r="CX34" t="s">
        <v>1458</v>
      </c>
      <c r="CY34" t="s">
        <v>1459</v>
      </c>
      <c r="CZ34" t="s">
        <v>1460</v>
      </c>
      <c r="DA34" t="s">
        <v>1461</v>
      </c>
      <c r="DB34" t="s">
        <v>1432</v>
      </c>
      <c r="DC34" t="s">
        <v>826</v>
      </c>
      <c r="DD34" t="s">
        <v>191</v>
      </c>
      <c r="DE34" t="s">
        <v>192</v>
      </c>
      <c r="DF34" t="s">
        <v>142</v>
      </c>
      <c r="DG34" t="s">
        <v>193</v>
      </c>
      <c r="DH34" t="s">
        <v>194</v>
      </c>
      <c r="DI34" t="s">
        <v>142</v>
      </c>
      <c r="DJ34" t="s">
        <v>195</v>
      </c>
      <c r="DK34" t="s">
        <v>196</v>
      </c>
      <c r="DL34" t="s">
        <v>197</v>
      </c>
      <c r="DM34" t="s">
        <v>136</v>
      </c>
      <c r="DN34" t="s">
        <v>1431</v>
      </c>
      <c r="DO34" t="s">
        <v>198</v>
      </c>
      <c r="DP34" t="s">
        <v>199</v>
      </c>
      <c r="DQ34" t="s">
        <v>200</v>
      </c>
      <c r="DR34" t="s">
        <v>201</v>
      </c>
      <c r="DS34" t="s">
        <v>202</v>
      </c>
      <c r="DT34" t="s">
        <v>203</v>
      </c>
    </row>
    <row r="35" spans="1:124" x14ac:dyDescent="0.45">
      <c r="A35" t="s">
        <v>1462</v>
      </c>
      <c r="B35" t="s">
        <v>1463</v>
      </c>
      <c r="C35" t="s">
        <v>126</v>
      </c>
      <c r="D35" t="s">
        <v>127</v>
      </c>
      <c r="E35" t="s">
        <v>128</v>
      </c>
      <c r="H35" t="s">
        <v>1239</v>
      </c>
      <c r="I35">
        <v>7</v>
      </c>
      <c r="J35">
        <v>0.16410415564733091</v>
      </c>
      <c r="K35">
        <v>2.9058327199999998</v>
      </c>
      <c r="L35">
        <v>0.15533193165981171</v>
      </c>
      <c r="M35">
        <v>2.414101689787731</v>
      </c>
      <c r="N35" t="s">
        <v>1464</v>
      </c>
      <c r="O35" t="s">
        <v>1465</v>
      </c>
      <c r="P35">
        <v>3.5686625094010411</v>
      </c>
      <c r="Q35">
        <v>1.533521509401041</v>
      </c>
      <c r="R35" t="s">
        <v>1466</v>
      </c>
      <c r="S35" t="s">
        <v>1467</v>
      </c>
      <c r="T35">
        <v>35.169631510801622</v>
      </c>
      <c r="U35">
        <v>0.4417875</v>
      </c>
      <c r="V35" t="s">
        <v>134</v>
      </c>
      <c r="W35" t="s">
        <v>1468</v>
      </c>
      <c r="X35" t="s">
        <v>136</v>
      </c>
      <c r="Y35" t="s">
        <v>136</v>
      </c>
      <c r="Z35" t="s">
        <v>136</v>
      </c>
      <c r="AA35" t="s">
        <v>1469</v>
      </c>
      <c r="AB35" t="s">
        <v>1470</v>
      </c>
      <c r="AC35" t="s">
        <v>1471</v>
      </c>
      <c r="AD35" t="s">
        <v>140</v>
      </c>
      <c r="AE35" t="s">
        <v>141</v>
      </c>
      <c r="AF35">
        <v>42.578932620000003</v>
      </c>
      <c r="AG35" t="s">
        <v>142</v>
      </c>
      <c r="AH35" t="s">
        <v>1472</v>
      </c>
      <c r="AI35" t="s">
        <v>1473</v>
      </c>
      <c r="AJ35" t="s">
        <v>1474</v>
      </c>
      <c r="AK35" t="s">
        <v>1475</v>
      </c>
      <c r="AL35">
        <v>26.95</v>
      </c>
      <c r="AM35" t="s">
        <v>799</v>
      </c>
      <c r="AN35" t="s">
        <v>350</v>
      </c>
      <c r="AO35" t="s">
        <v>1401</v>
      </c>
      <c r="AP35" t="s">
        <v>1402</v>
      </c>
      <c r="AQ35" t="s">
        <v>1476</v>
      </c>
      <c r="AR35" t="s">
        <v>1477</v>
      </c>
      <c r="AS35" t="s">
        <v>1478</v>
      </c>
      <c r="AT35" t="s">
        <v>530</v>
      </c>
      <c r="AU35" t="s">
        <v>439</v>
      </c>
      <c r="AV35" t="s">
        <v>1479</v>
      </c>
      <c r="AW35" t="s">
        <v>1480</v>
      </c>
      <c r="AX35" t="s">
        <v>1481</v>
      </c>
      <c r="AY35" t="s">
        <v>1482</v>
      </c>
      <c r="AZ35" t="s">
        <v>445</v>
      </c>
      <c r="BA35" t="s">
        <v>1483</v>
      </c>
      <c r="BB35" t="s">
        <v>1484</v>
      </c>
      <c r="BC35" t="s">
        <v>1485</v>
      </c>
      <c r="BD35" t="s">
        <v>126</v>
      </c>
      <c r="BE35" t="s">
        <v>1486</v>
      </c>
      <c r="BF35" t="s">
        <v>365</v>
      </c>
      <c r="BG35" t="s">
        <v>450</v>
      </c>
      <c r="BH35" t="s">
        <v>628</v>
      </c>
      <c r="BI35" t="s">
        <v>773</v>
      </c>
      <c r="BJ35" t="s">
        <v>858</v>
      </c>
      <c r="BK35" t="s">
        <v>126</v>
      </c>
      <c r="BL35" t="s">
        <v>859</v>
      </c>
      <c r="BM35" t="s">
        <v>124</v>
      </c>
      <c r="BN35" t="s">
        <v>164</v>
      </c>
      <c r="BO35" t="s">
        <v>164</v>
      </c>
      <c r="BP35" t="s">
        <v>276</v>
      </c>
      <c r="BQ35" t="s">
        <v>165</v>
      </c>
      <c r="BR35" t="s">
        <v>1453</v>
      </c>
      <c r="BS35" t="s">
        <v>1487</v>
      </c>
      <c r="BT35" t="s">
        <v>124</v>
      </c>
      <c r="BU35" t="s">
        <v>170</v>
      </c>
      <c r="BV35" t="s">
        <v>171</v>
      </c>
      <c r="BW35" t="s">
        <v>172</v>
      </c>
      <c r="BX35" t="s">
        <v>173</v>
      </c>
      <c r="BY35" t="s">
        <v>136</v>
      </c>
      <c r="BZ35" t="s">
        <v>174</v>
      </c>
      <c r="CA35" t="s">
        <v>136</v>
      </c>
      <c r="CB35" t="s">
        <v>136</v>
      </c>
      <c r="CC35" t="s">
        <v>175</v>
      </c>
      <c r="CD35" t="s">
        <v>176</v>
      </c>
      <c r="CE35" t="s">
        <v>161</v>
      </c>
      <c r="CF35" t="s">
        <v>177</v>
      </c>
      <c r="CG35" t="s">
        <v>178</v>
      </c>
      <c r="CH35" t="s">
        <v>179</v>
      </c>
      <c r="CI35" t="s">
        <v>142</v>
      </c>
      <c r="CJ35" t="s">
        <v>172</v>
      </c>
      <c r="CK35" t="s">
        <v>180</v>
      </c>
      <c r="CL35" t="s">
        <v>180</v>
      </c>
      <c r="CM35" t="s">
        <v>180</v>
      </c>
      <c r="CN35" t="s">
        <v>136</v>
      </c>
      <c r="CO35" t="s">
        <v>181</v>
      </c>
      <c r="CP35" t="s">
        <v>136</v>
      </c>
      <c r="CQ35" t="s">
        <v>136</v>
      </c>
      <c r="CR35" t="s">
        <v>136</v>
      </c>
      <c r="CS35" t="s">
        <v>136</v>
      </c>
      <c r="CT35" t="s">
        <v>1488</v>
      </c>
      <c r="CU35" t="s">
        <v>1489</v>
      </c>
      <c r="CV35" t="s">
        <v>1490</v>
      </c>
      <c r="CW35" t="s">
        <v>1491</v>
      </c>
      <c r="CX35" t="s">
        <v>1492</v>
      </c>
      <c r="CY35" t="s">
        <v>1493</v>
      </c>
      <c r="CZ35" t="s">
        <v>1494</v>
      </c>
      <c r="DA35" t="s">
        <v>1495</v>
      </c>
      <c r="DB35" t="s">
        <v>1469</v>
      </c>
      <c r="DC35" t="s">
        <v>1496</v>
      </c>
      <c r="DD35" t="s">
        <v>191</v>
      </c>
      <c r="DE35" t="s">
        <v>192</v>
      </c>
      <c r="DF35" t="s">
        <v>142</v>
      </c>
      <c r="DG35" t="s">
        <v>193</v>
      </c>
      <c r="DH35" t="s">
        <v>194</v>
      </c>
      <c r="DI35" t="s">
        <v>142</v>
      </c>
      <c r="DJ35" t="s">
        <v>195</v>
      </c>
      <c r="DK35" t="s">
        <v>196</v>
      </c>
      <c r="DL35" t="s">
        <v>197</v>
      </c>
      <c r="DM35" t="s">
        <v>136</v>
      </c>
      <c r="DN35" t="s">
        <v>1468</v>
      </c>
      <c r="DO35" t="s">
        <v>198</v>
      </c>
      <c r="DP35" t="s">
        <v>199</v>
      </c>
      <c r="DQ35" t="s">
        <v>200</v>
      </c>
      <c r="DR35" t="s">
        <v>201</v>
      </c>
      <c r="DS35" t="s">
        <v>202</v>
      </c>
      <c r="DT35" t="s">
        <v>203</v>
      </c>
    </row>
    <row r="36" spans="1:124" x14ac:dyDescent="0.45">
      <c r="A36" t="s">
        <v>888</v>
      </c>
      <c r="B36" t="s">
        <v>1497</v>
      </c>
      <c r="C36" t="s">
        <v>126</v>
      </c>
      <c r="D36" t="s">
        <v>127</v>
      </c>
      <c r="E36" t="s">
        <v>128</v>
      </c>
      <c r="H36" t="s">
        <v>1239</v>
      </c>
      <c r="I36">
        <v>8</v>
      </c>
      <c r="J36">
        <v>0.2308455078027136</v>
      </c>
      <c r="K36">
        <v>2.9050319999999989</v>
      </c>
      <c r="L36">
        <v>0.2138519714352704</v>
      </c>
      <c r="M36">
        <v>3.1739848883543331</v>
      </c>
      <c r="N36" t="s">
        <v>1498</v>
      </c>
      <c r="O36" t="s">
        <v>1499</v>
      </c>
      <c r="P36">
        <v>3.5435788505219921</v>
      </c>
      <c r="Q36">
        <v>1.464142850521992</v>
      </c>
      <c r="R36" t="s">
        <v>1500</v>
      </c>
      <c r="S36" t="s">
        <v>1501</v>
      </c>
      <c r="T36">
        <v>34.925870791661659</v>
      </c>
      <c r="U36">
        <v>0.4417875</v>
      </c>
      <c r="V36" t="s">
        <v>134</v>
      </c>
      <c r="W36" t="s">
        <v>1502</v>
      </c>
      <c r="X36" t="s">
        <v>136</v>
      </c>
      <c r="Y36" t="s">
        <v>136</v>
      </c>
      <c r="Z36" t="s">
        <v>136</v>
      </c>
      <c r="AA36" t="s">
        <v>1503</v>
      </c>
      <c r="AB36" t="s">
        <v>1504</v>
      </c>
      <c r="AC36" t="s">
        <v>1505</v>
      </c>
      <c r="AD36" t="s">
        <v>140</v>
      </c>
      <c r="AE36" t="s">
        <v>141</v>
      </c>
      <c r="AF36">
        <v>59.859951479999999</v>
      </c>
      <c r="AG36" t="s">
        <v>142</v>
      </c>
      <c r="AH36" t="s">
        <v>1506</v>
      </c>
      <c r="AI36" t="s">
        <v>1150</v>
      </c>
      <c r="AJ36" t="s">
        <v>1507</v>
      </c>
      <c r="AK36" t="s">
        <v>1508</v>
      </c>
      <c r="AL36">
        <v>26.83</v>
      </c>
      <c r="AM36" t="s">
        <v>523</v>
      </c>
      <c r="AN36" t="s">
        <v>148</v>
      </c>
      <c r="AO36" t="s">
        <v>1509</v>
      </c>
      <c r="AP36" t="s">
        <v>1510</v>
      </c>
      <c r="AQ36" t="s">
        <v>1511</v>
      </c>
      <c r="AR36" t="s">
        <v>1512</v>
      </c>
      <c r="AS36" t="s">
        <v>1513</v>
      </c>
      <c r="AT36" t="s">
        <v>572</v>
      </c>
      <c r="AU36" t="s">
        <v>1514</v>
      </c>
      <c r="AV36" t="s">
        <v>919</v>
      </c>
      <c r="AW36" t="s">
        <v>1515</v>
      </c>
      <c r="AX36" t="s">
        <v>1516</v>
      </c>
      <c r="AY36" t="s">
        <v>1517</v>
      </c>
      <c r="AZ36" t="s">
        <v>445</v>
      </c>
      <c r="BA36" t="s">
        <v>1483</v>
      </c>
      <c r="BB36" t="s">
        <v>1484</v>
      </c>
      <c r="BC36" t="s">
        <v>1518</v>
      </c>
      <c r="BD36" t="s">
        <v>126</v>
      </c>
      <c r="BE36" t="s">
        <v>539</v>
      </c>
      <c r="BF36" t="s">
        <v>408</v>
      </c>
      <c r="BG36" t="s">
        <v>1519</v>
      </c>
      <c r="BH36" t="s">
        <v>979</v>
      </c>
      <c r="BI36" t="s">
        <v>1520</v>
      </c>
      <c r="BJ36" t="s">
        <v>858</v>
      </c>
      <c r="BK36" t="s">
        <v>126</v>
      </c>
      <c r="BL36" t="s">
        <v>859</v>
      </c>
      <c r="BM36" t="s">
        <v>124</v>
      </c>
      <c r="BN36" t="s">
        <v>228</v>
      </c>
      <c r="BO36" t="s">
        <v>171</v>
      </c>
      <c r="BP36" t="s">
        <v>166</v>
      </c>
      <c r="BQ36" t="s">
        <v>1521</v>
      </c>
      <c r="BR36" t="s">
        <v>1522</v>
      </c>
      <c r="BS36" t="s">
        <v>1523</v>
      </c>
      <c r="BT36" t="s">
        <v>124</v>
      </c>
      <c r="BU36" t="s">
        <v>170</v>
      </c>
      <c r="BV36" t="s">
        <v>171</v>
      </c>
      <c r="BW36" t="s">
        <v>172</v>
      </c>
      <c r="BX36" t="s">
        <v>173</v>
      </c>
      <c r="BY36" t="s">
        <v>136</v>
      </c>
      <c r="BZ36" t="s">
        <v>174</v>
      </c>
      <c r="CA36" t="s">
        <v>136</v>
      </c>
      <c r="CB36" t="s">
        <v>136</v>
      </c>
      <c r="CC36" t="s">
        <v>175</v>
      </c>
      <c r="CD36" t="s">
        <v>176</v>
      </c>
      <c r="CE36" t="s">
        <v>161</v>
      </c>
      <c r="CF36" t="s">
        <v>177</v>
      </c>
      <c r="CG36" t="s">
        <v>178</v>
      </c>
      <c r="CH36" t="s">
        <v>179</v>
      </c>
      <c r="CI36" t="s">
        <v>142</v>
      </c>
      <c r="CJ36" t="s">
        <v>172</v>
      </c>
      <c r="CK36" t="s">
        <v>180</v>
      </c>
      <c r="CL36" t="s">
        <v>180</v>
      </c>
      <c r="CM36" t="s">
        <v>180</v>
      </c>
      <c r="CN36" t="s">
        <v>136</v>
      </c>
      <c r="CO36" t="s">
        <v>181</v>
      </c>
      <c r="CP36" t="s">
        <v>136</v>
      </c>
      <c r="CQ36" t="s">
        <v>136</v>
      </c>
      <c r="CR36" t="s">
        <v>136</v>
      </c>
      <c r="CS36" t="s">
        <v>136</v>
      </c>
      <c r="CT36" t="s">
        <v>1524</v>
      </c>
      <c r="CU36" t="s">
        <v>1525</v>
      </c>
      <c r="CV36" t="s">
        <v>1526</v>
      </c>
      <c r="CW36" t="s">
        <v>1527</v>
      </c>
      <c r="CX36" t="s">
        <v>1528</v>
      </c>
      <c r="CY36" t="s">
        <v>1529</v>
      </c>
      <c r="CZ36" t="s">
        <v>1530</v>
      </c>
      <c r="DA36" t="s">
        <v>1531</v>
      </c>
      <c r="DB36" t="s">
        <v>1503</v>
      </c>
      <c r="DC36" t="s">
        <v>467</v>
      </c>
      <c r="DD36" t="s">
        <v>191</v>
      </c>
      <c r="DE36" t="s">
        <v>192</v>
      </c>
      <c r="DF36" t="s">
        <v>142</v>
      </c>
      <c r="DG36" t="s">
        <v>193</v>
      </c>
      <c r="DH36" t="s">
        <v>194</v>
      </c>
      <c r="DI36" t="s">
        <v>142</v>
      </c>
      <c r="DJ36" t="s">
        <v>195</v>
      </c>
      <c r="DK36" t="s">
        <v>196</v>
      </c>
      <c r="DL36" t="s">
        <v>197</v>
      </c>
      <c r="DM36" t="s">
        <v>136</v>
      </c>
      <c r="DN36" t="s">
        <v>1502</v>
      </c>
      <c r="DO36" t="s">
        <v>198</v>
      </c>
      <c r="DP36" t="s">
        <v>199</v>
      </c>
      <c r="DQ36" t="s">
        <v>200</v>
      </c>
      <c r="DR36" t="s">
        <v>201</v>
      </c>
      <c r="DS36" t="s">
        <v>202</v>
      </c>
      <c r="DT36" t="s">
        <v>203</v>
      </c>
    </row>
    <row r="37" spans="1:124" x14ac:dyDescent="0.45">
      <c r="A37" t="s">
        <v>1532</v>
      </c>
      <c r="B37" t="s">
        <v>1533</v>
      </c>
      <c r="C37" t="s">
        <v>126</v>
      </c>
      <c r="D37" t="s">
        <v>127</v>
      </c>
      <c r="E37" t="s">
        <v>128</v>
      </c>
      <c r="H37" t="s">
        <v>1239</v>
      </c>
      <c r="I37">
        <v>9</v>
      </c>
      <c r="J37">
        <v>0.22811697102399239</v>
      </c>
      <c r="K37">
        <v>2.9042299200000001</v>
      </c>
      <c r="L37">
        <v>0.21150407523704159</v>
      </c>
      <c r="M37">
        <v>3.2192408885874659</v>
      </c>
      <c r="N37" t="s">
        <v>1534</v>
      </c>
      <c r="O37" t="s">
        <v>1535</v>
      </c>
      <c r="P37">
        <v>3.533172840065403</v>
      </c>
      <c r="Q37">
        <v>1.502030840065403</v>
      </c>
      <c r="R37" t="s">
        <v>1536</v>
      </c>
      <c r="S37" t="s">
        <v>1537</v>
      </c>
      <c r="T37">
        <v>34.823308102359583</v>
      </c>
      <c r="U37">
        <v>0.4417875</v>
      </c>
      <c r="V37" t="s">
        <v>134</v>
      </c>
      <c r="W37" t="s">
        <v>1538</v>
      </c>
      <c r="X37" t="s">
        <v>136</v>
      </c>
      <c r="Y37" t="s">
        <v>136</v>
      </c>
      <c r="Z37" t="s">
        <v>136</v>
      </c>
      <c r="AA37" t="s">
        <v>1539</v>
      </c>
      <c r="AB37" t="s">
        <v>1540</v>
      </c>
      <c r="AC37" t="s">
        <v>1541</v>
      </c>
      <c r="AD37" t="s">
        <v>140</v>
      </c>
      <c r="AE37" t="s">
        <v>141</v>
      </c>
      <c r="AF37">
        <v>42.531395340000003</v>
      </c>
      <c r="AG37" t="s">
        <v>142</v>
      </c>
      <c r="AH37" t="s">
        <v>1542</v>
      </c>
      <c r="AI37" t="s">
        <v>393</v>
      </c>
      <c r="AJ37" t="s">
        <v>1543</v>
      </c>
      <c r="AK37" t="s">
        <v>1544</v>
      </c>
      <c r="AL37">
        <v>26.78</v>
      </c>
      <c r="AM37" t="s">
        <v>523</v>
      </c>
      <c r="AN37" t="s">
        <v>524</v>
      </c>
      <c r="AO37" t="s">
        <v>1545</v>
      </c>
      <c r="AP37" t="s">
        <v>1546</v>
      </c>
      <c r="AQ37" t="s">
        <v>1476</v>
      </c>
      <c r="AR37" t="s">
        <v>1547</v>
      </c>
      <c r="AS37" t="s">
        <v>1548</v>
      </c>
      <c r="AT37" t="s">
        <v>1549</v>
      </c>
      <c r="AU37" t="s">
        <v>842</v>
      </c>
      <c r="AV37" t="s">
        <v>1550</v>
      </c>
      <c r="AW37" t="s">
        <v>1551</v>
      </c>
      <c r="AX37" t="s">
        <v>1174</v>
      </c>
      <c r="AY37" t="s">
        <v>1552</v>
      </c>
      <c r="AZ37" t="s">
        <v>445</v>
      </c>
      <c r="BA37" t="s">
        <v>1553</v>
      </c>
      <c r="BB37" t="s">
        <v>1554</v>
      </c>
      <c r="BC37" t="s">
        <v>1555</v>
      </c>
      <c r="BD37" t="s">
        <v>126</v>
      </c>
      <c r="BE37" t="s">
        <v>539</v>
      </c>
      <c r="BF37" t="s">
        <v>967</v>
      </c>
      <c r="BG37" t="s">
        <v>1556</v>
      </c>
      <c r="BH37" t="s">
        <v>451</v>
      </c>
      <c r="BI37" t="s">
        <v>773</v>
      </c>
      <c r="BJ37" t="s">
        <v>858</v>
      </c>
      <c r="BK37" t="s">
        <v>126</v>
      </c>
      <c r="BL37" t="s">
        <v>859</v>
      </c>
      <c r="BM37" t="s">
        <v>124</v>
      </c>
      <c r="BN37" t="s">
        <v>165</v>
      </c>
      <c r="BO37" t="s">
        <v>165</v>
      </c>
      <c r="BP37" t="s">
        <v>276</v>
      </c>
      <c r="BQ37" t="s">
        <v>1557</v>
      </c>
      <c r="BR37" t="s">
        <v>278</v>
      </c>
      <c r="BS37" t="s">
        <v>861</v>
      </c>
      <c r="BT37" t="s">
        <v>124</v>
      </c>
      <c r="BU37" t="s">
        <v>170</v>
      </c>
      <c r="BV37" t="s">
        <v>171</v>
      </c>
      <c r="BW37" t="s">
        <v>172</v>
      </c>
      <c r="BX37" t="s">
        <v>173</v>
      </c>
      <c r="BY37" t="s">
        <v>136</v>
      </c>
      <c r="BZ37" t="s">
        <v>174</v>
      </c>
      <c r="CA37" t="s">
        <v>136</v>
      </c>
      <c r="CB37" t="s">
        <v>136</v>
      </c>
      <c r="CC37" t="s">
        <v>175</v>
      </c>
      <c r="CD37" t="s">
        <v>176</v>
      </c>
      <c r="CE37" t="s">
        <v>161</v>
      </c>
      <c r="CF37" t="s">
        <v>177</v>
      </c>
      <c r="CG37" t="s">
        <v>178</v>
      </c>
      <c r="CH37" t="s">
        <v>179</v>
      </c>
      <c r="CI37" t="s">
        <v>142</v>
      </c>
      <c r="CJ37" t="s">
        <v>172</v>
      </c>
      <c r="CK37" t="s">
        <v>180</v>
      </c>
      <c r="CL37" t="s">
        <v>180</v>
      </c>
      <c r="CM37" t="s">
        <v>180</v>
      </c>
      <c r="CN37" t="s">
        <v>136</v>
      </c>
      <c r="CO37" t="s">
        <v>181</v>
      </c>
      <c r="CP37" t="s">
        <v>136</v>
      </c>
      <c r="CQ37" t="s">
        <v>136</v>
      </c>
      <c r="CR37" t="s">
        <v>136</v>
      </c>
      <c r="CS37" t="s">
        <v>136</v>
      </c>
      <c r="CT37" t="s">
        <v>1558</v>
      </c>
      <c r="CU37" t="s">
        <v>1559</v>
      </c>
      <c r="CV37" t="s">
        <v>1560</v>
      </c>
      <c r="CW37" t="s">
        <v>1561</v>
      </c>
      <c r="CX37" t="s">
        <v>1562</v>
      </c>
      <c r="CY37" t="s">
        <v>1563</v>
      </c>
      <c r="CZ37" t="s">
        <v>1564</v>
      </c>
      <c r="DA37" t="s">
        <v>1565</v>
      </c>
      <c r="DB37" t="s">
        <v>1539</v>
      </c>
      <c r="DC37" t="s">
        <v>826</v>
      </c>
      <c r="DD37" t="s">
        <v>191</v>
      </c>
      <c r="DE37" t="s">
        <v>192</v>
      </c>
      <c r="DF37" t="s">
        <v>142</v>
      </c>
      <c r="DG37" t="s">
        <v>193</v>
      </c>
      <c r="DH37" t="s">
        <v>194</v>
      </c>
      <c r="DI37" t="s">
        <v>142</v>
      </c>
      <c r="DJ37" t="s">
        <v>195</v>
      </c>
      <c r="DK37" t="s">
        <v>196</v>
      </c>
      <c r="DL37" t="s">
        <v>197</v>
      </c>
      <c r="DM37" t="s">
        <v>136</v>
      </c>
      <c r="DN37" t="s">
        <v>1538</v>
      </c>
      <c r="DO37" t="s">
        <v>198</v>
      </c>
      <c r="DP37" t="s">
        <v>199</v>
      </c>
      <c r="DQ37" t="s">
        <v>200</v>
      </c>
      <c r="DR37" t="s">
        <v>201</v>
      </c>
      <c r="DS37" t="s">
        <v>202</v>
      </c>
      <c r="DT37" t="s">
        <v>203</v>
      </c>
    </row>
    <row r="38" spans="1:124" x14ac:dyDescent="0.45">
      <c r="A38" t="s">
        <v>321</v>
      </c>
      <c r="B38" t="s">
        <v>1566</v>
      </c>
      <c r="C38" t="s">
        <v>126</v>
      </c>
      <c r="D38" t="s">
        <v>127</v>
      </c>
      <c r="E38" t="s">
        <v>128</v>
      </c>
      <c r="H38" t="s">
        <v>1567</v>
      </c>
      <c r="I38">
        <v>1</v>
      </c>
      <c r="J38">
        <v>0.53011048379665815</v>
      </c>
      <c r="K38">
        <v>2.9066320800000001</v>
      </c>
      <c r="L38">
        <v>0.44834203014772378</v>
      </c>
      <c r="M38">
        <v>5.878754531230963</v>
      </c>
      <c r="N38" t="s">
        <v>1568</v>
      </c>
      <c r="O38" t="s">
        <v>1569</v>
      </c>
      <c r="P38">
        <v>3.3128555870610019</v>
      </c>
      <c r="Q38">
        <v>1.2946695870610021</v>
      </c>
      <c r="R38" t="s">
        <v>1570</v>
      </c>
      <c r="S38" t="s">
        <v>1571</v>
      </c>
      <c r="T38">
        <v>32.667937945577378</v>
      </c>
      <c r="U38">
        <v>0.4417875</v>
      </c>
      <c r="V38" t="s">
        <v>134</v>
      </c>
      <c r="W38" t="s">
        <v>1572</v>
      </c>
      <c r="X38" t="s">
        <v>136</v>
      </c>
      <c r="Y38" t="s">
        <v>136</v>
      </c>
      <c r="Z38" t="s">
        <v>136</v>
      </c>
      <c r="AA38" t="s">
        <v>1573</v>
      </c>
      <c r="AB38" t="s">
        <v>1574</v>
      </c>
      <c r="AC38" t="s">
        <v>1575</v>
      </c>
      <c r="AD38" t="s">
        <v>140</v>
      </c>
      <c r="AE38" t="s">
        <v>141</v>
      </c>
      <c r="AF38">
        <v>138.99193560000001</v>
      </c>
      <c r="AG38" t="s">
        <v>142</v>
      </c>
      <c r="AH38" t="s">
        <v>1576</v>
      </c>
      <c r="AI38" t="s">
        <v>1577</v>
      </c>
      <c r="AJ38" t="s">
        <v>1578</v>
      </c>
      <c r="AK38" t="s">
        <v>1579</v>
      </c>
      <c r="AL38">
        <v>25.69</v>
      </c>
      <c r="AM38" t="s">
        <v>147</v>
      </c>
      <c r="AN38" t="s">
        <v>396</v>
      </c>
      <c r="AO38" t="s">
        <v>1580</v>
      </c>
      <c r="AP38" t="s">
        <v>1106</v>
      </c>
      <c r="AQ38" t="s">
        <v>1581</v>
      </c>
      <c r="AR38" t="s">
        <v>1253</v>
      </c>
      <c r="AS38" t="s">
        <v>1582</v>
      </c>
      <c r="AT38" t="s">
        <v>1583</v>
      </c>
      <c r="AU38" t="s">
        <v>845</v>
      </c>
      <c r="AV38" t="s">
        <v>1584</v>
      </c>
      <c r="AW38" t="s">
        <v>1585</v>
      </c>
      <c r="AX38" t="s">
        <v>1586</v>
      </c>
      <c r="AY38" t="s">
        <v>1587</v>
      </c>
      <c r="AZ38" t="s">
        <v>268</v>
      </c>
      <c r="BA38" t="s">
        <v>1588</v>
      </c>
      <c r="BB38" t="s">
        <v>1589</v>
      </c>
      <c r="BC38" t="s">
        <v>1590</v>
      </c>
      <c r="BD38" t="s">
        <v>126</v>
      </c>
      <c r="BE38" t="s">
        <v>1591</v>
      </c>
      <c r="BF38" t="s">
        <v>1592</v>
      </c>
      <c r="BG38" t="s">
        <v>1593</v>
      </c>
      <c r="BH38" t="s">
        <v>321</v>
      </c>
      <c r="BI38" t="s">
        <v>1594</v>
      </c>
      <c r="BJ38" t="s">
        <v>162</v>
      </c>
      <c r="BK38" t="s">
        <v>126</v>
      </c>
      <c r="BL38" t="s">
        <v>163</v>
      </c>
      <c r="BM38" t="s">
        <v>124</v>
      </c>
      <c r="BN38" t="s">
        <v>411</v>
      </c>
      <c r="BO38" t="s">
        <v>228</v>
      </c>
      <c r="BP38" t="s">
        <v>276</v>
      </c>
      <c r="BQ38" t="s">
        <v>1595</v>
      </c>
      <c r="BR38" t="s">
        <v>616</v>
      </c>
      <c r="BS38" t="s">
        <v>1596</v>
      </c>
      <c r="BT38" t="s">
        <v>124</v>
      </c>
      <c r="BU38" t="s">
        <v>170</v>
      </c>
      <c r="BV38" t="s">
        <v>171</v>
      </c>
      <c r="BW38" t="s">
        <v>172</v>
      </c>
      <c r="BX38" t="s">
        <v>173</v>
      </c>
      <c r="BY38" t="s">
        <v>136</v>
      </c>
      <c r="BZ38" t="s">
        <v>174</v>
      </c>
      <c r="CA38" t="s">
        <v>136</v>
      </c>
      <c r="CB38" t="s">
        <v>136</v>
      </c>
      <c r="CC38" t="s">
        <v>175</v>
      </c>
      <c r="CD38" t="s">
        <v>176</v>
      </c>
      <c r="CE38" t="s">
        <v>161</v>
      </c>
      <c r="CF38" t="s">
        <v>177</v>
      </c>
      <c r="CG38" t="s">
        <v>178</v>
      </c>
      <c r="CH38" t="s">
        <v>179</v>
      </c>
      <c r="CI38" t="s">
        <v>142</v>
      </c>
      <c r="CJ38" t="s">
        <v>172</v>
      </c>
      <c r="CK38" t="s">
        <v>180</v>
      </c>
      <c r="CL38" t="s">
        <v>180</v>
      </c>
      <c r="CM38" t="s">
        <v>180</v>
      </c>
      <c r="CN38" t="s">
        <v>136</v>
      </c>
      <c r="CO38" t="s">
        <v>181</v>
      </c>
      <c r="CP38" t="s">
        <v>136</v>
      </c>
      <c r="CQ38" t="s">
        <v>136</v>
      </c>
      <c r="CR38" t="s">
        <v>136</v>
      </c>
      <c r="CS38" t="s">
        <v>136</v>
      </c>
      <c r="CT38" t="s">
        <v>1597</v>
      </c>
      <c r="CU38" t="s">
        <v>1598</v>
      </c>
      <c r="CV38" t="s">
        <v>1599</v>
      </c>
      <c r="CW38" t="s">
        <v>1600</v>
      </c>
      <c r="CX38" t="s">
        <v>1601</v>
      </c>
      <c r="CY38" t="s">
        <v>1602</v>
      </c>
      <c r="CZ38" t="s">
        <v>1603</v>
      </c>
      <c r="DA38" t="s">
        <v>1604</v>
      </c>
      <c r="DB38" t="s">
        <v>1573</v>
      </c>
      <c r="DC38" t="s">
        <v>334</v>
      </c>
      <c r="DD38" t="s">
        <v>191</v>
      </c>
      <c r="DE38" t="s">
        <v>192</v>
      </c>
      <c r="DF38" t="s">
        <v>142</v>
      </c>
      <c r="DG38" t="s">
        <v>193</v>
      </c>
      <c r="DH38" t="s">
        <v>194</v>
      </c>
      <c r="DI38" t="s">
        <v>142</v>
      </c>
      <c r="DJ38" t="s">
        <v>195</v>
      </c>
      <c r="DK38" t="s">
        <v>196</v>
      </c>
      <c r="DL38" t="s">
        <v>197</v>
      </c>
      <c r="DM38" t="s">
        <v>136</v>
      </c>
      <c r="DN38" t="s">
        <v>1572</v>
      </c>
      <c r="DO38" t="s">
        <v>198</v>
      </c>
      <c r="DP38" t="s">
        <v>199</v>
      </c>
      <c r="DQ38" t="s">
        <v>200</v>
      </c>
      <c r="DR38" t="s">
        <v>201</v>
      </c>
      <c r="DS38" t="s">
        <v>202</v>
      </c>
      <c r="DT38" t="s">
        <v>203</v>
      </c>
    </row>
    <row r="39" spans="1:124" x14ac:dyDescent="0.45">
      <c r="A39" t="s">
        <v>400</v>
      </c>
      <c r="B39" t="s">
        <v>1605</v>
      </c>
      <c r="C39" t="s">
        <v>126</v>
      </c>
      <c r="D39" t="s">
        <v>127</v>
      </c>
      <c r="E39" t="s">
        <v>128</v>
      </c>
      <c r="H39" t="s">
        <v>1567</v>
      </c>
      <c r="I39">
        <v>2</v>
      </c>
      <c r="J39">
        <v>0.48749398207778311</v>
      </c>
      <c r="K39">
        <v>2.9066320800000001</v>
      </c>
      <c r="L39">
        <v>0.41747584538648669</v>
      </c>
      <c r="M39">
        <v>5.8049248891446226</v>
      </c>
      <c r="N39" t="s">
        <v>1606</v>
      </c>
      <c r="O39" t="s">
        <v>1607</v>
      </c>
      <c r="P39">
        <v>3.3802530638605148</v>
      </c>
      <c r="Q39">
        <v>1.372729063860515</v>
      </c>
      <c r="R39" t="s">
        <v>1608</v>
      </c>
      <c r="S39" t="s">
        <v>1609</v>
      </c>
      <c r="T39">
        <v>33.329255214558422</v>
      </c>
      <c r="U39">
        <v>0.4417875</v>
      </c>
      <c r="V39" t="s">
        <v>134</v>
      </c>
      <c r="W39" t="s">
        <v>1610</v>
      </c>
      <c r="X39" t="s">
        <v>136</v>
      </c>
      <c r="Y39" t="s">
        <v>136</v>
      </c>
      <c r="Z39" t="s">
        <v>136</v>
      </c>
      <c r="AA39" t="s">
        <v>1611</v>
      </c>
      <c r="AB39" t="s">
        <v>1612</v>
      </c>
      <c r="AC39" t="s">
        <v>1613</v>
      </c>
      <c r="AD39" t="s">
        <v>140</v>
      </c>
      <c r="AE39" t="s">
        <v>141</v>
      </c>
      <c r="AF39">
        <v>142.28657100000001</v>
      </c>
      <c r="AG39" t="s">
        <v>142</v>
      </c>
      <c r="AH39" t="s">
        <v>1614</v>
      </c>
      <c r="AI39" t="s">
        <v>1615</v>
      </c>
      <c r="AJ39" t="s">
        <v>1616</v>
      </c>
      <c r="AK39" t="s">
        <v>1141</v>
      </c>
      <c r="AL39">
        <v>26.03</v>
      </c>
      <c r="AM39" t="s">
        <v>349</v>
      </c>
      <c r="AN39" t="s">
        <v>396</v>
      </c>
      <c r="AO39" t="s">
        <v>1617</v>
      </c>
      <c r="AP39" t="s">
        <v>1618</v>
      </c>
      <c r="AQ39" t="s">
        <v>1619</v>
      </c>
      <c r="AR39" t="s">
        <v>1253</v>
      </c>
      <c r="AS39" t="s">
        <v>646</v>
      </c>
      <c r="AT39" t="s">
        <v>161</v>
      </c>
      <c r="AU39" t="s">
        <v>1620</v>
      </c>
      <c r="AV39" t="s">
        <v>1621</v>
      </c>
      <c r="AW39" t="s">
        <v>1622</v>
      </c>
      <c r="AX39" t="s">
        <v>216</v>
      </c>
      <c r="AY39" t="s">
        <v>1623</v>
      </c>
      <c r="AZ39" t="s">
        <v>268</v>
      </c>
      <c r="BA39" t="s">
        <v>1588</v>
      </c>
      <c r="BB39" t="s">
        <v>1589</v>
      </c>
      <c r="BC39" t="s">
        <v>1624</v>
      </c>
      <c r="BD39" t="s">
        <v>126</v>
      </c>
      <c r="BE39" t="s">
        <v>1486</v>
      </c>
      <c r="BF39" t="s">
        <v>1625</v>
      </c>
      <c r="BG39" t="s">
        <v>1626</v>
      </c>
      <c r="BH39" t="s">
        <v>321</v>
      </c>
      <c r="BI39" t="s">
        <v>1627</v>
      </c>
      <c r="BJ39" t="s">
        <v>162</v>
      </c>
      <c r="BK39" t="s">
        <v>126</v>
      </c>
      <c r="BL39" t="s">
        <v>163</v>
      </c>
      <c r="BM39" t="s">
        <v>124</v>
      </c>
      <c r="BN39" t="s">
        <v>171</v>
      </c>
      <c r="BO39" t="s">
        <v>164</v>
      </c>
      <c r="BP39" t="s">
        <v>166</v>
      </c>
      <c r="BQ39" t="s">
        <v>1628</v>
      </c>
      <c r="BR39" t="s">
        <v>1629</v>
      </c>
      <c r="BS39" t="s">
        <v>817</v>
      </c>
      <c r="BT39" t="s">
        <v>124</v>
      </c>
      <c r="BU39" t="s">
        <v>170</v>
      </c>
      <c r="BV39" t="s">
        <v>171</v>
      </c>
      <c r="BW39" t="s">
        <v>172</v>
      </c>
      <c r="BX39" t="s">
        <v>173</v>
      </c>
      <c r="BY39" t="s">
        <v>136</v>
      </c>
      <c r="BZ39" t="s">
        <v>174</v>
      </c>
      <c r="CA39" t="s">
        <v>136</v>
      </c>
      <c r="CB39" t="s">
        <v>136</v>
      </c>
      <c r="CC39" t="s">
        <v>175</v>
      </c>
      <c r="CD39" t="s">
        <v>176</v>
      </c>
      <c r="CE39" t="s">
        <v>161</v>
      </c>
      <c r="CF39" t="s">
        <v>177</v>
      </c>
      <c r="CG39" t="s">
        <v>178</v>
      </c>
      <c r="CH39" t="s">
        <v>179</v>
      </c>
      <c r="CI39" t="s">
        <v>142</v>
      </c>
      <c r="CJ39" t="s">
        <v>172</v>
      </c>
      <c r="CK39" t="s">
        <v>180</v>
      </c>
      <c r="CL39" t="s">
        <v>180</v>
      </c>
      <c r="CM39" t="s">
        <v>180</v>
      </c>
      <c r="CN39" t="s">
        <v>136</v>
      </c>
      <c r="CO39" t="s">
        <v>181</v>
      </c>
      <c r="CP39" t="s">
        <v>136</v>
      </c>
      <c r="CQ39" t="s">
        <v>136</v>
      </c>
      <c r="CR39" t="s">
        <v>136</v>
      </c>
      <c r="CS39" t="s">
        <v>136</v>
      </c>
      <c r="CT39" t="s">
        <v>1630</v>
      </c>
      <c r="CU39" t="s">
        <v>1631</v>
      </c>
      <c r="CV39" t="s">
        <v>1632</v>
      </c>
      <c r="CW39" t="s">
        <v>1633</v>
      </c>
      <c r="CX39" t="s">
        <v>1634</v>
      </c>
      <c r="CY39" t="s">
        <v>1635</v>
      </c>
      <c r="CZ39" t="s">
        <v>1636</v>
      </c>
      <c r="DA39" t="s">
        <v>1637</v>
      </c>
      <c r="DB39" t="s">
        <v>1611</v>
      </c>
      <c r="DC39" t="s">
        <v>1387</v>
      </c>
      <c r="DD39" t="s">
        <v>191</v>
      </c>
      <c r="DE39" t="s">
        <v>192</v>
      </c>
      <c r="DF39" t="s">
        <v>142</v>
      </c>
      <c r="DG39" t="s">
        <v>193</v>
      </c>
      <c r="DH39" t="s">
        <v>194</v>
      </c>
      <c r="DI39" t="s">
        <v>142</v>
      </c>
      <c r="DJ39" t="s">
        <v>195</v>
      </c>
      <c r="DK39" t="s">
        <v>196</v>
      </c>
      <c r="DL39" t="s">
        <v>197</v>
      </c>
      <c r="DM39" t="s">
        <v>136</v>
      </c>
      <c r="DN39" t="s">
        <v>1610</v>
      </c>
      <c r="DO39" t="s">
        <v>198</v>
      </c>
      <c r="DP39" t="s">
        <v>199</v>
      </c>
      <c r="DQ39" t="s">
        <v>200</v>
      </c>
      <c r="DR39" t="s">
        <v>201</v>
      </c>
      <c r="DS39" t="s">
        <v>202</v>
      </c>
      <c r="DT39" t="s">
        <v>203</v>
      </c>
    </row>
    <row r="40" spans="1:124" x14ac:dyDescent="0.45">
      <c r="A40" t="s">
        <v>1638</v>
      </c>
      <c r="B40" t="s">
        <v>1639</v>
      </c>
      <c r="C40" t="s">
        <v>126</v>
      </c>
      <c r="D40" t="s">
        <v>127</v>
      </c>
      <c r="E40" t="s">
        <v>128</v>
      </c>
      <c r="H40" t="s">
        <v>1567</v>
      </c>
      <c r="I40">
        <v>3</v>
      </c>
      <c r="J40">
        <v>0.19139724979968781</v>
      </c>
      <c r="K40">
        <v>2.9042299200000001</v>
      </c>
      <c r="L40">
        <v>0.17956349036371069</v>
      </c>
      <c r="M40">
        <v>2.895410747474731</v>
      </c>
      <c r="N40" t="s">
        <v>1640</v>
      </c>
      <c r="O40" t="s">
        <v>1641</v>
      </c>
      <c r="P40">
        <v>3.5561013727841471</v>
      </c>
      <c r="Q40">
        <v>1.590599372784147</v>
      </c>
      <c r="R40" t="s">
        <v>1642</v>
      </c>
      <c r="S40" t="s">
        <v>1643</v>
      </c>
      <c r="T40">
        <v>35.066575020058643</v>
      </c>
      <c r="U40">
        <v>0.4417875</v>
      </c>
      <c r="V40" t="s">
        <v>134</v>
      </c>
      <c r="W40" t="s">
        <v>1644</v>
      </c>
      <c r="X40" t="s">
        <v>136</v>
      </c>
      <c r="Y40" t="s">
        <v>136</v>
      </c>
      <c r="Z40" t="s">
        <v>136</v>
      </c>
      <c r="AA40" t="s">
        <v>1645</v>
      </c>
      <c r="AB40" t="s">
        <v>1646</v>
      </c>
      <c r="AC40" t="s">
        <v>1647</v>
      </c>
      <c r="AD40" t="s">
        <v>140</v>
      </c>
      <c r="AE40" t="s">
        <v>141</v>
      </c>
      <c r="AF40">
        <v>90.3545874</v>
      </c>
      <c r="AG40" t="s">
        <v>142</v>
      </c>
      <c r="AH40" t="s">
        <v>1648</v>
      </c>
      <c r="AI40" t="s">
        <v>1649</v>
      </c>
      <c r="AJ40" t="s">
        <v>1650</v>
      </c>
      <c r="AK40" t="s">
        <v>1651</v>
      </c>
      <c r="AL40">
        <v>26.89</v>
      </c>
      <c r="AM40" t="s">
        <v>147</v>
      </c>
      <c r="AN40" t="s">
        <v>524</v>
      </c>
      <c r="AO40" t="s">
        <v>840</v>
      </c>
      <c r="AP40" t="s">
        <v>1363</v>
      </c>
      <c r="AQ40" t="s">
        <v>725</v>
      </c>
      <c r="AR40" t="s">
        <v>1652</v>
      </c>
      <c r="AS40" t="s">
        <v>887</v>
      </c>
      <c r="AT40" t="s">
        <v>321</v>
      </c>
      <c r="AU40" t="s">
        <v>724</v>
      </c>
      <c r="AV40" t="s">
        <v>1653</v>
      </c>
      <c r="AW40" t="s">
        <v>1654</v>
      </c>
      <c r="AX40" t="s">
        <v>1655</v>
      </c>
      <c r="AY40" t="s">
        <v>1656</v>
      </c>
      <c r="AZ40" t="s">
        <v>268</v>
      </c>
      <c r="BA40" t="s">
        <v>1371</v>
      </c>
      <c r="BB40" t="s">
        <v>1372</v>
      </c>
      <c r="BC40" t="s">
        <v>1657</v>
      </c>
      <c r="BD40" t="s">
        <v>126</v>
      </c>
      <c r="BE40" t="s">
        <v>539</v>
      </c>
      <c r="BF40" t="s">
        <v>1658</v>
      </c>
      <c r="BG40" t="s">
        <v>1659</v>
      </c>
      <c r="BH40" t="s">
        <v>290</v>
      </c>
      <c r="BI40" t="s">
        <v>367</v>
      </c>
      <c r="BJ40" t="s">
        <v>368</v>
      </c>
      <c r="BK40" t="s">
        <v>126</v>
      </c>
      <c r="BL40" t="s">
        <v>369</v>
      </c>
      <c r="BM40" t="s">
        <v>124</v>
      </c>
      <c r="BN40" t="s">
        <v>165</v>
      </c>
      <c r="BO40" t="s">
        <v>164</v>
      </c>
      <c r="BP40" t="s">
        <v>166</v>
      </c>
      <c r="BQ40" t="s">
        <v>1660</v>
      </c>
      <c r="BR40" t="s">
        <v>1661</v>
      </c>
      <c r="BS40" t="s">
        <v>1662</v>
      </c>
      <c r="BT40" t="s">
        <v>124</v>
      </c>
      <c r="BU40" t="s">
        <v>170</v>
      </c>
      <c r="BV40" t="s">
        <v>171</v>
      </c>
      <c r="BW40" t="s">
        <v>172</v>
      </c>
      <c r="BX40" t="s">
        <v>173</v>
      </c>
      <c r="BY40" t="s">
        <v>136</v>
      </c>
      <c r="BZ40" t="s">
        <v>174</v>
      </c>
      <c r="CA40" t="s">
        <v>136</v>
      </c>
      <c r="CB40" t="s">
        <v>136</v>
      </c>
      <c r="CC40" t="s">
        <v>175</v>
      </c>
      <c r="CD40" t="s">
        <v>176</v>
      </c>
      <c r="CE40" t="s">
        <v>161</v>
      </c>
      <c r="CF40" t="s">
        <v>177</v>
      </c>
      <c r="CG40" t="s">
        <v>178</v>
      </c>
      <c r="CH40" t="s">
        <v>179</v>
      </c>
      <c r="CI40" t="s">
        <v>142</v>
      </c>
      <c r="CJ40" t="s">
        <v>172</v>
      </c>
      <c r="CK40" t="s">
        <v>180</v>
      </c>
      <c r="CL40" t="s">
        <v>180</v>
      </c>
      <c r="CM40" t="s">
        <v>180</v>
      </c>
      <c r="CN40" t="s">
        <v>136</v>
      </c>
      <c r="CO40" t="s">
        <v>181</v>
      </c>
      <c r="CP40" t="s">
        <v>136</v>
      </c>
      <c r="CQ40" t="s">
        <v>136</v>
      </c>
      <c r="CR40" t="s">
        <v>136</v>
      </c>
      <c r="CS40" t="s">
        <v>136</v>
      </c>
      <c r="CT40" t="s">
        <v>1663</v>
      </c>
      <c r="CU40" t="s">
        <v>1664</v>
      </c>
      <c r="CV40" t="s">
        <v>1665</v>
      </c>
      <c r="CW40" t="s">
        <v>1666</v>
      </c>
      <c r="CX40" t="s">
        <v>1667</v>
      </c>
      <c r="CY40" t="s">
        <v>1668</v>
      </c>
      <c r="CZ40" t="s">
        <v>1669</v>
      </c>
      <c r="DA40" t="s">
        <v>1670</v>
      </c>
      <c r="DB40" t="s">
        <v>1645</v>
      </c>
      <c r="DC40" t="s">
        <v>241</v>
      </c>
      <c r="DD40" t="s">
        <v>191</v>
      </c>
      <c r="DE40" t="s">
        <v>192</v>
      </c>
      <c r="DF40" t="s">
        <v>142</v>
      </c>
      <c r="DG40" t="s">
        <v>193</v>
      </c>
      <c r="DH40" t="s">
        <v>194</v>
      </c>
      <c r="DI40" t="s">
        <v>142</v>
      </c>
      <c r="DJ40" t="s">
        <v>195</v>
      </c>
      <c r="DK40" t="s">
        <v>196</v>
      </c>
      <c r="DL40" t="s">
        <v>197</v>
      </c>
      <c r="DM40" t="s">
        <v>136</v>
      </c>
      <c r="DN40" t="s">
        <v>1644</v>
      </c>
      <c r="DO40" t="s">
        <v>198</v>
      </c>
      <c r="DP40" t="s">
        <v>199</v>
      </c>
      <c r="DQ40" t="s">
        <v>200</v>
      </c>
      <c r="DR40" t="s">
        <v>201</v>
      </c>
      <c r="DS40" t="s">
        <v>202</v>
      </c>
      <c r="DT40" t="s">
        <v>203</v>
      </c>
    </row>
    <row r="41" spans="1:124" x14ac:dyDescent="0.45">
      <c r="A41" t="s">
        <v>1671</v>
      </c>
      <c r="B41" t="s">
        <v>1672</v>
      </c>
      <c r="C41" t="s">
        <v>126</v>
      </c>
      <c r="D41" t="s">
        <v>127</v>
      </c>
      <c r="E41" t="s">
        <v>128</v>
      </c>
      <c r="H41" t="s">
        <v>1567</v>
      </c>
      <c r="I41">
        <v>4</v>
      </c>
      <c r="J41">
        <v>0.44069112143849909</v>
      </c>
      <c r="K41">
        <v>2.9058327199999998</v>
      </c>
      <c r="L41">
        <v>0.38265816732954477</v>
      </c>
      <c r="M41">
        <v>5.2830784193279454</v>
      </c>
      <c r="N41" t="s">
        <v>1673</v>
      </c>
      <c r="O41" t="s">
        <v>1674</v>
      </c>
      <c r="P41">
        <v>3.4224765042824301</v>
      </c>
      <c r="Q41">
        <v>1.36248550428243</v>
      </c>
      <c r="R41" t="s">
        <v>1675</v>
      </c>
      <c r="S41" t="s">
        <v>1676</v>
      </c>
      <c r="T41">
        <v>33.745577837531357</v>
      </c>
      <c r="U41">
        <v>0.4417875</v>
      </c>
      <c r="V41" t="s">
        <v>134</v>
      </c>
      <c r="W41" t="s">
        <v>1677</v>
      </c>
      <c r="X41" t="s">
        <v>136</v>
      </c>
      <c r="Y41" t="s">
        <v>136</v>
      </c>
      <c r="Z41" t="s">
        <v>136</v>
      </c>
      <c r="AA41" t="s">
        <v>1678</v>
      </c>
      <c r="AB41" t="s">
        <v>1679</v>
      </c>
      <c r="AC41" t="s">
        <v>1680</v>
      </c>
      <c r="AD41" t="s">
        <v>140</v>
      </c>
      <c r="AE41" t="s">
        <v>141</v>
      </c>
      <c r="AF41">
        <v>86.180807999999999</v>
      </c>
      <c r="AG41" t="s">
        <v>142</v>
      </c>
      <c r="AH41" t="s">
        <v>1681</v>
      </c>
      <c r="AI41" t="s">
        <v>1682</v>
      </c>
      <c r="AJ41" t="s">
        <v>1683</v>
      </c>
      <c r="AK41" t="s">
        <v>436</v>
      </c>
      <c r="AL41">
        <v>26.24</v>
      </c>
      <c r="AM41" t="s">
        <v>349</v>
      </c>
      <c r="AN41" t="s">
        <v>350</v>
      </c>
      <c r="AO41" t="s">
        <v>1105</v>
      </c>
      <c r="AP41" t="s">
        <v>1684</v>
      </c>
      <c r="AQ41" t="s">
        <v>1439</v>
      </c>
      <c r="AR41" t="s">
        <v>1685</v>
      </c>
      <c r="AS41" t="s">
        <v>844</v>
      </c>
      <c r="AT41" t="s">
        <v>263</v>
      </c>
      <c r="AU41" t="s">
        <v>1016</v>
      </c>
      <c r="AV41" t="s">
        <v>1686</v>
      </c>
      <c r="AW41" t="s">
        <v>1687</v>
      </c>
      <c r="AX41" t="s">
        <v>848</v>
      </c>
      <c r="AY41" t="s">
        <v>1688</v>
      </c>
      <c r="AZ41" t="s">
        <v>268</v>
      </c>
      <c r="BA41" t="s">
        <v>1689</v>
      </c>
      <c r="BB41" t="s">
        <v>1690</v>
      </c>
      <c r="BC41" t="s">
        <v>1691</v>
      </c>
      <c r="BD41" t="s">
        <v>126</v>
      </c>
      <c r="BE41" t="s">
        <v>1297</v>
      </c>
      <c r="BF41" t="s">
        <v>1044</v>
      </c>
      <c r="BG41" t="s">
        <v>1659</v>
      </c>
      <c r="BH41" t="s">
        <v>290</v>
      </c>
      <c r="BI41" t="s">
        <v>1153</v>
      </c>
      <c r="BJ41" t="s">
        <v>368</v>
      </c>
      <c r="BK41" t="s">
        <v>126</v>
      </c>
      <c r="BL41" t="s">
        <v>369</v>
      </c>
      <c r="BM41" t="s">
        <v>124</v>
      </c>
      <c r="BN41" t="s">
        <v>276</v>
      </c>
      <c r="BO41" t="s">
        <v>228</v>
      </c>
      <c r="BP41" t="s">
        <v>411</v>
      </c>
      <c r="BQ41" t="s">
        <v>457</v>
      </c>
      <c r="BR41" t="s">
        <v>1692</v>
      </c>
      <c r="BS41" t="s">
        <v>1693</v>
      </c>
      <c r="BT41" t="s">
        <v>124</v>
      </c>
      <c r="BU41" t="s">
        <v>170</v>
      </c>
      <c r="BV41" t="s">
        <v>171</v>
      </c>
      <c r="BW41" t="s">
        <v>172</v>
      </c>
      <c r="BX41" t="s">
        <v>173</v>
      </c>
      <c r="BY41" t="s">
        <v>136</v>
      </c>
      <c r="BZ41" t="s">
        <v>174</v>
      </c>
      <c r="CA41" t="s">
        <v>136</v>
      </c>
      <c r="CB41" t="s">
        <v>136</v>
      </c>
      <c r="CC41" t="s">
        <v>175</v>
      </c>
      <c r="CD41" t="s">
        <v>176</v>
      </c>
      <c r="CE41" t="s">
        <v>161</v>
      </c>
      <c r="CF41" t="s">
        <v>177</v>
      </c>
      <c r="CG41" t="s">
        <v>178</v>
      </c>
      <c r="CH41" t="s">
        <v>179</v>
      </c>
      <c r="CI41" t="s">
        <v>142</v>
      </c>
      <c r="CJ41" t="s">
        <v>172</v>
      </c>
      <c r="CK41" t="s">
        <v>180</v>
      </c>
      <c r="CL41" t="s">
        <v>180</v>
      </c>
      <c r="CM41" t="s">
        <v>180</v>
      </c>
      <c r="CN41" t="s">
        <v>136</v>
      </c>
      <c r="CO41" t="s">
        <v>181</v>
      </c>
      <c r="CP41" t="s">
        <v>136</v>
      </c>
      <c r="CQ41" t="s">
        <v>136</v>
      </c>
      <c r="CR41" t="s">
        <v>136</v>
      </c>
      <c r="CS41" t="s">
        <v>136</v>
      </c>
      <c r="CT41" t="s">
        <v>1694</v>
      </c>
      <c r="CU41" t="s">
        <v>1695</v>
      </c>
      <c r="CV41" t="s">
        <v>1696</v>
      </c>
      <c r="CW41" t="s">
        <v>1697</v>
      </c>
      <c r="CX41" t="s">
        <v>1698</v>
      </c>
      <c r="CY41" t="s">
        <v>1699</v>
      </c>
      <c r="CZ41" t="s">
        <v>1700</v>
      </c>
      <c r="DA41" t="s">
        <v>1701</v>
      </c>
      <c r="DB41" t="s">
        <v>1678</v>
      </c>
      <c r="DC41" t="s">
        <v>1702</v>
      </c>
      <c r="DD41" t="s">
        <v>191</v>
      </c>
      <c r="DE41" t="s">
        <v>192</v>
      </c>
      <c r="DF41" t="s">
        <v>142</v>
      </c>
      <c r="DG41" t="s">
        <v>193</v>
      </c>
      <c r="DH41" t="s">
        <v>194</v>
      </c>
      <c r="DI41" t="s">
        <v>142</v>
      </c>
      <c r="DJ41" t="s">
        <v>195</v>
      </c>
      <c r="DK41" t="s">
        <v>196</v>
      </c>
      <c r="DL41" t="s">
        <v>197</v>
      </c>
      <c r="DM41" t="s">
        <v>136</v>
      </c>
      <c r="DN41" t="s">
        <v>1677</v>
      </c>
      <c r="DO41" t="s">
        <v>198</v>
      </c>
      <c r="DP41" t="s">
        <v>199</v>
      </c>
      <c r="DQ41" t="s">
        <v>200</v>
      </c>
      <c r="DR41" t="s">
        <v>201</v>
      </c>
      <c r="DS41" t="s">
        <v>202</v>
      </c>
      <c r="DT41" t="s">
        <v>203</v>
      </c>
    </row>
    <row r="42" spans="1:124" x14ac:dyDescent="0.45">
      <c r="A42" t="s">
        <v>1703</v>
      </c>
      <c r="B42" t="s">
        <v>1704</v>
      </c>
      <c r="C42" t="s">
        <v>126</v>
      </c>
      <c r="D42" t="s">
        <v>127</v>
      </c>
      <c r="E42" t="s">
        <v>128</v>
      </c>
      <c r="H42" t="s">
        <v>1567</v>
      </c>
      <c r="I42">
        <v>5</v>
      </c>
      <c r="J42">
        <v>0.53061460365536095</v>
      </c>
      <c r="K42">
        <v>2.9050319999999989</v>
      </c>
      <c r="L42">
        <v>0.44866442364767972</v>
      </c>
      <c r="M42">
        <v>6.0939344690680421</v>
      </c>
      <c r="N42" t="s">
        <v>1705</v>
      </c>
      <c r="O42" t="s">
        <v>1706</v>
      </c>
      <c r="P42">
        <v>3.4023130095943248</v>
      </c>
      <c r="Q42">
        <v>1.340412009594325</v>
      </c>
      <c r="R42" t="s">
        <v>1707</v>
      </c>
      <c r="S42" t="s">
        <v>1708</v>
      </c>
      <c r="T42">
        <v>33.546766018480817</v>
      </c>
      <c r="U42">
        <v>0.4417875</v>
      </c>
      <c r="V42" t="s">
        <v>134</v>
      </c>
      <c r="W42" t="s">
        <v>1709</v>
      </c>
      <c r="X42" t="s">
        <v>136</v>
      </c>
      <c r="Y42" t="s">
        <v>136</v>
      </c>
      <c r="Z42" t="s">
        <v>136</v>
      </c>
      <c r="AA42" t="s">
        <v>1710</v>
      </c>
      <c r="AB42" t="s">
        <v>1711</v>
      </c>
      <c r="AC42" t="s">
        <v>1712</v>
      </c>
      <c r="AD42" t="s">
        <v>140</v>
      </c>
      <c r="AE42" t="s">
        <v>141</v>
      </c>
      <c r="AF42">
        <v>81.535423200000011</v>
      </c>
      <c r="AG42" t="s">
        <v>142</v>
      </c>
      <c r="AH42" t="s">
        <v>1713</v>
      </c>
      <c r="AI42" t="s">
        <v>1714</v>
      </c>
      <c r="AJ42" t="s">
        <v>838</v>
      </c>
      <c r="AK42" t="s">
        <v>1715</v>
      </c>
      <c r="AL42">
        <v>26.14</v>
      </c>
      <c r="AM42" t="s">
        <v>349</v>
      </c>
      <c r="AN42" t="s">
        <v>148</v>
      </c>
      <c r="AO42" t="s">
        <v>840</v>
      </c>
      <c r="AP42" t="s">
        <v>1363</v>
      </c>
      <c r="AQ42" t="s">
        <v>1716</v>
      </c>
      <c r="AR42" t="s">
        <v>1717</v>
      </c>
      <c r="AS42" t="s">
        <v>844</v>
      </c>
      <c r="AT42" t="s">
        <v>161</v>
      </c>
      <c r="AU42" t="s">
        <v>1718</v>
      </c>
      <c r="AV42" t="s">
        <v>1719</v>
      </c>
      <c r="AW42" t="s">
        <v>1720</v>
      </c>
      <c r="AX42" t="s">
        <v>1721</v>
      </c>
      <c r="AY42" t="s">
        <v>1722</v>
      </c>
      <c r="AZ42" t="s">
        <v>268</v>
      </c>
      <c r="BA42" t="s">
        <v>1723</v>
      </c>
      <c r="BB42" t="s">
        <v>1724</v>
      </c>
      <c r="BC42" t="s">
        <v>1725</v>
      </c>
      <c r="BD42" t="s">
        <v>126</v>
      </c>
      <c r="BE42" t="s">
        <v>1726</v>
      </c>
      <c r="BF42" t="s">
        <v>1727</v>
      </c>
      <c r="BG42" t="s">
        <v>1728</v>
      </c>
      <c r="BH42" t="s">
        <v>290</v>
      </c>
      <c r="BI42" t="s">
        <v>773</v>
      </c>
      <c r="BJ42" t="s">
        <v>453</v>
      </c>
      <c r="BK42" t="s">
        <v>126</v>
      </c>
      <c r="BL42" t="s">
        <v>454</v>
      </c>
      <c r="BM42" t="s">
        <v>124</v>
      </c>
      <c r="BN42" t="s">
        <v>166</v>
      </c>
      <c r="BO42" t="s">
        <v>171</v>
      </c>
      <c r="BP42" t="s">
        <v>276</v>
      </c>
      <c r="BQ42" t="s">
        <v>860</v>
      </c>
      <c r="BR42" t="s">
        <v>1729</v>
      </c>
      <c r="BS42" t="s">
        <v>1730</v>
      </c>
      <c r="BT42" t="s">
        <v>124</v>
      </c>
      <c r="BU42" t="s">
        <v>170</v>
      </c>
      <c r="BV42" t="s">
        <v>171</v>
      </c>
      <c r="BW42" t="s">
        <v>172</v>
      </c>
      <c r="BX42" t="s">
        <v>173</v>
      </c>
      <c r="BY42" t="s">
        <v>136</v>
      </c>
      <c r="BZ42" t="s">
        <v>174</v>
      </c>
      <c r="CA42" t="s">
        <v>136</v>
      </c>
      <c r="CB42" t="s">
        <v>136</v>
      </c>
      <c r="CC42" t="s">
        <v>175</v>
      </c>
      <c r="CD42" t="s">
        <v>176</v>
      </c>
      <c r="CE42" t="s">
        <v>161</v>
      </c>
      <c r="CF42" t="s">
        <v>177</v>
      </c>
      <c r="CG42" t="s">
        <v>178</v>
      </c>
      <c r="CH42" t="s">
        <v>179</v>
      </c>
      <c r="CI42" t="s">
        <v>142</v>
      </c>
      <c r="CJ42" t="s">
        <v>172</v>
      </c>
      <c r="CK42" t="s">
        <v>180</v>
      </c>
      <c r="CL42" t="s">
        <v>180</v>
      </c>
      <c r="CM42" t="s">
        <v>180</v>
      </c>
      <c r="CN42" t="s">
        <v>136</v>
      </c>
      <c r="CO42" t="s">
        <v>181</v>
      </c>
      <c r="CP42" t="s">
        <v>136</v>
      </c>
      <c r="CQ42" t="s">
        <v>136</v>
      </c>
      <c r="CR42" t="s">
        <v>136</v>
      </c>
      <c r="CS42" t="s">
        <v>136</v>
      </c>
      <c r="CT42" t="s">
        <v>1731</v>
      </c>
      <c r="CU42" t="s">
        <v>1732</v>
      </c>
      <c r="CV42" t="s">
        <v>1733</v>
      </c>
      <c r="CW42" t="s">
        <v>1734</v>
      </c>
      <c r="CX42" t="s">
        <v>1735</v>
      </c>
      <c r="CY42" t="s">
        <v>1736</v>
      </c>
      <c r="CZ42" t="s">
        <v>1737</v>
      </c>
      <c r="DA42" t="s">
        <v>1738</v>
      </c>
      <c r="DB42" t="s">
        <v>1710</v>
      </c>
      <c r="DC42" t="s">
        <v>1387</v>
      </c>
      <c r="DD42" t="s">
        <v>191</v>
      </c>
      <c r="DE42" t="s">
        <v>192</v>
      </c>
      <c r="DF42" t="s">
        <v>142</v>
      </c>
      <c r="DG42" t="s">
        <v>193</v>
      </c>
      <c r="DH42" t="s">
        <v>194</v>
      </c>
      <c r="DI42" t="s">
        <v>142</v>
      </c>
      <c r="DJ42" t="s">
        <v>195</v>
      </c>
      <c r="DK42" t="s">
        <v>196</v>
      </c>
      <c r="DL42" t="s">
        <v>197</v>
      </c>
      <c r="DM42" t="s">
        <v>136</v>
      </c>
      <c r="DN42" t="s">
        <v>1709</v>
      </c>
      <c r="DO42" t="s">
        <v>198</v>
      </c>
      <c r="DP42" t="s">
        <v>199</v>
      </c>
      <c r="DQ42" t="s">
        <v>200</v>
      </c>
      <c r="DR42" t="s">
        <v>201</v>
      </c>
      <c r="DS42" t="s">
        <v>202</v>
      </c>
      <c r="DT42" t="s">
        <v>203</v>
      </c>
    </row>
    <row r="43" spans="1:124" x14ac:dyDescent="0.45">
      <c r="A43" t="s">
        <v>1739</v>
      </c>
      <c r="B43" t="s">
        <v>1740</v>
      </c>
      <c r="C43" t="s">
        <v>126</v>
      </c>
      <c r="D43" t="s">
        <v>127</v>
      </c>
      <c r="E43" t="s">
        <v>128</v>
      </c>
      <c r="H43" t="s">
        <v>1567</v>
      </c>
      <c r="I43">
        <v>6</v>
      </c>
      <c r="J43">
        <v>0.63158171006336938</v>
      </c>
      <c r="K43">
        <v>2.9058327199999998</v>
      </c>
      <c r="L43">
        <v>0.51881701585720474</v>
      </c>
      <c r="M43">
        <v>6.8424157907358101</v>
      </c>
      <c r="N43" t="s">
        <v>1741</v>
      </c>
      <c r="O43" t="s">
        <v>1742</v>
      </c>
      <c r="P43">
        <v>3.388260365048168</v>
      </c>
      <c r="Q43">
        <v>1.301381365048168</v>
      </c>
      <c r="R43" t="s">
        <v>1743</v>
      </c>
      <c r="S43" t="s">
        <v>1744</v>
      </c>
      <c r="T43">
        <v>33.408207109526401</v>
      </c>
      <c r="U43">
        <v>0.4417875</v>
      </c>
      <c r="V43" t="s">
        <v>134</v>
      </c>
      <c r="W43" t="s">
        <v>1745</v>
      </c>
      <c r="X43" t="s">
        <v>136</v>
      </c>
      <c r="Y43" t="s">
        <v>136</v>
      </c>
      <c r="Z43" t="s">
        <v>136</v>
      </c>
      <c r="AA43" t="s">
        <v>1746</v>
      </c>
      <c r="AB43" t="s">
        <v>1747</v>
      </c>
      <c r="AC43" t="s">
        <v>1748</v>
      </c>
      <c r="AD43" t="s">
        <v>140</v>
      </c>
      <c r="AE43" t="s">
        <v>141</v>
      </c>
      <c r="AF43">
        <v>84.388439099999985</v>
      </c>
      <c r="AG43" t="s">
        <v>142</v>
      </c>
      <c r="AH43" t="s">
        <v>392</v>
      </c>
      <c r="AI43" t="s">
        <v>1399</v>
      </c>
      <c r="AJ43" t="s">
        <v>838</v>
      </c>
      <c r="AK43" t="s">
        <v>964</v>
      </c>
      <c r="AL43">
        <v>26.07</v>
      </c>
      <c r="AM43" t="s">
        <v>349</v>
      </c>
      <c r="AN43" t="s">
        <v>350</v>
      </c>
      <c r="AO43" t="s">
        <v>957</v>
      </c>
      <c r="AP43" t="s">
        <v>1749</v>
      </c>
      <c r="AQ43" t="s">
        <v>1750</v>
      </c>
      <c r="AR43" t="s">
        <v>1717</v>
      </c>
      <c r="AS43" t="s">
        <v>960</v>
      </c>
      <c r="AT43" t="s">
        <v>1237</v>
      </c>
      <c r="AU43" t="s">
        <v>1751</v>
      </c>
      <c r="AV43" t="s">
        <v>1752</v>
      </c>
      <c r="AW43" t="s">
        <v>1753</v>
      </c>
      <c r="AX43" t="s">
        <v>1754</v>
      </c>
      <c r="AY43" t="s">
        <v>1755</v>
      </c>
      <c r="AZ43" t="s">
        <v>268</v>
      </c>
      <c r="BA43" t="s">
        <v>1756</v>
      </c>
      <c r="BB43" t="s">
        <v>1757</v>
      </c>
      <c r="BC43" t="s">
        <v>1758</v>
      </c>
      <c r="BD43" t="s">
        <v>126</v>
      </c>
      <c r="BE43" t="s">
        <v>272</v>
      </c>
      <c r="BF43" t="s">
        <v>365</v>
      </c>
      <c r="BG43" t="s">
        <v>1449</v>
      </c>
      <c r="BH43" t="s">
        <v>628</v>
      </c>
      <c r="BI43" t="s">
        <v>496</v>
      </c>
      <c r="BJ43" t="s">
        <v>453</v>
      </c>
      <c r="BK43" t="s">
        <v>126</v>
      </c>
      <c r="BL43" t="s">
        <v>454</v>
      </c>
      <c r="BM43" t="s">
        <v>124</v>
      </c>
      <c r="BN43" t="s">
        <v>276</v>
      </c>
      <c r="BO43" t="s">
        <v>164</v>
      </c>
      <c r="BP43" t="s">
        <v>166</v>
      </c>
      <c r="BQ43" t="s">
        <v>1759</v>
      </c>
      <c r="BR43" t="s">
        <v>1760</v>
      </c>
      <c r="BS43" t="s">
        <v>1761</v>
      </c>
      <c r="BT43" t="s">
        <v>124</v>
      </c>
      <c r="BU43" t="s">
        <v>170</v>
      </c>
      <c r="BV43" t="s">
        <v>171</v>
      </c>
      <c r="BW43" t="s">
        <v>172</v>
      </c>
      <c r="BX43" t="s">
        <v>173</v>
      </c>
      <c r="BY43" t="s">
        <v>136</v>
      </c>
      <c r="BZ43" t="s">
        <v>174</v>
      </c>
      <c r="CA43" t="s">
        <v>136</v>
      </c>
      <c r="CB43" t="s">
        <v>136</v>
      </c>
      <c r="CC43" t="s">
        <v>175</v>
      </c>
      <c r="CD43" t="s">
        <v>176</v>
      </c>
      <c r="CE43" t="s">
        <v>161</v>
      </c>
      <c r="CF43" t="s">
        <v>177</v>
      </c>
      <c r="CG43" t="s">
        <v>178</v>
      </c>
      <c r="CH43" t="s">
        <v>179</v>
      </c>
      <c r="CI43" t="s">
        <v>142</v>
      </c>
      <c r="CJ43" t="s">
        <v>172</v>
      </c>
      <c r="CK43" t="s">
        <v>180</v>
      </c>
      <c r="CL43" t="s">
        <v>180</v>
      </c>
      <c r="CM43" t="s">
        <v>180</v>
      </c>
      <c r="CN43" t="s">
        <v>136</v>
      </c>
      <c r="CO43" t="s">
        <v>181</v>
      </c>
      <c r="CP43" t="s">
        <v>136</v>
      </c>
      <c r="CQ43" t="s">
        <v>136</v>
      </c>
      <c r="CR43" t="s">
        <v>136</v>
      </c>
      <c r="CS43" t="s">
        <v>136</v>
      </c>
      <c r="CT43" t="s">
        <v>1762</v>
      </c>
      <c r="CU43" t="s">
        <v>1763</v>
      </c>
      <c r="CV43" t="s">
        <v>1456</v>
      </c>
      <c r="CW43" t="s">
        <v>1764</v>
      </c>
      <c r="CX43" t="s">
        <v>1765</v>
      </c>
      <c r="CY43" t="s">
        <v>1766</v>
      </c>
      <c r="CZ43" t="s">
        <v>1767</v>
      </c>
      <c r="DA43" t="s">
        <v>1768</v>
      </c>
      <c r="DB43" t="s">
        <v>1746</v>
      </c>
      <c r="DC43" t="s">
        <v>826</v>
      </c>
      <c r="DD43" t="s">
        <v>191</v>
      </c>
      <c r="DE43" t="s">
        <v>192</v>
      </c>
      <c r="DF43" t="s">
        <v>142</v>
      </c>
      <c r="DG43" t="s">
        <v>193</v>
      </c>
      <c r="DH43" t="s">
        <v>194</v>
      </c>
      <c r="DI43" t="s">
        <v>142</v>
      </c>
      <c r="DJ43" t="s">
        <v>195</v>
      </c>
      <c r="DK43" t="s">
        <v>196</v>
      </c>
      <c r="DL43" t="s">
        <v>197</v>
      </c>
      <c r="DM43" t="s">
        <v>136</v>
      </c>
      <c r="DN43" t="s">
        <v>1745</v>
      </c>
      <c r="DO43" t="s">
        <v>198</v>
      </c>
      <c r="DP43" t="s">
        <v>199</v>
      </c>
      <c r="DQ43" t="s">
        <v>200</v>
      </c>
      <c r="DR43" t="s">
        <v>201</v>
      </c>
      <c r="DS43" t="s">
        <v>202</v>
      </c>
      <c r="DT43" t="s">
        <v>203</v>
      </c>
    </row>
    <row r="44" spans="1:124" x14ac:dyDescent="0.45">
      <c r="A44" t="s">
        <v>1769</v>
      </c>
      <c r="B44" t="s">
        <v>1770</v>
      </c>
      <c r="C44" t="s">
        <v>126</v>
      </c>
      <c r="D44" t="s">
        <v>127</v>
      </c>
      <c r="E44" t="s">
        <v>128</v>
      </c>
      <c r="H44" t="s">
        <v>1567</v>
      </c>
      <c r="I44">
        <v>7</v>
      </c>
      <c r="J44">
        <v>0.30787643964859879</v>
      </c>
      <c r="K44">
        <v>2.9042299200000001</v>
      </c>
      <c r="L44">
        <v>0.2783668619828496</v>
      </c>
      <c r="M44">
        <v>4.1541163578849432</v>
      </c>
      <c r="N44" t="s">
        <v>1771</v>
      </c>
      <c r="O44" t="s">
        <v>1772</v>
      </c>
      <c r="P44">
        <v>3.448845008891968</v>
      </c>
      <c r="Q44">
        <v>1.473482008891968</v>
      </c>
      <c r="R44" t="s">
        <v>1773</v>
      </c>
      <c r="S44" t="s">
        <v>1774</v>
      </c>
      <c r="T44">
        <v>33.995515119684264</v>
      </c>
      <c r="U44">
        <v>0.4417875</v>
      </c>
      <c r="V44" t="s">
        <v>134</v>
      </c>
      <c r="W44" t="s">
        <v>1775</v>
      </c>
      <c r="X44" t="s">
        <v>136</v>
      </c>
      <c r="Y44" t="s">
        <v>136</v>
      </c>
      <c r="Z44" t="s">
        <v>136</v>
      </c>
      <c r="AA44" t="s">
        <v>1776</v>
      </c>
      <c r="AB44" t="s">
        <v>1777</v>
      </c>
      <c r="AC44" t="s">
        <v>1778</v>
      </c>
      <c r="AD44" t="s">
        <v>140</v>
      </c>
      <c r="AE44" t="s">
        <v>141</v>
      </c>
      <c r="AF44">
        <v>60.758456639999991</v>
      </c>
      <c r="AG44" t="s">
        <v>142</v>
      </c>
      <c r="AH44" t="s">
        <v>1779</v>
      </c>
      <c r="AI44" t="s">
        <v>1780</v>
      </c>
      <c r="AJ44" t="s">
        <v>1781</v>
      </c>
      <c r="AK44" t="s">
        <v>1029</v>
      </c>
      <c r="AL44">
        <v>26.37</v>
      </c>
      <c r="AM44" t="s">
        <v>481</v>
      </c>
      <c r="AN44" t="s">
        <v>524</v>
      </c>
      <c r="AO44" t="s">
        <v>1782</v>
      </c>
      <c r="AP44" t="s">
        <v>1783</v>
      </c>
      <c r="AQ44" t="s">
        <v>1784</v>
      </c>
      <c r="AR44" t="s">
        <v>1785</v>
      </c>
      <c r="AS44" t="s">
        <v>1786</v>
      </c>
      <c r="AT44" t="s">
        <v>204</v>
      </c>
      <c r="AU44" t="s">
        <v>1787</v>
      </c>
      <c r="AV44" t="s">
        <v>1788</v>
      </c>
      <c r="AW44" t="s">
        <v>1789</v>
      </c>
      <c r="AX44" t="s">
        <v>1790</v>
      </c>
      <c r="AY44" t="s">
        <v>1791</v>
      </c>
      <c r="AZ44" t="s">
        <v>445</v>
      </c>
      <c r="BA44" t="s">
        <v>1792</v>
      </c>
      <c r="BB44" t="s">
        <v>1793</v>
      </c>
      <c r="BC44" t="s">
        <v>1794</v>
      </c>
      <c r="BD44" t="s">
        <v>126</v>
      </c>
      <c r="BE44" t="s">
        <v>1486</v>
      </c>
      <c r="BF44" t="s">
        <v>1658</v>
      </c>
      <c r="BG44" t="s">
        <v>1152</v>
      </c>
      <c r="BH44" t="s">
        <v>628</v>
      </c>
      <c r="BI44" t="s">
        <v>773</v>
      </c>
      <c r="BJ44" t="s">
        <v>858</v>
      </c>
      <c r="BK44" t="s">
        <v>126</v>
      </c>
      <c r="BL44" t="s">
        <v>859</v>
      </c>
      <c r="BM44" t="s">
        <v>124</v>
      </c>
      <c r="BN44" t="s">
        <v>228</v>
      </c>
      <c r="BO44" t="s">
        <v>171</v>
      </c>
      <c r="BP44" t="s">
        <v>276</v>
      </c>
      <c r="BQ44" t="s">
        <v>618</v>
      </c>
      <c r="BR44" t="s">
        <v>1795</v>
      </c>
      <c r="BS44" t="s">
        <v>458</v>
      </c>
      <c r="BT44" t="s">
        <v>124</v>
      </c>
      <c r="BU44" t="s">
        <v>170</v>
      </c>
      <c r="BV44" t="s">
        <v>171</v>
      </c>
      <c r="BW44" t="s">
        <v>172</v>
      </c>
      <c r="BX44" t="s">
        <v>173</v>
      </c>
      <c r="BY44" t="s">
        <v>136</v>
      </c>
      <c r="BZ44" t="s">
        <v>174</v>
      </c>
      <c r="CA44" t="s">
        <v>136</v>
      </c>
      <c r="CB44" t="s">
        <v>136</v>
      </c>
      <c r="CC44" t="s">
        <v>175</v>
      </c>
      <c r="CD44" t="s">
        <v>176</v>
      </c>
      <c r="CE44" t="s">
        <v>161</v>
      </c>
      <c r="CF44" t="s">
        <v>177</v>
      </c>
      <c r="CG44" t="s">
        <v>178</v>
      </c>
      <c r="CH44" t="s">
        <v>179</v>
      </c>
      <c r="CI44" t="s">
        <v>142</v>
      </c>
      <c r="CJ44" t="s">
        <v>172</v>
      </c>
      <c r="CK44" t="s">
        <v>180</v>
      </c>
      <c r="CL44" t="s">
        <v>180</v>
      </c>
      <c r="CM44" t="s">
        <v>180</v>
      </c>
      <c r="CN44" t="s">
        <v>136</v>
      </c>
      <c r="CO44" t="s">
        <v>181</v>
      </c>
      <c r="CP44" t="s">
        <v>136</v>
      </c>
      <c r="CQ44" t="s">
        <v>136</v>
      </c>
      <c r="CR44" t="s">
        <v>136</v>
      </c>
      <c r="CS44" t="s">
        <v>136</v>
      </c>
      <c r="CT44" t="s">
        <v>1796</v>
      </c>
      <c r="CU44" t="s">
        <v>1797</v>
      </c>
      <c r="CV44" t="s">
        <v>1798</v>
      </c>
      <c r="CW44" t="s">
        <v>1799</v>
      </c>
      <c r="CX44" t="s">
        <v>1800</v>
      </c>
      <c r="CY44" t="s">
        <v>1801</v>
      </c>
      <c r="CZ44" t="s">
        <v>1802</v>
      </c>
      <c r="DA44" t="s">
        <v>1803</v>
      </c>
      <c r="DB44" t="s">
        <v>1776</v>
      </c>
      <c r="DC44" t="s">
        <v>708</v>
      </c>
      <c r="DD44" t="s">
        <v>191</v>
      </c>
      <c r="DE44" t="s">
        <v>192</v>
      </c>
      <c r="DF44" t="s">
        <v>142</v>
      </c>
      <c r="DG44" t="s">
        <v>193</v>
      </c>
      <c r="DH44" t="s">
        <v>194</v>
      </c>
      <c r="DI44" t="s">
        <v>142</v>
      </c>
      <c r="DJ44" t="s">
        <v>195</v>
      </c>
      <c r="DK44" t="s">
        <v>196</v>
      </c>
      <c r="DL44" t="s">
        <v>197</v>
      </c>
      <c r="DM44" t="s">
        <v>136</v>
      </c>
      <c r="DN44" t="s">
        <v>1775</v>
      </c>
      <c r="DO44" t="s">
        <v>198</v>
      </c>
      <c r="DP44" t="s">
        <v>199</v>
      </c>
      <c r="DQ44" t="s">
        <v>200</v>
      </c>
      <c r="DR44" t="s">
        <v>201</v>
      </c>
      <c r="DS44" t="s">
        <v>202</v>
      </c>
      <c r="DT44" t="s">
        <v>203</v>
      </c>
    </row>
    <row r="45" spans="1:124" x14ac:dyDescent="0.45">
      <c r="A45" t="s">
        <v>1804</v>
      </c>
      <c r="B45" t="s">
        <v>1805</v>
      </c>
      <c r="C45" t="s">
        <v>126</v>
      </c>
      <c r="D45" t="s">
        <v>127</v>
      </c>
      <c r="E45" t="s">
        <v>128</v>
      </c>
      <c r="H45" t="s">
        <v>1567</v>
      </c>
      <c r="I45">
        <v>8</v>
      </c>
      <c r="J45">
        <v>0.40102318895905098</v>
      </c>
      <c r="K45">
        <v>2.9034264799999998</v>
      </c>
      <c r="L45">
        <v>0.35235560004293742</v>
      </c>
      <c r="M45">
        <v>4.9810884646352722</v>
      </c>
      <c r="N45" t="s">
        <v>1806</v>
      </c>
      <c r="O45" t="s">
        <v>1807</v>
      </c>
      <c r="P45">
        <v>3.4184354777465531</v>
      </c>
      <c r="Q45">
        <v>1.3957174777465531</v>
      </c>
      <c r="R45" t="s">
        <v>1808</v>
      </c>
      <c r="S45" t="s">
        <v>1809</v>
      </c>
      <c r="T45">
        <v>33.69576616802911</v>
      </c>
      <c r="U45">
        <v>0.4417875</v>
      </c>
      <c r="V45" t="s">
        <v>134</v>
      </c>
      <c r="W45" t="s">
        <v>1810</v>
      </c>
      <c r="X45" t="s">
        <v>136</v>
      </c>
      <c r="Y45" t="s">
        <v>136</v>
      </c>
      <c r="Z45" t="s">
        <v>136</v>
      </c>
      <c r="AA45" t="s">
        <v>1811</v>
      </c>
      <c r="AB45" t="s">
        <v>1812</v>
      </c>
      <c r="AC45" t="s">
        <v>1813</v>
      </c>
      <c r="AD45" t="s">
        <v>140</v>
      </c>
      <c r="AE45" t="s">
        <v>141</v>
      </c>
      <c r="AF45">
        <v>62.415938339999997</v>
      </c>
      <c r="AG45" t="s">
        <v>142</v>
      </c>
      <c r="AH45" t="s">
        <v>1814</v>
      </c>
      <c r="AI45" t="s">
        <v>1815</v>
      </c>
      <c r="AJ45" t="s">
        <v>1816</v>
      </c>
      <c r="AK45" t="s">
        <v>1323</v>
      </c>
      <c r="AL45">
        <v>26.22</v>
      </c>
      <c r="AM45" t="s">
        <v>481</v>
      </c>
      <c r="AN45" t="s">
        <v>304</v>
      </c>
      <c r="AO45" t="s">
        <v>1817</v>
      </c>
      <c r="AP45" t="s">
        <v>1818</v>
      </c>
      <c r="AQ45" t="s">
        <v>1819</v>
      </c>
      <c r="AR45" t="s">
        <v>1820</v>
      </c>
      <c r="AS45" t="s">
        <v>530</v>
      </c>
      <c r="AT45" t="s">
        <v>572</v>
      </c>
      <c r="AU45" t="s">
        <v>1821</v>
      </c>
      <c r="AV45" t="s">
        <v>1822</v>
      </c>
      <c r="AW45" t="s">
        <v>1823</v>
      </c>
      <c r="AX45" t="s">
        <v>1824</v>
      </c>
      <c r="AY45" t="s">
        <v>1825</v>
      </c>
      <c r="AZ45" t="s">
        <v>445</v>
      </c>
      <c r="BA45" t="s">
        <v>1826</v>
      </c>
      <c r="BB45" t="s">
        <v>1827</v>
      </c>
      <c r="BC45" t="s">
        <v>1828</v>
      </c>
      <c r="BD45" t="s">
        <v>126</v>
      </c>
      <c r="BE45" t="s">
        <v>1829</v>
      </c>
      <c r="BF45" t="s">
        <v>1658</v>
      </c>
      <c r="BG45" t="s">
        <v>450</v>
      </c>
      <c r="BH45" t="s">
        <v>979</v>
      </c>
      <c r="BI45" t="s">
        <v>1520</v>
      </c>
      <c r="BJ45" t="s">
        <v>858</v>
      </c>
      <c r="BK45" t="s">
        <v>126</v>
      </c>
      <c r="BL45" t="s">
        <v>859</v>
      </c>
      <c r="BM45" t="s">
        <v>124</v>
      </c>
      <c r="BN45" t="s">
        <v>411</v>
      </c>
      <c r="BO45" t="s">
        <v>171</v>
      </c>
      <c r="BP45" t="s">
        <v>411</v>
      </c>
      <c r="BQ45" t="s">
        <v>1830</v>
      </c>
      <c r="BR45" t="s">
        <v>1831</v>
      </c>
      <c r="BS45" t="s">
        <v>498</v>
      </c>
      <c r="BT45" t="s">
        <v>124</v>
      </c>
      <c r="BU45" t="s">
        <v>170</v>
      </c>
      <c r="BV45" t="s">
        <v>171</v>
      </c>
      <c r="BW45" t="s">
        <v>172</v>
      </c>
      <c r="BX45" t="s">
        <v>173</v>
      </c>
      <c r="BY45" t="s">
        <v>136</v>
      </c>
      <c r="BZ45" t="s">
        <v>174</v>
      </c>
      <c r="CA45" t="s">
        <v>136</v>
      </c>
      <c r="CB45" t="s">
        <v>136</v>
      </c>
      <c r="CC45" t="s">
        <v>175</v>
      </c>
      <c r="CD45" t="s">
        <v>176</v>
      </c>
      <c r="CE45" t="s">
        <v>161</v>
      </c>
      <c r="CF45" t="s">
        <v>177</v>
      </c>
      <c r="CG45" t="s">
        <v>178</v>
      </c>
      <c r="CH45" t="s">
        <v>179</v>
      </c>
      <c r="CI45" t="s">
        <v>142</v>
      </c>
      <c r="CJ45" t="s">
        <v>172</v>
      </c>
      <c r="CK45" t="s">
        <v>180</v>
      </c>
      <c r="CL45" t="s">
        <v>180</v>
      </c>
      <c r="CM45" t="s">
        <v>180</v>
      </c>
      <c r="CN45" t="s">
        <v>136</v>
      </c>
      <c r="CO45" t="s">
        <v>181</v>
      </c>
      <c r="CP45" t="s">
        <v>136</v>
      </c>
      <c r="CQ45" t="s">
        <v>136</v>
      </c>
      <c r="CR45" t="s">
        <v>136</v>
      </c>
      <c r="CS45" t="s">
        <v>136</v>
      </c>
      <c r="CT45" t="s">
        <v>1832</v>
      </c>
      <c r="CU45" t="s">
        <v>1833</v>
      </c>
      <c r="CV45" t="s">
        <v>1834</v>
      </c>
      <c r="CW45" t="s">
        <v>1835</v>
      </c>
      <c r="CX45" t="s">
        <v>1836</v>
      </c>
      <c r="CY45" t="s">
        <v>1837</v>
      </c>
      <c r="CZ45" t="s">
        <v>1838</v>
      </c>
      <c r="DA45" t="s">
        <v>1839</v>
      </c>
      <c r="DB45" t="s">
        <v>1811</v>
      </c>
      <c r="DC45" t="s">
        <v>1309</v>
      </c>
      <c r="DD45" t="s">
        <v>191</v>
      </c>
      <c r="DE45" t="s">
        <v>192</v>
      </c>
      <c r="DF45" t="s">
        <v>142</v>
      </c>
      <c r="DG45" t="s">
        <v>193</v>
      </c>
      <c r="DH45" t="s">
        <v>194</v>
      </c>
      <c r="DI45" t="s">
        <v>142</v>
      </c>
      <c r="DJ45" t="s">
        <v>195</v>
      </c>
      <c r="DK45" t="s">
        <v>196</v>
      </c>
      <c r="DL45" t="s">
        <v>197</v>
      </c>
      <c r="DM45" t="s">
        <v>136</v>
      </c>
      <c r="DN45" t="s">
        <v>1810</v>
      </c>
      <c r="DO45" t="s">
        <v>198</v>
      </c>
      <c r="DP45" t="s">
        <v>199</v>
      </c>
      <c r="DQ45" t="s">
        <v>200</v>
      </c>
      <c r="DR45" t="s">
        <v>201</v>
      </c>
      <c r="DS45" t="s">
        <v>202</v>
      </c>
      <c r="DT45" t="s">
        <v>203</v>
      </c>
    </row>
    <row r="46" spans="1:124" x14ac:dyDescent="0.45">
      <c r="A46" t="s">
        <v>1840</v>
      </c>
      <c r="B46" t="s">
        <v>1841</v>
      </c>
      <c r="C46" t="s">
        <v>126</v>
      </c>
      <c r="D46" t="s">
        <v>127</v>
      </c>
      <c r="E46" t="s">
        <v>128</v>
      </c>
      <c r="H46" t="s">
        <v>1567</v>
      </c>
      <c r="I46">
        <v>9</v>
      </c>
      <c r="J46">
        <v>0.26806604495130609</v>
      </c>
      <c r="K46">
        <v>2.9050319999999989</v>
      </c>
      <c r="L46">
        <v>0.24541959550730899</v>
      </c>
      <c r="M46">
        <v>3.6489829632882631</v>
      </c>
      <c r="N46" t="s">
        <v>1842</v>
      </c>
      <c r="O46" t="s">
        <v>1843</v>
      </c>
      <c r="P46">
        <v>3.4529174070814612</v>
      </c>
      <c r="Q46">
        <v>1.4678224070814609</v>
      </c>
      <c r="R46" t="s">
        <v>1844</v>
      </c>
      <c r="S46" t="s">
        <v>1845</v>
      </c>
      <c r="T46">
        <v>34.039012293784133</v>
      </c>
      <c r="U46">
        <v>0.4417875</v>
      </c>
      <c r="V46" t="s">
        <v>134</v>
      </c>
      <c r="W46" t="s">
        <v>1846</v>
      </c>
      <c r="X46" t="s">
        <v>136</v>
      </c>
      <c r="Y46" t="s">
        <v>136</v>
      </c>
      <c r="Z46" t="s">
        <v>136</v>
      </c>
      <c r="AA46" t="s">
        <v>1847</v>
      </c>
      <c r="AB46" t="s">
        <v>1848</v>
      </c>
      <c r="AC46" t="s">
        <v>1849</v>
      </c>
      <c r="AD46" t="s">
        <v>140</v>
      </c>
      <c r="AE46" t="s">
        <v>141</v>
      </c>
      <c r="AF46">
        <v>61.000002000000002</v>
      </c>
      <c r="AG46" t="s">
        <v>142</v>
      </c>
      <c r="AH46" t="s">
        <v>1850</v>
      </c>
      <c r="AI46" t="s">
        <v>1851</v>
      </c>
      <c r="AJ46" t="s">
        <v>1852</v>
      </c>
      <c r="AK46" t="s">
        <v>1853</v>
      </c>
      <c r="AL46">
        <v>26.39</v>
      </c>
      <c r="AM46" t="s">
        <v>218</v>
      </c>
      <c r="AN46" t="s">
        <v>148</v>
      </c>
      <c r="AO46" t="s">
        <v>1854</v>
      </c>
      <c r="AP46" t="s">
        <v>1855</v>
      </c>
      <c r="AQ46" t="s">
        <v>1856</v>
      </c>
      <c r="AR46" t="s">
        <v>1785</v>
      </c>
      <c r="AS46" t="s">
        <v>309</v>
      </c>
      <c r="AT46" t="s">
        <v>887</v>
      </c>
      <c r="AU46" t="s">
        <v>1857</v>
      </c>
      <c r="AV46" t="s">
        <v>1858</v>
      </c>
      <c r="AW46" t="s">
        <v>1859</v>
      </c>
      <c r="AX46" t="s">
        <v>1860</v>
      </c>
      <c r="AY46" t="s">
        <v>1861</v>
      </c>
      <c r="AZ46" t="s">
        <v>445</v>
      </c>
      <c r="BA46" t="s">
        <v>1826</v>
      </c>
      <c r="BB46" t="s">
        <v>1827</v>
      </c>
      <c r="BC46" t="s">
        <v>1862</v>
      </c>
      <c r="BD46" t="s">
        <v>126</v>
      </c>
      <c r="BE46" t="s">
        <v>1486</v>
      </c>
      <c r="BF46" t="s">
        <v>1658</v>
      </c>
      <c r="BG46" t="s">
        <v>1556</v>
      </c>
      <c r="BH46" t="s">
        <v>628</v>
      </c>
      <c r="BI46" t="s">
        <v>773</v>
      </c>
      <c r="BJ46" t="s">
        <v>858</v>
      </c>
      <c r="BK46" t="s">
        <v>126</v>
      </c>
      <c r="BL46" t="s">
        <v>859</v>
      </c>
      <c r="BM46" t="s">
        <v>124</v>
      </c>
      <c r="BN46" t="s">
        <v>229</v>
      </c>
      <c r="BO46" t="s">
        <v>164</v>
      </c>
      <c r="BP46" t="s">
        <v>277</v>
      </c>
      <c r="BQ46" t="s">
        <v>1863</v>
      </c>
      <c r="BR46" t="s">
        <v>1864</v>
      </c>
      <c r="BS46" t="s">
        <v>1865</v>
      </c>
      <c r="BT46" t="s">
        <v>124</v>
      </c>
      <c r="BU46" t="s">
        <v>170</v>
      </c>
      <c r="BV46" t="s">
        <v>171</v>
      </c>
      <c r="BW46" t="s">
        <v>172</v>
      </c>
      <c r="BX46" t="s">
        <v>173</v>
      </c>
      <c r="BY46" t="s">
        <v>136</v>
      </c>
      <c r="BZ46" t="s">
        <v>174</v>
      </c>
      <c r="CA46" t="s">
        <v>136</v>
      </c>
      <c r="CB46" t="s">
        <v>136</v>
      </c>
      <c r="CC46" t="s">
        <v>175</v>
      </c>
      <c r="CD46" t="s">
        <v>176</v>
      </c>
      <c r="CE46" t="s">
        <v>161</v>
      </c>
      <c r="CF46" t="s">
        <v>177</v>
      </c>
      <c r="CG46" t="s">
        <v>178</v>
      </c>
      <c r="CH46" t="s">
        <v>179</v>
      </c>
      <c r="CI46" t="s">
        <v>142</v>
      </c>
      <c r="CJ46" t="s">
        <v>172</v>
      </c>
      <c r="CK46" t="s">
        <v>180</v>
      </c>
      <c r="CL46" t="s">
        <v>180</v>
      </c>
      <c r="CM46" t="s">
        <v>180</v>
      </c>
      <c r="CN46" t="s">
        <v>136</v>
      </c>
      <c r="CO46" t="s">
        <v>181</v>
      </c>
      <c r="CP46" t="s">
        <v>136</v>
      </c>
      <c r="CQ46" t="s">
        <v>136</v>
      </c>
      <c r="CR46" t="s">
        <v>136</v>
      </c>
      <c r="CS46" t="s">
        <v>136</v>
      </c>
      <c r="CT46" t="s">
        <v>1866</v>
      </c>
      <c r="CU46" t="s">
        <v>1867</v>
      </c>
      <c r="CV46" t="s">
        <v>1868</v>
      </c>
      <c r="CW46" t="s">
        <v>1869</v>
      </c>
      <c r="CX46" t="s">
        <v>1870</v>
      </c>
      <c r="CY46" t="s">
        <v>1871</v>
      </c>
      <c r="CZ46" t="s">
        <v>1872</v>
      </c>
      <c r="DA46" t="s">
        <v>1873</v>
      </c>
      <c r="DB46" t="s">
        <v>1847</v>
      </c>
      <c r="DC46" t="s">
        <v>745</v>
      </c>
      <c r="DD46" t="s">
        <v>191</v>
      </c>
      <c r="DE46" t="s">
        <v>192</v>
      </c>
      <c r="DF46" t="s">
        <v>142</v>
      </c>
      <c r="DG46" t="s">
        <v>193</v>
      </c>
      <c r="DH46" t="s">
        <v>194</v>
      </c>
      <c r="DI46" t="s">
        <v>142</v>
      </c>
      <c r="DJ46" t="s">
        <v>195</v>
      </c>
      <c r="DK46" t="s">
        <v>196</v>
      </c>
      <c r="DL46" t="s">
        <v>197</v>
      </c>
      <c r="DM46" t="s">
        <v>136</v>
      </c>
      <c r="DN46" t="s">
        <v>1846</v>
      </c>
      <c r="DO46" t="s">
        <v>198</v>
      </c>
      <c r="DP46" t="s">
        <v>199</v>
      </c>
      <c r="DQ46" t="s">
        <v>200</v>
      </c>
      <c r="DR46" t="s">
        <v>201</v>
      </c>
      <c r="DS46" t="s">
        <v>202</v>
      </c>
      <c r="DT46" t="s">
        <v>203</v>
      </c>
    </row>
    <row r="47" spans="1:124" x14ac:dyDescent="0.45">
      <c r="A47" t="s">
        <v>263</v>
      </c>
      <c r="B47" t="s">
        <v>1874</v>
      </c>
      <c r="C47" t="s">
        <v>126</v>
      </c>
      <c r="D47" t="s">
        <v>127</v>
      </c>
      <c r="E47" t="s">
        <v>128</v>
      </c>
      <c r="H47" t="s">
        <v>1875</v>
      </c>
      <c r="I47">
        <v>1</v>
      </c>
      <c r="J47">
        <v>0.38944164994117059</v>
      </c>
      <c r="K47">
        <v>2.9050319999999989</v>
      </c>
      <c r="L47">
        <v>0.34340552556312032</v>
      </c>
      <c r="M47">
        <v>4.9835007709690444</v>
      </c>
      <c r="N47" t="s">
        <v>1876</v>
      </c>
      <c r="O47" t="s">
        <v>1877</v>
      </c>
      <c r="P47">
        <v>3.4184354777465531</v>
      </c>
      <c r="Q47">
        <v>1.432676477746553</v>
      </c>
      <c r="R47" t="s">
        <v>1878</v>
      </c>
      <c r="S47" t="s">
        <v>1879</v>
      </c>
      <c r="T47">
        <v>33.705733363700972</v>
      </c>
      <c r="U47">
        <v>0.4417875</v>
      </c>
      <c r="V47" t="s">
        <v>134</v>
      </c>
      <c r="W47" t="s">
        <v>1880</v>
      </c>
      <c r="X47" t="s">
        <v>136</v>
      </c>
      <c r="Y47" t="s">
        <v>136</v>
      </c>
      <c r="Z47" t="s">
        <v>136</v>
      </c>
      <c r="AA47" t="s">
        <v>1881</v>
      </c>
      <c r="AB47" t="s">
        <v>1882</v>
      </c>
      <c r="AC47" t="s">
        <v>1883</v>
      </c>
      <c r="AD47" t="s">
        <v>140</v>
      </c>
      <c r="AE47" t="s">
        <v>141</v>
      </c>
      <c r="AF47">
        <v>131.03647409999999</v>
      </c>
      <c r="AG47" t="s">
        <v>142</v>
      </c>
      <c r="AH47" t="s">
        <v>1884</v>
      </c>
      <c r="AI47" t="s">
        <v>1885</v>
      </c>
      <c r="AJ47" t="s">
        <v>1886</v>
      </c>
      <c r="AK47" t="s">
        <v>1323</v>
      </c>
      <c r="AL47">
        <v>26.22</v>
      </c>
      <c r="AM47" t="s">
        <v>349</v>
      </c>
      <c r="AN47" t="s">
        <v>148</v>
      </c>
      <c r="AO47" t="s">
        <v>1887</v>
      </c>
      <c r="AP47" t="s">
        <v>1888</v>
      </c>
      <c r="AQ47" t="s">
        <v>1889</v>
      </c>
      <c r="AR47" t="s">
        <v>260</v>
      </c>
      <c r="AS47" t="s">
        <v>887</v>
      </c>
      <c r="AT47" t="s">
        <v>224</v>
      </c>
      <c r="AU47" t="s">
        <v>1890</v>
      </c>
      <c r="AV47" t="s">
        <v>1891</v>
      </c>
      <c r="AW47" t="s">
        <v>1892</v>
      </c>
      <c r="AX47" t="s">
        <v>1893</v>
      </c>
      <c r="AY47" t="s">
        <v>1894</v>
      </c>
      <c r="AZ47" t="s">
        <v>268</v>
      </c>
      <c r="BA47" t="s">
        <v>1895</v>
      </c>
      <c r="BB47" t="s">
        <v>1896</v>
      </c>
      <c r="BC47" t="s">
        <v>1897</v>
      </c>
      <c r="BD47" t="s">
        <v>126</v>
      </c>
      <c r="BE47" t="s">
        <v>318</v>
      </c>
      <c r="BF47" t="s">
        <v>408</v>
      </c>
      <c r="BG47" t="s">
        <v>1898</v>
      </c>
      <c r="BH47" t="s">
        <v>263</v>
      </c>
      <c r="BI47" t="s">
        <v>1899</v>
      </c>
      <c r="BJ47" t="s">
        <v>162</v>
      </c>
      <c r="BK47" t="s">
        <v>126</v>
      </c>
      <c r="BL47" t="s">
        <v>163</v>
      </c>
      <c r="BM47" t="s">
        <v>124</v>
      </c>
      <c r="BN47" t="s">
        <v>171</v>
      </c>
      <c r="BO47" t="s">
        <v>164</v>
      </c>
      <c r="BP47" t="s">
        <v>276</v>
      </c>
      <c r="BQ47" t="s">
        <v>1900</v>
      </c>
      <c r="BR47" t="s">
        <v>817</v>
      </c>
      <c r="BS47" t="s">
        <v>1901</v>
      </c>
      <c r="BT47" t="s">
        <v>124</v>
      </c>
      <c r="BU47" t="s">
        <v>170</v>
      </c>
      <c r="BV47" t="s">
        <v>171</v>
      </c>
      <c r="BW47" t="s">
        <v>172</v>
      </c>
      <c r="BX47" t="s">
        <v>173</v>
      </c>
      <c r="BY47" t="s">
        <v>136</v>
      </c>
      <c r="BZ47" t="s">
        <v>174</v>
      </c>
      <c r="CA47" t="s">
        <v>136</v>
      </c>
      <c r="CB47" t="s">
        <v>136</v>
      </c>
      <c r="CC47" t="s">
        <v>175</v>
      </c>
      <c r="CD47" t="s">
        <v>176</v>
      </c>
      <c r="CE47" t="s">
        <v>161</v>
      </c>
      <c r="CF47" t="s">
        <v>177</v>
      </c>
      <c r="CG47" t="s">
        <v>178</v>
      </c>
      <c r="CH47" t="s">
        <v>179</v>
      </c>
      <c r="CI47" t="s">
        <v>142</v>
      </c>
      <c r="CJ47" t="s">
        <v>172</v>
      </c>
      <c r="CK47" t="s">
        <v>180</v>
      </c>
      <c r="CL47" t="s">
        <v>180</v>
      </c>
      <c r="CM47" t="s">
        <v>180</v>
      </c>
      <c r="CN47" t="s">
        <v>136</v>
      </c>
      <c r="CO47" t="s">
        <v>181</v>
      </c>
      <c r="CP47" t="s">
        <v>136</v>
      </c>
      <c r="CQ47" t="s">
        <v>136</v>
      </c>
      <c r="CR47" t="s">
        <v>136</v>
      </c>
      <c r="CS47" t="s">
        <v>136</v>
      </c>
      <c r="CT47" t="s">
        <v>1902</v>
      </c>
      <c r="CU47" t="s">
        <v>1903</v>
      </c>
      <c r="CV47" t="s">
        <v>1904</v>
      </c>
      <c r="CW47" t="s">
        <v>1905</v>
      </c>
      <c r="CX47" t="s">
        <v>1906</v>
      </c>
      <c r="CY47" t="s">
        <v>1907</v>
      </c>
      <c r="CZ47" t="s">
        <v>1908</v>
      </c>
      <c r="DA47" t="s">
        <v>1909</v>
      </c>
      <c r="DB47" t="s">
        <v>1881</v>
      </c>
      <c r="DC47" t="s">
        <v>1910</v>
      </c>
      <c r="DD47" t="s">
        <v>191</v>
      </c>
      <c r="DE47" t="s">
        <v>192</v>
      </c>
      <c r="DF47" t="s">
        <v>142</v>
      </c>
      <c r="DG47" t="s">
        <v>193</v>
      </c>
      <c r="DH47" t="s">
        <v>194</v>
      </c>
      <c r="DI47" t="s">
        <v>142</v>
      </c>
      <c r="DJ47" t="s">
        <v>195</v>
      </c>
      <c r="DK47" t="s">
        <v>196</v>
      </c>
      <c r="DL47" t="s">
        <v>197</v>
      </c>
      <c r="DM47" t="s">
        <v>136</v>
      </c>
      <c r="DN47" t="s">
        <v>1880</v>
      </c>
      <c r="DO47" t="s">
        <v>198</v>
      </c>
      <c r="DP47" t="s">
        <v>199</v>
      </c>
      <c r="DQ47" t="s">
        <v>200</v>
      </c>
      <c r="DR47" t="s">
        <v>201</v>
      </c>
      <c r="DS47" t="s">
        <v>202</v>
      </c>
      <c r="DT47" t="s">
        <v>203</v>
      </c>
    </row>
    <row r="48" spans="1:124" x14ac:dyDescent="0.45">
      <c r="A48" t="s">
        <v>856</v>
      </c>
      <c r="B48" t="s">
        <v>1911</v>
      </c>
      <c r="C48" t="s">
        <v>126</v>
      </c>
      <c r="D48" t="s">
        <v>127</v>
      </c>
      <c r="E48" t="s">
        <v>128</v>
      </c>
      <c r="H48" t="s">
        <v>1875</v>
      </c>
      <c r="I48">
        <v>2</v>
      </c>
      <c r="J48">
        <v>0.61837996799119888</v>
      </c>
      <c r="K48">
        <v>2.9050319999999989</v>
      </c>
      <c r="L48">
        <v>0.50985056856624023</v>
      </c>
      <c r="M48">
        <v>6.3943994014019978</v>
      </c>
      <c r="N48" t="s">
        <v>1912</v>
      </c>
      <c r="O48" t="s">
        <v>1913</v>
      </c>
      <c r="P48">
        <v>3.3089278500235322</v>
      </c>
      <c r="Q48">
        <v>1.238194850023532</v>
      </c>
      <c r="R48" t="s">
        <v>1914</v>
      </c>
      <c r="S48" t="s">
        <v>1915</v>
      </c>
      <c r="T48">
        <v>32.625989450044678</v>
      </c>
      <c r="U48">
        <v>0.4417875</v>
      </c>
      <c r="V48" t="s">
        <v>134</v>
      </c>
      <c r="W48" t="s">
        <v>1916</v>
      </c>
      <c r="X48" t="s">
        <v>136</v>
      </c>
      <c r="Y48" t="s">
        <v>136</v>
      </c>
      <c r="Z48" t="s">
        <v>136</v>
      </c>
      <c r="AA48" t="s">
        <v>1917</v>
      </c>
      <c r="AB48" t="s">
        <v>1918</v>
      </c>
      <c r="AC48" t="s">
        <v>1919</v>
      </c>
      <c r="AD48" t="s">
        <v>140</v>
      </c>
      <c r="AE48" t="s">
        <v>141</v>
      </c>
      <c r="AF48">
        <v>132.3211575</v>
      </c>
      <c r="AG48" t="s">
        <v>142</v>
      </c>
      <c r="AH48" t="s">
        <v>1589</v>
      </c>
      <c r="AI48" t="s">
        <v>1920</v>
      </c>
      <c r="AJ48" t="s">
        <v>1921</v>
      </c>
      <c r="AK48" t="s">
        <v>1922</v>
      </c>
      <c r="AL48">
        <v>25.67</v>
      </c>
      <c r="AM48" t="s">
        <v>349</v>
      </c>
      <c r="AN48" t="s">
        <v>148</v>
      </c>
      <c r="AO48" t="s">
        <v>1923</v>
      </c>
      <c r="AP48" t="s">
        <v>1783</v>
      </c>
      <c r="AQ48" t="s">
        <v>1924</v>
      </c>
      <c r="AR48" t="s">
        <v>1717</v>
      </c>
      <c r="AS48" t="s">
        <v>996</v>
      </c>
      <c r="AT48" t="s">
        <v>572</v>
      </c>
      <c r="AU48" t="s">
        <v>1620</v>
      </c>
      <c r="AV48" t="s">
        <v>1925</v>
      </c>
      <c r="AW48" t="s">
        <v>1926</v>
      </c>
      <c r="AX48" t="s">
        <v>1927</v>
      </c>
      <c r="AY48" t="s">
        <v>1928</v>
      </c>
      <c r="AZ48" t="s">
        <v>268</v>
      </c>
      <c r="BA48" t="s">
        <v>269</v>
      </c>
      <c r="BB48" t="s">
        <v>270</v>
      </c>
      <c r="BC48" t="s">
        <v>1929</v>
      </c>
      <c r="BD48" t="s">
        <v>126</v>
      </c>
      <c r="BE48" t="s">
        <v>1829</v>
      </c>
      <c r="BF48" t="s">
        <v>1930</v>
      </c>
      <c r="BG48" t="s">
        <v>1931</v>
      </c>
      <c r="BH48" t="s">
        <v>321</v>
      </c>
      <c r="BI48" t="s">
        <v>322</v>
      </c>
      <c r="BJ48" t="s">
        <v>162</v>
      </c>
      <c r="BK48" t="s">
        <v>126</v>
      </c>
      <c r="BL48" t="s">
        <v>163</v>
      </c>
      <c r="BM48" t="s">
        <v>124</v>
      </c>
      <c r="BN48" t="s">
        <v>229</v>
      </c>
      <c r="BO48" t="s">
        <v>228</v>
      </c>
      <c r="BP48" t="s">
        <v>276</v>
      </c>
      <c r="BQ48" t="s">
        <v>1082</v>
      </c>
      <c r="BR48" t="s">
        <v>1932</v>
      </c>
      <c r="BS48" t="s">
        <v>1933</v>
      </c>
      <c r="BT48" t="s">
        <v>124</v>
      </c>
      <c r="BU48" t="s">
        <v>170</v>
      </c>
      <c r="BV48" t="s">
        <v>171</v>
      </c>
      <c r="BW48" t="s">
        <v>172</v>
      </c>
      <c r="BX48" t="s">
        <v>173</v>
      </c>
      <c r="BY48" t="s">
        <v>136</v>
      </c>
      <c r="BZ48" t="s">
        <v>174</v>
      </c>
      <c r="CA48" t="s">
        <v>136</v>
      </c>
      <c r="CB48" t="s">
        <v>136</v>
      </c>
      <c r="CC48" t="s">
        <v>175</v>
      </c>
      <c r="CD48" t="s">
        <v>176</v>
      </c>
      <c r="CE48" t="s">
        <v>161</v>
      </c>
      <c r="CF48" t="s">
        <v>177</v>
      </c>
      <c r="CG48" t="s">
        <v>178</v>
      </c>
      <c r="CH48" t="s">
        <v>179</v>
      </c>
      <c r="CI48" t="s">
        <v>142</v>
      </c>
      <c r="CJ48" t="s">
        <v>172</v>
      </c>
      <c r="CK48" t="s">
        <v>180</v>
      </c>
      <c r="CL48" t="s">
        <v>180</v>
      </c>
      <c r="CM48" t="s">
        <v>180</v>
      </c>
      <c r="CN48" t="s">
        <v>136</v>
      </c>
      <c r="CO48" t="s">
        <v>181</v>
      </c>
      <c r="CP48" t="s">
        <v>136</v>
      </c>
      <c r="CQ48" t="s">
        <v>136</v>
      </c>
      <c r="CR48" t="s">
        <v>136</v>
      </c>
      <c r="CS48" t="s">
        <v>136</v>
      </c>
      <c r="CT48" t="s">
        <v>1934</v>
      </c>
      <c r="CU48" t="s">
        <v>1935</v>
      </c>
      <c r="CV48" t="s">
        <v>1936</v>
      </c>
      <c r="CW48" t="s">
        <v>1937</v>
      </c>
      <c r="CX48" t="s">
        <v>1938</v>
      </c>
      <c r="CY48" t="s">
        <v>1939</v>
      </c>
      <c r="CZ48" t="s">
        <v>1940</v>
      </c>
      <c r="DA48" t="s">
        <v>1941</v>
      </c>
      <c r="DB48" t="s">
        <v>1917</v>
      </c>
      <c r="DC48" t="s">
        <v>334</v>
      </c>
      <c r="DD48" t="s">
        <v>191</v>
      </c>
      <c r="DE48" t="s">
        <v>192</v>
      </c>
      <c r="DF48" t="s">
        <v>142</v>
      </c>
      <c r="DG48" t="s">
        <v>193</v>
      </c>
      <c r="DH48" t="s">
        <v>194</v>
      </c>
      <c r="DI48" t="s">
        <v>142</v>
      </c>
      <c r="DJ48" t="s">
        <v>195</v>
      </c>
      <c r="DK48" t="s">
        <v>196</v>
      </c>
      <c r="DL48" t="s">
        <v>197</v>
      </c>
      <c r="DM48" t="s">
        <v>136</v>
      </c>
      <c r="DN48" t="s">
        <v>1916</v>
      </c>
      <c r="DO48" t="s">
        <v>198</v>
      </c>
      <c r="DP48" t="s">
        <v>199</v>
      </c>
      <c r="DQ48" t="s">
        <v>200</v>
      </c>
      <c r="DR48" t="s">
        <v>201</v>
      </c>
      <c r="DS48" t="s">
        <v>202</v>
      </c>
      <c r="DT48" t="s">
        <v>203</v>
      </c>
    </row>
    <row r="49" spans="1:124" x14ac:dyDescent="0.45">
      <c r="A49" t="s">
        <v>1942</v>
      </c>
      <c r="B49" t="s">
        <v>1943</v>
      </c>
      <c r="C49" t="s">
        <v>126</v>
      </c>
      <c r="D49" t="s">
        <v>127</v>
      </c>
      <c r="E49" t="s">
        <v>128</v>
      </c>
      <c r="H49" t="s">
        <v>1875</v>
      </c>
      <c r="I49">
        <v>3</v>
      </c>
      <c r="J49">
        <v>0.13403668821351611</v>
      </c>
      <c r="K49">
        <v>2.9058327199999998</v>
      </c>
      <c r="L49">
        <v>0.1281266205840631</v>
      </c>
      <c r="M49">
        <v>2.1601250222585131</v>
      </c>
      <c r="N49" t="s">
        <v>1944</v>
      </c>
      <c r="O49" t="s">
        <v>1945</v>
      </c>
      <c r="P49">
        <v>3.6299222562165969</v>
      </c>
      <c r="Q49">
        <v>1.6627412562165971</v>
      </c>
      <c r="R49" t="s">
        <v>1946</v>
      </c>
      <c r="S49" t="s">
        <v>1947</v>
      </c>
      <c r="T49">
        <v>35.790990497107053</v>
      </c>
      <c r="U49">
        <v>0.4417875</v>
      </c>
      <c r="V49" t="s">
        <v>134</v>
      </c>
      <c r="W49" t="s">
        <v>1948</v>
      </c>
      <c r="X49" t="s">
        <v>136</v>
      </c>
      <c r="Y49" t="s">
        <v>136</v>
      </c>
      <c r="Z49" t="s">
        <v>136</v>
      </c>
      <c r="AA49" t="s">
        <v>1949</v>
      </c>
      <c r="AB49" t="s">
        <v>1950</v>
      </c>
      <c r="AC49" t="s">
        <v>1951</v>
      </c>
      <c r="AD49" t="s">
        <v>140</v>
      </c>
      <c r="AE49" t="s">
        <v>141</v>
      </c>
      <c r="AF49">
        <v>91.924351259999995</v>
      </c>
      <c r="AG49" t="s">
        <v>142</v>
      </c>
      <c r="AH49" t="s">
        <v>1952</v>
      </c>
      <c r="AI49" t="s">
        <v>1953</v>
      </c>
      <c r="AJ49" t="s">
        <v>1954</v>
      </c>
      <c r="AK49" t="s">
        <v>1955</v>
      </c>
      <c r="AL49">
        <v>27.24</v>
      </c>
      <c r="AM49" t="s">
        <v>349</v>
      </c>
      <c r="AN49" t="s">
        <v>350</v>
      </c>
      <c r="AO49" t="s">
        <v>1956</v>
      </c>
      <c r="AP49" t="s">
        <v>1957</v>
      </c>
      <c r="AQ49" t="s">
        <v>604</v>
      </c>
      <c r="AR49" t="s">
        <v>1652</v>
      </c>
      <c r="AS49" t="s">
        <v>262</v>
      </c>
      <c r="AT49" t="s">
        <v>1638</v>
      </c>
      <c r="AU49" t="s">
        <v>1958</v>
      </c>
      <c r="AV49" t="s">
        <v>1959</v>
      </c>
      <c r="AW49" t="s">
        <v>1960</v>
      </c>
      <c r="AX49" t="s">
        <v>1961</v>
      </c>
      <c r="AY49" t="s">
        <v>1962</v>
      </c>
      <c r="AZ49" t="s">
        <v>268</v>
      </c>
      <c r="BA49" t="s">
        <v>1963</v>
      </c>
      <c r="BB49" t="s">
        <v>1964</v>
      </c>
      <c r="BC49" t="s">
        <v>1965</v>
      </c>
      <c r="BD49" t="s">
        <v>126</v>
      </c>
      <c r="BE49" t="s">
        <v>1966</v>
      </c>
      <c r="BF49" t="s">
        <v>319</v>
      </c>
      <c r="BG49" t="s">
        <v>1967</v>
      </c>
      <c r="BH49" t="s">
        <v>628</v>
      </c>
      <c r="BI49" t="s">
        <v>1153</v>
      </c>
      <c r="BJ49" t="s">
        <v>368</v>
      </c>
      <c r="BK49" t="s">
        <v>126</v>
      </c>
      <c r="BL49" t="s">
        <v>369</v>
      </c>
      <c r="BM49" t="s">
        <v>124</v>
      </c>
      <c r="BN49" t="s">
        <v>171</v>
      </c>
      <c r="BO49" t="s">
        <v>171</v>
      </c>
      <c r="BP49" t="s">
        <v>1264</v>
      </c>
      <c r="BQ49" t="s">
        <v>1968</v>
      </c>
      <c r="BR49" t="s">
        <v>1969</v>
      </c>
      <c r="BS49" t="s">
        <v>1970</v>
      </c>
      <c r="BT49" t="s">
        <v>124</v>
      </c>
      <c r="BU49" t="s">
        <v>170</v>
      </c>
      <c r="BV49" t="s">
        <v>171</v>
      </c>
      <c r="BW49" t="s">
        <v>172</v>
      </c>
      <c r="BX49" t="s">
        <v>173</v>
      </c>
      <c r="BY49" t="s">
        <v>136</v>
      </c>
      <c r="BZ49" t="s">
        <v>174</v>
      </c>
      <c r="CA49" t="s">
        <v>136</v>
      </c>
      <c r="CB49" t="s">
        <v>136</v>
      </c>
      <c r="CC49" t="s">
        <v>175</v>
      </c>
      <c r="CD49" t="s">
        <v>176</v>
      </c>
      <c r="CE49" t="s">
        <v>161</v>
      </c>
      <c r="CF49" t="s">
        <v>177</v>
      </c>
      <c r="CG49" t="s">
        <v>178</v>
      </c>
      <c r="CH49" t="s">
        <v>179</v>
      </c>
      <c r="CI49" t="s">
        <v>142</v>
      </c>
      <c r="CJ49" t="s">
        <v>172</v>
      </c>
      <c r="CK49" t="s">
        <v>180</v>
      </c>
      <c r="CL49" t="s">
        <v>180</v>
      </c>
      <c r="CM49" t="s">
        <v>180</v>
      </c>
      <c r="CN49" t="s">
        <v>136</v>
      </c>
      <c r="CO49" t="s">
        <v>181</v>
      </c>
      <c r="CP49" t="s">
        <v>136</v>
      </c>
      <c r="CQ49" t="s">
        <v>136</v>
      </c>
      <c r="CR49" t="s">
        <v>136</v>
      </c>
      <c r="CS49" t="s">
        <v>136</v>
      </c>
      <c r="CT49" t="s">
        <v>1971</v>
      </c>
      <c r="CU49" t="s">
        <v>1972</v>
      </c>
      <c r="CV49" t="s">
        <v>1973</v>
      </c>
      <c r="CW49" t="s">
        <v>1974</v>
      </c>
      <c r="CX49" t="s">
        <v>1975</v>
      </c>
      <c r="CY49" t="s">
        <v>1976</v>
      </c>
      <c r="CZ49" t="s">
        <v>1977</v>
      </c>
      <c r="DA49" t="s">
        <v>1978</v>
      </c>
      <c r="DB49" t="s">
        <v>1949</v>
      </c>
      <c r="DC49" t="s">
        <v>1387</v>
      </c>
      <c r="DD49" t="s">
        <v>191</v>
      </c>
      <c r="DE49" t="s">
        <v>192</v>
      </c>
      <c r="DF49" t="s">
        <v>142</v>
      </c>
      <c r="DG49" t="s">
        <v>193</v>
      </c>
      <c r="DH49" t="s">
        <v>194</v>
      </c>
      <c r="DI49" t="s">
        <v>142</v>
      </c>
      <c r="DJ49" t="s">
        <v>195</v>
      </c>
      <c r="DK49" t="s">
        <v>196</v>
      </c>
      <c r="DL49" t="s">
        <v>197</v>
      </c>
      <c r="DM49" t="s">
        <v>136</v>
      </c>
      <c r="DN49" t="s">
        <v>1948</v>
      </c>
      <c r="DO49" t="s">
        <v>198</v>
      </c>
      <c r="DP49" t="s">
        <v>199</v>
      </c>
      <c r="DQ49" t="s">
        <v>200</v>
      </c>
      <c r="DR49" t="s">
        <v>201</v>
      </c>
      <c r="DS49" t="s">
        <v>202</v>
      </c>
      <c r="DT49" t="s">
        <v>203</v>
      </c>
    </row>
    <row r="50" spans="1:124" x14ac:dyDescent="0.45">
      <c r="A50" t="s">
        <v>1979</v>
      </c>
      <c r="B50" t="s">
        <v>1980</v>
      </c>
      <c r="C50" t="s">
        <v>126</v>
      </c>
      <c r="D50" t="s">
        <v>127</v>
      </c>
      <c r="E50" t="s">
        <v>128</v>
      </c>
      <c r="H50" t="s">
        <v>1875</v>
      </c>
      <c r="I50">
        <v>4</v>
      </c>
      <c r="J50">
        <v>0.47342752225866269</v>
      </c>
      <c r="K50">
        <v>2.9058327199999998</v>
      </c>
      <c r="L50">
        <v>0.40710128433560527</v>
      </c>
      <c r="M50">
        <v>5.6400368269457539</v>
      </c>
      <c r="N50" t="s">
        <v>1981</v>
      </c>
      <c r="O50" t="s">
        <v>1982</v>
      </c>
      <c r="P50">
        <v>3.436652968110574</v>
      </c>
      <c r="Q50">
        <v>1.3667479681105741</v>
      </c>
      <c r="R50" t="s">
        <v>1983</v>
      </c>
      <c r="S50" t="s">
        <v>1984</v>
      </c>
      <c r="T50">
        <v>33.888699024855278</v>
      </c>
      <c r="U50">
        <v>0.4417875</v>
      </c>
      <c r="V50" t="s">
        <v>134</v>
      </c>
      <c r="W50" t="s">
        <v>1985</v>
      </c>
      <c r="X50" t="s">
        <v>136</v>
      </c>
      <c r="Y50" t="s">
        <v>136</v>
      </c>
      <c r="Z50" t="s">
        <v>136</v>
      </c>
      <c r="AA50" t="s">
        <v>1986</v>
      </c>
      <c r="AB50" t="s">
        <v>1987</v>
      </c>
      <c r="AC50" t="s">
        <v>1988</v>
      </c>
      <c r="AD50" t="s">
        <v>140</v>
      </c>
      <c r="AE50" t="s">
        <v>141</v>
      </c>
      <c r="AF50">
        <v>97.081236000000004</v>
      </c>
      <c r="AG50" t="s">
        <v>142</v>
      </c>
      <c r="AH50" t="s">
        <v>1989</v>
      </c>
      <c r="AI50" t="s">
        <v>1990</v>
      </c>
      <c r="AJ50" t="s">
        <v>1991</v>
      </c>
      <c r="AK50" t="s">
        <v>1992</v>
      </c>
      <c r="AL50">
        <v>26.31</v>
      </c>
      <c r="AM50" t="s">
        <v>147</v>
      </c>
      <c r="AN50" t="s">
        <v>350</v>
      </c>
      <c r="AO50" t="s">
        <v>1993</v>
      </c>
      <c r="AP50" t="s">
        <v>1994</v>
      </c>
      <c r="AQ50" t="s">
        <v>1995</v>
      </c>
      <c r="AR50" t="s">
        <v>995</v>
      </c>
      <c r="AS50" t="s">
        <v>887</v>
      </c>
      <c r="AT50" t="s">
        <v>1996</v>
      </c>
      <c r="AU50" t="s">
        <v>1997</v>
      </c>
      <c r="AV50" t="s">
        <v>1998</v>
      </c>
      <c r="AW50" t="s">
        <v>1999</v>
      </c>
      <c r="AX50" t="s">
        <v>2000</v>
      </c>
      <c r="AY50" t="s">
        <v>2001</v>
      </c>
      <c r="AZ50" t="s">
        <v>268</v>
      </c>
      <c r="BA50" t="s">
        <v>1963</v>
      </c>
      <c r="BB50" t="s">
        <v>1964</v>
      </c>
      <c r="BC50" t="s">
        <v>2002</v>
      </c>
      <c r="BD50" t="s">
        <v>126</v>
      </c>
      <c r="BE50" t="s">
        <v>814</v>
      </c>
      <c r="BF50" t="s">
        <v>2003</v>
      </c>
      <c r="BG50" t="s">
        <v>1337</v>
      </c>
      <c r="BH50" t="s">
        <v>290</v>
      </c>
      <c r="BI50" t="s">
        <v>2004</v>
      </c>
      <c r="BJ50" t="s">
        <v>368</v>
      </c>
      <c r="BK50" t="s">
        <v>126</v>
      </c>
      <c r="BL50" t="s">
        <v>369</v>
      </c>
      <c r="BM50" t="s">
        <v>124</v>
      </c>
      <c r="BN50" t="s">
        <v>164</v>
      </c>
      <c r="BO50" t="s">
        <v>171</v>
      </c>
      <c r="BP50" t="s">
        <v>171</v>
      </c>
      <c r="BQ50" t="s">
        <v>1628</v>
      </c>
      <c r="BR50" t="s">
        <v>2005</v>
      </c>
      <c r="BS50" t="s">
        <v>2006</v>
      </c>
      <c r="BT50" t="s">
        <v>124</v>
      </c>
      <c r="BU50" t="s">
        <v>170</v>
      </c>
      <c r="BV50" t="s">
        <v>171</v>
      </c>
      <c r="BW50" t="s">
        <v>172</v>
      </c>
      <c r="BX50" t="s">
        <v>173</v>
      </c>
      <c r="BY50" t="s">
        <v>136</v>
      </c>
      <c r="BZ50" t="s">
        <v>174</v>
      </c>
      <c r="CA50" t="s">
        <v>136</v>
      </c>
      <c r="CB50" t="s">
        <v>136</v>
      </c>
      <c r="CC50" t="s">
        <v>175</v>
      </c>
      <c r="CD50" t="s">
        <v>176</v>
      </c>
      <c r="CE50" t="s">
        <v>161</v>
      </c>
      <c r="CF50" t="s">
        <v>177</v>
      </c>
      <c r="CG50" t="s">
        <v>178</v>
      </c>
      <c r="CH50" t="s">
        <v>179</v>
      </c>
      <c r="CI50" t="s">
        <v>142</v>
      </c>
      <c r="CJ50" t="s">
        <v>172</v>
      </c>
      <c r="CK50" t="s">
        <v>180</v>
      </c>
      <c r="CL50" t="s">
        <v>180</v>
      </c>
      <c r="CM50" t="s">
        <v>180</v>
      </c>
      <c r="CN50" t="s">
        <v>136</v>
      </c>
      <c r="CO50" t="s">
        <v>181</v>
      </c>
      <c r="CP50" t="s">
        <v>136</v>
      </c>
      <c r="CQ50" t="s">
        <v>136</v>
      </c>
      <c r="CR50" t="s">
        <v>136</v>
      </c>
      <c r="CS50" t="s">
        <v>136</v>
      </c>
      <c r="CT50" t="s">
        <v>2007</v>
      </c>
      <c r="CU50" t="s">
        <v>2008</v>
      </c>
      <c r="CV50" t="s">
        <v>2009</v>
      </c>
      <c r="CW50" t="s">
        <v>2010</v>
      </c>
      <c r="CX50" t="s">
        <v>2011</v>
      </c>
      <c r="CY50" t="s">
        <v>2012</v>
      </c>
      <c r="CZ50" t="s">
        <v>2013</v>
      </c>
      <c r="DA50" t="s">
        <v>2014</v>
      </c>
      <c r="DB50" t="s">
        <v>1986</v>
      </c>
      <c r="DC50" t="s">
        <v>508</v>
      </c>
      <c r="DD50" t="s">
        <v>191</v>
      </c>
      <c r="DE50" t="s">
        <v>192</v>
      </c>
      <c r="DF50" t="s">
        <v>142</v>
      </c>
      <c r="DG50" t="s">
        <v>193</v>
      </c>
      <c r="DH50" t="s">
        <v>194</v>
      </c>
      <c r="DI50" t="s">
        <v>142</v>
      </c>
      <c r="DJ50" t="s">
        <v>195</v>
      </c>
      <c r="DK50" t="s">
        <v>196</v>
      </c>
      <c r="DL50" t="s">
        <v>197</v>
      </c>
      <c r="DM50" t="s">
        <v>136</v>
      </c>
      <c r="DN50" t="s">
        <v>1985</v>
      </c>
      <c r="DO50" t="s">
        <v>198</v>
      </c>
      <c r="DP50" t="s">
        <v>199</v>
      </c>
      <c r="DQ50" t="s">
        <v>200</v>
      </c>
      <c r="DR50" t="s">
        <v>201</v>
      </c>
      <c r="DS50" t="s">
        <v>202</v>
      </c>
      <c r="DT50" t="s">
        <v>203</v>
      </c>
    </row>
    <row r="51" spans="1:124" x14ac:dyDescent="0.45">
      <c r="A51" t="s">
        <v>2015</v>
      </c>
      <c r="B51" t="s">
        <v>2016</v>
      </c>
      <c r="C51" t="s">
        <v>126</v>
      </c>
      <c r="D51" t="s">
        <v>127</v>
      </c>
      <c r="E51" t="s">
        <v>128</v>
      </c>
      <c r="H51" t="s">
        <v>1875</v>
      </c>
      <c r="I51">
        <v>5</v>
      </c>
      <c r="J51">
        <v>0.29839401844912983</v>
      </c>
      <c r="K51">
        <v>2.9058327199999998</v>
      </c>
      <c r="L51">
        <v>0.2706060379114868</v>
      </c>
      <c r="M51">
        <v>4.1311944963716218</v>
      </c>
      <c r="N51" t="s">
        <v>2017</v>
      </c>
      <c r="O51" t="s">
        <v>2018</v>
      </c>
      <c r="P51">
        <v>3.4897583568837658</v>
      </c>
      <c r="Q51">
        <v>1.506789356883766</v>
      </c>
      <c r="R51" t="s">
        <v>2019</v>
      </c>
      <c r="S51" t="s">
        <v>2020</v>
      </c>
      <c r="T51">
        <v>34.405583721618513</v>
      </c>
      <c r="U51">
        <v>0.4417875</v>
      </c>
      <c r="V51" t="s">
        <v>134</v>
      </c>
      <c r="W51" t="s">
        <v>2021</v>
      </c>
      <c r="X51" t="s">
        <v>136</v>
      </c>
      <c r="Y51" t="s">
        <v>136</v>
      </c>
      <c r="Z51" t="s">
        <v>136</v>
      </c>
      <c r="AA51" t="s">
        <v>2022</v>
      </c>
      <c r="AB51" t="s">
        <v>2023</v>
      </c>
      <c r="AC51" t="s">
        <v>2024</v>
      </c>
      <c r="AD51" t="s">
        <v>140</v>
      </c>
      <c r="AE51" t="s">
        <v>141</v>
      </c>
      <c r="AF51">
        <v>74.568343499999997</v>
      </c>
      <c r="AG51" t="s">
        <v>142</v>
      </c>
      <c r="AH51" t="s">
        <v>2025</v>
      </c>
      <c r="AI51" t="s">
        <v>2026</v>
      </c>
      <c r="AJ51" t="s">
        <v>838</v>
      </c>
      <c r="AK51" t="s">
        <v>2027</v>
      </c>
      <c r="AL51">
        <v>26.57</v>
      </c>
      <c r="AM51" t="s">
        <v>256</v>
      </c>
      <c r="AN51" t="s">
        <v>350</v>
      </c>
      <c r="AO51" t="s">
        <v>1817</v>
      </c>
      <c r="AP51" t="s">
        <v>2028</v>
      </c>
      <c r="AQ51" t="s">
        <v>2029</v>
      </c>
      <c r="AR51" t="s">
        <v>2030</v>
      </c>
      <c r="AS51" t="s">
        <v>1034</v>
      </c>
      <c r="AT51" t="s">
        <v>2031</v>
      </c>
      <c r="AU51" t="s">
        <v>2032</v>
      </c>
      <c r="AV51" t="s">
        <v>2033</v>
      </c>
      <c r="AW51" t="s">
        <v>2034</v>
      </c>
      <c r="AX51" t="s">
        <v>2035</v>
      </c>
      <c r="AY51" t="s">
        <v>2036</v>
      </c>
      <c r="AZ51" t="s">
        <v>268</v>
      </c>
      <c r="BA51" t="s">
        <v>1756</v>
      </c>
      <c r="BB51" t="s">
        <v>1757</v>
      </c>
      <c r="BC51" t="s">
        <v>2037</v>
      </c>
      <c r="BD51" t="s">
        <v>126</v>
      </c>
      <c r="BE51" t="s">
        <v>853</v>
      </c>
      <c r="BF51" t="s">
        <v>319</v>
      </c>
      <c r="BG51" t="s">
        <v>2038</v>
      </c>
      <c r="BH51" t="s">
        <v>451</v>
      </c>
      <c r="BI51" t="s">
        <v>367</v>
      </c>
      <c r="BJ51" t="s">
        <v>453</v>
      </c>
      <c r="BK51" t="s">
        <v>126</v>
      </c>
      <c r="BL51" t="s">
        <v>454</v>
      </c>
      <c r="BM51" t="s">
        <v>124</v>
      </c>
      <c r="BN51" t="s">
        <v>171</v>
      </c>
      <c r="BO51" t="s">
        <v>165</v>
      </c>
      <c r="BP51" t="s">
        <v>276</v>
      </c>
      <c r="BQ51" t="s">
        <v>2039</v>
      </c>
      <c r="BR51" t="s">
        <v>2040</v>
      </c>
      <c r="BS51" t="s">
        <v>2041</v>
      </c>
      <c r="BT51" t="s">
        <v>124</v>
      </c>
      <c r="BU51" t="s">
        <v>170</v>
      </c>
      <c r="BV51" t="s">
        <v>171</v>
      </c>
      <c r="BW51" t="s">
        <v>172</v>
      </c>
      <c r="BX51" t="s">
        <v>173</v>
      </c>
      <c r="BY51" t="s">
        <v>136</v>
      </c>
      <c r="BZ51" t="s">
        <v>174</v>
      </c>
      <c r="CA51" t="s">
        <v>136</v>
      </c>
      <c r="CB51" t="s">
        <v>136</v>
      </c>
      <c r="CC51" t="s">
        <v>175</v>
      </c>
      <c r="CD51" t="s">
        <v>176</v>
      </c>
      <c r="CE51" t="s">
        <v>161</v>
      </c>
      <c r="CF51" t="s">
        <v>177</v>
      </c>
      <c r="CG51" t="s">
        <v>178</v>
      </c>
      <c r="CH51" t="s">
        <v>179</v>
      </c>
      <c r="CI51" t="s">
        <v>142</v>
      </c>
      <c r="CJ51" t="s">
        <v>172</v>
      </c>
      <c r="CK51" t="s">
        <v>180</v>
      </c>
      <c r="CL51" t="s">
        <v>180</v>
      </c>
      <c r="CM51" t="s">
        <v>180</v>
      </c>
      <c r="CN51" t="s">
        <v>136</v>
      </c>
      <c r="CO51" t="s">
        <v>181</v>
      </c>
      <c r="CP51" t="s">
        <v>136</v>
      </c>
      <c r="CQ51" t="s">
        <v>136</v>
      </c>
      <c r="CR51" t="s">
        <v>136</v>
      </c>
      <c r="CS51" t="s">
        <v>136</v>
      </c>
      <c r="CT51" t="s">
        <v>2042</v>
      </c>
      <c r="CU51" t="s">
        <v>2043</v>
      </c>
      <c r="CV51" t="s">
        <v>2044</v>
      </c>
      <c r="CW51" t="s">
        <v>2045</v>
      </c>
      <c r="CX51" t="s">
        <v>2046</v>
      </c>
      <c r="CY51" t="s">
        <v>2047</v>
      </c>
      <c r="CZ51" t="s">
        <v>2048</v>
      </c>
      <c r="DA51" t="s">
        <v>2049</v>
      </c>
      <c r="DB51" t="s">
        <v>2022</v>
      </c>
      <c r="DC51" t="s">
        <v>2050</v>
      </c>
      <c r="DD51" t="s">
        <v>191</v>
      </c>
      <c r="DE51" t="s">
        <v>192</v>
      </c>
      <c r="DF51" t="s">
        <v>142</v>
      </c>
      <c r="DG51" t="s">
        <v>193</v>
      </c>
      <c r="DH51" t="s">
        <v>194</v>
      </c>
      <c r="DI51" t="s">
        <v>142</v>
      </c>
      <c r="DJ51" t="s">
        <v>195</v>
      </c>
      <c r="DK51" t="s">
        <v>196</v>
      </c>
      <c r="DL51" t="s">
        <v>197</v>
      </c>
      <c r="DM51" t="s">
        <v>136</v>
      </c>
      <c r="DN51" t="s">
        <v>2021</v>
      </c>
      <c r="DO51" t="s">
        <v>198</v>
      </c>
      <c r="DP51" t="s">
        <v>199</v>
      </c>
      <c r="DQ51" t="s">
        <v>200</v>
      </c>
      <c r="DR51" t="s">
        <v>201</v>
      </c>
      <c r="DS51" t="s">
        <v>202</v>
      </c>
      <c r="DT51" t="s">
        <v>203</v>
      </c>
    </row>
    <row r="52" spans="1:124" x14ac:dyDescent="0.45">
      <c r="A52" t="s">
        <v>2051</v>
      </c>
      <c r="B52" t="s">
        <v>2052</v>
      </c>
      <c r="C52" t="s">
        <v>126</v>
      </c>
      <c r="D52" t="s">
        <v>127</v>
      </c>
      <c r="E52" t="s">
        <v>128</v>
      </c>
      <c r="H52" t="s">
        <v>1875</v>
      </c>
      <c r="I52">
        <v>6</v>
      </c>
      <c r="J52">
        <v>0.44886643362980078</v>
      </c>
      <c r="K52">
        <v>2.9042299200000001</v>
      </c>
      <c r="L52">
        <v>0.38877836755874118</v>
      </c>
      <c r="M52">
        <v>5.521010708838701</v>
      </c>
      <c r="N52" t="s">
        <v>2053</v>
      </c>
      <c r="O52" t="s">
        <v>2054</v>
      </c>
      <c r="P52">
        <v>3.4164165274908198</v>
      </c>
      <c r="Q52">
        <v>1.4020345274908199</v>
      </c>
      <c r="R52" t="s">
        <v>2055</v>
      </c>
      <c r="S52" t="s">
        <v>2056</v>
      </c>
      <c r="T52">
        <v>33.679185010753351</v>
      </c>
      <c r="U52">
        <v>0.4417875</v>
      </c>
      <c r="V52" t="s">
        <v>134</v>
      </c>
      <c r="W52" t="s">
        <v>2057</v>
      </c>
      <c r="X52" t="s">
        <v>136</v>
      </c>
      <c r="Y52" t="s">
        <v>136</v>
      </c>
      <c r="Z52" t="s">
        <v>136</v>
      </c>
      <c r="AA52" t="s">
        <v>2058</v>
      </c>
      <c r="AB52" t="s">
        <v>2059</v>
      </c>
      <c r="AC52" t="s">
        <v>2060</v>
      </c>
      <c r="AD52" t="s">
        <v>140</v>
      </c>
      <c r="AE52" t="s">
        <v>141</v>
      </c>
      <c r="AF52">
        <v>74.966902919999995</v>
      </c>
      <c r="AG52" t="s">
        <v>142</v>
      </c>
      <c r="AH52" t="s">
        <v>2061</v>
      </c>
      <c r="AI52" t="s">
        <v>2062</v>
      </c>
      <c r="AJ52" t="s">
        <v>435</v>
      </c>
      <c r="AK52" t="s">
        <v>2063</v>
      </c>
      <c r="AL52">
        <v>26.21</v>
      </c>
      <c r="AM52" t="s">
        <v>218</v>
      </c>
      <c r="AN52" t="s">
        <v>524</v>
      </c>
      <c r="AO52" t="s">
        <v>304</v>
      </c>
      <c r="AP52" t="s">
        <v>2064</v>
      </c>
      <c r="AQ52" t="s">
        <v>2065</v>
      </c>
      <c r="AR52" t="s">
        <v>440</v>
      </c>
      <c r="AS52" t="s">
        <v>486</v>
      </c>
      <c r="AT52" t="s">
        <v>572</v>
      </c>
      <c r="AU52" t="s">
        <v>2066</v>
      </c>
      <c r="AV52" t="s">
        <v>2067</v>
      </c>
      <c r="AW52" t="s">
        <v>2068</v>
      </c>
      <c r="AX52" t="s">
        <v>2069</v>
      </c>
      <c r="AY52" t="s">
        <v>2070</v>
      </c>
      <c r="AZ52" t="s">
        <v>445</v>
      </c>
      <c r="BA52" t="s">
        <v>2071</v>
      </c>
      <c r="BB52" t="s">
        <v>2072</v>
      </c>
      <c r="BC52" t="s">
        <v>2073</v>
      </c>
      <c r="BD52" t="s">
        <v>126</v>
      </c>
      <c r="BE52" t="s">
        <v>814</v>
      </c>
      <c r="BF52" t="s">
        <v>494</v>
      </c>
      <c r="BG52" t="s">
        <v>896</v>
      </c>
      <c r="BH52" t="s">
        <v>451</v>
      </c>
      <c r="BI52" t="s">
        <v>452</v>
      </c>
      <c r="BJ52" t="s">
        <v>453</v>
      </c>
      <c r="BK52" t="s">
        <v>126</v>
      </c>
      <c r="BL52" t="s">
        <v>454</v>
      </c>
      <c r="BM52" t="s">
        <v>124</v>
      </c>
      <c r="BN52" t="s">
        <v>228</v>
      </c>
      <c r="BO52" t="s">
        <v>228</v>
      </c>
      <c r="BP52" t="s">
        <v>276</v>
      </c>
      <c r="BQ52" t="s">
        <v>1521</v>
      </c>
      <c r="BR52" t="s">
        <v>2074</v>
      </c>
      <c r="BS52" t="s">
        <v>2075</v>
      </c>
      <c r="BT52" t="s">
        <v>124</v>
      </c>
      <c r="BU52" t="s">
        <v>170</v>
      </c>
      <c r="BV52" t="s">
        <v>171</v>
      </c>
      <c r="BW52" t="s">
        <v>172</v>
      </c>
      <c r="BX52" t="s">
        <v>173</v>
      </c>
      <c r="BY52" t="s">
        <v>136</v>
      </c>
      <c r="BZ52" t="s">
        <v>174</v>
      </c>
      <c r="CA52" t="s">
        <v>136</v>
      </c>
      <c r="CB52" t="s">
        <v>136</v>
      </c>
      <c r="CC52" t="s">
        <v>175</v>
      </c>
      <c r="CD52" t="s">
        <v>176</v>
      </c>
      <c r="CE52" t="s">
        <v>161</v>
      </c>
      <c r="CF52" t="s">
        <v>177</v>
      </c>
      <c r="CG52" t="s">
        <v>178</v>
      </c>
      <c r="CH52" t="s">
        <v>179</v>
      </c>
      <c r="CI52" t="s">
        <v>142</v>
      </c>
      <c r="CJ52" t="s">
        <v>172</v>
      </c>
      <c r="CK52" t="s">
        <v>180</v>
      </c>
      <c r="CL52" t="s">
        <v>180</v>
      </c>
      <c r="CM52" t="s">
        <v>180</v>
      </c>
      <c r="CN52" t="s">
        <v>136</v>
      </c>
      <c r="CO52" t="s">
        <v>181</v>
      </c>
      <c r="CP52" t="s">
        <v>136</v>
      </c>
      <c r="CQ52" t="s">
        <v>136</v>
      </c>
      <c r="CR52" t="s">
        <v>136</v>
      </c>
      <c r="CS52" t="s">
        <v>136</v>
      </c>
      <c r="CT52" t="s">
        <v>2076</v>
      </c>
      <c r="CU52" t="s">
        <v>2077</v>
      </c>
      <c r="CV52" t="s">
        <v>2078</v>
      </c>
      <c r="CW52" t="s">
        <v>2079</v>
      </c>
      <c r="CX52" t="s">
        <v>2080</v>
      </c>
      <c r="CY52" t="s">
        <v>2081</v>
      </c>
      <c r="CZ52" t="s">
        <v>2082</v>
      </c>
      <c r="DA52" t="s">
        <v>2083</v>
      </c>
      <c r="DB52" t="s">
        <v>2058</v>
      </c>
      <c r="DC52" t="s">
        <v>2084</v>
      </c>
      <c r="DD52" t="s">
        <v>191</v>
      </c>
      <c r="DE52" t="s">
        <v>192</v>
      </c>
      <c r="DF52" t="s">
        <v>142</v>
      </c>
      <c r="DG52" t="s">
        <v>193</v>
      </c>
      <c r="DH52" t="s">
        <v>194</v>
      </c>
      <c r="DI52" t="s">
        <v>142</v>
      </c>
      <c r="DJ52" t="s">
        <v>195</v>
      </c>
      <c r="DK52" t="s">
        <v>196</v>
      </c>
      <c r="DL52" t="s">
        <v>197</v>
      </c>
      <c r="DM52" t="s">
        <v>136</v>
      </c>
      <c r="DN52" t="s">
        <v>2057</v>
      </c>
      <c r="DO52" t="s">
        <v>198</v>
      </c>
      <c r="DP52" t="s">
        <v>199</v>
      </c>
      <c r="DQ52" t="s">
        <v>200</v>
      </c>
      <c r="DR52" t="s">
        <v>201</v>
      </c>
      <c r="DS52" t="s">
        <v>202</v>
      </c>
      <c r="DT52" t="s">
        <v>203</v>
      </c>
    </row>
    <row r="53" spans="1:124" x14ac:dyDescent="0.45">
      <c r="A53" t="s">
        <v>2085</v>
      </c>
      <c r="B53" t="s">
        <v>2086</v>
      </c>
      <c r="C53" t="s">
        <v>126</v>
      </c>
      <c r="D53" t="s">
        <v>127</v>
      </c>
      <c r="E53" t="s">
        <v>128</v>
      </c>
      <c r="H53" t="s">
        <v>1875</v>
      </c>
      <c r="I53">
        <v>7</v>
      </c>
      <c r="J53">
        <v>0.1198654632873524</v>
      </c>
      <c r="K53">
        <v>2.9058327199999998</v>
      </c>
      <c r="L53">
        <v>0.11511689670247199</v>
      </c>
      <c r="M53">
        <v>1.898768035200505</v>
      </c>
      <c r="N53" t="s">
        <v>2087</v>
      </c>
      <c r="O53" t="s">
        <v>2088</v>
      </c>
      <c r="P53">
        <v>3.535251905263451</v>
      </c>
      <c r="Q53">
        <v>1.6282719052634509</v>
      </c>
      <c r="R53" t="s">
        <v>2089</v>
      </c>
      <c r="S53" t="s">
        <v>2090</v>
      </c>
      <c r="T53">
        <v>34.850669413086067</v>
      </c>
      <c r="U53">
        <v>0.4417875</v>
      </c>
      <c r="V53" t="s">
        <v>134</v>
      </c>
      <c r="W53" t="s">
        <v>2091</v>
      </c>
      <c r="X53" t="s">
        <v>136</v>
      </c>
      <c r="Y53" t="s">
        <v>136</v>
      </c>
      <c r="Z53" t="s">
        <v>136</v>
      </c>
      <c r="AA53" t="s">
        <v>2092</v>
      </c>
      <c r="AB53" t="s">
        <v>2093</v>
      </c>
      <c r="AC53" t="s">
        <v>2094</v>
      </c>
      <c r="AD53" t="s">
        <v>140</v>
      </c>
      <c r="AE53" t="s">
        <v>141</v>
      </c>
      <c r="AF53">
        <v>60.49209179999999</v>
      </c>
      <c r="AG53" t="s">
        <v>142</v>
      </c>
      <c r="AH53" t="s">
        <v>2095</v>
      </c>
      <c r="AI53" t="s">
        <v>1399</v>
      </c>
      <c r="AJ53" t="s">
        <v>1650</v>
      </c>
      <c r="AK53" t="s">
        <v>2096</v>
      </c>
      <c r="AL53">
        <v>26.79</v>
      </c>
      <c r="AM53" t="s">
        <v>218</v>
      </c>
      <c r="AN53" t="s">
        <v>350</v>
      </c>
      <c r="AO53" t="s">
        <v>2097</v>
      </c>
      <c r="AP53" t="s">
        <v>2098</v>
      </c>
      <c r="AQ53" t="s">
        <v>2099</v>
      </c>
      <c r="AR53" t="s">
        <v>1820</v>
      </c>
      <c r="AS53" t="s">
        <v>262</v>
      </c>
      <c r="AT53" t="s">
        <v>161</v>
      </c>
      <c r="AU53" t="s">
        <v>2100</v>
      </c>
      <c r="AV53" t="s">
        <v>2101</v>
      </c>
      <c r="AW53" t="s">
        <v>2102</v>
      </c>
      <c r="AX53" t="s">
        <v>766</v>
      </c>
      <c r="AY53" t="s">
        <v>2103</v>
      </c>
      <c r="AZ53" t="s">
        <v>445</v>
      </c>
      <c r="BA53" t="s">
        <v>2104</v>
      </c>
      <c r="BB53" t="s">
        <v>2105</v>
      </c>
      <c r="BC53" t="s">
        <v>2106</v>
      </c>
      <c r="BD53" t="s">
        <v>126</v>
      </c>
      <c r="BE53" t="s">
        <v>2107</v>
      </c>
      <c r="BF53" t="s">
        <v>1005</v>
      </c>
      <c r="BG53" t="s">
        <v>2108</v>
      </c>
      <c r="BH53" t="s">
        <v>451</v>
      </c>
      <c r="BI53" t="s">
        <v>773</v>
      </c>
      <c r="BJ53" t="s">
        <v>858</v>
      </c>
      <c r="BK53" t="s">
        <v>126</v>
      </c>
      <c r="BL53" t="s">
        <v>859</v>
      </c>
      <c r="BM53" t="s">
        <v>124</v>
      </c>
      <c r="BN53" t="s">
        <v>411</v>
      </c>
      <c r="BO53" t="s">
        <v>171</v>
      </c>
      <c r="BP53" t="s">
        <v>276</v>
      </c>
      <c r="BQ53" t="s">
        <v>2109</v>
      </c>
      <c r="BR53" t="s">
        <v>2110</v>
      </c>
      <c r="BS53" t="s">
        <v>2111</v>
      </c>
      <c r="BT53" t="s">
        <v>124</v>
      </c>
      <c r="BU53" t="s">
        <v>170</v>
      </c>
      <c r="BV53" t="s">
        <v>171</v>
      </c>
      <c r="BW53" t="s">
        <v>172</v>
      </c>
      <c r="BX53" t="s">
        <v>173</v>
      </c>
      <c r="BY53" t="s">
        <v>136</v>
      </c>
      <c r="BZ53" t="s">
        <v>174</v>
      </c>
      <c r="CA53" t="s">
        <v>136</v>
      </c>
      <c r="CB53" t="s">
        <v>136</v>
      </c>
      <c r="CC53" t="s">
        <v>175</v>
      </c>
      <c r="CD53" t="s">
        <v>176</v>
      </c>
      <c r="CE53" t="s">
        <v>161</v>
      </c>
      <c r="CF53" t="s">
        <v>177</v>
      </c>
      <c r="CG53" t="s">
        <v>178</v>
      </c>
      <c r="CH53" t="s">
        <v>179</v>
      </c>
      <c r="CI53" t="s">
        <v>142</v>
      </c>
      <c r="CJ53" t="s">
        <v>172</v>
      </c>
      <c r="CK53" t="s">
        <v>180</v>
      </c>
      <c r="CL53" t="s">
        <v>180</v>
      </c>
      <c r="CM53" t="s">
        <v>180</v>
      </c>
      <c r="CN53" t="s">
        <v>136</v>
      </c>
      <c r="CO53" t="s">
        <v>181</v>
      </c>
      <c r="CP53" t="s">
        <v>136</v>
      </c>
      <c r="CQ53" t="s">
        <v>136</v>
      </c>
      <c r="CR53" t="s">
        <v>136</v>
      </c>
      <c r="CS53" t="s">
        <v>136</v>
      </c>
      <c r="CT53" t="s">
        <v>2112</v>
      </c>
      <c r="CU53" t="s">
        <v>2113</v>
      </c>
      <c r="CV53" t="s">
        <v>2114</v>
      </c>
      <c r="CW53" t="s">
        <v>2115</v>
      </c>
      <c r="CX53" t="s">
        <v>2116</v>
      </c>
      <c r="CY53" t="s">
        <v>2117</v>
      </c>
      <c r="CZ53" t="s">
        <v>2118</v>
      </c>
      <c r="DA53" t="s">
        <v>2119</v>
      </c>
      <c r="DB53" t="s">
        <v>2092</v>
      </c>
      <c r="DC53" t="s">
        <v>289</v>
      </c>
      <c r="DD53" t="s">
        <v>191</v>
      </c>
      <c r="DE53" t="s">
        <v>192</v>
      </c>
      <c r="DF53" t="s">
        <v>142</v>
      </c>
      <c r="DG53" t="s">
        <v>193</v>
      </c>
      <c r="DH53" t="s">
        <v>194</v>
      </c>
      <c r="DI53" t="s">
        <v>142</v>
      </c>
      <c r="DJ53" t="s">
        <v>195</v>
      </c>
      <c r="DK53" t="s">
        <v>196</v>
      </c>
      <c r="DL53" t="s">
        <v>197</v>
      </c>
      <c r="DM53" t="s">
        <v>136</v>
      </c>
      <c r="DN53" t="s">
        <v>2091</v>
      </c>
      <c r="DO53" t="s">
        <v>198</v>
      </c>
      <c r="DP53" t="s">
        <v>199</v>
      </c>
      <c r="DQ53" t="s">
        <v>200</v>
      </c>
      <c r="DR53" t="s">
        <v>201</v>
      </c>
      <c r="DS53" t="s">
        <v>202</v>
      </c>
      <c r="DT53" t="s">
        <v>203</v>
      </c>
    </row>
    <row r="54" spans="1:124" x14ac:dyDescent="0.45">
      <c r="A54" t="s">
        <v>2120</v>
      </c>
      <c r="B54" t="s">
        <v>2121</v>
      </c>
      <c r="C54" t="s">
        <v>126</v>
      </c>
      <c r="D54" t="s">
        <v>127</v>
      </c>
      <c r="E54" t="s">
        <v>128</v>
      </c>
      <c r="H54" t="s">
        <v>1875</v>
      </c>
      <c r="I54">
        <v>8</v>
      </c>
      <c r="J54">
        <v>0.38265949926178838</v>
      </c>
      <c r="K54">
        <v>2.9034264799999998</v>
      </c>
      <c r="L54">
        <v>0.33809940762104029</v>
      </c>
      <c r="M54">
        <v>4.6196100164854874</v>
      </c>
      <c r="N54" t="s">
        <v>2122</v>
      </c>
      <c r="O54" t="s">
        <v>2123</v>
      </c>
      <c r="P54">
        <v>3.358318143010222</v>
      </c>
      <c r="Q54">
        <v>1.3493051430102221</v>
      </c>
      <c r="R54" t="s">
        <v>2124</v>
      </c>
      <c r="S54" t="s">
        <v>2125</v>
      </c>
      <c r="T54">
        <v>33.106448570684357</v>
      </c>
      <c r="U54">
        <v>0.4417875</v>
      </c>
      <c r="V54" t="s">
        <v>134</v>
      </c>
      <c r="W54" t="s">
        <v>2126</v>
      </c>
      <c r="X54" t="s">
        <v>136</v>
      </c>
      <c r="Y54" t="s">
        <v>136</v>
      </c>
      <c r="Z54" t="s">
        <v>136</v>
      </c>
      <c r="AA54" t="s">
        <v>2127</v>
      </c>
      <c r="AB54" t="s">
        <v>2128</v>
      </c>
      <c r="AC54" t="s">
        <v>2129</v>
      </c>
      <c r="AD54" t="s">
        <v>140</v>
      </c>
      <c r="AE54" t="s">
        <v>141</v>
      </c>
      <c r="AF54">
        <v>55.097519400000003</v>
      </c>
      <c r="AG54" t="s">
        <v>142</v>
      </c>
      <c r="AH54" t="s">
        <v>1542</v>
      </c>
      <c r="AI54" t="s">
        <v>346</v>
      </c>
      <c r="AJ54" t="s">
        <v>2130</v>
      </c>
      <c r="AK54" t="s">
        <v>255</v>
      </c>
      <c r="AL54">
        <v>25.92</v>
      </c>
      <c r="AM54" t="s">
        <v>218</v>
      </c>
      <c r="AN54" t="s">
        <v>304</v>
      </c>
      <c r="AO54" t="s">
        <v>351</v>
      </c>
      <c r="AP54" t="s">
        <v>2131</v>
      </c>
      <c r="AQ54" t="s">
        <v>2132</v>
      </c>
      <c r="AR54" t="s">
        <v>2133</v>
      </c>
      <c r="AS54" t="s">
        <v>2134</v>
      </c>
      <c r="AT54" t="s">
        <v>2134</v>
      </c>
      <c r="AU54" t="s">
        <v>1958</v>
      </c>
      <c r="AV54" t="s">
        <v>2135</v>
      </c>
      <c r="AW54" t="s">
        <v>2136</v>
      </c>
      <c r="AX54" t="s">
        <v>2137</v>
      </c>
      <c r="AY54" t="s">
        <v>2138</v>
      </c>
      <c r="AZ54" t="s">
        <v>445</v>
      </c>
      <c r="BA54" t="s">
        <v>2104</v>
      </c>
      <c r="BB54" t="s">
        <v>2105</v>
      </c>
      <c r="BC54" t="s">
        <v>2139</v>
      </c>
      <c r="BD54" t="s">
        <v>126</v>
      </c>
      <c r="BE54" t="s">
        <v>1261</v>
      </c>
      <c r="BF54" t="s">
        <v>967</v>
      </c>
      <c r="BG54" t="s">
        <v>450</v>
      </c>
      <c r="BH54" t="s">
        <v>856</v>
      </c>
      <c r="BI54" t="s">
        <v>2140</v>
      </c>
      <c r="BJ54" t="s">
        <v>858</v>
      </c>
      <c r="BK54" t="s">
        <v>126</v>
      </c>
      <c r="BL54" t="s">
        <v>859</v>
      </c>
      <c r="BM54" t="s">
        <v>124</v>
      </c>
      <c r="BN54" t="s">
        <v>171</v>
      </c>
      <c r="BO54" t="s">
        <v>164</v>
      </c>
      <c r="BP54" t="s">
        <v>276</v>
      </c>
      <c r="BQ54" t="s">
        <v>577</v>
      </c>
      <c r="BR54" t="s">
        <v>2141</v>
      </c>
      <c r="BS54" t="s">
        <v>2142</v>
      </c>
      <c r="BT54" t="s">
        <v>124</v>
      </c>
      <c r="BU54" t="s">
        <v>170</v>
      </c>
      <c r="BV54" t="s">
        <v>171</v>
      </c>
      <c r="BW54" t="s">
        <v>172</v>
      </c>
      <c r="BX54" t="s">
        <v>173</v>
      </c>
      <c r="BY54" t="s">
        <v>136</v>
      </c>
      <c r="BZ54" t="s">
        <v>174</v>
      </c>
      <c r="CA54" t="s">
        <v>136</v>
      </c>
      <c r="CB54" t="s">
        <v>136</v>
      </c>
      <c r="CC54" t="s">
        <v>175</v>
      </c>
      <c r="CD54" t="s">
        <v>176</v>
      </c>
      <c r="CE54" t="s">
        <v>161</v>
      </c>
      <c r="CF54" t="s">
        <v>177</v>
      </c>
      <c r="CG54" t="s">
        <v>178</v>
      </c>
      <c r="CH54" t="s">
        <v>179</v>
      </c>
      <c r="CI54" t="s">
        <v>142</v>
      </c>
      <c r="CJ54" t="s">
        <v>172</v>
      </c>
      <c r="CK54" t="s">
        <v>180</v>
      </c>
      <c r="CL54" t="s">
        <v>180</v>
      </c>
      <c r="CM54" t="s">
        <v>180</v>
      </c>
      <c r="CN54" t="s">
        <v>136</v>
      </c>
      <c r="CO54" t="s">
        <v>181</v>
      </c>
      <c r="CP54" t="s">
        <v>136</v>
      </c>
      <c r="CQ54" t="s">
        <v>136</v>
      </c>
      <c r="CR54" t="s">
        <v>136</v>
      </c>
      <c r="CS54" t="s">
        <v>136</v>
      </c>
      <c r="CT54" t="s">
        <v>2143</v>
      </c>
      <c r="CU54" t="s">
        <v>2144</v>
      </c>
      <c r="CV54" t="s">
        <v>2145</v>
      </c>
      <c r="CW54" t="s">
        <v>2146</v>
      </c>
      <c r="CX54" t="s">
        <v>2147</v>
      </c>
      <c r="CY54" t="s">
        <v>2148</v>
      </c>
      <c r="CZ54" t="s">
        <v>2149</v>
      </c>
      <c r="DA54" t="s">
        <v>2150</v>
      </c>
      <c r="DB54" t="s">
        <v>2127</v>
      </c>
      <c r="DC54" t="s">
        <v>669</v>
      </c>
      <c r="DD54" t="s">
        <v>191</v>
      </c>
      <c r="DE54" t="s">
        <v>192</v>
      </c>
      <c r="DF54" t="s">
        <v>142</v>
      </c>
      <c r="DG54" t="s">
        <v>193</v>
      </c>
      <c r="DH54" t="s">
        <v>194</v>
      </c>
      <c r="DI54" t="s">
        <v>142</v>
      </c>
      <c r="DJ54" t="s">
        <v>195</v>
      </c>
      <c r="DK54" t="s">
        <v>196</v>
      </c>
      <c r="DL54" t="s">
        <v>197</v>
      </c>
      <c r="DM54" t="s">
        <v>136</v>
      </c>
      <c r="DN54" t="s">
        <v>2126</v>
      </c>
      <c r="DO54" t="s">
        <v>198</v>
      </c>
      <c r="DP54" t="s">
        <v>199</v>
      </c>
      <c r="DQ54" t="s">
        <v>200</v>
      </c>
      <c r="DR54" t="s">
        <v>201</v>
      </c>
      <c r="DS54" t="s">
        <v>202</v>
      </c>
      <c r="DT54" t="s">
        <v>203</v>
      </c>
    </row>
    <row r="55" spans="1:124" x14ac:dyDescent="0.45">
      <c r="A55" t="s">
        <v>2151</v>
      </c>
      <c r="B55" t="s">
        <v>2152</v>
      </c>
      <c r="C55" t="s">
        <v>126</v>
      </c>
      <c r="D55" t="s">
        <v>127</v>
      </c>
      <c r="E55" t="s">
        <v>128</v>
      </c>
      <c r="H55" t="s">
        <v>1875</v>
      </c>
      <c r="I55">
        <v>9</v>
      </c>
      <c r="J55">
        <v>0.37077722674313318</v>
      </c>
      <c r="K55">
        <v>2.9058327199999998</v>
      </c>
      <c r="L55">
        <v>0.32882052328870581</v>
      </c>
      <c r="M55">
        <v>4.538038995622319</v>
      </c>
      <c r="N55" t="s">
        <v>2153</v>
      </c>
      <c r="O55" t="s">
        <v>2154</v>
      </c>
      <c r="P55">
        <v>3.3682731009301659</v>
      </c>
      <c r="Q55">
        <v>1.3628641009301661</v>
      </c>
      <c r="R55" t="s">
        <v>2155</v>
      </c>
      <c r="S55" t="s">
        <v>2156</v>
      </c>
      <c r="T55">
        <v>33.204584985510323</v>
      </c>
      <c r="U55">
        <v>0.4417875</v>
      </c>
      <c r="V55" t="s">
        <v>134</v>
      </c>
      <c r="W55" t="s">
        <v>2157</v>
      </c>
      <c r="X55" t="s">
        <v>136</v>
      </c>
      <c r="Y55" t="s">
        <v>136</v>
      </c>
      <c r="Z55" t="s">
        <v>136</v>
      </c>
      <c r="AA55" t="s">
        <v>2158</v>
      </c>
      <c r="AB55" t="s">
        <v>2159</v>
      </c>
      <c r="AC55" t="s">
        <v>2160</v>
      </c>
      <c r="AD55" t="s">
        <v>140</v>
      </c>
      <c r="AE55" t="s">
        <v>141</v>
      </c>
      <c r="AF55">
        <v>62.629513799999991</v>
      </c>
      <c r="AG55" t="s">
        <v>142</v>
      </c>
      <c r="AH55" t="s">
        <v>1713</v>
      </c>
      <c r="AI55" t="s">
        <v>2161</v>
      </c>
      <c r="AJ55" t="s">
        <v>2162</v>
      </c>
      <c r="AK55" t="s">
        <v>2163</v>
      </c>
      <c r="AL55">
        <v>25.97</v>
      </c>
      <c r="AM55" t="s">
        <v>218</v>
      </c>
      <c r="AN55" t="s">
        <v>350</v>
      </c>
      <c r="AO55" t="s">
        <v>2164</v>
      </c>
      <c r="AP55" t="s">
        <v>2165</v>
      </c>
      <c r="AQ55" t="s">
        <v>2166</v>
      </c>
      <c r="AR55" t="s">
        <v>2167</v>
      </c>
      <c r="AS55" t="s">
        <v>530</v>
      </c>
      <c r="AT55" t="s">
        <v>1328</v>
      </c>
      <c r="AU55" t="s">
        <v>2168</v>
      </c>
      <c r="AV55" t="s">
        <v>2169</v>
      </c>
      <c r="AW55" t="s">
        <v>2170</v>
      </c>
      <c r="AX55" t="s">
        <v>2171</v>
      </c>
      <c r="AY55" t="s">
        <v>2172</v>
      </c>
      <c r="AZ55" t="s">
        <v>445</v>
      </c>
      <c r="BA55" t="s">
        <v>2173</v>
      </c>
      <c r="BB55" t="s">
        <v>2174</v>
      </c>
      <c r="BC55" t="s">
        <v>2175</v>
      </c>
      <c r="BD55" t="s">
        <v>126</v>
      </c>
      <c r="BE55" t="s">
        <v>2176</v>
      </c>
      <c r="BF55" t="s">
        <v>2003</v>
      </c>
      <c r="BG55" t="s">
        <v>2177</v>
      </c>
      <c r="BH55" t="s">
        <v>979</v>
      </c>
      <c r="BI55" t="s">
        <v>1520</v>
      </c>
      <c r="BJ55" t="s">
        <v>858</v>
      </c>
      <c r="BK55" t="s">
        <v>126</v>
      </c>
      <c r="BL55" t="s">
        <v>859</v>
      </c>
      <c r="BM55" t="s">
        <v>124</v>
      </c>
      <c r="BN55" t="s">
        <v>164</v>
      </c>
      <c r="BO55" t="s">
        <v>165</v>
      </c>
      <c r="BP55" t="s">
        <v>276</v>
      </c>
      <c r="BQ55" t="s">
        <v>735</v>
      </c>
      <c r="BR55" t="s">
        <v>2178</v>
      </c>
      <c r="BS55" t="s">
        <v>2179</v>
      </c>
      <c r="BT55" t="s">
        <v>124</v>
      </c>
      <c r="BU55" t="s">
        <v>170</v>
      </c>
      <c r="BV55" t="s">
        <v>171</v>
      </c>
      <c r="BW55" t="s">
        <v>172</v>
      </c>
      <c r="BX55" t="s">
        <v>173</v>
      </c>
      <c r="BY55" t="s">
        <v>136</v>
      </c>
      <c r="BZ55" t="s">
        <v>174</v>
      </c>
      <c r="CA55" t="s">
        <v>136</v>
      </c>
      <c r="CB55" t="s">
        <v>136</v>
      </c>
      <c r="CC55" t="s">
        <v>175</v>
      </c>
      <c r="CD55" t="s">
        <v>176</v>
      </c>
      <c r="CE55" t="s">
        <v>161</v>
      </c>
      <c r="CF55" t="s">
        <v>177</v>
      </c>
      <c r="CG55" t="s">
        <v>178</v>
      </c>
      <c r="CH55" t="s">
        <v>179</v>
      </c>
      <c r="CI55" t="s">
        <v>142</v>
      </c>
      <c r="CJ55" t="s">
        <v>172</v>
      </c>
      <c r="CK55" t="s">
        <v>180</v>
      </c>
      <c r="CL55" t="s">
        <v>180</v>
      </c>
      <c r="CM55" t="s">
        <v>180</v>
      </c>
      <c r="CN55" t="s">
        <v>136</v>
      </c>
      <c r="CO55" t="s">
        <v>181</v>
      </c>
      <c r="CP55" t="s">
        <v>136</v>
      </c>
      <c r="CQ55" t="s">
        <v>136</v>
      </c>
      <c r="CR55" t="s">
        <v>136</v>
      </c>
      <c r="CS55" t="s">
        <v>136</v>
      </c>
      <c r="CT55" t="s">
        <v>2180</v>
      </c>
      <c r="CU55" t="s">
        <v>2181</v>
      </c>
      <c r="CV55" t="s">
        <v>663</v>
      </c>
      <c r="CW55" t="s">
        <v>2182</v>
      </c>
      <c r="CX55" t="s">
        <v>2183</v>
      </c>
      <c r="CY55" t="s">
        <v>2184</v>
      </c>
      <c r="CZ55" t="s">
        <v>2185</v>
      </c>
      <c r="DA55" t="s">
        <v>2186</v>
      </c>
      <c r="DB55" t="s">
        <v>2158</v>
      </c>
      <c r="DC55" t="s">
        <v>1702</v>
      </c>
      <c r="DD55" t="s">
        <v>191</v>
      </c>
      <c r="DE55" t="s">
        <v>192</v>
      </c>
      <c r="DF55" t="s">
        <v>142</v>
      </c>
      <c r="DG55" t="s">
        <v>193</v>
      </c>
      <c r="DH55" t="s">
        <v>194</v>
      </c>
      <c r="DI55" t="s">
        <v>142</v>
      </c>
      <c r="DJ55" t="s">
        <v>195</v>
      </c>
      <c r="DK55" t="s">
        <v>196</v>
      </c>
      <c r="DL55" t="s">
        <v>197</v>
      </c>
      <c r="DM55" t="s">
        <v>136</v>
      </c>
      <c r="DN55" t="s">
        <v>2157</v>
      </c>
      <c r="DO55" t="s">
        <v>198</v>
      </c>
      <c r="DP55" t="s">
        <v>199</v>
      </c>
      <c r="DQ55" t="s">
        <v>200</v>
      </c>
      <c r="DR55" t="s">
        <v>201</v>
      </c>
      <c r="DS55" t="s">
        <v>202</v>
      </c>
      <c r="DT55" t="s">
        <v>203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55"/>
  <sheetViews>
    <sheetView workbookViewId="0"/>
  </sheetViews>
  <sheetFormatPr defaultRowHeight="19.2" x14ac:dyDescent="0.45"/>
  <sheetData>
    <row r="1" spans="1:1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4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I2" t="s">
        <v>2222</v>
      </c>
      <c r="J2">
        <v>0.49</v>
      </c>
      <c r="K2">
        <v>2.91</v>
      </c>
      <c r="L2">
        <v>0.42</v>
      </c>
      <c r="M2">
        <v>5.69</v>
      </c>
      <c r="N2">
        <v>1.89</v>
      </c>
      <c r="O2">
        <v>1.73</v>
      </c>
      <c r="P2">
        <v>3.22</v>
      </c>
      <c r="Q2">
        <v>1.33</v>
      </c>
      <c r="R2">
        <v>17.04</v>
      </c>
      <c r="S2">
        <v>18.62</v>
      </c>
      <c r="T2">
        <v>31.73</v>
      </c>
      <c r="U2">
        <v>0.44</v>
      </c>
      <c r="V2">
        <v>7.5</v>
      </c>
      <c r="W2" t="s">
        <v>135</v>
      </c>
      <c r="X2">
        <v>0</v>
      </c>
      <c r="Y2">
        <v>0</v>
      </c>
      <c r="Z2">
        <v>0</v>
      </c>
      <c r="AA2">
        <v>104.79</v>
      </c>
      <c r="AB2">
        <v>420.51</v>
      </c>
      <c r="AC2">
        <v>0.75</v>
      </c>
      <c r="AD2">
        <v>0.5</v>
      </c>
      <c r="AE2">
        <v>0.84</v>
      </c>
      <c r="AF2">
        <v>96.18</v>
      </c>
      <c r="AG2">
        <v>1</v>
      </c>
      <c r="AH2">
        <v>52.9</v>
      </c>
      <c r="AI2">
        <v>48.41</v>
      </c>
      <c r="AJ2">
        <v>26.96</v>
      </c>
      <c r="AK2">
        <v>25.2</v>
      </c>
      <c r="AL2">
        <v>25.2</v>
      </c>
      <c r="AM2">
        <v>101.41</v>
      </c>
      <c r="AN2">
        <v>156</v>
      </c>
      <c r="AO2">
        <v>149.4</v>
      </c>
      <c r="AP2">
        <v>4.2</v>
      </c>
      <c r="AQ2">
        <v>305</v>
      </c>
      <c r="AR2">
        <v>3.9</v>
      </c>
      <c r="AS2">
        <v>-22</v>
      </c>
      <c r="AT2">
        <v>-4</v>
      </c>
      <c r="AU2">
        <v>349</v>
      </c>
      <c r="AX2">
        <v>22.34</v>
      </c>
      <c r="AY2">
        <v>158.43</v>
      </c>
      <c r="BC2" t="s">
        <v>158</v>
      </c>
      <c r="BD2" t="s">
        <v>159</v>
      </c>
      <c r="BH2">
        <v>0</v>
      </c>
      <c r="BJ2" t="s">
        <v>162</v>
      </c>
      <c r="BK2" t="s">
        <v>126</v>
      </c>
      <c r="BL2">
        <v>-1.01</v>
      </c>
      <c r="BM2" t="s">
        <v>124</v>
      </c>
      <c r="BN2">
        <v>0</v>
      </c>
      <c r="BO2">
        <v>0</v>
      </c>
      <c r="BP2">
        <v>0</v>
      </c>
      <c r="BQ2">
        <v>0.05</v>
      </c>
      <c r="BR2">
        <v>7.0000000000000007E-2</v>
      </c>
      <c r="BS2">
        <v>0.12</v>
      </c>
      <c r="BT2" t="s">
        <v>124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176</v>
      </c>
      <c r="CE2" t="s">
        <v>161</v>
      </c>
      <c r="CF2" t="s">
        <v>177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</v>
      </c>
      <c r="CU2">
        <v>2.4500000000000002</v>
      </c>
      <c r="CV2">
        <v>1.67</v>
      </c>
      <c r="CW2">
        <v>0.93</v>
      </c>
      <c r="CX2">
        <v>0.25</v>
      </c>
      <c r="CY2">
        <v>-0.02</v>
      </c>
      <c r="CZ2">
        <v>7.0000000000000007E-2</v>
      </c>
      <c r="DA2">
        <v>0.37</v>
      </c>
      <c r="DB2">
        <v>104.79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135</v>
      </c>
      <c r="DO2" t="s">
        <v>198</v>
      </c>
      <c r="DP2" t="s">
        <v>199</v>
      </c>
      <c r="DQ2" t="s">
        <v>200</v>
      </c>
      <c r="DR2" t="s">
        <v>201</v>
      </c>
      <c r="DS2" t="s">
        <v>202</v>
      </c>
      <c r="DT2" t="s">
        <v>203</v>
      </c>
    </row>
    <row r="3" spans="1:124" x14ac:dyDescent="0.45">
      <c r="A3" t="s">
        <v>204</v>
      </c>
      <c r="B3" t="s">
        <v>205</v>
      </c>
      <c r="C3" t="s">
        <v>126</v>
      </c>
      <c r="D3" t="s">
        <v>127</v>
      </c>
      <c r="E3" t="s">
        <v>128</v>
      </c>
      <c r="I3" t="s">
        <v>2223</v>
      </c>
      <c r="J3">
        <v>0.45</v>
      </c>
      <c r="K3">
        <v>2.9</v>
      </c>
      <c r="L3">
        <v>0.39</v>
      </c>
      <c r="M3">
        <v>5.18</v>
      </c>
      <c r="N3">
        <v>1.93</v>
      </c>
      <c r="O3">
        <v>1.79</v>
      </c>
      <c r="P3">
        <v>3.25</v>
      </c>
      <c r="Q3">
        <v>1.32</v>
      </c>
      <c r="R3">
        <v>17.61</v>
      </c>
      <c r="S3">
        <v>19.05</v>
      </c>
      <c r="T3">
        <v>32.020000000000003</v>
      </c>
      <c r="U3">
        <v>0.44</v>
      </c>
      <c r="V3">
        <v>7.5</v>
      </c>
      <c r="W3" t="s">
        <v>210</v>
      </c>
      <c r="X3">
        <v>0</v>
      </c>
      <c r="Y3">
        <v>0</v>
      </c>
      <c r="Z3">
        <v>0</v>
      </c>
      <c r="AA3">
        <v>113.9</v>
      </c>
      <c r="AB3">
        <v>460.42</v>
      </c>
      <c r="AC3">
        <v>0.75</v>
      </c>
      <c r="AD3">
        <v>0.5</v>
      </c>
      <c r="AE3">
        <v>0.84</v>
      </c>
      <c r="AF3">
        <v>110</v>
      </c>
      <c r="AG3">
        <v>1</v>
      </c>
      <c r="AH3">
        <v>53.97</v>
      </c>
      <c r="AI3">
        <v>49.89</v>
      </c>
      <c r="AJ3">
        <v>27</v>
      </c>
      <c r="AK3">
        <v>25.36</v>
      </c>
      <c r="AL3">
        <v>25.36</v>
      </c>
      <c r="AM3">
        <v>101.44</v>
      </c>
      <c r="AN3">
        <v>155.69999999999999</v>
      </c>
      <c r="AO3">
        <v>155.1</v>
      </c>
      <c r="AP3">
        <v>0.4</v>
      </c>
      <c r="AQ3">
        <v>348</v>
      </c>
      <c r="AR3">
        <v>3.9</v>
      </c>
      <c r="AS3">
        <v>5</v>
      </c>
      <c r="AT3">
        <v>1</v>
      </c>
      <c r="AU3">
        <v>312</v>
      </c>
      <c r="AX3">
        <v>5.0999999999999996</v>
      </c>
      <c r="AY3">
        <v>-59.33</v>
      </c>
      <c r="BC3" t="s">
        <v>158</v>
      </c>
      <c r="BD3" t="s">
        <v>159</v>
      </c>
      <c r="BH3">
        <v>0</v>
      </c>
      <c r="BJ3" t="s">
        <v>162</v>
      </c>
      <c r="BK3" t="s">
        <v>126</v>
      </c>
      <c r="BL3">
        <v>-1.01</v>
      </c>
      <c r="BM3" t="s">
        <v>124</v>
      </c>
      <c r="BN3">
        <v>0</v>
      </c>
      <c r="BO3">
        <v>0</v>
      </c>
      <c r="BP3">
        <v>0</v>
      </c>
      <c r="BQ3">
        <v>0.01</v>
      </c>
      <c r="BR3">
        <v>0.28000000000000003</v>
      </c>
      <c r="BS3">
        <v>0.51</v>
      </c>
      <c r="BT3" t="s">
        <v>124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176</v>
      </c>
      <c r="CE3" t="s">
        <v>161</v>
      </c>
      <c r="CF3" t="s">
        <v>177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</v>
      </c>
      <c r="CU3">
        <v>2.4500000000000002</v>
      </c>
      <c r="CV3">
        <v>1.67</v>
      </c>
      <c r="CW3">
        <v>0.94</v>
      </c>
      <c r="CX3">
        <v>0.25</v>
      </c>
      <c r="CY3">
        <v>-0.02</v>
      </c>
      <c r="CZ3">
        <v>0.08</v>
      </c>
      <c r="DA3">
        <v>0.41</v>
      </c>
      <c r="DB3">
        <v>113.9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210</v>
      </c>
      <c r="DO3" t="s">
        <v>198</v>
      </c>
      <c r="DP3" t="s">
        <v>199</v>
      </c>
      <c r="DQ3" t="s">
        <v>200</v>
      </c>
      <c r="DR3" t="s">
        <v>201</v>
      </c>
      <c r="DS3" t="s">
        <v>202</v>
      </c>
      <c r="DT3" t="s">
        <v>203</v>
      </c>
    </row>
    <row r="4" spans="1:124" x14ac:dyDescent="0.45">
      <c r="A4" t="s">
        <v>553</v>
      </c>
      <c r="B4" t="s">
        <v>554</v>
      </c>
      <c r="C4" t="s">
        <v>126</v>
      </c>
      <c r="D4" t="s">
        <v>127</v>
      </c>
      <c r="E4" t="s">
        <v>128</v>
      </c>
      <c r="I4" t="s">
        <v>2224</v>
      </c>
      <c r="J4">
        <v>0.28999999999999998</v>
      </c>
      <c r="K4">
        <v>2.9</v>
      </c>
      <c r="L4">
        <v>0.26</v>
      </c>
      <c r="M4">
        <v>3.88</v>
      </c>
      <c r="N4">
        <v>1.9</v>
      </c>
      <c r="O4">
        <v>1.79</v>
      </c>
      <c r="P4">
        <v>3.38</v>
      </c>
      <c r="Q4">
        <v>1.48</v>
      </c>
      <c r="R4">
        <v>17.670000000000002</v>
      </c>
      <c r="S4">
        <v>18.75</v>
      </c>
      <c r="T4">
        <v>33.29</v>
      </c>
      <c r="U4">
        <v>0.44</v>
      </c>
      <c r="V4">
        <v>7.5</v>
      </c>
      <c r="W4" t="s">
        <v>560</v>
      </c>
      <c r="X4">
        <v>0</v>
      </c>
      <c r="Y4">
        <v>0</v>
      </c>
      <c r="Z4">
        <v>0</v>
      </c>
      <c r="AA4">
        <v>114.26</v>
      </c>
      <c r="AB4">
        <v>433.65</v>
      </c>
      <c r="AC4">
        <v>0.74</v>
      </c>
      <c r="AD4">
        <v>0.5</v>
      </c>
      <c r="AE4">
        <v>0.84</v>
      </c>
      <c r="AF4">
        <v>125.28</v>
      </c>
      <c r="AG4">
        <v>1</v>
      </c>
      <c r="AH4">
        <v>52.99</v>
      </c>
      <c r="AI4">
        <v>49.94</v>
      </c>
      <c r="AJ4">
        <v>27.04</v>
      </c>
      <c r="AK4">
        <v>26.01</v>
      </c>
      <c r="AL4">
        <v>26.01</v>
      </c>
      <c r="AM4">
        <v>101.42</v>
      </c>
      <c r="AN4">
        <v>155.9</v>
      </c>
      <c r="AO4">
        <v>152.9</v>
      </c>
      <c r="AP4">
        <v>1.9</v>
      </c>
      <c r="AQ4">
        <v>405</v>
      </c>
      <c r="AR4">
        <v>3.9</v>
      </c>
      <c r="AS4">
        <v>-13</v>
      </c>
      <c r="AT4">
        <v>-1</v>
      </c>
      <c r="AU4">
        <v>309</v>
      </c>
      <c r="AX4">
        <v>13.04</v>
      </c>
      <c r="AY4">
        <v>124.56</v>
      </c>
      <c r="BC4" t="s">
        <v>158</v>
      </c>
      <c r="BD4" t="s">
        <v>159</v>
      </c>
      <c r="BH4">
        <v>0</v>
      </c>
      <c r="BJ4" t="s">
        <v>162</v>
      </c>
      <c r="BK4" t="s">
        <v>126</v>
      </c>
      <c r="BL4">
        <v>-1.01</v>
      </c>
      <c r="BM4" t="s">
        <v>124</v>
      </c>
      <c r="BN4">
        <v>0</v>
      </c>
      <c r="BO4">
        <v>0</v>
      </c>
      <c r="BP4">
        <v>0</v>
      </c>
      <c r="BQ4">
        <v>-0.02</v>
      </c>
      <c r="BR4">
        <v>-0.01</v>
      </c>
      <c r="BS4">
        <v>7.0000000000000007E-2</v>
      </c>
      <c r="BT4" t="s">
        <v>124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176</v>
      </c>
      <c r="CE4" t="s">
        <v>161</v>
      </c>
      <c r="CF4" t="s">
        <v>177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</v>
      </c>
      <c r="CU4">
        <v>2.4500000000000002</v>
      </c>
      <c r="CV4">
        <v>1.67</v>
      </c>
      <c r="CW4">
        <v>0.94</v>
      </c>
      <c r="CX4">
        <v>0.25</v>
      </c>
      <c r="CY4">
        <v>-0.01</v>
      </c>
      <c r="CZ4">
        <v>0.09</v>
      </c>
      <c r="DA4">
        <v>0.46</v>
      </c>
      <c r="DB4">
        <v>114.26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560</v>
      </c>
      <c r="DO4" t="s">
        <v>198</v>
      </c>
      <c r="DP4" t="s">
        <v>199</v>
      </c>
      <c r="DQ4" t="s">
        <v>200</v>
      </c>
      <c r="DR4" t="s">
        <v>201</v>
      </c>
      <c r="DS4" t="s">
        <v>202</v>
      </c>
      <c r="DT4" t="s">
        <v>203</v>
      </c>
    </row>
    <row r="5" spans="1:124" x14ac:dyDescent="0.45">
      <c r="A5" t="s">
        <v>587</v>
      </c>
      <c r="B5" t="s">
        <v>588</v>
      </c>
      <c r="C5" t="s">
        <v>126</v>
      </c>
      <c r="D5" t="s">
        <v>127</v>
      </c>
      <c r="E5" t="s">
        <v>128</v>
      </c>
      <c r="I5" t="s">
        <v>2225</v>
      </c>
      <c r="J5">
        <v>0.54</v>
      </c>
      <c r="K5">
        <v>2.91</v>
      </c>
      <c r="L5">
        <v>0.45</v>
      </c>
      <c r="M5">
        <v>6.04</v>
      </c>
      <c r="N5">
        <v>1.99</v>
      </c>
      <c r="O5">
        <v>1.82</v>
      </c>
      <c r="P5">
        <v>3.3</v>
      </c>
      <c r="Q5">
        <v>1.31</v>
      </c>
      <c r="R5">
        <v>17.91</v>
      </c>
      <c r="S5">
        <v>19.579999999999998</v>
      </c>
      <c r="T5">
        <v>32.53</v>
      </c>
      <c r="U5">
        <v>0.44</v>
      </c>
      <c r="V5">
        <v>7.5</v>
      </c>
      <c r="W5" t="s">
        <v>593</v>
      </c>
      <c r="X5">
        <v>0</v>
      </c>
      <c r="Y5">
        <v>0</v>
      </c>
      <c r="Z5">
        <v>0</v>
      </c>
      <c r="AA5">
        <v>103.23</v>
      </c>
      <c r="AB5">
        <v>411.86</v>
      </c>
      <c r="AC5">
        <v>0.75</v>
      </c>
      <c r="AD5">
        <v>0.5</v>
      </c>
      <c r="AE5">
        <v>0.84</v>
      </c>
      <c r="AF5">
        <v>142.26</v>
      </c>
      <c r="AG5">
        <v>1</v>
      </c>
      <c r="AH5">
        <v>55.11</v>
      </c>
      <c r="AI5">
        <v>50.4</v>
      </c>
      <c r="AJ5">
        <v>27.12</v>
      </c>
      <c r="AK5">
        <v>25.62</v>
      </c>
      <c r="AL5">
        <v>25.62</v>
      </c>
      <c r="AM5">
        <v>101.43</v>
      </c>
      <c r="AN5">
        <v>156.1</v>
      </c>
      <c r="AO5">
        <v>155.30000000000001</v>
      </c>
      <c r="AP5">
        <v>0.5</v>
      </c>
      <c r="AQ5">
        <v>452</v>
      </c>
      <c r="AR5">
        <v>3.9</v>
      </c>
      <c r="AS5">
        <v>11</v>
      </c>
      <c r="AT5">
        <v>2</v>
      </c>
      <c r="AU5">
        <v>289</v>
      </c>
      <c r="AV5">
        <v>45.88</v>
      </c>
      <c r="AW5">
        <v>69.62</v>
      </c>
      <c r="AX5">
        <v>11.18</v>
      </c>
      <c r="AY5">
        <v>-81.37</v>
      </c>
      <c r="AZ5">
        <v>-0.78</v>
      </c>
      <c r="BA5">
        <v>120.3</v>
      </c>
      <c r="BB5">
        <v>56.14</v>
      </c>
      <c r="BC5" t="s">
        <v>610</v>
      </c>
      <c r="BD5" t="s">
        <v>126</v>
      </c>
      <c r="BE5">
        <v>35.85</v>
      </c>
      <c r="BF5">
        <v>127.13</v>
      </c>
      <c r="BG5">
        <v>33.5</v>
      </c>
      <c r="BH5">
        <v>8</v>
      </c>
      <c r="BI5">
        <v>1.1000000000000001</v>
      </c>
      <c r="BJ5" t="s">
        <v>162</v>
      </c>
      <c r="BK5" t="s">
        <v>126</v>
      </c>
      <c r="BL5">
        <v>-1.01</v>
      </c>
      <c r="BM5" t="s">
        <v>124</v>
      </c>
      <c r="BN5">
        <v>0</v>
      </c>
      <c r="BO5">
        <v>0</v>
      </c>
      <c r="BP5">
        <v>0.01</v>
      </c>
      <c r="BQ5">
        <v>0.03</v>
      </c>
      <c r="BR5">
        <v>0.1</v>
      </c>
      <c r="BS5">
        <v>-0.04</v>
      </c>
      <c r="BT5" t="s">
        <v>124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176</v>
      </c>
      <c r="CE5" t="s">
        <v>161</v>
      </c>
      <c r="CF5" t="s">
        <v>177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2.5099999999999998</v>
      </c>
      <c r="CU5">
        <v>2.4500000000000002</v>
      </c>
      <c r="CV5">
        <v>1.67</v>
      </c>
      <c r="CW5">
        <v>0.94</v>
      </c>
      <c r="CX5">
        <v>0.25</v>
      </c>
      <c r="CY5">
        <v>-0.02</v>
      </c>
      <c r="CZ5">
        <v>0.09</v>
      </c>
      <c r="DA5">
        <v>0.5</v>
      </c>
      <c r="DB5">
        <v>103.23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593</v>
      </c>
      <c r="DO5" t="s">
        <v>198</v>
      </c>
      <c r="DP5" t="s">
        <v>199</v>
      </c>
      <c r="DQ5" t="s">
        <v>200</v>
      </c>
      <c r="DR5" t="s">
        <v>201</v>
      </c>
      <c r="DS5" t="s">
        <v>202</v>
      </c>
      <c r="DT5" t="s">
        <v>203</v>
      </c>
    </row>
    <row r="6" spans="1:124" x14ac:dyDescent="0.45">
      <c r="A6" t="s">
        <v>224</v>
      </c>
      <c r="B6" t="s">
        <v>909</v>
      </c>
      <c r="C6" t="s">
        <v>126</v>
      </c>
      <c r="D6" t="s">
        <v>127</v>
      </c>
      <c r="E6" t="s">
        <v>128</v>
      </c>
      <c r="I6" t="s">
        <v>2226</v>
      </c>
      <c r="J6">
        <v>0.12</v>
      </c>
      <c r="K6">
        <v>2.91</v>
      </c>
      <c r="L6">
        <v>0.11</v>
      </c>
      <c r="M6">
        <v>1.83</v>
      </c>
      <c r="N6">
        <v>1.88</v>
      </c>
      <c r="O6">
        <v>1.83</v>
      </c>
      <c r="P6">
        <v>3.5</v>
      </c>
      <c r="Q6">
        <v>1.61</v>
      </c>
      <c r="R6">
        <v>18.04</v>
      </c>
      <c r="S6">
        <v>18.55</v>
      </c>
      <c r="T6">
        <v>34.46</v>
      </c>
      <c r="U6">
        <v>0.44</v>
      </c>
      <c r="V6">
        <v>7.5</v>
      </c>
      <c r="W6" t="s">
        <v>915</v>
      </c>
      <c r="X6">
        <v>0</v>
      </c>
      <c r="Y6">
        <v>0</v>
      </c>
      <c r="Z6">
        <v>0</v>
      </c>
      <c r="AA6">
        <v>113.06</v>
      </c>
      <c r="AB6">
        <v>466.57</v>
      </c>
      <c r="AC6">
        <v>0.76</v>
      </c>
      <c r="AD6">
        <v>0.5</v>
      </c>
      <c r="AE6">
        <v>0.84</v>
      </c>
      <c r="AF6">
        <v>99.92</v>
      </c>
      <c r="AG6">
        <v>1</v>
      </c>
      <c r="AH6">
        <v>52.08</v>
      </c>
      <c r="AI6">
        <v>50.65</v>
      </c>
      <c r="AJ6">
        <v>27.16</v>
      </c>
      <c r="AK6">
        <v>26.6</v>
      </c>
      <c r="AL6">
        <v>26.6</v>
      </c>
      <c r="AM6">
        <v>101.44</v>
      </c>
      <c r="AN6">
        <v>156.1</v>
      </c>
      <c r="AO6">
        <v>152.69999999999999</v>
      </c>
      <c r="AP6">
        <v>2.2000000000000002</v>
      </c>
      <c r="AQ6">
        <v>314</v>
      </c>
      <c r="AR6">
        <v>3.87</v>
      </c>
      <c r="AS6">
        <v>-33</v>
      </c>
      <c r="AT6">
        <v>-27</v>
      </c>
      <c r="AU6">
        <v>116</v>
      </c>
      <c r="AV6">
        <v>37.82</v>
      </c>
      <c r="AW6">
        <v>78.989999999999995</v>
      </c>
      <c r="AX6">
        <v>41.65</v>
      </c>
      <c r="AY6">
        <v>-107.09</v>
      </c>
      <c r="AZ6">
        <v>-0.78</v>
      </c>
      <c r="BA6">
        <v>120.3</v>
      </c>
      <c r="BB6">
        <v>56.14</v>
      </c>
      <c r="BC6" t="s">
        <v>930</v>
      </c>
      <c r="BD6" t="s">
        <v>126</v>
      </c>
      <c r="BE6">
        <v>35.85</v>
      </c>
      <c r="BF6">
        <v>127.13</v>
      </c>
      <c r="BG6">
        <v>33.799999999999997</v>
      </c>
      <c r="BH6">
        <v>8</v>
      </c>
      <c r="BI6">
        <v>1.1000000000000001</v>
      </c>
      <c r="BJ6" t="s">
        <v>162</v>
      </c>
      <c r="BK6" t="s">
        <v>126</v>
      </c>
      <c r="BL6">
        <v>-1.01</v>
      </c>
      <c r="BM6" t="s">
        <v>124</v>
      </c>
      <c r="BN6">
        <v>0</v>
      </c>
      <c r="BO6">
        <v>0</v>
      </c>
      <c r="BP6">
        <v>0</v>
      </c>
      <c r="BQ6">
        <v>0.01</v>
      </c>
      <c r="BR6">
        <v>-0.06</v>
      </c>
      <c r="BS6">
        <v>-1.57</v>
      </c>
      <c r="BT6" t="s">
        <v>124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176</v>
      </c>
      <c r="CE6" t="s">
        <v>161</v>
      </c>
      <c r="CF6" t="s">
        <v>177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2.5099999999999998</v>
      </c>
      <c r="CU6">
        <v>2.4500000000000002</v>
      </c>
      <c r="CV6">
        <v>1.67</v>
      </c>
      <c r="CW6">
        <v>0.94</v>
      </c>
      <c r="CX6">
        <v>0.25</v>
      </c>
      <c r="CY6">
        <v>-0.01</v>
      </c>
      <c r="CZ6">
        <v>0.1</v>
      </c>
      <c r="DA6">
        <v>0.38</v>
      </c>
      <c r="DB6">
        <v>113.06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915</v>
      </c>
      <c r="DO6" t="s">
        <v>198</v>
      </c>
      <c r="DP6" t="s">
        <v>199</v>
      </c>
      <c r="DQ6" t="s">
        <v>200</v>
      </c>
      <c r="DR6" t="s">
        <v>201</v>
      </c>
      <c r="DS6" t="s">
        <v>202</v>
      </c>
      <c r="DT6" t="s">
        <v>203</v>
      </c>
    </row>
    <row r="7" spans="1:124" x14ac:dyDescent="0.45">
      <c r="A7" t="s">
        <v>943</v>
      </c>
      <c r="B7" t="s">
        <v>944</v>
      </c>
      <c r="C7" t="s">
        <v>126</v>
      </c>
      <c r="D7" t="s">
        <v>127</v>
      </c>
      <c r="E7" t="s">
        <v>128</v>
      </c>
      <c r="I7" t="s">
        <v>2227</v>
      </c>
      <c r="J7">
        <v>0.08</v>
      </c>
      <c r="K7">
        <v>2.9</v>
      </c>
      <c r="L7">
        <v>0.08</v>
      </c>
      <c r="M7">
        <v>1.46</v>
      </c>
      <c r="N7">
        <v>1.88</v>
      </c>
      <c r="O7">
        <v>1.84</v>
      </c>
      <c r="P7">
        <v>3.64</v>
      </c>
      <c r="Q7">
        <v>1.76</v>
      </c>
      <c r="R7">
        <v>18.16</v>
      </c>
      <c r="S7">
        <v>18.559999999999999</v>
      </c>
      <c r="T7">
        <v>35.93</v>
      </c>
      <c r="U7">
        <v>0.44</v>
      </c>
      <c r="V7">
        <v>7.5</v>
      </c>
      <c r="W7" t="s">
        <v>949</v>
      </c>
      <c r="X7">
        <v>0</v>
      </c>
      <c r="Y7">
        <v>0</v>
      </c>
      <c r="Z7">
        <v>0</v>
      </c>
      <c r="AA7">
        <v>109.65</v>
      </c>
      <c r="AB7">
        <v>420.04</v>
      </c>
      <c r="AC7">
        <v>0.74</v>
      </c>
      <c r="AD7">
        <v>0.5</v>
      </c>
      <c r="AE7">
        <v>0.84</v>
      </c>
      <c r="AF7">
        <v>120.42</v>
      </c>
      <c r="AG7">
        <v>1</v>
      </c>
      <c r="AH7">
        <v>52.02</v>
      </c>
      <c r="AI7">
        <v>50.88</v>
      </c>
      <c r="AJ7">
        <v>27.19</v>
      </c>
      <c r="AK7">
        <v>27.31</v>
      </c>
      <c r="AL7">
        <v>27.31</v>
      </c>
      <c r="AM7">
        <v>101.43</v>
      </c>
      <c r="AN7">
        <v>155.9</v>
      </c>
      <c r="AO7">
        <v>151.30000000000001</v>
      </c>
      <c r="AP7">
        <v>2.9</v>
      </c>
      <c r="AQ7">
        <v>388</v>
      </c>
      <c r="AR7">
        <v>3.9</v>
      </c>
      <c r="AS7">
        <v>-26</v>
      </c>
      <c r="AT7">
        <v>-2</v>
      </c>
      <c r="AU7">
        <v>130</v>
      </c>
      <c r="AV7">
        <v>30.24</v>
      </c>
      <c r="AW7">
        <v>86.4</v>
      </c>
      <c r="AX7">
        <v>26.07</v>
      </c>
      <c r="AY7">
        <v>-54.55</v>
      </c>
      <c r="AZ7">
        <v>-0.78</v>
      </c>
      <c r="BA7">
        <v>120.3</v>
      </c>
      <c r="BB7">
        <v>56.14</v>
      </c>
      <c r="BC7" t="s">
        <v>966</v>
      </c>
      <c r="BD7" t="s">
        <v>126</v>
      </c>
      <c r="BE7">
        <v>35.85</v>
      </c>
      <c r="BF7">
        <v>127.13</v>
      </c>
      <c r="BG7">
        <v>36.6</v>
      </c>
      <c r="BH7">
        <v>9</v>
      </c>
      <c r="BI7">
        <v>1.08</v>
      </c>
      <c r="BJ7" t="s">
        <v>162</v>
      </c>
      <c r="BK7" t="s">
        <v>126</v>
      </c>
      <c r="BL7">
        <v>-1.01</v>
      </c>
      <c r="BM7" t="s">
        <v>124</v>
      </c>
      <c r="BN7">
        <v>0</v>
      </c>
      <c r="BO7">
        <v>0</v>
      </c>
      <c r="BP7">
        <v>-9999</v>
      </c>
      <c r="BQ7">
        <v>-0.47</v>
      </c>
      <c r="BR7">
        <v>-0.97</v>
      </c>
      <c r="BS7">
        <v>-9999</v>
      </c>
      <c r="BT7" t="s">
        <v>124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176</v>
      </c>
      <c r="CE7" t="s">
        <v>161</v>
      </c>
      <c r="CF7" t="s">
        <v>177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2.5099999999999998</v>
      </c>
      <c r="CU7">
        <v>2.4500000000000002</v>
      </c>
      <c r="CV7">
        <v>1.67</v>
      </c>
      <c r="CW7">
        <v>0.93</v>
      </c>
      <c r="CX7">
        <v>0.25</v>
      </c>
      <c r="CY7">
        <v>0</v>
      </c>
      <c r="CZ7">
        <v>0.1</v>
      </c>
      <c r="DA7">
        <v>0.45</v>
      </c>
      <c r="DB7">
        <v>109.65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949</v>
      </c>
      <c r="DO7" t="s">
        <v>198</v>
      </c>
      <c r="DP7" t="s">
        <v>199</v>
      </c>
      <c r="DQ7" t="s">
        <v>200</v>
      </c>
      <c r="DR7" t="s">
        <v>201</v>
      </c>
      <c r="DS7" t="s">
        <v>202</v>
      </c>
      <c r="DT7" t="s">
        <v>203</v>
      </c>
    </row>
    <row r="8" spans="1:124" x14ac:dyDescent="0.45">
      <c r="A8" t="s">
        <v>1237</v>
      </c>
      <c r="B8" t="s">
        <v>1238</v>
      </c>
      <c r="C8" t="s">
        <v>126</v>
      </c>
      <c r="D8" t="s">
        <v>127</v>
      </c>
      <c r="E8" t="s">
        <v>128</v>
      </c>
      <c r="I8" t="s">
        <v>2228</v>
      </c>
      <c r="J8">
        <v>0.56000000000000005</v>
      </c>
      <c r="K8">
        <v>2.91</v>
      </c>
      <c r="L8">
        <v>0.47</v>
      </c>
      <c r="M8">
        <v>6.05</v>
      </c>
      <c r="N8">
        <v>2</v>
      </c>
      <c r="O8">
        <v>1.83</v>
      </c>
      <c r="P8">
        <v>3.27</v>
      </c>
      <c r="Q8">
        <v>1.27</v>
      </c>
      <c r="R8">
        <v>18.079999999999998</v>
      </c>
      <c r="S8">
        <v>19.760000000000002</v>
      </c>
      <c r="T8">
        <v>32.24</v>
      </c>
      <c r="U8">
        <v>0.44</v>
      </c>
      <c r="V8">
        <v>7.5</v>
      </c>
      <c r="W8" t="s">
        <v>1244</v>
      </c>
      <c r="X8">
        <v>0</v>
      </c>
      <c r="Y8">
        <v>0</v>
      </c>
      <c r="Z8">
        <v>0</v>
      </c>
      <c r="AA8">
        <v>107.77</v>
      </c>
      <c r="AB8">
        <v>428.31</v>
      </c>
      <c r="AC8">
        <v>0.75</v>
      </c>
      <c r="AD8">
        <v>0.5</v>
      </c>
      <c r="AE8">
        <v>0.84</v>
      </c>
      <c r="AF8">
        <v>129.81</v>
      </c>
      <c r="AG8">
        <v>1</v>
      </c>
      <c r="AH8">
        <v>55.08</v>
      </c>
      <c r="AI8">
        <v>50.4</v>
      </c>
      <c r="AJ8">
        <v>27.28</v>
      </c>
      <c r="AK8">
        <v>25.47</v>
      </c>
      <c r="AL8">
        <v>25.47</v>
      </c>
      <c r="AM8">
        <v>101.42</v>
      </c>
      <c r="AN8">
        <v>156.1</v>
      </c>
      <c r="AO8">
        <v>148.1</v>
      </c>
      <c r="AP8">
        <v>5.0999999999999996</v>
      </c>
      <c r="AQ8">
        <v>413</v>
      </c>
      <c r="AR8">
        <v>3.9</v>
      </c>
      <c r="AS8">
        <v>-20</v>
      </c>
      <c r="AT8">
        <v>6</v>
      </c>
      <c r="AU8">
        <v>319</v>
      </c>
      <c r="AV8">
        <v>73.55</v>
      </c>
      <c r="AW8">
        <v>28.32</v>
      </c>
      <c r="AX8">
        <v>20.85</v>
      </c>
      <c r="AY8">
        <v>156.08000000000001</v>
      </c>
      <c r="AZ8">
        <v>-0.78</v>
      </c>
      <c r="BA8">
        <v>120.52</v>
      </c>
      <c r="BB8">
        <v>55.96</v>
      </c>
      <c r="BC8" t="s">
        <v>1260</v>
      </c>
      <c r="BD8" t="s">
        <v>126</v>
      </c>
      <c r="BE8">
        <v>35.85</v>
      </c>
      <c r="BF8">
        <v>127.13</v>
      </c>
      <c r="BG8">
        <v>37.299999999999997</v>
      </c>
      <c r="BH8">
        <v>7</v>
      </c>
      <c r="BI8">
        <v>1.17</v>
      </c>
      <c r="BJ8" t="s">
        <v>162</v>
      </c>
      <c r="BK8" t="s">
        <v>126</v>
      </c>
      <c r="BL8">
        <v>-1.01</v>
      </c>
      <c r="BM8" t="s">
        <v>124</v>
      </c>
      <c r="BN8">
        <v>0</v>
      </c>
      <c r="BO8">
        <v>0</v>
      </c>
      <c r="BP8">
        <v>0.01</v>
      </c>
      <c r="BQ8">
        <v>7.0000000000000007E-2</v>
      </c>
      <c r="BR8">
        <v>-0.03</v>
      </c>
      <c r="BS8">
        <v>-0.05</v>
      </c>
      <c r="BT8" t="s">
        <v>124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176</v>
      </c>
      <c r="CE8" t="s">
        <v>161</v>
      </c>
      <c r="CF8" t="s">
        <v>177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2.5099999999999998</v>
      </c>
      <c r="CU8">
        <v>2.4500000000000002</v>
      </c>
      <c r="CV8">
        <v>1.67</v>
      </c>
      <c r="CW8">
        <v>0.92</v>
      </c>
      <c r="CX8">
        <v>0.25</v>
      </c>
      <c r="CY8">
        <v>-0.02</v>
      </c>
      <c r="CZ8">
        <v>0.11</v>
      </c>
      <c r="DA8">
        <v>0.47</v>
      </c>
      <c r="DB8">
        <v>107.77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1244</v>
      </c>
      <c r="DO8" t="s">
        <v>198</v>
      </c>
      <c r="DP8" t="s">
        <v>199</v>
      </c>
      <c r="DQ8" t="s">
        <v>200</v>
      </c>
      <c r="DR8" t="s">
        <v>201</v>
      </c>
      <c r="DS8" t="s">
        <v>202</v>
      </c>
      <c r="DT8" t="s">
        <v>203</v>
      </c>
    </row>
    <row r="9" spans="1:124" x14ac:dyDescent="0.45">
      <c r="A9" t="s">
        <v>614</v>
      </c>
      <c r="B9" t="s">
        <v>1275</v>
      </c>
      <c r="C9" t="s">
        <v>126</v>
      </c>
      <c r="D9" t="s">
        <v>127</v>
      </c>
      <c r="E9" t="s">
        <v>128</v>
      </c>
      <c r="I9" t="s">
        <v>2229</v>
      </c>
      <c r="J9">
        <v>0.14000000000000001</v>
      </c>
      <c r="K9">
        <v>2.91</v>
      </c>
      <c r="L9">
        <v>0.13</v>
      </c>
      <c r="M9">
        <v>2.23</v>
      </c>
      <c r="N9">
        <v>1.9</v>
      </c>
      <c r="O9">
        <v>1.84</v>
      </c>
      <c r="P9">
        <v>3.59</v>
      </c>
      <c r="Q9">
        <v>1.68</v>
      </c>
      <c r="R9">
        <v>18.14</v>
      </c>
      <c r="S9">
        <v>18.760000000000002</v>
      </c>
      <c r="T9">
        <v>35.369999999999997</v>
      </c>
      <c r="U9">
        <v>0.44</v>
      </c>
      <c r="V9">
        <v>7.5</v>
      </c>
      <c r="W9" t="s">
        <v>1280</v>
      </c>
      <c r="X9">
        <v>0</v>
      </c>
      <c r="Y9">
        <v>0</v>
      </c>
      <c r="Z9">
        <v>0</v>
      </c>
      <c r="AA9">
        <v>99.59</v>
      </c>
      <c r="AB9">
        <v>392.31</v>
      </c>
      <c r="AC9">
        <v>0.75</v>
      </c>
      <c r="AD9">
        <v>0.5</v>
      </c>
      <c r="AE9">
        <v>0.84</v>
      </c>
      <c r="AF9">
        <v>113.76</v>
      </c>
      <c r="AG9">
        <v>1</v>
      </c>
      <c r="AH9">
        <v>52.19</v>
      </c>
      <c r="AI9">
        <v>50.47</v>
      </c>
      <c r="AJ9">
        <v>27.32</v>
      </c>
      <c r="AK9">
        <v>27.04</v>
      </c>
      <c r="AL9">
        <v>27.04</v>
      </c>
      <c r="AM9">
        <v>101.42</v>
      </c>
      <c r="AN9">
        <v>156.1</v>
      </c>
      <c r="AO9">
        <v>144.5</v>
      </c>
      <c r="AP9">
        <v>7.4</v>
      </c>
      <c r="AQ9">
        <v>363</v>
      </c>
      <c r="AR9">
        <v>3.87</v>
      </c>
      <c r="AS9">
        <v>-25</v>
      </c>
      <c r="AT9">
        <v>-28</v>
      </c>
      <c r="AU9">
        <v>252</v>
      </c>
      <c r="AV9">
        <v>57.69</v>
      </c>
      <c r="AW9">
        <v>53.45</v>
      </c>
      <c r="AX9">
        <v>36.85</v>
      </c>
      <c r="AY9">
        <v>20.48</v>
      </c>
      <c r="AZ9">
        <v>-0.78</v>
      </c>
      <c r="BA9">
        <v>120.52</v>
      </c>
      <c r="BB9">
        <v>55.96</v>
      </c>
      <c r="BC9" t="s">
        <v>1296</v>
      </c>
      <c r="BD9" t="s">
        <v>126</v>
      </c>
      <c r="BE9">
        <v>35.85</v>
      </c>
      <c r="BF9">
        <v>127.13</v>
      </c>
      <c r="BG9">
        <v>37.5</v>
      </c>
      <c r="BH9">
        <v>9</v>
      </c>
      <c r="BI9">
        <v>1.08</v>
      </c>
      <c r="BJ9" t="s">
        <v>162</v>
      </c>
      <c r="BK9" t="s">
        <v>126</v>
      </c>
      <c r="BL9">
        <v>-1.01</v>
      </c>
      <c r="BM9" t="s">
        <v>124</v>
      </c>
      <c r="BN9">
        <v>0</v>
      </c>
      <c r="BO9">
        <v>0</v>
      </c>
      <c r="BP9">
        <v>0</v>
      </c>
      <c r="BQ9">
        <v>-0.04</v>
      </c>
      <c r="BR9">
        <v>-0.08</v>
      </c>
      <c r="BS9">
        <v>-0.23</v>
      </c>
      <c r="BT9" t="s">
        <v>124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176</v>
      </c>
      <c r="CE9" t="s">
        <v>161</v>
      </c>
      <c r="CF9" t="s">
        <v>177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2.5099999999999998</v>
      </c>
      <c r="CU9">
        <v>2.4500000000000002</v>
      </c>
      <c r="CV9">
        <v>1.67</v>
      </c>
      <c r="CW9">
        <v>0.91</v>
      </c>
      <c r="CX9">
        <v>0.25</v>
      </c>
      <c r="CY9">
        <v>0</v>
      </c>
      <c r="CZ9">
        <v>0.11</v>
      </c>
      <c r="DA9">
        <v>0.42</v>
      </c>
      <c r="DB9">
        <v>99.59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1280</v>
      </c>
      <c r="DO9" t="s">
        <v>198</v>
      </c>
      <c r="DP9" t="s">
        <v>199</v>
      </c>
      <c r="DQ9" t="s">
        <v>200</v>
      </c>
      <c r="DR9" t="s">
        <v>201</v>
      </c>
      <c r="DS9" t="s">
        <v>202</v>
      </c>
      <c r="DT9" t="s">
        <v>203</v>
      </c>
    </row>
    <row r="10" spans="1:124" x14ac:dyDescent="0.45">
      <c r="A10" t="s">
        <v>321</v>
      </c>
      <c r="B10" t="s">
        <v>1566</v>
      </c>
      <c r="C10" t="s">
        <v>126</v>
      </c>
      <c r="D10" t="s">
        <v>127</v>
      </c>
      <c r="E10" t="s">
        <v>128</v>
      </c>
      <c r="I10" t="s">
        <v>2230</v>
      </c>
      <c r="J10">
        <v>0.53</v>
      </c>
      <c r="K10">
        <v>2.91</v>
      </c>
      <c r="L10">
        <v>0.45</v>
      </c>
      <c r="M10">
        <v>5.88</v>
      </c>
      <c r="N10">
        <v>2.02</v>
      </c>
      <c r="O10">
        <v>1.85</v>
      </c>
      <c r="P10">
        <v>3.31</v>
      </c>
      <c r="Q10">
        <v>1.29</v>
      </c>
      <c r="R10">
        <v>18.27</v>
      </c>
      <c r="S10">
        <v>19.899999999999999</v>
      </c>
      <c r="T10">
        <v>32.67</v>
      </c>
      <c r="U10">
        <v>0.44</v>
      </c>
      <c r="V10">
        <v>7.5</v>
      </c>
      <c r="W10" t="s">
        <v>1572</v>
      </c>
      <c r="X10">
        <v>0</v>
      </c>
      <c r="Y10">
        <v>0</v>
      </c>
      <c r="Z10">
        <v>0</v>
      </c>
      <c r="AA10">
        <v>115.25</v>
      </c>
      <c r="AB10">
        <v>452.59</v>
      </c>
      <c r="AC10">
        <v>0.75</v>
      </c>
      <c r="AD10">
        <v>0.5</v>
      </c>
      <c r="AE10">
        <v>0.84</v>
      </c>
      <c r="AF10">
        <v>138.99</v>
      </c>
      <c r="AG10">
        <v>1</v>
      </c>
      <c r="AH10">
        <v>55.14</v>
      </c>
      <c r="AI10">
        <v>50.62</v>
      </c>
      <c r="AJ10">
        <v>27.38</v>
      </c>
      <c r="AK10">
        <v>25.69</v>
      </c>
      <c r="AL10">
        <v>25.69</v>
      </c>
      <c r="AM10">
        <v>101.41</v>
      </c>
      <c r="AN10">
        <v>156.19999999999999</v>
      </c>
      <c r="AO10">
        <v>153.9</v>
      </c>
      <c r="AP10">
        <v>1.5</v>
      </c>
      <c r="AQ10">
        <v>444</v>
      </c>
      <c r="AR10">
        <v>3.9</v>
      </c>
      <c r="AS10">
        <v>-23</v>
      </c>
      <c r="AT10">
        <v>-19</v>
      </c>
      <c r="AU10">
        <v>129</v>
      </c>
      <c r="AV10">
        <v>33.86</v>
      </c>
      <c r="AW10">
        <v>83.04</v>
      </c>
      <c r="AX10">
        <v>29.5</v>
      </c>
      <c r="AY10">
        <v>-92.39</v>
      </c>
      <c r="AZ10">
        <v>-0.78</v>
      </c>
      <c r="BA10">
        <v>120.73</v>
      </c>
      <c r="BB10">
        <v>55.79</v>
      </c>
      <c r="BC10" t="s">
        <v>1590</v>
      </c>
      <c r="BD10" t="s">
        <v>126</v>
      </c>
      <c r="BE10">
        <v>35.85</v>
      </c>
      <c r="BF10">
        <v>127.13</v>
      </c>
      <c r="BG10">
        <v>38.6</v>
      </c>
      <c r="BH10">
        <v>9</v>
      </c>
      <c r="BI10">
        <v>1.21</v>
      </c>
      <c r="BJ10" t="s">
        <v>162</v>
      </c>
      <c r="BK10" t="s">
        <v>126</v>
      </c>
      <c r="BL10">
        <v>-1.01</v>
      </c>
      <c r="BM10" t="s">
        <v>124</v>
      </c>
      <c r="BN10">
        <v>0</v>
      </c>
      <c r="BO10">
        <v>0</v>
      </c>
      <c r="BP10">
        <v>0</v>
      </c>
      <c r="BQ10">
        <v>-0.04</v>
      </c>
      <c r="BR10">
        <v>0.03</v>
      </c>
      <c r="BS10">
        <v>0.08</v>
      </c>
      <c r="BT10" t="s">
        <v>124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176</v>
      </c>
      <c r="CE10" t="s">
        <v>161</v>
      </c>
      <c r="CF10" t="s">
        <v>177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2.5099999999999998</v>
      </c>
      <c r="CU10">
        <v>2.4500000000000002</v>
      </c>
      <c r="CV10">
        <v>1.67</v>
      </c>
      <c r="CW10">
        <v>0.94</v>
      </c>
      <c r="CX10">
        <v>0.25</v>
      </c>
      <c r="CY10">
        <v>-0.02</v>
      </c>
      <c r="CZ10">
        <v>0.11</v>
      </c>
      <c r="DA10">
        <v>0.49</v>
      </c>
      <c r="DB10">
        <v>115.25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1572</v>
      </c>
      <c r="DO10" t="s">
        <v>198</v>
      </c>
      <c r="DP10" t="s">
        <v>199</v>
      </c>
      <c r="DQ10" t="s">
        <v>200</v>
      </c>
      <c r="DR10" t="s">
        <v>201</v>
      </c>
      <c r="DS10" t="s">
        <v>202</v>
      </c>
      <c r="DT10" t="s">
        <v>203</v>
      </c>
    </row>
    <row r="11" spans="1:124" x14ac:dyDescent="0.45">
      <c r="A11" t="s">
        <v>400</v>
      </c>
      <c r="B11" t="s">
        <v>1605</v>
      </c>
      <c r="C11" t="s">
        <v>126</v>
      </c>
      <c r="D11" t="s">
        <v>127</v>
      </c>
      <c r="E11" t="s">
        <v>128</v>
      </c>
      <c r="I11" t="s">
        <v>2231</v>
      </c>
      <c r="J11">
        <v>0.49</v>
      </c>
      <c r="K11">
        <v>2.91</v>
      </c>
      <c r="L11">
        <v>0.42</v>
      </c>
      <c r="M11">
        <v>5.8</v>
      </c>
      <c r="N11">
        <v>2.0099999999999998</v>
      </c>
      <c r="O11">
        <v>1.84</v>
      </c>
      <c r="P11">
        <v>3.38</v>
      </c>
      <c r="Q11">
        <v>1.37</v>
      </c>
      <c r="R11">
        <v>18.18</v>
      </c>
      <c r="S11">
        <v>19.79</v>
      </c>
      <c r="T11">
        <v>33.33</v>
      </c>
      <c r="U11">
        <v>0.44</v>
      </c>
      <c r="V11">
        <v>7.5</v>
      </c>
      <c r="W11" t="s">
        <v>1610</v>
      </c>
      <c r="X11">
        <v>0</v>
      </c>
      <c r="Y11">
        <v>0</v>
      </c>
      <c r="Z11">
        <v>0</v>
      </c>
      <c r="AA11">
        <v>95.06</v>
      </c>
      <c r="AB11">
        <v>384.59</v>
      </c>
      <c r="AC11">
        <v>0.75</v>
      </c>
      <c r="AD11">
        <v>0.5</v>
      </c>
      <c r="AE11">
        <v>0.84</v>
      </c>
      <c r="AF11">
        <v>142.29</v>
      </c>
      <c r="AG11">
        <v>1</v>
      </c>
      <c r="AH11">
        <v>54.61</v>
      </c>
      <c r="AI11">
        <v>50.17</v>
      </c>
      <c r="AJ11">
        <v>27.45</v>
      </c>
      <c r="AK11">
        <v>26.03</v>
      </c>
      <c r="AL11">
        <v>26.03</v>
      </c>
      <c r="AM11">
        <v>101.42</v>
      </c>
      <c r="AN11">
        <v>156.19999999999999</v>
      </c>
      <c r="AO11">
        <v>151.1</v>
      </c>
      <c r="AP11">
        <v>3.3</v>
      </c>
      <c r="AQ11">
        <v>450</v>
      </c>
      <c r="AR11">
        <v>3.9</v>
      </c>
      <c r="AS11">
        <v>-27</v>
      </c>
      <c r="AT11">
        <v>0</v>
      </c>
      <c r="AU11">
        <v>118</v>
      </c>
      <c r="AV11">
        <v>28.84</v>
      </c>
      <c r="AW11">
        <v>87.6</v>
      </c>
      <c r="AX11">
        <v>27</v>
      </c>
      <c r="AY11">
        <v>-62</v>
      </c>
      <c r="AZ11">
        <v>-0.78</v>
      </c>
      <c r="BA11">
        <v>120.73</v>
      </c>
      <c r="BB11">
        <v>55.79</v>
      </c>
      <c r="BC11" t="s">
        <v>1624</v>
      </c>
      <c r="BD11" t="s">
        <v>126</v>
      </c>
      <c r="BE11">
        <v>35.85</v>
      </c>
      <c r="BF11">
        <v>127.13</v>
      </c>
      <c r="BG11">
        <v>39.6</v>
      </c>
      <c r="BH11">
        <v>9</v>
      </c>
      <c r="BI11">
        <v>1.26</v>
      </c>
      <c r="BJ11" t="s">
        <v>162</v>
      </c>
      <c r="BK11" t="s">
        <v>126</v>
      </c>
      <c r="BL11">
        <v>-1.01</v>
      </c>
      <c r="BM11" t="s">
        <v>124</v>
      </c>
      <c r="BN11">
        <v>0</v>
      </c>
      <c r="BO11">
        <v>0</v>
      </c>
      <c r="BP11">
        <v>0</v>
      </c>
      <c r="BQ11">
        <v>-0.05</v>
      </c>
      <c r="BR11">
        <v>0.03</v>
      </c>
      <c r="BS11">
        <v>0.01</v>
      </c>
      <c r="BT11" t="s">
        <v>124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176</v>
      </c>
      <c r="CE11" t="s">
        <v>161</v>
      </c>
      <c r="CF11" t="s">
        <v>177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</v>
      </c>
      <c r="CU11">
        <v>2.4500000000000002</v>
      </c>
      <c r="CV11">
        <v>1.67</v>
      </c>
      <c r="CW11">
        <v>0.93</v>
      </c>
      <c r="CX11">
        <v>0.25</v>
      </c>
      <c r="CY11">
        <v>-0.02</v>
      </c>
      <c r="CZ11">
        <v>0.12</v>
      </c>
      <c r="DA11">
        <v>0.5</v>
      </c>
      <c r="DB11">
        <v>95.06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1610</v>
      </c>
      <c r="DO11" t="s">
        <v>198</v>
      </c>
      <c r="DP11" t="s">
        <v>199</v>
      </c>
      <c r="DQ11" t="s">
        <v>200</v>
      </c>
      <c r="DR11" t="s">
        <v>201</v>
      </c>
      <c r="DS11" t="s">
        <v>202</v>
      </c>
      <c r="DT11" t="s">
        <v>203</v>
      </c>
    </row>
    <row r="12" spans="1:124" x14ac:dyDescent="0.45">
      <c r="A12" t="s">
        <v>263</v>
      </c>
      <c r="B12" t="s">
        <v>1874</v>
      </c>
      <c r="C12" t="s">
        <v>126</v>
      </c>
      <c r="D12" t="s">
        <v>127</v>
      </c>
      <c r="E12" t="s">
        <v>128</v>
      </c>
      <c r="I12" t="s">
        <v>2232</v>
      </c>
      <c r="J12">
        <v>0.39</v>
      </c>
      <c r="K12">
        <v>2.91</v>
      </c>
      <c r="L12">
        <v>0.34</v>
      </c>
      <c r="M12">
        <v>4.9800000000000004</v>
      </c>
      <c r="N12">
        <v>1.99</v>
      </c>
      <c r="O12">
        <v>1.85</v>
      </c>
      <c r="P12">
        <v>3.42</v>
      </c>
      <c r="Q12">
        <v>1.43</v>
      </c>
      <c r="R12">
        <v>18.2</v>
      </c>
      <c r="S12">
        <v>19.579999999999998</v>
      </c>
      <c r="T12">
        <v>33.71</v>
      </c>
      <c r="U12">
        <v>0.44</v>
      </c>
      <c r="V12">
        <v>7.5</v>
      </c>
      <c r="W12" t="s">
        <v>1880</v>
      </c>
      <c r="X12">
        <v>0</v>
      </c>
      <c r="Y12">
        <v>0</v>
      </c>
      <c r="Z12">
        <v>0</v>
      </c>
      <c r="AA12">
        <v>105.09</v>
      </c>
      <c r="AB12">
        <v>423.38</v>
      </c>
      <c r="AC12">
        <v>0.75</v>
      </c>
      <c r="AD12">
        <v>0.5</v>
      </c>
      <c r="AE12">
        <v>0.84</v>
      </c>
      <c r="AF12">
        <v>131.04</v>
      </c>
      <c r="AG12">
        <v>1</v>
      </c>
      <c r="AH12">
        <v>53.7</v>
      </c>
      <c r="AI12">
        <v>49.91</v>
      </c>
      <c r="AJ12">
        <v>27.56</v>
      </c>
      <c r="AK12">
        <v>26.22</v>
      </c>
      <c r="AL12">
        <v>26.22</v>
      </c>
      <c r="AM12">
        <v>101.42</v>
      </c>
      <c r="AN12">
        <v>156</v>
      </c>
      <c r="AO12">
        <v>143</v>
      </c>
      <c r="AP12">
        <v>8.3000000000000007</v>
      </c>
      <c r="AQ12">
        <v>415</v>
      </c>
      <c r="AR12">
        <v>3.89</v>
      </c>
      <c r="AS12">
        <v>-20</v>
      </c>
      <c r="AT12">
        <v>5</v>
      </c>
      <c r="AU12">
        <v>140</v>
      </c>
      <c r="AV12">
        <v>39.56</v>
      </c>
      <c r="AW12">
        <v>77.099999999999994</v>
      </c>
      <c r="AX12">
        <v>20.59</v>
      </c>
      <c r="AY12">
        <v>-25.65</v>
      </c>
      <c r="AZ12">
        <v>-0.78</v>
      </c>
      <c r="BA12">
        <v>120.95</v>
      </c>
      <c r="BB12">
        <v>55.62</v>
      </c>
      <c r="BC12" t="s">
        <v>1897</v>
      </c>
      <c r="BD12" t="s">
        <v>126</v>
      </c>
      <c r="BE12">
        <v>35.85</v>
      </c>
      <c r="BF12">
        <v>127.13</v>
      </c>
      <c r="BG12">
        <v>39.5</v>
      </c>
      <c r="BH12">
        <v>11</v>
      </c>
      <c r="BI12">
        <v>0.95</v>
      </c>
      <c r="BJ12" t="s">
        <v>162</v>
      </c>
      <c r="BK12" t="s">
        <v>126</v>
      </c>
      <c r="BL12">
        <v>-1.01</v>
      </c>
      <c r="BM12" t="s">
        <v>124</v>
      </c>
      <c r="BN12">
        <v>0</v>
      </c>
      <c r="BO12">
        <v>0</v>
      </c>
      <c r="BP12">
        <v>0</v>
      </c>
      <c r="BQ12">
        <v>0.04</v>
      </c>
      <c r="BR12">
        <v>0.01</v>
      </c>
      <c r="BS12">
        <v>0.02</v>
      </c>
      <c r="BT12" t="s">
        <v>124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176</v>
      </c>
      <c r="CE12" t="s">
        <v>161</v>
      </c>
      <c r="CF12" t="s">
        <v>177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</v>
      </c>
      <c r="CU12">
        <v>2.4500000000000002</v>
      </c>
      <c r="CV12">
        <v>1.67</v>
      </c>
      <c r="CW12">
        <v>0.91</v>
      </c>
      <c r="CX12">
        <v>0.25</v>
      </c>
      <c r="CY12">
        <v>-0.02</v>
      </c>
      <c r="CZ12">
        <v>0.13</v>
      </c>
      <c r="DA12">
        <v>0.47</v>
      </c>
      <c r="DB12">
        <v>105.09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1880</v>
      </c>
      <c r="DO12" t="s">
        <v>198</v>
      </c>
      <c r="DP12" t="s">
        <v>199</v>
      </c>
      <c r="DQ12" t="s">
        <v>200</v>
      </c>
      <c r="DR12" t="s">
        <v>201</v>
      </c>
      <c r="DS12" t="s">
        <v>202</v>
      </c>
      <c r="DT12" t="s">
        <v>203</v>
      </c>
    </row>
    <row r="13" spans="1:124" x14ac:dyDescent="0.45">
      <c r="A13" t="s">
        <v>856</v>
      </c>
      <c r="B13" t="s">
        <v>1911</v>
      </c>
      <c r="C13" t="s">
        <v>126</v>
      </c>
      <c r="D13" t="s">
        <v>127</v>
      </c>
      <c r="E13" t="s">
        <v>128</v>
      </c>
      <c r="I13" t="s">
        <v>2233</v>
      </c>
      <c r="J13">
        <v>0.62</v>
      </c>
      <c r="K13">
        <v>2.91</v>
      </c>
      <c r="L13">
        <v>0.51</v>
      </c>
      <c r="M13">
        <v>6.39</v>
      </c>
      <c r="N13">
        <v>2.0699999999999998</v>
      </c>
      <c r="O13">
        <v>1.89</v>
      </c>
      <c r="P13">
        <v>3.31</v>
      </c>
      <c r="Q13">
        <v>1.24</v>
      </c>
      <c r="R13">
        <v>18.64</v>
      </c>
      <c r="S13">
        <v>20.420000000000002</v>
      </c>
      <c r="T13">
        <v>32.630000000000003</v>
      </c>
      <c r="U13">
        <v>0.44</v>
      </c>
      <c r="V13">
        <v>7.5</v>
      </c>
      <c r="W13" t="s">
        <v>1916</v>
      </c>
      <c r="X13">
        <v>0</v>
      </c>
      <c r="Y13">
        <v>0</v>
      </c>
      <c r="Z13">
        <v>0</v>
      </c>
      <c r="AA13">
        <v>122.03</v>
      </c>
      <c r="AB13">
        <v>471.68</v>
      </c>
      <c r="AC13">
        <v>0.74</v>
      </c>
      <c r="AD13">
        <v>0.5</v>
      </c>
      <c r="AE13">
        <v>0.84</v>
      </c>
      <c r="AF13">
        <v>132.32</v>
      </c>
      <c r="AG13">
        <v>1</v>
      </c>
      <c r="AH13">
        <v>55.79</v>
      </c>
      <c r="AI13">
        <v>50.94</v>
      </c>
      <c r="AJ13">
        <v>27.62</v>
      </c>
      <c r="AK13">
        <v>25.67</v>
      </c>
      <c r="AL13">
        <v>25.67</v>
      </c>
      <c r="AM13">
        <v>101.42</v>
      </c>
      <c r="AN13">
        <v>156</v>
      </c>
      <c r="AO13">
        <v>152.30000000000001</v>
      </c>
      <c r="AP13">
        <v>2.4</v>
      </c>
      <c r="AQ13">
        <v>425</v>
      </c>
      <c r="AR13">
        <v>3.87</v>
      </c>
      <c r="AS13">
        <v>-9</v>
      </c>
      <c r="AT13">
        <v>-1</v>
      </c>
      <c r="AU13">
        <v>118</v>
      </c>
      <c r="AV13">
        <v>46.53</v>
      </c>
      <c r="AW13">
        <v>68.8</v>
      </c>
      <c r="AX13">
        <v>9.0500000000000007</v>
      </c>
      <c r="AY13">
        <v>-68.37</v>
      </c>
      <c r="AZ13">
        <v>-0.78</v>
      </c>
      <c r="BA13">
        <v>121.17</v>
      </c>
      <c r="BB13">
        <v>55.44</v>
      </c>
      <c r="BC13" t="s">
        <v>1929</v>
      </c>
      <c r="BD13" t="s">
        <v>126</v>
      </c>
      <c r="BE13">
        <v>35.85</v>
      </c>
      <c r="BF13">
        <v>127.13</v>
      </c>
      <c r="BG13">
        <v>38.1</v>
      </c>
      <c r="BH13">
        <v>9</v>
      </c>
      <c r="BI13">
        <v>1.04</v>
      </c>
      <c r="BJ13" t="s">
        <v>162</v>
      </c>
      <c r="BK13" t="s">
        <v>126</v>
      </c>
      <c r="BL13">
        <v>-1.01</v>
      </c>
      <c r="BM13" t="s">
        <v>124</v>
      </c>
      <c r="BN13">
        <v>0</v>
      </c>
      <c r="BO13">
        <v>0</v>
      </c>
      <c r="BP13">
        <v>0</v>
      </c>
      <c r="BQ13">
        <v>-0.12</v>
      </c>
      <c r="BR13">
        <v>-0.34</v>
      </c>
      <c r="BS13">
        <v>-0.69</v>
      </c>
      <c r="BT13" t="s">
        <v>124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176</v>
      </c>
      <c r="CE13" t="s">
        <v>161</v>
      </c>
      <c r="CF13" t="s">
        <v>177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2.5099999999999998</v>
      </c>
      <c r="CU13">
        <v>2.4500000000000002</v>
      </c>
      <c r="CV13">
        <v>1.67</v>
      </c>
      <c r="CW13">
        <v>0.93</v>
      </c>
      <c r="CX13">
        <v>0.25</v>
      </c>
      <c r="CY13">
        <v>-0.02</v>
      </c>
      <c r="CZ13">
        <v>0.13</v>
      </c>
      <c r="DA13">
        <v>0.48</v>
      </c>
      <c r="DB13">
        <v>122.03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1916</v>
      </c>
      <c r="DO13" t="s">
        <v>198</v>
      </c>
      <c r="DP13" t="s">
        <v>199</v>
      </c>
      <c r="DQ13" t="s">
        <v>200</v>
      </c>
      <c r="DR13" t="s">
        <v>201</v>
      </c>
      <c r="DS13" t="s">
        <v>202</v>
      </c>
      <c r="DT13" t="s">
        <v>203</v>
      </c>
    </row>
    <row r="14" spans="1:124" x14ac:dyDescent="0.45">
      <c r="A14" t="s">
        <v>242</v>
      </c>
      <c r="B14" t="s">
        <v>243</v>
      </c>
      <c r="C14" t="s">
        <v>126</v>
      </c>
      <c r="D14" t="s">
        <v>127</v>
      </c>
      <c r="E14" t="s">
        <v>128</v>
      </c>
      <c r="I14" t="s">
        <v>2234</v>
      </c>
      <c r="J14">
        <v>0.45</v>
      </c>
      <c r="K14">
        <v>2.91</v>
      </c>
      <c r="L14">
        <v>0.39</v>
      </c>
      <c r="M14">
        <v>5.03</v>
      </c>
      <c r="N14">
        <v>2.08</v>
      </c>
      <c r="O14">
        <v>1.94</v>
      </c>
      <c r="P14">
        <v>3.36</v>
      </c>
      <c r="Q14">
        <v>1.28</v>
      </c>
      <c r="R14">
        <v>19.079999999999998</v>
      </c>
      <c r="S14">
        <v>20.48</v>
      </c>
      <c r="T14">
        <v>33.11</v>
      </c>
      <c r="U14">
        <v>0.44</v>
      </c>
      <c r="V14">
        <v>7.5</v>
      </c>
      <c r="W14" t="s">
        <v>248</v>
      </c>
      <c r="X14">
        <v>0</v>
      </c>
      <c r="Y14">
        <v>0</v>
      </c>
      <c r="Z14">
        <v>0</v>
      </c>
      <c r="AA14">
        <v>132.54</v>
      </c>
      <c r="AB14">
        <v>472.58</v>
      </c>
      <c r="AC14">
        <v>0.72</v>
      </c>
      <c r="AD14">
        <v>0.5</v>
      </c>
      <c r="AE14">
        <v>0.84</v>
      </c>
      <c r="AF14">
        <v>101.24</v>
      </c>
      <c r="AG14">
        <v>1</v>
      </c>
      <c r="AH14">
        <v>55.69</v>
      </c>
      <c r="AI14">
        <v>51.9</v>
      </c>
      <c r="AJ14">
        <v>27.7</v>
      </c>
      <c r="AK14">
        <v>25.92</v>
      </c>
      <c r="AL14">
        <v>25.92</v>
      </c>
      <c r="AM14">
        <v>101.43</v>
      </c>
      <c r="AN14">
        <v>156</v>
      </c>
      <c r="AO14">
        <v>155.6</v>
      </c>
      <c r="AP14">
        <v>0.2</v>
      </c>
      <c r="AQ14">
        <v>335</v>
      </c>
      <c r="AR14">
        <v>3.89</v>
      </c>
      <c r="AS14">
        <v>-28</v>
      </c>
      <c r="AT14">
        <v>-15</v>
      </c>
      <c r="AU14">
        <v>11</v>
      </c>
      <c r="AV14">
        <v>81.09</v>
      </c>
      <c r="AW14">
        <v>15.49</v>
      </c>
      <c r="AX14">
        <v>31.48</v>
      </c>
      <c r="AY14">
        <v>161.28</v>
      </c>
      <c r="AZ14">
        <v>-0.78</v>
      </c>
      <c r="BA14">
        <v>121.17</v>
      </c>
      <c r="BB14">
        <v>55.44</v>
      </c>
      <c r="BC14" t="s">
        <v>271</v>
      </c>
      <c r="BD14" t="s">
        <v>126</v>
      </c>
      <c r="BE14">
        <v>35.85</v>
      </c>
      <c r="BF14">
        <v>127.13</v>
      </c>
      <c r="BG14">
        <v>37.5</v>
      </c>
      <c r="BH14">
        <v>11</v>
      </c>
      <c r="BI14">
        <v>0.94</v>
      </c>
      <c r="BJ14" t="s">
        <v>162</v>
      </c>
      <c r="BK14" t="s">
        <v>126</v>
      </c>
      <c r="BL14">
        <v>-1.01</v>
      </c>
      <c r="BM14" t="s">
        <v>124</v>
      </c>
      <c r="BN14">
        <v>0</v>
      </c>
      <c r="BO14">
        <v>0</v>
      </c>
      <c r="BP14">
        <v>0.01</v>
      </c>
      <c r="BQ14">
        <v>-0.09</v>
      </c>
      <c r="BR14">
        <v>-0.06</v>
      </c>
      <c r="BS14">
        <v>-7.0000000000000007E-2</v>
      </c>
      <c r="BT14" t="s">
        <v>124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176</v>
      </c>
      <c r="CE14" t="s">
        <v>161</v>
      </c>
      <c r="CF14" t="s">
        <v>177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2.5099999999999998</v>
      </c>
      <c r="CU14">
        <v>2.4500000000000002</v>
      </c>
      <c r="CV14">
        <v>1.67</v>
      </c>
      <c r="CW14">
        <v>0.94</v>
      </c>
      <c r="CX14">
        <v>0.24</v>
      </c>
      <c r="CY14">
        <v>-0.02</v>
      </c>
      <c r="CZ14">
        <v>0.14000000000000001</v>
      </c>
      <c r="DA14">
        <v>0.4</v>
      </c>
      <c r="DB14">
        <v>132.54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248</v>
      </c>
      <c r="DO14" t="s">
        <v>198</v>
      </c>
      <c r="DP14" t="s">
        <v>199</v>
      </c>
      <c r="DQ14" t="s">
        <v>200</v>
      </c>
      <c r="DR14" t="s">
        <v>201</v>
      </c>
      <c r="DS14" t="s">
        <v>202</v>
      </c>
      <c r="DT14" t="s">
        <v>203</v>
      </c>
    </row>
    <row r="15" spans="1:124" x14ac:dyDescent="0.45">
      <c r="A15" t="s">
        <v>290</v>
      </c>
      <c r="B15" t="s">
        <v>291</v>
      </c>
      <c r="C15" t="s">
        <v>126</v>
      </c>
      <c r="D15" t="s">
        <v>127</v>
      </c>
      <c r="E15" t="s">
        <v>128</v>
      </c>
      <c r="I15" t="s">
        <v>2235</v>
      </c>
      <c r="J15">
        <v>0.47</v>
      </c>
      <c r="K15">
        <v>2.9</v>
      </c>
      <c r="L15">
        <v>0.4</v>
      </c>
      <c r="M15">
        <v>5.34</v>
      </c>
      <c r="N15">
        <v>2.12</v>
      </c>
      <c r="O15">
        <v>1.97</v>
      </c>
      <c r="P15">
        <v>3.42</v>
      </c>
      <c r="Q15">
        <v>1.3</v>
      </c>
      <c r="R15">
        <v>19.45</v>
      </c>
      <c r="S15">
        <v>20.94</v>
      </c>
      <c r="T15">
        <v>33.76</v>
      </c>
      <c r="U15">
        <v>0.44</v>
      </c>
      <c r="V15">
        <v>7.5</v>
      </c>
      <c r="W15" t="s">
        <v>296</v>
      </c>
      <c r="X15">
        <v>0</v>
      </c>
      <c r="Y15">
        <v>0</v>
      </c>
      <c r="Z15">
        <v>0</v>
      </c>
      <c r="AA15">
        <v>112.97</v>
      </c>
      <c r="AB15">
        <v>443.02</v>
      </c>
      <c r="AC15">
        <v>0.74</v>
      </c>
      <c r="AD15">
        <v>0.5</v>
      </c>
      <c r="AE15">
        <v>0.84</v>
      </c>
      <c r="AF15">
        <v>106.07</v>
      </c>
      <c r="AG15">
        <v>1</v>
      </c>
      <c r="AH15">
        <v>56.65</v>
      </c>
      <c r="AI15">
        <v>52.64</v>
      </c>
      <c r="AJ15">
        <v>27.79</v>
      </c>
      <c r="AK15">
        <v>26.25</v>
      </c>
      <c r="AL15">
        <v>26.25</v>
      </c>
      <c r="AM15">
        <v>101.43</v>
      </c>
      <c r="AN15">
        <v>155.80000000000001</v>
      </c>
      <c r="AO15">
        <v>154.5</v>
      </c>
      <c r="AP15">
        <v>0.8</v>
      </c>
      <c r="AQ15">
        <v>339</v>
      </c>
      <c r="AR15">
        <v>3.89</v>
      </c>
      <c r="AS15">
        <v>-15</v>
      </c>
      <c r="AT15">
        <v>-2</v>
      </c>
      <c r="AU15">
        <v>260</v>
      </c>
      <c r="AV15">
        <v>65.83</v>
      </c>
      <c r="AW15">
        <v>40.94</v>
      </c>
      <c r="AX15">
        <v>15.13</v>
      </c>
      <c r="AY15">
        <v>72.319999999999993</v>
      </c>
      <c r="AZ15">
        <v>-0.78</v>
      </c>
      <c r="BA15">
        <v>121.39</v>
      </c>
      <c r="BB15">
        <v>55.27</v>
      </c>
      <c r="BC15" t="s">
        <v>317</v>
      </c>
      <c r="BD15" t="s">
        <v>126</v>
      </c>
      <c r="BE15">
        <v>35.85</v>
      </c>
      <c r="BF15">
        <v>127.13</v>
      </c>
      <c r="BG15">
        <v>37</v>
      </c>
      <c r="BH15">
        <v>9</v>
      </c>
      <c r="BI15">
        <v>1.04</v>
      </c>
      <c r="BJ15" t="s">
        <v>162</v>
      </c>
      <c r="BK15" t="s">
        <v>126</v>
      </c>
      <c r="BL15">
        <v>-1.01</v>
      </c>
      <c r="BM15" t="s">
        <v>124</v>
      </c>
      <c r="BN15">
        <v>0</v>
      </c>
      <c r="BO15">
        <v>0</v>
      </c>
      <c r="BP15">
        <v>0</v>
      </c>
      <c r="BQ15">
        <v>0.02</v>
      </c>
      <c r="BR15">
        <v>-0.08</v>
      </c>
      <c r="BS15">
        <v>-7.0000000000000007E-2</v>
      </c>
      <c r="BT15" t="s">
        <v>124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176</v>
      </c>
      <c r="CE15" t="s">
        <v>161</v>
      </c>
      <c r="CF15" t="s">
        <v>177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2.5099999999999998</v>
      </c>
      <c r="CU15">
        <v>2.4500000000000002</v>
      </c>
      <c r="CV15">
        <v>1.67</v>
      </c>
      <c r="CW15">
        <v>0.94</v>
      </c>
      <c r="CX15">
        <v>0.24</v>
      </c>
      <c r="CY15">
        <v>-0.02</v>
      </c>
      <c r="CZ15">
        <v>0.14000000000000001</v>
      </c>
      <c r="DA15">
        <v>0.4</v>
      </c>
      <c r="DB15">
        <v>112.97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296</v>
      </c>
      <c r="DO15" t="s">
        <v>198</v>
      </c>
      <c r="DP15" t="s">
        <v>199</v>
      </c>
      <c r="DQ15" t="s">
        <v>200</v>
      </c>
      <c r="DR15" t="s">
        <v>201</v>
      </c>
      <c r="DS15" t="s">
        <v>202</v>
      </c>
      <c r="DT15" t="s">
        <v>203</v>
      </c>
    </row>
    <row r="16" spans="1:124" x14ac:dyDescent="0.45">
      <c r="A16" t="s">
        <v>628</v>
      </c>
      <c r="B16" t="s">
        <v>629</v>
      </c>
      <c r="C16" t="s">
        <v>126</v>
      </c>
      <c r="D16" t="s">
        <v>127</v>
      </c>
      <c r="E16" t="s">
        <v>128</v>
      </c>
      <c r="I16" t="s">
        <v>2236</v>
      </c>
      <c r="J16">
        <v>0.54</v>
      </c>
      <c r="K16">
        <v>2.91</v>
      </c>
      <c r="L16">
        <v>0.46</v>
      </c>
      <c r="M16">
        <v>6.28</v>
      </c>
      <c r="N16">
        <v>2.04</v>
      </c>
      <c r="O16">
        <v>1.87</v>
      </c>
      <c r="P16">
        <v>3.4</v>
      </c>
      <c r="Q16">
        <v>1.35</v>
      </c>
      <c r="R16">
        <v>18.41</v>
      </c>
      <c r="S16">
        <v>20.149999999999999</v>
      </c>
      <c r="T16">
        <v>33.49</v>
      </c>
      <c r="U16">
        <v>0.44</v>
      </c>
      <c r="V16">
        <v>7.5</v>
      </c>
      <c r="W16" t="s">
        <v>634</v>
      </c>
      <c r="X16">
        <v>0</v>
      </c>
      <c r="Y16">
        <v>0</v>
      </c>
      <c r="Z16">
        <v>0</v>
      </c>
      <c r="AA16">
        <v>93.53</v>
      </c>
      <c r="AB16">
        <v>391.99</v>
      </c>
      <c r="AC16">
        <v>0.76</v>
      </c>
      <c r="AD16">
        <v>0.5</v>
      </c>
      <c r="AE16">
        <v>0.84</v>
      </c>
      <c r="AF16">
        <v>109.37</v>
      </c>
      <c r="AG16">
        <v>1</v>
      </c>
      <c r="AH16">
        <v>54.21</v>
      </c>
      <c r="AI16">
        <v>49.52</v>
      </c>
      <c r="AJ16">
        <v>27.89</v>
      </c>
      <c r="AK16">
        <v>26.11</v>
      </c>
      <c r="AL16">
        <v>26.11</v>
      </c>
      <c r="AM16">
        <v>101.42</v>
      </c>
      <c r="AN16">
        <v>156.1</v>
      </c>
      <c r="AO16">
        <v>152.5</v>
      </c>
      <c r="AP16">
        <v>2.2999999999999998</v>
      </c>
      <c r="AQ16">
        <v>342</v>
      </c>
      <c r="AR16">
        <v>3.89</v>
      </c>
      <c r="AS16">
        <v>-27</v>
      </c>
      <c r="AT16">
        <v>1</v>
      </c>
      <c r="AU16">
        <v>96</v>
      </c>
      <c r="AV16">
        <v>31.61</v>
      </c>
      <c r="AW16">
        <v>85.16</v>
      </c>
      <c r="AX16">
        <v>27.02</v>
      </c>
      <c r="AY16">
        <v>-81.8</v>
      </c>
      <c r="AZ16">
        <v>-0.78</v>
      </c>
      <c r="BA16">
        <v>121.61</v>
      </c>
      <c r="BB16">
        <v>55.1</v>
      </c>
      <c r="BC16" t="s">
        <v>654</v>
      </c>
      <c r="BD16" t="s">
        <v>126</v>
      </c>
      <c r="BE16">
        <v>35.85</v>
      </c>
      <c r="BF16">
        <v>127.13</v>
      </c>
      <c r="BG16">
        <v>37.9</v>
      </c>
      <c r="BH16">
        <v>11</v>
      </c>
      <c r="BI16">
        <v>0.84</v>
      </c>
      <c r="BJ16" t="s">
        <v>162</v>
      </c>
      <c r="BK16" t="s">
        <v>126</v>
      </c>
      <c r="BL16">
        <v>-1.01</v>
      </c>
      <c r="BM16" t="s">
        <v>124</v>
      </c>
      <c r="BN16">
        <v>0</v>
      </c>
      <c r="BO16">
        <v>0</v>
      </c>
      <c r="BP16">
        <v>0</v>
      </c>
      <c r="BQ16">
        <v>-7.0000000000000007E-2</v>
      </c>
      <c r="BR16">
        <v>0.03</v>
      </c>
      <c r="BS16">
        <v>0.13</v>
      </c>
      <c r="BT16" t="s">
        <v>124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176</v>
      </c>
      <c r="CE16" t="s">
        <v>161</v>
      </c>
      <c r="CF16" t="s">
        <v>177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</v>
      </c>
      <c r="CU16">
        <v>2.4500000000000002</v>
      </c>
      <c r="CV16">
        <v>1.67</v>
      </c>
      <c r="CW16">
        <v>0.94</v>
      </c>
      <c r="CX16">
        <v>0.24</v>
      </c>
      <c r="CY16">
        <v>-0.02</v>
      </c>
      <c r="CZ16">
        <v>0.15</v>
      </c>
      <c r="DA16">
        <v>0.4</v>
      </c>
      <c r="DB16">
        <v>93.53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634</v>
      </c>
      <c r="DO16" t="s">
        <v>198</v>
      </c>
      <c r="DP16" t="s">
        <v>199</v>
      </c>
      <c r="DQ16" t="s">
        <v>200</v>
      </c>
      <c r="DR16" t="s">
        <v>201</v>
      </c>
      <c r="DS16" t="s">
        <v>202</v>
      </c>
      <c r="DT16" t="s">
        <v>203</v>
      </c>
    </row>
    <row r="17" spans="1:124" x14ac:dyDescent="0.45">
      <c r="A17" t="s">
        <v>451</v>
      </c>
      <c r="B17" t="s">
        <v>670</v>
      </c>
      <c r="C17" t="s">
        <v>126</v>
      </c>
      <c r="D17" t="s">
        <v>127</v>
      </c>
      <c r="E17" t="s">
        <v>128</v>
      </c>
      <c r="I17" t="s">
        <v>2237</v>
      </c>
      <c r="J17">
        <v>0.25</v>
      </c>
      <c r="K17">
        <v>2.9</v>
      </c>
      <c r="L17">
        <v>0.23</v>
      </c>
      <c r="M17">
        <v>3.67</v>
      </c>
      <c r="N17">
        <v>1.98</v>
      </c>
      <c r="O17">
        <v>1.87</v>
      </c>
      <c r="P17">
        <v>3.56</v>
      </c>
      <c r="Q17">
        <v>1.59</v>
      </c>
      <c r="R17">
        <v>18.48</v>
      </c>
      <c r="S17">
        <v>19.5</v>
      </c>
      <c r="T17">
        <v>35.15</v>
      </c>
      <c r="U17">
        <v>0.44</v>
      </c>
      <c r="V17">
        <v>7.5</v>
      </c>
      <c r="W17" t="s">
        <v>675</v>
      </c>
      <c r="X17">
        <v>0</v>
      </c>
      <c r="Y17">
        <v>0</v>
      </c>
      <c r="Z17">
        <v>0</v>
      </c>
      <c r="AA17">
        <v>115.46</v>
      </c>
      <c r="AB17">
        <v>459.63</v>
      </c>
      <c r="AC17">
        <v>0.75</v>
      </c>
      <c r="AD17">
        <v>0.5</v>
      </c>
      <c r="AE17">
        <v>0.84</v>
      </c>
      <c r="AF17">
        <v>106.3</v>
      </c>
      <c r="AG17">
        <v>1</v>
      </c>
      <c r="AH17">
        <v>52.12</v>
      </c>
      <c r="AI17">
        <v>49.39</v>
      </c>
      <c r="AJ17">
        <v>28</v>
      </c>
      <c r="AK17">
        <v>26.93</v>
      </c>
      <c r="AL17">
        <v>26.93</v>
      </c>
      <c r="AM17">
        <v>101.41</v>
      </c>
      <c r="AN17">
        <v>155.9</v>
      </c>
      <c r="AO17">
        <v>149.5</v>
      </c>
      <c r="AP17">
        <v>4.0999999999999996</v>
      </c>
      <c r="AQ17">
        <v>338</v>
      </c>
      <c r="AR17">
        <v>3.89</v>
      </c>
      <c r="AS17">
        <v>-22</v>
      </c>
      <c r="AT17">
        <v>1</v>
      </c>
      <c r="AU17">
        <v>147</v>
      </c>
      <c r="AV17">
        <v>36.479999999999997</v>
      </c>
      <c r="AW17">
        <v>80.41</v>
      </c>
      <c r="AX17">
        <v>22.02</v>
      </c>
      <c r="AY17">
        <v>-30.33</v>
      </c>
      <c r="AZ17">
        <v>-0.78</v>
      </c>
      <c r="BA17">
        <v>121.83</v>
      </c>
      <c r="BB17">
        <v>54.93</v>
      </c>
      <c r="BC17" t="s">
        <v>693</v>
      </c>
      <c r="BD17" t="s">
        <v>126</v>
      </c>
      <c r="BE17">
        <v>35.85</v>
      </c>
      <c r="BF17">
        <v>127.13</v>
      </c>
      <c r="BG17">
        <v>39</v>
      </c>
      <c r="BH17">
        <v>8</v>
      </c>
      <c r="BI17">
        <v>1.05</v>
      </c>
      <c r="BJ17" t="s">
        <v>368</v>
      </c>
      <c r="BK17" t="s">
        <v>126</v>
      </c>
      <c r="BL17">
        <v>-1.02</v>
      </c>
      <c r="BM17" t="s">
        <v>124</v>
      </c>
      <c r="BN17">
        <v>0</v>
      </c>
      <c r="BO17">
        <v>0</v>
      </c>
      <c r="BP17">
        <v>0</v>
      </c>
      <c r="BQ17">
        <v>-0.12</v>
      </c>
      <c r="BR17">
        <v>-0.21</v>
      </c>
      <c r="BS17">
        <v>-0.34</v>
      </c>
      <c r="BT17" t="s">
        <v>124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176</v>
      </c>
      <c r="CE17" t="s">
        <v>161</v>
      </c>
      <c r="CF17" t="s">
        <v>177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</v>
      </c>
      <c r="CU17">
        <v>2.4500000000000002</v>
      </c>
      <c r="CV17">
        <v>1.67</v>
      </c>
      <c r="CW17">
        <v>0.93</v>
      </c>
      <c r="CX17">
        <v>0.24</v>
      </c>
      <c r="CY17">
        <v>-0.01</v>
      </c>
      <c r="CZ17">
        <v>0.15</v>
      </c>
      <c r="DA17">
        <v>0.4</v>
      </c>
      <c r="DB17">
        <v>115.46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675</v>
      </c>
      <c r="DO17" t="s">
        <v>198</v>
      </c>
      <c r="DP17" t="s">
        <v>199</v>
      </c>
      <c r="DQ17" t="s">
        <v>200</v>
      </c>
      <c r="DR17" t="s">
        <v>201</v>
      </c>
      <c r="DS17" t="s">
        <v>202</v>
      </c>
      <c r="DT17" t="s">
        <v>203</v>
      </c>
    </row>
    <row r="18" spans="1:124" x14ac:dyDescent="0.45">
      <c r="A18" t="s">
        <v>979</v>
      </c>
      <c r="B18" t="s">
        <v>980</v>
      </c>
      <c r="C18" t="s">
        <v>126</v>
      </c>
      <c r="D18" t="s">
        <v>127</v>
      </c>
      <c r="E18" t="s">
        <v>128</v>
      </c>
      <c r="I18" t="s">
        <v>2238</v>
      </c>
      <c r="J18">
        <v>0.16</v>
      </c>
      <c r="K18">
        <v>2.9</v>
      </c>
      <c r="L18">
        <v>0.15</v>
      </c>
      <c r="M18">
        <v>2.5499999999999998</v>
      </c>
      <c r="N18">
        <v>1.89</v>
      </c>
      <c r="O18">
        <v>1.82</v>
      </c>
      <c r="P18">
        <v>3.6</v>
      </c>
      <c r="Q18">
        <v>1.71</v>
      </c>
      <c r="R18">
        <v>17.96</v>
      </c>
      <c r="S18">
        <v>18.670000000000002</v>
      </c>
      <c r="T18">
        <v>35.54</v>
      </c>
      <c r="U18">
        <v>0.44</v>
      </c>
      <c r="V18">
        <v>7.5</v>
      </c>
      <c r="W18" t="s">
        <v>985</v>
      </c>
      <c r="X18">
        <v>0</v>
      </c>
      <c r="Y18">
        <v>0</v>
      </c>
      <c r="Z18">
        <v>0</v>
      </c>
      <c r="AA18">
        <v>101.8</v>
      </c>
      <c r="AB18">
        <v>410.21</v>
      </c>
      <c r="AC18">
        <v>0.75</v>
      </c>
      <c r="AD18">
        <v>0.5</v>
      </c>
      <c r="AE18">
        <v>0.84</v>
      </c>
      <c r="AF18">
        <v>102.94</v>
      </c>
      <c r="AG18">
        <v>1</v>
      </c>
      <c r="AH18">
        <v>49.73</v>
      </c>
      <c r="AI18">
        <v>47.84</v>
      </c>
      <c r="AJ18">
        <v>28.06</v>
      </c>
      <c r="AK18">
        <v>27.12</v>
      </c>
      <c r="AL18">
        <v>27.12</v>
      </c>
      <c r="AM18">
        <v>101.41</v>
      </c>
      <c r="AN18">
        <v>155.9</v>
      </c>
      <c r="AO18">
        <v>148.1</v>
      </c>
      <c r="AP18">
        <v>5</v>
      </c>
      <c r="AQ18">
        <v>326</v>
      </c>
      <c r="AR18">
        <v>3.88</v>
      </c>
      <c r="AS18">
        <v>-9</v>
      </c>
      <c r="AT18">
        <v>-6</v>
      </c>
      <c r="AU18">
        <v>103</v>
      </c>
      <c r="AV18">
        <v>48.9</v>
      </c>
      <c r="AW18">
        <v>65.73</v>
      </c>
      <c r="AX18">
        <v>10.8</v>
      </c>
      <c r="AY18">
        <v>-110.9</v>
      </c>
      <c r="AZ18">
        <v>-0.78</v>
      </c>
      <c r="BA18">
        <v>121.83</v>
      </c>
      <c r="BB18">
        <v>54.93</v>
      </c>
      <c r="BC18" t="s">
        <v>1003</v>
      </c>
      <c r="BD18" t="s">
        <v>126</v>
      </c>
      <c r="BE18">
        <v>35.85</v>
      </c>
      <c r="BF18">
        <v>127.13</v>
      </c>
      <c r="BG18">
        <v>40</v>
      </c>
      <c r="BH18">
        <v>11</v>
      </c>
      <c r="BI18">
        <v>0.89</v>
      </c>
      <c r="BJ18" t="s">
        <v>368</v>
      </c>
      <c r="BK18" t="s">
        <v>126</v>
      </c>
      <c r="BL18">
        <v>-1.02</v>
      </c>
      <c r="BM18" t="s">
        <v>124</v>
      </c>
      <c r="BN18">
        <v>0</v>
      </c>
      <c r="BO18">
        <v>0</v>
      </c>
      <c r="BP18">
        <v>0</v>
      </c>
      <c r="BQ18">
        <v>7.0000000000000007E-2</v>
      </c>
      <c r="BR18">
        <v>0</v>
      </c>
      <c r="BS18">
        <v>0.12</v>
      </c>
      <c r="BT18" t="s">
        <v>124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176</v>
      </c>
      <c r="CE18" t="s">
        <v>161</v>
      </c>
      <c r="CF18" t="s">
        <v>177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</v>
      </c>
      <c r="CU18">
        <v>2.44</v>
      </c>
      <c r="CV18">
        <v>1.67</v>
      </c>
      <c r="CW18">
        <v>0.92</v>
      </c>
      <c r="CX18">
        <v>0.24</v>
      </c>
      <c r="CY18">
        <v>-0.01</v>
      </c>
      <c r="CZ18">
        <v>0.16</v>
      </c>
      <c r="DA18">
        <v>0.39</v>
      </c>
      <c r="DB18">
        <v>101.8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985</v>
      </c>
      <c r="DO18" t="s">
        <v>198</v>
      </c>
      <c r="DP18" t="s">
        <v>199</v>
      </c>
      <c r="DQ18" t="s">
        <v>200</v>
      </c>
      <c r="DR18" t="s">
        <v>201</v>
      </c>
      <c r="DS18" t="s">
        <v>202</v>
      </c>
      <c r="DT18" t="s">
        <v>203</v>
      </c>
    </row>
    <row r="19" spans="1:124" x14ac:dyDescent="0.45">
      <c r="A19" t="s">
        <v>1016</v>
      </c>
      <c r="B19" t="s">
        <v>1017</v>
      </c>
      <c r="C19" t="s">
        <v>126</v>
      </c>
      <c r="D19" t="s">
        <v>127</v>
      </c>
      <c r="E19" t="s">
        <v>128</v>
      </c>
      <c r="I19" t="s">
        <v>2239</v>
      </c>
      <c r="J19">
        <v>0.41</v>
      </c>
      <c r="K19">
        <v>2.91</v>
      </c>
      <c r="L19">
        <v>0.36</v>
      </c>
      <c r="M19">
        <v>5.39</v>
      </c>
      <c r="N19">
        <v>1.98</v>
      </c>
      <c r="O19">
        <v>1.83</v>
      </c>
      <c r="P19">
        <v>3.45</v>
      </c>
      <c r="Q19">
        <v>1.47</v>
      </c>
      <c r="R19">
        <v>18.03</v>
      </c>
      <c r="S19">
        <v>19.52</v>
      </c>
      <c r="T19">
        <v>34.01</v>
      </c>
      <c r="U19">
        <v>0.44</v>
      </c>
      <c r="V19">
        <v>7.5</v>
      </c>
      <c r="W19" t="s">
        <v>1022</v>
      </c>
      <c r="X19">
        <v>0</v>
      </c>
      <c r="Y19">
        <v>0</v>
      </c>
      <c r="Z19">
        <v>0</v>
      </c>
      <c r="AA19">
        <v>98.51</v>
      </c>
      <c r="AB19">
        <v>413.76</v>
      </c>
      <c r="AC19">
        <v>0.76</v>
      </c>
      <c r="AD19">
        <v>0.5</v>
      </c>
      <c r="AE19">
        <v>0.84</v>
      </c>
      <c r="AF19">
        <v>102.08</v>
      </c>
      <c r="AG19">
        <v>1</v>
      </c>
      <c r="AH19">
        <v>51.89</v>
      </c>
      <c r="AI19">
        <v>47.92</v>
      </c>
      <c r="AJ19">
        <v>28.09</v>
      </c>
      <c r="AK19">
        <v>26.37</v>
      </c>
      <c r="AL19">
        <v>26.37</v>
      </c>
      <c r="AM19">
        <v>101.41</v>
      </c>
      <c r="AN19">
        <v>156.1</v>
      </c>
      <c r="AO19">
        <v>151.5</v>
      </c>
      <c r="AP19">
        <v>3</v>
      </c>
      <c r="AQ19">
        <v>319</v>
      </c>
      <c r="AR19">
        <v>3.88</v>
      </c>
      <c r="AS19">
        <v>-12</v>
      </c>
      <c r="AT19">
        <v>0</v>
      </c>
      <c r="AU19">
        <v>123</v>
      </c>
      <c r="AV19">
        <v>42.76</v>
      </c>
      <c r="AW19">
        <v>73.42</v>
      </c>
      <c r="AX19">
        <v>12</v>
      </c>
      <c r="AY19">
        <v>-57</v>
      </c>
      <c r="AZ19">
        <v>-0.78</v>
      </c>
      <c r="BA19">
        <v>122.05</v>
      </c>
      <c r="BB19">
        <v>54.75</v>
      </c>
      <c r="BC19" t="s">
        <v>1042</v>
      </c>
      <c r="BD19" t="s">
        <v>126</v>
      </c>
      <c r="BE19">
        <v>35.85</v>
      </c>
      <c r="BF19">
        <v>127.13</v>
      </c>
      <c r="BG19">
        <v>40.299999999999997</v>
      </c>
      <c r="BH19">
        <v>10</v>
      </c>
      <c r="BI19">
        <v>0.94</v>
      </c>
      <c r="BJ19" t="s">
        <v>368</v>
      </c>
      <c r="BK19" t="s">
        <v>126</v>
      </c>
      <c r="BL19">
        <v>-1.02</v>
      </c>
      <c r="BM19" t="s">
        <v>124</v>
      </c>
      <c r="BN19">
        <v>0</v>
      </c>
      <c r="BO19">
        <v>0</v>
      </c>
      <c r="BP19">
        <v>0</v>
      </c>
      <c r="BQ19">
        <v>-0.15</v>
      </c>
      <c r="BR19">
        <v>-0.17</v>
      </c>
      <c r="BS19">
        <v>-0.11</v>
      </c>
      <c r="BT19" t="s">
        <v>124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176</v>
      </c>
      <c r="CE19" t="s">
        <v>161</v>
      </c>
      <c r="CF19" t="s">
        <v>177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</v>
      </c>
      <c r="CU19">
        <v>2.4500000000000002</v>
      </c>
      <c r="CV19">
        <v>1.67</v>
      </c>
      <c r="CW19">
        <v>0.93</v>
      </c>
      <c r="CX19">
        <v>0.24</v>
      </c>
      <c r="CY19">
        <v>-0.02</v>
      </c>
      <c r="CZ19">
        <v>0.16</v>
      </c>
      <c r="DA19">
        <v>0.39</v>
      </c>
      <c r="DB19">
        <v>98.51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1022</v>
      </c>
      <c r="DO19" t="s">
        <v>198</v>
      </c>
      <c r="DP19" t="s">
        <v>199</v>
      </c>
      <c r="DQ19" t="s">
        <v>200</v>
      </c>
      <c r="DR19" t="s">
        <v>201</v>
      </c>
      <c r="DS19" t="s">
        <v>202</v>
      </c>
      <c r="DT19" t="s">
        <v>203</v>
      </c>
    </row>
    <row r="20" spans="1:124" x14ac:dyDescent="0.45">
      <c r="A20" t="s">
        <v>1310</v>
      </c>
      <c r="B20" t="s">
        <v>1311</v>
      </c>
      <c r="C20" t="s">
        <v>126</v>
      </c>
      <c r="D20" t="s">
        <v>127</v>
      </c>
      <c r="E20" t="s">
        <v>128</v>
      </c>
      <c r="I20" t="s">
        <v>2240</v>
      </c>
      <c r="J20">
        <v>0.45</v>
      </c>
      <c r="K20">
        <v>2.9</v>
      </c>
      <c r="L20">
        <v>0.39</v>
      </c>
      <c r="M20">
        <v>5.42</v>
      </c>
      <c r="N20">
        <v>2.0499999999999998</v>
      </c>
      <c r="O20">
        <v>1.9</v>
      </c>
      <c r="P20">
        <v>3.42</v>
      </c>
      <c r="Q20">
        <v>1.37</v>
      </c>
      <c r="R20">
        <v>18.72</v>
      </c>
      <c r="S20">
        <v>20.23</v>
      </c>
      <c r="T20">
        <v>33.71</v>
      </c>
      <c r="U20">
        <v>0.44</v>
      </c>
      <c r="V20">
        <v>7.5</v>
      </c>
      <c r="W20" t="s">
        <v>1316</v>
      </c>
      <c r="X20">
        <v>0</v>
      </c>
      <c r="Y20">
        <v>0</v>
      </c>
      <c r="Z20">
        <v>0</v>
      </c>
      <c r="AA20">
        <v>121.05</v>
      </c>
      <c r="AB20">
        <v>471.3</v>
      </c>
      <c r="AC20">
        <v>0.74</v>
      </c>
      <c r="AD20">
        <v>0.5</v>
      </c>
      <c r="AE20">
        <v>0.84</v>
      </c>
      <c r="AF20">
        <v>95.51</v>
      </c>
      <c r="AG20">
        <v>1</v>
      </c>
      <c r="AH20">
        <v>53.61</v>
      </c>
      <c r="AI20">
        <v>49.63</v>
      </c>
      <c r="AJ20">
        <v>28.14</v>
      </c>
      <c r="AK20">
        <v>26.22</v>
      </c>
      <c r="AL20">
        <v>26.22</v>
      </c>
      <c r="AM20">
        <v>101.4</v>
      </c>
      <c r="AN20">
        <v>155.80000000000001</v>
      </c>
      <c r="AO20">
        <v>155.5</v>
      </c>
      <c r="AP20">
        <v>0.2</v>
      </c>
      <c r="AQ20">
        <v>306</v>
      </c>
      <c r="AR20">
        <v>3.88</v>
      </c>
      <c r="AS20">
        <v>-21</v>
      </c>
      <c r="AT20">
        <v>-7</v>
      </c>
      <c r="AU20">
        <v>159</v>
      </c>
      <c r="AV20">
        <v>34.03</v>
      </c>
      <c r="AW20">
        <v>82.87</v>
      </c>
      <c r="AX20">
        <v>22.09</v>
      </c>
      <c r="AY20">
        <v>-39.909999999999997</v>
      </c>
      <c r="AZ20">
        <v>-0.78</v>
      </c>
      <c r="BA20">
        <v>122.28</v>
      </c>
      <c r="BB20">
        <v>54.58</v>
      </c>
      <c r="BC20" t="s">
        <v>1336</v>
      </c>
      <c r="BD20" t="s">
        <v>126</v>
      </c>
      <c r="BE20">
        <v>35.85</v>
      </c>
      <c r="BF20">
        <v>127.13</v>
      </c>
      <c r="BG20">
        <v>40.9</v>
      </c>
      <c r="BH20">
        <v>13</v>
      </c>
      <c r="BI20">
        <v>0.74</v>
      </c>
      <c r="BJ20" t="s">
        <v>368</v>
      </c>
      <c r="BK20" t="s">
        <v>126</v>
      </c>
      <c r="BL20">
        <v>-1.02</v>
      </c>
      <c r="BM20" t="s">
        <v>124</v>
      </c>
      <c r="BN20">
        <v>0</v>
      </c>
      <c r="BO20">
        <v>0</v>
      </c>
      <c r="BP20">
        <v>0</v>
      </c>
      <c r="BQ20">
        <v>-0.11</v>
      </c>
      <c r="BR20">
        <v>-0.05</v>
      </c>
      <c r="BS20">
        <v>-0.15</v>
      </c>
      <c r="BT20" t="s">
        <v>124</v>
      </c>
      <c r="BU20">
        <v>150</v>
      </c>
      <c r="BV20">
        <v>0</v>
      </c>
      <c r="BW20">
        <v>2</v>
      </c>
      <c r="BX20">
        <v>0.06</v>
      </c>
      <c r="BY20">
        <v>0</v>
      </c>
      <c r="BZ20">
        <v>0.03</v>
      </c>
      <c r="CA20">
        <v>0</v>
      </c>
      <c r="CB20">
        <v>0</v>
      </c>
      <c r="CC20">
        <v>0</v>
      </c>
      <c r="CD20" t="s">
        <v>176</v>
      </c>
      <c r="CE20" t="s">
        <v>161</v>
      </c>
      <c r="CF20" t="s">
        <v>177</v>
      </c>
      <c r="CG20">
        <v>6000</v>
      </c>
      <c r="CH20">
        <v>500</v>
      </c>
      <c r="CI20">
        <v>1</v>
      </c>
      <c r="CJ20">
        <v>2</v>
      </c>
      <c r="CK20">
        <v>55537</v>
      </c>
      <c r="CL20">
        <v>55537</v>
      </c>
      <c r="CM20">
        <v>55537</v>
      </c>
      <c r="CN20">
        <v>0</v>
      </c>
      <c r="CO20">
        <v>-9999</v>
      </c>
      <c r="CP20">
        <v>0</v>
      </c>
      <c r="CQ20">
        <v>0</v>
      </c>
      <c r="CR20">
        <v>0</v>
      </c>
      <c r="CS20">
        <v>0</v>
      </c>
      <c r="CT20">
        <v>2.5</v>
      </c>
      <c r="CU20">
        <v>2.4500000000000002</v>
      </c>
      <c r="CV20">
        <v>1.67</v>
      </c>
      <c r="CW20">
        <v>0.94</v>
      </c>
      <c r="CX20">
        <v>0.24</v>
      </c>
      <c r="CY20">
        <v>-0.02</v>
      </c>
      <c r="CZ20">
        <v>0.17</v>
      </c>
      <c r="DA20">
        <v>0.37</v>
      </c>
      <c r="DB20">
        <v>121.05</v>
      </c>
      <c r="DC20">
        <v>0</v>
      </c>
      <c r="DD20">
        <v>2.42</v>
      </c>
      <c r="DE20">
        <v>0</v>
      </c>
      <c r="DF20">
        <v>1</v>
      </c>
      <c r="DG20">
        <v>2.37</v>
      </c>
      <c r="DH20">
        <v>0</v>
      </c>
      <c r="DI20">
        <v>1</v>
      </c>
      <c r="DJ20">
        <v>0.6</v>
      </c>
      <c r="DK20">
        <v>0.6</v>
      </c>
      <c r="DL20">
        <v>0.11</v>
      </c>
      <c r="DM20">
        <v>0</v>
      </c>
      <c r="DN20" t="s">
        <v>1316</v>
      </c>
      <c r="DO20" t="s">
        <v>198</v>
      </c>
      <c r="DP20" t="s">
        <v>199</v>
      </c>
      <c r="DQ20" t="s">
        <v>200</v>
      </c>
      <c r="DR20" t="s">
        <v>201</v>
      </c>
      <c r="DS20" t="s">
        <v>202</v>
      </c>
      <c r="DT20" t="s">
        <v>203</v>
      </c>
    </row>
    <row r="21" spans="1:124" x14ac:dyDescent="0.45">
      <c r="A21" t="s">
        <v>1350</v>
      </c>
      <c r="B21" t="s">
        <v>1351</v>
      </c>
      <c r="C21" t="s">
        <v>126</v>
      </c>
      <c r="D21" t="s">
        <v>127</v>
      </c>
      <c r="E21" t="s">
        <v>128</v>
      </c>
      <c r="I21" t="s">
        <v>2241</v>
      </c>
      <c r="J21">
        <v>0.37</v>
      </c>
      <c r="K21">
        <v>2.91</v>
      </c>
      <c r="L21">
        <v>0.33</v>
      </c>
      <c r="M21">
        <v>4.91</v>
      </c>
      <c r="N21">
        <v>2</v>
      </c>
      <c r="O21">
        <v>1.86</v>
      </c>
      <c r="P21">
        <v>3.46</v>
      </c>
      <c r="Q21">
        <v>1.47</v>
      </c>
      <c r="R21">
        <v>18.32</v>
      </c>
      <c r="S21">
        <v>19.68</v>
      </c>
      <c r="T21">
        <v>34.130000000000003</v>
      </c>
      <c r="U21">
        <v>0.44</v>
      </c>
      <c r="V21">
        <v>7.5</v>
      </c>
      <c r="W21" t="s">
        <v>1356</v>
      </c>
      <c r="X21">
        <v>0</v>
      </c>
      <c r="Y21">
        <v>0</v>
      </c>
      <c r="Z21">
        <v>0</v>
      </c>
      <c r="AA21">
        <v>117.74</v>
      </c>
      <c r="AB21">
        <v>458.21</v>
      </c>
      <c r="AC21">
        <v>0.74</v>
      </c>
      <c r="AD21">
        <v>0.5</v>
      </c>
      <c r="AE21">
        <v>0.84</v>
      </c>
      <c r="AF21">
        <v>92.69</v>
      </c>
      <c r="AG21">
        <v>1</v>
      </c>
      <c r="AH21">
        <v>52.01</v>
      </c>
      <c r="AI21">
        <v>48.41</v>
      </c>
      <c r="AJ21">
        <v>28.19</v>
      </c>
      <c r="AK21">
        <v>26.43</v>
      </c>
      <c r="AL21">
        <v>26.43</v>
      </c>
      <c r="AM21">
        <v>101.4</v>
      </c>
      <c r="AN21">
        <v>156</v>
      </c>
      <c r="AO21">
        <v>153.30000000000001</v>
      </c>
      <c r="AP21">
        <v>1.7</v>
      </c>
      <c r="AQ21">
        <v>297</v>
      </c>
      <c r="AR21">
        <v>3.88</v>
      </c>
      <c r="AS21">
        <v>-17</v>
      </c>
      <c r="AT21">
        <v>0</v>
      </c>
      <c r="AU21">
        <v>161</v>
      </c>
      <c r="AV21">
        <v>42.05</v>
      </c>
      <c r="AW21">
        <v>74.260000000000005</v>
      </c>
      <c r="AX21">
        <v>17</v>
      </c>
      <c r="AY21">
        <v>-19</v>
      </c>
      <c r="AZ21">
        <v>-0.78</v>
      </c>
      <c r="BA21">
        <v>122.5</v>
      </c>
      <c r="BB21">
        <v>54.41</v>
      </c>
      <c r="BC21" t="s">
        <v>1373</v>
      </c>
      <c r="BD21" t="s">
        <v>126</v>
      </c>
      <c r="BE21">
        <v>35.85</v>
      </c>
      <c r="BF21">
        <v>127.13</v>
      </c>
      <c r="BG21">
        <v>42.1</v>
      </c>
      <c r="BH21">
        <v>14</v>
      </c>
      <c r="BI21">
        <v>0.7</v>
      </c>
      <c r="BJ21" t="s">
        <v>368</v>
      </c>
      <c r="BK21" t="s">
        <v>126</v>
      </c>
      <c r="BL21">
        <v>-1.02</v>
      </c>
      <c r="BM21" t="s">
        <v>124</v>
      </c>
      <c r="BN21">
        <v>0</v>
      </c>
      <c r="BO21">
        <v>0</v>
      </c>
      <c r="BP21">
        <v>0</v>
      </c>
      <c r="BQ21">
        <v>-0.02</v>
      </c>
      <c r="BR21">
        <v>-0.02</v>
      </c>
      <c r="BS21">
        <v>-0.17</v>
      </c>
      <c r="BT21" t="s">
        <v>124</v>
      </c>
      <c r="BU21">
        <v>150</v>
      </c>
      <c r="BV21">
        <v>0</v>
      </c>
      <c r="BW21">
        <v>2</v>
      </c>
      <c r="BX21">
        <v>0.06</v>
      </c>
      <c r="BY21">
        <v>0</v>
      </c>
      <c r="BZ21">
        <v>0.03</v>
      </c>
      <c r="CA21">
        <v>0</v>
      </c>
      <c r="CB21">
        <v>0</v>
      </c>
      <c r="CC21">
        <v>0</v>
      </c>
      <c r="CD21" t="s">
        <v>176</v>
      </c>
      <c r="CE21" t="s">
        <v>161</v>
      </c>
      <c r="CF21" t="s">
        <v>177</v>
      </c>
      <c r="CG21">
        <v>6000</v>
      </c>
      <c r="CH21">
        <v>500</v>
      </c>
      <c r="CI21">
        <v>1</v>
      </c>
      <c r="CJ21">
        <v>2</v>
      </c>
      <c r="CK21">
        <v>55537</v>
      </c>
      <c r="CL21">
        <v>55537</v>
      </c>
      <c r="CM21">
        <v>55537</v>
      </c>
      <c r="CN21">
        <v>0</v>
      </c>
      <c r="CO21">
        <v>-9999</v>
      </c>
      <c r="CP21">
        <v>0</v>
      </c>
      <c r="CQ21">
        <v>0</v>
      </c>
      <c r="CR21">
        <v>0</v>
      </c>
      <c r="CS21">
        <v>0</v>
      </c>
      <c r="CT21">
        <v>2.5</v>
      </c>
      <c r="CU21">
        <v>2.4500000000000002</v>
      </c>
      <c r="CV21">
        <v>1.67</v>
      </c>
      <c r="CW21">
        <v>0.94</v>
      </c>
      <c r="CX21">
        <v>0.24</v>
      </c>
      <c r="CY21">
        <v>-0.02</v>
      </c>
      <c r="CZ21">
        <v>0.18</v>
      </c>
      <c r="DA21">
        <v>0.37</v>
      </c>
      <c r="DB21">
        <v>117.74</v>
      </c>
      <c r="DC21">
        <v>0</v>
      </c>
      <c r="DD21">
        <v>2.42</v>
      </c>
      <c r="DE21">
        <v>0</v>
      </c>
      <c r="DF21">
        <v>1</v>
      </c>
      <c r="DG21">
        <v>2.37</v>
      </c>
      <c r="DH21">
        <v>0</v>
      </c>
      <c r="DI21">
        <v>1</v>
      </c>
      <c r="DJ21">
        <v>0.6</v>
      </c>
      <c r="DK21">
        <v>0.6</v>
      </c>
      <c r="DL21">
        <v>0.11</v>
      </c>
      <c r="DM21">
        <v>0</v>
      </c>
      <c r="DN21" t="s">
        <v>1356</v>
      </c>
      <c r="DO21" t="s">
        <v>198</v>
      </c>
      <c r="DP21" t="s">
        <v>199</v>
      </c>
      <c r="DQ21" t="s">
        <v>200</v>
      </c>
      <c r="DR21" t="s">
        <v>201</v>
      </c>
      <c r="DS21" t="s">
        <v>202</v>
      </c>
      <c r="DT21" t="s">
        <v>203</v>
      </c>
    </row>
    <row r="22" spans="1:124" x14ac:dyDescent="0.45">
      <c r="A22" t="s">
        <v>1638</v>
      </c>
      <c r="B22" t="s">
        <v>1639</v>
      </c>
      <c r="C22" t="s">
        <v>126</v>
      </c>
      <c r="D22" t="s">
        <v>127</v>
      </c>
      <c r="E22" t="s">
        <v>128</v>
      </c>
      <c r="I22" t="s">
        <v>2242</v>
      </c>
      <c r="J22">
        <v>0.19</v>
      </c>
      <c r="K22">
        <v>2.9</v>
      </c>
      <c r="L22">
        <v>0.18</v>
      </c>
      <c r="M22">
        <v>2.9</v>
      </c>
      <c r="N22">
        <v>1.97</v>
      </c>
      <c r="O22">
        <v>1.88</v>
      </c>
      <c r="P22">
        <v>3.56</v>
      </c>
      <c r="Q22">
        <v>1.59</v>
      </c>
      <c r="R22">
        <v>18.579999999999998</v>
      </c>
      <c r="S22">
        <v>19.38</v>
      </c>
      <c r="T22">
        <v>35.07</v>
      </c>
      <c r="U22">
        <v>0.44</v>
      </c>
      <c r="V22">
        <v>7.5</v>
      </c>
      <c r="W22" t="s">
        <v>1644</v>
      </c>
      <c r="X22">
        <v>0</v>
      </c>
      <c r="Y22">
        <v>0</v>
      </c>
      <c r="Z22">
        <v>0</v>
      </c>
      <c r="AA22">
        <v>102.46</v>
      </c>
      <c r="AB22">
        <v>417.95</v>
      </c>
      <c r="AC22">
        <v>0.75</v>
      </c>
      <c r="AD22">
        <v>0.5</v>
      </c>
      <c r="AE22">
        <v>0.84</v>
      </c>
      <c r="AF22">
        <v>90.35</v>
      </c>
      <c r="AG22">
        <v>1</v>
      </c>
      <c r="AH22">
        <v>51.1</v>
      </c>
      <c r="AI22">
        <v>48.98</v>
      </c>
      <c r="AJ22">
        <v>28.23</v>
      </c>
      <c r="AK22">
        <v>26.89</v>
      </c>
      <c r="AL22">
        <v>26.89</v>
      </c>
      <c r="AM22">
        <v>101.41</v>
      </c>
      <c r="AN22">
        <v>155.9</v>
      </c>
      <c r="AO22">
        <v>153.30000000000001</v>
      </c>
      <c r="AP22">
        <v>1.7</v>
      </c>
      <c r="AQ22">
        <v>285</v>
      </c>
      <c r="AR22">
        <v>3.88</v>
      </c>
      <c r="AS22">
        <v>-20</v>
      </c>
      <c r="AT22">
        <v>9</v>
      </c>
      <c r="AU22">
        <v>314</v>
      </c>
      <c r="AV22">
        <v>72.77</v>
      </c>
      <c r="AW22">
        <v>29.63</v>
      </c>
      <c r="AX22">
        <v>21.86</v>
      </c>
      <c r="AY22">
        <v>158.85</v>
      </c>
      <c r="AZ22">
        <v>-0.78</v>
      </c>
      <c r="BA22">
        <v>122.5</v>
      </c>
      <c r="BB22">
        <v>54.41</v>
      </c>
      <c r="BC22" t="s">
        <v>1657</v>
      </c>
      <c r="BD22" t="s">
        <v>126</v>
      </c>
      <c r="BE22">
        <v>35.85</v>
      </c>
      <c r="BF22">
        <v>127.13</v>
      </c>
      <c r="BG22">
        <v>41.7</v>
      </c>
      <c r="BH22">
        <v>14</v>
      </c>
      <c r="BI22">
        <v>0.69</v>
      </c>
      <c r="BJ22" t="s">
        <v>368</v>
      </c>
      <c r="BK22" t="s">
        <v>126</v>
      </c>
      <c r="BL22">
        <v>-1.02</v>
      </c>
      <c r="BM22" t="s">
        <v>124</v>
      </c>
      <c r="BN22">
        <v>0</v>
      </c>
      <c r="BO22">
        <v>0</v>
      </c>
      <c r="BP22">
        <v>0</v>
      </c>
      <c r="BQ22">
        <v>-0.04</v>
      </c>
      <c r="BR22">
        <v>-0.18</v>
      </c>
      <c r="BS22">
        <v>-0.38</v>
      </c>
      <c r="BT22" t="s">
        <v>124</v>
      </c>
      <c r="BU22">
        <v>150</v>
      </c>
      <c r="BV22">
        <v>0</v>
      </c>
      <c r="BW22">
        <v>2</v>
      </c>
      <c r="BX22">
        <v>0.06</v>
      </c>
      <c r="BY22">
        <v>0</v>
      </c>
      <c r="BZ22">
        <v>0.03</v>
      </c>
      <c r="CA22">
        <v>0</v>
      </c>
      <c r="CB22">
        <v>0</v>
      </c>
      <c r="CC22">
        <v>0</v>
      </c>
      <c r="CD22" t="s">
        <v>176</v>
      </c>
      <c r="CE22" t="s">
        <v>161</v>
      </c>
      <c r="CF22" t="s">
        <v>177</v>
      </c>
      <c r="CG22">
        <v>6000</v>
      </c>
      <c r="CH22">
        <v>500</v>
      </c>
      <c r="CI22">
        <v>1</v>
      </c>
      <c r="CJ22">
        <v>2</v>
      </c>
      <c r="CK22">
        <v>55537</v>
      </c>
      <c r="CL22">
        <v>55537</v>
      </c>
      <c r="CM22">
        <v>55537</v>
      </c>
      <c r="CN22">
        <v>0</v>
      </c>
      <c r="CO22">
        <v>-9999</v>
      </c>
      <c r="CP22">
        <v>0</v>
      </c>
      <c r="CQ22">
        <v>0</v>
      </c>
      <c r="CR22">
        <v>0</v>
      </c>
      <c r="CS22">
        <v>0</v>
      </c>
      <c r="CT22">
        <v>2.5</v>
      </c>
      <c r="CU22">
        <v>2.4500000000000002</v>
      </c>
      <c r="CV22">
        <v>1.67</v>
      </c>
      <c r="CW22">
        <v>0.94</v>
      </c>
      <c r="CX22">
        <v>0.24</v>
      </c>
      <c r="CY22">
        <v>-0.02</v>
      </c>
      <c r="CZ22">
        <v>0.18</v>
      </c>
      <c r="DA22">
        <v>0.36</v>
      </c>
      <c r="DB22">
        <v>102.46</v>
      </c>
      <c r="DC22">
        <v>0</v>
      </c>
      <c r="DD22">
        <v>2.42</v>
      </c>
      <c r="DE22">
        <v>0</v>
      </c>
      <c r="DF22">
        <v>1</v>
      </c>
      <c r="DG22">
        <v>2.37</v>
      </c>
      <c r="DH22">
        <v>0</v>
      </c>
      <c r="DI22">
        <v>1</v>
      </c>
      <c r="DJ22">
        <v>0.6</v>
      </c>
      <c r="DK22">
        <v>0.6</v>
      </c>
      <c r="DL22">
        <v>0.11</v>
      </c>
      <c r="DM22">
        <v>0</v>
      </c>
      <c r="DN22" t="s">
        <v>1644</v>
      </c>
      <c r="DO22" t="s">
        <v>198</v>
      </c>
      <c r="DP22" t="s">
        <v>199</v>
      </c>
      <c r="DQ22" t="s">
        <v>200</v>
      </c>
      <c r="DR22" t="s">
        <v>201</v>
      </c>
      <c r="DS22" t="s">
        <v>202</v>
      </c>
      <c r="DT22" t="s">
        <v>203</v>
      </c>
    </row>
    <row r="23" spans="1:124" x14ac:dyDescent="0.45">
      <c r="A23" t="s">
        <v>1671</v>
      </c>
      <c r="B23" t="s">
        <v>1672</v>
      </c>
      <c r="C23" t="s">
        <v>126</v>
      </c>
      <c r="D23" t="s">
        <v>127</v>
      </c>
      <c r="E23" t="s">
        <v>128</v>
      </c>
      <c r="I23" t="s">
        <v>2243</v>
      </c>
      <c r="J23">
        <v>0.44</v>
      </c>
      <c r="K23">
        <v>2.91</v>
      </c>
      <c r="L23">
        <v>0.38</v>
      </c>
      <c r="M23">
        <v>5.28</v>
      </c>
      <c r="N23">
        <v>2.06</v>
      </c>
      <c r="O23">
        <v>1.91</v>
      </c>
      <c r="P23">
        <v>3.42</v>
      </c>
      <c r="Q23">
        <v>1.36</v>
      </c>
      <c r="R23">
        <v>18.850000000000001</v>
      </c>
      <c r="S23">
        <v>20.309999999999999</v>
      </c>
      <c r="T23">
        <v>33.75</v>
      </c>
      <c r="U23">
        <v>0.44</v>
      </c>
      <c r="V23">
        <v>7.5</v>
      </c>
      <c r="W23" t="s">
        <v>1677</v>
      </c>
      <c r="X23">
        <v>0</v>
      </c>
      <c r="Y23">
        <v>0</v>
      </c>
      <c r="Z23">
        <v>0</v>
      </c>
      <c r="AA23">
        <v>94.88</v>
      </c>
      <c r="AB23">
        <v>415.04</v>
      </c>
      <c r="AC23">
        <v>0.77</v>
      </c>
      <c r="AD23">
        <v>0.5</v>
      </c>
      <c r="AE23">
        <v>0.84</v>
      </c>
      <c r="AF23">
        <v>86.18</v>
      </c>
      <c r="AG23">
        <v>1</v>
      </c>
      <c r="AH23">
        <v>53.32</v>
      </c>
      <c r="AI23">
        <v>49.47</v>
      </c>
      <c r="AJ23">
        <v>28.31</v>
      </c>
      <c r="AK23">
        <v>26.24</v>
      </c>
      <c r="AL23">
        <v>26.24</v>
      </c>
      <c r="AM23">
        <v>101.42</v>
      </c>
      <c r="AN23">
        <v>156.1</v>
      </c>
      <c r="AO23">
        <v>153.80000000000001</v>
      </c>
      <c r="AP23">
        <v>1.4</v>
      </c>
      <c r="AQ23">
        <v>266</v>
      </c>
      <c r="AR23">
        <v>3.88</v>
      </c>
      <c r="AS23">
        <v>-31</v>
      </c>
      <c r="AT23">
        <v>11</v>
      </c>
      <c r="AU23">
        <v>18</v>
      </c>
      <c r="AV23">
        <v>57.51</v>
      </c>
      <c r="AW23">
        <v>53.72</v>
      </c>
      <c r="AX23">
        <v>32.71</v>
      </c>
      <c r="AY23">
        <v>-141.32</v>
      </c>
      <c r="AZ23">
        <v>-0.78</v>
      </c>
      <c r="BA23">
        <v>122.72</v>
      </c>
      <c r="BB23">
        <v>54.24</v>
      </c>
      <c r="BC23" t="s">
        <v>1691</v>
      </c>
      <c r="BD23" t="s">
        <v>126</v>
      </c>
      <c r="BE23">
        <v>35.85</v>
      </c>
      <c r="BF23">
        <v>127.13</v>
      </c>
      <c r="BG23">
        <v>41.7</v>
      </c>
      <c r="BH23">
        <v>14</v>
      </c>
      <c r="BI23">
        <v>0.74</v>
      </c>
      <c r="BJ23" t="s">
        <v>368</v>
      </c>
      <c r="BK23" t="s">
        <v>126</v>
      </c>
      <c r="BL23">
        <v>-1.02</v>
      </c>
      <c r="BM23" t="s">
        <v>124</v>
      </c>
      <c r="BN23">
        <v>0</v>
      </c>
      <c r="BO23">
        <v>0</v>
      </c>
      <c r="BP23">
        <v>0</v>
      </c>
      <c r="BQ23">
        <v>-0.01</v>
      </c>
      <c r="BR23">
        <v>0.31</v>
      </c>
      <c r="BS23">
        <v>0.09</v>
      </c>
      <c r="BT23" t="s">
        <v>124</v>
      </c>
      <c r="BU23">
        <v>150</v>
      </c>
      <c r="BV23">
        <v>0</v>
      </c>
      <c r="BW23">
        <v>2</v>
      </c>
      <c r="BX23">
        <v>0.06</v>
      </c>
      <c r="BY23">
        <v>0</v>
      </c>
      <c r="BZ23">
        <v>0.03</v>
      </c>
      <c r="CA23">
        <v>0</v>
      </c>
      <c r="CB23">
        <v>0</v>
      </c>
      <c r="CC23">
        <v>0</v>
      </c>
      <c r="CD23" t="s">
        <v>176</v>
      </c>
      <c r="CE23" t="s">
        <v>161</v>
      </c>
      <c r="CF23" t="s">
        <v>177</v>
      </c>
      <c r="CG23">
        <v>6000</v>
      </c>
      <c r="CH23">
        <v>500</v>
      </c>
      <c r="CI23">
        <v>1</v>
      </c>
      <c r="CJ23">
        <v>2</v>
      </c>
      <c r="CK23">
        <v>55537</v>
      </c>
      <c r="CL23">
        <v>55537</v>
      </c>
      <c r="CM23">
        <v>55537</v>
      </c>
      <c r="CN23">
        <v>0</v>
      </c>
      <c r="CO23">
        <v>-9999</v>
      </c>
      <c r="CP23">
        <v>0</v>
      </c>
      <c r="CQ23">
        <v>0</v>
      </c>
      <c r="CR23">
        <v>0</v>
      </c>
      <c r="CS23">
        <v>0</v>
      </c>
      <c r="CT23">
        <v>2.5</v>
      </c>
      <c r="CU23">
        <v>2.4500000000000002</v>
      </c>
      <c r="CV23">
        <v>1.67</v>
      </c>
      <c r="CW23">
        <v>0.94</v>
      </c>
      <c r="CX23">
        <v>0.24</v>
      </c>
      <c r="CY23">
        <v>-0.02</v>
      </c>
      <c r="CZ23">
        <v>0.19</v>
      </c>
      <c r="DA23">
        <v>0.34</v>
      </c>
      <c r="DB23">
        <v>94.88</v>
      </c>
      <c r="DC23">
        <v>0</v>
      </c>
      <c r="DD23">
        <v>2.42</v>
      </c>
      <c r="DE23">
        <v>0</v>
      </c>
      <c r="DF23">
        <v>1</v>
      </c>
      <c r="DG23">
        <v>2.37</v>
      </c>
      <c r="DH23">
        <v>0</v>
      </c>
      <c r="DI23">
        <v>1</v>
      </c>
      <c r="DJ23">
        <v>0.6</v>
      </c>
      <c r="DK23">
        <v>0.6</v>
      </c>
      <c r="DL23">
        <v>0.11</v>
      </c>
      <c r="DM23">
        <v>0</v>
      </c>
      <c r="DN23" t="s">
        <v>1677</v>
      </c>
      <c r="DO23" t="s">
        <v>198</v>
      </c>
      <c r="DP23" t="s">
        <v>199</v>
      </c>
      <c r="DQ23" t="s">
        <v>200</v>
      </c>
      <c r="DR23" t="s">
        <v>201</v>
      </c>
      <c r="DS23" t="s">
        <v>202</v>
      </c>
      <c r="DT23" t="s">
        <v>203</v>
      </c>
    </row>
    <row r="24" spans="1:124" x14ac:dyDescent="0.45">
      <c r="A24" t="s">
        <v>1942</v>
      </c>
      <c r="B24" t="s">
        <v>1943</v>
      </c>
      <c r="C24" t="s">
        <v>126</v>
      </c>
      <c r="D24" t="s">
        <v>127</v>
      </c>
      <c r="E24" t="s">
        <v>128</v>
      </c>
      <c r="I24" t="s">
        <v>2244</v>
      </c>
      <c r="J24">
        <v>0.13</v>
      </c>
      <c r="K24">
        <v>2.91</v>
      </c>
      <c r="L24">
        <v>0.13</v>
      </c>
      <c r="M24">
        <v>2.16</v>
      </c>
      <c r="N24">
        <v>1.97</v>
      </c>
      <c r="O24">
        <v>1.91</v>
      </c>
      <c r="P24">
        <v>3.63</v>
      </c>
      <c r="Q24">
        <v>1.66</v>
      </c>
      <c r="R24">
        <v>18.8</v>
      </c>
      <c r="S24">
        <v>19.399999999999999</v>
      </c>
      <c r="T24">
        <v>35.79</v>
      </c>
      <c r="U24">
        <v>0.44</v>
      </c>
      <c r="V24">
        <v>7.5</v>
      </c>
      <c r="W24" t="s">
        <v>1948</v>
      </c>
      <c r="X24">
        <v>0</v>
      </c>
      <c r="Y24">
        <v>0</v>
      </c>
      <c r="Z24">
        <v>0</v>
      </c>
      <c r="AA24">
        <v>107.27</v>
      </c>
      <c r="AB24">
        <v>442.05</v>
      </c>
      <c r="AC24">
        <v>0.76</v>
      </c>
      <c r="AD24">
        <v>0.5</v>
      </c>
      <c r="AE24">
        <v>0.84</v>
      </c>
      <c r="AF24">
        <v>91.92</v>
      </c>
      <c r="AG24">
        <v>1</v>
      </c>
      <c r="AH24">
        <v>50.82</v>
      </c>
      <c r="AI24">
        <v>49.25</v>
      </c>
      <c r="AJ24">
        <v>28.34</v>
      </c>
      <c r="AK24">
        <v>27.24</v>
      </c>
      <c r="AL24">
        <v>27.24</v>
      </c>
      <c r="AM24">
        <v>101.42</v>
      </c>
      <c r="AN24">
        <v>156.1</v>
      </c>
      <c r="AO24">
        <v>122</v>
      </c>
      <c r="AP24">
        <v>21.9</v>
      </c>
      <c r="AQ24">
        <v>289</v>
      </c>
      <c r="AR24">
        <v>3.88</v>
      </c>
      <c r="AS24">
        <v>-15</v>
      </c>
      <c r="AT24">
        <v>21</v>
      </c>
      <c r="AU24">
        <v>295</v>
      </c>
      <c r="AV24">
        <v>72.83</v>
      </c>
      <c r="AW24">
        <v>29.52</v>
      </c>
      <c r="AX24">
        <v>25.61</v>
      </c>
      <c r="AY24">
        <v>171.01</v>
      </c>
      <c r="AZ24">
        <v>-0.78</v>
      </c>
      <c r="BA24">
        <v>122.95</v>
      </c>
      <c r="BB24">
        <v>54.07</v>
      </c>
      <c r="BC24" t="s">
        <v>1965</v>
      </c>
      <c r="BD24" t="s">
        <v>126</v>
      </c>
      <c r="BE24">
        <v>35.85</v>
      </c>
      <c r="BF24">
        <v>127.13</v>
      </c>
      <c r="BG24">
        <v>41.4</v>
      </c>
      <c r="BH24">
        <v>15</v>
      </c>
      <c r="BI24">
        <v>0.74</v>
      </c>
      <c r="BJ24" t="s">
        <v>368</v>
      </c>
      <c r="BK24" t="s">
        <v>126</v>
      </c>
      <c r="BL24">
        <v>-1.02</v>
      </c>
      <c r="BM24" t="s">
        <v>124</v>
      </c>
      <c r="BN24">
        <v>0</v>
      </c>
      <c r="BO24">
        <v>0</v>
      </c>
      <c r="BP24">
        <v>0.01</v>
      </c>
      <c r="BQ24">
        <v>0.14000000000000001</v>
      </c>
      <c r="BR24">
        <v>0.25</v>
      </c>
      <c r="BS24">
        <v>0.46</v>
      </c>
      <c r="BT24" t="s">
        <v>124</v>
      </c>
      <c r="BU24">
        <v>150</v>
      </c>
      <c r="BV24">
        <v>0</v>
      </c>
      <c r="BW24">
        <v>2</v>
      </c>
      <c r="BX24">
        <v>0.06</v>
      </c>
      <c r="BY24">
        <v>0</v>
      </c>
      <c r="BZ24">
        <v>0.03</v>
      </c>
      <c r="CA24">
        <v>0</v>
      </c>
      <c r="CB24">
        <v>0</v>
      </c>
      <c r="CC24">
        <v>0</v>
      </c>
      <c r="CD24" t="s">
        <v>176</v>
      </c>
      <c r="CE24" t="s">
        <v>161</v>
      </c>
      <c r="CF24" t="s">
        <v>177</v>
      </c>
      <c r="CG24">
        <v>6000</v>
      </c>
      <c r="CH24">
        <v>500</v>
      </c>
      <c r="CI24">
        <v>1</v>
      </c>
      <c r="CJ24">
        <v>2</v>
      </c>
      <c r="CK24">
        <v>55537</v>
      </c>
      <c r="CL24">
        <v>55537</v>
      </c>
      <c r="CM24">
        <v>55537</v>
      </c>
      <c r="CN24">
        <v>0</v>
      </c>
      <c r="CO24">
        <v>-9999</v>
      </c>
      <c r="CP24">
        <v>0</v>
      </c>
      <c r="CQ24">
        <v>0</v>
      </c>
      <c r="CR24">
        <v>0</v>
      </c>
      <c r="CS24">
        <v>0</v>
      </c>
      <c r="CT24">
        <v>2.5</v>
      </c>
      <c r="CU24">
        <v>2.4500000000000002</v>
      </c>
      <c r="CV24">
        <v>1.67</v>
      </c>
      <c r="CW24">
        <v>0.86</v>
      </c>
      <c r="CX24">
        <v>0.24</v>
      </c>
      <c r="CY24">
        <v>-0.01</v>
      </c>
      <c r="CZ24">
        <v>0.19</v>
      </c>
      <c r="DA24">
        <v>0.36</v>
      </c>
      <c r="DB24">
        <v>107.27</v>
      </c>
      <c r="DC24">
        <v>0</v>
      </c>
      <c r="DD24">
        <v>2.42</v>
      </c>
      <c r="DE24">
        <v>0</v>
      </c>
      <c r="DF24">
        <v>1</v>
      </c>
      <c r="DG24">
        <v>2.37</v>
      </c>
      <c r="DH24">
        <v>0</v>
      </c>
      <c r="DI24">
        <v>1</v>
      </c>
      <c r="DJ24">
        <v>0.6</v>
      </c>
      <c r="DK24">
        <v>0.6</v>
      </c>
      <c r="DL24">
        <v>0.11</v>
      </c>
      <c r="DM24">
        <v>0</v>
      </c>
      <c r="DN24" t="s">
        <v>1948</v>
      </c>
      <c r="DO24" t="s">
        <v>198</v>
      </c>
      <c r="DP24" t="s">
        <v>199</v>
      </c>
      <c r="DQ24" t="s">
        <v>200</v>
      </c>
      <c r="DR24" t="s">
        <v>201</v>
      </c>
      <c r="DS24" t="s">
        <v>202</v>
      </c>
      <c r="DT24" t="s">
        <v>203</v>
      </c>
    </row>
    <row r="25" spans="1:124" x14ac:dyDescent="0.45">
      <c r="A25" t="s">
        <v>1979</v>
      </c>
      <c r="B25" t="s">
        <v>1980</v>
      </c>
      <c r="C25" t="s">
        <v>126</v>
      </c>
      <c r="D25" t="s">
        <v>127</v>
      </c>
      <c r="E25" t="s">
        <v>128</v>
      </c>
      <c r="I25" t="s">
        <v>2245</v>
      </c>
      <c r="J25">
        <v>0.47</v>
      </c>
      <c r="K25">
        <v>2.91</v>
      </c>
      <c r="L25">
        <v>0.41</v>
      </c>
      <c r="M25">
        <v>5.64</v>
      </c>
      <c r="N25">
        <v>2.0699999999999998</v>
      </c>
      <c r="O25">
        <v>1.91</v>
      </c>
      <c r="P25">
        <v>3.44</v>
      </c>
      <c r="Q25">
        <v>1.37</v>
      </c>
      <c r="R25">
        <v>18.850000000000001</v>
      </c>
      <c r="S25">
        <v>20.41</v>
      </c>
      <c r="T25">
        <v>33.89</v>
      </c>
      <c r="U25">
        <v>0.44</v>
      </c>
      <c r="V25">
        <v>7.5</v>
      </c>
      <c r="W25" t="s">
        <v>1985</v>
      </c>
      <c r="X25">
        <v>0</v>
      </c>
      <c r="Y25">
        <v>0</v>
      </c>
      <c r="Z25">
        <v>0</v>
      </c>
      <c r="AA25">
        <v>94.13</v>
      </c>
      <c r="AB25">
        <v>410.13</v>
      </c>
      <c r="AC25">
        <v>0.77</v>
      </c>
      <c r="AD25">
        <v>0.5</v>
      </c>
      <c r="AE25">
        <v>0.84</v>
      </c>
      <c r="AF25">
        <v>97.08</v>
      </c>
      <c r="AG25">
        <v>1</v>
      </c>
      <c r="AH25">
        <v>53.38</v>
      </c>
      <c r="AI25">
        <v>49.29</v>
      </c>
      <c r="AJ25">
        <v>28.37</v>
      </c>
      <c r="AK25">
        <v>26.31</v>
      </c>
      <c r="AL25">
        <v>26.31</v>
      </c>
      <c r="AM25">
        <v>101.41</v>
      </c>
      <c r="AN25">
        <v>156.1</v>
      </c>
      <c r="AO25">
        <v>150</v>
      </c>
      <c r="AP25">
        <v>3.9</v>
      </c>
      <c r="AQ25">
        <v>300</v>
      </c>
      <c r="AR25">
        <v>3.88</v>
      </c>
      <c r="AS25">
        <v>-20</v>
      </c>
      <c r="AT25">
        <v>-10</v>
      </c>
      <c r="AU25">
        <v>333</v>
      </c>
      <c r="AV25">
        <v>76.319999999999993</v>
      </c>
      <c r="AW25">
        <v>23.65</v>
      </c>
      <c r="AX25">
        <v>22.27</v>
      </c>
      <c r="AY25">
        <v>125.73</v>
      </c>
      <c r="AZ25">
        <v>-0.78</v>
      </c>
      <c r="BA25">
        <v>122.95</v>
      </c>
      <c r="BB25">
        <v>54.07</v>
      </c>
      <c r="BC25" t="s">
        <v>2002</v>
      </c>
      <c r="BD25" t="s">
        <v>126</v>
      </c>
      <c r="BE25">
        <v>35.85</v>
      </c>
      <c r="BF25">
        <v>127.13</v>
      </c>
      <c r="BG25">
        <v>40.9</v>
      </c>
      <c r="BH25">
        <v>14</v>
      </c>
      <c r="BI25">
        <v>0.79</v>
      </c>
      <c r="BJ25" t="s">
        <v>368</v>
      </c>
      <c r="BK25" t="s">
        <v>126</v>
      </c>
      <c r="BL25">
        <v>-1.02</v>
      </c>
      <c r="BM25" t="s">
        <v>124</v>
      </c>
      <c r="BN25">
        <v>0</v>
      </c>
      <c r="BO25">
        <v>0</v>
      </c>
      <c r="BP25">
        <v>0</v>
      </c>
      <c r="BQ25">
        <v>-0.05</v>
      </c>
      <c r="BR25">
        <v>0.01</v>
      </c>
      <c r="BS25">
        <v>-0.06</v>
      </c>
      <c r="BT25" t="s">
        <v>124</v>
      </c>
      <c r="BU25">
        <v>150</v>
      </c>
      <c r="BV25">
        <v>0</v>
      </c>
      <c r="BW25">
        <v>2</v>
      </c>
      <c r="BX25">
        <v>0.06</v>
      </c>
      <c r="BY25">
        <v>0</v>
      </c>
      <c r="BZ25">
        <v>0.03</v>
      </c>
      <c r="CA25">
        <v>0</v>
      </c>
      <c r="CB25">
        <v>0</v>
      </c>
      <c r="CC25">
        <v>0</v>
      </c>
      <c r="CD25" t="s">
        <v>176</v>
      </c>
      <c r="CE25" t="s">
        <v>161</v>
      </c>
      <c r="CF25" t="s">
        <v>177</v>
      </c>
      <c r="CG25">
        <v>6000</v>
      </c>
      <c r="CH25">
        <v>500</v>
      </c>
      <c r="CI25">
        <v>1</v>
      </c>
      <c r="CJ25">
        <v>2</v>
      </c>
      <c r="CK25">
        <v>55537</v>
      </c>
      <c r="CL25">
        <v>55537</v>
      </c>
      <c r="CM25">
        <v>55537</v>
      </c>
      <c r="CN25">
        <v>0</v>
      </c>
      <c r="CO25">
        <v>-9999</v>
      </c>
      <c r="CP25">
        <v>0</v>
      </c>
      <c r="CQ25">
        <v>0</v>
      </c>
      <c r="CR25">
        <v>0</v>
      </c>
      <c r="CS25">
        <v>0</v>
      </c>
      <c r="CT25">
        <v>2.5</v>
      </c>
      <c r="CU25">
        <v>2.4500000000000002</v>
      </c>
      <c r="CV25">
        <v>1.67</v>
      </c>
      <c r="CW25">
        <v>0.93</v>
      </c>
      <c r="CX25">
        <v>0.24</v>
      </c>
      <c r="CY25">
        <v>-0.02</v>
      </c>
      <c r="CZ25">
        <v>0.19</v>
      </c>
      <c r="DA25">
        <v>0.37</v>
      </c>
      <c r="DB25">
        <v>94.13</v>
      </c>
      <c r="DC25">
        <v>0</v>
      </c>
      <c r="DD25">
        <v>2.42</v>
      </c>
      <c r="DE25">
        <v>0</v>
      </c>
      <c r="DF25">
        <v>1</v>
      </c>
      <c r="DG25">
        <v>2.37</v>
      </c>
      <c r="DH25">
        <v>0</v>
      </c>
      <c r="DI25">
        <v>1</v>
      </c>
      <c r="DJ25">
        <v>0.6</v>
      </c>
      <c r="DK25">
        <v>0.6</v>
      </c>
      <c r="DL25">
        <v>0.11</v>
      </c>
      <c r="DM25">
        <v>0</v>
      </c>
      <c r="DN25" t="s">
        <v>1985</v>
      </c>
      <c r="DO25" t="s">
        <v>198</v>
      </c>
      <c r="DP25" t="s">
        <v>199</v>
      </c>
      <c r="DQ25" t="s">
        <v>200</v>
      </c>
      <c r="DR25" t="s">
        <v>201</v>
      </c>
      <c r="DS25" t="s">
        <v>202</v>
      </c>
      <c r="DT25" t="s">
        <v>203</v>
      </c>
    </row>
    <row r="26" spans="1:124" x14ac:dyDescent="0.45">
      <c r="A26" t="s">
        <v>335</v>
      </c>
      <c r="B26" t="s">
        <v>336</v>
      </c>
      <c r="C26" t="s">
        <v>126</v>
      </c>
      <c r="D26" t="s">
        <v>127</v>
      </c>
      <c r="E26" t="s">
        <v>128</v>
      </c>
      <c r="I26" t="s">
        <v>2246</v>
      </c>
      <c r="J26">
        <v>0.35</v>
      </c>
      <c r="K26">
        <v>2.91</v>
      </c>
      <c r="L26">
        <v>0.31</v>
      </c>
      <c r="M26">
        <v>4.76</v>
      </c>
      <c r="N26">
        <v>2.04</v>
      </c>
      <c r="O26">
        <v>1.91</v>
      </c>
      <c r="P26">
        <v>3.54</v>
      </c>
      <c r="Q26">
        <v>1.5</v>
      </c>
      <c r="R26">
        <v>18.84</v>
      </c>
      <c r="S26">
        <v>20.16</v>
      </c>
      <c r="T26">
        <v>34.92</v>
      </c>
      <c r="U26">
        <v>0.44</v>
      </c>
      <c r="V26">
        <v>7.5</v>
      </c>
      <c r="W26" t="s">
        <v>341</v>
      </c>
      <c r="X26">
        <v>0</v>
      </c>
      <c r="Y26">
        <v>0</v>
      </c>
      <c r="Z26">
        <v>0</v>
      </c>
      <c r="AA26">
        <v>118.78</v>
      </c>
      <c r="AB26">
        <v>471.62</v>
      </c>
      <c r="AC26">
        <v>0.75</v>
      </c>
      <c r="AD26">
        <v>0.5</v>
      </c>
      <c r="AE26">
        <v>0.84</v>
      </c>
      <c r="AF26">
        <v>101.18</v>
      </c>
      <c r="AG26">
        <v>1</v>
      </c>
      <c r="AH26">
        <v>52.45</v>
      </c>
      <c r="AI26">
        <v>49.01</v>
      </c>
      <c r="AJ26">
        <v>28.46</v>
      </c>
      <c r="AK26">
        <v>26.82</v>
      </c>
      <c r="AL26">
        <v>26.82</v>
      </c>
      <c r="AM26">
        <v>101.42</v>
      </c>
      <c r="AN26">
        <v>156.1</v>
      </c>
      <c r="AO26">
        <v>141.80000000000001</v>
      </c>
      <c r="AP26">
        <v>9.1999999999999993</v>
      </c>
      <c r="AQ26">
        <v>322</v>
      </c>
      <c r="AR26">
        <v>3.88</v>
      </c>
      <c r="AS26">
        <v>-11</v>
      </c>
      <c r="AT26">
        <v>2</v>
      </c>
      <c r="AU26">
        <v>338</v>
      </c>
      <c r="AV26">
        <v>61.98</v>
      </c>
      <c r="AW26">
        <v>46.97</v>
      </c>
      <c r="AX26">
        <v>11.18</v>
      </c>
      <c r="AY26">
        <v>168.37</v>
      </c>
      <c r="AZ26">
        <v>-0.78</v>
      </c>
      <c r="BA26">
        <v>123.41</v>
      </c>
      <c r="BB26">
        <v>53.73</v>
      </c>
      <c r="BC26" t="s">
        <v>363</v>
      </c>
      <c r="BD26" t="s">
        <v>126</v>
      </c>
      <c r="BE26">
        <v>35.85</v>
      </c>
      <c r="BF26">
        <v>127.13</v>
      </c>
      <c r="BG26">
        <v>40.1</v>
      </c>
      <c r="BH26">
        <v>14</v>
      </c>
      <c r="BI26">
        <v>0.69</v>
      </c>
      <c r="BJ26" t="s">
        <v>368</v>
      </c>
      <c r="BK26" t="s">
        <v>126</v>
      </c>
      <c r="BL26">
        <v>-1.02</v>
      </c>
      <c r="BM26" t="s">
        <v>124</v>
      </c>
      <c r="BN26">
        <v>0</v>
      </c>
      <c r="BO26">
        <v>0</v>
      </c>
      <c r="BP26">
        <v>0</v>
      </c>
      <c r="BQ26">
        <v>-0.01</v>
      </c>
      <c r="BR26">
        <v>0.16</v>
      </c>
      <c r="BS26">
        <v>0.72</v>
      </c>
      <c r="BT26" t="s">
        <v>124</v>
      </c>
      <c r="BU26">
        <v>150</v>
      </c>
      <c r="BV26">
        <v>0</v>
      </c>
      <c r="BW26">
        <v>2</v>
      </c>
      <c r="BX26">
        <v>0.06</v>
      </c>
      <c r="BY26">
        <v>0</v>
      </c>
      <c r="BZ26">
        <v>0.03</v>
      </c>
      <c r="CA26">
        <v>0</v>
      </c>
      <c r="CB26">
        <v>0</v>
      </c>
      <c r="CC26">
        <v>0</v>
      </c>
      <c r="CD26" t="s">
        <v>176</v>
      </c>
      <c r="CE26" t="s">
        <v>161</v>
      </c>
      <c r="CF26" t="s">
        <v>177</v>
      </c>
      <c r="CG26">
        <v>6000</v>
      </c>
      <c r="CH26">
        <v>500</v>
      </c>
      <c r="CI26">
        <v>1</v>
      </c>
      <c r="CJ26">
        <v>2</v>
      </c>
      <c r="CK26">
        <v>55537</v>
      </c>
      <c r="CL26">
        <v>55537</v>
      </c>
      <c r="CM26">
        <v>55537</v>
      </c>
      <c r="CN26">
        <v>0</v>
      </c>
      <c r="CO26">
        <v>-9999</v>
      </c>
      <c r="CP26">
        <v>0</v>
      </c>
      <c r="CQ26">
        <v>0</v>
      </c>
      <c r="CR26">
        <v>0</v>
      </c>
      <c r="CS26">
        <v>0</v>
      </c>
      <c r="CT26">
        <v>2.5</v>
      </c>
      <c r="CU26">
        <v>2.4500000000000002</v>
      </c>
      <c r="CV26">
        <v>1.67</v>
      </c>
      <c r="CW26">
        <v>0.91</v>
      </c>
      <c r="CX26">
        <v>0.24</v>
      </c>
      <c r="CY26">
        <v>-0.02</v>
      </c>
      <c r="CZ26">
        <v>0.2</v>
      </c>
      <c r="DA26">
        <v>0.39</v>
      </c>
      <c r="DB26">
        <v>118.78</v>
      </c>
      <c r="DC26">
        <v>0</v>
      </c>
      <c r="DD26">
        <v>2.42</v>
      </c>
      <c r="DE26">
        <v>0</v>
      </c>
      <c r="DF26">
        <v>1</v>
      </c>
      <c r="DG26">
        <v>2.37</v>
      </c>
      <c r="DH26">
        <v>0</v>
      </c>
      <c r="DI26">
        <v>1</v>
      </c>
      <c r="DJ26">
        <v>0.6</v>
      </c>
      <c r="DK26">
        <v>0.6</v>
      </c>
      <c r="DL26">
        <v>0.11</v>
      </c>
      <c r="DM26">
        <v>0</v>
      </c>
      <c r="DN26" t="s">
        <v>341</v>
      </c>
      <c r="DO26" t="s">
        <v>198</v>
      </c>
      <c r="DP26" t="s">
        <v>199</v>
      </c>
      <c r="DQ26" t="s">
        <v>200</v>
      </c>
      <c r="DR26" t="s">
        <v>201</v>
      </c>
      <c r="DS26" t="s">
        <v>202</v>
      </c>
      <c r="DT26" t="s">
        <v>203</v>
      </c>
    </row>
    <row r="27" spans="1:124" x14ac:dyDescent="0.45">
      <c r="A27" t="s">
        <v>382</v>
      </c>
      <c r="B27" t="s">
        <v>383</v>
      </c>
      <c r="C27" t="s">
        <v>126</v>
      </c>
      <c r="D27" t="s">
        <v>127</v>
      </c>
      <c r="E27" t="s">
        <v>128</v>
      </c>
      <c r="I27" t="s">
        <v>2247</v>
      </c>
      <c r="J27">
        <v>0.31</v>
      </c>
      <c r="K27">
        <v>2.91</v>
      </c>
      <c r="L27">
        <v>0.28000000000000003</v>
      </c>
      <c r="M27">
        <v>4.1900000000000004</v>
      </c>
      <c r="N27">
        <v>2.0699999999999998</v>
      </c>
      <c r="O27">
        <v>1.96</v>
      </c>
      <c r="P27">
        <v>3.56</v>
      </c>
      <c r="Q27">
        <v>1.49</v>
      </c>
      <c r="R27">
        <v>19.28</v>
      </c>
      <c r="S27">
        <v>20.440000000000001</v>
      </c>
      <c r="T27">
        <v>35.1</v>
      </c>
      <c r="U27">
        <v>0.44</v>
      </c>
      <c r="V27">
        <v>7.5</v>
      </c>
      <c r="W27" t="s">
        <v>388</v>
      </c>
      <c r="X27">
        <v>0</v>
      </c>
      <c r="Y27">
        <v>0</v>
      </c>
      <c r="Z27">
        <v>0</v>
      </c>
      <c r="AA27">
        <v>100.11</v>
      </c>
      <c r="AB27">
        <v>434.67</v>
      </c>
      <c r="AC27">
        <v>0.77</v>
      </c>
      <c r="AD27">
        <v>0.5</v>
      </c>
      <c r="AE27">
        <v>0.84</v>
      </c>
      <c r="AF27">
        <v>96.66</v>
      </c>
      <c r="AG27">
        <v>1</v>
      </c>
      <c r="AH27">
        <v>53.08</v>
      </c>
      <c r="AI27">
        <v>50.07</v>
      </c>
      <c r="AJ27">
        <v>28.5</v>
      </c>
      <c r="AK27">
        <v>26.91</v>
      </c>
      <c r="AL27">
        <v>26.91</v>
      </c>
      <c r="AM27">
        <v>101.42</v>
      </c>
      <c r="AN27">
        <v>156.19999999999999</v>
      </c>
      <c r="AO27">
        <v>152</v>
      </c>
      <c r="AP27">
        <v>2.7</v>
      </c>
      <c r="AQ27">
        <v>299</v>
      </c>
      <c r="AR27">
        <v>3.88</v>
      </c>
      <c r="AS27">
        <v>-28</v>
      </c>
      <c r="AT27">
        <v>10</v>
      </c>
      <c r="AU27">
        <v>344</v>
      </c>
      <c r="AV27">
        <v>71.19</v>
      </c>
      <c r="AW27">
        <v>32.24</v>
      </c>
      <c r="AX27">
        <v>29.6</v>
      </c>
      <c r="AY27">
        <v>-175.41</v>
      </c>
      <c r="AZ27">
        <v>-0.78</v>
      </c>
      <c r="BA27">
        <v>123.41</v>
      </c>
      <c r="BB27">
        <v>53.73</v>
      </c>
      <c r="BC27" t="s">
        <v>406</v>
      </c>
      <c r="BD27" t="s">
        <v>126</v>
      </c>
      <c r="BE27">
        <v>35.85</v>
      </c>
      <c r="BF27">
        <v>127.13</v>
      </c>
      <c r="BG27">
        <v>38.9</v>
      </c>
      <c r="BH27">
        <v>13</v>
      </c>
      <c r="BI27">
        <v>0.78</v>
      </c>
      <c r="BJ27" t="s">
        <v>368</v>
      </c>
      <c r="BK27" t="s">
        <v>126</v>
      </c>
      <c r="BL27">
        <v>-1.02</v>
      </c>
      <c r="BM27" t="s">
        <v>124</v>
      </c>
      <c r="BN27">
        <v>0</v>
      </c>
      <c r="BO27">
        <v>0</v>
      </c>
      <c r="BP27">
        <v>0</v>
      </c>
      <c r="BQ27">
        <v>0</v>
      </c>
      <c r="BR27">
        <v>-0.01</v>
      </c>
      <c r="BS27">
        <v>-0.12</v>
      </c>
      <c r="BT27" t="s">
        <v>124</v>
      </c>
      <c r="BU27">
        <v>150</v>
      </c>
      <c r="BV27">
        <v>0</v>
      </c>
      <c r="BW27">
        <v>2</v>
      </c>
      <c r="BX27">
        <v>0.06</v>
      </c>
      <c r="BY27">
        <v>0</v>
      </c>
      <c r="BZ27">
        <v>0.03</v>
      </c>
      <c r="CA27">
        <v>0</v>
      </c>
      <c r="CB27">
        <v>0</v>
      </c>
      <c r="CC27">
        <v>0</v>
      </c>
      <c r="CD27" t="s">
        <v>176</v>
      </c>
      <c r="CE27" t="s">
        <v>161</v>
      </c>
      <c r="CF27" t="s">
        <v>177</v>
      </c>
      <c r="CG27">
        <v>6000</v>
      </c>
      <c r="CH27">
        <v>500</v>
      </c>
      <c r="CI27">
        <v>1</v>
      </c>
      <c r="CJ27">
        <v>2</v>
      </c>
      <c r="CK27">
        <v>55537</v>
      </c>
      <c r="CL27">
        <v>55537</v>
      </c>
      <c r="CM27">
        <v>55537</v>
      </c>
      <c r="CN27">
        <v>0</v>
      </c>
      <c r="CO27">
        <v>-9999</v>
      </c>
      <c r="CP27">
        <v>0</v>
      </c>
      <c r="CQ27">
        <v>0</v>
      </c>
      <c r="CR27">
        <v>0</v>
      </c>
      <c r="CS27">
        <v>0</v>
      </c>
      <c r="CT27">
        <v>2.5</v>
      </c>
      <c r="CU27">
        <v>2.4500000000000002</v>
      </c>
      <c r="CV27">
        <v>1.67</v>
      </c>
      <c r="CW27">
        <v>0.93</v>
      </c>
      <c r="CX27">
        <v>0.24</v>
      </c>
      <c r="CY27">
        <v>-0.02</v>
      </c>
      <c r="CZ27">
        <v>0.21</v>
      </c>
      <c r="DA27">
        <v>0.37</v>
      </c>
      <c r="DB27">
        <v>100.11</v>
      </c>
      <c r="DC27">
        <v>0</v>
      </c>
      <c r="DD27">
        <v>2.42</v>
      </c>
      <c r="DE27">
        <v>0</v>
      </c>
      <c r="DF27">
        <v>1</v>
      </c>
      <c r="DG27">
        <v>2.37</v>
      </c>
      <c r="DH27">
        <v>0</v>
      </c>
      <c r="DI27">
        <v>1</v>
      </c>
      <c r="DJ27">
        <v>0.6</v>
      </c>
      <c r="DK27">
        <v>0.6</v>
      </c>
      <c r="DL27">
        <v>0.11</v>
      </c>
      <c r="DM27">
        <v>0</v>
      </c>
      <c r="DN27" t="s">
        <v>388</v>
      </c>
      <c r="DO27" t="s">
        <v>198</v>
      </c>
      <c r="DP27" t="s">
        <v>199</v>
      </c>
      <c r="DQ27" t="s">
        <v>200</v>
      </c>
      <c r="DR27" t="s">
        <v>201</v>
      </c>
      <c r="DS27" t="s">
        <v>202</v>
      </c>
      <c r="DT27" t="s">
        <v>203</v>
      </c>
    </row>
    <row r="28" spans="1:124" x14ac:dyDescent="0.45">
      <c r="A28" t="s">
        <v>709</v>
      </c>
      <c r="B28" t="s">
        <v>710</v>
      </c>
      <c r="C28" t="s">
        <v>126</v>
      </c>
      <c r="D28" t="s">
        <v>127</v>
      </c>
      <c r="E28" t="s">
        <v>128</v>
      </c>
      <c r="I28" t="s">
        <v>2248</v>
      </c>
      <c r="J28">
        <v>0.22</v>
      </c>
      <c r="K28">
        <v>2.91</v>
      </c>
      <c r="L28">
        <v>0.2</v>
      </c>
      <c r="M28">
        <v>3.38</v>
      </c>
      <c r="N28">
        <v>1.98</v>
      </c>
      <c r="O28">
        <v>1.88</v>
      </c>
      <c r="P28">
        <v>3.61</v>
      </c>
      <c r="Q28">
        <v>1.64</v>
      </c>
      <c r="R28">
        <v>18.54</v>
      </c>
      <c r="S28">
        <v>19.48</v>
      </c>
      <c r="T28">
        <v>35.61</v>
      </c>
      <c r="U28">
        <v>0.44</v>
      </c>
      <c r="V28">
        <v>7.5</v>
      </c>
      <c r="W28" t="s">
        <v>715</v>
      </c>
      <c r="X28">
        <v>0</v>
      </c>
      <c r="Y28">
        <v>0</v>
      </c>
      <c r="Z28">
        <v>0</v>
      </c>
      <c r="AA28">
        <v>112.23</v>
      </c>
      <c r="AB28">
        <v>429.49</v>
      </c>
      <c r="AC28">
        <v>0.74</v>
      </c>
      <c r="AD28">
        <v>0.5</v>
      </c>
      <c r="AE28">
        <v>0.84</v>
      </c>
      <c r="AF28">
        <v>97.42</v>
      </c>
      <c r="AG28">
        <v>1</v>
      </c>
      <c r="AH28">
        <v>50.47</v>
      </c>
      <c r="AI28">
        <v>48.04</v>
      </c>
      <c r="AJ28">
        <v>28.53</v>
      </c>
      <c r="AK28">
        <v>27.15</v>
      </c>
      <c r="AL28">
        <v>27.15</v>
      </c>
      <c r="AM28">
        <v>101.41</v>
      </c>
      <c r="AN28">
        <v>156.1</v>
      </c>
      <c r="AO28">
        <v>155.4</v>
      </c>
      <c r="AP28">
        <v>0.5</v>
      </c>
      <c r="AQ28">
        <v>314</v>
      </c>
      <c r="AR28">
        <v>3.88</v>
      </c>
      <c r="AS28">
        <v>-15</v>
      </c>
      <c r="AT28">
        <v>-22</v>
      </c>
      <c r="AU28">
        <v>285</v>
      </c>
      <c r="AV28">
        <v>63.56</v>
      </c>
      <c r="AW28">
        <v>44.53</v>
      </c>
      <c r="AX28">
        <v>26.42</v>
      </c>
      <c r="AY28">
        <v>47.64</v>
      </c>
      <c r="AZ28">
        <v>-0.78</v>
      </c>
      <c r="BA28">
        <v>123.63</v>
      </c>
      <c r="BB28">
        <v>53.56</v>
      </c>
      <c r="BC28" t="s">
        <v>731</v>
      </c>
      <c r="BD28" t="s">
        <v>126</v>
      </c>
      <c r="BE28">
        <v>35.85</v>
      </c>
      <c r="BF28">
        <v>127.13</v>
      </c>
      <c r="BG28">
        <v>39.1</v>
      </c>
      <c r="BH28">
        <v>14</v>
      </c>
      <c r="BI28">
        <v>0.69</v>
      </c>
      <c r="BJ28" t="s">
        <v>368</v>
      </c>
      <c r="BK28" t="s">
        <v>126</v>
      </c>
      <c r="BL28">
        <v>-1.02</v>
      </c>
      <c r="BM28" t="s">
        <v>124</v>
      </c>
      <c r="BN28">
        <v>0</v>
      </c>
      <c r="BO28">
        <v>0</v>
      </c>
      <c r="BP28">
        <v>0</v>
      </c>
      <c r="BQ28">
        <v>-0.06</v>
      </c>
      <c r="BR28">
        <v>-0.1</v>
      </c>
      <c r="BS28">
        <v>0.13</v>
      </c>
      <c r="BT28" t="s">
        <v>124</v>
      </c>
      <c r="BU28">
        <v>150</v>
      </c>
      <c r="BV28">
        <v>0</v>
      </c>
      <c r="BW28">
        <v>2</v>
      </c>
      <c r="BX28">
        <v>0.06</v>
      </c>
      <c r="BY28">
        <v>0</v>
      </c>
      <c r="BZ28">
        <v>0.03</v>
      </c>
      <c r="CA28">
        <v>0</v>
      </c>
      <c r="CB28">
        <v>0</v>
      </c>
      <c r="CC28">
        <v>0</v>
      </c>
      <c r="CD28" t="s">
        <v>176</v>
      </c>
      <c r="CE28" t="s">
        <v>161</v>
      </c>
      <c r="CF28" t="s">
        <v>177</v>
      </c>
      <c r="CG28">
        <v>6000</v>
      </c>
      <c r="CH28">
        <v>500</v>
      </c>
      <c r="CI28">
        <v>1</v>
      </c>
      <c r="CJ28">
        <v>2</v>
      </c>
      <c r="CK28">
        <v>55537</v>
      </c>
      <c r="CL28">
        <v>55537</v>
      </c>
      <c r="CM28">
        <v>55537</v>
      </c>
      <c r="CN28">
        <v>0</v>
      </c>
      <c r="CO28">
        <v>-9999</v>
      </c>
      <c r="CP28">
        <v>0</v>
      </c>
      <c r="CQ28">
        <v>0</v>
      </c>
      <c r="CR28">
        <v>0</v>
      </c>
      <c r="CS28">
        <v>0</v>
      </c>
      <c r="CT28">
        <v>2.5</v>
      </c>
      <c r="CU28">
        <v>2.44</v>
      </c>
      <c r="CV28">
        <v>1.67</v>
      </c>
      <c r="CW28">
        <v>0.94</v>
      </c>
      <c r="CX28">
        <v>0.24</v>
      </c>
      <c r="CY28">
        <v>-0.02</v>
      </c>
      <c r="CZ28">
        <v>0.21</v>
      </c>
      <c r="DA28">
        <v>0.38</v>
      </c>
      <c r="DB28">
        <v>112.23</v>
      </c>
      <c r="DC28">
        <v>0</v>
      </c>
      <c r="DD28">
        <v>2.42</v>
      </c>
      <c r="DE28">
        <v>0</v>
      </c>
      <c r="DF28">
        <v>1</v>
      </c>
      <c r="DG28">
        <v>2.37</v>
      </c>
      <c r="DH28">
        <v>0</v>
      </c>
      <c r="DI28">
        <v>1</v>
      </c>
      <c r="DJ28">
        <v>0.6</v>
      </c>
      <c r="DK28">
        <v>0.6</v>
      </c>
      <c r="DL28">
        <v>0.11</v>
      </c>
      <c r="DM28">
        <v>0</v>
      </c>
      <c r="DN28" t="s">
        <v>715</v>
      </c>
      <c r="DO28" t="s">
        <v>198</v>
      </c>
      <c r="DP28" t="s">
        <v>199</v>
      </c>
      <c r="DQ28" t="s">
        <v>200</v>
      </c>
      <c r="DR28" t="s">
        <v>201</v>
      </c>
      <c r="DS28" t="s">
        <v>202</v>
      </c>
      <c r="DT28" t="s">
        <v>203</v>
      </c>
    </row>
    <row r="29" spans="1:124" x14ac:dyDescent="0.45">
      <c r="A29" t="s">
        <v>746</v>
      </c>
      <c r="B29" t="s">
        <v>747</v>
      </c>
      <c r="C29" t="s">
        <v>126</v>
      </c>
      <c r="D29" t="s">
        <v>127</v>
      </c>
      <c r="E29" t="s">
        <v>128</v>
      </c>
      <c r="I29" t="s">
        <v>2249</v>
      </c>
      <c r="J29">
        <v>0.37</v>
      </c>
      <c r="K29">
        <v>2.91</v>
      </c>
      <c r="L29">
        <v>0.33</v>
      </c>
      <c r="M29">
        <v>4.96</v>
      </c>
      <c r="N29">
        <v>2.0099999999999998</v>
      </c>
      <c r="O29">
        <v>1.87</v>
      </c>
      <c r="P29">
        <v>3.5</v>
      </c>
      <c r="Q29">
        <v>1.49</v>
      </c>
      <c r="R29">
        <v>18.440000000000001</v>
      </c>
      <c r="S29">
        <v>19.82</v>
      </c>
      <c r="T29">
        <v>34.49</v>
      </c>
      <c r="U29">
        <v>0.44</v>
      </c>
      <c r="V29">
        <v>7.5</v>
      </c>
      <c r="W29" t="s">
        <v>752</v>
      </c>
      <c r="X29">
        <v>0</v>
      </c>
      <c r="Y29">
        <v>0</v>
      </c>
      <c r="Z29">
        <v>0</v>
      </c>
      <c r="AA29">
        <v>116.23</v>
      </c>
      <c r="AB29">
        <v>461.4</v>
      </c>
      <c r="AC29">
        <v>0.75</v>
      </c>
      <c r="AD29">
        <v>0.5</v>
      </c>
      <c r="AE29">
        <v>0.84</v>
      </c>
      <c r="AF29">
        <v>109.34</v>
      </c>
      <c r="AG29">
        <v>1</v>
      </c>
      <c r="AH29">
        <v>51.29</v>
      </c>
      <c r="AI29">
        <v>47.73</v>
      </c>
      <c r="AJ29">
        <v>28.55</v>
      </c>
      <c r="AK29">
        <v>26.61</v>
      </c>
      <c r="AL29">
        <v>26.61</v>
      </c>
      <c r="AM29">
        <v>101.41</v>
      </c>
      <c r="AN29">
        <v>156.1</v>
      </c>
      <c r="AO29">
        <v>132.6</v>
      </c>
      <c r="AP29">
        <v>15.1</v>
      </c>
      <c r="AQ29">
        <v>348</v>
      </c>
      <c r="AR29">
        <v>3.87</v>
      </c>
      <c r="AS29">
        <v>-15</v>
      </c>
      <c r="AT29">
        <v>0</v>
      </c>
      <c r="AU29">
        <v>323</v>
      </c>
      <c r="AV29">
        <v>67.69</v>
      </c>
      <c r="AW29">
        <v>37.97</v>
      </c>
      <c r="AX29">
        <v>15</v>
      </c>
      <c r="AY29">
        <v>143</v>
      </c>
      <c r="AZ29">
        <v>-0.78</v>
      </c>
      <c r="BA29">
        <v>123.86</v>
      </c>
      <c r="BB29">
        <v>53.4</v>
      </c>
      <c r="BC29" t="s">
        <v>770</v>
      </c>
      <c r="BD29" t="s">
        <v>126</v>
      </c>
      <c r="BE29">
        <v>35.85</v>
      </c>
      <c r="BF29">
        <v>127.13</v>
      </c>
      <c r="BG29">
        <v>39.1</v>
      </c>
      <c r="BH29">
        <v>14</v>
      </c>
      <c r="BI29">
        <v>0.72</v>
      </c>
      <c r="BJ29" t="s">
        <v>368</v>
      </c>
      <c r="BK29" t="s">
        <v>126</v>
      </c>
      <c r="BL29">
        <v>-1.02</v>
      </c>
      <c r="BM29" t="s">
        <v>124</v>
      </c>
      <c r="BN29">
        <v>0</v>
      </c>
      <c r="BO29">
        <v>0</v>
      </c>
      <c r="BP29">
        <v>0</v>
      </c>
      <c r="BQ29">
        <v>-0.08</v>
      </c>
      <c r="BR29">
        <v>-0.2</v>
      </c>
      <c r="BS29">
        <v>-0.34</v>
      </c>
      <c r="BT29" t="s">
        <v>124</v>
      </c>
      <c r="BU29">
        <v>150</v>
      </c>
      <c r="BV29">
        <v>0</v>
      </c>
      <c r="BW29">
        <v>2</v>
      </c>
      <c r="BX29">
        <v>0.06</v>
      </c>
      <c r="BY29">
        <v>0</v>
      </c>
      <c r="BZ29">
        <v>0.03</v>
      </c>
      <c r="CA29">
        <v>0</v>
      </c>
      <c r="CB29">
        <v>0</v>
      </c>
      <c r="CC29">
        <v>0</v>
      </c>
      <c r="CD29" t="s">
        <v>176</v>
      </c>
      <c r="CE29" t="s">
        <v>161</v>
      </c>
      <c r="CF29" t="s">
        <v>177</v>
      </c>
      <c r="CG29">
        <v>6000</v>
      </c>
      <c r="CH29">
        <v>500</v>
      </c>
      <c r="CI29">
        <v>1</v>
      </c>
      <c r="CJ29">
        <v>2</v>
      </c>
      <c r="CK29">
        <v>55537</v>
      </c>
      <c r="CL29">
        <v>55537</v>
      </c>
      <c r="CM29">
        <v>55537</v>
      </c>
      <c r="CN29">
        <v>0</v>
      </c>
      <c r="CO29">
        <v>-9999</v>
      </c>
      <c r="CP29">
        <v>0</v>
      </c>
      <c r="CQ29">
        <v>0</v>
      </c>
      <c r="CR29">
        <v>0</v>
      </c>
      <c r="CS29">
        <v>0</v>
      </c>
      <c r="CT29">
        <v>2.5</v>
      </c>
      <c r="CU29">
        <v>2.4500000000000002</v>
      </c>
      <c r="CV29">
        <v>1.67</v>
      </c>
      <c r="CW29">
        <v>0.88</v>
      </c>
      <c r="CX29">
        <v>0.24</v>
      </c>
      <c r="CY29">
        <v>-0.02</v>
      </c>
      <c r="CZ29">
        <v>0.22</v>
      </c>
      <c r="DA29">
        <v>0.41</v>
      </c>
      <c r="DB29">
        <v>116.23</v>
      </c>
      <c r="DC29">
        <v>0</v>
      </c>
      <c r="DD29">
        <v>2.42</v>
      </c>
      <c r="DE29">
        <v>0</v>
      </c>
      <c r="DF29">
        <v>1</v>
      </c>
      <c r="DG29">
        <v>2.37</v>
      </c>
      <c r="DH29">
        <v>0</v>
      </c>
      <c r="DI29">
        <v>1</v>
      </c>
      <c r="DJ29">
        <v>0.6</v>
      </c>
      <c r="DK29">
        <v>0.6</v>
      </c>
      <c r="DL29">
        <v>0.11</v>
      </c>
      <c r="DM29">
        <v>0</v>
      </c>
      <c r="DN29" t="s">
        <v>752</v>
      </c>
      <c r="DO29" t="s">
        <v>198</v>
      </c>
      <c r="DP29" t="s">
        <v>199</v>
      </c>
      <c r="DQ29" t="s">
        <v>200</v>
      </c>
      <c r="DR29" t="s">
        <v>201</v>
      </c>
      <c r="DS29" t="s">
        <v>202</v>
      </c>
      <c r="DT29" t="s">
        <v>203</v>
      </c>
    </row>
    <row r="30" spans="1:124" x14ac:dyDescent="0.45">
      <c r="A30" t="s">
        <v>1056</v>
      </c>
      <c r="B30" t="s">
        <v>1057</v>
      </c>
      <c r="C30" t="s">
        <v>126</v>
      </c>
      <c r="D30" t="s">
        <v>127</v>
      </c>
      <c r="E30" t="s">
        <v>128</v>
      </c>
      <c r="I30" t="s">
        <v>2250</v>
      </c>
      <c r="J30">
        <v>0.57999999999999996</v>
      </c>
      <c r="K30">
        <v>2.91</v>
      </c>
      <c r="L30">
        <v>0.48</v>
      </c>
      <c r="M30">
        <v>6.38</v>
      </c>
      <c r="N30">
        <v>2.0499999999999998</v>
      </c>
      <c r="O30">
        <v>1.87</v>
      </c>
      <c r="P30">
        <v>3.35</v>
      </c>
      <c r="Q30">
        <v>1.3</v>
      </c>
      <c r="R30">
        <v>18.399999999999999</v>
      </c>
      <c r="S30">
        <v>20.170000000000002</v>
      </c>
      <c r="T30">
        <v>33.020000000000003</v>
      </c>
      <c r="U30">
        <v>0.44</v>
      </c>
      <c r="V30">
        <v>7.5</v>
      </c>
      <c r="W30" t="s">
        <v>1062</v>
      </c>
      <c r="X30">
        <v>0</v>
      </c>
      <c r="Y30">
        <v>0</v>
      </c>
      <c r="Z30">
        <v>0</v>
      </c>
      <c r="AA30">
        <v>94.24</v>
      </c>
      <c r="AB30">
        <v>408.99</v>
      </c>
      <c r="AC30">
        <v>0.77</v>
      </c>
      <c r="AD30">
        <v>0.5</v>
      </c>
      <c r="AE30">
        <v>0.84</v>
      </c>
      <c r="AF30">
        <v>98.58</v>
      </c>
      <c r="AG30">
        <v>1</v>
      </c>
      <c r="AH30">
        <v>52.15</v>
      </c>
      <c r="AI30">
        <v>47.57</v>
      </c>
      <c r="AJ30">
        <v>28.57</v>
      </c>
      <c r="AK30">
        <v>25.87</v>
      </c>
      <c r="AL30">
        <v>25.87</v>
      </c>
      <c r="AM30">
        <v>101.41</v>
      </c>
      <c r="AN30">
        <v>156.1</v>
      </c>
      <c r="AO30">
        <v>152.1</v>
      </c>
      <c r="AP30">
        <v>2.6</v>
      </c>
      <c r="AQ30">
        <v>305</v>
      </c>
      <c r="AR30">
        <v>3.87</v>
      </c>
      <c r="AS30">
        <v>-28</v>
      </c>
      <c r="AT30">
        <v>1</v>
      </c>
      <c r="AU30">
        <v>69</v>
      </c>
      <c r="AV30">
        <v>41</v>
      </c>
      <c r="AW30">
        <v>75.47</v>
      </c>
      <c r="AX30">
        <v>28.02</v>
      </c>
      <c r="AY30">
        <v>-108.87</v>
      </c>
      <c r="AZ30">
        <v>-0.78</v>
      </c>
      <c r="BA30">
        <v>123.86</v>
      </c>
      <c r="BB30">
        <v>53.4</v>
      </c>
      <c r="BC30" t="s">
        <v>1077</v>
      </c>
      <c r="BD30" t="s">
        <v>126</v>
      </c>
      <c r="BE30">
        <v>35.85</v>
      </c>
      <c r="BF30">
        <v>127.13</v>
      </c>
      <c r="BG30">
        <v>39.799999999999997</v>
      </c>
      <c r="BH30">
        <v>13</v>
      </c>
      <c r="BI30">
        <v>0.73</v>
      </c>
      <c r="BJ30" t="s">
        <v>368</v>
      </c>
      <c r="BK30" t="s">
        <v>126</v>
      </c>
      <c r="BL30">
        <v>-1.02</v>
      </c>
      <c r="BM30" t="s">
        <v>124</v>
      </c>
      <c r="BN30">
        <v>0</v>
      </c>
      <c r="BO30">
        <v>0</v>
      </c>
      <c r="BP30">
        <v>0.01</v>
      </c>
      <c r="BQ30">
        <v>-0.14000000000000001</v>
      </c>
      <c r="BR30">
        <v>-0.12</v>
      </c>
      <c r="BS30">
        <v>-0.28000000000000003</v>
      </c>
      <c r="BT30" t="s">
        <v>124</v>
      </c>
      <c r="BU30">
        <v>150</v>
      </c>
      <c r="BV30">
        <v>0</v>
      </c>
      <c r="BW30">
        <v>2</v>
      </c>
      <c r="BX30">
        <v>0.06</v>
      </c>
      <c r="BY30">
        <v>0</v>
      </c>
      <c r="BZ30">
        <v>0.03</v>
      </c>
      <c r="CA30">
        <v>0</v>
      </c>
      <c r="CB30">
        <v>0</v>
      </c>
      <c r="CC30">
        <v>0</v>
      </c>
      <c r="CD30" t="s">
        <v>176</v>
      </c>
      <c r="CE30" t="s">
        <v>161</v>
      </c>
      <c r="CF30" t="s">
        <v>177</v>
      </c>
      <c r="CG30">
        <v>6000</v>
      </c>
      <c r="CH30">
        <v>500</v>
      </c>
      <c r="CI30">
        <v>1</v>
      </c>
      <c r="CJ30">
        <v>2</v>
      </c>
      <c r="CK30">
        <v>55537</v>
      </c>
      <c r="CL30">
        <v>55537</v>
      </c>
      <c r="CM30">
        <v>55537</v>
      </c>
      <c r="CN30">
        <v>0</v>
      </c>
      <c r="CO30">
        <v>-9999</v>
      </c>
      <c r="CP30">
        <v>0</v>
      </c>
      <c r="CQ30">
        <v>0</v>
      </c>
      <c r="CR30">
        <v>0</v>
      </c>
      <c r="CS30">
        <v>0</v>
      </c>
      <c r="CT30">
        <v>2.5</v>
      </c>
      <c r="CU30">
        <v>2.4500000000000002</v>
      </c>
      <c r="CV30">
        <v>1.67</v>
      </c>
      <c r="CW30">
        <v>0.93</v>
      </c>
      <c r="CX30">
        <v>0.24</v>
      </c>
      <c r="CY30">
        <v>-0.03</v>
      </c>
      <c r="CZ30">
        <v>0.22</v>
      </c>
      <c r="DA30">
        <v>0.37</v>
      </c>
      <c r="DB30">
        <v>94.24</v>
      </c>
      <c r="DC30">
        <v>0</v>
      </c>
      <c r="DD30">
        <v>2.42</v>
      </c>
      <c r="DE30">
        <v>0</v>
      </c>
      <c r="DF30">
        <v>1</v>
      </c>
      <c r="DG30">
        <v>2.37</v>
      </c>
      <c r="DH30">
        <v>0</v>
      </c>
      <c r="DI30">
        <v>1</v>
      </c>
      <c r="DJ30">
        <v>0.6</v>
      </c>
      <c r="DK30">
        <v>0.6</v>
      </c>
      <c r="DL30">
        <v>0.11</v>
      </c>
      <c r="DM30">
        <v>0</v>
      </c>
      <c r="DN30" t="s">
        <v>1062</v>
      </c>
      <c r="DO30" t="s">
        <v>198</v>
      </c>
      <c r="DP30" t="s">
        <v>199</v>
      </c>
      <c r="DQ30" t="s">
        <v>200</v>
      </c>
      <c r="DR30" t="s">
        <v>201</v>
      </c>
      <c r="DS30" t="s">
        <v>202</v>
      </c>
      <c r="DT30" t="s">
        <v>203</v>
      </c>
    </row>
    <row r="31" spans="1:124" x14ac:dyDescent="0.45">
      <c r="A31" t="s">
        <v>1092</v>
      </c>
      <c r="B31" t="s">
        <v>1093</v>
      </c>
      <c r="C31" t="s">
        <v>126</v>
      </c>
      <c r="D31" t="s">
        <v>127</v>
      </c>
      <c r="E31" t="s">
        <v>128</v>
      </c>
      <c r="I31" t="s">
        <v>2251</v>
      </c>
      <c r="J31">
        <v>0.4</v>
      </c>
      <c r="K31">
        <v>2.91</v>
      </c>
      <c r="L31">
        <v>0.35</v>
      </c>
      <c r="M31">
        <v>5.08</v>
      </c>
      <c r="N31">
        <v>2.0099999999999998</v>
      </c>
      <c r="O31">
        <v>1.87</v>
      </c>
      <c r="P31">
        <v>3.43</v>
      </c>
      <c r="Q31">
        <v>1.42</v>
      </c>
      <c r="R31">
        <v>18.420000000000002</v>
      </c>
      <c r="S31">
        <v>19.829999999999998</v>
      </c>
      <c r="T31">
        <v>33.83</v>
      </c>
      <c r="U31">
        <v>0.44</v>
      </c>
      <c r="V31">
        <v>7.5</v>
      </c>
      <c r="W31" t="s">
        <v>1098</v>
      </c>
      <c r="X31">
        <v>0</v>
      </c>
      <c r="Y31">
        <v>0</v>
      </c>
      <c r="Z31">
        <v>0</v>
      </c>
      <c r="AA31">
        <v>104.58</v>
      </c>
      <c r="AB31">
        <v>432.97</v>
      </c>
      <c r="AC31">
        <v>0.76</v>
      </c>
      <c r="AD31">
        <v>0.5</v>
      </c>
      <c r="AE31">
        <v>0.84</v>
      </c>
      <c r="AF31">
        <v>97.16</v>
      </c>
      <c r="AG31">
        <v>1</v>
      </c>
      <c r="AH31">
        <v>51.21</v>
      </c>
      <c r="AI31">
        <v>47.57</v>
      </c>
      <c r="AJ31">
        <v>28.59</v>
      </c>
      <c r="AK31">
        <v>26.28</v>
      </c>
      <c r="AL31">
        <v>26.28</v>
      </c>
      <c r="AM31">
        <v>101.41</v>
      </c>
      <c r="AN31">
        <v>156.1</v>
      </c>
      <c r="AO31">
        <v>153.80000000000001</v>
      </c>
      <c r="AP31">
        <v>1.5</v>
      </c>
      <c r="AQ31">
        <v>305</v>
      </c>
      <c r="AR31">
        <v>3.87</v>
      </c>
      <c r="AS31">
        <v>-29</v>
      </c>
      <c r="AT31">
        <v>6</v>
      </c>
      <c r="AU31">
        <v>15</v>
      </c>
      <c r="AV31">
        <v>61.74</v>
      </c>
      <c r="AW31">
        <v>47.35</v>
      </c>
      <c r="AX31">
        <v>29.56</v>
      </c>
      <c r="AY31">
        <v>-152.77000000000001</v>
      </c>
      <c r="AZ31">
        <v>-0.78</v>
      </c>
      <c r="BA31">
        <v>124.1</v>
      </c>
      <c r="BB31">
        <v>53.23</v>
      </c>
      <c r="BC31" t="s">
        <v>1115</v>
      </c>
      <c r="BD31" t="s">
        <v>126</v>
      </c>
      <c r="BE31">
        <v>35.85</v>
      </c>
      <c r="BF31">
        <v>127.13</v>
      </c>
      <c r="BG31">
        <v>39.700000000000003</v>
      </c>
      <c r="BH31">
        <v>15</v>
      </c>
      <c r="BI31">
        <v>0.68</v>
      </c>
      <c r="BJ31" t="s">
        <v>453</v>
      </c>
      <c r="BK31" t="s">
        <v>126</v>
      </c>
      <c r="BL31">
        <v>-0.94</v>
      </c>
      <c r="BM31" t="s">
        <v>124</v>
      </c>
      <c r="BN31">
        <v>0</v>
      </c>
      <c r="BO31">
        <v>0</v>
      </c>
      <c r="BP31">
        <v>0</v>
      </c>
      <c r="BQ31">
        <v>-0.08</v>
      </c>
      <c r="BR31">
        <v>-0.28000000000000003</v>
      </c>
      <c r="BS31">
        <v>-0.47</v>
      </c>
      <c r="BT31" t="s">
        <v>124</v>
      </c>
      <c r="BU31">
        <v>150</v>
      </c>
      <c r="BV31">
        <v>0</v>
      </c>
      <c r="BW31">
        <v>2</v>
      </c>
      <c r="BX31">
        <v>0.06</v>
      </c>
      <c r="BY31">
        <v>0</v>
      </c>
      <c r="BZ31">
        <v>0.03</v>
      </c>
      <c r="CA31">
        <v>0</v>
      </c>
      <c r="CB31">
        <v>0</v>
      </c>
      <c r="CC31">
        <v>0</v>
      </c>
      <c r="CD31" t="s">
        <v>176</v>
      </c>
      <c r="CE31" t="s">
        <v>161</v>
      </c>
      <c r="CF31" t="s">
        <v>177</v>
      </c>
      <c r="CG31">
        <v>6000</v>
      </c>
      <c r="CH31">
        <v>500</v>
      </c>
      <c r="CI31">
        <v>1</v>
      </c>
      <c r="CJ31">
        <v>2</v>
      </c>
      <c r="CK31">
        <v>55537</v>
      </c>
      <c r="CL31">
        <v>55537</v>
      </c>
      <c r="CM31">
        <v>55537</v>
      </c>
      <c r="CN31">
        <v>0</v>
      </c>
      <c r="CO31">
        <v>-9999</v>
      </c>
      <c r="CP31">
        <v>0</v>
      </c>
      <c r="CQ31">
        <v>0</v>
      </c>
      <c r="CR31">
        <v>0</v>
      </c>
      <c r="CS31">
        <v>0</v>
      </c>
      <c r="CT31">
        <v>2.5</v>
      </c>
      <c r="CU31">
        <v>2.4500000000000002</v>
      </c>
      <c r="CV31">
        <v>1.67</v>
      </c>
      <c r="CW31">
        <v>0.94</v>
      </c>
      <c r="CX31">
        <v>0.24</v>
      </c>
      <c r="CY31">
        <v>-0.03</v>
      </c>
      <c r="CZ31">
        <v>0.23</v>
      </c>
      <c r="DA31">
        <v>0.37</v>
      </c>
      <c r="DB31">
        <v>104.58</v>
      </c>
      <c r="DC31">
        <v>0</v>
      </c>
      <c r="DD31">
        <v>2.42</v>
      </c>
      <c r="DE31">
        <v>0</v>
      </c>
      <c r="DF31">
        <v>1</v>
      </c>
      <c r="DG31">
        <v>2.37</v>
      </c>
      <c r="DH31">
        <v>0</v>
      </c>
      <c r="DI31">
        <v>1</v>
      </c>
      <c r="DJ31">
        <v>0.6</v>
      </c>
      <c r="DK31">
        <v>0.6</v>
      </c>
      <c r="DL31">
        <v>0.11</v>
      </c>
      <c r="DM31">
        <v>0</v>
      </c>
      <c r="DN31" t="s">
        <v>1098</v>
      </c>
      <c r="DO31" t="s">
        <v>198</v>
      </c>
      <c r="DP31" t="s">
        <v>199</v>
      </c>
      <c r="DQ31" t="s">
        <v>200</v>
      </c>
      <c r="DR31" t="s">
        <v>201</v>
      </c>
      <c r="DS31" t="s">
        <v>202</v>
      </c>
      <c r="DT31" t="s">
        <v>203</v>
      </c>
    </row>
    <row r="32" spans="1:124" x14ac:dyDescent="0.45">
      <c r="A32" t="s">
        <v>1388</v>
      </c>
      <c r="B32" t="s">
        <v>1389</v>
      </c>
      <c r="C32" t="s">
        <v>126</v>
      </c>
      <c r="D32" t="s">
        <v>127</v>
      </c>
      <c r="E32" t="s">
        <v>128</v>
      </c>
      <c r="I32" t="s">
        <v>2252</v>
      </c>
      <c r="J32">
        <v>0.37</v>
      </c>
      <c r="K32">
        <v>2.91</v>
      </c>
      <c r="L32">
        <v>0.32</v>
      </c>
      <c r="M32">
        <v>4.84</v>
      </c>
      <c r="N32">
        <v>2.0299999999999998</v>
      </c>
      <c r="O32">
        <v>1.89</v>
      </c>
      <c r="P32">
        <v>3.5</v>
      </c>
      <c r="Q32">
        <v>1.47</v>
      </c>
      <c r="R32">
        <v>18.670000000000002</v>
      </c>
      <c r="S32">
        <v>20.02</v>
      </c>
      <c r="T32">
        <v>34.51</v>
      </c>
      <c r="U32">
        <v>0.44</v>
      </c>
      <c r="V32">
        <v>7.5</v>
      </c>
      <c r="W32" t="s">
        <v>1394</v>
      </c>
      <c r="X32">
        <v>0</v>
      </c>
      <c r="Y32">
        <v>0</v>
      </c>
      <c r="Z32">
        <v>0</v>
      </c>
      <c r="AA32">
        <v>104.86</v>
      </c>
      <c r="AB32">
        <v>451.94</v>
      </c>
      <c r="AC32">
        <v>0.77</v>
      </c>
      <c r="AD32">
        <v>0.5</v>
      </c>
      <c r="AE32">
        <v>0.84</v>
      </c>
      <c r="AF32">
        <v>88.38</v>
      </c>
      <c r="AG32">
        <v>1</v>
      </c>
      <c r="AH32">
        <v>51.65</v>
      </c>
      <c r="AI32">
        <v>48.19</v>
      </c>
      <c r="AJ32">
        <v>28.6</v>
      </c>
      <c r="AK32">
        <v>26.62</v>
      </c>
      <c r="AL32">
        <v>26.62</v>
      </c>
      <c r="AM32">
        <v>101.41</v>
      </c>
      <c r="AN32">
        <v>156</v>
      </c>
      <c r="AO32">
        <v>145.4</v>
      </c>
      <c r="AP32">
        <v>6.8</v>
      </c>
      <c r="AQ32">
        <v>274</v>
      </c>
      <c r="AR32">
        <v>3.87</v>
      </c>
      <c r="AS32">
        <v>-17</v>
      </c>
      <c r="AT32">
        <v>2</v>
      </c>
      <c r="AU32">
        <v>308</v>
      </c>
      <c r="AV32">
        <v>69.94</v>
      </c>
      <c r="AW32">
        <v>34.31</v>
      </c>
      <c r="AX32">
        <v>17.11</v>
      </c>
      <c r="AY32">
        <v>134.81</v>
      </c>
      <c r="AZ32">
        <v>-0.78</v>
      </c>
      <c r="BA32">
        <v>124.33</v>
      </c>
      <c r="BB32">
        <v>53.06</v>
      </c>
      <c r="BC32" t="s">
        <v>1412</v>
      </c>
      <c r="BD32" t="s">
        <v>126</v>
      </c>
      <c r="BE32">
        <v>35.85</v>
      </c>
      <c r="BF32">
        <v>127.13</v>
      </c>
      <c r="BG32">
        <v>39</v>
      </c>
      <c r="BH32">
        <v>16</v>
      </c>
      <c r="BI32">
        <v>0.68</v>
      </c>
      <c r="BJ32" t="s">
        <v>453</v>
      </c>
      <c r="BK32" t="s">
        <v>126</v>
      </c>
      <c r="BL32">
        <v>-0.94</v>
      </c>
      <c r="BM32" t="s">
        <v>124</v>
      </c>
      <c r="BN32">
        <v>0</v>
      </c>
      <c r="BO32">
        <v>0</v>
      </c>
      <c r="BP32">
        <v>0</v>
      </c>
      <c r="BQ32">
        <v>-0.32</v>
      </c>
      <c r="BR32">
        <v>0.5</v>
      </c>
      <c r="BS32">
        <v>1.06</v>
      </c>
      <c r="BT32" t="s">
        <v>124</v>
      </c>
      <c r="BU32">
        <v>150</v>
      </c>
      <c r="BV32">
        <v>0</v>
      </c>
      <c r="BW32">
        <v>2</v>
      </c>
      <c r="BX32">
        <v>0.06</v>
      </c>
      <c r="BY32">
        <v>0</v>
      </c>
      <c r="BZ32">
        <v>0.03</v>
      </c>
      <c r="CA32">
        <v>0</v>
      </c>
      <c r="CB32">
        <v>0</v>
      </c>
      <c r="CC32">
        <v>0</v>
      </c>
      <c r="CD32" t="s">
        <v>176</v>
      </c>
      <c r="CE32" t="s">
        <v>161</v>
      </c>
      <c r="CF32" t="s">
        <v>177</v>
      </c>
      <c r="CG32">
        <v>6000</v>
      </c>
      <c r="CH32">
        <v>500</v>
      </c>
      <c r="CI32">
        <v>1</v>
      </c>
      <c r="CJ32">
        <v>2</v>
      </c>
      <c r="CK32">
        <v>55537</v>
      </c>
      <c r="CL32">
        <v>55537</v>
      </c>
      <c r="CM32">
        <v>55537</v>
      </c>
      <c r="CN32">
        <v>0</v>
      </c>
      <c r="CO32">
        <v>-9999</v>
      </c>
      <c r="CP32">
        <v>0</v>
      </c>
      <c r="CQ32">
        <v>0</v>
      </c>
      <c r="CR32">
        <v>0</v>
      </c>
      <c r="CS32">
        <v>0</v>
      </c>
      <c r="CT32">
        <v>2.5</v>
      </c>
      <c r="CU32">
        <v>2.4500000000000002</v>
      </c>
      <c r="CV32">
        <v>1.67</v>
      </c>
      <c r="CW32">
        <v>0.92</v>
      </c>
      <c r="CX32">
        <v>0.24</v>
      </c>
      <c r="CY32">
        <v>-0.02</v>
      </c>
      <c r="CZ32">
        <v>0.24</v>
      </c>
      <c r="DA32">
        <v>0.35</v>
      </c>
      <c r="DB32">
        <v>104.86</v>
      </c>
      <c r="DC32">
        <v>0</v>
      </c>
      <c r="DD32">
        <v>2.42</v>
      </c>
      <c r="DE32">
        <v>0</v>
      </c>
      <c r="DF32">
        <v>1</v>
      </c>
      <c r="DG32">
        <v>2.37</v>
      </c>
      <c r="DH32">
        <v>0</v>
      </c>
      <c r="DI32">
        <v>1</v>
      </c>
      <c r="DJ32">
        <v>0.6</v>
      </c>
      <c r="DK32">
        <v>0.6</v>
      </c>
      <c r="DL32">
        <v>0.11</v>
      </c>
      <c r="DM32">
        <v>0</v>
      </c>
      <c r="DN32" t="s">
        <v>1394</v>
      </c>
      <c r="DO32" t="s">
        <v>198</v>
      </c>
      <c r="DP32" t="s">
        <v>199</v>
      </c>
      <c r="DQ32" t="s">
        <v>200</v>
      </c>
      <c r="DR32" t="s">
        <v>201</v>
      </c>
      <c r="DS32" t="s">
        <v>202</v>
      </c>
      <c r="DT32" t="s">
        <v>203</v>
      </c>
    </row>
    <row r="33" spans="1:124" x14ac:dyDescent="0.45">
      <c r="A33" t="s">
        <v>1425</v>
      </c>
      <c r="B33" t="s">
        <v>1426</v>
      </c>
      <c r="C33" t="s">
        <v>126</v>
      </c>
      <c r="D33" t="s">
        <v>127</v>
      </c>
      <c r="E33" t="s">
        <v>128</v>
      </c>
      <c r="I33" t="s">
        <v>2253</v>
      </c>
      <c r="J33">
        <v>0.39</v>
      </c>
      <c r="K33">
        <v>2.91</v>
      </c>
      <c r="L33">
        <v>0.34</v>
      </c>
      <c r="M33">
        <v>4.8</v>
      </c>
      <c r="N33">
        <v>2.09</v>
      </c>
      <c r="O33">
        <v>1.96</v>
      </c>
      <c r="P33">
        <v>3.47</v>
      </c>
      <c r="Q33">
        <v>1.38</v>
      </c>
      <c r="R33">
        <v>19.32</v>
      </c>
      <c r="S33">
        <v>20.65</v>
      </c>
      <c r="T33">
        <v>34.229999999999997</v>
      </c>
      <c r="U33">
        <v>0.44</v>
      </c>
      <c r="V33">
        <v>7.5</v>
      </c>
      <c r="W33" t="s">
        <v>1431</v>
      </c>
      <c r="X33">
        <v>0</v>
      </c>
      <c r="Y33">
        <v>0</v>
      </c>
      <c r="Z33">
        <v>0</v>
      </c>
      <c r="AA33">
        <v>103.84</v>
      </c>
      <c r="AB33">
        <v>444.86</v>
      </c>
      <c r="AC33">
        <v>0.77</v>
      </c>
      <c r="AD33">
        <v>0.5</v>
      </c>
      <c r="AE33">
        <v>0.84</v>
      </c>
      <c r="AF33">
        <v>85.64</v>
      </c>
      <c r="AG33">
        <v>1</v>
      </c>
      <c r="AH33">
        <v>53.27</v>
      </c>
      <c r="AI33">
        <v>49.84</v>
      </c>
      <c r="AJ33">
        <v>28.6</v>
      </c>
      <c r="AK33">
        <v>26.48</v>
      </c>
      <c r="AL33">
        <v>26.48</v>
      </c>
      <c r="AM33">
        <v>101.41</v>
      </c>
      <c r="AN33">
        <v>156.1</v>
      </c>
      <c r="AO33">
        <v>152.9</v>
      </c>
      <c r="AP33">
        <v>2</v>
      </c>
      <c r="AQ33">
        <v>266</v>
      </c>
      <c r="AR33">
        <v>3.87</v>
      </c>
      <c r="AS33">
        <v>-14</v>
      </c>
      <c r="AT33">
        <v>-24</v>
      </c>
      <c r="AU33">
        <v>343</v>
      </c>
      <c r="AV33">
        <v>78.75</v>
      </c>
      <c r="AW33">
        <v>19.5</v>
      </c>
      <c r="AX33">
        <v>27.57</v>
      </c>
      <c r="AY33">
        <v>101.52</v>
      </c>
      <c r="AZ33">
        <v>-0.78</v>
      </c>
      <c r="BA33">
        <v>124.56</v>
      </c>
      <c r="BB33">
        <v>52.89</v>
      </c>
      <c r="BC33" t="s">
        <v>1448</v>
      </c>
      <c r="BD33" t="s">
        <v>126</v>
      </c>
      <c r="BE33">
        <v>35.85</v>
      </c>
      <c r="BF33">
        <v>127.13</v>
      </c>
      <c r="BG33">
        <v>38.700000000000003</v>
      </c>
      <c r="BH33">
        <v>14</v>
      </c>
      <c r="BI33">
        <v>0.77</v>
      </c>
      <c r="BJ33" t="s">
        <v>453</v>
      </c>
      <c r="BK33" t="s">
        <v>126</v>
      </c>
      <c r="BL33">
        <v>-0.94</v>
      </c>
      <c r="BM33" t="s">
        <v>124</v>
      </c>
      <c r="BN33">
        <v>0</v>
      </c>
      <c r="BO33">
        <v>0</v>
      </c>
      <c r="BP33">
        <v>0</v>
      </c>
      <c r="BQ33">
        <v>0.03</v>
      </c>
      <c r="BR33">
        <v>7.0000000000000007E-2</v>
      </c>
      <c r="BS33">
        <v>-0.09</v>
      </c>
      <c r="BT33" t="s">
        <v>124</v>
      </c>
      <c r="BU33">
        <v>150</v>
      </c>
      <c r="BV33">
        <v>0</v>
      </c>
      <c r="BW33">
        <v>2</v>
      </c>
      <c r="BX33">
        <v>0.06</v>
      </c>
      <c r="BY33">
        <v>0</v>
      </c>
      <c r="BZ33">
        <v>0.03</v>
      </c>
      <c r="CA33">
        <v>0</v>
      </c>
      <c r="CB33">
        <v>0</v>
      </c>
      <c r="CC33">
        <v>0</v>
      </c>
      <c r="CD33" t="s">
        <v>176</v>
      </c>
      <c r="CE33" t="s">
        <v>161</v>
      </c>
      <c r="CF33" t="s">
        <v>177</v>
      </c>
      <c r="CG33">
        <v>6000</v>
      </c>
      <c r="CH33">
        <v>500</v>
      </c>
      <c r="CI33">
        <v>1</v>
      </c>
      <c r="CJ33">
        <v>2</v>
      </c>
      <c r="CK33">
        <v>55537</v>
      </c>
      <c r="CL33">
        <v>55537</v>
      </c>
      <c r="CM33">
        <v>55537</v>
      </c>
      <c r="CN33">
        <v>0</v>
      </c>
      <c r="CO33">
        <v>-9999</v>
      </c>
      <c r="CP33">
        <v>0</v>
      </c>
      <c r="CQ33">
        <v>0</v>
      </c>
      <c r="CR33">
        <v>0</v>
      </c>
      <c r="CS33">
        <v>0</v>
      </c>
      <c r="CT33">
        <v>2.5</v>
      </c>
      <c r="CU33">
        <v>2.4500000000000002</v>
      </c>
      <c r="CV33">
        <v>1.67</v>
      </c>
      <c r="CW33">
        <v>0.94</v>
      </c>
      <c r="CX33">
        <v>0.24</v>
      </c>
      <c r="CY33">
        <v>-0.02</v>
      </c>
      <c r="CZ33">
        <v>0.24</v>
      </c>
      <c r="DA33">
        <v>0.34</v>
      </c>
      <c r="DB33">
        <v>103.84</v>
      </c>
      <c r="DC33">
        <v>0</v>
      </c>
      <c r="DD33">
        <v>2.42</v>
      </c>
      <c r="DE33">
        <v>0</v>
      </c>
      <c r="DF33">
        <v>1</v>
      </c>
      <c r="DG33">
        <v>2.37</v>
      </c>
      <c r="DH33">
        <v>0</v>
      </c>
      <c r="DI33">
        <v>1</v>
      </c>
      <c r="DJ33">
        <v>0.6</v>
      </c>
      <c r="DK33">
        <v>0.6</v>
      </c>
      <c r="DL33">
        <v>0.11</v>
      </c>
      <c r="DM33">
        <v>0</v>
      </c>
      <c r="DN33" t="s">
        <v>1431</v>
      </c>
      <c r="DO33" t="s">
        <v>198</v>
      </c>
      <c r="DP33" t="s">
        <v>199</v>
      </c>
      <c r="DQ33" t="s">
        <v>200</v>
      </c>
      <c r="DR33" t="s">
        <v>201</v>
      </c>
      <c r="DS33" t="s">
        <v>202</v>
      </c>
      <c r="DT33" t="s">
        <v>203</v>
      </c>
    </row>
    <row r="34" spans="1:124" x14ac:dyDescent="0.45">
      <c r="A34" t="s">
        <v>1703</v>
      </c>
      <c r="B34" t="s">
        <v>1704</v>
      </c>
      <c r="C34" t="s">
        <v>126</v>
      </c>
      <c r="D34" t="s">
        <v>127</v>
      </c>
      <c r="E34" t="s">
        <v>128</v>
      </c>
      <c r="I34" t="s">
        <v>2254</v>
      </c>
      <c r="J34">
        <v>0.53</v>
      </c>
      <c r="K34">
        <v>2.91</v>
      </c>
      <c r="L34">
        <v>0.45</v>
      </c>
      <c r="M34">
        <v>6.09</v>
      </c>
      <c r="N34">
        <v>2.06</v>
      </c>
      <c r="O34">
        <v>1.89</v>
      </c>
      <c r="P34">
        <v>3.4</v>
      </c>
      <c r="Q34">
        <v>1.34</v>
      </c>
      <c r="R34">
        <v>18.64</v>
      </c>
      <c r="S34">
        <v>20.329999999999998</v>
      </c>
      <c r="T34">
        <v>33.549999999999997</v>
      </c>
      <c r="U34">
        <v>0.44</v>
      </c>
      <c r="V34">
        <v>7.5</v>
      </c>
      <c r="W34" t="s">
        <v>1709</v>
      </c>
      <c r="X34">
        <v>0</v>
      </c>
      <c r="Y34">
        <v>0</v>
      </c>
      <c r="Z34">
        <v>0</v>
      </c>
      <c r="AA34">
        <v>100.55</v>
      </c>
      <c r="AB34">
        <v>432.12</v>
      </c>
      <c r="AC34">
        <v>0.77</v>
      </c>
      <c r="AD34">
        <v>0.5</v>
      </c>
      <c r="AE34">
        <v>0.84</v>
      </c>
      <c r="AF34">
        <v>81.540000000000006</v>
      </c>
      <c r="AG34">
        <v>1</v>
      </c>
      <c r="AH34">
        <v>52.44</v>
      </c>
      <c r="AI34">
        <v>48.08</v>
      </c>
      <c r="AJ34">
        <v>28.61</v>
      </c>
      <c r="AK34">
        <v>26.14</v>
      </c>
      <c r="AL34">
        <v>26.14</v>
      </c>
      <c r="AM34">
        <v>101.42</v>
      </c>
      <c r="AN34">
        <v>156</v>
      </c>
      <c r="AO34">
        <v>153.30000000000001</v>
      </c>
      <c r="AP34">
        <v>1.7</v>
      </c>
      <c r="AQ34">
        <v>253</v>
      </c>
      <c r="AR34">
        <v>3.87</v>
      </c>
      <c r="AS34">
        <v>-31</v>
      </c>
      <c r="AT34">
        <v>0</v>
      </c>
      <c r="AU34">
        <v>57</v>
      </c>
      <c r="AV34">
        <v>47.62</v>
      </c>
      <c r="AW34">
        <v>67.400000000000006</v>
      </c>
      <c r="AX34">
        <v>31</v>
      </c>
      <c r="AY34">
        <v>-123</v>
      </c>
      <c r="AZ34">
        <v>-0.78</v>
      </c>
      <c r="BA34">
        <v>124.79</v>
      </c>
      <c r="BB34">
        <v>52.73</v>
      </c>
      <c r="BC34" t="s">
        <v>1725</v>
      </c>
      <c r="BD34" t="s">
        <v>126</v>
      </c>
      <c r="BE34">
        <v>35.85</v>
      </c>
      <c r="BF34">
        <v>127.13</v>
      </c>
      <c r="BG34">
        <v>38.799999999999997</v>
      </c>
      <c r="BH34">
        <v>14</v>
      </c>
      <c r="BI34">
        <v>0.72</v>
      </c>
      <c r="BJ34" t="s">
        <v>453</v>
      </c>
      <c r="BK34" t="s">
        <v>126</v>
      </c>
      <c r="BL34">
        <v>-0.94</v>
      </c>
      <c r="BM34" t="s">
        <v>124</v>
      </c>
      <c r="BN34">
        <v>0</v>
      </c>
      <c r="BO34">
        <v>0</v>
      </c>
      <c r="BP34">
        <v>0</v>
      </c>
      <c r="BQ34">
        <v>-0.03</v>
      </c>
      <c r="BR34">
        <v>-0.05</v>
      </c>
      <c r="BS34">
        <v>-0.12</v>
      </c>
      <c r="BT34" t="s">
        <v>124</v>
      </c>
      <c r="BU34">
        <v>150</v>
      </c>
      <c r="BV34">
        <v>0</v>
      </c>
      <c r="BW34">
        <v>2</v>
      </c>
      <c r="BX34">
        <v>0.06</v>
      </c>
      <c r="BY34">
        <v>0</v>
      </c>
      <c r="BZ34">
        <v>0.03</v>
      </c>
      <c r="CA34">
        <v>0</v>
      </c>
      <c r="CB34">
        <v>0</v>
      </c>
      <c r="CC34">
        <v>0</v>
      </c>
      <c r="CD34" t="s">
        <v>176</v>
      </c>
      <c r="CE34" t="s">
        <v>161</v>
      </c>
      <c r="CF34" t="s">
        <v>177</v>
      </c>
      <c r="CG34">
        <v>6000</v>
      </c>
      <c r="CH34">
        <v>500</v>
      </c>
      <c r="CI34">
        <v>1</v>
      </c>
      <c r="CJ34">
        <v>2</v>
      </c>
      <c r="CK34">
        <v>55537</v>
      </c>
      <c r="CL34">
        <v>55537</v>
      </c>
      <c r="CM34">
        <v>55537</v>
      </c>
      <c r="CN34">
        <v>0</v>
      </c>
      <c r="CO34">
        <v>-9999</v>
      </c>
      <c r="CP34">
        <v>0</v>
      </c>
      <c r="CQ34">
        <v>0</v>
      </c>
      <c r="CR34">
        <v>0</v>
      </c>
      <c r="CS34">
        <v>0</v>
      </c>
      <c r="CT34">
        <v>2.5</v>
      </c>
      <c r="CU34">
        <v>2.4500000000000002</v>
      </c>
      <c r="CV34">
        <v>1.67</v>
      </c>
      <c r="CW34">
        <v>0.94</v>
      </c>
      <c r="CX34">
        <v>0.24</v>
      </c>
      <c r="CY34">
        <v>-0.03</v>
      </c>
      <c r="CZ34">
        <v>0.25</v>
      </c>
      <c r="DA34">
        <v>0.33</v>
      </c>
      <c r="DB34">
        <v>100.55</v>
      </c>
      <c r="DC34">
        <v>0</v>
      </c>
      <c r="DD34">
        <v>2.42</v>
      </c>
      <c r="DE34">
        <v>0</v>
      </c>
      <c r="DF34">
        <v>1</v>
      </c>
      <c r="DG34">
        <v>2.37</v>
      </c>
      <c r="DH34">
        <v>0</v>
      </c>
      <c r="DI34">
        <v>1</v>
      </c>
      <c r="DJ34">
        <v>0.6</v>
      </c>
      <c r="DK34">
        <v>0.6</v>
      </c>
      <c r="DL34">
        <v>0.11</v>
      </c>
      <c r="DM34">
        <v>0</v>
      </c>
      <c r="DN34" t="s">
        <v>1709</v>
      </c>
      <c r="DO34" t="s">
        <v>198</v>
      </c>
      <c r="DP34" t="s">
        <v>199</v>
      </c>
      <c r="DQ34" t="s">
        <v>200</v>
      </c>
      <c r="DR34" t="s">
        <v>201</v>
      </c>
      <c r="DS34" t="s">
        <v>202</v>
      </c>
      <c r="DT34" t="s">
        <v>203</v>
      </c>
    </row>
    <row r="35" spans="1:124" x14ac:dyDescent="0.45">
      <c r="A35" t="s">
        <v>1739</v>
      </c>
      <c r="B35" t="s">
        <v>1740</v>
      </c>
      <c r="C35" t="s">
        <v>126</v>
      </c>
      <c r="D35" t="s">
        <v>127</v>
      </c>
      <c r="E35" t="s">
        <v>128</v>
      </c>
      <c r="I35" t="s">
        <v>2255</v>
      </c>
      <c r="J35">
        <v>0.63</v>
      </c>
      <c r="K35">
        <v>2.91</v>
      </c>
      <c r="L35">
        <v>0.52</v>
      </c>
      <c r="M35">
        <v>6.84</v>
      </c>
      <c r="N35">
        <v>2.09</v>
      </c>
      <c r="O35">
        <v>1.89</v>
      </c>
      <c r="P35">
        <v>3.39</v>
      </c>
      <c r="Q35">
        <v>1.3</v>
      </c>
      <c r="R35">
        <v>18.68</v>
      </c>
      <c r="S35">
        <v>20.58</v>
      </c>
      <c r="T35">
        <v>33.409999999999997</v>
      </c>
      <c r="U35">
        <v>0.44</v>
      </c>
      <c r="V35">
        <v>7.5</v>
      </c>
      <c r="W35" t="s">
        <v>1745</v>
      </c>
      <c r="X35">
        <v>0</v>
      </c>
      <c r="Y35">
        <v>0</v>
      </c>
      <c r="Z35">
        <v>0</v>
      </c>
      <c r="AA35">
        <v>115.33</v>
      </c>
      <c r="AB35">
        <v>477</v>
      </c>
      <c r="AC35">
        <v>0.76</v>
      </c>
      <c r="AD35">
        <v>0.5</v>
      </c>
      <c r="AE35">
        <v>0.84</v>
      </c>
      <c r="AF35">
        <v>84.39</v>
      </c>
      <c r="AG35">
        <v>1</v>
      </c>
      <c r="AH35">
        <v>53.08</v>
      </c>
      <c r="AI35">
        <v>48.19</v>
      </c>
      <c r="AJ35">
        <v>28.61</v>
      </c>
      <c r="AK35">
        <v>26.07</v>
      </c>
      <c r="AL35">
        <v>26.07</v>
      </c>
      <c r="AM35">
        <v>101.42</v>
      </c>
      <c r="AN35">
        <v>156.1</v>
      </c>
      <c r="AO35">
        <v>151.30000000000001</v>
      </c>
      <c r="AP35">
        <v>3.1</v>
      </c>
      <c r="AQ35">
        <v>265</v>
      </c>
      <c r="AR35">
        <v>3.87</v>
      </c>
      <c r="AS35">
        <v>-26</v>
      </c>
      <c r="AT35">
        <v>7</v>
      </c>
      <c r="AU35">
        <v>106</v>
      </c>
      <c r="AV35">
        <v>25.78</v>
      </c>
      <c r="AW35">
        <v>90.05</v>
      </c>
      <c r="AX35">
        <v>26.86</v>
      </c>
      <c r="AY35">
        <v>-58.35</v>
      </c>
      <c r="AZ35">
        <v>-0.78</v>
      </c>
      <c r="BA35">
        <v>125.03</v>
      </c>
      <c r="BB35">
        <v>52.56</v>
      </c>
      <c r="BC35" t="s">
        <v>1758</v>
      </c>
      <c r="BD35" t="s">
        <v>126</v>
      </c>
      <c r="BE35">
        <v>35.85</v>
      </c>
      <c r="BF35">
        <v>127.13</v>
      </c>
      <c r="BG35">
        <v>38.700000000000003</v>
      </c>
      <c r="BH35">
        <v>15</v>
      </c>
      <c r="BI35">
        <v>0.71</v>
      </c>
      <c r="BJ35" t="s">
        <v>453</v>
      </c>
      <c r="BK35" t="s">
        <v>126</v>
      </c>
      <c r="BL35">
        <v>-0.94</v>
      </c>
      <c r="BM35" t="s">
        <v>124</v>
      </c>
      <c r="BN35">
        <v>0</v>
      </c>
      <c r="BO35">
        <v>0</v>
      </c>
      <c r="BP35">
        <v>0</v>
      </c>
      <c r="BQ35">
        <v>-0.13</v>
      </c>
      <c r="BR35">
        <v>-0.39</v>
      </c>
      <c r="BS35">
        <v>-0.68</v>
      </c>
      <c r="BT35" t="s">
        <v>124</v>
      </c>
      <c r="BU35">
        <v>150</v>
      </c>
      <c r="BV35">
        <v>0</v>
      </c>
      <c r="BW35">
        <v>2</v>
      </c>
      <c r="BX35">
        <v>0.06</v>
      </c>
      <c r="BY35">
        <v>0</v>
      </c>
      <c r="BZ35">
        <v>0.03</v>
      </c>
      <c r="CA35">
        <v>0</v>
      </c>
      <c r="CB35">
        <v>0</v>
      </c>
      <c r="CC35">
        <v>0</v>
      </c>
      <c r="CD35" t="s">
        <v>176</v>
      </c>
      <c r="CE35" t="s">
        <v>161</v>
      </c>
      <c r="CF35" t="s">
        <v>177</v>
      </c>
      <c r="CG35">
        <v>6000</v>
      </c>
      <c r="CH35">
        <v>500</v>
      </c>
      <c r="CI35">
        <v>1</v>
      </c>
      <c r="CJ35">
        <v>2</v>
      </c>
      <c r="CK35">
        <v>55537</v>
      </c>
      <c r="CL35">
        <v>55537</v>
      </c>
      <c r="CM35">
        <v>55537</v>
      </c>
      <c r="CN35">
        <v>0</v>
      </c>
      <c r="CO35">
        <v>-9999</v>
      </c>
      <c r="CP35">
        <v>0</v>
      </c>
      <c r="CQ35">
        <v>0</v>
      </c>
      <c r="CR35">
        <v>0</v>
      </c>
      <c r="CS35">
        <v>0</v>
      </c>
      <c r="CT35">
        <v>2.5</v>
      </c>
      <c r="CU35">
        <v>2.4500000000000002</v>
      </c>
      <c r="CV35">
        <v>1.67</v>
      </c>
      <c r="CW35">
        <v>0.93</v>
      </c>
      <c r="CX35">
        <v>0.24</v>
      </c>
      <c r="CY35">
        <v>-0.03</v>
      </c>
      <c r="CZ35">
        <v>0.25</v>
      </c>
      <c r="DA35">
        <v>0.34</v>
      </c>
      <c r="DB35">
        <v>115.33</v>
      </c>
      <c r="DC35">
        <v>0</v>
      </c>
      <c r="DD35">
        <v>2.42</v>
      </c>
      <c r="DE35">
        <v>0</v>
      </c>
      <c r="DF35">
        <v>1</v>
      </c>
      <c r="DG35">
        <v>2.37</v>
      </c>
      <c r="DH35">
        <v>0</v>
      </c>
      <c r="DI35">
        <v>1</v>
      </c>
      <c r="DJ35">
        <v>0.6</v>
      </c>
      <c r="DK35">
        <v>0.6</v>
      </c>
      <c r="DL35">
        <v>0.11</v>
      </c>
      <c r="DM35">
        <v>0</v>
      </c>
      <c r="DN35" t="s">
        <v>1745</v>
      </c>
      <c r="DO35" t="s">
        <v>198</v>
      </c>
      <c r="DP35" t="s">
        <v>199</v>
      </c>
      <c r="DQ35" t="s">
        <v>200</v>
      </c>
      <c r="DR35" t="s">
        <v>201</v>
      </c>
      <c r="DS35" t="s">
        <v>202</v>
      </c>
      <c r="DT35" t="s">
        <v>203</v>
      </c>
    </row>
    <row r="36" spans="1:124" x14ac:dyDescent="0.45">
      <c r="A36" t="s">
        <v>2015</v>
      </c>
      <c r="B36" t="s">
        <v>2016</v>
      </c>
      <c r="C36" t="s">
        <v>126</v>
      </c>
      <c r="D36" t="s">
        <v>127</v>
      </c>
      <c r="E36" t="s">
        <v>128</v>
      </c>
      <c r="I36" t="s">
        <v>2256</v>
      </c>
      <c r="J36">
        <v>0.3</v>
      </c>
      <c r="K36">
        <v>2.91</v>
      </c>
      <c r="L36">
        <v>0.27</v>
      </c>
      <c r="M36">
        <v>4.13</v>
      </c>
      <c r="N36">
        <v>1.98</v>
      </c>
      <c r="O36">
        <v>1.87</v>
      </c>
      <c r="P36">
        <v>3.49</v>
      </c>
      <c r="Q36">
        <v>1.51</v>
      </c>
      <c r="R36">
        <v>18.399999999999999</v>
      </c>
      <c r="S36">
        <v>19.55</v>
      </c>
      <c r="T36">
        <v>34.409999999999997</v>
      </c>
      <c r="U36">
        <v>0.44</v>
      </c>
      <c r="V36">
        <v>7.5</v>
      </c>
      <c r="W36" t="s">
        <v>2021</v>
      </c>
      <c r="X36">
        <v>0</v>
      </c>
      <c r="Y36">
        <v>0</v>
      </c>
      <c r="Z36">
        <v>0</v>
      </c>
      <c r="AA36">
        <v>116.62</v>
      </c>
      <c r="AB36">
        <v>476.98</v>
      </c>
      <c r="AC36">
        <v>0.76</v>
      </c>
      <c r="AD36">
        <v>0.5</v>
      </c>
      <c r="AE36">
        <v>0.84</v>
      </c>
      <c r="AF36">
        <v>74.569999999999993</v>
      </c>
      <c r="AG36">
        <v>1</v>
      </c>
      <c r="AH36">
        <v>50.43</v>
      </c>
      <c r="AI36">
        <v>47.48</v>
      </c>
      <c r="AJ36">
        <v>28.61</v>
      </c>
      <c r="AK36">
        <v>26.57</v>
      </c>
      <c r="AL36">
        <v>26.57</v>
      </c>
      <c r="AM36">
        <v>101.43</v>
      </c>
      <c r="AN36">
        <v>156.1</v>
      </c>
      <c r="AO36">
        <v>154.19999999999999</v>
      </c>
      <c r="AP36">
        <v>1.2</v>
      </c>
      <c r="AQ36">
        <v>235</v>
      </c>
      <c r="AR36">
        <v>3.87</v>
      </c>
      <c r="AS36">
        <v>-12</v>
      </c>
      <c r="AT36">
        <v>-3</v>
      </c>
      <c r="AU36">
        <v>166</v>
      </c>
      <c r="AV36">
        <v>41.8</v>
      </c>
      <c r="AW36">
        <v>74.55</v>
      </c>
      <c r="AX36">
        <v>12.36</v>
      </c>
      <c r="AY36">
        <v>-28.15</v>
      </c>
      <c r="AZ36">
        <v>-0.78</v>
      </c>
      <c r="BA36">
        <v>125.03</v>
      </c>
      <c r="BB36">
        <v>52.56</v>
      </c>
      <c r="BC36" t="s">
        <v>2037</v>
      </c>
      <c r="BD36" t="s">
        <v>126</v>
      </c>
      <c r="BE36">
        <v>35.85</v>
      </c>
      <c r="BF36">
        <v>127.13</v>
      </c>
      <c r="BG36">
        <v>38.4</v>
      </c>
      <c r="BH36">
        <v>16</v>
      </c>
      <c r="BI36">
        <v>0.69</v>
      </c>
      <c r="BJ36" t="s">
        <v>453</v>
      </c>
      <c r="BK36" t="s">
        <v>126</v>
      </c>
      <c r="BL36">
        <v>-0.94</v>
      </c>
      <c r="BM36" t="s">
        <v>124</v>
      </c>
      <c r="BN36">
        <v>0</v>
      </c>
      <c r="BO36">
        <v>0</v>
      </c>
      <c r="BP36">
        <v>0</v>
      </c>
      <c r="BQ36">
        <v>-0.14000000000000001</v>
      </c>
      <c r="BR36">
        <v>-0.11</v>
      </c>
      <c r="BS36">
        <v>-0.48</v>
      </c>
      <c r="BT36" t="s">
        <v>124</v>
      </c>
      <c r="BU36">
        <v>150</v>
      </c>
      <c r="BV36">
        <v>0</v>
      </c>
      <c r="BW36">
        <v>2</v>
      </c>
      <c r="BX36">
        <v>0.06</v>
      </c>
      <c r="BY36">
        <v>0</v>
      </c>
      <c r="BZ36">
        <v>0.03</v>
      </c>
      <c r="CA36">
        <v>0</v>
      </c>
      <c r="CB36">
        <v>0</v>
      </c>
      <c r="CC36">
        <v>0</v>
      </c>
      <c r="CD36" t="s">
        <v>176</v>
      </c>
      <c r="CE36" t="s">
        <v>161</v>
      </c>
      <c r="CF36" t="s">
        <v>177</v>
      </c>
      <c r="CG36">
        <v>6000</v>
      </c>
      <c r="CH36">
        <v>500</v>
      </c>
      <c r="CI36">
        <v>1</v>
      </c>
      <c r="CJ36">
        <v>2</v>
      </c>
      <c r="CK36">
        <v>55537</v>
      </c>
      <c r="CL36">
        <v>55537</v>
      </c>
      <c r="CM36">
        <v>55537</v>
      </c>
      <c r="CN36">
        <v>0</v>
      </c>
      <c r="CO36">
        <v>-9999</v>
      </c>
      <c r="CP36">
        <v>0</v>
      </c>
      <c r="CQ36">
        <v>0</v>
      </c>
      <c r="CR36">
        <v>0</v>
      </c>
      <c r="CS36">
        <v>0</v>
      </c>
      <c r="CT36">
        <v>2.5</v>
      </c>
      <c r="CU36">
        <v>2.44</v>
      </c>
      <c r="CV36">
        <v>1.67</v>
      </c>
      <c r="CW36">
        <v>0.94</v>
      </c>
      <c r="CX36">
        <v>0.24</v>
      </c>
      <c r="CY36">
        <v>-0.02</v>
      </c>
      <c r="CZ36">
        <v>0.26</v>
      </c>
      <c r="DA36">
        <v>0.31</v>
      </c>
      <c r="DB36">
        <v>116.62</v>
      </c>
      <c r="DC36">
        <v>0</v>
      </c>
      <c r="DD36">
        <v>2.42</v>
      </c>
      <c r="DE36">
        <v>0</v>
      </c>
      <c r="DF36">
        <v>1</v>
      </c>
      <c r="DG36">
        <v>2.37</v>
      </c>
      <c r="DH36">
        <v>0</v>
      </c>
      <c r="DI36">
        <v>1</v>
      </c>
      <c r="DJ36">
        <v>0.6</v>
      </c>
      <c r="DK36">
        <v>0.6</v>
      </c>
      <c r="DL36">
        <v>0.11</v>
      </c>
      <c r="DM36">
        <v>0</v>
      </c>
      <c r="DN36" t="s">
        <v>2021</v>
      </c>
      <c r="DO36" t="s">
        <v>198</v>
      </c>
      <c r="DP36" t="s">
        <v>199</v>
      </c>
      <c r="DQ36" t="s">
        <v>200</v>
      </c>
      <c r="DR36" t="s">
        <v>201</v>
      </c>
      <c r="DS36" t="s">
        <v>202</v>
      </c>
      <c r="DT36" t="s">
        <v>203</v>
      </c>
    </row>
    <row r="37" spans="1:124" x14ac:dyDescent="0.45">
      <c r="A37" t="s">
        <v>2051</v>
      </c>
      <c r="B37" t="s">
        <v>2052</v>
      </c>
      <c r="C37" t="s">
        <v>126</v>
      </c>
      <c r="D37" t="s">
        <v>127</v>
      </c>
      <c r="E37" t="s">
        <v>128</v>
      </c>
      <c r="I37" t="s">
        <v>2257</v>
      </c>
      <c r="J37">
        <v>0.45</v>
      </c>
      <c r="K37">
        <v>2.9</v>
      </c>
      <c r="L37">
        <v>0.39</v>
      </c>
      <c r="M37">
        <v>5.52</v>
      </c>
      <c r="N37">
        <v>2.0099999999999998</v>
      </c>
      <c r="O37">
        <v>1.86</v>
      </c>
      <c r="P37">
        <v>3.42</v>
      </c>
      <c r="Q37">
        <v>1.4</v>
      </c>
      <c r="R37">
        <v>18.32</v>
      </c>
      <c r="S37">
        <v>19.86</v>
      </c>
      <c r="T37">
        <v>33.68</v>
      </c>
      <c r="U37">
        <v>0.44</v>
      </c>
      <c r="V37">
        <v>7.5</v>
      </c>
      <c r="W37" t="s">
        <v>2057</v>
      </c>
      <c r="X37">
        <v>0</v>
      </c>
      <c r="Y37">
        <v>0</v>
      </c>
      <c r="Z37">
        <v>0</v>
      </c>
      <c r="AA37">
        <v>113.97</v>
      </c>
      <c r="AB37">
        <v>480.46</v>
      </c>
      <c r="AC37">
        <v>0.76</v>
      </c>
      <c r="AD37">
        <v>0.5</v>
      </c>
      <c r="AE37">
        <v>0.84</v>
      </c>
      <c r="AF37">
        <v>74.97</v>
      </c>
      <c r="AG37">
        <v>1</v>
      </c>
      <c r="AH37">
        <v>51.16</v>
      </c>
      <c r="AI37">
        <v>47.21</v>
      </c>
      <c r="AJ37">
        <v>28.63</v>
      </c>
      <c r="AK37">
        <v>26.21</v>
      </c>
      <c r="AL37">
        <v>26.21</v>
      </c>
      <c r="AM37">
        <v>101.44</v>
      </c>
      <c r="AN37">
        <v>155.9</v>
      </c>
      <c r="AO37">
        <v>155.80000000000001</v>
      </c>
      <c r="AP37">
        <v>0</v>
      </c>
      <c r="AQ37">
        <v>234</v>
      </c>
      <c r="AR37">
        <v>3.86</v>
      </c>
      <c r="AS37">
        <v>-16</v>
      </c>
      <c r="AT37">
        <v>-1</v>
      </c>
      <c r="AU37">
        <v>97</v>
      </c>
      <c r="AV37">
        <v>39.33</v>
      </c>
      <c r="AW37">
        <v>77.349999999999994</v>
      </c>
      <c r="AX37">
        <v>16.03</v>
      </c>
      <c r="AY37">
        <v>-86.62</v>
      </c>
      <c r="AZ37">
        <v>-0.79</v>
      </c>
      <c r="BA37">
        <v>125.5</v>
      </c>
      <c r="BB37">
        <v>52.23</v>
      </c>
      <c r="BC37" t="s">
        <v>2073</v>
      </c>
      <c r="BD37" t="s">
        <v>126</v>
      </c>
      <c r="BE37">
        <v>35.85</v>
      </c>
      <c r="BF37">
        <v>127.13</v>
      </c>
      <c r="BG37">
        <v>37.200000000000003</v>
      </c>
      <c r="BH37">
        <v>16</v>
      </c>
      <c r="BI37">
        <v>0.68</v>
      </c>
      <c r="BJ37" t="s">
        <v>453</v>
      </c>
      <c r="BK37" t="s">
        <v>126</v>
      </c>
      <c r="BL37">
        <v>-0.94</v>
      </c>
      <c r="BM37" t="s">
        <v>124</v>
      </c>
      <c r="BN37">
        <v>0</v>
      </c>
      <c r="BO37">
        <v>0</v>
      </c>
      <c r="BP37">
        <v>0</v>
      </c>
      <c r="BQ37">
        <v>-0.04</v>
      </c>
      <c r="BR37">
        <v>-0.06</v>
      </c>
      <c r="BS37">
        <v>-0.1</v>
      </c>
      <c r="BT37" t="s">
        <v>124</v>
      </c>
      <c r="BU37">
        <v>150</v>
      </c>
      <c r="BV37">
        <v>0</v>
      </c>
      <c r="BW37">
        <v>2</v>
      </c>
      <c r="BX37">
        <v>0.06</v>
      </c>
      <c r="BY37">
        <v>0</v>
      </c>
      <c r="BZ37">
        <v>0.03</v>
      </c>
      <c r="CA37">
        <v>0</v>
      </c>
      <c r="CB37">
        <v>0</v>
      </c>
      <c r="CC37">
        <v>0</v>
      </c>
      <c r="CD37" t="s">
        <v>176</v>
      </c>
      <c r="CE37" t="s">
        <v>161</v>
      </c>
      <c r="CF37" t="s">
        <v>177</v>
      </c>
      <c r="CG37">
        <v>6000</v>
      </c>
      <c r="CH37">
        <v>500</v>
      </c>
      <c r="CI37">
        <v>1</v>
      </c>
      <c r="CJ37">
        <v>2</v>
      </c>
      <c r="CK37">
        <v>55537</v>
      </c>
      <c r="CL37">
        <v>55537</v>
      </c>
      <c r="CM37">
        <v>55537</v>
      </c>
      <c r="CN37">
        <v>0</v>
      </c>
      <c r="CO37">
        <v>-9999</v>
      </c>
      <c r="CP37">
        <v>0</v>
      </c>
      <c r="CQ37">
        <v>0</v>
      </c>
      <c r="CR37">
        <v>0</v>
      </c>
      <c r="CS37">
        <v>0</v>
      </c>
      <c r="CT37">
        <v>2.5</v>
      </c>
      <c r="CU37">
        <v>2.4500000000000002</v>
      </c>
      <c r="CV37">
        <v>1.67</v>
      </c>
      <c r="CW37">
        <v>0.94</v>
      </c>
      <c r="CX37">
        <v>0.24</v>
      </c>
      <c r="CY37">
        <v>-0.03</v>
      </c>
      <c r="CZ37">
        <v>0.27</v>
      </c>
      <c r="DA37">
        <v>0.31</v>
      </c>
      <c r="DB37">
        <v>113.97</v>
      </c>
      <c r="DC37">
        <v>0</v>
      </c>
      <c r="DD37">
        <v>2.42</v>
      </c>
      <c r="DE37">
        <v>0</v>
      </c>
      <c r="DF37">
        <v>1</v>
      </c>
      <c r="DG37">
        <v>2.37</v>
      </c>
      <c r="DH37">
        <v>0</v>
      </c>
      <c r="DI37">
        <v>1</v>
      </c>
      <c r="DJ37">
        <v>0.6</v>
      </c>
      <c r="DK37">
        <v>0.6</v>
      </c>
      <c r="DL37">
        <v>0.11</v>
      </c>
      <c r="DM37">
        <v>0</v>
      </c>
      <c r="DN37" t="s">
        <v>2057</v>
      </c>
      <c r="DO37" t="s">
        <v>198</v>
      </c>
      <c r="DP37" t="s">
        <v>199</v>
      </c>
      <c r="DQ37" t="s">
        <v>200</v>
      </c>
      <c r="DR37" t="s">
        <v>201</v>
      </c>
      <c r="DS37" t="s">
        <v>202</v>
      </c>
      <c r="DT37" t="s">
        <v>203</v>
      </c>
    </row>
    <row r="38" spans="1:124" x14ac:dyDescent="0.45">
      <c r="A38" t="s">
        <v>423</v>
      </c>
      <c r="B38" t="s">
        <v>424</v>
      </c>
      <c r="C38" t="s">
        <v>126</v>
      </c>
      <c r="D38" t="s">
        <v>127</v>
      </c>
      <c r="E38" t="s">
        <v>128</v>
      </c>
      <c r="I38" t="s">
        <v>2258</v>
      </c>
      <c r="J38">
        <v>0.43</v>
      </c>
      <c r="K38">
        <v>2.91</v>
      </c>
      <c r="L38">
        <v>0.38</v>
      </c>
      <c r="M38">
        <v>5.5</v>
      </c>
      <c r="N38">
        <v>1.98</v>
      </c>
      <c r="O38">
        <v>1.83</v>
      </c>
      <c r="P38">
        <v>3.42</v>
      </c>
      <c r="Q38">
        <v>1.44</v>
      </c>
      <c r="R38">
        <v>18.03</v>
      </c>
      <c r="S38">
        <v>19.55</v>
      </c>
      <c r="T38">
        <v>33.74</v>
      </c>
      <c r="U38">
        <v>0.44</v>
      </c>
      <c r="V38">
        <v>7.5</v>
      </c>
      <c r="W38" t="s">
        <v>429</v>
      </c>
      <c r="X38">
        <v>0</v>
      </c>
      <c r="Y38">
        <v>0</v>
      </c>
      <c r="Z38">
        <v>0</v>
      </c>
      <c r="AA38">
        <v>113.1</v>
      </c>
      <c r="AB38">
        <v>458.11</v>
      </c>
      <c r="AC38">
        <v>0.75</v>
      </c>
      <c r="AD38">
        <v>0.5</v>
      </c>
      <c r="AE38">
        <v>0.84</v>
      </c>
      <c r="AF38">
        <v>55.35</v>
      </c>
      <c r="AG38">
        <v>1</v>
      </c>
      <c r="AH38">
        <v>50.38</v>
      </c>
      <c r="AI38">
        <v>46.44</v>
      </c>
      <c r="AJ38">
        <v>28.63</v>
      </c>
      <c r="AK38">
        <v>26.24</v>
      </c>
      <c r="AL38">
        <v>26.24</v>
      </c>
      <c r="AM38">
        <v>101.44</v>
      </c>
      <c r="AN38">
        <v>156.1</v>
      </c>
      <c r="AO38">
        <v>151.69999999999999</v>
      </c>
      <c r="AP38">
        <v>2.8</v>
      </c>
      <c r="AQ38">
        <v>175</v>
      </c>
      <c r="AR38">
        <v>3.86</v>
      </c>
      <c r="AS38">
        <v>-28</v>
      </c>
      <c r="AT38">
        <v>5</v>
      </c>
      <c r="AU38">
        <v>322</v>
      </c>
      <c r="AV38">
        <v>78.12</v>
      </c>
      <c r="AW38">
        <v>20.58</v>
      </c>
      <c r="AX38">
        <v>28.41</v>
      </c>
      <c r="AY38">
        <v>152.56</v>
      </c>
      <c r="AZ38">
        <v>-0.79</v>
      </c>
      <c r="BA38">
        <v>125.74</v>
      </c>
      <c r="BB38">
        <v>52.07</v>
      </c>
      <c r="BC38" t="s">
        <v>448</v>
      </c>
      <c r="BD38" t="s">
        <v>126</v>
      </c>
      <c r="BE38">
        <v>35.85</v>
      </c>
      <c r="BF38">
        <v>127.13</v>
      </c>
      <c r="BG38">
        <v>36.6</v>
      </c>
      <c r="BH38">
        <v>16</v>
      </c>
      <c r="BI38">
        <v>0.68</v>
      </c>
      <c r="BJ38" t="s">
        <v>453</v>
      </c>
      <c r="BK38" t="s">
        <v>126</v>
      </c>
      <c r="BL38">
        <v>-0.94</v>
      </c>
      <c r="BM38" t="s">
        <v>124</v>
      </c>
      <c r="BN38">
        <v>0</v>
      </c>
      <c r="BO38">
        <v>0</v>
      </c>
      <c r="BP38">
        <v>0.01</v>
      </c>
      <c r="BQ38">
        <v>0.01</v>
      </c>
      <c r="BR38">
        <v>-0.01</v>
      </c>
      <c r="BS38">
        <v>-0.06</v>
      </c>
      <c r="BT38" t="s">
        <v>124</v>
      </c>
      <c r="BU38">
        <v>150</v>
      </c>
      <c r="BV38">
        <v>0</v>
      </c>
      <c r="BW38">
        <v>2</v>
      </c>
      <c r="BX38">
        <v>0.06</v>
      </c>
      <c r="BY38">
        <v>0</v>
      </c>
      <c r="BZ38">
        <v>0.03</v>
      </c>
      <c r="CA38">
        <v>0</v>
      </c>
      <c r="CB38">
        <v>0</v>
      </c>
      <c r="CC38">
        <v>0</v>
      </c>
      <c r="CD38" t="s">
        <v>176</v>
      </c>
      <c r="CE38" t="s">
        <v>161</v>
      </c>
      <c r="CF38" t="s">
        <v>177</v>
      </c>
      <c r="CG38">
        <v>6000</v>
      </c>
      <c r="CH38">
        <v>500</v>
      </c>
      <c r="CI38">
        <v>1</v>
      </c>
      <c r="CJ38">
        <v>2</v>
      </c>
      <c r="CK38">
        <v>55537</v>
      </c>
      <c r="CL38">
        <v>55537</v>
      </c>
      <c r="CM38">
        <v>55537</v>
      </c>
      <c r="CN38">
        <v>0</v>
      </c>
      <c r="CO38">
        <v>-9999</v>
      </c>
      <c r="CP38">
        <v>0</v>
      </c>
      <c r="CQ38">
        <v>0</v>
      </c>
      <c r="CR38">
        <v>0</v>
      </c>
      <c r="CS38">
        <v>0</v>
      </c>
      <c r="CT38">
        <v>2.5</v>
      </c>
      <c r="CU38">
        <v>2.44</v>
      </c>
      <c r="CV38">
        <v>1.67</v>
      </c>
      <c r="CW38">
        <v>0.93</v>
      </c>
      <c r="CX38">
        <v>0.24</v>
      </c>
      <c r="CY38">
        <v>-0.03</v>
      </c>
      <c r="CZ38">
        <v>0.28000000000000003</v>
      </c>
      <c r="DA38">
        <v>0.26</v>
      </c>
      <c r="DB38">
        <v>113.1</v>
      </c>
      <c r="DC38">
        <v>0</v>
      </c>
      <c r="DD38">
        <v>2.42</v>
      </c>
      <c r="DE38">
        <v>0</v>
      </c>
      <c r="DF38">
        <v>1</v>
      </c>
      <c r="DG38">
        <v>2.37</v>
      </c>
      <c r="DH38">
        <v>0</v>
      </c>
      <c r="DI38">
        <v>1</v>
      </c>
      <c r="DJ38">
        <v>0.6</v>
      </c>
      <c r="DK38">
        <v>0.6</v>
      </c>
      <c r="DL38">
        <v>0.11</v>
      </c>
      <c r="DM38">
        <v>0</v>
      </c>
      <c r="DN38" t="s">
        <v>429</v>
      </c>
      <c r="DO38" t="s">
        <v>198</v>
      </c>
      <c r="DP38" t="s">
        <v>199</v>
      </c>
      <c r="DQ38" t="s">
        <v>200</v>
      </c>
      <c r="DR38" t="s">
        <v>201</v>
      </c>
      <c r="DS38" t="s">
        <v>202</v>
      </c>
      <c r="DT38" t="s">
        <v>203</v>
      </c>
    </row>
    <row r="39" spans="1:124" x14ac:dyDescent="0.45">
      <c r="A39" t="s">
        <v>468</v>
      </c>
      <c r="B39" t="s">
        <v>469</v>
      </c>
      <c r="C39" t="s">
        <v>126</v>
      </c>
      <c r="D39" t="s">
        <v>127</v>
      </c>
      <c r="E39" t="s">
        <v>128</v>
      </c>
      <c r="I39" t="s">
        <v>2259</v>
      </c>
      <c r="J39">
        <v>0.56000000000000005</v>
      </c>
      <c r="K39">
        <v>2.91</v>
      </c>
      <c r="L39">
        <v>0.47</v>
      </c>
      <c r="M39">
        <v>6.23</v>
      </c>
      <c r="N39">
        <v>2.0499999999999998</v>
      </c>
      <c r="O39">
        <v>1.88</v>
      </c>
      <c r="P39">
        <v>3.37</v>
      </c>
      <c r="Q39">
        <v>1.32</v>
      </c>
      <c r="R39">
        <v>18.48</v>
      </c>
      <c r="S39">
        <v>20.21</v>
      </c>
      <c r="T39">
        <v>33.18</v>
      </c>
      <c r="U39">
        <v>0.44</v>
      </c>
      <c r="V39">
        <v>7.5</v>
      </c>
      <c r="W39" t="s">
        <v>474</v>
      </c>
      <c r="X39">
        <v>0</v>
      </c>
      <c r="Y39">
        <v>0</v>
      </c>
      <c r="Z39">
        <v>0</v>
      </c>
      <c r="AA39">
        <v>98.88</v>
      </c>
      <c r="AB39">
        <v>443.77</v>
      </c>
      <c r="AC39">
        <v>0.78</v>
      </c>
      <c r="AD39">
        <v>0.5</v>
      </c>
      <c r="AE39">
        <v>0.84</v>
      </c>
      <c r="AF39">
        <v>57.45</v>
      </c>
      <c r="AG39">
        <v>1</v>
      </c>
      <c r="AH39">
        <v>52.09</v>
      </c>
      <c r="AI39">
        <v>47.64</v>
      </c>
      <c r="AJ39">
        <v>28.63</v>
      </c>
      <c r="AK39">
        <v>25.96</v>
      </c>
      <c r="AL39">
        <v>25.96</v>
      </c>
      <c r="AM39">
        <v>101.45</v>
      </c>
      <c r="AN39">
        <v>156.19999999999999</v>
      </c>
      <c r="AO39">
        <v>154.69999999999999</v>
      </c>
      <c r="AP39">
        <v>1</v>
      </c>
      <c r="AQ39">
        <v>176</v>
      </c>
      <c r="AR39">
        <v>3.86</v>
      </c>
      <c r="AS39">
        <v>-16</v>
      </c>
      <c r="AT39">
        <v>0</v>
      </c>
      <c r="AU39">
        <v>341</v>
      </c>
      <c r="AV39">
        <v>65.45</v>
      </c>
      <c r="AW39">
        <v>41.54</v>
      </c>
      <c r="AX39">
        <v>16</v>
      </c>
      <c r="AY39">
        <v>161</v>
      </c>
      <c r="AZ39">
        <v>-0.79</v>
      </c>
      <c r="BA39">
        <v>125.98</v>
      </c>
      <c r="BB39">
        <v>51.9</v>
      </c>
      <c r="BC39" t="s">
        <v>493</v>
      </c>
      <c r="BD39" t="s">
        <v>126</v>
      </c>
      <c r="BE39">
        <v>35.85</v>
      </c>
      <c r="BF39">
        <v>127.13</v>
      </c>
      <c r="BG39">
        <v>36.1</v>
      </c>
      <c r="BH39">
        <v>14</v>
      </c>
      <c r="BI39">
        <v>0.71</v>
      </c>
      <c r="BJ39" t="s">
        <v>453</v>
      </c>
      <c r="BK39" t="s">
        <v>126</v>
      </c>
      <c r="BL39">
        <v>-0.94</v>
      </c>
      <c r="BM39" t="s">
        <v>124</v>
      </c>
      <c r="BN39">
        <v>0</v>
      </c>
      <c r="BO39">
        <v>0</v>
      </c>
      <c r="BP39">
        <v>0</v>
      </c>
      <c r="BQ39">
        <v>0.03</v>
      </c>
      <c r="BR39">
        <v>-0.12</v>
      </c>
      <c r="BS39">
        <v>-0.24</v>
      </c>
      <c r="BT39" t="s">
        <v>124</v>
      </c>
      <c r="BU39">
        <v>150</v>
      </c>
      <c r="BV39">
        <v>0</v>
      </c>
      <c r="BW39">
        <v>2</v>
      </c>
      <c r="BX39">
        <v>0.06</v>
      </c>
      <c r="BY39">
        <v>0</v>
      </c>
      <c r="BZ39">
        <v>0.03</v>
      </c>
      <c r="CA39">
        <v>0</v>
      </c>
      <c r="CB39">
        <v>0</v>
      </c>
      <c r="CC39">
        <v>0</v>
      </c>
      <c r="CD39" t="s">
        <v>176</v>
      </c>
      <c r="CE39" t="s">
        <v>161</v>
      </c>
      <c r="CF39" t="s">
        <v>177</v>
      </c>
      <c r="CG39">
        <v>6000</v>
      </c>
      <c r="CH39">
        <v>500</v>
      </c>
      <c r="CI39">
        <v>1</v>
      </c>
      <c r="CJ39">
        <v>2</v>
      </c>
      <c r="CK39">
        <v>55537</v>
      </c>
      <c r="CL39">
        <v>55537</v>
      </c>
      <c r="CM39">
        <v>55537</v>
      </c>
      <c r="CN39">
        <v>0</v>
      </c>
      <c r="CO39">
        <v>-9999</v>
      </c>
      <c r="CP39">
        <v>0</v>
      </c>
      <c r="CQ39">
        <v>0</v>
      </c>
      <c r="CR39">
        <v>0</v>
      </c>
      <c r="CS39">
        <v>0</v>
      </c>
      <c r="CT39">
        <v>2.5</v>
      </c>
      <c r="CU39">
        <v>2.4500000000000002</v>
      </c>
      <c r="CV39">
        <v>1.67</v>
      </c>
      <c r="CW39">
        <v>0.94</v>
      </c>
      <c r="CX39">
        <v>0.24</v>
      </c>
      <c r="CY39">
        <v>-0.03</v>
      </c>
      <c r="CZ39">
        <v>0.28000000000000003</v>
      </c>
      <c r="DA39">
        <v>0.26</v>
      </c>
      <c r="DB39">
        <v>98.88</v>
      </c>
      <c r="DC39">
        <v>0</v>
      </c>
      <c r="DD39">
        <v>2.42</v>
      </c>
      <c r="DE39">
        <v>0</v>
      </c>
      <c r="DF39">
        <v>1</v>
      </c>
      <c r="DG39">
        <v>2.37</v>
      </c>
      <c r="DH39">
        <v>0</v>
      </c>
      <c r="DI39">
        <v>1</v>
      </c>
      <c r="DJ39">
        <v>0.6</v>
      </c>
      <c r="DK39">
        <v>0.6</v>
      </c>
      <c r="DL39">
        <v>0.11</v>
      </c>
      <c r="DM39">
        <v>0</v>
      </c>
      <c r="DN39" t="s">
        <v>474</v>
      </c>
      <c r="DO39" t="s">
        <v>198</v>
      </c>
      <c r="DP39" t="s">
        <v>199</v>
      </c>
      <c r="DQ39" t="s">
        <v>200</v>
      </c>
      <c r="DR39" t="s">
        <v>201</v>
      </c>
      <c r="DS39" t="s">
        <v>202</v>
      </c>
      <c r="DT39" t="s">
        <v>203</v>
      </c>
    </row>
    <row r="40" spans="1:124" x14ac:dyDescent="0.45">
      <c r="A40" t="s">
        <v>509</v>
      </c>
      <c r="B40" t="s">
        <v>510</v>
      </c>
      <c r="C40" t="s">
        <v>126</v>
      </c>
      <c r="D40" t="s">
        <v>127</v>
      </c>
      <c r="E40" t="s">
        <v>128</v>
      </c>
      <c r="I40" t="s">
        <v>2260</v>
      </c>
      <c r="J40">
        <v>0.52</v>
      </c>
      <c r="K40">
        <v>2.9</v>
      </c>
      <c r="L40">
        <v>0.44</v>
      </c>
      <c r="M40">
        <v>5.86</v>
      </c>
      <c r="N40">
        <v>2.06</v>
      </c>
      <c r="O40">
        <v>1.89</v>
      </c>
      <c r="P40">
        <v>3.37</v>
      </c>
      <c r="Q40">
        <v>1.32</v>
      </c>
      <c r="R40">
        <v>18.64</v>
      </c>
      <c r="S40">
        <v>20.27</v>
      </c>
      <c r="T40">
        <v>33.26</v>
      </c>
      <c r="U40">
        <v>0.44</v>
      </c>
      <c r="V40">
        <v>7.5</v>
      </c>
      <c r="W40" t="s">
        <v>515</v>
      </c>
      <c r="X40">
        <v>0</v>
      </c>
      <c r="Y40">
        <v>0</v>
      </c>
      <c r="Z40">
        <v>0</v>
      </c>
      <c r="AA40">
        <v>104.31</v>
      </c>
      <c r="AB40">
        <v>443.35</v>
      </c>
      <c r="AC40">
        <v>0.76</v>
      </c>
      <c r="AD40">
        <v>0.5</v>
      </c>
      <c r="AE40">
        <v>0.84</v>
      </c>
      <c r="AF40">
        <v>40.79</v>
      </c>
      <c r="AG40">
        <v>1</v>
      </c>
      <c r="AH40">
        <v>52.26</v>
      </c>
      <c r="AI40">
        <v>48.07</v>
      </c>
      <c r="AJ40">
        <v>28.62</v>
      </c>
      <c r="AK40">
        <v>26</v>
      </c>
      <c r="AL40">
        <v>26</v>
      </c>
      <c r="AM40">
        <v>101.46</v>
      </c>
      <c r="AN40">
        <v>155.9</v>
      </c>
      <c r="AO40">
        <v>152.6</v>
      </c>
      <c r="AP40">
        <v>2.2000000000000002</v>
      </c>
      <c r="AQ40">
        <v>127</v>
      </c>
      <c r="AR40">
        <v>3.86</v>
      </c>
      <c r="AS40">
        <v>-40</v>
      </c>
      <c r="AT40">
        <v>-17</v>
      </c>
      <c r="AU40">
        <v>268</v>
      </c>
      <c r="AV40">
        <v>77.5</v>
      </c>
      <c r="AW40">
        <v>21.65</v>
      </c>
      <c r="AX40">
        <v>42.9</v>
      </c>
      <c r="AY40">
        <v>62.56</v>
      </c>
      <c r="AZ40">
        <v>-0.79</v>
      </c>
      <c r="BA40">
        <v>126.22</v>
      </c>
      <c r="BB40">
        <v>51.74</v>
      </c>
      <c r="BC40" t="s">
        <v>538</v>
      </c>
      <c r="BD40" t="s">
        <v>126</v>
      </c>
      <c r="BE40">
        <v>35.85</v>
      </c>
      <c r="BF40">
        <v>127.13</v>
      </c>
      <c r="BG40">
        <v>35.9</v>
      </c>
      <c r="BH40">
        <v>13</v>
      </c>
      <c r="BI40">
        <v>0.78</v>
      </c>
      <c r="BJ40" t="s">
        <v>453</v>
      </c>
      <c r="BK40" t="s">
        <v>126</v>
      </c>
      <c r="BL40">
        <v>-0.94</v>
      </c>
      <c r="BM40" t="s">
        <v>124</v>
      </c>
      <c r="BN40">
        <v>0</v>
      </c>
      <c r="BO40">
        <v>0</v>
      </c>
      <c r="BP40">
        <v>0</v>
      </c>
      <c r="BQ40">
        <v>-0.04</v>
      </c>
      <c r="BR40">
        <v>-0.21</v>
      </c>
      <c r="BS40">
        <v>-0.49</v>
      </c>
      <c r="BT40" t="s">
        <v>124</v>
      </c>
      <c r="BU40">
        <v>150</v>
      </c>
      <c r="BV40">
        <v>0</v>
      </c>
      <c r="BW40">
        <v>2</v>
      </c>
      <c r="BX40">
        <v>0.06</v>
      </c>
      <c r="BY40">
        <v>0</v>
      </c>
      <c r="BZ40">
        <v>0.03</v>
      </c>
      <c r="CA40">
        <v>0</v>
      </c>
      <c r="CB40">
        <v>0</v>
      </c>
      <c r="CC40">
        <v>0</v>
      </c>
      <c r="CD40" t="s">
        <v>176</v>
      </c>
      <c r="CE40" t="s">
        <v>161</v>
      </c>
      <c r="CF40" t="s">
        <v>177</v>
      </c>
      <c r="CG40">
        <v>6000</v>
      </c>
      <c r="CH40">
        <v>500</v>
      </c>
      <c r="CI40">
        <v>1</v>
      </c>
      <c r="CJ40">
        <v>2</v>
      </c>
      <c r="CK40">
        <v>55537</v>
      </c>
      <c r="CL40">
        <v>55537</v>
      </c>
      <c r="CM40">
        <v>55537</v>
      </c>
      <c r="CN40">
        <v>0</v>
      </c>
      <c r="CO40">
        <v>-9999</v>
      </c>
      <c r="CP40">
        <v>0</v>
      </c>
      <c r="CQ40">
        <v>0</v>
      </c>
      <c r="CR40">
        <v>0</v>
      </c>
      <c r="CS40">
        <v>0</v>
      </c>
      <c r="CT40">
        <v>2.5</v>
      </c>
      <c r="CU40">
        <v>2.4500000000000002</v>
      </c>
      <c r="CV40">
        <v>1.67</v>
      </c>
      <c r="CW40">
        <v>0.94</v>
      </c>
      <c r="CX40">
        <v>0.24</v>
      </c>
      <c r="CY40">
        <v>-0.03</v>
      </c>
      <c r="CZ40">
        <v>0.28999999999999998</v>
      </c>
      <c r="DA40">
        <v>0.22</v>
      </c>
      <c r="DB40">
        <v>104.31</v>
      </c>
      <c r="DC40">
        <v>0</v>
      </c>
      <c r="DD40">
        <v>2.42</v>
      </c>
      <c r="DE40">
        <v>0</v>
      </c>
      <c r="DF40">
        <v>1</v>
      </c>
      <c r="DG40">
        <v>2.37</v>
      </c>
      <c r="DH40">
        <v>0</v>
      </c>
      <c r="DI40">
        <v>1</v>
      </c>
      <c r="DJ40">
        <v>0.6</v>
      </c>
      <c r="DK40">
        <v>0.6</v>
      </c>
      <c r="DL40">
        <v>0.11</v>
      </c>
      <c r="DM40">
        <v>0</v>
      </c>
      <c r="DN40" t="s">
        <v>515</v>
      </c>
      <c r="DO40" t="s">
        <v>198</v>
      </c>
      <c r="DP40" t="s">
        <v>199</v>
      </c>
      <c r="DQ40" t="s">
        <v>200</v>
      </c>
      <c r="DR40" t="s">
        <v>201</v>
      </c>
      <c r="DS40" t="s">
        <v>202</v>
      </c>
      <c r="DT40" t="s">
        <v>203</v>
      </c>
    </row>
    <row r="41" spans="1:124" x14ac:dyDescent="0.45">
      <c r="A41" t="s">
        <v>785</v>
      </c>
      <c r="B41" t="s">
        <v>786</v>
      </c>
      <c r="C41" t="s">
        <v>126</v>
      </c>
      <c r="D41" t="s">
        <v>127</v>
      </c>
      <c r="E41" t="s">
        <v>128</v>
      </c>
      <c r="I41" t="s">
        <v>2261</v>
      </c>
      <c r="J41">
        <v>0.32</v>
      </c>
      <c r="K41">
        <v>2.91</v>
      </c>
      <c r="L41">
        <v>0.28999999999999998</v>
      </c>
      <c r="M41">
        <v>4.46</v>
      </c>
      <c r="N41">
        <v>1.98</v>
      </c>
      <c r="O41">
        <v>1.85</v>
      </c>
      <c r="P41">
        <v>3.51</v>
      </c>
      <c r="Q41">
        <v>1.53</v>
      </c>
      <c r="R41">
        <v>18.28</v>
      </c>
      <c r="S41">
        <v>19.52</v>
      </c>
      <c r="T41">
        <v>34.64</v>
      </c>
      <c r="U41">
        <v>0.44</v>
      </c>
      <c r="V41">
        <v>7.5</v>
      </c>
      <c r="W41" t="s">
        <v>791</v>
      </c>
      <c r="X41">
        <v>0</v>
      </c>
      <c r="Y41">
        <v>0</v>
      </c>
      <c r="Z41">
        <v>0</v>
      </c>
      <c r="AA41">
        <v>92.12</v>
      </c>
      <c r="AB41">
        <v>407.65</v>
      </c>
      <c r="AC41">
        <v>0.77</v>
      </c>
      <c r="AD41">
        <v>0.5</v>
      </c>
      <c r="AE41">
        <v>0.84</v>
      </c>
      <c r="AF41">
        <v>39.659999999999997</v>
      </c>
      <c r="AG41">
        <v>1</v>
      </c>
      <c r="AH41">
        <v>50.39</v>
      </c>
      <c r="AI41">
        <v>47.19</v>
      </c>
      <c r="AJ41">
        <v>28.6</v>
      </c>
      <c r="AK41">
        <v>26.69</v>
      </c>
      <c r="AL41">
        <v>26.69</v>
      </c>
      <c r="AM41">
        <v>101.47</v>
      </c>
      <c r="AN41">
        <v>156</v>
      </c>
      <c r="AO41">
        <v>146.1</v>
      </c>
      <c r="AP41">
        <v>6.4</v>
      </c>
      <c r="AQ41">
        <v>122</v>
      </c>
      <c r="AR41">
        <v>3.86</v>
      </c>
      <c r="AS41">
        <v>-21</v>
      </c>
      <c r="AT41">
        <v>-33</v>
      </c>
      <c r="AU41">
        <v>142</v>
      </c>
      <c r="AV41">
        <v>34.130000000000003</v>
      </c>
      <c r="AW41">
        <v>82.77</v>
      </c>
      <c r="AX41">
        <v>38.47</v>
      </c>
      <c r="AY41">
        <v>-99.11</v>
      </c>
      <c r="AZ41">
        <v>-0.79</v>
      </c>
      <c r="BA41">
        <v>126.46</v>
      </c>
      <c r="BB41">
        <v>51.58</v>
      </c>
      <c r="BC41" t="s">
        <v>813</v>
      </c>
      <c r="BD41" t="s">
        <v>126</v>
      </c>
      <c r="BE41">
        <v>35.85</v>
      </c>
      <c r="BF41">
        <v>127.13</v>
      </c>
      <c r="BG41">
        <v>36.9</v>
      </c>
      <c r="BH41">
        <v>14</v>
      </c>
      <c r="BI41">
        <v>0.78</v>
      </c>
      <c r="BJ41" t="s">
        <v>453</v>
      </c>
      <c r="BK41" t="s">
        <v>126</v>
      </c>
      <c r="BL41">
        <v>-0.94</v>
      </c>
      <c r="BM41" t="s">
        <v>124</v>
      </c>
      <c r="BN41">
        <v>0</v>
      </c>
      <c r="BO41">
        <v>0</v>
      </c>
      <c r="BP41">
        <v>0</v>
      </c>
      <c r="BQ41">
        <v>0</v>
      </c>
      <c r="BR41">
        <v>0.01</v>
      </c>
      <c r="BS41">
        <v>0</v>
      </c>
      <c r="BT41" t="s">
        <v>124</v>
      </c>
      <c r="BU41">
        <v>150</v>
      </c>
      <c r="BV41">
        <v>0</v>
      </c>
      <c r="BW41">
        <v>2</v>
      </c>
      <c r="BX41">
        <v>0.06</v>
      </c>
      <c r="BY41">
        <v>0</v>
      </c>
      <c r="BZ41">
        <v>0.03</v>
      </c>
      <c r="CA41">
        <v>0</v>
      </c>
      <c r="CB41">
        <v>0</v>
      </c>
      <c r="CC41">
        <v>0</v>
      </c>
      <c r="CD41" t="s">
        <v>176</v>
      </c>
      <c r="CE41" t="s">
        <v>161</v>
      </c>
      <c r="CF41" t="s">
        <v>177</v>
      </c>
      <c r="CG41">
        <v>6000</v>
      </c>
      <c r="CH41">
        <v>500</v>
      </c>
      <c r="CI41">
        <v>1</v>
      </c>
      <c r="CJ41">
        <v>2</v>
      </c>
      <c r="CK41">
        <v>55537</v>
      </c>
      <c r="CL41">
        <v>55537</v>
      </c>
      <c r="CM41">
        <v>55537</v>
      </c>
      <c r="CN41">
        <v>0</v>
      </c>
      <c r="CO41">
        <v>-9999</v>
      </c>
      <c r="CP41">
        <v>0</v>
      </c>
      <c r="CQ41">
        <v>0</v>
      </c>
      <c r="CR41">
        <v>0</v>
      </c>
      <c r="CS41">
        <v>0</v>
      </c>
      <c r="CT41">
        <v>2.5</v>
      </c>
      <c r="CU41">
        <v>2.44</v>
      </c>
      <c r="CV41">
        <v>1.67</v>
      </c>
      <c r="CW41">
        <v>0.92</v>
      </c>
      <c r="CX41">
        <v>0.24</v>
      </c>
      <c r="CY41">
        <v>-0.02</v>
      </c>
      <c r="CZ41">
        <v>0.3</v>
      </c>
      <c r="DA41">
        <v>0.21</v>
      </c>
      <c r="DB41">
        <v>92.12</v>
      </c>
      <c r="DC41">
        <v>0</v>
      </c>
      <c r="DD41">
        <v>2.42</v>
      </c>
      <c r="DE41">
        <v>0</v>
      </c>
      <c r="DF41">
        <v>1</v>
      </c>
      <c r="DG41">
        <v>2.37</v>
      </c>
      <c r="DH41">
        <v>0</v>
      </c>
      <c r="DI41">
        <v>1</v>
      </c>
      <c r="DJ41">
        <v>0.6</v>
      </c>
      <c r="DK41">
        <v>0.6</v>
      </c>
      <c r="DL41">
        <v>0.11</v>
      </c>
      <c r="DM41">
        <v>0</v>
      </c>
      <c r="DN41" t="s">
        <v>791</v>
      </c>
      <c r="DO41" t="s">
        <v>198</v>
      </c>
      <c r="DP41" t="s">
        <v>199</v>
      </c>
      <c r="DQ41" t="s">
        <v>200</v>
      </c>
      <c r="DR41" t="s">
        <v>201</v>
      </c>
      <c r="DS41" t="s">
        <v>202</v>
      </c>
      <c r="DT41" t="s">
        <v>203</v>
      </c>
    </row>
    <row r="42" spans="1:124" x14ac:dyDescent="0.45">
      <c r="A42" t="s">
        <v>827</v>
      </c>
      <c r="B42" t="s">
        <v>828</v>
      </c>
      <c r="C42" t="s">
        <v>126</v>
      </c>
      <c r="D42" t="s">
        <v>127</v>
      </c>
      <c r="E42" t="s">
        <v>128</v>
      </c>
      <c r="I42" t="s">
        <v>2262</v>
      </c>
      <c r="J42">
        <v>0.3</v>
      </c>
      <c r="K42">
        <v>2.91</v>
      </c>
      <c r="L42">
        <v>0.27</v>
      </c>
      <c r="M42">
        <v>4.3</v>
      </c>
      <c r="N42">
        <v>1.96</v>
      </c>
      <c r="O42">
        <v>1.84</v>
      </c>
      <c r="P42">
        <v>3.52</v>
      </c>
      <c r="Q42">
        <v>1.56</v>
      </c>
      <c r="R42">
        <v>18.16</v>
      </c>
      <c r="S42">
        <v>19.350000000000001</v>
      </c>
      <c r="T42">
        <v>34.700000000000003</v>
      </c>
      <c r="U42">
        <v>0.44</v>
      </c>
      <c r="V42">
        <v>7.5</v>
      </c>
      <c r="W42" t="s">
        <v>833</v>
      </c>
      <c r="X42">
        <v>0</v>
      </c>
      <c r="Y42">
        <v>0</v>
      </c>
      <c r="Z42">
        <v>0</v>
      </c>
      <c r="AA42">
        <v>96.56</v>
      </c>
      <c r="AB42">
        <v>437.17</v>
      </c>
      <c r="AC42">
        <v>0.78</v>
      </c>
      <c r="AD42">
        <v>0.5</v>
      </c>
      <c r="AE42">
        <v>0.84</v>
      </c>
      <c r="AF42">
        <v>41.23</v>
      </c>
      <c r="AG42">
        <v>1</v>
      </c>
      <c r="AH42">
        <v>49.94</v>
      </c>
      <c r="AI42">
        <v>46.86</v>
      </c>
      <c r="AJ42">
        <v>28.61</v>
      </c>
      <c r="AK42">
        <v>26.72</v>
      </c>
      <c r="AL42">
        <v>26.72</v>
      </c>
      <c r="AM42">
        <v>101.47</v>
      </c>
      <c r="AN42">
        <v>156</v>
      </c>
      <c r="AO42">
        <v>153.30000000000001</v>
      </c>
      <c r="AP42">
        <v>1.8</v>
      </c>
      <c r="AQ42">
        <v>126</v>
      </c>
      <c r="AR42">
        <v>3.86</v>
      </c>
      <c r="AS42">
        <v>-31</v>
      </c>
      <c r="AT42">
        <v>11</v>
      </c>
      <c r="AU42">
        <v>129</v>
      </c>
      <c r="AV42">
        <v>23.98</v>
      </c>
      <c r="AW42">
        <v>91.37</v>
      </c>
      <c r="AX42">
        <v>32.71</v>
      </c>
      <c r="AY42">
        <v>-30.32</v>
      </c>
      <c r="AZ42">
        <v>-0.79</v>
      </c>
      <c r="BA42">
        <v>126.71</v>
      </c>
      <c r="BB42">
        <v>51.41</v>
      </c>
      <c r="BC42" t="s">
        <v>852</v>
      </c>
      <c r="BD42" t="s">
        <v>126</v>
      </c>
      <c r="BE42">
        <v>35.85</v>
      </c>
      <c r="BF42">
        <v>127.13</v>
      </c>
      <c r="BG42">
        <v>37.1</v>
      </c>
      <c r="BH42">
        <v>12</v>
      </c>
      <c r="BI42">
        <v>0.89</v>
      </c>
      <c r="BJ42" t="s">
        <v>858</v>
      </c>
      <c r="BK42" t="s">
        <v>126</v>
      </c>
      <c r="BL42">
        <v>-0.88</v>
      </c>
      <c r="BM42" t="s">
        <v>124</v>
      </c>
      <c r="BN42">
        <v>0</v>
      </c>
      <c r="BO42">
        <v>0</v>
      </c>
      <c r="BP42">
        <v>0</v>
      </c>
      <c r="BQ42">
        <v>-0.03</v>
      </c>
      <c r="BR42">
        <v>-0.11</v>
      </c>
      <c r="BS42">
        <v>-0.18</v>
      </c>
      <c r="BT42" t="s">
        <v>124</v>
      </c>
      <c r="BU42">
        <v>150</v>
      </c>
      <c r="BV42">
        <v>0</v>
      </c>
      <c r="BW42">
        <v>2</v>
      </c>
      <c r="BX42">
        <v>0.06</v>
      </c>
      <c r="BY42">
        <v>0</v>
      </c>
      <c r="BZ42">
        <v>0.03</v>
      </c>
      <c r="CA42">
        <v>0</v>
      </c>
      <c r="CB42">
        <v>0</v>
      </c>
      <c r="CC42">
        <v>0</v>
      </c>
      <c r="CD42" t="s">
        <v>176</v>
      </c>
      <c r="CE42" t="s">
        <v>161</v>
      </c>
      <c r="CF42" t="s">
        <v>177</v>
      </c>
      <c r="CG42">
        <v>6000</v>
      </c>
      <c r="CH42">
        <v>500</v>
      </c>
      <c r="CI42">
        <v>1</v>
      </c>
      <c r="CJ42">
        <v>2</v>
      </c>
      <c r="CK42">
        <v>55537</v>
      </c>
      <c r="CL42">
        <v>55537</v>
      </c>
      <c r="CM42">
        <v>55537</v>
      </c>
      <c r="CN42">
        <v>0</v>
      </c>
      <c r="CO42">
        <v>-9999</v>
      </c>
      <c r="CP42">
        <v>0</v>
      </c>
      <c r="CQ42">
        <v>0</v>
      </c>
      <c r="CR42">
        <v>0</v>
      </c>
      <c r="CS42">
        <v>0</v>
      </c>
      <c r="CT42">
        <v>2.5</v>
      </c>
      <c r="CU42">
        <v>2.44</v>
      </c>
      <c r="CV42">
        <v>1.67</v>
      </c>
      <c r="CW42">
        <v>0.94</v>
      </c>
      <c r="CX42">
        <v>0.24</v>
      </c>
      <c r="CY42">
        <v>-0.02</v>
      </c>
      <c r="CZ42">
        <v>0.3</v>
      </c>
      <c r="DA42">
        <v>0.22</v>
      </c>
      <c r="DB42">
        <v>96.56</v>
      </c>
      <c r="DC42">
        <v>0</v>
      </c>
      <c r="DD42">
        <v>2.42</v>
      </c>
      <c r="DE42">
        <v>0</v>
      </c>
      <c r="DF42">
        <v>1</v>
      </c>
      <c r="DG42">
        <v>2.37</v>
      </c>
      <c r="DH42">
        <v>0</v>
      </c>
      <c r="DI42">
        <v>1</v>
      </c>
      <c r="DJ42">
        <v>0.6</v>
      </c>
      <c r="DK42">
        <v>0.6</v>
      </c>
      <c r="DL42">
        <v>0.11</v>
      </c>
      <c r="DM42">
        <v>0</v>
      </c>
      <c r="DN42" t="s">
        <v>833</v>
      </c>
      <c r="DO42" t="s">
        <v>198</v>
      </c>
      <c r="DP42" t="s">
        <v>199</v>
      </c>
      <c r="DQ42" t="s">
        <v>200</v>
      </c>
      <c r="DR42" t="s">
        <v>201</v>
      </c>
      <c r="DS42" t="s">
        <v>202</v>
      </c>
      <c r="DT42" t="s">
        <v>203</v>
      </c>
    </row>
    <row r="43" spans="1:124" x14ac:dyDescent="0.45">
      <c r="A43" t="s">
        <v>871</v>
      </c>
      <c r="B43" t="s">
        <v>872</v>
      </c>
      <c r="C43" t="s">
        <v>126</v>
      </c>
      <c r="D43" t="s">
        <v>127</v>
      </c>
      <c r="E43" t="s">
        <v>128</v>
      </c>
      <c r="I43" t="s">
        <v>2263</v>
      </c>
      <c r="J43">
        <v>0.18</v>
      </c>
      <c r="K43">
        <v>2.91</v>
      </c>
      <c r="L43">
        <v>0.17</v>
      </c>
      <c r="M43">
        <v>2.9</v>
      </c>
      <c r="N43">
        <v>1.91</v>
      </c>
      <c r="O43">
        <v>1.83</v>
      </c>
      <c r="P43">
        <v>3.57</v>
      </c>
      <c r="Q43">
        <v>1.66</v>
      </c>
      <c r="R43">
        <v>18.05</v>
      </c>
      <c r="S43">
        <v>18.850000000000001</v>
      </c>
      <c r="T43">
        <v>35.19</v>
      </c>
      <c r="U43">
        <v>0.44</v>
      </c>
      <c r="V43">
        <v>7.5</v>
      </c>
      <c r="W43" t="s">
        <v>877</v>
      </c>
      <c r="X43">
        <v>0</v>
      </c>
      <c r="Y43">
        <v>0</v>
      </c>
      <c r="Z43">
        <v>0</v>
      </c>
      <c r="AA43">
        <v>112.77</v>
      </c>
      <c r="AB43">
        <v>472</v>
      </c>
      <c r="AC43">
        <v>0.76</v>
      </c>
      <c r="AD43">
        <v>0.5</v>
      </c>
      <c r="AE43">
        <v>0.84</v>
      </c>
      <c r="AF43">
        <v>34.200000000000003</v>
      </c>
      <c r="AG43">
        <v>1</v>
      </c>
      <c r="AH43">
        <v>48.67</v>
      </c>
      <c r="AI43">
        <v>46.59</v>
      </c>
      <c r="AJ43">
        <v>28.6</v>
      </c>
      <c r="AK43">
        <v>26.96</v>
      </c>
      <c r="AL43">
        <v>26.96</v>
      </c>
      <c r="AM43">
        <v>101.47</v>
      </c>
      <c r="AN43">
        <v>156.1</v>
      </c>
      <c r="AO43">
        <v>150.80000000000001</v>
      </c>
      <c r="AP43">
        <v>3.4</v>
      </c>
      <c r="AQ43">
        <v>107</v>
      </c>
      <c r="AR43">
        <v>3.86</v>
      </c>
      <c r="AS43">
        <v>-20</v>
      </c>
      <c r="AT43">
        <v>47</v>
      </c>
      <c r="AU43">
        <v>104</v>
      </c>
      <c r="AV43">
        <v>37.950000000000003</v>
      </c>
      <c r="AW43">
        <v>78.86</v>
      </c>
      <c r="AX43">
        <v>50.14</v>
      </c>
      <c r="AY43">
        <v>-3.69</v>
      </c>
      <c r="AZ43">
        <v>-0.79</v>
      </c>
      <c r="BA43">
        <v>126.71</v>
      </c>
      <c r="BB43">
        <v>51.41</v>
      </c>
      <c r="BC43" t="s">
        <v>894</v>
      </c>
      <c r="BD43" t="s">
        <v>126</v>
      </c>
      <c r="BE43">
        <v>35.85</v>
      </c>
      <c r="BF43">
        <v>127.13</v>
      </c>
      <c r="BG43">
        <v>37.200000000000003</v>
      </c>
      <c r="BH43">
        <v>13</v>
      </c>
      <c r="BI43">
        <v>0.81</v>
      </c>
      <c r="BJ43" t="s">
        <v>858</v>
      </c>
      <c r="BK43" t="s">
        <v>126</v>
      </c>
      <c r="BL43">
        <v>-0.88</v>
      </c>
      <c r="BM43" t="s">
        <v>124</v>
      </c>
      <c r="BN43">
        <v>0</v>
      </c>
      <c r="BO43">
        <v>0</v>
      </c>
      <c r="BP43">
        <v>0</v>
      </c>
      <c r="BQ43">
        <v>-0.02</v>
      </c>
      <c r="BR43">
        <v>0.09</v>
      </c>
      <c r="BS43">
        <v>0.28999999999999998</v>
      </c>
      <c r="BT43" t="s">
        <v>124</v>
      </c>
      <c r="BU43">
        <v>150</v>
      </c>
      <c r="BV43">
        <v>0</v>
      </c>
      <c r="BW43">
        <v>2</v>
      </c>
      <c r="BX43">
        <v>0.06</v>
      </c>
      <c r="BY43">
        <v>0</v>
      </c>
      <c r="BZ43">
        <v>0.03</v>
      </c>
      <c r="CA43">
        <v>0</v>
      </c>
      <c r="CB43">
        <v>0</v>
      </c>
      <c r="CC43">
        <v>0</v>
      </c>
      <c r="CD43" t="s">
        <v>176</v>
      </c>
      <c r="CE43" t="s">
        <v>161</v>
      </c>
      <c r="CF43" t="s">
        <v>177</v>
      </c>
      <c r="CG43">
        <v>6000</v>
      </c>
      <c r="CH43">
        <v>500</v>
      </c>
      <c r="CI43">
        <v>1</v>
      </c>
      <c r="CJ43">
        <v>2</v>
      </c>
      <c r="CK43">
        <v>55537</v>
      </c>
      <c r="CL43">
        <v>55537</v>
      </c>
      <c r="CM43">
        <v>55537</v>
      </c>
      <c r="CN43">
        <v>0</v>
      </c>
      <c r="CO43">
        <v>-9999</v>
      </c>
      <c r="CP43">
        <v>0</v>
      </c>
      <c r="CQ43">
        <v>0</v>
      </c>
      <c r="CR43">
        <v>0</v>
      </c>
      <c r="CS43">
        <v>0</v>
      </c>
      <c r="CT43">
        <v>2.5</v>
      </c>
      <c r="CU43">
        <v>2.44</v>
      </c>
      <c r="CV43">
        <v>1.67</v>
      </c>
      <c r="CW43">
        <v>0.93</v>
      </c>
      <c r="CX43">
        <v>0.24</v>
      </c>
      <c r="CY43">
        <v>-0.02</v>
      </c>
      <c r="CZ43">
        <v>0.3</v>
      </c>
      <c r="DA43">
        <v>0.2</v>
      </c>
      <c r="DB43">
        <v>112.77</v>
      </c>
      <c r="DC43">
        <v>0</v>
      </c>
      <c r="DD43">
        <v>2.42</v>
      </c>
      <c r="DE43">
        <v>0</v>
      </c>
      <c r="DF43">
        <v>1</v>
      </c>
      <c r="DG43">
        <v>2.37</v>
      </c>
      <c r="DH43">
        <v>0</v>
      </c>
      <c r="DI43">
        <v>1</v>
      </c>
      <c r="DJ43">
        <v>0.6</v>
      </c>
      <c r="DK43">
        <v>0.6</v>
      </c>
      <c r="DL43">
        <v>0.11</v>
      </c>
      <c r="DM43">
        <v>0</v>
      </c>
      <c r="DN43" t="s">
        <v>877</v>
      </c>
      <c r="DO43" t="s">
        <v>198</v>
      </c>
      <c r="DP43" t="s">
        <v>199</v>
      </c>
      <c r="DQ43" t="s">
        <v>200</v>
      </c>
      <c r="DR43" t="s">
        <v>201</v>
      </c>
      <c r="DS43" t="s">
        <v>202</v>
      </c>
      <c r="DT43" t="s">
        <v>203</v>
      </c>
    </row>
    <row r="44" spans="1:124" x14ac:dyDescent="0.45">
      <c r="A44" t="s">
        <v>1129</v>
      </c>
      <c r="B44" t="s">
        <v>1130</v>
      </c>
      <c r="C44" t="s">
        <v>126</v>
      </c>
      <c r="D44" t="s">
        <v>127</v>
      </c>
      <c r="E44" t="s">
        <v>128</v>
      </c>
      <c r="I44" t="s">
        <v>2264</v>
      </c>
      <c r="J44">
        <v>0.45</v>
      </c>
      <c r="K44">
        <v>2.91</v>
      </c>
      <c r="L44">
        <v>0.39</v>
      </c>
      <c r="M44">
        <v>5.4</v>
      </c>
      <c r="N44">
        <v>2.0099999999999998</v>
      </c>
      <c r="O44">
        <v>1.86</v>
      </c>
      <c r="P44">
        <v>3.38</v>
      </c>
      <c r="Q44">
        <v>1.37</v>
      </c>
      <c r="R44">
        <v>18.29</v>
      </c>
      <c r="S44">
        <v>19.78</v>
      </c>
      <c r="T44">
        <v>33.31</v>
      </c>
      <c r="U44">
        <v>0.44</v>
      </c>
      <c r="V44">
        <v>7.5</v>
      </c>
      <c r="W44" t="s">
        <v>1135</v>
      </c>
      <c r="X44">
        <v>0</v>
      </c>
      <c r="Y44">
        <v>0</v>
      </c>
      <c r="Z44">
        <v>0</v>
      </c>
      <c r="AA44">
        <v>92.28</v>
      </c>
      <c r="AB44">
        <v>412.7</v>
      </c>
      <c r="AC44">
        <v>0.78</v>
      </c>
      <c r="AD44">
        <v>0.5</v>
      </c>
      <c r="AE44">
        <v>0.84</v>
      </c>
      <c r="AF44">
        <v>38.15</v>
      </c>
      <c r="AG44">
        <v>1</v>
      </c>
      <c r="AH44">
        <v>51.19</v>
      </c>
      <c r="AI44">
        <v>47.31</v>
      </c>
      <c r="AJ44">
        <v>28.57</v>
      </c>
      <c r="AK44">
        <v>26.03</v>
      </c>
      <c r="AL44">
        <v>26.03</v>
      </c>
      <c r="AM44">
        <v>101.47</v>
      </c>
      <c r="AN44">
        <v>156.1</v>
      </c>
      <c r="AO44">
        <v>141.69999999999999</v>
      </c>
      <c r="AP44">
        <v>9.1999999999999993</v>
      </c>
      <c r="AQ44">
        <v>117</v>
      </c>
      <c r="AR44">
        <v>3.85</v>
      </c>
      <c r="AS44">
        <v>-21</v>
      </c>
      <c r="AT44">
        <v>-11</v>
      </c>
      <c r="AU44">
        <v>127</v>
      </c>
      <c r="AV44">
        <v>32</v>
      </c>
      <c r="AW44">
        <v>84.81</v>
      </c>
      <c r="AX44">
        <v>23.59</v>
      </c>
      <c r="AY44">
        <v>-81.48</v>
      </c>
      <c r="AZ44">
        <v>-0.79</v>
      </c>
      <c r="BA44">
        <v>126.95</v>
      </c>
      <c r="BB44">
        <v>51.25</v>
      </c>
      <c r="BC44" t="s">
        <v>1151</v>
      </c>
      <c r="BD44" t="s">
        <v>126</v>
      </c>
      <c r="BE44">
        <v>35.85</v>
      </c>
      <c r="BF44">
        <v>127.13</v>
      </c>
      <c r="BG44">
        <v>36.5</v>
      </c>
      <c r="BH44">
        <v>15</v>
      </c>
      <c r="BI44">
        <v>0.74</v>
      </c>
      <c r="BJ44" t="s">
        <v>858</v>
      </c>
      <c r="BK44" t="s">
        <v>126</v>
      </c>
      <c r="BL44">
        <v>-0.88</v>
      </c>
      <c r="BM44" t="s">
        <v>124</v>
      </c>
      <c r="BN44">
        <v>0</v>
      </c>
      <c r="BO44">
        <v>0</v>
      </c>
      <c r="BP44">
        <v>0</v>
      </c>
      <c r="BQ44">
        <v>-0.02</v>
      </c>
      <c r="BR44">
        <v>0.03</v>
      </c>
      <c r="BS44">
        <v>0.18</v>
      </c>
      <c r="BT44" t="s">
        <v>124</v>
      </c>
      <c r="BU44">
        <v>150</v>
      </c>
      <c r="BV44">
        <v>0</v>
      </c>
      <c r="BW44">
        <v>2</v>
      </c>
      <c r="BX44">
        <v>0.06</v>
      </c>
      <c r="BY44">
        <v>0</v>
      </c>
      <c r="BZ44">
        <v>0.03</v>
      </c>
      <c r="CA44">
        <v>0</v>
      </c>
      <c r="CB44">
        <v>0</v>
      </c>
      <c r="CC44">
        <v>0</v>
      </c>
      <c r="CD44" t="s">
        <v>176</v>
      </c>
      <c r="CE44" t="s">
        <v>161</v>
      </c>
      <c r="CF44" t="s">
        <v>177</v>
      </c>
      <c r="CG44">
        <v>6000</v>
      </c>
      <c r="CH44">
        <v>500</v>
      </c>
      <c r="CI44">
        <v>1</v>
      </c>
      <c r="CJ44">
        <v>2</v>
      </c>
      <c r="CK44">
        <v>55537</v>
      </c>
      <c r="CL44">
        <v>55537</v>
      </c>
      <c r="CM44">
        <v>55537</v>
      </c>
      <c r="CN44">
        <v>0</v>
      </c>
      <c r="CO44">
        <v>-9999</v>
      </c>
      <c r="CP44">
        <v>0</v>
      </c>
      <c r="CQ44">
        <v>0</v>
      </c>
      <c r="CR44">
        <v>0</v>
      </c>
      <c r="CS44">
        <v>0</v>
      </c>
      <c r="CT44">
        <v>2.5</v>
      </c>
      <c r="CU44">
        <v>2.4500000000000002</v>
      </c>
      <c r="CV44">
        <v>1.67</v>
      </c>
      <c r="CW44">
        <v>0.91</v>
      </c>
      <c r="CX44">
        <v>0.24</v>
      </c>
      <c r="CY44">
        <v>-0.03</v>
      </c>
      <c r="CZ44">
        <v>0.31</v>
      </c>
      <c r="DA44">
        <v>0.21</v>
      </c>
      <c r="DB44">
        <v>92.28</v>
      </c>
      <c r="DC44">
        <v>0</v>
      </c>
      <c r="DD44">
        <v>2.42</v>
      </c>
      <c r="DE44">
        <v>0</v>
      </c>
      <c r="DF44">
        <v>1</v>
      </c>
      <c r="DG44">
        <v>2.37</v>
      </c>
      <c r="DH44">
        <v>0</v>
      </c>
      <c r="DI44">
        <v>1</v>
      </c>
      <c r="DJ44">
        <v>0.6</v>
      </c>
      <c r="DK44">
        <v>0.6</v>
      </c>
      <c r="DL44">
        <v>0.11</v>
      </c>
      <c r="DM44">
        <v>0</v>
      </c>
      <c r="DN44" t="s">
        <v>1135</v>
      </c>
      <c r="DO44" t="s">
        <v>198</v>
      </c>
      <c r="DP44" t="s">
        <v>199</v>
      </c>
      <c r="DQ44" t="s">
        <v>200</v>
      </c>
      <c r="DR44" t="s">
        <v>201</v>
      </c>
      <c r="DS44" t="s">
        <v>202</v>
      </c>
      <c r="DT44" t="s">
        <v>203</v>
      </c>
    </row>
    <row r="45" spans="1:124" x14ac:dyDescent="0.45">
      <c r="A45" t="s">
        <v>1164</v>
      </c>
      <c r="B45" t="s">
        <v>1165</v>
      </c>
      <c r="C45" t="s">
        <v>126</v>
      </c>
      <c r="D45" t="s">
        <v>127</v>
      </c>
      <c r="E45" t="s">
        <v>128</v>
      </c>
      <c r="I45" t="s">
        <v>2265</v>
      </c>
      <c r="J45">
        <v>0.27</v>
      </c>
      <c r="K45">
        <v>2.91</v>
      </c>
      <c r="L45">
        <v>0.25</v>
      </c>
      <c r="M45">
        <v>3.84</v>
      </c>
      <c r="N45">
        <v>1.95</v>
      </c>
      <c r="O45">
        <v>1.84</v>
      </c>
      <c r="P45">
        <v>3.47</v>
      </c>
      <c r="Q45">
        <v>1.52</v>
      </c>
      <c r="R45">
        <v>18.12</v>
      </c>
      <c r="S45">
        <v>19.18</v>
      </c>
      <c r="T45">
        <v>34.17</v>
      </c>
      <c r="U45">
        <v>0.44</v>
      </c>
      <c r="V45">
        <v>7.5</v>
      </c>
      <c r="W45" t="s">
        <v>1170</v>
      </c>
      <c r="X45">
        <v>0</v>
      </c>
      <c r="Y45">
        <v>0</v>
      </c>
      <c r="Z45">
        <v>0</v>
      </c>
      <c r="AA45">
        <v>120.03</v>
      </c>
      <c r="AB45">
        <v>525.79999999999995</v>
      </c>
      <c r="AC45">
        <v>0.77</v>
      </c>
      <c r="AD45">
        <v>0.5</v>
      </c>
      <c r="AE45">
        <v>0.84</v>
      </c>
      <c r="AF45">
        <v>36.630000000000003</v>
      </c>
      <c r="AG45">
        <v>1</v>
      </c>
      <c r="AH45">
        <v>49.75</v>
      </c>
      <c r="AI45">
        <v>46.98</v>
      </c>
      <c r="AJ45">
        <v>28.53</v>
      </c>
      <c r="AK45">
        <v>26.46</v>
      </c>
      <c r="AL45">
        <v>26.46</v>
      </c>
      <c r="AM45">
        <v>101.47</v>
      </c>
      <c r="AN45">
        <v>156.1</v>
      </c>
      <c r="AO45">
        <v>146.6</v>
      </c>
      <c r="AP45">
        <v>6.1</v>
      </c>
      <c r="AQ45">
        <v>113</v>
      </c>
      <c r="AR45">
        <v>3.85</v>
      </c>
      <c r="AS45">
        <v>-15</v>
      </c>
      <c r="AT45">
        <v>-2</v>
      </c>
      <c r="AU45">
        <v>136</v>
      </c>
      <c r="AV45">
        <v>35.97</v>
      </c>
      <c r="AW45">
        <v>80.94</v>
      </c>
      <c r="AX45">
        <v>15.13</v>
      </c>
      <c r="AY45">
        <v>-51.68</v>
      </c>
      <c r="AZ45">
        <v>-0.79</v>
      </c>
      <c r="BA45">
        <v>127.19</v>
      </c>
      <c r="BB45">
        <v>51.09</v>
      </c>
      <c r="BC45" t="s">
        <v>1187</v>
      </c>
      <c r="BD45" t="s">
        <v>126</v>
      </c>
      <c r="BE45">
        <v>35.85</v>
      </c>
      <c r="BF45">
        <v>127.13</v>
      </c>
      <c r="BG45">
        <v>37.700000000000003</v>
      </c>
      <c r="BH45">
        <v>15</v>
      </c>
      <c r="BI45">
        <v>0.75</v>
      </c>
      <c r="BJ45" t="s">
        <v>858</v>
      </c>
      <c r="BK45" t="s">
        <v>126</v>
      </c>
      <c r="BL45">
        <v>-0.88</v>
      </c>
      <c r="BM45" t="s">
        <v>124</v>
      </c>
      <c r="BN45">
        <v>0</v>
      </c>
      <c r="BO45">
        <v>0</v>
      </c>
      <c r="BP45">
        <v>0</v>
      </c>
      <c r="BQ45">
        <v>-0.45</v>
      </c>
      <c r="BR45">
        <v>0.23</v>
      </c>
      <c r="BS45">
        <v>0.41</v>
      </c>
      <c r="BT45" t="s">
        <v>124</v>
      </c>
      <c r="BU45">
        <v>150</v>
      </c>
      <c r="BV45">
        <v>0</v>
      </c>
      <c r="BW45">
        <v>2</v>
      </c>
      <c r="BX45">
        <v>0.06</v>
      </c>
      <c r="BY45">
        <v>0</v>
      </c>
      <c r="BZ45">
        <v>0.03</v>
      </c>
      <c r="CA45">
        <v>0</v>
      </c>
      <c r="CB45">
        <v>0</v>
      </c>
      <c r="CC45">
        <v>0</v>
      </c>
      <c r="CD45" t="s">
        <v>176</v>
      </c>
      <c r="CE45" t="s">
        <v>161</v>
      </c>
      <c r="CF45" t="s">
        <v>177</v>
      </c>
      <c r="CG45">
        <v>6000</v>
      </c>
      <c r="CH45">
        <v>500</v>
      </c>
      <c r="CI45">
        <v>1</v>
      </c>
      <c r="CJ45">
        <v>2</v>
      </c>
      <c r="CK45">
        <v>55537</v>
      </c>
      <c r="CL45">
        <v>55537</v>
      </c>
      <c r="CM45">
        <v>55537</v>
      </c>
      <c r="CN45">
        <v>0</v>
      </c>
      <c r="CO45">
        <v>-9999</v>
      </c>
      <c r="CP45">
        <v>0</v>
      </c>
      <c r="CQ45">
        <v>0</v>
      </c>
      <c r="CR45">
        <v>0</v>
      </c>
      <c r="CS45">
        <v>0</v>
      </c>
      <c r="CT45">
        <v>2.5</v>
      </c>
      <c r="CU45">
        <v>2.44</v>
      </c>
      <c r="CV45">
        <v>1.67</v>
      </c>
      <c r="CW45">
        <v>0.92</v>
      </c>
      <c r="CX45">
        <v>0.24</v>
      </c>
      <c r="CY45">
        <v>-0.02</v>
      </c>
      <c r="CZ45">
        <v>0.31</v>
      </c>
      <c r="DA45">
        <v>0.21</v>
      </c>
      <c r="DB45">
        <v>120.03</v>
      </c>
      <c r="DC45">
        <v>0</v>
      </c>
      <c r="DD45">
        <v>2.42</v>
      </c>
      <c r="DE45">
        <v>0</v>
      </c>
      <c r="DF45">
        <v>1</v>
      </c>
      <c r="DG45">
        <v>2.37</v>
      </c>
      <c r="DH45">
        <v>0</v>
      </c>
      <c r="DI45">
        <v>1</v>
      </c>
      <c r="DJ45">
        <v>0.6</v>
      </c>
      <c r="DK45">
        <v>0.6</v>
      </c>
      <c r="DL45">
        <v>0.11</v>
      </c>
      <c r="DM45">
        <v>0</v>
      </c>
      <c r="DN45" t="s">
        <v>1170</v>
      </c>
      <c r="DO45" t="s">
        <v>198</v>
      </c>
      <c r="DP45" t="s">
        <v>199</v>
      </c>
      <c r="DQ45" t="s">
        <v>200</v>
      </c>
      <c r="DR45" t="s">
        <v>201</v>
      </c>
      <c r="DS45" t="s">
        <v>202</v>
      </c>
      <c r="DT45" t="s">
        <v>203</v>
      </c>
    </row>
    <row r="46" spans="1:124" x14ac:dyDescent="0.45">
      <c r="A46" t="s">
        <v>1202</v>
      </c>
      <c r="B46" t="s">
        <v>1203</v>
      </c>
      <c r="C46" t="s">
        <v>126</v>
      </c>
      <c r="D46" t="s">
        <v>127</v>
      </c>
      <c r="E46" t="s">
        <v>128</v>
      </c>
      <c r="I46" t="s">
        <v>2266</v>
      </c>
      <c r="J46">
        <v>0.4</v>
      </c>
      <c r="K46">
        <v>2.91</v>
      </c>
      <c r="L46">
        <v>0.35</v>
      </c>
      <c r="M46">
        <v>4.9000000000000004</v>
      </c>
      <c r="N46">
        <v>1.98</v>
      </c>
      <c r="O46">
        <v>1.84</v>
      </c>
      <c r="P46">
        <v>3.37</v>
      </c>
      <c r="Q46">
        <v>1.39</v>
      </c>
      <c r="R46">
        <v>18.13</v>
      </c>
      <c r="S46">
        <v>19.489999999999998</v>
      </c>
      <c r="T46">
        <v>33.18</v>
      </c>
      <c r="U46">
        <v>0.44</v>
      </c>
      <c r="V46">
        <v>7.5</v>
      </c>
      <c r="W46" t="s">
        <v>1208</v>
      </c>
      <c r="X46">
        <v>0</v>
      </c>
      <c r="Y46">
        <v>0</v>
      </c>
      <c r="Z46">
        <v>0</v>
      </c>
      <c r="AA46">
        <v>101.09</v>
      </c>
      <c r="AB46">
        <v>462.7</v>
      </c>
      <c r="AC46">
        <v>0.78</v>
      </c>
      <c r="AD46">
        <v>0.5</v>
      </c>
      <c r="AE46">
        <v>0.84</v>
      </c>
      <c r="AF46">
        <v>36.76</v>
      </c>
      <c r="AG46">
        <v>1</v>
      </c>
      <c r="AH46">
        <v>50.68</v>
      </c>
      <c r="AI46">
        <v>47.14</v>
      </c>
      <c r="AJ46">
        <v>28.48</v>
      </c>
      <c r="AK46">
        <v>25.96</v>
      </c>
      <c r="AL46">
        <v>25.96</v>
      </c>
      <c r="AM46">
        <v>101.47</v>
      </c>
      <c r="AN46">
        <v>156.1</v>
      </c>
      <c r="AO46">
        <v>153.30000000000001</v>
      </c>
      <c r="AP46">
        <v>1.8</v>
      </c>
      <c r="AQ46">
        <v>112</v>
      </c>
      <c r="AR46">
        <v>3.85</v>
      </c>
      <c r="AS46">
        <v>-32</v>
      </c>
      <c r="AT46">
        <v>-35</v>
      </c>
      <c r="AU46">
        <v>102</v>
      </c>
      <c r="AV46">
        <v>56.57</v>
      </c>
      <c r="AW46">
        <v>55.09</v>
      </c>
      <c r="AX46">
        <v>46</v>
      </c>
      <c r="AY46">
        <v>-130.88</v>
      </c>
      <c r="AZ46">
        <v>-0.79</v>
      </c>
      <c r="BA46">
        <v>127.44</v>
      </c>
      <c r="BB46">
        <v>50.93</v>
      </c>
      <c r="BC46" t="s">
        <v>1225</v>
      </c>
      <c r="BD46" t="s">
        <v>126</v>
      </c>
      <c r="BE46">
        <v>35.85</v>
      </c>
      <c r="BF46">
        <v>127.13</v>
      </c>
      <c r="BG46">
        <v>37.200000000000003</v>
      </c>
      <c r="BH46">
        <v>16</v>
      </c>
      <c r="BI46">
        <v>0.72</v>
      </c>
      <c r="BJ46" t="s">
        <v>858</v>
      </c>
      <c r="BK46" t="s">
        <v>126</v>
      </c>
      <c r="BL46">
        <v>-0.88</v>
      </c>
      <c r="BM46" t="s">
        <v>124</v>
      </c>
      <c r="BN46">
        <v>0</v>
      </c>
      <c r="BO46">
        <v>0</v>
      </c>
      <c r="BP46">
        <v>0</v>
      </c>
      <c r="BQ46">
        <v>-0.12</v>
      </c>
      <c r="BR46">
        <v>-0.15</v>
      </c>
      <c r="BS46">
        <v>-0.3</v>
      </c>
      <c r="BT46" t="s">
        <v>124</v>
      </c>
      <c r="BU46">
        <v>150</v>
      </c>
      <c r="BV46">
        <v>0</v>
      </c>
      <c r="BW46">
        <v>2</v>
      </c>
      <c r="BX46">
        <v>0.06</v>
      </c>
      <c r="BY46">
        <v>0</v>
      </c>
      <c r="BZ46">
        <v>0.03</v>
      </c>
      <c r="CA46">
        <v>0</v>
      </c>
      <c r="CB46">
        <v>0</v>
      </c>
      <c r="CC46">
        <v>0</v>
      </c>
      <c r="CD46" t="s">
        <v>176</v>
      </c>
      <c r="CE46" t="s">
        <v>161</v>
      </c>
      <c r="CF46" t="s">
        <v>177</v>
      </c>
      <c r="CG46">
        <v>6000</v>
      </c>
      <c r="CH46">
        <v>500</v>
      </c>
      <c r="CI46">
        <v>1</v>
      </c>
      <c r="CJ46">
        <v>2</v>
      </c>
      <c r="CK46">
        <v>55537</v>
      </c>
      <c r="CL46">
        <v>55537</v>
      </c>
      <c r="CM46">
        <v>55537</v>
      </c>
      <c r="CN46">
        <v>0</v>
      </c>
      <c r="CO46">
        <v>-9999</v>
      </c>
      <c r="CP46">
        <v>0</v>
      </c>
      <c r="CQ46">
        <v>0</v>
      </c>
      <c r="CR46">
        <v>0</v>
      </c>
      <c r="CS46">
        <v>0</v>
      </c>
      <c r="CT46">
        <v>2.5</v>
      </c>
      <c r="CU46">
        <v>2.44</v>
      </c>
      <c r="CV46">
        <v>1.67</v>
      </c>
      <c r="CW46">
        <v>0.94</v>
      </c>
      <c r="CX46">
        <v>0.24</v>
      </c>
      <c r="CY46">
        <v>-0.03</v>
      </c>
      <c r="CZ46">
        <v>0.32</v>
      </c>
      <c r="DA46">
        <v>0.2</v>
      </c>
      <c r="DB46">
        <v>101.09</v>
      </c>
      <c r="DC46">
        <v>0</v>
      </c>
      <c r="DD46">
        <v>2.42</v>
      </c>
      <c r="DE46">
        <v>0</v>
      </c>
      <c r="DF46">
        <v>1</v>
      </c>
      <c r="DG46">
        <v>2.37</v>
      </c>
      <c r="DH46">
        <v>0</v>
      </c>
      <c r="DI46">
        <v>1</v>
      </c>
      <c r="DJ46">
        <v>0.6</v>
      </c>
      <c r="DK46">
        <v>0.6</v>
      </c>
      <c r="DL46">
        <v>0.11</v>
      </c>
      <c r="DM46">
        <v>0</v>
      </c>
      <c r="DN46" t="s">
        <v>1208</v>
      </c>
      <c r="DO46" t="s">
        <v>198</v>
      </c>
      <c r="DP46" t="s">
        <v>199</v>
      </c>
      <c r="DQ46" t="s">
        <v>200</v>
      </c>
      <c r="DR46" t="s">
        <v>201</v>
      </c>
      <c r="DS46" t="s">
        <v>202</v>
      </c>
      <c r="DT46" t="s">
        <v>203</v>
      </c>
    </row>
    <row r="47" spans="1:124" x14ac:dyDescent="0.45">
      <c r="A47" t="s">
        <v>1462</v>
      </c>
      <c r="B47" t="s">
        <v>1463</v>
      </c>
      <c r="C47" t="s">
        <v>126</v>
      </c>
      <c r="D47" t="s">
        <v>127</v>
      </c>
      <c r="E47" t="s">
        <v>128</v>
      </c>
      <c r="I47" t="s">
        <v>2267</v>
      </c>
      <c r="J47">
        <v>0.16</v>
      </c>
      <c r="K47">
        <v>2.91</v>
      </c>
      <c r="L47">
        <v>0.16</v>
      </c>
      <c r="M47">
        <v>2.41</v>
      </c>
      <c r="N47">
        <v>2.04</v>
      </c>
      <c r="O47">
        <v>1.97</v>
      </c>
      <c r="P47">
        <v>3.57</v>
      </c>
      <c r="Q47">
        <v>1.53</v>
      </c>
      <c r="R47">
        <v>19.39</v>
      </c>
      <c r="S47">
        <v>20.059999999999999</v>
      </c>
      <c r="T47">
        <v>35.17</v>
      </c>
      <c r="U47">
        <v>0.44</v>
      </c>
      <c r="V47">
        <v>7.5</v>
      </c>
      <c r="W47" t="s">
        <v>1468</v>
      </c>
      <c r="X47">
        <v>0</v>
      </c>
      <c r="Y47">
        <v>0</v>
      </c>
      <c r="Z47">
        <v>0</v>
      </c>
      <c r="AA47">
        <v>107.67</v>
      </c>
      <c r="AB47">
        <v>476.18</v>
      </c>
      <c r="AC47">
        <v>0.77</v>
      </c>
      <c r="AD47">
        <v>0.5</v>
      </c>
      <c r="AE47">
        <v>0.84</v>
      </c>
      <c r="AF47">
        <v>42.58</v>
      </c>
      <c r="AG47">
        <v>1</v>
      </c>
      <c r="AH47">
        <v>52.35</v>
      </c>
      <c r="AI47">
        <v>50.6</v>
      </c>
      <c r="AJ47">
        <v>28.42</v>
      </c>
      <c r="AK47">
        <v>26.95</v>
      </c>
      <c r="AL47">
        <v>26.95</v>
      </c>
      <c r="AM47">
        <v>101.47</v>
      </c>
      <c r="AN47">
        <v>156.1</v>
      </c>
      <c r="AO47">
        <v>145.4</v>
      </c>
      <c r="AP47">
        <v>6.8</v>
      </c>
      <c r="AQ47">
        <v>131</v>
      </c>
      <c r="AR47">
        <v>3.85</v>
      </c>
      <c r="AS47">
        <v>-45</v>
      </c>
      <c r="AT47">
        <v>-17</v>
      </c>
      <c r="AU47">
        <v>175</v>
      </c>
      <c r="AV47">
        <v>18.329999999999998</v>
      </c>
      <c r="AW47">
        <v>94.93</v>
      </c>
      <c r="AX47">
        <v>47.45</v>
      </c>
      <c r="AY47">
        <v>-28.38</v>
      </c>
      <c r="AZ47">
        <v>-0.79</v>
      </c>
      <c r="BA47">
        <v>127.69</v>
      </c>
      <c r="BB47">
        <v>50.77</v>
      </c>
      <c r="BC47" t="s">
        <v>1485</v>
      </c>
      <c r="BD47" t="s">
        <v>126</v>
      </c>
      <c r="BE47">
        <v>35.85</v>
      </c>
      <c r="BF47">
        <v>127.13</v>
      </c>
      <c r="BG47">
        <v>36.6</v>
      </c>
      <c r="BH47">
        <v>15</v>
      </c>
      <c r="BI47">
        <v>0.72</v>
      </c>
      <c r="BJ47" t="s">
        <v>858</v>
      </c>
      <c r="BK47" t="s">
        <v>126</v>
      </c>
      <c r="BL47">
        <v>-0.88</v>
      </c>
      <c r="BM47" t="s">
        <v>124</v>
      </c>
      <c r="BN47">
        <v>0</v>
      </c>
      <c r="BO47">
        <v>0</v>
      </c>
      <c r="BP47">
        <v>0</v>
      </c>
      <c r="BQ47">
        <v>0</v>
      </c>
      <c r="BR47">
        <v>-0.09</v>
      </c>
      <c r="BS47">
        <v>-0.15</v>
      </c>
      <c r="BT47" t="s">
        <v>124</v>
      </c>
      <c r="BU47">
        <v>150</v>
      </c>
      <c r="BV47">
        <v>0</v>
      </c>
      <c r="BW47">
        <v>2</v>
      </c>
      <c r="BX47">
        <v>0.06</v>
      </c>
      <c r="BY47">
        <v>0</v>
      </c>
      <c r="BZ47">
        <v>0.03</v>
      </c>
      <c r="CA47">
        <v>0</v>
      </c>
      <c r="CB47">
        <v>0</v>
      </c>
      <c r="CC47">
        <v>0</v>
      </c>
      <c r="CD47" t="s">
        <v>176</v>
      </c>
      <c r="CE47" t="s">
        <v>161</v>
      </c>
      <c r="CF47" t="s">
        <v>177</v>
      </c>
      <c r="CG47">
        <v>6000</v>
      </c>
      <c r="CH47">
        <v>500</v>
      </c>
      <c r="CI47">
        <v>1</v>
      </c>
      <c r="CJ47">
        <v>2</v>
      </c>
      <c r="CK47">
        <v>55537</v>
      </c>
      <c r="CL47">
        <v>55537</v>
      </c>
      <c r="CM47">
        <v>55537</v>
      </c>
      <c r="CN47">
        <v>0</v>
      </c>
      <c r="CO47">
        <v>-9999</v>
      </c>
      <c r="CP47">
        <v>0</v>
      </c>
      <c r="CQ47">
        <v>0</v>
      </c>
      <c r="CR47">
        <v>0</v>
      </c>
      <c r="CS47">
        <v>0</v>
      </c>
      <c r="CT47">
        <v>2.5099999999999998</v>
      </c>
      <c r="CU47">
        <v>2.4500000000000002</v>
      </c>
      <c r="CV47">
        <v>1.67</v>
      </c>
      <c r="CW47">
        <v>0.92</v>
      </c>
      <c r="CX47">
        <v>0.24</v>
      </c>
      <c r="CY47">
        <v>-0.02</v>
      </c>
      <c r="CZ47">
        <v>0.33</v>
      </c>
      <c r="DA47">
        <v>0.22</v>
      </c>
      <c r="DB47">
        <v>107.67</v>
      </c>
      <c r="DC47">
        <v>0</v>
      </c>
      <c r="DD47">
        <v>2.42</v>
      </c>
      <c r="DE47">
        <v>0</v>
      </c>
      <c r="DF47">
        <v>1</v>
      </c>
      <c r="DG47">
        <v>2.37</v>
      </c>
      <c r="DH47">
        <v>0</v>
      </c>
      <c r="DI47">
        <v>1</v>
      </c>
      <c r="DJ47">
        <v>0.6</v>
      </c>
      <c r="DK47">
        <v>0.6</v>
      </c>
      <c r="DL47">
        <v>0.11</v>
      </c>
      <c r="DM47">
        <v>0</v>
      </c>
      <c r="DN47" t="s">
        <v>1468</v>
      </c>
      <c r="DO47" t="s">
        <v>198</v>
      </c>
      <c r="DP47" t="s">
        <v>199</v>
      </c>
      <c r="DQ47" t="s">
        <v>200</v>
      </c>
      <c r="DR47" t="s">
        <v>201</v>
      </c>
      <c r="DS47" t="s">
        <v>202</v>
      </c>
      <c r="DT47" t="s">
        <v>203</v>
      </c>
    </row>
    <row r="48" spans="1:124" x14ac:dyDescent="0.45">
      <c r="A48" t="s">
        <v>888</v>
      </c>
      <c r="B48" t="s">
        <v>1497</v>
      </c>
      <c r="C48" t="s">
        <v>126</v>
      </c>
      <c r="D48" t="s">
        <v>127</v>
      </c>
      <c r="E48" t="s">
        <v>128</v>
      </c>
      <c r="I48" t="s">
        <v>2268</v>
      </c>
      <c r="J48">
        <v>0.23</v>
      </c>
      <c r="K48">
        <v>2.91</v>
      </c>
      <c r="L48">
        <v>0.21</v>
      </c>
      <c r="M48">
        <v>3.17</v>
      </c>
      <c r="N48">
        <v>2.08</v>
      </c>
      <c r="O48">
        <v>1.99</v>
      </c>
      <c r="P48">
        <v>3.54</v>
      </c>
      <c r="Q48">
        <v>1.46</v>
      </c>
      <c r="R48">
        <v>19.61</v>
      </c>
      <c r="S48">
        <v>20.5</v>
      </c>
      <c r="T48">
        <v>34.93</v>
      </c>
      <c r="U48">
        <v>0.44</v>
      </c>
      <c r="V48">
        <v>7.5</v>
      </c>
      <c r="W48" t="s">
        <v>1502</v>
      </c>
      <c r="X48">
        <v>0</v>
      </c>
      <c r="Y48">
        <v>0</v>
      </c>
      <c r="Z48">
        <v>0</v>
      </c>
      <c r="AA48">
        <v>93.65</v>
      </c>
      <c r="AB48">
        <v>423.4</v>
      </c>
      <c r="AC48">
        <v>0.78</v>
      </c>
      <c r="AD48">
        <v>0.5</v>
      </c>
      <c r="AE48">
        <v>0.84</v>
      </c>
      <c r="AF48">
        <v>59.86</v>
      </c>
      <c r="AG48">
        <v>1</v>
      </c>
      <c r="AH48">
        <v>53.55</v>
      </c>
      <c r="AI48">
        <v>51.25</v>
      </c>
      <c r="AJ48">
        <v>28.39</v>
      </c>
      <c r="AK48">
        <v>26.83</v>
      </c>
      <c r="AL48">
        <v>26.83</v>
      </c>
      <c r="AM48">
        <v>101.46</v>
      </c>
      <c r="AN48">
        <v>156</v>
      </c>
      <c r="AO48">
        <v>140.19999999999999</v>
      </c>
      <c r="AP48">
        <v>10.199999999999999</v>
      </c>
      <c r="AQ48">
        <v>183</v>
      </c>
      <c r="AR48">
        <v>3.85</v>
      </c>
      <c r="AS48">
        <v>-8</v>
      </c>
      <c r="AT48">
        <v>-1</v>
      </c>
      <c r="AU48">
        <v>231</v>
      </c>
      <c r="AV48">
        <v>52.08</v>
      </c>
      <c r="AW48">
        <v>61.45</v>
      </c>
      <c r="AX48">
        <v>8.06</v>
      </c>
      <c r="AY48">
        <v>43.85</v>
      </c>
      <c r="AZ48">
        <v>-0.79</v>
      </c>
      <c r="BA48">
        <v>127.69</v>
      </c>
      <c r="BB48">
        <v>50.77</v>
      </c>
      <c r="BC48" t="s">
        <v>1518</v>
      </c>
      <c r="BD48" t="s">
        <v>126</v>
      </c>
      <c r="BE48">
        <v>35.85</v>
      </c>
      <c r="BF48">
        <v>127.13</v>
      </c>
      <c r="BG48">
        <v>36.700000000000003</v>
      </c>
      <c r="BH48">
        <v>17</v>
      </c>
      <c r="BI48">
        <v>0.67</v>
      </c>
      <c r="BJ48" t="s">
        <v>858</v>
      </c>
      <c r="BK48" t="s">
        <v>126</v>
      </c>
      <c r="BL48">
        <v>-0.88</v>
      </c>
      <c r="BM48" t="s">
        <v>124</v>
      </c>
      <c r="BN48">
        <v>0</v>
      </c>
      <c r="BO48">
        <v>0</v>
      </c>
      <c r="BP48">
        <v>0</v>
      </c>
      <c r="BQ48">
        <v>-0.04</v>
      </c>
      <c r="BR48">
        <v>0.12</v>
      </c>
      <c r="BS48">
        <v>0.19</v>
      </c>
      <c r="BT48" t="s">
        <v>124</v>
      </c>
      <c r="BU48">
        <v>150</v>
      </c>
      <c r="BV48">
        <v>0</v>
      </c>
      <c r="BW48">
        <v>2</v>
      </c>
      <c r="BX48">
        <v>0.06</v>
      </c>
      <c r="BY48">
        <v>0</v>
      </c>
      <c r="BZ48">
        <v>0.03</v>
      </c>
      <c r="CA48">
        <v>0</v>
      </c>
      <c r="CB48">
        <v>0</v>
      </c>
      <c r="CC48">
        <v>0</v>
      </c>
      <c r="CD48" t="s">
        <v>176</v>
      </c>
      <c r="CE48" t="s">
        <v>161</v>
      </c>
      <c r="CF48" t="s">
        <v>177</v>
      </c>
      <c r="CG48">
        <v>6000</v>
      </c>
      <c r="CH48">
        <v>500</v>
      </c>
      <c r="CI48">
        <v>1</v>
      </c>
      <c r="CJ48">
        <v>2</v>
      </c>
      <c r="CK48">
        <v>55537</v>
      </c>
      <c r="CL48">
        <v>55537</v>
      </c>
      <c r="CM48">
        <v>55537</v>
      </c>
      <c r="CN48">
        <v>0</v>
      </c>
      <c r="CO48">
        <v>-9999</v>
      </c>
      <c r="CP48">
        <v>0</v>
      </c>
      <c r="CQ48">
        <v>0</v>
      </c>
      <c r="CR48">
        <v>0</v>
      </c>
      <c r="CS48">
        <v>0</v>
      </c>
      <c r="CT48">
        <v>2.5099999999999998</v>
      </c>
      <c r="CU48">
        <v>2.4500000000000002</v>
      </c>
      <c r="CV48">
        <v>1.67</v>
      </c>
      <c r="CW48">
        <v>0.9</v>
      </c>
      <c r="CX48">
        <v>0.24</v>
      </c>
      <c r="CY48">
        <v>-0.02</v>
      </c>
      <c r="CZ48">
        <v>0.33</v>
      </c>
      <c r="DA48">
        <v>0.27</v>
      </c>
      <c r="DB48">
        <v>93.65</v>
      </c>
      <c r="DC48">
        <v>0</v>
      </c>
      <c r="DD48">
        <v>2.42</v>
      </c>
      <c r="DE48">
        <v>0</v>
      </c>
      <c r="DF48">
        <v>1</v>
      </c>
      <c r="DG48">
        <v>2.37</v>
      </c>
      <c r="DH48">
        <v>0</v>
      </c>
      <c r="DI48">
        <v>1</v>
      </c>
      <c r="DJ48">
        <v>0.6</v>
      </c>
      <c r="DK48">
        <v>0.6</v>
      </c>
      <c r="DL48">
        <v>0.11</v>
      </c>
      <c r="DM48">
        <v>0</v>
      </c>
      <c r="DN48" t="s">
        <v>1502</v>
      </c>
      <c r="DO48" t="s">
        <v>198</v>
      </c>
      <c r="DP48" t="s">
        <v>199</v>
      </c>
      <c r="DQ48" t="s">
        <v>200</v>
      </c>
      <c r="DR48" t="s">
        <v>201</v>
      </c>
      <c r="DS48" t="s">
        <v>202</v>
      </c>
      <c r="DT48" t="s">
        <v>203</v>
      </c>
    </row>
    <row r="49" spans="1:124" x14ac:dyDescent="0.45">
      <c r="A49" t="s">
        <v>1532</v>
      </c>
      <c r="B49" t="s">
        <v>1533</v>
      </c>
      <c r="C49" t="s">
        <v>126</v>
      </c>
      <c r="D49" t="s">
        <v>127</v>
      </c>
      <c r="E49" t="s">
        <v>128</v>
      </c>
      <c r="I49" t="s">
        <v>2269</v>
      </c>
      <c r="J49">
        <v>0.23</v>
      </c>
      <c r="K49">
        <v>2.9</v>
      </c>
      <c r="L49">
        <v>0.21</v>
      </c>
      <c r="M49">
        <v>3.22</v>
      </c>
      <c r="N49">
        <v>2.0299999999999998</v>
      </c>
      <c r="O49">
        <v>1.94</v>
      </c>
      <c r="P49">
        <v>3.53</v>
      </c>
      <c r="Q49">
        <v>1.5</v>
      </c>
      <c r="R49">
        <v>19.13</v>
      </c>
      <c r="S49">
        <v>20.02</v>
      </c>
      <c r="T49">
        <v>34.82</v>
      </c>
      <c r="U49">
        <v>0.44</v>
      </c>
      <c r="V49">
        <v>7.5</v>
      </c>
      <c r="W49" t="s">
        <v>1538</v>
      </c>
      <c r="X49">
        <v>0</v>
      </c>
      <c r="Y49">
        <v>0</v>
      </c>
      <c r="Z49">
        <v>0</v>
      </c>
      <c r="AA49">
        <v>111.89</v>
      </c>
      <c r="AB49">
        <v>492.94</v>
      </c>
      <c r="AC49">
        <v>0.77</v>
      </c>
      <c r="AD49">
        <v>0.5</v>
      </c>
      <c r="AE49">
        <v>0.84</v>
      </c>
      <c r="AF49">
        <v>42.53</v>
      </c>
      <c r="AG49">
        <v>1</v>
      </c>
      <c r="AH49">
        <v>52.41</v>
      </c>
      <c r="AI49">
        <v>50.07</v>
      </c>
      <c r="AJ49">
        <v>28.36</v>
      </c>
      <c r="AK49">
        <v>26.78</v>
      </c>
      <c r="AL49">
        <v>26.78</v>
      </c>
      <c r="AM49">
        <v>101.46</v>
      </c>
      <c r="AN49">
        <v>155.9</v>
      </c>
      <c r="AO49">
        <v>155</v>
      </c>
      <c r="AP49">
        <v>0.6</v>
      </c>
      <c r="AQ49">
        <v>131</v>
      </c>
      <c r="AR49">
        <v>3.85</v>
      </c>
      <c r="AS49">
        <v>-37</v>
      </c>
      <c r="AT49">
        <v>-36</v>
      </c>
      <c r="AU49">
        <v>126</v>
      </c>
      <c r="AV49">
        <v>39.58</v>
      </c>
      <c r="AW49">
        <v>77.069999999999993</v>
      </c>
      <c r="AX49">
        <v>49.75</v>
      </c>
      <c r="AY49">
        <v>-104.36</v>
      </c>
      <c r="AZ49">
        <v>-0.79</v>
      </c>
      <c r="BA49">
        <v>127.94</v>
      </c>
      <c r="BB49">
        <v>50.61</v>
      </c>
      <c r="BC49" t="s">
        <v>1555</v>
      </c>
      <c r="BD49" t="s">
        <v>126</v>
      </c>
      <c r="BE49">
        <v>35.85</v>
      </c>
      <c r="BF49">
        <v>127.13</v>
      </c>
      <c r="BG49">
        <v>36.299999999999997</v>
      </c>
      <c r="BH49">
        <v>16</v>
      </c>
      <c r="BI49">
        <v>0.72</v>
      </c>
      <c r="BJ49" t="s">
        <v>858</v>
      </c>
      <c r="BK49" t="s">
        <v>126</v>
      </c>
      <c r="BL49">
        <v>-0.88</v>
      </c>
      <c r="BM49" t="s">
        <v>124</v>
      </c>
      <c r="BN49">
        <v>0</v>
      </c>
      <c r="BO49">
        <v>0</v>
      </c>
      <c r="BP49">
        <v>0</v>
      </c>
      <c r="BQ49">
        <v>-0.05</v>
      </c>
      <c r="BR49">
        <v>-0.09</v>
      </c>
      <c r="BS49">
        <v>-0.11</v>
      </c>
      <c r="BT49" t="s">
        <v>124</v>
      </c>
      <c r="BU49">
        <v>150</v>
      </c>
      <c r="BV49">
        <v>0</v>
      </c>
      <c r="BW49">
        <v>2</v>
      </c>
      <c r="BX49">
        <v>0.06</v>
      </c>
      <c r="BY49">
        <v>0</v>
      </c>
      <c r="BZ49">
        <v>0.03</v>
      </c>
      <c r="CA49">
        <v>0</v>
      </c>
      <c r="CB49">
        <v>0</v>
      </c>
      <c r="CC49">
        <v>0</v>
      </c>
      <c r="CD49" t="s">
        <v>176</v>
      </c>
      <c r="CE49" t="s">
        <v>161</v>
      </c>
      <c r="CF49" t="s">
        <v>177</v>
      </c>
      <c r="CG49">
        <v>6000</v>
      </c>
      <c r="CH49">
        <v>500</v>
      </c>
      <c r="CI49">
        <v>1</v>
      </c>
      <c r="CJ49">
        <v>2</v>
      </c>
      <c r="CK49">
        <v>55537</v>
      </c>
      <c r="CL49">
        <v>55537</v>
      </c>
      <c r="CM49">
        <v>55537</v>
      </c>
      <c r="CN49">
        <v>0</v>
      </c>
      <c r="CO49">
        <v>-9999</v>
      </c>
      <c r="CP49">
        <v>0</v>
      </c>
      <c r="CQ49">
        <v>0</v>
      </c>
      <c r="CR49">
        <v>0</v>
      </c>
      <c r="CS49">
        <v>0</v>
      </c>
      <c r="CT49">
        <v>2.5</v>
      </c>
      <c r="CU49">
        <v>2.4500000000000002</v>
      </c>
      <c r="CV49">
        <v>1.67</v>
      </c>
      <c r="CW49">
        <v>0.94</v>
      </c>
      <c r="CX49">
        <v>0.24</v>
      </c>
      <c r="CY49">
        <v>-0.02</v>
      </c>
      <c r="CZ49">
        <v>0.33</v>
      </c>
      <c r="DA49">
        <v>0.22</v>
      </c>
      <c r="DB49">
        <v>111.89</v>
      </c>
      <c r="DC49">
        <v>0</v>
      </c>
      <c r="DD49">
        <v>2.42</v>
      </c>
      <c r="DE49">
        <v>0</v>
      </c>
      <c r="DF49">
        <v>1</v>
      </c>
      <c r="DG49">
        <v>2.37</v>
      </c>
      <c r="DH49">
        <v>0</v>
      </c>
      <c r="DI49">
        <v>1</v>
      </c>
      <c r="DJ49">
        <v>0.6</v>
      </c>
      <c r="DK49">
        <v>0.6</v>
      </c>
      <c r="DL49">
        <v>0.11</v>
      </c>
      <c r="DM49">
        <v>0</v>
      </c>
      <c r="DN49" t="s">
        <v>1538</v>
      </c>
      <c r="DO49" t="s">
        <v>198</v>
      </c>
      <c r="DP49" t="s">
        <v>199</v>
      </c>
      <c r="DQ49" t="s">
        <v>200</v>
      </c>
      <c r="DR49" t="s">
        <v>201</v>
      </c>
      <c r="DS49" t="s">
        <v>202</v>
      </c>
      <c r="DT49" t="s">
        <v>203</v>
      </c>
    </row>
    <row r="50" spans="1:124" x14ac:dyDescent="0.45">
      <c r="A50" t="s">
        <v>1769</v>
      </c>
      <c r="B50" t="s">
        <v>1770</v>
      </c>
      <c r="C50" t="s">
        <v>126</v>
      </c>
      <c r="D50" t="s">
        <v>127</v>
      </c>
      <c r="E50" t="s">
        <v>128</v>
      </c>
      <c r="I50" t="s">
        <v>2270</v>
      </c>
      <c r="J50">
        <v>0.31</v>
      </c>
      <c r="K50">
        <v>2.9</v>
      </c>
      <c r="L50">
        <v>0.28000000000000003</v>
      </c>
      <c r="M50">
        <v>4.1500000000000004</v>
      </c>
      <c r="N50">
        <v>1.98</v>
      </c>
      <c r="O50">
        <v>1.86</v>
      </c>
      <c r="P50">
        <v>3.45</v>
      </c>
      <c r="Q50">
        <v>1.47</v>
      </c>
      <c r="R50">
        <v>18.32</v>
      </c>
      <c r="S50">
        <v>19.47</v>
      </c>
      <c r="T50">
        <v>34</v>
      </c>
      <c r="U50">
        <v>0.44</v>
      </c>
      <c r="V50">
        <v>7.5</v>
      </c>
      <c r="W50" t="s">
        <v>1775</v>
      </c>
      <c r="X50">
        <v>0</v>
      </c>
      <c r="Y50">
        <v>0</v>
      </c>
      <c r="Z50">
        <v>0</v>
      </c>
      <c r="AA50">
        <v>104.45</v>
      </c>
      <c r="AB50">
        <v>453.12</v>
      </c>
      <c r="AC50">
        <v>0.77</v>
      </c>
      <c r="AD50">
        <v>0.5</v>
      </c>
      <c r="AE50">
        <v>0.84</v>
      </c>
      <c r="AF50">
        <v>60.76</v>
      </c>
      <c r="AG50">
        <v>1</v>
      </c>
      <c r="AH50">
        <v>51.06</v>
      </c>
      <c r="AI50">
        <v>48.03</v>
      </c>
      <c r="AJ50">
        <v>28.33</v>
      </c>
      <c r="AK50">
        <v>26.37</v>
      </c>
      <c r="AL50">
        <v>26.37</v>
      </c>
      <c r="AM50">
        <v>101.45</v>
      </c>
      <c r="AN50">
        <v>155.9</v>
      </c>
      <c r="AO50">
        <v>152.19999999999999</v>
      </c>
      <c r="AP50">
        <v>2.4</v>
      </c>
      <c r="AQ50">
        <v>188</v>
      </c>
      <c r="AR50">
        <v>3.85</v>
      </c>
      <c r="AS50">
        <v>-18</v>
      </c>
      <c r="AT50">
        <v>2</v>
      </c>
      <c r="AU50">
        <v>317</v>
      </c>
      <c r="AV50">
        <v>68.040000000000006</v>
      </c>
      <c r="AW50">
        <v>37.4</v>
      </c>
      <c r="AX50">
        <v>18.11</v>
      </c>
      <c r="AY50">
        <v>143.44999999999999</v>
      </c>
      <c r="AZ50">
        <v>-0.79</v>
      </c>
      <c r="BA50">
        <v>128.19</v>
      </c>
      <c r="BB50">
        <v>50.45</v>
      </c>
      <c r="BC50" t="s">
        <v>1794</v>
      </c>
      <c r="BD50" t="s">
        <v>126</v>
      </c>
      <c r="BE50">
        <v>35.85</v>
      </c>
      <c r="BF50">
        <v>127.13</v>
      </c>
      <c r="BG50">
        <v>36.5</v>
      </c>
      <c r="BH50">
        <v>15</v>
      </c>
      <c r="BI50">
        <v>0.72</v>
      </c>
      <c r="BJ50" t="s">
        <v>858</v>
      </c>
      <c r="BK50" t="s">
        <v>126</v>
      </c>
      <c r="BL50">
        <v>-0.88</v>
      </c>
      <c r="BM50" t="s">
        <v>124</v>
      </c>
      <c r="BN50">
        <v>0</v>
      </c>
      <c r="BO50">
        <v>0</v>
      </c>
      <c r="BP50">
        <v>0</v>
      </c>
      <c r="BQ50">
        <v>-0.04</v>
      </c>
      <c r="BR50">
        <v>-0.2</v>
      </c>
      <c r="BS50">
        <v>-0.06</v>
      </c>
      <c r="BT50" t="s">
        <v>124</v>
      </c>
      <c r="BU50">
        <v>150</v>
      </c>
      <c r="BV50">
        <v>0</v>
      </c>
      <c r="BW50">
        <v>2</v>
      </c>
      <c r="BX50">
        <v>0.06</v>
      </c>
      <c r="BY50">
        <v>0</v>
      </c>
      <c r="BZ50">
        <v>0.03</v>
      </c>
      <c r="CA50">
        <v>0</v>
      </c>
      <c r="CB50">
        <v>0</v>
      </c>
      <c r="CC50">
        <v>0</v>
      </c>
      <c r="CD50" t="s">
        <v>176</v>
      </c>
      <c r="CE50" t="s">
        <v>161</v>
      </c>
      <c r="CF50" t="s">
        <v>177</v>
      </c>
      <c r="CG50">
        <v>6000</v>
      </c>
      <c r="CH50">
        <v>500</v>
      </c>
      <c r="CI50">
        <v>1</v>
      </c>
      <c r="CJ50">
        <v>2</v>
      </c>
      <c r="CK50">
        <v>55537</v>
      </c>
      <c r="CL50">
        <v>55537</v>
      </c>
      <c r="CM50">
        <v>55537</v>
      </c>
      <c r="CN50">
        <v>0</v>
      </c>
      <c r="CO50">
        <v>-9999</v>
      </c>
      <c r="CP50">
        <v>0</v>
      </c>
      <c r="CQ50">
        <v>0</v>
      </c>
      <c r="CR50">
        <v>0</v>
      </c>
      <c r="CS50">
        <v>0</v>
      </c>
      <c r="CT50">
        <v>2.5</v>
      </c>
      <c r="CU50">
        <v>2.4500000000000002</v>
      </c>
      <c r="CV50">
        <v>1.67</v>
      </c>
      <c r="CW50">
        <v>0.93</v>
      </c>
      <c r="CX50">
        <v>0.24</v>
      </c>
      <c r="CY50">
        <v>-0.02</v>
      </c>
      <c r="CZ50">
        <v>0.34</v>
      </c>
      <c r="DA50">
        <v>0.27</v>
      </c>
      <c r="DB50">
        <v>104.45</v>
      </c>
      <c r="DC50">
        <v>0</v>
      </c>
      <c r="DD50">
        <v>2.42</v>
      </c>
      <c r="DE50">
        <v>0</v>
      </c>
      <c r="DF50">
        <v>1</v>
      </c>
      <c r="DG50">
        <v>2.37</v>
      </c>
      <c r="DH50">
        <v>0</v>
      </c>
      <c r="DI50">
        <v>1</v>
      </c>
      <c r="DJ50">
        <v>0.6</v>
      </c>
      <c r="DK50">
        <v>0.6</v>
      </c>
      <c r="DL50">
        <v>0.11</v>
      </c>
      <c r="DM50">
        <v>0</v>
      </c>
      <c r="DN50" t="s">
        <v>1775</v>
      </c>
      <c r="DO50" t="s">
        <v>198</v>
      </c>
      <c r="DP50" t="s">
        <v>199</v>
      </c>
      <c r="DQ50" t="s">
        <v>200</v>
      </c>
      <c r="DR50" t="s">
        <v>201</v>
      </c>
      <c r="DS50" t="s">
        <v>202</v>
      </c>
      <c r="DT50" t="s">
        <v>203</v>
      </c>
    </row>
    <row r="51" spans="1:124" x14ac:dyDescent="0.45">
      <c r="A51" t="s">
        <v>1804</v>
      </c>
      <c r="B51" t="s">
        <v>1805</v>
      </c>
      <c r="C51" t="s">
        <v>126</v>
      </c>
      <c r="D51" t="s">
        <v>127</v>
      </c>
      <c r="E51" t="s">
        <v>128</v>
      </c>
      <c r="I51" t="s">
        <v>2271</v>
      </c>
      <c r="J51">
        <v>0.4</v>
      </c>
      <c r="K51">
        <v>2.9</v>
      </c>
      <c r="L51">
        <v>0.35</v>
      </c>
      <c r="M51">
        <v>4.9800000000000004</v>
      </c>
      <c r="N51">
        <v>2.02</v>
      </c>
      <c r="O51">
        <v>1.88</v>
      </c>
      <c r="P51">
        <v>3.42</v>
      </c>
      <c r="Q51">
        <v>1.4</v>
      </c>
      <c r="R51">
        <v>18.55</v>
      </c>
      <c r="S51">
        <v>19.940000000000001</v>
      </c>
      <c r="T51">
        <v>33.700000000000003</v>
      </c>
      <c r="U51">
        <v>0.44</v>
      </c>
      <c r="V51">
        <v>7.5</v>
      </c>
      <c r="W51" t="s">
        <v>1810</v>
      </c>
      <c r="X51">
        <v>0</v>
      </c>
      <c r="Y51">
        <v>0</v>
      </c>
      <c r="Z51">
        <v>0</v>
      </c>
      <c r="AA51">
        <v>86.06</v>
      </c>
      <c r="AB51">
        <v>402.7</v>
      </c>
      <c r="AC51">
        <v>0.79</v>
      </c>
      <c r="AD51">
        <v>0.5</v>
      </c>
      <c r="AE51">
        <v>0.84</v>
      </c>
      <c r="AF51">
        <v>62.42</v>
      </c>
      <c r="AG51">
        <v>1</v>
      </c>
      <c r="AH51">
        <v>52.42</v>
      </c>
      <c r="AI51">
        <v>48.78</v>
      </c>
      <c r="AJ51">
        <v>28.29</v>
      </c>
      <c r="AK51">
        <v>26.22</v>
      </c>
      <c r="AL51">
        <v>26.22</v>
      </c>
      <c r="AM51">
        <v>101.45</v>
      </c>
      <c r="AN51">
        <v>155.80000000000001</v>
      </c>
      <c r="AO51">
        <v>154.19999999999999</v>
      </c>
      <c r="AP51">
        <v>1.1000000000000001</v>
      </c>
      <c r="AQ51">
        <v>189</v>
      </c>
      <c r="AR51">
        <v>3.85</v>
      </c>
      <c r="AS51">
        <v>-17</v>
      </c>
      <c r="AT51">
        <v>-1</v>
      </c>
      <c r="AU51">
        <v>315</v>
      </c>
      <c r="AV51">
        <v>67.3</v>
      </c>
      <c r="AW51">
        <v>38.590000000000003</v>
      </c>
      <c r="AX51">
        <v>17.03</v>
      </c>
      <c r="AY51">
        <v>131.58000000000001</v>
      </c>
      <c r="AZ51">
        <v>-0.79</v>
      </c>
      <c r="BA51">
        <v>128.44</v>
      </c>
      <c r="BB51">
        <v>50.29</v>
      </c>
      <c r="BC51" t="s">
        <v>1828</v>
      </c>
      <c r="BD51" t="s">
        <v>126</v>
      </c>
      <c r="BE51">
        <v>35.85</v>
      </c>
      <c r="BF51">
        <v>127.13</v>
      </c>
      <c r="BG51">
        <v>36.6</v>
      </c>
      <c r="BH51">
        <v>17</v>
      </c>
      <c r="BI51">
        <v>0.67</v>
      </c>
      <c r="BJ51" t="s">
        <v>858</v>
      </c>
      <c r="BK51" t="s">
        <v>126</v>
      </c>
      <c r="BL51">
        <v>-0.88</v>
      </c>
      <c r="BM51" t="s">
        <v>124</v>
      </c>
      <c r="BN51">
        <v>0</v>
      </c>
      <c r="BO51">
        <v>0</v>
      </c>
      <c r="BP51">
        <v>0</v>
      </c>
      <c r="BQ51">
        <v>-0.01</v>
      </c>
      <c r="BR51">
        <v>-0.03</v>
      </c>
      <c r="BS51">
        <v>-0.12</v>
      </c>
      <c r="BT51" t="s">
        <v>124</v>
      </c>
      <c r="BU51">
        <v>150</v>
      </c>
      <c r="BV51">
        <v>0</v>
      </c>
      <c r="BW51">
        <v>2</v>
      </c>
      <c r="BX51">
        <v>0.06</v>
      </c>
      <c r="BY51">
        <v>0</v>
      </c>
      <c r="BZ51">
        <v>0.03</v>
      </c>
      <c r="CA51">
        <v>0</v>
      </c>
      <c r="CB51">
        <v>0</v>
      </c>
      <c r="CC51">
        <v>0</v>
      </c>
      <c r="CD51" t="s">
        <v>176</v>
      </c>
      <c r="CE51" t="s">
        <v>161</v>
      </c>
      <c r="CF51" t="s">
        <v>177</v>
      </c>
      <c r="CG51">
        <v>6000</v>
      </c>
      <c r="CH51">
        <v>500</v>
      </c>
      <c r="CI51">
        <v>1</v>
      </c>
      <c r="CJ51">
        <v>2</v>
      </c>
      <c r="CK51">
        <v>55537</v>
      </c>
      <c r="CL51">
        <v>55537</v>
      </c>
      <c r="CM51">
        <v>55537</v>
      </c>
      <c r="CN51">
        <v>0</v>
      </c>
      <c r="CO51">
        <v>-9999</v>
      </c>
      <c r="CP51">
        <v>0</v>
      </c>
      <c r="CQ51">
        <v>0</v>
      </c>
      <c r="CR51">
        <v>0</v>
      </c>
      <c r="CS51">
        <v>0</v>
      </c>
      <c r="CT51">
        <v>2.5</v>
      </c>
      <c r="CU51">
        <v>2.4500000000000002</v>
      </c>
      <c r="CV51">
        <v>1.67</v>
      </c>
      <c r="CW51">
        <v>0.94</v>
      </c>
      <c r="CX51">
        <v>0.24</v>
      </c>
      <c r="CY51">
        <v>-0.02</v>
      </c>
      <c r="CZ51">
        <v>0.34</v>
      </c>
      <c r="DA51">
        <v>0.27</v>
      </c>
      <c r="DB51">
        <v>86.06</v>
      </c>
      <c r="DC51">
        <v>0</v>
      </c>
      <c r="DD51">
        <v>2.42</v>
      </c>
      <c r="DE51">
        <v>0</v>
      </c>
      <c r="DF51">
        <v>1</v>
      </c>
      <c r="DG51">
        <v>2.37</v>
      </c>
      <c r="DH51">
        <v>0</v>
      </c>
      <c r="DI51">
        <v>1</v>
      </c>
      <c r="DJ51">
        <v>0.6</v>
      </c>
      <c r="DK51">
        <v>0.6</v>
      </c>
      <c r="DL51">
        <v>0.11</v>
      </c>
      <c r="DM51">
        <v>0</v>
      </c>
      <c r="DN51" t="s">
        <v>1810</v>
      </c>
      <c r="DO51" t="s">
        <v>198</v>
      </c>
      <c r="DP51" t="s">
        <v>199</v>
      </c>
      <c r="DQ51" t="s">
        <v>200</v>
      </c>
      <c r="DR51" t="s">
        <v>201</v>
      </c>
      <c r="DS51" t="s">
        <v>202</v>
      </c>
      <c r="DT51" t="s">
        <v>203</v>
      </c>
    </row>
    <row r="52" spans="1:124" x14ac:dyDescent="0.45">
      <c r="A52" t="s">
        <v>1840</v>
      </c>
      <c r="B52" t="s">
        <v>1841</v>
      </c>
      <c r="C52" t="s">
        <v>126</v>
      </c>
      <c r="D52" t="s">
        <v>127</v>
      </c>
      <c r="E52" t="s">
        <v>128</v>
      </c>
      <c r="I52" t="s">
        <v>2272</v>
      </c>
      <c r="J52">
        <v>0.27</v>
      </c>
      <c r="K52">
        <v>2.91</v>
      </c>
      <c r="L52">
        <v>0.25</v>
      </c>
      <c r="M52">
        <v>3.65</v>
      </c>
      <c r="N52">
        <v>1.99</v>
      </c>
      <c r="O52">
        <v>1.88</v>
      </c>
      <c r="P52">
        <v>3.45</v>
      </c>
      <c r="Q52">
        <v>1.47</v>
      </c>
      <c r="R52">
        <v>18.559999999999999</v>
      </c>
      <c r="S52">
        <v>19.57</v>
      </c>
      <c r="T52">
        <v>34.04</v>
      </c>
      <c r="U52">
        <v>0.44</v>
      </c>
      <c r="V52">
        <v>7.5</v>
      </c>
      <c r="W52" t="s">
        <v>1846</v>
      </c>
      <c r="X52">
        <v>0</v>
      </c>
      <c r="Y52">
        <v>0</v>
      </c>
      <c r="Z52">
        <v>0</v>
      </c>
      <c r="AA52">
        <v>94.55</v>
      </c>
      <c r="AB52">
        <v>431.43</v>
      </c>
      <c r="AC52">
        <v>0.78</v>
      </c>
      <c r="AD52">
        <v>0.5</v>
      </c>
      <c r="AE52">
        <v>0.84</v>
      </c>
      <c r="AF52">
        <v>61</v>
      </c>
      <c r="AG52">
        <v>1</v>
      </c>
      <c r="AH52">
        <v>51.53</v>
      </c>
      <c r="AI52">
        <v>48.86</v>
      </c>
      <c r="AJ52">
        <v>28.26</v>
      </c>
      <c r="AK52">
        <v>26.39</v>
      </c>
      <c r="AL52">
        <v>26.39</v>
      </c>
      <c r="AM52">
        <v>101.44</v>
      </c>
      <c r="AN52">
        <v>156</v>
      </c>
      <c r="AO52">
        <v>134.1</v>
      </c>
      <c r="AP52">
        <v>14</v>
      </c>
      <c r="AQ52">
        <v>186</v>
      </c>
      <c r="AR52">
        <v>3.85</v>
      </c>
      <c r="AS52">
        <v>-2</v>
      </c>
      <c r="AT52">
        <v>-20</v>
      </c>
      <c r="AU52">
        <v>320</v>
      </c>
      <c r="AV52">
        <v>58.5</v>
      </c>
      <c r="AW52">
        <v>52.25</v>
      </c>
      <c r="AX52">
        <v>20.100000000000001</v>
      </c>
      <c r="AY52">
        <v>55.48</v>
      </c>
      <c r="AZ52">
        <v>-0.79</v>
      </c>
      <c r="BA52">
        <v>128.44</v>
      </c>
      <c r="BB52">
        <v>50.29</v>
      </c>
      <c r="BC52" t="s">
        <v>1862</v>
      </c>
      <c r="BD52" t="s">
        <v>126</v>
      </c>
      <c r="BE52">
        <v>35.85</v>
      </c>
      <c r="BF52">
        <v>127.13</v>
      </c>
      <c r="BG52">
        <v>36.299999999999997</v>
      </c>
      <c r="BH52">
        <v>15</v>
      </c>
      <c r="BI52">
        <v>0.72</v>
      </c>
      <c r="BJ52" t="s">
        <v>858</v>
      </c>
      <c r="BK52" t="s">
        <v>126</v>
      </c>
      <c r="BL52">
        <v>-0.88</v>
      </c>
      <c r="BM52" t="s">
        <v>124</v>
      </c>
      <c r="BN52">
        <v>0</v>
      </c>
      <c r="BO52">
        <v>0</v>
      </c>
      <c r="BP52">
        <v>0.01</v>
      </c>
      <c r="BQ52">
        <v>0.03</v>
      </c>
      <c r="BR52">
        <v>0.11</v>
      </c>
      <c r="BS52">
        <v>0.2</v>
      </c>
      <c r="BT52" t="s">
        <v>124</v>
      </c>
      <c r="BU52">
        <v>150</v>
      </c>
      <c r="BV52">
        <v>0</v>
      </c>
      <c r="BW52">
        <v>2</v>
      </c>
      <c r="BX52">
        <v>0.06</v>
      </c>
      <c r="BY52">
        <v>0</v>
      </c>
      <c r="BZ52">
        <v>0.03</v>
      </c>
      <c r="CA52">
        <v>0</v>
      </c>
      <c r="CB52">
        <v>0</v>
      </c>
      <c r="CC52">
        <v>0</v>
      </c>
      <c r="CD52" t="s">
        <v>176</v>
      </c>
      <c r="CE52" t="s">
        <v>161</v>
      </c>
      <c r="CF52" t="s">
        <v>177</v>
      </c>
      <c r="CG52">
        <v>6000</v>
      </c>
      <c r="CH52">
        <v>500</v>
      </c>
      <c r="CI52">
        <v>1</v>
      </c>
      <c r="CJ52">
        <v>2</v>
      </c>
      <c r="CK52">
        <v>55537</v>
      </c>
      <c r="CL52">
        <v>55537</v>
      </c>
      <c r="CM52">
        <v>55537</v>
      </c>
      <c r="CN52">
        <v>0</v>
      </c>
      <c r="CO52">
        <v>-9999</v>
      </c>
      <c r="CP52">
        <v>0</v>
      </c>
      <c r="CQ52">
        <v>0</v>
      </c>
      <c r="CR52">
        <v>0</v>
      </c>
      <c r="CS52">
        <v>0</v>
      </c>
      <c r="CT52">
        <v>2.5</v>
      </c>
      <c r="CU52">
        <v>2.4500000000000002</v>
      </c>
      <c r="CV52">
        <v>1.67</v>
      </c>
      <c r="CW52">
        <v>0.89</v>
      </c>
      <c r="CX52">
        <v>0.24</v>
      </c>
      <c r="CY52">
        <v>-0.02</v>
      </c>
      <c r="CZ52">
        <v>0.35</v>
      </c>
      <c r="DA52">
        <v>0.27</v>
      </c>
      <c r="DB52">
        <v>94.55</v>
      </c>
      <c r="DC52">
        <v>0</v>
      </c>
      <c r="DD52">
        <v>2.42</v>
      </c>
      <c r="DE52">
        <v>0</v>
      </c>
      <c r="DF52">
        <v>1</v>
      </c>
      <c r="DG52">
        <v>2.37</v>
      </c>
      <c r="DH52">
        <v>0</v>
      </c>
      <c r="DI52">
        <v>1</v>
      </c>
      <c r="DJ52">
        <v>0.6</v>
      </c>
      <c r="DK52">
        <v>0.6</v>
      </c>
      <c r="DL52">
        <v>0.11</v>
      </c>
      <c r="DM52">
        <v>0</v>
      </c>
      <c r="DN52" t="s">
        <v>1846</v>
      </c>
      <c r="DO52" t="s">
        <v>198</v>
      </c>
      <c r="DP52" t="s">
        <v>199</v>
      </c>
      <c r="DQ52" t="s">
        <v>200</v>
      </c>
      <c r="DR52" t="s">
        <v>201</v>
      </c>
      <c r="DS52" t="s">
        <v>202</v>
      </c>
      <c r="DT52" t="s">
        <v>203</v>
      </c>
    </row>
    <row r="53" spans="1:124" x14ac:dyDescent="0.45">
      <c r="A53" t="s">
        <v>2085</v>
      </c>
      <c r="B53" t="s">
        <v>2086</v>
      </c>
      <c r="C53" t="s">
        <v>126</v>
      </c>
      <c r="D53" t="s">
        <v>127</v>
      </c>
      <c r="E53" t="s">
        <v>128</v>
      </c>
      <c r="I53" t="s">
        <v>2273</v>
      </c>
      <c r="J53">
        <v>0.12</v>
      </c>
      <c r="K53">
        <v>2.91</v>
      </c>
      <c r="L53">
        <v>0.12</v>
      </c>
      <c r="M53">
        <v>1.9</v>
      </c>
      <c r="N53">
        <v>1.91</v>
      </c>
      <c r="O53">
        <v>1.85</v>
      </c>
      <c r="P53">
        <v>3.54</v>
      </c>
      <c r="Q53">
        <v>1.63</v>
      </c>
      <c r="R53">
        <v>18.27</v>
      </c>
      <c r="S53">
        <v>18.8</v>
      </c>
      <c r="T53">
        <v>34.85</v>
      </c>
      <c r="U53">
        <v>0.44</v>
      </c>
      <c r="V53">
        <v>7.5</v>
      </c>
      <c r="W53" t="s">
        <v>2091</v>
      </c>
      <c r="X53">
        <v>0</v>
      </c>
      <c r="Y53">
        <v>0</v>
      </c>
      <c r="Z53">
        <v>0</v>
      </c>
      <c r="AA53">
        <v>101.01</v>
      </c>
      <c r="AB53">
        <v>456.12</v>
      </c>
      <c r="AC53">
        <v>0.78</v>
      </c>
      <c r="AD53">
        <v>0.5</v>
      </c>
      <c r="AE53">
        <v>0.84</v>
      </c>
      <c r="AF53">
        <v>60.49</v>
      </c>
      <c r="AG53">
        <v>1</v>
      </c>
      <c r="AH53">
        <v>49.58</v>
      </c>
      <c r="AI53">
        <v>48.19</v>
      </c>
      <c r="AJ53">
        <v>28.23</v>
      </c>
      <c r="AK53">
        <v>26.79</v>
      </c>
      <c r="AL53">
        <v>26.79</v>
      </c>
      <c r="AM53">
        <v>101.44</v>
      </c>
      <c r="AN53">
        <v>156.1</v>
      </c>
      <c r="AO53">
        <v>148.6</v>
      </c>
      <c r="AP53">
        <v>4.8</v>
      </c>
      <c r="AQ53">
        <v>185</v>
      </c>
      <c r="AR53">
        <v>3.85</v>
      </c>
      <c r="AS53">
        <v>-15</v>
      </c>
      <c r="AT53">
        <v>0</v>
      </c>
      <c r="AU53">
        <v>357</v>
      </c>
      <c r="AV53">
        <v>60.85</v>
      </c>
      <c r="AW53">
        <v>48.7</v>
      </c>
      <c r="AX53">
        <v>15</v>
      </c>
      <c r="AY53">
        <v>177</v>
      </c>
      <c r="AZ53">
        <v>-0.79</v>
      </c>
      <c r="BA53">
        <v>128.69</v>
      </c>
      <c r="BB53">
        <v>50.13</v>
      </c>
      <c r="BC53" t="s">
        <v>2106</v>
      </c>
      <c r="BD53" t="s">
        <v>126</v>
      </c>
      <c r="BE53">
        <v>35.85</v>
      </c>
      <c r="BF53">
        <v>127.13</v>
      </c>
      <c r="BG53">
        <v>36.4</v>
      </c>
      <c r="BH53">
        <v>16</v>
      </c>
      <c r="BI53">
        <v>0.72</v>
      </c>
      <c r="BJ53" t="s">
        <v>858</v>
      </c>
      <c r="BK53" t="s">
        <v>126</v>
      </c>
      <c r="BL53">
        <v>-0.88</v>
      </c>
      <c r="BM53" t="s">
        <v>124</v>
      </c>
      <c r="BN53">
        <v>0</v>
      </c>
      <c r="BO53">
        <v>0</v>
      </c>
      <c r="BP53">
        <v>0</v>
      </c>
      <c r="BQ53">
        <v>0.12</v>
      </c>
      <c r="BR53">
        <v>0.06</v>
      </c>
      <c r="BS53">
        <v>0.28000000000000003</v>
      </c>
      <c r="BT53" t="s">
        <v>124</v>
      </c>
      <c r="BU53">
        <v>150</v>
      </c>
      <c r="BV53">
        <v>0</v>
      </c>
      <c r="BW53">
        <v>2</v>
      </c>
      <c r="BX53">
        <v>0.06</v>
      </c>
      <c r="BY53">
        <v>0</v>
      </c>
      <c r="BZ53">
        <v>0.03</v>
      </c>
      <c r="CA53">
        <v>0</v>
      </c>
      <c r="CB53">
        <v>0</v>
      </c>
      <c r="CC53">
        <v>0</v>
      </c>
      <c r="CD53" t="s">
        <v>176</v>
      </c>
      <c r="CE53" t="s">
        <v>161</v>
      </c>
      <c r="CF53" t="s">
        <v>177</v>
      </c>
      <c r="CG53">
        <v>6000</v>
      </c>
      <c r="CH53">
        <v>500</v>
      </c>
      <c r="CI53">
        <v>1</v>
      </c>
      <c r="CJ53">
        <v>2</v>
      </c>
      <c r="CK53">
        <v>55537</v>
      </c>
      <c r="CL53">
        <v>55537</v>
      </c>
      <c r="CM53">
        <v>55537</v>
      </c>
      <c r="CN53">
        <v>0</v>
      </c>
      <c r="CO53">
        <v>-9999</v>
      </c>
      <c r="CP53">
        <v>0</v>
      </c>
      <c r="CQ53">
        <v>0</v>
      </c>
      <c r="CR53">
        <v>0</v>
      </c>
      <c r="CS53">
        <v>0</v>
      </c>
      <c r="CT53">
        <v>2.5</v>
      </c>
      <c r="CU53">
        <v>2.44</v>
      </c>
      <c r="CV53">
        <v>1.67</v>
      </c>
      <c r="CW53">
        <v>0.93</v>
      </c>
      <c r="CX53">
        <v>0.24</v>
      </c>
      <c r="CY53">
        <v>-0.02</v>
      </c>
      <c r="CZ53">
        <v>0.35</v>
      </c>
      <c r="DA53">
        <v>0.27</v>
      </c>
      <c r="DB53">
        <v>101.01</v>
      </c>
      <c r="DC53">
        <v>0</v>
      </c>
      <c r="DD53">
        <v>2.42</v>
      </c>
      <c r="DE53">
        <v>0</v>
      </c>
      <c r="DF53">
        <v>1</v>
      </c>
      <c r="DG53">
        <v>2.37</v>
      </c>
      <c r="DH53">
        <v>0</v>
      </c>
      <c r="DI53">
        <v>1</v>
      </c>
      <c r="DJ53">
        <v>0.6</v>
      </c>
      <c r="DK53">
        <v>0.6</v>
      </c>
      <c r="DL53">
        <v>0.11</v>
      </c>
      <c r="DM53">
        <v>0</v>
      </c>
      <c r="DN53" t="s">
        <v>2091</v>
      </c>
      <c r="DO53" t="s">
        <v>198</v>
      </c>
      <c r="DP53" t="s">
        <v>199</v>
      </c>
      <c r="DQ53" t="s">
        <v>200</v>
      </c>
      <c r="DR53" t="s">
        <v>201</v>
      </c>
      <c r="DS53" t="s">
        <v>202</v>
      </c>
      <c r="DT53" t="s">
        <v>203</v>
      </c>
    </row>
    <row r="54" spans="1:124" x14ac:dyDescent="0.45">
      <c r="A54" t="s">
        <v>2120</v>
      </c>
      <c r="B54" t="s">
        <v>2121</v>
      </c>
      <c r="C54" t="s">
        <v>126</v>
      </c>
      <c r="D54" t="s">
        <v>127</v>
      </c>
      <c r="E54" t="s">
        <v>128</v>
      </c>
      <c r="I54" t="s">
        <v>2274</v>
      </c>
      <c r="J54">
        <v>0.38</v>
      </c>
      <c r="K54">
        <v>2.9</v>
      </c>
      <c r="L54">
        <v>0.34</v>
      </c>
      <c r="M54">
        <v>4.62</v>
      </c>
      <c r="N54">
        <v>2.0099999999999998</v>
      </c>
      <c r="O54">
        <v>1.88</v>
      </c>
      <c r="P54">
        <v>3.36</v>
      </c>
      <c r="Q54">
        <v>1.35</v>
      </c>
      <c r="R54">
        <v>18.52</v>
      </c>
      <c r="S54">
        <v>19.8</v>
      </c>
      <c r="T54">
        <v>33.11</v>
      </c>
      <c r="U54">
        <v>0.44</v>
      </c>
      <c r="V54">
        <v>7.5</v>
      </c>
      <c r="W54" t="s">
        <v>2126</v>
      </c>
      <c r="X54">
        <v>0</v>
      </c>
      <c r="Y54">
        <v>0</v>
      </c>
      <c r="Z54">
        <v>0</v>
      </c>
      <c r="AA54">
        <v>87.53</v>
      </c>
      <c r="AB54">
        <v>427.08</v>
      </c>
      <c r="AC54">
        <v>0.8</v>
      </c>
      <c r="AD54">
        <v>0.5</v>
      </c>
      <c r="AE54">
        <v>0.84</v>
      </c>
      <c r="AF54">
        <v>55.1</v>
      </c>
      <c r="AG54">
        <v>1</v>
      </c>
      <c r="AH54">
        <v>52.41</v>
      </c>
      <c r="AI54">
        <v>49.01</v>
      </c>
      <c r="AJ54">
        <v>28.17</v>
      </c>
      <c r="AK54">
        <v>25.92</v>
      </c>
      <c r="AL54">
        <v>25.92</v>
      </c>
      <c r="AM54">
        <v>101.44</v>
      </c>
      <c r="AN54">
        <v>155.80000000000001</v>
      </c>
      <c r="AO54">
        <v>141.80000000000001</v>
      </c>
      <c r="AP54">
        <v>9</v>
      </c>
      <c r="AQ54">
        <v>165</v>
      </c>
      <c r="AR54">
        <v>3.84</v>
      </c>
      <c r="AS54">
        <v>-30</v>
      </c>
      <c r="AT54">
        <v>-30</v>
      </c>
      <c r="AU54">
        <v>295</v>
      </c>
      <c r="AV54">
        <v>75.599999999999994</v>
      </c>
      <c r="AW54">
        <v>24.86</v>
      </c>
      <c r="AX54">
        <v>41.41</v>
      </c>
      <c r="AY54">
        <v>65.89</v>
      </c>
      <c r="AZ54">
        <v>-0.79</v>
      </c>
      <c r="BA54">
        <v>128.69</v>
      </c>
      <c r="BB54">
        <v>50.13</v>
      </c>
      <c r="BC54" t="s">
        <v>2139</v>
      </c>
      <c r="BD54" t="s">
        <v>126</v>
      </c>
      <c r="BE54">
        <v>35.85</v>
      </c>
      <c r="BF54">
        <v>127.13</v>
      </c>
      <c r="BG54">
        <v>36.6</v>
      </c>
      <c r="BH54">
        <v>12</v>
      </c>
      <c r="BI54">
        <v>0.88</v>
      </c>
      <c r="BJ54" t="s">
        <v>858</v>
      </c>
      <c r="BK54" t="s">
        <v>126</v>
      </c>
      <c r="BL54">
        <v>-0.88</v>
      </c>
      <c r="BM54" t="s">
        <v>124</v>
      </c>
      <c r="BN54">
        <v>0</v>
      </c>
      <c r="BO54">
        <v>0</v>
      </c>
      <c r="BP54">
        <v>0</v>
      </c>
      <c r="BQ54">
        <v>-0.01</v>
      </c>
      <c r="BR54">
        <v>-0.08</v>
      </c>
      <c r="BS54">
        <v>-0.17</v>
      </c>
      <c r="BT54" t="s">
        <v>124</v>
      </c>
      <c r="BU54">
        <v>150</v>
      </c>
      <c r="BV54">
        <v>0</v>
      </c>
      <c r="BW54">
        <v>2</v>
      </c>
      <c r="BX54">
        <v>0.06</v>
      </c>
      <c r="BY54">
        <v>0</v>
      </c>
      <c r="BZ54">
        <v>0.03</v>
      </c>
      <c r="CA54">
        <v>0</v>
      </c>
      <c r="CB54">
        <v>0</v>
      </c>
      <c r="CC54">
        <v>0</v>
      </c>
      <c r="CD54" t="s">
        <v>176</v>
      </c>
      <c r="CE54" t="s">
        <v>161</v>
      </c>
      <c r="CF54" t="s">
        <v>177</v>
      </c>
      <c r="CG54">
        <v>6000</v>
      </c>
      <c r="CH54">
        <v>500</v>
      </c>
      <c r="CI54">
        <v>1</v>
      </c>
      <c r="CJ54">
        <v>2</v>
      </c>
      <c r="CK54">
        <v>55537</v>
      </c>
      <c r="CL54">
        <v>55537</v>
      </c>
      <c r="CM54">
        <v>55537</v>
      </c>
      <c r="CN54">
        <v>0</v>
      </c>
      <c r="CO54">
        <v>-9999</v>
      </c>
      <c r="CP54">
        <v>0</v>
      </c>
      <c r="CQ54">
        <v>0</v>
      </c>
      <c r="CR54">
        <v>0</v>
      </c>
      <c r="CS54">
        <v>0</v>
      </c>
      <c r="CT54">
        <v>2.5</v>
      </c>
      <c r="CU54">
        <v>2.4500000000000002</v>
      </c>
      <c r="CV54">
        <v>1.67</v>
      </c>
      <c r="CW54">
        <v>0.91</v>
      </c>
      <c r="CX54">
        <v>0.24</v>
      </c>
      <c r="CY54">
        <v>-0.03</v>
      </c>
      <c r="CZ54">
        <v>0.36</v>
      </c>
      <c r="DA54">
        <v>0.25</v>
      </c>
      <c r="DB54">
        <v>87.53</v>
      </c>
      <c r="DC54">
        <v>0</v>
      </c>
      <c r="DD54">
        <v>2.42</v>
      </c>
      <c r="DE54">
        <v>0</v>
      </c>
      <c r="DF54">
        <v>1</v>
      </c>
      <c r="DG54">
        <v>2.37</v>
      </c>
      <c r="DH54">
        <v>0</v>
      </c>
      <c r="DI54">
        <v>1</v>
      </c>
      <c r="DJ54">
        <v>0.6</v>
      </c>
      <c r="DK54">
        <v>0.6</v>
      </c>
      <c r="DL54">
        <v>0.11</v>
      </c>
      <c r="DM54">
        <v>0</v>
      </c>
      <c r="DN54" t="s">
        <v>2126</v>
      </c>
      <c r="DO54" t="s">
        <v>198</v>
      </c>
      <c r="DP54" t="s">
        <v>199</v>
      </c>
      <c r="DQ54" t="s">
        <v>200</v>
      </c>
      <c r="DR54" t="s">
        <v>201</v>
      </c>
      <c r="DS54" t="s">
        <v>202</v>
      </c>
      <c r="DT54" t="s">
        <v>203</v>
      </c>
    </row>
    <row r="55" spans="1:124" x14ac:dyDescent="0.45">
      <c r="A55" t="s">
        <v>2151</v>
      </c>
      <c r="B55" t="s">
        <v>2152</v>
      </c>
      <c r="C55" t="s">
        <v>126</v>
      </c>
      <c r="D55" t="s">
        <v>127</v>
      </c>
      <c r="E55" t="s">
        <v>128</v>
      </c>
      <c r="I55" t="s">
        <v>2275</v>
      </c>
      <c r="J55">
        <v>0.37</v>
      </c>
      <c r="K55">
        <v>2.91</v>
      </c>
      <c r="L55">
        <v>0.33</v>
      </c>
      <c r="M55">
        <v>4.54</v>
      </c>
      <c r="N55">
        <v>2.0099999999999998</v>
      </c>
      <c r="O55">
        <v>1.88</v>
      </c>
      <c r="P55">
        <v>3.37</v>
      </c>
      <c r="Q55">
        <v>1.36</v>
      </c>
      <c r="R55">
        <v>18.510000000000002</v>
      </c>
      <c r="S55">
        <v>19.77</v>
      </c>
      <c r="T55">
        <v>33.200000000000003</v>
      </c>
      <c r="U55">
        <v>0.44</v>
      </c>
      <c r="V55">
        <v>7.5</v>
      </c>
      <c r="W55" t="s">
        <v>2157</v>
      </c>
      <c r="X55">
        <v>0</v>
      </c>
      <c r="Y55">
        <v>0</v>
      </c>
      <c r="Z55">
        <v>0</v>
      </c>
      <c r="AA55">
        <v>89.61</v>
      </c>
      <c r="AB55">
        <v>416.46</v>
      </c>
      <c r="AC55">
        <v>0.78</v>
      </c>
      <c r="AD55">
        <v>0.5</v>
      </c>
      <c r="AE55">
        <v>0.84</v>
      </c>
      <c r="AF55">
        <v>62.63</v>
      </c>
      <c r="AG55">
        <v>1</v>
      </c>
      <c r="AH55">
        <v>52.44</v>
      </c>
      <c r="AI55">
        <v>49.1</v>
      </c>
      <c r="AJ55">
        <v>28.13</v>
      </c>
      <c r="AK55">
        <v>25.97</v>
      </c>
      <c r="AL55">
        <v>25.97</v>
      </c>
      <c r="AM55">
        <v>101.44</v>
      </c>
      <c r="AN55">
        <v>156.1</v>
      </c>
      <c r="AO55">
        <v>150.69999999999999</v>
      </c>
      <c r="AP55">
        <v>3.5</v>
      </c>
      <c r="AQ55">
        <v>190</v>
      </c>
      <c r="AR55">
        <v>3.84</v>
      </c>
      <c r="AS55">
        <v>-17</v>
      </c>
      <c r="AT55">
        <v>-7</v>
      </c>
      <c r="AU55">
        <v>324</v>
      </c>
      <c r="AV55">
        <v>53.24</v>
      </c>
      <c r="AW55">
        <v>59.85</v>
      </c>
      <c r="AX55">
        <v>18.350000000000001</v>
      </c>
      <c r="AY55">
        <v>121.22</v>
      </c>
      <c r="AZ55">
        <v>-0.79</v>
      </c>
      <c r="BA55">
        <v>92.02</v>
      </c>
      <c r="BB55">
        <v>36.58</v>
      </c>
      <c r="BC55" t="s">
        <v>2175</v>
      </c>
      <c r="BD55" t="s">
        <v>126</v>
      </c>
      <c r="BE55">
        <v>0.52</v>
      </c>
      <c r="BF55">
        <v>127.13</v>
      </c>
      <c r="BG55">
        <v>36.799999999999997</v>
      </c>
      <c r="BH55">
        <v>17</v>
      </c>
      <c r="BI55">
        <v>0.67</v>
      </c>
      <c r="BJ55" t="s">
        <v>858</v>
      </c>
      <c r="BK55" t="s">
        <v>126</v>
      </c>
      <c r="BL55">
        <v>-0.88</v>
      </c>
      <c r="BM55" t="s">
        <v>124</v>
      </c>
      <c r="BN55">
        <v>0</v>
      </c>
      <c r="BO55">
        <v>0</v>
      </c>
      <c r="BP55">
        <v>0</v>
      </c>
      <c r="BQ55">
        <v>-0.1</v>
      </c>
      <c r="BR55">
        <v>0.02</v>
      </c>
      <c r="BS55">
        <v>-0.15</v>
      </c>
      <c r="BT55" t="s">
        <v>124</v>
      </c>
      <c r="BU55">
        <v>150</v>
      </c>
      <c r="BV55">
        <v>0</v>
      </c>
      <c r="BW55">
        <v>2</v>
      </c>
      <c r="BX55">
        <v>0.06</v>
      </c>
      <c r="BY55">
        <v>0</v>
      </c>
      <c r="BZ55">
        <v>0.03</v>
      </c>
      <c r="CA55">
        <v>0</v>
      </c>
      <c r="CB55">
        <v>0</v>
      </c>
      <c r="CC55">
        <v>0</v>
      </c>
      <c r="CD55" t="s">
        <v>176</v>
      </c>
      <c r="CE55" t="s">
        <v>161</v>
      </c>
      <c r="CF55" t="s">
        <v>177</v>
      </c>
      <c r="CG55">
        <v>6000</v>
      </c>
      <c r="CH55">
        <v>500</v>
      </c>
      <c r="CI55">
        <v>1</v>
      </c>
      <c r="CJ55">
        <v>2</v>
      </c>
      <c r="CK55">
        <v>55537</v>
      </c>
      <c r="CL55">
        <v>55537</v>
      </c>
      <c r="CM55">
        <v>55537</v>
      </c>
      <c r="CN55">
        <v>0</v>
      </c>
      <c r="CO55">
        <v>-9999</v>
      </c>
      <c r="CP55">
        <v>0</v>
      </c>
      <c r="CQ55">
        <v>0</v>
      </c>
      <c r="CR55">
        <v>0</v>
      </c>
      <c r="CS55">
        <v>0</v>
      </c>
      <c r="CT55">
        <v>2.5</v>
      </c>
      <c r="CU55">
        <v>2.4500000000000002</v>
      </c>
      <c r="CV55">
        <v>1.67</v>
      </c>
      <c r="CW55">
        <v>0.93</v>
      </c>
      <c r="CX55">
        <v>0.24</v>
      </c>
      <c r="CY55">
        <v>-0.02</v>
      </c>
      <c r="CZ55">
        <v>0.36</v>
      </c>
      <c r="DA55">
        <v>0.27</v>
      </c>
      <c r="DB55">
        <v>89.61</v>
      </c>
      <c r="DC55">
        <v>0</v>
      </c>
      <c r="DD55">
        <v>2.42</v>
      </c>
      <c r="DE55">
        <v>0</v>
      </c>
      <c r="DF55">
        <v>1</v>
      </c>
      <c r="DG55">
        <v>2.37</v>
      </c>
      <c r="DH55">
        <v>0</v>
      </c>
      <c r="DI55">
        <v>1</v>
      </c>
      <c r="DJ55">
        <v>0.6</v>
      </c>
      <c r="DK55">
        <v>0.6</v>
      </c>
      <c r="DL55">
        <v>0.11</v>
      </c>
      <c r="DM55">
        <v>0</v>
      </c>
      <c r="DN55" t="s">
        <v>2157</v>
      </c>
      <c r="DO55" t="s">
        <v>198</v>
      </c>
      <c r="DP55" t="s">
        <v>199</v>
      </c>
      <c r="DQ55" t="s">
        <v>200</v>
      </c>
      <c r="DR55" t="s">
        <v>201</v>
      </c>
      <c r="DS55" t="s">
        <v>202</v>
      </c>
      <c r="DT55" t="s">
        <v>203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workbookViewId="0">
      <selection activeCell="D7" sqref="D7"/>
    </sheetView>
  </sheetViews>
  <sheetFormatPr defaultRowHeight="19.2" x14ac:dyDescent="0.45"/>
  <sheetData>
    <row r="1" spans="1:11" x14ac:dyDescent="0.45">
      <c r="B1" t="s">
        <v>1</v>
      </c>
      <c r="C1" t="s">
        <v>42</v>
      </c>
      <c r="D1" t="s">
        <v>9</v>
      </c>
      <c r="E1" t="s">
        <v>2276</v>
      </c>
      <c r="F1" t="s">
        <v>16</v>
      </c>
      <c r="G1" t="s">
        <v>26</v>
      </c>
      <c r="H1" t="s">
        <v>27</v>
      </c>
      <c r="I1" t="s">
        <v>28</v>
      </c>
      <c r="J1" t="s">
        <v>31</v>
      </c>
      <c r="K1" t="s">
        <v>37</v>
      </c>
    </row>
    <row r="2" spans="1:11" x14ac:dyDescent="0.45">
      <c r="A2" t="s">
        <v>124</v>
      </c>
      <c r="B2" t="s">
        <v>125</v>
      </c>
      <c r="C2">
        <v>305</v>
      </c>
      <c r="D2">
        <v>0.49</v>
      </c>
      <c r="E2">
        <v>0.41767032915760649</v>
      </c>
      <c r="F2">
        <v>1.33</v>
      </c>
      <c r="G2">
        <v>104.79</v>
      </c>
      <c r="H2">
        <v>420.51</v>
      </c>
      <c r="I2">
        <v>0.75</v>
      </c>
      <c r="J2">
        <v>96.18</v>
      </c>
      <c r="K2">
        <v>25.2</v>
      </c>
    </row>
    <row r="3" spans="1:11" x14ac:dyDescent="0.45">
      <c r="A3" t="s">
        <v>204</v>
      </c>
      <c r="B3" t="s">
        <v>205</v>
      </c>
      <c r="C3">
        <v>348</v>
      </c>
      <c r="D3">
        <v>0.45</v>
      </c>
      <c r="E3">
        <v>0.38312986021122059</v>
      </c>
      <c r="F3">
        <v>1.32</v>
      </c>
      <c r="G3">
        <v>113.9</v>
      </c>
      <c r="H3">
        <v>460.42</v>
      </c>
      <c r="I3">
        <v>0.75</v>
      </c>
      <c r="J3">
        <v>110</v>
      </c>
      <c r="K3">
        <v>25.36</v>
      </c>
    </row>
    <row r="4" spans="1:11" x14ac:dyDescent="0.45">
      <c r="A4" t="s">
        <v>553</v>
      </c>
      <c r="B4" t="s">
        <v>554</v>
      </c>
      <c r="C4">
        <v>405</v>
      </c>
      <c r="D4">
        <v>0.28999999999999998</v>
      </c>
      <c r="E4">
        <v>0.25976513905923487</v>
      </c>
      <c r="F4">
        <v>1.48</v>
      </c>
      <c r="G4">
        <v>114.26</v>
      </c>
      <c r="H4">
        <v>433.65</v>
      </c>
      <c r="I4">
        <v>0.74</v>
      </c>
      <c r="J4">
        <v>125.28</v>
      </c>
      <c r="K4">
        <v>26.01</v>
      </c>
    </row>
    <row r="5" spans="1:11" x14ac:dyDescent="0.45">
      <c r="A5" t="s">
        <v>587</v>
      </c>
      <c r="B5" t="s">
        <v>588</v>
      </c>
      <c r="C5">
        <v>452</v>
      </c>
      <c r="D5">
        <v>0.54</v>
      </c>
      <c r="E5">
        <v>0.44446774531826411</v>
      </c>
      <c r="F5">
        <v>1.31</v>
      </c>
      <c r="G5">
        <v>103.23</v>
      </c>
      <c r="H5">
        <v>411.86</v>
      </c>
      <c r="I5">
        <v>0.75</v>
      </c>
      <c r="J5">
        <v>142.26</v>
      </c>
      <c r="K5">
        <v>25.62</v>
      </c>
    </row>
    <row r="6" spans="1:11" x14ac:dyDescent="0.45">
      <c r="A6" t="s">
        <v>224</v>
      </c>
      <c r="B6" t="s">
        <v>909</v>
      </c>
      <c r="C6">
        <v>314</v>
      </c>
      <c r="D6">
        <v>0.12</v>
      </c>
      <c r="E6">
        <v>0.1138223901095555</v>
      </c>
      <c r="F6">
        <v>1.61</v>
      </c>
      <c r="G6">
        <v>113.06</v>
      </c>
      <c r="H6">
        <v>466.57</v>
      </c>
      <c r="I6">
        <v>0.76</v>
      </c>
      <c r="J6">
        <v>99.92</v>
      </c>
      <c r="K6">
        <v>26.6</v>
      </c>
    </row>
    <row r="7" spans="1:11" x14ac:dyDescent="0.45">
      <c r="A7" t="s">
        <v>943</v>
      </c>
      <c r="B7" t="s">
        <v>944</v>
      </c>
      <c r="C7">
        <v>388</v>
      </c>
      <c r="D7">
        <v>0.08</v>
      </c>
      <c r="E7">
        <v>8.3429015829749306E-2</v>
      </c>
      <c r="F7">
        <v>1.76</v>
      </c>
      <c r="G7">
        <v>109.65</v>
      </c>
      <c r="H7">
        <v>420.04</v>
      </c>
      <c r="I7">
        <v>0.74</v>
      </c>
      <c r="J7">
        <v>120.42</v>
      </c>
      <c r="K7">
        <v>27.31</v>
      </c>
    </row>
    <row r="8" spans="1:11" x14ac:dyDescent="0.45">
      <c r="A8" t="s">
        <v>1237</v>
      </c>
      <c r="B8" t="s">
        <v>1238</v>
      </c>
      <c r="C8">
        <v>413</v>
      </c>
      <c r="D8">
        <v>0.56000000000000005</v>
      </c>
      <c r="E8">
        <v>0.46100965496346641</v>
      </c>
      <c r="F8">
        <v>1.27</v>
      </c>
      <c r="G8">
        <v>107.77</v>
      </c>
      <c r="H8">
        <v>428.31</v>
      </c>
      <c r="I8">
        <v>0.75</v>
      </c>
      <c r="J8">
        <v>129.81</v>
      </c>
      <c r="K8">
        <v>25.47</v>
      </c>
    </row>
    <row r="9" spans="1:11" x14ac:dyDescent="0.45">
      <c r="A9" t="s">
        <v>614</v>
      </c>
      <c r="B9" t="s">
        <v>1275</v>
      </c>
      <c r="C9">
        <v>363</v>
      </c>
      <c r="D9">
        <v>0.14000000000000001</v>
      </c>
      <c r="E9">
        <v>0.13220026775749341</v>
      </c>
      <c r="F9">
        <v>1.68</v>
      </c>
      <c r="G9">
        <v>99.59</v>
      </c>
      <c r="H9">
        <v>392.31</v>
      </c>
      <c r="I9">
        <v>0.75</v>
      </c>
      <c r="J9">
        <v>113.76</v>
      </c>
      <c r="K9">
        <v>27.04</v>
      </c>
    </row>
    <row r="10" spans="1:11" x14ac:dyDescent="0.45">
      <c r="A10" t="s">
        <v>321</v>
      </c>
      <c r="B10" t="s">
        <v>1566</v>
      </c>
      <c r="C10">
        <v>444</v>
      </c>
      <c r="D10">
        <v>0.53</v>
      </c>
      <c r="E10">
        <v>0.43871250449665938</v>
      </c>
      <c r="F10">
        <v>1.29</v>
      </c>
      <c r="G10">
        <v>115.25</v>
      </c>
      <c r="H10">
        <v>452.59</v>
      </c>
      <c r="I10">
        <v>0.75</v>
      </c>
      <c r="J10">
        <v>138.99</v>
      </c>
      <c r="K10">
        <v>25.69</v>
      </c>
    </row>
    <row r="11" spans="1:11" x14ac:dyDescent="0.45">
      <c r="A11" t="s">
        <v>400</v>
      </c>
      <c r="B11" t="s">
        <v>1605</v>
      </c>
      <c r="C11">
        <v>450</v>
      </c>
      <c r="D11">
        <v>0.49</v>
      </c>
      <c r="E11">
        <v>0.40956009760657441</v>
      </c>
      <c r="F11">
        <v>1.37</v>
      </c>
      <c r="G11">
        <v>95.06</v>
      </c>
      <c r="H11">
        <v>384.59</v>
      </c>
      <c r="I11">
        <v>0.75</v>
      </c>
      <c r="J11">
        <v>142.29</v>
      </c>
      <c r="K11">
        <v>26.03</v>
      </c>
    </row>
    <row r="12" spans="1:11" x14ac:dyDescent="0.45">
      <c r="A12" t="s">
        <v>263</v>
      </c>
      <c r="B12" t="s">
        <v>1874</v>
      </c>
      <c r="C12">
        <v>415</v>
      </c>
      <c r="D12">
        <v>0.39</v>
      </c>
      <c r="E12">
        <v>0.33951113292769658</v>
      </c>
      <c r="F12">
        <v>1.43</v>
      </c>
      <c r="G12">
        <v>105.09</v>
      </c>
      <c r="H12">
        <v>423.38</v>
      </c>
      <c r="I12">
        <v>0.75</v>
      </c>
      <c r="J12">
        <v>131.04</v>
      </c>
      <c r="K12">
        <v>26.22</v>
      </c>
    </row>
    <row r="13" spans="1:11" x14ac:dyDescent="0.45">
      <c r="A13" t="s">
        <v>856</v>
      </c>
      <c r="B13" t="s">
        <v>1911</v>
      </c>
      <c r="C13">
        <v>425</v>
      </c>
      <c r="D13">
        <v>0.62</v>
      </c>
      <c r="E13">
        <v>0.49417890838173267</v>
      </c>
      <c r="F13">
        <v>1.24</v>
      </c>
      <c r="G13">
        <v>122.03</v>
      </c>
      <c r="H13">
        <v>471.68</v>
      </c>
      <c r="I13">
        <v>0.74</v>
      </c>
      <c r="J13">
        <v>132.32</v>
      </c>
      <c r="K13">
        <v>25.67</v>
      </c>
    </row>
    <row r="14" spans="1:11" x14ac:dyDescent="0.45">
      <c r="A14" t="s">
        <v>242</v>
      </c>
      <c r="B14" t="s">
        <v>243</v>
      </c>
      <c r="C14">
        <v>335</v>
      </c>
      <c r="D14">
        <v>0.45</v>
      </c>
      <c r="E14">
        <v>0.37905644174727071</v>
      </c>
      <c r="F14">
        <v>1.28</v>
      </c>
      <c r="G14">
        <v>132.54</v>
      </c>
      <c r="H14">
        <v>472.58</v>
      </c>
      <c r="I14">
        <v>0.72</v>
      </c>
      <c r="J14">
        <v>101.24</v>
      </c>
      <c r="K14">
        <v>25.92</v>
      </c>
    </row>
    <row r="15" spans="1:11" x14ac:dyDescent="0.45">
      <c r="A15" t="s">
        <v>290</v>
      </c>
      <c r="B15" t="s">
        <v>291</v>
      </c>
      <c r="C15">
        <v>339</v>
      </c>
      <c r="D15">
        <v>0.47</v>
      </c>
      <c r="E15">
        <v>0.39507611925823788</v>
      </c>
      <c r="F15">
        <v>1.3</v>
      </c>
      <c r="G15">
        <v>112.97</v>
      </c>
      <c r="H15">
        <v>443.02</v>
      </c>
      <c r="I15">
        <v>0.74</v>
      </c>
      <c r="J15">
        <v>106.07</v>
      </c>
      <c r="K15">
        <v>26.25</v>
      </c>
    </row>
    <row r="16" spans="1:11" x14ac:dyDescent="0.45">
      <c r="A16" t="s">
        <v>628</v>
      </c>
      <c r="B16" t="s">
        <v>629</v>
      </c>
      <c r="C16">
        <v>342</v>
      </c>
      <c r="D16">
        <v>0.54</v>
      </c>
      <c r="E16">
        <v>0.4481314931978112</v>
      </c>
      <c r="F16">
        <v>1.35</v>
      </c>
      <c r="G16">
        <v>93.53</v>
      </c>
      <c r="H16">
        <v>391.99</v>
      </c>
      <c r="I16">
        <v>0.76</v>
      </c>
      <c r="J16">
        <v>109.37</v>
      </c>
      <c r="K16">
        <v>26.11</v>
      </c>
    </row>
    <row r="17" spans="1:11" x14ac:dyDescent="0.45">
      <c r="A17" t="s">
        <v>451</v>
      </c>
      <c r="B17" t="s">
        <v>670</v>
      </c>
      <c r="C17">
        <v>338</v>
      </c>
      <c r="D17">
        <v>0.25</v>
      </c>
      <c r="E17">
        <v>0.22896017166186761</v>
      </c>
      <c r="F17">
        <v>1.59</v>
      </c>
      <c r="G17">
        <v>115.46</v>
      </c>
      <c r="H17">
        <v>459.63</v>
      </c>
      <c r="I17">
        <v>0.75</v>
      </c>
      <c r="J17">
        <v>106.3</v>
      </c>
      <c r="K17">
        <v>26.93</v>
      </c>
    </row>
    <row r="18" spans="1:11" x14ac:dyDescent="0.45">
      <c r="A18" t="s">
        <v>979</v>
      </c>
      <c r="B18" t="s">
        <v>980</v>
      </c>
      <c r="C18">
        <v>326</v>
      </c>
      <c r="D18">
        <v>0.16</v>
      </c>
      <c r="E18">
        <v>0.148958729354181</v>
      </c>
      <c r="F18">
        <v>1.71</v>
      </c>
      <c r="G18">
        <v>101.8</v>
      </c>
      <c r="H18">
        <v>410.21</v>
      </c>
      <c r="I18">
        <v>0.75</v>
      </c>
      <c r="J18">
        <v>102.94</v>
      </c>
      <c r="K18">
        <v>27.12</v>
      </c>
    </row>
    <row r="19" spans="1:11" x14ac:dyDescent="0.45">
      <c r="A19" t="s">
        <v>1016</v>
      </c>
      <c r="B19" t="s">
        <v>1017</v>
      </c>
      <c r="C19">
        <v>319</v>
      </c>
      <c r="D19">
        <v>0.41</v>
      </c>
      <c r="E19">
        <v>0.35757437945062731</v>
      </c>
      <c r="F19">
        <v>1.47</v>
      </c>
      <c r="G19">
        <v>98.51</v>
      </c>
      <c r="H19">
        <v>413.76</v>
      </c>
      <c r="I19">
        <v>0.76</v>
      </c>
      <c r="J19">
        <v>102.08</v>
      </c>
      <c r="K19">
        <v>26.37</v>
      </c>
    </row>
    <row r="20" spans="1:11" x14ac:dyDescent="0.45">
      <c r="A20" t="s">
        <v>1310</v>
      </c>
      <c r="B20" t="s">
        <v>1311</v>
      </c>
      <c r="C20">
        <v>306</v>
      </c>
      <c r="D20">
        <v>0.45</v>
      </c>
      <c r="E20">
        <v>0.38303328868849612</v>
      </c>
      <c r="F20">
        <v>1.37</v>
      </c>
      <c r="G20">
        <v>121.05</v>
      </c>
      <c r="H20">
        <v>471.3</v>
      </c>
      <c r="I20">
        <v>0.74</v>
      </c>
      <c r="J20">
        <v>95.51</v>
      </c>
      <c r="K20">
        <v>26.22</v>
      </c>
    </row>
    <row r="21" spans="1:11" x14ac:dyDescent="0.45">
      <c r="A21" t="s">
        <v>1350</v>
      </c>
      <c r="B21" t="s">
        <v>1351</v>
      </c>
      <c r="C21">
        <v>297</v>
      </c>
      <c r="D21">
        <v>0.37</v>
      </c>
      <c r="E21">
        <v>0.32741113214993112</v>
      </c>
      <c r="F21">
        <v>1.47</v>
      </c>
      <c r="G21">
        <v>117.74</v>
      </c>
      <c r="H21">
        <v>458.21</v>
      </c>
      <c r="I21">
        <v>0.74</v>
      </c>
      <c r="J21">
        <v>92.69</v>
      </c>
      <c r="K21">
        <v>26.43</v>
      </c>
    </row>
    <row r="22" spans="1:11" x14ac:dyDescent="0.45">
      <c r="A22" t="s">
        <v>1638</v>
      </c>
      <c r="B22" t="s">
        <v>1639</v>
      </c>
      <c r="C22">
        <v>285</v>
      </c>
      <c r="D22">
        <v>0.19</v>
      </c>
      <c r="E22">
        <v>0.1806648666067911</v>
      </c>
      <c r="F22">
        <v>1.59</v>
      </c>
      <c r="G22">
        <v>102.46</v>
      </c>
      <c r="H22">
        <v>417.95</v>
      </c>
      <c r="I22">
        <v>0.75</v>
      </c>
      <c r="J22">
        <v>90.35</v>
      </c>
      <c r="K22">
        <v>26.89</v>
      </c>
    </row>
    <row r="23" spans="1:11" x14ac:dyDescent="0.45">
      <c r="A23" t="s">
        <v>1671</v>
      </c>
      <c r="B23" t="s">
        <v>1672</v>
      </c>
      <c r="C23">
        <v>266</v>
      </c>
      <c r="D23">
        <v>0.44</v>
      </c>
      <c r="E23">
        <v>0.37647606966277403</v>
      </c>
      <c r="F23">
        <v>1.36</v>
      </c>
      <c r="G23">
        <v>94.88</v>
      </c>
      <c r="H23">
        <v>415.04</v>
      </c>
      <c r="I23">
        <v>0.77</v>
      </c>
      <c r="J23">
        <v>86.18</v>
      </c>
      <c r="K23">
        <v>26.24</v>
      </c>
    </row>
    <row r="24" spans="1:11" x14ac:dyDescent="0.45">
      <c r="A24" t="s">
        <v>1942</v>
      </c>
      <c r="B24" t="s">
        <v>1943</v>
      </c>
      <c r="C24">
        <v>289</v>
      </c>
      <c r="D24">
        <v>0.13</v>
      </c>
      <c r="E24">
        <v>0.12969188597593501</v>
      </c>
      <c r="F24">
        <v>1.66</v>
      </c>
      <c r="G24">
        <v>107.27</v>
      </c>
      <c r="H24">
        <v>442.05</v>
      </c>
      <c r="I24">
        <v>0.76</v>
      </c>
      <c r="J24">
        <v>91.92</v>
      </c>
      <c r="K24">
        <v>27.24</v>
      </c>
    </row>
    <row r="25" spans="1:11" x14ac:dyDescent="0.45">
      <c r="A25" t="s">
        <v>1979</v>
      </c>
      <c r="B25" t="s">
        <v>1980</v>
      </c>
      <c r="C25">
        <v>300</v>
      </c>
      <c r="D25">
        <v>0.47</v>
      </c>
      <c r="E25">
        <v>0.39894568076238801</v>
      </c>
      <c r="F25">
        <v>1.37</v>
      </c>
      <c r="G25">
        <v>94.13</v>
      </c>
      <c r="H25">
        <v>410.13</v>
      </c>
      <c r="I25">
        <v>0.77</v>
      </c>
      <c r="J25">
        <v>97.08</v>
      </c>
      <c r="K25">
        <v>26.31</v>
      </c>
    </row>
    <row r="26" spans="1:11" x14ac:dyDescent="0.45">
      <c r="A26" t="s">
        <v>335</v>
      </c>
      <c r="B26" t="s">
        <v>336</v>
      </c>
      <c r="C26">
        <v>322</v>
      </c>
      <c r="D26">
        <v>0.35</v>
      </c>
      <c r="E26">
        <v>0.31122240909576332</v>
      </c>
      <c r="F26">
        <v>1.5</v>
      </c>
      <c r="G26">
        <v>118.78</v>
      </c>
      <c r="H26">
        <v>471.62</v>
      </c>
      <c r="I26">
        <v>0.75</v>
      </c>
      <c r="J26">
        <v>101.18</v>
      </c>
      <c r="K26">
        <v>26.82</v>
      </c>
    </row>
    <row r="27" spans="1:11" x14ac:dyDescent="0.45">
      <c r="A27" t="s">
        <v>382</v>
      </c>
      <c r="B27" t="s">
        <v>383</v>
      </c>
      <c r="C27">
        <v>299</v>
      </c>
      <c r="D27">
        <v>0.31</v>
      </c>
      <c r="E27">
        <v>0.2757624178577463</v>
      </c>
      <c r="F27">
        <v>1.49</v>
      </c>
      <c r="G27">
        <v>100.11</v>
      </c>
      <c r="H27">
        <v>434.67</v>
      </c>
      <c r="I27">
        <v>0.77</v>
      </c>
      <c r="J27">
        <v>96.66</v>
      </c>
      <c r="K27">
        <v>26.91</v>
      </c>
    </row>
    <row r="28" spans="1:11" x14ac:dyDescent="0.45">
      <c r="A28" t="s">
        <v>709</v>
      </c>
      <c r="B28" t="s">
        <v>710</v>
      </c>
      <c r="C28">
        <v>314</v>
      </c>
      <c r="D28">
        <v>0.22</v>
      </c>
      <c r="E28">
        <v>0.20472781137051571</v>
      </c>
      <c r="F28">
        <v>1.64</v>
      </c>
      <c r="G28">
        <v>112.23</v>
      </c>
      <c r="H28">
        <v>429.49</v>
      </c>
      <c r="I28">
        <v>0.74</v>
      </c>
      <c r="J28">
        <v>97.42</v>
      </c>
      <c r="K28">
        <v>27.15</v>
      </c>
    </row>
    <row r="29" spans="1:11" x14ac:dyDescent="0.45">
      <c r="A29" t="s">
        <v>746</v>
      </c>
      <c r="B29" t="s">
        <v>747</v>
      </c>
      <c r="C29">
        <v>348</v>
      </c>
      <c r="D29">
        <v>0.37</v>
      </c>
      <c r="E29">
        <v>0.32571655272057692</v>
      </c>
      <c r="F29">
        <v>1.49</v>
      </c>
      <c r="G29">
        <v>116.23</v>
      </c>
      <c r="H29">
        <v>461.4</v>
      </c>
      <c r="I29">
        <v>0.75</v>
      </c>
      <c r="J29">
        <v>109.34</v>
      </c>
      <c r="K29">
        <v>26.61</v>
      </c>
    </row>
    <row r="30" spans="1:11" x14ac:dyDescent="0.45">
      <c r="A30" t="s">
        <v>1056</v>
      </c>
      <c r="B30" t="s">
        <v>1057</v>
      </c>
      <c r="C30">
        <v>305</v>
      </c>
      <c r="D30">
        <v>0.57999999999999996</v>
      </c>
      <c r="E30">
        <v>0.47168711892072879</v>
      </c>
      <c r="F30">
        <v>1.3</v>
      </c>
      <c r="G30">
        <v>94.24</v>
      </c>
      <c r="H30">
        <v>408.99</v>
      </c>
      <c r="I30">
        <v>0.77</v>
      </c>
      <c r="J30">
        <v>98.58</v>
      </c>
      <c r="K30">
        <v>25.87</v>
      </c>
    </row>
    <row r="31" spans="1:11" x14ac:dyDescent="0.45">
      <c r="A31" t="s">
        <v>1092</v>
      </c>
      <c r="B31" t="s">
        <v>1093</v>
      </c>
      <c r="C31">
        <v>305</v>
      </c>
      <c r="D31">
        <v>0.4</v>
      </c>
      <c r="E31">
        <v>0.34914444476498968</v>
      </c>
      <c r="F31">
        <v>1.42</v>
      </c>
      <c r="G31">
        <v>104.58</v>
      </c>
      <c r="H31">
        <v>432.97</v>
      </c>
      <c r="I31">
        <v>0.76</v>
      </c>
      <c r="J31">
        <v>97.16</v>
      </c>
      <c r="K31">
        <v>26.28</v>
      </c>
    </row>
    <row r="32" spans="1:11" x14ac:dyDescent="0.45">
      <c r="A32" t="s">
        <v>1388</v>
      </c>
      <c r="B32" t="s">
        <v>1389</v>
      </c>
      <c r="C32">
        <v>274</v>
      </c>
      <c r="D32">
        <v>0.37</v>
      </c>
      <c r="E32">
        <v>0.32098664736242039</v>
      </c>
      <c r="F32">
        <v>1.47</v>
      </c>
      <c r="G32">
        <v>104.86</v>
      </c>
      <c r="H32">
        <v>451.94</v>
      </c>
      <c r="I32">
        <v>0.77</v>
      </c>
      <c r="J32">
        <v>88.38</v>
      </c>
      <c r="K32">
        <v>26.62</v>
      </c>
    </row>
    <row r="33" spans="1:11" x14ac:dyDescent="0.45">
      <c r="A33" t="s">
        <v>1425</v>
      </c>
      <c r="B33" t="s">
        <v>1426</v>
      </c>
      <c r="C33">
        <v>266</v>
      </c>
      <c r="D33">
        <v>0.39</v>
      </c>
      <c r="E33">
        <v>0.33806246178571181</v>
      </c>
      <c r="F33">
        <v>1.38</v>
      </c>
      <c r="G33">
        <v>103.84</v>
      </c>
      <c r="H33">
        <v>444.86</v>
      </c>
      <c r="I33">
        <v>0.77</v>
      </c>
      <c r="J33">
        <v>85.64</v>
      </c>
      <c r="K33">
        <v>26.48</v>
      </c>
    </row>
    <row r="34" spans="1:11" x14ac:dyDescent="0.45">
      <c r="A34" t="s">
        <v>1703</v>
      </c>
      <c r="B34" t="s">
        <v>1704</v>
      </c>
      <c r="C34">
        <v>253</v>
      </c>
      <c r="D34">
        <v>0.53</v>
      </c>
      <c r="E34">
        <v>0.43809116504553708</v>
      </c>
      <c r="F34">
        <v>1.34</v>
      </c>
      <c r="G34">
        <v>100.55</v>
      </c>
      <c r="H34">
        <v>432.12</v>
      </c>
      <c r="I34">
        <v>0.77</v>
      </c>
      <c r="J34">
        <v>81.540000000000006</v>
      </c>
      <c r="K34">
        <v>26.14</v>
      </c>
    </row>
    <row r="35" spans="1:11" x14ac:dyDescent="0.45">
      <c r="A35" t="s">
        <v>1739</v>
      </c>
      <c r="B35" t="s">
        <v>1740</v>
      </c>
      <c r="C35">
        <v>265</v>
      </c>
      <c r="D35">
        <v>0.63</v>
      </c>
      <c r="E35">
        <v>0.5025803165862619</v>
      </c>
      <c r="F35">
        <v>1.3</v>
      </c>
      <c r="G35">
        <v>115.33</v>
      </c>
      <c r="H35">
        <v>477</v>
      </c>
      <c r="I35">
        <v>0.76</v>
      </c>
      <c r="J35">
        <v>84.39</v>
      </c>
      <c r="K35">
        <v>26.07</v>
      </c>
    </row>
    <row r="36" spans="1:11" x14ac:dyDescent="0.45">
      <c r="A36" t="s">
        <v>2015</v>
      </c>
      <c r="B36" t="s">
        <v>2016</v>
      </c>
      <c r="C36">
        <v>235</v>
      </c>
      <c r="D36">
        <v>0.3</v>
      </c>
      <c r="E36">
        <v>0.26921301378413931</v>
      </c>
      <c r="F36">
        <v>1.51</v>
      </c>
      <c r="G36">
        <v>116.62</v>
      </c>
      <c r="H36">
        <v>476.98</v>
      </c>
      <c r="I36">
        <v>0.76</v>
      </c>
      <c r="J36">
        <v>74.569999999999993</v>
      </c>
      <c r="K36">
        <v>26.57</v>
      </c>
    </row>
    <row r="37" spans="1:11" x14ac:dyDescent="0.45">
      <c r="A37" t="s">
        <v>2051</v>
      </c>
      <c r="B37" t="s">
        <v>2052</v>
      </c>
      <c r="C37">
        <v>234</v>
      </c>
      <c r="D37">
        <v>0.45</v>
      </c>
      <c r="E37">
        <v>0.38261457350277678</v>
      </c>
      <c r="F37">
        <v>1.4</v>
      </c>
      <c r="G37">
        <v>113.97</v>
      </c>
      <c r="H37">
        <v>480.46</v>
      </c>
      <c r="I37">
        <v>0.76</v>
      </c>
      <c r="J37">
        <v>74.97</v>
      </c>
      <c r="K37">
        <v>26.21</v>
      </c>
    </row>
    <row r="38" spans="1:11" x14ac:dyDescent="0.45">
      <c r="A38" t="s">
        <v>423</v>
      </c>
      <c r="B38" t="s">
        <v>424</v>
      </c>
      <c r="C38">
        <v>175</v>
      </c>
      <c r="D38">
        <v>0.43</v>
      </c>
      <c r="E38">
        <v>0.3733769602283894</v>
      </c>
      <c r="F38">
        <v>1.44</v>
      </c>
      <c r="G38">
        <v>113.1</v>
      </c>
      <c r="H38">
        <v>458.11</v>
      </c>
      <c r="I38">
        <v>0.75</v>
      </c>
      <c r="J38">
        <v>55.35</v>
      </c>
      <c r="K38">
        <v>26.24</v>
      </c>
    </row>
    <row r="39" spans="1:11" x14ac:dyDescent="0.45">
      <c r="A39" t="s">
        <v>468</v>
      </c>
      <c r="B39" t="s">
        <v>469</v>
      </c>
      <c r="C39">
        <v>176</v>
      </c>
      <c r="D39">
        <v>0.56000000000000005</v>
      </c>
      <c r="E39">
        <v>0.45618507626806248</v>
      </c>
      <c r="F39">
        <v>1.32</v>
      </c>
      <c r="G39">
        <v>98.88</v>
      </c>
      <c r="H39">
        <v>443.77</v>
      </c>
      <c r="I39">
        <v>0.78</v>
      </c>
      <c r="J39">
        <v>57.45</v>
      </c>
      <c r="K39">
        <v>25.96</v>
      </c>
    </row>
    <row r="40" spans="1:11" x14ac:dyDescent="0.45">
      <c r="A40" t="s">
        <v>509</v>
      </c>
      <c r="B40" t="s">
        <v>510</v>
      </c>
      <c r="C40">
        <v>127</v>
      </c>
      <c r="D40">
        <v>0.52</v>
      </c>
      <c r="E40">
        <v>0.4285050610697001</v>
      </c>
      <c r="F40">
        <v>1.32</v>
      </c>
      <c r="G40">
        <v>104.31</v>
      </c>
      <c r="H40">
        <v>443.35</v>
      </c>
      <c r="I40">
        <v>0.76</v>
      </c>
      <c r="J40">
        <v>40.79</v>
      </c>
      <c r="K40">
        <v>26</v>
      </c>
    </row>
    <row r="41" spans="1:11" x14ac:dyDescent="0.45">
      <c r="A41" t="s">
        <v>785</v>
      </c>
      <c r="B41" t="s">
        <v>786</v>
      </c>
      <c r="C41">
        <v>122</v>
      </c>
      <c r="D41">
        <v>0.32</v>
      </c>
      <c r="E41">
        <v>0.28606521533364399</v>
      </c>
      <c r="F41">
        <v>1.53</v>
      </c>
      <c r="G41">
        <v>92.12</v>
      </c>
      <c r="H41">
        <v>407.65</v>
      </c>
      <c r="I41">
        <v>0.77</v>
      </c>
      <c r="J41">
        <v>39.659999999999997</v>
      </c>
      <c r="K41">
        <v>26.69</v>
      </c>
    </row>
    <row r="42" spans="1:11" x14ac:dyDescent="0.45">
      <c r="A42" t="s">
        <v>827</v>
      </c>
      <c r="B42" t="s">
        <v>828</v>
      </c>
      <c r="C42">
        <v>126</v>
      </c>
      <c r="D42">
        <v>0.3</v>
      </c>
      <c r="E42">
        <v>0.27199696568255738</v>
      </c>
      <c r="F42">
        <v>1.56</v>
      </c>
      <c r="G42">
        <v>96.56</v>
      </c>
      <c r="H42">
        <v>437.17</v>
      </c>
      <c r="I42">
        <v>0.78</v>
      </c>
      <c r="J42">
        <v>41.23</v>
      </c>
      <c r="K42">
        <v>26.72</v>
      </c>
    </row>
    <row r="43" spans="1:11" x14ac:dyDescent="0.45">
      <c r="A43" t="s">
        <v>871</v>
      </c>
      <c r="B43" t="s">
        <v>872</v>
      </c>
      <c r="C43">
        <v>107</v>
      </c>
      <c r="D43">
        <v>0.18</v>
      </c>
      <c r="E43">
        <v>0.17430290328758299</v>
      </c>
      <c r="F43">
        <v>1.66</v>
      </c>
      <c r="G43">
        <v>112.77</v>
      </c>
      <c r="H43">
        <v>472</v>
      </c>
      <c r="I43">
        <v>0.76</v>
      </c>
      <c r="J43">
        <v>34.200000000000003</v>
      </c>
      <c r="K43">
        <v>26.96</v>
      </c>
    </row>
    <row r="44" spans="1:11" x14ac:dyDescent="0.45">
      <c r="A44" t="s">
        <v>1129</v>
      </c>
      <c r="B44" t="s">
        <v>1130</v>
      </c>
      <c r="C44">
        <v>117</v>
      </c>
      <c r="D44">
        <v>0.45</v>
      </c>
      <c r="E44">
        <v>0.38332951161564283</v>
      </c>
      <c r="F44">
        <v>1.37</v>
      </c>
      <c r="G44">
        <v>92.28</v>
      </c>
      <c r="H44">
        <v>412.7</v>
      </c>
      <c r="I44">
        <v>0.78</v>
      </c>
      <c r="J44">
        <v>38.15</v>
      </c>
      <c r="K44">
        <v>26.03</v>
      </c>
    </row>
    <row r="45" spans="1:11" x14ac:dyDescent="0.45">
      <c r="A45" t="s">
        <v>1164</v>
      </c>
      <c r="B45" t="s">
        <v>1165</v>
      </c>
      <c r="C45">
        <v>113</v>
      </c>
      <c r="D45">
        <v>0.27</v>
      </c>
      <c r="E45">
        <v>0.25015686137210219</v>
      </c>
      <c r="F45">
        <v>1.52</v>
      </c>
      <c r="G45">
        <v>120.03</v>
      </c>
      <c r="H45">
        <v>525.79999999999995</v>
      </c>
      <c r="I45">
        <v>0.77</v>
      </c>
      <c r="J45">
        <v>36.630000000000003</v>
      </c>
      <c r="K45">
        <v>26.46</v>
      </c>
    </row>
    <row r="46" spans="1:11" x14ac:dyDescent="0.45">
      <c r="A46" t="s">
        <v>1202</v>
      </c>
      <c r="B46" t="s">
        <v>1203</v>
      </c>
      <c r="C46">
        <v>112</v>
      </c>
      <c r="D46">
        <v>0.4</v>
      </c>
      <c r="E46">
        <v>0.34546217241457522</v>
      </c>
      <c r="F46">
        <v>1.39</v>
      </c>
      <c r="G46">
        <v>101.09</v>
      </c>
      <c r="H46">
        <v>462.7</v>
      </c>
      <c r="I46">
        <v>0.78</v>
      </c>
      <c r="J46">
        <v>36.76</v>
      </c>
      <c r="K46">
        <v>25.96</v>
      </c>
    </row>
    <row r="47" spans="1:11" x14ac:dyDescent="0.45">
      <c r="A47" t="s">
        <v>1462</v>
      </c>
      <c r="B47" t="s">
        <v>1463</v>
      </c>
      <c r="C47">
        <v>131</v>
      </c>
      <c r="D47">
        <v>0.16</v>
      </c>
      <c r="E47">
        <v>0.15690016396307679</v>
      </c>
      <c r="F47">
        <v>1.53</v>
      </c>
      <c r="G47">
        <v>107.67</v>
      </c>
      <c r="H47">
        <v>476.18</v>
      </c>
      <c r="I47">
        <v>0.77</v>
      </c>
      <c r="J47">
        <v>42.58</v>
      </c>
      <c r="K47">
        <v>26.95</v>
      </c>
    </row>
    <row r="48" spans="1:11" x14ac:dyDescent="0.45">
      <c r="A48" t="s">
        <v>888</v>
      </c>
      <c r="B48" t="s">
        <v>1497</v>
      </c>
      <c r="C48">
        <v>183</v>
      </c>
      <c r="D48">
        <v>0.23</v>
      </c>
      <c r="E48">
        <v>0.21363561338479409</v>
      </c>
      <c r="F48">
        <v>1.46</v>
      </c>
      <c r="G48">
        <v>93.65</v>
      </c>
      <c r="H48">
        <v>423.4</v>
      </c>
      <c r="I48">
        <v>0.78</v>
      </c>
      <c r="J48">
        <v>59.86</v>
      </c>
      <c r="K48">
        <v>26.83</v>
      </c>
    </row>
    <row r="49" spans="1:11" x14ac:dyDescent="0.45">
      <c r="A49" t="s">
        <v>1532</v>
      </c>
      <c r="B49" t="s">
        <v>1533</v>
      </c>
      <c r="C49">
        <v>131</v>
      </c>
      <c r="D49">
        <v>0.23</v>
      </c>
      <c r="E49">
        <v>0.2117484635309069</v>
      </c>
      <c r="F49">
        <v>1.5</v>
      </c>
      <c r="G49">
        <v>111.89</v>
      </c>
      <c r="H49">
        <v>492.94</v>
      </c>
      <c r="I49">
        <v>0.77</v>
      </c>
      <c r="J49">
        <v>42.53</v>
      </c>
      <c r="K49">
        <v>26.78</v>
      </c>
    </row>
    <row r="50" spans="1:11" x14ac:dyDescent="0.45">
      <c r="A50" t="s">
        <v>1769</v>
      </c>
      <c r="B50" t="s">
        <v>1770</v>
      </c>
      <c r="C50">
        <v>188</v>
      </c>
      <c r="D50">
        <v>0.31</v>
      </c>
      <c r="E50">
        <v>0.27761421487624782</v>
      </c>
      <c r="F50">
        <v>1.47</v>
      </c>
      <c r="G50">
        <v>104.45</v>
      </c>
      <c r="H50">
        <v>453.12</v>
      </c>
      <c r="I50">
        <v>0.77</v>
      </c>
      <c r="J50">
        <v>60.76</v>
      </c>
      <c r="K50">
        <v>26.37</v>
      </c>
    </row>
    <row r="51" spans="1:11" x14ac:dyDescent="0.45">
      <c r="A51" t="s">
        <v>1804</v>
      </c>
      <c r="B51" t="s">
        <v>1805</v>
      </c>
      <c r="C51">
        <v>189</v>
      </c>
      <c r="D51">
        <v>0.4</v>
      </c>
      <c r="E51">
        <v>0.34805342768431369</v>
      </c>
      <c r="F51">
        <v>1.4</v>
      </c>
      <c r="G51">
        <v>86.06</v>
      </c>
      <c r="H51">
        <v>402.7</v>
      </c>
      <c r="I51">
        <v>0.79</v>
      </c>
      <c r="J51">
        <v>62.42</v>
      </c>
      <c r="K51">
        <v>26.22</v>
      </c>
    </row>
    <row r="52" spans="1:11" x14ac:dyDescent="0.45">
      <c r="A52" t="s">
        <v>1840</v>
      </c>
      <c r="B52" t="s">
        <v>1841</v>
      </c>
      <c r="C52">
        <v>186</v>
      </c>
      <c r="D52">
        <v>0.27</v>
      </c>
      <c r="E52">
        <v>0.24544821624400051</v>
      </c>
      <c r="F52">
        <v>1.47</v>
      </c>
      <c r="G52">
        <v>94.55</v>
      </c>
      <c r="H52">
        <v>431.43</v>
      </c>
      <c r="I52">
        <v>0.78</v>
      </c>
      <c r="J52">
        <v>61</v>
      </c>
      <c r="K52">
        <v>26.39</v>
      </c>
    </row>
    <row r="53" spans="1:11" x14ac:dyDescent="0.45">
      <c r="A53" t="s">
        <v>2085</v>
      </c>
      <c r="B53" t="s">
        <v>2086</v>
      </c>
      <c r="C53">
        <v>185</v>
      </c>
      <c r="D53">
        <v>0.12</v>
      </c>
      <c r="E53">
        <v>0.1167281659377554</v>
      </c>
      <c r="F53">
        <v>1.63</v>
      </c>
      <c r="G53">
        <v>101.01</v>
      </c>
      <c r="H53">
        <v>456.12</v>
      </c>
      <c r="I53">
        <v>0.78</v>
      </c>
      <c r="J53">
        <v>60.49</v>
      </c>
      <c r="K53">
        <v>26.79</v>
      </c>
    </row>
    <row r="54" spans="1:11" x14ac:dyDescent="0.45">
      <c r="A54" t="s">
        <v>2120</v>
      </c>
      <c r="B54" t="s">
        <v>2121</v>
      </c>
      <c r="C54">
        <v>165</v>
      </c>
      <c r="D54">
        <v>0.38</v>
      </c>
      <c r="E54">
        <v>0.33429904809333122</v>
      </c>
      <c r="F54">
        <v>1.35</v>
      </c>
      <c r="G54">
        <v>87.53</v>
      </c>
      <c r="H54">
        <v>427.08</v>
      </c>
      <c r="I54">
        <v>0.8</v>
      </c>
      <c r="J54">
        <v>55.1</v>
      </c>
      <c r="K54">
        <v>25.92</v>
      </c>
    </row>
    <row r="55" spans="1:11" x14ac:dyDescent="0.45">
      <c r="A55" t="s">
        <v>2151</v>
      </c>
      <c r="B55" t="s">
        <v>2152</v>
      </c>
      <c r="C55">
        <v>190</v>
      </c>
      <c r="D55">
        <v>0.37</v>
      </c>
      <c r="E55">
        <v>0.32538548543994972</v>
      </c>
      <c r="F55">
        <v>1.36</v>
      </c>
      <c r="G55">
        <v>89.61</v>
      </c>
      <c r="H55">
        <v>416.46</v>
      </c>
      <c r="I55">
        <v>0.78</v>
      </c>
      <c r="J55">
        <v>62.63</v>
      </c>
      <c r="K55">
        <v>25.97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8D79-FD3F-4B33-853F-454E71D19733}">
  <dimension ref="A1:W55"/>
  <sheetViews>
    <sheetView tabSelected="1" workbookViewId="0">
      <selection activeCell="K9" sqref="K9"/>
    </sheetView>
  </sheetViews>
  <sheetFormatPr defaultRowHeight="19.2" x14ac:dyDescent="0.45"/>
  <cols>
    <col min="1" max="1" width="10.08984375" bestFit="1" customWidth="1"/>
  </cols>
  <sheetData>
    <row r="1" spans="1:23" ht="19.8" thickBot="1" x14ac:dyDescent="0.5">
      <c r="A1" s="1" t="s">
        <v>2277</v>
      </c>
      <c r="B1" s="2" t="s">
        <v>2278</v>
      </c>
      <c r="C1" s="2" t="s">
        <v>1</v>
      </c>
      <c r="D1" s="2" t="s">
        <v>9</v>
      </c>
      <c r="E1" s="2" t="s">
        <v>2276</v>
      </c>
      <c r="F1" s="2" t="s">
        <v>16</v>
      </c>
      <c r="G1" s="2" t="s">
        <v>26</v>
      </c>
      <c r="H1" s="2" t="s">
        <v>27</v>
      </c>
      <c r="I1" s="2" t="s">
        <v>28</v>
      </c>
      <c r="J1" s="2" t="s">
        <v>31</v>
      </c>
      <c r="K1" s="2" t="s">
        <v>42</v>
      </c>
      <c r="L1" s="3" t="s">
        <v>37</v>
      </c>
      <c r="N1" s="12" t="s">
        <v>2279</v>
      </c>
      <c r="O1" s="12" t="s">
        <v>2277</v>
      </c>
      <c r="P1" s="12" t="s">
        <v>2280</v>
      </c>
      <c r="Q1" s="2" t="s">
        <v>16</v>
      </c>
      <c r="R1" s="2" t="s">
        <v>26</v>
      </c>
      <c r="S1" s="2" t="s">
        <v>27</v>
      </c>
      <c r="T1" s="2" t="s">
        <v>28</v>
      </c>
      <c r="U1" s="2" t="s">
        <v>31</v>
      </c>
      <c r="V1" s="2" t="s">
        <v>42</v>
      </c>
      <c r="W1" s="3" t="s">
        <v>37</v>
      </c>
    </row>
    <row r="2" spans="1:23" ht="19.8" thickTop="1" x14ac:dyDescent="0.45">
      <c r="A2" s="5" t="s">
        <v>129</v>
      </c>
      <c r="B2">
        <v>1</v>
      </c>
      <c r="C2" t="s">
        <v>125</v>
      </c>
      <c r="D2">
        <v>0.49</v>
      </c>
      <c r="E2">
        <v>0.41767032915760649</v>
      </c>
      <c r="F2">
        <v>1.33</v>
      </c>
      <c r="G2">
        <v>104.79</v>
      </c>
      <c r="H2">
        <v>420.51</v>
      </c>
      <c r="I2">
        <v>0.75</v>
      </c>
      <c r="J2">
        <v>96.18</v>
      </c>
      <c r="K2">
        <v>305</v>
      </c>
      <c r="L2" s="6">
        <v>25.2</v>
      </c>
      <c r="O2" s="5" t="s">
        <v>129</v>
      </c>
      <c r="P2">
        <f>AVERAGE(E2:E10)</f>
        <v>0.37999829721044409</v>
      </c>
      <c r="Q2">
        <f t="shared" ref="Q2:W2" si="0">AVERAGE(F2:F10)</f>
        <v>1.3666666666666667</v>
      </c>
      <c r="R2">
        <f t="shared" si="0"/>
        <v>111.04222222222224</v>
      </c>
      <c r="S2">
        <f t="shared" si="0"/>
        <v>449.78333333333336</v>
      </c>
      <c r="T2">
        <f t="shared" si="0"/>
        <v>0.75222222222222224</v>
      </c>
      <c r="U2">
        <f t="shared" si="0"/>
        <v>84.991111111111124</v>
      </c>
      <c r="V2">
        <f t="shared" si="0"/>
        <v>269.55555555555554</v>
      </c>
      <c r="W2">
        <f t="shared" si="0"/>
        <v>26.073333333333338</v>
      </c>
    </row>
    <row r="3" spans="1:23" x14ac:dyDescent="0.45">
      <c r="A3" s="5" t="s">
        <v>129</v>
      </c>
      <c r="B3">
        <v>1</v>
      </c>
      <c r="C3" t="s">
        <v>205</v>
      </c>
      <c r="D3">
        <v>0.45</v>
      </c>
      <c r="E3">
        <v>0.38312986021122059</v>
      </c>
      <c r="F3">
        <v>1.32</v>
      </c>
      <c r="G3">
        <v>113.9</v>
      </c>
      <c r="H3">
        <v>460.42</v>
      </c>
      <c r="I3">
        <v>0.75</v>
      </c>
      <c r="J3">
        <v>110</v>
      </c>
      <c r="K3">
        <v>348</v>
      </c>
      <c r="L3" s="6">
        <v>25.36</v>
      </c>
      <c r="O3" s="5" t="s">
        <v>555</v>
      </c>
      <c r="P3">
        <f>AVERAGE(E11:E19)</f>
        <v>0.29379266640356166</v>
      </c>
      <c r="Q3">
        <f t="shared" ref="Q3:W3" si="1">AVERAGE(F11:F19)</f>
        <v>1.5122222222222221</v>
      </c>
      <c r="R3">
        <f t="shared" si="1"/>
        <v>106.26555555555554</v>
      </c>
      <c r="S3">
        <f t="shared" si="1"/>
        <v>433.87111111111113</v>
      </c>
      <c r="T3">
        <f t="shared" si="1"/>
        <v>0.75555555555555554</v>
      </c>
      <c r="U3">
        <f t="shared" si="1"/>
        <v>89.451111111111118</v>
      </c>
      <c r="V3">
        <f t="shared" si="1"/>
        <v>283.77777777777777</v>
      </c>
      <c r="W3">
        <f t="shared" si="1"/>
        <v>26.533333333333335</v>
      </c>
    </row>
    <row r="4" spans="1:23" x14ac:dyDescent="0.45">
      <c r="A4" s="5" t="s">
        <v>129</v>
      </c>
      <c r="B4">
        <v>1</v>
      </c>
      <c r="C4" t="s">
        <v>243</v>
      </c>
      <c r="D4">
        <v>0.45</v>
      </c>
      <c r="E4">
        <v>0.37905644174727071</v>
      </c>
      <c r="F4">
        <v>1.28</v>
      </c>
      <c r="G4">
        <v>132.54</v>
      </c>
      <c r="H4">
        <v>472.58</v>
      </c>
      <c r="I4">
        <v>0.72</v>
      </c>
      <c r="J4">
        <v>101.24</v>
      </c>
      <c r="K4">
        <v>335</v>
      </c>
      <c r="L4" s="6">
        <v>25.92</v>
      </c>
      <c r="O4" s="5" t="s">
        <v>910</v>
      </c>
      <c r="P4">
        <f>AVERAGE(E20:E28)</f>
        <v>0.30251695100030029</v>
      </c>
      <c r="Q4">
        <f t="shared" ref="Q4:W4" si="2">AVERAGE(F20:F28)</f>
        <v>1.5055555555555555</v>
      </c>
      <c r="R4">
        <f t="shared" si="2"/>
        <v>103.91555555555556</v>
      </c>
      <c r="S4">
        <f t="shared" si="2"/>
        <v>439.30444444444441</v>
      </c>
      <c r="T4">
        <f t="shared" si="2"/>
        <v>0.76333333333333331</v>
      </c>
      <c r="U4">
        <f t="shared" si="2"/>
        <v>81.404444444444437</v>
      </c>
      <c r="V4">
        <f t="shared" si="2"/>
        <v>255.44444444444446</v>
      </c>
      <c r="W4">
        <f t="shared" si="2"/>
        <v>26.444444444444446</v>
      </c>
    </row>
    <row r="5" spans="1:23" x14ac:dyDescent="0.45">
      <c r="A5" s="5" t="s">
        <v>129</v>
      </c>
      <c r="B5">
        <v>1</v>
      </c>
      <c r="C5" t="s">
        <v>291</v>
      </c>
      <c r="D5">
        <v>0.47</v>
      </c>
      <c r="E5">
        <v>0.39507611925823788</v>
      </c>
      <c r="F5">
        <v>1.3</v>
      </c>
      <c r="G5">
        <v>112.97</v>
      </c>
      <c r="H5">
        <v>443.02</v>
      </c>
      <c r="I5">
        <v>0.74</v>
      </c>
      <c r="J5">
        <v>106.07</v>
      </c>
      <c r="K5">
        <v>339</v>
      </c>
      <c r="L5" s="6">
        <v>26.25</v>
      </c>
      <c r="O5" s="5" t="s">
        <v>1239</v>
      </c>
      <c r="P5">
        <f>AVERAGE(E29:E37)</f>
        <v>0.28277641039847745</v>
      </c>
      <c r="Q5">
        <f t="shared" ref="Q5:W5" si="3">AVERAGE(F29:F37)</f>
        <v>1.4588888888888887</v>
      </c>
      <c r="R5">
        <f t="shared" si="3"/>
        <v>107.56222222222222</v>
      </c>
      <c r="S5">
        <f t="shared" si="3"/>
        <v>448.82777777777778</v>
      </c>
      <c r="T5">
        <f t="shared" si="3"/>
        <v>0.76000000000000023</v>
      </c>
      <c r="U5">
        <f t="shared" si="3"/>
        <v>83.417777777777772</v>
      </c>
      <c r="V5">
        <f t="shared" si="3"/>
        <v>262.66666666666669</v>
      </c>
      <c r="W5">
        <f t="shared" si="3"/>
        <v>26.53555555555555</v>
      </c>
    </row>
    <row r="6" spans="1:23" x14ac:dyDescent="0.45">
      <c r="A6" s="5" t="s">
        <v>129</v>
      </c>
      <c r="B6">
        <v>1</v>
      </c>
      <c r="C6" t="s">
        <v>336</v>
      </c>
      <c r="D6">
        <v>0.35</v>
      </c>
      <c r="E6">
        <v>0.31122240909576332</v>
      </c>
      <c r="F6">
        <v>1.5</v>
      </c>
      <c r="G6">
        <v>118.78</v>
      </c>
      <c r="H6">
        <v>471.62</v>
      </c>
      <c r="I6">
        <v>0.75</v>
      </c>
      <c r="J6">
        <v>101.18</v>
      </c>
      <c r="K6">
        <v>322</v>
      </c>
      <c r="L6" s="6">
        <v>26.82</v>
      </c>
      <c r="O6" s="5" t="s">
        <v>1567</v>
      </c>
      <c r="P6">
        <f>AVERAGE(E38:E46)</f>
        <v>0.35746676431212893</v>
      </c>
      <c r="Q6">
        <f t="shared" ref="Q6:W6" si="4">AVERAGE(F38:F46)</f>
        <v>1.3988888888888891</v>
      </c>
      <c r="R6">
        <f t="shared" si="4"/>
        <v>100.95444444444443</v>
      </c>
      <c r="S6">
        <f t="shared" si="4"/>
        <v>429.61555555555549</v>
      </c>
      <c r="T6">
        <f t="shared" si="4"/>
        <v>0.76555555555555566</v>
      </c>
      <c r="U6">
        <f t="shared" si="4"/>
        <v>89.768888888888881</v>
      </c>
      <c r="V6">
        <f t="shared" si="4"/>
        <v>280.66666666666669</v>
      </c>
      <c r="W6">
        <f t="shared" si="4"/>
        <v>26.22666666666667</v>
      </c>
    </row>
    <row r="7" spans="1:23" x14ac:dyDescent="0.45">
      <c r="A7" s="5" t="s">
        <v>129</v>
      </c>
      <c r="B7">
        <v>1</v>
      </c>
      <c r="C7" t="s">
        <v>383</v>
      </c>
      <c r="D7">
        <v>0.31</v>
      </c>
      <c r="E7">
        <v>0.2757624178577463</v>
      </c>
      <c r="F7">
        <v>1.49</v>
      </c>
      <c r="G7">
        <v>100.11</v>
      </c>
      <c r="H7">
        <v>434.67</v>
      </c>
      <c r="I7">
        <v>0.77</v>
      </c>
      <c r="J7">
        <v>96.66</v>
      </c>
      <c r="K7">
        <v>299</v>
      </c>
      <c r="L7" s="6">
        <v>26.91</v>
      </c>
      <c r="O7" s="5" t="s">
        <v>1875</v>
      </c>
      <c r="P7">
        <f>AVERAGE(E47:E55)</f>
        <v>0.31006309942285604</v>
      </c>
      <c r="Q7">
        <f t="shared" ref="Q7:W7" si="5">AVERAGE(F47:F55)</f>
        <v>1.4388888888888887</v>
      </c>
      <c r="R7">
        <f t="shared" si="5"/>
        <v>104.14</v>
      </c>
      <c r="S7">
        <f t="shared" si="5"/>
        <v>444.92666666666662</v>
      </c>
      <c r="T7">
        <f t="shared" si="5"/>
        <v>0.76666666666666672</v>
      </c>
      <c r="U7">
        <f t="shared" si="5"/>
        <v>86.68</v>
      </c>
      <c r="V7">
        <f t="shared" si="5"/>
        <v>270.88888888888891</v>
      </c>
      <c r="W7">
        <f t="shared" si="5"/>
        <v>26.322222222222223</v>
      </c>
    </row>
    <row r="8" spans="1:23" x14ac:dyDescent="0.45">
      <c r="A8" s="5" t="s">
        <v>129</v>
      </c>
      <c r="B8">
        <v>1</v>
      </c>
      <c r="C8" t="s">
        <v>424</v>
      </c>
      <c r="D8">
        <v>0.43</v>
      </c>
      <c r="E8">
        <v>0.3733769602283894</v>
      </c>
      <c r="F8">
        <v>1.44</v>
      </c>
      <c r="G8">
        <v>113.1</v>
      </c>
      <c r="H8">
        <v>458.11</v>
      </c>
      <c r="I8">
        <v>0.75</v>
      </c>
      <c r="J8">
        <v>55.35</v>
      </c>
      <c r="K8">
        <v>175</v>
      </c>
      <c r="L8" s="6">
        <v>26.24</v>
      </c>
    </row>
    <row r="9" spans="1:23" x14ac:dyDescent="0.45">
      <c r="A9" s="5" t="s">
        <v>129</v>
      </c>
      <c r="B9">
        <v>1</v>
      </c>
      <c r="C9" t="s">
        <v>469</v>
      </c>
      <c r="D9">
        <v>0.56000000000000005</v>
      </c>
      <c r="E9">
        <v>0.45618507626806248</v>
      </c>
      <c r="F9">
        <v>1.32</v>
      </c>
      <c r="G9">
        <v>98.88</v>
      </c>
      <c r="H9">
        <v>443.77</v>
      </c>
      <c r="I9">
        <v>0.78</v>
      </c>
      <c r="J9">
        <v>57.45</v>
      </c>
      <c r="K9">
        <v>176</v>
      </c>
      <c r="L9" s="6">
        <v>25.96</v>
      </c>
    </row>
    <row r="10" spans="1:23" s="4" customFormat="1" x14ac:dyDescent="0.45">
      <c r="A10" s="7" t="s">
        <v>129</v>
      </c>
      <c r="B10" s="4">
        <v>1</v>
      </c>
      <c r="C10" s="4" t="s">
        <v>510</v>
      </c>
      <c r="D10" s="4">
        <v>0.52</v>
      </c>
      <c r="E10" s="4">
        <v>0.4285050610697001</v>
      </c>
      <c r="F10" s="4">
        <v>1.32</v>
      </c>
      <c r="G10" s="4">
        <v>104.31</v>
      </c>
      <c r="H10" s="4">
        <v>443.35</v>
      </c>
      <c r="I10" s="4">
        <v>0.76</v>
      </c>
      <c r="J10" s="4">
        <v>40.79</v>
      </c>
      <c r="K10" s="4">
        <v>127</v>
      </c>
      <c r="L10" s="8">
        <v>26</v>
      </c>
    </row>
    <row r="11" spans="1:23" x14ac:dyDescent="0.45">
      <c r="A11" s="5" t="s">
        <v>555</v>
      </c>
      <c r="B11">
        <v>2</v>
      </c>
      <c r="C11" t="s">
        <v>554</v>
      </c>
      <c r="D11">
        <v>0.28999999999999998</v>
      </c>
      <c r="E11">
        <v>0.25976513905923487</v>
      </c>
      <c r="F11">
        <v>1.48</v>
      </c>
      <c r="G11">
        <v>114.26</v>
      </c>
      <c r="H11">
        <v>433.65</v>
      </c>
      <c r="I11">
        <v>0.74</v>
      </c>
      <c r="J11">
        <v>125.28</v>
      </c>
      <c r="K11">
        <v>405</v>
      </c>
      <c r="L11" s="6">
        <v>26.01</v>
      </c>
    </row>
    <row r="12" spans="1:23" x14ac:dyDescent="0.45">
      <c r="A12" s="5" t="s">
        <v>555</v>
      </c>
      <c r="B12">
        <v>2</v>
      </c>
      <c r="C12" t="s">
        <v>588</v>
      </c>
      <c r="D12">
        <v>0.54</v>
      </c>
      <c r="E12">
        <v>0.44446774531826411</v>
      </c>
      <c r="F12">
        <v>1.31</v>
      </c>
      <c r="G12">
        <v>103.23</v>
      </c>
      <c r="H12">
        <v>411.86</v>
      </c>
      <c r="I12">
        <v>0.75</v>
      </c>
      <c r="J12">
        <v>142.26</v>
      </c>
      <c r="K12">
        <v>452</v>
      </c>
      <c r="L12" s="6">
        <v>25.62</v>
      </c>
    </row>
    <row r="13" spans="1:23" x14ac:dyDescent="0.45">
      <c r="A13" s="5" t="s">
        <v>555</v>
      </c>
      <c r="B13">
        <v>2</v>
      </c>
      <c r="C13" t="s">
        <v>629</v>
      </c>
      <c r="D13">
        <v>0.54</v>
      </c>
      <c r="E13">
        <v>0.4481314931978112</v>
      </c>
      <c r="F13">
        <v>1.35</v>
      </c>
      <c r="G13">
        <v>93.53</v>
      </c>
      <c r="H13">
        <v>391.99</v>
      </c>
      <c r="I13">
        <v>0.76</v>
      </c>
      <c r="J13">
        <v>109.37</v>
      </c>
      <c r="K13">
        <v>342</v>
      </c>
      <c r="L13" s="6">
        <v>26.11</v>
      </c>
    </row>
    <row r="14" spans="1:23" x14ac:dyDescent="0.45">
      <c r="A14" s="5" t="s">
        <v>555</v>
      </c>
      <c r="B14">
        <v>2</v>
      </c>
      <c r="C14" t="s">
        <v>670</v>
      </c>
      <c r="D14">
        <v>0.25</v>
      </c>
      <c r="E14">
        <v>0.22896017166186761</v>
      </c>
      <c r="F14">
        <v>1.59</v>
      </c>
      <c r="G14">
        <v>115.46</v>
      </c>
      <c r="H14">
        <v>459.63</v>
      </c>
      <c r="I14">
        <v>0.75</v>
      </c>
      <c r="J14">
        <v>106.3</v>
      </c>
      <c r="K14">
        <v>338</v>
      </c>
      <c r="L14" s="6">
        <v>26.93</v>
      </c>
    </row>
    <row r="15" spans="1:23" x14ac:dyDescent="0.45">
      <c r="A15" s="5" t="s">
        <v>555</v>
      </c>
      <c r="B15">
        <v>2</v>
      </c>
      <c r="C15" t="s">
        <v>710</v>
      </c>
      <c r="D15">
        <v>0.22</v>
      </c>
      <c r="E15">
        <v>0.20472781137051571</v>
      </c>
      <c r="F15">
        <v>1.64</v>
      </c>
      <c r="G15">
        <v>112.23</v>
      </c>
      <c r="H15">
        <v>429.49</v>
      </c>
      <c r="I15">
        <v>0.74</v>
      </c>
      <c r="J15">
        <v>97.42</v>
      </c>
      <c r="K15">
        <v>314</v>
      </c>
      <c r="L15" s="6">
        <v>27.15</v>
      </c>
    </row>
    <row r="16" spans="1:23" x14ac:dyDescent="0.45">
      <c r="A16" s="5" t="s">
        <v>555</v>
      </c>
      <c r="B16">
        <v>2</v>
      </c>
      <c r="C16" t="s">
        <v>747</v>
      </c>
      <c r="D16">
        <v>0.37</v>
      </c>
      <c r="E16">
        <v>0.32571655272057692</v>
      </c>
      <c r="F16">
        <v>1.49</v>
      </c>
      <c r="G16">
        <v>116.23</v>
      </c>
      <c r="H16">
        <v>461.4</v>
      </c>
      <c r="I16">
        <v>0.75</v>
      </c>
      <c r="J16">
        <v>109.34</v>
      </c>
      <c r="K16">
        <v>348</v>
      </c>
      <c r="L16" s="6">
        <v>26.61</v>
      </c>
    </row>
    <row r="17" spans="1:12" x14ac:dyDescent="0.45">
      <c r="A17" s="5" t="s">
        <v>555</v>
      </c>
      <c r="B17">
        <v>2</v>
      </c>
      <c r="C17" t="s">
        <v>786</v>
      </c>
      <c r="D17">
        <v>0.32</v>
      </c>
      <c r="E17">
        <v>0.28606521533364399</v>
      </c>
      <c r="F17">
        <v>1.53</v>
      </c>
      <c r="G17">
        <v>92.12</v>
      </c>
      <c r="H17">
        <v>407.65</v>
      </c>
      <c r="I17">
        <v>0.77</v>
      </c>
      <c r="J17">
        <v>39.659999999999997</v>
      </c>
      <c r="K17">
        <v>122</v>
      </c>
      <c r="L17" s="6">
        <v>26.69</v>
      </c>
    </row>
    <row r="18" spans="1:12" x14ac:dyDescent="0.45">
      <c r="A18" s="5" t="s">
        <v>555</v>
      </c>
      <c r="B18">
        <v>2</v>
      </c>
      <c r="C18" t="s">
        <v>828</v>
      </c>
      <c r="D18">
        <v>0.3</v>
      </c>
      <c r="E18">
        <v>0.27199696568255738</v>
      </c>
      <c r="F18">
        <v>1.56</v>
      </c>
      <c r="G18">
        <v>96.56</v>
      </c>
      <c r="H18">
        <v>437.17</v>
      </c>
      <c r="I18">
        <v>0.78</v>
      </c>
      <c r="J18">
        <v>41.23</v>
      </c>
      <c r="K18">
        <v>126</v>
      </c>
      <c r="L18" s="6">
        <v>26.72</v>
      </c>
    </row>
    <row r="19" spans="1:12" s="4" customFormat="1" x14ac:dyDescent="0.45">
      <c r="A19" s="7" t="s">
        <v>555</v>
      </c>
      <c r="B19" s="4">
        <v>2</v>
      </c>
      <c r="C19" s="4" t="s">
        <v>872</v>
      </c>
      <c r="D19" s="4">
        <v>0.18</v>
      </c>
      <c r="E19" s="4">
        <v>0.17430290328758299</v>
      </c>
      <c r="F19" s="4">
        <v>1.66</v>
      </c>
      <c r="G19" s="4">
        <v>112.77</v>
      </c>
      <c r="H19" s="4">
        <v>472</v>
      </c>
      <c r="I19" s="4">
        <v>0.76</v>
      </c>
      <c r="J19" s="4">
        <v>34.200000000000003</v>
      </c>
      <c r="K19" s="4">
        <v>107</v>
      </c>
      <c r="L19" s="8">
        <v>26.96</v>
      </c>
    </row>
    <row r="20" spans="1:12" x14ac:dyDescent="0.45">
      <c r="A20" s="5" t="s">
        <v>910</v>
      </c>
      <c r="B20">
        <v>3</v>
      </c>
      <c r="C20" t="s">
        <v>909</v>
      </c>
      <c r="D20">
        <v>0.12</v>
      </c>
      <c r="E20">
        <v>0.1138223901095555</v>
      </c>
      <c r="F20">
        <v>1.61</v>
      </c>
      <c r="G20">
        <v>113.06</v>
      </c>
      <c r="H20">
        <v>466.57</v>
      </c>
      <c r="I20">
        <v>0.76</v>
      </c>
      <c r="J20">
        <v>99.92</v>
      </c>
      <c r="K20">
        <v>314</v>
      </c>
      <c r="L20" s="6">
        <v>26.6</v>
      </c>
    </row>
    <row r="21" spans="1:12" x14ac:dyDescent="0.45">
      <c r="A21" s="5" t="s">
        <v>910</v>
      </c>
      <c r="B21">
        <v>3</v>
      </c>
      <c r="C21" t="s">
        <v>944</v>
      </c>
      <c r="F21">
        <v>1.76</v>
      </c>
      <c r="G21">
        <v>109.65</v>
      </c>
      <c r="H21">
        <v>420.04</v>
      </c>
      <c r="I21">
        <v>0.74</v>
      </c>
      <c r="J21">
        <v>120.42</v>
      </c>
      <c r="K21">
        <v>388</v>
      </c>
      <c r="L21" s="6">
        <v>27.31</v>
      </c>
    </row>
    <row r="22" spans="1:12" x14ac:dyDescent="0.45">
      <c r="A22" s="5" t="s">
        <v>910</v>
      </c>
      <c r="B22">
        <v>3</v>
      </c>
      <c r="C22" t="s">
        <v>980</v>
      </c>
      <c r="D22">
        <v>0.16</v>
      </c>
      <c r="E22">
        <v>0.148958729354181</v>
      </c>
      <c r="F22">
        <v>1.71</v>
      </c>
      <c r="G22">
        <v>101.8</v>
      </c>
      <c r="H22">
        <v>410.21</v>
      </c>
      <c r="I22">
        <v>0.75</v>
      </c>
      <c r="J22">
        <v>102.94</v>
      </c>
      <c r="K22">
        <v>326</v>
      </c>
      <c r="L22" s="6">
        <v>27.12</v>
      </c>
    </row>
    <row r="23" spans="1:12" x14ac:dyDescent="0.45">
      <c r="A23" s="5" t="s">
        <v>910</v>
      </c>
      <c r="B23">
        <v>3</v>
      </c>
      <c r="C23" t="s">
        <v>1017</v>
      </c>
      <c r="D23">
        <v>0.41</v>
      </c>
      <c r="E23">
        <v>0.35757437945062731</v>
      </c>
      <c r="F23">
        <v>1.47</v>
      </c>
      <c r="G23">
        <v>98.51</v>
      </c>
      <c r="H23">
        <v>413.76</v>
      </c>
      <c r="I23">
        <v>0.76</v>
      </c>
      <c r="J23">
        <v>102.08</v>
      </c>
      <c r="K23">
        <v>319</v>
      </c>
      <c r="L23" s="6">
        <v>26.37</v>
      </c>
    </row>
    <row r="24" spans="1:12" x14ac:dyDescent="0.45">
      <c r="A24" s="5" t="s">
        <v>910</v>
      </c>
      <c r="B24">
        <v>3</v>
      </c>
      <c r="C24" t="s">
        <v>1057</v>
      </c>
      <c r="D24">
        <v>0.57999999999999996</v>
      </c>
      <c r="E24">
        <v>0.47168711892072879</v>
      </c>
      <c r="F24">
        <v>1.3</v>
      </c>
      <c r="G24">
        <v>94.24</v>
      </c>
      <c r="H24">
        <v>408.99</v>
      </c>
      <c r="I24">
        <v>0.77</v>
      </c>
      <c r="J24">
        <v>98.58</v>
      </c>
      <c r="K24">
        <v>305</v>
      </c>
      <c r="L24" s="6">
        <v>25.87</v>
      </c>
    </row>
    <row r="25" spans="1:12" x14ac:dyDescent="0.45">
      <c r="A25" s="5" t="s">
        <v>910</v>
      </c>
      <c r="B25">
        <v>3</v>
      </c>
      <c r="C25" t="s">
        <v>1093</v>
      </c>
      <c r="D25">
        <v>0.4</v>
      </c>
      <c r="E25">
        <v>0.34914444476498968</v>
      </c>
      <c r="F25">
        <v>1.42</v>
      </c>
      <c r="G25">
        <v>104.58</v>
      </c>
      <c r="H25">
        <v>432.97</v>
      </c>
      <c r="I25">
        <v>0.76</v>
      </c>
      <c r="J25">
        <v>97.16</v>
      </c>
      <c r="K25">
        <v>305</v>
      </c>
      <c r="L25" s="6">
        <v>26.28</v>
      </c>
    </row>
    <row r="26" spans="1:12" x14ac:dyDescent="0.45">
      <c r="A26" s="5" t="s">
        <v>910</v>
      </c>
      <c r="B26">
        <v>3</v>
      </c>
      <c r="C26" t="s">
        <v>1130</v>
      </c>
      <c r="D26">
        <v>0.45</v>
      </c>
      <c r="E26">
        <v>0.38332951161564283</v>
      </c>
      <c r="F26">
        <v>1.37</v>
      </c>
      <c r="G26">
        <v>92.28</v>
      </c>
      <c r="H26">
        <v>412.7</v>
      </c>
      <c r="I26">
        <v>0.78</v>
      </c>
      <c r="J26">
        <v>38.15</v>
      </c>
      <c r="K26">
        <v>117</v>
      </c>
      <c r="L26" s="6">
        <v>26.03</v>
      </c>
    </row>
    <row r="27" spans="1:12" x14ac:dyDescent="0.45">
      <c r="A27" s="5" t="s">
        <v>910</v>
      </c>
      <c r="B27">
        <v>3</v>
      </c>
      <c r="C27" t="s">
        <v>1165</v>
      </c>
      <c r="D27">
        <v>0.27</v>
      </c>
      <c r="E27">
        <v>0.25015686137210219</v>
      </c>
      <c r="F27">
        <v>1.52</v>
      </c>
      <c r="G27">
        <v>120.03</v>
      </c>
      <c r="H27">
        <v>525.79999999999995</v>
      </c>
      <c r="I27">
        <v>0.77</v>
      </c>
      <c r="J27">
        <v>36.630000000000003</v>
      </c>
      <c r="K27">
        <v>113</v>
      </c>
      <c r="L27" s="6">
        <v>26.46</v>
      </c>
    </row>
    <row r="28" spans="1:12" s="4" customFormat="1" x14ac:dyDescent="0.45">
      <c r="A28" s="7" t="s">
        <v>910</v>
      </c>
      <c r="B28" s="4">
        <v>3</v>
      </c>
      <c r="C28" s="4" t="s">
        <v>1203</v>
      </c>
      <c r="D28" s="4">
        <v>0.4</v>
      </c>
      <c r="E28" s="4">
        <v>0.34546217241457522</v>
      </c>
      <c r="F28" s="4">
        <v>1.39</v>
      </c>
      <c r="G28" s="4">
        <v>101.09</v>
      </c>
      <c r="H28" s="4">
        <v>462.7</v>
      </c>
      <c r="I28" s="4">
        <v>0.78</v>
      </c>
      <c r="J28" s="4">
        <v>36.76</v>
      </c>
      <c r="K28" s="4">
        <v>112</v>
      </c>
      <c r="L28" s="8">
        <v>25.96</v>
      </c>
    </row>
    <row r="29" spans="1:12" x14ac:dyDescent="0.45">
      <c r="A29" s="5" t="s">
        <v>1239</v>
      </c>
      <c r="B29">
        <v>4</v>
      </c>
      <c r="C29" t="s">
        <v>1238</v>
      </c>
      <c r="D29">
        <v>0.56000000000000005</v>
      </c>
      <c r="E29">
        <v>0.46100965496346641</v>
      </c>
      <c r="F29">
        <v>1.27</v>
      </c>
      <c r="G29">
        <v>107.77</v>
      </c>
      <c r="H29">
        <v>428.31</v>
      </c>
      <c r="I29">
        <v>0.75</v>
      </c>
      <c r="J29">
        <v>129.81</v>
      </c>
      <c r="K29">
        <v>413</v>
      </c>
      <c r="L29" s="6">
        <v>25.47</v>
      </c>
    </row>
    <row r="30" spans="1:12" x14ac:dyDescent="0.45">
      <c r="A30" s="5" t="s">
        <v>1239</v>
      </c>
      <c r="B30">
        <v>4</v>
      </c>
      <c r="C30" t="s">
        <v>1275</v>
      </c>
      <c r="D30">
        <v>0.14000000000000001</v>
      </c>
      <c r="E30">
        <v>0.13220026775749341</v>
      </c>
      <c r="F30">
        <v>1.68</v>
      </c>
      <c r="G30">
        <v>99.59</v>
      </c>
      <c r="H30">
        <v>392.31</v>
      </c>
      <c r="I30">
        <v>0.75</v>
      </c>
      <c r="J30">
        <v>113.76</v>
      </c>
      <c r="K30">
        <v>363</v>
      </c>
      <c r="L30" s="6">
        <v>27.04</v>
      </c>
    </row>
    <row r="31" spans="1:12" x14ac:dyDescent="0.45">
      <c r="A31" s="5" t="s">
        <v>1239</v>
      </c>
      <c r="B31">
        <v>4</v>
      </c>
      <c r="C31" t="s">
        <v>1311</v>
      </c>
      <c r="D31">
        <v>0.45</v>
      </c>
      <c r="E31">
        <v>0.38303328868849612</v>
      </c>
      <c r="F31">
        <v>1.37</v>
      </c>
      <c r="G31">
        <v>121.05</v>
      </c>
      <c r="H31">
        <v>471.3</v>
      </c>
      <c r="I31">
        <v>0.74</v>
      </c>
      <c r="J31">
        <v>95.51</v>
      </c>
      <c r="K31">
        <v>306</v>
      </c>
      <c r="L31" s="6">
        <v>26.22</v>
      </c>
    </row>
    <row r="32" spans="1:12" x14ac:dyDescent="0.45">
      <c r="A32" s="5" t="s">
        <v>1239</v>
      </c>
      <c r="B32">
        <v>4</v>
      </c>
      <c r="C32" t="s">
        <v>1351</v>
      </c>
      <c r="D32">
        <v>0.37</v>
      </c>
      <c r="E32">
        <v>0.32741113214993112</v>
      </c>
      <c r="F32">
        <v>1.47</v>
      </c>
      <c r="G32">
        <v>117.74</v>
      </c>
      <c r="H32">
        <v>458.21</v>
      </c>
      <c r="I32">
        <v>0.74</v>
      </c>
      <c r="J32">
        <v>92.69</v>
      </c>
      <c r="K32">
        <v>297</v>
      </c>
      <c r="L32" s="6">
        <v>26.43</v>
      </c>
    </row>
    <row r="33" spans="1:12" x14ac:dyDescent="0.45">
      <c r="A33" s="5" t="s">
        <v>1239</v>
      </c>
      <c r="B33">
        <v>4</v>
      </c>
      <c r="C33" t="s">
        <v>1389</v>
      </c>
      <c r="D33">
        <v>0.37</v>
      </c>
      <c r="E33">
        <v>0.32098664736242039</v>
      </c>
      <c r="F33">
        <v>1.47</v>
      </c>
      <c r="G33">
        <v>104.86</v>
      </c>
      <c r="H33">
        <v>451.94</v>
      </c>
      <c r="I33">
        <v>0.77</v>
      </c>
      <c r="J33">
        <v>88.38</v>
      </c>
      <c r="K33">
        <v>274</v>
      </c>
      <c r="L33" s="6">
        <v>26.62</v>
      </c>
    </row>
    <row r="34" spans="1:12" x14ac:dyDescent="0.45">
      <c r="A34" s="5" t="s">
        <v>1239</v>
      </c>
      <c r="B34">
        <v>4</v>
      </c>
      <c r="C34" t="s">
        <v>1426</v>
      </c>
      <c r="D34">
        <v>0.39</v>
      </c>
      <c r="E34">
        <v>0.33806246178571181</v>
      </c>
      <c r="F34">
        <v>1.38</v>
      </c>
      <c r="G34">
        <v>103.84</v>
      </c>
      <c r="H34">
        <v>444.86</v>
      </c>
      <c r="I34">
        <v>0.77</v>
      </c>
      <c r="J34">
        <v>85.64</v>
      </c>
      <c r="K34">
        <v>266</v>
      </c>
      <c r="L34" s="6">
        <v>26.48</v>
      </c>
    </row>
    <row r="35" spans="1:12" x14ac:dyDescent="0.45">
      <c r="A35" s="5" t="s">
        <v>1239</v>
      </c>
      <c r="B35">
        <v>4</v>
      </c>
      <c r="C35" t="s">
        <v>1463</v>
      </c>
      <c r="D35">
        <v>0.16</v>
      </c>
      <c r="E35">
        <v>0.15690016396307679</v>
      </c>
      <c r="F35">
        <v>1.53</v>
      </c>
      <c r="G35">
        <v>107.67</v>
      </c>
      <c r="H35">
        <v>476.18</v>
      </c>
      <c r="I35">
        <v>0.77</v>
      </c>
      <c r="J35">
        <v>42.58</v>
      </c>
      <c r="K35">
        <v>131</v>
      </c>
      <c r="L35" s="6">
        <v>26.95</v>
      </c>
    </row>
    <row r="36" spans="1:12" x14ac:dyDescent="0.45">
      <c r="A36" s="5" t="s">
        <v>1239</v>
      </c>
      <c r="B36">
        <v>4</v>
      </c>
      <c r="C36" t="s">
        <v>1497</v>
      </c>
      <c r="D36">
        <v>0.23</v>
      </c>
      <c r="E36">
        <v>0.21363561338479409</v>
      </c>
      <c r="F36">
        <v>1.46</v>
      </c>
      <c r="G36">
        <v>93.65</v>
      </c>
      <c r="H36">
        <v>423.4</v>
      </c>
      <c r="I36">
        <v>0.78</v>
      </c>
      <c r="J36">
        <v>59.86</v>
      </c>
      <c r="K36">
        <v>183</v>
      </c>
      <c r="L36" s="6">
        <v>26.83</v>
      </c>
    </row>
    <row r="37" spans="1:12" s="4" customFormat="1" x14ac:dyDescent="0.45">
      <c r="A37" s="7" t="s">
        <v>1239</v>
      </c>
      <c r="B37" s="4">
        <v>4</v>
      </c>
      <c r="C37" s="4" t="s">
        <v>1533</v>
      </c>
      <c r="D37" s="4">
        <v>0.23</v>
      </c>
      <c r="E37" s="4">
        <v>0.2117484635309069</v>
      </c>
      <c r="F37" s="4">
        <v>1.5</v>
      </c>
      <c r="G37" s="4">
        <v>111.89</v>
      </c>
      <c r="H37" s="4">
        <v>492.94</v>
      </c>
      <c r="I37" s="4">
        <v>0.77</v>
      </c>
      <c r="J37" s="4">
        <v>42.53</v>
      </c>
      <c r="K37" s="4">
        <v>131</v>
      </c>
      <c r="L37" s="8">
        <v>26.78</v>
      </c>
    </row>
    <row r="38" spans="1:12" x14ac:dyDescent="0.45">
      <c r="A38" s="5" t="s">
        <v>1567</v>
      </c>
      <c r="B38">
        <v>5</v>
      </c>
      <c r="C38" t="s">
        <v>1566</v>
      </c>
      <c r="D38">
        <v>0.53</v>
      </c>
      <c r="E38">
        <v>0.43871250449665938</v>
      </c>
      <c r="F38">
        <v>1.29</v>
      </c>
      <c r="G38">
        <v>115.25</v>
      </c>
      <c r="H38">
        <v>452.59</v>
      </c>
      <c r="I38">
        <v>0.75</v>
      </c>
      <c r="J38">
        <v>138.99</v>
      </c>
      <c r="K38">
        <v>444</v>
      </c>
      <c r="L38" s="6">
        <v>25.69</v>
      </c>
    </row>
    <row r="39" spans="1:12" x14ac:dyDescent="0.45">
      <c r="A39" s="5" t="s">
        <v>1567</v>
      </c>
      <c r="B39">
        <v>5</v>
      </c>
      <c r="C39" t="s">
        <v>1605</v>
      </c>
      <c r="D39">
        <v>0.49</v>
      </c>
      <c r="E39">
        <v>0.40956009760657441</v>
      </c>
      <c r="F39">
        <v>1.37</v>
      </c>
      <c r="G39">
        <v>95.06</v>
      </c>
      <c r="H39">
        <v>384.59</v>
      </c>
      <c r="I39">
        <v>0.75</v>
      </c>
      <c r="J39">
        <v>142.29</v>
      </c>
      <c r="K39">
        <v>450</v>
      </c>
      <c r="L39" s="6">
        <v>26.03</v>
      </c>
    </row>
    <row r="40" spans="1:12" x14ac:dyDescent="0.45">
      <c r="A40" s="5" t="s">
        <v>1567</v>
      </c>
      <c r="B40">
        <v>5</v>
      </c>
      <c r="C40" t="s">
        <v>1639</v>
      </c>
      <c r="D40">
        <v>0.19</v>
      </c>
      <c r="E40">
        <v>0.1806648666067911</v>
      </c>
      <c r="F40">
        <v>1.59</v>
      </c>
      <c r="G40">
        <v>102.46</v>
      </c>
      <c r="H40">
        <v>417.95</v>
      </c>
      <c r="I40">
        <v>0.75</v>
      </c>
      <c r="J40">
        <v>90.35</v>
      </c>
      <c r="K40">
        <v>285</v>
      </c>
      <c r="L40" s="6">
        <v>26.89</v>
      </c>
    </row>
    <row r="41" spans="1:12" x14ac:dyDescent="0.45">
      <c r="A41" s="5" t="s">
        <v>1567</v>
      </c>
      <c r="B41">
        <v>5</v>
      </c>
      <c r="C41" t="s">
        <v>1672</v>
      </c>
      <c r="D41">
        <v>0.44</v>
      </c>
      <c r="E41">
        <v>0.37647606966277403</v>
      </c>
      <c r="F41">
        <v>1.36</v>
      </c>
      <c r="G41">
        <v>94.88</v>
      </c>
      <c r="H41">
        <v>415.04</v>
      </c>
      <c r="I41">
        <v>0.77</v>
      </c>
      <c r="J41">
        <v>86.18</v>
      </c>
      <c r="K41">
        <v>266</v>
      </c>
      <c r="L41" s="6">
        <v>26.24</v>
      </c>
    </row>
    <row r="42" spans="1:12" x14ac:dyDescent="0.45">
      <c r="A42" s="5" t="s">
        <v>1567</v>
      </c>
      <c r="B42">
        <v>5</v>
      </c>
      <c r="C42" t="s">
        <v>1704</v>
      </c>
      <c r="D42">
        <v>0.53</v>
      </c>
      <c r="E42">
        <v>0.43809116504553708</v>
      </c>
      <c r="F42">
        <v>1.34</v>
      </c>
      <c r="G42">
        <v>100.55</v>
      </c>
      <c r="H42">
        <v>432.12</v>
      </c>
      <c r="I42">
        <v>0.77</v>
      </c>
      <c r="J42">
        <v>81.540000000000006</v>
      </c>
      <c r="K42">
        <v>253</v>
      </c>
      <c r="L42" s="6">
        <v>26.14</v>
      </c>
    </row>
    <row r="43" spans="1:12" x14ac:dyDescent="0.45">
      <c r="A43" s="5" t="s">
        <v>1567</v>
      </c>
      <c r="B43">
        <v>5</v>
      </c>
      <c r="C43" t="s">
        <v>1740</v>
      </c>
      <c r="D43">
        <v>0.63</v>
      </c>
      <c r="E43">
        <v>0.5025803165862619</v>
      </c>
      <c r="F43">
        <v>1.3</v>
      </c>
      <c r="G43">
        <v>115.33</v>
      </c>
      <c r="H43">
        <v>477</v>
      </c>
      <c r="I43">
        <v>0.76</v>
      </c>
      <c r="J43">
        <v>84.39</v>
      </c>
      <c r="K43">
        <v>265</v>
      </c>
      <c r="L43" s="6">
        <v>26.07</v>
      </c>
    </row>
    <row r="44" spans="1:12" x14ac:dyDescent="0.45">
      <c r="A44" s="5" t="s">
        <v>1567</v>
      </c>
      <c r="B44">
        <v>5</v>
      </c>
      <c r="C44" t="s">
        <v>1770</v>
      </c>
      <c r="D44">
        <v>0.31</v>
      </c>
      <c r="E44">
        <v>0.27761421487624782</v>
      </c>
      <c r="F44">
        <v>1.47</v>
      </c>
      <c r="G44">
        <v>104.45</v>
      </c>
      <c r="H44">
        <v>453.12</v>
      </c>
      <c r="I44">
        <v>0.77</v>
      </c>
      <c r="J44">
        <v>60.76</v>
      </c>
      <c r="K44">
        <v>188</v>
      </c>
      <c r="L44" s="6">
        <v>26.37</v>
      </c>
    </row>
    <row r="45" spans="1:12" x14ac:dyDescent="0.45">
      <c r="A45" s="5" t="s">
        <v>1567</v>
      </c>
      <c r="B45">
        <v>5</v>
      </c>
      <c r="C45" t="s">
        <v>1805</v>
      </c>
      <c r="D45">
        <v>0.4</v>
      </c>
      <c r="E45">
        <v>0.34805342768431369</v>
      </c>
      <c r="F45">
        <v>1.4</v>
      </c>
      <c r="G45">
        <v>86.06</v>
      </c>
      <c r="H45">
        <v>402.7</v>
      </c>
      <c r="I45">
        <v>0.79</v>
      </c>
      <c r="J45">
        <v>62.42</v>
      </c>
      <c r="K45">
        <v>189</v>
      </c>
      <c r="L45" s="6">
        <v>26.22</v>
      </c>
    </row>
    <row r="46" spans="1:12" s="4" customFormat="1" x14ac:dyDescent="0.45">
      <c r="A46" s="7" t="s">
        <v>1567</v>
      </c>
      <c r="B46" s="4">
        <v>5</v>
      </c>
      <c r="C46" s="4" t="s">
        <v>1841</v>
      </c>
      <c r="D46" s="4">
        <v>0.27</v>
      </c>
      <c r="E46" s="4">
        <v>0.24544821624400051</v>
      </c>
      <c r="F46" s="4">
        <v>1.47</v>
      </c>
      <c r="G46" s="4">
        <v>94.55</v>
      </c>
      <c r="H46" s="4">
        <v>431.43</v>
      </c>
      <c r="I46" s="4">
        <v>0.78</v>
      </c>
      <c r="J46" s="4">
        <v>61</v>
      </c>
      <c r="K46" s="4">
        <v>186</v>
      </c>
      <c r="L46" s="8">
        <v>26.39</v>
      </c>
    </row>
    <row r="47" spans="1:12" x14ac:dyDescent="0.45">
      <c r="A47" s="5" t="s">
        <v>1875</v>
      </c>
      <c r="B47">
        <v>6</v>
      </c>
      <c r="C47" t="s">
        <v>1874</v>
      </c>
      <c r="D47">
        <v>0.39</v>
      </c>
      <c r="E47">
        <v>0.33951113292769658</v>
      </c>
      <c r="F47">
        <v>1.43</v>
      </c>
      <c r="G47">
        <v>105.09</v>
      </c>
      <c r="H47">
        <v>423.38</v>
      </c>
      <c r="I47">
        <v>0.75</v>
      </c>
      <c r="J47">
        <v>131.04</v>
      </c>
      <c r="K47">
        <v>415</v>
      </c>
      <c r="L47" s="6">
        <v>26.22</v>
      </c>
    </row>
    <row r="48" spans="1:12" x14ac:dyDescent="0.45">
      <c r="A48" s="5" t="s">
        <v>1875</v>
      </c>
      <c r="B48">
        <v>6</v>
      </c>
      <c r="C48" t="s">
        <v>1911</v>
      </c>
      <c r="D48">
        <v>0.62</v>
      </c>
      <c r="E48">
        <v>0.49417890838173267</v>
      </c>
      <c r="F48">
        <v>1.24</v>
      </c>
      <c r="G48">
        <v>122.03</v>
      </c>
      <c r="H48">
        <v>471.68</v>
      </c>
      <c r="I48">
        <v>0.74</v>
      </c>
      <c r="J48">
        <v>132.32</v>
      </c>
      <c r="K48">
        <v>425</v>
      </c>
      <c r="L48" s="6">
        <v>25.67</v>
      </c>
    </row>
    <row r="49" spans="1:12" x14ac:dyDescent="0.45">
      <c r="A49" s="5" t="s">
        <v>1875</v>
      </c>
      <c r="B49">
        <v>6</v>
      </c>
      <c r="C49" t="s">
        <v>1943</v>
      </c>
      <c r="D49">
        <v>0.13</v>
      </c>
      <c r="E49">
        <v>0.12969188597593501</v>
      </c>
      <c r="F49">
        <v>1.66</v>
      </c>
      <c r="G49">
        <v>107.27</v>
      </c>
      <c r="H49">
        <v>442.05</v>
      </c>
      <c r="I49">
        <v>0.76</v>
      </c>
      <c r="J49">
        <v>91.92</v>
      </c>
      <c r="K49">
        <v>289</v>
      </c>
      <c r="L49" s="6">
        <v>27.24</v>
      </c>
    </row>
    <row r="50" spans="1:12" x14ac:dyDescent="0.45">
      <c r="A50" s="5" t="s">
        <v>1875</v>
      </c>
      <c r="B50">
        <v>6</v>
      </c>
      <c r="C50" t="s">
        <v>1980</v>
      </c>
      <c r="D50">
        <v>0.47</v>
      </c>
      <c r="E50">
        <v>0.39894568076238801</v>
      </c>
      <c r="F50">
        <v>1.37</v>
      </c>
      <c r="G50">
        <v>94.13</v>
      </c>
      <c r="H50">
        <v>410.13</v>
      </c>
      <c r="I50">
        <v>0.77</v>
      </c>
      <c r="J50">
        <v>97.08</v>
      </c>
      <c r="K50">
        <v>300</v>
      </c>
      <c r="L50" s="6">
        <v>26.31</v>
      </c>
    </row>
    <row r="51" spans="1:12" x14ac:dyDescent="0.45">
      <c r="A51" s="5" t="s">
        <v>1875</v>
      </c>
      <c r="B51">
        <v>6</v>
      </c>
      <c r="C51" t="s">
        <v>2016</v>
      </c>
      <c r="D51">
        <v>0.3</v>
      </c>
      <c r="E51">
        <v>0.26921301378413931</v>
      </c>
      <c r="F51">
        <v>1.51</v>
      </c>
      <c r="G51">
        <v>116.62</v>
      </c>
      <c r="H51">
        <v>476.98</v>
      </c>
      <c r="I51">
        <v>0.76</v>
      </c>
      <c r="J51">
        <v>74.569999999999993</v>
      </c>
      <c r="K51">
        <v>235</v>
      </c>
      <c r="L51" s="6">
        <v>26.57</v>
      </c>
    </row>
    <row r="52" spans="1:12" x14ac:dyDescent="0.45">
      <c r="A52" s="5" t="s">
        <v>1875</v>
      </c>
      <c r="B52">
        <v>6</v>
      </c>
      <c r="C52" t="s">
        <v>2052</v>
      </c>
      <c r="D52">
        <v>0.45</v>
      </c>
      <c r="E52">
        <v>0.38261457350277678</v>
      </c>
      <c r="F52">
        <v>1.4</v>
      </c>
      <c r="G52">
        <v>113.97</v>
      </c>
      <c r="H52">
        <v>480.46</v>
      </c>
      <c r="I52">
        <v>0.76</v>
      </c>
      <c r="J52">
        <v>74.97</v>
      </c>
      <c r="K52">
        <v>234</v>
      </c>
      <c r="L52" s="6">
        <v>26.21</v>
      </c>
    </row>
    <row r="53" spans="1:12" x14ac:dyDescent="0.45">
      <c r="A53" s="5" t="s">
        <v>1875</v>
      </c>
      <c r="B53">
        <v>6</v>
      </c>
      <c r="C53" t="s">
        <v>2086</v>
      </c>
      <c r="D53">
        <v>0.12</v>
      </c>
      <c r="E53">
        <v>0.1167281659377554</v>
      </c>
      <c r="F53">
        <v>1.63</v>
      </c>
      <c r="G53">
        <v>101.01</v>
      </c>
      <c r="H53">
        <v>456.12</v>
      </c>
      <c r="I53">
        <v>0.78</v>
      </c>
      <c r="J53">
        <v>60.49</v>
      </c>
      <c r="K53">
        <v>185</v>
      </c>
      <c r="L53" s="6">
        <v>26.79</v>
      </c>
    </row>
    <row r="54" spans="1:12" x14ac:dyDescent="0.45">
      <c r="A54" s="5" t="s">
        <v>1875</v>
      </c>
      <c r="B54">
        <v>6</v>
      </c>
      <c r="C54" t="s">
        <v>2121</v>
      </c>
      <c r="D54">
        <v>0.38</v>
      </c>
      <c r="E54">
        <v>0.33429904809333122</v>
      </c>
      <c r="F54">
        <v>1.35</v>
      </c>
      <c r="G54">
        <v>87.53</v>
      </c>
      <c r="H54">
        <v>427.08</v>
      </c>
      <c r="I54">
        <v>0.8</v>
      </c>
      <c r="J54">
        <v>55.1</v>
      </c>
      <c r="K54">
        <v>165</v>
      </c>
      <c r="L54" s="6">
        <v>25.92</v>
      </c>
    </row>
    <row r="55" spans="1:12" ht="19.8" thickBot="1" x14ac:dyDescent="0.5">
      <c r="A55" s="9" t="s">
        <v>1875</v>
      </c>
      <c r="B55" s="10">
        <v>6</v>
      </c>
      <c r="C55" s="10" t="s">
        <v>2152</v>
      </c>
      <c r="D55" s="10">
        <v>0.37</v>
      </c>
      <c r="E55" s="10">
        <v>0.32538548543994972</v>
      </c>
      <c r="F55" s="10">
        <v>1.36</v>
      </c>
      <c r="G55" s="10">
        <v>89.61</v>
      </c>
      <c r="H55" s="10">
        <v>416.46</v>
      </c>
      <c r="I55" s="10">
        <v>0.78</v>
      </c>
      <c r="J55" s="10">
        <v>62.63</v>
      </c>
      <c r="K55" s="10">
        <v>190</v>
      </c>
      <c r="L55" s="11">
        <v>25.97</v>
      </c>
    </row>
  </sheetData>
  <phoneticPr fontId="1" type="noConversion"/>
  <pageMargins left="0.7" right="0.7" top="0.75" bottom="0.75" header="0.3" footer="0.3"/>
  <ignoredErrors>
    <ignoredError sqref="P2:W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lightfluoromete</vt:lpstr>
      <vt:lpstr>Sheet1</vt:lpstr>
      <vt:lpstr>Clean_Data</vt:lpstr>
      <vt:lpstr>Selected_Data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2026-09-25T12:05:39Z</dcterms:created>
  <dcterms:modified xsi:type="dcterms:W3CDTF">2026-10-26T05:31:16Z</dcterms:modified>
</cp:coreProperties>
</file>