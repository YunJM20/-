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72" documentId="11_E47953ACE510E5FF57B740F274F4659E83CCD9C2" xr6:coauthVersionLast="47" xr6:coauthVersionMax="47" xr10:uidLastSave="{445ABA2A-5719-4B7F-BC6E-564EF392DAF7}"/>
  <bookViews>
    <workbookView xWindow="28680" yWindow="-120" windowWidth="29040" windowHeight="15720" activeTab="2" xr2:uid="{00000000-000D-0000-FFFF-FFFF00000000}"/>
  </bookViews>
  <sheets>
    <sheet name="lightfluoromete" sheetId="1" r:id="rId1"/>
    <sheet name="Sheet1" sheetId="2" r:id="rId2"/>
    <sheet name="정리" sheetId="3" r:id="rId3"/>
    <sheet name="Clean_Data" sheetId="4" r:id="rId4"/>
    <sheet name="Selected_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6" i="1" l="1"/>
  <c r="AF76" i="1"/>
  <c r="U76" i="1"/>
  <c r="T76" i="1"/>
  <c r="P76" i="1"/>
  <c r="Q76" i="1" s="1"/>
  <c r="M76" i="1"/>
  <c r="L76" i="1"/>
  <c r="J76" i="1" s="1"/>
  <c r="K76" i="1"/>
  <c r="AL75" i="1"/>
  <c r="AF75" i="1"/>
  <c r="U75" i="1"/>
  <c r="P75" i="1"/>
  <c r="T75" i="1" s="1"/>
  <c r="L75" i="1" s="1"/>
  <c r="J75" i="1" s="1"/>
  <c r="M75" i="1"/>
  <c r="K75" i="1"/>
  <c r="AL74" i="1"/>
  <c r="AF74" i="1"/>
  <c r="U74" i="1"/>
  <c r="P74" i="1"/>
  <c r="T74" i="1" s="1"/>
  <c r="M74" i="1"/>
  <c r="K74" i="1"/>
  <c r="AL73" i="1"/>
  <c r="AF73" i="1"/>
  <c r="U73" i="1"/>
  <c r="M73" i="1" s="1"/>
  <c r="P73" i="1"/>
  <c r="Q73" i="1" s="1"/>
  <c r="K73" i="1"/>
  <c r="AL72" i="1"/>
  <c r="AF72" i="1"/>
  <c r="U72" i="1"/>
  <c r="M72" i="1" s="1"/>
  <c r="L72" i="1" s="1"/>
  <c r="J72" i="1" s="1"/>
  <c r="T72" i="1"/>
  <c r="Q72" i="1"/>
  <c r="P72" i="1"/>
  <c r="K72" i="1"/>
  <c r="AL71" i="1"/>
  <c r="P71" i="1" s="1"/>
  <c r="AF71" i="1"/>
  <c r="U71" i="1"/>
  <c r="M71" i="1" s="1"/>
  <c r="K71" i="1"/>
  <c r="AL70" i="1"/>
  <c r="P70" i="1" s="1"/>
  <c r="AF70" i="1"/>
  <c r="U70" i="1"/>
  <c r="M70" i="1"/>
  <c r="K70" i="1"/>
  <c r="AL69" i="1"/>
  <c r="P69" i="1" s="1"/>
  <c r="AF69" i="1"/>
  <c r="U69" i="1"/>
  <c r="M69" i="1"/>
  <c r="K69" i="1"/>
  <c r="AL68" i="1"/>
  <c r="AF68" i="1"/>
  <c r="U68" i="1"/>
  <c r="P68" i="1"/>
  <c r="T68" i="1" s="1"/>
  <c r="L68" i="1" s="1"/>
  <c r="J68" i="1" s="1"/>
  <c r="M68" i="1"/>
  <c r="K68" i="1"/>
  <c r="AL67" i="1"/>
  <c r="AF67" i="1"/>
  <c r="U67" i="1"/>
  <c r="T67" i="1"/>
  <c r="P67" i="1"/>
  <c r="Q67" i="1" s="1"/>
  <c r="M67" i="1"/>
  <c r="L67" i="1"/>
  <c r="J67" i="1" s="1"/>
  <c r="K67" i="1"/>
  <c r="AL66" i="1"/>
  <c r="AF66" i="1"/>
  <c r="U66" i="1"/>
  <c r="P66" i="1"/>
  <c r="T66" i="1" s="1"/>
  <c r="L66" i="1" s="1"/>
  <c r="J66" i="1" s="1"/>
  <c r="M66" i="1"/>
  <c r="K66" i="1"/>
  <c r="AL65" i="1"/>
  <c r="AF65" i="1"/>
  <c r="U65" i="1"/>
  <c r="P65" i="1"/>
  <c r="T65" i="1" s="1"/>
  <c r="M65" i="1"/>
  <c r="L65" i="1" s="1"/>
  <c r="J65" i="1" s="1"/>
  <c r="K65" i="1"/>
  <c r="AL64" i="1"/>
  <c r="AF64" i="1"/>
  <c r="U64" i="1"/>
  <c r="M64" i="1" s="1"/>
  <c r="P64" i="1"/>
  <c r="Q64" i="1" s="1"/>
  <c r="K64" i="1"/>
  <c r="AL63" i="1"/>
  <c r="AF63" i="1"/>
  <c r="U63" i="1"/>
  <c r="M63" i="1" s="1"/>
  <c r="L63" i="1" s="1"/>
  <c r="J63" i="1" s="1"/>
  <c r="T63" i="1"/>
  <c r="Q63" i="1"/>
  <c r="P63" i="1"/>
  <c r="K63" i="1"/>
  <c r="AL62" i="1"/>
  <c r="P62" i="1" s="1"/>
  <c r="AF62" i="1"/>
  <c r="U62" i="1"/>
  <c r="M62" i="1" s="1"/>
  <c r="K62" i="1"/>
  <c r="AL61" i="1"/>
  <c r="P61" i="1" s="1"/>
  <c r="AF61" i="1"/>
  <c r="U61" i="1"/>
  <c r="M61" i="1"/>
  <c r="K61" i="1"/>
  <c r="AL60" i="1"/>
  <c r="P60" i="1" s="1"/>
  <c r="AF60" i="1"/>
  <c r="U60" i="1"/>
  <c r="M60" i="1"/>
  <c r="K60" i="1"/>
  <c r="AL59" i="1"/>
  <c r="AF59" i="1"/>
  <c r="U59" i="1"/>
  <c r="P59" i="1"/>
  <c r="T59" i="1" s="1"/>
  <c r="L59" i="1" s="1"/>
  <c r="J59" i="1" s="1"/>
  <c r="M59" i="1"/>
  <c r="K59" i="1"/>
  <c r="AL58" i="1"/>
  <c r="AF58" i="1"/>
  <c r="U58" i="1"/>
  <c r="T58" i="1"/>
  <c r="P58" i="1"/>
  <c r="Q58" i="1" s="1"/>
  <c r="M58" i="1"/>
  <c r="L58" i="1"/>
  <c r="J58" i="1" s="1"/>
  <c r="K58" i="1"/>
  <c r="AL57" i="1"/>
  <c r="AF57" i="1"/>
  <c r="U57" i="1"/>
  <c r="P57" i="1"/>
  <c r="T57" i="1" s="1"/>
  <c r="L57" i="1" s="1"/>
  <c r="J57" i="1" s="1"/>
  <c r="M57" i="1"/>
  <c r="K57" i="1"/>
  <c r="AL56" i="1"/>
  <c r="AF56" i="1"/>
  <c r="U56" i="1"/>
  <c r="P56" i="1"/>
  <c r="Q56" i="1" s="1"/>
  <c r="M56" i="1"/>
  <c r="K56" i="1"/>
  <c r="AL55" i="1"/>
  <c r="AF55" i="1"/>
  <c r="U55" i="1"/>
  <c r="M55" i="1" s="1"/>
  <c r="P55" i="1"/>
  <c r="Q55" i="1" s="1"/>
  <c r="K55" i="1"/>
  <c r="AL54" i="1"/>
  <c r="AF54" i="1"/>
  <c r="U54" i="1"/>
  <c r="M54" i="1" s="1"/>
  <c r="L54" i="1" s="1"/>
  <c r="J54" i="1" s="1"/>
  <c r="T54" i="1"/>
  <c r="Q54" i="1"/>
  <c r="P54" i="1"/>
  <c r="K54" i="1"/>
  <c r="AL53" i="1"/>
  <c r="P53" i="1" s="1"/>
  <c r="AF53" i="1"/>
  <c r="U53" i="1"/>
  <c r="M53" i="1" s="1"/>
  <c r="K53" i="1"/>
  <c r="AL52" i="1"/>
  <c r="P52" i="1" s="1"/>
  <c r="AF52" i="1"/>
  <c r="U52" i="1"/>
  <c r="M52" i="1"/>
  <c r="K52" i="1"/>
  <c r="AL51" i="1"/>
  <c r="P51" i="1" s="1"/>
  <c r="AF51" i="1"/>
  <c r="U51" i="1"/>
  <c r="M51" i="1"/>
  <c r="K51" i="1"/>
  <c r="AL50" i="1"/>
  <c r="AF50" i="1"/>
  <c r="U50" i="1"/>
  <c r="P50" i="1"/>
  <c r="T50" i="1" s="1"/>
  <c r="L50" i="1" s="1"/>
  <c r="J50" i="1" s="1"/>
  <c r="M50" i="1"/>
  <c r="K50" i="1"/>
  <c r="AL49" i="1"/>
  <c r="AF49" i="1"/>
  <c r="U49" i="1"/>
  <c r="T49" i="1"/>
  <c r="P49" i="1"/>
  <c r="Q49" i="1" s="1"/>
  <c r="M49" i="1"/>
  <c r="L49" i="1"/>
  <c r="J49" i="1" s="1"/>
  <c r="K49" i="1"/>
  <c r="AL48" i="1"/>
  <c r="AF48" i="1"/>
  <c r="U48" i="1"/>
  <c r="P48" i="1"/>
  <c r="Q48" i="1" s="1"/>
  <c r="M48" i="1"/>
  <c r="K48" i="1"/>
  <c r="AL47" i="1"/>
  <c r="AF47" i="1"/>
  <c r="U47" i="1"/>
  <c r="P47" i="1"/>
  <c r="Q47" i="1" s="1"/>
  <c r="M47" i="1"/>
  <c r="K47" i="1"/>
  <c r="AL46" i="1"/>
  <c r="AF46" i="1"/>
  <c r="U46" i="1"/>
  <c r="M46" i="1" s="1"/>
  <c r="P46" i="1"/>
  <c r="T46" i="1" s="1"/>
  <c r="K46" i="1"/>
  <c r="AL45" i="1"/>
  <c r="P45" i="1" s="1"/>
  <c r="AF45" i="1"/>
  <c r="U45" i="1"/>
  <c r="M45" i="1" s="1"/>
  <c r="K45" i="1"/>
  <c r="AL44" i="1"/>
  <c r="P44" i="1" s="1"/>
  <c r="AF44" i="1"/>
  <c r="U44" i="1"/>
  <c r="M44" i="1" s="1"/>
  <c r="K44" i="1"/>
  <c r="AL43" i="1"/>
  <c r="P43" i="1" s="1"/>
  <c r="AF43" i="1"/>
  <c r="U43" i="1"/>
  <c r="M43" i="1"/>
  <c r="K43" i="1"/>
  <c r="AL42" i="1"/>
  <c r="P42" i="1" s="1"/>
  <c r="AF42" i="1"/>
  <c r="U42" i="1"/>
  <c r="M42" i="1"/>
  <c r="K42" i="1"/>
  <c r="AL41" i="1"/>
  <c r="AF41" i="1"/>
  <c r="U41" i="1"/>
  <c r="P41" i="1"/>
  <c r="T41" i="1" s="1"/>
  <c r="L41" i="1" s="1"/>
  <c r="J41" i="1" s="1"/>
  <c r="M41" i="1"/>
  <c r="K41" i="1"/>
  <c r="AL40" i="1"/>
  <c r="AF40" i="1"/>
  <c r="U40" i="1"/>
  <c r="P40" i="1"/>
  <c r="T40" i="1" s="1"/>
  <c r="L40" i="1" s="1"/>
  <c r="J40" i="1" s="1"/>
  <c r="M40" i="1"/>
  <c r="K40" i="1"/>
  <c r="AL39" i="1"/>
  <c r="AF39" i="1"/>
  <c r="U39" i="1"/>
  <c r="P39" i="1"/>
  <c r="T39" i="1" s="1"/>
  <c r="L39" i="1" s="1"/>
  <c r="J39" i="1" s="1"/>
  <c r="M39" i="1"/>
  <c r="K39" i="1"/>
  <c r="AL38" i="1"/>
  <c r="AF38" i="1"/>
  <c r="U38" i="1"/>
  <c r="P38" i="1"/>
  <c r="Q38" i="1" s="1"/>
  <c r="M38" i="1"/>
  <c r="K38" i="1"/>
  <c r="AL37" i="1"/>
  <c r="AF37" i="1"/>
  <c r="U37" i="1"/>
  <c r="M37" i="1" s="1"/>
  <c r="P37" i="1"/>
  <c r="Q37" i="1" s="1"/>
  <c r="K37" i="1"/>
  <c r="AL36" i="1"/>
  <c r="P36" i="1" s="1"/>
  <c r="AF36" i="1"/>
  <c r="U36" i="1"/>
  <c r="M36" i="1" s="1"/>
  <c r="K36" i="1"/>
  <c r="AL35" i="1"/>
  <c r="P35" i="1" s="1"/>
  <c r="AF35" i="1"/>
  <c r="U35" i="1"/>
  <c r="M35" i="1" s="1"/>
  <c r="K35" i="1"/>
  <c r="AL34" i="1"/>
  <c r="P34" i="1" s="1"/>
  <c r="AF34" i="1"/>
  <c r="U34" i="1"/>
  <c r="M34" i="1"/>
  <c r="K34" i="1"/>
  <c r="AL33" i="1"/>
  <c r="P33" i="1" s="1"/>
  <c r="AF33" i="1"/>
  <c r="U33" i="1"/>
  <c r="M33" i="1"/>
  <c r="K33" i="1"/>
  <c r="AL32" i="1"/>
  <c r="AF32" i="1"/>
  <c r="U32" i="1"/>
  <c r="P32" i="1"/>
  <c r="T32" i="1" s="1"/>
  <c r="L32" i="1" s="1"/>
  <c r="J32" i="1" s="1"/>
  <c r="M32" i="1"/>
  <c r="K32" i="1"/>
  <c r="AL31" i="1"/>
  <c r="AF31" i="1"/>
  <c r="U31" i="1"/>
  <c r="P31" i="1"/>
  <c r="T31" i="1" s="1"/>
  <c r="L31" i="1" s="1"/>
  <c r="J31" i="1" s="1"/>
  <c r="M31" i="1"/>
  <c r="K31" i="1"/>
  <c r="AL30" i="1"/>
  <c r="AF30" i="1"/>
  <c r="U30" i="1"/>
  <c r="P30" i="1"/>
  <c r="Q30" i="1" s="1"/>
  <c r="M30" i="1"/>
  <c r="K30" i="1"/>
  <c r="AL29" i="1"/>
  <c r="AF29" i="1"/>
  <c r="U29" i="1"/>
  <c r="P29" i="1"/>
  <c r="Q29" i="1" s="1"/>
  <c r="M29" i="1"/>
  <c r="K29" i="1"/>
  <c r="AL28" i="1"/>
  <c r="AF28" i="1"/>
  <c r="U28" i="1"/>
  <c r="M28" i="1" s="1"/>
  <c r="P28" i="1"/>
  <c r="Q28" i="1" s="1"/>
  <c r="K28" i="1"/>
  <c r="AL27" i="1"/>
  <c r="P27" i="1" s="1"/>
  <c r="AF27" i="1"/>
  <c r="U27" i="1"/>
  <c r="M27" i="1" s="1"/>
  <c r="K27" i="1"/>
  <c r="AL26" i="1"/>
  <c r="P26" i="1" s="1"/>
  <c r="AF26" i="1"/>
  <c r="U26" i="1"/>
  <c r="M26" i="1" s="1"/>
  <c r="K26" i="1"/>
  <c r="AL25" i="1"/>
  <c r="P25" i="1" s="1"/>
  <c r="AF25" i="1"/>
  <c r="U25" i="1"/>
  <c r="M25" i="1"/>
  <c r="K25" i="1"/>
  <c r="AL24" i="1"/>
  <c r="P24" i="1" s="1"/>
  <c r="AF24" i="1"/>
  <c r="U24" i="1"/>
  <c r="M24" i="1"/>
  <c r="K24" i="1"/>
  <c r="AL23" i="1"/>
  <c r="AF23" i="1"/>
  <c r="U23" i="1"/>
  <c r="P23" i="1"/>
  <c r="T23" i="1" s="1"/>
  <c r="L23" i="1" s="1"/>
  <c r="J23" i="1" s="1"/>
  <c r="M23" i="1"/>
  <c r="K23" i="1"/>
  <c r="AL22" i="1"/>
  <c r="AF22" i="1"/>
  <c r="U22" i="1"/>
  <c r="P22" i="1"/>
  <c r="T22" i="1" s="1"/>
  <c r="L22" i="1" s="1"/>
  <c r="J22" i="1" s="1"/>
  <c r="M22" i="1"/>
  <c r="K22" i="1"/>
  <c r="AL21" i="1"/>
  <c r="AF21" i="1"/>
  <c r="U21" i="1"/>
  <c r="P21" i="1"/>
  <c r="Q21" i="1" s="1"/>
  <c r="M21" i="1"/>
  <c r="K21" i="1"/>
  <c r="AL20" i="1"/>
  <c r="AF20" i="1"/>
  <c r="U20" i="1"/>
  <c r="P20" i="1"/>
  <c r="Q20" i="1" s="1"/>
  <c r="M20" i="1"/>
  <c r="K20" i="1"/>
  <c r="AL19" i="1"/>
  <c r="AF19" i="1"/>
  <c r="U19" i="1"/>
  <c r="M19" i="1" s="1"/>
  <c r="P19" i="1"/>
  <c r="Q19" i="1" s="1"/>
  <c r="K19" i="1"/>
  <c r="AL18" i="1"/>
  <c r="P18" i="1" s="1"/>
  <c r="AF18" i="1"/>
  <c r="U18" i="1"/>
  <c r="M18" i="1" s="1"/>
  <c r="K18" i="1"/>
  <c r="AL17" i="1"/>
  <c r="P17" i="1" s="1"/>
  <c r="AF17" i="1"/>
  <c r="U17" i="1"/>
  <c r="M17" i="1" s="1"/>
  <c r="K17" i="1"/>
  <c r="AL16" i="1"/>
  <c r="P16" i="1" s="1"/>
  <c r="AF16" i="1"/>
  <c r="U16" i="1"/>
  <c r="M16" i="1" s="1"/>
  <c r="K16" i="1"/>
  <c r="AL15" i="1"/>
  <c r="P15" i="1" s="1"/>
  <c r="AF15" i="1"/>
  <c r="U15" i="1"/>
  <c r="M15" i="1"/>
  <c r="K15" i="1"/>
  <c r="AL14" i="1"/>
  <c r="AF14" i="1"/>
  <c r="U14" i="1"/>
  <c r="P14" i="1"/>
  <c r="T14" i="1" s="1"/>
  <c r="L14" i="1" s="1"/>
  <c r="J14" i="1" s="1"/>
  <c r="M14" i="1"/>
  <c r="K14" i="1"/>
  <c r="AL13" i="1"/>
  <c r="AF13" i="1"/>
  <c r="U13" i="1"/>
  <c r="P13" i="1"/>
  <c r="T13" i="1" s="1"/>
  <c r="L13" i="1" s="1"/>
  <c r="J13" i="1" s="1"/>
  <c r="M13" i="1"/>
  <c r="K13" i="1"/>
  <c r="AL12" i="1"/>
  <c r="AF12" i="1"/>
  <c r="U12" i="1"/>
  <c r="P12" i="1"/>
  <c r="Q12" i="1" s="1"/>
  <c r="M12" i="1"/>
  <c r="K12" i="1"/>
  <c r="AL11" i="1"/>
  <c r="AF11" i="1"/>
  <c r="U11" i="1"/>
  <c r="P11" i="1"/>
  <c r="T11" i="1" s="1"/>
  <c r="M11" i="1"/>
  <c r="K11" i="1"/>
  <c r="AL10" i="1"/>
  <c r="AF10" i="1"/>
  <c r="U10" i="1"/>
  <c r="M10" i="1" s="1"/>
  <c r="P10" i="1"/>
  <c r="Q10" i="1" s="1"/>
  <c r="K10" i="1"/>
  <c r="AL9" i="1"/>
  <c r="P9" i="1" s="1"/>
  <c r="AF9" i="1"/>
  <c r="U9" i="1"/>
  <c r="M9" i="1" s="1"/>
  <c r="K9" i="1"/>
  <c r="AL8" i="1"/>
  <c r="P8" i="1" s="1"/>
  <c r="AF8" i="1"/>
  <c r="U8" i="1"/>
  <c r="M8" i="1" s="1"/>
  <c r="K8" i="1"/>
  <c r="AL7" i="1"/>
  <c r="P7" i="1" s="1"/>
  <c r="AF7" i="1"/>
  <c r="U7" i="1"/>
  <c r="M7" i="1" s="1"/>
  <c r="K7" i="1"/>
  <c r="AL6" i="1"/>
  <c r="P6" i="1" s="1"/>
  <c r="AF6" i="1"/>
  <c r="U6" i="1"/>
  <c r="M6" i="1"/>
  <c r="K6" i="1"/>
  <c r="AL5" i="1"/>
  <c r="AF5" i="1"/>
  <c r="U5" i="1"/>
  <c r="P5" i="1"/>
  <c r="T5" i="1" s="1"/>
  <c r="L5" i="1" s="1"/>
  <c r="J5" i="1" s="1"/>
  <c r="M5" i="1"/>
  <c r="K5" i="1"/>
  <c r="AL4" i="1"/>
  <c r="AF4" i="1"/>
  <c r="U4" i="1"/>
  <c r="P4" i="1"/>
  <c r="T4" i="1" s="1"/>
  <c r="L4" i="1" s="1"/>
  <c r="J4" i="1" s="1"/>
  <c r="M4" i="1"/>
  <c r="K4" i="1"/>
  <c r="T7" i="1" l="1"/>
  <c r="Q7" i="1"/>
  <c r="L46" i="1"/>
  <c r="J46" i="1" s="1"/>
  <c r="T61" i="1"/>
  <c r="L61" i="1" s="1"/>
  <c r="J61" i="1" s="1"/>
  <c r="Q61" i="1"/>
  <c r="T18" i="1"/>
  <c r="Q18" i="1"/>
  <c r="Q71" i="1"/>
  <c r="T71" i="1"/>
  <c r="L71" i="1" s="1"/>
  <c r="J71" i="1" s="1"/>
  <c r="Q8" i="1"/>
  <c r="T8" i="1"/>
  <c r="L8" i="1" s="1"/>
  <c r="J8" i="1" s="1"/>
  <c r="L9" i="1"/>
  <c r="J9" i="1" s="1"/>
  <c r="T15" i="1"/>
  <c r="L15" i="1" s="1"/>
  <c r="J15" i="1" s="1"/>
  <c r="Q15" i="1"/>
  <c r="Q53" i="1"/>
  <c r="T53" i="1"/>
  <c r="L53" i="1" s="1"/>
  <c r="J53" i="1" s="1"/>
  <c r="T43" i="1"/>
  <c r="L43" i="1" s="1"/>
  <c r="J43" i="1" s="1"/>
  <c r="Q43" i="1"/>
  <c r="Q62" i="1"/>
  <c r="T62" i="1"/>
  <c r="L62" i="1" s="1"/>
  <c r="J62" i="1" s="1"/>
  <c r="T9" i="1"/>
  <c r="Q9" i="1"/>
  <c r="L16" i="1"/>
  <c r="J16" i="1" s="1"/>
  <c r="Q35" i="1"/>
  <c r="T35" i="1"/>
  <c r="L35" i="1" s="1"/>
  <c r="J35" i="1" s="1"/>
  <c r="L36" i="1"/>
  <c r="J36" i="1" s="1"/>
  <c r="T42" i="1"/>
  <c r="L42" i="1" s="1"/>
  <c r="J42" i="1" s="1"/>
  <c r="Q42" i="1"/>
  <c r="T25" i="1"/>
  <c r="L25" i="1" s="1"/>
  <c r="J25" i="1" s="1"/>
  <c r="Q25" i="1"/>
  <c r="T33" i="1"/>
  <c r="L33" i="1" s="1"/>
  <c r="J33" i="1" s="1"/>
  <c r="Q33" i="1"/>
  <c r="T16" i="1"/>
  <c r="Q16" i="1"/>
  <c r="T36" i="1"/>
  <c r="Q36" i="1"/>
  <c r="T27" i="1"/>
  <c r="L27" i="1" s="1"/>
  <c r="J27" i="1" s="1"/>
  <c r="Q27" i="1"/>
  <c r="L38" i="1"/>
  <c r="J38" i="1" s="1"/>
  <c r="Q44" i="1"/>
  <c r="T44" i="1"/>
  <c r="L44" i="1" s="1"/>
  <c r="J44" i="1" s="1"/>
  <c r="T69" i="1"/>
  <c r="L69" i="1" s="1"/>
  <c r="J69" i="1" s="1"/>
  <c r="Q69" i="1"/>
  <c r="L73" i="1"/>
  <c r="J73" i="1" s="1"/>
  <c r="T52" i="1"/>
  <c r="L52" i="1" s="1"/>
  <c r="J52" i="1" s="1"/>
  <c r="Q52" i="1"/>
  <c r="L45" i="1"/>
  <c r="J45" i="1" s="1"/>
  <c r="T60" i="1"/>
  <c r="L60" i="1" s="1"/>
  <c r="J60" i="1" s="1"/>
  <c r="Q60" i="1"/>
  <c r="Q26" i="1"/>
  <c r="T26" i="1"/>
  <c r="L26" i="1" s="1"/>
  <c r="J26" i="1" s="1"/>
  <c r="T6" i="1"/>
  <c r="L6" i="1" s="1"/>
  <c r="J6" i="1" s="1"/>
  <c r="Q6" i="1"/>
  <c r="Q17" i="1"/>
  <c r="T17" i="1"/>
  <c r="L17" i="1" s="1"/>
  <c r="J17" i="1" s="1"/>
  <c r="T34" i="1"/>
  <c r="L34" i="1" s="1"/>
  <c r="J34" i="1" s="1"/>
  <c r="Q34" i="1"/>
  <c r="L11" i="1"/>
  <c r="J11" i="1" s="1"/>
  <c r="T45" i="1"/>
  <c r="Q45" i="1"/>
  <c r="T51" i="1"/>
  <c r="L51" i="1" s="1"/>
  <c r="J51" i="1" s="1"/>
  <c r="Q51" i="1"/>
  <c r="L7" i="1"/>
  <c r="J7" i="1" s="1"/>
  <c r="L18" i="1"/>
  <c r="J18" i="1" s="1"/>
  <c r="T24" i="1"/>
  <c r="L24" i="1" s="1"/>
  <c r="J24" i="1" s="1"/>
  <c r="Q24" i="1"/>
  <c r="T70" i="1"/>
  <c r="L70" i="1" s="1"/>
  <c r="J70" i="1" s="1"/>
  <c r="Q70" i="1"/>
  <c r="L74" i="1"/>
  <c r="J74" i="1" s="1"/>
  <c r="T28" i="1"/>
  <c r="L28" i="1" s="1"/>
  <c r="J28" i="1" s="1"/>
  <c r="Q39" i="1"/>
  <c r="Q5" i="1"/>
  <c r="Q41" i="1"/>
  <c r="Q50" i="1"/>
  <c r="Q59" i="1"/>
  <c r="Q68" i="1"/>
  <c r="T19" i="1"/>
  <c r="L19" i="1" s="1"/>
  <c r="J19" i="1" s="1"/>
  <c r="T37" i="1"/>
  <c r="L37" i="1" s="1"/>
  <c r="J37" i="1" s="1"/>
  <c r="T21" i="1"/>
  <c r="L21" i="1" s="1"/>
  <c r="J21" i="1" s="1"/>
  <c r="T30" i="1"/>
  <c r="L30" i="1" s="1"/>
  <c r="J30" i="1" s="1"/>
  <c r="Q14" i="1"/>
  <c r="Q23" i="1"/>
  <c r="Q32" i="1"/>
  <c r="Q46" i="1"/>
  <c r="T10" i="1"/>
  <c r="L10" i="1" s="1"/>
  <c r="J10" i="1" s="1"/>
  <c r="T55" i="1"/>
  <c r="L55" i="1" s="1"/>
  <c r="J55" i="1" s="1"/>
  <c r="Q57" i="1"/>
  <c r="T48" i="1"/>
  <c r="L48" i="1" s="1"/>
  <c r="J48" i="1" s="1"/>
  <c r="T64" i="1"/>
  <c r="L64" i="1" s="1"/>
  <c r="J64" i="1" s="1"/>
  <c r="T73" i="1"/>
  <c r="Q66" i="1"/>
  <c r="Q75" i="1"/>
  <c r="T12" i="1"/>
  <c r="L12" i="1" s="1"/>
  <c r="J12" i="1" s="1"/>
  <c r="Q11" i="1"/>
  <c r="Q65" i="1"/>
  <c r="Q74" i="1"/>
  <c r="T29" i="1"/>
  <c r="L29" i="1" s="1"/>
  <c r="J29" i="1" s="1"/>
  <c r="T47" i="1"/>
  <c r="L47" i="1" s="1"/>
  <c r="J47" i="1" s="1"/>
  <c r="T56" i="1"/>
  <c r="L56" i="1" s="1"/>
  <c r="J56" i="1" s="1"/>
  <c r="T20" i="1"/>
  <c r="L20" i="1" s="1"/>
  <c r="J20" i="1" s="1"/>
  <c r="T38" i="1"/>
  <c r="Q4" i="1"/>
  <c r="Q13" i="1"/>
  <c r="Q22" i="1"/>
  <c r="Q31" i="1"/>
  <c r="Q40" i="1"/>
</calcChain>
</file>

<file path=xl/sharedStrings.xml><?xml version="1.0" encoding="utf-8"?>
<sst xmlns="http://schemas.openxmlformats.org/spreadsheetml/2006/main" count="18952" uniqueCount="3068">
  <si>
    <t>Date</t>
  </si>
  <si>
    <t>처리</t>
  </si>
  <si>
    <t>반복</t>
  </si>
  <si>
    <t>엽위</t>
  </si>
  <si>
    <t>gsw</t>
  </si>
  <si>
    <t>VPDleaf</t>
  </si>
  <si>
    <t>Fs</t>
  </si>
  <si>
    <t>Fm'</t>
  </si>
  <si>
    <t>PhiPS2</t>
  </si>
  <si>
    <t>ETR</t>
  </si>
  <si>
    <t>Tleaf</t>
  </si>
  <si>
    <t>Qamb</t>
  </si>
  <si>
    <t>YYYYMMDD</t>
  </si>
  <si>
    <t>mol+1m-2s-1</t>
  </si>
  <si>
    <t>kPa</t>
  </si>
  <si>
    <t>umol+1m-2s-1</t>
  </si>
  <si>
    <t>C</t>
  </si>
  <si>
    <t>2026-09-04</t>
  </si>
  <si>
    <t>상</t>
  </si>
  <si>
    <t>하</t>
  </si>
  <si>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</si>
  <si>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</si>
  <si>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</si>
  <si>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</si>
  <si>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</si>
  <si>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</si>
  <si>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</si>
  <si>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</si>
  <si>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</si>
  <si>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</si>
  <si>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</si>
  <si>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</si>
  <si>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</si>
  <si>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</si>
  <si>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</si>
  <si>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</si>
  <si>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configName</t>
  </si>
  <si>
    <t>configAuthor</t>
  </si>
  <si>
    <t>remark</t>
  </si>
  <si>
    <t>Species</t>
  </si>
  <si>
    <t>Treatment</t>
  </si>
  <si>
    <t>Number</t>
  </si>
  <si>
    <t>gbw</t>
  </si>
  <si>
    <t>gtw</t>
  </si>
  <si>
    <t>E_apparent</t>
  </si>
  <si>
    <t>VPcham</t>
  </si>
  <si>
    <t>VPref</t>
  </si>
  <si>
    <t>VPleaf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</si>
  <si>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</si>
  <si>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</si>
  <si>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</si>
  <si>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</si>
  <si>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</si>
  <si>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</si>
  <si>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</si>
  <si>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</si>
  <si>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</si>
  <si>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PS2/1</t>
  </si>
  <si>
    <t>abs</t>
  </si>
  <si>
    <t>TRANS</t>
  </si>
  <si>
    <t>rh_s</t>
  </si>
  <si>
    <t>rh_r</t>
  </si>
  <si>
    <t>Tref</t>
  </si>
  <si>
    <t>Tmeas</t>
  </si>
  <si>
    <t>P_atm</t>
  </si>
  <si>
    <t>flow</t>
  </si>
  <si>
    <t>flow_s</t>
  </si>
  <si>
    <t>leak_pct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</si>
  <si>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</si>
  <si>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</si>
  <si>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</si>
  <si>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</si>
  <si>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</si>
  <si>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</si>
  <si>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</si>
  <si>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</si>
  <si>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</si>
  <si>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</si>
  <si>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</si>
  <si>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</si>
  <si>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</si>
  <si>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</si>
  <si>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</si>
  <si>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</si>
  <si>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</si>
  <si>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</si>
  <si>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</si>
  <si>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</si>
  <si>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</si>
  <si>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</si>
  <si>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</si>
  <si>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</si>
  <si>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</si>
  <si>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</si>
  <si>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</si>
  <si>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</si>
  <si>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</si>
  <si>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</si>
  <si>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</si>
  <si>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</si>
  <si>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</si>
  <si>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</si>
  <si>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</si>
  <si>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</si>
  <si>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</si>
  <si>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</si>
  <si>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</si>
  <si>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</si>
  <si>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</si>
  <si>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</si>
  <si>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</si>
  <si>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</si>
  <si>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</si>
  <si>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</si>
  <si>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</si>
  <si>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</si>
  <si>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</si>
  <si>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</si>
  <si>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</si>
  <si>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</si>
  <si>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</si>
  <si>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</si>
  <si>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</si>
  <si>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</si>
  <si>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</si>
  <si>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</si>
  <si>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</si>
  <si>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</si>
  <si>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</si>
  <si>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</si>
  <si>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</si>
  <si>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</si>
  <si>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</si>
  <si>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</si>
  <si>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</si>
  <si>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</si>
  <si>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</si>
  <si>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</si>
  <si>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</si>
  <si>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</si>
  <si>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</si>
  <si>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</si>
  <si>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</si>
  <si>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</si>
  <si>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</si>
  <si>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</si>
  <si>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</si>
  <si>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</si>
  <si>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</si>
  <si>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</si>
  <si>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mmol+1m-2s-1</t>
  </si>
  <si>
    <t>mmol+1mol-1</t>
  </si>
  <si>
    <t>cm+2</t>
  </si>
  <si>
    <t>mm</t>
  </si>
  <si>
    <t>%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</si>
  <si>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</si>
  <si>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</si>
  <si>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</si>
  <si>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</si>
  <si>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</si>
  <si>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</si>
  <si>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</si>
  <si>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</si>
  <si>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</si>
  <si>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</si>
  <si>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</si>
  <si>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10:19:15</t>
  </si>
  <si>
    <t>lightfluoromete</t>
  </si>
  <si>
    <t>yun</t>
  </si>
  <si>
    <t>001</t>
  </si>
  <si>
    <t>2.429658</t>
  </si>
  <si>
    <t>2.215400</t>
  </si>
  <si>
    <t>21.946226</t>
  </si>
  <si>
    <t>24.068710</t>
  </si>
  <si>
    <t>7.500000</t>
  </si>
  <si>
    <t>PSF-01106_20260904101915_727</t>
  </si>
  <si>
    <t>0.000000</t>
  </si>
  <si>
    <t>104.061844</t>
  </si>
  <si>
    <t>382.347473</t>
  </si>
  <si>
    <t>0.727834</t>
  </si>
  <si>
    <t>0.5</t>
  </si>
  <si>
    <t>0.84</t>
  </si>
  <si>
    <t>1.000000</t>
  </si>
  <si>
    <t>58.28</t>
  </si>
  <si>
    <t>53.14</t>
  </si>
  <si>
    <t>29.62</t>
  </si>
  <si>
    <t>27.54</t>
  </si>
  <si>
    <t>100.95</t>
  </si>
  <si>
    <t>119.8</t>
  </si>
  <si>
    <t>116.9</t>
  </si>
  <si>
    <t>2.4</t>
  </si>
  <si>
    <t>1049</t>
  </si>
  <si>
    <t>3.709</t>
  </si>
  <si>
    <t>-16</t>
  </si>
  <si>
    <t>-3</t>
  </si>
  <si>
    <t>307</t>
  </si>
  <si>
    <t>57.78</t>
  </si>
  <si>
    <t>53.32</t>
  </si>
  <si>
    <t>16.27</t>
  </si>
  <si>
    <t>116.23</t>
  </si>
  <si>
    <t>7.23</t>
  </si>
  <si>
    <t>125.31</t>
  </si>
  <si>
    <t>41.66</t>
  </si>
  <si>
    <t>01:18:10</t>
  </si>
  <si>
    <t>35.850571</t>
  </si>
  <si>
    <t>127.129509</t>
  </si>
  <si>
    <t>72.900002</t>
  </si>
  <si>
    <t>7</t>
  </si>
  <si>
    <t>1.080000</t>
  </si>
  <si>
    <t>10:15:39</t>
  </si>
  <si>
    <t>-1.67</t>
  </si>
  <si>
    <t>0.000</t>
  </si>
  <si>
    <t>0.001</t>
  </si>
  <si>
    <t>0.004</t>
  </si>
  <si>
    <t>-0.142</t>
  </si>
  <si>
    <t>-0.452</t>
  </si>
  <si>
    <t>-0.980</t>
  </si>
  <si>
    <t>150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</si>
  <si>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</si>
  <si>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</si>
  <si>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</si>
  <si>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</si>
  <si>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</si>
  <si>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</si>
  <si>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</si>
  <si>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</si>
  <si>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</si>
  <si>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</si>
  <si>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-9999</t>
  </si>
  <si>
    <t>2.508447</t>
  </si>
  <si>
    <t>2.455194</t>
  </si>
  <si>
    <t>1.372941</t>
  </si>
  <si>
    <t>0.846912</t>
  </si>
  <si>
    <t>0.227014</t>
  </si>
  <si>
    <t>-0.024393</t>
  </si>
  <si>
    <t>0.157304</t>
  </si>
  <si>
    <t>1.022071</t>
  </si>
  <si>
    <t>0.000349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</si>
  <si>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</si>
  <si>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</si>
  <si>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</si>
  <si>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</si>
  <si>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</si>
  <si>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</si>
  <si>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</si>
  <si>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</si>
  <si>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</si>
  <si>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</si>
  <si>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</si>
  <si>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</si>
  <si>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</si>
  <si>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</si>
  <si>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10:20:13</t>
  </si>
  <si>
    <t>002</t>
  </si>
  <si>
    <t>2.508074</t>
  </si>
  <si>
    <t>2.266122</t>
  </si>
  <si>
    <t>22.447130</t>
  </si>
  <si>
    <t>24.843794</t>
  </si>
  <si>
    <t>PSF-01106_20260904102013_7b9</t>
  </si>
  <si>
    <t>101.502296</t>
  </si>
  <si>
    <t>351.256012</t>
  </si>
  <si>
    <t>0.711030</t>
  </si>
  <si>
    <t>58.83</t>
  </si>
  <si>
    <t>53.16</t>
  </si>
  <si>
    <t>30.01</t>
  </si>
  <si>
    <t>27.77</t>
  </si>
  <si>
    <t>122.0</t>
  </si>
  <si>
    <t>119.2</t>
  </si>
  <si>
    <t>2.2</t>
  </si>
  <si>
    <t>1233</t>
  </si>
  <si>
    <t>3.706</t>
  </si>
  <si>
    <t>320</t>
  </si>
  <si>
    <t>57.11</t>
  </si>
  <si>
    <t>54.31</t>
  </si>
  <si>
    <t>16.00</t>
  </si>
  <si>
    <t>140.00</t>
  </si>
  <si>
    <t>125.59</t>
  </si>
  <si>
    <t>41.50</t>
  </si>
  <si>
    <t>01:19:08</t>
  </si>
  <si>
    <t>35.850471</t>
  </si>
  <si>
    <t>127.129570</t>
  </si>
  <si>
    <t>67.699997</t>
  </si>
  <si>
    <t>1.180000</t>
  </si>
  <si>
    <t>0.002</t>
  </si>
  <si>
    <t>-0.000</t>
  </si>
  <si>
    <t>-0.004</t>
  </si>
  <si>
    <t>0.032</t>
  </si>
  <si>
    <t>0.028</t>
  </si>
  <si>
    <t>0.314</t>
  </si>
  <si>
    <t>2.508395</t>
  </si>
  <si>
    <t>2.455824</t>
  </si>
  <si>
    <t>1.390259</t>
  </si>
  <si>
    <t>0.852560</t>
  </si>
  <si>
    <t>0.223565</t>
  </si>
  <si>
    <t>-0.026273</t>
  </si>
  <si>
    <t>0.165125</t>
  </si>
  <si>
    <t>1.182116</t>
  </si>
  <si>
    <t>0.000357</t>
  </si>
  <si>
    <t>3</t>
  </si>
  <si>
    <t>10:20:51</t>
  </si>
  <si>
    <t>003</t>
  </si>
  <si>
    <t>2.343736</t>
  </si>
  <si>
    <t>2.204948</t>
  </si>
  <si>
    <t>21.841436</t>
  </si>
  <si>
    <t>23.216228</t>
  </si>
  <si>
    <t>PSF-01106_20260904102051_a70</t>
  </si>
  <si>
    <t>120.173691</t>
  </si>
  <si>
    <t>421.326050</t>
  </si>
  <si>
    <t>0.714773</t>
  </si>
  <si>
    <t>54.28</t>
  </si>
  <si>
    <t>51.07</t>
  </si>
  <si>
    <t>30.23</t>
  </si>
  <si>
    <t>28.96</t>
  </si>
  <si>
    <t>124.1</t>
  </si>
  <si>
    <t>123.4</t>
  </si>
  <si>
    <t>0.6</t>
  </si>
  <si>
    <t>1273</t>
  </si>
  <si>
    <t>-7</t>
  </si>
  <si>
    <t>5</t>
  </si>
  <si>
    <t>303</t>
  </si>
  <si>
    <t>48.88</t>
  </si>
  <si>
    <t>65.76</t>
  </si>
  <si>
    <t>8.60</t>
  </si>
  <si>
    <t>158.67</t>
  </si>
  <si>
    <t>01:19:45</t>
  </si>
  <si>
    <t>35.850266</t>
  </si>
  <si>
    <t>127.129593</t>
  </si>
  <si>
    <t>65.099998</t>
  </si>
  <si>
    <t>9</t>
  </si>
  <si>
    <t>0.890000</t>
  </si>
  <si>
    <t>-0.001</t>
  </si>
  <si>
    <t>0.003</t>
  </si>
  <si>
    <t>-0.346</t>
  </si>
  <si>
    <t>-0.621</t>
  </si>
  <si>
    <t>-1.271</t>
  </si>
  <si>
    <t>2.505422</t>
  </si>
  <si>
    <t>2.449992</t>
  </si>
  <si>
    <t>1.406739</t>
  </si>
  <si>
    <t>0.862464</t>
  </si>
  <si>
    <t>0.221610</t>
  </si>
  <si>
    <t>-0.014769</t>
  </si>
  <si>
    <t>0.169937</t>
  </si>
  <si>
    <t>1.217510</t>
  </si>
  <si>
    <t>0.000352</t>
  </si>
  <si>
    <t>4</t>
  </si>
  <si>
    <t>10:21:28</t>
  </si>
  <si>
    <t>004</t>
  </si>
  <si>
    <t>2.314885</t>
  </si>
  <si>
    <t>2.270472</t>
  </si>
  <si>
    <t>22.492729</t>
  </si>
  <si>
    <t>22.932707</t>
  </si>
  <si>
    <t>PSF-01106_20260904102128_17c</t>
  </si>
  <si>
    <t>130.171173</t>
  </si>
  <si>
    <t>407.723297</t>
  </si>
  <si>
    <t>0.680736</t>
  </si>
  <si>
    <t>52.96</t>
  </si>
  <si>
    <t>51.95</t>
  </si>
  <si>
    <t>30.45</t>
  </si>
  <si>
    <t>30.46</t>
  </si>
  <si>
    <t>100.94</t>
  </si>
  <si>
    <t>127.6</t>
  </si>
  <si>
    <t>126.5</t>
  </si>
  <si>
    <t>0.9</t>
  </si>
  <si>
    <t>603</t>
  </si>
  <si>
    <t>-18</t>
  </si>
  <si>
    <t>6</t>
  </si>
  <si>
    <t>300</t>
  </si>
  <si>
    <t>59.92</t>
  </si>
  <si>
    <t>50.12</t>
  </si>
  <si>
    <t>18.94</t>
  </si>
  <si>
    <t>138.78</t>
  </si>
  <si>
    <t>125.87</t>
  </si>
  <si>
    <t>41.34</t>
  </si>
  <si>
    <t>01:20:22</t>
  </si>
  <si>
    <t>35.850208</t>
  </si>
  <si>
    <t>127.129578</t>
  </si>
  <si>
    <t>64.300003</t>
  </si>
  <si>
    <t>0.397</t>
  </si>
  <si>
    <t>-0.275</t>
  </si>
  <si>
    <t>0.403</t>
  </si>
  <si>
    <t>2.506613</t>
  </si>
  <si>
    <t>2.448268</t>
  </si>
  <si>
    <t>1.434830</t>
  </si>
  <si>
    <t>0.869986</t>
  </si>
  <si>
    <t>0.219756</t>
  </si>
  <si>
    <t>0.000973</t>
  </si>
  <si>
    <t>0.174589</t>
  </si>
  <si>
    <t>0.633250</t>
  </si>
  <si>
    <t>0.000344</t>
  </si>
  <si>
    <t>10:21:49</t>
  </si>
  <si>
    <t>005</t>
  </si>
  <si>
    <t>2.332745</t>
  </si>
  <si>
    <t>2.256134</t>
  </si>
  <si>
    <t>22.351513</t>
  </si>
  <si>
    <t>23.110504</t>
  </si>
  <si>
    <t>PSF-01106_20260904102149_17c</t>
  </si>
  <si>
    <t>120.899673</t>
  </si>
  <si>
    <t>429.151642</t>
  </si>
  <si>
    <t>0.718282</t>
  </si>
  <si>
    <t>53.01</t>
  </si>
  <si>
    <t>51.27</t>
  </si>
  <si>
    <t>30.56</t>
  </si>
  <si>
    <t>29.65</t>
  </si>
  <si>
    <t>126.4</t>
  </si>
  <si>
    <t>125.2</t>
  </si>
  <si>
    <t>1.0</t>
  </si>
  <si>
    <t>1066</t>
  </si>
  <si>
    <t>3.704</t>
  </si>
  <si>
    <t>-13</t>
  </si>
  <si>
    <t>-2</t>
  </si>
  <si>
    <t>280</t>
  </si>
  <si>
    <t>52.58</t>
  </si>
  <si>
    <t>60.76</t>
  </si>
  <si>
    <t>13.15</t>
  </si>
  <si>
    <t>91.18</t>
  </si>
  <si>
    <t>01:20:41</t>
  </si>
  <si>
    <t>35.850197</t>
  </si>
  <si>
    <t>63.900002</t>
  </si>
  <si>
    <t>-0.688</t>
  </si>
  <si>
    <t>-0.931</t>
  </si>
  <si>
    <t>-1.937</t>
  </si>
  <si>
    <t>2.505643</t>
  </si>
  <si>
    <t>2.448310</t>
  </si>
  <si>
    <t>1.425465</t>
  </si>
  <si>
    <t>0.866827</t>
  </si>
  <si>
    <t>0.218736</t>
  </si>
  <si>
    <t>-0.010447</t>
  </si>
  <si>
    <t>0.177152</t>
  </si>
  <si>
    <t>1.036418</t>
  </si>
  <si>
    <t>10:22:19</t>
  </si>
  <si>
    <t>006</t>
  </si>
  <si>
    <t>2.444554</t>
  </si>
  <si>
    <t>2.262585</t>
  </si>
  <si>
    <t>22.413145</t>
  </si>
  <si>
    <t>24.215734</t>
  </si>
  <si>
    <t>PSF-01106_20260904102219_c87</t>
  </si>
  <si>
    <t>107.218979</t>
  </si>
  <si>
    <t>458.898438</t>
  </si>
  <si>
    <t>0.766356</t>
  </si>
  <si>
    <t>55.05</t>
  </si>
  <si>
    <t>50.95</t>
  </si>
  <si>
    <t>30.72</t>
  </si>
  <si>
    <t>28.76</t>
  </si>
  <si>
    <t>124.5</t>
  </si>
  <si>
    <t>124.3</t>
  </si>
  <si>
    <t>0.1</t>
  </si>
  <si>
    <t>1078</t>
  </si>
  <si>
    <t>3.703</t>
  </si>
  <si>
    <t>53.05</t>
  </si>
  <si>
    <t>60.12</t>
  </si>
  <si>
    <t>13.91</t>
  </si>
  <si>
    <t>161.25</t>
  </si>
  <si>
    <t>126.15</t>
  </si>
  <si>
    <t>41.17</t>
  </si>
  <si>
    <t>01:21:13</t>
  </si>
  <si>
    <t>35.850170</t>
  </si>
  <si>
    <t>127.129585</t>
  </si>
  <si>
    <t>62.299999</t>
  </si>
  <si>
    <t>-0.002</t>
  </si>
  <si>
    <t>0.014</t>
  </si>
  <si>
    <t>-0.367</t>
  </si>
  <si>
    <t>-0.766</t>
  </si>
  <si>
    <t>2.505171</t>
  </si>
  <si>
    <t>2.450886</t>
  </si>
  <si>
    <t>1.410159</t>
  </si>
  <si>
    <t>0.864805</t>
  </si>
  <si>
    <t>0.217382</t>
  </si>
  <si>
    <t>-0.023134</t>
  </si>
  <si>
    <t>0.180798</t>
  </si>
  <si>
    <t>1.047433</t>
  </si>
  <si>
    <t>0.000347</t>
  </si>
  <si>
    <t>10:23:43</t>
  </si>
  <si>
    <t>007</t>
  </si>
  <si>
    <t>2.553360</t>
  </si>
  <si>
    <t>2.290782</t>
  </si>
  <si>
    <t>22.692186</t>
  </si>
  <si>
    <t>25.293255</t>
  </si>
  <si>
    <t>PSF-01106_20260904102343_232</t>
  </si>
  <si>
    <t>111.558441</t>
  </si>
  <si>
    <t>405.805359</t>
  </si>
  <si>
    <t>0.725094</t>
  </si>
  <si>
    <t>56.00</t>
  </si>
  <si>
    <t>50.24</t>
  </si>
  <si>
    <t>31.19</t>
  </si>
  <si>
    <t>28.26</t>
  </si>
  <si>
    <t>116.4</t>
  </si>
  <si>
    <t>7.9</t>
  </si>
  <si>
    <t>504</t>
  </si>
  <si>
    <t>3.699</t>
  </si>
  <si>
    <t>-21</t>
  </si>
  <si>
    <t>321</t>
  </si>
  <si>
    <t>60.84</t>
  </si>
  <si>
    <t>48.72</t>
  </si>
  <si>
    <t>21.36</t>
  </si>
  <si>
    <t>152.04</t>
  </si>
  <si>
    <t>126.44</t>
  </si>
  <si>
    <t>41.01</t>
  </si>
  <si>
    <t>01:22:37</t>
  </si>
  <si>
    <t>35.850212</t>
  </si>
  <si>
    <t>127.129700</t>
  </si>
  <si>
    <t>50.799999</t>
  </si>
  <si>
    <t>-0.005</t>
  </si>
  <si>
    <t>-0.075</t>
  </si>
  <si>
    <t>-0.076</t>
  </si>
  <si>
    <t>-0.388</t>
  </si>
  <si>
    <t>2.504081</t>
  </si>
  <si>
    <t>2.452007</t>
  </si>
  <si>
    <t>1.425673</t>
  </si>
  <si>
    <t>0.845793</t>
  </si>
  <si>
    <t>0.213449</t>
  </si>
  <si>
    <t>-0.034895</t>
  </si>
  <si>
    <t>0.191112</t>
  </si>
  <si>
    <t>0.546832</t>
  </si>
  <si>
    <t>0.000354</t>
  </si>
  <si>
    <t>8</t>
  </si>
  <si>
    <t>10:25:27</t>
  </si>
  <si>
    <t>008</t>
  </si>
  <si>
    <t>2.490263</t>
  </si>
  <si>
    <t>2.244289</t>
  </si>
  <si>
    <t>22.230917</t>
  </si>
  <si>
    <t>24.667421</t>
  </si>
  <si>
    <t>PSF-01106_20260904102527_de2</t>
  </si>
  <si>
    <t>200.436478</t>
  </si>
  <si>
    <t>375.457062</t>
  </si>
  <si>
    <t>0.466153</t>
  </si>
  <si>
    <t>52.74</t>
  </si>
  <si>
    <t>47.53</t>
  </si>
  <si>
    <t>31.80</t>
  </si>
  <si>
    <t>30.87</t>
  </si>
  <si>
    <t>125.5</t>
  </si>
  <si>
    <t>121.7</t>
  </si>
  <si>
    <t>3.0</t>
  </si>
  <si>
    <t>1058</t>
  </si>
  <si>
    <t>3.698</t>
  </si>
  <si>
    <t>-11</t>
  </si>
  <si>
    <t>139</t>
  </si>
  <si>
    <t>30.00</t>
  </si>
  <si>
    <t>86.61</t>
  </si>
  <si>
    <t>11.00</t>
  </si>
  <si>
    <t>-41.00</t>
  </si>
  <si>
    <t>127.01</t>
  </si>
  <si>
    <t>40.68</t>
  </si>
  <si>
    <t>01:24:20</t>
  </si>
  <si>
    <t>35.850239</t>
  </si>
  <si>
    <t>127.129677</t>
  </si>
  <si>
    <t>49.000000</t>
  </si>
  <si>
    <t>-0.438</t>
  </si>
  <si>
    <t>-0.247</t>
  </si>
  <si>
    <t>-3.431</t>
  </si>
  <si>
    <t>2.500149</t>
  </si>
  <si>
    <t>2.447742</t>
  </si>
  <si>
    <t>1.418254</t>
  </si>
  <si>
    <t>0.858496</t>
  </si>
  <si>
    <t>0.208355</t>
  </si>
  <si>
    <t>-0.010791</t>
  </si>
  <si>
    <t>0.203376</t>
  </si>
  <si>
    <t>1.029730</t>
  </si>
  <si>
    <t>0.000339</t>
  </si>
  <si>
    <t>10:27:19</t>
  </si>
  <si>
    <t>009</t>
  </si>
  <si>
    <t>2.595483</t>
  </si>
  <si>
    <t>2.278082</t>
  </si>
  <si>
    <t>22.563419</t>
  </si>
  <si>
    <t>25.707136</t>
  </si>
  <si>
    <t>PSF-01106_20260904102719_6aa</t>
  </si>
  <si>
    <t>164.838913</t>
  </si>
  <si>
    <t>377.929321</t>
  </si>
  <si>
    <t>0.563837</t>
  </si>
  <si>
    <t>46.52</t>
  </si>
  <si>
    <t>32.44</t>
  </si>
  <si>
    <t>31.59</t>
  </si>
  <si>
    <t>100.96</t>
  </si>
  <si>
    <t>125.7</t>
  </si>
  <si>
    <t>120.1</t>
  </si>
  <si>
    <t>4.4</t>
  </si>
  <si>
    <t>1107</t>
  </si>
  <si>
    <t>3.694</t>
  </si>
  <si>
    <t>-17</t>
  </si>
  <si>
    <t>24.60</t>
  </si>
  <si>
    <t>90.93</t>
  </si>
  <si>
    <t>17.11</t>
  </si>
  <si>
    <t>-34.19</t>
  </si>
  <si>
    <t>127.59</t>
  </si>
  <si>
    <t>40.36</t>
  </si>
  <si>
    <t>01:26:13</t>
  </si>
  <si>
    <t>35.850243</t>
  </si>
  <si>
    <t>44.500000</t>
  </si>
  <si>
    <t>11</t>
  </si>
  <si>
    <t>0.810000</t>
  </si>
  <si>
    <t>10:26:10</t>
  </si>
  <si>
    <t>-1.33</t>
  </si>
  <si>
    <t>0.701</t>
  </si>
  <si>
    <t>0.791</t>
  </si>
  <si>
    <t>-0.502</t>
  </si>
  <si>
    <t>2.498608</t>
  </si>
  <si>
    <t>2.447531</t>
  </si>
  <si>
    <t>1.419413</t>
  </si>
  <si>
    <t>0.854696</t>
  </si>
  <si>
    <t>0.203169</t>
  </si>
  <si>
    <t>-0.009885</t>
  </si>
  <si>
    <t>0.216532</t>
  </si>
  <si>
    <t>1.072297</t>
  </si>
  <si>
    <t>10</t>
  </si>
  <si>
    <t>10:28:28</t>
  </si>
  <si>
    <t>010</t>
  </si>
  <si>
    <t>2.476416</t>
  </si>
  <si>
    <t>2.316529</t>
  </si>
  <si>
    <t>22.945467</t>
  </si>
  <si>
    <t>24.529167</t>
  </si>
  <si>
    <t>PSF-01106_20260904102828_2f9</t>
  </si>
  <si>
    <t>155.449387</t>
  </si>
  <si>
    <t>277.752045</t>
  </si>
  <si>
    <t>0.440330</t>
  </si>
  <si>
    <t>49.85</t>
  </si>
  <si>
    <t>46.63</t>
  </si>
  <si>
    <t>32.70</t>
  </si>
  <si>
    <t>33.62</t>
  </si>
  <si>
    <t>126.1</t>
  </si>
  <si>
    <t>1.2</t>
  </si>
  <si>
    <t>1124</t>
  </si>
  <si>
    <t>3.693</t>
  </si>
  <si>
    <t>133</t>
  </si>
  <si>
    <t>22.32</t>
  </si>
  <si>
    <t>92.51</t>
  </si>
  <si>
    <t>18.00</t>
  </si>
  <si>
    <t>-47.00</t>
  </si>
  <si>
    <t>127.88</t>
  </si>
  <si>
    <t>40.20</t>
  </si>
  <si>
    <t>01:27:22</t>
  </si>
  <si>
    <t>35.850231</t>
  </si>
  <si>
    <t>127.129715</t>
  </si>
  <si>
    <t>42.599998</t>
  </si>
  <si>
    <t>12</t>
  </si>
  <si>
    <t>-0.099</t>
  </si>
  <si>
    <t>-0.301</t>
  </si>
  <si>
    <t>-2.337</t>
  </si>
  <si>
    <t>2.498706</t>
  </si>
  <si>
    <t>2.443439</t>
  </si>
  <si>
    <t>1.422909</t>
  </si>
  <si>
    <t>0.865307</t>
  </si>
  <si>
    <t>0.201128</t>
  </si>
  <si>
    <t>0.012453</t>
  </si>
  <si>
    <t>0.224312</t>
  </si>
  <si>
    <t>1.087073</t>
  </si>
  <si>
    <t>0.000340</t>
  </si>
  <si>
    <t>10:29:01</t>
  </si>
  <si>
    <t>011</t>
  </si>
  <si>
    <t>2.373508</t>
  </si>
  <si>
    <t>2.343006</t>
  </si>
  <si>
    <t>23.209284</t>
  </si>
  <si>
    <t>23.511425</t>
  </si>
  <si>
    <t>PSF-01106_20260904102901_551</t>
  </si>
  <si>
    <t>144.174454</t>
  </si>
  <si>
    <t>215.696091</t>
  </si>
  <si>
    <t>0.331585</t>
  </si>
  <si>
    <t>47.42</t>
  </si>
  <si>
    <t>46.81</t>
  </si>
  <si>
    <t>32.83</t>
  </si>
  <si>
    <t>35.47</t>
  </si>
  <si>
    <t>124.4</t>
  </si>
  <si>
    <t>1179</t>
  </si>
  <si>
    <t>3.692</t>
  </si>
  <si>
    <t>-24</t>
  </si>
  <si>
    <t>109</t>
  </si>
  <si>
    <t>18.89</t>
  </si>
  <si>
    <t>94.62</t>
  </si>
  <si>
    <t>24.00</t>
  </si>
  <si>
    <t>-71.00</t>
  </si>
  <si>
    <t>01:27:55</t>
  </si>
  <si>
    <t>127.129761</t>
  </si>
  <si>
    <t>42.500000</t>
  </si>
  <si>
    <t>-0.418</t>
  </si>
  <si>
    <t>-0.807</t>
  </si>
  <si>
    <t>-1.925</t>
  </si>
  <si>
    <t>2.498946</t>
  </si>
  <si>
    <t>2.440300</t>
  </si>
  <si>
    <t>1.419247</t>
  </si>
  <si>
    <t>0.864927</t>
  </si>
  <si>
    <t>0.200100</t>
  </si>
  <si>
    <t>0.034594</t>
  </si>
  <si>
    <t>0.228038</t>
  </si>
  <si>
    <t>1.135344</t>
  </si>
  <si>
    <t>0.000346</t>
  </si>
  <si>
    <t>10:29:56</t>
  </si>
  <si>
    <t>012</t>
  </si>
  <si>
    <t>2.657006</t>
  </si>
  <si>
    <t>2.309881</t>
  </si>
  <si>
    <t>22.883083</t>
  </si>
  <si>
    <t>26.321913</t>
  </si>
  <si>
    <t>PSF-01106_20260904102956_e34</t>
  </si>
  <si>
    <t>154.488083</t>
  </si>
  <si>
    <t>263.081085</t>
  </si>
  <si>
    <t>0.412774</t>
  </si>
  <si>
    <t>52.56</t>
  </si>
  <si>
    <t>45.70</t>
  </si>
  <si>
    <t>33.01</t>
  </si>
  <si>
    <t>31.86</t>
  </si>
  <si>
    <t>126.3</t>
  </si>
  <si>
    <t>123.7</t>
  </si>
  <si>
    <t>2.1</t>
  </si>
  <si>
    <t>1216</t>
  </si>
  <si>
    <t>3.690</t>
  </si>
  <si>
    <t>107</t>
  </si>
  <si>
    <t>86.60</t>
  </si>
  <si>
    <t>-73.00</t>
  </si>
  <si>
    <t>128.18</t>
  </si>
  <si>
    <t>40.04</t>
  </si>
  <si>
    <t>01:28:50</t>
  </si>
  <si>
    <t>35.850254</t>
  </si>
  <si>
    <t>127.129745</t>
  </si>
  <si>
    <t>42.200001</t>
  </si>
  <si>
    <t>0.880000</t>
  </si>
  <si>
    <t>0.096</t>
  </si>
  <si>
    <t>0.334</t>
  </si>
  <si>
    <t>-1.664</t>
  </si>
  <si>
    <t>2.497332</t>
  </si>
  <si>
    <t>2.446862</t>
  </si>
  <si>
    <t>1.424661</t>
  </si>
  <si>
    <t>0.863174</t>
  </si>
  <si>
    <t>0.198722</t>
  </si>
  <si>
    <t>-0.013658</t>
  </si>
  <si>
    <t>0.234188</t>
  </si>
  <si>
    <t>1.167136</t>
  </si>
  <si>
    <t>0.000343</t>
  </si>
  <si>
    <t>13</t>
  </si>
  <si>
    <t>10:31:19</t>
  </si>
  <si>
    <t>013</t>
  </si>
  <si>
    <t>2.535118</t>
  </si>
  <si>
    <t>2.362102</t>
  </si>
  <si>
    <t>23.400585</t>
  </si>
  <si>
    <t>25.114599</t>
  </si>
  <si>
    <t>PSF-01106_20260904103119_ef6</t>
  </si>
  <si>
    <t>120.263458</t>
  </si>
  <si>
    <t>389.072296</t>
  </si>
  <si>
    <t>0.690897</t>
  </si>
  <si>
    <t>49.50</t>
  </si>
  <si>
    <t>46.12</t>
  </si>
  <si>
    <t>33.24</t>
  </si>
  <si>
    <t>127.1</t>
  </si>
  <si>
    <t>1.1</t>
  </si>
  <si>
    <t>1159</t>
  </si>
  <si>
    <t>3.686</t>
  </si>
  <si>
    <t>-20</t>
  </si>
  <si>
    <t>114</t>
  </si>
  <si>
    <t>19.72</t>
  </si>
  <si>
    <t>94.13</t>
  </si>
  <si>
    <t>20.21</t>
  </si>
  <si>
    <t>-57.29</t>
  </si>
  <si>
    <t>128.77</t>
  </si>
  <si>
    <t>39.73</t>
  </si>
  <si>
    <t>01:30:14</t>
  </si>
  <si>
    <t>39.799999</t>
  </si>
  <si>
    <t>14</t>
  </si>
  <si>
    <t>0.750000</t>
  </si>
  <si>
    <t>-0.003</t>
  </si>
  <si>
    <t>0.202</t>
  </si>
  <si>
    <t>-0.257</t>
  </si>
  <si>
    <t>-1.016</t>
  </si>
  <si>
    <t>2.497899</t>
  </si>
  <si>
    <t>2.442905</t>
  </si>
  <si>
    <t>1.430694</t>
  </si>
  <si>
    <t>0.868035</t>
  </si>
  <si>
    <t>0.196931</t>
  </si>
  <si>
    <t>-0.016601</t>
  </si>
  <si>
    <t>0.243468</t>
  </si>
  <si>
    <t>1.117503</t>
  </si>
  <si>
    <t>0.000355</t>
  </si>
  <si>
    <t>10:32:38</t>
  </si>
  <si>
    <t>014</t>
  </si>
  <si>
    <t>2.653069</t>
  </si>
  <si>
    <t>2.355969</t>
  </si>
  <si>
    <t>23.337748</t>
  </si>
  <si>
    <t>26.280758</t>
  </si>
  <si>
    <t>PSF-01106_20260904103238_c6b</t>
  </si>
  <si>
    <t>104.709862</t>
  </si>
  <si>
    <t>325.242889</t>
  </si>
  <si>
    <t>0.678056</t>
  </si>
  <si>
    <t>51.16</t>
  </si>
  <si>
    <t>45.43</t>
  </si>
  <si>
    <t>33.46</t>
  </si>
  <si>
    <t>30.36</t>
  </si>
  <si>
    <t>137.8</t>
  </si>
  <si>
    <t>135.0</t>
  </si>
  <si>
    <t>1518</t>
  </si>
  <si>
    <t>3.685</t>
  </si>
  <si>
    <t>-1</t>
  </si>
  <si>
    <t>-5</t>
  </si>
  <si>
    <t>308</t>
  </si>
  <si>
    <t>40.73</t>
  </si>
  <si>
    <t>75.78</t>
  </si>
  <si>
    <t>5.10</t>
  </si>
  <si>
    <t>49.28</t>
  </si>
  <si>
    <t>129.07</t>
  </si>
  <si>
    <t>39.57</t>
  </si>
  <si>
    <t>01:31:33</t>
  </si>
  <si>
    <t>127.129753</t>
  </si>
  <si>
    <t>-0.064</t>
  </si>
  <si>
    <t>-0.318</t>
  </si>
  <si>
    <t>-0.571</t>
  </si>
  <si>
    <t>2.496881</t>
  </si>
  <si>
    <t>2.444994</t>
  </si>
  <si>
    <t>1.517628</t>
  </si>
  <si>
    <t>0.890876</t>
  </si>
  <si>
    <t>0.195225</t>
  </si>
  <si>
    <t>-0.037968</t>
  </si>
  <si>
    <t>0.252296</t>
  </si>
  <si>
    <t>1.430838</t>
  </si>
  <si>
    <t>0.000350</t>
  </si>
  <si>
    <t>15</t>
  </si>
  <si>
    <t>10:33:10</t>
  </si>
  <si>
    <t>015</t>
  </si>
  <si>
    <t>2.603643</t>
  </si>
  <si>
    <t>2.293204</t>
  </si>
  <si>
    <t>22.717302</t>
  </si>
  <si>
    <t>25.792622</t>
  </si>
  <si>
    <t>PSF-01106_20260904103310_1a3</t>
  </si>
  <si>
    <t>106.619598</t>
  </si>
  <si>
    <t>346.272125</t>
  </si>
  <si>
    <t>0.692093</t>
  </si>
  <si>
    <t>49.99</t>
  </si>
  <si>
    <t>44.03</t>
  </si>
  <si>
    <t>33.54</t>
  </si>
  <si>
    <t>30.30</t>
  </si>
  <si>
    <t>134.3</t>
  </si>
  <si>
    <t>132.1</t>
  </si>
  <si>
    <t>1.6</t>
  </si>
  <si>
    <t>1274</t>
  </si>
  <si>
    <t>3.683</t>
  </si>
  <si>
    <t>294</t>
  </si>
  <si>
    <t>41.29</t>
  </si>
  <si>
    <t>75.14</t>
  </si>
  <si>
    <t>5.83</t>
  </si>
  <si>
    <t>54.89</t>
  </si>
  <si>
    <t>129.38</t>
  </si>
  <si>
    <t>39.41</t>
  </si>
  <si>
    <t>01:32:01</t>
  </si>
  <si>
    <t>35.850235</t>
  </si>
  <si>
    <t>39.500000</t>
  </si>
  <si>
    <t>-0.139</t>
  </si>
  <si>
    <t>-0.351</t>
  </si>
  <si>
    <t>-0.479</t>
  </si>
  <si>
    <t>2.494877</t>
  </si>
  <si>
    <t>2.443482</t>
  </si>
  <si>
    <t>1.488691</t>
  </si>
  <si>
    <t>0.883849</t>
  </si>
  <si>
    <t>0.194638</t>
  </si>
  <si>
    <t>-0.039606</t>
  </si>
  <si>
    <t>0.255820</t>
  </si>
  <si>
    <t>1.218296</t>
  </si>
  <si>
    <t>16</t>
  </si>
  <si>
    <t>10:34:06</t>
  </si>
  <si>
    <t>016</t>
  </si>
  <si>
    <t>2.764190</t>
  </si>
  <si>
    <t>2.317507</t>
  </si>
  <si>
    <t>22.957321</t>
  </si>
  <si>
    <t>27.382179</t>
  </si>
  <si>
    <t>PSF-01106_20260904103406_349</t>
  </si>
  <si>
    <t>147.030121</t>
  </si>
  <si>
    <t>252.644424</t>
  </si>
  <si>
    <t>0.418035</t>
  </si>
  <si>
    <t>52.61</t>
  </si>
  <si>
    <t>44.11</t>
  </si>
  <si>
    <t>33.70</t>
  </si>
  <si>
    <t>31.97</t>
  </si>
  <si>
    <t>130.3</t>
  </si>
  <si>
    <t>1782</t>
  </si>
  <si>
    <t>27</t>
  </si>
  <si>
    <t>355</t>
  </si>
  <si>
    <t>16.83</t>
  </si>
  <si>
    <t>95.72</t>
  </si>
  <si>
    <t>29.00</t>
  </si>
  <si>
    <t>-74.47</t>
  </si>
  <si>
    <t>129.68</t>
  </si>
  <si>
    <t>39.26</t>
  </si>
  <si>
    <t>01:33:00</t>
  </si>
  <si>
    <t>35.850262</t>
  </si>
  <si>
    <t>127.129707</t>
  </si>
  <si>
    <t>38.299999</t>
  </si>
  <si>
    <t>0.010</t>
  </si>
  <si>
    <t>-1.477</t>
  </si>
  <si>
    <t>-0.313</t>
  </si>
  <si>
    <t>-1.001</t>
  </si>
  <si>
    <t>2.494956</t>
  </si>
  <si>
    <t>2.446797</t>
  </si>
  <si>
    <t>1.456561</t>
  </si>
  <si>
    <t>0.872701</t>
  </si>
  <si>
    <t>0.193439</t>
  </si>
  <si>
    <t>-0.021012</t>
  </si>
  <si>
    <t>0.261987</t>
  </si>
  <si>
    <t>1.661287</t>
  </si>
  <si>
    <t>17</t>
  </si>
  <si>
    <t>10:34:33</t>
  </si>
  <si>
    <t>017</t>
  </si>
  <si>
    <t>2.774858</t>
  </si>
  <si>
    <t>2.384429</t>
  </si>
  <si>
    <t>23.619900</t>
  </si>
  <si>
    <t>27.487455</t>
  </si>
  <si>
    <t>PSF-01106_20260904103433_ff6</t>
  </si>
  <si>
    <t>102.563026</t>
  </si>
  <si>
    <t>323.684326</t>
  </si>
  <si>
    <t>0.683139</t>
  </si>
  <si>
    <t>52.57</t>
  </si>
  <si>
    <t>45.17</t>
  </si>
  <si>
    <t>33.78</t>
  </si>
  <si>
    <t>30.19</t>
  </si>
  <si>
    <t>131.2</t>
  </si>
  <si>
    <t>128.2</t>
  </si>
  <si>
    <t>2.3</t>
  </si>
  <si>
    <t>1340</t>
  </si>
  <si>
    <t>3.681</t>
  </si>
  <si>
    <t>-9</t>
  </si>
  <si>
    <t>-14</t>
  </si>
  <si>
    <t>295</t>
  </si>
  <si>
    <t>46.53</t>
  </si>
  <si>
    <t>68.80</t>
  </si>
  <si>
    <t>16.59</t>
  </si>
  <si>
    <t>01:33:28</t>
  </si>
  <si>
    <t>35.850250</t>
  </si>
  <si>
    <t>127.129723</t>
  </si>
  <si>
    <t>37.700001</t>
  </si>
  <si>
    <t>0.020</t>
  </si>
  <si>
    <t>-0.090</t>
  </si>
  <si>
    <t>-0.274</t>
  </si>
  <si>
    <t>-0.405</t>
  </si>
  <si>
    <t>2.496457</t>
  </si>
  <si>
    <t>2.446735</t>
  </si>
  <si>
    <t>1.463674</t>
  </si>
  <si>
    <t>0.874119</t>
  </si>
  <si>
    <t>0.192824</t>
  </si>
  <si>
    <t>-0.044055</t>
  </si>
  <si>
    <t>0.264912</t>
  </si>
  <si>
    <t>1.275292</t>
  </si>
  <si>
    <t>18</t>
  </si>
  <si>
    <t>10:35:41</t>
  </si>
  <si>
    <t>018</t>
  </si>
  <si>
    <t>2.659720</t>
  </si>
  <si>
    <t>2.359190</t>
  </si>
  <si>
    <t>23.374809</t>
  </si>
  <si>
    <t>26.352455</t>
  </si>
  <si>
    <t>PSF-01106_20260904103541_9c1</t>
  </si>
  <si>
    <t>106.717941</t>
  </si>
  <si>
    <t>347.717987</t>
  </si>
  <si>
    <t>0.693091</t>
  </si>
  <si>
    <t>49.80</t>
  </si>
  <si>
    <t>44.18</t>
  </si>
  <si>
    <t>33.99</t>
  </si>
  <si>
    <t>31.17</t>
  </si>
  <si>
    <t>100.93</t>
  </si>
  <si>
    <t>135.8</t>
  </si>
  <si>
    <t>126.9</t>
  </si>
  <si>
    <t>6.6</t>
  </si>
  <si>
    <t>1534</t>
  </si>
  <si>
    <t>309</t>
  </si>
  <si>
    <t>42.36</t>
  </si>
  <si>
    <t>73.90</t>
  </si>
  <si>
    <t>17.00</t>
  </si>
  <si>
    <t>-141.00</t>
  </si>
  <si>
    <t>129.99</t>
  </si>
  <si>
    <t>39.10</t>
  </si>
  <si>
    <t>01:34:35</t>
  </si>
  <si>
    <t>35.850246</t>
  </si>
  <si>
    <t>37.500000</t>
  </si>
  <si>
    <t>-0.161</t>
  </si>
  <si>
    <t>-0.169</t>
  </si>
  <si>
    <t>-0.401</t>
  </si>
  <si>
    <t>2.495003</t>
  </si>
  <si>
    <t>2.443160</t>
  </si>
  <si>
    <t>1.501226</t>
  </si>
  <si>
    <t>0.870929</t>
  </si>
  <si>
    <t>0.191253</t>
  </si>
  <si>
    <t>-0.034597</t>
  </si>
  <si>
    <t>0.272261</t>
  </si>
  <si>
    <t>1.444642</t>
  </si>
  <si>
    <t>19</t>
  </si>
  <si>
    <t>10:36:18</t>
  </si>
  <si>
    <t>019</t>
  </si>
  <si>
    <t>2.661746</t>
  </si>
  <si>
    <t>2.291351</t>
  </si>
  <si>
    <t>22.702154</t>
  </si>
  <si>
    <t>26.371935</t>
  </si>
  <si>
    <t>PSF-01106_20260904103618_4f2</t>
  </si>
  <si>
    <t>107.185364</t>
  </si>
  <si>
    <t>323.320618</t>
  </si>
  <si>
    <t>0.668486</t>
  </si>
  <si>
    <t>49.57</t>
  </si>
  <si>
    <t>42.67</t>
  </si>
  <si>
    <t>34.09</t>
  </si>
  <si>
    <t>30.14</t>
  </si>
  <si>
    <t>132.6</t>
  </si>
  <si>
    <t>11.8</t>
  </si>
  <si>
    <t>1282</t>
  </si>
  <si>
    <t>3.678</t>
  </si>
  <si>
    <t>24</t>
  </si>
  <si>
    <t>322</t>
  </si>
  <si>
    <t>46.48</t>
  </si>
  <si>
    <t>68.86</t>
  </si>
  <si>
    <t>24.94</t>
  </si>
  <si>
    <t>-143.31</t>
  </si>
  <si>
    <t>130.29</t>
  </si>
  <si>
    <t>38.95</t>
  </si>
  <si>
    <t>01:35:12</t>
  </si>
  <si>
    <t>127.129768</t>
  </si>
  <si>
    <t>37.400002</t>
  </si>
  <si>
    <t>0.007</t>
  </si>
  <si>
    <t>-0.190</t>
  </si>
  <si>
    <t>-0.526</t>
  </si>
  <si>
    <t>-0.865</t>
  </si>
  <si>
    <t>2.492843</t>
  </si>
  <si>
    <t>2.442844</t>
  </si>
  <si>
    <t>1.474867</t>
  </si>
  <si>
    <t>0.847029</t>
  </si>
  <si>
    <t>0.190526</t>
  </si>
  <si>
    <t>-0.048631</t>
  </si>
  <si>
    <t>0.276199</t>
  </si>
  <si>
    <t>1.225224</t>
  </si>
  <si>
    <t>0.000345</t>
  </si>
  <si>
    <t>20</t>
  </si>
  <si>
    <t>10:38:01</t>
  </si>
  <si>
    <t>020</t>
  </si>
  <si>
    <t>2.790181</t>
  </si>
  <si>
    <t>2.363103</t>
  </si>
  <si>
    <t>23.413111</t>
  </si>
  <si>
    <t>27.644512</t>
  </si>
  <si>
    <t>PSF-01106_20260904103801_007</t>
  </si>
  <si>
    <t>142.395966</t>
  </si>
  <si>
    <t>369.209991</t>
  </si>
  <si>
    <t>0.614323</t>
  </si>
  <si>
    <t>51.05</t>
  </si>
  <si>
    <t>43.23</t>
  </si>
  <si>
    <t>34.41</t>
  </si>
  <si>
    <t>32.34</t>
  </si>
  <si>
    <t>139.6</t>
  </si>
  <si>
    <t>133.8</t>
  </si>
  <si>
    <t>4.2</t>
  </si>
  <si>
    <t>1245</t>
  </si>
  <si>
    <t>3.675</t>
  </si>
  <si>
    <t>-19</t>
  </si>
  <si>
    <t>132</t>
  </si>
  <si>
    <t>19.99</t>
  </si>
  <si>
    <t>93.98</t>
  </si>
  <si>
    <t>19.10</t>
  </si>
  <si>
    <t>-41.88</t>
  </si>
  <si>
    <t>7.22</t>
  </si>
  <si>
    <t>130.60</t>
  </si>
  <si>
    <t>38.79</t>
  </si>
  <si>
    <t>01:36:55</t>
  </si>
  <si>
    <t>127.129784</t>
  </si>
  <si>
    <t>36.799999</t>
  </si>
  <si>
    <t>10:37:08</t>
  </si>
  <si>
    <t>-0.96</t>
  </si>
  <si>
    <t>0.559</t>
  </si>
  <si>
    <t>0.504</t>
  </si>
  <si>
    <t>-0.038</t>
  </si>
  <si>
    <t>2.493589</t>
  </si>
  <si>
    <t>2.444211</t>
  </si>
  <si>
    <t>1.532429</t>
  </si>
  <si>
    <t>0.887892</t>
  </si>
  <si>
    <t>0.188171</t>
  </si>
  <si>
    <t>-0.025416</t>
  </si>
  <si>
    <t>0.287300</t>
  </si>
  <si>
    <t>1.192771</t>
  </si>
  <si>
    <t>21</t>
  </si>
  <si>
    <t>10:39:13</t>
  </si>
  <si>
    <t>021</t>
  </si>
  <si>
    <t>2.793125</t>
  </si>
  <si>
    <t>2.455083</t>
  </si>
  <si>
    <t>24.322683</t>
  </si>
  <si>
    <t>27.671694</t>
  </si>
  <si>
    <t>PSF-01106_20260904103913_1b1</t>
  </si>
  <si>
    <t>132.292633</t>
  </si>
  <si>
    <t>426.182617</t>
  </si>
  <si>
    <t>0.689587</t>
  </si>
  <si>
    <t>50.63</t>
  </si>
  <si>
    <t>44.50</t>
  </si>
  <si>
    <t>34.57</t>
  </si>
  <si>
    <t>32.06</t>
  </si>
  <si>
    <t>0.2</t>
  </si>
  <si>
    <t>1336</t>
  </si>
  <si>
    <t>3.673</t>
  </si>
  <si>
    <t>137</t>
  </si>
  <si>
    <t>23.28</t>
  </si>
  <si>
    <t>91.86</t>
  </si>
  <si>
    <t>-32.23</t>
  </si>
  <si>
    <t>131.23</t>
  </si>
  <si>
    <t>38.49</t>
  </si>
  <si>
    <t>01:38:08</t>
  </si>
  <si>
    <t>35.850273</t>
  </si>
  <si>
    <t>35.700001</t>
  </si>
  <si>
    <t>0.598</t>
  </si>
  <si>
    <t>0.859</t>
  </si>
  <si>
    <t>1.752</t>
  </si>
  <si>
    <t>2.495367</t>
  </si>
  <si>
    <t>2.443650</t>
  </si>
  <si>
    <t>1.419410</t>
  </si>
  <si>
    <t>0.867563</t>
  </si>
  <si>
    <t>0.186959</t>
  </si>
  <si>
    <t>-0.030984</t>
  </si>
  <si>
    <t>0.294984</t>
  </si>
  <si>
    <t>1.272208</t>
  </si>
  <si>
    <t>0.000353</t>
  </si>
  <si>
    <t>22</t>
  </si>
  <si>
    <t>10:40:04</t>
  </si>
  <si>
    <t>022</t>
  </si>
  <si>
    <t>2.927804</t>
  </si>
  <si>
    <t>2.458210</t>
  </si>
  <si>
    <t>24.352581</t>
  </si>
  <si>
    <t>29.004667</t>
  </si>
  <si>
    <t>PSF-01106_20260904104004_77c</t>
  </si>
  <si>
    <t>153.396255</t>
  </si>
  <si>
    <t>361.003510</t>
  </si>
  <si>
    <t>0.575084</t>
  </si>
  <si>
    <t>52.69</t>
  </si>
  <si>
    <t>44.24</t>
  </si>
  <si>
    <t>34.70</t>
  </si>
  <si>
    <t>32.79</t>
  </si>
  <si>
    <t>128.5</t>
  </si>
  <si>
    <t>115.8</t>
  </si>
  <si>
    <t>9.9</t>
  </si>
  <si>
    <t>1344</t>
  </si>
  <si>
    <t>3.670</t>
  </si>
  <si>
    <t>143</t>
  </si>
  <si>
    <t>24.15</t>
  </si>
  <si>
    <t>91.25</t>
  </si>
  <si>
    <t>-26.23</t>
  </si>
  <si>
    <t>01:38:59</t>
  </si>
  <si>
    <t>35.500000</t>
  </si>
  <si>
    <t>0.005</t>
  </si>
  <si>
    <t>-0.171</t>
  </si>
  <si>
    <t>-0.390</t>
  </si>
  <si>
    <t>-1.117</t>
  </si>
  <si>
    <t>2.494973</t>
  </si>
  <si>
    <t>2.446260</t>
  </si>
  <si>
    <t>1.442085</t>
  </si>
  <si>
    <t>0.844239</t>
  </si>
  <si>
    <t>0.186022</t>
  </si>
  <si>
    <t>-0.023511</t>
  </si>
  <si>
    <t>0.300370</t>
  </si>
  <si>
    <t>1.278878</t>
  </si>
  <si>
    <t>23</t>
  </si>
  <si>
    <t>10:44:23</t>
  </si>
  <si>
    <t>023</t>
  </si>
  <si>
    <t>2.566845</t>
  </si>
  <si>
    <t>2.350184</t>
  </si>
  <si>
    <t>23.285580</t>
  </si>
  <si>
    <t>25.432247</t>
  </si>
  <si>
    <t>PSF-01106_20260904104423_eff</t>
  </si>
  <si>
    <t>105.265976</t>
  </si>
  <si>
    <t>319.948181</t>
  </si>
  <si>
    <t>0.670991</t>
  </si>
  <si>
    <t>45.62</t>
  </si>
  <si>
    <t>41.77</t>
  </si>
  <si>
    <t>34.93</t>
  </si>
  <si>
    <t>31.66</t>
  </si>
  <si>
    <t>135.4</t>
  </si>
  <si>
    <t>134.6</t>
  </si>
  <si>
    <t>1111</t>
  </si>
  <si>
    <t>3.663</t>
  </si>
  <si>
    <t>338</t>
  </si>
  <si>
    <t>53.21</t>
  </si>
  <si>
    <t>59.88</t>
  </si>
  <si>
    <t>17.03</t>
  </si>
  <si>
    <t>161.42</t>
  </si>
  <si>
    <t>132.83</t>
  </si>
  <si>
    <t>37.73</t>
  </si>
  <si>
    <t>01:43:17</t>
  </si>
  <si>
    <t>35.850147</t>
  </si>
  <si>
    <t>35.099998</t>
  </si>
  <si>
    <t>0.740000</t>
  </si>
  <si>
    <t>-0.184</t>
  </si>
  <si>
    <t>-0.072</t>
  </si>
  <si>
    <t>-0.070</t>
  </si>
  <si>
    <t>2.491407</t>
  </si>
  <si>
    <t>2.437144</t>
  </si>
  <si>
    <t>1.498161</t>
  </si>
  <si>
    <t>0.889866</t>
  </si>
  <si>
    <t>0.184380</t>
  </si>
  <si>
    <t>-0.040602</t>
  </si>
  <si>
    <t>0.326738</t>
  </si>
  <si>
    <t>1.076144</t>
  </si>
  <si>
    <t>0.000367</t>
  </si>
  <si>
    <t>10:45:13</t>
  </si>
  <si>
    <t>024</t>
  </si>
  <si>
    <t>2.701358</t>
  </si>
  <si>
    <t>2.325179</t>
  </si>
  <si>
    <t>23.038109</t>
  </si>
  <si>
    <t>26.765329</t>
  </si>
  <si>
    <t>PSF-01106_20260904104513_296</t>
  </si>
  <si>
    <t>105.217339</t>
  </si>
  <si>
    <t>377.902161</t>
  </si>
  <si>
    <t>0.721575</t>
  </si>
  <si>
    <t>48.03</t>
  </si>
  <si>
    <t>34.92</t>
  </si>
  <si>
    <t>30.11</t>
  </si>
  <si>
    <t>128.3</t>
  </si>
  <si>
    <t>503</t>
  </si>
  <si>
    <t>3.662</t>
  </si>
  <si>
    <t>324</t>
  </si>
  <si>
    <t>58.32</t>
  </si>
  <si>
    <t>52.51</t>
  </si>
  <si>
    <t>21.00</t>
  </si>
  <si>
    <t>144.00</t>
  </si>
  <si>
    <t>133.15</t>
  </si>
  <si>
    <t>37.59</t>
  </si>
  <si>
    <t>01:44:07</t>
  </si>
  <si>
    <t>35.850143</t>
  </si>
  <si>
    <t>35.200001</t>
  </si>
  <si>
    <t>0.840000</t>
  </si>
  <si>
    <t>0.027</t>
  </si>
  <si>
    <t>-0.166</t>
  </si>
  <si>
    <t>-0.369</t>
  </si>
  <si>
    <t>2.490798</t>
  </si>
  <si>
    <t>2.440253</t>
  </si>
  <si>
    <t>1.463479</t>
  </si>
  <si>
    <t>0.874333</t>
  </si>
  <si>
    <t>0.184437</t>
  </si>
  <si>
    <t>-0.059620</t>
  </si>
  <si>
    <t>0.331574</t>
  </si>
  <si>
    <t>0.545672</t>
  </si>
  <si>
    <t>0.000348</t>
  </si>
  <si>
    <t>25</t>
  </si>
  <si>
    <t>10:46:52</t>
  </si>
  <si>
    <t>025</t>
  </si>
  <si>
    <t>2.742636</t>
  </si>
  <si>
    <t>2.409336</t>
  </si>
  <si>
    <t>23.872240</t>
  </si>
  <si>
    <t>27.174662</t>
  </si>
  <si>
    <t>PSF-01106_20260904104652_267</t>
  </si>
  <si>
    <t>118.319389</t>
  </si>
  <si>
    <t>403.820862</t>
  </si>
  <si>
    <t>0.707000</t>
  </si>
  <si>
    <t>48.75</t>
  </si>
  <si>
    <t>42.83</t>
  </si>
  <si>
    <t>30.63</t>
  </si>
  <si>
    <t>127.2</t>
  </si>
  <si>
    <t>4.1</t>
  </si>
  <si>
    <t>788</t>
  </si>
  <si>
    <t>3.653</t>
  </si>
  <si>
    <t>314</t>
  </si>
  <si>
    <t>61.46</t>
  </si>
  <si>
    <t>47.77</t>
  </si>
  <si>
    <t>24.18</t>
  </si>
  <si>
    <t>141.34</t>
  </si>
  <si>
    <t>133.48</t>
  </si>
  <si>
    <t>37.44</t>
  </si>
  <si>
    <t>01:45:45</t>
  </si>
  <si>
    <t>35.850182</t>
  </si>
  <si>
    <t>35.299999</t>
  </si>
  <si>
    <t>0.760000</t>
  </si>
  <si>
    <t>-0.062</t>
  </si>
  <si>
    <t>-0.061</t>
  </si>
  <si>
    <t>-0.051</t>
  </si>
  <si>
    <t>2.492925</t>
  </si>
  <si>
    <t>2.441184</t>
  </si>
  <si>
    <t>1.475267</t>
  </si>
  <si>
    <t>0.871843</t>
  </si>
  <si>
    <t>0.184415</t>
  </si>
  <si>
    <t>-0.053318</t>
  </si>
  <si>
    <t>0.341561</t>
  </si>
  <si>
    <t>0.793869</t>
  </si>
  <si>
    <t>0.000358</t>
  </si>
  <si>
    <t>26</t>
  </si>
  <si>
    <t>10:50:47</t>
  </si>
  <si>
    <t>026</t>
  </si>
  <si>
    <t>2.479949</t>
  </si>
  <si>
    <t>2.357486</t>
  </si>
  <si>
    <t>23.358553</t>
  </si>
  <si>
    <t>24.571957</t>
  </si>
  <si>
    <t>PSF-01106_20260904105047_9cb</t>
  </si>
  <si>
    <t>115.776299</t>
  </si>
  <si>
    <t>378.952148</t>
  </si>
  <si>
    <t>0.694483</t>
  </si>
  <si>
    <t>42.27</t>
  </si>
  <si>
    <t>40.19</t>
  </si>
  <si>
    <t>35.69</t>
  </si>
  <si>
    <t>33.92</t>
  </si>
  <si>
    <t>141.1</t>
  </si>
  <si>
    <t>139.1</t>
  </si>
  <si>
    <t>1.4</t>
  </si>
  <si>
    <t>946</t>
  </si>
  <si>
    <t>3.652</t>
  </si>
  <si>
    <t>-6</t>
  </si>
  <si>
    <t>43.73</t>
  </si>
  <si>
    <t>72.26</t>
  </si>
  <si>
    <t>7.21</t>
  </si>
  <si>
    <t>153.78</t>
  </si>
  <si>
    <t>134.81</t>
  </si>
  <si>
    <t>36.86</t>
  </si>
  <si>
    <t>01:49:42</t>
  </si>
  <si>
    <t>35.850193</t>
  </si>
  <si>
    <t>35.900002</t>
  </si>
  <si>
    <t>0.770000</t>
  </si>
  <si>
    <t>10:50:26</t>
  </si>
  <si>
    <t>-0.76</t>
  </si>
  <si>
    <t>-9999.000</t>
  </si>
  <si>
    <t>-0.785</t>
  </si>
  <si>
    <t>-0.326</t>
  </si>
  <si>
    <t>2.489017</t>
  </si>
  <si>
    <t>2.432427</t>
  </si>
  <si>
    <t>1.544534</t>
  </si>
  <si>
    <t>0.901181</t>
  </si>
  <si>
    <t>0.179057</t>
  </si>
  <si>
    <t>-0.021925</t>
  </si>
  <si>
    <t>0.365143</t>
  </si>
  <si>
    <t>0.932423</t>
  </si>
  <si>
    <t>10:51:05</t>
  </si>
  <si>
    <t>027</t>
  </si>
  <si>
    <t>2.428231</t>
  </si>
  <si>
    <t>2.418832</t>
  </si>
  <si>
    <t>23.966743</t>
  </si>
  <si>
    <t>24.059879</t>
  </si>
  <si>
    <t>PSF-01106_20260904105105_d01</t>
  </si>
  <si>
    <t>96.417191</t>
  </si>
  <si>
    <t>222.642654</t>
  </si>
  <si>
    <t>0.566942</t>
  </si>
  <si>
    <t>41.27</t>
  </si>
  <si>
    <t>41.11</t>
  </si>
  <si>
    <t>35.74</t>
  </si>
  <si>
    <t>36.41</t>
  </si>
  <si>
    <t>100.92</t>
  </si>
  <si>
    <t>152.0</t>
  </si>
  <si>
    <t>148.3</t>
  </si>
  <si>
    <t>1090</t>
  </si>
  <si>
    <t>50.91</t>
  </si>
  <si>
    <t>63.05</t>
  </si>
  <si>
    <t>18.53</t>
  </si>
  <si>
    <t>-177.46</t>
  </si>
  <si>
    <t>01:49:59</t>
  </si>
  <si>
    <t>35.799999</t>
  </si>
  <si>
    <t>0.311</t>
  </si>
  <si>
    <t>0.528</t>
  </si>
  <si>
    <t>2.490328</t>
  </si>
  <si>
    <t>2.431103</t>
  </si>
  <si>
    <t>1.635655</t>
  </si>
  <si>
    <t>0.924366</t>
  </si>
  <si>
    <t>0.178674</t>
  </si>
  <si>
    <t>0.009565</t>
  </si>
  <si>
    <t>0.366773</t>
  </si>
  <si>
    <t>1.057989</t>
  </si>
  <si>
    <t>0.000363</t>
  </si>
  <si>
    <t>28</t>
  </si>
  <si>
    <t>10:51:50</t>
  </si>
  <si>
    <t>028</t>
  </si>
  <si>
    <t>2.803864</t>
  </si>
  <si>
    <t>2.498142</t>
  </si>
  <si>
    <t>24.751301</t>
  </si>
  <si>
    <t>27.780350</t>
  </si>
  <si>
    <t>PSF-01106_20260904105150_db2</t>
  </si>
  <si>
    <t>106.185081</t>
  </si>
  <si>
    <t>368.314148</t>
  </si>
  <si>
    <t>0.711700</t>
  </si>
  <si>
    <t>47.41</t>
  </si>
  <si>
    <t>42.24</t>
  </si>
  <si>
    <t>35.83</t>
  </si>
  <si>
    <t>32.45</t>
  </si>
  <si>
    <t>135.1</t>
  </si>
  <si>
    <t>124.9</t>
  </si>
  <si>
    <t>7.5</t>
  </si>
  <si>
    <t>971</t>
  </si>
  <si>
    <t>3.650</t>
  </si>
  <si>
    <t>326</t>
  </si>
  <si>
    <t>42.80</t>
  </si>
  <si>
    <t>73.38</t>
  </si>
  <si>
    <t>6.08</t>
  </si>
  <si>
    <t>136.52</t>
  </si>
  <si>
    <t>135.15</t>
  </si>
  <si>
    <t>36.71</t>
  </si>
  <si>
    <t>01:50:44</t>
  </si>
  <si>
    <t>0.034</t>
  </si>
  <si>
    <t>0.050</t>
  </si>
  <si>
    <t>-0.201</t>
  </si>
  <si>
    <t>2.491932</t>
  </si>
  <si>
    <t>2.439049</t>
  </si>
  <si>
    <t>1.494986</t>
  </si>
  <si>
    <t>0.866234</t>
  </si>
  <si>
    <t>0.178040</t>
  </si>
  <si>
    <t>-0.042412</t>
  </si>
  <si>
    <t>0.371248</t>
  </si>
  <si>
    <t>0.953800</t>
  </si>
  <si>
    <t>29</t>
  </si>
  <si>
    <t>10:52:33</t>
  </si>
  <si>
    <t>029</t>
  </si>
  <si>
    <t>2.453397</t>
  </si>
  <si>
    <t>2.355937</t>
  </si>
  <si>
    <t>23.344431</t>
  </si>
  <si>
    <t>24.310133</t>
  </si>
  <si>
    <t>PSF-01106_20260904105233_1a3</t>
  </si>
  <si>
    <t>164.514542</t>
  </si>
  <si>
    <t>327.640411</t>
  </si>
  <si>
    <t>0.497881</t>
  </si>
  <si>
    <t>39.70</t>
  </si>
  <si>
    <t>35.90</t>
  </si>
  <si>
    <t>152.5</t>
  </si>
  <si>
    <t>137.6</t>
  </si>
  <si>
    <t>9.8</t>
  </si>
  <si>
    <t>1269</t>
  </si>
  <si>
    <t>3.649</t>
  </si>
  <si>
    <t>-4</t>
  </si>
  <si>
    <t>135</t>
  </si>
  <si>
    <t>32.58</t>
  </si>
  <si>
    <t>84.27</t>
  </si>
  <si>
    <t>4.12</t>
  </si>
  <si>
    <t>-30.95</t>
  </si>
  <si>
    <t>135.49</t>
  </si>
  <si>
    <t>36.57</t>
  </si>
  <si>
    <t>01:51:28</t>
  </si>
  <si>
    <t>35.850189</t>
  </si>
  <si>
    <t>127.129692</t>
  </si>
  <si>
    <t>-0.433</t>
  </si>
  <si>
    <t>-0.088</t>
  </si>
  <si>
    <t>0.583</t>
  </si>
  <si>
    <t>2.488281</t>
  </si>
  <si>
    <t>2.431175</t>
  </si>
  <si>
    <t>1.639907</t>
  </si>
  <si>
    <t>0.897304</t>
  </si>
  <si>
    <t>0.177603</t>
  </si>
  <si>
    <t>-0.000046</t>
  </si>
  <si>
    <t>0.375334</t>
  </si>
  <si>
    <t>1.213475</t>
  </si>
  <si>
    <t>30</t>
  </si>
  <si>
    <t>10:53:56</t>
  </si>
  <si>
    <t>030</t>
  </si>
  <si>
    <t>2.611017</t>
  </si>
  <si>
    <t>2.291969</t>
  </si>
  <si>
    <t>22.709290</t>
  </si>
  <si>
    <t>25.870483</t>
  </si>
  <si>
    <t>PSF-01106_20260904105356_4a8</t>
  </si>
  <si>
    <t>147.959229</t>
  </si>
  <si>
    <t>229.162933</t>
  </si>
  <si>
    <t>0.354349</t>
  </si>
  <si>
    <t>43.77</t>
  </si>
  <si>
    <t>38.43</t>
  </si>
  <si>
    <t>35.99</t>
  </si>
  <si>
    <t>35.76</t>
  </si>
  <si>
    <t>137.1</t>
  </si>
  <si>
    <t>124.7</t>
  </si>
  <si>
    <t>9.0</t>
  </si>
  <si>
    <t>1691</t>
  </si>
  <si>
    <t>3.646</t>
  </si>
  <si>
    <t>140</t>
  </si>
  <si>
    <t>16.40</t>
  </si>
  <si>
    <t>95.93</t>
  </si>
  <si>
    <t>20.38</t>
  </si>
  <si>
    <t>-51.56</t>
  </si>
  <si>
    <t>135.83</t>
  </si>
  <si>
    <t>36.43</t>
  </si>
  <si>
    <t>01:52:50</t>
  </si>
  <si>
    <t>35.850178</t>
  </si>
  <si>
    <t>35.000000</t>
  </si>
  <si>
    <t>-0.006</t>
  </si>
  <si>
    <t>0.152</t>
  </si>
  <si>
    <t>-0.783</t>
  </si>
  <si>
    <t>2.855</t>
  </si>
  <si>
    <t>2.486435</t>
  </si>
  <si>
    <t>2.434332</t>
  </si>
  <si>
    <t>1.511483</t>
  </si>
  <si>
    <t>0.865692</t>
  </si>
  <si>
    <t>0.176978</t>
  </si>
  <si>
    <t>-0.002160</t>
  </si>
  <si>
    <t>0.383476</t>
  </si>
  <si>
    <t>1.581666</t>
  </si>
  <si>
    <t>31</t>
  </si>
  <si>
    <t>10:54:38</t>
  </si>
  <si>
    <t>031</t>
  </si>
  <si>
    <t>2.713064</t>
  </si>
  <si>
    <t>2.282867</t>
  </si>
  <si>
    <t>22.619440</t>
  </si>
  <si>
    <t>26.881979</t>
  </si>
  <si>
    <t>PSF-01106_20260904105438_203</t>
  </si>
  <si>
    <t>145.265228</t>
  </si>
  <si>
    <t>329.729309</t>
  </si>
  <si>
    <t>0.559441</t>
  </si>
  <si>
    <t>45.42</t>
  </si>
  <si>
    <t>38.22</t>
  </si>
  <si>
    <t>36.01</t>
  </si>
  <si>
    <t>33.93</t>
  </si>
  <si>
    <t>139.9</t>
  </si>
  <si>
    <t>139.0</t>
  </si>
  <si>
    <t>1474</t>
  </si>
  <si>
    <t>138</t>
  </si>
  <si>
    <t>33.97</t>
  </si>
  <si>
    <t>82.93</t>
  </si>
  <si>
    <t>6.71</t>
  </si>
  <si>
    <t>21.53</t>
  </si>
  <si>
    <t>136.18</t>
  </si>
  <si>
    <t>36.29</t>
  </si>
  <si>
    <t>01:53:32</t>
  </si>
  <si>
    <t>35.850216</t>
  </si>
  <si>
    <t>34.400002</t>
  </si>
  <si>
    <t>0.082</t>
  </si>
  <si>
    <t>-0.408</t>
  </si>
  <si>
    <t>-1.143</t>
  </si>
  <si>
    <t>2.486133</t>
  </si>
  <si>
    <t>2.436459</t>
  </si>
  <si>
    <t>1.534504</t>
  </si>
  <si>
    <t>0.900765</t>
  </si>
  <si>
    <t>0.176804</t>
  </si>
  <si>
    <t>-0.025948</t>
  </si>
  <si>
    <t>0.387516</t>
  </si>
  <si>
    <t>1.392760</t>
  </si>
  <si>
    <t>32</t>
  </si>
  <si>
    <t>10:55:47</t>
  </si>
  <si>
    <t>032</t>
  </si>
  <si>
    <t>2.624483</t>
  </si>
  <si>
    <t>2.277345</t>
  </si>
  <si>
    <t>22.564783</t>
  </si>
  <si>
    <t>26.004354</t>
  </si>
  <si>
    <t>PSF-01106_20260904105547_a1c</t>
  </si>
  <si>
    <t>110.430840</t>
  </si>
  <si>
    <t>376.613251</t>
  </si>
  <si>
    <t>0.706779</t>
  </si>
  <si>
    <t>43.94</t>
  </si>
  <si>
    <t>38.13</t>
  </si>
  <si>
    <t>31.93</t>
  </si>
  <si>
    <t>134.8</t>
  </si>
  <si>
    <t>124.2</t>
  </si>
  <si>
    <t>1231</t>
  </si>
  <si>
    <t>3.644</t>
  </si>
  <si>
    <t>-12</t>
  </si>
  <si>
    <t>46.27</t>
  </si>
  <si>
    <t>69.13</t>
  </si>
  <si>
    <t>12.00</t>
  </si>
  <si>
    <t>100.00</t>
  </si>
  <si>
    <t>136.53</t>
  </si>
  <si>
    <t>36.15</t>
  </si>
  <si>
    <t>01:54:42</t>
  </si>
  <si>
    <t>34.799999</t>
  </si>
  <si>
    <t>0.790000</t>
  </si>
  <si>
    <t>-0.130</t>
  </si>
  <si>
    <t>-0.344</t>
  </si>
  <si>
    <t>-0.622</t>
  </si>
  <si>
    <t>2.485996</t>
  </si>
  <si>
    <t>2.434538</t>
  </si>
  <si>
    <t>1.492922</t>
  </si>
  <si>
    <t>0.864442</t>
  </si>
  <si>
    <t>0.176798</t>
  </si>
  <si>
    <t>-0.051216</t>
  </si>
  <si>
    <t>0.393769</t>
  </si>
  <si>
    <t>1.180586</t>
  </si>
  <si>
    <t>0.000360</t>
  </si>
  <si>
    <t>33</t>
  </si>
  <si>
    <t>10:57:47</t>
  </si>
  <si>
    <t>033</t>
  </si>
  <si>
    <t>2.716984</t>
  </si>
  <si>
    <t>2.349041</t>
  </si>
  <si>
    <t>23.273909</t>
  </si>
  <si>
    <t>26.919418</t>
  </si>
  <si>
    <t>PSF-01106_20260904105747_d34</t>
  </si>
  <si>
    <t>107.421402</t>
  </si>
  <si>
    <t>348.005188</t>
  </si>
  <si>
    <t>0.691322</t>
  </si>
  <si>
    <t>45.74</t>
  </si>
  <si>
    <t>39.55</t>
  </si>
  <si>
    <t>35.91</t>
  </si>
  <si>
    <t>31.01</t>
  </si>
  <si>
    <t>138.7</t>
  </si>
  <si>
    <t>0.3</t>
  </si>
  <si>
    <t>1163</t>
  </si>
  <si>
    <t>3.640</t>
  </si>
  <si>
    <t>54.27</t>
  </si>
  <si>
    <t>58.39</t>
  </si>
  <si>
    <t>19.00</t>
  </si>
  <si>
    <t>120.00</t>
  </si>
  <si>
    <t>137.23</t>
  </si>
  <si>
    <t>35.87</t>
  </si>
  <si>
    <t>01:56:42</t>
  </si>
  <si>
    <t>127.129822</t>
  </si>
  <si>
    <t>33.599998</t>
  </si>
  <si>
    <t>0.006</t>
  </si>
  <si>
    <t>-0.106</t>
  </si>
  <si>
    <t>-0.188</t>
  </si>
  <si>
    <t>-0.382</t>
  </si>
  <si>
    <t>2.488062</t>
  </si>
  <si>
    <t>2.436887</t>
  </si>
  <si>
    <t>1.528228</t>
  </si>
  <si>
    <t>0.899972</t>
  </si>
  <si>
    <t>0.177495</t>
  </si>
  <si>
    <t>-0.061278</t>
  </si>
  <si>
    <t>0.405339</t>
  </si>
  <si>
    <t>1.121330</t>
  </si>
  <si>
    <t>34</t>
  </si>
  <si>
    <t>10:58:47</t>
  </si>
  <si>
    <t>034</t>
  </si>
  <si>
    <t>2.561896</t>
  </si>
  <si>
    <t>2.214697</t>
  </si>
  <si>
    <t>21.943441</t>
  </si>
  <si>
    <t>25.383532</t>
  </si>
  <si>
    <t>PSF-01106_20260904105847_198</t>
  </si>
  <si>
    <t>103.586197</t>
  </si>
  <si>
    <t>378.051270</t>
  </si>
  <si>
    <t>0.726000</t>
  </si>
  <si>
    <t>43.34</t>
  </si>
  <si>
    <t>37.47</t>
  </si>
  <si>
    <t>35.82</t>
  </si>
  <si>
    <t>30.74</t>
  </si>
  <si>
    <t>133.4</t>
  </si>
  <si>
    <t>129.3</t>
  </si>
  <si>
    <t>3.1</t>
  </si>
  <si>
    <t>1043</t>
  </si>
  <si>
    <t>3.639</t>
  </si>
  <si>
    <t>333</t>
  </si>
  <si>
    <t>55.43</t>
  </si>
  <si>
    <t>56.74</t>
  </si>
  <si>
    <t>20.02</t>
  </si>
  <si>
    <t>150.08</t>
  </si>
  <si>
    <t>137.58</t>
  </si>
  <si>
    <t>01:57:41</t>
  </si>
  <si>
    <t>35.850151</t>
  </si>
  <si>
    <t>32.700001</t>
  </si>
  <si>
    <t>-0.226</t>
  </si>
  <si>
    <t>-0.487</t>
  </si>
  <si>
    <t>-1.164</t>
  </si>
  <si>
    <t>2.485069</t>
  </si>
  <si>
    <t>2.433793</t>
  </si>
  <si>
    <t>1.481093</t>
  </si>
  <si>
    <t>0.876781</t>
  </si>
  <si>
    <t>0.178102</t>
  </si>
  <si>
    <t>-0.063460</t>
  </si>
  <si>
    <t>0.410784</t>
  </si>
  <si>
    <t>1.016854</t>
  </si>
  <si>
    <t>35</t>
  </si>
  <si>
    <t>11:00:07</t>
  </si>
  <si>
    <t>035</t>
  </si>
  <si>
    <t>2.853560</t>
  </si>
  <si>
    <t>2.391700</t>
  </si>
  <si>
    <t>23.699493</t>
  </si>
  <si>
    <t>28.276100</t>
  </si>
  <si>
    <t>PSF-01106_20260904110007_360</t>
  </si>
  <si>
    <t>159.434082</t>
  </si>
  <si>
    <t>300.704590</t>
  </si>
  <si>
    <t>0.469798</t>
  </si>
  <si>
    <t>48.44</t>
  </si>
  <si>
    <t>40.60</t>
  </si>
  <si>
    <t>34.08</t>
  </si>
  <si>
    <t>130.4</t>
  </si>
  <si>
    <t>118.5</t>
  </si>
  <si>
    <t>9.1</t>
  </si>
  <si>
    <t>1735</t>
  </si>
  <si>
    <t>3.637</t>
  </si>
  <si>
    <t>-22</t>
  </si>
  <si>
    <t>125</t>
  </si>
  <si>
    <t>15.38</t>
  </si>
  <si>
    <t>96.42</t>
  </si>
  <si>
    <t>22.02</t>
  </si>
  <si>
    <t>-57.67</t>
  </si>
  <si>
    <t>138.29</t>
  </si>
  <si>
    <t>01:59:02</t>
  </si>
  <si>
    <t>33.299999</t>
  </si>
  <si>
    <t>0.720000</t>
  </si>
  <si>
    <t>-0.248</t>
  </si>
  <si>
    <t>-0.412</t>
  </si>
  <si>
    <t>-1.176</t>
  </si>
  <si>
    <t>2.489602</t>
  </si>
  <si>
    <t>2.440387</t>
  </si>
  <si>
    <t>1.457591</t>
  </si>
  <si>
    <t>0.850805</t>
  </si>
  <si>
    <t>0.178540</t>
  </si>
  <si>
    <t>-0.020746</t>
  </si>
  <si>
    <t>0.417735</t>
  </si>
  <si>
    <t>1.619710</t>
  </si>
  <si>
    <t>36</t>
  </si>
  <si>
    <t>11:01:34</t>
  </si>
  <si>
    <t>036</t>
  </si>
  <si>
    <t>2.946933</t>
  </si>
  <si>
    <t>2.355629</t>
  </si>
  <si>
    <t>23.340162</t>
  </si>
  <si>
    <t>29.198942</t>
  </si>
  <si>
    <t>PSF-01106_20260904110134_a89</t>
  </si>
  <si>
    <t>160.575989</t>
  </si>
  <si>
    <t>295.277954</t>
  </si>
  <si>
    <t>0.456187</t>
  </si>
  <si>
    <t>49.72</t>
  </si>
  <si>
    <t>39.74</t>
  </si>
  <si>
    <t>132.3</t>
  </si>
  <si>
    <t>0.8</t>
  </si>
  <si>
    <t>1817</t>
  </si>
  <si>
    <t>3.636</t>
  </si>
  <si>
    <t>19.34</t>
  </si>
  <si>
    <t>94.35</t>
  </si>
  <si>
    <t>-43.00</t>
  </si>
  <si>
    <t>138.65</t>
  </si>
  <si>
    <t>35.33</t>
  </si>
  <si>
    <t>02:00:28</t>
  </si>
  <si>
    <t>35.850166</t>
  </si>
  <si>
    <t>127.129684</t>
  </si>
  <si>
    <t>34.200001</t>
  </si>
  <si>
    <t>0.710000</t>
  </si>
  <si>
    <t>11:01:03</t>
  </si>
  <si>
    <t>-0.82</t>
  </si>
  <si>
    <t>0.015</t>
  </si>
  <si>
    <t>-0.330</t>
  </si>
  <si>
    <t>-0.375</t>
  </si>
  <si>
    <t>-0.580</t>
  </si>
  <si>
    <t>2.488354</t>
  </si>
  <si>
    <t>2.442072</t>
  </si>
  <si>
    <t>1.481292</t>
  </si>
  <si>
    <t>0.884114</t>
  </si>
  <si>
    <t>0.177771</t>
  </si>
  <si>
    <t>-0.029131</t>
  </si>
  <si>
    <t>0.426188</t>
  </si>
  <si>
    <t>1.691219</t>
  </si>
  <si>
    <t>37</t>
  </si>
  <si>
    <t>11:02:17</t>
  </si>
  <si>
    <t>037</t>
  </si>
  <si>
    <t>2.766365</t>
  </si>
  <si>
    <t>2.310404</t>
  </si>
  <si>
    <t>22.891720</t>
  </si>
  <si>
    <t>27.409431</t>
  </si>
  <si>
    <t>PSF-01106_20260904110217_820</t>
  </si>
  <si>
    <t>150.429718</t>
  </si>
  <si>
    <t>291.763184</t>
  </si>
  <si>
    <t>0.484412</t>
  </si>
  <si>
    <t>46.57</t>
  </si>
  <si>
    <t>38.89</t>
  </si>
  <si>
    <t>34.13</t>
  </si>
  <si>
    <t>134.2</t>
  </si>
  <si>
    <t>123.3</t>
  </si>
  <si>
    <t>8.1</t>
  </si>
  <si>
    <t>1517</t>
  </si>
  <si>
    <t>3.634</t>
  </si>
  <si>
    <t>108</t>
  </si>
  <si>
    <t>94.50</t>
  </si>
  <si>
    <t>21.02</t>
  </si>
  <si>
    <t>-69.21</t>
  </si>
  <si>
    <t>139.01</t>
  </si>
  <si>
    <t>35.20</t>
  </si>
  <si>
    <t>02:01:11</t>
  </si>
  <si>
    <t>35.850163</t>
  </si>
  <si>
    <t>127.129646</t>
  </si>
  <si>
    <t>-0.493</t>
  </si>
  <si>
    <t>-0.419</t>
  </si>
  <si>
    <t>2.487121</t>
  </si>
  <si>
    <t>2.438019</t>
  </si>
  <si>
    <t>1.488154</t>
  </si>
  <si>
    <t>0.862392</t>
  </si>
  <si>
    <t>0.177486</t>
  </si>
  <si>
    <t>-0.022088</t>
  </si>
  <si>
    <t>0.430155</t>
  </si>
  <si>
    <t>1.429806</t>
  </si>
  <si>
    <t>0.000351</t>
  </si>
  <si>
    <t>38</t>
  </si>
  <si>
    <t>11:03:27</t>
  </si>
  <si>
    <t>038</t>
  </si>
  <si>
    <t>2.598727</t>
  </si>
  <si>
    <t>2.405818</t>
  </si>
  <si>
    <t>23.834961</t>
  </si>
  <si>
    <t>25.746157</t>
  </si>
  <si>
    <t>PSF-01106_20260904110327_918</t>
  </si>
  <si>
    <t>119.496346</t>
  </si>
  <si>
    <t>482.326630</t>
  </si>
  <si>
    <t>0.752250</t>
  </si>
  <si>
    <t>43.65</t>
  </si>
  <si>
    <t>40.41</t>
  </si>
  <si>
    <t>35.96</t>
  </si>
  <si>
    <t>32.95</t>
  </si>
  <si>
    <t>135.9</t>
  </si>
  <si>
    <t>111.6</t>
  </si>
  <si>
    <t>17.9</t>
  </si>
  <si>
    <t>1052</t>
  </si>
  <si>
    <t>3.633</t>
  </si>
  <si>
    <t>343</t>
  </si>
  <si>
    <t>51.17</t>
  </si>
  <si>
    <t>62.70</t>
  </si>
  <si>
    <t>18.24</t>
  </si>
  <si>
    <t>172.63</t>
  </si>
  <si>
    <t>139.38</t>
  </si>
  <si>
    <t>35.07</t>
  </si>
  <si>
    <t>02:02:21</t>
  </si>
  <si>
    <t>32.500000</t>
  </si>
  <si>
    <t>-0.128</t>
  </si>
  <si>
    <t>-0.202</t>
  </si>
  <si>
    <t>-0.609</t>
  </si>
  <si>
    <t>2.489290</t>
  </si>
  <si>
    <t>2.434235</t>
  </si>
  <si>
    <t>1.501983</t>
  </si>
  <si>
    <t>0.834344</t>
  </si>
  <si>
    <t>0.177197</t>
  </si>
  <si>
    <t>-0.037620</t>
  </si>
  <si>
    <t>0.436594</t>
  </si>
  <si>
    <t>1.024690</t>
  </si>
  <si>
    <t>39</t>
  </si>
  <si>
    <t>11:04:20</t>
  </si>
  <si>
    <t>039</t>
  </si>
  <si>
    <t>2.660288</t>
  </si>
  <si>
    <t>2.306187</t>
  </si>
  <si>
    <t>22.847506</t>
  </si>
  <si>
    <t>26.355597</t>
  </si>
  <si>
    <t>PSF-01106_20260904110420_149</t>
  </si>
  <si>
    <t>112.330559</t>
  </si>
  <si>
    <t>352.907898</t>
  </si>
  <si>
    <t>0.681700</t>
  </si>
  <si>
    <t>44.67</t>
  </si>
  <si>
    <t>38.72</t>
  </si>
  <si>
    <t>31.65</t>
  </si>
  <si>
    <t>134.5</t>
  </si>
  <si>
    <t>130.5</t>
  </si>
  <si>
    <t>972</t>
  </si>
  <si>
    <t>3.632</t>
  </si>
  <si>
    <t>53.58</t>
  </si>
  <si>
    <t>59.37</t>
  </si>
  <si>
    <t>153.00</t>
  </si>
  <si>
    <t>139.75</t>
  </si>
  <si>
    <t>34.94</t>
  </si>
  <si>
    <t>02:03:14</t>
  </si>
  <si>
    <t>35.850132</t>
  </si>
  <si>
    <t>32.400002</t>
  </si>
  <si>
    <t>-0.092</t>
  </si>
  <si>
    <t>-0.040</t>
  </si>
  <si>
    <t>-0.096</t>
  </si>
  <si>
    <t>2.486870</t>
  </si>
  <si>
    <t>2.435562</t>
  </si>
  <si>
    <t>1.490407</t>
  </si>
  <si>
    <t>0.879868</t>
  </si>
  <si>
    <t>0.177171</t>
  </si>
  <si>
    <t>-0.053977</t>
  </si>
  <si>
    <t>0.441398</t>
  </si>
  <si>
    <t>0.954466</t>
  </si>
  <si>
    <t>40</t>
  </si>
  <si>
    <t>11:05:09</t>
  </si>
  <si>
    <t>040</t>
  </si>
  <si>
    <t>2.586948</t>
  </si>
  <si>
    <t>2.281035</t>
  </si>
  <si>
    <t>22.598997</t>
  </si>
  <si>
    <t>25.629780</t>
  </si>
  <si>
    <t>PSF-01106_20260904110509_b0e</t>
  </si>
  <si>
    <t>111.277344</t>
  </si>
  <si>
    <t>389.333008</t>
  </si>
  <si>
    <t>0.714185</t>
  </si>
  <si>
    <t>43.41</t>
  </si>
  <si>
    <t>38.28</t>
  </si>
  <si>
    <t>35.97</t>
  </si>
  <si>
    <t>31.85</t>
  </si>
  <si>
    <t>133.9</t>
  </si>
  <si>
    <t>129.8</t>
  </si>
  <si>
    <t>573</t>
  </si>
  <si>
    <t>341</t>
  </si>
  <si>
    <t>51.48</t>
  </si>
  <si>
    <t>62.28</t>
  </si>
  <si>
    <t>18.11</t>
  </si>
  <si>
    <t>167.45</t>
  </si>
  <si>
    <t>140.12</t>
  </si>
  <si>
    <t>34.81</t>
  </si>
  <si>
    <t>02:04:03</t>
  </si>
  <si>
    <t>127.129654</t>
  </si>
  <si>
    <t>31.900000</t>
  </si>
  <si>
    <t>0.043</t>
  </si>
  <si>
    <t>0.016</t>
  </si>
  <si>
    <t>2.486225</t>
  </si>
  <si>
    <t>2.433931</t>
  </si>
  <si>
    <t>1.485233</t>
  </si>
  <si>
    <t>0.878016</t>
  </si>
  <si>
    <t>0.177097</t>
  </si>
  <si>
    <t>-0.051661</t>
  </si>
  <si>
    <t>0.445642</t>
  </si>
  <si>
    <t>0.606412</t>
  </si>
  <si>
    <t>41</t>
  </si>
  <si>
    <t>11:05:51</t>
  </si>
  <si>
    <t>041</t>
  </si>
  <si>
    <t>2.291260</t>
  </si>
  <si>
    <t>2.256858</t>
  </si>
  <si>
    <t>22.359020</t>
  </si>
  <si>
    <t>22.699848</t>
  </si>
  <si>
    <t>PSF-01106_20260904110551_ead</t>
  </si>
  <si>
    <t>110.955475</t>
  </si>
  <si>
    <t>496.660339</t>
  </si>
  <si>
    <t>0.776597</t>
  </si>
  <si>
    <t>38.39</t>
  </si>
  <si>
    <t>37.81</t>
  </si>
  <si>
    <t>36.00</t>
  </si>
  <si>
    <t>34.80</t>
  </si>
  <si>
    <t>130.1</t>
  </si>
  <si>
    <t>1139</t>
  </si>
  <si>
    <t>3.631</t>
  </si>
  <si>
    <t>45.85</t>
  </si>
  <si>
    <t>69.66</t>
  </si>
  <si>
    <t>-166.00</t>
  </si>
  <si>
    <t>02:04:41</t>
  </si>
  <si>
    <t>35.850155</t>
  </si>
  <si>
    <t>-0.317</t>
  </si>
  <si>
    <t>-0.717</t>
  </si>
  <si>
    <t>-2.393</t>
  </si>
  <si>
    <t>2.485547</t>
  </si>
  <si>
    <t>2.427354</t>
  </si>
  <si>
    <t>1.488834</t>
  </si>
  <si>
    <t>0.878849</t>
  </si>
  <si>
    <t>0.176900</t>
  </si>
  <si>
    <t>-0.014688</t>
  </si>
  <si>
    <t>0.449298</t>
  </si>
  <si>
    <t>1.100764</t>
  </si>
  <si>
    <t>42</t>
  </si>
  <si>
    <t>11:06:46</t>
  </si>
  <si>
    <t>042</t>
  </si>
  <si>
    <t>2.568636</t>
  </si>
  <si>
    <t>2.261293</t>
  </si>
  <si>
    <t>22.404953</t>
  </si>
  <si>
    <t>25.450123</t>
  </si>
  <si>
    <t>PSF-01106_20260904110646_6ce</t>
  </si>
  <si>
    <t>116.214752</t>
  </si>
  <si>
    <t>524.862549</t>
  </si>
  <si>
    <t>0.778581</t>
  </si>
  <si>
    <t>43.05</t>
  </si>
  <si>
    <t>37.90</t>
  </si>
  <si>
    <t>7.3</t>
  </si>
  <si>
    <t>361</t>
  </si>
  <si>
    <t>3.630</t>
  </si>
  <si>
    <t>53.56</t>
  </si>
  <si>
    <t>59.39</t>
  </si>
  <si>
    <t>163.92</t>
  </si>
  <si>
    <t>140.49</t>
  </si>
  <si>
    <t>34.68</t>
  </si>
  <si>
    <t>02:05:40</t>
  </si>
  <si>
    <t>35.850174</t>
  </si>
  <si>
    <t>32.299999</t>
  </si>
  <si>
    <t>0.670000</t>
  </si>
  <si>
    <t>-0.048</t>
  </si>
  <si>
    <t>-0.179</t>
  </si>
  <si>
    <t>-0.292</t>
  </si>
  <si>
    <t>2.485670</t>
  </si>
  <si>
    <t>2.433455</t>
  </si>
  <si>
    <t>1.487683</t>
  </si>
  <si>
    <t>0.864739</t>
  </si>
  <si>
    <t>0.176933</t>
  </si>
  <si>
    <t>-0.055192</t>
  </si>
  <si>
    <t>0.453966</t>
  </si>
  <si>
    <t>0.421929</t>
  </si>
  <si>
    <t>0.000356</t>
  </si>
  <si>
    <t>43</t>
  </si>
  <si>
    <t>11:07:49</t>
  </si>
  <si>
    <t>043</t>
  </si>
  <si>
    <t>2.693933</t>
  </si>
  <si>
    <t>2.345157</t>
  </si>
  <si>
    <t>23.236578</t>
  </si>
  <si>
    <t>26.692360</t>
  </si>
  <si>
    <t>PSF-01106_20260904110749_8db</t>
  </si>
  <si>
    <t>105.344650</t>
  </si>
  <si>
    <t>412.918579</t>
  </si>
  <si>
    <t>0.744878</t>
  </si>
  <si>
    <t>45.07</t>
  </si>
  <si>
    <t>39.23</t>
  </si>
  <si>
    <t>36.03</t>
  </si>
  <si>
    <t>131.5</t>
  </si>
  <si>
    <t>449</t>
  </si>
  <si>
    <t>3.627</t>
  </si>
  <si>
    <t>327</t>
  </si>
  <si>
    <t>52.48</t>
  </si>
  <si>
    <t>60.91</t>
  </si>
  <si>
    <t>147.00</t>
  </si>
  <si>
    <t>140.86</t>
  </si>
  <si>
    <t>34.55</t>
  </si>
  <si>
    <t>02:06:41</t>
  </si>
  <si>
    <t>127.129730</t>
  </si>
  <si>
    <t>31.799999</t>
  </si>
  <si>
    <t>0.075</t>
  </si>
  <si>
    <t>0.135</t>
  </si>
  <si>
    <t>2.487591</t>
  </si>
  <si>
    <t>2.436063</t>
  </si>
  <si>
    <t>1.475209</t>
  </si>
  <si>
    <t>0.882236</t>
  </si>
  <si>
    <t>0.176706</t>
  </si>
  <si>
    <t>-0.055648</t>
  </si>
  <si>
    <t>0.459653</t>
  </si>
  <si>
    <t>0.498850</t>
  </si>
  <si>
    <t>44</t>
  </si>
  <si>
    <t>11:09:44</t>
  </si>
  <si>
    <t>044</t>
  </si>
  <si>
    <t>2.514606</t>
  </si>
  <si>
    <t>2.312922</t>
  </si>
  <si>
    <t>22.918320</t>
  </si>
  <si>
    <t>24.916759</t>
  </si>
  <si>
    <t>PSF-01106_20260904110944_ccb</t>
  </si>
  <si>
    <t>113.041161</t>
  </si>
  <si>
    <t>464.479919</t>
  </si>
  <si>
    <t>0.756629</t>
  </si>
  <si>
    <t>41.80</t>
  </si>
  <si>
    <t>38.45</t>
  </si>
  <si>
    <t>36.14</t>
  </si>
  <si>
    <t>32.68</t>
  </si>
  <si>
    <t>130.0</t>
  </si>
  <si>
    <t>110.3</t>
  </si>
  <si>
    <t>15.2</t>
  </si>
  <si>
    <t>510</t>
  </si>
  <si>
    <t>-10</t>
  </si>
  <si>
    <t>151</t>
  </si>
  <si>
    <t>24.48</t>
  </si>
  <si>
    <t>91.01</t>
  </si>
  <si>
    <t>10.00</t>
  </si>
  <si>
    <t>-29.00</t>
  </si>
  <si>
    <t>141.62</t>
  </si>
  <si>
    <t>34.29</t>
  </si>
  <si>
    <t>02:08:39</t>
  </si>
  <si>
    <t>32.000000</t>
  </si>
  <si>
    <t>-0.009</t>
  </si>
  <si>
    <t>-0.671</t>
  </si>
  <si>
    <t>-0.781</t>
  </si>
  <si>
    <t>2.486439</t>
  </si>
  <si>
    <t>2.431803</t>
  </si>
  <si>
    <t>1.454290</t>
  </si>
  <si>
    <t>0.831304</t>
  </si>
  <si>
    <t>0.175911</t>
  </si>
  <si>
    <t>-0.043479</t>
  </si>
  <si>
    <t>0.469383</t>
  </si>
  <si>
    <t>0.551969</t>
  </si>
  <si>
    <t>45</t>
  </si>
  <si>
    <t>11:10:32</t>
  </si>
  <si>
    <t>045</t>
  </si>
  <si>
    <t>2.518484</t>
  </si>
  <si>
    <t>2.331106</t>
  </si>
  <si>
    <t>23.096783</t>
  </si>
  <si>
    <t>24.953333</t>
  </si>
  <si>
    <t>PSF-01106_20260904111032_082</t>
  </si>
  <si>
    <t>108.020065</t>
  </si>
  <si>
    <t>461.887848</t>
  </si>
  <si>
    <t>0.766134</t>
  </si>
  <si>
    <t>41.95</t>
  </si>
  <si>
    <t>38.83</t>
  </si>
  <si>
    <t>36.10</t>
  </si>
  <si>
    <t>32.29</t>
  </si>
  <si>
    <t>131.8</t>
  </si>
  <si>
    <t>122.9</t>
  </si>
  <si>
    <t>6.8</t>
  </si>
  <si>
    <t>3.626</t>
  </si>
  <si>
    <t>127</t>
  </si>
  <si>
    <t>22.77</t>
  </si>
  <si>
    <t>92.21</t>
  </si>
  <si>
    <t>-53.00</t>
  </si>
  <si>
    <t>142.00</t>
  </si>
  <si>
    <t>34.17</t>
  </si>
  <si>
    <t>02:09:26</t>
  </si>
  <si>
    <t>127.129776</t>
  </si>
  <si>
    <t>32.599998</t>
  </si>
  <si>
    <t>0.025</t>
  </si>
  <si>
    <t>0.100</t>
  </si>
  <si>
    <t>-0.296</t>
  </si>
  <si>
    <t>2.487001</t>
  </si>
  <si>
    <t>2.432010</t>
  </si>
  <si>
    <t>1.468663</t>
  </si>
  <si>
    <t>0.861365</t>
  </si>
  <si>
    <t>0.176175</t>
  </si>
  <si>
    <t>-0.047910</t>
  </si>
  <si>
    <t>0.473116</t>
  </si>
  <si>
    <t>0.374418</t>
  </si>
  <si>
    <t>46</t>
  </si>
  <si>
    <t>11:11:20</t>
  </si>
  <si>
    <t>046</t>
  </si>
  <si>
    <t>2.365334</t>
  </si>
  <si>
    <t>2.248529</t>
  </si>
  <si>
    <t>22.280256</t>
  </si>
  <si>
    <t>23.437653</t>
  </si>
  <si>
    <t>PSF-01106_20260904111120_910</t>
  </si>
  <si>
    <t>109.679459</t>
  </si>
  <si>
    <t>471.149689</t>
  </si>
  <si>
    <t>0.767209</t>
  </si>
  <si>
    <t>39.48</t>
  </si>
  <si>
    <t>37.53</t>
  </si>
  <si>
    <t>36.07</t>
  </si>
  <si>
    <t>33.40</t>
  </si>
  <si>
    <t>131.1</t>
  </si>
  <si>
    <t>120.2</t>
  </si>
  <si>
    <t>8.3</t>
  </si>
  <si>
    <t>3.625</t>
  </si>
  <si>
    <t>-15</t>
  </si>
  <si>
    <t>116</t>
  </si>
  <si>
    <t>21.54</t>
  </si>
  <si>
    <t>93.02</t>
  </si>
  <si>
    <t>15.00</t>
  </si>
  <si>
    <t>-64.00</t>
  </si>
  <si>
    <t>142.38</t>
  </si>
  <si>
    <t>34.05</t>
  </si>
  <si>
    <t>02:10:14</t>
  </si>
  <si>
    <t>33.000000</t>
  </si>
  <si>
    <t>0.690000</t>
  </si>
  <si>
    <t>0.009</t>
  </si>
  <si>
    <t>-0.114</t>
  </si>
  <si>
    <t>2.485126</t>
  </si>
  <si>
    <t>2.428780</t>
  </si>
  <si>
    <t>1.462827</t>
  </si>
  <si>
    <t>0.854880</t>
  </si>
  <si>
    <t>0.176426</t>
  </si>
  <si>
    <t>-0.033486</t>
  </si>
  <si>
    <t>0.476676</t>
  </si>
  <si>
    <t>0.231391</t>
  </si>
  <si>
    <t>0.000364</t>
  </si>
  <si>
    <t>47</t>
  </si>
  <si>
    <t>11:12:11</t>
  </si>
  <si>
    <t>047</t>
  </si>
  <si>
    <t>2.357200</t>
  </si>
  <si>
    <t>2.188017</t>
  </si>
  <si>
    <t>21.681511</t>
  </si>
  <si>
    <t>23.357986</t>
  </si>
  <si>
    <t>PSF-01106_20260904111211_b24</t>
  </si>
  <si>
    <t>133.850449</t>
  </si>
  <si>
    <t>546.098816</t>
  </si>
  <si>
    <t>0.754897</t>
  </si>
  <si>
    <t>39.52</t>
  </si>
  <si>
    <t>36.68</t>
  </si>
  <si>
    <t>129.4</t>
  </si>
  <si>
    <t>3.8</t>
  </si>
  <si>
    <t>3.624</t>
  </si>
  <si>
    <t>134</t>
  </si>
  <si>
    <t>21.16</t>
  </si>
  <si>
    <t>93.26</t>
  </si>
  <si>
    <t>13.00</t>
  </si>
  <si>
    <t>-46.00</t>
  </si>
  <si>
    <t>142.76</t>
  </si>
  <si>
    <t>02:11:05</t>
  </si>
  <si>
    <t>35.850281</t>
  </si>
  <si>
    <t>0.650000</t>
  </si>
  <si>
    <t>11:11:54</t>
  </si>
  <si>
    <t>-0.67</t>
  </si>
  <si>
    <t>-0.320</t>
  </si>
  <si>
    <t>-0.239</t>
  </si>
  <si>
    <t>-1.330</t>
  </si>
  <si>
    <t>2.483909</t>
  </si>
  <si>
    <t>2.428655</t>
  </si>
  <si>
    <t>1.490638</t>
  </si>
  <si>
    <t>0.877196</t>
  </si>
  <si>
    <t>0.176981</t>
  </si>
  <si>
    <t>-0.040147</t>
  </si>
  <si>
    <t>0.480292</t>
  </si>
  <si>
    <t>0.216161</t>
  </si>
  <si>
    <t>48</t>
  </si>
  <si>
    <t>11:13:12</t>
  </si>
  <si>
    <t>048</t>
  </si>
  <si>
    <t>2.389829</t>
  </si>
  <si>
    <t>2.217840</t>
  </si>
  <si>
    <t>21.978395</t>
  </si>
  <si>
    <t>23.682777</t>
  </si>
  <si>
    <t>PSF-01106_20260904111312_806</t>
  </si>
  <si>
    <t>118.843674</t>
  </si>
  <si>
    <t>448.887695</t>
  </si>
  <si>
    <t>0.735249</t>
  </si>
  <si>
    <t>40.37</t>
  </si>
  <si>
    <t>35.85</t>
  </si>
  <si>
    <t>32.78</t>
  </si>
  <si>
    <t>100.91</t>
  </si>
  <si>
    <t>141.3</t>
  </si>
  <si>
    <t>115.4</t>
  </si>
  <si>
    <t>18.3</t>
  </si>
  <si>
    <t>499</t>
  </si>
  <si>
    <t>3.622</t>
  </si>
  <si>
    <t>23.82</t>
  </si>
  <si>
    <t>91.48</t>
  </si>
  <si>
    <t>-40.00</t>
  </si>
  <si>
    <t>143.15</t>
  </si>
  <si>
    <t>33.80</t>
  </si>
  <si>
    <t>02:12:06</t>
  </si>
  <si>
    <t>35.850277</t>
  </si>
  <si>
    <t>127.129799</t>
  </si>
  <si>
    <t>36.200001</t>
  </si>
  <si>
    <t>0.660000</t>
  </si>
  <si>
    <t>2.885</t>
  </si>
  <si>
    <t>0.513</t>
  </si>
  <si>
    <t>-0.442</t>
  </si>
  <si>
    <t>2.429796</t>
  </si>
  <si>
    <t>1.546420</t>
  </si>
  <si>
    <t>0.843410</t>
  </si>
  <si>
    <t>0.177932</t>
  </si>
  <si>
    <t>-0.038445</t>
  </si>
  <si>
    <t>0.483950</t>
  </si>
  <si>
    <t>0.542214</t>
  </si>
  <si>
    <t>49</t>
  </si>
  <si>
    <t>11:14:05</t>
  </si>
  <si>
    <t>049</t>
  </si>
  <si>
    <t>2.403465</t>
  </si>
  <si>
    <t>2.388552</t>
  </si>
  <si>
    <t>23.669474</t>
  </si>
  <si>
    <t>23.817259</t>
  </si>
  <si>
    <t>PSF-01106_20260904111405_4e5</t>
  </si>
  <si>
    <t>110.450867</t>
  </si>
  <si>
    <t>438.803314</t>
  </si>
  <si>
    <t>0.748291</t>
  </si>
  <si>
    <t>40.66</t>
  </si>
  <si>
    <t>34.31</t>
  </si>
  <si>
    <t>134.9</t>
  </si>
  <si>
    <t>117</t>
  </si>
  <si>
    <t>14.89</t>
  </si>
  <si>
    <t>96.64</t>
  </si>
  <si>
    <t>-51.44</t>
  </si>
  <si>
    <t>02:12:59</t>
  </si>
  <si>
    <t>127.129807</t>
  </si>
  <si>
    <t>-2.359</t>
  </si>
  <si>
    <t>-0.676</t>
  </si>
  <si>
    <t>-0.628</t>
  </si>
  <si>
    <t>2.489317</t>
  </si>
  <si>
    <t>2.430179</t>
  </si>
  <si>
    <t>1.493650</t>
  </si>
  <si>
    <t>0.887030</t>
  </si>
  <si>
    <t>0.178112</t>
  </si>
  <si>
    <t>-0.018728</t>
  </si>
  <si>
    <t>0.488079</t>
  </si>
  <si>
    <t>0.209319</t>
  </si>
  <si>
    <t>50</t>
  </si>
  <si>
    <t>11:14:54</t>
  </si>
  <si>
    <t>050</t>
  </si>
  <si>
    <t>2.520860</t>
  </si>
  <si>
    <t>2.185084</t>
  </si>
  <si>
    <t>21.653254</t>
  </si>
  <si>
    <t>24.980650</t>
  </si>
  <si>
    <t>PSF-01106_20260904111454_421</t>
  </si>
  <si>
    <t>111.813065</t>
  </si>
  <si>
    <t>480.887543</t>
  </si>
  <si>
    <t>0.767486</t>
  </si>
  <si>
    <t>42.63</t>
  </si>
  <si>
    <t>36.95</t>
  </si>
  <si>
    <t>31.57</t>
  </si>
  <si>
    <t>132.7</t>
  </si>
  <si>
    <t>1.7</t>
  </si>
  <si>
    <t>461</t>
  </si>
  <si>
    <t>50.67</t>
  </si>
  <si>
    <t>63.38</t>
  </si>
  <si>
    <t>135.19</t>
  </si>
  <si>
    <t>143.54</t>
  </si>
  <si>
    <t>33.68</t>
  </si>
  <si>
    <t>02:13:48</t>
  </si>
  <si>
    <t>127.129791</t>
  </si>
  <si>
    <t>-0.196</t>
  </si>
  <si>
    <t>-0.547</t>
  </si>
  <si>
    <t>-1.527</t>
  </si>
  <si>
    <t>2.484318</t>
  </si>
  <si>
    <t>2.432744</t>
  </si>
  <si>
    <t>1.494521</t>
  </si>
  <si>
    <t>0.885286</t>
  </si>
  <si>
    <t>0.178051</t>
  </si>
  <si>
    <t>-0.053287</t>
  </si>
  <si>
    <t>0.492525</t>
  </si>
  <si>
    <t>0.508727</t>
  </si>
  <si>
    <t>51</t>
  </si>
  <si>
    <t>11:15:35</t>
  </si>
  <si>
    <t>051</t>
  </si>
  <si>
    <t>2.774885</t>
  </si>
  <si>
    <t>2.414291</t>
  </si>
  <si>
    <t>23.923889</t>
  </si>
  <si>
    <t>27.497112</t>
  </si>
  <si>
    <t>PSF-01106_20260904111535_ad4</t>
  </si>
  <si>
    <t>114.729523</t>
  </si>
  <si>
    <t>475.677979</t>
  </si>
  <si>
    <t>0.758808</t>
  </si>
  <si>
    <t>46.96</t>
  </si>
  <si>
    <t>40.86</t>
  </si>
  <si>
    <t>31.58</t>
  </si>
  <si>
    <t>133.5</t>
  </si>
  <si>
    <t>121.6</t>
  </si>
  <si>
    <t>8.9</t>
  </si>
  <si>
    <t>679</t>
  </si>
  <si>
    <t>3.621</t>
  </si>
  <si>
    <t>323</t>
  </si>
  <si>
    <t>60.73</t>
  </si>
  <si>
    <t>149.12</t>
  </si>
  <si>
    <t>143.93</t>
  </si>
  <si>
    <t>33.56</t>
  </si>
  <si>
    <t>02:14:29</t>
  </si>
  <si>
    <t>35.850227</t>
  </si>
  <si>
    <t>36.099998</t>
  </si>
  <si>
    <t>-0.071</t>
  </si>
  <si>
    <t>-0.156</t>
  </si>
  <si>
    <t>-0.387</t>
  </si>
  <si>
    <t>2.489959</t>
  </si>
  <si>
    <t>2.438352</t>
  </si>
  <si>
    <t>1.482327</t>
  </si>
  <si>
    <t>0.858273</t>
  </si>
  <si>
    <t>0.178147</t>
  </si>
  <si>
    <t>-0.053072</t>
  </si>
  <si>
    <t>0.496488</t>
  </si>
  <si>
    <t>0.699039</t>
  </si>
  <si>
    <t>0.000359</t>
  </si>
  <si>
    <t>52</t>
  </si>
  <si>
    <t>11:16:07</t>
  </si>
  <si>
    <t>052</t>
  </si>
  <si>
    <t>2.601465</t>
  </si>
  <si>
    <t>2.270587</t>
  </si>
  <si>
    <t>22.500778</t>
  </si>
  <si>
    <t>25.779671</t>
  </si>
  <si>
    <t>PSF-01106_20260904111607_f05</t>
  </si>
  <si>
    <t>109.130142</t>
  </si>
  <si>
    <t>426.674713</t>
  </si>
  <si>
    <t>0.744231</t>
  </si>
  <si>
    <t>44.06</t>
  </si>
  <si>
    <t>35.80</t>
  </si>
  <si>
    <t>31.23</t>
  </si>
  <si>
    <t>135.3</t>
  </si>
  <si>
    <t>121.9</t>
  </si>
  <si>
    <t>225</t>
  </si>
  <si>
    <t>328</t>
  </si>
  <si>
    <t>51.42</t>
  </si>
  <si>
    <t>62.37</t>
  </si>
  <si>
    <t>148.00</t>
  </si>
  <si>
    <t>144.33</t>
  </si>
  <si>
    <t>33.44</t>
  </si>
  <si>
    <t>02:15:01</t>
  </si>
  <si>
    <t>35.850220</t>
  </si>
  <si>
    <t>36.299999</t>
  </si>
  <si>
    <t>-0.230</t>
  </si>
  <si>
    <t>-0.777</t>
  </si>
  <si>
    <t>2.486505</t>
  </si>
  <si>
    <t>2.434608</t>
  </si>
  <si>
    <t>1.497083</t>
  </si>
  <si>
    <t>0.858959</t>
  </si>
  <si>
    <t>0.178244</t>
  </si>
  <si>
    <t>-0.057140</t>
  </si>
  <si>
    <t>0.499438</t>
  </si>
  <si>
    <t>0.303212</t>
  </si>
  <si>
    <t>53</t>
  </si>
  <si>
    <t>11:16:52</t>
  </si>
  <si>
    <t>053</t>
  </si>
  <si>
    <t>2.659328</t>
  </si>
  <si>
    <t>2.295569</t>
  </si>
  <si>
    <t>22.748280</t>
  </si>
  <si>
    <t>26.353008</t>
  </si>
  <si>
    <t>PSF-01106_20260904111652_274</t>
  </si>
  <si>
    <t>102.824448</t>
  </si>
  <si>
    <t>429.909454</t>
  </si>
  <si>
    <t>0.760823</t>
  </si>
  <si>
    <t>45.10</t>
  </si>
  <si>
    <t>38.93</t>
  </si>
  <si>
    <t>35.78</t>
  </si>
  <si>
    <t>131.6</t>
  </si>
  <si>
    <t>439</t>
  </si>
  <si>
    <t>3.619</t>
  </si>
  <si>
    <t>57.47</t>
  </si>
  <si>
    <t>53.77</t>
  </si>
  <si>
    <t>24.08</t>
  </si>
  <si>
    <t>148.91</t>
  </si>
  <si>
    <t>02:15:47</t>
  </si>
  <si>
    <t>0.680000</t>
  </si>
  <si>
    <t>-0.021</t>
  </si>
  <si>
    <t>-0.164</t>
  </si>
  <si>
    <t>2.487197</t>
  </si>
  <si>
    <t>2.435961</t>
  </si>
  <si>
    <t>1.489169</t>
  </si>
  <si>
    <t>0.882440</t>
  </si>
  <si>
    <t>0.178416</t>
  </si>
  <si>
    <t>-0.059548</t>
  </si>
  <si>
    <t>0.503737</t>
  </si>
  <si>
    <t>0.489500</t>
  </si>
  <si>
    <t>54</t>
  </si>
  <si>
    <t>11:17:54</t>
  </si>
  <si>
    <t>054</t>
  </si>
  <si>
    <t>2.751867</t>
  </si>
  <si>
    <t>2.387301</t>
  </si>
  <si>
    <t>23.656492</t>
  </si>
  <si>
    <t>27.269085</t>
  </si>
  <si>
    <t>PSF-01106_20260904111754_af6</t>
  </si>
  <si>
    <t>98.949554</t>
  </si>
  <si>
    <t>429.702759</t>
  </si>
  <si>
    <t>0.769726</t>
  </si>
  <si>
    <t>46.70</t>
  </si>
  <si>
    <t>40.52</t>
  </si>
  <si>
    <t>30.93</t>
  </si>
  <si>
    <t>134.1</t>
  </si>
  <si>
    <t>966</t>
  </si>
  <si>
    <t>3.618</t>
  </si>
  <si>
    <t>51.47</t>
  </si>
  <si>
    <t>62.29</t>
  </si>
  <si>
    <t>20.00</t>
  </si>
  <si>
    <t>175.00</t>
  </si>
  <si>
    <t>144.73</t>
  </si>
  <si>
    <t>33.32</t>
  </si>
  <si>
    <t>02:16:48</t>
  </si>
  <si>
    <t>35.850224</t>
  </si>
  <si>
    <t>35.599998</t>
  </si>
  <si>
    <t>0.121</t>
  </si>
  <si>
    <t>-0.055</t>
  </si>
  <si>
    <t>-0.091</t>
  </si>
  <si>
    <t>2.489481</t>
  </si>
  <si>
    <t>2.438034</t>
  </si>
  <si>
    <t>1.487033</t>
  </si>
  <si>
    <t>0.884872</t>
  </si>
  <si>
    <t>0.178511</t>
  </si>
  <si>
    <t>-0.060382</t>
  </si>
  <si>
    <t>0.509350</t>
  </si>
  <si>
    <t>0.949644</t>
  </si>
  <si>
    <t>55</t>
  </si>
  <si>
    <t>11:18:43</t>
  </si>
  <si>
    <t>055</t>
  </si>
  <si>
    <t>2.503449</t>
  </si>
  <si>
    <t>2.228083</t>
  </si>
  <si>
    <t>22.078423</t>
  </si>
  <si>
    <t>24.807077</t>
  </si>
  <si>
    <t>PSF-01106_20260904111843_c73</t>
  </si>
  <si>
    <t>108.042953</t>
  </si>
  <si>
    <t>493.392700</t>
  </si>
  <si>
    <t>0.781020</t>
  </si>
  <si>
    <t>42.56</t>
  </si>
  <si>
    <t>37.88</t>
  </si>
  <si>
    <t>35.73</t>
  </si>
  <si>
    <t>31.36</t>
  </si>
  <si>
    <t>136.0</t>
  </si>
  <si>
    <t>1.9</t>
  </si>
  <si>
    <t>59</t>
  </si>
  <si>
    <t>55.49</t>
  </si>
  <si>
    <t>56.66</t>
  </si>
  <si>
    <t>22.34</t>
  </si>
  <si>
    <t>150.57</t>
  </si>
  <si>
    <t>145.13</t>
  </si>
  <si>
    <t>33.21</t>
  </si>
  <si>
    <t>02:17:38</t>
  </si>
  <si>
    <t>-0.074</t>
  </si>
  <si>
    <t>-0.022</t>
  </si>
  <si>
    <t>-0.104</t>
  </si>
  <si>
    <t>2.485687</t>
  </si>
  <si>
    <t>2.432677</t>
  </si>
  <si>
    <t>1.502622</t>
  </si>
  <si>
    <t>0.887073</t>
  </si>
  <si>
    <t>0.178734</t>
  </si>
  <si>
    <t>-0.054643</t>
  </si>
  <si>
    <t>0.513763</t>
  </si>
  <si>
    <t>0.158734</t>
  </si>
  <si>
    <t>56</t>
  </si>
  <si>
    <t>11:20:17</t>
  </si>
  <si>
    <t>056</t>
  </si>
  <si>
    <t>2.494214</t>
  </si>
  <si>
    <t>2.230357</t>
  </si>
  <si>
    <t>22.102276</t>
  </si>
  <si>
    <t>24.717026</t>
  </si>
  <si>
    <t>PSF-01106_20260904112017_33f</t>
  </si>
  <si>
    <t>114.435913</t>
  </si>
  <si>
    <t>549.963013</t>
  </si>
  <si>
    <t>0.791921</t>
  </si>
  <si>
    <t>42.61</t>
  </si>
  <si>
    <t>38.10</t>
  </si>
  <si>
    <t>35.65</t>
  </si>
  <si>
    <t>31.83</t>
  </si>
  <si>
    <t>141.4</t>
  </si>
  <si>
    <t>138.1</t>
  </si>
  <si>
    <t>3.617</t>
  </si>
  <si>
    <t>13.10</t>
  </si>
  <si>
    <t>97.40</t>
  </si>
  <si>
    <t>-30.00</t>
  </si>
  <si>
    <t>145.93</t>
  </si>
  <si>
    <t>32.98</t>
  </si>
  <si>
    <t>02:19:11</t>
  </si>
  <si>
    <t>-0.818</t>
  </si>
  <si>
    <t>-1.432</t>
  </si>
  <si>
    <t>2.486013</t>
  </si>
  <si>
    <t>1.547092</t>
  </si>
  <si>
    <t>0.898698</t>
  </si>
  <si>
    <t>0.179322</t>
  </si>
  <si>
    <t>-0.047730</t>
  </si>
  <si>
    <t>0.520761</t>
  </si>
  <si>
    <t>0.128222</t>
  </si>
  <si>
    <t>57</t>
  </si>
  <si>
    <t>11:21:07</t>
  </si>
  <si>
    <t>057</t>
  </si>
  <si>
    <t>2.490284</t>
  </si>
  <si>
    <t>2.189533</t>
  </si>
  <si>
    <t>21.697933</t>
  </si>
  <si>
    <t>24.678326</t>
  </si>
  <si>
    <t>PSF-01106_20260904112107_5b3</t>
  </si>
  <si>
    <t>111.967209</t>
  </si>
  <si>
    <t>575.010193</t>
  </si>
  <si>
    <t>0.805278</t>
  </si>
  <si>
    <t>42.74</t>
  </si>
  <si>
    <t>37.58</t>
  </si>
  <si>
    <t>35.56</t>
  </si>
  <si>
    <t>30.85</t>
  </si>
  <si>
    <t>132.4</t>
  </si>
  <si>
    <t>3.615</t>
  </si>
  <si>
    <t>33.64</t>
  </si>
  <si>
    <t>83.25</t>
  </si>
  <si>
    <t>9.05</t>
  </si>
  <si>
    <t>54.29</t>
  </si>
  <si>
    <t>146.34</t>
  </si>
  <si>
    <t>32.87</t>
  </si>
  <si>
    <t>02:20:02</t>
  </si>
  <si>
    <t>-0.065</t>
  </si>
  <si>
    <t>2.485278</t>
  </si>
  <si>
    <t>2.432938</t>
  </si>
  <si>
    <t>1.520031</t>
  </si>
  <si>
    <t>0.884562</t>
  </si>
  <si>
    <t>0.179931</t>
  </si>
  <si>
    <t>-0.058802</t>
  </si>
  <si>
    <t>0.524907</t>
  </si>
  <si>
    <t>0.145026</t>
  </si>
  <si>
    <t>58</t>
  </si>
  <si>
    <t>11:22:39</t>
  </si>
  <si>
    <t>058</t>
  </si>
  <si>
    <t>2.551598</t>
  </si>
  <si>
    <t>2.274409</t>
  </si>
  <si>
    <t>22.539711</t>
  </si>
  <si>
    <t>25.286694</t>
  </si>
  <si>
    <t>PSF-01106_20260904112239_8ba</t>
  </si>
  <si>
    <t>124.526741</t>
  </si>
  <si>
    <t>343.483673</t>
  </si>
  <si>
    <t>0.637460</t>
  </si>
  <si>
    <t>43.88</t>
  </si>
  <si>
    <t>39.11</t>
  </si>
  <si>
    <t>35.53</t>
  </si>
  <si>
    <t>31.75</t>
  </si>
  <si>
    <t>1.8</t>
  </si>
  <si>
    <t>290</t>
  </si>
  <si>
    <t>33.77</t>
  </si>
  <si>
    <t>83.13</t>
  </si>
  <si>
    <t>11.40</t>
  </si>
  <si>
    <t>53.07</t>
  </si>
  <si>
    <t>146.75</t>
  </si>
  <si>
    <t>32.76</t>
  </si>
  <si>
    <t>02:21:33</t>
  </si>
  <si>
    <t>36.599998</t>
  </si>
  <si>
    <t>11:22:07</t>
  </si>
  <si>
    <t>-0.74</t>
  </si>
  <si>
    <t>-0.032</t>
  </si>
  <si>
    <t>0.088</t>
  </si>
  <si>
    <t>2.487500</t>
  </si>
  <si>
    <t>2.434509</t>
  </si>
  <si>
    <t>1.532601</t>
  </si>
  <si>
    <t>0.896127</t>
  </si>
  <si>
    <t>0.180174</t>
  </si>
  <si>
    <t>-0.047167</t>
  </si>
  <si>
    <t>0.531600</t>
  </si>
  <si>
    <t>0.359999</t>
  </si>
  <si>
    <t>11:23:09</t>
  </si>
  <si>
    <t>059</t>
  </si>
  <si>
    <t>2.610416</t>
  </si>
  <si>
    <t>2.419314</t>
  </si>
  <si>
    <t>23.975025</t>
  </si>
  <si>
    <t>25.868818</t>
  </si>
  <si>
    <t>PSF-01106_20260904112309_ae3</t>
  </si>
  <si>
    <t>118.561508</t>
  </si>
  <si>
    <t>421.624298</t>
  </si>
  <si>
    <t>0.718798</t>
  </si>
  <si>
    <t>44.96</t>
  </si>
  <si>
    <t>41.67</t>
  </si>
  <si>
    <t>35.50</t>
  </si>
  <si>
    <t>32.53</t>
  </si>
  <si>
    <t>138.3</t>
  </si>
  <si>
    <t>95</t>
  </si>
  <si>
    <t>3.602</t>
  </si>
  <si>
    <t>26.21</t>
  </si>
  <si>
    <t>89.72</t>
  </si>
  <si>
    <t>15.03</t>
  </si>
  <si>
    <t>20.27</t>
  </si>
  <si>
    <t>147.16</t>
  </si>
  <si>
    <t>32.64</t>
  </si>
  <si>
    <t>02:22:03</t>
  </si>
  <si>
    <t>36.900002</t>
  </si>
  <si>
    <t>0.049</t>
  </si>
  <si>
    <t>-0.010</t>
  </si>
  <si>
    <t>2.491168</t>
  </si>
  <si>
    <t>2.435909</t>
  </si>
  <si>
    <t>1.521767</t>
  </si>
  <si>
    <t>0.891736</t>
  </si>
  <si>
    <t>0.180357</t>
  </si>
  <si>
    <t>-0.037098</t>
  </si>
  <si>
    <t>0.533693</t>
  </si>
  <si>
    <t>0.190011</t>
  </si>
  <si>
    <t>60</t>
  </si>
  <si>
    <t>11:23:49</t>
  </si>
  <si>
    <t>060</t>
  </si>
  <si>
    <t>2.564340</t>
  </si>
  <si>
    <t>2.324557</t>
  </si>
  <si>
    <t>23.037712</t>
  </si>
  <si>
    <t>25.414101</t>
  </si>
  <si>
    <t>PSF-01106_20260904112349_9f6</t>
  </si>
  <si>
    <t>153.287888</t>
  </si>
  <si>
    <t>480.755920</t>
  </si>
  <si>
    <t>0.681152</t>
  </si>
  <si>
    <t>44.25</t>
  </si>
  <si>
    <t>40.12</t>
  </si>
  <si>
    <t>35.46</t>
  </si>
  <si>
    <t>31.95</t>
  </si>
  <si>
    <t>100.90</t>
  </si>
  <si>
    <t>137.7</t>
  </si>
  <si>
    <t>132.8</t>
  </si>
  <si>
    <t>3.5</t>
  </si>
  <si>
    <t>552</t>
  </si>
  <si>
    <t>81.58</t>
  </si>
  <si>
    <t>9.00</t>
  </si>
  <si>
    <t>68.00</t>
  </si>
  <si>
    <t>02:22:43</t>
  </si>
  <si>
    <t>39.599998</t>
  </si>
  <si>
    <t>0.247</t>
  </si>
  <si>
    <t>0.561</t>
  </si>
  <si>
    <t>2.488953</t>
  </si>
  <si>
    <t>2.435004</t>
  </si>
  <si>
    <t>1.516311</t>
  </si>
  <si>
    <t>0.885578</t>
  </si>
  <si>
    <t>0.180618</t>
  </si>
  <si>
    <t>-0.043820</t>
  </si>
  <si>
    <t>0.536665</t>
  </si>
  <si>
    <t>0.588780</t>
  </si>
  <si>
    <t>61</t>
  </si>
  <si>
    <t>11:24:44</t>
  </si>
  <si>
    <t>061</t>
  </si>
  <si>
    <t>2.410224</t>
  </si>
  <si>
    <t>2.234614</t>
  </si>
  <si>
    <t>22.148029</t>
  </si>
  <si>
    <t>23.888556</t>
  </si>
  <si>
    <t>PSF-01106_20260904112444_da9</t>
  </si>
  <si>
    <t>139.674423</t>
  </si>
  <si>
    <t>471.457245</t>
  </si>
  <si>
    <t>0.703739</t>
  </si>
  <si>
    <t>41.72</t>
  </si>
  <si>
    <t>38.68</t>
  </si>
  <si>
    <t>35.41</t>
  </si>
  <si>
    <t>32.62</t>
  </si>
  <si>
    <t>100.89</t>
  </si>
  <si>
    <t>129.9</t>
  </si>
  <si>
    <t>129.2</t>
  </si>
  <si>
    <t>92</t>
  </si>
  <si>
    <t>3.612</t>
  </si>
  <si>
    <t>330</t>
  </si>
  <si>
    <t>17.13</t>
  </si>
  <si>
    <t>95.56</t>
  </si>
  <si>
    <t>17.06</t>
  </si>
  <si>
    <t>-50.87</t>
  </si>
  <si>
    <t>147.57</t>
  </si>
  <si>
    <t>32.54</t>
  </si>
  <si>
    <t>02:23:36</t>
  </si>
  <si>
    <t>35.850201</t>
  </si>
  <si>
    <t>41.000000</t>
  </si>
  <si>
    <t>-0.043</t>
  </si>
  <si>
    <t>-0.158</t>
  </si>
  <si>
    <t>-1.102</t>
  </si>
  <si>
    <t>2.486895</t>
  </si>
  <si>
    <t>2.431717</t>
  </si>
  <si>
    <t>1.453111</t>
  </si>
  <si>
    <t>0.876700</t>
  </si>
  <si>
    <t>0.181006</t>
  </si>
  <si>
    <t>-0.034756</t>
  </si>
  <si>
    <t>0.540697</t>
  </si>
  <si>
    <t>0.187015</t>
  </si>
  <si>
    <t>62</t>
  </si>
  <si>
    <t>11:26:55</t>
  </si>
  <si>
    <t>062</t>
  </si>
  <si>
    <t>2.637435</t>
  </si>
  <si>
    <t>2.358989</t>
  </si>
  <si>
    <t>23.382952</t>
  </si>
  <si>
    <t>26.142986</t>
  </si>
  <si>
    <t>PSF-01106_20260904112655_af0</t>
  </si>
  <si>
    <t>126.257301</t>
  </si>
  <si>
    <t>367.278442</t>
  </si>
  <si>
    <t>0.656236</t>
  </si>
  <si>
    <t>45.39</t>
  </si>
  <si>
    <t>35.51</t>
  </si>
  <si>
    <t>31.61</t>
  </si>
  <si>
    <t>145.2</t>
  </si>
  <si>
    <t>138.6</t>
  </si>
  <si>
    <t>4.5</t>
  </si>
  <si>
    <t>77</t>
  </si>
  <si>
    <t>310</t>
  </si>
  <si>
    <t>34.01</t>
  </si>
  <si>
    <t>82.90</t>
  </si>
  <si>
    <t>70.89</t>
  </si>
  <si>
    <t>148.40</t>
  </si>
  <si>
    <t>32.32</t>
  </si>
  <si>
    <t>02:25:50</t>
  </si>
  <si>
    <t>-0.014</t>
  </si>
  <si>
    <t>-0.150</t>
  </si>
  <si>
    <t>-0.352</t>
  </si>
  <si>
    <t>2.489641</t>
  </si>
  <si>
    <t>2.436471</t>
  </si>
  <si>
    <t>1.578920</t>
  </si>
  <si>
    <t>0.899901</t>
  </si>
  <si>
    <t>0.180276</t>
  </si>
  <si>
    <t>-0.048746</t>
  </si>
  <si>
    <t>0.551078</t>
  </si>
  <si>
    <t>0.173855</t>
  </si>
  <si>
    <t>63</t>
  </si>
  <si>
    <t>11:28:14</t>
  </si>
  <si>
    <t>063</t>
  </si>
  <si>
    <t>2.293121</t>
  </si>
  <si>
    <t>2.127160</t>
  </si>
  <si>
    <t>21.085831</t>
  </si>
  <si>
    <t>22.730953</t>
  </si>
  <si>
    <t>PSF-01106_20260904112814_770</t>
  </si>
  <si>
    <t>114.619736</t>
  </si>
  <si>
    <t>554.792786</t>
  </si>
  <si>
    <t>0.793401</t>
  </si>
  <si>
    <t>36.66</t>
  </si>
  <si>
    <t>35.49</t>
  </si>
  <si>
    <t>32.51</t>
  </si>
  <si>
    <t>100.88</t>
  </si>
  <si>
    <t>138.9</t>
  </si>
  <si>
    <t>155</t>
  </si>
  <si>
    <t>3.611</t>
  </si>
  <si>
    <t>-8</t>
  </si>
  <si>
    <t>334</t>
  </si>
  <si>
    <t>53.92</t>
  </si>
  <si>
    <t>58.89</t>
  </si>
  <si>
    <t>22.41</t>
  </si>
  <si>
    <t>132.59</t>
  </si>
  <si>
    <t>149.25</t>
  </si>
  <si>
    <t>32.11</t>
  </si>
  <si>
    <t>02:27:07</t>
  </si>
  <si>
    <t>41.099998</t>
  </si>
  <si>
    <t>-0.107</t>
  </si>
  <si>
    <t>-0.402</t>
  </si>
  <si>
    <t>-0.360</t>
  </si>
  <si>
    <t>2.483946</t>
  </si>
  <si>
    <t>2.428816</t>
  </si>
  <si>
    <t>1.526543</t>
  </si>
  <si>
    <t>0.892828</t>
  </si>
  <si>
    <t>0.180442</t>
  </si>
  <si>
    <t>-0.037071</t>
  </si>
  <si>
    <t>0.557246</t>
  </si>
  <si>
    <t>0.242403</t>
  </si>
  <si>
    <t>64</t>
  </si>
  <si>
    <t>11:28:46</t>
  </si>
  <si>
    <t>064</t>
  </si>
  <si>
    <t>2.254527</t>
  </si>
  <si>
    <t>2.248960</t>
  </si>
  <si>
    <t>22.291376</t>
  </si>
  <si>
    <t>22.346550</t>
  </si>
  <si>
    <t>PSF-01106_20260904112846_559</t>
  </si>
  <si>
    <t>113.954185</t>
  </si>
  <si>
    <t>263.967285</t>
  </si>
  <si>
    <t>0.568302</t>
  </si>
  <si>
    <t>38.87</t>
  </si>
  <si>
    <t>38.77</t>
  </si>
  <si>
    <t>35.48</t>
  </si>
  <si>
    <t>35.39</t>
  </si>
  <si>
    <t>141.0</t>
  </si>
  <si>
    <t>139.4</t>
  </si>
  <si>
    <t>980</t>
  </si>
  <si>
    <t>3.610</t>
  </si>
  <si>
    <t>351</t>
  </si>
  <si>
    <t>36.32</t>
  </si>
  <si>
    <t>80.58</t>
  </si>
  <si>
    <t>81.00</t>
  </si>
  <si>
    <t>02:27:40</t>
  </si>
  <si>
    <t>35.850185</t>
  </si>
  <si>
    <t>127.129669</t>
  </si>
  <si>
    <t>41.400002</t>
  </si>
  <si>
    <t>0.136</t>
  </si>
  <si>
    <t>0.829</t>
  </si>
  <si>
    <t>2.954</t>
  </si>
  <si>
    <t>2.487014</t>
  </si>
  <si>
    <t>2.427959</t>
  </si>
  <si>
    <t>1.543515</t>
  </si>
  <si>
    <t>0.901943</t>
  </si>
  <si>
    <t>0.180488</t>
  </si>
  <si>
    <t>-0.000325</t>
  </si>
  <si>
    <t>0.559556</t>
  </si>
  <si>
    <t>0.961316</t>
  </si>
  <si>
    <t>65</t>
  </si>
  <si>
    <t>11:29:40</t>
  </si>
  <si>
    <t>065</t>
  </si>
  <si>
    <t>2.589968</t>
  </si>
  <si>
    <t>2.335698</t>
  </si>
  <si>
    <t>23.150192</t>
  </si>
  <si>
    <t>25.670382</t>
  </si>
  <si>
    <t>PSF-01106_20260904112940_59c</t>
  </si>
  <si>
    <t>132.372375</t>
  </si>
  <si>
    <t>521.205444</t>
  </si>
  <si>
    <t>0.746027</t>
  </si>
  <si>
    <t>44.63</t>
  </si>
  <si>
    <t>40.25</t>
  </si>
  <si>
    <t>32.26</t>
  </si>
  <si>
    <t>130.9</t>
  </si>
  <si>
    <t>130.6</t>
  </si>
  <si>
    <t>83</t>
  </si>
  <si>
    <t>3.609</t>
  </si>
  <si>
    <t>153</t>
  </si>
  <si>
    <t>28.02</t>
  </si>
  <si>
    <t>88.28</t>
  </si>
  <si>
    <t>4.00</t>
  </si>
  <si>
    <t>-27.00</t>
  </si>
  <si>
    <t>149.67</t>
  </si>
  <si>
    <t>32.01</t>
  </si>
  <si>
    <t>02:28:34</t>
  </si>
  <si>
    <t>41.299999</t>
  </si>
  <si>
    <t>0.221</t>
  </si>
  <si>
    <t>-0.265</t>
  </si>
  <si>
    <t>2.489138</t>
  </si>
  <si>
    <t>2.435486</t>
  </si>
  <si>
    <t>1.461286</t>
  </si>
  <si>
    <t>0.880094</t>
  </si>
  <si>
    <t>0.180426</t>
  </si>
  <si>
    <t>-0.040275</t>
  </si>
  <si>
    <t>0.564070</t>
  </si>
  <si>
    <t>0.179017</t>
  </si>
  <si>
    <t>66</t>
  </si>
  <si>
    <t>11:30:48</t>
  </si>
  <si>
    <t>066</t>
  </si>
  <si>
    <t>2.579334</t>
  </si>
  <si>
    <t>2.423829</t>
  </si>
  <si>
    <t>24.027451</t>
  </si>
  <si>
    <t>25.568968</t>
  </si>
  <si>
    <t>PSF-01106_20260904113048_1ef</t>
  </si>
  <si>
    <t>125.722290</t>
  </si>
  <si>
    <t>538.393738</t>
  </si>
  <si>
    <t>0.766486</t>
  </si>
  <si>
    <t>44.31</t>
  </si>
  <si>
    <t>41.64</t>
  </si>
  <si>
    <t>35.54</t>
  </si>
  <si>
    <t>3.608</t>
  </si>
  <si>
    <t>194</t>
  </si>
  <si>
    <t>32.72</t>
  </si>
  <si>
    <t>84.13</t>
  </si>
  <si>
    <t>3.61</t>
  </si>
  <si>
    <t>70.34</t>
  </si>
  <si>
    <t>150.10</t>
  </si>
  <si>
    <t>31.91</t>
  </si>
  <si>
    <t>02:29:42</t>
  </si>
  <si>
    <t>0.138</t>
  </si>
  <si>
    <t>0.198</t>
  </si>
  <si>
    <t>2.491124</t>
  </si>
  <si>
    <t>2.435065</t>
  </si>
  <si>
    <t>1.534867</t>
  </si>
  <si>
    <t>0.892800</t>
  </si>
  <si>
    <t>0.180043</t>
  </si>
  <si>
    <t>-0.029028</t>
  </si>
  <si>
    <t>0.569998</t>
  </si>
  <si>
    <t>0.152665</t>
  </si>
  <si>
    <t>67</t>
  </si>
  <si>
    <t>11:31:48</t>
  </si>
  <si>
    <t>067</t>
  </si>
  <si>
    <t>2.414740</t>
  </si>
  <si>
    <t>2.349614</t>
  </si>
  <si>
    <t>23.290718</t>
  </si>
  <si>
    <t>23.936279</t>
  </si>
  <si>
    <t>PSF-01106_20260904113148_14d</t>
  </si>
  <si>
    <t>171.672104</t>
  </si>
  <si>
    <t>434.911255</t>
  </si>
  <si>
    <t>0.605271</t>
  </si>
  <si>
    <t>41.41</t>
  </si>
  <si>
    <t>40.29</t>
  </si>
  <si>
    <t>35.58</t>
  </si>
  <si>
    <t>128.1</t>
  </si>
  <si>
    <t>5.7</t>
  </si>
  <si>
    <t>467</t>
  </si>
  <si>
    <t>3.607</t>
  </si>
  <si>
    <t>-26</t>
  </si>
  <si>
    <t>128</t>
  </si>
  <si>
    <t>12.25</t>
  </si>
  <si>
    <t>97.72</t>
  </si>
  <si>
    <t>26.00</t>
  </si>
  <si>
    <t>-52.00</t>
  </si>
  <si>
    <t>150.53</t>
  </si>
  <si>
    <t>31.81</t>
  </si>
  <si>
    <t>02:30:42</t>
  </si>
  <si>
    <t>35.850159</t>
  </si>
  <si>
    <t>127.129639</t>
  </si>
  <si>
    <t>40.000000</t>
  </si>
  <si>
    <t>-0.319</t>
  </si>
  <si>
    <t>-0.235</t>
  </si>
  <si>
    <t>-0.990</t>
  </si>
  <si>
    <t>2.489185</t>
  </si>
  <si>
    <t>2.431280</t>
  </si>
  <si>
    <t>1.501512</t>
  </si>
  <si>
    <t>0.873916</t>
  </si>
  <si>
    <t>0.179808</t>
  </si>
  <si>
    <t>0.001706</t>
  </si>
  <si>
    <t>0.575203</t>
  </si>
  <si>
    <t>0.514618</t>
  </si>
  <si>
    <t>68</t>
  </si>
  <si>
    <t>11:33:23</t>
  </si>
  <si>
    <t>068</t>
  </si>
  <si>
    <t>2.536389</t>
  </si>
  <si>
    <t>2.338641</t>
  </si>
  <si>
    <t>23.181543</t>
  </si>
  <si>
    <t>25.141699</t>
  </si>
  <si>
    <t>PSF-01106_20260904113323_139</t>
  </si>
  <si>
    <t>111.815216</t>
  </si>
  <si>
    <t>493.846527</t>
  </si>
  <si>
    <t>0.773583</t>
  </si>
  <si>
    <t>43.09</t>
  </si>
  <si>
    <t>35.75</t>
  </si>
  <si>
    <t>33.19</t>
  </si>
  <si>
    <t>146.2</t>
  </si>
  <si>
    <t>132.9</t>
  </si>
  <si>
    <t>398</t>
  </si>
  <si>
    <t>3.606</t>
  </si>
  <si>
    <t>24.06</t>
  </si>
  <si>
    <t>91.31</t>
  </si>
  <si>
    <t>8.94</t>
  </si>
  <si>
    <t>-56.68</t>
  </si>
  <si>
    <t>151.40</t>
  </si>
  <si>
    <t>02:32:17</t>
  </si>
  <si>
    <t>127.129623</t>
  </si>
  <si>
    <t>39.700001</t>
  </si>
  <si>
    <t>0.730000</t>
  </si>
  <si>
    <t>11:32:58</t>
  </si>
  <si>
    <t>-0.85</t>
  </si>
  <si>
    <t>0.229</t>
  </si>
  <si>
    <t>-0.205</t>
  </si>
  <si>
    <t>-0.381</t>
  </si>
  <si>
    <t>2.488357</t>
  </si>
  <si>
    <t>2.433597</t>
  </si>
  <si>
    <t>1.587083</t>
  </si>
  <si>
    <t>0.885724</t>
  </si>
  <si>
    <t>0.178642</t>
  </si>
  <si>
    <t>-0.031931</t>
  </si>
  <si>
    <t>0.584306</t>
  </si>
  <si>
    <t>0.454240</t>
  </si>
  <si>
    <t>69</t>
  </si>
  <si>
    <t>11:33:58</t>
  </si>
  <si>
    <t>069</t>
  </si>
  <si>
    <t>2.547462</t>
  </si>
  <si>
    <t>2.191141</t>
  </si>
  <si>
    <t>21.720108</t>
  </si>
  <si>
    <t>25.252209</t>
  </si>
  <si>
    <t>PSF-01106_20260904113358_c74</t>
  </si>
  <si>
    <t>115.623947</t>
  </si>
  <si>
    <t>537.599426</t>
  </si>
  <si>
    <t>0.784925</t>
  </si>
  <si>
    <t>43.26</t>
  </si>
  <si>
    <t>37.21</t>
  </si>
  <si>
    <t>31.08</t>
  </si>
  <si>
    <t>197</t>
  </si>
  <si>
    <t>3.605</t>
  </si>
  <si>
    <t>-27</t>
  </si>
  <si>
    <t>76.38</t>
  </si>
  <si>
    <t>30.17</t>
  </si>
  <si>
    <t>-112.60</t>
  </si>
  <si>
    <t>02:32:53</t>
  </si>
  <si>
    <t>-0.266</t>
  </si>
  <si>
    <t>-0.470</t>
  </si>
  <si>
    <t>2.484713</t>
  </si>
  <si>
    <t>2.433818</t>
  </si>
  <si>
    <t>1.521789</t>
  </si>
  <si>
    <t>0.891186</t>
  </si>
  <si>
    <t>0.178594</t>
  </si>
  <si>
    <t>-0.058349</t>
  </si>
  <si>
    <t>0.587250</t>
  </si>
  <si>
    <t>0.278513</t>
  </si>
  <si>
    <t>70</t>
  </si>
  <si>
    <t>11:34:37</t>
  </si>
  <si>
    <t>070</t>
  </si>
  <si>
    <t>2.458950</t>
  </si>
  <si>
    <t>2.195763</t>
  </si>
  <si>
    <t>21.764795</t>
  </si>
  <si>
    <t>24.373550</t>
  </si>
  <si>
    <t>PSF-01106_20260904113437_83a</t>
  </si>
  <si>
    <t>107.851265</t>
  </si>
  <si>
    <t>493.930573</t>
  </si>
  <si>
    <t>0.781647</t>
  </si>
  <si>
    <t>41.78</t>
  </si>
  <si>
    <t>37.31</t>
  </si>
  <si>
    <t>31.98</t>
  </si>
  <si>
    <t>140.9</t>
  </si>
  <si>
    <t>73</t>
  </si>
  <si>
    <t>-33</t>
  </si>
  <si>
    <t>152</t>
  </si>
  <si>
    <t>42.46</t>
  </si>
  <si>
    <t>73.78</t>
  </si>
  <si>
    <t>33.12</t>
  </si>
  <si>
    <t>-113.39</t>
  </si>
  <si>
    <t>151.83</t>
  </si>
  <si>
    <t>31.52</t>
  </si>
  <si>
    <t>02:33:30</t>
  </si>
  <si>
    <t>39.099998</t>
  </si>
  <si>
    <t>-0.125</t>
  </si>
  <si>
    <t>-0.182</t>
  </si>
  <si>
    <t>-0.327</t>
  </si>
  <si>
    <t>2.484853</t>
  </si>
  <si>
    <t>2.431888</t>
  </si>
  <si>
    <t>1.543006</t>
  </si>
  <si>
    <t>0.899803</t>
  </si>
  <si>
    <t>0.178653</t>
  </si>
  <si>
    <t>-0.047109</t>
  </si>
  <si>
    <t>0.590528</t>
  </si>
  <si>
    <t>0.170993</t>
  </si>
  <si>
    <t>71</t>
  </si>
  <si>
    <t>11:35:48</t>
  </si>
  <si>
    <t>071</t>
  </si>
  <si>
    <t>2.465807</t>
  </si>
  <si>
    <t>2.216783</t>
  </si>
  <si>
    <t>21.974941</t>
  </si>
  <si>
    <t>24.443520</t>
  </si>
  <si>
    <t>PSF-01106_20260904113548_006</t>
  </si>
  <si>
    <t>116.371391</t>
  </si>
  <si>
    <t>373.169312</t>
  </si>
  <si>
    <t>0.688154</t>
  </si>
  <si>
    <t>41.99</t>
  </si>
  <si>
    <t>37.75</t>
  </si>
  <si>
    <t>35.70</t>
  </si>
  <si>
    <t>138.8</t>
  </si>
  <si>
    <t>136</t>
  </si>
  <si>
    <t>35.40</t>
  </si>
  <si>
    <t>81.51</t>
  </si>
  <si>
    <t>158.00</t>
  </si>
  <si>
    <t>152.27</t>
  </si>
  <si>
    <t>31.42</t>
  </si>
  <si>
    <t>02:34:43</t>
  </si>
  <si>
    <t>38.400002</t>
  </si>
  <si>
    <t>0.142</t>
  </si>
  <si>
    <t>-0.031</t>
  </si>
  <si>
    <t>-0.262</t>
  </si>
  <si>
    <t>2.485506</t>
  </si>
  <si>
    <t>2.432174</t>
  </si>
  <si>
    <t>1.542573</t>
  </si>
  <si>
    <t>0.900399</t>
  </si>
  <si>
    <t>0.178946</t>
  </si>
  <si>
    <t>-0.048419</t>
  </si>
  <si>
    <t>0.595461</t>
  </si>
  <si>
    <t>0.225300</t>
  </si>
  <si>
    <t>72</t>
  </si>
  <si>
    <t>11:36:17</t>
  </si>
  <si>
    <t>072</t>
  </si>
  <si>
    <t>2.283501</t>
  </si>
  <si>
    <t>2.266698</t>
  </si>
  <si>
    <t>22.469532</t>
  </si>
  <si>
    <t>22.636093</t>
  </si>
  <si>
    <t>PSF-01106_20260904113617_e3a</t>
  </si>
  <si>
    <t>105.543137</t>
  </si>
  <si>
    <t>267.222046</t>
  </si>
  <si>
    <t>0.605036</t>
  </si>
  <si>
    <t>38.94</t>
  </si>
  <si>
    <t>38.66</t>
  </si>
  <si>
    <t>35.68</t>
  </si>
  <si>
    <t>35.24</t>
  </si>
  <si>
    <t>136.1</t>
  </si>
  <si>
    <t>125.4</t>
  </si>
  <si>
    <t>103</t>
  </si>
  <si>
    <t>293</t>
  </si>
  <si>
    <t>51.40</t>
  </si>
  <si>
    <t>62.39</t>
  </si>
  <si>
    <t>22.19</t>
  </si>
  <si>
    <t>120.96</t>
  </si>
  <si>
    <t>152.71</t>
  </si>
  <si>
    <t>31.33</t>
  </si>
  <si>
    <t>02:35:11</t>
  </si>
  <si>
    <t>38.599998</t>
  </si>
  <si>
    <t>0.232</t>
  </si>
  <si>
    <t>2.486815</t>
  </si>
  <si>
    <t>2.428176</t>
  </si>
  <si>
    <t>1.503824</t>
  </si>
  <si>
    <t>0.867471</t>
  </si>
  <si>
    <t>0.179115</t>
  </si>
  <si>
    <t>-0.004859</t>
  </si>
  <si>
    <t>0.597404</t>
  </si>
  <si>
    <t>0.196455</t>
  </si>
  <si>
    <t>11:37:32</t>
  </si>
  <si>
    <t>073</t>
  </si>
  <si>
    <t>2.505219</t>
  </si>
  <si>
    <t>2.270550</t>
  </si>
  <si>
    <t>22.508667</t>
  </si>
  <si>
    <t>24.835003</t>
  </si>
  <si>
    <t>PSF-01106_20260904113732_f07</t>
  </si>
  <si>
    <t>129.450195</t>
  </si>
  <si>
    <t>498.769989</t>
  </si>
  <si>
    <t>0.740461</t>
  </si>
  <si>
    <t>42.79</t>
  </si>
  <si>
    <t>38.78</t>
  </si>
  <si>
    <t>100.87</t>
  </si>
  <si>
    <t>142.8</t>
  </si>
  <si>
    <t>1.3</t>
  </si>
  <si>
    <t>799</t>
  </si>
  <si>
    <t>3.604</t>
  </si>
  <si>
    <t>35.15</t>
  </si>
  <si>
    <t>81.76</t>
  </si>
  <si>
    <t>6.40</t>
  </si>
  <si>
    <t>-150.57</t>
  </si>
  <si>
    <t>153.16</t>
  </si>
  <si>
    <t>31.24</t>
  </si>
  <si>
    <t>02:36:27</t>
  </si>
  <si>
    <t>39.000000</t>
  </si>
  <si>
    <t>-0.183</t>
  </si>
  <si>
    <t>-0.670</t>
  </si>
  <si>
    <t>-1.072</t>
  </si>
  <si>
    <t>2.487005</t>
  </si>
  <si>
    <t>2.433222</t>
  </si>
  <si>
    <t>1.558279</t>
  </si>
  <si>
    <t>0.905654</t>
  </si>
  <si>
    <t>0.179319</t>
  </si>
  <si>
    <t>-0.039920</t>
  </si>
  <si>
    <t>0.603242</t>
  </si>
  <si>
    <t>0.804238</t>
  </si>
  <si>
    <t>테스트용</t>
  </si>
  <si>
    <t>gsw_corrected</t>
  </si>
  <si>
    <t>보정 gsw</t>
    <phoneticPr fontId="1" type="noConversion"/>
  </si>
  <si>
    <t>처리_</t>
    <phoneticPr fontId="1" type="noConversion"/>
  </si>
  <si>
    <t>ETc</t>
  </si>
  <si>
    <t>ETc75</t>
  </si>
  <si>
    <t>ETc50</t>
  </si>
  <si>
    <t>ETc25</t>
  </si>
  <si>
    <t>침수ETc</t>
  </si>
  <si>
    <t>침수ETc50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</si>
</sst>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2" xfId="0" applyFill="1" applyBorder="1"/>
    <xf numFmtId="0" fontId="3" fillId="2" borderId="2" xfId="0" applyFont="1" applyFill="1" applyBorder="1" applyAlignment="1">
      <alignment vertical="center"/>
    </xf>
    <xf numFmtId="0" fontId="0" fillId="0" borderId="3" xfId="0" applyBorder="1"/>
    <xf numFmtId="0" fontId="0" fillId="2" borderId="5" xfId="0" applyFill="1" applyBorder="1"/>
    <xf numFmtId="0" fontId="0" fillId="0" borderId="4" xfId="0" applyBorder="1"/>
    <xf numFmtId="0" fontId="0" fillId="0" borderId="6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76"/>
  <sheetViews>
    <sheetView workbookViewId="0">
      <selection activeCell="C4" sqref="C4"/>
    </sheetView>
  </sheetViews>
  <sheetFormatPr defaultRowHeight="19.2" x14ac:dyDescent="0.45"/>
  <sheetData>
    <row r="1" spans="1:124" ht="17.55" customHeight="1" x14ac:dyDescent="0.45">
      <c r="A1" t="s">
        <v>20</v>
      </c>
      <c r="B1" t="s">
        <v>20</v>
      </c>
      <c r="C1" t="s">
        <v>20</v>
      </c>
      <c r="D1" t="s">
        <v>20</v>
      </c>
      <c r="E1" t="s">
        <v>20</v>
      </c>
      <c r="F1" t="s">
        <v>21</v>
      </c>
      <c r="G1" t="s">
        <v>21</v>
      </c>
      <c r="H1" t="s">
        <v>21</v>
      </c>
      <c r="I1" t="s">
        <v>21</v>
      </c>
      <c r="J1" t="s">
        <v>22</v>
      </c>
      <c r="K1" t="s">
        <v>22</v>
      </c>
      <c r="L1" t="s">
        <v>22</v>
      </c>
      <c r="M1" t="s">
        <v>22</v>
      </c>
      <c r="N1" t="s">
        <v>22</v>
      </c>
      <c r="O1" t="s">
        <v>22</v>
      </c>
      <c r="P1" t="s">
        <v>22</v>
      </c>
      <c r="Q1" t="s">
        <v>22</v>
      </c>
      <c r="R1" t="s">
        <v>22</v>
      </c>
      <c r="S1" t="s">
        <v>22</v>
      </c>
      <c r="T1" t="s">
        <v>22</v>
      </c>
      <c r="U1" t="s">
        <v>22</v>
      </c>
      <c r="V1" t="s">
        <v>22</v>
      </c>
      <c r="W1" t="s">
        <v>23</v>
      </c>
      <c r="X1" t="s">
        <v>23</v>
      </c>
      <c r="Y1" t="s">
        <v>23</v>
      </c>
      <c r="Z1" t="s">
        <v>23</v>
      </c>
      <c r="AA1" t="s">
        <v>23</v>
      </c>
      <c r="AB1" t="s">
        <v>23</v>
      </c>
      <c r="AC1" t="s">
        <v>23</v>
      </c>
      <c r="AD1" t="s">
        <v>23</v>
      </c>
      <c r="AE1" t="s">
        <v>23</v>
      </c>
      <c r="AF1" t="s">
        <v>23</v>
      </c>
      <c r="AG1" t="s">
        <v>23</v>
      </c>
      <c r="AH1" t="s">
        <v>24</v>
      </c>
      <c r="AI1" t="s">
        <v>24</v>
      </c>
      <c r="AJ1" t="s">
        <v>24</v>
      </c>
      <c r="AK1" t="s">
        <v>24</v>
      </c>
      <c r="AL1" t="s">
        <v>24</v>
      </c>
      <c r="AM1" t="s">
        <v>24</v>
      </c>
      <c r="AN1" t="s">
        <v>24</v>
      </c>
      <c r="AO1" t="s">
        <v>24</v>
      </c>
      <c r="AP1" t="s">
        <v>24</v>
      </c>
      <c r="AQ1" t="s">
        <v>24</v>
      </c>
      <c r="AR1" t="s">
        <v>24</v>
      </c>
      <c r="AS1" t="s">
        <v>25</v>
      </c>
      <c r="AT1" t="s">
        <v>25</v>
      </c>
      <c r="AU1" t="s">
        <v>25</v>
      </c>
      <c r="AV1" t="s">
        <v>25</v>
      </c>
      <c r="AW1" t="s">
        <v>25</v>
      </c>
      <c r="AX1" t="s">
        <v>25</v>
      </c>
      <c r="AY1" t="s">
        <v>25</v>
      </c>
      <c r="AZ1" t="s">
        <v>25</v>
      </c>
      <c r="BA1" t="s">
        <v>25</v>
      </c>
      <c r="BB1" t="s">
        <v>25</v>
      </c>
      <c r="BC1" t="s">
        <v>26</v>
      </c>
      <c r="BD1" t="s">
        <v>26</v>
      </c>
      <c r="BE1" t="s">
        <v>26</v>
      </c>
      <c r="BF1" t="s">
        <v>26</v>
      </c>
      <c r="BG1" t="s">
        <v>26</v>
      </c>
      <c r="BH1" t="s">
        <v>26</v>
      </c>
      <c r="BI1" t="s">
        <v>26</v>
      </c>
      <c r="BJ1" t="s">
        <v>27</v>
      </c>
      <c r="BK1" t="s">
        <v>27</v>
      </c>
      <c r="BL1" t="s">
        <v>27</v>
      </c>
      <c r="BM1" t="s">
        <v>27</v>
      </c>
      <c r="BN1" t="s">
        <v>28</v>
      </c>
      <c r="BO1" t="s">
        <v>28</v>
      </c>
      <c r="BP1" t="s">
        <v>28</v>
      </c>
      <c r="BQ1" t="s">
        <v>28</v>
      </c>
      <c r="BR1" t="s">
        <v>28</v>
      </c>
      <c r="BS1" t="s">
        <v>28</v>
      </c>
      <c r="BT1" t="s">
        <v>29</v>
      </c>
      <c r="BU1" t="s">
        <v>29</v>
      </c>
      <c r="BV1" t="s">
        <v>29</v>
      </c>
      <c r="BW1" t="s">
        <v>29</v>
      </c>
      <c r="BX1" t="s">
        <v>29</v>
      </c>
      <c r="BY1" t="s">
        <v>29</v>
      </c>
      <c r="BZ1" t="s">
        <v>29</v>
      </c>
      <c r="CA1" t="s">
        <v>29</v>
      </c>
      <c r="CB1" t="s">
        <v>29</v>
      </c>
      <c r="CC1" t="s">
        <v>29</v>
      </c>
      <c r="CD1" t="s">
        <v>29</v>
      </c>
      <c r="CE1" t="s">
        <v>30</v>
      </c>
      <c r="CF1" t="s">
        <v>30</v>
      </c>
      <c r="CG1" t="s">
        <v>30</v>
      </c>
      <c r="CH1" t="s">
        <v>30</v>
      </c>
      <c r="CI1" t="s">
        <v>30</v>
      </c>
      <c r="CJ1" t="s">
        <v>30</v>
      </c>
      <c r="CK1" t="s">
        <v>30</v>
      </c>
      <c r="CL1" t="s">
        <v>30</v>
      </c>
      <c r="CM1" t="s">
        <v>30</v>
      </c>
      <c r="CN1" t="s">
        <v>30</v>
      </c>
      <c r="CO1" t="s">
        <v>30</v>
      </c>
      <c r="CP1" t="s">
        <v>30</v>
      </c>
      <c r="CQ1" t="s">
        <v>30</v>
      </c>
      <c r="CR1" t="s">
        <v>30</v>
      </c>
      <c r="CS1" t="s">
        <v>30</v>
      </c>
      <c r="CT1" t="s">
        <v>31</v>
      </c>
      <c r="CU1" t="s">
        <v>31</v>
      </c>
      <c r="CV1" t="s">
        <v>31</v>
      </c>
      <c r="CW1" t="s">
        <v>31</v>
      </c>
      <c r="CX1" t="s">
        <v>31</v>
      </c>
      <c r="CY1" t="s">
        <v>31</v>
      </c>
      <c r="CZ1" t="s">
        <v>31</v>
      </c>
      <c r="DA1" t="s">
        <v>31</v>
      </c>
      <c r="DB1" t="s">
        <v>31</v>
      </c>
      <c r="DC1" t="s">
        <v>31</v>
      </c>
      <c r="DD1" t="s">
        <v>32</v>
      </c>
      <c r="DE1" t="s">
        <v>32</v>
      </c>
      <c r="DF1" t="s">
        <v>32</v>
      </c>
      <c r="DG1" t="s">
        <v>32</v>
      </c>
      <c r="DH1" t="s">
        <v>32</v>
      </c>
      <c r="DI1" t="s">
        <v>32</v>
      </c>
      <c r="DJ1" t="s">
        <v>32</v>
      </c>
      <c r="DK1" t="s">
        <v>32</v>
      </c>
      <c r="DL1" t="s">
        <v>32</v>
      </c>
      <c r="DM1" t="s">
        <v>32</v>
      </c>
      <c r="DN1" t="s">
        <v>33</v>
      </c>
      <c r="DO1" t="s">
        <v>33</v>
      </c>
      <c r="DP1" t="s">
        <v>33</v>
      </c>
      <c r="DQ1" t="s">
        <v>33</v>
      </c>
      <c r="DR1" t="s">
        <v>33</v>
      </c>
      <c r="DS1" t="s">
        <v>33</v>
      </c>
      <c r="DT1" t="s">
        <v>33</v>
      </c>
    </row>
    <row r="2" spans="1:124" ht="17.55" customHeight="1" x14ac:dyDescent="0.45">
      <c r="A2" t="s">
        <v>34</v>
      </c>
      <c r="B2" t="s">
        <v>35</v>
      </c>
      <c r="C2" t="s">
        <v>0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5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6</v>
      </c>
      <c r="AB2" t="s">
        <v>7</v>
      </c>
      <c r="AC2" t="s">
        <v>8</v>
      </c>
      <c r="AD2" t="s">
        <v>57</v>
      </c>
      <c r="AE2" t="s">
        <v>58</v>
      </c>
      <c r="AF2" t="s">
        <v>9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  <c r="AL2" t="s">
        <v>10</v>
      </c>
      <c r="AM2" t="s">
        <v>64</v>
      </c>
      <c r="AN2" t="s">
        <v>65</v>
      </c>
      <c r="AO2" t="s">
        <v>66</v>
      </c>
      <c r="AP2" t="s">
        <v>67</v>
      </c>
      <c r="AQ2" t="s">
        <v>11</v>
      </c>
      <c r="AR2" t="s">
        <v>68</v>
      </c>
      <c r="AS2" t="s">
        <v>69</v>
      </c>
      <c r="AT2" t="s">
        <v>70</v>
      </c>
      <c r="AU2" t="s">
        <v>71</v>
      </c>
      <c r="AV2" t="s">
        <v>72</v>
      </c>
      <c r="AW2" t="s">
        <v>73</v>
      </c>
      <c r="AX2" t="s">
        <v>74</v>
      </c>
      <c r="AY2" t="s">
        <v>75</v>
      </c>
      <c r="AZ2" t="s">
        <v>76</v>
      </c>
      <c r="BA2" t="s">
        <v>77</v>
      </c>
      <c r="BB2" t="s">
        <v>78</v>
      </c>
      <c r="BC2" t="s">
        <v>79</v>
      </c>
      <c r="BD2" t="s">
        <v>80</v>
      </c>
      <c r="BE2" t="s">
        <v>81</v>
      </c>
      <c r="BF2" t="s">
        <v>82</v>
      </c>
      <c r="BG2" t="s">
        <v>83</v>
      </c>
      <c r="BH2" t="s">
        <v>84</v>
      </c>
      <c r="BI2" t="s">
        <v>85</v>
      </c>
      <c r="BJ2" t="s">
        <v>86</v>
      </c>
      <c r="BK2" t="s">
        <v>87</v>
      </c>
      <c r="BL2" t="s">
        <v>88</v>
      </c>
      <c r="BM2" t="s">
        <v>89</v>
      </c>
      <c r="BN2" t="s">
        <v>90</v>
      </c>
      <c r="BO2" t="s">
        <v>91</v>
      </c>
      <c r="BP2" t="s">
        <v>92</v>
      </c>
      <c r="BQ2" t="s">
        <v>93</v>
      </c>
      <c r="BR2" t="s">
        <v>94</v>
      </c>
      <c r="BS2" t="s">
        <v>95</v>
      </c>
      <c r="BT2" t="s">
        <v>96</v>
      </c>
      <c r="BU2" t="s">
        <v>97</v>
      </c>
      <c r="BV2" t="s">
        <v>98</v>
      </c>
      <c r="BW2" t="s">
        <v>99</v>
      </c>
      <c r="BX2" t="s">
        <v>100</v>
      </c>
      <c r="BY2" t="s">
        <v>101</v>
      </c>
      <c r="BZ2" t="s">
        <v>102</v>
      </c>
      <c r="CA2" t="s">
        <v>103</v>
      </c>
      <c r="CB2" t="s">
        <v>104</v>
      </c>
      <c r="CC2" t="s">
        <v>105</v>
      </c>
      <c r="CD2" t="s">
        <v>106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J2" t="s">
        <v>112</v>
      </c>
      <c r="CK2" t="s">
        <v>113</v>
      </c>
      <c r="CL2" t="s">
        <v>114</v>
      </c>
      <c r="CM2" t="s">
        <v>115</v>
      </c>
      <c r="CN2" t="s">
        <v>116</v>
      </c>
      <c r="CO2" t="s">
        <v>117</v>
      </c>
      <c r="CP2" t="s">
        <v>118</v>
      </c>
      <c r="CQ2" t="s">
        <v>119</v>
      </c>
      <c r="CR2" t="s">
        <v>120</v>
      </c>
      <c r="CS2" t="s">
        <v>121</v>
      </c>
      <c r="CT2" t="s">
        <v>122</v>
      </c>
      <c r="CU2" t="s">
        <v>123</v>
      </c>
      <c r="CV2" t="s">
        <v>124</v>
      </c>
      <c r="CW2" t="s">
        <v>125</v>
      </c>
      <c r="CX2" t="s">
        <v>126</v>
      </c>
      <c r="CY2" t="s">
        <v>127</v>
      </c>
      <c r="CZ2" t="s">
        <v>128</v>
      </c>
      <c r="DA2" t="s">
        <v>129</v>
      </c>
      <c r="DB2" t="s">
        <v>130</v>
      </c>
      <c r="DC2" t="s">
        <v>131</v>
      </c>
      <c r="DD2" t="s">
        <v>132</v>
      </c>
      <c r="DE2" t="s">
        <v>133</v>
      </c>
      <c r="DF2" t="s">
        <v>134</v>
      </c>
      <c r="DG2" t="s">
        <v>135</v>
      </c>
      <c r="DH2" t="s">
        <v>136</v>
      </c>
      <c r="DI2" t="s">
        <v>137</v>
      </c>
      <c r="DJ2" t="s">
        <v>138</v>
      </c>
      <c r="DK2" t="s">
        <v>139</v>
      </c>
      <c r="DL2" t="s">
        <v>140</v>
      </c>
      <c r="DM2" t="s">
        <v>141</v>
      </c>
      <c r="DN2" t="s">
        <v>142</v>
      </c>
      <c r="DO2" t="s">
        <v>143</v>
      </c>
      <c r="DP2" t="s">
        <v>144</v>
      </c>
      <c r="DQ2" t="s">
        <v>145</v>
      </c>
      <c r="DR2" t="s">
        <v>146</v>
      </c>
      <c r="DS2" t="s">
        <v>147</v>
      </c>
      <c r="DT2" t="s">
        <v>148</v>
      </c>
    </row>
    <row r="3" spans="1:124" ht="17.55" customHeight="1" x14ac:dyDescent="0.45">
      <c r="B3" t="s">
        <v>149</v>
      </c>
      <c r="C3" t="s">
        <v>12</v>
      </c>
      <c r="J3" t="s">
        <v>13</v>
      </c>
      <c r="K3" t="s">
        <v>13</v>
      </c>
      <c r="L3" t="s">
        <v>13</v>
      </c>
      <c r="M3" t="s">
        <v>150</v>
      </c>
      <c r="N3" t="s">
        <v>14</v>
      </c>
      <c r="O3" t="s">
        <v>14</v>
      </c>
      <c r="P3" t="s">
        <v>14</v>
      </c>
      <c r="Q3" t="s">
        <v>14</v>
      </c>
      <c r="R3" t="s">
        <v>151</v>
      </c>
      <c r="S3" t="s">
        <v>151</v>
      </c>
      <c r="T3" t="s">
        <v>151</v>
      </c>
      <c r="U3" t="s">
        <v>152</v>
      </c>
      <c r="V3" t="s">
        <v>153</v>
      </c>
      <c r="AF3" t="s">
        <v>15</v>
      </c>
      <c r="AH3" t="s">
        <v>154</v>
      </c>
      <c r="AI3" t="s">
        <v>154</v>
      </c>
      <c r="AJ3" t="s">
        <v>16</v>
      </c>
      <c r="AK3" t="s">
        <v>16</v>
      </c>
      <c r="AL3" t="s">
        <v>16</v>
      </c>
      <c r="AM3" t="s">
        <v>14</v>
      </c>
      <c r="AN3" t="s">
        <v>155</v>
      </c>
      <c r="AO3" t="s">
        <v>155</v>
      </c>
      <c r="AP3" t="s">
        <v>154</v>
      </c>
      <c r="AQ3" t="s">
        <v>15</v>
      </c>
      <c r="AR3" t="s">
        <v>156</v>
      </c>
      <c r="AS3" t="s">
        <v>157</v>
      </c>
      <c r="AT3" t="s">
        <v>157</v>
      </c>
      <c r="AU3" t="s">
        <v>157</v>
      </c>
      <c r="AV3" t="s">
        <v>157</v>
      </c>
      <c r="AW3" t="s">
        <v>154</v>
      </c>
      <c r="AX3" t="s">
        <v>157</v>
      </c>
      <c r="AY3" t="s">
        <v>157</v>
      </c>
      <c r="AZ3" t="s">
        <v>157</v>
      </c>
      <c r="BA3" t="s">
        <v>157</v>
      </c>
      <c r="BB3" t="s">
        <v>157</v>
      </c>
      <c r="BC3" t="s">
        <v>149</v>
      </c>
      <c r="BD3" t="s">
        <v>12</v>
      </c>
      <c r="BE3" t="s">
        <v>157</v>
      </c>
      <c r="BF3" t="s">
        <v>157</v>
      </c>
      <c r="BG3" t="s">
        <v>158</v>
      </c>
      <c r="BJ3" t="s">
        <v>149</v>
      </c>
      <c r="BK3" t="s">
        <v>12</v>
      </c>
      <c r="BL3" t="s">
        <v>154</v>
      </c>
      <c r="BU3" t="s">
        <v>155</v>
      </c>
      <c r="BV3" t="s">
        <v>159</v>
      </c>
      <c r="BW3" t="s">
        <v>160</v>
      </c>
      <c r="CG3" t="s">
        <v>15</v>
      </c>
      <c r="CH3" t="s">
        <v>161</v>
      </c>
      <c r="CI3" t="s">
        <v>162</v>
      </c>
      <c r="CJ3" t="s">
        <v>160</v>
      </c>
      <c r="CK3" t="s">
        <v>163</v>
      </c>
      <c r="CL3" t="s">
        <v>163</v>
      </c>
      <c r="CM3" t="s">
        <v>163</v>
      </c>
      <c r="CO3" t="s">
        <v>154</v>
      </c>
      <c r="CT3" t="s">
        <v>156</v>
      </c>
      <c r="CU3" t="s">
        <v>156</v>
      </c>
      <c r="CV3" t="s">
        <v>156</v>
      </c>
      <c r="CW3" t="s">
        <v>156</v>
      </c>
      <c r="CX3" t="s">
        <v>156</v>
      </c>
      <c r="CY3" t="s">
        <v>156</v>
      </c>
      <c r="CZ3" t="s">
        <v>156</v>
      </c>
      <c r="DA3" t="s">
        <v>156</v>
      </c>
      <c r="DB3" t="s">
        <v>156</v>
      </c>
      <c r="DC3" t="s">
        <v>164</v>
      </c>
    </row>
    <row r="4" spans="1:124" ht="17.55" customHeight="1" x14ac:dyDescent="0.45">
      <c r="A4" t="s">
        <v>165</v>
      </c>
      <c r="B4" t="s">
        <v>166</v>
      </c>
      <c r="C4" t="s">
        <v>17</v>
      </c>
      <c r="D4" t="s">
        <v>167</v>
      </c>
      <c r="E4" t="s">
        <v>168</v>
      </c>
      <c r="I4" t="s">
        <v>169</v>
      </c>
      <c r="J4">
        <f t="shared" ref="J4:J35" si="0">1/((1/L4)-(1/K4))</f>
        <v>0.5572542331557363</v>
      </c>
      <c r="K4">
        <f t="shared" ref="K4:K35" si="1">BY4+(BZ4*AN4)+(CA4*AN4*POWER(V4,2))+(CB4*AN4*V4)+(CC4*POWER(AN4,2))</f>
        <v>2.5258152799999998</v>
      </c>
      <c r="L4">
        <f t="shared" ref="L4:L35" si="2">((M4/1000)*(1000-((T4+S4)/2)))/(T4-S4)</f>
        <v>0.45653244305502055</v>
      </c>
      <c r="M4">
        <f t="shared" ref="M4:M35" si="3">(AN4*(S4-R4))/(100*U4*(1000-S4))*1000</f>
        <v>5.8975085199318666</v>
      </c>
      <c r="N4" t="s">
        <v>170</v>
      </c>
      <c r="O4" t="s">
        <v>171</v>
      </c>
      <c r="P4">
        <f t="shared" ref="P4:P35" si="4">0.61365*EXP((17.502*AL4)/(240.97+AL4))</f>
        <v>3.6942583008687162</v>
      </c>
      <c r="Q4">
        <f t="shared" ref="Q4:Q35" si="5">P4-N4</f>
        <v>1.2646003008687163</v>
      </c>
      <c r="R4" t="s">
        <v>172</v>
      </c>
      <c r="S4" t="s">
        <v>173</v>
      </c>
      <c r="T4">
        <f t="shared" ref="T4:T35" si="6">(P4/AM4)*1000</f>
        <v>36.594931162642062</v>
      </c>
      <c r="U4">
        <f t="shared" ref="U4:U35" si="7">V4*BX4</f>
        <v>0.4417875</v>
      </c>
      <c r="V4" t="s">
        <v>174</v>
      </c>
      <c r="W4" t="s">
        <v>175</v>
      </c>
      <c r="X4" t="s">
        <v>176</v>
      </c>
      <c r="Y4" t="s">
        <v>176</v>
      </c>
      <c r="Z4" t="s">
        <v>176</v>
      </c>
      <c r="AA4" t="s">
        <v>177</v>
      </c>
      <c r="AB4" t="s">
        <v>178</v>
      </c>
      <c r="AC4" t="s">
        <v>179</v>
      </c>
      <c r="AD4" t="s">
        <v>180</v>
      </c>
      <c r="AE4" t="s">
        <v>181</v>
      </c>
      <c r="AF4">
        <f t="shared" ref="AF4:AF35" si="8">AC4*AD4*AE4*AQ4</f>
        <v>320.66910371999995</v>
      </c>
      <c r="AG4" t="s">
        <v>182</v>
      </c>
      <c r="AH4" t="s">
        <v>183</v>
      </c>
      <c r="AI4" t="s">
        <v>184</v>
      </c>
      <c r="AJ4" t="s">
        <v>185</v>
      </c>
      <c r="AK4" t="s">
        <v>186</v>
      </c>
      <c r="AL4">
        <f t="shared" ref="AL4:AL35" si="9">(AK4-AJ4)*(AJ4*0+0)+AK4</f>
        <v>27.54</v>
      </c>
      <c r="AM4" t="s">
        <v>187</v>
      </c>
      <c r="AN4" t="s">
        <v>188</v>
      </c>
      <c r="AO4" t="s">
        <v>189</v>
      </c>
      <c r="AP4" t="s">
        <v>190</v>
      </c>
      <c r="AQ4" t="s">
        <v>191</v>
      </c>
      <c r="AR4" t="s">
        <v>192</v>
      </c>
      <c r="AS4" t="s">
        <v>193</v>
      </c>
      <c r="AT4" t="s">
        <v>194</v>
      </c>
      <c r="AU4" t="s">
        <v>195</v>
      </c>
      <c r="AV4" t="s">
        <v>196</v>
      </c>
      <c r="AW4" t="s">
        <v>197</v>
      </c>
      <c r="AX4" t="s">
        <v>198</v>
      </c>
      <c r="AY4" t="s">
        <v>199</v>
      </c>
      <c r="AZ4" t="s">
        <v>200</v>
      </c>
      <c r="BA4" t="s">
        <v>201</v>
      </c>
      <c r="BB4" t="s">
        <v>202</v>
      </c>
      <c r="BC4" t="s">
        <v>203</v>
      </c>
      <c r="BD4" t="s">
        <v>17</v>
      </c>
      <c r="BE4" t="s">
        <v>204</v>
      </c>
      <c r="BF4" t="s">
        <v>205</v>
      </c>
      <c r="BG4" t="s">
        <v>206</v>
      </c>
      <c r="BH4" t="s">
        <v>207</v>
      </c>
      <c r="BI4" t="s">
        <v>208</v>
      </c>
      <c r="BJ4" t="s">
        <v>209</v>
      </c>
      <c r="BK4" t="s">
        <v>17</v>
      </c>
      <c r="BL4" t="s">
        <v>210</v>
      </c>
      <c r="BM4" t="s">
        <v>165</v>
      </c>
      <c r="BN4" t="s">
        <v>211</v>
      </c>
      <c r="BO4" t="s">
        <v>212</v>
      </c>
      <c r="BP4" t="s">
        <v>213</v>
      </c>
      <c r="BQ4" t="s">
        <v>214</v>
      </c>
      <c r="BR4" t="s">
        <v>215</v>
      </c>
      <c r="BS4" t="s">
        <v>216</v>
      </c>
      <c r="BT4" t="s">
        <v>165</v>
      </c>
      <c r="BU4" t="s">
        <v>217</v>
      </c>
      <c r="BV4" t="s">
        <v>212</v>
      </c>
      <c r="BW4" t="s">
        <v>218</v>
      </c>
      <c r="BX4" t="s">
        <v>219</v>
      </c>
      <c r="BY4" t="s">
        <v>176</v>
      </c>
      <c r="BZ4" t="s">
        <v>220</v>
      </c>
      <c r="CA4" t="s">
        <v>176</v>
      </c>
      <c r="CB4" t="s">
        <v>176</v>
      </c>
      <c r="CC4" t="s">
        <v>221</v>
      </c>
      <c r="CD4" t="s">
        <v>222</v>
      </c>
      <c r="CE4" t="s">
        <v>223</v>
      </c>
      <c r="CF4" t="s">
        <v>224</v>
      </c>
      <c r="CG4" t="s">
        <v>225</v>
      </c>
      <c r="CH4" t="s">
        <v>226</v>
      </c>
      <c r="CI4" t="s">
        <v>182</v>
      </c>
      <c r="CJ4" t="s">
        <v>218</v>
      </c>
      <c r="CK4" t="s">
        <v>227</v>
      </c>
      <c r="CL4" t="s">
        <v>227</v>
      </c>
      <c r="CM4" t="s">
        <v>227</v>
      </c>
      <c r="CN4" t="s">
        <v>176</v>
      </c>
      <c r="CO4" t="s">
        <v>228</v>
      </c>
      <c r="CP4" t="s">
        <v>176</v>
      </c>
      <c r="CQ4" t="s">
        <v>176</v>
      </c>
      <c r="CR4" t="s">
        <v>176</v>
      </c>
      <c r="CS4" t="s">
        <v>176</v>
      </c>
      <c r="CT4" t="s">
        <v>229</v>
      </c>
      <c r="CU4" t="s">
        <v>230</v>
      </c>
      <c r="CV4" t="s">
        <v>231</v>
      </c>
      <c r="CW4" t="s">
        <v>232</v>
      </c>
      <c r="CX4" t="s">
        <v>233</v>
      </c>
      <c r="CY4" t="s">
        <v>234</v>
      </c>
      <c r="CZ4" t="s">
        <v>235</v>
      </c>
      <c r="DA4" t="s">
        <v>236</v>
      </c>
      <c r="DB4" t="s">
        <v>177</v>
      </c>
      <c r="DC4" t="s">
        <v>237</v>
      </c>
      <c r="DD4" t="s">
        <v>238</v>
      </c>
      <c r="DE4" t="s">
        <v>239</v>
      </c>
      <c r="DF4" t="s">
        <v>182</v>
      </c>
      <c r="DG4" t="s">
        <v>240</v>
      </c>
      <c r="DH4" t="s">
        <v>241</v>
      </c>
      <c r="DI4" t="s">
        <v>182</v>
      </c>
      <c r="DJ4" t="s">
        <v>242</v>
      </c>
      <c r="DK4" t="s">
        <v>243</v>
      </c>
      <c r="DL4" t="s">
        <v>244</v>
      </c>
      <c r="DM4" t="s">
        <v>176</v>
      </c>
      <c r="DN4" t="s">
        <v>175</v>
      </c>
      <c r="DO4" t="s">
        <v>245</v>
      </c>
      <c r="DP4" t="s">
        <v>246</v>
      </c>
      <c r="DQ4" t="s">
        <v>247</v>
      </c>
      <c r="DR4" t="s">
        <v>248</v>
      </c>
      <c r="DS4" t="s">
        <v>249</v>
      </c>
      <c r="DT4" t="s">
        <v>250</v>
      </c>
    </row>
    <row r="5" spans="1:124" ht="17.55" customHeight="1" x14ac:dyDescent="0.45">
      <c r="A5" t="s">
        <v>251</v>
      </c>
      <c r="B5" t="s">
        <v>252</v>
      </c>
      <c r="C5" t="s">
        <v>17</v>
      </c>
      <c r="D5" t="s">
        <v>167</v>
      </c>
      <c r="E5" t="s">
        <v>168</v>
      </c>
      <c r="I5" t="s">
        <v>253</v>
      </c>
      <c r="J5">
        <f t="shared" si="0"/>
        <v>0.68004331209636892</v>
      </c>
      <c r="K5">
        <f t="shared" si="1"/>
        <v>2.5539480000000001</v>
      </c>
      <c r="L5">
        <f t="shared" si="2"/>
        <v>0.53704388454774643</v>
      </c>
      <c r="M5">
        <f t="shared" si="3"/>
        <v>6.7870237729193867</v>
      </c>
      <c r="N5" t="s">
        <v>254</v>
      </c>
      <c r="O5" t="s">
        <v>255</v>
      </c>
      <c r="P5">
        <f t="shared" si="4"/>
        <v>3.744254303642891</v>
      </c>
      <c r="Q5">
        <f t="shared" si="5"/>
        <v>1.2361803036428909</v>
      </c>
      <c r="R5" t="s">
        <v>256</v>
      </c>
      <c r="S5" t="s">
        <v>257</v>
      </c>
      <c r="T5">
        <f t="shared" si="6"/>
        <v>37.090186266893419</v>
      </c>
      <c r="U5">
        <f t="shared" si="7"/>
        <v>0.4417875</v>
      </c>
      <c r="V5" t="s">
        <v>174</v>
      </c>
      <c r="W5" t="s">
        <v>258</v>
      </c>
      <c r="X5" t="s">
        <v>176</v>
      </c>
      <c r="Y5" t="s">
        <v>176</v>
      </c>
      <c r="Z5" t="s">
        <v>176</v>
      </c>
      <c r="AA5" t="s">
        <v>259</v>
      </c>
      <c r="AB5" t="s">
        <v>260</v>
      </c>
      <c r="AC5" t="s">
        <v>261</v>
      </c>
      <c r="AD5" t="s">
        <v>180</v>
      </c>
      <c r="AE5" t="s">
        <v>181</v>
      </c>
      <c r="AF5">
        <f t="shared" si="8"/>
        <v>368.21399580000002</v>
      </c>
      <c r="AG5" t="s">
        <v>182</v>
      </c>
      <c r="AH5" t="s">
        <v>262</v>
      </c>
      <c r="AI5" t="s">
        <v>263</v>
      </c>
      <c r="AJ5" t="s">
        <v>264</v>
      </c>
      <c r="AK5" t="s">
        <v>265</v>
      </c>
      <c r="AL5">
        <f t="shared" si="9"/>
        <v>27.77</v>
      </c>
      <c r="AM5" t="s">
        <v>187</v>
      </c>
      <c r="AN5" t="s">
        <v>266</v>
      </c>
      <c r="AO5" t="s">
        <v>267</v>
      </c>
      <c r="AP5" t="s">
        <v>268</v>
      </c>
      <c r="AQ5" t="s">
        <v>269</v>
      </c>
      <c r="AR5" t="s">
        <v>270</v>
      </c>
      <c r="AS5" t="s">
        <v>193</v>
      </c>
      <c r="AT5" t="s">
        <v>223</v>
      </c>
      <c r="AU5" t="s">
        <v>271</v>
      </c>
      <c r="AV5" t="s">
        <v>272</v>
      </c>
      <c r="AW5" t="s">
        <v>273</v>
      </c>
      <c r="AX5" t="s">
        <v>274</v>
      </c>
      <c r="AY5" t="s">
        <v>275</v>
      </c>
      <c r="AZ5" t="s">
        <v>200</v>
      </c>
      <c r="BA5" t="s">
        <v>276</v>
      </c>
      <c r="BB5" t="s">
        <v>277</v>
      </c>
      <c r="BC5" t="s">
        <v>278</v>
      </c>
      <c r="BD5" t="s">
        <v>17</v>
      </c>
      <c r="BE5" t="s">
        <v>279</v>
      </c>
      <c r="BF5" t="s">
        <v>280</v>
      </c>
      <c r="BG5" t="s">
        <v>281</v>
      </c>
      <c r="BH5" t="s">
        <v>207</v>
      </c>
      <c r="BI5" t="s">
        <v>282</v>
      </c>
      <c r="BJ5" t="s">
        <v>209</v>
      </c>
      <c r="BK5" t="s">
        <v>17</v>
      </c>
      <c r="BL5" t="s">
        <v>210</v>
      </c>
      <c r="BM5" t="s">
        <v>165</v>
      </c>
      <c r="BN5" t="s">
        <v>283</v>
      </c>
      <c r="BO5" t="s">
        <v>284</v>
      </c>
      <c r="BP5" t="s">
        <v>285</v>
      </c>
      <c r="BQ5" t="s">
        <v>286</v>
      </c>
      <c r="BR5" t="s">
        <v>287</v>
      </c>
      <c r="BS5" t="s">
        <v>288</v>
      </c>
      <c r="BT5" t="s">
        <v>165</v>
      </c>
      <c r="BU5" t="s">
        <v>217</v>
      </c>
      <c r="BV5" t="s">
        <v>212</v>
      </c>
      <c r="BW5" t="s">
        <v>218</v>
      </c>
      <c r="BX5" t="s">
        <v>219</v>
      </c>
      <c r="BY5" t="s">
        <v>176</v>
      </c>
      <c r="BZ5" t="s">
        <v>220</v>
      </c>
      <c r="CA5" t="s">
        <v>176</v>
      </c>
      <c r="CB5" t="s">
        <v>176</v>
      </c>
      <c r="CC5" t="s">
        <v>221</v>
      </c>
      <c r="CD5" t="s">
        <v>222</v>
      </c>
      <c r="CE5" t="s">
        <v>223</v>
      </c>
      <c r="CF5" t="s">
        <v>224</v>
      </c>
      <c r="CG5" t="s">
        <v>225</v>
      </c>
      <c r="CH5" t="s">
        <v>226</v>
      </c>
      <c r="CI5" t="s">
        <v>182</v>
      </c>
      <c r="CJ5" t="s">
        <v>218</v>
      </c>
      <c r="CK5" t="s">
        <v>227</v>
      </c>
      <c r="CL5" t="s">
        <v>227</v>
      </c>
      <c r="CM5" t="s">
        <v>227</v>
      </c>
      <c r="CN5" t="s">
        <v>176</v>
      </c>
      <c r="CO5" t="s">
        <v>228</v>
      </c>
      <c r="CP5" t="s">
        <v>176</v>
      </c>
      <c r="CQ5" t="s">
        <v>176</v>
      </c>
      <c r="CR5" t="s">
        <v>176</v>
      </c>
      <c r="CS5" t="s">
        <v>176</v>
      </c>
      <c r="CT5" t="s">
        <v>289</v>
      </c>
      <c r="CU5" t="s">
        <v>290</v>
      </c>
      <c r="CV5" t="s">
        <v>291</v>
      </c>
      <c r="CW5" t="s">
        <v>292</v>
      </c>
      <c r="CX5" t="s">
        <v>293</v>
      </c>
      <c r="CY5" t="s">
        <v>294</v>
      </c>
      <c r="CZ5" t="s">
        <v>295</v>
      </c>
      <c r="DA5" t="s">
        <v>296</v>
      </c>
      <c r="DB5" t="s">
        <v>259</v>
      </c>
      <c r="DC5" t="s">
        <v>297</v>
      </c>
      <c r="DD5" t="s">
        <v>238</v>
      </c>
      <c r="DE5" t="s">
        <v>239</v>
      </c>
      <c r="DF5" t="s">
        <v>182</v>
      </c>
      <c r="DG5" t="s">
        <v>240</v>
      </c>
      <c r="DH5" t="s">
        <v>241</v>
      </c>
      <c r="DI5" t="s">
        <v>182</v>
      </c>
      <c r="DJ5" t="s">
        <v>242</v>
      </c>
      <c r="DK5" t="s">
        <v>243</v>
      </c>
      <c r="DL5" t="s">
        <v>244</v>
      </c>
      <c r="DM5" t="s">
        <v>176</v>
      </c>
      <c r="DN5" t="s">
        <v>258</v>
      </c>
      <c r="DO5" t="s">
        <v>245</v>
      </c>
      <c r="DP5" t="s">
        <v>246</v>
      </c>
      <c r="DQ5" t="s">
        <v>247</v>
      </c>
      <c r="DR5" t="s">
        <v>248</v>
      </c>
      <c r="DS5" t="s">
        <v>249</v>
      </c>
      <c r="DT5" t="s">
        <v>250</v>
      </c>
    </row>
    <row r="6" spans="1:124" ht="17.55" customHeight="1" x14ac:dyDescent="0.45">
      <c r="A6" t="s">
        <v>298</v>
      </c>
      <c r="B6" t="s">
        <v>299</v>
      </c>
      <c r="C6" t="s">
        <v>17</v>
      </c>
      <c r="D6" t="s">
        <v>167</v>
      </c>
      <c r="E6" t="s">
        <v>168</v>
      </c>
      <c r="I6" t="s">
        <v>300</v>
      </c>
      <c r="J6">
        <f t="shared" si="0"/>
        <v>0.25448339143683835</v>
      </c>
      <c r="K6">
        <f t="shared" si="1"/>
        <v>2.5801879199999993</v>
      </c>
      <c r="L6">
        <f t="shared" si="2"/>
        <v>0.23163707544390275</v>
      </c>
      <c r="M6">
        <f t="shared" si="3"/>
        <v>3.9536381461603352</v>
      </c>
      <c r="N6" t="s">
        <v>301</v>
      </c>
      <c r="O6" t="s">
        <v>302</v>
      </c>
      <c r="P6">
        <f t="shared" si="4"/>
        <v>4.0124732857523195</v>
      </c>
      <c r="Q6">
        <f t="shared" si="5"/>
        <v>1.6687372857523197</v>
      </c>
      <c r="R6" t="s">
        <v>303</v>
      </c>
      <c r="S6" t="s">
        <v>304</v>
      </c>
      <c r="T6">
        <f t="shared" si="6"/>
        <v>39.747135074317178</v>
      </c>
      <c r="U6">
        <f t="shared" si="7"/>
        <v>0.4417875</v>
      </c>
      <c r="V6" t="s">
        <v>174</v>
      </c>
      <c r="W6" t="s">
        <v>305</v>
      </c>
      <c r="X6" t="s">
        <v>176</v>
      </c>
      <c r="Y6" t="s">
        <v>176</v>
      </c>
      <c r="Z6" t="s">
        <v>176</v>
      </c>
      <c r="AA6" t="s">
        <v>306</v>
      </c>
      <c r="AB6" t="s">
        <v>307</v>
      </c>
      <c r="AC6" t="s">
        <v>308</v>
      </c>
      <c r="AD6" t="s">
        <v>180</v>
      </c>
      <c r="AE6" t="s">
        <v>181</v>
      </c>
      <c r="AF6">
        <f t="shared" si="8"/>
        <v>382.16053218000002</v>
      </c>
      <c r="AG6" t="s">
        <v>182</v>
      </c>
      <c r="AH6" t="s">
        <v>309</v>
      </c>
      <c r="AI6" t="s">
        <v>310</v>
      </c>
      <c r="AJ6" t="s">
        <v>311</v>
      </c>
      <c r="AK6" t="s">
        <v>312</v>
      </c>
      <c r="AL6">
        <f t="shared" si="9"/>
        <v>28.96</v>
      </c>
      <c r="AM6" t="s">
        <v>187</v>
      </c>
      <c r="AN6" t="s">
        <v>313</v>
      </c>
      <c r="AO6" t="s">
        <v>314</v>
      </c>
      <c r="AP6" t="s">
        <v>315</v>
      </c>
      <c r="AQ6" t="s">
        <v>316</v>
      </c>
      <c r="AR6" t="s">
        <v>270</v>
      </c>
      <c r="AS6" t="s">
        <v>317</v>
      </c>
      <c r="AT6" t="s">
        <v>318</v>
      </c>
      <c r="AU6" t="s">
        <v>319</v>
      </c>
      <c r="AV6" t="s">
        <v>320</v>
      </c>
      <c r="AW6" t="s">
        <v>321</v>
      </c>
      <c r="AX6" t="s">
        <v>322</v>
      </c>
      <c r="AY6" t="s">
        <v>323</v>
      </c>
      <c r="AZ6" t="s">
        <v>200</v>
      </c>
      <c r="BA6" t="s">
        <v>276</v>
      </c>
      <c r="BB6" t="s">
        <v>277</v>
      </c>
      <c r="BC6" t="s">
        <v>324</v>
      </c>
      <c r="BD6" t="s">
        <v>17</v>
      </c>
      <c r="BE6" t="s">
        <v>325</v>
      </c>
      <c r="BF6" t="s">
        <v>326</v>
      </c>
      <c r="BG6" t="s">
        <v>327</v>
      </c>
      <c r="BH6" t="s">
        <v>328</v>
      </c>
      <c r="BI6" t="s">
        <v>329</v>
      </c>
      <c r="BJ6" t="s">
        <v>209</v>
      </c>
      <c r="BK6" t="s">
        <v>17</v>
      </c>
      <c r="BL6" t="s">
        <v>210</v>
      </c>
      <c r="BM6" t="s">
        <v>165</v>
      </c>
      <c r="BN6" t="s">
        <v>330</v>
      </c>
      <c r="BO6" t="s">
        <v>211</v>
      </c>
      <c r="BP6" t="s">
        <v>331</v>
      </c>
      <c r="BQ6" t="s">
        <v>332</v>
      </c>
      <c r="BR6" t="s">
        <v>333</v>
      </c>
      <c r="BS6" t="s">
        <v>334</v>
      </c>
      <c r="BT6" t="s">
        <v>165</v>
      </c>
      <c r="BU6" t="s">
        <v>217</v>
      </c>
      <c r="BV6" t="s">
        <v>212</v>
      </c>
      <c r="BW6" t="s">
        <v>218</v>
      </c>
      <c r="BX6" t="s">
        <v>219</v>
      </c>
      <c r="BY6" t="s">
        <v>176</v>
      </c>
      <c r="BZ6" t="s">
        <v>220</v>
      </c>
      <c r="CA6" t="s">
        <v>176</v>
      </c>
      <c r="CB6" t="s">
        <v>176</v>
      </c>
      <c r="CC6" t="s">
        <v>221</v>
      </c>
      <c r="CD6" t="s">
        <v>222</v>
      </c>
      <c r="CE6" t="s">
        <v>223</v>
      </c>
      <c r="CF6" t="s">
        <v>224</v>
      </c>
      <c r="CG6" t="s">
        <v>225</v>
      </c>
      <c r="CH6" t="s">
        <v>226</v>
      </c>
      <c r="CI6" t="s">
        <v>182</v>
      </c>
      <c r="CJ6" t="s">
        <v>218</v>
      </c>
      <c r="CK6" t="s">
        <v>227</v>
      </c>
      <c r="CL6" t="s">
        <v>227</v>
      </c>
      <c r="CM6" t="s">
        <v>227</v>
      </c>
      <c r="CN6" t="s">
        <v>176</v>
      </c>
      <c r="CO6" t="s">
        <v>228</v>
      </c>
      <c r="CP6" t="s">
        <v>176</v>
      </c>
      <c r="CQ6" t="s">
        <v>176</v>
      </c>
      <c r="CR6" t="s">
        <v>176</v>
      </c>
      <c r="CS6" t="s">
        <v>176</v>
      </c>
      <c r="CT6" t="s">
        <v>335</v>
      </c>
      <c r="CU6" t="s">
        <v>336</v>
      </c>
      <c r="CV6" t="s">
        <v>337</v>
      </c>
      <c r="CW6" t="s">
        <v>338</v>
      </c>
      <c r="CX6" t="s">
        <v>339</v>
      </c>
      <c r="CY6" t="s">
        <v>340</v>
      </c>
      <c r="CZ6" t="s">
        <v>341</v>
      </c>
      <c r="DA6" t="s">
        <v>342</v>
      </c>
      <c r="DB6" t="s">
        <v>306</v>
      </c>
      <c r="DC6" t="s">
        <v>343</v>
      </c>
      <c r="DD6" t="s">
        <v>238</v>
      </c>
      <c r="DE6" t="s">
        <v>239</v>
      </c>
      <c r="DF6" t="s">
        <v>182</v>
      </c>
      <c r="DG6" t="s">
        <v>240</v>
      </c>
      <c r="DH6" t="s">
        <v>241</v>
      </c>
      <c r="DI6" t="s">
        <v>182</v>
      </c>
      <c r="DJ6" t="s">
        <v>242</v>
      </c>
      <c r="DK6" t="s">
        <v>243</v>
      </c>
      <c r="DL6" t="s">
        <v>244</v>
      </c>
      <c r="DM6" t="s">
        <v>176</v>
      </c>
      <c r="DN6" t="s">
        <v>305</v>
      </c>
      <c r="DO6" t="s">
        <v>245</v>
      </c>
      <c r="DP6" t="s">
        <v>246</v>
      </c>
      <c r="DQ6" t="s">
        <v>247</v>
      </c>
      <c r="DR6" t="s">
        <v>248</v>
      </c>
      <c r="DS6" t="s">
        <v>249</v>
      </c>
      <c r="DT6" t="s">
        <v>250</v>
      </c>
    </row>
    <row r="7" spans="1:124" ht="17.55" customHeight="1" x14ac:dyDescent="0.45">
      <c r="A7" t="s">
        <v>344</v>
      </c>
      <c r="B7" t="s">
        <v>345</v>
      </c>
      <c r="C7" t="s">
        <v>17</v>
      </c>
      <c r="D7" t="s">
        <v>167</v>
      </c>
      <c r="E7" t="s">
        <v>168</v>
      </c>
      <c r="I7" t="s">
        <v>346</v>
      </c>
      <c r="J7">
        <f t="shared" si="0"/>
        <v>6.3116110575941825E-2</v>
      </c>
      <c r="K7">
        <f t="shared" si="1"/>
        <v>2.6225883200000002</v>
      </c>
      <c r="L7">
        <f t="shared" si="2"/>
        <v>6.1632833649083493E-2</v>
      </c>
      <c r="M7">
        <f t="shared" si="3"/>
        <v>1.3005999597176272</v>
      </c>
      <c r="N7" t="s">
        <v>347</v>
      </c>
      <c r="O7" t="s">
        <v>348</v>
      </c>
      <c r="P7">
        <f t="shared" si="4"/>
        <v>4.3743239403233787</v>
      </c>
      <c r="Q7">
        <f t="shared" si="5"/>
        <v>2.0594389403233788</v>
      </c>
      <c r="R7" t="s">
        <v>349</v>
      </c>
      <c r="S7" t="s">
        <v>350</v>
      </c>
      <c r="T7">
        <f t="shared" si="6"/>
        <v>43.335882111386752</v>
      </c>
      <c r="U7">
        <f t="shared" si="7"/>
        <v>0.4417875</v>
      </c>
      <c r="V7" t="s">
        <v>174</v>
      </c>
      <c r="W7" t="s">
        <v>351</v>
      </c>
      <c r="X7" t="s">
        <v>176</v>
      </c>
      <c r="Y7" t="s">
        <v>176</v>
      </c>
      <c r="Z7" t="s">
        <v>176</v>
      </c>
      <c r="AA7" t="s">
        <v>352</v>
      </c>
      <c r="AB7" t="s">
        <v>353</v>
      </c>
      <c r="AC7" t="s">
        <v>354</v>
      </c>
      <c r="AD7" t="s">
        <v>180</v>
      </c>
      <c r="AE7" t="s">
        <v>181</v>
      </c>
      <c r="AF7">
        <f t="shared" si="8"/>
        <v>172.40319936</v>
      </c>
      <c r="AG7" t="s">
        <v>182</v>
      </c>
      <c r="AH7" t="s">
        <v>355</v>
      </c>
      <c r="AI7" t="s">
        <v>356</v>
      </c>
      <c r="AJ7" t="s">
        <v>357</v>
      </c>
      <c r="AK7" t="s">
        <v>358</v>
      </c>
      <c r="AL7">
        <f t="shared" si="9"/>
        <v>30.46</v>
      </c>
      <c r="AM7" t="s">
        <v>359</v>
      </c>
      <c r="AN7" t="s">
        <v>360</v>
      </c>
      <c r="AO7" t="s">
        <v>361</v>
      </c>
      <c r="AP7" t="s">
        <v>362</v>
      </c>
      <c r="AQ7" t="s">
        <v>363</v>
      </c>
      <c r="AR7" t="s">
        <v>270</v>
      </c>
      <c r="AS7" t="s">
        <v>364</v>
      </c>
      <c r="AT7" t="s">
        <v>365</v>
      </c>
      <c r="AU7" t="s">
        <v>366</v>
      </c>
      <c r="AV7" t="s">
        <v>367</v>
      </c>
      <c r="AW7" t="s">
        <v>368</v>
      </c>
      <c r="AX7" t="s">
        <v>369</v>
      </c>
      <c r="AY7" t="s">
        <v>370</v>
      </c>
      <c r="AZ7" t="s">
        <v>200</v>
      </c>
      <c r="BA7" t="s">
        <v>371</v>
      </c>
      <c r="BB7" t="s">
        <v>372</v>
      </c>
      <c r="BC7" t="s">
        <v>373</v>
      </c>
      <c r="BD7" t="s">
        <v>17</v>
      </c>
      <c r="BE7" t="s">
        <v>374</v>
      </c>
      <c r="BF7" t="s">
        <v>375</v>
      </c>
      <c r="BG7" t="s">
        <v>376</v>
      </c>
      <c r="BH7" t="s">
        <v>328</v>
      </c>
      <c r="BI7" t="s">
        <v>329</v>
      </c>
      <c r="BJ7" t="s">
        <v>209</v>
      </c>
      <c r="BK7" t="s">
        <v>17</v>
      </c>
      <c r="BL7" t="s">
        <v>210</v>
      </c>
      <c r="BM7" t="s">
        <v>165</v>
      </c>
      <c r="BN7" t="s">
        <v>211</v>
      </c>
      <c r="BO7" t="s">
        <v>211</v>
      </c>
      <c r="BP7" t="s">
        <v>213</v>
      </c>
      <c r="BQ7" t="s">
        <v>377</v>
      </c>
      <c r="BR7" t="s">
        <v>378</v>
      </c>
      <c r="BS7" t="s">
        <v>379</v>
      </c>
      <c r="BT7" t="s">
        <v>165</v>
      </c>
      <c r="BU7" t="s">
        <v>217</v>
      </c>
      <c r="BV7" t="s">
        <v>212</v>
      </c>
      <c r="BW7" t="s">
        <v>218</v>
      </c>
      <c r="BX7" t="s">
        <v>219</v>
      </c>
      <c r="BY7" t="s">
        <v>176</v>
      </c>
      <c r="BZ7" t="s">
        <v>220</v>
      </c>
      <c r="CA7" t="s">
        <v>176</v>
      </c>
      <c r="CB7" t="s">
        <v>176</v>
      </c>
      <c r="CC7" t="s">
        <v>221</v>
      </c>
      <c r="CD7" t="s">
        <v>222</v>
      </c>
      <c r="CE7" t="s">
        <v>223</v>
      </c>
      <c r="CF7" t="s">
        <v>224</v>
      </c>
      <c r="CG7" t="s">
        <v>225</v>
      </c>
      <c r="CH7" t="s">
        <v>226</v>
      </c>
      <c r="CI7" t="s">
        <v>182</v>
      </c>
      <c r="CJ7" t="s">
        <v>218</v>
      </c>
      <c r="CK7" t="s">
        <v>227</v>
      </c>
      <c r="CL7" t="s">
        <v>227</v>
      </c>
      <c r="CM7" t="s">
        <v>227</v>
      </c>
      <c r="CN7" t="s">
        <v>176</v>
      </c>
      <c r="CO7" t="s">
        <v>228</v>
      </c>
      <c r="CP7" t="s">
        <v>176</v>
      </c>
      <c r="CQ7" t="s">
        <v>176</v>
      </c>
      <c r="CR7" t="s">
        <v>176</v>
      </c>
      <c r="CS7" t="s">
        <v>176</v>
      </c>
      <c r="CT7" t="s">
        <v>380</v>
      </c>
      <c r="CU7" t="s">
        <v>381</v>
      </c>
      <c r="CV7" t="s">
        <v>382</v>
      </c>
      <c r="CW7" t="s">
        <v>383</v>
      </c>
      <c r="CX7" t="s">
        <v>384</v>
      </c>
      <c r="CY7" t="s">
        <v>385</v>
      </c>
      <c r="CZ7" t="s">
        <v>386</v>
      </c>
      <c r="DA7" t="s">
        <v>387</v>
      </c>
      <c r="DB7" t="s">
        <v>352</v>
      </c>
      <c r="DC7" t="s">
        <v>388</v>
      </c>
      <c r="DD7" t="s">
        <v>238</v>
      </c>
      <c r="DE7" t="s">
        <v>239</v>
      </c>
      <c r="DF7" t="s">
        <v>182</v>
      </c>
      <c r="DG7" t="s">
        <v>240</v>
      </c>
      <c r="DH7" t="s">
        <v>241</v>
      </c>
      <c r="DI7" t="s">
        <v>182</v>
      </c>
      <c r="DJ7" t="s">
        <v>242</v>
      </c>
      <c r="DK7" t="s">
        <v>243</v>
      </c>
      <c r="DL7" t="s">
        <v>244</v>
      </c>
      <c r="DM7" t="s">
        <v>176</v>
      </c>
      <c r="DN7" t="s">
        <v>351</v>
      </c>
      <c r="DO7" t="s">
        <v>245</v>
      </c>
      <c r="DP7" t="s">
        <v>246</v>
      </c>
      <c r="DQ7" t="s">
        <v>247</v>
      </c>
      <c r="DR7" t="s">
        <v>248</v>
      </c>
      <c r="DS7" t="s">
        <v>249</v>
      </c>
      <c r="DT7" t="s">
        <v>250</v>
      </c>
    </row>
    <row r="8" spans="1:124" ht="17.55" customHeight="1" x14ac:dyDescent="0.45">
      <c r="A8" t="s">
        <v>318</v>
      </c>
      <c r="B8" t="s">
        <v>389</v>
      </c>
      <c r="C8" t="s">
        <v>17</v>
      </c>
      <c r="D8" t="s">
        <v>167</v>
      </c>
      <c r="E8" t="s">
        <v>168</v>
      </c>
      <c r="I8" t="s">
        <v>390</v>
      </c>
      <c r="J8">
        <f t="shared" si="0"/>
        <v>0.12341362401130425</v>
      </c>
      <c r="K8">
        <f t="shared" si="1"/>
        <v>2.6082387200000001</v>
      </c>
      <c r="L8">
        <f t="shared" si="2"/>
        <v>0.11783790621361492</v>
      </c>
      <c r="M8">
        <f t="shared" si="3"/>
        <v>2.222925134802348</v>
      </c>
      <c r="N8" t="s">
        <v>391</v>
      </c>
      <c r="O8" t="s">
        <v>392</v>
      </c>
      <c r="P8">
        <f t="shared" si="4"/>
        <v>4.1755455535599353</v>
      </c>
      <c r="Q8">
        <f t="shared" si="5"/>
        <v>1.8428005535599352</v>
      </c>
      <c r="R8" t="s">
        <v>393</v>
      </c>
      <c r="S8" t="s">
        <v>394</v>
      </c>
      <c r="T8">
        <f t="shared" si="6"/>
        <v>41.366609407171943</v>
      </c>
      <c r="U8">
        <f t="shared" si="7"/>
        <v>0.4417875</v>
      </c>
      <c r="V8" t="s">
        <v>174</v>
      </c>
      <c r="W8" t="s">
        <v>395</v>
      </c>
      <c r="X8" t="s">
        <v>176</v>
      </c>
      <c r="Y8" t="s">
        <v>176</v>
      </c>
      <c r="Z8" t="s">
        <v>176</v>
      </c>
      <c r="AA8" t="s">
        <v>396</v>
      </c>
      <c r="AB8" t="s">
        <v>397</v>
      </c>
      <c r="AC8" t="s">
        <v>398</v>
      </c>
      <c r="AD8" t="s">
        <v>180</v>
      </c>
      <c r="AE8" t="s">
        <v>181</v>
      </c>
      <c r="AF8">
        <f t="shared" si="8"/>
        <v>321.58921703999999</v>
      </c>
      <c r="AG8" t="s">
        <v>182</v>
      </c>
      <c r="AH8" t="s">
        <v>399</v>
      </c>
      <c r="AI8" t="s">
        <v>400</v>
      </c>
      <c r="AJ8" t="s">
        <v>401</v>
      </c>
      <c r="AK8" t="s">
        <v>402</v>
      </c>
      <c r="AL8">
        <f t="shared" si="9"/>
        <v>29.65</v>
      </c>
      <c r="AM8" t="s">
        <v>359</v>
      </c>
      <c r="AN8" t="s">
        <v>403</v>
      </c>
      <c r="AO8" t="s">
        <v>404</v>
      </c>
      <c r="AP8" t="s">
        <v>405</v>
      </c>
      <c r="AQ8" t="s">
        <v>406</v>
      </c>
      <c r="AR8" t="s">
        <v>407</v>
      </c>
      <c r="AS8" t="s">
        <v>408</v>
      </c>
      <c r="AT8" t="s">
        <v>409</v>
      </c>
      <c r="AU8" t="s">
        <v>410</v>
      </c>
      <c r="AV8" t="s">
        <v>411</v>
      </c>
      <c r="AW8" t="s">
        <v>412</v>
      </c>
      <c r="AX8" t="s">
        <v>413</v>
      </c>
      <c r="AY8" t="s">
        <v>414</v>
      </c>
      <c r="AZ8" t="s">
        <v>200</v>
      </c>
      <c r="BA8" t="s">
        <v>371</v>
      </c>
      <c r="BB8" t="s">
        <v>372</v>
      </c>
      <c r="BC8" t="s">
        <v>415</v>
      </c>
      <c r="BD8" t="s">
        <v>17</v>
      </c>
      <c r="BE8" t="s">
        <v>416</v>
      </c>
      <c r="BF8" t="s">
        <v>375</v>
      </c>
      <c r="BG8" t="s">
        <v>417</v>
      </c>
      <c r="BH8" t="s">
        <v>328</v>
      </c>
      <c r="BI8" t="s">
        <v>329</v>
      </c>
      <c r="BJ8" t="s">
        <v>209</v>
      </c>
      <c r="BK8" t="s">
        <v>17</v>
      </c>
      <c r="BL8" t="s">
        <v>210</v>
      </c>
      <c r="BM8" t="s">
        <v>165</v>
      </c>
      <c r="BN8" t="s">
        <v>283</v>
      </c>
      <c r="BO8" t="s">
        <v>330</v>
      </c>
      <c r="BP8" t="s">
        <v>283</v>
      </c>
      <c r="BQ8" t="s">
        <v>418</v>
      </c>
      <c r="BR8" t="s">
        <v>419</v>
      </c>
      <c r="BS8" t="s">
        <v>420</v>
      </c>
      <c r="BT8" t="s">
        <v>165</v>
      </c>
      <c r="BU8" t="s">
        <v>217</v>
      </c>
      <c r="BV8" t="s">
        <v>212</v>
      </c>
      <c r="BW8" t="s">
        <v>218</v>
      </c>
      <c r="BX8" t="s">
        <v>219</v>
      </c>
      <c r="BY8" t="s">
        <v>176</v>
      </c>
      <c r="BZ8" t="s">
        <v>220</v>
      </c>
      <c r="CA8" t="s">
        <v>176</v>
      </c>
      <c r="CB8" t="s">
        <v>176</v>
      </c>
      <c r="CC8" t="s">
        <v>221</v>
      </c>
      <c r="CD8" t="s">
        <v>222</v>
      </c>
      <c r="CE8" t="s">
        <v>223</v>
      </c>
      <c r="CF8" t="s">
        <v>224</v>
      </c>
      <c r="CG8" t="s">
        <v>225</v>
      </c>
      <c r="CH8" t="s">
        <v>226</v>
      </c>
      <c r="CI8" t="s">
        <v>182</v>
      </c>
      <c r="CJ8" t="s">
        <v>218</v>
      </c>
      <c r="CK8" t="s">
        <v>227</v>
      </c>
      <c r="CL8" t="s">
        <v>227</v>
      </c>
      <c r="CM8" t="s">
        <v>227</v>
      </c>
      <c r="CN8" t="s">
        <v>176</v>
      </c>
      <c r="CO8" t="s">
        <v>228</v>
      </c>
      <c r="CP8" t="s">
        <v>176</v>
      </c>
      <c r="CQ8" t="s">
        <v>176</v>
      </c>
      <c r="CR8" t="s">
        <v>176</v>
      </c>
      <c r="CS8" t="s">
        <v>176</v>
      </c>
      <c r="CT8" t="s">
        <v>421</v>
      </c>
      <c r="CU8" t="s">
        <v>422</v>
      </c>
      <c r="CV8" t="s">
        <v>423</v>
      </c>
      <c r="CW8" t="s">
        <v>424</v>
      </c>
      <c r="CX8" t="s">
        <v>425</v>
      </c>
      <c r="CY8" t="s">
        <v>426</v>
      </c>
      <c r="CZ8" t="s">
        <v>427</v>
      </c>
      <c r="DA8" t="s">
        <v>428</v>
      </c>
      <c r="DB8" t="s">
        <v>396</v>
      </c>
      <c r="DC8" t="s">
        <v>297</v>
      </c>
      <c r="DD8" t="s">
        <v>238</v>
      </c>
      <c r="DE8" t="s">
        <v>239</v>
      </c>
      <c r="DF8" t="s">
        <v>182</v>
      </c>
      <c r="DG8" t="s">
        <v>240</v>
      </c>
      <c r="DH8" t="s">
        <v>241</v>
      </c>
      <c r="DI8" t="s">
        <v>182</v>
      </c>
      <c r="DJ8" t="s">
        <v>242</v>
      </c>
      <c r="DK8" t="s">
        <v>243</v>
      </c>
      <c r="DL8" t="s">
        <v>244</v>
      </c>
      <c r="DM8" t="s">
        <v>176</v>
      </c>
      <c r="DN8" t="s">
        <v>395</v>
      </c>
      <c r="DO8" t="s">
        <v>245</v>
      </c>
      <c r="DP8" t="s">
        <v>246</v>
      </c>
      <c r="DQ8" t="s">
        <v>247</v>
      </c>
      <c r="DR8" t="s">
        <v>248</v>
      </c>
      <c r="DS8" t="s">
        <v>249</v>
      </c>
      <c r="DT8" t="s">
        <v>250</v>
      </c>
    </row>
    <row r="9" spans="1:124" ht="17.55" customHeight="1" x14ac:dyDescent="0.45">
      <c r="A9" t="s">
        <v>365</v>
      </c>
      <c r="B9" t="s">
        <v>429</v>
      </c>
      <c r="C9" t="s">
        <v>17</v>
      </c>
      <c r="D9" t="s">
        <v>167</v>
      </c>
      <c r="E9" t="s">
        <v>168</v>
      </c>
      <c r="I9" t="s">
        <v>430</v>
      </c>
      <c r="J9">
        <f t="shared" si="0"/>
        <v>0.38408589250157699</v>
      </c>
      <c r="K9">
        <f t="shared" si="1"/>
        <v>2.585118</v>
      </c>
      <c r="L9">
        <f t="shared" si="2"/>
        <v>0.33440187679915767</v>
      </c>
      <c r="M9">
        <f t="shared" si="3"/>
        <v>5.2059361011523357</v>
      </c>
      <c r="N9" t="s">
        <v>431</v>
      </c>
      <c r="O9" t="s">
        <v>432</v>
      </c>
      <c r="P9">
        <f t="shared" si="4"/>
        <v>3.966256562251719</v>
      </c>
      <c r="Q9">
        <f t="shared" si="5"/>
        <v>1.5217025622517188</v>
      </c>
      <c r="R9" t="s">
        <v>433</v>
      </c>
      <c r="S9" t="s">
        <v>434</v>
      </c>
      <c r="T9">
        <f t="shared" si="6"/>
        <v>39.289317109972451</v>
      </c>
      <c r="U9">
        <f t="shared" si="7"/>
        <v>0.4417875</v>
      </c>
      <c r="V9" t="s">
        <v>174</v>
      </c>
      <c r="W9" t="s">
        <v>435</v>
      </c>
      <c r="X9" t="s">
        <v>176</v>
      </c>
      <c r="Y9" t="s">
        <v>176</v>
      </c>
      <c r="Z9" t="s">
        <v>176</v>
      </c>
      <c r="AA9" t="s">
        <v>436</v>
      </c>
      <c r="AB9" t="s">
        <v>437</v>
      </c>
      <c r="AC9" t="s">
        <v>438</v>
      </c>
      <c r="AD9" t="s">
        <v>180</v>
      </c>
      <c r="AE9" t="s">
        <v>181</v>
      </c>
      <c r="AF9">
        <f t="shared" si="8"/>
        <v>346.97534256</v>
      </c>
      <c r="AG9" t="s">
        <v>182</v>
      </c>
      <c r="AH9" t="s">
        <v>439</v>
      </c>
      <c r="AI9" t="s">
        <v>440</v>
      </c>
      <c r="AJ9" t="s">
        <v>441</v>
      </c>
      <c r="AK9" t="s">
        <v>442</v>
      </c>
      <c r="AL9">
        <f t="shared" si="9"/>
        <v>28.76</v>
      </c>
      <c r="AM9" t="s">
        <v>187</v>
      </c>
      <c r="AN9" t="s">
        <v>443</v>
      </c>
      <c r="AO9" t="s">
        <v>444</v>
      </c>
      <c r="AP9" t="s">
        <v>445</v>
      </c>
      <c r="AQ9" t="s">
        <v>446</v>
      </c>
      <c r="AR9" t="s">
        <v>447</v>
      </c>
      <c r="AS9" t="s">
        <v>408</v>
      </c>
      <c r="AT9" t="s">
        <v>318</v>
      </c>
      <c r="AU9" t="s">
        <v>271</v>
      </c>
      <c r="AV9" t="s">
        <v>448</v>
      </c>
      <c r="AW9" t="s">
        <v>449</v>
      </c>
      <c r="AX9" t="s">
        <v>450</v>
      </c>
      <c r="AY9" t="s">
        <v>451</v>
      </c>
      <c r="AZ9" t="s">
        <v>200</v>
      </c>
      <c r="BA9" t="s">
        <v>452</v>
      </c>
      <c r="BB9" t="s">
        <v>453</v>
      </c>
      <c r="BC9" t="s">
        <v>454</v>
      </c>
      <c r="BD9" t="s">
        <v>17</v>
      </c>
      <c r="BE9" t="s">
        <v>455</v>
      </c>
      <c r="BF9" t="s">
        <v>456</v>
      </c>
      <c r="BG9" t="s">
        <v>457</v>
      </c>
      <c r="BH9" t="s">
        <v>328</v>
      </c>
      <c r="BI9" t="s">
        <v>329</v>
      </c>
      <c r="BJ9" t="s">
        <v>209</v>
      </c>
      <c r="BK9" t="s">
        <v>17</v>
      </c>
      <c r="BL9" t="s">
        <v>210</v>
      </c>
      <c r="BM9" t="s">
        <v>165</v>
      </c>
      <c r="BN9" t="s">
        <v>458</v>
      </c>
      <c r="BO9" t="s">
        <v>330</v>
      </c>
      <c r="BP9" t="s">
        <v>213</v>
      </c>
      <c r="BQ9" t="s">
        <v>459</v>
      </c>
      <c r="BR9" t="s">
        <v>460</v>
      </c>
      <c r="BS9" t="s">
        <v>461</v>
      </c>
      <c r="BT9" t="s">
        <v>165</v>
      </c>
      <c r="BU9" t="s">
        <v>217</v>
      </c>
      <c r="BV9" t="s">
        <v>212</v>
      </c>
      <c r="BW9" t="s">
        <v>218</v>
      </c>
      <c r="BX9" t="s">
        <v>219</v>
      </c>
      <c r="BY9" t="s">
        <v>176</v>
      </c>
      <c r="BZ9" t="s">
        <v>220</v>
      </c>
      <c r="CA9" t="s">
        <v>176</v>
      </c>
      <c r="CB9" t="s">
        <v>176</v>
      </c>
      <c r="CC9" t="s">
        <v>221</v>
      </c>
      <c r="CD9" t="s">
        <v>222</v>
      </c>
      <c r="CE9" t="s">
        <v>223</v>
      </c>
      <c r="CF9" t="s">
        <v>224</v>
      </c>
      <c r="CG9" t="s">
        <v>225</v>
      </c>
      <c r="CH9" t="s">
        <v>226</v>
      </c>
      <c r="CI9" t="s">
        <v>182</v>
      </c>
      <c r="CJ9" t="s">
        <v>218</v>
      </c>
      <c r="CK9" t="s">
        <v>227</v>
      </c>
      <c r="CL9" t="s">
        <v>227</v>
      </c>
      <c r="CM9" t="s">
        <v>227</v>
      </c>
      <c r="CN9" t="s">
        <v>176</v>
      </c>
      <c r="CO9" t="s">
        <v>228</v>
      </c>
      <c r="CP9" t="s">
        <v>176</v>
      </c>
      <c r="CQ9" t="s">
        <v>176</v>
      </c>
      <c r="CR9" t="s">
        <v>176</v>
      </c>
      <c r="CS9" t="s">
        <v>176</v>
      </c>
      <c r="CT9" t="s">
        <v>462</v>
      </c>
      <c r="CU9" t="s">
        <v>463</v>
      </c>
      <c r="CV9" t="s">
        <v>464</v>
      </c>
      <c r="CW9" t="s">
        <v>465</v>
      </c>
      <c r="CX9" t="s">
        <v>466</v>
      </c>
      <c r="CY9" t="s">
        <v>467</v>
      </c>
      <c r="CZ9" t="s">
        <v>468</v>
      </c>
      <c r="DA9" t="s">
        <v>469</v>
      </c>
      <c r="DB9" t="s">
        <v>436</v>
      </c>
      <c r="DC9" t="s">
        <v>470</v>
      </c>
      <c r="DD9" t="s">
        <v>238</v>
      </c>
      <c r="DE9" t="s">
        <v>239</v>
      </c>
      <c r="DF9" t="s">
        <v>182</v>
      </c>
      <c r="DG9" t="s">
        <v>240</v>
      </c>
      <c r="DH9" t="s">
        <v>241</v>
      </c>
      <c r="DI9" t="s">
        <v>182</v>
      </c>
      <c r="DJ9" t="s">
        <v>242</v>
      </c>
      <c r="DK9" t="s">
        <v>243</v>
      </c>
      <c r="DL9" t="s">
        <v>244</v>
      </c>
      <c r="DM9" t="s">
        <v>176</v>
      </c>
      <c r="DN9" t="s">
        <v>435</v>
      </c>
      <c r="DO9" t="s">
        <v>245</v>
      </c>
      <c r="DP9" t="s">
        <v>246</v>
      </c>
      <c r="DQ9" t="s">
        <v>247</v>
      </c>
      <c r="DR9" t="s">
        <v>248</v>
      </c>
      <c r="DS9" t="s">
        <v>249</v>
      </c>
      <c r="DT9" t="s">
        <v>250</v>
      </c>
    </row>
    <row r="10" spans="1:124" ht="17.55" customHeight="1" x14ac:dyDescent="0.45">
      <c r="A10" t="s">
        <v>207</v>
      </c>
      <c r="B10" t="s">
        <v>471</v>
      </c>
      <c r="C10" t="s">
        <v>17</v>
      </c>
      <c r="D10" t="s">
        <v>167</v>
      </c>
      <c r="E10" t="s">
        <v>168</v>
      </c>
      <c r="I10" t="s">
        <v>472</v>
      </c>
      <c r="J10">
        <f t="shared" si="0"/>
        <v>0.73719193535469563</v>
      </c>
      <c r="K10">
        <f t="shared" si="1"/>
        <v>2.6094419999999996</v>
      </c>
      <c r="L10">
        <f t="shared" si="2"/>
        <v>0.57480430645664482</v>
      </c>
      <c r="M10">
        <f t="shared" si="3"/>
        <v>7.6410845192020531</v>
      </c>
      <c r="N10" t="s">
        <v>473</v>
      </c>
      <c r="O10" t="s">
        <v>474</v>
      </c>
      <c r="P10">
        <f t="shared" si="4"/>
        <v>3.8527401961396053</v>
      </c>
      <c r="Q10">
        <f t="shared" si="5"/>
        <v>1.2993801961396052</v>
      </c>
      <c r="R10" t="s">
        <v>475</v>
      </c>
      <c r="S10" t="s">
        <v>476</v>
      </c>
      <c r="T10">
        <f t="shared" si="6"/>
        <v>38.164836019213517</v>
      </c>
      <c r="U10">
        <f t="shared" si="7"/>
        <v>0.4417875</v>
      </c>
      <c r="V10" t="s">
        <v>174</v>
      </c>
      <c r="W10" t="s">
        <v>477</v>
      </c>
      <c r="X10" t="s">
        <v>176</v>
      </c>
      <c r="Y10" t="s">
        <v>176</v>
      </c>
      <c r="Z10" t="s">
        <v>176</v>
      </c>
      <c r="AA10" t="s">
        <v>478</v>
      </c>
      <c r="AB10" t="s">
        <v>479</v>
      </c>
      <c r="AC10" t="s">
        <v>480</v>
      </c>
      <c r="AD10" t="s">
        <v>180</v>
      </c>
      <c r="AE10" t="s">
        <v>181</v>
      </c>
      <c r="AF10">
        <f t="shared" si="8"/>
        <v>153.48789791999999</v>
      </c>
      <c r="AG10" t="s">
        <v>182</v>
      </c>
      <c r="AH10" t="s">
        <v>481</v>
      </c>
      <c r="AI10" t="s">
        <v>482</v>
      </c>
      <c r="AJ10" t="s">
        <v>483</v>
      </c>
      <c r="AK10" t="s">
        <v>484</v>
      </c>
      <c r="AL10">
        <f t="shared" si="9"/>
        <v>28.26</v>
      </c>
      <c r="AM10" t="s">
        <v>187</v>
      </c>
      <c r="AN10" t="s">
        <v>361</v>
      </c>
      <c r="AO10" t="s">
        <v>485</v>
      </c>
      <c r="AP10" t="s">
        <v>486</v>
      </c>
      <c r="AQ10" t="s">
        <v>487</v>
      </c>
      <c r="AR10" t="s">
        <v>488</v>
      </c>
      <c r="AS10" t="s">
        <v>489</v>
      </c>
      <c r="AT10" t="s">
        <v>344</v>
      </c>
      <c r="AU10" t="s">
        <v>490</v>
      </c>
      <c r="AV10" t="s">
        <v>491</v>
      </c>
      <c r="AW10" t="s">
        <v>492</v>
      </c>
      <c r="AX10" t="s">
        <v>493</v>
      </c>
      <c r="AY10" t="s">
        <v>494</v>
      </c>
      <c r="AZ10" t="s">
        <v>200</v>
      </c>
      <c r="BA10" t="s">
        <v>495</v>
      </c>
      <c r="BB10" t="s">
        <v>496</v>
      </c>
      <c r="BC10" t="s">
        <v>497</v>
      </c>
      <c r="BD10" t="s">
        <v>17</v>
      </c>
      <c r="BE10" t="s">
        <v>498</v>
      </c>
      <c r="BF10" t="s">
        <v>499</v>
      </c>
      <c r="BG10" t="s">
        <v>500</v>
      </c>
      <c r="BH10" t="s">
        <v>328</v>
      </c>
      <c r="BI10" t="s">
        <v>329</v>
      </c>
      <c r="BJ10" t="s">
        <v>209</v>
      </c>
      <c r="BK10" t="s">
        <v>17</v>
      </c>
      <c r="BL10" t="s">
        <v>210</v>
      </c>
      <c r="BM10" t="s">
        <v>165</v>
      </c>
      <c r="BN10" t="s">
        <v>285</v>
      </c>
      <c r="BO10" t="s">
        <v>284</v>
      </c>
      <c r="BP10" t="s">
        <v>501</v>
      </c>
      <c r="BQ10" t="s">
        <v>502</v>
      </c>
      <c r="BR10" t="s">
        <v>503</v>
      </c>
      <c r="BS10" t="s">
        <v>504</v>
      </c>
      <c r="BT10" t="s">
        <v>165</v>
      </c>
      <c r="BU10" t="s">
        <v>217</v>
      </c>
      <c r="BV10" t="s">
        <v>212</v>
      </c>
      <c r="BW10" t="s">
        <v>218</v>
      </c>
      <c r="BX10" t="s">
        <v>219</v>
      </c>
      <c r="BY10" t="s">
        <v>176</v>
      </c>
      <c r="BZ10" t="s">
        <v>220</v>
      </c>
      <c r="CA10" t="s">
        <v>176</v>
      </c>
      <c r="CB10" t="s">
        <v>176</v>
      </c>
      <c r="CC10" t="s">
        <v>221</v>
      </c>
      <c r="CD10" t="s">
        <v>222</v>
      </c>
      <c r="CE10" t="s">
        <v>223</v>
      </c>
      <c r="CF10" t="s">
        <v>224</v>
      </c>
      <c r="CG10" t="s">
        <v>225</v>
      </c>
      <c r="CH10" t="s">
        <v>226</v>
      </c>
      <c r="CI10" t="s">
        <v>182</v>
      </c>
      <c r="CJ10" t="s">
        <v>218</v>
      </c>
      <c r="CK10" t="s">
        <v>227</v>
      </c>
      <c r="CL10" t="s">
        <v>227</v>
      </c>
      <c r="CM10" t="s">
        <v>227</v>
      </c>
      <c r="CN10" t="s">
        <v>176</v>
      </c>
      <c r="CO10" t="s">
        <v>228</v>
      </c>
      <c r="CP10" t="s">
        <v>176</v>
      </c>
      <c r="CQ10" t="s">
        <v>176</v>
      </c>
      <c r="CR10" t="s">
        <v>176</v>
      </c>
      <c r="CS10" t="s">
        <v>176</v>
      </c>
      <c r="CT10" t="s">
        <v>505</v>
      </c>
      <c r="CU10" t="s">
        <v>506</v>
      </c>
      <c r="CV10" t="s">
        <v>507</v>
      </c>
      <c r="CW10" t="s">
        <v>508</v>
      </c>
      <c r="CX10" t="s">
        <v>509</v>
      </c>
      <c r="CY10" t="s">
        <v>510</v>
      </c>
      <c r="CZ10" t="s">
        <v>511</v>
      </c>
      <c r="DA10" t="s">
        <v>512</v>
      </c>
      <c r="DB10" t="s">
        <v>478</v>
      </c>
      <c r="DC10" t="s">
        <v>513</v>
      </c>
      <c r="DD10" t="s">
        <v>238</v>
      </c>
      <c r="DE10" t="s">
        <v>239</v>
      </c>
      <c r="DF10" t="s">
        <v>182</v>
      </c>
      <c r="DG10" t="s">
        <v>240</v>
      </c>
      <c r="DH10" t="s">
        <v>241</v>
      </c>
      <c r="DI10" t="s">
        <v>182</v>
      </c>
      <c r="DJ10" t="s">
        <v>242</v>
      </c>
      <c r="DK10" t="s">
        <v>243</v>
      </c>
      <c r="DL10" t="s">
        <v>244</v>
      </c>
      <c r="DM10" t="s">
        <v>176</v>
      </c>
      <c r="DN10" t="s">
        <v>477</v>
      </c>
      <c r="DO10" t="s">
        <v>245</v>
      </c>
      <c r="DP10" t="s">
        <v>246</v>
      </c>
      <c r="DQ10" t="s">
        <v>247</v>
      </c>
      <c r="DR10" t="s">
        <v>248</v>
      </c>
      <c r="DS10" t="s">
        <v>249</v>
      </c>
      <c r="DT10" t="s">
        <v>250</v>
      </c>
    </row>
    <row r="11" spans="1:124" ht="17.55" customHeight="1" x14ac:dyDescent="0.45">
      <c r="A11" t="s">
        <v>514</v>
      </c>
      <c r="B11" t="s">
        <v>515</v>
      </c>
      <c r="C11" t="s">
        <v>17</v>
      </c>
      <c r="D11" t="s">
        <v>167</v>
      </c>
      <c r="E11" t="s">
        <v>168</v>
      </c>
      <c r="I11" t="s">
        <v>516</v>
      </c>
      <c r="J11">
        <f t="shared" si="0"/>
        <v>0.40176488182930875</v>
      </c>
      <c r="K11">
        <f t="shared" si="1"/>
        <v>2.5973480000000002</v>
      </c>
      <c r="L11">
        <f t="shared" si="2"/>
        <v>0.34794395989960025</v>
      </c>
      <c r="M11">
        <f t="shared" si="3"/>
        <v>7.0965080477823834</v>
      </c>
      <c r="N11" t="s">
        <v>517</v>
      </c>
      <c r="O11" t="s">
        <v>518</v>
      </c>
      <c r="P11">
        <f t="shared" si="4"/>
        <v>4.4780464487987954</v>
      </c>
      <c r="Q11">
        <f t="shared" si="5"/>
        <v>1.9877834487987953</v>
      </c>
      <c r="R11" t="s">
        <v>519</v>
      </c>
      <c r="S11" t="s">
        <v>520</v>
      </c>
      <c r="T11">
        <f t="shared" si="6"/>
        <v>44.359053479928633</v>
      </c>
      <c r="U11">
        <f t="shared" si="7"/>
        <v>0.4417875</v>
      </c>
      <c r="V11" t="s">
        <v>174</v>
      </c>
      <c r="W11" t="s">
        <v>521</v>
      </c>
      <c r="X11" t="s">
        <v>176</v>
      </c>
      <c r="Y11" t="s">
        <v>176</v>
      </c>
      <c r="Z11" t="s">
        <v>176</v>
      </c>
      <c r="AA11" t="s">
        <v>522</v>
      </c>
      <c r="AB11" t="s">
        <v>523</v>
      </c>
      <c r="AC11" t="s">
        <v>524</v>
      </c>
      <c r="AD11" t="s">
        <v>180</v>
      </c>
      <c r="AE11" t="s">
        <v>181</v>
      </c>
      <c r="AF11">
        <f t="shared" si="8"/>
        <v>207.13974707999998</v>
      </c>
      <c r="AG11" t="s">
        <v>182</v>
      </c>
      <c r="AH11" t="s">
        <v>525</v>
      </c>
      <c r="AI11" t="s">
        <v>526</v>
      </c>
      <c r="AJ11" t="s">
        <v>527</v>
      </c>
      <c r="AK11" t="s">
        <v>528</v>
      </c>
      <c r="AL11">
        <f t="shared" si="9"/>
        <v>30.87</v>
      </c>
      <c r="AM11" t="s">
        <v>187</v>
      </c>
      <c r="AN11" t="s">
        <v>529</v>
      </c>
      <c r="AO11" t="s">
        <v>530</v>
      </c>
      <c r="AP11" t="s">
        <v>531</v>
      </c>
      <c r="AQ11" t="s">
        <v>532</v>
      </c>
      <c r="AR11" t="s">
        <v>533</v>
      </c>
      <c r="AS11" t="s">
        <v>534</v>
      </c>
      <c r="AT11" t="s">
        <v>223</v>
      </c>
      <c r="AU11" t="s">
        <v>535</v>
      </c>
      <c r="AV11" t="s">
        <v>536</v>
      </c>
      <c r="AW11" t="s">
        <v>537</v>
      </c>
      <c r="AX11" t="s">
        <v>538</v>
      </c>
      <c r="AY11" t="s">
        <v>539</v>
      </c>
      <c r="AZ11" t="s">
        <v>200</v>
      </c>
      <c r="BA11" t="s">
        <v>540</v>
      </c>
      <c r="BB11" t="s">
        <v>541</v>
      </c>
      <c r="BC11" t="s">
        <v>542</v>
      </c>
      <c r="BD11" t="s">
        <v>17</v>
      </c>
      <c r="BE11" t="s">
        <v>543</v>
      </c>
      <c r="BF11" t="s">
        <v>544</v>
      </c>
      <c r="BG11" t="s">
        <v>545</v>
      </c>
      <c r="BH11" t="s">
        <v>328</v>
      </c>
      <c r="BI11" t="s">
        <v>329</v>
      </c>
      <c r="BJ11" t="s">
        <v>209</v>
      </c>
      <c r="BK11" t="s">
        <v>17</v>
      </c>
      <c r="BL11" t="s">
        <v>210</v>
      </c>
      <c r="BM11" t="s">
        <v>165</v>
      </c>
      <c r="BN11" t="s">
        <v>212</v>
      </c>
      <c r="BO11" t="s">
        <v>212</v>
      </c>
      <c r="BP11" t="s">
        <v>212</v>
      </c>
      <c r="BQ11" t="s">
        <v>546</v>
      </c>
      <c r="BR11" t="s">
        <v>547</v>
      </c>
      <c r="BS11" t="s">
        <v>548</v>
      </c>
      <c r="BT11" t="s">
        <v>165</v>
      </c>
      <c r="BU11" t="s">
        <v>217</v>
      </c>
      <c r="BV11" t="s">
        <v>212</v>
      </c>
      <c r="BW11" t="s">
        <v>218</v>
      </c>
      <c r="BX11" t="s">
        <v>219</v>
      </c>
      <c r="BY11" t="s">
        <v>176</v>
      </c>
      <c r="BZ11" t="s">
        <v>220</v>
      </c>
      <c r="CA11" t="s">
        <v>176</v>
      </c>
      <c r="CB11" t="s">
        <v>176</v>
      </c>
      <c r="CC11" t="s">
        <v>221</v>
      </c>
      <c r="CD11" t="s">
        <v>222</v>
      </c>
      <c r="CE11" t="s">
        <v>223</v>
      </c>
      <c r="CF11" t="s">
        <v>224</v>
      </c>
      <c r="CG11" t="s">
        <v>225</v>
      </c>
      <c r="CH11" t="s">
        <v>226</v>
      </c>
      <c r="CI11" t="s">
        <v>182</v>
      </c>
      <c r="CJ11" t="s">
        <v>218</v>
      </c>
      <c r="CK11" t="s">
        <v>227</v>
      </c>
      <c r="CL11" t="s">
        <v>227</v>
      </c>
      <c r="CM11" t="s">
        <v>227</v>
      </c>
      <c r="CN11" t="s">
        <v>176</v>
      </c>
      <c r="CO11" t="s">
        <v>228</v>
      </c>
      <c r="CP11" t="s">
        <v>176</v>
      </c>
      <c r="CQ11" t="s">
        <v>176</v>
      </c>
      <c r="CR11" t="s">
        <v>176</v>
      </c>
      <c r="CS11" t="s">
        <v>176</v>
      </c>
      <c r="CT11" t="s">
        <v>549</v>
      </c>
      <c r="CU11" t="s">
        <v>550</v>
      </c>
      <c r="CV11" t="s">
        <v>551</v>
      </c>
      <c r="CW11" t="s">
        <v>552</v>
      </c>
      <c r="CX11" t="s">
        <v>553</v>
      </c>
      <c r="CY11" t="s">
        <v>554</v>
      </c>
      <c r="CZ11" t="s">
        <v>555</v>
      </c>
      <c r="DA11" t="s">
        <v>556</v>
      </c>
      <c r="DB11" t="s">
        <v>522</v>
      </c>
      <c r="DC11" t="s">
        <v>557</v>
      </c>
      <c r="DD11" t="s">
        <v>238</v>
      </c>
      <c r="DE11" t="s">
        <v>239</v>
      </c>
      <c r="DF11" t="s">
        <v>182</v>
      </c>
      <c r="DG11" t="s">
        <v>240</v>
      </c>
      <c r="DH11" t="s">
        <v>241</v>
      </c>
      <c r="DI11" t="s">
        <v>182</v>
      </c>
      <c r="DJ11" t="s">
        <v>242</v>
      </c>
      <c r="DK11" t="s">
        <v>243</v>
      </c>
      <c r="DL11" t="s">
        <v>244</v>
      </c>
      <c r="DM11" t="s">
        <v>176</v>
      </c>
      <c r="DN11" t="s">
        <v>521</v>
      </c>
      <c r="DO11" t="s">
        <v>245</v>
      </c>
      <c r="DP11" t="s">
        <v>246</v>
      </c>
      <c r="DQ11" t="s">
        <v>247</v>
      </c>
      <c r="DR11" t="s">
        <v>248</v>
      </c>
      <c r="DS11" t="s">
        <v>249</v>
      </c>
      <c r="DT11" t="s">
        <v>250</v>
      </c>
    </row>
    <row r="12" spans="1:124" ht="17.55" customHeight="1" x14ac:dyDescent="0.45">
      <c r="A12" t="s">
        <v>328</v>
      </c>
      <c r="B12" t="s">
        <v>558</v>
      </c>
      <c r="C12" t="s">
        <v>17</v>
      </c>
      <c r="D12" t="s">
        <v>167</v>
      </c>
      <c r="E12" t="s">
        <v>168</v>
      </c>
      <c r="I12" t="s">
        <v>559</v>
      </c>
      <c r="J12">
        <f t="shared" si="0"/>
        <v>0.51761575409617777</v>
      </c>
      <c r="K12">
        <f t="shared" si="1"/>
        <v>2.5997776799999999</v>
      </c>
      <c r="L12">
        <f t="shared" si="2"/>
        <v>0.43167021191400073</v>
      </c>
      <c r="M12">
        <f t="shared" si="3"/>
        <v>9.1806995731401688</v>
      </c>
      <c r="N12" t="s">
        <v>560</v>
      </c>
      <c r="O12" t="s">
        <v>561</v>
      </c>
      <c r="P12">
        <f t="shared" si="4"/>
        <v>4.665384537447423</v>
      </c>
      <c r="Q12">
        <f t="shared" si="5"/>
        <v>2.0699015374474228</v>
      </c>
      <c r="R12" t="s">
        <v>562</v>
      </c>
      <c r="S12" t="s">
        <v>563</v>
      </c>
      <c r="T12">
        <f t="shared" si="6"/>
        <v>46.210227193417424</v>
      </c>
      <c r="U12">
        <f t="shared" si="7"/>
        <v>0.4417875</v>
      </c>
      <c r="V12" t="s">
        <v>174</v>
      </c>
      <c r="W12" t="s">
        <v>564</v>
      </c>
      <c r="X12" t="s">
        <v>176</v>
      </c>
      <c r="Y12" t="s">
        <v>176</v>
      </c>
      <c r="Z12" t="s">
        <v>176</v>
      </c>
      <c r="AA12" t="s">
        <v>565</v>
      </c>
      <c r="AB12" t="s">
        <v>566</v>
      </c>
      <c r="AC12" t="s">
        <v>567</v>
      </c>
      <c r="AD12" t="s">
        <v>180</v>
      </c>
      <c r="AE12" t="s">
        <v>181</v>
      </c>
      <c r="AF12">
        <f t="shared" si="8"/>
        <v>262.15037477999999</v>
      </c>
      <c r="AG12" t="s">
        <v>182</v>
      </c>
      <c r="AH12" t="s">
        <v>399</v>
      </c>
      <c r="AI12" t="s">
        <v>568</v>
      </c>
      <c r="AJ12" t="s">
        <v>569</v>
      </c>
      <c r="AK12" t="s">
        <v>570</v>
      </c>
      <c r="AL12">
        <f t="shared" si="9"/>
        <v>31.59</v>
      </c>
      <c r="AM12" t="s">
        <v>571</v>
      </c>
      <c r="AN12" t="s">
        <v>572</v>
      </c>
      <c r="AO12" t="s">
        <v>573</v>
      </c>
      <c r="AP12" t="s">
        <v>574</v>
      </c>
      <c r="AQ12" t="s">
        <v>575</v>
      </c>
      <c r="AR12" t="s">
        <v>576</v>
      </c>
      <c r="AS12" t="s">
        <v>577</v>
      </c>
      <c r="AT12" t="s">
        <v>251</v>
      </c>
      <c r="AU12" t="s">
        <v>535</v>
      </c>
      <c r="AV12" t="s">
        <v>578</v>
      </c>
      <c r="AW12" t="s">
        <v>579</v>
      </c>
      <c r="AX12" t="s">
        <v>580</v>
      </c>
      <c r="AY12" t="s">
        <v>581</v>
      </c>
      <c r="AZ12" t="s">
        <v>200</v>
      </c>
      <c r="BA12" t="s">
        <v>582</v>
      </c>
      <c r="BB12" t="s">
        <v>583</v>
      </c>
      <c r="BC12" t="s">
        <v>584</v>
      </c>
      <c r="BD12" t="s">
        <v>17</v>
      </c>
      <c r="BE12" t="s">
        <v>585</v>
      </c>
      <c r="BF12" t="s">
        <v>499</v>
      </c>
      <c r="BG12" t="s">
        <v>586</v>
      </c>
      <c r="BH12" t="s">
        <v>587</v>
      </c>
      <c r="BI12" t="s">
        <v>588</v>
      </c>
      <c r="BJ12" t="s">
        <v>589</v>
      </c>
      <c r="BK12" t="s">
        <v>17</v>
      </c>
      <c r="BL12" t="s">
        <v>590</v>
      </c>
      <c r="BM12" t="s">
        <v>165</v>
      </c>
      <c r="BN12" t="s">
        <v>212</v>
      </c>
      <c r="BO12" t="s">
        <v>284</v>
      </c>
      <c r="BP12" t="s">
        <v>212</v>
      </c>
      <c r="BQ12" t="s">
        <v>591</v>
      </c>
      <c r="BR12" t="s">
        <v>592</v>
      </c>
      <c r="BS12" t="s">
        <v>593</v>
      </c>
      <c r="BT12" t="s">
        <v>165</v>
      </c>
      <c r="BU12" t="s">
        <v>217</v>
      </c>
      <c r="BV12" t="s">
        <v>212</v>
      </c>
      <c r="BW12" t="s">
        <v>218</v>
      </c>
      <c r="BX12" t="s">
        <v>219</v>
      </c>
      <c r="BY12" t="s">
        <v>176</v>
      </c>
      <c r="BZ12" t="s">
        <v>220</v>
      </c>
      <c r="CA12" t="s">
        <v>176</v>
      </c>
      <c r="CB12" t="s">
        <v>176</v>
      </c>
      <c r="CC12" t="s">
        <v>221</v>
      </c>
      <c r="CD12" t="s">
        <v>222</v>
      </c>
      <c r="CE12" t="s">
        <v>223</v>
      </c>
      <c r="CF12" t="s">
        <v>224</v>
      </c>
      <c r="CG12" t="s">
        <v>225</v>
      </c>
      <c r="CH12" t="s">
        <v>226</v>
      </c>
      <c r="CI12" t="s">
        <v>182</v>
      </c>
      <c r="CJ12" t="s">
        <v>218</v>
      </c>
      <c r="CK12" t="s">
        <v>227</v>
      </c>
      <c r="CL12" t="s">
        <v>227</v>
      </c>
      <c r="CM12" t="s">
        <v>227</v>
      </c>
      <c r="CN12" t="s">
        <v>176</v>
      </c>
      <c r="CO12" t="s">
        <v>228</v>
      </c>
      <c r="CP12" t="s">
        <v>176</v>
      </c>
      <c r="CQ12" t="s">
        <v>176</v>
      </c>
      <c r="CR12" t="s">
        <v>176</v>
      </c>
      <c r="CS12" t="s">
        <v>176</v>
      </c>
      <c r="CT12" t="s">
        <v>594</v>
      </c>
      <c r="CU12" t="s">
        <v>595</v>
      </c>
      <c r="CV12" t="s">
        <v>596</v>
      </c>
      <c r="CW12" t="s">
        <v>597</v>
      </c>
      <c r="CX12" t="s">
        <v>598</v>
      </c>
      <c r="CY12" t="s">
        <v>599</v>
      </c>
      <c r="CZ12" t="s">
        <v>600</v>
      </c>
      <c r="DA12" t="s">
        <v>601</v>
      </c>
      <c r="DB12" t="s">
        <v>565</v>
      </c>
      <c r="DC12" t="s">
        <v>388</v>
      </c>
      <c r="DD12" t="s">
        <v>238</v>
      </c>
      <c r="DE12" t="s">
        <v>239</v>
      </c>
      <c r="DF12" t="s">
        <v>182</v>
      </c>
      <c r="DG12" t="s">
        <v>240</v>
      </c>
      <c r="DH12" t="s">
        <v>241</v>
      </c>
      <c r="DI12" t="s">
        <v>182</v>
      </c>
      <c r="DJ12" t="s">
        <v>242</v>
      </c>
      <c r="DK12" t="s">
        <v>243</v>
      </c>
      <c r="DL12" t="s">
        <v>244</v>
      </c>
      <c r="DM12" t="s">
        <v>176</v>
      </c>
      <c r="DN12" t="s">
        <v>564</v>
      </c>
      <c r="DO12" t="s">
        <v>245</v>
      </c>
      <c r="DP12" t="s">
        <v>246</v>
      </c>
      <c r="DQ12" t="s">
        <v>247</v>
      </c>
      <c r="DR12" t="s">
        <v>248</v>
      </c>
      <c r="DS12" t="s">
        <v>249</v>
      </c>
      <c r="DT12" t="s">
        <v>250</v>
      </c>
    </row>
    <row r="13" spans="1:124" ht="17.55" customHeight="1" x14ac:dyDescent="0.45">
      <c r="A13" t="s">
        <v>602</v>
      </c>
      <c r="B13" t="s">
        <v>603</v>
      </c>
      <c r="C13" t="s">
        <v>17</v>
      </c>
      <c r="D13" t="s">
        <v>167</v>
      </c>
      <c r="E13" t="s">
        <v>168</v>
      </c>
      <c r="I13" t="s">
        <v>604</v>
      </c>
      <c r="J13">
        <f t="shared" si="0"/>
        <v>0.17431121562584262</v>
      </c>
      <c r="K13">
        <f t="shared" si="1"/>
        <v>2.6046207199999998</v>
      </c>
      <c r="L13">
        <f t="shared" si="2"/>
        <v>0.16337737464059512</v>
      </c>
      <c r="M13">
        <f t="shared" si="3"/>
        <v>4.634045474288861</v>
      </c>
      <c r="N13" t="s">
        <v>605</v>
      </c>
      <c r="O13" t="s">
        <v>606</v>
      </c>
      <c r="P13">
        <f t="shared" si="4"/>
        <v>5.2307954940584844</v>
      </c>
      <c r="Q13">
        <f t="shared" si="5"/>
        <v>2.7543794940584845</v>
      </c>
      <c r="R13" t="s">
        <v>607</v>
      </c>
      <c r="S13" t="s">
        <v>608</v>
      </c>
      <c r="T13">
        <f t="shared" si="6"/>
        <v>51.810573435603061</v>
      </c>
      <c r="U13">
        <f t="shared" si="7"/>
        <v>0.4417875</v>
      </c>
      <c r="V13" t="s">
        <v>174</v>
      </c>
      <c r="W13" t="s">
        <v>609</v>
      </c>
      <c r="X13" t="s">
        <v>176</v>
      </c>
      <c r="Y13" t="s">
        <v>176</v>
      </c>
      <c r="Z13" t="s">
        <v>176</v>
      </c>
      <c r="AA13" t="s">
        <v>610</v>
      </c>
      <c r="AB13" t="s">
        <v>611</v>
      </c>
      <c r="AC13" t="s">
        <v>612</v>
      </c>
      <c r="AD13" t="s">
        <v>180</v>
      </c>
      <c r="AE13" t="s">
        <v>181</v>
      </c>
      <c r="AF13">
        <f t="shared" si="8"/>
        <v>207.87098639999999</v>
      </c>
      <c r="AG13" t="s">
        <v>182</v>
      </c>
      <c r="AH13" t="s">
        <v>613</v>
      </c>
      <c r="AI13" t="s">
        <v>614</v>
      </c>
      <c r="AJ13" t="s">
        <v>615</v>
      </c>
      <c r="AK13" t="s">
        <v>616</v>
      </c>
      <c r="AL13">
        <f t="shared" si="9"/>
        <v>33.619999999999997</v>
      </c>
      <c r="AM13" t="s">
        <v>571</v>
      </c>
      <c r="AN13" t="s">
        <v>617</v>
      </c>
      <c r="AO13" t="s">
        <v>443</v>
      </c>
      <c r="AP13" t="s">
        <v>618</v>
      </c>
      <c r="AQ13" t="s">
        <v>619</v>
      </c>
      <c r="AR13" t="s">
        <v>620</v>
      </c>
      <c r="AS13" t="s">
        <v>364</v>
      </c>
      <c r="AT13" t="s">
        <v>223</v>
      </c>
      <c r="AU13" t="s">
        <v>621</v>
      </c>
      <c r="AV13" t="s">
        <v>622</v>
      </c>
      <c r="AW13" t="s">
        <v>623</v>
      </c>
      <c r="AX13" t="s">
        <v>624</v>
      </c>
      <c r="AY13" t="s">
        <v>625</v>
      </c>
      <c r="AZ13" t="s">
        <v>200</v>
      </c>
      <c r="BA13" t="s">
        <v>626</v>
      </c>
      <c r="BB13" t="s">
        <v>627</v>
      </c>
      <c r="BC13" t="s">
        <v>628</v>
      </c>
      <c r="BD13" t="s">
        <v>17</v>
      </c>
      <c r="BE13" t="s">
        <v>629</v>
      </c>
      <c r="BF13" t="s">
        <v>630</v>
      </c>
      <c r="BG13" t="s">
        <v>631</v>
      </c>
      <c r="BH13" t="s">
        <v>632</v>
      </c>
      <c r="BI13" t="s">
        <v>588</v>
      </c>
      <c r="BJ13" t="s">
        <v>589</v>
      </c>
      <c r="BK13" t="s">
        <v>17</v>
      </c>
      <c r="BL13" t="s">
        <v>590</v>
      </c>
      <c r="BM13" t="s">
        <v>165</v>
      </c>
      <c r="BN13" t="s">
        <v>211</v>
      </c>
      <c r="BO13" t="s">
        <v>212</v>
      </c>
      <c r="BP13" t="s">
        <v>283</v>
      </c>
      <c r="BQ13" t="s">
        <v>633</v>
      </c>
      <c r="BR13" t="s">
        <v>634</v>
      </c>
      <c r="BS13" t="s">
        <v>635</v>
      </c>
      <c r="BT13" t="s">
        <v>165</v>
      </c>
      <c r="BU13" t="s">
        <v>217</v>
      </c>
      <c r="BV13" t="s">
        <v>212</v>
      </c>
      <c r="BW13" t="s">
        <v>218</v>
      </c>
      <c r="BX13" t="s">
        <v>219</v>
      </c>
      <c r="BY13" t="s">
        <v>176</v>
      </c>
      <c r="BZ13" t="s">
        <v>220</v>
      </c>
      <c r="CA13" t="s">
        <v>176</v>
      </c>
      <c r="CB13" t="s">
        <v>176</v>
      </c>
      <c r="CC13" t="s">
        <v>221</v>
      </c>
      <c r="CD13" t="s">
        <v>222</v>
      </c>
      <c r="CE13" t="s">
        <v>223</v>
      </c>
      <c r="CF13" t="s">
        <v>224</v>
      </c>
      <c r="CG13" t="s">
        <v>225</v>
      </c>
      <c r="CH13" t="s">
        <v>226</v>
      </c>
      <c r="CI13" t="s">
        <v>182</v>
      </c>
      <c r="CJ13" t="s">
        <v>218</v>
      </c>
      <c r="CK13" t="s">
        <v>227</v>
      </c>
      <c r="CL13" t="s">
        <v>227</v>
      </c>
      <c r="CM13" t="s">
        <v>227</v>
      </c>
      <c r="CN13" t="s">
        <v>176</v>
      </c>
      <c r="CO13" t="s">
        <v>228</v>
      </c>
      <c r="CP13" t="s">
        <v>176</v>
      </c>
      <c r="CQ13" t="s">
        <v>176</v>
      </c>
      <c r="CR13" t="s">
        <v>176</v>
      </c>
      <c r="CS13" t="s">
        <v>176</v>
      </c>
      <c r="CT13" t="s">
        <v>636</v>
      </c>
      <c r="CU13" t="s">
        <v>637</v>
      </c>
      <c r="CV13" t="s">
        <v>638</v>
      </c>
      <c r="CW13" t="s">
        <v>639</v>
      </c>
      <c r="CX13" t="s">
        <v>640</v>
      </c>
      <c r="CY13" t="s">
        <v>641</v>
      </c>
      <c r="CZ13" t="s">
        <v>642</v>
      </c>
      <c r="DA13" t="s">
        <v>643</v>
      </c>
      <c r="DB13" t="s">
        <v>610</v>
      </c>
      <c r="DC13" t="s">
        <v>644</v>
      </c>
      <c r="DD13" t="s">
        <v>238</v>
      </c>
      <c r="DE13" t="s">
        <v>239</v>
      </c>
      <c r="DF13" t="s">
        <v>182</v>
      </c>
      <c r="DG13" t="s">
        <v>240</v>
      </c>
      <c r="DH13" t="s">
        <v>241</v>
      </c>
      <c r="DI13" t="s">
        <v>182</v>
      </c>
      <c r="DJ13" t="s">
        <v>242</v>
      </c>
      <c r="DK13" t="s">
        <v>243</v>
      </c>
      <c r="DL13" t="s">
        <v>244</v>
      </c>
      <c r="DM13" t="s">
        <v>176</v>
      </c>
      <c r="DN13" t="s">
        <v>609</v>
      </c>
      <c r="DO13" t="s">
        <v>245</v>
      </c>
      <c r="DP13" t="s">
        <v>246</v>
      </c>
      <c r="DQ13" t="s">
        <v>247</v>
      </c>
      <c r="DR13" t="s">
        <v>248</v>
      </c>
      <c r="DS13" t="s">
        <v>249</v>
      </c>
      <c r="DT13" t="s">
        <v>250</v>
      </c>
    </row>
    <row r="14" spans="1:124" ht="17.55" customHeight="1" x14ac:dyDescent="0.45">
      <c r="A14" t="s">
        <v>587</v>
      </c>
      <c r="B14" t="s">
        <v>645</v>
      </c>
      <c r="C14" t="s">
        <v>17</v>
      </c>
      <c r="D14" t="s">
        <v>167</v>
      </c>
      <c r="E14" t="s">
        <v>168</v>
      </c>
      <c r="I14" t="s">
        <v>646</v>
      </c>
      <c r="J14">
        <f t="shared" si="0"/>
        <v>2.5149597716807953E-2</v>
      </c>
      <c r="K14">
        <f t="shared" si="1"/>
        <v>2.5997776799999999</v>
      </c>
      <c r="L14">
        <f t="shared" si="2"/>
        <v>2.4908637797389756E-2</v>
      </c>
      <c r="M14">
        <f t="shared" si="3"/>
        <v>0.88036820599717913</v>
      </c>
      <c r="N14" t="s">
        <v>647</v>
      </c>
      <c r="O14" t="s">
        <v>648</v>
      </c>
      <c r="P14">
        <f t="shared" si="4"/>
        <v>5.7970550334150097</v>
      </c>
      <c r="Q14">
        <f t="shared" si="5"/>
        <v>3.4235470334150095</v>
      </c>
      <c r="R14" t="s">
        <v>649</v>
      </c>
      <c r="S14" t="s">
        <v>650</v>
      </c>
      <c r="T14">
        <f t="shared" si="6"/>
        <v>57.42501271337305</v>
      </c>
      <c r="U14">
        <f t="shared" si="7"/>
        <v>0.4417875</v>
      </c>
      <c r="V14" t="s">
        <v>174</v>
      </c>
      <c r="W14" t="s">
        <v>651</v>
      </c>
      <c r="X14" t="s">
        <v>176</v>
      </c>
      <c r="Y14" t="s">
        <v>176</v>
      </c>
      <c r="Z14" t="s">
        <v>176</v>
      </c>
      <c r="AA14" t="s">
        <v>652</v>
      </c>
      <c r="AB14" t="s">
        <v>653</v>
      </c>
      <c r="AC14" t="s">
        <v>654</v>
      </c>
      <c r="AD14" t="s">
        <v>180</v>
      </c>
      <c r="AE14" t="s">
        <v>181</v>
      </c>
      <c r="AF14">
        <f t="shared" si="8"/>
        <v>164.1942603</v>
      </c>
      <c r="AG14" t="s">
        <v>182</v>
      </c>
      <c r="AH14" t="s">
        <v>655</v>
      </c>
      <c r="AI14" t="s">
        <v>656</v>
      </c>
      <c r="AJ14" t="s">
        <v>657</v>
      </c>
      <c r="AK14" t="s">
        <v>658</v>
      </c>
      <c r="AL14">
        <f t="shared" si="9"/>
        <v>35.47</v>
      </c>
      <c r="AM14" t="s">
        <v>187</v>
      </c>
      <c r="AN14" t="s">
        <v>572</v>
      </c>
      <c r="AO14" t="s">
        <v>659</v>
      </c>
      <c r="AP14" t="s">
        <v>405</v>
      </c>
      <c r="AQ14" t="s">
        <v>660</v>
      </c>
      <c r="AR14" t="s">
        <v>661</v>
      </c>
      <c r="AS14" t="s">
        <v>662</v>
      </c>
      <c r="AT14" t="s">
        <v>223</v>
      </c>
      <c r="AU14" t="s">
        <v>663</v>
      </c>
      <c r="AV14" t="s">
        <v>664</v>
      </c>
      <c r="AW14" t="s">
        <v>665</v>
      </c>
      <c r="AX14" t="s">
        <v>666</v>
      </c>
      <c r="AY14" t="s">
        <v>667</v>
      </c>
      <c r="AZ14" t="s">
        <v>200</v>
      </c>
      <c r="BA14" t="s">
        <v>626</v>
      </c>
      <c r="BB14" t="s">
        <v>627</v>
      </c>
      <c r="BC14" t="s">
        <v>668</v>
      </c>
      <c r="BD14" t="s">
        <v>17</v>
      </c>
      <c r="BE14" t="s">
        <v>325</v>
      </c>
      <c r="BF14" t="s">
        <v>669</v>
      </c>
      <c r="BG14" t="s">
        <v>670</v>
      </c>
      <c r="BH14" t="s">
        <v>632</v>
      </c>
      <c r="BI14" t="s">
        <v>588</v>
      </c>
      <c r="BJ14" t="s">
        <v>589</v>
      </c>
      <c r="BK14" t="s">
        <v>17</v>
      </c>
      <c r="BL14" t="s">
        <v>590</v>
      </c>
      <c r="BM14" t="s">
        <v>165</v>
      </c>
      <c r="BN14" t="s">
        <v>330</v>
      </c>
      <c r="BO14" t="s">
        <v>330</v>
      </c>
      <c r="BP14" t="s">
        <v>330</v>
      </c>
      <c r="BQ14" t="s">
        <v>671</v>
      </c>
      <c r="BR14" t="s">
        <v>672</v>
      </c>
      <c r="BS14" t="s">
        <v>673</v>
      </c>
      <c r="BT14" t="s">
        <v>165</v>
      </c>
      <c r="BU14" t="s">
        <v>217</v>
      </c>
      <c r="BV14" t="s">
        <v>212</v>
      </c>
      <c r="BW14" t="s">
        <v>218</v>
      </c>
      <c r="BX14" t="s">
        <v>219</v>
      </c>
      <c r="BY14" t="s">
        <v>176</v>
      </c>
      <c r="BZ14" t="s">
        <v>220</v>
      </c>
      <c r="CA14" t="s">
        <v>176</v>
      </c>
      <c r="CB14" t="s">
        <v>176</v>
      </c>
      <c r="CC14" t="s">
        <v>221</v>
      </c>
      <c r="CD14" t="s">
        <v>222</v>
      </c>
      <c r="CE14" t="s">
        <v>223</v>
      </c>
      <c r="CF14" t="s">
        <v>224</v>
      </c>
      <c r="CG14" t="s">
        <v>225</v>
      </c>
      <c r="CH14" t="s">
        <v>226</v>
      </c>
      <c r="CI14" t="s">
        <v>182</v>
      </c>
      <c r="CJ14" t="s">
        <v>218</v>
      </c>
      <c r="CK14" t="s">
        <v>227</v>
      </c>
      <c r="CL14" t="s">
        <v>227</v>
      </c>
      <c r="CM14" t="s">
        <v>227</v>
      </c>
      <c r="CN14" t="s">
        <v>176</v>
      </c>
      <c r="CO14" t="s">
        <v>228</v>
      </c>
      <c r="CP14" t="s">
        <v>176</v>
      </c>
      <c r="CQ14" t="s">
        <v>176</v>
      </c>
      <c r="CR14" t="s">
        <v>176</v>
      </c>
      <c r="CS14" t="s">
        <v>176</v>
      </c>
      <c r="CT14" t="s">
        <v>674</v>
      </c>
      <c r="CU14" t="s">
        <v>675</v>
      </c>
      <c r="CV14" t="s">
        <v>676</v>
      </c>
      <c r="CW14" t="s">
        <v>677</v>
      </c>
      <c r="CX14" t="s">
        <v>678</v>
      </c>
      <c r="CY14" t="s">
        <v>679</v>
      </c>
      <c r="CZ14" t="s">
        <v>680</v>
      </c>
      <c r="DA14" t="s">
        <v>681</v>
      </c>
      <c r="DB14" t="s">
        <v>652</v>
      </c>
      <c r="DC14" t="s">
        <v>682</v>
      </c>
      <c r="DD14" t="s">
        <v>238</v>
      </c>
      <c r="DE14" t="s">
        <v>239</v>
      </c>
      <c r="DF14" t="s">
        <v>182</v>
      </c>
      <c r="DG14" t="s">
        <v>240</v>
      </c>
      <c r="DH14" t="s">
        <v>241</v>
      </c>
      <c r="DI14" t="s">
        <v>182</v>
      </c>
      <c r="DJ14" t="s">
        <v>242</v>
      </c>
      <c r="DK14" t="s">
        <v>243</v>
      </c>
      <c r="DL14" t="s">
        <v>244</v>
      </c>
      <c r="DM14" t="s">
        <v>176</v>
      </c>
      <c r="DN14" t="s">
        <v>651</v>
      </c>
      <c r="DO14" t="s">
        <v>245</v>
      </c>
      <c r="DP14" t="s">
        <v>246</v>
      </c>
      <c r="DQ14" t="s">
        <v>247</v>
      </c>
      <c r="DR14" t="s">
        <v>248</v>
      </c>
      <c r="DS14" t="s">
        <v>249</v>
      </c>
      <c r="DT14" t="s">
        <v>250</v>
      </c>
    </row>
    <row r="15" spans="1:124" ht="17.55" customHeight="1" x14ac:dyDescent="0.45">
      <c r="A15" t="s">
        <v>632</v>
      </c>
      <c r="B15" t="s">
        <v>683</v>
      </c>
      <c r="C15" t="s">
        <v>17</v>
      </c>
      <c r="D15" t="s">
        <v>167</v>
      </c>
      <c r="E15" t="s">
        <v>168</v>
      </c>
      <c r="I15" t="s">
        <v>684</v>
      </c>
      <c r="J15">
        <f t="shared" si="0"/>
        <v>0.5762583420575691</v>
      </c>
      <c r="K15">
        <f t="shared" si="1"/>
        <v>2.60703408</v>
      </c>
      <c r="L15">
        <f t="shared" si="2"/>
        <v>0.47194066313811334</v>
      </c>
      <c r="M15">
        <f t="shared" si="3"/>
        <v>10.096834496083085</v>
      </c>
      <c r="N15" t="s">
        <v>685</v>
      </c>
      <c r="O15" t="s">
        <v>686</v>
      </c>
      <c r="P15">
        <f t="shared" si="4"/>
        <v>4.7373753443719613</v>
      </c>
      <c r="Q15">
        <f t="shared" si="5"/>
        <v>2.0803693443719613</v>
      </c>
      <c r="R15" t="s">
        <v>687</v>
      </c>
      <c r="S15" t="s">
        <v>688</v>
      </c>
      <c r="T15">
        <f t="shared" si="6"/>
        <v>46.932587124746995</v>
      </c>
      <c r="U15">
        <f t="shared" si="7"/>
        <v>0.4417875</v>
      </c>
      <c r="V15" t="s">
        <v>174</v>
      </c>
      <c r="W15" t="s">
        <v>689</v>
      </c>
      <c r="X15" t="s">
        <v>176</v>
      </c>
      <c r="Y15" t="s">
        <v>176</v>
      </c>
      <c r="Z15" t="s">
        <v>176</v>
      </c>
      <c r="AA15" t="s">
        <v>690</v>
      </c>
      <c r="AB15" t="s">
        <v>691</v>
      </c>
      <c r="AC15" t="s">
        <v>692</v>
      </c>
      <c r="AD15" t="s">
        <v>180</v>
      </c>
      <c r="AE15" t="s">
        <v>181</v>
      </c>
      <c r="AF15">
        <f t="shared" si="8"/>
        <v>210.81193727999997</v>
      </c>
      <c r="AG15" t="s">
        <v>182</v>
      </c>
      <c r="AH15" t="s">
        <v>693</v>
      </c>
      <c r="AI15" t="s">
        <v>694</v>
      </c>
      <c r="AJ15" t="s">
        <v>695</v>
      </c>
      <c r="AK15" t="s">
        <v>696</v>
      </c>
      <c r="AL15">
        <f t="shared" si="9"/>
        <v>31.86</v>
      </c>
      <c r="AM15" t="s">
        <v>359</v>
      </c>
      <c r="AN15" t="s">
        <v>697</v>
      </c>
      <c r="AO15" t="s">
        <v>698</v>
      </c>
      <c r="AP15" t="s">
        <v>699</v>
      </c>
      <c r="AQ15" t="s">
        <v>700</v>
      </c>
      <c r="AR15" t="s">
        <v>701</v>
      </c>
      <c r="AS15" t="s">
        <v>534</v>
      </c>
      <c r="AT15" t="s">
        <v>223</v>
      </c>
      <c r="AU15" t="s">
        <v>702</v>
      </c>
      <c r="AV15" t="s">
        <v>264</v>
      </c>
      <c r="AW15" t="s">
        <v>703</v>
      </c>
      <c r="AX15" t="s">
        <v>538</v>
      </c>
      <c r="AY15" t="s">
        <v>704</v>
      </c>
      <c r="AZ15" t="s">
        <v>200</v>
      </c>
      <c r="BA15" t="s">
        <v>705</v>
      </c>
      <c r="BB15" t="s">
        <v>706</v>
      </c>
      <c r="BC15" t="s">
        <v>707</v>
      </c>
      <c r="BD15" t="s">
        <v>17</v>
      </c>
      <c r="BE15" t="s">
        <v>708</v>
      </c>
      <c r="BF15" t="s">
        <v>709</v>
      </c>
      <c r="BG15" t="s">
        <v>710</v>
      </c>
      <c r="BH15" t="s">
        <v>587</v>
      </c>
      <c r="BI15" t="s">
        <v>711</v>
      </c>
      <c r="BJ15" t="s">
        <v>589</v>
      </c>
      <c r="BK15" t="s">
        <v>17</v>
      </c>
      <c r="BL15" t="s">
        <v>590</v>
      </c>
      <c r="BM15" t="s">
        <v>165</v>
      </c>
      <c r="BN15" t="s">
        <v>458</v>
      </c>
      <c r="BO15" t="s">
        <v>211</v>
      </c>
      <c r="BP15" t="s">
        <v>283</v>
      </c>
      <c r="BQ15" t="s">
        <v>712</v>
      </c>
      <c r="BR15" t="s">
        <v>713</v>
      </c>
      <c r="BS15" t="s">
        <v>714</v>
      </c>
      <c r="BT15" t="s">
        <v>165</v>
      </c>
      <c r="BU15" t="s">
        <v>217</v>
      </c>
      <c r="BV15" t="s">
        <v>212</v>
      </c>
      <c r="BW15" t="s">
        <v>218</v>
      </c>
      <c r="BX15" t="s">
        <v>219</v>
      </c>
      <c r="BY15" t="s">
        <v>176</v>
      </c>
      <c r="BZ15" t="s">
        <v>220</v>
      </c>
      <c r="CA15" t="s">
        <v>176</v>
      </c>
      <c r="CB15" t="s">
        <v>176</v>
      </c>
      <c r="CC15" t="s">
        <v>221</v>
      </c>
      <c r="CD15" t="s">
        <v>222</v>
      </c>
      <c r="CE15" t="s">
        <v>223</v>
      </c>
      <c r="CF15" t="s">
        <v>224</v>
      </c>
      <c r="CG15" t="s">
        <v>225</v>
      </c>
      <c r="CH15" t="s">
        <v>226</v>
      </c>
      <c r="CI15" t="s">
        <v>182</v>
      </c>
      <c r="CJ15" t="s">
        <v>218</v>
      </c>
      <c r="CK15" t="s">
        <v>227</v>
      </c>
      <c r="CL15" t="s">
        <v>227</v>
      </c>
      <c r="CM15" t="s">
        <v>227</v>
      </c>
      <c r="CN15" t="s">
        <v>176</v>
      </c>
      <c r="CO15" t="s">
        <v>228</v>
      </c>
      <c r="CP15" t="s">
        <v>176</v>
      </c>
      <c r="CQ15" t="s">
        <v>176</v>
      </c>
      <c r="CR15" t="s">
        <v>176</v>
      </c>
      <c r="CS15" t="s">
        <v>176</v>
      </c>
      <c r="CT15" t="s">
        <v>715</v>
      </c>
      <c r="CU15" t="s">
        <v>716</v>
      </c>
      <c r="CV15" t="s">
        <v>717</v>
      </c>
      <c r="CW15" t="s">
        <v>718</v>
      </c>
      <c r="CX15" t="s">
        <v>719</v>
      </c>
      <c r="CY15" t="s">
        <v>720</v>
      </c>
      <c r="CZ15" t="s">
        <v>721</v>
      </c>
      <c r="DA15" t="s">
        <v>722</v>
      </c>
      <c r="DB15" t="s">
        <v>690</v>
      </c>
      <c r="DC15" t="s">
        <v>723</v>
      </c>
      <c r="DD15" t="s">
        <v>238</v>
      </c>
      <c r="DE15" t="s">
        <v>239</v>
      </c>
      <c r="DF15" t="s">
        <v>182</v>
      </c>
      <c r="DG15" t="s">
        <v>240</v>
      </c>
      <c r="DH15" t="s">
        <v>241</v>
      </c>
      <c r="DI15" t="s">
        <v>182</v>
      </c>
      <c r="DJ15" t="s">
        <v>242</v>
      </c>
      <c r="DK15" t="s">
        <v>243</v>
      </c>
      <c r="DL15" t="s">
        <v>244</v>
      </c>
      <c r="DM15" t="s">
        <v>176</v>
      </c>
      <c r="DN15" t="s">
        <v>689</v>
      </c>
      <c r="DO15" t="s">
        <v>245</v>
      </c>
      <c r="DP15" t="s">
        <v>246</v>
      </c>
      <c r="DQ15" t="s">
        <v>247</v>
      </c>
      <c r="DR15" t="s">
        <v>248</v>
      </c>
      <c r="DS15" t="s">
        <v>249</v>
      </c>
      <c r="DT15" t="s">
        <v>250</v>
      </c>
    </row>
    <row r="16" spans="1:124" ht="17.55" customHeight="1" x14ac:dyDescent="0.45">
      <c r="A16" t="s">
        <v>724</v>
      </c>
      <c r="B16" t="s">
        <v>725</v>
      </c>
      <c r="C16" t="s">
        <v>17</v>
      </c>
      <c r="D16" t="s">
        <v>167</v>
      </c>
      <c r="E16" t="s">
        <v>168</v>
      </c>
      <c r="I16" t="s">
        <v>726</v>
      </c>
      <c r="J16">
        <f t="shared" si="0"/>
        <v>0.24435292000110426</v>
      </c>
      <c r="K16">
        <f t="shared" si="1"/>
        <v>2.6166331199999999</v>
      </c>
      <c r="L16">
        <f t="shared" si="2"/>
        <v>0.22348306999895501</v>
      </c>
      <c r="M16">
        <f t="shared" si="3"/>
        <v>5.0581642167044212</v>
      </c>
      <c r="N16" t="s">
        <v>727</v>
      </c>
      <c r="O16" t="s">
        <v>728</v>
      </c>
      <c r="P16">
        <f t="shared" si="4"/>
        <v>4.7373753443719613</v>
      </c>
      <c r="Q16">
        <f t="shared" si="5"/>
        <v>2.2022573443719611</v>
      </c>
      <c r="R16" t="s">
        <v>729</v>
      </c>
      <c r="S16" t="s">
        <v>730</v>
      </c>
      <c r="T16">
        <f t="shared" si="6"/>
        <v>46.932587124746995</v>
      </c>
      <c r="U16">
        <f t="shared" si="7"/>
        <v>0.4417875</v>
      </c>
      <c r="V16" t="s">
        <v>174</v>
      </c>
      <c r="W16" t="s">
        <v>731</v>
      </c>
      <c r="X16" t="s">
        <v>176</v>
      </c>
      <c r="Y16" t="s">
        <v>176</v>
      </c>
      <c r="Z16" t="s">
        <v>176</v>
      </c>
      <c r="AA16" t="s">
        <v>732</v>
      </c>
      <c r="AB16" t="s">
        <v>733</v>
      </c>
      <c r="AC16" t="s">
        <v>734</v>
      </c>
      <c r="AD16" t="s">
        <v>180</v>
      </c>
      <c r="AE16" t="s">
        <v>181</v>
      </c>
      <c r="AF16">
        <f t="shared" si="8"/>
        <v>336.31484166000001</v>
      </c>
      <c r="AG16" t="s">
        <v>182</v>
      </c>
      <c r="AH16" t="s">
        <v>735</v>
      </c>
      <c r="AI16" t="s">
        <v>736</v>
      </c>
      <c r="AJ16" t="s">
        <v>737</v>
      </c>
      <c r="AK16" t="s">
        <v>696</v>
      </c>
      <c r="AL16">
        <f t="shared" si="9"/>
        <v>31.86</v>
      </c>
      <c r="AM16" t="s">
        <v>359</v>
      </c>
      <c r="AN16" t="s">
        <v>738</v>
      </c>
      <c r="AO16" t="s">
        <v>572</v>
      </c>
      <c r="AP16" t="s">
        <v>739</v>
      </c>
      <c r="AQ16" t="s">
        <v>740</v>
      </c>
      <c r="AR16" t="s">
        <v>741</v>
      </c>
      <c r="AS16" t="s">
        <v>742</v>
      </c>
      <c r="AT16" t="s">
        <v>298</v>
      </c>
      <c r="AU16" t="s">
        <v>743</v>
      </c>
      <c r="AV16" t="s">
        <v>744</v>
      </c>
      <c r="AW16" t="s">
        <v>745</v>
      </c>
      <c r="AX16" t="s">
        <v>746</v>
      </c>
      <c r="AY16" t="s">
        <v>747</v>
      </c>
      <c r="AZ16" t="s">
        <v>200</v>
      </c>
      <c r="BA16" t="s">
        <v>748</v>
      </c>
      <c r="BB16" t="s">
        <v>749</v>
      </c>
      <c r="BC16" t="s">
        <v>750</v>
      </c>
      <c r="BD16" t="s">
        <v>17</v>
      </c>
      <c r="BE16" t="s">
        <v>708</v>
      </c>
      <c r="BF16" t="s">
        <v>709</v>
      </c>
      <c r="BG16" t="s">
        <v>751</v>
      </c>
      <c r="BH16" t="s">
        <v>752</v>
      </c>
      <c r="BI16" t="s">
        <v>753</v>
      </c>
      <c r="BJ16" t="s">
        <v>589</v>
      </c>
      <c r="BK16" t="s">
        <v>17</v>
      </c>
      <c r="BL16" t="s">
        <v>590</v>
      </c>
      <c r="BM16" t="s">
        <v>165</v>
      </c>
      <c r="BN16" t="s">
        <v>330</v>
      </c>
      <c r="BO16" t="s">
        <v>211</v>
      </c>
      <c r="BP16" t="s">
        <v>754</v>
      </c>
      <c r="BQ16" t="s">
        <v>755</v>
      </c>
      <c r="BR16" t="s">
        <v>756</v>
      </c>
      <c r="BS16" t="s">
        <v>757</v>
      </c>
      <c r="BT16" t="s">
        <v>165</v>
      </c>
      <c r="BU16" t="s">
        <v>217</v>
      </c>
      <c r="BV16" t="s">
        <v>212</v>
      </c>
      <c r="BW16" t="s">
        <v>218</v>
      </c>
      <c r="BX16" t="s">
        <v>219</v>
      </c>
      <c r="BY16" t="s">
        <v>176</v>
      </c>
      <c r="BZ16" t="s">
        <v>220</v>
      </c>
      <c r="CA16" t="s">
        <v>176</v>
      </c>
      <c r="CB16" t="s">
        <v>176</v>
      </c>
      <c r="CC16" t="s">
        <v>221</v>
      </c>
      <c r="CD16" t="s">
        <v>222</v>
      </c>
      <c r="CE16" t="s">
        <v>223</v>
      </c>
      <c r="CF16" t="s">
        <v>224</v>
      </c>
      <c r="CG16" t="s">
        <v>225</v>
      </c>
      <c r="CH16" t="s">
        <v>226</v>
      </c>
      <c r="CI16" t="s">
        <v>182</v>
      </c>
      <c r="CJ16" t="s">
        <v>218</v>
      </c>
      <c r="CK16" t="s">
        <v>227</v>
      </c>
      <c r="CL16" t="s">
        <v>227</v>
      </c>
      <c r="CM16" t="s">
        <v>227</v>
      </c>
      <c r="CN16" t="s">
        <v>176</v>
      </c>
      <c r="CO16" t="s">
        <v>228</v>
      </c>
      <c r="CP16" t="s">
        <v>176</v>
      </c>
      <c r="CQ16" t="s">
        <v>176</v>
      </c>
      <c r="CR16" t="s">
        <v>176</v>
      </c>
      <c r="CS16" t="s">
        <v>176</v>
      </c>
      <c r="CT16" t="s">
        <v>758</v>
      </c>
      <c r="CU16" t="s">
        <v>759</v>
      </c>
      <c r="CV16" t="s">
        <v>760</v>
      </c>
      <c r="CW16" t="s">
        <v>761</v>
      </c>
      <c r="CX16" t="s">
        <v>762</v>
      </c>
      <c r="CY16" t="s">
        <v>763</v>
      </c>
      <c r="CZ16" t="s">
        <v>764</v>
      </c>
      <c r="DA16" t="s">
        <v>765</v>
      </c>
      <c r="DB16" t="s">
        <v>732</v>
      </c>
      <c r="DC16" t="s">
        <v>766</v>
      </c>
      <c r="DD16" t="s">
        <v>238</v>
      </c>
      <c r="DE16" t="s">
        <v>239</v>
      </c>
      <c r="DF16" t="s">
        <v>182</v>
      </c>
      <c r="DG16" t="s">
        <v>240</v>
      </c>
      <c r="DH16" t="s">
        <v>241</v>
      </c>
      <c r="DI16" t="s">
        <v>182</v>
      </c>
      <c r="DJ16" t="s">
        <v>242</v>
      </c>
      <c r="DK16" t="s">
        <v>243</v>
      </c>
      <c r="DL16" t="s">
        <v>244</v>
      </c>
      <c r="DM16" t="s">
        <v>176</v>
      </c>
      <c r="DN16" t="s">
        <v>731</v>
      </c>
      <c r="DO16" t="s">
        <v>245</v>
      </c>
      <c r="DP16" t="s">
        <v>246</v>
      </c>
      <c r="DQ16" t="s">
        <v>247</v>
      </c>
      <c r="DR16" t="s">
        <v>248</v>
      </c>
      <c r="DS16" t="s">
        <v>249</v>
      </c>
      <c r="DT16" t="s">
        <v>250</v>
      </c>
    </row>
    <row r="17" spans="1:124" ht="17.55" customHeight="1" x14ac:dyDescent="0.45">
      <c r="A17" t="s">
        <v>752</v>
      </c>
      <c r="B17" t="s">
        <v>767</v>
      </c>
      <c r="C17" t="s">
        <v>17</v>
      </c>
      <c r="D17" t="s">
        <v>167</v>
      </c>
      <c r="E17" t="s">
        <v>168</v>
      </c>
      <c r="I17" t="s">
        <v>768</v>
      </c>
      <c r="J17">
        <f t="shared" si="0"/>
        <v>0.67520967264322174</v>
      </c>
      <c r="K17">
        <f t="shared" si="1"/>
        <v>2.7366528799999994</v>
      </c>
      <c r="L17">
        <f t="shared" si="2"/>
        <v>0.54158526808514018</v>
      </c>
      <c r="M17">
        <f t="shared" si="3"/>
        <v>9.42744004865202</v>
      </c>
      <c r="N17" t="s">
        <v>769</v>
      </c>
      <c r="O17" t="s">
        <v>770</v>
      </c>
      <c r="P17">
        <f t="shared" si="4"/>
        <v>4.3493456320892285</v>
      </c>
      <c r="Q17">
        <f t="shared" si="5"/>
        <v>1.6962766320892286</v>
      </c>
      <c r="R17" t="s">
        <v>771</v>
      </c>
      <c r="S17" t="s">
        <v>772</v>
      </c>
      <c r="T17">
        <f t="shared" si="6"/>
        <v>43.084156830997806</v>
      </c>
      <c r="U17">
        <f t="shared" si="7"/>
        <v>0.4417875</v>
      </c>
      <c r="V17" t="s">
        <v>174</v>
      </c>
      <c r="W17" t="s">
        <v>773</v>
      </c>
      <c r="X17" t="s">
        <v>176</v>
      </c>
      <c r="Y17" t="s">
        <v>176</v>
      </c>
      <c r="Z17" t="s">
        <v>176</v>
      </c>
      <c r="AA17" t="s">
        <v>774</v>
      </c>
      <c r="AB17" t="s">
        <v>775</v>
      </c>
      <c r="AC17" t="s">
        <v>776</v>
      </c>
      <c r="AD17" t="s">
        <v>180</v>
      </c>
      <c r="AE17" t="s">
        <v>181</v>
      </c>
      <c r="AF17">
        <f t="shared" si="8"/>
        <v>432.30138336000005</v>
      </c>
      <c r="AG17" t="s">
        <v>182</v>
      </c>
      <c r="AH17" t="s">
        <v>777</v>
      </c>
      <c r="AI17" t="s">
        <v>778</v>
      </c>
      <c r="AJ17" t="s">
        <v>779</v>
      </c>
      <c r="AK17" t="s">
        <v>780</v>
      </c>
      <c r="AL17">
        <f t="shared" si="9"/>
        <v>30.36</v>
      </c>
      <c r="AM17" t="s">
        <v>187</v>
      </c>
      <c r="AN17" t="s">
        <v>781</v>
      </c>
      <c r="AO17" t="s">
        <v>782</v>
      </c>
      <c r="AP17" t="s">
        <v>699</v>
      </c>
      <c r="AQ17" t="s">
        <v>783</v>
      </c>
      <c r="AR17" t="s">
        <v>784</v>
      </c>
      <c r="AS17" t="s">
        <v>785</v>
      </c>
      <c r="AT17" t="s">
        <v>786</v>
      </c>
      <c r="AU17" t="s">
        <v>787</v>
      </c>
      <c r="AV17" t="s">
        <v>788</v>
      </c>
      <c r="AW17" t="s">
        <v>789</v>
      </c>
      <c r="AX17" t="s">
        <v>790</v>
      </c>
      <c r="AY17" t="s">
        <v>791</v>
      </c>
      <c r="AZ17" t="s">
        <v>200</v>
      </c>
      <c r="BA17" t="s">
        <v>792</v>
      </c>
      <c r="BB17" t="s">
        <v>793</v>
      </c>
      <c r="BC17" t="s">
        <v>794</v>
      </c>
      <c r="BD17" t="s">
        <v>17</v>
      </c>
      <c r="BE17" t="s">
        <v>708</v>
      </c>
      <c r="BF17" t="s">
        <v>795</v>
      </c>
      <c r="BG17" t="s">
        <v>751</v>
      </c>
      <c r="BH17" t="s">
        <v>752</v>
      </c>
      <c r="BI17" t="s">
        <v>753</v>
      </c>
      <c r="BJ17" t="s">
        <v>589</v>
      </c>
      <c r="BK17" t="s">
        <v>17</v>
      </c>
      <c r="BL17" t="s">
        <v>590</v>
      </c>
      <c r="BM17" t="s">
        <v>165</v>
      </c>
      <c r="BN17" t="s">
        <v>285</v>
      </c>
      <c r="BO17" t="s">
        <v>330</v>
      </c>
      <c r="BP17" t="s">
        <v>330</v>
      </c>
      <c r="BQ17" t="s">
        <v>796</v>
      </c>
      <c r="BR17" t="s">
        <v>797</v>
      </c>
      <c r="BS17" t="s">
        <v>798</v>
      </c>
      <c r="BT17" t="s">
        <v>165</v>
      </c>
      <c r="BU17" t="s">
        <v>217</v>
      </c>
      <c r="BV17" t="s">
        <v>212</v>
      </c>
      <c r="BW17" t="s">
        <v>218</v>
      </c>
      <c r="BX17" t="s">
        <v>219</v>
      </c>
      <c r="BY17" t="s">
        <v>176</v>
      </c>
      <c r="BZ17" t="s">
        <v>220</v>
      </c>
      <c r="CA17" t="s">
        <v>176</v>
      </c>
      <c r="CB17" t="s">
        <v>176</v>
      </c>
      <c r="CC17" t="s">
        <v>221</v>
      </c>
      <c r="CD17" t="s">
        <v>222</v>
      </c>
      <c r="CE17" t="s">
        <v>223</v>
      </c>
      <c r="CF17" t="s">
        <v>224</v>
      </c>
      <c r="CG17" t="s">
        <v>225</v>
      </c>
      <c r="CH17" t="s">
        <v>226</v>
      </c>
      <c r="CI17" t="s">
        <v>182</v>
      </c>
      <c r="CJ17" t="s">
        <v>218</v>
      </c>
      <c r="CK17" t="s">
        <v>227</v>
      </c>
      <c r="CL17" t="s">
        <v>227</v>
      </c>
      <c r="CM17" t="s">
        <v>227</v>
      </c>
      <c r="CN17" t="s">
        <v>176</v>
      </c>
      <c r="CO17" t="s">
        <v>228</v>
      </c>
      <c r="CP17" t="s">
        <v>176</v>
      </c>
      <c r="CQ17" t="s">
        <v>176</v>
      </c>
      <c r="CR17" t="s">
        <v>176</v>
      </c>
      <c r="CS17" t="s">
        <v>176</v>
      </c>
      <c r="CT17" t="s">
        <v>799</v>
      </c>
      <c r="CU17" t="s">
        <v>800</v>
      </c>
      <c r="CV17" t="s">
        <v>801</v>
      </c>
      <c r="CW17" t="s">
        <v>802</v>
      </c>
      <c r="CX17" t="s">
        <v>803</v>
      </c>
      <c r="CY17" t="s">
        <v>804</v>
      </c>
      <c r="CZ17" t="s">
        <v>805</v>
      </c>
      <c r="DA17" t="s">
        <v>806</v>
      </c>
      <c r="DB17" t="s">
        <v>774</v>
      </c>
      <c r="DC17" t="s">
        <v>807</v>
      </c>
      <c r="DD17" t="s">
        <v>238</v>
      </c>
      <c r="DE17" t="s">
        <v>239</v>
      </c>
      <c r="DF17" t="s">
        <v>182</v>
      </c>
      <c r="DG17" t="s">
        <v>240</v>
      </c>
      <c r="DH17" t="s">
        <v>241</v>
      </c>
      <c r="DI17" t="s">
        <v>182</v>
      </c>
      <c r="DJ17" t="s">
        <v>242</v>
      </c>
      <c r="DK17" t="s">
        <v>243</v>
      </c>
      <c r="DL17" t="s">
        <v>244</v>
      </c>
      <c r="DM17" t="s">
        <v>176</v>
      </c>
      <c r="DN17" t="s">
        <v>773</v>
      </c>
      <c r="DO17" t="s">
        <v>245</v>
      </c>
      <c r="DP17" t="s">
        <v>246</v>
      </c>
      <c r="DQ17" t="s">
        <v>247</v>
      </c>
      <c r="DR17" t="s">
        <v>248</v>
      </c>
      <c r="DS17" t="s">
        <v>249</v>
      </c>
      <c r="DT17" t="s">
        <v>250</v>
      </c>
    </row>
    <row r="18" spans="1:124" ht="17.55" customHeight="1" x14ac:dyDescent="0.45">
      <c r="A18" t="s">
        <v>808</v>
      </c>
      <c r="B18" t="s">
        <v>809</v>
      </c>
      <c r="C18" t="s">
        <v>17</v>
      </c>
      <c r="D18" t="s">
        <v>167</v>
      </c>
      <c r="E18" t="s">
        <v>168</v>
      </c>
      <c r="I18" t="s">
        <v>810</v>
      </c>
      <c r="J18">
        <f t="shared" si="0"/>
        <v>0.67586714303847795</v>
      </c>
      <c r="K18">
        <f t="shared" si="1"/>
        <v>2.69910768</v>
      </c>
      <c r="L18">
        <f t="shared" si="2"/>
        <v>0.54051905335176964</v>
      </c>
      <c r="M18">
        <f t="shared" si="3"/>
        <v>9.5962485341967181</v>
      </c>
      <c r="N18" t="s">
        <v>811</v>
      </c>
      <c r="O18" t="s">
        <v>812</v>
      </c>
      <c r="P18">
        <f t="shared" si="4"/>
        <v>4.3344183783743171</v>
      </c>
      <c r="Q18">
        <f t="shared" si="5"/>
        <v>1.7307753783743172</v>
      </c>
      <c r="R18" t="s">
        <v>813</v>
      </c>
      <c r="S18" t="s">
        <v>814</v>
      </c>
      <c r="T18">
        <f t="shared" si="6"/>
        <v>42.936289037883277</v>
      </c>
      <c r="U18">
        <f t="shared" si="7"/>
        <v>0.4417875</v>
      </c>
      <c r="V18" t="s">
        <v>174</v>
      </c>
      <c r="W18" t="s">
        <v>815</v>
      </c>
      <c r="X18" t="s">
        <v>176</v>
      </c>
      <c r="Y18" t="s">
        <v>176</v>
      </c>
      <c r="Z18" t="s">
        <v>176</v>
      </c>
      <c r="AA18" t="s">
        <v>816</v>
      </c>
      <c r="AB18" t="s">
        <v>817</v>
      </c>
      <c r="AC18" t="s">
        <v>818</v>
      </c>
      <c r="AD18" t="s">
        <v>180</v>
      </c>
      <c r="AE18" t="s">
        <v>181</v>
      </c>
      <c r="AF18">
        <f t="shared" si="8"/>
        <v>370.32512243999997</v>
      </c>
      <c r="AG18" t="s">
        <v>182</v>
      </c>
      <c r="AH18" t="s">
        <v>819</v>
      </c>
      <c r="AI18" t="s">
        <v>820</v>
      </c>
      <c r="AJ18" t="s">
        <v>821</v>
      </c>
      <c r="AK18" t="s">
        <v>822</v>
      </c>
      <c r="AL18">
        <f t="shared" si="9"/>
        <v>30.3</v>
      </c>
      <c r="AM18" t="s">
        <v>187</v>
      </c>
      <c r="AN18" t="s">
        <v>823</v>
      </c>
      <c r="AO18" t="s">
        <v>824</v>
      </c>
      <c r="AP18" t="s">
        <v>825</v>
      </c>
      <c r="AQ18" t="s">
        <v>826</v>
      </c>
      <c r="AR18" t="s">
        <v>827</v>
      </c>
      <c r="AS18" t="s">
        <v>194</v>
      </c>
      <c r="AT18" t="s">
        <v>786</v>
      </c>
      <c r="AU18" t="s">
        <v>828</v>
      </c>
      <c r="AV18" t="s">
        <v>829</v>
      </c>
      <c r="AW18" t="s">
        <v>830</v>
      </c>
      <c r="AX18" t="s">
        <v>831</v>
      </c>
      <c r="AY18" t="s">
        <v>832</v>
      </c>
      <c r="AZ18" t="s">
        <v>200</v>
      </c>
      <c r="BA18" t="s">
        <v>833</v>
      </c>
      <c r="BB18" t="s">
        <v>834</v>
      </c>
      <c r="BC18" t="s">
        <v>835</v>
      </c>
      <c r="BD18" t="s">
        <v>17</v>
      </c>
      <c r="BE18" t="s">
        <v>836</v>
      </c>
      <c r="BF18" t="s">
        <v>795</v>
      </c>
      <c r="BG18" t="s">
        <v>837</v>
      </c>
      <c r="BH18" t="s">
        <v>752</v>
      </c>
      <c r="BI18" t="s">
        <v>753</v>
      </c>
      <c r="BJ18" t="s">
        <v>589</v>
      </c>
      <c r="BK18" t="s">
        <v>17</v>
      </c>
      <c r="BL18" t="s">
        <v>590</v>
      </c>
      <c r="BM18" t="s">
        <v>165</v>
      </c>
      <c r="BN18" t="s">
        <v>458</v>
      </c>
      <c r="BO18" t="s">
        <v>211</v>
      </c>
      <c r="BP18" t="s">
        <v>212</v>
      </c>
      <c r="BQ18" t="s">
        <v>838</v>
      </c>
      <c r="BR18" t="s">
        <v>839</v>
      </c>
      <c r="BS18" t="s">
        <v>840</v>
      </c>
      <c r="BT18" t="s">
        <v>165</v>
      </c>
      <c r="BU18" t="s">
        <v>217</v>
      </c>
      <c r="BV18" t="s">
        <v>212</v>
      </c>
      <c r="BW18" t="s">
        <v>218</v>
      </c>
      <c r="BX18" t="s">
        <v>219</v>
      </c>
      <c r="BY18" t="s">
        <v>176</v>
      </c>
      <c r="BZ18" t="s">
        <v>220</v>
      </c>
      <c r="CA18" t="s">
        <v>176</v>
      </c>
      <c r="CB18" t="s">
        <v>176</v>
      </c>
      <c r="CC18" t="s">
        <v>221</v>
      </c>
      <c r="CD18" t="s">
        <v>222</v>
      </c>
      <c r="CE18" t="s">
        <v>223</v>
      </c>
      <c r="CF18" t="s">
        <v>224</v>
      </c>
      <c r="CG18" t="s">
        <v>225</v>
      </c>
      <c r="CH18" t="s">
        <v>226</v>
      </c>
      <c r="CI18" t="s">
        <v>182</v>
      </c>
      <c r="CJ18" t="s">
        <v>218</v>
      </c>
      <c r="CK18" t="s">
        <v>227</v>
      </c>
      <c r="CL18" t="s">
        <v>227</v>
      </c>
      <c r="CM18" t="s">
        <v>227</v>
      </c>
      <c r="CN18" t="s">
        <v>176</v>
      </c>
      <c r="CO18" t="s">
        <v>228</v>
      </c>
      <c r="CP18" t="s">
        <v>176</v>
      </c>
      <c r="CQ18" t="s">
        <v>176</v>
      </c>
      <c r="CR18" t="s">
        <v>176</v>
      </c>
      <c r="CS18" t="s">
        <v>176</v>
      </c>
      <c r="CT18" t="s">
        <v>841</v>
      </c>
      <c r="CU18" t="s">
        <v>842</v>
      </c>
      <c r="CV18" t="s">
        <v>843</v>
      </c>
      <c r="CW18" t="s">
        <v>844</v>
      </c>
      <c r="CX18" t="s">
        <v>845</v>
      </c>
      <c r="CY18" t="s">
        <v>846</v>
      </c>
      <c r="CZ18" t="s">
        <v>847</v>
      </c>
      <c r="DA18" t="s">
        <v>848</v>
      </c>
      <c r="DB18" t="s">
        <v>816</v>
      </c>
      <c r="DC18" t="s">
        <v>343</v>
      </c>
      <c r="DD18" t="s">
        <v>238</v>
      </c>
      <c r="DE18" t="s">
        <v>239</v>
      </c>
      <c r="DF18" t="s">
        <v>182</v>
      </c>
      <c r="DG18" t="s">
        <v>240</v>
      </c>
      <c r="DH18" t="s">
        <v>241</v>
      </c>
      <c r="DI18" t="s">
        <v>182</v>
      </c>
      <c r="DJ18" t="s">
        <v>242</v>
      </c>
      <c r="DK18" t="s">
        <v>243</v>
      </c>
      <c r="DL18" t="s">
        <v>244</v>
      </c>
      <c r="DM18" t="s">
        <v>176</v>
      </c>
      <c r="DN18" t="s">
        <v>815</v>
      </c>
      <c r="DO18" t="s">
        <v>245</v>
      </c>
      <c r="DP18" t="s">
        <v>246</v>
      </c>
      <c r="DQ18" t="s">
        <v>247</v>
      </c>
      <c r="DR18" t="s">
        <v>248</v>
      </c>
      <c r="DS18" t="s">
        <v>249</v>
      </c>
      <c r="DT18" t="s">
        <v>250</v>
      </c>
    </row>
    <row r="19" spans="1:124" ht="17.55" customHeight="1" x14ac:dyDescent="0.45">
      <c r="A19" t="s">
        <v>849</v>
      </c>
      <c r="B19" t="s">
        <v>850</v>
      </c>
      <c r="C19" t="s">
        <v>17</v>
      </c>
      <c r="D19" t="s">
        <v>167</v>
      </c>
      <c r="E19" t="s">
        <v>168</v>
      </c>
      <c r="I19" t="s">
        <v>851</v>
      </c>
      <c r="J19">
        <f t="shared" si="0"/>
        <v>0.86276872480024713</v>
      </c>
      <c r="K19">
        <f t="shared" si="1"/>
        <v>2.6541588799999998</v>
      </c>
      <c r="L19">
        <f t="shared" si="2"/>
        <v>0.65111527151976001</v>
      </c>
      <c r="M19">
        <f t="shared" si="3"/>
        <v>13.418009881314152</v>
      </c>
      <c r="N19" t="s">
        <v>852</v>
      </c>
      <c r="O19" t="s">
        <v>853</v>
      </c>
      <c r="P19">
        <f t="shared" si="4"/>
        <v>4.7669810450961778</v>
      </c>
      <c r="Q19">
        <f t="shared" si="5"/>
        <v>2.0027910450961777</v>
      </c>
      <c r="R19" t="s">
        <v>854</v>
      </c>
      <c r="S19" t="s">
        <v>855</v>
      </c>
      <c r="T19">
        <f t="shared" si="6"/>
        <v>47.221208965786808</v>
      </c>
      <c r="U19">
        <f t="shared" si="7"/>
        <v>0.4417875</v>
      </c>
      <c r="V19" t="s">
        <v>174</v>
      </c>
      <c r="W19" t="s">
        <v>856</v>
      </c>
      <c r="X19" t="s">
        <v>176</v>
      </c>
      <c r="Y19" t="s">
        <v>176</v>
      </c>
      <c r="Z19" t="s">
        <v>176</v>
      </c>
      <c r="AA19" t="s">
        <v>857</v>
      </c>
      <c r="AB19" t="s">
        <v>858</v>
      </c>
      <c r="AC19" t="s">
        <v>859</v>
      </c>
      <c r="AD19" t="s">
        <v>180</v>
      </c>
      <c r="AE19" t="s">
        <v>181</v>
      </c>
      <c r="AF19">
        <f t="shared" si="8"/>
        <v>312.87411539999999</v>
      </c>
      <c r="AG19" t="s">
        <v>182</v>
      </c>
      <c r="AH19" t="s">
        <v>860</v>
      </c>
      <c r="AI19" t="s">
        <v>861</v>
      </c>
      <c r="AJ19" t="s">
        <v>862</v>
      </c>
      <c r="AK19" t="s">
        <v>863</v>
      </c>
      <c r="AL19">
        <f t="shared" si="9"/>
        <v>31.97</v>
      </c>
      <c r="AM19" t="s">
        <v>187</v>
      </c>
      <c r="AN19" t="s">
        <v>864</v>
      </c>
      <c r="AO19" t="s">
        <v>360</v>
      </c>
      <c r="AP19" t="s">
        <v>699</v>
      </c>
      <c r="AQ19" t="s">
        <v>865</v>
      </c>
      <c r="AR19" t="s">
        <v>827</v>
      </c>
      <c r="AS19" t="s">
        <v>587</v>
      </c>
      <c r="AT19" t="s">
        <v>866</v>
      </c>
      <c r="AU19" t="s">
        <v>867</v>
      </c>
      <c r="AV19" t="s">
        <v>868</v>
      </c>
      <c r="AW19" t="s">
        <v>869</v>
      </c>
      <c r="AX19" t="s">
        <v>870</v>
      </c>
      <c r="AY19" t="s">
        <v>871</v>
      </c>
      <c r="AZ19" t="s">
        <v>200</v>
      </c>
      <c r="BA19" t="s">
        <v>872</v>
      </c>
      <c r="BB19" t="s">
        <v>873</v>
      </c>
      <c r="BC19" t="s">
        <v>874</v>
      </c>
      <c r="BD19" t="s">
        <v>17</v>
      </c>
      <c r="BE19" t="s">
        <v>875</v>
      </c>
      <c r="BF19" t="s">
        <v>876</v>
      </c>
      <c r="BG19" t="s">
        <v>877</v>
      </c>
      <c r="BH19" t="s">
        <v>752</v>
      </c>
      <c r="BI19" t="s">
        <v>753</v>
      </c>
      <c r="BJ19" t="s">
        <v>589</v>
      </c>
      <c r="BK19" t="s">
        <v>17</v>
      </c>
      <c r="BL19" t="s">
        <v>590</v>
      </c>
      <c r="BM19" t="s">
        <v>165</v>
      </c>
      <c r="BN19" t="s">
        <v>211</v>
      </c>
      <c r="BO19" t="s">
        <v>212</v>
      </c>
      <c r="BP19" t="s">
        <v>878</v>
      </c>
      <c r="BQ19" t="s">
        <v>879</v>
      </c>
      <c r="BR19" t="s">
        <v>880</v>
      </c>
      <c r="BS19" t="s">
        <v>881</v>
      </c>
      <c r="BT19" t="s">
        <v>165</v>
      </c>
      <c r="BU19" t="s">
        <v>217</v>
      </c>
      <c r="BV19" t="s">
        <v>212</v>
      </c>
      <c r="BW19" t="s">
        <v>218</v>
      </c>
      <c r="BX19" t="s">
        <v>219</v>
      </c>
      <c r="BY19" t="s">
        <v>176</v>
      </c>
      <c r="BZ19" t="s">
        <v>220</v>
      </c>
      <c r="CA19" t="s">
        <v>176</v>
      </c>
      <c r="CB19" t="s">
        <v>176</v>
      </c>
      <c r="CC19" t="s">
        <v>221</v>
      </c>
      <c r="CD19" t="s">
        <v>222</v>
      </c>
      <c r="CE19" t="s">
        <v>223</v>
      </c>
      <c r="CF19" t="s">
        <v>224</v>
      </c>
      <c r="CG19" t="s">
        <v>225</v>
      </c>
      <c r="CH19" t="s">
        <v>226</v>
      </c>
      <c r="CI19" t="s">
        <v>182</v>
      </c>
      <c r="CJ19" t="s">
        <v>218</v>
      </c>
      <c r="CK19" t="s">
        <v>227</v>
      </c>
      <c r="CL19" t="s">
        <v>227</v>
      </c>
      <c r="CM19" t="s">
        <v>227</v>
      </c>
      <c r="CN19" t="s">
        <v>176</v>
      </c>
      <c r="CO19" t="s">
        <v>228</v>
      </c>
      <c r="CP19" t="s">
        <v>176</v>
      </c>
      <c r="CQ19" t="s">
        <v>176</v>
      </c>
      <c r="CR19" t="s">
        <v>176</v>
      </c>
      <c r="CS19" t="s">
        <v>176</v>
      </c>
      <c r="CT19" t="s">
        <v>882</v>
      </c>
      <c r="CU19" t="s">
        <v>883</v>
      </c>
      <c r="CV19" t="s">
        <v>884</v>
      </c>
      <c r="CW19" t="s">
        <v>885</v>
      </c>
      <c r="CX19" t="s">
        <v>886</v>
      </c>
      <c r="CY19" t="s">
        <v>887</v>
      </c>
      <c r="CZ19" t="s">
        <v>888</v>
      </c>
      <c r="DA19" t="s">
        <v>889</v>
      </c>
      <c r="DB19" t="s">
        <v>857</v>
      </c>
      <c r="DC19" t="s">
        <v>343</v>
      </c>
      <c r="DD19" t="s">
        <v>238</v>
      </c>
      <c r="DE19" t="s">
        <v>239</v>
      </c>
      <c r="DF19" t="s">
        <v>182</v>
      </c>
      <c r="DG19" t="s">
        <v>240</v>
      </c>
      <c r="DH19" t="s">
        <v>241</v>
      </c>
      <c r="DI19" t="s">
        <v>182</v>
      </c>
      <c r="DJ19" t="s">
        <v>242</v>
      </c>
      <c r="DK19" t="s">
        <v>243</v>
      </c>
      <c r="DL19" t="s">
        <v>244</v>
      </c>
      <c r="DM19" t="s">
        <v>176</v>
      </c>
      <c r="DN19" t="s">
        <v>856</v>
      </c>
      <c r="DO19" t="s">
        <v>245</v>
      </c>
      <c r="DP19" t="s">
        <v>246</v>
      </c>
      <c r="DQ19" t="s">
        <v>247</v>
      </c>
      <c r="DR19" t="s">
        <v>248</v>
      </c>
      <c r="DS19" t="s">
        <v>249</v>
      </c>
      <c r="DT19" t="s">
        <v>250</v>
      </c>
    </row>
    <row r="20" spans="1:124" ht="17.55" customHeight="1" x14ac:dyDescent="0.45">
      <c r="A20" t="s">
        <v>890</v>
      </c>
      <c r="B20" t="s">
        <v>891</v>
      </c>
      <c r="C20" t="s">
        <v>17</v>
      </c>
      <c r="D20" t="s">
        <v>167</v>
      </c>
      <c r="E20" t="s">
        <v>168</v>
      </c>
      <c r="I20" t="s">
        <v>892</v>
      </c>
      <c r="J20">
        <f t="shared" si="0"/>
        <v>1.0453332213892539</v>
      </c>
      <c r="K20">
        <f t="shared" si="1"/>
        <v>2.6644620799999998</v>
      </c>
      <c r="L20">
        <f t="shared" si="2"/>
        <v>0.75078286079905376</v>
      </c>
      <c r="M20">
        <f t="shared" si="3"/>
        <v>11.810320885853017</v>
      </c>
      <c r="N20" t="s">
        <v>893</v>
      </c>
      <c r="O20" t="s">
        <v>894</v>
      </c>
      <c r="P20">
        <f t="shared" si="4"/>
        <v>4.3071676589214247</v>
      </c>
      <c r="Q20">
        <f t="shared" si="5"/>
        <v>1.5323096589214247</v>
      </c>
      <c r="R20" t="s">
        <v>895</v>
      </c>
      <c r="S20" t="s">
        <v>896</v>
      </c>
      <c r="T20">
        <f t="shared" si="6"/>
        <v>42.666346299370232</v>
      </c>
      <c r="U20">
        <f t="shared" si="7"/>
        <v>0.4417875</v>
      </c>
      <c r="V20" t="s">
        <v>174</v>
      </c>
      <c r="W20" t="s">
        <v>897</v>
      </c>
      <c r="X20" t="s">
        <v>176</v>
      </c>
      <c r="Y20" t="s">
        <v>176</v>
      </c>
      <c r="Z20" t="s">
        <v>176</v>
      </c>
      <c r="AA20" t="s">
        <v>898</v>
      </c>
      <c r="AB20" t="s">
        <v>899</v>
      </c>
      <c r="AC20" t="s">
        <v>900</v>
      </c>
      <c r="AD20" t="s">
        <v>180</v>
      </c>
      <c r="AE20" t="s">
        <v>181</v>
      </c>
      <c r="AF20">
        <f t="shared" si="8"/>
        <v>384.47062920000002</v>
      </c>
      <c r="AG20" t="s">
        <v>182</v>
      </c>
      <c r="AH20" t="s">
        <v>901</v>
      </c>
      <c r="AI20" t="s">
        <v>902</v>
      </c>
      <c r="AJ20" t="s">
        <v>903</v>
      </c>
      <c r="AK20" t="s">
        <v>904</v>
      </c>
      <c r="AL20">
        <f t="shared" si="9"/>
        <v>30.19</v>
      </c>
      <c r="AM20" t="s">
        <v>187</v>
      </c>
      <c r="AN20" t="s">
        <v>905</v>
      </c>
      <c r="AO20" t="s">
        <v>906</v>
      </c>
      <c r="AP20" t="s">
        <v>907</v>
      </c>
      <c r="AQ20" t="s">
        <v>908</v>
      </c>
      <c r="AR20" t="s">
        <v>909</v>
      </c>
      <c r="AS20" t="s">
        <v>910</v>
      </c>
      <c r="AT20" t="s">
        <v>911</v>
      </c>
      <c r="AU20" t="s">
        <v>912</v>
      </c>
      <c r="AV20" t="s">
        <v>913</v>
      </c>
      <c r="AW20" t="s">
        <v>914</v>
      </c>
      <c r="AX20" t="s">
        <v>915</v>
      </c>
      <c r="AY20" t="s">
        <v>272</v>
      </c>
      <c r="AZ20" t="s">
        <v>200</v>
      </c>
      <c r="BA20" t="s">
        <v>872</v>
      </c>
      <c r="BB20" t="s">
        <v>873</v>
      </c>
      <c r="BC20" t="s">
        <v>916</v>
      </c>
      <c r="BD20" t="s">
        <v>17</v>
      </c>
      <c r="BE20" t="s">
        <v>917</v>
      </c>
      <c r="BF20" t="s">
        <v>918</v>
      </c>
      <c r="BG20" t="s">
        <v>919</v>
      </c>
      <c r="BH20" t="s">
        <v>752</v>
      </c>
      <c r="BI20" t="s">
        <v>753</v>
      </c>
      <c r="BJ20" t="s">
        <v>589</v>
      </c>
      <c r="BK20" t="s">
        <v>17</v>
      </c>
      <c r="BL20" t="s">
        <v>590</v>
      </c>
      <c r="BM20" t="s">
        <v>165</v>
      </c>
      <c r="BN20" t="s">
        <v>213</v>
      </c>
      <c r="BO20" t="s">
        <v>211</v>
      </c>
      <c r="BP20" t="s">
        <v>920</v>
      </c>
      <c r="BQ20" t="s">
        <v>921</v>
      </c>
      <c r="BR20" t="s">
        <v>922</v>
      </c>
      <c r="BS20" t="s">
        <v>923</v>
      </c>
      <c r="BT20" t="s">
        <v>165</v>
      </c>
      <c r="BU20" t="s">
        <v>217</v>
      </c>
      <c r="BV20" t="s">
        <v>212</v>
      </c>
      <c r="BW20" t="s">
        <v>218</v>
      </c>
      <c r="BX20" t="s">
        <v>219</v>
      </c>
      <c r="BY20" t="s">
        <v>176</v>
      </c>
      <c r="BZ20" t="s">
        <v>220</v>
      </c>
      <c r="CA20" t="s">
        <v>176</v>
      </c>
      <c r="CB20" t="s">
        <v>176</v>
      </c>
      <c r="CC20" t="s">
        <v>221</v>
      </c>
      <c r="CD20" t="s">
        <v>222</v>
      </c>
      <c r="CE20" t="s">
        <v>223</v>
      </c>
      <c r="CF20" t="s">
        <v>224</v>
      </c>
      <c r="CG20" t="s">
        <v>225</v>
      </c>
      <c r="CH20" t="s">
        <v>226</v>
      </c>
      <c r="CI20" t="s">
        <v>182</v>
      </c>
      <c r="CJ20" t="s">
        <v>218</v>
      </c>
      <c r="CK20" t="s">
        <v>227</v>
      </c>
      <c r="CL20" t="s">
        <v>227</v>
      </c>
      <c r="CM20" t="s">
        <v>227</v>
      </c>
      <c r="CN20" t="s">
        <v>176</v>
      </c>
      <c r="CO20" t="s">
        <v>228</v>
      </c>
      <c r="CP20" t="s">
        <v>176</v>
      </c>
      <c r="CQ20" t="s">
        <v>176</v>
      </c>
      <c r="CR20" t="s">
        <v>176</v>
      </c>
      <c r="CS20" t="s">
        <v>176</v>
      </c>
      <c r="CT20" t="s">
        <v>924</v>
      </c>
      <c r="CU20" t="s">
        <v>925</v>
      </c>
      <c r="CV20" t="s">
        <v>926</v>
      </c>
      <c r="CW20" t="s">
        <v>927</v>
      </c>
      <c r="CX20" t="s">
        <v>928</v>
      </c>
      <c r="CY20" t="s">
        <v>929</v>
      </c>
      <c r="CZ20" t="s">
        <v>930</v>
      </c>
      <c r="DA20" t="s">
        <v>931</v>
      </c>
      <c r="DB20" t="s">
        <v>898</v>
      </c>
      <c r="DC20" t="s">
        <v>807</v>
      </c>
      <c r="DD20" t="s">
        <v>238</v>
      </c>
      <c r="DE20" t="s">
        <v>239</v>
      </c>
      <c r="DF20" t="s">
        <v>182</v>
      </c>
      <c r="DG20" t="s">
        <v>240</v>
      </c>
      <c r="DH20" t="s">
        <v>241</v>
      </c>
      <c r="DI20" t="s">
        <v>182</v>
      </c>
      <c r="DJ20" t="s">
        <v>242</v>
      </c>
      <c r="DK20" t="s">
        <v>243</v>
      </c>
      <c r="DL20" t="s">
        <v>244</v>
      </c>
      <c r="DM20" t="s">
        <v>176</v>
      </c>
      <c r="DN20" t="s">
        <v>897</v>
      </c>
      <c r="DO20" t="s">
        <v>245</v>
      </c>
      <c r="DP20" t="s">
        <v>246</v>
      </c>
      <c r="DQ20" t="s">
        <v>247</v>
      </c>
      <c r="DR20" t="s">
        <v>248</v>
      </c>
      <c r="DS20" t="s">
        <v>249</v>
      </c>
      <c r="DT20" t="s">
        <v>250</v>
      </c>
    </row>
    <row r="21" spans="1:124" ht="17.55" customHeight="1" x14ac:dyDescent="0.45">
      <c r="A21" t="s">
        <v>932</v>
      </c>
      <c r="B21" t="s">
        <v>933</v>
      </c>
      <c r="C21" t="s">
        <v>17</v>
      </c>
      <c r="D21" t="s">
        <v>167</v>
      </c>
      <c r="E21" t="s">
        <v>168</v>
      </c>
      <c r="I21" t="s">
        <v>934</v>
      </c>
      <c r="J21">
        <f t="shared" si="0"/>
        <v>0.58699310915086345</v>
      </c>
      <c r="K21">
        <f t="shared" si="1"/>
        <v>2.7154024799999998</v>
      </c>
      <c r="L21">
        <f t="shared" si="2"/>
        <v>0.48265645386869188</v>
      </c>
      <c r="M21">
        <f t="shared" si="3"/>
        <v>9.4006446867967757</v>
      </c>
      <c r="N21" t="s">
        <v>935</v>
      </c>
      <c r="O21" t="s">
        <v>936</v>
      </c>
      <c r="P21">
        <f t="shared" si="4"/>
        <v>4.5552920706663942</v>
      </c>
      <c r="Q21">
        <f t="shared" si="5"/>
        <v>1.8955720706663941</v>
      </c>
      <c r="R21" t="s">
        <v>937</v>
      </c>
      <c r="S21" t="s">
        <v>938</v>
      </c>
      <c r="T21">
        <f t="shared" si="6"/>
        <v>45.133182113012921</v>
      </c>
      <c r="U21">
        <f t="shared" si="7"/>
        <v>0.4417875</v>
      </c>
      <c r="V21" t="s">
        <v>174</v>
      </c>
      <c r="W21" t="s">
        <v>939</v>
      </c>
      <c r="X21" t="s">
        <v>176</v>
      </c>
      <c r="Y21" t="s">
        <v>176</v>
      </c>
      <c r="Z21" t="s">
        <v>176</v>
      </c>
      <c r="AA21" t="s">
        <v>940</v>
      </c>
      <c r="AB21" t="s">
        <v>941</v>
      </c>
      <c r="AC21" t="s">
        <v>942</v>
      </c>
      <c r="AD21" t="s">
        <v>180</v>
      </c>
      <c r="AE21" t="s">
        <v>181</v>
      </c>
      <c r="AF21">
        <f t="shared" si="8"/>
        <v>446.54466948000004</v>
      </c>
      <c r="AG21" t="s">
        <v>182</v>
      </c>
      <c r="AH21" t="s">
        <v>943</v>
      </c>
      <c r="AI21" t="s">
        <v>944</v>
      </c>
      <c r="AJ21" t="s">
        <v>945</v>
      </c>
      <c r="AK21" t="s">
        <v>946</v>
      </c>
      <c r="AL21">
        <f t="shared" si="9"/>
        <v>31.17</v>
      </c>
      <c r="AM21" t="s">
        <v>947</v>
      </c>
      <c r="AN21" t="s">
        <v>948</v>
      </c>
      <c r="AO21" t="s">
        <v>949</v>
      </c>
      <c r="AP21" t="s">
        <v>950</v>
      </c>
      <c r="AQ21" t="s">
        <v>951</v>
      </c>
      <c r="AR21" t="s">
        <v>909</v>
      </c>
      <c r="AS21" t="s">
        <v>223</v>
      </c>
      <c r="AT21" t="s">
        <v>890</v>
      </c>
      <c r="AU21" t="s">
        <v>952</v>
      </c>
      <c r="AV21" t="s">
        <v>953</v>
      </c>
      <c r="AW21" t="s">
        <v>954</v>
      </c>
      <c r="AX21" t="s">
        <v>955</v>
      </c>
      <c r="AY21" t="s">
        <v>956</v>
      </c>
      <c r="AZ21" t="s">
        <v>200</v>
      </c>
      <c r="BA21" t="s">
        <v>957</v>
      </c>
      <c r="BB21" t="s">
        <v>958</v>
      </c>
      <c r="BC21" t="s">
        <v>959</v>
      </c>
      <c r="BD21" t="s">
        <v>17</v>
      </c>
      <c r="BE21" t="s">
        <v>960</v>
      </c>
      <c r="BF21" t="s">
        <v>876</v>
      </c>
      <c r="BG21" t="s">
        <v>961</v>
      </c>
      <c r="BH21" t="s">
        <v>752</v>
      </c>
      <c r="BI21" t="s">
        <v>753</v>
      </c>
      <c r="BJ21" t="s">
        <v>589</v>
      </c>
      <c r="BK21" t="s">
        <v>17</v>
      </c>
      <c r="BL21" t="s">
        <v>590</v>
      </c>
      <c r="BM21" t="s">
        <v>165</v>
      </c>
      <c r="BN21" t="s">
        <v>331</v>
      </c>
      <c r="BO21" t="s">
        <v>212</v>
      </c>
      <c r="BP21" t="s">
        <v>331</v>
      </c>
      <c r="BQ21" t="s">
        <v>962</v>
      </c>
      <c r="BR21" t="s">
        <v>963</v>
      </c>
      <c r="BS21" t="s">
        <v>964</v>
      </c>
      <c r="BT21" t="s">
        <v>165</v>
      </c>
      <c r="BU21" t="s">
        <v>217</v>
      </c>
      <c r="BV21" t="s">
        <v>212</v>
      </c>
      <c r="BW21" t="s">
        <v>218</v>
      </c>
      <c r="BX21" t="s">
        <v>219</v>
      </c>
      <c r="BY21" t="s">
        <v>176</v>
      </c>
      <c r="BZ21" t="s">
        <v>220</v>
      </c>
      <c r="CA21" t="s">
        <v>176</v>
      </c>
      <c r="CB21" t="s">
        <v>176</v>
      </c>
      <c r="CC21" t="s">
        <v>221</v>
      </c>
      <c r="CD21" t="s">
        <v>222</v>
      </c>
      <c r="CE21" t="s">
        <v>223</v>
      </c>
      <c r="CF21" t="s">
        <v>224</v>
      </c>
      <c r="CG21" t="s">
        <v>225</v>
      </c>
      <c r="CH21" t="s">
        <v>226</v>
      </c>
      <c r="CI21" t="s">
        <v>182</v>
      </c>
      <c r="CJ21" t="s">
        <v>218</v>
      </c>
      <c r="CK21" t="s">
        <v>227</v>
      </c>
      <c r="CL21" t="s">
        <v>227</v>
      </c>
      <c r="CM21" t="s">
        <v>227</v>
      </c>
      <c r="CN21" t="s">
        <v>176</v>
      </c>
      <c r="CO21" t="s">
        <v>228</v>
      </c>
      <c r="CP21" t="s">
        <v>176</v>
      </c>
      <c r="CQ21" t="s">
        <v>176</v>
      </c>
      <c r="CR21" t="s">
        <v>176</v>
      </c>
      <c r="CS21" t="s">
        <v>176</v>
      </c>
      <c r="CT21" t="s">
        <v>965</v>
      </c>
      <c r="CU21" t="s">
        <v>966</v>
      </c>
      <c r="CV21" t="s">
        <v>967</v>
      </c>
      <c r="CW21" t="s">
        <v>968</v>
      </c>
      <c r="CX21" t="s">
        <v>969</v>
      </c>
      <c r="CY21" t="s">
        <v>970</v>
      </c>
      <c r="CZ21" t="s">
        <v>971</v>
      </c>
      <c r="DA21" t="s">
        <v>972</v>
      </c>
      <c r="DB21" t="s">
        <v>940</v>
      </c>
      <c r="DC21" t="s">
        <v>682</v>
      </c>
      <c r="DD21" t="s">
        <v>238</v>
      </c>
      <c r="DE21" t="s">
        <v>239</v>
      </c>
      <c r="DF21" t="s">
        <v>182</v>
      </c>
      <c r="DG21" t="s">
        <v>240</v>
      </c>
      <c r="DH21" t="s">
        <v>241</v>
      </c>
      <c r="DI21" t="s">
        <v>182</v>
      </c>
      <c r="DJ21" t="s">
        <v>242</v>
      </c>
      <c r="DK21" t="s">
        <v>243</v>
      </c>
      <c r="DL21" t="s">
        <v>244</v>
      </c>
      <c r="DM21" t="s">
        <v>176</v>
      </c>
      <c r="DN21" t="s">
        <v>939</v>
      </c>
      <c r="DO21" t="s">
        <v>245</v>
      </c>
      <c r="DP21" t="s">
        <v>246</v>
      </c>
      <c r="DQ21" t="s">
        <v>247</v>
      </c>
      <c r="DR21" t="s">
        <v>248</v>
      </c>
      <c r="DS21" t="s">
        <v>249</v>
      </c>
      <c r="DT21" t="s">
        <v>250</v>
      </c>
    </row>
    <row r="22" spans="1:124" ht="17.55" customHeight="1" x14ac:dyDescent="0.45">
      <c r="A22" t="s">
        <v>973</v>
      </c>
      <c r="B22" t="s">
        <v>974</v>
      </c>
      <c r="C22" t="s">
        <v>17</v>
      </c>
      <c r="D22" t="s">
        <v>167</v>
      </c>
      <c r="E22" t="s">
        <v>168</v>
      </c>
      <c r="I22" t="s">
        <v>975</v>
      </c>
      <c r="J22">
        <f t="shared" si="0"/>
        <v>0.90234487691654197</v>
      </c>
      <c r="K22">
        <f t="shared" si="1"/>
        <v>2.68027032</v>
      </c>
      <c r="L22">
        <f t="shared" si="2"/>
        <v>0.67507339166233116</v>
      </c>
      <c r="M22">
        <f t="shared" si="3"/>
        <v>11.312983771968918</v>
      </c>
      <c r="N22" t="s">
        <v>976</v>
      </c>
      <c r="O22" t="s">
        <v>977</v>
      </c>
      <c r="P22">
        <f t="shared" si="4"/>
        <v>4.2948304037817904</v>
      </c>
      <c r="Q22">
        <f t="shared" si="5"/>
        <v>1.6330844037817904</v>
      </c>
      <c r="R22" t="s">
        <v>978</v>
      </c>
      <c r="S22" t="s">
        <v>979</v>
      </c>
      <c r="T22">
        <f t="shared" si="6"/>
        <v>42.552565181628751</v>
      </c>
      <c r="U22">
        <f t="shared" si="7"/>
        <v>0.4417875</v>
      </c>
      <c r="V22" t="s">
        <v>174</v>
      </c>
      <c r="W22" t="s">
        <v>980</v>
      </c>
      <c r="X22" t="s">
        <v>176</v>
      </c>
      <c r="Y22" t="s">
        <v>176</v>
      </c>
      <c r="Z22" t="s">
        <v>176</v>
      </c>
      <c r="AA22" t="s">
        <v>981</v>
      </c>
      <c r="AB22" t="s">
        <v>982</v>
      </c>
      <c r="AC22" t="s">
        <v>983</v>
      </c>
      <c r="AD22" t="s">
        <v>180</v>
      </c>
      <c r="AE22" t="s">
        <v>181</v>
      </c>
      <c r="AF22">
        <f t="shared" si="8"/>
        <v>359.93960184000002</v>
      </c>
      <c r="AG22" t="s">
        <v>182</v>
      </c>
      <c r="AH22" t="s">
        <v>984</v>
      </c>
      <c r="AI22" t="s">
        <v>985</v>
      </c>
      <c r="AJ22" t="s">
        <v>986</v>
      </c>
      <c r="AK22" t="s">
        <v>987</v>
      </c>
      <c r="AL22">
        <f t="shared" si="9"/>
        <v>30.14</v>
      </c>
      <c r="AM22" t="s">
        <v>947</v>
      </c>
      <c r="AN22" t="s">
        <v>988</v>
      </c>
      <c r="AO22" t="s">
        <v>189</v>
      </c>
      <c r="AP22" t="s">
        <v>989</v>
      </c>
      <c r="AQ22" t="s">
        <v>990</v>
      </c>
      <c r="AR22" t="s">
        <v>991</v>
      </c>
      <c r="AS22" t="s">
        <v>317</v>
      </c>
      <c r="AT22" t="s">
        <v>992</v>
      </c>
      <c r="AU22" t="s">
        <v>993</v>
      </c>
      <c r="AV22" t="s">
        <v>994</v>
      </c>
      <c r="AW22" t="s">
        <v>995</v>
      </c>
      <c r="AX22" t="s">
        <v>996</v>
      </c>
      <c r="AY22" t="s">
        <v>997</v>
      </c>
      <c r="AZ22" t="s">
        <v>200</v>
      </c>
      <c r="BA22" t="s">
        <v>998</v>
      </c>
      <c r="BB22" t="s">
        <v>999</v>
      </c>
      <c r="BC22" t="s">
        <v>1000</v>
      </c>
      <c r="BD22" t="s">
        <v>17</v>
      </c>
      <c r="BE22" t="s">
        <v>917</v>
      </c>
      <c r="BF22" t="s">
        <v>1001</v>
      </c>
      <c r="BG22" t="s">
        <v>1002</v>
      </c>
      <c r="BH22" t="s">
        <v>752</v>
      </c>
      <c r="BI22" t="s">
        <v>753</v>
      </c>
      <c r="BJ22" t="s">
        <v>589</v>
      </c>
      <c r="BK22" t="s">
        <v>17</v>
      </c>
      <c r="BL22" t="s">
        <v>590</v>
      </c>
      <c r="BM22" t="s">
        <v>165</v>
      </c>
      <c r="BN22" t="s">
        <v>331</v>
      </c>
      <c r="BO22" t="s">
        <v>212</v>
      </c>
      <c r="BP22" t="s">
        <v>1003</v>
      </c>
      <c r="BQ22" t="s">
        <v>1004</v>
      </c>
      <c r="BR22" t="s">
        <v>1005</v>
      </c>
      <c r="BS22" t="s">
        <v>1006</v>
      </c>
      <c r="BT22" t="s">
        <v>165</v>
      </c>
      <c r="BU22" t="s">
        <v>217</v>
      </c>
      <c r="BV22" t="s">
        <v>212</v>
      </c>
      <c r="BW22" t="s">
        <v>218</v>
      </c>
      <c r="BX22" t="s">
        <v>219</v>
      </c>
      <c r="BY22" t="s">
        <v>176</v>
      </c>
      <c r="BZ22" t="s">
        <v>220</v>
      </c>
      <c r="CA22" t="s">
        <v>176</v>
      </c>
      <c r="CB22" t="s">
        <v>176</v>
      </c>
      <c r="CC22" t="s">
        <v>221</v>
      </c>
      <c r="CD22" t="s">
        <v>222</v>
      </c>
      <c r="CE22" t="s">
        <v>223</v>
      </c>
      <c r="CF22" t="s">
        <v>224</v>
      </c>
      <c r="CG22" t="s">
        <v>225</v>
      </c>
      <c r="CH22" t="s">
        <v>226</v>
      </c>
      <c r="CI22" t="s">
        <v>182</v>
      </c>
      <c r="CJ22" t="s">
        <v>218</v>
      </c>
      <c r="CK22" t="s">
        <v>227</v>
      </c>
      <c r="CL22" t="s">
        <v>227</v>
      </c>
      <c r="CM22" t="s">
        <v>227</v>
      </c>
      <c r="CN22" t="s">
        <v>176</v>
      </c>
      <c r="CO22" t="s">
        <v>228</v>
      </c>
      <c r="CP22" t="s">
        <v>176</v>
      </c>
      <c r="CQ22" t="s">
        <v>176</v>
      </c>
      <c r="CR22" t="s">
        <v>176</v>
      </c>
      <c r="CS22" t="s">
        <v>176</v>
      </c>
      <c r="CT22" t="s">
        <v>1007</v>
      </c>
      <c r="CU22" t="s">
        <v>1008</v>
      </c>
      <c r="CV22" t="s">
        <v>1009</v>
      </c>
      <c r="CW22" t="s">
        <v>1010</v>
      </c>
      <c r="CX22" t="s">
        <v>1011</v>
      </c>
      <c r="CY22" t="s">
        <v>1012</v>
      </c>
      <c r="CZ22" t="s">
        <v>1013</v>
      </c>
      <c r="DA22" t="s">
        <v>1014</v>
      </c>
      <c r="DB22" t="s">
        <v>981</v>
      </c>
      <c r="DC22" t="s">
        <v>1015</v>
      </c>
      <c r="DD22" t="s">
        <v>238</v>
      </c>
      <c r="DE22" t="s">
        <v>239</v>
      </c>
      <c r="DF22" t="s">
        <v>182</v>
      </c>
      <c r="DG22" t="s">
        <v>240</v>
      </c>
      <c r="DH22" t="s">
        <v>241</v>
      </c>
      <c r="DI22" t="s">
        <v>182</v>
      </c>
      <c r="DJ22" t="s">
        <v>242</v>
      </c>
      <c r="DK22" t="s">
        <v>243</v>
      </c>
      <c r="DL22" t="s">
        <v>244</v>
      </c>
      <c r="DM22" t="s">
        <v>176</v>
      </c>
      <c r="DN22" t="s">
        <v>980</v>
      </c>
      <c r="DO22" t="s">
        <v>245</v>
      </c>
      <c r="DP22" t="s">
        <v>246</v>
      </c>
      <c r="DQ22" t="s">
        <v>247</v>
      </c>
      <c r="DR22" t="s">
        <v>248</v>
      </c>
      <c r="DS22" t="s">
        <v>249</v>
      </c>
      <c r="DT22" t="s">
        <v>250</v>
      </c>
    </row>
    <row r="23" spans="1:124" ht="17.55" customHeight="1" x14ac:dyDescent="0.45">
      <c r="A23" t="s">
        <v>1016</v>
      </c>
      <c r="B23" t="s">
        <v>1017</v>
      </c>
      <c r="C23" t="s">
        <v>17</v>
      </c>
      <c r="D23" t="s">
        <v>167</v>
      </c>
      <c r="E23" t="s">
        <v>168</v>
      </c>
      <c r="I23" t="s">
        <v>1018</v>
      </c>
      <c r="J23">
        <f t="shared" si="0"/>
        <v>0.83819011410989963</v>
      </c>
      <c r="K23">
        <f t="shared" si="1"/>
        <v>2.7553131200000003</v>
      </c>
      <c r="L23">
        <f t="shared" si="2"/>
        <v>0.64268099066657836</v>
      </c>
      <c r="M23">
        <f t="shared" si="3"/>
        <v>13.750899538662926</v>
      </c>
      <c r="N23" t="s">
        <v>1019</v>
      </c>
      <c r="O23" t="s">
        <v>1020</v>
      </c>
      <c r="P23">
        <f t="shared" si="4"/>
        <v>4.8677492218336615</v>
      </c>
      <c r="Q23">
        <f t="shared" si="5"/>
        <v>2.0775682218336615</v>
      </c>
      <c r="R23" t="s">
        <v>1021</v>
      </c>
      <c r="S23" t="s">
        <v>1022</v>
      </c>
      <c r="T23">
        <f t="shared" si="6"/>
        <v>48.228962863704162</v>
      </c>
      <c r="U23">
        <f t="shared" si="7"/>
        <v>0.4417875</v>
      </c>
      <c r="V23" t="s">
        <v>174</v>
      </c>
      <c r="W23" t="s">
        <v>1023</v>
      </c>
      <c r="X23" t="s">
        <v>176</v>
      </c>
      <c r="Y23" t="s">
        <v>176</v>
      </c>
      <c r="Z23" t="s">
        <v>176</v>
      </c>
      <c r="AA23" t="s">
        <v>1024</v>
      </c>
      <c r="AB23" t="s">
        <v>1025</v>
      </c>
      <c r="AC23" t="s">
        <v>1026</v>
      </c>
      <c r="AD23" t="s">
        <v>180</v>
      </c>
      <c r="AE23" t="s">
        <v>181</v>
      </c>
      <c r="AF23">
        <f t="shared" si="8"/>
        <v>321.22949669999997</v>
      </c>
      <c r="AG23" t="s">
        <v>182</v>
      </c>
      <c r="AH23" t="s">
        <v>1027</v>
      </c>
      <c r="AI23" t="s">
        <v>1028</v>
      </c>
      <c r="AJ23" t="s">
        <v>1029</v>
      </c>
      <c r="AK23" t="s">
        <v>1030</v>
      </c>
      <c r="AL23">
        <f t="shared" si="9"/>
        <v>32.340000000000003</v>
      </c>
      <c r="AM23" t="s">
        <v>947</v>
      </c>
      <c r="AN23" t="s">
        <v>1031</v>
      </c>
      <c r="AO23" t="s">
        <v>1032</v>
      </c>
      <c r="AP23" t="s">
        <v>1033</v>
      </c>
      <c r="AQ23" t="s">
        <v>1034</v>
      </c>
      <c r="AR23" t="s">
        <v>1035</v>
      </c>
      <c r="AS23" t="s">
        <v>1036</v>
      </c>
      <c r="AT23" t="s">
        <v>251</v>
      </c>
      <c r="AU23" t="s">
        <v>1037</v>
      </c>
      <c r="AV23" t="s">
        <v>1038</v>
      </c>
      <c r="AW23" t="s">
        <v>1039</v>
      </c>
      <c r="AX23" t="s">
        <v>1040</v>
      </c>
      <c r="AY23" t="s">
        <v>1041</v>
      </c>
      <c r="AZ23" t="s">
        <v>1042</v>
      </c>
      <c r="BA23" t="s">
        <v>1043</v>
      </c>
      <c r="BB23" t="s">
        <v>1044</v>
      </c>
      <c r="BC23" t="s">
        <v>1045</v>
      </c>
      <c r="BD23" t="s">
        <v>17</v>
      </c>
      <c r="BE23" t="s">
        <v>585</v>
      </c>
      <c r="BF23" t="s">
        <v>1046</v>
      </c>
      <c r="BG23" t="s">
        <v>1047</v>
      </c>
      <c r="BH23" t="s">
        <v>752</v>
      </c>
      <c r="BI23" t="s">
        <v>753</v>
      </c>
      <c r="BJ23" t="s">
        <v>1048</v>
      </c>
      <c r="BK23" t="s">
        <v>17</v>
      </c>
      <c r="BL23" t="s">
        <v>1049</v>
      </c>
      <c r="BM23" t="s">
        <v>165</v>
      </c>
      <c r="BN23" t="s">
        <v>211</v>
      </c>
      <c r="BO23" t="s">
        <v>212</v>
      </c>
      <c r="BP23" t="s">
        <v>283</v>
      </c>
      <c r="BQ23" t="s">
        <v>1050</v>
      </c>
      <c r="BR23" t="s">
        <v>1051</v>
      </c>
      <c r="BS23" t="s">
        <v>1052</v>
      </c>
      <c r="BT23" t="s">
        <v>165</v>
      </c>
      <c r="BU23" t="s">
        <v>217</v>
      </c>
      <c r="BV23" t="s">
        <v>212</v>
      </c>
      <c r="BW23" t="s">
        <v>218</v>
      </c>
      <c r="BX23" t="s">
        <v>219</v>
      </c>
      <c r="BY23" t="s">
        <v>176</v>
      </c>
      <c r="BZ23" t="s">
        <v>220</v>
      </c>
      <c r="CA23" t="s">
        <v>176</v>
      </c>
      <c r="CB23" t="s">
        <v>176</v>
      </c>
      <c r="CC23" t="s">
        <v>221</v>
      </c>
      <c r="CD23" t="s">
        <v>222</v>
      </c>
      <c r="CE23" t="s">
        <v>223</v>
      </c>
      <c r="CF23" t="s">
        <v>224</v>
      </c>
      <c r="CG23" t="s">
        <v>225</v>
      </c>
      <c r="CH23" t="s">
        <v>226</v>
      </c>
      <c r="CI23" t="s">
        <v>182</v>
      </c>
      <c r="CJ23" t="s">
        <v>218</v>
      </c>
      <c r="CK23" t="s">
        <v>227</v>
      </c>
      <c r="CL23" t="s">
        <v>227</v>
      </c>
      <c r="CM23" t="s">
        <v>227</v>
      </c>
      <c r="CN23" t="s">
        <v>176</v>
      </c>
      <c r="CO23" t="s">
        <v>228</v>
      </c>
      <c r="CP23" t="s">
        <v>176</v>
      </c>
      <c r="CQ23" t="s">
        <v>176</v>
      </c>
      <c r="CR23" t="s">
        <v>176</v>
      </c>
      <c r="CS23" t="s">
        <v>176</v>
      </c>
      <c r="CT23" t="s">
        <v>1053</v>
      </c>
      <c r="CU23" t="s">
        <v>1054</v>
      </c>
      <c r="CV23" t="s">
        <v>1055</v>
      </c>
      <c r="CW23" t="s">
        <v>1056</v>
      </c>
      <c r="CX23" t="s">
        <v>1057</v>
      </c>
      <c r="CY23" t="s">
        <v>1058</v>
      </c>
      <c r="CZ23" t="s">
        <v>1059</v>
      </c>
      <c r="DA23" t="s">
        <v>1060</v>
      </c>
      <c r="DB23" t="s">
        <v>1024</v>
      </c>
      <c r="DC23" t="s">
        <v>470</v>
      </c>
      <c r="DD23" t="s">
        <v>238</v>
      </c>
      <c r="DE23" t="s">
        <v>239</v>
      </c>
      <c r="DF23" t="s">
        <v>182</v>
      </c>
      <c r="DG23" t="s">
        <v>240</v>
      </c>
      <c r="DH23" t="s">
        <v>241</v>
      </c>
      <c r="DI23" t="s">
        <v>182</v>
      </c>
      <c r="DJ23" t="s">
        <v>242</v>
      </c>
      <c r="DK23" t="s">
        <v>243</v>
      </c>
      <c r="DL23" t="s">
        <v>244</v>
      </c>
      <c r="DM23" t="s">
        <v>176</v>
      </c>
      <c r="DN23" t="s">
        <v>1023</v>
      </c>
      <c r="DO23" t="s">
        <v>245</v>
      </c>
      <c r="DP23" t="s">
        <v>246</v>
      </c>
      <c r="DQ23" t="s">
        <v>247</v>
      </c>
      <c r="DR23" t="s">
        <v>248</v>
      </c>
      <c r="DS23" t="s">
        <v>249</v>
      </c>
      <c r="DT23" t="s">
        <v>250</v>
      </c>
    </row>
    <row r="24" spans="1:124" ht="17.55" customHeight="1" x14ac:dyDescent="0.45">
      <c r="A24" t="s">
        <v>1061</v>
      </c>
      <c r="B24" t="s">
        <v>1062</v>
      </c>
      <c r="C24" t="s">
        <v>17</v>
      </c>
      <c r="D24" t="s">
        <v>167</v>
      </c>
      <c r="E24" t="s">
        <v>168</v>
      </c>
      <c r="I24" t="s">
        <v>1063</v>
      </c>
      <c r="J24">
        <f t="shared" si="0"/>
        <v>0.58338349415313717</v>
      </c>
      <c r="K24">
        <f t="shared" si="1"/>
        <v>2.5997776799999999</v>
      </c>
      <c r="L24">
        <f t="shared" si="2"/>
        <v>0.47646578479747809</v>
      </c>
      <c r="M24">
        <f t="shared" si="3"/>
        <v>9.7999869877550552</v>
      </c>
      <c r="N24" t="s">
        <v>1064</v>
      </c>
      <c r="O24" t="s">
        <v>1065</v>
      </c>
      <c r="P24">
        <f t="shared" si="4"/>
        <v>4.7913235654888569</v>
      </c>
      <c r="Q24">
        <f t="shared" si="5"/>
        <v>1.998198565488857</v>
      </c>
      <c r="R24" t="s">
        <v>1066</v>
      </c>
      <c r="S24" t="s">
        <v>1067</v>
      </c>
      <c r="T24">
        <f t="shared" si="6"/>
        <v>47.467045427866623</v>
      </c>
      <c r="U24">
        <f t="shared" si="7"/>
        <v>0.4417875</v>
      </c>
      <c r="V24" t="s">
        <v>174</v>
      </c>
      <c r="W24" t="s">
        <v>1068</v>
      </c>
      <c r="X24" t="s">
        <v>176</v>
      </c>
      <c r="Y24" t="s">
        <v>176</v>
      </c>
      <c r="Z24" t="s">
        <v>176</v>
      </c>
      <c r="AA24" t="s">
        <v>1069</v>
      </c>
      <c r="AB24" t="s">
        <v>1070</v>
      </c>
      <c r="AC24" t="s">
        <v>1071</v>
      </c>
      <c r="AD24" t="s">
        <v>180</v>
      </c>
      <c r="AE24" t="s">
        <v>181</v>
      </c>
      <c r="AF24">
        <f t="shared" si="8"/>
        <v>386.94105744000001</v>
      </c>
      <c r="AG24" t="s">
        <v>182</v>
      </c>
      <c r="AH24" t="s">
        <v>1072</v>
      </c>
      <c r="AI24" t="s">
        <v>1073</v>
      </c>
      <c r="AJ24" t="s">
        <v>1074</v>
      </c>
      <c r="AK24" t="s">
        <v>1075</v>
      </c>
      <c r="AL24">
        <f t="shared" si="9"/>
        <v>32.06</v>
      </c>
      <c r="AM24" t="s">
        <v>359</v>
      </c>
      <c r="AN24" t="s">
        <v>572</v>
      </c>
      <c r="AO24" t="s">
        <v>529</v>
      </c>
      <c r="AP24" t="s">
        <v>1076</v>
      </c>
      <c r="AQ24" t="s">
        <v>1077</v>
      </c>
      <c r="AR24" t="s">
        <v>1078</v>
      </c>
      <c r="AS24" t="s">
        <v>193</v>
      </c>
      <c r="AT24" t="s">
        <v>298</v>
      </c>
      <c r="AU24" t="s">
        <v>1079</v>
      </c>
      <c r="AV24" t="s">
        <v>1080</v>
      </c>
      <c r="AW24" t="s">
        <v>1081</v>
      </c>
      <c r="AX24" t="s">
        <v>198</v>
      </c>
      <c r="AY24" t="s">
        <v>1082</v>
      </c>
      <c r="AZ24" t="s">
        <v>1042</v>
      </c>
      <c r="BA24" t="s">
        <v>1083</v>
      </c>
      <c r="BB24" t="s">
        <v>1084</v>
      </c>
      <c r="BC24" t="s">
        <v>1085</v>
      </c>
      <c r="BD24" t="s">
        <v>17</v>
      </c>
      <c r="BE24" t="s">
        <v>1086</v>
      </c>
      <c r="BF24" t="s">
        <v>795</v>
      </c>
      <c r="BG24" t="s">
        <v>1087</v>
      </c>
      <c r="BH24" t="s">
        <v>752</v>
      </c>
      <c r="BI24" t="s">
        <v>753</v>
      </c>
      <c r="BJ24" t="s">
        <v>1048</v>
      </c>
      <c r="BK24" t="s">
        <v>17</v>
      </c>
      <c r="BL24" t="s">
        <v>1049</v>
      </c>
      <c r="BM24" t="s">
        <v>165</v>
      </c>
      <c r="BN24" t="s">
        <v>211</v>
      </c>
      <c r="BO24" t="s">
        <v>211</v>
      </c>
      <c r="BP24" t="s">
        <v>458</v>
      </c>
      <c r="BQ24" t="s">
        <v>1088</v>
      </c>
      <c r="BR24" t="s">
        <v>1089</v>
      </c>
      <c r="BS24" t="s">
        <v>1090</v>
      </c>
      <c r="BT24" t="s">
        <v>165</v>
      </c>
      <c r="BU24" t="s">
        <v>217</v>
      </c>
      <c r="BV24" t="s">
        <v>212</v>
      </c>
      <c r="BW24" t="s">
        <v>218</v>
      </c>
      <c r="BX24" t="s">
        <v>219</v>
      </c>
      <c r="BY24" t="s">
        <v>176</v>
      </c>
      <c r="BZ24" t="s">
        <v>220</v>
      </c>
      <c r="CA24" t="s">
        <v>176</v>
      </c>
      <c r="CB24" t="s">
        <v>176</v>
      </c>
      <c r="CC24" t="s">
        <v>221</v>
      </c>
      <c r="CD24" t="s">
        <v>222</v>
      </c>
      <c r="CE24" t="s">
        <v>223</v>
      </c>
      <c r="CF24" t="s">
        <v>224</v>
      </c>
      <c r="CG24" t="s">
        <v>225</v>
      </c>
      <c r="CH24" t="s">
        <v>226</v>
      </c>
      <c r="CI24" t="s">
        <v>182</v>
      </c>
      <c r="CJ24" t="s">
        <v>218</v>
      </c>
      <c r="CK24" t="s">
        <v>227</v>
      </c>
      <c r="CL24" t="s">
        <v>227</v>
      </c>
      <c r="CM24" t="s">
        <v>227</v>
      </c>
      <c r="CN24" t="s">
        <v>176</v>
      </c>
      <c r="CO24" t="s">
        <v>228</v>
      </c>
      <c r="CP24" t="s">
        <v>176</v>
      </c>
      <c r="CQ24" t="s">
        <v>176</v>
      </c>
      <c r="CR24" t="s">
        <v>176</v>
      </c>
      <c r="CS24" t="s">
        <v>176</v>
      </c>
      <c r="CT24" t="s">
        <v>1091</v>
      </c>
      <c r="CU24" t="s">
        <v>1092</v>
      </c>
      <c r="CV24" t="s">
        <v>1093</v>
      </c>
      <c r="CW24" t="s">
        <v>1094</v>
      </c>
      <c r="CX24" t="s">
        <v>1095</v>
      </c>
      <c r="CY24" t="s">
        <v>1096</v>
      </c>
      <c r="CZ24" t="s">
        <v>1097</v>
      </c>
      <c r="DA24" t="s">
        <v>1098</v>
      </c>
      <c r="DB24" t="s">
        <v>1069</v>
      </c>
      <c r="DC24" t="s">
        <v>1099</v>
      </c>
      <c r="DD24" t="s">
        <v>238</v>
      </c>
      <c r="DE24" t="s">
        <v>239</v>
      </c>
      <c r="DF24" t="s">
        <v>182</v>
      </c>
      <c r="DG24" t="s">
        <v>240</v>
      </c>
      <c r="DH24" t="s">
        <v>241</v>
      </c>
      <c r="DI24" t="s">
        <v>182</v>
      </c>
      <c r="DJ24" t="s">
        <v>242</v>
      </c>
      <c r="DK24" t="s">
        <v>243</v>
      </c>
      <c r="DL24" t="s">
        <v>244</v>
      </c>
      <c r="DM24" t="s">
        <v>176</v>
      </c>
      <c r="DN24" t="s">
        <v>1068</v>
      </c>
      <c r="DO24" t="s">
        <v>245</v>
      </c>
      <c r="DP24" t="s">
        <v>246</v>
      </c>
      <c r="DQ24" t="s">
        <v>247</v>
      </c>
      <c r="DR24" t="s">
        <v>248</v>
      </c>
      <c r="DS24" t="s">
        <v>249</v>
      </c>
      <c r="DT24" t="s">
        <v>250</v>
      </c>
    </row>
    <row r="25" spans="1:124" ht="17.55" customHeight="1" x14ac:dyDescent="0.45">
      <c r="A25" t="s">
        <v>1100</v>
      </c>
      <c r="B25" t="s">
        <v>1101</v>
      </c>
      <c r="C25" t="s">
        <v>17</v>
      </c>
      <c r="D25" t="s">
        <v>167</v>
      </c>
      <c r="E25" t="s">
        <v>168</v>
      </c>
      <c r="I25" t="s">
        <v>1102</v>
      </c>
      <c r="J25">
        <f t="shared" si="0"/>
        <v>0.87087397493949381</v>
      </c>
      <c r="K25">
        <f t="shared" si="1"/>
        <v>2.633222</v>
      </c>
      <c r="L25">
        <f t="shared" si="2"/>
        <v>0.65443541684891238</v>
      </c>
      <c r="M25">
        <f t="shared" si="3"/>
        <v>13.935427496133654</v>
      </c>
      <c r="N25" t="s">
        <v>1103</v>
      </c>
      <c r="O25" t="s">
        <v>1104</v>
      </c>
      <c r="P25">
        <f t="shared" si="4"/>
        <v>4.992799732688014</v>
      </c>
      <c r="Q25">
        <f t="shared" si="5"/>
        <v>2.064995732688014</v>
      </c>
      <c r="R25" t="s">
        <v>1105</v>
      </c>
      <c r="S25" t="s">
        <v>1106</v>
      </c>
      <c r="T25">
        <f t="shared" si="6"/>
        <v>49.463044706637746</v>
      </c>
      <c r="U25">
        <f t="shared" si="7"/>
        <v>0.4417875</v>
      </c>
      <c r="V25" t="s">
        <v>174</v>
      </c>
      <c r="W25" t="s">
        <v>1107</v>
      </c>
      <c r="X25" t="s">
        <v>176</v>
      </c>
      <c r="Y25" t="s">
        <v>176</v>
      </c>
      <c r="Z25" t="s">
        <v>176</v>
      </c>
      <c r="AA25" t="s">
        <v>1108</v>
      </c>
      <c r="AB25" t="s">
        <v>1109</v>
      </c>
      <c r="AC25" t="s">
        <v>1110</v>
      </c>
      <c r="AD25" t="s">
        <v>180</v>
      </c>
      <c r="AE25" t="s">
        <v>181</v>
      </c>
      <c r="AF25">
        <f t="shared" si="8"/>
        <v>324.62341632000005</v>
      </c>
      <c r="AG25" t="s">
        <v>182</v>
      </c>
      <c r="AH25" t="s">
        <v>1111</v>
      </c>
      <c r="AI25" t="s">
        <v>1112</v>
      </c>
      <c r="AJ25" t="s">
        <v>1113</v>
      </c>
      <c r="AK25" t="s">
        <v>1114</v>
      </c>
      <c r="AL25">
        <f t="shared" si="9"/>
        <v>32.79</v>
      </c>
      <c r="AM25" t="s">
        <v>359</v>
      </c>
      <c r="AN25" t="s">
        <v>1115</v>
      </c>
      <c r="AO25" t="s">
        <v>1116</v>
      </c>
      <c r="AP25" t="s">
        <v>1117</v>
      </c>
      <c r="AQ25" t="s">
        <v>1118</v>
      </c>
      <c r="AR25" t="s">
        <v>1119</v>
      </c>
      <c r="AS25" t="s">
        <v>193</v>
      </c>
      <c r="AT25" t="s">
        <v>298</v>
      </c>
      <c r="AU25" t="s">
        <v>1120</v>
      </c>
      <c r="AV25" t="s">
        <v>1121</v>
      </c>
      <c r="AW25" t="s">
        <v>1122</v>
      </c>
      <c r="AX25" t="s">
        <v>198</v>
      </c>
      <c r="AY25" t="s">
        <v>1123</v>
      </c>
      <c r="AZ25" t="s">
        <v>1042</v>
      </c>
      <c r="BA25" t="s">
        <v>1083</v>
      </c>
      <c r="BB25" t="s">
        <v>1084</v>
      </c>
      <c r="BC25" t="s">
        <v>1124</v>
      </c>
      <c r="BD25" t="s">
        <v>17</v>
      </c>
      <c r="BE25" t="s">
        <v>917</v>
      </c>
      <c r="BF25" t="s">
        <v>1001</v>
      </c>
      <c r="BG25" t="s">
        <v>1125</v>
      </c>
      <c r="BH25" t="s">
        <v>752</v>
      </c>
      <c r="BI25" t="s">
        <v>753</v>
      </c>
      <c r="BJ25" t="s">
        <v>1048</v>
      </c>
      <c r="BK25" t="s">
        <v>17</v>
      </c>
      <c r="BL25" t="s">
        <v>1049</v>
      </c>
      <c r="BM25" t="s">
        <v>165</v>
      </c>
      <c r="BN25" t="s">
        <v>458</v>
      </c>
      <c r="BO25" t="s">
        <v>330</v>
      </c>
      <c r="BP25" t="s">
        <v>1126</v>
      </c>
      <c r="BQ25" t="s">
        <v>1127</v>
      </c>
      <c r="BR25" t="s">
        <v>1128</v>
      </c>
      <c r="BS25" t="s">
        <v>1129</v>
      </c>
      <c r="BT25" t="s">
        <v>165</v>
      </c>
      <c r="BU25" t="s">
        <v>217</v>
      </c>
      <c r="BV25" t="s">
        <v>212</v>
      </c>
      <c r="BW25" t="s">
        <v>218</v>
      </c>
      <c r="BX25" t="s">
        <v>219</v>
      </c>
      <c r="BY25" t="s">
        <v>176</v>
      </c>
      <c r="BZ25" t="s">
        <v>220</v>
      </c>
      <c r="CA25" t="s">
        <v>176</v>
      </c>
      <c r="CB25" t="s">
        <v>176</v>
      </c>
      <c r="CC25" t="s">
        <v>221</v>
      </c>
      <c r="CD25" t="s">
        <v>222</v>
      </c>
      <c r="CE25" t="s">
        <v>223</v>
      </c>
      <c r="CF25" t="s">
        <v>224</v>
      </c>
      <c r="CG25" t="s">
        <v>225</v>
      </c>
      <c r="CH25" t="s">
        <v>226</v>
      </c>
      <c r="CI25" t="s">
        <v>182</v>
      </c>
      <c r="CJ25" t="s">
        <v>218</v>
      </c>
      <c r="CK25" t="s">
        <v>227</v>
      </c>
      <c r="CL25" t="s">
        <v>227</v>
      </c>
      <c r="CM25" t="s">
        <v>227</v>
      </c>
      <c r="CN25" t="s">
        <v>176</v>
      </c>
      <c r="CO25" t="s">
        <v>228</v>
      </c>
      <c r="CP25" t="s">
        <v>176</v>
      </c>
      <c r="CQ25" t="s">
        <v>176</v>
      </c>
      <c r="CR25" t="s">
        <v>176</v>
      </c>
      <c r="CS25" t="s">
        <v>176</v>
      </c>
      <c r="CT25" t="s">
        <v>1130</v>
      </c>
      <c r="CU25" t="s">
        <v>1131</v>
      </c>
      <c r="CV25" t="s">
        <v>1132</v>
      </c>
      <c r="CW25" t="s">
        <v>1133</v>
      </c>
      <c r="CX25" t="s">
        <v>1134</v>
      </c>
      <c r="CY25" t="s">
        <v>1135</v>
      </c>
      <c r="CZ25" t="s">
        <v>1136</v>
      </c>
      <c r="DA25" t="s">
        <v>1137</v>
      </c>
      <c r="DB25" t="s">
        <v>1108</v>
      </c>
      <c r="DC25" t="s">
        <v>470</v>
      </c>
      <c r="DD25" t="s">
        <v>238</v>
      </c>
      <c r="DE25" t="s">
        <v>239</v>
      </c>
      <c r="DF25" t="s">
        <v>182</v>
      </c>
      <c r="DG25" t="s">
        <v>240</v>
      </c>
      <c r="DH25" t="s">
        <v>241</v>
      </c>
      <c r="DI25" t="s">
        <v>182</v>
      </c>
      <c r="DJ25" t="s">
        <v>242</v>
      </c>
      <c r="DK25" t="s">
        <v>243</v>
      </c>
      <c r="DL25" t="s">
        <v>244</v>
      </c>
      <c r="DM25" t="s">
        <v>176</v>
      </c>
      <c r="DN25" t="s">
        <v>1107</v>
      </c>
      <c r="DO25" t="s">
        <v>245</v>
      </c>
      <c r="DP25" t="s">
        <v>246</v>
      </c>
      <c r="DQ25" t="s">
        <v>247</v>
      </c>
      <c r="DR25" t="s">
        <v>248</v>
      </c>
      <c r="DS25" t="s">
        <v>249</v>
      </c>
      <c r="DT25" t="s">
        <v>250</v>
      </c>
    </row>
    <row r="26" spans="1:124" ht="17.55" customHeight="1" x14ac:dyDescent="0.45">
      <c r="A26" t="s">
        <v>1138</v>
      </c>
      <c r="B26" t="s">
        <v>1139</v>
      </c>
      <c r="C26" t="s">
        <v>17</v>
      </c>
      <c r="D26" t="s">
        <v>167</v>
      </c>
      <c r="E26" t="s">
        <v>168</v>
      </c>
      <c r="I26" t="s">
        <v>1140</v>
      </c>
      <c r="J26">
        <f t="shared" si="0"/>
        <v>0.35038065478271002</v>
      </c>
      <c r="K26">
        <f t="shared" si="1"/>
        <v>2.7110871200000002</v>
      </c>
      <c r="L26">
        <f t="shared" si="2"/>
        <v>0.31028008463881096</v>
      </c>
      <c r="M26">
        <f t="shared" si="3"/>
        <v>6.750841066050973</v>
      </c>
      <c r="N26" t="s">
        <v>1141</v>
      </c>
      <c r="O26" t="s">
        <v>1142</v>
      </c>
      <c r="P26">
        <f t="shared" si="4"/>
        <v>4.683956738613813</v>
      </c>
      <c r="Q26">
        <f t="shared" si="5"/>
        <v>2.1171117386138132</v>
      </c>
      <c r="R26" t="s">
        <v>1143</v>
      </c>
      <c r="S26" t="s">
        <v>1144</v>
      </c>
      <c r="T26">
        <f t="shared" si="6"/>
        <v>46.40797323505214</v>
      </c>
      <c r="U26">
        <f t="shared" si="7"/>
        <v>0.4417875</v>
      </c>
      <c r="V26" t="s">
        <v>174</v>
      </c>
      <c r="W26" t="s">
        <v>1145</v>
      </c>
      <c r="X26" t="s">
        <v>176</v>
      </c>
      <c r="Y26" t="s">
        <v>176</v>
      </c>
      <c r="Z26" t="s">
        <v>176</v>
      </c>
      <c r="AA26" t="s">
        <v>1146</v>
      </c>
      <c r="AB26" t="s">
        <v>1147</v>
      </c>
      <c r="AC26" t="s">
        <v>1148</v>
      </c>
      <c r="AD26" t="s">
        <v>180</v>
      </c>
      <c r="AE26" t="s">
        <v>181</v>
      </c>
      <c r="AF26">
        <f t="shared" si="8"/>
        <v>313.09782042000001</v>
      </c>
      <c r="AG26" t="s">
        <v>182</v>
      </c>
      <c r="AH26" t="s">
        <v>1149</v>
      </c>
      <c r="AI26" t="s">
        <v>1150</v>
      </c>
      <c r="AJ26" t="s">
        <v>1151</v>
      </c>
      <c r="AK26" t="s">
        <v>1152</v>
      </c>
      <c r="AL26">
        <f t="shared" si="9"/>
        <v>31.66</v>
      </c>
      <c r="AM26" t="s">
        <v>947</v>
      </c>
      <c r="AN26" t="s">
        <v>1153</v>
      </c>
      <c r="AO26" t="s">
        <v>1154</v>
      </c>
      <c r="AP26" t="s">
        <v>315</v>
      </c>
      <c r="AQ26" t="s">
        <v>1155</v>
      </c>
      <c r="AR26" t="s">
        <v>1156</v>
      </c>
      <c r="AS26" t="s">
        <v>577</v>
      </c>
      <c r="AT26" t="s">
        <v>165</v>
      </c>
      <c r="AU26" t="s">
        <v>1157</v>
      </c>
      <c r="AV26" t="s">
        <v>1158</v>
      </c>
      <c r="AW26" t="s">
        <v>1159</v>
      </c>
      <c r="AX26" t="s">
        <v>1160</v>
      </c>
      <c r="AY26" t="s">
        <v>1161</v>
      </c>
      <c r="AZ26" t="s">
        <v>1042</v>
      </c>
      <c r="BA26" t="s">
        <v>1162</v>
      </c>
      <c r="BB26" t="s">
        <v>1163</v>
      </c>
      <c r="BC26" t="s">
        <v>1164</v>
      </c>
      <c r="BD26" t="s">
        <v>17</v>
      </c>
      <c r="BE26" t="s">
        <v>1165</v>
      </c>
      <c r="BF26" t="s">
        <v>544</v>
      </c>
      <c r="BG26" t="s">
        <v>1166</v>
      </c>
      <c r="BH26" t="s">
        <v>752</v>
      </c>
      <c r="BI26" t="s">
        <v>1167</v>
      </c>
      <c r="BJ26" t="s">
        <v>1048</v>
      </c>
      <c r="BK26" t="s">
        <v>17</v>
      </c>
      <c r="BL26" t="s">
        <v>1049</v>
      </c>
      <c r="BM26" t="s">
        <v>165</v>
      </c>
      <c r="BN26" t="s">
        <v>212</v>
      </c>
      <c r="BO26" t="s">
        <v>284</v>
      </c>
      <c r="BP26" t="s">
        <v>283</v>
      </c>
      <c r="BQ26" t="s">
        <v>1168</v>
      </c>
      <c r="BR26" t="s">
        <v>1169</v>
      </c>
      <c r="BS26" t="s">
        <v>1170</v>
      </c>
      <c r="BT26" t="s">
        <v>165</v>
      </c>
      <c r="BU26" t="s">
        <v>217</v>
      </c>
      <c r="BV26" t="s">
        <v>212</v>
      </c>
      <c r="BW26" t="s">
        <v>218</v>
      </c>
      <c r="BX26" t="s">
        <v>219</v>
      </c>
      <c r="BY26" t="s">
        <v>176</v>
      </c>
      <c r="BZ26" t="s">
        <v>220</v>
      </c>
      <c r="CA26" t="s">
        <v>176</v>
      </c>
      <c r="CB26" t="s">
        <v>176</v>
      </c>
      <c r="CC26" t="s">
        <v>221</v>
      </c>
      <c r="CD26" t="s">
        <v>222</v>
      </c>
      <c r="CE26" t="s">
        <v>223</v>
      </c>
      <c r="CF26" t="s">
        <v>224</v>
      </c>
      <c r="CG26" t="s">
        <v>225</v>
      </c>
      <c r="CH26" t="s">
        <v>226</v>
      </c>
      <c r="CI26" t="s">
        <v>182</v>
      </c>
      <c r="CJ26" t="s">
        <v>218</v>
      </c>
      <c r="CK26" t="s">
        <v>227</v>
      </c>
      <c r="CL26" t="s">
        <v>227</v>
      </c>
      <c r="CM26" t="s">
        <v>227</v>
      </c>
      <c r="CN26" t="s">
        <v>176</v>
      </c>
      <c r="CO26" t="s">
        <v>228</v>
      </c>
      <c r="CP26" t="s">
        <v>176</v>
      </c>
      <c r="CQ26" t="s">
        <v>176</v>
      </c>
      <c r="CR26" t="s">
        <v>176</v>
      </c>
      <c r="CS26" t="s">
        <v>176</v>
      </c>
      <c r="CT26" t="s">
        <v>1171</v>
      </c>
      <c r="CU26" t="s">
        <v>1172</v>
      </c>
      <c r="CV26" t="s">
        <v>1173</v>
      </c>
      <c r="CW26" t="s">
        <v>1174</v>
      </c>
      <c r="CX26" t="s">
        <v>1175</v>
      </c>
      <c r="CY26" t="s">
        <v>1176</v>
      </c>
      <c r="CZ26" t="s">
        <v>1177</v>
      </c>
      <c r="DA26" t="s">
        <v>1178</v>
      </c>
      <c r="DB26" t="s">
        <v>1146</v>
      </c>
      <c r="DC26" t="s">
        <v>1179</v>
      </c>
      <c r="DD26" t="s">
        <v>238</v>
      </c>
      <c r="DE26" t="s">
        <v>239</v>
      </c>
      <c r="DF26" t="s">
        <v>182</v>
      </c>
      <c r="DG26" t="s">
        <v>240</v>
      </c>
      <c r="DH26" t="s">
        <v>241</v>
      </c>
      <c r="DI26" t="s">
        <v>182</v>
      </c>
      <c r="DJ26" t="s">
        <v>242</v>
      </c>
      <c r="DK26" t="s">
        <v>243</v>
      </c>
      <c r="DL26" t="s">
        <v>244</v>
      </c>
      <c r="DM26" t="s">
        <v>176</v>
      </c>
      <c r="DN26" t="s">
        <v>1145</v>
      </c>
      <c r="DO26" t="s">
        <v>245</v>
      </c>
      <c r="DP26" t="s">
        <v>246</v>
      </c>
      <c r="DQ26" t="s">
        <v>247</v>
      </c>
      <c r="DR26" t="s">
        <v>248</v>
      </c>
      <c r="DS26" t="s">
        <v>249</v>
      </c>
      <c r="DT26" t="s">
        <v>250</v>
      </c>
    </row>
    <row r="27" spans="1:124" ht="17.55" customHeight="1" x14ac:dyDescent="0.45">
      <c r="A27" t="s">
        <v>992</v>
      </c>
      <c r="B27" t="s">
        <v>1180</v>
      </c>
      <c r="C27" t="s">
        <v>17</v>
      </c>
      <c r="D27" t="s">
        <v>167</v>
      </c>
      <c r="E27" t="s">
        <v>168</v>
      </c>
      <c r="I27" t="s">
        <v>1181</v>
      </c>
      <c r="J27">
        <f t="shared" si="0"/>
        <v>0.94706134224324834</v>
      </c>
      <c r="K27">
        <f t="shared" si="1"/>
        <v>2.6644620799999998</v>
      </c>
      <c r="L27">
        <f t="shared" si="2"/>
        <v>0.69871041630228614</v>
      </c>
      <c r="M27">
        <f t="shared" si="3"/>
        <v>11.373335934522228</v>
      </c>
      <c r="N27" t="s">
        <v>1182</v>
      </c>
      <c r="O27" t="s">
        <v>1183</v>
      </c>
      <c r="P27">
        <f t="shared" si="4"/>
        <v>4.2874428418852526</v>
      </c>
      <c r="Q27">
        <f t="shared" si="5"/>
        <v>1.5860848418852527</v>
      </c>
      <c r="R27" t="s">
        <v>1184</v>
      </c>
      <c r="S27" t="s">
        <v>1185</v>
      </c>
      <c r="T27">
        <f t="shared" si="6"/>
        <v>42.479370275292304</v>
      </c>
      <c r="U27">
        <f t="shared" si="7"/>
        <v>0.4417875</v>
      </c>
      <c r="V27" t="s">
        <v>174</v>
      </c>
      <c r="W27" t="s">
        <v>1186</v>
      </c>
      <c r="X27" t="s">
        <v>176</v>
      </c>
      <c r="Y27" t="s">
        <v>176</v>
      </c>
      <c r="Z27" t="s">
        <v>176</v>
      </c>
      <c r="AA27" t="s">
        <v>1187</v>
      </c>
      <c r="AB27" t="s">
        <v>1188</v>
      </c>
      <c r="AC27" t="s">
        <v>1189</v>
      </c>
      <c r="AD27" t="s">
        <v>180</v>
      </c>
      <c r="AE27" t="s">
        <v>181</v>
      </c>
      <c r="AF27">
        <f t="shared" si="8"/>
        <v>152.43993449999999</v>
      </c>
      <c r="AG27" t="s">
        <v>182</v>
      </c>
      <c r="AH27" t="s">
        <v>1190</v>
      </c>
      <c r="AI27" t="s">
        <v>372</v>
      </c>
      <c r="AJ27" t="s">
        <v>1191</v>
      </c>
      <c r="AK27" t="s">
        <v>1192</v>
      </c>
      <c r="AL27">
        <f t="shared" si="9"/>
        <v>30.11</v>
      </c>
      <c r="AM27" t="s">
        <v>947</v>
      </c>
      <c r="AN27" t="s">
        <v>905</v>
      </c>
      <c r="AO27" t="s">
        <v>1193</v>
      </c>
      <c r="AP27" t="s">
        <v>268</v>
      </c>
      <c r="AQ27" t="s">
        <v>1194</v>
      </c>
      <c r="AR27" t="s">
        <v>1195</v>
      </c>
      <c r="AS27" t="s">
        <v>489</v>
      </c>
      <c r="AT27" t="s">
        <v>223</v>
      </c>
      <c r="AU27" t="s">
        <v>1196</v>
      </c>
      <c r="AV27" t="s">
        <v>1197</v>
      </c>
      <c r="AW27" t="s">
        <v>1198</v>
      </c>
      <c r="AX27" t="s">
        <v>1199</v>
      </c>
      <c r="AY27" t="s">
        <v>1200</v>
      </c>
      <c r="AZ27" t="s">
        <v>1042</v>
      </c>
      <c r="BA27" t="s">
        <v>1201</v>
      </c>
      <c r="BB27" t="s">
        <v>1202</v>
      </c>
      <c r="BC27" t="s">
        <v>1203</v>
      </c>
      <c r="BD27" t="s">
        <v>17</v>
      </c>
      <c r="BE27" t="s">
        <v>1204</v>
      </c>
      <c r="BF27" t="s">
        <v>544</v>
      </c>
      <c r="BG27" t="s">
        <v>1205</v>
      </c>
      <c r="BH27" t="s">
        <v>724</v>
      </c>
      <c r="BI27" t="s">
        <v>1206</v>
      </c>
      <c r="BJ27" t="s">
        <v>1048</v>
      </c>
      <c r="BK27" t="s">
        <v>17</v>
      </c>
      <c r="BL27" t="s">
        <v>1049</v>
      </c>
      <c r="BM27" t="s">
        <v>165</v>
      </c>
      <c r="BN27" t="s">
        <v>330</v>
      </c>
      <c r="BO27" t="s">
        <v>212</v>
      </c>
      <c r="BP27" t="s">
        <v>1207</v>
      </c>
      <c r="BQ27" t="s">
        <v>1208</v>
      </c>
      <c r="BR27" t="s">
        <v>1209</v>
      </c>
      <c r="BS27" t="s">
        <v>964</v>
      </c>
      <c r="BT27" t="s">
        <v>165</v>
      </c>
      <c r="BU27" t="s">
        <v>217</v>
      </c>
      <c r="BV27" t="s">
        <v>212</v>
      </c>
      <c r="BW27" t="s">
        <v>218</v>
      </c>
      <c r="BX27" t="s">
        <v>219</v>
      </c>
      <c r="BY27" t="s">
        <v>176</v>
      </c>
      <c r="BZ27" t="s">
        <v>220</v>
      </c>
      <c r="CA27" t="s">
        <v>176</v>
      </c>
      <c r="CB27" t="s">
        <v>176</v>
      </c>
      <c r="CC27" t="s">
        <v>221</v>
      </c>
      <c r="CD27" t="s">
        <v>222</v>
      </c>
      <c r="CE27" t="s">
        <v>223</v>
      </c>
      <c r="CF27" t="s">
        <v>224</v>
      </c>
      <c r="CG27" t="s">
        <v>225</v>
      </c>
      <c r="CH27" t="s">
        <v>226</v>
      </c>
      <c r="CI27" t="s">
        <v>182</v>
      </c>
      <c r="CJ27" t="s">
        <v>218</v>
      </c>
      <c r="CK27" t="s">
        <v>227</v>
      </c>
      <c r="CL27" t="s">
        <v>227</v>
      </c>
      <c r="CM27" t="s">
        <v>227</v>
      </c>
      <c r="CN27" t="s">
        <v>176</v>
      </c>
      <c r="CO27" t="s">
        <v>228</v>
      </c>
      <c r="CP27" t="s">
        <v>176</v>
      </c>
      <c r="CQ27" t="s">
        <v>176</v>
      </c>
      <c r="CR27" t="s">
        <v>176</v>
      </c>
      <c r="CS27" t="s">
        <v>176</v>
      </c>
      <c r="CT27" t="s">
        <v>1210</v>
      </c>
      <c r="CU27" t="s">
        <v>1211</v>
      </c>
      <c r="CV27" t="s">
        <v>1212</v>
      </c>
      <c r="CW27" t="s">
        <v>1213</v>
      </c>
      <c r="CX27" t="s">
        <v>1214</v>
      </c>
      <c r="CY27" t="s">
        <v>1215</v>
      </c>
      <c r="CZ27" t="s">
        <v>1216</v>
      </c>
      <c r="DA27" t="s">
        <v>1217</v>
      </c>
      <c r="DB27" t="s">
        <v>1187</v>
      </c>
      <c r="DC27" t="s">
        <v>1218</v>
      </c>
      <c r="DD27" t="s">
        <v>238</v>
      </c>
      <c r="DE27" t="s">
        <v>239</v>
      </c>
      <c r="DF27" t="s">
        <v>182</v>
      </c>
      <c r="DG27" t="s">
        <v>240</v>
      </c>
      <c r="DH27" t="s">
        <v>241</v>
      </c>
      <c r="DI27" t="s">
        <v>182</v>
      </c>
      <c r="DJ27" t="s">
        <v>242</v>
      </c>
      <c r="DK27" t="s">
        <v>243</v>
      </c>
      <c r="DL27" t="s">
        <v>244</v>
      </c>
      <c r="DM27" t="s">
        <v>176</v>
      </c>
      <c r="DN27" t="s">
        <v>1186</v>
      </c>
      <c r="DO27" t="s">
        <v>245</v>
      </c>
      <c r="DP27" t="s">
        <v>246</v>
      </c>
      <c r="DQ27" t="s">
        <v>247</v>
      </c>
      <c r="DR27" t="s">
        <v>248</v>
      </c>
      <c r="DS27" t="s">
        <v>249</v>
      </c>
      <c r="DT27" t="s">
        <v>250</v>
      </c>
    </row>
    <row r="28" spans="1:124" ht="17.55" customHeight="1" x14ac:dyDescent="0.45">
      <c r="A28" t="s">
        <v>1219</v>
      </c>
      <c r="B28" t="s">
        <v>1220</v>
      </c>
      <c r="C28" t="s">
        <v>17</v>
      </c>
      <c r="D28" t="s">
        <v>167</v>
      </c>
      <c r="E28" t="s">
        <v>168</v>
      </c>
      <c r="I28" t="s">
        <v>1221</v>
      </c>
      <c r="J28">
        <f t="shared" si="0"/>
        <v>0.76049908505232511</v>
      </c>
      <c r="K28">
        <f t="shared" si="1"/>
        <v>2.68027032</v>
      </c>
      <c r="L28">
        <f t="shared" si="2"/>
        <v>0.59240910566684857</v>
      </c>
      <c r="M28">
        <f t="shared" si="3"/>
        <v>10.188911629387885</v>
      </c>
      <c r="N28" t="s">
        <v>1222</v>
      </c>
      <c r="O28" t="s">
        <v>1223</v>
      </c>
      <c r="P28">
        <f t="shared" si="4"/>
        <v>4.4170739763436151</v>
      </c>
      <c r="Q28">
        <f t="shared" si="5"/>
        <v>1.674437976343615</v>
      </c>
      <c r="R28" t="s">
        <v>1224</v>
      </c>
      <c r="S28" t="s">
        <v>1225</v>
      </c>
      <c r="T28">
        <f t="shared" si="6"/>
        <v>43.763737009250121</v>
      </c>
      <c r="U28">
        <f t="shared" si="7"/>
        <v>0.4417875</v>
      </c>
      <c r="V28" t="s">
        <v>174</v>
      </c>
      <c r="W28" t="s">
        <v>1226</v>
      </c>
      <c r="X28" t="s">
        <v>176</v>
      </c>
      <c r="Y28" t="s">
        <v>176</v>
      </c>
      <c r="Z28" t="s">
        <v>176</v>
      </c>
      <c r="AA28" t="s">
        <v>1227</v>
      </c>
      <c r="AB28" t="s">
        <v>1228</v>
      </c>
      <c r="AC28" t="s">
        <v>1229</v>
      </c>
      <c r="AD28" t="s">
        <v>180</v>
      </c>
      <c r="AE28" t="s">
        <v>181</v>
      </c>
      <c r="AF28">
        <f t="shared" si="8"/>
        <v>233.98871999999997</v>
      </c>
      <c r="AG28" t="s">
        <v>182</v>
      </c>
      <c r="AH28" t="s">
        <v>1230</v>
      </c>
      <c r="AI28" t="s">
        <v>1231</v>
      </c>
      <c r="AJ28" t="s">
        <v>1151</v>
      </c>
      <c r="AK28" t="s">
        <v>1232</v>
      </c>
      <c r="AL28">
        <f t="shared" si="9"/>
        <v>30.63</v>
      </c>
      <c r="AM28" t="s">
        <v>947</v>
      </c>
      <c r="AN28" t="s">
        <v>988</v>
      </c>
      <c r="AO28" t="s">
        <v>1233</v>
      </c>
      <c r="AP28" t="s">
        <v>1234</v>
      </c>
      <c r="AQ28" t="s">
        <v>1235</v>
      </c>
      <c r="AR28" t="s">
        <v>1236</v>
      </c>
      <c r="AS28" t="s">
        <v>662</v>
      </c>
      <c r="AT28" t="s">
        <v>298</v>
      </c>
      <c r="AU28" t="s">
        <v>1237</v>
      </c>
      <c r="AV28" t="s">
        <v>1238</v>
      </c>
      <c r="AW28" t="s">
        <v>1239</v>
      </c>
      <c r="AX28" t="s">
        <v>1240</v>
      </c>
      <c r="AY28" t="s">
        <v>1241</v>
      </c>
      <c r="AZ28" t="s">
        <v>1042</v>
      </c>
      <c r="BA28" t="s">
        <v>1242</v>
      </c>
      <c r="BB28" t="s">
        <v>1243</v>
      </c>
      <c r="BC28" t="s">
        <v>1244</v>
      </c>
      <c r="BD28" t="s">
        <v>17</v>
      </c>
      <c r="BE28" t="s">
        <v>1245</v>
      </c>
      <c r="BF28" t="s">
        <v>669</v>
      </c>
      <c r="BG28" t="s">
        <v>1246</v>
      </c>
      <c r="BH28" t="s">
        <v>752</v>
      </c>
      <c r="BI28" t="s">
        <v>1247</v>
      </c>
      <c r="BJ28" t="s">
        <v>1048</v>
      </c>
      <c r="BK28" t="s">
        <v>17</v>
      </c>
      <c r="BL28" t="s">
        <v>1049</v>
      </c>
      <c r="BM28" t="s">
        <v>165</v>
      </c>
      <c r="BN28" t="s">
        <v>501</v>
      </c>
      <c r="BO28" t="s">
        <v>212</v>
      </c>
      <c r="BP28" t="s">
        <v>331</v>
      </c>
      <c r="BQ28" t="s">
        <v>1248</v>
      </c>
      <c r="BR28" t="s">
        <v>1249</v>
      </c>
      <c r="BS28" t="s">
        <v>1250</v>
      </c>
      <c r="BT28" t="s">
        <v>165</v>
      </c>
      <c r="BU28" t="s">
        <v>217</v>
      </c>
      <c r="BV28" t="s">
        <v>212</v>
      </c>
      <c r="BW28" t="s">
        <v>218</v>
      </c>
      <c r="BX28" t="s">
        <v>219</v>
      </c>
      <c r="BY28" t="s">
        <v>176</v>
      </c>
      <c r="BZ28" t="s">
        <v>220</v>
      </c>
      <c r="CA28" t="s">
        <v>176</v>
      </c>
      <c r="CB28" t="s">
        <v>176</v>
      </c>
      <c r="CC28" t="s">
        <v>221</v>
      </c>
      <c r="CD28" t="s">
        <v>222</v>
      </c>
      <c r="CE28" t="s">
        <v>223</v>
      </c>
      <c r="CF28" t="s">
        <v>224</v>
      </c>
      <c r="CG28" t="s">
        <v>225</v>
      </c>
      <c r="CH28" t="s">
        <v>226</v>
      </c>
      <c r="CI28" t="s">
        <v>182</v>
      </c>
      <c r="CJ28" t="s">
        <v>218</v>
      </c>
      <c r="CK28" t="s">
        <v>227</v>
      </c>
      <c r="CL28" t="s">
        <v>227</v>
      </c>
      <c r="CM28" t="s">
        <v>227</v>
      </c>
      <c r="CN28" t="s">
        <v>176</v>
      </c>
      <c r="CO28" t="s">
        <v>228</v>
      </c>
      <c r="CP28" t="s">
        <v>176</v>
      </c>
      <c r="CQ28" t="s">
        <v>176</v>
      </c>
      <c r="CR28" t="s">
        <v>176</v>
      </c>
      <c r="CS28" t="s">
        <v>176</v>
      </c>
      <c r="CT28" t="s">
        <v>1251</v>
      </c>
      <c r="CU28" t="s">
        <v>1252</v>
      </c>
      <c r="CV28" t="s">
        <v>1253</v>
      </c>
      <c r="CW28" t="s">
        <v>1254</v>
      </c>
      <c r="CX28" t="s">
        <v>1255</v>
      </c>
      <c r="CY28" t="s">
        <v>1256</v>
      </c>
      <c r="CZ28" t="s">
        <v>1257</v>
      </c>
      <c r="DA28" t="s">
        <v>1258</v>
      </c>
      <c r="DB28" t="s">
        <v>1227</v>
      </c>
      <c r="DC28" t="s">
        <v>1259</v>
      </c>
      <c r="DD28" t="s">
        <v>238</v>
      </c>
      <c r="DE28" t="s">
        <v>239</v>
      </c>
      <c r="DF28" t="s">
        <v>182</v>
      </c>
      <c r="DG28" t="s">
        <v>240</v>
      </c>
      <c r="DH28" t="s">
        <v>241</v>
      </c>
      <c r="DI28" t="s">
        <v>182</v>
      </c>
      <c r="DJ28" t="s">
        <v>242</v>
      </c>
      <c r="DK28" t="s">
        <v>243</v>
      </c>
      <c r="DL28" t="s">
        <v>244</v>
      </c>
      <c r="DM28" t="s">
        <v>176</v>
      </c>
      <c r="DN28" t="s">
        <v>1226</v>
      </c>
      <c r="DO28" t="s">
        <v>245</v>
      </c>
      <c r="DP28" t="s">
        <v>246</v>
      </c>
      <c r="DQ28" t="s">
        <v>247</v>
      </c>
      <c r="DR28" t="s">
        <v>248</v>
      </c>
      <c r="DS28" t="s">
        <v>249</v>
      </c>
      <c r="DT28" t="s">
        <v>250</v>
      </c>
    </row>
    <row r="29" spans="1:124" ht="17.55" customHeight="1" x14ac:dyDescent="0.45">
      <c r="A29" t="s">
        <v>1260</v>
      </c>
      <c r="B29" t="s">
        <v>1261</v>
      </c>
      <c r="C29" t="s">
        <v>17</v>
      </c>
      <c r="D29" t="s">
        <v>167</v>
      </c>
      <c r="E29" t="s">
        <v>168</v>
      </c>
      <c r="I29" t="s">
        <v>1262</v>
      </c>
      <c r="J29">
        <f t="shared" si="0"/>
        <v>0.14277902387181893</v>
      </c>
      <c r="K29">
        <f t="shared" si="1"/>
        <v>2.7705267199999994</v>
      </c>
      <c r="L29">
        <f t="shared" si="2"/>
        <v>0.13578152637239876</v>
      </c>
      <c r="M29">
        <f t="shared" si="3"/>
        <v>3.9730476631192246</v>
      </c>
      <c r="N29" t="s">
        <v>1263</v>
      </c>
      <c r="O29" t="s">
        <v>1264</v>
      </c>
      <c r="P29">
        <f t="shared" si="4"/>
        <v>5.319213541705536</v>
      </c>
      <c r="Q29">
        <f t="shared" si="5"/>
        <v>2.839264541705536</v>
      </c>
      <c r="R29" t="s">
        <v>1265</v>
      </c>
      <c r="S29" t="s">
        <v>1266</v>
      </c>
      <c r="T29">
        <f t="shared" si="6"/>
        <v>52.702006754240912</v>
      </c>
      <c r="U29">
        <f t="shared" si="7"/>
        <v>0.4417875</v>
      </c>
      <c r="V29" t="s">
        <v>174</v>
      </c>
      <c r="W29" t="s">
        <v>1267</v>
      </c>
      <c r="X29" t="s">
        <v>176</v>
      </c>
      <c r="Y29" t="s">
        <v>176</v>
      </c>
      <c r="Z29" t="s">
        <v>176</v>
      </c>
      <c r="AA29" t="s">
        <v>1268</v>
      </c>
      <c r="AB29" t="s">
        <v>1269</v>
      </c>
      <c r="AC29" t="s">
        <v>1270</v>
      </c>
      <c r="AD29" t="s">
        <v>180</v>
      </c>
      <c r="AE29" t="s">
        <v>181</v>
      </c>
      <c r="AF29">
        <f t="shared" si="8"/>
        <v>275.93198555999999</v>
      </c>
      <c r="AG29" t="s">
        <v>182</v>
      </c>
      <c r="AH29" t="s">
        <v>1271</v>
      </c>
      <c r="AI29" t="s">
        <v>1272</v>
      </c>
      <c r="AJ29" t="s">
        <v>1273</v>
      </c>
      <c r="AK29" t="s">
        <v>1274</v>
      </c>
      <c r="AL29">
        <f t="shared" si="9"/>
        <v>33.92</v>
      </c>
      <c r="AM29" t="s">
        <v>947</v>
      </c>
      <c r="AN29" t="s">
        <v>1275</v>
      </c>
      <c r="AO29" t="s">
        <v>1276</v>
      </c>
      <c r="AP29" t="s">
        <v>1277</v>
      </c>
      <c r="AQ29" t="s">
        <v>1278</v>
      </c>
      <c r="AR29" t="s">
        <v>1279</v>
      </c>
      <c r="AS29" t="s">
        <v>1280</v>
      </c>
      <c r="AT29" t="s">
        <v>344</v>
      </c>
      <c r="AU29" t="s">
        <v>366</v>
      </c>
      <c r="AV29" t="s">
        <v>1281</v>
      </c>
      <c r="AW29" t="s">
        <v>1282</v>
      </c>
      <c r="AX29" t="s">
        <v>1283</v>
      </c>
      <c r="AY29" t="s">
        <v>1284</v>
      </c>
      <c r="AZ29" t="s">
        <v>1042</v>
      </c>
      <c r="BA29" t="s">
        <v>1285</v>
      </c>
      <c r="BB29" t="s">
        <v>1286</v>
      </c>
      <c r="BC29" t="s">
        <v>1287</v>
      </c>
      <c r="BD29" t="s">
        <v>17</v>
      </c>
      <c r="BE29" t="s">
        <v>1288</v>
      </c>
      <c r="BF29" t="s">
        <v>669</v>
      </c>
      <c r="BG29" t="s">
        <v>1289</v>
      </c>
      <c r="BH29" t="s">
        <v>724</v>
      </c>
      <c r="BI29" t="s">
        <v>1290</v>
      </c>
      <c r="BJ29" t="s">
        <v>1291</v>
      </c>
      <c r="BK29" t="s">
        <v>17</v>
      </c>
      <c r="BL29" t="s">
        <v>1292</v>
      </c>
      <c r="BM29" t="s">
        <v>165</v>
      </c>
      <c r="BN29" t="s">
        <v>212</v>
      </c>
      <c r="BO29" t="s">
        <v>284</v>
      </c>
      <c r="BP29" t="s">
        <v>1293</v>
      </c>
      <c r="BQ29" t="s">
        <v>1294</v>
      </c>
      <c r="BR29" t="s">
        <v>1295</v>
      </c>
      <c r="BS29" t="s">
        <v>1293</v>
      </c>
      <c r="BT29" t="s">
        <v>165</v>
      </c>
      <c r="BU29" t="s">
        <v>217</v>
      </c>
      <c r="BV29" t="s">
        <v>212</v>
      </c>
      <c r="BW29" t="s">
        <v>218</v>
      </c>
      <c r="BX29" t="s">
        <v>219</v>
      </c>
      <c r="BY29" t="s">
        <v>176</v>
      </c>
      <c r="BZ29" t="s">
        <v>220</v>
      </c>
      <c r="CA29" t="s">
        <v>176</v>
      </c>
      <c r="CB29" t="s">
        <v>176</v>
      </c>
      <c r="CC29" t="s">
        <v>221</v>
      </c>
      <c r="CD29" t="s">
        <v>222</v>
      </c>
      <c r="CE29" t="s">
        <v>223</v>
      </c>
      <c r="CF29" t="s">
        <v>224</v>
      </c>
      <c r="CG29" t="s">
        <v>225</v>
      </c>
      <c r="CH29" t="s">
        <v>226</v>
      </c>
      <c r="CI29" t="s">
        <v>182</v>
      </c>
      <c r="CJ29" t="s">
        <v>218</v>
      </c>
      <c r="CK29" t="s">
        <v>227</v>
      </c>
      <c r="CL29" t="s">
        <v>227</v>
      </c>
      <c r="CM29" t="s">
        <v>227</v>
      </c>
      <c r="CN29" t="s">
        <v>176</v>
      </c>
      <c r="CO29" t="s">
        <v>228</v>
      </c>
      <c r="CP29" t="s">
        <v>176</v>
      </c>
      <c r="CQ29" t="s">
        <v>176</v>
      </c>
      <c r="CR29" t="s">
        <v>176</v>
      </c>
      <c r="CS29" t="s">
        <v>176</v>
      </c>
      <c r="CT29" t="s">
        <v>1296</v>
      </c>
      <c r="CU29" t="s">
        <v>1297</v>
      </c>
      <c r="CV29" t="s">
        <v>1298</v>
      </c>
      <c r="CW29" t="s">
        <v>1299</v>
      </c>
      <c r="CX29" t="s">
        <v>1300</v>
      </c>
      <c r="CY29" t="s">
        <v>1301</v>
      </c>
      <c r="CZ29" t="s">
        <v>1302</v>
      </c>
      <c r="DA29" t="s">
        <v>1303</v>
      </c>
      <c r="DB29" t="s">
        <v>1268</v>
      </c>
      <c r="DC29" t="s">
        <v>297</v>
      </c>
      <c r="DD29" t="s">
        <v>238</v>
      </c>
      <c r="DE29" t="s">
        <v>239</v>
      </c>
      <c r="DF29" t="s">
        <v>182</v>
      </c>
      <c r="DG29" t="s">
        <v>240</v>
      </c>
      <c r="DH29" t="s">
        <v>241</v>
      </c>
      <c r="DI29" t="s">
        <v>182</v>
      </c>
      <c r="DJ29" t="s">
        <v>242</v>
      </c>
      <c r="DK29" t="s">
        <v>243</v>
      </c>
      <c r="DL29" t="s">
        <v>244</v>
      </c>
      <c r="DM29" t="s">
        <v>176</v>
      </c>
      <c r="DN29" t="s">
        <v>1267</v>
      </c>
      <c r="DO29" t="s">
        <v>245</v>
      </c>
      <c r="DP29" t="s">
        <v>246</v>
      </c>
      <c r="DQ29" t="s">
        <v>247</v>
      </c>
      <c r="DR29" t="s">
        <v>248</v>
      </c>
      <c r="DS29" t="s">
        <v>249</v>
      </c>
      <c r="DT29" t="s">
        <v>250</v>
      </c>
    </row>
    <row r="30" spans="1:124" ht="17.55" customHeight="1" x14ac:dyDescent="0.45">
      <c r="A30" t="s">
        <v>866</v>
      </c>
      <c r="B30" t="s">
        <v>1304</v>
      </c>
      <c r="C30" t="s">
        <v>17</v>
      </c>
      <c r="D30" t="s">
        <v>167</v>
      </c>
      <c r="E30" t="s">
        <v>168</v>
      </c>
      <c r="I30" t="s">
        <v>1305</v>
      </c>
      <c r="J30">
        <f t="shared" si="0"/>
        <v>8.6578828653871877E-3</v>
      </c>
      <c r="K30">
        <f t="shared" si="1"/>
        <v>2.8718880000000002</v>
      </c>
      <c r="L30">
        <f t="shared" si="2"/>
        <v>8.6318603895236198E-3</v>
      </c>
      <c r="M30">
        <f t="shared" si="3"/>
        <v>0.32834058974792951</v>
      </c>
      <c r="N30" t="s">
        <v>1306</v>
      </c>
      <c r="O30" t="s">
        <v>1307</v>
      </c>
      <c r="P30">
        <f t="shared" si="4"/>
        <v>6.1046541586587626</v>
      </c>
      <c r="Q30">
        <f t="shared" si="5"/>
        <v>3.6764231586587628</v>
      </c>
      <c r="R30" t="s">
        <v>1308</v>
      </c>
      <c r="S30" t="s">
        <v>1309</v>
      </c>
      <c r="T30">
        <f t="shared" si="6"/>
        <v>60.490033280407872</v>
      </c>
      <c r="U30">
        <f t="shared" si="7"/>
        <v>0.4417875</v>
      </c>
      <c r="V30" t="s">
        <v>174</v>
      </c>
      <c r="W30" t="s">
        <v>1310</v>
      </c>
      <c r="X30" t="s">
        <v>176</v>
      </c>
      <c r="Y30" t="s">
        <v>176</v>
      </c>
      <c r="Z30" t="s">
        <v>176</v>
      </c>
      <c r="AA30" t="s">
        <v>1311</v>
      </c>
      <c r="AB30" t="s">
        <v>1312</v>
      </c>
      <c r="AC30" t="s">
        <v>1313</v>
      </c>
      <c r="AD30" t="s">
        <v>180</v>
      </c>
      <c r="AE30" t="s">
        <v>181</v>
      </c>
      <c r="AF30">
        <f t="shared" si="8"/>
        <v>259.54604759999995</v>
      </c>
      <c r="AG30" t="s">
        <v>182</v>
      </c>
      <c r="AH30" t="s">
        <v>1314</v>
      </c>
      <c r="AI30" t="s">
        <v>1315</v>
      </c>
      <c r="AJ30" t="s">
        <v>1316</v>
      </c>
      <c r="AK30" t="s">
        <v>1317</v>
      </c>
      <c r="AL30">
        <f t="shared" si="9"/>
        <v>36.409999999999997</v>
      </c>
      <c r="AM30" t="s">
        <v>1318</v>
      </c>
      <c r="AN30" t="s">
        <v>1319</v>
      </c>
      <c r="AO30" t="s">
        <v>1320</v>
      </c>
      <c r="AP30" t="s">
        <v>190</v>
      </c>
      <c r="AQ30" t="s">
        <v>1321</v>
      </c>
      <c r="AR30" t="s">
        <v>1279</v>
      </c>
      <c r="AS30" t="s">
        <v>534</v>
      </c>
      <c r="AT30" t="s">
        <v>808</v>
      </c>
      <c r="AU30" t="s">
        <v>787</v>
      </c>
      <c r="AV30" t="s">
        <v>1322</v>
      </c>
      <c r="AW30" t="s">
        <v>1323</v>
      </c>
      <c r="AX30" t="s">
        <v>1324</v>
      </c>
      <c r="AY30" t="s">
        <v>1325</v>
      </c>
      <c r="AZ30" t="s">
        <v>1042</v>
      </c>
      <c r="BA30" t="s">
        <v>1285</v>
      </c>
      <c r="BB30" t="s">
        <v>1286</v>
      </c>
      <c r="BC30" t="s">
        <v>1326</v>
      </c>
      <c r="BD30" t="s">
        <v>17</v>
      </c>
      <c r="BE30" t="s">
        <v>1288</v>
      </c>
      <c r="BF30" t="s">
        <v>795</v>
      </c>
      <c r="BG30" t="s">
        <v>1327</v>
      </c>
      <c r="BH30" t="s">
        <v>752</v>
      </c>
      <c r="BI30" t="s">
        <v>1247</v>
      </c>
      <c r="BJ30" t="s">
        <v>1291</v>
      </c>
      <c r="BK30" t="s">
        <v>17</v>
      </c>
      <c r="BL30" t="s">
        <v>1292</v>
      </c>
      <c r="BM30" t="s">
        <v>165</v>
      </c>
      <c r="BN30" t="s">
        <v>211</v>
      </c>
      <c r="BO30" t="s">
        <v>211</v>
      </c>
      <c r="BP30" t="s">
        <v>1293</v>
      </c>
      <c r="BQ30" t="s">
        <v>1328</v>
      </c>
      <c r="BR30" t="s">
        <v>1329</v>
      </c>
      <c r="BS30" t="s">
        <v>1293</v>
      </c>
      <c r="BT30" t="s">
        <v>165</v>
      </c>
      <c r="BU30" t="s">
        <v>217</v>
      </c>
      <c r="BV30" t="s">
        <v>212</v>
      </c>
      <c r="BW30" t="s">
        <v>218</v>
      </c>
      <c r="BX30" t="s">
        <v>219</v>
      </c>
      <c r="BY30" t="s">
        <v>176</v>
      </c>
      <c r="BZ30" t="s">
        <v>220</v>
      </c>
      <c r="CA30" t="s">
        <v>176</v>
      </c>
      <c r="CB30" t="s">
        <v>176</v>
      </c>
      <c r="CC30" t="s">
        <v>221</v>
      </c>
      <c r="CD30" t="s">
        <v>222</v>
      </c>
      <c r="CE30" t="s">
        <v>223</v>
      </c>
      <c r="CF30" t="s">
        <v>224</v>
      </c>
      <c r="CG30" t="s">
        <v>225</v>
      </c>
      <c r="CH30" t="s">
        <v>226</v>
      </c>
      <c r="CI30" t="s">
        <v>182</v>
      </c>
      <c r="CJ30" t="s">
        <v>218</v>
      </c>
      <c r="CK30" t="s">
        <v>227</v>
      </c>
      <c r="CL30" t="s">
        <v>227</v>
      </c>
      <c r="CM30" t="s">
        <v>227</v>
      </c>
      <c r="CN30" t="s">
        <v>176</v>
      </c>
      <c r="CO30" t="s">
        <v>228</v>
      </c>
      <c r="CP30" t="s">
        <v>176</v>
      </c>
      <c r="CQ30" t="s">
        <v>176</v>
      </c>
      <c r="CR30" t="s">
        <v>176</v>
      </c>
      <c r="CS30" t="s">
        <v>176</v>
      </c>
      <c r="CT30" t="s">
        <v>1330</v>
      </c>
      <c r="CU30" t="s">
        <v>1331</v>
      </c>
      <c r="CV30" t="s">
        <v>1332</v>
      </c>
      <c r="CW30" t="s">
        <v>1333</v>
      </c>
      <c r="CX30" t="s">
        <v>1334</v>
      </c>
      <c r="CY30" t="s">
        <v>1335</v>
      </c>
      <c r="CZ30" t="s">
        <v>1336</v>
      </c>
      <c r="DA30" t="s">
        <v>1337</v>
      </c>
      <c r="DB30" t="s">
        <v>1311</v>
      </c>
      <c r="DC30" t="s">
        <v>1338</v>
      </c>
      <c r="DD30" t="s">
        <v>238</v>
      </c>
      <c r="DE30" t="s">
        <v>239</v>
      </c>
      <c r="DF30" t="s">
        <v>182</v>
      </c>
      <c r="DG30" t="s">
        <v>240</v>
      </c>
      <c r="DH30" t="s">
        <v>241</v>
      </c>
      <c r="DI30" t="s">
        <v>182</v>
      </c>
      <c r="DJ30" t="s">
        <v>242</v>
      </c>
      <c r="DK30" t="s">
        <v>243</v>
      </c>
      <c r="DL30" t="s">
        <v>244</v>
      </c>
      <c r="DM30" t="s">
        <v>176</v>
      </c>
      <c r="DN30" t="s">
        <v>1310</v>
      </c>
      <c r="DO30" t="s">
        <v>245</v>
      </c>
      <c r="DP30" t="s">
        <v>246</v>
      </c>
      <c r="DQ30" t="s">
        <v>247</v>
      </c>
      <c r="DR30" t="s">
        <v>248</v>
      </c>
      <c r="DS30" t="s">
        <v>249</v>
      </c>
      <c r="DT30" t="s">
        <v>250</v>
      </c>
    </row>
    <row r="31" spans="1:124" ht="17.55" customHeight="1" x14ac:dyDescent="0.45">
      <c r="A31" t="s">
        <v>1339</v>
      </c>
      <c r="B31" t="s">
        <v>1340</v>
      </c>
      <c r="C31" t="s">
        <v>17</v>
      </c>
      <c r="D31" t="s">
        <v>167</v>
      </c>
      <c r="E31" t="s">
        <v>168</v>
      </c>
      <c r="I31" t="s">
        <v>1341</v>
      </c>
      <c r="J31">
        <f t="shared" si="0"/>
        <v>0.5277429427025746</v>
      </c>
      <c r="K31">
        <f t="shared" si="1"/>
        <v>2.7078363199999997</v>
      </c>
      <c r="L31">
        <f t="shared" si="2"/>
        <v>0.44166481234030358</v>
      </c>
      <c r="M31">
        <f t="shared" si="3"/>
        <v>9.5276068849421343</v>
      </c>
      <c r="N31" t="s">
        <v>1342</v>
      </c>
      <c r="O31" t="s">
        <v>1343</v>
      </c>
      <c r="P31">
        <f t="shared" si="4"/>
        <v>4.8980626115402082</v>
      </c>
      <c r="Q31">
        <f t="shared" si="5"/>
        <v>2.0941986115402083</v>
      </c>
      <c r="R31" t="s">
        <v>1344</v>
      </c>
      <c r="S31" t="s">
        <v>1345</v>
      </c>
      <c r="T31">
        <f t="shared" si="6"/>
        <v>48.529303591996509</v>
      </c>
      <c r="U31">
        <f t="shared" si="7"/>
        <v>0.4417875</v>
      </c>
      <c r="V31" t="s">
        <v>174</v>
      </c>
      <c r="W31" t="s">
        <v>1346</v>
      </c>
      <c r="X31" t="s">
        <v>176</v>
      </c>
      <c r="Y31" t="s">
        <v>176</v>
      </c>
      <c r="Z31" t="s">
        <v>176</v>
      </c>
      <c r="AA31" t="s">
        <v>1347</v>
      </c>
      <c r="AB31" t="s">
        <v>1348</v>
      </c>
      <c r="AC31" t="s">
        <v>1349</v>
      </c>
      <c r="AD31" t="s">
        <v>180</v>
      </c>
      <c r="AE31" t="s">
        <v>181</v>
      </c>
      <c r="AF31">
        <f t="shared" si="8"/>
        <v>290.24549400000001</v>
      </c>
      <c r="AG31" t="s">
        <v>182</v>
      </c>
      <c r="AH31" t="s">
        <v>1350</v>
      </c>
      <c r="AI31" t="s">
        <v>1351</v>
      </c>
      <c r="AJ31" t="s">
        <v>1352</v>
      </c>
      <c r="AK31" t="s">
        <v>1353</v>
      </c>
      <c r="AL31">
        <f t="shared" si="9"/>
        <v>32.450000000000003</v>
      </c>
      <c r="AM31" t="s">
        <v>947</v>
      </c>
      <c r="AN31" t="s">
        <v>1354</v>
      </c>
      <c r="AO31" t="s">
        <v>1355</v>
      </c>
      <c r="AP31" t="s">
        <v>1356</v>
      </c>
      <c r="AQ31" t="s">
        <v>1357</v>
      </c>
      <c r="AR31" t="s">
        <v>1358</v>
      </c>
      <c r="AS31" t="s">
        <v>1280</v>
      </c>
      <c r="AT31" t="s">
        <v>785</v>
      </c>
      <c r="AU31" t="s">
        <v>1359</v>
      </c>
      <c r="AV31" t="s">
        <v>1360</v>
      </c>
      <c r="AW31" t="s">
        <v>1361</v>
      </c>
      <c r="AX31" t="s">
        <v>1362</v>
      </c>
      <c r="AY31" t="s">
        <v>1363</v>
      </c>
      <c r="AZ31" t="s">
        <v>1042</v>
      </c>
      <c r="BA31" t="s">
        <v>1364</v>
      </c>
      <c r="BB31" t="s">
        <v>1365</v>
      </c>
      <c r="BC31" t="s">
        <v>1366</v>
      </c>
      <c r="BD31" t="s">
        <v>17</v>
      </c>
      <c r="BE31" t="s">
        <v>455</v>
      </c>
      <c r="BF31" t="s">
        <v>499</v>
      </c>
      <c r="BG31" t="s">
        <v>1205</v>
      </c>
      <c r="BH31" t="s">
        <v>752</v>
      </c>
      <c r="BI31" t="s">
        <v>1247</v>
      </c>
      <c r="BJ31" t="s">
        <v>1291</v>
      </c>
      <c r="BK31" t="s">
        <v>17</v>
      </c>
      <c r="BL31" t="s">
        <v>1292</v>
      </c>
      <c r="BM31" t="s">
        <v>165</v>
      </c>
      <c r="BN31" t="s">
        <v>283</v>
      </c>
      <c r="BO31" t="s">
        <v>212</v>
      </c>
      <c r="BP31" t="s">
        <v>213</v>
      </c>
      <c r="BQ31" t="s">
        <v>1367</v>
      </c>
      <c r="BR31" t="s">
        <v>1368</v>
      </c>
      <c r="BS31" t="s">
        <v>1369</v>
      </c>
      <c r="BT31" t="s">
        <v>165</v>
      </c>
      <c r="BU31" t="s">
        <v>217</v>
      </c>
      <c r="BV31" t="s">
        <v>212</v>
      </c>
      <c r="BW31" t="s">
        <v>218</v>
      </c>
      <c r="BX31" t="s">
        <v>219</v>
      </c>
      <c r="BY31" t="s">
        <v>176</v>
      </c>
      <c r="BZ31" t="s">
        <v>220</v>
      </c>
      <c r="CA31" t="s">
        <v>176</v>
      </c>
      <c r="CB31" t="s">
        <v>176</v>
      </c>
      <c r="CC31" t="s">
        <v>221</v>
      </c>
      <c r="CD31" t="s">
        <v>222</v>
      </c>
      <c r="CE31" t="s">
        <v>223</v>
      </c>
      <c r="CF31" t="s">
        <v>224</v>
      </c>
      <c r="CG31" t="s">
        <v>225</v>
      </c>
      <c r="CH31" t="s">
        <v>226</v>
      </c>
      <c r="CI31" t="s">
        <v>182</v>
      </c>
      <c r="CJ31" t="s">
        <v>218</v>
      </c>
      <c r="CK31" t="s">
        <v>227</v>
      </c>
      <c r="CL31" t="s">
        <v>227</v>
      </c>
      <c r="CM31" t="s">
        <v>227</v>
      </c>
      <c r="CN31" t="s">
        <v>176</v>
      </c>
      <c r="CO31" t="s">
        <v>228</v>
      </c>
      <c r="CP31" t="s">
        <v>176</v>
      </c>
      <c r="CQ31" t="s">
        <v>176</v>
      </c>
      <c r="CR31" t="s">
        <v>176</v>
      </c>
      <c r="CS31" t="s">
        <v>176</v>
      </c>
      <c r="CT31" t="s">
        <v>1370</v>
      </c>
      <c r="CU31" t="s">
        <v>1371</v>
      </c>
      <c r="CV31" t="s">
        <v>1372</v>
      </c>
      <c r="CW31" t="s">
        <v>1373</v>
      </c>
      <c r="CX31" t="s">
        <v>1374</v>
      </c>
      <c r="CY31" t="s">
        <v>1375</v>
      </c>
      <c r="CZ31" t="s">
        <v>1376</v>
      </c>
      <c r="DA31" t="s">
        <v>1377</v>
      </c>
      <c r="DB31" t="s">
        <v>1347</v>
      </c>
      <c r="DC31" t="s">
        <v>343</v>
      </c>
      <c r="DD31" t="s">
        <v>238</v>
      </c>
      <c r="DE31" t="s">
        <v>239</v>
      </c>
      <c r="DF31" t="s">
        <v>182</v>
      </c>
      <c r="DG31" t="s">
        <v>240</v>
      </c>
      <c r="DH31" t="s">
        <v>241</v>
      </c>
      <c r="DI31" t="s">
        <v>182</v>
      </c>
      <c r="DJ31" t="s">
        <v>242</v>
      </c>
      <c r="DK31" t="s">
        <v>243</v>
      </c>
      <c r="DL31" t="s">
        <v>244</v>
      </c>
      <c r="DM31" t="s">
        <v>176</v>
      </c>
      <c r="DN31" t="s">
        <v>1346</v>
      </c>
      <c r="DO31" t="s">
        <v>245</v>
      </c>
      <c r="DP31" t="s">
        <v>246</v>
      </c>
      <c r="DQ31" t="s">
        <v>247</v>
      </c>
      <c r="DR31" t="s">
        <v>248</v>
      </c>
      <c r="DS31" t="s">
        <v>249</v>
      </c>
      <c r="DT31" t="s">
        <v>250</v>
      </c>
    </row>
    <row r="32" spans="1:124" ht="17.55" customHeight="1" x14ac:dyDescent="0.45">
      <c r="A32" t="s">
        <v>1378</v>
      </c>
      <c r="B32" t="s">
        <v>1379</v>
      </c>
      <c r="C32" t="s">
        <v>17</v>
      </c>
      <c r="D32" t="s">
        <v>167</v>
      </c>
      <c r="E32" t="s">
        <v>168</v>
      </c>
      <c r="I32" t="s">
        <v>1380</v>
      </c>
      <c r="J32">
        <f t="shared" si="0"/>
        <v>9.8807733613225479E-2</v>
      </c>
      <c r="K32">
        <f t="shared" si="1"/>
        <v>2.87615</v>
      </c>
      <c r="L32">
        <f t="shared" si="2"/>
        <v>9.552601699874283E-2</v>
      </c>
      <c r="M32">
        <f t="shared" si="3"/>
        <v>3.4165498056699883</v>
      </c>
      <c r="N32" t="s">
        <v>1381</v>
      </c>
      <c r="O32" t="s">
        <v>1382</v>
      </c>
      <c r="P32">
        <f t="shared" si="4"/>
        <v>5.9132291499216372</v>
      </c>
      <c r="Q32">
        <f t="shared" si="5"/>
        <v>3.4598321499216373</v>
      </c>
      <c r="R32" t="s">
        <v>1383</v>
      </c>
      <c r="S32" t="s">
        <v>1384</v>
      </c>
      <c r="T32">
        <f t="shared" si="6"/>
        <v>58.593233748728075</v>
      </c>
      <c r="U32">
        <f t="shared" si="7"/>
        <v>0.4417875</v>
      </c>
      <c r="V32" t="s">
        <v>174</v>
      </c>
      <c r="W32" t="s">
        <v>1385</v>
      </c>
      <c r="X32" t="s">
        <v>176</v>
      </c>
      <c r="Y32" t="s">
        <v>176</v>
      </c>
      <c r="Z32" t="s">
        <v>176</v>
      </c>
      <c r="AA32" t="s">
        <v>1386</v>
      </c>
      <c r="AB32" t="s">
        <v>1387</v>
      </c>
      <c r="AC32" t="s">
        <v>1388</v>
      </c>
      <c r="AD32" t="s">
        <v>180</v>
      </c>
      <c r="AE32" t="s">
        <v>181</v>
      </c>
      <c r="AF32">
        <f t="shared" si="8"/>
        <v>265.36061538000001</v>
      </c>
      <c r="AG32" t="s">
        <v>182</v>
      </c>
      <c r="AH32" t="s">
        <v>372</v>
      </c>
      <c r="AI32" t="s">
        <v>1389</v>
      </c>
      <c r="AJ32" t="s">
        <v>1390</v>
      </c>
      <c r="AK32" t="s">
        <v>1352</v>
      </c>
      <c r="AL32">
        <f t="shared" si="9"/>
        <v>35.83</v>
      </c>
      <c r="AM32" t="s">
        <v>1318</v>
      </c>
      <c r="AN32" t="s">
        <v>1391</v>
      </c>
      <c r="AO32" t="s">
        <v>1392</v>
      </c>
      <c r="AP32" t="s">
        <v>1393</v>
      </c>
      <c r="AQ32" t="s">
        <v>1394</v>
      </c>
      <c r="AR32" t="s">
        <v>1395</v>
      </c>
      <c r="AS32" t="s">
        <v>1396</v>
      </c>
      <c r="AT32" t="s">
        <v>165</v>
      </c>
      <c r="AU32" t="s">
        <v>1397</v>
      </c>
      <c r="AV32" t="s">
        <v>1398</v>
      </c>
      <c r="AW32" t="s">
        <v>1399</v>
      </c>
      <c r="AX32" t="s">
        <v>1400</v>
      </c>
      <c r="AY32" t="s">
        <v>1401</v>
      </c>
      <c r="AZ32" t="s">
        <v>1042</v>
      </c>
      <c r="BA32" t="s">
        <v>1402</v>
      </c>
      <c r="BB32" t="s">
        <v>1403</v>
      </c>
      <c r="BC32" t="s">
        <v>1404</v>
      </c>
      <c r="BD32" t="s">
        <v>17</v>
      </c>
      <c r="BE32" t="s">
        <v>1405</v>
      </c>
      <c r="BF32" t="s">
        <v>1406</v>
      </c>
      <c r="BG32" t="s">
        <v>1205</v>
      </c>
      <c r="BH32" t="s">
        <v>752</v>
      </c>
      <c r="BI32" t="s">
        <v>1247</v>
      </c>
      <c r="BJ32" t="s">
        <v>1291</v>
      </c>
      <c r="BK32" t="s">
        <v>17</v>
      </c>
      <c r="BL32" t="s">
        <v>1292</v>
      </c>
      <c r="BM32" t="s">
        <v>165</v>
      </c>
      <c r="BN32" t="s">
        <v>211</v>
      </c>
      <c r="BO32" t="s">
        <v>330</v>
      </c>
      <c r="BP32" t="s">
        <v>212</v>
      </c>
      <c r="BQ32" t="s">
        <v>1407</v>
      </c>
      <c r="BR32" t="s">
        <v>1408</v>
      </c>
      <c r="BS32" t="s">
        <v>1409</v>
      </c>
      <c r="BT32" t="s">
        <v>165</v>
      </c>
      <c r="BU32" t="s">
        <v>217</v>
      </c>
      <c r="BV32" t="s">
        <v>212</v>
      </c>
      <c r="BW32" t="s">
        <v>218</v>
      </c>
      <c r="BX32" t="s">
        <v>219</v>
      </c>
      <c r="BY32" t="s">
        <v>176</v>
      </c>
      <c r="BZ32" t="s">
        <v>220</v>
      </c>
      <c r="CA32" t="s">
        <v>176</v>
      </c>
      <c r="CB32" t="s">
        <v>176</v>
      </c>
      <c r="CC32" t="s">
        <v>221</v>
      </c>
      <c r="CD32" t="s">
        <v>222</v>
      </c>
      <c r="CE32" t="s">
        <v>223</v>
      </c>
      <c r="CF32" t="s">
        <v>224</v>
      </c>
      <c r="CG32" t="s">
        <v>225</v>
      </c>
      <c r="CH32" t="s">
        <v>226</v>
      </c>
      <c r="CI32" t="s">
        <v>182</v>
      </c>
      <c r="CJ32" t="s">
        <v>218</v>
      </c>
      <c r="CK32" t="s">
        <v>227</v>
      </c>
      <c r="CL32" t="s">
        <v>227</v>
      </c>
      <c r="CM32" t="s">
        <v>227</v>
      </c>
      <c r="CN32" t="s">
        <v>176</v>
      </c>
      <c r="CO32" t="s">
        <v>228</v>
      </c>
      <c r="CP32" t="s">
        <v>176</v>
      </c>
      <c r="CQ32" t="s">
        <v>176</v>
      </c>
      <c r="CR32" t="s">
        <v>176</v>
      </c>
      <c r="CS32" t="s">
        <v>176</v>
      </c>
      <c r="CT32" t="s">
        <v>1410</v>
      </c>
      <c r="CU32" t="s">
        <v>1411</v>
      </c>
      <c r="CV32" t="s">
        <v>1412</v>
      </c>
      <c r="CW32" t="s">
        <v>1413</v>
      </c>
      <c r="CX32" t="s">
        <v>1414</v>
      </c>
      <c r="CY32" t="s">
        <v>1415</v>
      </c>
      <c r="CZ32" t="s">
        <v>1416</v>
      </c>
      <c r="DA32" t="s">
        <v>1417</v>
      </c>
      <c r="DB32" t="s">
        <v>1386</v>
      </c>
      <c r="DC32" t="s">
        <v>1218</v>
      </c>
      <c r="DD32" t="s">
        <v>238</v>
      </c>
      <c r="DE32" t="s">
        <v>239</v>
      </c>
      <c r="DF32" t="s">
        <v>182</v>
      </c>
      <c r="DG32" t="s">
        <v>240</v>
      </c>
      <c r="DH32" t="s">
        <v>241</v>
      </c>
      <c r="DI32" t="s">
        <v>182</v>
      </c>
      <c r="DJ32" t="s">
        <v>242</v>
      </c>
      <c r="DK32" t="s">
        <v>243</v>
      </c>
      <c r="DL32" t="s">
        <v>244</v>
      </c>
      <c r="DM32" t="s">
        <v>176</v>
      </c>
      <c r="DN32" t="s">
        <v>1385</v>
      </c>
      <c r="DO32" t="s">
        <v>245</v>
      </c>
      <c r="DP32" t="s">
        <v>246</v>
      </c>
      <c r="DQ32" t="s">
        <v>247</v>
      </c>
      <c r="DR32" t="s">
        <v>248</v>
      </c>
      <c r="DS32" t="s">
        <v>249</v>
      </c>
      <c r="DT32" t="s">
        <v>250</v>
      </c>
    </row>
    <row r="33" spans="1:124" ht="17.55" customHeight="1" x14ac:dyDescent="0.45">
      <c r="A33" t="s">
        <v>1418</v>
      </c>
      <c r="B33" t="s">
        <v>1419</v>
      </c>
      <c r="C33" t="s">
        <v>17</v>
      </c>
      <c r="D33" t="s">
        <v>167</v>
      </c>
      <c r="E33" t="s">
        <v>168</v>
      </c>
      <c r="I33" t="s">
        <v>1420</v>
      </c>
      <c r="J33">
        <f t="shared" si="0"/>
        <v>0.33313163474506241</v>
      </c>
      <c r="K33">
        <f t="shared" si="1"/>
        <v>2.7292771199999999</v>
      </c>
      <c r="L33">
        <f t="shared" si="2"/>
        <v>0.29689326979917974</v>
      </c>
      <c r="M33">
        <f t="shared" si="3"/>
        <v>10.07066940974928</v>
      </c>
      <c r="N33" t="s">
        <v>1421</v>
      </c>
      <c r="O33" t="s">
        <v>1422</v>
      </c>
      <c r="P33">
        <f t="shared" si="4"/>
        <v>5.8904826577146601</v>
      </c>
      <c r="Q33">
        <f t="shared" si="5"/>
        <v>3.2794656577146601</v>
      </c>
      <c r="R33" t="s">
        <v>1423</v>
      </c>
      <c r="S33" t="s">
        <v>1424</v>
      </c>
      <c r="T33">
        <f t="shared" si="6"/>
        <v>58.362059424498753</v>
      </c>
      <c r="U33">
        <f t="shared" si="7"/>
        <v>0.4417875</v>
      </c>
      <c r="V33" t="s">
        <v>174</v>
      </c>
      <c r="W33" t="s">
        <v>1425</v>
      </c>
      <c r="X33" t="s">
        <v>176</v>
      </c>
      <c r="Y33" t="s">
        <v>176</v>
      </c>
      <c r="Z33" t="s">
        <v>176</v>
      </c>
      <c r="AA33" t="s">
        <v>1426</v>
      </c>
      <c r="AB33" t="s">
        <v>1427</v>
      </c>
      <c r="AC33" t="s">
        <v>1428</v>
      </c>
      <c r="AD33" t="s">
        <v>180</v>
      </c>
      <c r="AE33" t="s">
        <v>181</v>
      </c>
      <c r="AF33">
        <f t="shared" si="8"/>
        <v>251.66574678000003</v>
      </c>
      <c r="AG33" t="s">
        <v>182</v>
      </c>
      <c r="AH33" t="s">
        <v>1429</v>
      </c>
      <c r="AI33" t="s">
        <v>1430</v>
      </c>
      <c r="AJ33" t="s">
        <v>1431</v>
      </c>
      <c r="AK33" t="s">
        <v>1432</v>
      </c>
      <c r="AL33">
        <f t="shared" si="9"/>
        <v>35.76</v>
      </c>
      <c r="AM33" t="s">
        <v>947</v>
      </c>
      <c r="AN33" t="s">
        <v>1433</v>
      </c>
      <c r="AO33" t="s">
        <v>1434</v>
      </c>
      <c r="AP33" t="s">
        <v>1435</v>
      </c>
      <c r="AQ33" t="s">
        <v>1436</v>
      </c>
      <c r="AR33" t="s">
        <v>1437</v>
      </c>
      <c r="AS33" t="s">
        <v>742</v>
      </c>
      <c r="AT33" t="s">
        <v>1396</v>
      </c>
      <c r="AU33" t="s">
        <v>1438</v>
      </c>
      <c r="AV33" t="s">
        <v>1439</v>
      </c>
      <c r="AW33" t="s">
        <v>1440</v>
      </c>
      <c r="AX33" t="s">
        <v>1441</v>
      </c>
      <c r="AY33" t="s">
        <v>1442</v>
      </c>
      <c r="AZ33" t="s">
        <v>1042</v>
      </c>
      <c r="BA33" t="s">
        <v>1443</v>
      </c>
      <c r="BB33" t="s">
        <v>1444</v>
      </c>
      <c r="BC33" t="s">
        <v>1445</v>
      </c>
      <c r="BD33" t="s">
        <v>17</v>
      </c>
      <c r="BE33" t="s">
        <v>1446</v>
      </c>
      <c r="BF33" t="s">
        <v>499</v>
      </c>
      <c r="BG33" t="s">
        <v>1447</v>
      </c>
      <c r="BH33" t="s">
        <v>752</v>
      </c>
      <c r="BI33" t="s">
        <v>1247</v>
      </c>
      <c r="BJ33" t="s">
        <v>1291</v>
      </c>
      <c r="BK33" t="s">
        <v>17</v>
      </c>
      <c r="BL33" t="s">
        <v>1292</v>
      </c>
      <c r="BM33" t="s">
        <v>165</v>
      </c>
      <c r="BN33" t="s">
        <v>211</v>
      </c>
      <c r="BO33" t="s">
        <v>284</v>
      </c>
      <c r="BP33" t="s">
        <v>1448</v>
      </c>
      <c r="BQ33" t="s">
        <v>1449</v>
      </c>
      <c r="BR33" t="s">
        <v>1450</v>
      </c>
      <c r="BS33" t="s">
        <v>1451</v>
      </c>
      <c r="BT33" t="s">
        <v>165</v>
      </c>
      <c r="BU33" t="s">
        <v>217</v>
      </c>
      <c r="BV33" t="s">
        <v>212</v>
      </c>
      <c r="BW33" t="s">
        <v>218</v>
      </c>
      <c r="BX33" t="s">
        <v>219</v>
      </c>
      <c r="BY33" t="s">
        <v>176</v>
      </c>
      <c r="BZ33" t="s">
        <v>220</v>
      </c>
      <c r="CA33" t="s">
        <v>176</v>
      </c>
      <c r="CB33" t="s">
        <v>176</v>
      </c>
      <c r="CC33" t="s">
        <v>221</v>
      </c>
      <c r="CD33" t="s">
        <v>222</v>
      </c>
      <c r="CE33" t="s">
        <v>223</v>
      </c>
      <c r="CF33" t="s">
        <v>224</v>
      </c>
      <c r="CG33" t="s">
        <v>225</v>
      </c>
      <c r="CH33" t="s">
        <v>226</v>
      </c>
      <c r="CI33" t="s">
        <v>182</v>
      </c>
      <c r="CJ33" t="s">
        <v>218</v>
      </c>
      <c r="CK33" t="s">
        <v>227</v>
      </c>
      <c r="CL33" t="s">
        <v>227</v>
      </c>
      <c r="CM33" t="s">
        <v>227</v>
      </c>
      <c r="CN33" t="s">
        <v>176</v>
      </c>
      <c r="CO33" t="s">
        <v>228</v>
      </c>
      <c r="CP33" t="s">
        <v>176</v>
      </c>
      <c r="CQ33" t="s">
        <v>176</v>
      </c>
      <c r="CR33" t="s">
        <v>176</v>
      </c>
      <c r="CS33" t="s">
        <v>176</v>
      </c>
      <c r="CT33" t="s">
        <v>1452</v>
      </c>
      <c r="CU33" t="s">
        <v>1453</v>
      </c>
      <c r="CV33" t="s">
        <v>1454</v>
      </c>
      <c r="CW33" t="s">
        <v>1455</v>
      </c>
      <c r="CX33" t="s">
        <v>1456</v>
      </c>
      <c r="CY33" t="s">
        <v>1457</v>
      </c>
      <c r="CZ33" t="s">
        <v>1458</v>
      </c>
      <c r="DA33" t="s">
        <v>1459</v>
      </c>
      <c r="DB33" t="s">
        <v>1426</v>
      </c>
      <c r="DC33" t="s">
        <v>470</v>
      </c>
      <c r="DD33" t="s">
        <v>238</v>
      </c>
      <c r="DE33" t="s">
        <v>239</v>
      </c>
      <c r="DF33" t="s">
        <v>182</v>
      </c>
      <c r="DG33" t="s">
        <v>240</v>
      </c>
      <c r="DH33" t="s">
        <v>241</v>
      </c>
      <c r="DI33" t="s">
        <v>182</v>
      </c>
      <c r="DJ33" t="s">
        <v>242</v>
      </c>
      <c r="DK33" t="s">
        <v>243</v>
      </c>
      <c r="DL33" t="s">
        <v>244</v>
      </c>
      <c r="DM33" t="s">
        <v>176</v>
      </c>
      <c r="DN33" t="s">
        <v>1425</v>
      </c>
      <c r="DO33" t="s">
        <v>245</v>
      </c>
      <c r="DP33" t="s">
        <v>246</v>
      </c>
      <c r="DQ33" t="s">
        <v>247</v>
      </c>
      <c r="DR33" t="s">
        <v>248</v>
      </c>
      <c r="DS33" t="s">
        <v>249</v>
      </c>
      <c r="DT33" t="s">
        <v>250</v>
      </c>
    </row>
    <row r="34" spans="1:124" ht="17.55" customHeight="1" x14ac:dyDescent="0.45">
      <c r="A34" t="s">
        <v>1460</v>
      </c>
      <c r="B34" t="s">
        <v>1461</v>
      </c>
      <c r="C34" t="s">
        <v>17</v>
      </c>
      <c r="D34" t="s">
        <v>167</v>
      </c>
      <c r="E34" t="s">
        <v>168</v>
      </c>
      <c r="I34" t="s">
        <v>1462</v>
      </c>
      <c r="J34">
        <f t="shared" si="0"/>
        <v>0.63359735427301556</v>
      </c>
      <c r="K34">
        <f t="shared" si="1"/>
        <v>2.7583803199999997</v>
      </c>
      <c r="L34">
        <f t="shared" si="2"/>
        <v>0.5152458655864619</v>
      </c>
      <c r="M34">
        <f t="shared" si="3"/>
        <v>13.870979858379318</v>
      </c>
      <c r="N34" t="s">
        <v>1463</v>
      </c>
      <c r="O34" t="s">
        <v>1464</v>
      </c>
      <c r="P34">
        <f t="shared" si="4"/>
        <v>5.3221830572191742</v>
      </c>
      <c r="Q34">
        <f t="shared" si="5"/>
        <v>2.609119057219174</v>
      </c>
      <c r="R34" t="s">
        <v>1465</v>
      </c>
      <c r="S34" t="s">
        <v>1466</v>
      </c>
      <c r="T34">
        <f t="shared" si="6"/>
        <v>52.731428289103079</v>
      </c>
      <c r="U34">
        <f t="shared" si="7"/>
        <v>0.4417875</v>
      </c>
      <c r="V34" t="s">
        <v>174</v>
      </c>
      <c r="W34" t="s">
        <v>1467</v>
      </c>
      <c r="X34" t="s">
        <v>176</v>
      </c>
      <c r="Y34" t="s">
        <v>176</v>
      </c>
      <c r="Z34" t="s">
        <v>176</v>
      </c>
      <c r="AA34" t="s">
        <v>1468</v>
      </c>
      <c r="AB34" t="s">
        <v>1469</v>
      </c>
      <c r="AC34" t="s">
        <v>1470</v>
      </c>
      <c r="AD34" t="s">
        <v>180</v>
      </c>
      <c r="AE34" t="s">
        <v>181</v>
      </c>
      <c r="AF34">
        <f t="shared" si="8"/>
        <v>346.33873427999998</v>
      </c>
      <c r="AG34" t="s">
        <v>182</v>
      </c>
      <c r="AH34" t="s">
        <v>1471</v>
      </c>
      <c r="AI34" t="s">
        <v>1472</v>
      </c>
      <c r="AJ34" t="s">
        <v>1473</v>
      </c>
      <c r="AK34" t="s">
        <v>1474</v>
      </c>
      <c r="AL34">
        <f t="shared" si="9"/>
        <v>33.93</v>
      </c>
      <c r="AM34" t="s">
        <v>947</v>
      </c>
      <c r="AN34" t="s">
        <v>1475</v>
      </c>
      <c r="AO34" t="s">
        <v>1476</v>
      </c>
      <c r="AP34" t="s">
        <v>315</v>
      </c>
      <c r="AQ34" t="s">
        <v>1477</v>
      </c>
      <c r="AR34" t="s">
        <v>1437</v>
      </c>
      <c r="AS34" t="s">
        <v>194</v>
      </c>
      <c r="AT34" t="s">
        <v>365</v>
      </c>
      <c r="AU34" t="s">
        <v>1478</v>
      </c>
      <c r="AV34" t="s">
        <v>1479</v>
      </c>
      <c r="AW34" t="s">
        <v>1480</v>
      </c>
      <c r="AX34" t="s">
        <v>1481</v>
      </c>
      <c r="AY34" t="s">
        <v>1482</v>
      </c>
      <c r="AZ34" t="s">
        <v>1042</v>
      </c>
      <c r="BA34" t="s">
        <v>1483</v>
      </c>
      <c r="BB34" t="s">
        <v>1484</v>
      </c>
      <c r="BC34" t="s">
        <v>1485</v>
      </c>
      <c r="BD34" t="s">
        <v>17</v>
      </c>
      <c r="BE34" t="s">
        <v>1486</v>
      </c>
      <c r="BF34" t="s">
        <v>1001</v>
      </c>
      <c r="BG34" t="s">
        <v>1487</v>
      </c>
      <c r="BH34" t="s">
        <v>752</v>
      </c>
      <c r="BI34" t="s">
        <v>1247</v>
      </c>
      <c r="BJ34" t="s">
        <v>1291</v>
      </c>
      <c r="BK34" t="s">
        <v>17</v>
      </c>
      <c r="BL34" t="s">
        <v>1292</v>
      </c>
      <c r="BM34" t="s">
        <v>165</v>
      </c>
      <c r="BN34" t="s">
        <v>212</v>
      </c>
      <c r="BO34" t="s">
        <v>284</v>
      </c>
      <c r="BP34" t="s">
        <v>283</v>
      </c>
      <c r="BQ34" t="s">
        <v>1488</v>
      </c>
      <c r="BR34" t="s">
        <v>1489</v>
      </c>
      <c r="BS34" t="s">
        <v>1490</v>
      </c>
      <c r="BT34" t="s">
        <v>165</v>
      </c>
      <c r="BU34" t="s">
        <v>217</v>
      </c>
      <c r="BV34" t="s">
        <v>212</v>
      </c>
      <c r="BW34" t="s">
        <v>218</v>
      </c>
      <c r="BX34" t="s">
        <v>219</v>
      </c>
      <c r="BY34" t="s">
        <v>176</v>
      </c>
      <c r="BZ34" t="s">
        <v>220</v>
      </c>
      <c r="CA34" t="s">
        <v>176</v>
      </c>
      <c r="CB34" t="s">
        <v>176</v>
      </c>
      <c r="CC34" t="s">
        <v>221</v>
      </c>
      <c r="CD34" t="s">
        <v>222</v>
      </c>
      <c r="CE34" t="s">
        <v>223</v>
      </c>
      <c r="CF34" t="s">
        <v>224</v>
      </c>
      <c r="CG34" t="s">
        <v>225</v>
      </c>
      <c r="CH34" t="s">
        <v>226</v>
      </c>
      <c r="CI34" t="s">
        <v>182</v>
      </c>
      <c r="CJ34" t="s">
        <v>218</v>
      </c>
      <c r="CK34" t="s">
        <v>227</v>
      </c>
      <c r="CL34" t="s">
        <v>227</v>
      </c>
      <c r="CM34" t="s">
        <v>227</v>
      </c>
      <c r="CN34" t="s">
        <v>176</v>
      </c>
      <c r="CO34" t="s">
        <v>228</v>
      </c>
      <c r="CP34" t="s">
        <v>176</v>
      </c>
      <c r="CQ34" t="s">
        <v>176</v>
      </c>
      <c r="CR34" t="s">
        <v>176</v>
      </c>
      <c r="CS34" t="s">
        <v>176</v>
      </c>
      <c r="CT34" t="s">
        <v>1491</v>
      </c>
      <c r="CU34" t="s">
        <v>1492</v>
      </c>
      <c r="CV34" t="s">
        <v>1493</v>
      </c>
      <c r="CW34" t="s">
        <v>1494</v>
      </c>
      <c r="CX34" t="s">
        <v>1495</v>
      </c>
      <c r="CY34" t="s">
        <v>1496</v>
      </c>
      <c r="CZ34" t="s">
        <v>1497</v>
      </c>
      <c r="DA34" t="s">
        <v>1498</v>
      </c>
      <c r="DB34" t="s">
        <v>1468</v>
      </c>
      <c r="DC34" t="s">
        <v>807</v>
      </c>
      <c r="DD34" t="s">
        <v>238</v>
      </c>
      <c r="DE34" t="s">
        <v>239</v>
      </c>
      <c r="DF34" t="s">
        <v>182</v>
      </c>
      <c r="DG34" t="s">
        <v>240</v>
      </c>
      <c r="DH34" t="s">
        <v>241</v>
      </c>
      <c r="DI34" t="s">
        <v>182</v>
      </c>
      <c r="DJ34" t="s">
        <v>242</v>
      </c>
      <c r="DK34" t="s">
        <v>243</v>
      </c>
      <c r="DL34" t="s">
        <v>244</v>
      </c>
      <c r="DM34" t="s">
        <v>176</v>
      </c>
      <c r="DN34" t="s">
        <v>1467</v>
      </c>
      <c r="DO34" t="s">
        <v>245</v>
      </c>
      <c r="DP34" t="s">
        <v>246</v>
      </c>
      <c r="DQ34" t="s">
        <v>247</v>
      </c>
      <c r="DR34" t="s">
        <v>248</v>
      </c>
      <c r="DS34" t="s">
        <v>249</v>
      </c>
      <c r="DT34" t="s">
        <v>250</v>
      </c>
    </row>
    <row r="35" spans="1:124" ht="17.55" customHeight="1" x14ac:dyDescent="0.45">
      <c r="A35" t="s">
        <v>1499</v>
      </c>
      <c r="B35" t="s">
        <v>1500</v>
      </c>
      <c r="C35" t="s">
        <v>17</v>
      </c>
      <c r="D35" t="s">
        <v>167</v>
      </c>
      <c r="E35" t="s">
        <v>168</v>
      </c>
      <c r="I35" t="s">
        <v>1501</v>
      </c>
      <c r="J35">
        <f t="shared" si="0"/>
        <v>0.60056427584768113</v>
      </c>
      <c r="K35">
        <f t="shared" si="1"/>
        <v>2.70457328</v>
      </c>
      <c r="L35">
        <f t="shared" si="2"/>
        <v>0.49143797071514178</v>
      </c>
      <c r="M35">
        <f t="shared" si="3"/>
        <v>10.775160097472128</v>
      </c>
      <c r="N35" t="s">
        <v>1502</v>
      </c>
      <c r="O35" t="s">
        <v>1503</v>
      </c>
      <c r="P35">
        <f t="shared" si="4"/>
        <v>4.7561967531330742</v>
      </c>
      <c r="Q35">
        <f t="shared" si="5"/>
        <v>2.1317137531330741</v>
      </c>
      <c r="R35" t="s">
        <v>1504</v>
      </c>
      <c r="S35" t="s">
        <v>1505</v>
      </c>
      <c r="T35">
        <f t="shared" si="6"/>
        <v>47.128386376665425</v>
      </c>
      <c r="U35">
        <f t="shared" si="7"/>
        <v>0.4417875</v>
      </c>
      <c r="V35" t="s">
        <v>174</v>
      </c>
      <c r="W35" t="s">
        <v>1506</v>
      </c>
      <c r="X35" t="s">
        <v>176</v>
      </c>
      <c r="Y35" t="s">
        <v>176</v>
      </c>
      <c r="Z35" t="s">
        <v>176</v>
      </c>
      <c r="AA35" t="s">
        <v>1507</v>
      </c>
      <c r="AB35" t="s">
        <v>1508</v>
      </c>
      <c r="AC35" t="s">
        <v>1509</v>
      </c>
      <c r="AD35" t="s">
        <v>180</v>
      </c>
      <c r="AE35" t="s">
        <v>181</v>
      </c>
      <c r="AF35">
        <f t="shared" si="8"/>
        <v>365.41887858000001</v>
      </c>
      <c r="AG35" t="s">
        <v>182</v>
      </c>
      <c r="AH35" t="s">
        <v>1510</v>
      </c>
      <c r="AI35" t="s">
        <v>1511</v>
      </c>
      <c r="AJ35" t="s">
        <v>1473</v>
      </c>
      <c r="AK35" t="s">
        <v>1512</v>
      </c>
      <c r="AL35">
        <f t="shared" si="9"/>
        <v>31.93</v>
      </c>
      <c r="AM35" t="s">
        <v>1318</v>
      </c>
      <c r="AN35" t="s">
        <v>1513</v>
      </c>
      <c r="AO35" t="s">
        <v>1514</v>
      </c>
      <c r="AP35" t="s">
        <v>486</v>
      </c>
      <c r="AQ35" t="s">
        <v>1515</v>
      </c>
      <c r="AR35" t="s">
        <v>1516</v>
      </c>
      <c r="AS35" t="s">
        <v>1517</v>
      </c>
      <c r="AT35" t="s">
        <v>223</v>
      </c>
      <c r="AU35" t="s">
        <v>410</v>
      </c>
      <c r="AV35" t="s">
        <v>1518</v>
      </c>
      <c r="AW35" t="s">
        <v>1519</v>
      </c>
      <c r="AX35" t="s">
        <v>1520</v>
      </c>
      <c r="AY35" t="s">
        <v>1521</v>
      </c>
      <c r="AZ35" t="s">
        <v>1042</v>
      </c>
      <c r="BA35" t="s">
        <v>1522</v>
      </c>
      <c r="BB35" t="s">
        <v>1523</v>
      </c>
      <c r="BC35" t="s">
        <v>1524</v>
      </c>
      <c r="BD35" t="s">
        <v>17</v>
      </c>
      <c r="BE35" t="s">
        <v>1486</v>
      </c>
      <c r="BF35" t="s">
        <v>1046</v>
      </c>
      <c r="BG35" t="s">
        <v>1525</v>
      </c>
      <c r="BH35" t="s">
        <v>724</v>
      </c>
      <c r="BI35" t="s">
        <v>1526</v>
      </c>
      <c r="BJ35" t="s">
        <v>1291</v>
      </c>
      <c r="BK35" t="s">
        <v>17</v>
      </c>
      <c r="BL35" t="s">
        <v>1292</v>
      </c>
      <c r="BM35" t="s">
        <v>165</v>
      </c>
      <c r="BN35" t="s">
        <v>331</v>
      </c>
      <c r="BO35" t="s">
        <v>211</v>
      </c>
      <c r="BP35" t="s">
        <v>213</v>
      </c>
      <c r="BQ35" t="s">
        <v>1527</v>
      </c>
      <c r="BR35" t="s">
        <v>1528</v>
      </c>
      <c r="BS35" t="s">
        <v>1529</v>
      </c>
      <c r="BT35" t="s">
        <v>165</v>
      </c>
      <c r="BU35" t="s">
        <v>217</v>
      </c>
      <c r="BV35" t="s">
        <v>212</v>
      </c>
      <c r="BW35" t="s">
        <v>218</v>
      </c>
      <c r="BX35" t="s">
        <v>219</v>
      </c>
      <c r="BY35" t="s">
        <v>176</v>
      </c>
      <c r="BZ35" t="s">
        <v>220</v>
      </c>
      <c r="CA35" t="s">
        <v>176</v>
      </c>
      <c r="CB35" t="s">
        <v>176</v>
      </c>
      <c r="CC35" t="s">
        <v>221</v>
      </c>
      <c r="CD35" t="s">
        <v>222</v>
      </c>
      <c r="CE35" t="s">
        <v>223</v>
      </c>
      <c r="CF35" t="s">
        <v>224</v>
      </c>
      <c r="CG35" t="s">
        <v>225</v>
      </c>
      <c r="CH35" t="s">
        <v>226</v>
      </c>
      <c r="CI35" t="s">
        <v>182</v>
      </c>
      <c r="CJ35" t="s">
        <v>218</v>
      </c>
      <c r="CK35" t="s">
        <v>227</v>
      </c>
      <c r="CL35" t="s">
        <v>227</v>
      </c>
      <c r="CM35" t="s">
        <v>227</v>
      </c>
      <c r="CN35" t="s">
        <v>176</v>
      </c>
      <c r="CO35" t="s">
        <v>228</v>
      </c>
      <c r="CP35" t="s">
        <v>176</v>
      </c>
      <c r="CQ35" t="s">
        <v>176</v>
      </c>
      <c r="CR35" t="s">
        <v>176</v>
      </c>
      <c r="CS35" t="s">
        <v>176</v>
      </c>
      <c r="CT35" t="s">
        <v>1530</v>
      </c>
      <c r="CU35" t="s">
        <v>1531</v>
      </c>
      <c r="CV35" t="s">
        <v>1532</v>
      </c>
      <c r="CW35" t="s">
        <v>1533</v>
      </c>
      <c r="CX35" t="s">
        <v>1534</v>
      </c>
      <c r="CY35" t="s">
        <v>1535</v>
      </c>
      <c r="CZ35" t="s">
        <v>1536</v>
      </c>
      <c r="DA35" t="s">
        <v>1537</v>
      </c>
      <c r="DB35" t="s">
        <v>1507</v>
      </c>
      <c r="DC35" t="s">
        <v>1538</v>
      </c>
      <c r="DD35" t="s">
        <v>238</v>
      </c>
      <c r="DE35" t="s">
        <v>239</v>
      </c>
      <c r="DF35" t="s">
        <v>182</v>
      </c>
      <c r="DG35" t="s">
        <v>240</v>
      </c>
      <c r="DH35" t="s">
        <v>241</v>
      </c>
      <c r="DI35" t="s">
        <v>182</v>
      </c>
      <c r="DJ35" t="s">
        <v>242</v>
      </c>
      <c r="DK35" t="s">
        <v>243</v>
      </c>
      <c r="DL35" t="s">
        <v>244</v>
      </c>
      <c r="DM35" t="s">
        <v>176</v>
      </c>
      <c r="DN35" t="s">
        <v>1506</v>
      </c>
      <c r="DO35" t="s">
        <v>245</v>
      </c>
      <c r="DP35" t="s">
        <v>246</v>
      </c>
      <c r="DQ35" t="s">
        <v>247</v>
      </c>
      <c r="DR35" t="s">
        <v>248</v>
      </c>
      <c r="DS35" t="s">
        <v>249</v>
      </c>
      <c r="DT35" t="s">
        <v>250</v>
      </c>
    </row>
    <row r="36" spans="1:124" ht="17.55" customHeight="1" x14ac:dyDescent="0.45">
      <c r="A36" t="s">
        <v>1539</v>
      </c>
      <c r="B36" t="s">
        <v>1540</v>
      </c>
      <c r="C36" t="s">
        <v>17</v>
      </c>
      <c r="D36" t="s">
        <v>167</v>
      </c>
      <c r="E36" t="s">
        <v>168</v>
      </c>
      <c r="I36" t="s">
        <v>1541</v>
      </c>
      <c r="J36">
        <f t="shared" ref="J36:J67" si="10">1/((1/L36)-(1/K36))</f>
        <v>0.83205512521108127</v>
      </c>
      <c r="K36">
        <f t="shared" ref="K36:K67" si="11">BY36+(BZ36*AN36)+(CA36*AN36*POWER(V36,2))+(CB36*AN36*V36)+(CC36*POWER(AN36,2))</f>
        <v>2.7501739199999999</v>
      </c>
      <c r="L36">
        <f t="shared" ref="L36:L67" si="12">((M36/1000)*(1000-((T36+S36)/2)))/(T36-S36)</f>
        <v>0.63879117624177861</v>
      </c>
      <c r="M36">
        <f t="shared" ref="M36:M67" si="13">(AN36*(S36-R36))/(100*U36*(1000-S36))*1000</f>
        <v>11.795682514053647</v>
      </c>
      <c r="N36" t="s">
        <v>1542</v>
      </c>
      <c r="O36" t="s">
        <v>1543</v>
      </c>
      <c r="P36">
        <f t="shared" ref="P36:P67" si="14">0.61365*EXP((17.502*AL36)/(240.97+AL36))</f>
        <v>4.5139512266519732</v>
      </c>
      <c r="Q36">
        <f t="shared" ref="Q36:Q67" si="15">P36-N36</f>
        <v>1.7969672266519732</v>
      </c>
      <c r="R36" t="s">
        <v>1544</v>
      </c>
      <c r="S36" t="s">
        <v>1545</v>
      </c>
      <c r="T36">
        <f t="shared" ref="T36:T67" si="16">(P36/AM36)*1000</f>
        <v>44.723582945130019</v>
      </c>
      <c r="U36">
        <f t="shared" ref="U36:U67" si="17">V36*BX36</f>
        <v>0.4417875</v>
      </c>
      <c r="V36" t="s">
        <v>174</v>
      </c>
      <c r="W36" t="s">
        <v>1546</v>
      </c>
      <c r="X36" t="s">
        <v>176</v>
      </c>
      <c r="Y36" t="s">
        <v>176</v>
      </c>
      <c r="Z36" t="s">
        <v>176</v>
      </c>
      <c r="AA36" t="s">
        <v>1547</v>
      </c>
      <c r="AB36" t="s">
        <v>1548</v>
      </c>
      <c r="AC36" t="s">
        <v>1549</v>
      </c>
      <c r="AD36" t="s">
        <v>180</v>
      </c>
      <c r="AE36" t="s">
        <v>181</v>
      </c>
      <c r="AF36">
        <f t="shared" ref="AF36:AF67" si="18">AC36*AD36*AE36*AQ36</f>
        <v>337.68314411999995</v>
      </c>
      <c r="AG36" t="s">
        <v>182</v>
      </c>
      <c r="AH36" t="s">
        <v>1550</v>
      </c>
      <c r="AI36" t="s">
        <v>1551</v>
      </c>
      <c r="AJ36" t="s">
        <v>1552</v>
      </c>
      <c r="AK36" t="s">
        <v>1553</v>
      </c>
      <c r="AL36">
        <f t="shared" ref="AL36:AL67" si="19">(AK36-AJ36)*(AJ36*0+0)+AK36</f>
        <v>31.01</v>
      </c>
      <c r="AM36" t="s">
        <v>947</v>
      </c>
      <c r="AN36" t="s">
        <v>1276</v>
      </c>
      <c r="AO36" t="s">
        <v>1554</v>
      </c>
      <c r="AP36" t="s">
        <v>1555</v>
      </c>
      <c r="AQ36" t="s">
        <v>1556</v>
      </c>
      <c r="AR36" t="s">
        <v>1557</v>
      </c>
      <c r="AS36" t="s">
        <v>1036</v>
      </c>
      <c r="AT36" t="s">
        <v>223</v>
      </c>
      <c r="AU36" t="s">
        <v>366</v>
      </c>
      <c r="AV36" t="s">
        <v>1558</v>
      </c>
      <c r="AW36" t="s">
        <v>1559</v>
      </c>
      <c r="AX36" t="s">
        <v>1560</v>
      </c>
      <c r="AY36" t="s">
        <v>1561</v>
      </c>
      <c r="AZ36" t="s">
        <v>1042</v>
      </c>
      <c r="BA36" t="s">
        <v>1562</v>
      </c>
      <c r="BB36" t="s">
        <v>1563</v>
      </c>
      <c r="BC36" t="s">
        <v>1564</v>
      </c>
      <c r="BD36" t="s">
        <v>17</v>
      </c>
      <c r="BE36" t="s">
        <v>1405</v>
      </c>
      <c r="BF36" t="s">
        <v>1565</v>
      </c>
      <c r="BG36" t="s">
        <v>1566</v>
      </c>
      <c r="BH36" t="s">
        <v>752</v>
      </c>
      <c r="BI36" t="s">
        <v>1247</v>
      </c>
      <c r="BJ36" t="s">
        <v>1291</v>
      </c>
      <c r="BK36" t="s">
        <v>17</v>
      </c>
      <c r="BL36" t="s">
        <v>1292</v>
      </c>
      <c r="BM36" t="s">
        <v>165</v>
      </c>
      <c r="BN36" t="s">
        <v>213</v>
      </c>
      <c r="BO36" t="s">
        <v>212</v>
      </c>
      <c r="BP36" t="s">
        <v>1567</v>
      </c>
      <c r="BQ36" t="s">
        <v>1568</v>
      </c>
      <c r="BR36" t="s">
        <v>1569</v>
      </c>
      <c r="BS36" t="s">
        <v>1570</v>
      </c>
      <c r="BT36" t="s">
        <v>165</v>
      </c>
      <c r="BU36" t="s">
        <v>217</v>
      </c>
      <c r="BV36" t="s">
        <v>212</v>
      </c>
      <c r="BW36" t="s">
        <v>218</v>
      </c>
      <c r="BX36" t="s">
        <v>219</v>
      </c>
      <c r="BY36" t="s">
        <v>176</v>
      </c>
      <c r="BZ36" t="s">
        <v>220</v>
      </c>
      <c r="CA36" t="s">
        <v>176</v>
      </c>
      <c r="CB36" t="s">
        <v>176</v>
      </c>
      <c r="CC36" t="s">
        <v>221</v>
      </c>
      <c r="CD36" t="s">
        <v>222</v>
      </c>
      <c r="CE36" t="s">
        <v>223</v>
      </c>
      <c r="CF36" t="s">
        <v>224</v>
      </c>
      <c r="CG36" t="s">
        <v>225</v>
      </c>
      <c r="CH36" t="s">
        <v>226</v>
      </c>
      <c r="CI36" t="s">
        <v>182</v>
      </c>
      <c r="CJ36" t="s">
        <v>218</v>
      </c>
      <c r="CK36" t="s">
        <v>227</v>
      </c>
      <c r="CL36" t="s">
        <v>227</v>
      </c>
      <c r="CM36" t="s">
        <v>227</v>
      </c>
      <c r="CN36" t="s">
        <v>176</v>
      </c>
      <c r="CO36" t="s">
        <v>228</v>
      </c>
      <c r="CP36" t="s">
        <v>176</v>
      </c>
      <c r="CQ36" t="s">
        <v>176</v>
      </c>
      <c r="CR36" t="s">
        <v>176</v>
      </c>
      <c r="CS36" t="s">
        <v>176</v>
      </c>
      <c r="CT36" t="s">
        <v>1571</v>
      </c>
      <c r="CU36" t="s">
        <v>1572</v>
      </c>
      <c r="CV36" t="s">
        <v>1573</v>
      </c>
      <c r="CW36" t="s">
        <v>1574</v>
      </c>
      <c r="CX36" t="s">
        <v>1575</v>
      </c>
      <c r="CY36" t="s">
        <v>1576</v>
      </c>
      <c r="CZ36" t="s">
        <v>1577</v>
      </c>
      <c r="DA36" t="s">
        <v>1578</v>
      </c>
      <c r="DB36" t="s">
        <v>1547</v>
      </c>
      <c r="DC36" t="s">
        <v>1338</v>
      </c>
      <c r="DD36" t="s">
        <v>238</v>
      </c>
      <c r="DE36" t="s">
        <v>239</v>
      </c>
      <c r="DF36" t="s">
        <v>182</v>
      </c>
      <c r="DG36" t="s">
        <v>240</v>
      </c>
      <c r="DH36" t="s">
        <v>241</v>
      </c>
      <c r="DI36" t="s">
        <v>182</v>
      </c>
      <c r="DJ36" t="s">
        <v>242</v>
      </c>
      <c r="DK36" t="s">
        <v>243</v>
      </c>
      <c r="DL36" t="s">
        <v>244</v>
      </c>
      <c r="DM36" t="s">
        <v>176</v>
      </c>
      <c r="DN36" t="s">
        <v>1546</v>
      </c>
      <c r="DO36" t="s">
        <v>245</v>
      </c>
      <c r="DP36" t="s">
        <v>246</v>
      </c>
      <c r="DQ36" t="s">
        <v>247</v>
      </c>
      <c r="DR36" t="s">
        <v>248</v>
      </c>
      <c r="DS36" t="s">
        <v>249</v>
      </c>
      <c r="DT36" t="s">
        <v>250</v>
      </c>
    </row>
    <row r="37" spans="1:124" ht="17.55" customHeight="1" x14ac:dyDescent="0.45">
      <c r="A37" t="s">
        <v>1579</v>
      </c>
      <c r="B37" t="s">
        <v>1580</v>
      </c>
      <c r="C37" t="s">
        <v>17</v>
      </c>
      <c r="D37" t="s">
        <v>167</v>
      </c>
      <c r="E37" t="s">
        <v>168</v>
      </c>
      <c r="I37" t="s">
        <v>1581</v>
      </c>
      <c r="J37">
        <f t="shared" si="10"/>
        <v>0.69371520236708728</v>
      </c>
      <c r="K37">
        <f t="shared" si="11"/>
        <v>2.6891839199999996</v>
      </c>
      <c r="L37">
        <f t="shared" si="12"/>
        <v>0.5514582905918185</v>
      </c>
      <c r="M37">
        <f t="shared" si="13"/>
        <v>10.658070571235482</v>
      </c>
      <c r="N37" t="s">
        <v>1582</v>
      </c>
      <c r="O37" t="s">
        <v>1583</v>
      </c>
      <c r="P37">
        <f t="shared" si="14"/>
        <v>4.4449293145151856</v>
      </c>
      <c r="Q37">
        <f t="shared" si="15"/>
        <v>1.8830333145151856</v>
      </c>
      <c r="R37" t="s">
        <v>1584</v>
      </c>
      <c r="S37" t="s">
        <v>1585</v>
      </c>
      <c r="T37">
        <f t="shared" si="16"/>
        <v>44.039723714606019</v>
      </c>
      <c r="U37">
        <f t="shared" si="17"/>
        <v>0.4417875</v>
      </c>
      <c r="V37" t="s">
        <v>174</v>
      </c>
      <c r="W37" t="s">
        <v>1586</v>
      </c>
      <c r="X37" t="s">
        <v>176</v>
      </c>
      <c r="Y37" t="s">
        <v>176</v>
      </c>
      <c r="Z37" t="s">
        <v>176</v>
      </c>
      <c r="AA37" t="s">
        <v>1587</v>
      </c>
      <c r="AB37" t="s">
        <v>1588</v>
      </c>
      <c r="AC37" t="s">
        <v>1589</v>
      </c>
      <c r="AD37" t="s">
        <v>180</v>
      </c>
      <c r="AE37" t="s">
        <v>181</v>
      </c>
      <c r="AF37">
        <f t="shared" si="18"/>
        <v>318.03155999999996</v>
      </c>
      <c r="AG37" t="s">
        <v>182</v>
      </c>
      <c r="AH37" t="s">
        <v>1590</v>
      </c>
      <c r="AI37" t="s">
        <v>1591</v>
      </c>
      <c r="AJ37" t="s">
        <v>1592</v>
      </c>
      <c r="AK37" t="s">
        <v>1593</v>
      </c>
      <c r="AL37">
        <f t="shared" si="19"/>
        <v>30.74</v>
      </c>
      <c r="AM37" t="s">
        <v>947</v>
      </c>
      <c r="AN37" t="s">
        <v>1594</v>
      </c>
      <c r="AO37" t="s">
        <v>1595</v>
      </c>
      <c r="AP37" t="s">
        <v>1596</v>
      </c>
      <c r="AQ37" t="s">
        <v>1597</v>
      </c>
      <c r="AR37" t="s">
        <v>1598</v>
      </c>
      <c r="AS37" t="s">
        <v>742</v>
      </c>
      <c r="AT37" t="s">
        <v>785</v>
      </c>
      <c r="AU37" t="s">
        <v>1599</v>
      </c>
      <c r="AV37" t="s">
        <v>1600</v>
      </c>
      <c r="AW37" t="s">
        <v>1601</v>
      </c>
      <c r="AX37" t="s">
        <v>1602</v>
      </c>
      <c r="AY37" t="s">
        <v>1603</v>
      </c>
      <c r="AZ37" t="s">
        <v>1042</v>
      </c>
      <c r="BA37" t="s">
        <v>1604</v>
      </c>
      <c r="BB37" t="s">
        <v>1316</v>
      </c>
      <c r="BC37" t="s">
        <v>1605</v>
      </c>
      <c r="BD37" t="s">
        <v>17</v>
      </c>
      <c r="BE37" t="s">
        <v>1606</v>
      </c>
      <c r="BF37" t="s">
        <v>544</v>
      </c>
      <c r="BG37" t="s">
        <v>1607</v>
      </c>
      <c r="BH37" t="s">
        <v>752</v>
      </c>
      <c r="BI37" t="s">
        <v>1247</v>
      </c>
      <c r="BJ37" t="s">
        <v>1291</v>
      </c>
      <c r="BK37" t="s">
        <v>17</v>
      </c>
      <c r="BL37" t="s">
        <v>1292</v>
      </c>
      <c r="BM37" t="s">
        <v>165</v>
      </c>
      <c r="BN37" t="s">
        <v>284</v>
      </c>
      <c r="BO37" t="s">
        <v>284</v>
      </c>
      <c r="BP37" t="s">
        <v>213</v>
      </c>
      <c r="BQ37" t="s">
        <v>1608</v>
      </c>
      <c r="BR37" t="s">
        <v>1609</v>
      </c>
      <c r="BS37" t="s">
        <v>1610</v>
      </c>
      <c r="BT37" t="s">
        <v>165</v>
      </c>
      <c r="BU37" t="s">
        <v>217</v>
      </c>
      <c r="BV37" t="s">
        <v>212</v>
      </c>
      <c r="BW37" t="s">
        <v>218</v>
      </c>
      <c r="BX37" t="s">
        <v>219</v>
      </c>
      <c r="BY37" t="s">
        <v>176</v>
      </c>
      <c r="BZ37" t="s">
        <v>220</v>
      </c>
      <c r="CA37" t="s">
        <v>176</v>
      </c>
      <c r="CB37" t="s">
        <v>176</v>
      </c>
      <c r="CC37" t="s">
        <v>221</v>
      </c>
      <c r="CD37" t="s">
        <v>222</v>
      </c>
      <c r="CE37" t="s">
        <v>223</v>
      </c>
      <c r="CF37" t="s">
        <v>224</v>
      </c>
      <c r="CG37" t="s">
        <v>225</v>
      </c>
      <c r="CH37" t="s">
        <v>226</v>
      </c>
      <c r="CI37" t="s">
        <v>182</v>
      </c>
      <c r="CJ37" t="s">
        <v>218</v>
      </c>
      <c r="CK37" t="s">
        <v>227</v>
      </c>
      <c r="CL37" t="s">
        <v>227</v>
      </c>
      <c r="CM37" t="s">
        <v>227</v>
      </c>
      <c r="CN37" t="s">
        <v>176</v>
      </c>
      <c r="CO37" t="s">
        <v>228</v>
      </c>
      <c r="CP37" t="s">
        <v>176</v>
      </c>
      <c r="CQ37" t="s">
        <v>176</v>
      </c>
      <c r="CR37" t="s">
        <v>176</v>
      </c>
      <c r="CS37" t="s">
        <v>176</v>
      </c>
      <c r="CT37" t="s">
        <v>1611</v>
      </c>
      <c r="CU37" t="s">
        <v>1612</v>
      </c>
      <c r="CV37" t="s">
        <v>1613</v>
      </c>
      <c r="CW37" t="s">
        <v>1614</v>
      </c>
      <c r="CX37" t="s">
        <v>1615</v>
      </c>
      <c r="CY37" t="s">
        <v>1616</v>
      </c>
      <c r="CZ37" t="s">
        <v>1617</v>
      </c>
      <c r="DA37" t="s">
        <v>1618</v>
      </c>
      <c r="DB37" t="s">
        <v>1587</v>
      </c>
      <c r="DC37" t="s">
        <v>1259</v>
      </c>
      <c r="DD37" t="s">
        <v>238</v>
      </c>
      <c r="DE37" t="s">
        <v>239</v>
      </c>
      <c r="DF37" t="s">
        <v>182</v>
      </c>
      <c r="DG37" t="s">
        <v>240</v>
      </c>
      <c r="DH37" t="s">
        <v>241</v>
      </c>
      <c r="DI37" t="s">
        <v>182</v>
      </c>
      <c r="DJ37" t="s">
        <v>242</v>
      </c>
      <c r="DK37" t="s">
        <v>243</v>
      </c>
      <c r="DL37" t="s">
        <v>244</v>
      </c>
      <c r="DM37" t="s">
        <v>176</v>
      </c>
      <c r="DN37" t="s">
        <v>1586</v>
      </c>
      <c r="DO37" t="s">
        <v>245</v>
      </c>
      <c r="DP37" t="s">
        <v>246</v>
      </c>
      <c r="DQ37" t="s">
        <v>247</v>
      </c>
      <c r="DR37" t="s">
        <v>248</v>
      </c>
      <c r="DS37" t="s">
        <v>249</v>
      </c>
      <c r="DT37" t="s">
        <v>250</v>
      </c>
    </row>
    <row r="38" spans="1:124" ht="17.55" customHeight="1" x14ac:dyDescent="0.45">
      <c r="A38" t="s">
        <v>1619</v>
      </c>
      <c r="B38" t="s">
        <v>1620</v>
      </c>
      <c r="C38" t="s">
        <v>17</v>
      </c>
      <c r="D38" t="s">
        <v>167</v>
      </c>
      <c r="E38" t="s">
        <v>168</v>
      </c>
      <c r="I38" t="s">
        <v>1621</v>
      </c>
      <c r="J38">
        <f t="shared" si="10"/>
        <v>0.67074636113426345</v>
      </c>
      <c r="K38">
        <f t="shared" si="11"/>
        <v>2.6553091200000001</v>
      </c>
      <c r="L38">
        <f t="shared" si="12"/>
        <v>0.53548082406588327</v>
      </c>
      <c r="M38">
        <f t="shared" si="13"/>
        <v>13.901603698836286</v>
      </c>
      <c r="N38" t="s">
        <v>1622</v>
      </c>
      <c r="O38" t="s">
        <v>1623</v>
      </c>
      <c r="P38">
        <f t="shared" si="14"/>
        <v>5.3668991051803552</v>
      </c>
      <c r="Q38">
        <f t="shared" si="15"/>
        <v>2.5133391051803553</v>
      </c>
      <c r="R38" t="s">
        <v>1624</v>
      </c>
      <c r="S38" t="s">
        <v>1625</v>
      </c>
      <c r="T38">
        <f t="shared" si="16"/>
        <v>53.179737467106172</v>
      </c>
      <c r="U38">
        <f t="shared" si="17"/>
        <v>0.4417875</v>
      </c>
      <c r="V38" t="s">
        <v>174</v>
      </c>
      <c r="W38" t="s">
        <v>1626</v>
      </c>
      <c r="X38" t="s">
        <v>176</v>
      </c>
      <c r="Y38" t="s">
        <v>176</v>
      </c>
      <c r="Z38" t="s">
        <v>176</v>
      </c>
      <c r="AA38" t="s">
        <v>1627</v>
      </c>
      <c r="AB38" t="s">
        <v>1628</v>
      </c>
      <c r="AC38" t="s">
        <v>1629</v>
      </c>
      <c r="AD38" t="s">
        <v>180</v>
      </c>
      <c r="AE38" t="s">
        <v>181</v>
      </c>
      <c r="AF38">
        <f t="shared" si="18"/>
        <v>342.34180259999999</v>
      </c>
      <c r="AG38" t="s">
        <v>182</v>
      </c>
      <c r="AH38" t="s">
        <v>1630</v>
      </c>
      <c r="AI38" t="s">
        <v>1631</v>
      </c>
      <c r="AJ38" t="s">
        <v>1432</v>
      </c>
      <c r="AK38" t="s">
        <v>1632</v>
      </c>
      <c r="AL38">
        <f t="shared" si="19"/>
        <v>34.08</v>
      </c>
      <c r="AM38" t="s">
        <v>1318</v>
      </c>
      <c r="AN38" t="s">
        <v>1633</v>
      </c>
      <c r="AO38" t="s">
        <v>1634</v>
      </c>
      <c r="AP38" t="s">
        <v>1635</v>
      </c>
      <c r="AQ38" t="s">
        <v>1636</v>
      </c>
      <c r="AR38" t="s">
        <v>1637</v>
      </c>
      <c r="AS38" t="s">
        <v>1638</v>
      </c>
      <c r="AT38" t="s">
        <v>785</v>
      </c>
      <c r="AU38" t="s">
        <v>1639</v>
      </c>
      <c r="AV38" t="s">
        <v>1640</v>
      </c>
      <c r="AW38" t="s">
        <v>1641</v>
      </c>
      <c r="AX38" t="s">
        <v>1642</v>
      </c>
      <c r="AY38" t="s">
        <v>1643</v>
      </c>
      <c r="AZ38" t="s">
        <v>1042</v>
      </c>
      <c r="BA38" t="s">
        <v>1644</v>
      </c>
      <c r="BB38" t="s">
        <v>658</v>
      </c>
      <c r="BC38" t="s">
        <v>1645</v>
      </c>
      <c r="BD38" t="s">
        <v>17</v>
      </c>
      <c r="BE38" t="s">
        <v>455</v>
      </c>
      <c r="BF38" t="s">
        <v>544</v>
      </c>
      <c r="BG38" t="s">
        <v>1646</v>
      </c>
      <c r="BH38" t="s">
        <v>808</v>
      </c>
      <c r="BI38" t="s">
        <v>1647</v>
      </c>
      <c r="BJ38" t="s">
        <v>1291</v>
      </c>
      <c r="BK38" t="s">
        <v>17</v>
      </c>
      <c r="BL38" t="s">
        <v>1292</v>
      </c>
      <c r="BM38" t="s">
        <v>165</v>
      </c>
      <c r="BN38" t="s">
        <v>331</v>
      </c>
      <c r="BO38" t="s">
        <v>330</v>
      </c>
      <c r="BP38" t="s">
        <v>213</v>
      </c>
      <c r="BQ38" t="s">
        <v>1648</v>
      </c>
      <c r="BR38" t="s">
        <v>1649</v>
      </c>
      <c r="BS38" t="s">
        <v>1650</v>
      </c>
      <c r="BT38" t="s">
        <v>165</v>
      </c>
      <c r="BU38" t="s">
        <v>217</v>
      </c>
      <c r="BV38" t="s">
        <v>212</v>
      </c>
      <c r="BW38" t="s">
        <v>218</v>
      </c>
      <c r="BX38" t="s">
        <v>219</v>
      </c>
      <c r="BY38" t="s">
        <v>176</v>
      </c>
      <c r="BZ38" t="s">
        <v>220</v>
      </c>
      <c r="CA38" t="s">
        <v>176</v>
      </c>
      <c r="CB38" t="s">
        <v>176</v>
      </c>
      <c r="CC38" t="s">
        <v>221</v>
      </c>
      <c r="CD38" t="s">
        <v>222</v>
      </c>
      <c r="CE38" t="s">
        <v>223</v>
      </c>
      <c r="CF38" t="s">
        <v>224</v>
      </c>
      <c r="CG38" t="s">
        <v>225</v>
      </c>
      <c r="CH38" t="s">
        <v>226</v>
      </c>
      <c r="CI38" t="s">
        <v>182</v>
      </c>
      <c r="CJ38" t="s">
        <v>218</v>
      </c>
      <c r="CK38" t="s">
        <v>227</v>
      </c>
      <c r="CL38" t="s">
        <v>227</v>
      </c>
      <c r="CM38" t="s">
        <v>227</v>
      </c>
      <c r="CN38" t="s">
        <v>176</v>
      </c>
      <c r="CO38" t="s">
        <v>228</v>
      </c>
      <c r="CP38" t="s">
        <v>176</v>
      </c>
      <c r="CQ38" t="s">
        <v>176</v>
      </c>
      <c r="CR38" t="s">
        <v>176</v>
      </c>
      <c r="CS38" t="s">
        <v>176</v>
      </c>
      <c r="CT38" t="s">
        <v>1651</v>
      </c>
      <c r="CU38" t="s">
        <v>1652</v>
      </c>
      <c r="CV38" t="s">
        <v>1653</v>
      </c>
      <c r="CW38" t="s">
        <v>1654</v>
      </c>
      <c r="CX38" t="s">
        <v>1655</v>
      </c>
      <c r="CY38" t="s">
        <v>1656</v>
      </c>
      <c r="CZ38" t="s">
        <v>1657</v>
      </c>
      <c r="DA38" t="s">
        <v>1658</v>
      </c>
      <c r="DB38" t="s">
        <v>1627</v>
      </c>
      <c r="DC38" t="s">
        <v>297</v>
      </c>
      <c r="DD38" t="s">
        <v>238</v>
      </c>
      <c r="DE38" t="s">
        <v>239</v>
      </c>
      <c r="DF38" t="s">
        <v>182</v>
      </c>
      <c r="DG38" t="s">
        <v>240</v>
      </c>
      <c r="DH38" t="s">
        <v>241</v>
      </c>
      <c r="DI38" t="s">
        <v>182</v>
      </c>
      <c r="DJ38" t="s">
        <v>242</v>
      </c>
      <c r="DK38" t="s">
        <v>243</v>
      </c>
      <c r="DL38" t="s">
        <v>244</v>
      </c>
      <c r="DM38" t="s">
        <v>176</v>
      </c>
      <c r="DN38" t="s">
        <v>1626</v>
      </c>
      <c r="DO38" t="s">
        <v>245</v>
      </c>
      <c r="DP38" t="s">
        <v>246</v>
      </c>
      <c r="DQ38" t="s">
        <v>247</v>
      </c>
      <c r="DR38" t="s">
        <v>248</v>
      </c>
      <c r="DS38" t="s">
        <v>249</v>
      </c>
      <c r="DT38" t="s">
        <v>250</v>
      </c>
    </row>
    <row r="39" spans="1:124" ht="17.55" customHeight="1" x14ac:dyDescent="0.45">
      <c r="A39" t="s">
        <v>1659</v>
      </c>
      <c r="B39" t="s">
        <v>1660</v>
      </c>
      <c r="C39" t="s">
        <v>17</v>
      </c>
      <c r="D39" t="s">
        <v>167</v>
      </c>
      <c r="E39" t="s">
        <v>168</v>
      </c>
      <c r="I39" t="s">
        <v>1661</v>
      </c>
      <c r="J39">
        <f t="shared" si="10"/>
        <v>1.1002905525931534</v>
      </c>
      <c r="K39">
        <f t="shared" si="11"/>
        <v>2.6891839199999996</v>
      </c>
      <c r="L39">
        <f t="shared" si="12"/>
        <v>0.78081635930288917</v>
      </c>
      <c r="M39">
        <f t="shared" si="13"/>
        <v>18.222978183922589</v>
      </c>
      <c r="N39" t="s">
        <v>1662</v>
      </c>
      <c r="O39" t="s">
        <v>1663</v>
      </c>
      <c r="P39">
        <f t="shared" si="14"/>
        <v>5.2074343615645624</v>
      </c>
      <c r="Q39">
        <f t="shared" si="15"/>
        <v>2.2605013615645624</v>
      </c>
      <c r="R39" t="s">
        <v>1664</v>
      </c>
      <c r="S39" t="s">
        <v>1665</v>
      </c>
      <c r="T39">
        <f t="shared" si="16"/>
        <v>51.594514629590428</v>
      </c>
      <c r="U39">
        <f t="shared" si="17"/>
        <v>0.4417875</v>
      </c>
      <c r="V39" t="s">
        <v>174</v>
      </c>
      <c r="W39" t="s">
        <v>1666</v>
      </c>
      <c r="X39" t="s">
        <v>176</v>
      </c>
      <c r="Y39" t="s">
        <v>176</v>
      </c>
      <c r="Z39" t="s">
        <v>176</v>
      </c>
      <c r="AA39" t="s">
        <v>1667</v>
      </c>
      <c r="AB39" t="s">
        <v>1668</v>
      </c>
      <c r="AC39" t="s">
        <v>1669</v>
      </c>
      <c r="AD39" t="s">
        <v>180</v>
      </c>
      <c r="AE39" t="s">
        <v>181</v>
      </c>
      <c r="AF39">
        <f t="shared" si="18"/>
        <v>348.13454717999997</v>
      </c>
      <c r="AG39" t="s">
        <v>182</v>
      </c>
      <c r="AH39" t="s">
        <v>1670</v>
      </c>
      <c r="AI39" t="s">
        <v>1671</v>
      </c>
      <c r="AJ39" t="s">
        <v>1563</v>
      </c>
      <c r="AK39" t="s">
        <v>821</v>
      </c>
      <c r="AL39">
        <f t="shared" si="19"/>
        <v>33.54</v>
      </c>
      <c r="AM39" t="s">
        <v>947</v>
      </c>
      <c r="AN39" t="s">
        <v>1594</v>
      </c>
      <c r="AO39" t="s">
        <v>1672</v>
      </c>
      <c r="AP39" t="s">
        <v>1673</v>
      </c>
      <c r="AQ39" t="s">
        <v>1674</v>
      </c>
      <c r="AR39" t="s">
        <v>1675</v>
      </c>
      <c r="AS39" t="s">
        <v>193</v>
      </c>
      <c r="AT39" t="s">
        <v>223</v>
      </c>
      <c r="AU39" t="s">
        <v>1079</v>
      </c>
      <c r="AV39" t="s">
        <v>1676</v>
      </c>
      <c r="AW39" t="s">
        <v>1677</v>
      </c>
      <c r="AX39" t="s">
        <v>274</v>
      </c>
      <c r="AY39" t="s">
        <v>1678</v>
      </c>
      <c r="AZ39" t="s">
        <v>1042</v>
      </c>
      <c r="BA39" t="s">
        <v>1679</v>
      </c>
      <c r="BB39" t="s">
        <v>1680</v>
      </c>
      <c r="BC39" t="s">
        <v>1681</v>
      </c>
      <c r="BD39" t="s">
        <v>17</v>
      </c>
      <c r="BE39" t="s">
        <v>1682</v>
      </c>
      <c r="BF39" t="s">
        <v>1683</v>
      </c>
      <c r="BG39" t="s">
        <v>1684</v>
      </c>
      <c r="BH39" t="s">
        <v>808</v>
      </c>
      <c r="BI39" t="s">
        <v>1685</v>
      </c>
      <c r="BJ39" t="s">
        <v>1686</v>
      </c>
      <c r="BK39" t="s">
        <v>17</v>
      </c>
      <c r="BL39" t="s">
        <v>1687</v>
      </c>
      <c r="BM39" t="s">
        <v>165</v>
      </c>
      <c r="BN39" t="s">
        <v>1688</v>
      </c>
      <c r="BO39" t="s">
        <v>284</v>
      </c>
      <c r="BP39" t="s">
        <v>1567</v>
      </c>
      <c r="BQ39" t="s">
        <v>1689</v>
      </c>
      <c r="BR39" t="s">
        <v>1690</v>
      </c>
      <c r="BS39" t="s">
        <v>1691</v>
      </c>
      <c r="BT39" t="s">
        <v>165</v>
      </c>
      <c r="BU39" t="s">
        <v>217</v>
      </c>
      <c r="BV39" t="s">
        <v>212</v>
      </c>
      <c r="BW39" t="s">
        <v>218</v>
      </c>
      <c r="BX39" t="s">
        <v>219</v>
      </c>
      <c r="BY39" t="s">
        <v>176</v>
      </c>
      <c r="BZ39" t="s">
        <v>220</v>
      </c>
      <c r="CA39" t="s">
        <v>176</v>
      </c>
      <c r="CB39" t="s">
        <v>176</v>
      </c>
      <c r="CC39" t="s">
        <v>221</v>
      </c>
      <c r="CD39" t="s">
        <v>222</v>
      </c>
      <c r="CE39" t="s">
        <v>223</v>
      </c>
      <c r="CF39" t="s">
        <v>224</v>
      </c>
      <c r="CG39" t="s">
        <v>225</v>
      </c>
      <c r="CH39" t="s">
        <v>226</v>
      </c>
      <c r="CI39" t="s">
        <v>182</v>
      </c>
      <c r="CJ39" t="s">
        <v>218</v>
      </c>
      <c r="CK39" t="s">
        <v>227</v>
      </c>
      <c r="CL39" t="s">
        <v>227</v>
      </c>
      <c r="CM39" t="s">
        <v>227</v>
      </c>
      <c r="CN39" t="s">
        <v>176</v>
      </c>
      <c r="CO39" t="s">
        <v>228</v>
      </c>
      <c r="CP39" t="s">
        <v>176</v>
      </c>
      <c r="CQ39" t="s">
        <v>176</v>
      </c>
      <c r="CR39" t="s">
        <v>176</v>
      </c>
      <c r="CS39" t="s">
        <v>176</v>
      </c>
      <c r="CT39" t="s">
        <v>1692</v>
      </c>
      <c r="CU39" t="s">
        <v>1693</v>
      </c>
      <c r="CV39" t="s">
        <v>1694</v>
      </c>
      <c r="CW39" t="s">
        <v>1695</v>
      </c>
      <c r="CX39" t="s">
        <v>1696</v>
      </c>
      <c r="CY39" t="s">
        <v>1697</v>
      </c>
      <c r="CZ39" t="s">
        <v>1698</v>
      </c>
      <c r="DA39" t="s">
        <v>1699</v>
      </c>
      <c r="DB39" t="s">
        <v>1667</v>
      </c>
      <c r="DC39" t="s">
        <v>807</v>
      </c>
      <c r="DD39" t="s">
        <v>238</v>
      </c>
      <c r="DE39" t="s">
        <v>239</v>
      </c>
      <c r="DF39" t="s">
        <v>182</v>
      </c>
      <c r="DG39" t="s">
        <v>240</v>
      </c>
      <c r="DH39" t="s">
        <v>241</v>
      </c>
      <c r="DI39" t="s">
        <v>182</v>
      </c>
      <c r="DJ39" t="s">
        <v>242</v>
      </c>
      <c r="DK39" t="s">
        <v>243</v>
      </c>
      <c r="DL39" t="s">
        <v>244</v>
      </c>
      <c r="DM39" t="s">
        <v>176</v>
      </c>
      <c r="DN39" t="s">
        <v>1666</v>
      </c>
      <c r="DO39" t="s">
        <v>245</v>
      </c>
      <c r="DP39" t="s">
        <v>246</v>
      </c>
      <c r="DQ39" t="s">
        <v>247</v>
      </c>
      <c r="DR39" t="s">
        <v>248</v>
      </c>
      <c r="DS39" t="s">
        <v>249</v>
      </c>
      <c r="DT39" t="s">
        <v>250</v>
      </c>
    </row>
    <row r="40" spans="1:124" ht="17.55" customHeight="1" x14ac:dyDescent="0.45">
      <c r="A40" t="s">
        <v>1700</v>
      </c>
      <c r="B40" t="s">
        <v>1701</v>
      </c>
      <c r="C40" t="s">
        <v>17</v>
      </c>
      <c r="D40" t="s">
        <v>167</v>
      </c>
      <c r="E40" t="s">
        <v>168</v>
      </c>
      <c r="I40" t="s">
        <v>1702</v>
      </c>
      <c r="J40">
        <f t="shared" si="10"/>
        <v>0.6480309303685482</v>
      </c>
      <c r="K40">
        <f t="shared" si="11"/>
        <v>2.6980104799999998</v>
      </c>
      <c r="L40">
        <f t="shared" si="12"/>
        <v>0.52252618155909714</v>
      </c>
      <c r="M40">
        <f t="shared" si="13"/>
        <v>14.110015264465748</v>
      </c>
      <c r="N40" t="s">
        <v>1703</v>
      </c>
      <c r="O40" t="s">
        <v>1704</v>
      </c>
      <c r="P40">
        <f t="shared" si="14"/>
        <v>5.3818768751633153</v>
      </c>
      <c r="Q40">
        <f t="shared" si="15"/>
        <v>2.6155118751633153</v>
      </c>
      <c r="R40" t="s">
        <v>1705</v>
      </c>
      <c r="S40" t="s">
        <v>1706</v>
      </c>
      <c r="T40">
        <f t="shared" si="16"/>
        <v>53.322866096931683</v>
      </c>
      <c r="U40">
        <f t="shared" si="17"/>
        <v>0.4417875</v>
      </c>
      <c r="V40" t="s">
        <v>174</v>
      </c>
      <c r="W40" t="s">
        <v>1707</v>
      </c>
      <c r="X40" t="s">
        <v>176</v>
      </c>
      <c r="Y40" t="s">
        <v>176</v>
      </c>
      <c r="Z40" t="s">
        <v>176</v>
      </c>
      <c r="AA40" t="s">
        <v>1708</v>
      </c>
      <c r="AB40" t="s">
        <v>1709</v>
      </c>
      <c r="AC40" t="s">
        <v>1710</v>
      </c>
      <c r="AD40" t="s">
        <v>180</v>
      </c>
      <c r="AE40" t="s">
        <v>181</v>
      </c>
      <c r="AF40">
        <f t="shared" si="18"/>
        <v>308.63826168000003</v>
      </c>
      <c r="AG40" t="s">
        <v>182</v>
      </c>
      <c r="AH40" t="s">
        <v>1711</v>
      </c>
      <c r="AI40" t="s">
        <v>1712</v>
      </c>
      <c r="AJ40" t="s">
        <v>1552</v>
      </c>
      <c r="AK40" t="s">
        <v>1713</v>
      </c>
      <c r="AL40">
        <f t="shared" si="19"/>
        <v>34.130000000000003</v>
      </c>
      <c r="AM40" t="s">
        <v>947</v>
      </c>
      <c r="AN40" t="s">
        <v>1714</v>
      </c>
      <c r="AO40" t="s">
        <v>1715</v>
      </c>
      <c r="AP40" t="s">
        <v>1716</v>
      </c>
      <c r="AQ40" t="s">
        <v>1717</v>
      </c>
      <c r="AR40" t="s">
        <v>1718</v>
      </c>
      <c r="AS40" t="s">
        <v>489</v>
      </c>
      <c r="AT40" t="s">
        <v>165</v>
      </c>
      <c r="AU40" t="s">
        <v>1719</v>
      </c>
      <c r="AV40" t="s">
        <v>1040</v>
      </c>
      <c r="AW40" t="s">
        <v>1720</v>
      </c>
      <c r="AX40" t="s">
        <v>1721</v>
      </c>
      <c r="AY40" t="s">
        <v>1722</v>
      </c>
      <c r="AZ40" t="s">
        <v>1042</v>
      </c>
      <c r="BA40" t="s">
        <v>1723</v>
      </c>
      <c r="BB40" t="s">
        <v>1724</v>
      </c>
      <c r="BC40" t="s">
        <v>1725</v>
      </c>
      <c r="BD40" t="s">
        <v>17</v>
      </c>
      <c r="BE40" t="s">
        <v>1726</v>
      </c>
      <c r="BF40" t="s">
        <v>1727</v>
      </c>
      <c r="BG40" t="s">
        <v>1646</v>
      </c>
      <c r="BH40" t="s">
        <v>849</v>
      </c>
      <c r="BI40" t="s">
        <v>1685</v>
      </c>
      <c r="BJ40" t="s">
        <v>1686</v>
      </c>
      <c r="BK40" t="s">
        <v>17</v>
      </c>
      <c r="BL40" t="s">
        <v>1687</v>
      </c>
      <c r="BM40" t="s">
        <v>165</v>
      </c>
      <c r="BN40" t="s">
        <v>284</v>
      </c>
      <c r="BO40" t="s">
        <v>212</v>
      </c>
      <c r="BP40" t="s">
        <v>213</v>
      </c>
      <c r="BQ40" t="s">
        <v>1728</v>
      </c>
      <c r="BR40" t="s">
        <v>1729</v>
      </c>
      <c r="BS40" t="s">
        <v>879</v>
      </c>
      <c r="BT40" t="s">
        <v>165</v>
      </c>
      <c r="BU40" t="s">
        <v>217</v>
      </c>
      <c r="BV40" t="s">
        <v>212</v>
      </c>
      <c r="BW40" t="s">
        <v>218</v>
      </c>
      <c r="BX40" t="s">
        <v>219</v>
      </c>
      <c r="BY40" t="s">
        <v>176</v>
      </c>
      <c r="BZ40" t="s">
        <v>220</v>
      </c>
      <c r="CA40" t="s">
        <v>176</v>
      </c>
      <c r="CB40" t="s">
        <v>176</v>
      </c>
      <c r="CC40" t="s">
        <v>221</v>
      </c>
      <c r="CD40" t="s">
        <v>222</v>
      </c>
      <c r="CE40" t="s">
        <v>223</v>
      </c>
      <c r="CF40" t="s">
        <v>224</v>
      </c>
      <c r="CG40" t="s">
        <v>225</v>
      </c>
      <c r="CH40" t="s">
        <v>226</v>
      </c>
      <c r="CI40" t="s">
        <v>182</v>
      </c>
      <c r="CJ40" t="s">
        <v>218</v>
      </c>
      <c r="CK40" t="s">
        <v>227</v>
      </c>
      <c r="CL40" t="s">
        <v>227</v>
      </c>
      <c r="CM40" t="s">
        <v>227</v>
      </c>
      <c r="CN40" t="s">
        <v>176</v>
      </c>
      <c r="CO40" t="s">
        <v>228</v>
      </c>
      <c r="CP40" t="s">
        <v>176</v>
      </c>
      <c r="CQ40" t="s">
        <v>176</v>
      </c>
      <c r="CR40" t="s">
        <v>176</v>
      </c>
      <c r="CS40" t="s">
        <v>176</v>
      </c>
      <c r="CT40" t="s">
        <v>1730</v>
      </c>
      <c r="CU40" t="s">
        <v>1731</v>
      </c>
      <c r="CV40" t="s">
        <v>1732</v>
      </c>
      <c r="CW40" t="s">
        <v>1733</v>
      </c>
      <c r="CX40" t="s">
        <v>1734</v>
      </c>
      <c r="CY40" t="s">
        <v>1735</v>
      </c>
      <c r="CZ40" t="s">
        <v>1736</v>
      </c>
      <c r="DA40" t="s">
        <v>1737</v>
      </c>
      <c r="DB40" t="s">
        <v>1708</v>
      </c>
      <c r="DC40" t="s">
        <v>1738</v>
      </c>
      <c r="DD40" t="s">
        <v>238</v>
      </c>
      <c r="DE40" t="s">
        <v>239</v>
      </c>
      <c r="DF40" t="s">
        <v>182</v>
      </c>
      <c r="DG40" t="s">
        <v>240</v>
      </c>
      <c r="DH40" t="s">
        <v>241</v>
      </c>
      <c r="DI40" t="s">
        <v>182</v>
      </c>
      <c r="DJ40" t="s">
        <v>242</v>
      </c>
      <c r="DK40" t="s">
        <v>243</v>
      </c>
      <c r="DL40" t="s">
        <v>244</v>
      </c>
      <c r="DM40" t="s">
        <v>176</v>
      </c>
      <c r="DN40" t="s">
        <v>1707</v>
      </c>
      <c r="DO40" t="s">
        <v>245</v>
      </c>
      <c r="DP40" t="s">
        <v>246</v>
      </c>
      <c r="DQ40" t="s">
        <v>247</v>
      </c>
      <c r="DR40" t="s">
        <v>248</v>
      </c>
      <c r="DS40" t="s">
        <v>249</v>
      </c>
      <c r="DT40" t="s">
        <v>250</v>
      </c>
    </row>
    <row r="41" spans="1:124" ht="17.55" customHeight="1" x14ac:dyDescent="0.45">
      <c r="A41" t="s">
        <v>1739</v>
      </c>
      <c r="B41" t="s">
        <v>1740</v>
      </c>
      <c r="C41" t="s">
        <v>17</v>
      </c>
      <c r="D41" t="s">
        <v>167</v>
      </c>
      <c r="E41" t="s">
        <v>168</v>
      </c>
      <c r="I41" t="s">
        <v>1741</v>
      </c>
      <c r="J41">
        <f t="shared" si="10"/>
        <v>0.26359936557812769</v>
      </c>
      <c r="K41">
        <f t="shared" si="11"/>
        <v>2.71647792</v>
      </c>
      <c r="L41">
        <f t="shared" si="12"/>
        <v>0.24028298184893471</v>
      </c>
      <c r="M41">
        <f t="shared" si="13"/>
        <v>6.0344700094223294</v>
      </c>
      <c r="N41" t="s">
        <v>1742</v>
      </c>
      <c r="O41" t="s">
        <v>1743</v>
      </c>
      <c r="P41">
        <f t="shared" si="14"/>
        <v>5.0379308978775406</v>
      </c>
      <c r="Q41">
        <f t="shared" si="15"/>
        <v>2.4392038978775408</v>
      </c>
      <c r="R41" t="s">
        <v>1744</v>
      </c>
      <c r="S41" t="s">
        <v>1745</v>
      </c>
      <c r="T41">
        <f t="shared" si="16"/>
        <v>49.910153535541319</v>
      </c>
      <c r="U41">
        <f t="shared" si="17"/>
        <v>0.4417875</v>
      </c>
      <c r="V41" t="s">
        <v>174</v>
      </c>
      <c r="W41" t="s">
        <v>1746</v>
      </c>
      <c r="X41" t="s">
        <v>176</v>
      </c>
      <c r="Y41" t="s">
        <v>176</v>
      </c>
      <c r="Z41" t="s">
        <v>176</v>
      </c>
      <c r="AA41" t="s">
        <v>1747</v>
      </c>
      <c r="AB41" t="s">
        <v>1748</v>
      </c>
      <c r="AC41" t="s">
        <v>1749</v>
      </c>
      <c r="AD41" t="s">
        <v>180</v>
      </c>
      <c r="AE41" t="s">
        <v>181</v>
      </c>
      <c r="AF41">
        <f t="shared" si="18"/>
        <v>332.37413999999995</v>
      </c>
      <c r="AG41" t="s">
        <v>182</v>
      </c>
      <c r="AH41" t="s">
        <v>1750</v>
      </c>
      <c r="AI41" t="s">
        <v>1751</v>
      </c>
      <c r="AJ41" t="s">
        <v>1752</v>
      </c>
      <c r="AK41" t="s">
        <v>1753</v>
      </c>
      <c r="AL41">
        <f t="shared" si="19"/>
        <v>32.950000000000003</v>
      </c>
      <c r="AM41" t="s">
        <v>359</v>
      </c>
      <c r="AN41" t="s">
        <v>1754</v>
      </c>
      <c r="AO41" t="s">
        <v>1755</v>
      </c>
      <c r="AP41" t="s">
        <v>1756</v>
      </c>
      <c r="AQ41" t="s">
        <v>1757</v>
      </c>
      <c r="AR41" t="s">
        <v>1758</v>
      </c>
      <c r="AS41" t="s">
        <v>364</v>
      </c>
      <c r="AT41" t="s">
        <v>298</v>
      </c>
      <c r="AU41" t="s">
        <v>1759</v>
      </c>
      <c r="AV41" t="s">
        <v>1760</v>
      </c>
      <c r="AW41" t="s">
        <v>1761</v>
      </c>
      <c r="AX41" t="s">
        <v>1762</v>
      </c>
      <c r="AY41" t="s">
        <v>1763</v>
      </c>
      <c r="AZ41" t="s">
        <v>1042</v>
      </c>
      <c r="BA41" t="s">
        <v>1764</v>
      </c>
      <c r="BB41" t="s">
        <v>1765</v>
      </c>
      <c r="BC41" t="s">
        <v>1766</v>
      </c>
      <c r="BD41" t="s">
        <v>17</v>
      </c>
      <c r="BE41" t="s">
        <v>1682</v>
      </c>
      <c r="BF41" t="s">
        <v>1406</v>
      </c>
      <c r="BG41" t="s">
        <v>1767</v>
      </c>
      <c r="BH41" t="s">
        <v>849</v>
      </c>
      <c r="BI41" t="s">
        <v>1685</v>
      </c>
      <c r="BJ41" t="s">
        <v>1686</v>
      </c>
      <c r="BK41" t="s">
        <v>17</v>
      </c>
      <c r="BL41" t="s">
        <v>1687</v>
      </c>
      <c r="BM41" t="s">
        <v>165</v>
      </c>
      <c r="BN41" t="s">
        <v>212</v>
      </c>
      <c r="BO41" t="s">
        <v>330</v>
      </c>
      <c r="BP41" t="s">
        <v>754</v>
      </c>
      <c r="BQ41" t="s">
        <v>1768</v>
      </c>
      <c r="BR41" t="s">
        <v>1769</v>
      </c>
      <c r="BS41" t="s">
        <v>1770</v>
      </c>
      <c r="BT41" t="s">
        <v>165</v>
      </c>
      <c r="BU41" t="s">
        <v>217</v>
      </c>
      <c r="BV41" t="s">
        <v>212</v>
      </c>
      <c r="BW41" t="s">
        <v>218</v>
      </c>
      <c r="BX41" t="s">
        <v>219</v>
      </c>
      <c r="BY41" t="s">
        <v>176</v>
      </c>
      <c r="BZ41" t="s">
        <v>220</v>
      </c>
      <c r="CA41" t="s">
        <v>176</v>
      </c>
      <c r="CB41" t="s">
        <v>176</v>
      </c>
      <c r="CC41" t="s">
        <v>221</v>
      </c>
      <c r="CD41" t="s">
        <v>222</v>
      </c>
      <c r="CE41" t="s">
        <v>223</v>
      </c>
      <c r="CF41" t="s">
        <v>224</v>
      </c>
      <c r="CG41" t="s">
        <v>225</v>
      </c>
      <c r="CH41" t="s">
        <v>226</v>
      </c>
      <c r="CI41" t="s">
        <v>182</v>
      </c>
      <c r="CJ41" t="s">
        <v>218</v>
      </c>
      <c r="CK41" t="s">
        <v>227</v>
      </c>
      <c r="CL41" t="s">
        <v>227</v>
      </c>
      <c r="CM41" t="s">
        <v>227</v>
      </c>
      <c r="CN41" t="s">
        <v>176</v>
      </c>
      <c r="CO41" t="s">
        <v>228</v>
      </c>
      <c r="CP41" t="s">
        <v>176</v>
      </c>
      <c r="CQ41" t="s">
        <v>176</v>
      </c>
      <c r="CR41" t="s">
        <v>176</v>
      </c>
      <c r="CS41" t="s">
        <v>176</v>
      </c>
      <c r="CT41" t="s">
        <v>1771</v>
      </c>
      <c r="CU41" t="s">
        <v>1772</v>
      </c>
      <c r="CV41" t="s">
        <v>1773</v>
      </c>
      <c r="CW41" t="s">
        <v>1774</v>
      </c>
      <c r="CX41" t="s">
        <v>1775</v>
      </c>
      <c r="CY41" t="s">
        <v>1776</v>
      </c>
      <c r="CZ41" t="s">
        <v>1777</v>
      </c>
      <c r="DA41" t="s">
        <v>1778</v>
      </c>
      <c r="DB41" t="s">
        <v>1747</v>
      </c>
      <c r="DC41" t="s">
        <v>1538</v>
      </c>
      <c r="DD41" t="s">
        <v>238</v>
      </c>
      <c r="DE41" t="s">
        <v>239</v>
      </c>
      <c r="DF41" t="s">
        <v>182</v>
      </c>
      <c r="DG41" t="s">
        <v>240</v>
      </c>
      <c r="DH41" t="s">
        <v>241</v>
      </c>
      <c r="DI41" t="s">
        <v>182</v>
      </c>
      <c r="DJ41" t="s">
        <v>242</v>
      </c>
      <c r="DK41" t="s">
        <v>243</v>
      </c>
      <c r="DL41" t="s">
        <v>244</v>
      </c>
      <c r="DM41" t="s">
        <v>176</v>
      </c>
      <c r="DN41" t="s">
        <v>1746</v>
      </c>
      <c r="DO41" t="s">
        <v>245</v>
      </c>
      <c r="DP41" t="s">
        <v>246</v>
      </c>
      <c r="DQ41" t="s">
        <v>247</v>
      </c>
      <c r="DR41" t="s">
        <v>248</v>
      </c>
      <c r="DS41" t="s">
        <v>249</v>
      </c>
      <c r="DT41" t="s">
        <v>250</v>
      </c>
    </row>
    <row r="42" spans="1:124" ht="17.55" customHeight="1" x14ac:dyDescent="0.45">
      <c r="A42" t="s">
        <v>1779</v>
      </c>
      <c r="B42" t="s">
        <v>1780</v>
      </c>
      <c r="C42" t="s">
        <v>17</v>
      </c>
      <c r="D42" t="s">
        <v>167</v>
      </c>
      <c r="E42" t="s">
        <v>168</v>
      </c>
      <c r="I42" t="s">
        <v>1781</v>
      </c>
      <c r="J42">
        <f t="shared" si="10"/>
        <v>0.65620509226148183</v>
      </c>
      <c r="K42">
        <f t="shared" si="11"/>
        <v>2.701298</v>
      </c>
      <c r="L42">
        <f t="shared" si="12"/>
        <v>0.52795349836053285</v>
      </c>
      <c r="M42">
        <f t="shared" si="13"/>
        <v>10.969310740487359</v>
      </c>
      <c r="N42" t="s">
        <v>1782</v>
      </c>
      <c r="O42" t="s">
        <v>1783</v>
      </c>
      <c r="P42">
        <f t="shared" si="14"/>
        <v>4.6812996321043006</v>
      </c>
      <c r="Q42">
        <f t="shared" si="15"/>
        <v>2.0210116321043006</v>
      </c>
      <c r="R42" t="s">
        <v>1784</v>
      </c>
      <c r="S42" t="s">
        <v>1785</v>
      </c>
      <c r="T42">
        <f t="shared" si="16"/>
        <v>46.377052031942739</v>
      </c>
      <c r="U42">
        <f t="shared" si="17"/>
        <v>0.4417875</v>
      </c>
      <c r="V42" t="s">
        <v>174</v>
      </c>
      <c r="W42" t="s">
        <v>1786</v>
      </c>
      <c r="X42" t="s">
        <v>176</v>
      </c>
      <c r="Y42" t="s">
        <v>176</v>
      </c>
      <c r="Z42" t="s">
        <v>176</v>
      </c>
      <c r="AA42" t="s">
        <v>1787</v>
      </c>
      <c r="AB42" t="s">
        <v>1788</v>
      </c>
      <c r="AC42" t="s">
        <v>1789</v>
      </c>
      <c r="AD42" t="s">
        <v>180</v>
      </c>
      <c r="AE42" t="s">
        <v>181</v>
      </c>
      <c r="AF42">
        <f t="shared" si="18"/>
        <v>278.29720799999996</v>
      </c>
      <c r="AG42" t="s">
        <v>182</v>
      </c>
      <c r="AH42" t="s">
        <v>1790</v>
      </c>
      <c r="AI42" t="s">
        <v>1791</v>
      </c>
      <c r="AJ42" t="s">
        <v>1752</v>
      </c>
      <c r="AK42" t="s">
        <v>1792</v>
      </c>
      <c r="AL42">
        <f t="shared" si="19"/>
        <v>31.65</v>
      </c>
      <c r="AM42" t="s">
        <v>359</v>
      </c>
      <c r="AN42" t="s">
        <v>1793</v>
      </c>
      <c r="AO42" t="s">
        <v>1794</v>
      </c>
      <c r="AP42" t="s">
        <v>531</v>
      </c>
      <c r="AQ42" t="s">
        <v>1795</v>
      </c>
      <c r="AR42" t="s">
        <v>1796</v>
      </c>
      <c r="AS42" t="s">
        <v>1036</v>
      </c>
      <c r="AT42" t="s">
        <v>223</v>
      </c>
      <c r="AU42" t="s">
        <v>1599</v>
      </c>
      <c r="AV42" t="s">
        <v>1797</v>
      </c>
      <c r="AW42" t="s">
        <v>1798</v>
      </c>
      <c r="AX42" t="s">
        <v>1560</v>
      </c>
      <c r="AY42" t="s">
        <v>1799</v>
      </c>
      <c r="AZ42" t="s">
        <v>1042</v>
      </c>
      <c r="BA42" t="s">
        <v>1800</v>
      </c>
      <c r="BB42" t="s">
        <v>1801</v>
      </c>
      <c r="BC42" t="s">
        <v>1802</v>
      </c>
      <c r="BD42" t="s">
        <v>17</v>
      </c>
      <c r="BE42" t="s">
        <v>1803</v>
      </c>
      <c r="BF42" t="s">
        <v>1727</v>
      </c>
      <c r="BG42" t="s">
        <v>1804</v>
      </c>
      <c r="BH42" t="s">
        <v>849</v>
      </c>
      <c r="BI42" t="s">
        <v>1685</v>
      </c>
      <c r="BJ42" t="s">
        <v>1686</v>
      </c>
      <c r="BK42" t="s">
        <v>17</v>
      </c>
      <c r="BL42" t="s">
        <v>1687</v>
      </c>
      <c r="BM42" t="s">
        <v>165</v>
      </c>
      <c r="BN42" t="s">
        <v>212</v>
      </c>
      <c r="BO42" t="s">
        <v>212</v>
      </c>
      <c r="BP42" t="s">
        <v>284</v>
      </c>
      <c r="BQ42" t="s">
        <v>1805</v>
      </c>
      <c r="BR42" t="s">
        <v>1806</v>
      </c>
      <c r="BS42" t="s">
        <v>1807</v>
      </c>
      <c r="BT42" t="s">
        <v>165</v>
      </c>
      <c r="BU42" t="s">
        <v>217</v>
      </c>
      <c r="BV42" t="s">
        <v>212</v>
      </c>
      <c r="BW42" t="s">
        <v>218</v>
      </c>
      <c r="BX42" t="s">
        <v>219</v>
      </c>
      <c r="BY42" t="s">
        <v>176</v>
      </c>
      <c r="BZ42" t="s">
        <v>220</v>
      </c>
      <c r="CA42" t="s">
        <v>176</v>
      </c>
      <c r="CB42" t="s">
        <v>176</v>
      </c>
      <c r="CC42" t="s">
        <v>221</v>
      </c>
      <c r="CD42" t="s">
        <v>222</v>
      </c>
      <c r="CE42" t="s">
        <v>223</v>
      </c>
      <c r="CF42" t="s">
        <v>224</v>
      </c>
      <c r="CG42" t="s">
        <v>225</v>
      </c>
      <c r="CH42" t="s">
        <v>226</v>
      </c>
      <c r="CI42" t="s">
        <v>182</v>
      </c>
      <c r="CJ42" t="s">
        <v>218</v>
      </c>
      <c r="CK42" t="s">
        <v>227</v>
      </c>
      <c r="CL42" t="s">
        <v>227</v>
      </c>
      <c r="CM42" t="s">
        <v>227</v>
      </c>
      <c r="CN42" t="s">
        <v>176</v>
      </c>
      <c r="CO42" t="s">
        <v>228</v>
      </c>
      <c r="CP42" t="s">
        <v>176</v>
      </c>
      <c r="CQ42" t="s">
        <v>176</v>
      </c>
      <c r="CR42" t="s">
        <v>176</v>
      </c>
      <c r="CS42" t="s">
        <v>176</v>
      </c>
      <c r="CT42" t="s">
        <v>1808</v>
      </c>
      <c r="CU42" t="s">
        <v>1809</v>
      </c>
      <c r="CV42" t="s">
        <v>1810</v>
      </c>
      <c r="CW42" t="s">
        <v>1811</v>
      </c>
      <c r="CX42" t="s">
        <v>1812</v>
      </c>
      <c r="CY42" t="s">
        <v>1813</v>
      </c>
      <c r="CZ42" t="s">
        <v>1814</v>
      </c>
      <c r="DA42" t="s">
        <v>1815</v>
      </c>
      <c r="DB42" t="s">
        <v>1787</v>
      </c>
      <c r="DC42" t="s">
        <v>343</v>
      </c>
      <c r="DD42" t="s">
        <v>238</v>
      </c>
      <c r="DE42" t="s">
        <v>239</v>
      </c>
      <c r="DF42" t="s">
        <v>182</v>
      </c>
      <c r="DG42" t="s">
        <v>240</v>
      </c>
      <c r="DH42" t="s">
        <v>241</v>
      </c>
      <c r="DI42" t="s">
        <v>182</v>
      </c>
      <c r="DJ42" t="s">
        <v>242</v>
      </c>
      <c r="DK42" t="s">
        <v>243</v>
      </c>
      <c r="DL42" t="s">
        <v>244</v>
      </c>
      <c r="DM42" t="s">
        <v>176</v>
      </c>
      <c r="DN42" t="s">
        <v>1786</v>
      </c>
      <c r="DO42" t="s">
        <v>245</v>
      </c>
      <c r="DP42" t="s">
        <v>246</v>
      </c>
      <c r="DQ42" t="s">
        <v>247</v>
      </c>
      <c r="DR42" t="s">
        <v>248</v>
      </c>
      <c r="DS42" t="s">
        <v>249</v>
      </c>
      <c r="DT42" t="s">
        <v>250</v>
      </c>
    </row>
    <row r="43" spans="1:124" ht="17.55" customHeight="1" x14ac:dyDescent="0.45">
      <c r="A43" t="s">
        <v>1816</v>
      </c>
      <c r="B43" t="s">
        <v>1817</v>
      </c>
      <c r="C43" t="s">
        <v>17</v>
      </c>
      <c r="D43" t="s">
        <v>167</v>
      </c>
      <c r="E43" t="s">
        <v>168</v>
      </c>
      <c r="I43" t="s">
        <v>1818</v>
      </c>
      <c r="J43">
        <f t="shared" si="10"/>
        <v>0.50744655963366969</v>
      </c>
      <c r="K43">
        <f t="shared" si="11"/>
        <v>2.6947107199999998</v>
      </c>
      <c r="L43">
        <f t="shared" si="12"/>
        <v>0.42703139310771254</v>
      </c>
      <c r="M43">
        <f t="shared" si="13"/>
        <v>9.4275315366486367</v>
      </c>
      <c r="N43" t="s">
        <v>1819</v>
      </c>
      <c r="O43" t="s">
        <v>1820</v>
      </c>
      <c r="P43">
        <f t="shared" si="14"/>
        <v>4.7346918722148121</v>
      </c>
      <c r="Q43">
        <f t="shared" si="15"/>
        <v>2.1477438722148121</v>
      </c>
      <c r="R43" t="s">
        <v>1821</v>
      </c>
      <c r="S43" t="s">
        <v>1822</v>
      </c>
      <c r="T43">
        <f t="shared" si="16"/>
        <v>46.906002300523205</v>
      </c>
      <c r="U43">
        <f t="shared" si="17"/>
        <v>0.4417875</v>
      </c>
      <c r="V43" t="s">
        <v>174</v>
      </c>
      <c r="W43" t="s">
        <v>1823</v>
      </c>
      <c r="X43" t="s">
        <v>176</v>
      </c>
      <c r="Y43" t="s">
        <v>176</v>
      </c>
      <c r="Z43" t="s">
        <v>176</v>
      </c>
      <c r="AA43" t="s">
        <v>1824</v>
      </c>
      <c r="AB43" t="s">
        <v>1825</v>
      </c>
      <c r="AC43" t="s">
        <v>1826</v>
      </c>
      <c r="AD43" t="s">
        <v>180</v>
      </c>
      <c r="AE43" t="s">
        <v>181</v>
      </c>
      <c r="AF43">
        <f t="shared" si="18"/>
        <v>171.8757621</v>
      </c>
      <c r="AG43" t="s">
        <v>182</v>
      </c>
      <c r="AH43" t="s">
        <v>1827</v>
      </c>
      <c r="AI43" t="s">
        <v>1828</v>
      </c>
      <c r="AJ43" t="s">
        <v>1829</v>
      </c>
      <c r="AK43" t="s">
        <v>1830</v>
      </c>
      <c r="AL43">
        <f t="shared" si="19"/>
        <v>31.85</v>
      </c>
      <c r="AM43" t="s">
        <v>359</v>
      </c>
      <c r="AN43" t="s">
        <v>1831</v>
      </c>
      <c r="AO43" t="s">
        <v>1832</v>
      </c>
      <c r="AP43" t="s">
        <v>1596</v>
      </c>
      <c r="AQ43" t="s">
        <v>1833</v>
      </c>
      <c r="AR43" t="s">
        <v>1796</v>
      </c>
      <c r="AS43" t="s">
        <v>364</v>
      </c>
      <c r="AT43" t="s">
        <v>251</v>
      </c>
      <c r="AU43" t="s">
        <v>1834</v>
      </c>
      <c r="AV43" t="s">
        <v>1835</v>
      </c>
      <c r="AW43" t="s">
        <v>1836</v>
      </c>
      <c r="AX43" t="s">
        <v>1837</v>
      </c>
      <c r="AY43" t="s">
        <v>1838</v>
      </c>
      <c r="AZ43" t="s">
        <v>1042</v>
      </c>
      <c r="BA43" t="s">
        <v>1839</v>
      </c>
      <c r="BB43" t="s">
        <v>1840</v>
      </c>
      <c r="BC43" t="s">
        <v>1841</v>
      </c>
      <c r="BD43" t="s">
        <v>17</v>
      </c>
      <c r="BE43" t="s">
        <v>1165</v>
      </c>
      <c r="BF43" t="s">
        <v>1842</v>
      </c>
      <c r="BG43" t="s">
        <v>1843</v>
      </c>
      <c r="BH43" t="s">
        <v>808</v>
      </c>
      <c r="BI43" t="s">
        <v>1290</v>
      </c>
      <c r="BJ43" t="s">
        <v>1686</v>
      </c>
      <c r="BK43" t="s">
        <v>17</v>
      </c>
      <c r="BL43" t="s">
        <v>1687</v>
      </c>
      <c r="BM43" t="s">
        <v>165</v>
      </c>
      <c r="BN43" t="s">
        <v>331</v>
      </c>
      <c r="BO43" t="s">
        <v>211</v>
      </c>
      <c r="BP43" t="s">
        <v>212</v>
      </c>
      <c r="BQ43" t="s">
        <v>920</v>
      </c>
      <c r="BR43" t="s">
        <v>1844</v>
      </c>
      <c r="BS43" t="s">
        <v>1845</v>
      </c>
      <c r="BT43" t="s">
        <v>165</v>
      </c>
      <c r="BU43" t="s">
        <v>217</v>
      </c>
      <c r="BV43" t="s">
        <v>212</v>
      </c>
      <c r="BW43" t="s">
        <v>218</v>
      </c>
      <c r="BX43" t="s">
        <v>219</v>
      </c>
      <c r="BY43" t="s">
        <v>176</v>
      </c>
      <c r="BZ43" t="s">
        <v>220</v>
      </c>
      <c r="CA43" t="s">
        <v>176</v>
      </c>
      <c r="CB43" t="s">
        <v>176</v>
      </c>
      <c r="CC43" t="s">
        <v>221</v>
      </c>
      <c r="CD43" t="s">
        <v>222</v>
      </c>
      <c r="CE43" t="s">
        <v>223</v>
      </c>
      <c r="CF43" t="s">
        <v>224</v>
      </c>
      <c r="CG43" t="s">
        <v>225</v>
      </c>
      <c r="CH43" t="s">
        <v>226</v>
      </c>
      <c r="CI43" t="s">
        <v>182</v>
      </c>
      <c r="CJ43" t="s">
        <v>218</v>
      </c>
      <c r="CK43" t="s">
        <v>227</v>
      </c>
      <c r="CL43" t="s">
        <v>227</v>
      </c>
      <c r="CM43" t="s">
        <v>227</v>
      </c>
      <c r="CN43" t="s">
        <v>176</v>
      </c>
      <c r="CO43" t="s">
        <v>228</v>
      </c>
      <c r="CP43" t="s">
        <v>176</v>
      </c>
      <c r="CQ43" t="s">
        <v>176</v>
      </c>
      <c r="CR43" t="s">
        <v>176</v>
      </c>
      <c r="CS43" t="s">
        <v>176</v>
      </c>
      <c r="CT43" t="s">
        <v>1846</v>
      </c>
      <c r="CU43" t="s">
        <v>1847</v>
      </c>
      <c r="CV43" t="s">
        <v>1848</v>
      </c>
      <c r="CW43" t="s">
        <v>1849</v>
      </c>
      <c r="CX43" t="s">
        <v>1850</v>
      </c>
      <c r="CY43" t="s">
        <v>1851</v>
      </c>
      <c r="CZ43" t="s">
        <v>1852</v>
      </c>
      <c r="DA43" t="s">
        <v>1853</v>
      </c>
      <c r="DB43" t="s">
        <v>1824</v>
      </c>
      <c r="DC43" t="s">
        <v>343</v>
      </c>
      <c r="DD43" t="s">
        <v>238</v>
      </c>
      <c r="DE43" t="s">
        <v>239</v>
      </c>
      <c r="DF43" t="s">
        <v>182</v>
      </c>
      <c r="DG43" t="s">
        <v>240</v>
      </c>
      <c r="DH43" t="s">
        <v>241</v>
      </c>
      <c r="DI43" t="s">
        <v>182</v>
      </c>
      <c r="DJ43" t="s">
        <v>242</v>
      </c>
      <c r="DK43" t="s">
        <v>243</v>
      </c>
      <c r="DL43" t="s">
        <v>244</v>
      </c>
      <c r="DM43" t="s">
        <v>176</v>
      </c>
      <c r="DN43" t="s">
        <v>1823</v>
      </c>
      <c r="DO43" t="s">
        <v>245</v>
      </c>
      <c r="DP43" t="s">
        <v>246</v>
      </c>
      <c r="DQ43" t="s">
        <v>247</v>
      </c>
      <c r="DR43" t="s">
        <v>248</v>
      </c>
      <c r="DS43" t="s">
        <v>249</v>
      </c>
      <c r="DT43" t="s">
        <v>250</v>
      </c>
    </row>
    <row r="44" spans="1:124" ht="17.55" customHeight="1" x14ac:dyDescent="0.45">
      <c r="A44" t="s">
        <v>1854</v>
      </c>
      <c r="B44" t="s">
        <v>1855</v>
      </c>
      <c r="C44" t="s">
        <v>17</v>
      </c>
      <c r="D44" t="s">
        <v>167</v>
      </c>
      <c r="E44" t="s">
        <v>168</v>
      </c>
      <c r="I44" t="s">
        <v>1856</v>
      </c>
      <c r="J44">
        <f t="shared" si="10"/>
        <v>3.1576993980732541E-2</v>
      </c>
      <c r="K44">
        <f t="shared" si="11"/>
        <v>2.69910768</v>
      </c>
      <c r="L44">
        <f t="shared" si="12"/>
        <v>3.1211845064652948E-2</v>
      </c>
      <c r="M44">
        <f t="shared" si="13"/>
        <v>1.0601562761763337</v>
      </c>
      <c r="N44" t="s">
        <v>1857</v>
      </c>
      <c r="O44" t="s">
        <v>1858</v>
      </c>
      <c r="P44">
        <f t="shared" si="14"/>
        <v>5.5861140203766828</v>
      </c>
      <c r="Q44">
        <f t="shared" si="15"/>
        <v>3.294854020376683</v>
      </c>
      <c r="R44" t="s">
        <v>1859</v>
      </c>
      <c r="S44" t="s">
        <v>1860</v>
      </c>
      <c r="T44">
        <f t="shared" si="16"/>
        <v>55.340935410904322</v>
      </c>
      <c r="U44">
        <f t="shared" si="17"/>
        <v>0.4417875</v>
      </c>
      <c r="V44" t="s">
        <v>174</v>
      </c>
      <c r="W44" t="s">
        <v>1861</v>
      </c>
      <c r="X44" t="s">
        <v>176</v>
      </c>
      <c r="Y44" t="s">
        <v>176</v>
      </c>
      <c r="Z44" t="s">
        <v>176</v>
      </c>
      <c r="AA44" t="s">
        <v>1862</v>
      </c>
      <c r="AB44" t="s">
        <v>1863</v>
      </c>
      <c r="AC44" t="s">
        <v>1864</v>
      </c>
      <c r="AD44" t="s">
        <v>180</v>
      </c>
      <c r="AE44" t="s">
        <v>181</v>
      </c>
      <c r="AF44">
        <f t="shared" si="18"/>
        <v>371.50847285999993</v>
      </c>
      <c r="AG44" t="s">
        <v>182</v>
      </c>
      <c r="AH44" t="s">
        <v>1865</v>
      </c>
      <c r="AI44" t="s">
        <v>1866</v>
      </c>
      <c r="AJ44" t="s">
        <v>1867</v>
      </c>
      <c r="AK44" t="s">
        <v>1868</v>
      </c>
      <c r="AL44">
        <f t="shared" si="19"/>
        <v>34.799999999999997</v>
      </c>
      <c r="AM44" t="s">
        <v>359</v>
      </c>
      <c r="AN44" t="s">
        <v>823</v>
      </c>
      <c r="AO44" t="s">
        <v>1869</v>
      </c>
      <c r="AP44" t="s">
        <v>1596</v>
      </c>
      <c r="AQ44" t="s">
        <v>1870</v>
      </c>
      <c r="AR44" t="s">
        <v>1871</v>
      </c>
      <c r="AS44" t="s">
        <v>193</v>
      </c>
      <c r="AT44" t="s">
        <v>223</v>
      </c>
      <c r="AU44" t="s">
        <v>752</v>
      </c>
      <c r="AV44" t="s">
        <v>1872</v>
      </c>
      <c r="AW44" t="s">
        <v>1873</v>
      </c>
      <c r="AX44" t="s">
        <v>274</v>
      </c>
      <c r="AY44" t="s">
        <v>1874</v>
      </c>
      <c r="AZ44" t="s">
        <v>1042</v>
      </c>
      <c r="BA44" t="s">
        <v>1839</v>
      </c>
      <c r="BB44" t="s">
        <v>1840</v>
      </c>
      <c r="BC44" t="s">
        <v>1875</v>
      </c>
      <c r="BD44" t="s">
        <v>17</v>
      </c>
      <c r="BE44" t="s">
        <v>1876</v>
      </c>
      <c r="BF44" t="s">
        <v>1727</v>
      </c>
      <c r="BG44" t="s">
        <v>1843</v>
      </c>
      <c r="BH44" t="s">
        <v>849</v>
      </c>
      <c r="BI44" t="s">
        <v>1685</v>
      </c>
      <c r="BJ44" t="s">
        <v>1686</v>
      </c>
      <c r="BK44" t="s">
        <v>17</v>
      </c>
      <c r="BL44" t="s">
        <v>1687</v>
      </c>
      <c r="BM44" t="s">
        <v>165</v>
      </c>
      <c r="BN44" t="s">
        <v>211</v>
      </c>
      <c r="BO44" t="s">
        <v>211</v>
      </c>
      <c r="BP44" t="s">
        <v>284</v>
      </c>
      <c r="BQ44" t="s">
        <v>1877</v>
      </c>
      <c r="BR44" t="s">
        <v>1878</v>
      </c>
      <c r="BS44" t="s">
        <v>1879</v>
      </c>
      <c r="BT44" t="s">
        <v>165</v>
      </c>
      <c r="BU44" t="s">
        <v>217</v>
      </c>
      <c r="BV44" t="s">
        <v>212</v>
      </c>
      <c r="BW44" t="s">
        <v>218</v>
      </c>
      <c r="BX44" t="s">
        <v>219</v>
      </c>
      <c r="BY44" t="s">
        <v>176</v>
      </c>
      <c r="BZ44" t="s">
        <v>220</v>
      </c>
      <c r="CA44" t="s">
        <v>176</v>
      </c>
      <c r="CB44" t="s">
        <v>176</v>
      </c>
      <c r="CC44" t="s">
        <v>221</v>
      </c>
      <c r="CD44" t="s">
        <v>222</v>
      </c>
      <c r="CE44" t="s">
        <v>223</v>
      </c>
      <c r="CF44" t="s">
        <v>224</v>
      </c>
      <c r="CG44" t="s">
        <v>225</v>
      </c>
      <c r="CH44" t="s">
        <v>226</v>
      </c>
      <c r="CI44" t="s">
        <v>182</v>
      </c>
      <c r="CJ44" t="s">
        <v>218</v>
      </c>
      <c r="CK44" t="s">
        <v>227</v>
      </c>
      <c r="CL44" t="s">
        <v>227</v>
      </c>
      <c r="CM44" t="s">
        <v>227</v>
      </c>
      <c r="CN44" t="s">
        <v>176</v>
      </c>
      <c r="CO44" t="s">
        <v>228</v>
      </c>
      <c r="CP44" t="s">
        <v>176</v>
      </c>
      <c r="CQ44" t="s">
        <v>176</v>
      </c>
      <c r="CR44" t="s">
        <v>176</v>
      </c>
      <c r="CS44" t="s">
        <v>176</v>
      </c>
      <c r="CT44" t="s">
        <v>1880</v>
      </c>
      <c r="CU44" t="s">
        <v>1881</v>
      </c>
      <c r="CV44" t="s">
        <v>1882</v>
      </c>
      <c r="CW44" t="s">
        <v>1883</v>
      </c>
      <c r="CX44" t="s">
        <v>1884</v>
      </c>
      <c r="CY44" t="s">
        <v>1885</v>
      </c>
      <c r="CZ44" t="s">
        <v>1886</v>
      </c>
      <c r="DA44" t="s">
        <v>1887</v>
      </c>
      <c r="DB44" t="s">
        <v>1862</v>
      </c>
      <c r="DC44" t="s">
        <v>343</v>
      </c>
      <c r="DD44" t="s">
        <v>238</v>
      </c>
      <c r="DE44" t="s">
        <v>239</v>
      </c>
      <c r="DF44" t="s">
        <v>182</v>
      </c>
      <c r="DG44" t="s">
        <v>240</v>
      </c>
      <c r="DH44" t="s">
        <v>241</v>
      </c>
      <c r="DI44" t="s">
        <v>182</v>
      </c>
      <c r="DJ44" t="s">
        <v>242</v>
      </c>
      <c r="DK44" t="s">
        <v>243</v>
      </c>
      <c r="DL44" t="s">
        <v>244</v>
      </c>
      <c r="DM44" t="s">
        <v>176</v>
      </c>
      <c r="DN44" t="s">
        <v>1861</v>
      </c>
      <c r="DO44" t="s">
        <v>245</v>
      </c>
      <c r="DP44" t="s">
        <v>246</v>
      </c>
      <c r="DQ44" t="s">
        <v>247</v>
      </c>
      <c r="DR44" t="s">
        <v>248</v>
      </c>
      <c r="DS44" t="s">
        <v>249</v>
      </c>
      <c r="DT44" t="s">
        <v>250</v>
      </c>
    </row>
    <row r="45" spans="1:124" ht="17.55" customHeight="1" x14ac:dyDescent="0.45">
      <c r="A45" t="s">
        <v>1888</v>
      </c>
      <c r="B45" t="s">
        <v>1889</v>
      </c>
      <c r="C45" t="s">
        <v>17</v>
      </c>
      <c r="D45" t="s">
        <v>167</v>
      </c>
      <c r="E45" t="s">
        <v>168</v>
      </c>
      <c r="I45" t="s">
        <v>1890</v>
      </c>
      <c r="J45">
        <f t="shared" si="10"/>
        <v>0.52650292436328716</v>
      </c>
      <c r="K45">
        <f t="shared" si="11"/>
        <v>2.6980104799999998</v>
      </c>
      <c r="L45">
        <f t="shared" si="12"/>
        <v>0.44053481240320358</v>
      </c>
      <c r="M45">
        <f t="shared" si="13"/>
        <v>9.4917559614352989</v>
      </c>
      <c r="N45" t="s">
        <v>1891</v>
      </c>
      <c r="O45" t="s">
        <v>1892</v>
      </c>
      <c r="P45">
        <f t="shared" si="14"/>
        <v>4.665384537447423</v>
      </c>
      <c r="Q45">
        <f t="shared" si="15"/>
        <v>2.0967485374474228</v>
      </c>
      <c r="R45" t="s">
        <v>1893</v>
      </c>
      <c r="S45" t="s">
        <v>1894</v>
      </c>
      <c r="T45">
        <f t="shared" si="16"/>
        <v>46.223962523010236</v>
      </c>
      <c r="U45">
        <f t="shared" si="17"/>
        <v>0.4417875</v>
      </c>
      <c r="V45" t="s">
        <v>174</v>
      </c>
      <c r="W45" t="s">
        <v>1895</v>
      </c>
      <c r="X45" t="s">
        <v>176</v>
      </c>
      <c r="Y45" t="s">
        <v>176</v>
      </c>
      <c r="Z45" t="s">
        <v>176</v>
      </c>
      <c r="AA45" t="s">
        <v>1896</v>
      </c>
      <c r="AB45" t="s">
        <v>1897</v>
      </c>
      <c r="AC45" t="s">
        <v>1898</v>
      </c>
      <c r="AD45" t="s">
        <v>180</v>
      </c>
      <c r="AE45" t="s">
        <v>181</v>
      </c>
      <c r="AF45">
        <f t="shared" si="18"/>
        <v>118.04845121999998</v>
      </c>
      <c r="AG45" t="s">
        <v>182</v>
      </c>
      <c r="AH45" t="s">
        <v>1899</v>
      </c>
      <c r="AI45" t="s">
        <v>1900</v>
      </c>
      <c r="AJ45" t="s">
        <v>1431</v>
      </c>
      <c r="AK45" t="s">
        <v>570</v>
      </c>
      <c r="AL45">
        <f t="shared" si="19"/>
        <v>31.59</v>
      </c>
      <c r="AM45" t="s">
        <v>947</v>
      </c>
      <c r="AN45" t="s">
        <v>1714</v>
      </c>
      <c r="AO45" t="s">
        <v>444</v>
      </c>
      <c r="AP45" t="s">
        <v>1901</v>
      </c>
      <c r="AQ45" t="s">
        <v>1902</v>
      </c>
      <c r="AR45" t="s">
        <v>1903</v>
      </c>
      <c r="AS45" t="s">
        <v>742</v>
      </c>
      <c r="AT45" t="s">
        <v>165</v>
      </c>
      <c r="AU45" t="s">
        <v>1834</v>
      </c>
      <c r="AV45" t="s">
        <v>1904</v>
      </c>
      <c r="AW45" t="s">
        <v>1905</v>
      </c>
      <c r="AX45" t="s">
        <v>1602</v>
      </c>
      <c r="AY45" t="s">
        <v>1906</v>
      </c>
      <c r="AZ45" t="s">
        <v>1042</v>
      </c>
      <c r="BA45" t="s">
        <v>1907</v>
      </c>
      <c r="BB45" t="s">
        <v>1908</v>
      </c>
      <c r="BC45" t="s">
        <v>1909</v>
      </c>
      <c r="BD45" t="s">
        <v>17</v>
      </c>
      <c r="BE45" t="s">
        <v>1910</v>
      </c>
      <c r="BF45" t="s">
        <v>1842</v>
      </c>
      <c r="BG45" t="s">
        <v>1911</v>
      </c>
      <c r="BH45" t="s">
        <v>890</v>
      </c>
      <c r="BI45" t="s">
        <v>1912</v>
      </c>
      <c r="BJ45" t="s">
        <v>1686</v>
      </c>
      <c r="BK45" t="s">
        <v>17</v>
      </c>
      <c r="BL45" t="s">
        <v>1687</v>
      </c>
      <c r="BM45" t="s">
        <v>165</v>
      </c>
      <c r="BN45" t="s">
        <v>212</v>
      </c>
      <c r="BO45" t="s">
        <v>211</v>
      </c>
      <c r="BP45" t="s">
        <v>331</v>
      </c>
      <c r="BQ45" t="s">
        <v>1913</v>
      </c>
      <c r="BR45" t="s">
        <v>1914</v>
      </c>
      <c r="BS45" t="s">
        <v>1915</v>
      </c>
      <c r="BT45" t="s">
        <v>165</v>
      </c>
      <c r="BU45" t="s">
        <v>217</v>
      </c>
      <c r="BV45" t="s">
        <v>212</v>
      </c>
      <c r="BW45" t="s">
        <v>218</v>
      </c>
      <c r="BX45" t="s">
        <v>219</v>
      </c>
      <c r="BY45" t="s">
        <v>176</v>
      </c>
      <c r="BZ45" t="s">
        <v>220</v>
      </c>
      <c r="CA45" t="s">
        <v>176</v>
      </c>
      <c r="CB45" t="s">
        <v>176</v>
      </c>
      <c r="CC45" t="s">
        <v>221</v>
      </c>
      <c r="CD45" t="s">
        <v>222</v>
      </c>
      <c r="CE45" t="s">
        <v>223</v>
      </c>
      <c r="CF45" t="s">
        <v>224</v>
      </c>
      <c r="CG45" t="s">
        <v>225</v>
      </c>
      <c r="CH45" t="s">
        <v>226</v>
      </c>
      <c r="CI45" t="s">
        <v>182</v>
      </c>
      <c r="CJ45" t="s">
        <v>218</v>
      </c>
      <c r="CK45" t="s">
        <v>227</v>
      </c>
      <c r="CL45" t="s">
        <v>227</v>
      </c>
      <c r="CM45" t="s">
        <v>227</v>
      </c>
      <c r="CN45" t="s">
        <v>176</v>
      </c>
      <c r="CO45" t="s">
        <v>228</v>
      </c>
      <c r="CP45" t="s">
        <v>176</v>
      </c>
      <c r="CQ45" t="s">
        <v>176</v>
      </c>
      <c r="CR45" t="s">
        <v>176</v>
      </c>
      <c r="CS45" t="s">
        <v>176</v>
      </c>
      <c r="CT45" t="s">
        <v>1916</v>
      </c>
      <c r="CU45" t="s">
        <v>1917</v>
      </c>
      <c r="CV45" t="s">
        <v>1918</v>
      </c>
      <c r="CW45" t="s">
        <v>1919</v>
      </c>
      <c r="CX45" t="s">
        <v>1920</v>
      </c>
      <c r="CY45" t="s">
        <v>1921</v>
      </c>
      <c r="CZ45" t="s">
        <v>1922</v>
      </c>
      <c r="DA45" t="s">
        <v>1923</v>
      </c>
      <c r="DB45" t="s">
        <v>1896</v>
      </c>
      <c r="DC45" t="s">
        <v>1924</v>
      </c>
      <c r="DD45" t="s">
        <v>238</v>
      </c>
      <c r="DE45" t="s">
        <v>239</v>
      </c>
      <c r="DF45" t="s">
        <v>182</v>
      </c>
      <c r="DG45" t="s">
        <v>240</v>
      </c>
      <c r="DH45" t="s">
        <v>241</v>
      </c>
      <c r="DI45" t="s">
        <v>182</v>
      </c>
      <c r="DJ45" t="s">
        <v>242</v>
      </c>
      <c r="DK45" t="s">
        <v>243</v>
      </c>
      <c r="DL45" t="s">
        <v>244</v>
      </c>
      <c r="DM45" t="s">
        <v>176</v>
      </c>
      <c r="DN45" t="s">
        <v>1895</v>
      </c>
      <c r="DO45" t="s">
        <v>245</v>
      </c>
      <c r="DP45" t="s">
        <v>246</v>
      </c>
      <c r="DQ45" t="s">
        <v>247</v>
      </c>
      <c r="DR45" t="s">
        <v>248</v>
      </c>
      <c r="DS45" t="s">
        <v>249</v>
      </c>
      <c r="DT45" t="s">
        <v>250</v>
      </c>
    </row>
    <row r="46" spans="1:124" ht="17.55" customHeight="1" x14ac:dyDescent="0.45">
      <c r="A46" t="s">
        <v>1925</v>
      </c>
      <c r="B46" t="s">
        <v>1926</v>
      </c>
      <c r="C46" t="s">
        <v>17</v>
      </c>
      <c r="D46" t="s">
        <v>167</v>
      </c>
      <c r="E46" t="s">
        <v>168</v>
      </c>
      <c r="I46" t="s">
        <v>1927</v>
      </c>
      <c r="J46">
        <f t="shared" si="10"/>
        <v>0.65400649457862392</v>
      </c>
      <c r="K46">
        <f t="shared" si="11"/>
        <v>2.68027032</v>
      </c>
      <c r="L46">
        <f t="shared" si="12"/>
        <v>0.52572545531971815</v>
      </c>
      <c r="M46">
        <f t="shared" si="13"/>
        <v>10.656787506992851</v>
      </c>
      <c r="N46" t="s">
        <v>1928</v>
      </c>
      <c r="O46" t="s">
        <v>1929</v>
      </c>
      <c r="P46">
        <f t="shared" si="14"/>
        <v>4.665384537447423</v>
      </c>
      <c r="Q46">
        <f t="shared" si="15"/>
        <v>1.9714515374474231</v>
      </c>
      <c r="R46" t="s">
        <v>1930</v>
      </c>
      <c r="S46" t="s">
        <v>1931</v>
      </c>
      <c r="T46">
        <f t="shared" si="16"/>
        <v>46.223962523010236</v>
      </c>
      <c r="U46">
        <f t="shared" si="17"/>
        <v>0.4417875</v>
      </c>
      <c r="V46" t="s">
        <v>174</v>
      </c>
      <c r="W46" t="s">
        <v>1932</v>
      </c>
      <c r="X46" t="s">
        <v>176</v>
      </c>
      <c r="Y46" t="s">
        <v>176</v>
      </c>
      <c r="Z46" t="s">
        <v>176</v>
      </c>
      <c r="AA46" t="s">
        <v>1933</v>
      </c>
      <c r="AB46" t="s">
        <v>1934</v>
      </c>
      <c r="AC46" t="s">
        <v>1935</v>
      </c>
      <c r="AD46" t="s">
        <v>180</v>
      </c>
      <c r="AE46" t="s">
        <v>181</v>
      </c>
      <c r="AF46">
        <f t="shared" si="18"/>
        <v>140.46909324000001</v>
      </c>
      <c r="AG46" t="s">
        <v>182</v>
      </c>
      <c r="AH46" t="s">
        <v>1936</v>
      </c>
      <c r="AI46" t="s">
        <v>1937</v>
      </c>
      <c r="AJ46" t="s">
        <v>1938</v>
      </c>
      <c r="AK46" t="s">
        <v>570</v>
      </c>
      <c r="AL46">
        <f t="shared" si="19"/>
        <v>31.59</v>
      </c>
      <c r="AM46" t="s">
        <v>947</v>
      </c>
      <c r="AN46" t="s">
        <v>988</v>
      </c>
      <c r="AO46" t="s">
        <v>1939</v>
      </c>
      <c r="AP46" t="s">
        <v>362</v>
      </c>
      <c r="AQ46" t="s">
        <v>1940</v>
      </c>
      <c r="AR46" t="s">
        <v>1941</v>
      </c>
      <c r="AS46" t="s">
        <v>364</v>
      </c>
      <c r="AT46" t="s">
        <v>223</v>
      </c>
      <c r="AU46" t="s">
        <v>1942</v>
      </c>
      <c r="AV46" t="s">
        <v>1943</v>
      </c>
      <c r="AW46" t="s">
        <v>1944</v>
      </c>
      <c r="AX46" t="s">
        <v>624</v>
      </c>
      <c r="AY46" t="s">
        <v>1945</v>
      </c>
      <c r="AZ46" t="s">
        <v>1042</v>
      </c>
      <c r="BA46" t="s">
        <v>1946</v>
      </c>
      <c r="BB46" t="s">
        <v>1947</v>
      </c>
      <c r="BC46" t="s">
        <v>1948</v>
      </c>
      <c r="BD46" t="s">
        <v>17</v>
      </c>
      <c r="BE46" t="s">
        <v>917</v>
      </c>
      <c r="BF46" t="s">
        <v>1949</v>
      </c>
      <c r="BG46" t="s">
        <v>1950</v>
      </c>
      <c r="BH46" t="s">
        <v>890</v>
      </c>
      <c r="BI46" t="s">
        <v>1912</v>
      </c>
      <c r="BJ46" t="s">
        <v>1686</v>
      </c>
      <c r="BK46" t="s">
        <v>17</v>
      </c>
      <c r="BL46" t="s">
        <v>1687</v>
      </c>
      <c r="BM46" t="s">
        <v>165</v>
      </c>
      <c r="BN46" t="s">
        <v>331</v>
      </c>
      <c r="BO46" t="s">
        <v>284</v>
      </c>
      <c r="BP46" t="s">
        <v>283</v>
      </c>
      <c r="BQ46" t="s">
        <v>878</v>
      </c>
      <c r="BR46" t="s">
        <v>1951</v>
      </c>
      <c r="BS46" t="s">
        <v>1952</v>
      </c>
      <c r="BT46" t="s">
        <v>165</v>
      </c>
      <c r="BU46" t="s">
        <v>217</v>
      </c>
      <c r="BV46" t="s">
        <v>212</v>
      </c>
      <c r="BW46" t="s">
        <v>218</v>
      </c>
      <c r="BX46" t="s">
        <v>219</v>
      </c>
      <c r="BY46" t="s">
        <v>176</v>
      </c>
      <c r="BZ46" t="s">
        <v>220</v>
      </c>
      <c r="CA46" t="s">
        <v>176</v>
      </c>
      <c r="CB46" t="s">
        <v>176</v>
      </c>
      <c r="CC46" t="s">
        <v>221</v>
      </c>
      <c r="CD46" t="s">
        <v>222</v>
      </c>
      <c r="CE46" t="s">
        <v>223</v>
      </c>
      <c r="CF46" t="s">
        <v>224</v>
      </c>
      <c r="CG46" t="s">
        <v>225</v>
      </c>
      <c r="CH46" t="s">
        <v>226</v>
      </c>
      <c r="CI46" t="s">
        <v>182</v>
      </c>
      <c r="CJ46" t="s">
        <v>218</v>
      </c>
      <c r="CK46" t="s">
        <v>227</v>
      </c>
      <c r="CL46" t="s">
        <v>227</v>
      </c>
      <c r="CM46" t="s">
        <v>227</v>
      </c>
      <c r="CN46" t="s">
        <v>176</v>
      </c>
      <c r="CO46" t="s">
        <v>228</v>
      </c>
      <c r="CP46" t="s">
        <v>176</v>
      </c>
      <c r="CQ46" t="s">
        <v>176</v>
      </c>
      <c r="CR46" t="s">
        <v>176</v>
      </c>
      <c r="CS46" t="s">
        <v>176</v>
      </c>
      <c r="CT46" t="s">
        <v>1953</v>
      </c>
      <c r="CU46" t="s">
        <v>1954</v>
      </c>
      <c r="CV46" t="s">
        <v>1955</v>
      </c>
      <c r="CW46" t="s">
        <v>1956</v>
      </c>
      <c r="CX46" t="s">
        <v>1957</v>
      </c>
      <c r="CY46" t="s">
        <v>1958</v>
      </c>
      <c r="CZ46" t="s">
        <v>1959</v>
      </c>
      <c r="DA46" t="s">
        <v>1960</v>
      </c>
      <c r="DB46" t="s">
        <v>1933</v>
      </c>
      <c r="DC46" t="s">
        <v>343</v>
      </c>
      <c r="DD46" t="s">
        <v>238</v>
      </c>
      <c r="DE46" t="s">
        <v>239</v>
      </c>
      <c r="DF46" t="s">
        <v>182</v>
      </c>
      <c r="DG46" t="s">
        <v>240</v>
      </c>
      <c r="DH46" t="s">
        <v>241</v>
      </c>
      <c r="DI46" t="s">
        <v>182</v>
      </c>
      <c r="DJ46" t="s">
        <v>242</v>
      </c>
      <c r="DK46" t="s">
        <v>243</v>
      </c>
      <c r="DL46" t="s">
        <v>244</v>
      </c>
      <c r="DM46" t="s">
        <v>176</v>
      </c>
      <c r="DN46" t="s">
        <v>1932</v>
      </c>
      <c r="DO46" t="s">
        <v>245</v>
      </c>
      <c r="DP46" t="s">
        <v>246</v>
      </c>
      <c r="DQ46" t="s">
        <v>247</v>
      </c>
      <c r="DR46" t="s">
        <v>248</v>
      </c>
      <c r="DS46" t="s">
        <v>249</v>
      </c>
      <c r="DT46" t="s">
        <v>250</v>
      </c>
    </row>
    <row r="47" spans="1:124" ht="17.55" customHeight="1" x14ac:dyDescent="0.45">
      <c r="A47" t="s">
        <v>1961</v>
      </c>
      <c r="B47" t="s">
        <v>1962</v>
      </c>
      <c r="C47" t="s">
        <v>17</v>
      </c>
      <c r="D47" t="s">
        <v>167</v>
      </c>
      <c r="E47" t="s">
        <v>168</v>
      </c>
      <c r="I47" t="s">
        <v>1963</v>
      </c>
      <c r="J47">
        <f t="shared" si="10"/>
        <v>0.26326060040872989</v>
      </c>
      <c r="K47">
        <f t="shared" si="11"/>
        <v>2.6507000000000001</v>
      </c>
      <c r="L47">
        <f t="shared" si="12"/>
        <v>0.23947642717116324</v>
      </c>
      <c r="M47">
        <f t="shared" si="13"/>
        <v>6.030858416673273</v>
      </c>
      <c r="N47" t="s">
        <v>1964</v>
      </c>
      <c r="O47" t="s">
        <v>1965</v>
      </c>
      <c r="P47">
        <f t="shared" si="14"/>
        <v>4.9619765119234742</v>
      </c>
      <c r="Q47">
        <f t="shared" si="15"/>
        <v>2.4473705119234741</v>
      </c>
      <c r="R47" t="s">
        <v>1966</v>
      </c>
      <c r="S47" t="s">
        <v>1967</v>
      </c>
      <c r="T47">
        <f t="shared" si="16"/>
        <v>49.167424810973785</v>
      </c>
      <c r="U47">
        <f t="shared" si="17"/>
        <v>0.4417875</v>
      </c>
      <c r="V47" t="s">
        <v>174</v>
      </c>
      <c r="W47" t="s">
        <v>1968</v>
      </c>
      <c r="X47" t="s">
        <v>176</v>
      </c>
      <c r="Y47" t="s">
        <v>176</v>
      </c>
      <c r="Z47" t="s">
        <v>176</v>
      </c>
      <c r="AA47" t="s">
        <v>1969</v>
      </c>
      <c r="AB47" t="s">
        <v>1970</v>
      </c>
      <c r="AC47" t="s">
        <v>1971</v>
      </c>
      <c r="AD47" t="s">
        <v>180</v>
      </c>
      <c r="AE47" t="s">
        <v>181</v>
      </c>
      <c r="AF47">
        <f t="shared" si="18"/>
        <v>162.06993179999998</v>
      </c>
      <c r="AG47" t="s">
        <v>182</v>
      </c>
      <c r="AH47" t="s">
        <v>1972</v>
      </c>
      <c r="AI47" t="s">
        <v>1973</v>
      </c>
      <c r="AJ47" t="s">
        <v>1974</v>
      </c>
      <c r="AK47" t="s">
        <v>1975</v>
      </c>
      <c r="AL47">
        <f t="shared" si="19"/>
        <v>32.68</v>
      </c>
      <c r="AM47" t="s">
        <v>1318</v>
      </c>
      <c r="AN47" t="s">
        <v>1976</v>
      </c>
      <c r="AO47" t="s">
        <v>1977</v>
      </c>
      <c r="AP47" t="s">
        <v>1978</v>
      </c>
      <c r="AQ47" t="s">
        <v>1979</v>
      </c>
      <c r="AR47" t="s">
        <v>1941</v>
      </c>
      <c r="AS47" t="s">
        <v>1980</v>
      </c>
      <c r="AT47" t="s">
        <v>223</v>
      </c>
      <c r="AU47" t="s">
        <v>1981</v>
      </c>
      <c r="AV47" t="s">
        <v>1982</v>
      </c>
      <c r="AW47" t="s">
        <v>1983</v>
      </c>
      <c r="AX47" t="s">
        <v>1984</v>
      </c>
      <c r="AY47" t="s">
        <v>1985</v>
      </c>
      <c r="AZ47" t="s">
        <v>1042</v>
      </c>
      <c r="BA47" t="s">
        <v>1986</v>
      </c>
      <c r="BB47" t="s">
        <v>1987</v>
      </c>
      <c r="BC47" t="s">
        <v>1988</v>
      </c>
      <c r="BD47" t="s">
        <v>17</v>
      </c>
      <c r="BE47" t="s">
        <v>875</v>
      </c>
      <c r="BF47" t="s">
        <v>795</v>
      </c>
      <c r="BG47" t="s">
        <v>1989</v>
      </c>
      <c r="BH47" t="s">
        <v>890</v>
      </c>
      <c r="BI47" t="s">
        <v>1647</v>
      </c>
      <c r="BJ47" t="s">
        <v>1686</v>
      </c>
      <c r="BK47" t="s">
        <v>17</v>
      </c>
      <c r="BL47" t="s">
        <v>1687</v>
      </c>
      <c r="BM47" t="s">
        <v>165</v>
      </c>
      <c r="BN47" t="s">
        <v>284</v>
      </c>
      <c r="BO47" t="s">
        <v>330</v>
      </c>
      <c r="BP47" t="s">
        <v>283</v>
      </c>
      <c r="BQ47" t="s">
        <v>1990</v>
      </c>
      <c r="BR47" t="s">
        <v>1991</v>
      </c>
      <c r="BS47" t="s">
        <v>1992</v>
      </c>
      <c r="BT47" t="s">
        <v>165</v>
      </c>
      <c r="BU47" t="s">
        <v>217</v>
      </c>
      <c r="BV47" t="s">
        <v>212</v>
      </c>
      <c r="BW47" t="s">
        <v>218</v>
      </c>
      <c r="BX47" t="s">
        <v>219</v>
      </c>
      <c r="BY47" t="s">
        <v>176</v>
      </c>
      <c r="BZ47" t="s">
        <v>220</v>
      </c>
      <c r="CA47" t="s">
        <v>176</v>
      </c>
      <c r="CB47" t="s">
        <v>176</v>
      </c>
      <c r="CC47" t="s">
        <v>221</v>
      </c>
      <c r="CD47" t="s">
        <v>222</v>
      </c>
      <c r="CE47" t="s">
        <v>223</v>
      </c>
      <c r="CF47" t="s">
        <v>224</v>
      </c>
      <c r="CG47" t="s">
        <v>225</v>
      </c>
      <c r="CH47" t="s">
        <v>226</v>
      </c>
      <c r="CI47" t="s">
        <v>182</v>
      </c>
      <c r="CJ47" t="s">
        <v>218</v>
      </c>
      <c r="CK47" t="s">
        <v>227</v>
      </c>
      <c r="CL47" t="s">
        <v>227</v>
      </c>
      <c r="CM47" t="s">
        <v>227</v>
      </c>
      <c r="CN47" t="s">
        <v>176</v>
      </c>
      <c r="CO47" t="s">
        <v>228</v>
      </c>
      <c r="CP47" t="s">
        <v>176</v>
      </c>
      <c r="CQ47" t="s">
        <v>176</v>
      </c>
      <c r="CR47" t="s">
        <v>176</v>
      </c>
      <c r="CS47" t="s">
        <v>176</v>
      </c>
      <c r="CT47" t="s">
        <v>1993</v>
      </c>
      <c r="CU47" t="s">
        <v>1994</v>
      </c>
      <c r="CV47" t="s">
        <v>1995</v>
      </c>
      <c r="CW47" t="s">
        <v>1996</v>
      </c>
      <c r="CX47" t="s">
        <v>1997</v>
      </c>
      <c r="CY47" t="s">
        <v>1998</v>
      </c>
      <c r="CZ47" t="s">
        <v>1999</v>
      </c>
      <c r="DA47" t="s">
        <v>2000</v>
      </c>
      <c r="DB47" t="s">
        <v>1969</v>
      </c>
      <c r="DC47" t="s">
        <v>1924</v>
      </c>
      <c r="DD47" t="s">
        <v>238</v>
      </c>
      <c r="DE47" t="s">
        <v>239</v>
      </c>
      <c r="DF47" t="s">
        <v>182</v>
      </c>
      <c r="DG47" t="s">
        <v>240</v>
      </c>
      <c r="DH47" t="s">
        <v>241</v>
      </c>
      <c r="DI47" t="s">
        <v>182</v>
      </c>
      <c r="DJ47" t="s">
        <v>242</v>
      </c>
      <c r="DK47" t="s">
        <v>243</v>
      </c>
      <c r="DL47" t="s">
        <v>244</v>
      </c>
      <c r="DM47" t="s">
        <v>176</v>
      </c>
      <c r="DN47" t="s">
        <v>1968</v>
      </c>
      <c r="DO47" t="s">
        <v>245</v>
      </c>
      <c r="DP47" t="s">
        <v>246</v>
      </c>
      <c r="DQ47" t="s">
        <v>247</v>
      </c>
      <c r="DR47" t="s">
        <v>248</v>
      </c>
      <c r="DS47" t="s">
        <v>249</v>
      </c>
      <c r="DT47" t="s">
        <v>250</v>
      </c>
    </row>
    <row r="48" spans="1:124" ht="17.55" customHeight="1" x14ac:dyDescent="0.45">
      <c r="A48" t="s">
        <v>2001</v>
      </c>
      <c r="B48" t="s">
        <v>2002</v>
      </c>
      <c r="C48" t="s">
        <v>17</v>
      </c>
      <c r="D48" t="s">
        <v>167</v>
      </c>
      <c r="E48" t="s">
        <v>168</v>
      </c>
      <c r="I48" t="s">
        <v>2003</v>
      </c>
      <c r="J48">
        <f t="shared" si="10"/>
        <v>0.25949631458791367</v>
      </c>
      <c r="K48">
        <f t="shared" si="11"/>
        <v>2.67126968</v>
      </c>
      <c r="L48">
        <f t="shared" si="12"/>
        <v>0.2365199536607501</v>
      </c>
      <c r="M48">
        <f t="shared" si="13"/>
        <v>5.6804564478090143</v>
      </c>
      <c r="N48" t="s">
        <v>2004</v>
      </c>
      <c r="O48" t="s">
        <v>2005</v>
      </c>
      <c r="P48">
        <f t="shared" si="14"/>
        <v>4.8540244763790881</v>
      </c>
      <c r="Q48">
        <f t="shared" si="15"/>
        <v>2.3355404763790881</v>
      </c>
      <c r="R48" t="s">
        <v>2006</v>
      </c>
      <c r="S48" t="s">
        <v>2007</v>
      </c>
      <c r="T48">
        <f t="shared" si="16"/>
        <v>48.092980049332084</v>
      </c>
      <c r="U48">
        <f t="shared" si="17"/>
        <v>0.4417875</v>
      </c>
      <c r="V48" t="s">
        <v>174</v>
      </c>
      <c r="W48" t="s">
        <v>2008</v>
      </c>
      <c r="X48" t="s">
        <v>176</v>
      </c>
      <c r="Y48" t="s">
        <v>176</v>
      </c>
      <c r="Z48" t="s">
        <v>176</v>
      </c>
      <c r="AA48" t="s">
        <v>2009</v>
      </c>
      <c r="AB48" t="s">
        <v>2010</v>
      </c>
      <c r="AC48" t="s">
        <v>2011</v>
      </c>
      <c r="AD48" t="s">
        <v>180</v>
      </c>
      <c r="AE48" t="s">
        <v>181</v>
      </c>
      <c r="AF48">
        <f t="shared" si="18"/>
        <v>98.785317959999986</v>
      </c>
      <c r="AG48" t="s">
        <v>182</v>
      </c>
      <c r="AH48" t="s">
        <v>2012</v>
      </c>
      <c r="AI48" t="s">
        <v>2013</v>
      </c>
      <c r="AJ48" t="s">
        <v>2014</v>
      </c>
      <c r="AK48" t="s">
        <v>2015</v>
      </c>
      <c r="AL48">
        <f t="shared" si="19"/>
        <v>32.29</v>
      </c>
      <c r="AM48" t="s">
        <v>947</v>
      </c>
      <c r="AN48" t="s">
        <v>2016</v>
      </c>
      <c r="AO48" t="s">
        <v>2017</v>
      </c>
      <c r="AP48" t="s">
        <v>2018</v>
      </c>
      <c r="AQ48" t="s">
        <v>195</v>
      </c>
      <c r="AR48" t="s">
        <v>2019</v>
      </c>
      <c r="AS48" t="s">
        <v>1517</v>
      </c>
      <c r="AT48" t="s">
        <v>223</v>
      </c>
      <c r="AU48" t="s">
        <v>2020</v>
      </c>
      <c r="AV48" t="s">
        <v>2021</v>
      </c>
      <c r="AW48" t="s">
        <v>2022</v>
      </c>
      <c r="AX48" t="s">
        <v>1520</v>
      </c>
      <c r="AY48" t="s">
        <v>2023</v>
      </c>
      <c r="AZ48" t="s">
        <v>1042</v>
      </c>
      <c r="BA48" t="s">
        <v>2024</v>
      </c>
      <c r="BB48" t="s">
        <v>2025</v>
      </c>
      <c r="BC48" t="s">
        <v>2026</v>
      </c>
      <c r="BD48" t="s">
        <v>17</v>
      </c>
      <c r="BE48" t="s">
        <v>585</v>
      </c>
      <c r="BF48" t="s">
        <v>2027</v>
      </c>
      <c r="BG48" t="s">
        <v>2028</v>
      </c>
      <c r="BH48" t="s">
        <v>849</v>
      </c>
      <c r="BI48" t="s">
        <v>1647</v>
      </c>
      <c r="BJ48" t="s">
        <v>1686</v>
      </c>
      <c r="BK48" t="s">
        <v>17</v>
      </c>
      <c r="BL48" t="s">
        <v>1687</v>
      </c>
      <c r="BM48" t="s">
        <v>165</v>
      </c>
      <c r="BN48" t="s">
        <v>330</v>
      </c>
      <c r="BO48" t="s">
        <v>212</v>
      </c>
      <c r="BP48" t="s">
        <v>501</v>
      </c>
      <c r="BQ48" t="s">
        <v>2029</v>
      </c>
      <c r="BR48" t="s">
        <v>2030</v>
      </c>
      <c r="BS48" t="s">
        <v>2031</v>
      </c>
      <c r="BT48" t="s">
        <v>165</v>
      </c>
      <c r="BU48" t="s">
        <v>217</v>
      </c>
      <c r="BV48" t="s">
        <v>212</v>
      </c>
      <c r="BW48" t="s">
        <v>218</v>
      </c>
      <c r="BX48" t="s">
        <v>219</v>
      </c>
      <c r="BY48" t="s">
        <v>176</v>
      </c>
      <c r="BZ48" t="s">
        <v>220</v>
      </c>
      <c r="CA48" t="s">
        <v>176</v>
      </c>
      <c r="CB48" t="s">
        <v>176</v>
      </c>
      <c r="CC48" t="s">
        <v>221</v>
      </c>
      <c r="CD48" t="s">
        <v>222</v>
      </c>
      <c r="CE48" t="s">
        <v>223</v>
      </c>
      <c r="CF48" t="s">
        <v>224</v>
      </c>
      <c r="CG48" t="s">
        <v>225</v>
      </c>
      <c r="CH48" t="s">
        <v>226</v>
      </c>
      <c r="CI48" t="s">
        <v>182</v>
      </c>
      <c r="CJ48" t="s">
        <v>218</v>
      </c>
      <c r="CK48" t="s">
        <v>227</v>
      </c>
      <c r="CL48" t="s">
        <v>227</v>
      </c>
      <c r="CM48" t="s">
        <v>227</v>
      </c>
      <c r="CN48" t="s">
        <v>176</v>
      </c>
      <c r="CO48" t="s">
        <v>228</v>
      </c>
      <c r="CP48" t="s">
        <v>176</v>
      </c>
      <c r="CQ48" t="s">
        <v>176</v>
      </c>
      <c r="CR48" t="s">
        <v>176</v>
      </c>
      <c r="CS48" t="s">
        <v>176</v>
      </c>
      <c r="CT48" t="s">
        <v>2032</v>
      </c>
      <c r="CU48" t="s">
        <v>2033</v>
      </c>
      <c r="CV48" t="s">
        <v>2034</v>
      </c>
      <c r="CW48" t="s">
        <v>2035</v>
      </c>
      <c r="CX48" t="s">
        <v>2036</v>
      </c>
      <c r="CY48" t="s">
        <v>2037</v>
      </c>
      <c r="CZ48" t="s">
        <v>2038</v>
      </c>
      <c r="DA48" t="s">
        <v>2039</v>
      </c>
      <c r="DB48" t="s">
        <v>2009</v>
      </c>
      <c r="DC48" t="s">
        <v>297</v>
      </c>
      <c r="DD48" t="s">
        <v>238</v>
      </c>
      <c r="DE48" t="s">
        <v>239</v>
      </c>
      <c r="DF48" t="s">
        <v>182</v>
      </c>
      <c r="DG48" t="s">
        <v>240</v>
      </c>
      <c r="DH48" t="s">
        <v>241</v>
      </c>
      <c r="DI48" t="s">
        <v>182</v>
      </c>
      <c r="DJ48" t="s">
        <v>242</v>
      </c>
      <c r="DK48" t="s">
        <v>243</v>
      </c>
      <c r="DL48" t="s">
        <v>244</v>
      </c>
      <c r="DM48" t="s">
        <v>176</v>
      </c>
      <c r="DN48" t="s">
        <v>2008</v>
      </c>
      <c r="DO48" t="s">
        <v>245</v>
      </c>
      <c r="DP48" t="s">
        <v>246</v>
      </c>
      <c r="DQ48" t="s">
        <v>247</v>
      </c>
      <c r="DR48" t="s">
        <v>248</v>
      </c>
      <c r="DS48" t="s">
        <v>249</v>
      </c>
      <c r="DT48" t="s">
        <v>250</v>
      </c>
    </row>
    <row r="49" spans="1:124" ht="17.55" customHeight="1" x14ac:dyDescent="0.45">
      <c r="A49" t="s">
        <v>2040</v>
      </c>
      <c r="B49" t="s">
        <v>2041</v>
      </c>
      <c r="C49" t="s">
        <v>17</v>
      </c>
      <c r="D49" t="s">
        <v>167</v>
      </c>
      <c r="E49" t="s">
        <v>168</v>
      </c>
      <c r="I49" t="s">
        <v>2042</v>
      </c>
      <c r="J49">
        <f t="shared" si="10"/>
        <v>0.12782302106610127</v>
      </c>
      <c r="K49">
        <f t="shared" si="11"/>
        <v>2.66332272</v>
      </c>
      <c r="L49">
        <f t="shared" si="12"/>
        <v>0.12196925124173366</v>
      </c>
      <c r="M49">
        <f t="shared" si="13"/>
        <v>3.5169941422953808</v>
      </c>
      <c r="N49" t="s">
        <v>2043</v>
      </c>
      <c r="O49" t="s">
        <v>2044</v>
      </c>
      <c r="P49">
        <f t="shared" si="14"/>
        <v>5.1667706975753118</v>
      </c>
      <c r="Q49">
        <f t="shared" si="15"/>
        <v>2.801436697575312</v>
      </c>
      <c r="R49" t="s">
        <v>2045</v>
      </c>
      <c r="S49" t="s">
        <v>2046</v>
      </c>
      <c r="T49">
        <f t="shared" si="16"/>
        <v>51.196697360040737</v>
      </c>
      <c r="U49">
        <f t="shared" si="17"/>
        <v>0.4417875</v>
      </c>
      <c r="V49" t="s">
        <v>174</v>
      </c>
      <c r="W49" t="s">
        <v>2047</v>
      </c>
      <c r="X49" t="s">
        <v>176</v>
      </c>
      <c r="Y49" t="s">
        <v>176</v>
      </c>
      <c r="Z49" t="s">
        <v>176</v>
      </c>
      <c r="AA49" t="s">
        <v>2048</v>
      </c>
      <c r="AB49" t="s">
        <v>2049</v>
      </c>
      <c r="AC49" t="s">
        <v>2050</v>
      </c>
      <c r="AD49" t="s">
        <v>180</v>
      </c>
      <c r="AE49" t="s">
        <v>181</v>
      </c>
      <c r="AF49">
        <f t="shared" si="18"/>
        <v>46.078572540000003</v>
      </c>
      <c r="AG49" t="s">
        <v>182</v>
      </c>
      <c r="AH49" t="s">
        <v>2051</v>
      </c>
      <c r="AI49" t="s">
        <v>2052</v>
      </c>
      <c r="AJ49" t="s">
        <v>2053</v>
      </c>
      <c r="AK49" t="s">
        <v>2054</v>
      </c>
      <c r="AL49">
        <f t="shared" si="19"/>
        <v>33.4</v>
      </c>
      <c r="AM49" t="s">
        <v>1318</v>
      </c>
      <c r="AN49" t="s">
        <v>2055</v>
      </c>
      <c r="AO49" t="s">
        <v>2056</v>
      </c>
      <c r="AP49" t="s">
        <v>2057</v>
      </c>
      <c r="AQ49" t="s">
        <v>1120</v>
      </c>
      <c r="AR49" t="s">
        <v>2058</v>
      </c>
      <c r="AS49" t="s">
        <v>2059</v>
      </c>
      <c r="AT49" t="s">
        <v>223</v>
      </c>
      <c r="AU49" t="s">
        <v>2060</v>
      </c>
      <c r="AV49" t="s">
        <v>2061</v>
      </c>
      <c r="AW49" t="s">
        <v>2062</v>
      </c>
      <c r="AX49" t="s">
        <v>2063</v>
      </c>
      <c r="AY49" t="s">
        <v>2064</v>
      </c>
      <c r="AZ49" t="s">
        <v>1042</v>
      </c>
      <c r="BA49" t="s">
        <v>2065</v>
      </c>
      <c r="BB49" t="s">
        <v>2066</v>
      </c>
      <c r="BC49" t="s">
        <v>2067</v>
      </c>
      <c r="BD49" t="s">
        <v>17</v>
      </c>
      <c r="BE49" t="s">
        <v>1086</v>
      </c>
      <c r="BF49" t="s">
        <v>1001</v>
      </c>
      <c r="BG49" t="s">
        <v>2068</v>
      </c>
      <c r="BH49" t="s">
        <v>890</v>
      </c>
      <c r="BI49" t="s">
        <v>2069</v>
      </c>
      <c r="BJ49" t="s">
        <v>1686</v>
      </c>
      <c r="BK49" t="s">
        <v>17</v>
      </c>
      <c r="BL49" t="s">
        <v>1687</v>
      </c>
      <c r="BM49" t="s">
        <v>165</v>
      </c>
      <c r="BN49" t="s">
        <v>211</v>
      </c>
      <c r="BO49" t="s">
        <v>212</v>
      </c>
      <c r="BP49" t="s">
        <v>331</v>
      </c>
      <c r="BQ49" t="s">
        <v>2070</v>
      </c>
      <c r="BR49" t="s">
        <v>1250</v>
      </c>
      <c r="BS49" t="s">
        <v>2071</v>
      </c>
      <c r="BT49" t="s">
        <v>165</v>
      </c>
      <c r="BU49" t="s">
        <v>217</v>
      </c>
      <c r="BV49" t="s">
        <v>212</v>
      </c>
      <c r="BW49" t="s">
        <v>218</v>
      </c>
      <c r="BX49" t="s">
        <v>219</v>
      </c>
      <c r="BY49" t="s">
        <v>176</v>
      </c>
      <c r="BZ49" t="s">
        <v>220</v>
      </c>
      <c r="CA49" t="s">
        <v>176</v>
      </c>
      <c r="CB49" t="s">
        <v>176</v>
      </c>
      <c r="CC49" t="s">
        <v>221</v>
      </c>
      <c r="CD49" t="s">
        <v>222</v>
      </c>
      <c r="CE49" t="s">
        <v>223</v>
      </c>
      <c r="CF49" t="s">
        <v>224</v>
      </c>
      <c r="CG49" t="s">
        <v>225</v>
      </c>
      <c r="CH49" t="s">
        <v>226</v>
      </c>
      <c r="CI49" t="s">
        <v>182</v>
      </c>
      <c r="CJ49" t="s">
        <v>218</v>
      </c>
      <c r="CK49" t="s">
        <v>227</v>
      </c>
      <c r="CL49" t="s">
        <v>227</v>
      </c>
      <c r="CM49" t="s">
        <v>227</v>
      </c>
      <c r="CN49" t="s">
        <v>176</v>
      </c>
      <c r="CO49" t="s">
        <v>228</v>
      </c>
      <c r="CP49" t="s">
        <v>176</v>
      </c>
      <c r="CQ49" t="s">
        <v>176</v>
      </c>
      <c r="CR49" t="s">
        <v>176</v>
      </c>
      <c r="CS49" t="s">
        <v>176</v>
      </c>
      <c r="CT49" t="s">
        <v>2072</v>
      </c>
      <c r="CU49" t="s">
        <v>2073</v>
      </c>
      <c r="CV49" t="s">
        <v>2074</v>
      </c>
      <c r="CW49" t="s">
        <v>2075</v>
      </c>
      <c r="CX49" t="s">
        <v>2076</v>
      </c>
      <c r="CY49" t="s">
        <v>2077</v>
      </c>
      <c r="CZ49" t="s">
        <v>2078</v>
      </c>
      <c r="DA49" t="s">
        <v>2079</v>
      </c>
      <c r="DB49" t="s">
        <v>2048</v>
      </c>
      <c r="DC49" t="s">
        <v>2080</v>
      </c>
      <c r="DD49" t="s">
        <v>238</v>
      </c>
      <c r="DE49" t="s">
        <v>239</v>
      </c>
      <c r="DF49" t="s">
        <v>182</v>
      </c>
      <c r="DG49" t="s">
        <v>240</v>
      </c>
      <c r="DH49" t="s">
        <v>241</v>
      </c>
      <c r="DI49" t="s">
        <v>182</v>
      </c>
      <c r="DJ49" t="s">
        <v>242</v>
      </c>
      <c r="DK49" t="s">
        <v>243</v>
      </c>
      <c r="DL49" t="s">
        <v>244</v>
      </c>
      <c r="DM49" t="s">
        <v>176</v>
      </c>
      <c r="DN49" t="s">
        <v>2047</v>
      </c>
      <c r="DO49" t="s">
        <v>245</v>
      </c>
      <c r="DP49" t="s">
        <v>246</v>
      </c>
      <c r="DQ49" t="s">
        <v>247</v>
      </c>
      <c r="DR49" t="s">
        <v>248</v>
      </c>
      <c r="DS49" t="s">
        <v>249</v>
      </c>
      <c r="DT49" t="s">
        <v>250</v>
      </c>
    </row>
    <row r="50" spans="1:124" ht="17.55" customHeight="1" x14ac:dyDescent="0.45">
      <c r="A50" t="s">
        <v>2081</v>
      </c>
      <c r="B50" t="s">
        <v>2082</v>
      </c>
      <c r="C50" t="s">
        <v>17</v>
      </c>
      <c r="D50" t="s">
        <v>167</v>
      </c>
      <c r="E50" t="s">
        <v>168</v>
      </c>
      <c r="I50" t="s">
        <v>2083</v>
      </c>
      <c r="J50">
        <f t="shared" si="10"/>
        <v>0.20765215563110853</v>
      </c>
      <c r="K50">
        <f t="shared" si="11"/>
        <v>2.701298</v>
      </c>
      <c r="L50">
        <f t="shared" si="12"/>
        <v>0.19282913858670298</v>
      </c>
      <c r="M50">
        <f t="shared" si="13"/>
        <v>5.2260136403323543</v>
      </c>
      <c r="N50" t="s">
        <v>2084</v>
      </c>
      <c r="O50" t="s">
        <v>2085</v>
      </c>
      <c r="P50">
        <f t="shared" si="14"/>
        <v>4.992799732688014</v>
      </c>
      <c r="Q50">
        <f t="shared" si="15"/>
        <v>2.6355997326880138</v>
      </c>
      <c r="R50" t="s">
        <v>2086</v>
      </c>
      <c r="S50" t="s">
        <v>2087</v>
      </c>
      <c r="T50">
        <f t="shared" si="16"/>
        <v>49.472847133254199</v>
      </c>
      <c r="U50">
        <f t="shared" si="17"/>
        <v>0.4417875</v>
      </c>
      <c r="V50" t="s">
        <v>174</v>
      </c>
      <c r="W50" t="s">
        <v>2088</v>
      </c>
      <c r="X50" t="s">
        <v>176</v>
      </c>
      <c r="Y50" t="s">
        <v>176</v>
      </c>
      <c r="Z50" t="s">
        <v>176</v>
      </c>
      <c r="AA50" t="s">
        <v>2089</v>
      </c>
      <c r="AB50" t="s">
        <v>2090</v>
      </c>
      <c r="AC50" t="s">
        <v>2091</v>
      </c>
      <c r="AD50" t="s">
        <v>180</v>
      </c>
      <c r="AE50" t="s">
        <v>181</v>
      </c>
      <c r="AF50">
        <f t="shared" si="18"/>
        <v>39.632092499999999</v>
      </c>
      <c r="AG50" t="s">
        <v>182</v>
      </c>
      <c r="AH50" t="s">
        <v>2092</v>
      </c>
      <c r="AI50" t="s">
        <v>2093</v>
      </c>
      <c r="AJ50" t="s">
        <v>1431</v>
      </c>
      <c r="AK50" t="s">
        <v>1114</v>
      </c>
      <c r="AL50">
        <f t="shared" si="19"/>
        <v>32.79</v>
      </c>
      <c r="AM50" t="s">
        <v>1318</v>
      </c>
      <c r="AN50" t="s">
        <v>1793</v>
      </c>
      <c r="AO50" t="s">
        <v>2094</v>
      </c>
      <c r="AP50" t="s">
        <v>2095</v>
      </c>
      <c r="AQ50" t="s">
        <v>1639</v>
      </c>
      <c r="AR50" t="s">
        <v>2096</v>
      </c>
      <c r="AS50" t="s">
        <v>408</v>
      </c>
      <c r="AT50" t="s">
        <v>223</v>
      </c>
      <c r="AU50" t="s">
        <v>2097</v>
      </c>
      <c r="AV50" t="s">
        <v>2098</v>
      </c>
      <c r="AW50" t="s">
        <v>2099</v>
      </c>
      <c r="AX50" t="s">
        <v>2100</v>
      </c>
      <c r="AY50" t="s">
        <v>2101</v>
      </c>
      <c r="AZ50" t="s">
        <v>1042</v>
      </c>
      <c r="BA50" t="s">
        <v>2102</v>
      </c>
      <c r="BB50" t="s">
        <v>1274</v>
      </c>
      <c r="BC50" t="s">
        <v>2103</v>
      </c>
      <c r="BD50" t="s">
        <v>17</v>
      </c>
      <c r="BE50" t="s">
        <v>2104</v>
      </c>
      <c r="BF50" t="s">
        <v>669</v>
      </c>
      <c r="BG50" t="s">
        <v>1684</v>
      </c>
      <c r="BH50" t="s">
        <v>932</v>
      </c>
      <c r="BI50" t="s">
        <v>2105</v>
      </c>
      <c r="BJ50" t="s">
        <v>2106</v>
      </c>
      <c r="BK50" t="s">
        <v>17</v>
      </c>
      <c r="BL50" t="s">
        <v>2107</v>
      </c>
      <c r="BM50" t="s">
        <v>165</v>
      </c>
      <c r="BN50" t="s">
        <v>211</v>
      </c>
      <c r="BO50" t="s">
        <v>330</v>
      </c>
      <c r="BP50" t="s">
        <v>1003</v>
      </c>
      <c r="BQ50" t="s">
        <v>2108</v>
      </c>
      <c r="BR50" t="s">
        <v>2109</v>
      </c>
      <c r="BS50" t="s">
        <v>2110</v>
      </c>
      <c r="BT50" t="s">
        <v>165</v>
      </c>
      <c r="BU50" t="s">
        <v>217</v>
      </c>
      <c r="BV50" t="s">
        <v>212</v>
      </c>
      <c r="BW50" t="s">
        <v>218</v>
      </c>
      <c r="BX50" t="s">
        <v>219</v>
      </c>
      <c r="BY50" t="s">
        <v>176</v>
      </c>
      <c r="BZ50" t="s">
        <v>220</v>
      </c>
      <c r="CA50" t="s">
        <v>176</v>
      </c>
      <c r="CB50" t="s">
        <v>176</v>
      </c>
      <c r="CC50" t="s">
        <v>221</v>
      </c>
      <c r="CD50" t="s">
        <v>222</v>
      </c>
      <c r="CE50" t="s">
        <v>223</v>
      </c>
      <c r="CF50" t="s">
        <v>224</v>
      </c>
      <c r="CG50" t="s">
        <v>225</v>
      </c>
      <c r="CH50" t="s">
        <v>226</v>
      </c>
      <c r="CI50" t="s">
        <v>182</v>
      </c>
      <c r="CJ50" t="s">
        <v>218</v>
      </c>
      <c r="CK50" t="s">
        <v>227</v>
      </c>
      <c r="CL50" t="s">
        <v>227</v>
      </c>
      <c r="CM50" t="s">
        <v>227</v>
      </c>
      <c r="CN50" t="s">
        <v>176</v>
      </c>
      <c r="CO50" t="s">
        <v>228</v>
      </c>
      <c r="CP50" t="s">
        <v>176</v>
      </c>
      <c r="CQ50" t="s">
        <v>176</v>
      </c>
      <c r="CR50" t="s">
        <v>176</v>
      </c>
      <c r="CS50" t="s">
        <v>176</v>
      </c>
      <c r="CT50" t="s">
        <v>2111</v>
      </c>
      <c r="CU50" t="s">
        <v>2112</v>
      </c>
      <c r="CV50" t="s">
        <v>2113</v>
      </c>
      <c r="CW50" t="s">
        <v>2114</v>
      </c>
      <c r="CX50" t="s">
        <v>2115</v>
      </c>
      <c r="CY50" t="s">
        <v>2116</v>
      </c>
      <c r="CZ50" t="s">
        <v>2117</v>
      </c>
      <c r="DA50" t="s">
        <v>2118</v>
      </c>
      <c r="DB50" t="s">
        <v>2089</v>
      </c>
      <c r="DC50" t="s">
        <v>1924</v>
      </c>
      <c r="DD50" t="s">
        <v>238</v>
      </c>
      <c r="DE50" t="s">
        <v>239</v>
      </c>
      <c r="DF50" t="s">
        <v>182</v>
      </c>
      <c r="DG50" t="s">
        <v>240</v>
      </c>
      <c r="DH50" t="s">
        <v>241</v>
      </c>
      <c r="DI50" t="s">
        <v>182</v>
      </c>
      <c r="DJ50" t="s">
        <v>242</v>
      </c>
      <c r="DK50" t="s">
        <v>243</v>
      </c>
      <c r="DL50" t="s">
        <v>244</v>
      </c>
      <c r="DM50" t="s">
        <v>176</v>
      </c>
      <c r="DN50" t="s">
        <v>2088</v>
      </c>
      <c r="DO50" t="s">
        <v>245</v>
      </c>
      <c r="DP50" t="s">
        <v>246</v>
      </c>
      <c r="DQ50" t="s">
        <v>247</v>
      </c>
      <c r="DR50" t="s">
        <v>248</v>
      </c>
      <c r="DS50" t="s">
        <v>249</v>
      </c>
      <c r="DT50" t="s">
        <v>250</v>
      </c>
    </row>
    <row r="51" spans="1:124" ht="17.55" customHeight="1" x14ac:dyDescent="0.45">
      <c r="A51" t="s">
        <v>2119</v>
      </c>
      <c r="B51" t="s">
        <v>2120</v>
      </c>
      <c r="C51" t="s">
        <v>17</v>
      </c>
      <c r="D51" t="s">
        <v>167</v>
      </c>
      <c r="E51" t="s">
        <v>168</v>
      </c>
      <c r="I51" t="s">
        <v>2121</v>
      </c>
      <c r="J51">
        <f t="shared" si="10"/>
        <v>0.22576604081812221</v>
      </c>
      <c r="K51">
        <f t="shared" si="11"/>
        <v>2.77253208</v>
      </c>
      <c r="L51">
        <f t="shared" si="12"/>
        <v>0.20876629525153323</v>
      </c>
      <c r="M51">
        <f t="shared" si="13"/>
        <v>5.583476934828659</v>
      </c>
      <c r="N51" t="s">
        <v>2122</v>
      </c>
      <c r="O51" t="s">
        <v>2123</v>
      </c>
      <c r="P51">
        <f t="shared" si="14"/>
        <v>4.9899907537265848</v>
      </c>
      <c r="Q51">
        <f t="shared" si="15"/>
        <v>2.6001617537265846</v>
      </c>
      <c r="R51" t="s">
        <v>2124</v>
      </c>
      <c r="S51" t="s">
        <v>2125</v>
      </c>
      <c r="T51">
        <f t="shared" si="16"/>
        <v>49.449913325999255</v>
      </c>
      <c r="U51">
        <f t="shared" si="17"/>
        <v>0.4417875</v>
      </c>
      <c r="V51" t="s">
        <v>174</v>
      </c>
      <c r="W51" t="s">
        <v>2126</v>
      </c>
      <c r="X51" t="s">
        <v>176</v>
      </c>
      <c r="Y51" t="s">
        <v>176</v>
      </c>
      <c r="Z51" t="s">
        <v>176</v>
      </c>
      <c r="AA51" t="s">
        <v>2127</v>
      </c>
      <c r="AB51" t="s">
        <v>2128</v>
      </c>
      <c r="AC51" t="s">
        <v>2129</v>
      </c>
      <c r="AD51" t="s">
        <v>180</v>
      </c>
      <c r="AE51" t="s">
        <v>181</v>
      </c>
      <c r="AF51">
        <f t="shared" si="18"/>
        <v>154.09348542000001</v>
      </c>
      <c r="AG51" t="s">
        <v>182</v>
      </c>
      <c r="AH51" t="s">
        <v>2130</v>
      </c>
      <c r="AI51" t="s">
        <v>1591</v>
      </c>
      <c r="AJ51" t="s">
        <v>2131</v>
      </c>
      <c r="AK51" t="s">
        <v>2132</v>
      </c>
      <c r="AL51">
        <f t="shared" si="19"/>
        <v>32.78</v>
      </c>
      <c r="AM51" t="s">
        <v>2133</v>
      </c>
      <c r="AN51" t="s">
        <v>2134</v>
      </c>
      <c r="AO51" t="s">
        <v>2135</v>
      </c>
      <c r="AP51" t="s">
        <v>2136</v>
      </c>
      <c r="AQ51" t="s">
        <v>2137</v>
      </c>
      <c r="AR51" t="s">
        <v>2138</v>
      </c>
      <c r="AS51" t="s">
        <v>1980</v>
      </c>
      <c r="AT51" t="s">
        <v>223</v>
      </c>
      <c r="AU51" t="s">
        <v>1438</v>
      </c>
      <c r="AV51" t="s">
        <v>2139</v>
      </c>
      <c r="AW51" t="s">
        <v>2140</v>
      </c>
      <c r="AX51" t="s">
        <v>1984</v>
      </c>
      <c r="AY51" t="s">
        <v>2141</v>
      </c>
      <c r="AZ51" t="s">
        <v>1042</v>
      </c>
      <c r="BA51" t="s">
        <v>2142</v>
      </c>
      <c r="BB51" t="s">
        <v>2143</v>
      </c>
      <c r="BC51" t="s">
        <v>2144</v>
      </c>
      <c r="BD51" t="s">
        <v>17</v>
      </c>
      <c r="BE51" t="s">
        <v>2145</v>
      </c>
      <c r="BF51" t="s">
        <v>2146</v>
      </c>
      <c r="BG51" t="s">
        <v>2147</v>
      </c>
      <c r="BH51" t="s">
        <v>890</v>
      </c>
      <c r="BI51" t="s">
        <v>2148</v>
      </c>
      <c r="BJ51" t="s">
        <v>2106</v>
      </c>
      <c r="BK51" t="s">
        <v>17</v>
      </c>
      <c r="BL51" t="s">
        <v>2107</v>
      </c>
      <c r="BM51" t="s">
        <v>165</v>
      </c>
      <c r="BN51" t="s">
        <v>211</v>
      </c>
      <c r="BO51" t="s">
        <v>330</v>
      </c>
      <c r="BP51" t="s">
        <v>212</v>
      </c>
      <c r="BQ51" t="s">
        <v>2149</v>
      </c>
      <c r="BR51" t="s">
        <v>2150</v>
      </c>
      <c r="BS51" t="s">
        <v>2151</v>
      </c>
      <c r="BT51" t="s">
        <v>165</v>
      </c>
      <c r="BU51" t="s">
        <v>217</v>
      </c>
      <c r="BV51" t="s">
        <v>212</v>
      </c>
      <c r="BW51" t="s">
        <v>218</v>
      </c>
      <c r="BX51" t="s">
        <v>219</v>
      </c>
      <c r="BY51" t="s">
        <v>176</v>
      </c>
      <c r="BZ51" t="s">
        <v>220</v>
      </c>
      <c r="CA51" t="s">
        <v>176</v>
      </c>
      <c r="CB51" t="s">
        <v>176</v>
      </c>
      <c r="CC51" t="s">
        <v>221</v>
      </c>
      <c r="CD51" t="s">
        <v>222</v>
      </c>
      <c r="CE51" t="s">
        <v>223</v>
      </c>
      <c r="CF51" t="s">
        <v>224</v>
      </c>
      <c r="CG51" t="s">
        <v>225</v>
      </c>
      <c r="CH51" t="s">
        <v>226</v>
      </c>
      <c r="CI51" t="s">
        <v>182</v>
      </c>
      <c r="CJ51" t="s">
        <v>218</v>
      </c>
      <c r="CK51" t="s">
        <v>227</v>
      </c>
      <c r="CL51" t="s">
        <v>227</v>
      </c>
      <c r="CM51" t="s">
        <v>227</v>
      </c>
      <c r="CN51" t="s">
        <v>176</v>
      </c>
      <c r="CO51" t="s">
        <v>228</v>
      </c>
      <c r="CP51" t="s">
        <v>176</v>
      </c>
      <c r="CQ51" t="s">
        <v>176</v>
      </c>
      <c r="CR51" t="s">
        <v>176</v>
      </c>
      <c r="CS51" t="s">
        <v>176</v>
      </c>
      <c r="CT51" t="s">
        <v>1611</v>
      </c>
      <c r="CU51" t="s">
        <v>2152</v>
      </c>
      <c r="CV51" t="s">
        <v>2153</v>
      </c>
      <c r="CW51" t="s">
        <v>2154</v>
      </c>
      <c r="CX51" t="s">
        <v>2155</v>
      </c>
      <c r="CY51" t="s">
        <v>2156</v>
      </c>
      <c r="CZ51" t="s">
        <v>2157</v>
      </c>
      <c r="DA51" t="s">
        <v>2158</v>
      </c>
      <c r="DB51" t="s">
        <v>2127</v>
      </c>
      <c r="DC51" t="s">
        <v>766</v>
      </c>
      <c r="DD51" t="s">
        <v>238</v>
      </c>
      <c r="DE51" t="s">
        <v>239</v>
      </c>
      <c r="DF51" t="s">
        <v>182</v>
      </c>
      <c r="DG51" t="s">
        <v>240</v>
      </c>
      <c r="DH51" t="s">
        <v>241</v>
      </c>
      <c r="DI51" t="s">
        <v>182</v>
      </c>
      <c r="DJ51" t="s">
        <v>242</v>
      </c>
      <c r="DK51" t="s">
        <v>243</v>
      </c>
      <c r="DL51" t="s">
        <v>244</v>
      </c>
      <c r="DM51" t="s">
        <v>176</v>
      </c>
      <c r="DN51" t="s">
        <v>2126</v>
      </c>
      <c r="DO51" t="s">
        <v>245</v>
      </c>
      <c r="DP51" t="s">
        <v>246</v>
      </c>
      <c r="DQ51" t="s">
        <v>247</v>
      </c>
      <c r="DR51" t="s">
        <v>248</v>
      </c>
      <c r="DS51" t="s">
        <v>249</v>
      </c>
      <c r="DT51" t="s">
        <v>250</v>
      </c>
    </row>
    <row r="52" spans="1:124" ht="17.55" customHeight="1" x14ac:dyDescent="0.45">
      <c r="A52" t="s">
        <v>2159</v>
      </c>
      <c r="B52" t="s">
        <v>2160</v>
      </c>
      <c r="C52" t="s">
        <v>17</v>
      </c>
      <c r="D52" t="s">
        <v>167</v>
      </c>
      <c r="E52" t="s">
        <v>168</v>
      </c>
      <c r="I52" t="s">
        <v>2161</v>
      </c>
      <c r="J52">
        <f t="shared" si="10"/>
        <v>1.4865384521010265E-2</v>
      </c>
      <c r="K52">
        <f t="shared" si="11"/>
        <v>2.7056623200000001</v>
      </c>
      <c r="L52">
        <f t="shared" si="12"/>
        <v>1.4784157758794148E-2</v>
      </c>
      <c r="M52">
        <f t="shared" si="13"/>
        <v>0.46227217883872151</v>
      </c>
      <c r="N52" t="s">
        <v>2162</v>
      </c>
      <c r="O52" t="s">
        <v>2163</v>
      </c>
      <c r="P52">
        <f t="shared" si="14"/>
        <v>5.4360982164928009</v>
      </c>
      <c r="Q52">
        <f t="shared" si="15"/>
        <v>3.0326332164928007</v>
      </c>
      <c r="R52" t="s">
        <v>2164</v>
      </c>
      <c r="S52" t="s">
        <v>2165</v>
      </c>
      <c r="T52">
        <f t="shared" si="16"/>
        <v>53.870758264719065</v>
      </c>
      <c r="U52">
        <f t="shared" si="17"/>
        <v>0.4417875</v>
      </c>
      <c r="V52" t="s">
        <v>174</v>
      </c>
      <c r="W52" t="s">
        <v>2166</v>
      </c>
      <c r="X52" t="s">
        <v>176</v>
      </c>
      <c r="Y52" t="s">
        <v>176</v>
      </c>
      <c r="Z52" t="s">
        <v>176</v>
      </c>
      <c r="AA52" t="s">
        <v>2167</v>
      </c>
      <c r="AB52" t="s">
        <v>2168</v>
      </c>
      <c r="AC52" t="s">
        <v>2169</v>
      </c>
      <c r="AD52" t="s">
        <v>180</v>
      </c>
      <c r="AE52" t="s">
        <v>181</v>
      </c>
      <c r="AF52">
        <f t="shared" si="18"/>
        <v>36.77101974</v>
      </c>
      <c r="AG52" t="s">
        <v>182</v>
      </c>
      <c r="AH52" t="s">
        <v>2170</v>
      </c>
      <c r="AI52" t="s">
        <v>1751</v>
      </c>
      <c r="AJ52" t="s">
        <v>1592</v>
      </c>
      <c r="AK52" t="s">
        <v>2171</v>
      </c>
      <c r="AL52">
        <f t="shared" si="19"/>
        <v>34.31</v>
      </c>
      <c r="AM52" t="s">
        <v>2133</v>
      </c>
      <c r="AN52" t="s">
        <v>2172</v>
      </c>
      <c r="AO52" t="s">
        <v>1594</v>
      </c>
      <c r="AP52" t="s">
        <v>739</v>
      </c>
      <c r="AQ52" t="s">
        <v>2173</v>
      </c>
      <c r="AR52" t="s">
        <v>2138</v>
      </c>
      <c r="AS52" t="s">
        <v>742</v>
      </c>
      <c r="AT52" t="s">
        <v>344</v>
      </c>
      <c r="AU52" t="s">
        <v>2173</v>
      </c>
      <c r="AV52" t="s">
        <v>2174</v>
      </c>
      <c r="AW52" t="s">
        <v>2175</v>
      </c>
      <c r="AX52" t="s">
        <v>1441</v>
      </c>
      <c r="AY52" t="s">
        <v>2176</v>
      </c>
      <c r="AZ52" t="s">
        <v>1042</v>
      </c>
      <c r="BA52" t="s">
        <v>2142</v>
      </c>
      <c r="BB52" t="s">
        <v>2143</v>
      </c>
      <c r="BC52" t="s">
        <v>2177</v>
      </c>
      <c r="BD52" t="s">
        <v>17</v>
      </c>
      <c r="BE52" t="s">
        <v>917</v>
      </c>
      <c r="BF52" t="s">
        <v>2178</v>
      </c>
      <c r="BG52" t="s">
        <v>1289</v>
      </c>
      <c r="BH52" t="s">
        <v>849</v>
      </c>
      <c r="BI52" t="s">
        <v>2069</v>
      </c>
      <c r="BJ52" t="s">
        <v>2106</v>
      </c>
      <c r="BK52" t="s">
        <v>17</v>
      </c>
      <c r="BL52" t="s">
        <v>2107</v>
      </c>
      <c r="BM52" t="s">
        <v>165</v>
      </c>
      <c r="BN52" t="s">
        <v>212</v>
      </c>
      <c r="BO52" t="s">
        <v>284</v>
      </c>
      <c r="BP52" t="s">
        <v>331</v>
      </c>
      <c r="BQ52" t="s">
        <v>2179</v>
      </c>
      <c r="BR52" t="s">
        <v>2180</v>
      </c>
      <c r="BS52" t="s">
        <v>2181</v>
      </c>
      <c r="BT52" t="s">
        <v>165</v>
      </c>
      <c r="BU52" t="s">
        <v>217</v>
      </c>
      <c r="BV52" t="s">
        <v>212</v>
      </c>
      <c r="BW52" t="s">
        <v>218</v>
      </c>
      <c r="BX52" t="s">
        <v>219</v>
      </c>
      <c r="BY52" t="s">
        <v>176</v>
      </c>
      <c r="BZ52" t="s">
        <v>220</v>
      </c>
      <c r="CA52" t="s">
        <v>176</v>
      </c>
      <c r="CB52" t="s">
        <v>176</v>
      </c>
      <c r="CC52" t="s">
        <v>221</v>
      </c>
      <c r="CD52" t="s">
        <v>222</v>
      </c>
      <c r="CE52" t="s">
        <v>223</v>
      </c>
      <c r="CF52" t="s">
        <v>224</v>
      </c>
      <c r="CG52" t="s">
        <v>225</v>
      </c>
      <c r="CH52" t="s">
        <v>226</v>
      </c>
      <c r="CI52" t="s">
        <v>182</v>
      </c>
      <c r="CJ52" t="s">
        <v>218</v>
      </c>
      <c r="CK52" t="s">
        <v>227</v>
      </c>
      <c r="CL52" t="s">
        <v>227</v>
      </c>
      <c r="CM52" t="s">
        <v>227</v>
      </c>
      <c r="CN52" t="s">
        <v>176</v>
      </c>
      <c r="CO52" t="s">
        <v>228</v>
      </c>
      <c r="CP52" t="s">
        <v>176</v>
      </c>
      <c r="CQ52" t="s">
        <v>176</v>
      </c>
      <c r="CR52" t="s">
        <v>176</v>
      </c>
      <c r="CS52" t="s">
        <v>176</v>
      </c>
      <c r="CT52" t="s">
        <v>2182</v>
      </c>
      <c r="CU52" t="s">
        <v>2183</v>
      </c>
      <c r="CV52" t="s">
        <v>2184</v>
      </c>
      <c r="CW52" t="s">
        <v>2185</v>
      </c>
      <c r="CX52" t="s">
        <v>2186</v>
      </c>
      <c r="CY52" t="s">
        <v>2187</v>
      </c>
      <c r="CZ52" t="s">
        <v>2188</v>
      </c>
      <c r="DA52" t="s">
        <v>2189</v>
      </c>
      <c r="DB52" t="s">
        <v>2167</v>
      </c>
      <c r="DC52" t="s">
        <v>1338</v>
      </c>
      <c r="DD52" t="s">
        <v>238</v>
      </c>
      <c r="DE52" t="s">
        <v>239</v>
      </c>
      <c r="DF52" t="s">
        <v>182</v>
      </c>
      <c r="DG52" t="s">
        <v>240</v>
      </c>
      <c r="DH52" t="s">
        <v>241</v>
      </c>
      <c r="DI52" t="s">
        <v>182</v>
      </c>
      <c r="DJ52" t="s">
        <v>242</v>
      </c>
      <c r="DK52" t="s">
        <v>243</v>
      </c>
      <c r="DL52" t="s">
        <v>244</v>
      </c>
      <c r="DM52" t="s">
        <v>176</v>
      </c>
      <c r="DN52" t="s">
        <v>2166</v>
      </c>
      <c r="DO52" t="s">
        <v>245</v>
      </c>
      <c r="DP52" t="s">
        <v>246</v>
      </c>
      <c r="DQ52" t="s">
        <v>247</v>
      </c>
      <c r="DR52" t="s">
        <v>248</v>
      </c>
      <c r="DS52" t="s">
        <v>249</v>
      </c>
      <c r="DT52" t="s">
        <v>250</v>
      </c>
    </row>
    <row r="53" spans="1:124" ht="17.55" customHeight="1" x14ac:dyDescent="0.45">
      <c r="A53" t="s">
        <v>2190</v>
      </c>
      <c r="B53" t="s">
        <v>2191</v>
      </c>
      <c r="C53" t="s">
        <v>17</v>
      </c>
      <c r="D53" t="s">
        <v>167</v>
      </c>
      <c r="E53" t="s">
        <v>168</v>
      </c>
      <c r="I53" t="s">
        <v>2192</v>
      </c>
      <c r="J53">
        <f t="shared" si="10"/>
        <v>0.57521039078172687</v>
      </c>
      <c r="K53">
        <f t="shared" si="11"/>
        <v>2.70675</v>
      </c>
      <c r="L53">
        <f t="shared" si="12"/>
        <v>0.47439656176886119</v>
      </c>
      <c r="M53">
        <f t="shared" si="13"/>
        <v>10.428253990080858</v>
      </c>
      <c r="N53" t="s">
        <v>2193</v>
      </c>
      <c r="O53" t="s">
        <v>2194</v>
      </c>
      <c r="P53">
        <f t="shared" si="14"/>
        <v>4.6600899859318305</v>
      </c>
      <c r="Q53">
        <f t="shared" si="15"/>
        <v>2.1392299859318307</v>
      </c>
      <c r="R53" t="s">
        <v>2195</v>
      </c>
      <c r="S53" t="s">
        <v>2196</v>
      </c>
      <c r="T53">
        <f t="shared" si="16"/>
        <v>46.180655890712814</v>
      </c>
      <c r="U53">
        <f t="shared" si="17"/>
        <v>0.4417875</v>
      </c>
      <c r="V53" t="s">
        <v>174</v>
      </c>
      <c r="W53" t="s">
        <v>2197</v>
      </c>
      <c r="X53" t="s">
        <v>176</v>
      </c>
      <c r="Y53" t="s">
        <v>176</v>
      </c>
      <c r="Z53" t="s">
        <v>176</v>
      </c>
      <c r="AA53" t="s">
        <v>2198</v>
      </c>
      <c r="AB53" t="s">
        <v>2199</v>
      </c>
      <c r="AC53" t="s">
        <v>2200</v>
      </c>
      <c r="AD53" t="s">
        <v>180</v>
      </c>
      <c r="AE53" t="s">
        <v>181</v>
      </c>
      <c r="AF53">
        <f t="shared" si="18"/>
        <v>148.60063932</v>
      </c>
      <c r="AG53" t="s">
        <v>182</v>
      </c>
      <c r="AH53" t="s">
        <v>2201</v>
      </c>
      <c r="AI53" t="s">
        <v>2202</v>
      </c>
      <c r="AJ53" t="s">
        <v>1352</v>
      </c>
      <c r="AK53" t="s">
        <v>2203</v>
      </c>
      <c r="AL53">
        <f t="shared" si="19"/>
        <v>31.57</v>
      </c>
      <c r="AM53" t="s">
        <v>2133</v>
      </c>
      <c r="AN53" t="s">
        <v>782</v>
      </c>
      <c r="AO53" t="s">
        <v>2204</v>
      </c>
      <c r="AP53" t="s">
        <v>2205</v>
      </c>
      <c r="AQ53" t="s">
        <v>2206</v>
      </c>
      <c r="AR53" t="s">
        <v>2138</v>
      </c>
      <c r="AS53" t="s">
        <v>577</v>
      </c>
      <c r="AT53" t="s">
        <v>409</v>
      </c>
      <c r="AU53" t="s">
        <v>993</v>
      </c>
      <c r="AV53" t="s">
        <v>2207</v>
      </c>
      <c r="AW53" t="s">
        <v>2208</v>
      </c>
      <c r="AX53" t="s">
        <v>580</v>
      </c>
      <c r="AY53" t="s">
        <v>2209</v>
      </c>
      <c r="AZ53" t="s">
        <v>1042</v>
      </c>
      <c r="BA53" t="s">
        <v>2210</v>
      </c>
      <c r="BB53" t="s">
        <v>2211</v>
      </c>
      <c r="BC53" t="s">
        <v>2212</v>
      </c>
      <c r="BD53" t="s">
        <v>17</v>
      </c>
      <c r="BE53" t="s">
        <v>708</v>
      </c>
      <c r="BF53" t="s">
        <v>2213</v>
      </c>
      <c r="BG53" t="s">
        <v>1327</v>
      </c>
      <c r="BH53" t="s">
        <v>890</v>
      </c>
      <c r="BI53" t="s">
        <v>2105</v>
      </c>
      <c r="BJ53" t="s">
        <v>2106</v>
      </c>
      <c r="BK53" t="s">
        <v>17</v>
      </c>
      <c r="BL53" t="s">
        <v>2107</v>
      </c>
      <c r="BM53" t="s">
        <v>165</v>
      </c>
      <c r="BN53" t="s">
        <v>330</v>
      </c>
      <c r="BO53" t="s">
        <v>284</v>
      </c>
      <c r="BP53" t="s">
        <v>1003</v>
      </c>
      <c r="BQ53" t="s">
        <v>2214</v>
      </c>
      <c r="BR53" t="s">
        <v>2215</v>
      </c>
      <c r="BS53" t="s">
        <v>2216</v>
      </c>
      <c r="BT53" t="s">
        <v>165</v>
      </c>
      <c r="BU53" t="s">
        <v>217</v>
      </c>
      <c r="BV53" t="s">
        <v>212</v>
      </c>
      <c r="BW53" t="s">
        <v>218</v>
      </c>
      <c r="BX53" t="s">
        <v>219</v>
      </c>
      <c r="BY53" t="s">
        <v>176</v>
      </c>
      <c r="BZ53" t="s">
        <v>220</v>
      </c>
      <c r="CA53" t="s">
        <v>176</v>
      </c>
      <c r="CB53" t="s">
        <v>176</v>
      </c>
      <c r="CC53" t="s">
        <v>221</v>
      </c>
      <c r="CD53" t="s">
        <v>222</v>
      </c>
      <c r="CE53" t="s">
        <v>223</v>
      </c>
      <c r="CF53" t="s">
        <v>224</v>
      </c>
      <c r="CG53" t="s">
        <v>225</v>
      </c>
      <c r="CH53" t="s">
        <v>226</v>
      </c>
      <c r="CI53" t="s">
        <v>182</v>
      </c>
      <c r="CJ53" t="s">
        <v>218</v>
      </c>
      <c r="CK53" t="s">
        <v>227</v>
      </c>
      <c r="CL53" t="s">
        <v>227</v>
      </c>
      <c r="CM53" t="s">
        <v>227</v>
      </c>
      <c r="CN53" t="s">
        <v>176</v>
      </c>
      <c r="CO53" t="s">
        <v>228</v>
      </c>
      <c r="CP53" t="s">
        <v>176</v>
      </c>
      <c r="CQ53" t="s">
        <v>176</v>
      </c>
      <c r="CR53" t="s">
        <v>176</v>
      </c>
      <c r="CS53" t="s">
        <v>176</v>
      </c>
      <c r="CT53" t="s">
        <v>2217</v>
      </c>
      <c r="CU53" t="s">
        <v>2218</v>
      </c>
      <c r="CV53" t="s">
        <v>2219</v>
      </c>
      <c r="CW53" t="s">
        <v>2220</v>
      </c>
      <c r="CX53" t="s">
        <v>2221</v>
      </c>
      <c r="CY53" t="s">
        <v>2222</v>
      </c>
      <c r="CZ53" t="s">
        <v>2223</v>
      </c>
      <c r="DA53" t="s">
        <v>2224</v>
      </c>
      <c r="DB53" t="s">
        <v>2198</v>
      </c>
      <c r="DC53" t="s">
        <v>1099</v>
      </c>
      <c r="DD53" t="s">
        <v>238</v>
      </c>
      <c r="DE53" t="s">
        <v>239</v>
      </c>
      <c r="DF53" t="s">
        <v>182</v>
      </c>
      <c r="DG53" t="s">
        <v>240</v>
      </c>
      <c r="DH53" t="s">
        <v>241</v>
      </c>
      <c r="DI53" t="s">
        <v>182</v>
      </c>
      <c r="DJ53" t="s">
        <v>242</v>
      </c>
      <c r="DK53" t="s">
        <v>243</v>
      </c>
      <c r="DL53" t="s">
        <v>244</v>
      </c>
      <c r="DM53" t="s">
        <v>176</v>
      </c>
      <c r="DN53" t="s">
        <v>2197</v>
      </c>
      <c r="DO53" t="s">
        <v>245</v>
      </c>
      <c r="DP53" t="s">
        <v>246</v>
      </c>
      <c r="DQ53" t="s">
        <v>247</v>
      </c>
      <c r="DR53" t="s">
        <v>248</v>
      </c>
      <c r="DS53" t="s">
        <v>249</v>
      </c>
      <c r="DT53" t="s">
        <v>250</v>
      </c>
    </row>
    <row r="54" spans="1:124" ht="17.55" customHeight="1" x14ac:dyDescent="0.45">
      <c r="A54" t="s">
        <v>2225</v>
      </c>
      <c r="B54" t="s">
        <v>2226</v>
      </c>
      <c r="C54" t="s">
        <v>17</v>
      </c>
      <c r="D54" t="s">
        <v>167</v>
      </c>
      <c r="E54" t="s">
        <v>168</v>
      </c>
      <c r="I54" t="s">
        <v>2227</v>
      </c>
      <c r="J54">
        <f t="shared" si="10"/>
        <v>0.72597426384235053</v>
      </c>
      <c r="K54">
        <f t="shared" si="11"/>
        <v>2.6902919999999999</v>
      </c>
      <c r="L54">
        <f t="shared" si="12"/>
        <v>0.57170097509445572</v>
      </c>
      <c r="M54">
        <f t="shared" si="13"/>
        <v>11.102916227983224</v>
      </c>
      <c r="N54" t="s">
        <v>2228</v>
      </c>
      <c r="O54" t="s">
        <v>2229</v>
      </c>
      <c r="P54">
        <f t="shared" si="14"/>
        <v>4.6627366073221719</v>
      </c>
      <c r="Q54">
        <f t="shared" si="15"/>
        <v>1.8878516073221721</v>
      </c>
      <c r="R54" t="s">
        <v>2230</v>
      </c>
      <c r="S54" t="s">
        <v>2231</v>
      </c>
      <c r="T54">
        <f t="shared" si="16"/>
        <v>46.202304868432144</v>
      </c>
      <c r="U54">
        <f t="shared" si="17"/>
        <v>0.4417875</v>
      </c>
      <c r="V54" t="s">
        <v>174</v>
      </c>
      <c r="W54" t="s">
        <v>2232</v>
      </c>
      <c r="X54" t="s">
        <v>176</v>
      </c>
      <c r="Y54" t="s">
        <v>176</v>
      </c>
      <c r="Z54" t="s">
        <v>176</v>
      </c>
      <c r="AA54" t="s">
        <v>2233</v>
      </c>
      <c r="AB54" t="s">
        <v>2234</v>
      </c>
      <c r="AC54" t="s">
        <v>2235</v>
      </c>
      <c r="AD54" t="s">
        <v>180</v>
      </c>
      <c r="AE54" t="s">
        <v>181</v>
      </c>
      <c r="AF54">
        <f t="shared" si="18"/>
        <v>216.39686544</v>
      </c>
      <c r="AG54" t="s">
        <v>182</v>
      </c>
      <c r="AH54" t="s">
        <v>2236</v>
      </c>
      <c r="AI54" t="s">
        <v>2237</v>
      </c>
      <c r="AJ54" t="s">
        <v>1592</v>
      </c>
      <c r="AK54" t="s">
        <v>2238</v>
      </c>
      <c r="AL54">
        <f t="shared" si="19"/>
        <v>31.58</v>
      </c>
      <c r="AM54" t="s">
        <v>1318</v>
      </c>
      <c r="AN54" t="s">
        <v>2239</v>
      </c>
      <c r="AO54" t="s">
        <v>2240</v>
      </c>
      <c r="AP54" t="s">
        <v>2241</v>
      </c>
      <c r="AQ54" t="s">
        <v>2242</v>
      </c>
      <c r="AR54" t="s">
        <v>2243</v>
      </c>
      <c r="AS54" t="s">
        <v>1036</v>
      </c>
      <c r="AT54" t="s">
        <v>251</v>
      </c>
      <c r="AU54" t="s">
        <v>2244</v>
      </c>
      <c r="AV54" t="s">
        <v>860</v>
      </c>
      <c r="AW54" t="s">
        <v>2245</v>
      </c>
      <c r="AX54" t="s">
        <v>1040</v>
      </c>
      <c r="AY54" t="s">
        <v>2246</v>
      </c>
      <c r="AZ54" t="s">
        <v>1042</v>
      </c>
      <c r="BA54" t="s">
        <v>2247</v>
      </c>
      <c r="BB54" t="s">
        <v>2248</v>
      </c>
      <c r="BC54" t="s">
        <v>2249</v>
      </c>
      <c r="BD54" t="s">
        <v>17</v>
      </c>
      <c r="BE54" t="s">
        <v>2250</v>
      </c>
      <c r="BF54" t="s">
        <v>669</v>
      </c>
      <c r="BG54" t="s">
        <v>2251</v>
      </c>
      <c r="BH54" t="s">
        <v>849</v>
      </c>
      <c r="BI54" t="s">
        <v>2148</v>
      </c>
      <c r="BJ54" t="s">
        <v>2106</v>
      </c>
      <c r="BK54" t="s">
        <v>17</v>
      </c>
      <c r="BL54" t="s">
        <v>2107</v>
      </c>
      <c r="BM54" t="s">
        <v>165</v>
      </c>
      <c r="BN54" t="s">
        <v>330</v>
      </c>
      <c r="BO54" t="s">
        <v>284</v>
      </c>
      <c r="BP54" t="s">
        <v>212</v>
      </c>
      <c r="BQ54" t="s">
        <v>2252</v>
      </c>
      <c r="BR54" t="s">
        <v>2253</v>
      </c>
      <c r="BS54" t="s">
        <v>2254</v>
      </c>
      <c r="BT54" t="s">
        <v>165</v>
      </c>
      <c r="BU54" t="s">
        <v>217</v>
      </c>
      <c r="BV54" t="s">
        <v>212</v>
      </c>
      <c r="BW54" t="s">
        <v>218</v>
      </c>
      <c r="BX54" t="s">
        <v>219</v>
      </c>
      <c r="BY54" t="s">
        <v>176</v>
      </c>
      <c r="BZ54" t="s">
        <v>220</v>
      </c>
      <c r="CA54" t="s">
        <v>176</v>
      </c>
      <c r="CB54" t="s">
        <v>176</v>
      </c>
      <c r="CC54" t="s">
        <v>221</v>
      </c>
      <c r="CD54" t="s">
        <v>222</v>
      </c>
      <c r="CE54" t="s">
        <v>223</v>
      </c>
      <c r="CF54" t="s">
        <v>224</v>
      </c>
      <c r="CG54" t="s">
        <v>225</v>
      </c>
      <c r="CH54" t="s">
        <v>226</v>
      </c>
      <c r="CI54" t="s">
        <v>182</v>
      </c>
      <c r="CJ54" t="s">
        <v>218</v>
      </c>
      <c r="CK54" t="s">
        <v>227</v>
      </c>
      <c r="CL54" t="s">
        <v>227</v>
      </c>
      <c r="CM54" t="s">
        <v>227</v>
      </c>
      <c r="CN54" t="s">
        <v>176</v>
      </c>
      <c r="CO54" t="s">
        <v>228</v>
      </c>
      <c r="CP54" t="s">
        <v>176</v>
      </c>
      <c r="CQ54" t="s">
        <v>176</v>
      </c>
      <c r="CR54" t="s">
        <v>176</v>
      </c>
      <c r="CS54" t="s">
        <v>176</v>
      </c>
      <c r="CT54" t="s">
        <v>2255</v>
      </c>
      <c r="CU54" t="s">
        <v>2256</v>
      </c>
      <c r="CV54" t="s">
        <v>2257</v>
      </c>
      <c r="CW54" t="s">
        <v>2258</v>
      </c>
      <c r="CX54" t="s">
        <v>2259</v>
      </c>
      <c r="CY54" t="s">
        <v>2260</v>
      </c>
      <c r="CZ54" t="s">
        <v>2261</v>
      </c>
      <c r="DA54" t="s">
        <v>2262</v>
      </c>
      <c r="DB54" t="s">
        <v>2233</v>
      </c>
      <c r="DC54" t="s">
        <v>2263</v>
      </c>
      <c r="DD54" t="s">
        <v>238</v>
      </c>
      <c r="DE54" t="s">
        <v>239</v>
      </c>
      <c r="DF54" t="s">
        <v>182</v>
      </c>
      <c r="DG54" t="s">
        <v>240</v>
      </c>
      <c r="DH54" t="s">
        <v>241</v>
      </c>
      <c r="DI54" t="s">
        <v>182</v>
      </c>
      <c r="DJ54" t="s">
        <v>242</v>
      </c>
      <c r="DK54" t="s">
        <v>243</v>
      </c>
      <c r="DL54" t="s">
        <v>244</v>
      </c>
      <c r="DM54" t="s">
        <v>176</v>
      </c>
      <c r="DN54" t="s">
        <v>2232</v>
      </c>
      <c r="DO54" t="s">
        <v>245</v>
      </c>
      <c r="DP54" t="s">
        <v>246</v>
      </c>
      <c r="DQ54" t="s">
        <v>247</v>
      </c>
      <c r="DR54" t="s">
        <v>248</v>
      </c>
      <c r="DS54" t="s">
        <v>249</v>
      </c>
      <c r="DT54" t="s">
        <v>250</v>
      </c>
    </row>
    <row r="55" spans="1:124" ht="17.55" customHeight="1" x14ac:dyDescent="0.45">
      <c r="A55" t="s">
        <v>2264</v>
      </c>
      <c r="B55" t="s">
        <v>2265</v>
      </c>
      <c r="C55" t="s">
        <v>17</v>
      </c>
      <c r="D55" t="s">
        <v>167</v>
      </c>
      <c r="E55" t="s">
        <v>168</v>
      </c>
      <c r="I55" t="s">
        <v>2266</v>
      </c>
      <c r="J55">
        <f t="shared" si="10"/>
        <v>0.6272619003917963</v>
      </c>
      <c r="K55">
        <f t="shared" si="11"/>
        <v>2.7100048799999996</v>
      </c>
      <c r="L55">
        <f t="shared" si="12"/>
        <v>0.50936377669521371</v>
      </c>
      <c r="M55">
        <f t="shared" si="13"/>
        <v>10.307525781261388</v>
      </c>
      <c r="N55" t="s">
        <v>2267</v>
      </c>
      <c r="O55" t="s">
        <v>2268</v>
      </c>
      <c r="P55">
        <f t="shared" si="14"/>
        <v>4.5708796840731996</v>
      </c>
      <c r="Q55">
        <f t="shared" si="15"/>
        <v>1.9694146840731994</v>
      </c>
      <c r="R55" t="s">
        <v>2269</v>
      </c>
      <c r="S55" t="s">
        <v>2270</v>
      </c>
      <c r="T55">
        <f t="shared" si="16"/>
        <v>45.296597800745211</v>
      </c>
      <c r="U55">
        <f t="shared" si="17"/>
        <v>0.4417875</v>
      </c>
      <c r="V55" t="s">
        <v>174</v>
      </c>
      <c r="W55" t="s">
        <v>2271</v>
      </c>
      <c r="X55" t="s">
        <v>176</v>
      </c>
      <c r="Y55" t="s">
        <v>176</v>
      </c>
      <c r="Z55" t="s">
        <v>176</v>
      </c>
      <c r="AA55" t="s">
        <v>2272</v>
      </c>
      <c r="AB55" t="s">
        <v>2273</v>
      </c>
      <c r="AC55" t="s">
        <v>2274</v>
      </c>
      <c r="AD55" t="s">
        <v>180</v>
      </c>
      <c r="AE55" t="s">
        <v>181</v>
      </c>
      <c r="AF55">
        <f t="shared" si="18"/>
        <v>70.329829500000002</v>
      </c>
      <c r="AG55" t="s">
        <v>182</v>
      </c>
      <c r="AH55" t="s">
        <v>2275</v>
      </c>
      <c r="AI55" t="s">
        <v>1973</v>
      </c>
      <c r="AJ55" t="s">
        <v>2276</v>
      </c>
      <c r="AK55" t="s">
        <v>2277</v>
      </c>
      <c r="AL55">
        <f t="shared" si="19"/>
        <v>31.23</v>
      </c>
      <c r="AM55" t="s">
        <v>2133</v>
      </c>
      <c r="AN55" t="s">
        <v>2278</v>
      </c>
      <c r="AO55" t="s">
        <v>2279</v>
      </c>
      <c r="AP55" t="s">
        <v>1117</v>
      </c>
      <c r="AQ55" t="s">
        <v>2280</v>
      </c>
      <c r="AR55" t="s">
        <v>2243</v>
      </c>
      <c r="AS55" t="s">
        <v>364</v>
      </c>
      <c r="AT55" t="s">
        <v>223</v>
      </c>
      <c r="AU55" t="s">
        <v>2281</v>
      </c>
      <c r="AV55" t="s">
        <v>2282</v>
      </c>
      <c r="AW55" t="s">
        <v>2283</v>
      </c>
      <c r="AX55" t="s">
        <v>624</v>
      </c>
      <c r="AY55" t="s">
        <v>2284</v>
      </c>
      <c r="AZ55" t="s">
        <v>1283</v>
      </c>
      <c r="BA55" t="s">
        <v>2285</v>
      </c>
      <c r="BB55" t="s">
        <v>2286</v>
      </c>
      <c r="BC55" t="s">
        <v>2287</v>
      </c>
      <c r="BD55" t="s">
        <v>17</v>
      </c>
      <c r="BE55" t="s">
        <v>2288</v>
      </c>
      <c r="BF55" t="s">
        <v>709</v>
      </c>
      <c r="BG55" t="s">
        <v>2289</v>
      </c>
      <c r="BH55" t="s">
        <v>849</v>
      </c>
      <c r="BI55" t="s">
        <v>2069</v>
      </c>
      <c r="BJ55" t="s">
        <v>2106</v>
      </c>
      <c r="BK55" t="s">
        <v>17</v>
      </c>
      <c r="BL55" t="s">
        <v>2107</v>
      </c>
      <c r="BM55" t="s">
        <v>165</v>
      </c>
      <c r="BN55" t="s">
        <v>285</v>
      </c>
      <c r="BO55" t="s">
        <v>284</v>
      </c>
      <c r="BP55" t="s">
        <v>284</v>
      </c>
      <c r="BQ55" t="s">
        <v>796</v>
      </c>
      <c r="BR55" t="s">
        <v>2290</v>
      </c>
      <c r="BS55" t="s">
        <v>2291</v>
      </c>
      <c r="BT55" t="s">
        <v>165</v>
      </c>
      <c r="BU55" t="s">
        <v>217</v>
      </c>
      <c r="BV55" t="s">
        <v>212</v>
      </c>
      <c r="BW55" t="s">
        <v>218</v>
      </c>
      <c r="BX55" t="s">
        <v>219</v>
      </c>
      <c r="BY55" t="s">
        <v>176</v>
      </c>
      <c r="BZ55" t="s">
        <v>220</v>
      </c>
      <c r="CA55" t="s">
        <v>176</v>
      </c>
      <c r="CB55" t="s">
        <v>176</v>
      </c>
      <c r="CC55" t="s">
        <v>221</v>
      </c>
      <c r="CD55" t="s">
        <v>222</v>
      </c>
      <c r="CE55" t="s">
        <v>223</v>
      </c>
      <c r="CF55" t="s">
        <v>224</v>
      </c>
      <c r="CG55" t="s">
        <v>225</v>
      </c>
      <c r="CH55" t="s">
        <v>226</v>
      </c>
      <c r="CI55" t="s">
        <v>182</v>
      </c>
      <c r="CJ55" t="s">
        <v>218</v>
      </c>
      <c r="CK55" t="s">
        <v>227</v>
      </c>
      <c r="CL55" t="s">
        <v>227</v>
      </c>
      <c r="CM55" t="s">
        <v>227</v>
      </c>
      <c r="CN55" t="s">
        <v>176</v>
      </c>
      <c r="CO55" t="s">
        <v>228</v>
      </c>
      <c r="CP55" t="s">
        <v>176</v>
      </c>
      <c r="CQ55" t="s">
        <v>176</v>
      </c>
      <c r="CR55" t="s">
        <v>176</v>
      </c>
      <c r="CS55" t="s">
        <v>176</v>
      </c>
      <c r="CT55" t="s">
        <v>2292</v>
      </c>
      <c r="CU55" t="s">
        <v>2293</v>
      </c>
      <c r="CV55" t="s">
        <v>2294</v>
      </c>
      <c r="CW55" t="s">
        <v>2295</v>
      </c>
      <c r="CX55" t="s">
        <v>2296</v>
      </c>
      <c r="CY55" t="s">
        <v>2297</v>
      </c>
      <c r="CZ55" t="s">
        <v>2298</v>
      </c>
      <c r="DA55" t="s">
        <v>2299</v>
      </c>
      <c r="DB55" t="s">
        <v>2272</v>
      </c>
      <c r="DC55" t="s">
        <v>766</v>
      </c>
      <c r="DD55" t="s">
        <v>238</v>
      </c>
      <c r="DE55" t="s">
        <v>239</v>
      </c>
      <c r="DF55" t="s">
        <v>182</v>
      </c>
      <c r="DG55" t="s">
        <v>240</v>
      </c>
      <c r="DH55" t="s">
        <v>241</v>
      </c>
      <c r="DI55" t="s">
        <v>182</v>
      </c>
      <c r="DJ55" t="s">
        <v>242</v>
      </c>
      <c r="DK55" t="s">
        <v>243</v>
      </c>
      <c r="DL55" t="s">
        <v>244</v>
      </c>
      <c r="DM55" t="s">
        <v>176</v>
      </c>
      <c r="DN55" t="s">
        <v>2271</v>
      </c>
      <c r="DO55" t="s">
        <v>245</v>
      </c>
      <c r="DP55" t="s">
        <v>246</v>
      </c>
      <c r="DQ55" t="s">
        <v>247</v>
      </c>
      <c r="DR55" t="s">
        <v>248</v>
      </c>
      <c r="DS55" t="s">
        <v>249</v>
      </c>
      <c r="DT55" t="s">
        <v>250</v>
      </c>
    </row>
    <row r="56" spans="1:124" ht="17.55" customHeight="1" x14ac:dyDescent="0.45">
      <c r="A56" t="s">
        <v>2300</v>
      </c>
      <c r="B56" t="s">
        <v>2301</v>
      </c>
      <c r="C56" t="s">
        <v>17</v>
      </c>
      <c r="D56" t="s">
        <v>167</v>
      </c>
      <c r="E56" t="s">
        <v>168</v>
      </c>
      <c r="I56" t="s">
        <v>2302</v>
      </c>
      <c r="J56">
        <f t="shared" si="10"/>
        <v>0.75600865489615077</v>
      </c>
      <c r="K56">
        <f t="shared" si="11"/>
        <v>2.69910768</v>
      </c>
      <c r="L56">
        <f t="shared" si="12"/>
        <v>0.59058757181847599</v>
      </c>
      <c r="M56">
        <f t="shared" si="13"/>
        <v>11.254690652662843</v>
      </c>
      <c r="N56" t="s">
        <v>2303</v>
      </c>
      <c r="O56" t="s">
        <v>2304</v>
      </c>
      <c r="P56">
        <f t="shared" si="14"/>
        <v>4.5139512266519732</v>
      </c>
      <c r="Q56">
        <f t="shared" si="15"/>
        <v>1.8546232266519733</v>
      </c>
      <c r="R56" t="s">
        <v>2305</v>
      </c>
      <c r="S56" t="s">
        <v>2306</v>
      </c>
      <c r="T56">
        <f t="shared" si="16"/>
        <v>44.732446998830376</v>
      </c>
      <c r="U56">
        <f t="shared" si="17"/>
        <v>0.4417875</v>
      </c>
      <c r="V56" t="s">
        <v>174</v>
      </c>
      <c r="W56" t="s">
        <v>2307</v>
      </c>
      <c r="X56" t="s">
        <v>176</v>
      </c>
      <c r="Y56" t="s">
        <v>176</v>
      </c>
      <c r="Z56" t="s">
        <v>176</v>
      </c>
      <c r="AA56" t="s">
        <v>2308</v>
      </c>
      <c r="AB56" t="s">
        <v>2309</v>
      </c>
      <c r="AC56" t="s">
        <v>2310</v>
      </c>
      <c r="AD56" t="s">
        <v>180</v>
      </c>
      <c r="AE56" t="s">
        <v>181</v>
      </c>
      <c r="AF56">
        <f t="shared" si="18"/>
        <v>140.28054474000001</v>
      </c>
      <c r="AG56" t="s">
        <v>182</v>
      </c>
      <c r="AH56" t="s">
        <v>2311</v>
      </c>
      <c r="AI56" t="s">
        <v>2312</v>
      </c>
      <c r="AJ56" t="s">
        <v>2313</v>
      </c>
      <c r="AK56" t="s">
        <v>1553</v>
      </c>
      <c r="AL56">
        <f t="shared" si="19"/>
        <v>31.01</v>
      </c>
      <c r="AM56" t="s">
        <v>2133</v>
      </c>
      <c r="AN56" t="s">
        <v>823</v>
      </c>
      <c r="AO56" t="s">
        <v>2314</v>
      </c>
      <c r="AP56" t="s">
        <v>699</v>
      </c>
      <c r="AQ56" t="s">
        <v>2315</v>
      </c>
      <c r="AR56" t="s">
        <v>2316</v>
      </c>
      <c r="AS56" t="s">
        <v>662</v>
      </c>
      <c r="AT56" t="s">
        <v>251</v>
      </c>
      <c r="AU56" t="s">
        <v>1196</v>
      </c>
      <c r="AV56" t="s">
        <v>2317</v>
      </c>
      <c r="AW56" t="s">
        <v>2318</v>
      </c>
      <c r="AX56" t="s">
        <v>2319</v>
      </c>
      <c r="AY56" t="s">
        <v>2320</v>
      </c>
      <c r="AZ56" t="s">
        <v>1283</v>
      </c>
      <c r="BA56" t="s">
        <v>2285</v>
      </c>
      <c r="BB56" t="s">
        <v>2286</v>
      </c>
      <c r="BC56" t="s">
        <v>2321</v>
      </c>
      <c r="BD56" t="s">
        <v>17</v>
      </c>
      <c r="BE56" t="s">
        <v>2288</v>
      </c>
      <c r="BF56" t="s">
        <v>669</v>
      </c>
      <c r="BG56" t="s">
        <v>1087</v>
      </c>
      <c r="BH56" t="s">
        <v>849</v>
      </c>
      <c r="BI56" t="s">
        <v>2322</v>
      </c>
      <c r="BJ56" t="s">
        <v>2106</v>
      </c>
      <c r="BK56" t="s">
        <v>17</v>
      </c>
      <c r="BL56" t="s">
        <v>2107</v>
      </c>
      <c r="BM56" t="s">
        <v>165</v>
      </c>
      <c r="BN56" t="s">
        <v>283</v>
      </c>
      <c r="BO56" t="s">
        <v>284</v>
      </c>
      <c r="BP56" t="s">
        <v>213</v>
      </c>
      <c r="BQ56" t="s">
        <v>2323</v>
      </c>
      <c r="BR56" t="s">
        <v>1250</v>
      </c>
      <c r="BS56" t="s">
        <v>2324</v>
      </c>
      <c r="BT56" t="s">
        <v>165</v>
      </c>
      <c r="BU56" t="s">
        <v>217</v>
      </c>
      <c r="BV56" t="s">
        <v>212</v>
      </c>
      <c r="BW56" t="s">
        <v>218</v>
      </c>
      <c r="BX56" t="s">
        <v>219</v>
      </c>
      <c r="BY56" t="s">
        <v>176</v>
      </c>
      <c r="BZ56" t="s">
        <v>220</v>
      </c>
      <c r="CA56" t="s">
        <v>176</v>
      </c>
      <c r="CB56" t="s">
        <v>176</v>
      </c>
      <c r="CC56" t="s">
        <v>221</v>
      </c>
      <c r="CD56" t="s">
        <v>222</v>
      </c>
      <c r="CE56" t="s">
        <v>223</v>
      </c>
      <c r="CF56" t="s">
        <v>224</v>
      </c>
      <c r="CG56" t="s">
        <v>225</v>
      </c>
      <c r="CH56" t="s">
        <v>226</v>
      </c>
      <c r="CI56" t="s">
        <v>182</v>
      </c>
      <c r="CJ56" t="s">
        <v>218</v>
      </c>
      <c r="CK56" t="s">
        <v>227</v>
      </c>
      <c r="CL56" t="s">
        <v>227</v>
      </c>
      <c r="CM56" t="s">
        <v>227</v>
      </c>
      <c r="CN56" t="s">
        <v>176</v>
      </c>
      <c r="CO56" t="s">
        <v>228</v>
      </c>
      <c r="CP56" t="s">
        <v>176</v>
      </c>
      <c r="CQ56" t="s">
        <v>176</v>
      </c>
      <c r="CR56" t="s">
        <v>176</v>
      </c>
      <c r="CS56" t="s">
        <v>176</v>
      </c>
      <c r="CT56" t="s">
        <v>2325</v>
      </c>
      <c r="CU56" t="s">
        <v>2326</v>
      </c>
      <c r="CV56" t="s">
        <v>2327</v>
      </c>
      <c r="CW56" t="s">
        <v>2328</v>
      </c>
      <c r="CX56" t="s">
        <v>2329</v>
      </c>
      <c r="CY56" t="s">
        <v>2330</v>
      </c>
      <c r="CZ56" t="s">
        <v>2331</v>
      </c>
      <c r="DA56" t="s">
        <v>2332</v>
      </c>
      <c r="DB56" t="s">
        <v>2308</v>
      </c>
      <c r="DC56" t="s">
        <v>1924</v>
      </c>
      <c r="DD56" t="s">
        <v>238</v>
      </c>
      <c r="DE56" t="s">
        <v>239</v>
      </c>
      <c r="DF56" t="s">
        <v>182</v>
      </c>
      <c r="DG56" t="s">
        <v>240</v>
      </c>
      <c r="DH56" t="s">
        <v>241</v>
      </c>
      <c r="DI56" t="s">
        <v>182</v>
      </c>
      <c r="DJ56" t="s">
        <v>242</v>
      </c>
      <c r="DK56" t="s">
        <v>243</v>
      </c>
      <c r="DL56" t="s">
        <v>244</v>
      </c>
      <c r="DM56" t="s">
        <v>176</v>
      </c>
      <c r="DN56" t="s">
        <v>2307</v>
      </c>
      <c r="DO56" t="s">
        <v>245</v>
      </c>
      <c r="DP56" t="s">
        <v>246</v>
      </c>
      <c r="DQ56" t="s">
        <v>247</v>
      </c>
      <c r="DR56" t="s">
        <v>248</v>
      </c>
      <c r="DS56" t="s">
        <v>249</v>
      </c>
      <c r="DT56" t="s">
        <v>250</v>
      </c>
    </row>
    <row r="57" spans="1:124" ht="17.55" customHeight="1" x14ac:dyDescent="0.45">
      <c r="A57" t="s">
        <v>2333</v>
      </c>
      <c r="B57" t="s">
        <v>2334</v>
      </c>
      <c r="C57" t="s">
        <v>17</v>
      </c>
      <c r="D57" t="s">
        <v>167</v>
      </c>
      <c r="E57" t="s">
        <v>168</v>
      </c>
      <c r="I57" t="s">
        <v>2335</v>
      </c>
      <c r="J57">
        <f t="shared" si="10"/>
        <v>0.82178233419619118</v>
      </c>
      <c r="K57">
        <f t="shared" si="11"/>
        <v>2.6969119199999998</v>
      </c>
      <c r="L57">
        <f t="shared" si="12"/>
        <v>0.62985710398001493</v>
      </c>
      <c r="M57">
        <f t="shared" si="13"/>
        <v>11.273056184498659</v>
      </c>
      <c r="N57" t="s">
        <v>2336</v>
      </c>
      <c r="O57" t="s">
        <v>2337</v>
      </c>
      <c r="P57">
        <f t="shared" si="14"/>
        <v>4.4934036319428561</v>
      </c>
      <c r="Q57">
        <f t="shared" si="15"/>
        <v>1.7415366319428562</v>
      </c>
      <c r="R57" t="s">
        <v>2338</v>
      </c>
      <c r="S57" t="s">
        <v>2339</v>
      </c>
      <c r="T57">
        <f t="shared" si="16"/>
        <v>44.524411731498773</v>
      </c>
      <c r="U57">
        <f t="shared" si="17"/>
        <v>0.4417875</v>
      </c>
      <c r="V57" t="s">
        <v>174</v>
      </c>
      <c r="W57" t="s">
        <v>2340</v>
      </c>
      <c r="X57" t="s">
        <v>176</v>
      </c>
      <c r="Y57" t="s">
        <v>176</v>
      </c>
      <c r="Z57" t="s">
        <v>176</v>
      </c>
      <c r="AA57" t="s">
        <v>2341</v>
      </c>
      <c r="AB57" t="s">
        <v>2342</v>
      </c>
      <c r="AC57" t="s">
        <v>2343</v>
      </c>
      <c r="AD57" t="s">
        <v>180</v>
      </c>
      <c r="AE57" t="s">
        <v>181</v>
      </c>
      <c r="AF57">
        <f t="shared" si="18"/>
        <v>312.29323271999999</v>
      </c>
      <c r="AG57" t="s">
        <v>182</v>
      </c>
      <c r="AH57" t="s">
        <v>2344</v>
      </c>
      <c r="AI57" t="s">
        <v>2345</v>
      </c>
      <c r="AJ57" t="s">
        <v>1432</v>
      </c>
      <c r="AK57" t="s">
        <v>2346</v>
      </c>
      <c r="AL57">
        <f t="shared" si="19"/>
        <v>30.93</v>
      </c>
      <c r="AM57" t="s">
        <v>1318</v>
      </c>
      <c r="AN57" t="s">
        <v>2347</v>
      </c>
      <c r="AO57" t="s">
        <v>988</v>
      </c>
      <c r="AP57" t="s">
        <v>739</v>
      </c>
      <c r="AQ57" t="s">
        <v>2348</v>
      </c>
      <c r="AR57" t="s">
        <v>2349</v>
      </c>
      <c r="AS57" t="s">
        <v>742</v>
      </c>
      <c r="AT57" t="s">
        <v>223</v>
      </c>
      <c r="AU57" t="s">
        <v>867</v>
      </c>
      <c r="AV57" t="s">
        <v>2350</v>
      </c>
      <c r="AW57" t="s">
        <v>2351</v>
      </c>
      <c r="AX57" t="s">
        <v>2352</v>
      </c>
      <c r="AY57" t="s">
        <v>2353</v>
      </c>
      <c r="AZ57" t="s">
        <v>1283</v>
      </c>
      <c r="BA57" t="s">
        <v>2354</v>
      </c>
      <c r="BB57" t="s">
        <v>2355</v>
      </c>
      <c r="BC57" t="s">
        <v>2356</v>
      </c>
      <c r="BD57" t="s">
        <v>17</v>
      </c>
      <c r="BE57" t="s">
        <v>2357</v>
      </c>
      <c r="BF57" t="s">
        <v>1949</v>
      </c>
      <c r="BG57" t="s">
        <v>2358</v>
      </c>
      <c r="BH57" t="s">
        <v>890</v>
      </c>
      <c r="BI57" t="s">
        <v>1912</v>
      </c>
      <c r="BJ57" t="s">
        <v>2106</v>
      </c>
      <c r="BK57" t="s">
        <v>17</v>
      </c>
      <c r="BL57" t="s">
        <v>2107</v>
      </c>
      <c r="BM57" t="s">
        <v>165</v>
      </c>
      <c r="BN57" t="s">
        <v>211</v>
      </c>
      <c r="BO57" t="s">
        <v>330</v>
      </c>
      <c r="BP57" t="s">
        <v>458</v>
      </c>
      <c r="BQ57" t="s">
        <v>2359</v>
      </c>
      <c r="BR57" t="s">
        <v>2360</v>
      </c>
      <c r="BS57" t="s">
        <v>2361</v>
      </c>
      <c r="BT57" t="s">
        <v>165</v>
      </c>
      <c r="BU57" t="s">
        <v>217</v>
      </c>
      <c r="BV57" t="s">
        <v>212</v>
      </c>
      <c r="BW57" t="s">
        <v>218</v>
      </c>
      <c r="BX57" t="s">
        <v>219</v>
      </c>
      <c r="BY57" t="s">
        <v>176</v>
      </c>
      <c r="BZ57" t="s">
        <v>220</v>
      </c>
      <c r="CA57" t="s">
        <v>176</v>
      </c>
      <c r="CB57" t="s">
        <v>176</v>
      </c>
      <c r="CC57" t="s">
        <v>221</v>
      </c>
      <c r="CD57" t="s">
        <v>222</v>
      </c>
      <c r="CE57" t="s">
        <v>223</v>
      </c>
      <c r="CF57" t="s">
        <v>224</v>
      </c>
      <c r="CG57" t="s">
        <v>225</v>
      </c>
      <c r="CH57" t="s">
        <v>226</v>
      </c>
      <c r="CI57" t="s">
        <v>182</v>
      </c>
      <c r="CJ57" t="s">
        <v>218</v>
      </c>
      <c r="CK57" t="s">
        <v>227</v>
      </c>
      <c r="CL57" t="s">
        <v>227</v>
      </c>
      <c r="CM57" t="s">
        <v>227</v>
      </c>
      <c r="CN57" t="s">
        <v>176</v>
      </c>
      <c r="CO57" t="s">
        <v>228</v>
      </c>
      <c r="CP57" t="s">
        <v>176</v>
      </c>
      <c r="CQ57" t="s">
        <v>176</v>
      </c>
      <c r="CR57" t="s">
        <v>176</v>
      </c>
      <c r="CS57" t="s">
        <v>176</v>
      </c>
      <c r="CT57" t="s">
        <v>2362</v>
      </c>
      <c r="CU57" t="s">
        <v>2363</v>
      </c>
      <c r="CV57" t="s">
        <v>2364</v>
      </c>
      <c r="CW57" t="s">
        <v>2365</v>
      </c>
      <c r="CX57" t="s">
        <v>2366</v>
      </c>
      <c r="CY57" t="s">
        <v>2367</v>
      </c>
      <c r="CZ57" t="s">
        <v>2368</v>
      </c>
      <c r="DA57" t="s">
        <v>2369</v>
      </c>
      <c r="DB57" t="s">
        <v>2341</v>
      </c>
      <c r="DC57" t="s">
        <v>297</v>
      </c>
      <c r="DD57" t="s">
        <v>238</v>
      </c>
      <c r="DE57" t="s">
        <v>239</v>
      </c>
      <c r="DF57" t="s">
        <v>182</v>
      </c>
      <c r="DG57" t="s">
        <v>240</v>
      </c>
      <c r="DH57" t="s">
        <v>241</v>
      </c>
      <c r="DI57" t="s">
        <v>182</v>
      </c>
      <c r="DJ57" t="s">
        <v>242</v>
      </c>
      <c r="DK57" t="s">
        <v>243</v>
      </c>
      <c r="DL57" t="s">
        <v>244</v>
      </c>
      <c r="DM57" t="s">
        <v>176</v>
      </c>
      <c r="DN57" t="s">
        <v>2340</v>
      </c>
      <c r="DO57" t="s">
        <v>245</v>
      </c>
      <c r="DP57" t="s">
        <v>246</v>
      </c>
      <c r="DQ57" t="s">
        <v>247</v>
      </c>
      <c r="DR57" t="s">
        <v>248</v>
      </c>
      <c r="DS57" t="s">
        <v>249</v>
      </c>
      <c r="DT57" t="s">
        <v>250</v>
      </c>
    </row>
    <row r="58" spans="1:124" ht="17.55" customHeight="1" x14ac:dyDescent="0.45">
      <c r="A58" t="s">
        <v>2370</v>
      </c>
      <c r="B58" t="s">
        <v>2371</v>
      </c>
      <c r="C58" t="s">
        <v>17</v>
      </c>
      <c r="D58" t="s">
        <v>167</v>
      </c>
      <c r="E58" t="s">
        <v>168</v>
      </c>
      <c r="I58" t="s">
        <v>2372</v>
      </c>
      <c r="J58">
        <f t="shared" si="10"/>
        <v>0.46783152973560999</v>
      </c>
      <c r="K58">
        <f t="shared" si="11"/>
        <v>2.7175519999999995</v>
      </c>
      <c r="L58">
        <f t="shared" si="12"/>
        <v>0.39912195734922701</v>
      </c>
      <c r="M58">
        <f t="shared" si="13"/>
        <v>8.6135744788386575</v>
      </c>
      <c r="N58" t="s">
        <v>2373</v>
      </c>
      <c r="O58" t="s">
        <v>2374</v>
      </c>
      <c r="P58">
        <f t="shared" si="14"/>
        <v>4.6048122931013289</v>
      </c>
      <c r="Q58">
        <f t="shared" si="15"/>
        <v>2.1013632931013291</v>
      </c>
      <c r="R58" t="s">
        <v>2375</v>
      </c>
      <c r="S58" t="s">
        <v>2376</v>
      </c>
      <c r="T58">
        <f t="shared" si="16"/>
        <v>45.628342182930325</v>
      </c>
      <c r="U58">
        <f t="shared" si="17"/>
        <v>0.4417875</v>
      </c>
      <c r="V58" t="s">
        <v>174</v>
      </c>
      <c r="W58" t="s">
        <v>2377</v>
      </c>
      <c r="X58" t="s">
        <v>176</v>
      </c>
      <c r="Y58" t="s">
        <v>176</v>
      </c>
      <c r="Z58" t="s">
        <v>176</v>
      </c>
      <c r="AA58" t="s">
        <v>2378</v>
      </c>
      <c r="AB58" t="s">
        <v>2379</v>
      </c>
      <c r="AC58" t="s">
        <v>2380</v>
      </c>
      <c r="AD58" t="s">
        <v>180</v>
      </c>
      <c r="AE58" t="s">
        <v>181</v>
      </c>
      <c r="AF58">
        <f t="shared" si="18"/>
        <v>19.353675599999999</v>
      </c>
      <c r="AG58" t="s">
        <v>182</v>
      </c>
      <c r="AH58" t="s">
        <v>2381</v>
      </c>
      <c r="AI58" t="s">
        <v>2382</v>
      </c>
      <c r="AJ58" t="s">
        <v>2383</v>
      </c>
      <c r="AK58" t="s">
        <v>2384</v>
      </c>
      <c r="AL58">
        <f t="shared" si="19"/>
        <v>31.36</v>
      </c>
      <c r="AM58" t="s">
        <v>1318</v>
      </c>
      <c r="AN58" t="s">
        <v>2385</v>
      </c>
      <c r="AO58" t="s">
        <v>2239</v>
      </c>
      <c r="AP58" t="s">
        <v>2386</v>
      </c>
      <c r="AQ58" t="s">
        <v>2387</v>
      </c>
      <c r="AR58" t="s">
        <v>2349</v>
      </c>
      <c r="AS58" t="s">
        <v>1638</v>
      </c>
      <c r="AT58" t="s">
        <v>344</v>
      </c>
      <c r="AU58" t="s">
        <v>271</v>
      </c>
      <c r="AV58" t="s">
        <v>2388</v>
      </c>
      <c r="AW58" t="s">
        <v>2389</v>
      </c>
      <c r="AX58" t="s">
        <v>2390</v>
      </c>
      <c r="AY58" t="s">
        <v>2391</v>
      </c>
      <c r="AZ58" t="s">
        <v>1283</v>
      </c>
      <c r="BA58" t="s">
        <v>2392</v>
      </c>
      <c r="BB58" t="s">
        <v>2393</v>
      </c>
      <c r="BC58" t="s">
        <v>2394</v>
      </c>
      <c r="BD58" t="s">
        <v>17</v>
      </c>
      <c r="BE58" t="s">
        <v>374</v>
      </c>
      <c r="BF58" t="s">
        <v>1046</v>
      </c>
      <c r="BG58" t="s">
        <v>1246</v>
      </c>
      <c r="BH58" t="s">
        <v>849</v>
      </c>
      <c r="BI58" t="s">
        <v>2322</v>
      </c>
      <c r="BJ58" t="s">
        <v>2106</v>
      </c>
      <c r="BK58" t="s">
        <v>17</v>
      </c>
      <c r="BL58" t="s">
        <v>2107</v>
      </c>
      <c r="BM58" t="s">
        <v>165</v>
      </c>
      <c r="BN58" t="s">
        <v>213</v>
      </c>
      <c r="BO58" t="s">
        <v>212</v>
      </c>
      <c r="BP58" t="s">
        <v>212</v>
      </c>
      <c r="BQ58" t="s">
        <v>2395</v>
      </c>
      <c r="BR58" t="s">
        <v>2396</v>
      </c>
      <c r="BS58" t="s">
        <v>2397</v>
      </c>
      <c r="BT58" t="s">
        <v>165</v>
      </c>
      <c r="BU58" t="s">
        <v>217</v>
      </c>
      <c r="BV58" t="s">
        <v>212</v>
      </c>
      <c r="BW58" t="s">
        <v>218</v>
      </c>
      <c r="BX58" t="s">
        <v>219</v>
      </c>
      <c r="BY58" t="s">
        <v>176</v>
      </c>
      <c r="BZ58" t="s">
        <v>220</v>
      </c>
      <c r="CA58" t="s">
        <v>176</v>
      </c>
      <c r="CB58" t="s">
        <v>176</v>
      </c>
      <c r="CC58" t="s">
        <v>221</v>
      </c>
      <c r="CD58" t="s">
        <v>222</v>
      </c>
      <c r="CE58" t="s">
        <v>223</v>
      </c>
      <c r="CF58" t="s">
        <v>224</v>
      </c>
      <c r="CG58" t="s">
        <v>225</v>
      </c>
      <c r="CH58" t="s">
        <v>226</v>
      </c>
      <c r="CI58" t="s">
        <v>182</v>
      </c>
      <c r="CJ58" t="s">
        <v>218</v>
      </c>
      <c r="CK58" t="s">
        <v>227</v>
      </c>
      <c r="CL58" t="s">
        <v>227</v>
      </c>
      <c r="CM58" t="s">
        <v>227</v>
      </c>
      <c r="CN58" t="s">
        <v>176</v>
      </c>
      <c r="CO58" t="s">
        <v>228</v>
      </c>
      <c r="CP58" t="s">
        <v>176</v>
      </c>
      <c r="CQ58" t="s">
        <v>176</v>
      </c>
      <c r="CR58" t="s">
        <v>176</v>
      </c>
      <c r="CS58" t="s">
        <v>176</v>
      </c>
      <c r="CT58" t="s">
        <v>2398</v>
      </c>
      <c r="CU58" t="s">
        <v>2399</v>
      </c>
      <c r="CV58" t="s">
        <v>2400</v>
      </c>
      <c r="CW58" t="s">
        <v>2401</v>
      </c>
      <c r="CX58" t="s">
        <v>2402</v>
      </c>
      <c r="CY58" t="s">
        <v>2403</v>
      </c>
      <c r="CZ58" t="s">
        <v>2404</v>
      </c>
      <c r="DA58" t="s">
        <v>2405</v>
      </c>
      <c r="DB58" t="s">
        <v>2378</v>
      </c>
      <c r="DC58" t="s">
        <v>1259</v>
      </c>
      <c r="DD58" t="s">
        <v>238</v>
      </c>
      <c r="DE58" t="s">
        <v>239</v>
      </c>
      <c r="DF58" t="s">
        <v>182</v>
      </c>
      <c r="DG58" t="s">
        <v>240</v>
      </c>
      <c r="DH58" t="s">
        <v>241</v>
      </c>
      <c r="DI58" t="s">
        <v>182</v>
      </c>
      <c r="DJ58" t="s">
        <v>242</v>
      </c>
      <c r="DK58" t="s">
        <v>243</v>
      </c>
      <c r="DL58" t="s">
        <v>244</v>
      </c>
      <c r="DM58" t="s">
        <v>176</v>
      </c>
      <c r="DN58" t="s">
        <v>2377</v>
      </c>
      <c r="DO58" t="s">
        <v>245</v>
      </c>
      <c r="DP58" t="s">
        <v>246</v>
      </c>
      <c r="DQ58" t="s">
        <v>247</v>
      </c>
      <c r="DR58" t="s">
        <v>248</v>
      </c>
      <c r="DS58" t="s">
        <v>249</v>
      </c>
      <c r="DT58" t="s">
        <v>250</v>
      </c>
    </row>
    <row r="59" spans="1:124" ht="17.55" customHeight="1" x14ac:dyDescent="0.45">
      <c r="A59" t="s">
        <v>2406</v>
      </c>
      <c r="B59" t="s">
        <v>2407</v>
      </c>
      <c r="C59" t="s">
        <v>17</v>
      </c>
      <c r="D59" t="s">
        <v>167</v>
      </c>
      <c r="E59" t="s">
        <v>168</v>
      </c>
      <c r="I59" t="s">
        <v>2408</v>
      </c>
      <c r="J59">
        <f t="shared" si="10"/>
        <v>0.43167839119616169</v>
      </c>
      <c r="K59">
        <f t="shared" si="11"/>
        <v>2.77353272</v>
      </c>
      <c r="L59">
        <f t="shared" si="12"/>
        <v>0.37353987021862661</v>
      </c>
      <c r="M59">
        <f t="shared" si="13"/>
        <v>8.580952833741808</v>
      </c>
      <c r="N59" t="s">
        <v>2409</v>
      </c>
      <c r="O59" t="s">
        <v>2410</v>
      </c>
      <c r="P59">
        <f t="shared" si="14"/>
        <v>4.7293288978029242</v>
      </c>
      <c r="Q59">
        <f t="shared" si="15"/>
        <v>2.2351148978029243</v>
      </c>
      <c r="R59" t="s">
        <v>2411</v>
      </c>
      <c r="S59" t="s">
        <v>2412</v>
      </c>
      <c r="T59">
        <f t="shared" si="16"/>
        <v>46.866801088127282</v>
      </c>
      <c r="U59">
        <f t="shared" si="17"/>
        <v>0.4417875</v>
      </c>
      <c r="V59" t="s">
        <v>174</v>
      </c>
      <c r="W59" t="s">
        <v>2413</v>
      </c>
      <c r="X59" t="s">
        <v>176</v>
      </c>
      <c r="Y59" t="s">
        <v>176</v>
      </c>
      <c r="Z59" t="s">
        <v>176</v>
      </c>
      <c r="AA59" t="s">
        <v>2414</v>
      </c>
      <c r="AB59" t="s">
        <v>2415</v>
      </c>
      <c r="AC59" t="s">
        <v>2416</v>
      </c>
      <c r="AD59" t="s">
        <v>180</v>
      </c>
      <c r="AE59" t="s">
        <v>181</v>
      </c>
      <c r="AF59">
        <f t="shared" si="18"/>
        <v>7.9825636799999993</v>
      </c>
      <c r="AG59" t="s">
        <v>182</v>
      </c>
      <c r="AH59" t="s">
        <v>2417</v>
      </c>
      <c r="AI59" t="s">
        <v>2418</v>
      </c>
      <c r="AJ59" t="s">
        <v>2419</v>
      </c>
      <c r="AK59" t="s">
        <v>2420</v>
      </c>
      <c r="AL59">
        <f t="shared" si="19"/>
        <v>31.83</v>
      </c>
      <c r="AM59" t="s">
        <v>2133</v>
      </c>
      <c r="AN59" t="s">
        <v>2421</v>
      </c>
      <c r="AO59" t="s">
        <v>2422</v>
      </c>
      <c r="AP59" t="s">
        <v>907</v>
      </c>
      <c r="AQ59" t="s">
        <v>992</v>
      </c>
      <c r="AR59" t="s">
        <v>2423</v>
      </c>
      <c r="AS59" t="s">
        <v>742</v>
      </c>
      <c r="AT59" t="s">
        <v>223</v>
      </c>
      <c r="AU59" t="s">
        <v>217</v>
      </c>
      <c r="AV59" t="s">
        <v>2424</v>
      </c>
      <c r="AW59" t="s">
        <v>2425</v>
      </c>
      <c r="AX59" t="s">
        <v>2352</v>
      </c>
      <c r="AY59" t="s">
        <v>2426</v>
      </c>
      <c r="AZ59" t="s">
        <v>1283</v>
      </c>
      <c r="BA59" t="s">
        <v>2427</v>
      </c>
      <c r="BB59" t="s">
        <v>2428</v>
      </c>
      <c r="BC59" t="s">
        <v>2429</v>
      </c>
      <c r="BD59" t="s">
        <v>17</v>
      </c>
      <c r="BE59" t="s">
        <v>2357</v>
      </c>
      <c r="BF59" t="s">
        <v>2213</v>
      </c>
      <c r="BG59" t="s">
        <v>1166</v>
      </c>
      <c r="BH59" t="s">
        <v>932</v>
      </c>
      <c r="BI59" t="s">
        <v>2105</v>
      </c>
      <c r="BJ59" t="s">
        <v>2106</v>
      </c>
      <c r="BK59" t="s">
        <v>17</v>
      </c>
      <c r="BL59" t="s">
        <v>2107</v>
      </c>
      <c r="BM59" t="s">
        <v>165</v>
      </c>
      <c r="BN59" t="s">
        <v>213</v>
      </c>
      <c r="BO59" t="s">
        <v>212</v>
      </c>
      <c r="BP59" t="s">
        <v>213</v>
      </c>
      <c r="BQ59" t="s">
        <v>797</v>
      </c>
      <c r="BR59" t="s">
        <v>2430</v>
      </c>
      <c r="BS59" t="s">
        <v>2431</v>
      </c>
      <c r="BT59" t="s">
        <v>165</v>
      </c>
      <c r="BU59" t="s">
        <v>217</v>
      </c>
      <c r="BV59" t="s">
        <v>212</v>
      </c>
      <c r="BW59" t="s">
        <v>218</v>
      </c>
      <c r="BX59" t="s">
        <v>219</v>
      </c>
      <c r="BY59" t="s">
        <v>176</v>
      </c>
      <c r="BZ59" t="s">
        <v>220</v>
      </c>
      <c r="CA59" t="s">
        <v>176</v>
      </c>
      <c r="CB59" t="s">
        <v>176</v>
      </c>
      <c r="CC59" t="s">
        <v>221</v>
      </c>
      <c r="CD59" t="s">
        <v>222</v>
      </c>
      <c r="CE59" t="s">
        <v>223</v>
      </c>
      <c r="CF59" t="s">
        <v>224</v>
      </c>
      <c r="CG59" t="s">
        <v>225</v>
      </c>
      <c r="CH59" t="s">
        <v>226</v>
      </c>
      <c r="CI59" t="s">
        <v>182</v>
      </c>
      <c r="CJ59" t="s">
        <v>218</v>
      </c>
      <c r="CK59" t="s">
        <v>227</v>
      </c>
      <c r="CL59" t="s">
        <v>227</v>
      </c>
      <c r="CM59" t="s">
        <v>227</v>
      </c>
      <c r="CN59" t="s">
        <v>176</v>
      </c>
      <c r="CO59" t="s">
        <v>228</v>
      </c>
      <c r="CP59" t="s">
        <v>176</v>
      </c>
      <c r="CQ59" t="s">
        <v>176</v>
      </c>
      <c r="CR59" t="s">
        <v>176</v>
      </c>
      <c r="CS59" t="s">
        <v>176</v>
      </c>
      <c r="CT59" t="s">
        <v>2432</v>
      </c>
      <c r="CU59" t="s">
        <v>2218</v>
      </c>
      <c r="CV59" t="s">
        <v>2433</v>
      </c>
      <c r="CW59" t="s">
        <v>2434</v>
      </c>
      <c r="CX59" t="s">
        <v>2435</v>
      </c>
      <c r="CY59" t="s">
        <v>2436</v>
      </c>
      <c r="CZ59" t="s">
        <v>2437</v>
      </c>
      <c r="DA59" t="s">
        <v>2438</v>
      </c>
      <c r="DB59" t="s">
        <v>2414</v>
      </c>
      <c r="DC59" t="s">
        <v>297</v>
      </c>
      <c r="DD59" t="s">
        <v>238</v>
      </c>
      <c r="DE59" t="s">
        <v>239</v>
      </c>
      <c r="DF59" t="s">
        <v>182</v>
      </c>
      <c r="DG59" t="s">
        <v>240</v>
      </c>
      <c r="DH59" t="s">
        <v>241</v>
      </c>
      <c r="DI59" t="s">
        <v>182</v>
      </c>
      <c r="DJ59" t="s">
        <v>242</v>
      </c>
      <c r="DK59" t="s">
        <v>243</v>
      </c>
      <c r="DL59" t="s">
        <v>244</v>
      </c>
      <c r="DM59" t="s">
        <v>176</v>
      </c>
      <c r="DN59" t="s">
        <v>2413</v>
      </c>
      <c r="DO59" t="s">
        <v>245</v>
      </c>
      <c r="DP59" t="s">
        <v>246</v>
      </c>
      <c r="DQ59" t="s">
        <v>247</v>
      </c>
      <c r="DR59" t="s">
        <v>248</v>
      </c>
      <c r="DS59" t="s">
        <v>249</v>
      </c>
      <c r="DT59" t="s">
        <v>250</v>
      </c>
    </row>
    <row r="60" spans="1:124" ht="17.55" customHeight="1" x14ac:dyDescent="0.45">
      <c r="A60" t="s">
        <v>2439</v>
      </c>
      <c r="B60" t="s">
        <v>2440</v>
      </c>
      <c r="C60" t="s">
        <v>17</v>
      </c>
      <c r="D60" t="s">
        <v>167</v>
      </c>
      <c r="E60" t="s">
        <v>168</v>
      </c>
      <c r="I60" t="s">
        <v>2441</v>
      </c>
      <c r="J60">
        <f t="shared" si="10"/>
        <v>0.56645204608178767</v>
      </c>
      <c r="K60">
        <f t="shared" si="11"/>
        <v>2.7397935200000001</v>
      </c>
      <c r="L60">
        <f t="shared" si="12"/>
        <v>0.46940301747908098</v>
      </c>
      <c r="M60">
        <f t="shared" si="13"/>
        <v>9.5522551457396894</v>
      </c>
      <c r="N60" t="s">
        <v>2442</v>
      </c>
      <c r="O60" t="s">
        <v>2443</v>
      </c>
      <c r="P60">
        <f t="shared" si="14"/>
        <v>4.4729375579807016</v>
      </c>
      <c r="Q60">
        <f t="shared" si="15"/>
        <v>1.9826535579807016</v>
      </c>
      <c r="R60" t="s">
        <v>2444</v>
      </c>
      <c r="S60" t="s">
        <v>2445</v>
      </c>
      <c r="T60">
        <f t="shared" si="16"/>
        <v>44.326008898827688</v>
      </c>
      <c r="U60">
        <f t="shared" si="17"/>
        <v>0.4417875</v>
      </c>
      <c r="V60" t="s">
        <v>174</v>
      </c>
      <c r="W60" t="s">
        <v>2446</v>
      </c>
      <c r="X60" t="s">
        <v>176</v>
      </c>
      <c r="Y60" t="s">
        <v>176</v>
      </c>
      <c r="Z60" t="s">
        <v>176</v>
      </c>
      <c r="AA60" t="s">
        <v>2447</v>
      </c>
      <c r="AB60" t="s">
        <v>2448</v>
      </c>
      <c r="AC60" t="s">
        <v>2449</v>
      </c>
      <c r="AD60" t="s">
        <v>180</v>
      </c>
      <c r="AE60" t="s">
        <v>181</v>
      </c>
      <c r="AF60">
        <f t="shared" si="18"/>
        <v>14.881537440000001</v>
      </c>
      <c r="AG60" t="s">
        <v>182</v>
      </c>
      <c r="AH60" t="s">
        <v>2450</v>
      </c>
      <c r="AI60" t="s">
        <v>2451</v>
      </c>
      <c r="AJ60" t="s">
        <v>2452</v>
      </c>
      <c r="AK60" t="s">
        <v>2453</v>
      </c>
      <c r="AL60">
        <f t="shared" si="19"/>
        <v>30.85</v>
      </c>
      <c r="AM60" t="s">
        <v>2133</v>
      </c>
      <c r="AN60" t="s">
        <v>2422</v>
      </c>
      <c r="AO60" t="s">
        <v>2454</v>
      </c>
      <c r="AP60" t="s">
        <v>1234</v>
      </c>
      <c r="AQ60" t="s">
        <v>1961</v>
      </c>
      <c r="AR60" t="s">
        <v>2455</v>
      </c>
      <c r="AS60" t="s">
        <v>165</v>
      </c>
      <c r="AT60" t="s">
        <v>328</v>
      </c>
      <c r="AU60" t="s">
        <v>1478</v>
      </c>
      <c r="AV60" t="s">
        <v>2456</v>
      </c>
      <c r="AW60" t="s">
        <v>2457</v>
      </c>
      <c r="AX60" t="s">
        <v>2458</v>
      </c>
      <c r="AY60" t="s">
        <v>2459</v>
      </c>
      <c r="AZ60" t="s">
        <v>1283</v>
      </c>
      <c r="BA60" t="s">
        <v>2460</v>
      </c>
      <c r="BB60" t="s">
        <v>2461</v>
      </c>
      <c r="BC60" t="s">
        <v>2462</v>
      </c>
      <c r="BD60" t="s">
        <v>17</v>
      </c>
      <c r="BE60" t="s">
        <v>1682</v>
      </c>
      <c r="BF60" t="s">
        <v>795</v>
      </c>
      <c r="BG60" t="s">
        <v>2251</v>
      </c>
      <c r="BH60" t="s">
        <v>890</v>
      </c>
      <c r="BI60" t="s">
        <v>1912</v>
      </c>
      <c r="BJ60" t="s">
        <v>2106</v>
      </c>
      <c r="BK60" t="s">
        <v>17</v>
      </c>
      <c r="BL60" t="s">
        <v>2107</v>
      </c>
      <c r="BM60" t="s">
        <v>165</v>
      </c>
      <c r="BN60" t="s">
        <v>331</v>
      </c>
      <c r="BO60" t="s">
        <v>211</v>
      </c>
      <c r="BP60" t="s">
        <v>284</v>
      </c>
      <c r="BQ60" t="s">
        <v>754</v>
      </c>
      <c r="BR60" t="s">
        <v>1170</v>
      </c>
      <c r="BS60" t="s">
        <v>2463</v>
      </c>
      <c r="BT60" t="s">
        <v>165</v>
      </c>
      <c r="BU60" t="s">
        <v>217</v>
      </c>
      <c r="BV60" t="s">
        <v>212</v>
      </c>
      <c r="BW60" t="s">
        <v>218</v>
      </c>
      <c r="BX60" t="s">
        <v>219</v>
      </c>
      <c r="BY60" t="s">
        <v>176</v>
      </c>
      <c r="BZ60" t="s">
        <v>220</v>
      </c>
      <c r="CA60" t="s">
        <v>176</v>
      </c>
      <c r="CB60" t="s">
        <v>176</v>
      </c>
      <c r="CC60" t="s">
        <v>221</v>
      </c>
      <c r="CD60" t="s">
        <v>222</v>
      </c>
      <c r="CE60" t="s">
        <v>223</v>
      </c>
      <c r="CF60" t="s">
        <v>224</v>
      </c>
      <c r="CG60" t="s">
        <v>225</v>
      </c>
      <c r="CH60" t="s">
        <v>226</v>
      </c>
      <c r="CI60" t="s">
        <v>182</v>
      </c>
      <c r="CJ60" t="s">
        <v>218</v>
      </c>
      <c r="CK60" t="s">
        <v>227</v>
      </c>
      <c r="CL60" t="s">
        <v>227</v>
      </c>
      <c r="CM60" t="s">
        <v>227</v>
      </c>
      <c r="CN60" t="s">
        <v>176</v>
      </c>
      <c r="CO60" t="s">
        <v>228</v>
      </c>
      <c r="CP60" t="s">
        <v>176</v>
      </c>
      <c r="CQ60" t="s">
        <v>176</v>
      </c>
      <c r="CR60" t="s">
        <v>176</v>
      </c>
      <c r="CS60" t="s">
        <v>176</v>
      </c>
      <c r="CT60" t="s">
        <v>2464</v>
      </c>
      <c r="CU60" t="s">
        <v>2465</v>
      </c>
      <c r="CV60" t="s">
        <v>2466</v>
      </c>
      <c r="CW60" t="s">
        <v>2467</v>
      </c>
      <c r="CX60" t="s">
        <v>2468</v>
      </c>
      <c r="CY60" t="s">
        <v>2469</v>
      </c>
      <c r="CZ60" t="s">
        <v>2470</v>
      </c>
      <c r="DA60" t="s">
        <v>2471</v>
      </c>
      <c r="DB60" t="s">
        <v>2447</v>
      </c>
      <c r="DC60" t="s">
        <v>1538</v>
      </c>
      <c r="DD60" t="s">
        <v>238</v>
      </c>
      <c r="DE60" t="s">
        <v>239</v>
      </c>
      <c r="DF60" t="s">
        <v>182</v>
      </c>
      <c r="DG60" t="s">
        <v>240</v>
      </c>
      <c r="DH60" t="s">
        <v>241</v>
      </c>
      <c r="DI60" t="s">
        <v>182</v>
      </c>
      <c r="DJ60" t="s">
        <v>242</v>
      </c>
      <c r="DK60" t="s">
        <v>243</v>
      </c>
      <c r="DL60" t="s">
        <v>244</v>
      </c>
      <c r="DM60" t="s">
        <v>176</v>
      </c>
      <c r="DN60" t="s">
        <v>2446</v>
      </c>
      <c r="DO60" t="s">
        <v>245</v>
      </c>
      <c r="DP60" t="s">
        <v>246</v>
      </c>
      <c r="DQ60" t="s">
        <v>247</v>
      </c>
      <c r="DR60" t="s">
        <v>248</v>
      </c>
      <c r="DS60" t="s">
        <v>249</v>
      </c>
      <c r="DT60" t="s">
        <v>250</v>
      </c>
    </row>
    <row r="61" spans="1:124" ht="17.55" customHeight="1" x14ac:dyDescent="0.45">
      <c r="A61" t="s">
        <v>2472</v>
      </c>
      <c r="B61" t="s">
        <v>2473</v>
      </c>
      <c r="C61" t="s">
        <v>17</v>
      </c>
      <c r="D61" t="s">
        <v>167</v>
      </c>
      <c r="E61" t="s">
        <v>168</v>
      </c>
      <c r="I61" t="s">
        <v>2474</v>
      </c>
      <c r="J61">
        <f t="shared" si="10"/>
        <v>0.47035428571453242</v>
      </c>
      <c r="K61">
        <f t="shared" si="11"/>
        <v>2.7553131200000003</v>
      </c>
      <c r="L61">
        <f t="shared" si="12"/>
        <v>0.40176905163302251</v>
      </c>
      <c r="M61">
        <f t="shared" si="13"/>
        <v>8.9053516138959417</v>
      </c>
      <c r="N61" t="s">
        <v>2475</v>
      </c>
      <c r="O61" t="s">
        <v>2476</v>
      </c>
      <c r="P61">
        <f t="shared" si="14"/>
        <v>4.7079298517885118</v>
      </c>
      <c r="Q61">
        <f t="shared" si="15"/>
        <v>2.1563318517885119</v>
      </c>
      <c r="R61" t="s">
        <v>2477</v>
      </c>
      <c r="S61" t="s">
        <v>2478</v>
      </c>
      <c r="T61">
        <f t="shared" si="16"/>
        <v>46.65474038042327</v>
      </c>
      <c r="U61">
        <f t="shared" si="17"/>
        <v>0.4417875</v>
      </c>
      <c r="V61" t="s">
        <v>174</v>
      </c>
      <c r="W61" t="s">
        <v>2479</v>
      </c>
      <c r="X61" t="s">
        <v>176</v>
      </c>
      <c r="Y61" t="s">
        <v>176</v>
      </c>
      <c r="Z61" t="s">
        <v>176</v>
      </c>
      <c r="AA61" t="s">
        <v>2480</v>
      </c>
      <c r="AB61" t="s">
        <v>2481</v>
      </c>
      <c r="AC61" t="s">
        <v>2482</v>
      </c>
      <c r="AD61" t="s">
        <v>180</v>
      </c>
      <c r="AE61" t="s">
        <v>181</v>
      </c>
      <c r="AF61">
        <f t="shared" si="18"/>
        <v>77.642628000000002</v>
      </c>
      <c r="AG61" t="s">
        <v>182</v>
      </c>
      <c r="AH61" t="s">
        <v>2483</v>
      </c>
      <c r="AI61" t="s">
        <v>2484</v>
      </c>
      <c r="AJ61" t="s">
        <v>2485</v>
      </c>
      <c r="AK61" t="s">
        <v>2486</v>
      </c>
      <c r="AL61">
        <f t="shared" si="19"/>
        <v>31.75</v>
      </c>
      <c r="AM61" t="s">
        <v>2133</v>
      </c>
      <c r="AN61" t="s">
        <v>1031</v>
      </c>
      <c r="AO61" t="s">
        <v>1433</v>
      </c>
      <c r="AP61" t="s">
        <v>2487</v>
      </c>
      <c r="AQ61" t="s">
        <v>2488</v>
      </c>
      <c r="AR61" t="s">
        <v>2455</v>
      </c>
      <c r="AS61" t="s">
        <v>194</v>
      </c>
      <c r="AT61" t="s">
        <v>534</v>
      </c>
      <c r="AU61" t="s">
        <v>787</v>
      </c>
      <c r="AV61" t="s">
        <v>2489</v>
      </c>
      <c r="AW61" t="s">
        <v>2490</v>
      </c>
      <c r="AX61" t="s">
        <v>2491</v>
      </c>
      <c r="AY61" t="s">
        <v>2492</v>
      </c>
      <c r="AZ61" t="s">
        <v>1283</v>
      </c>
      <c r="BA61" t="s">
        <v>2493</v>
      </c>
      <c r="BB61" t="s">
        <v>2494</v>
      </c>
      <c r="BC61" t="s">
        <v>2495</v>
      </c>
      <c r="BD61" t="s">
        <v>17</v>
      </c>
      <c r="BE61" t="s">
        <v>1165</v>
      </c>
      <c r="BF61" t="s">
        <v>1406</v>
      </c>
      <c r="BG61" t="s">
        <v>2496</v>
      </c>
      <c r="BH61" t="s">
        <v>808</v>
      </c>
      <c r="BI61" t="s">
        <v>1167</v>
      </c>
      <c r="BJ61" t="s">
        <v>2497</v>
      </c>
      <c r="BK61" t="s">
        <v>17</v>
      </c>
      <c r="BL61" t="s">
        <v>2498</v>
      </c>
      <c r="BM61" t="s">
        <v>165</v>
      </c>
      <c r="BN61" t="s">
        <v>754</v>
      </c>
      <c r="BO61" t="s">
        <v>211</v>
      </c>
      <c r="BP61" t="s">
        <v>754</v>
      </c>
      <c r="BQ61" t="s">
        <v>1448</v>
      </c>
      <c r="BR61" t="s">
        <v>2499</v>
      </c>
      <c r="BS61" t="s">
        <v>2500</v>
      </c>
      <c r="BT61" t="s">
        <v>165</v>
      </c>
      <c r="BU61" t="s">
        <v>217</v>
      </c>
      <c r="BV61" t="s">
        <v>212</v>
      </c>
      <c r="BW61" t="s">
        <v>218</v>
      </c>
      <c r="BX61" t="s">
        <v>219</v>
      </c>
      <c r="BY61" t="s">
        <v>176</v>
      </c>
      <c r="BZ61" t="s">
        <v>220</v>
      </c>
      <c r="CA61" t="s">
        <v>176</v>
      </c>
      <c r="CB61" t="s">
        <v>176</v>
      </c>
      <c r="CC61" t="s">
        <v>221</v>
      </c>
      <c r="CD61" t="s">
        <v>222</v>
      </c>
      <c r="CE61" t="s">
        <v>223</v>
      </c>
      <c r="CF61" t="s">
        <v>224</v>
      </c>
      <c r="CG61" t="s">
        <v>225</v>
      </c>
      <c r="CH61" t="s">
        <v>226</v>
      </c>
      <c r="CI61" t="s">
        <v>182</v>
      </c>
      <c r="CJ61" t="s">
        <v>218</v>
      </c>
      <c r="CK61" t="s">
        <v>227</v>
      </c>
      <c r="CL61" t="s">
        <v>227</v>
      </c>
      <c r="CM61" t="s">
        <v>227</v>
      </c>
      <c r="CN61" t="s">
        <v>176</v>
      </c>
      <c r="CO61" t="s">
        <v>228</v>
      </c>
      <c r="CP61" t="s">
        <v>176</v>
      </c>
      <c r="CQ61" t="s">
        <v>176</v>
      </c>
      <c r="CR61" t="s">
        <v>176</v>
      </c>
      <c r="CS61" t="s">
        <v>176</v>
      </c>
      <c r="CT61" t="s">
        <v>2501</v>
      </c>
      <c r="CU61" t="s">
        <v>2502</v>
      </c>
      <c r="CV61" t="s">
        <v>2503</v>
      </c>
      <c r="CW61" t="s">
        <v>2504</v>
      </c>
      <c r="CX61" t="s">
        <v>2505</v>
      </c>
      <c r="CY61" t="s">
        <v>2506</v>
      </c>
      <c r="CZ61" t="s">
        <v>2507</v>
      </c>
      <c r="DA61" t="s">
        <v>2508</v>
      </c>
      <c r="DB61" t="s">
        <v>2480</v>
      </c>
      <c r="DC61" t="s">
        <v>513</v>
      </c>
      <c r="DD61" t="s">
        <v>238</v>
      </c>
      <c r="DE61" t="s">
        <v>239</v>
      </c>
      <c r="DF61" t="s">
        <v>182</v>
      </c>
      <c r="DG61" t="s">
        <v>240</v>
      </c>
      <c r="DH61" t="s">
        <v>241</v>
      </c>
      <c r="DI61" t="s">
        <v>182</v>
      </c>
      <c r="DJ61" t="s">
        <v>242</v>
      </c>
      <c r="DK61" t="s">
        <v>243</v>
      </c>
      <c r="DL61" t="s">
        <v>244</v>
      </c>
      <c r="DM61" t="s">
        <v>176</v>
      </c>
      <c r="DN61" t="s">
        <v>2479</v>
      </c>
      <c r="DO61" t="s">
        <v>245</v>
      </c>
      <c r="DP61" t="s">
        <v>246</v>
      </c>
      <c r="DQ61" t="s">
        <v>247</v>
      </c>
      <c r="DR61" t="s">
        <v>248</v>
      </c>
      <c r="DS61" t="s">
        <v>249</v>
      </c>
      <c r="DT61" t="s">
        <v>250</v>
      </c>
    </row>
    <row r="62" spans="1:124" ht="17.55" customHeight="1" x14ac:dyDescent="0.45">
      <c r="A62" t="s">
        <v>2387</v>
      </c>
      <c r="B62" t="s">
        <v>2509</v>
      </c>
      <c r="C62" t="s">
        <v>17</v>
      </c>
      <c r="D62" t="s">
        <v>167</v>
      </c>
      <c r="E62" t="s">
        <v>168</v>
      </c>
      <c r="I62" t="s">
        <v>2510</v>
      </c>
      <c r="J62">
        <f t="shared" si="10"/>
        <v>0.28231346808357283</v>
      </c>
      <c r="K62">
        <f t="shared" si="11"/>
        <v>2.7418804799999998</v>
      </c>
      <c r="L62">
        <f t="shared" si="12"/>
        <v>0.25595904253097862</v>
      </c>
      <c r="M62">
        <f t="shared" si="13"/>
        <v>6.0858860703456719</v>
      </c>
      <c r="N62" t="s">
        <v>2511</v>
      </c>
      <c r="O62" t="s">
        <v>2512</v>
      </c>
      <c r="P62">
        <f t="shared" si="14"/>
        <v>4.9202117820972342</v>
      </c>
      <c r="Q62">
        <f t="shared" si="15"/>
        <v>2.3097957820972344</v>
      </c>
      <c r="R62" t="s">
        <v>2513</v>
      </c>
      <c r="S62" t="s">
        <v>2514</v>
      </c>
      <c r="T62">
        <f t="shared" si="16"/>
        <v>48.758416233249775</v>
      </c>
      <c r="U62">
        <f t="shared" si="17"/>
        <v>0.4417875</v>
      </c>
      <c r="V62" t="s">
        <v>174</v>
      </c>
      <c r="W62" t="s">
        <v>2515</v>
      </c>
      <c r="X62" t="s">
        <v>176</v>
      </c>
      <c r="Y62" t="s">
        <v>176</v>
      </c>
      <c r="Z62" t="s">
        <v>176</v>
      </c>
      <c r="AA62" t="s">
        <v>2516</v>
      </c>
      <c r="AB62" t="s">
        <v>2517</v>
      </c>
      <c r="AC62" t="s">
        <v>2518</v>
      </c>
      <c r="AD62" t="s">
        <v>180</v>
      </c>
      <c r="AE62" t="s">
        <v>181</v>
      </c>
      <c r="AF62">
        <f t="shared" si="18"/>
        <v>28.680040200000001</v>
      </c>
      <c r="AG62" t="s">
        <v>182</v>
      </c>
      <c r="AH62" t="s">
        <v>2519</v>
      </c>
      <c r="AI62" t="s">
        <v>2520</v>
      </c>
      <c r="AJ62" t="s">
        <v>2521</v>
      </c>
      <c r="AK62" t="s">
        <v>2522</v>
      </c>
      <c r="AL62">
        <f t="shared" si="19"/>
        <v>32.53</v>
      </c>
      <c r="AM62" t="s">
        <v>2133</v>
      </c>
      <c r="AN62" t="s">
        <v>2523</v>
      </c>
      <c r="AO62" t="s">
        <v>2278</v>
      </c>
      <c r="AP62" t="s">
        <v>268</v>
      </c>
      <c r="AQ62" t="s">
        <v>2524</v>
      </c>
      <c r="AR62" t="s">
        <v>2525</v>
      </c>
      <c r="AS62" t="s">
        <v>165</v>
      </c>
      <c r="AT62" t="s">
        <v>2059</v>
      </c>
      <c r="AU62" t="s">
        <v>828</v>
      </c>
      <c r="AV62" t="s">
        <v>2526</v>
      </c>
      <c r="AW62" t="s">
        <v>2527</v>
      </c>
      <c r="AX62" t="s">
        <v>2528</v>
      </c>
      <c r="AY62" t="s">
        <v>2529</v>
      </c>
      <c r="AZ62" t="s">
        <v>1283</v>
      </c>
      <c r="BA62" t="s">
        <v>2530</v>
      </c>
      <c r="BB62" t="s">
        <v>2531</v>
      </c>
      <c r="BC62" t="s">
        <v>2532</v>
      </c>
      <c r="BD62" t="s">
        <v>17</v>
      </c>
      <c r="BE62" t="s">
        <v>1165</v>
      </c>
      <c r="BF62" t="s">
        <v>1683</v>
      </c>
      <c r="BG62" t="s">
        <v>2533</v>
      </c>
      <c r="BH62" t="s">
        <v>890</v>
      </c>
      <c r="BI62" t="s">
        <v>2148</v>
      </c>
      <c r="BJ62" t="s">
        <v>2497</v>
      </c>
      <c r="BK62" t="s">
        <v>17</v>
      </c>
      <c r="BL62" t="s">
        <v>2498</v>
      </c>
      <c r="BM62" t="s">
        <v>165</v>
      </c>
      <c r="BN62" t="s">
        <v>212</v>
      </c>
      <c r="BO62" t="s">
        <v>212</v>
      </c>
      <c r="BP62" t="s">
        <v>283</v>
      </c>
      <c r="BQ62" t="s">
        <v>2534</v>
      </c>
      <c r="BR62" t="s">
        <v>2535</v>
      </c>
      <c r="BS62" t="s">
        <v>213</v>
      </c>
      <c r="BT62" t="s">
        <v>165</v>
      </c>
      <c r="BU62" t="s">
        <v>217</v>
      </c>
      <c r="BV62" t="s">
        <v>212</v>
      </c>
      <c r="BW62" t="s">
        <v>218</v>
      </c>
      <c r="BX62" t="s">
        <v>219</v>
      </c>
      <c r="BY62" t="s">
        <v>176</v>
      </c>
      <c r="BZ62" t="s">
        <v>220</v>
      </c>
      <c r="CA62" t="s">
        <v>176</v>
      </c>
      <c r="CB62" t="s">
        <v>176</v>
      </c>
      <c r="CC62" t="s">
        <v>221</v>
      </c>
      <c r="CD62" t="s">
        <v>222</v>
      </c>
      <c r="CE62" t="s">
        <v>223</v>
      </c>
      <c r="CF62" t="s">
        <v>224</v>
      </c>
      <c r="CG62" t="s">
        <v>225</v>
      </c>
      <c r="CH62" t="s">
        <v>226</v>
      </c>
      <c r="CI62" t="s">
        <v>182</v>
      </c>
      <c r="CJ62" t="s">
        <v>218</v>
      </c>
      <c r="CK62" t="s">
        <v>227</v>
      </c>
      <c r="CL62" t="s">
        <v>227</v>
      </c>
      <c r="CM62" t="s">
        <v>227</v>
      </c>
      <c r="CN62" t="s">
        <v>176</v>
      </c>
      <c r="CO62" t="s">
        <v>228</v>
      </c>
      <c r="CP62" t="s">
        <v>176</v>
      </c>
      <c r="CQ62" t="s">
        <v>176</v>
      </c>
      <c r="CR62" t="s">
        <v>176</v>
      </c>
      <c r="CS62" t="s">
        <v>176</v>
      </c>
      <c r="CT62" t="s">
        <v>2536</v>
      </c>
      <c r="CU62" t="s">
        <v>2537</v>
      </c>
      <c r="CV62" t="s">
        <v>2538</v>
      </c>
      <c r="CW62" t="s">
        <v>2539</v>
      </c>
      <c r="CX62" t="s">
        <v>2540</v>
      </c>
      <c r="CY62" t="s">
        <v>2541</v>
      </c>
      <c r="CZ62" t="s">
        <v>2542</v>
      </c>
      <c r="DA62" t="s">
        <v>2543</v>
      </c>
      <c r="DB62" t="s">
        <v>2516</v>
      </c>
      <c r="DC62" t="s">
        <v>2080</v>
      </c>
      <c r="DD62" t="s">
        <v>238</v>
      </c>
      <c r="DE62" t="s">
        <v>239</v>
      </c>
      <c r="DF62" t="s">
        <v>182</v>
      </c>
      <c r="DG62" t="s">
        <v>240</v>
      </c>
      <c r="DH62" t="s">
        <v>241</v>
      </c>
      <c r="DI62" t="s">
        <v>182</v>
      </c>
      <c r="DJ62" t="s">
        <v>242</v>
      </c>
      <c r="DK62" t="s">
        <v>243</v>
      </c>
      <c r="DL62" t="s">
        <v>244</v>
      </c>
      <c r="DM62" t="s">
        <v>176</v>
      </c>
      <c r="DN62" t="s">
        <v>2515</v>
      </c>
      <c r="DO62" t="s">
        <v>245</v>
      </c>
      <c r="DP62" t="s">
        <v>246</v>
      </c>
      <c r="DQ62" t="s">
        <v>247</v>
      </c>
      <c r="DR62" t="s">
        <v>248</v>
      </c>
      <c r="DS62" t="s">
        <v>249</v>
      </c>
      <c r="DT62" t="s">
        <v>250</v>
      </c>
    </row>
    <row r="63" spans="1:124" ht="17.55" customHeight="1" x14ac:dyDescent="0.45">
      <c r="A63" t="s">
        <v>2544</v>
      </c>
      <c r="B63" t="s">
        <v>2545</v>
      </c>
      <c r="C63" t="s">
        <v>17</v>
      </c>
      <c r="D63" t="s">
        <v>167</v>
      </c>
      <c r="E63" t="s">
        <v>168</v>
      </c>
      <c r="I63" t="s">
        <v>2546</v>
      </c>
      <c r="J63">
        <f t="shared" si="10"/>
        <v>0.38347080711598697</v>
      </c>
      <c r="K63">
        <f t="shared" si="11"/>
        <v>2.7356032800000003</v>
      </c>
      <c r="L63">
        <f t="shared" si="12"/>
        <v>0.33632545057649088</v>
      </c>
      <c r="M63">
        <f t="shared" si="13"/>
        <v>7.6000758484673607</v>
      </c>
      <c r="N63" t="s">
        <v>2547</v>
      </c>
      <c r="O63" t="s">
        <v>2548</v>
      </c>
      <c r="P63">
        <f t="shared" si="14"/>
        <v>4.7615862411558467</v>
      </c>
      <c r="Q63">
        <f t="shared" si="15"/>
        <v>2.1972462411558467</v>
      </c>
      <c r="R63" t="s">
        <v>2549</v>
      </c>
      <c r="S63" t="s">
        <v>2550</v>
      </c>
      <c r="T63">
        <f t="shared" si="16"/>
        <v>47.191142132367155</v>
      </c>
      <c r="U63">
        <f t="shared" si="17"/>
        <v>0.4417875</v>
      </c>
      <c r="V63" t="s">
        <v>174</v>
      </c>
      <c r="W63" t="s">
        <v>2551</v>
      </c>
      <c r="X63" t="s">
        <v>176</v>
      </c>
      <c r="Y63" t="s">
        <v>176</v>
      </c>
      <c r="Z63" t="s">
        <v>176</v>
      </c>
      <c r="AA63" t="s">
        <v>2552</v>
      </c>
      <c r="AB63" t="s">
        <v>2553</v>
      </c>
      <c r="AC63" t="s">
        <v>2554</v>
      </c>
      <c r="AD63" t="s">
        <v>180</v>
      </c>
      <c r="AE63" t="s">
        <v>181</v>
      </c>
      <c r="AF63">
        <f t="shared" si="18"/>
        <v>157.91827967999998</v>
      </c>
      <c r="AG63" t="s">
        <v>182</v>
      </c>
      <c r="AH63" t="s">
        <v>2555</v>
      </c>
      <c r="AI63" t="s">
        <v>2556</v>
      </c>
      <c r="AJ63" t="s">
        <v>2557</v>
      </c>
      <c r="AK63" t="s">
        <v>2558</v>
      </c>
      <c r="AL63">
        <f t="shared" si="19"/>
        <v>31.95</v>
      </c>
      <c r="AM63" t="s">
        <v>2559</v>
      </c>
      <c r="AN63" t="s">
        <v>2560</v>
      </c>
      <c r="AO63" t="s">
        <v>2561</v>
      </c>
      <c r="AP63" t="s">
        <v>2562</v>
      </c>
      <c r="AQ63" t="s">
        <v>2563</v>
      </c>
      <c r="AR63" t="s">
        <v>2455</v>
      </c>
      <c r="AS63" t="s">
        <v>223</v>
      </c>
      <c r="AT63" t="s">
        <v>910</v>
      </c>
      <c r="AU63" t="s">
        <v>1157</v>
      </c>
      <c r="AV63" t="s">
        <v>1680</v>
      </c>
      <c r="AW63" t="s">
        <v>2564</v>
      </c>
      <c r="AX63" t="s">
        <v>2565</v>
      </c>
      <c r="AY63" t="s">
        <v>2566</v>
      </c>
      <c r="AZ63" t="s">
        <v>1283</v>
      </c>
      <c r="BA63" t="s">
        <v>2530</v>
      </c>
      <c r="BB63" t="s">
        <v>2531</v>
      </c>
      <c r="BC63" t="s">
        <v>2567</v>
      </c>
      <c r="BD63" t="s">
        <v>17</v>
      </c>
      <c r="BE63" t="s">
        <v>1606</v>
      </c>
      <c r="BF63" t="s">
        <v>1683</v>
      </c>
      <c r="BG63" t="s">
        <v>2568</v>
      </c>
      <c r="BH63" t="s">
        <v>890</v>
      </c>
      <c r="BI63" t="s">
        <v>2148</v>
      </c>
      <c r="BJ63" t="s">
        <v>2497</v>
      </c>
      <c r="BK63" t="s">
        <v>17</v>
      </c>
      <c r="BL63" t="s">
        <v>2498</v>
      </c>
      <c r="BM63" t="s">
        <v>165</v>
      </c>
      <c r="BN63" t="s">
        <v>212</v>
      </c>
      <c r="BO63" t="s">
        <v>211</v>
      </c>
      <c r="BP63" t="s">
        <v>283</v>
      </c>
      <c r="BQ63" t="s">
        <v>1448</v>
      </c>
      <c r="BR63" t="s">
        <v>2569</v>
      </c>
      <c r="BS63" t="s">
        <v>2570</v>
      </c>
      <c r="BT63" t="s">
        <v>165</v>
      </c>
      <c r="BU63" t="s">
        <v>217</v>
      </c>
      <c r="BV63" t="s">
        <v>212</v>
      </c>
      <c r="BW63" t="s">
        <v>218</v>
      </c>
      <c r="BX63" t="s">
        <v>219</v>
      </c>
      <c r="BY63" t="s">
        <v>176</v>
      </c>
      <c r="BZ63" t="s">
        <v>220</v>
      </c>
      <c r="CA63" t="s">
        <v>176</v>
      </c>
      <c r="CB63" t="s">
        <v>176</v>
      </c>
      <c r="CC63" t="s">
        <v>221</v>
      </c>
      <c r="CD63" t="s">
        <v>222</v>
      </c>
      <c r="CE63" t="s">
        <v>223</v>
      </c>
      <c r="CF63" t="s">
        <v>224</v>
      </c>
      <c r="CG63" t="s">
        <v>225</v>
      </c>
      <c r="CH63" t="s">
        <v>226</v>
      </c>
      <c r="CI63" t="s">
        <v>182</v>
      </c>
      <c r="CJ63" t="s">
        <v>218</v>
      </c>
      <c r="CK63" t="s">
        <v>227</v>
      </c>
      <c r="CL63" t="s">
        <v>227</v>
      </c>
      <c r="CM63" t="s">
        <v>227</v>
      </c>
      <c r="CN63" t="s">
        <v>176</v>
      </c>
      <c r="CO63" t="s">
        <v>228</v>
      </c>
      <c r="CP63" t="s">
        <v>176</v>
      </c>
      <c r="CQ63" t="s">
        <v>176</v>
      </c>
      <c r="CR63" t="s">
        <v>176</v>
      </c>
      <c r="CS63" t="s">
        <v>176</v>
      </c>
      <c r="CT63" t="s">
        <v>2571</v>
      </c>
      <c r="CU63" t="s">
        <v>2572</v>
      </c>
      <c r="CV63" t="s">
        <v>2573</v>
      </c>
      <c r="CW63" t="s">
        <v>2574</v>
      </c>
      <c r="CX63" t="s">
        <v>2575</v>
      </c>
      <c r="CY63" t="s">
        <v>2576</v>
      </c>
      <c r="CZ63" t="s">
        <v>2577</v>
      </c>
      <c r="DA63" t="s">
        <v>2578</v>
      </c>
      <c r="DB63" t="s">
        <v>2552</v>
      </c>
      <c r="DC63" t="s">
        <v>766</v>
      </c>
      <c r="DD63" t="s">
        <v>238</v>
      </c>
      <c r="DE63" t="s">
        <v>239</v>
      </c>
      <c r="DF63" t="s">
        <v>182</v>
      </c>
      <c r="DG63" t="s">
        <v>240</v>
      </c>
      <c r="DH63" t="s">
        <v>241</v>
      </c>
      <c r="DI63" t="s">
        <v>182</v>
      </c>
      <c r="DJ63" t="s">
        <v>242</v>
      </c>
      <c r="DK63" t="s">
        <v>243</v>
      </c>
      <c r="DL63" t="s">
        <v>244</v>
      </c>
      <c r="DM63" t="s">
        <v>176</v>
      </c>
      <c r="DN63" t="s">
        <v>2551</v>
      </c>
      <c r="DO63" t="s">
        <v>245</v>
      </c>
      <c r="DP63" t="s">
        <v>246</v>
      </c>
      <c r="DQ63" t="s">
        <v>247</v>
      </c>
      <c r="DR63" t="s">
        <v>248</v>
      </c>
      <c r="DS63" t="s">
        <v>249</v>
      </c>
      <c r="DT63" t="s">
        <v>250</v>
      </c>
    </row>
    <row r="64" spans="1:124" ht="17.55" customHeight="1" x14ac:dyDescent="0.45">
      <c r="A64" t="s">
        <v>2579</v>
      </c>
      <c r="B64" t="s">
        <v>2580</v>
      </c>
      <c r="C64" t="s">
        <v>17</v>
      </c>
      <c r="D64" t="s">
        <v>167</v>
      </c>
      <c r="E64" t="s">
        <v>168</v>
      </c>
      <c r="I64" t="s">
        <v>2581</v>
      </c>
      <c r="J64">
        <f t="shared" si="10"/>
        <v>0.21755653582055262</v>
      </c>
      <c r="K64">
        <f t="shared" si="11"/>
        <v>2.64954432</v>
      </c>
      <c r="L64">
        <f t="shared" si="12"/>
        <v>0.20104827585399015</v>
      </c>
      <c r="M64">
        <f t="shared" si="13"/>
        <v>5.2429665572847757</v>
      </c>
      <c r="N64" t="s">
        <v>2582</v>
      </c>
      <c r="O64" t="s">
        <v>2583</v>
      </c>
      <c r="P64">
        <f t="shared" si="14"/>
        <v>4.9452337459605848</v>
      </c>
      <c r="Q64">
        <f t="shared" si="15"/>
        <v>2.5350097459605849</v>
      </c>
      <c r="R64" t="s">
        <v>2584</v>
      </c>
      <c r="S64" t="s">
        <v>2585</v>
      </c>
      <c r="T64">
        <f t="shared" si="16"/>
        <v>49.016094221038607</v>
      </c>
      <c r="U64">
        <f t="shared" si="17"/>
        <v>0.4417875</v>
      </c>
      <c r="V64" t="s">
        <v>174</v>
      </c>
      <c r="W64" t="s">
        <v>2586</v>
      </c>
      <c r="X64" t="s">
        <v>176</v>
      </c>
      <c r="Y64" t="s">
        <v>176</v>
      </c>
      <c r="Z64" t="s">
        <v>176</v>
      </c>
      <c r="AA64" t="s">
        <v>2587</v>
      </c>
      <c r="AB64" t="s">
        <v>2588</v>
      </c>
      <c r="AC64" t="s">
        <v>2589</v>
      </c>
      <c r="AD64" t="s">
        <v>180</v>
      </c>
      <c r="AE64" t="s">
        <v>181</v>
      </c>
      <c r="AF64">
        <f t="shared" si="18"/>
        <v>27.192474959999998</v>
      </c>
      <c r="AG64" t="s">
        <v>182</v>
      </c>
      <c r="AH64" t="s">
        <v>2590</v>
      </c>
      <c r="AI64" t="s">
        <v>2591</v>
      </c>
      <c r="AJ64" t="s">
        <v>2592</v>
      </c>
      <c r="AK64" t="s">
        <v>2593</v>
      </c>
      <c r="AL64">
        <f t="shared" si="19"/>
        <v>32.619999999999997</v>
      </c>
      <c r="AM64" t="s">
        <v>2594</v>
      </c>
      <c r="AN64" t="s">
        <v>2595</v>
      </c>
      <c r="AO64" t="s">
        <v>2596</v>
      </c>
      <c r="AP64" t="s">
        <v>180</v>
      </c>
      <c r="AQ64" t="s">
        <v>2597</v>
      </c>
      <c r="AR64" t="s">
        <v>2598</v>
      </c>
      <c r="AS64" t="s">
        <v>849</v>
      </c>
      <c r="AT64" t="s">
        <v>365</v>
      </c>
      <c r="AU64" t="s">
        <v>2599</v>
      </c>
      <c r="AV64" t="s">
        <v>2600</v>
      </c>
      <c r="AW64" t="s">
        <v>2601</v>
      </c>
      <c r="AX64" t="s">
        <v>2602</v>
      </c>
      <c r="AY64" t="s">
        <v>2603</v>
      </c>
      <c r="AZ64" t="s">
        <v>1283</v>
      </c>
      <c r="BA64" t="s">
        <v>2604</v>
      </c>
      <c r="BB64" t="s">
        <v>2605</v>
      </c>
      <c r="BC64" t="s">
        <v>2606</v>
      </c>
      <c r="BD64" t="s">
        <v>17</v>
      </c>
      <c r="BE64" t="s">
        <v>2607</v>
      </c>
      <c r="BF64" t="s">
        <v>669</v>
      </c>
      <c r="BG64" t="s">
        <v>2608</v>
      </c>
      <c r="BH64" t="s">
        <v>890</v>
      </c>
      <c r="BI64" t="s">
        <v>1647</v>
      </c>
      <c r="BJ64" t="s">
        <v>2497</v>
      </c>
      <c r="BK64" t="s">
        <v>17</v>
      </c>
      <c r="BL64" t="s">
        <v>2498</v>
      </c>
      <c r="BM64" t="s">
        <v>165</v>
      </c>
      <c r="BN64" t="s">
        <v>211</v>
      </c>
      <c r="BO64" t="s">
        <v>212</v>
      </c>
      <c r="BP64" t="s">
        <v>331</v>
      </c>
      <c r="BQ64" t="s">
        <v>2609</v>
      </c>
      <c r="BR64" t="s">
        <v>2610</v>
      </c>
      <c r="BS64" t="s">
        <v>2611</v>
      </c>
      <c r="BT64" t="s">
        <v>165</v>
      </c>
      <c r="BU64" t="s">
        <v>217</v>
      </c>
      <c r="BV64" t="s">
        <v>212</v>
      </c>
      <c r="BW64" t="s">
        <v>218</v>
      </c>
      <c r="BX64" t="s">
        <v>219</v>
      </c>
      <c r="BY64" t="s">
        <v>176</v>
      </c>
      <c r="BZ64" t="s">
        <v>220</v>
      </c>
      <c r="CA64" t="s">
        <v>176</v>
      </c>
      <c r="CB64" t="s">
        <v>176</v>
      </c>
      <c r="CC64" t="s">
        <v>221</v>
      </c>
      <c r="CD64" t="s">
        <v>222</v>
      </c>
      <c r="CE64" t="s">
        <v>223</v>
      </c>
      <c r="CF64" t="s">
        <v>224</v>
      </c>
      <c r="CG64" t="s">
        <v>225</v>
      </c>
      <c r="CH64" t="s">
        <v>226</v>
      </c>
      <c r="CI64" t="s">
        <v>182</v>
      </c>
      <c r="CJ64" t="s">
        <v>218</v>
      </c>
      <c r="CK64" t="s">
        <v>227</v>
      </c>
      <c r="CL64" t="s">
        <v>227</v>
      </c>
      <c r="CM64" t="s">
        <v>227</v>
      </c>
      <c r="CN64" t="s">
        <v>176</v>
      </c>
      <c r="CO64" t="s">
        <v>228</v>
      </c>
      <c r="CP64" t="s">
        <v>176</v>
      </c>
      <c r="CQ64" t="s">
        <v>176</v>
      </c>
      <c r="CR64" t="s">
        <v>176</v>
      </c>
      <c r="CS64" t="s">
        <v>176</v>
      </c>
      <c r="CT64" t="s">
        <v>2612</v>
      </c>
      <c r="CU64" t="s">
        <v>2613</v>
      </c>
      <c r="CV64" t="s">
        <v>2614</v>
      </c>
      <c r="CW64" t="s">
        <v>2615</v>
      </c>
      <c r="CX64" t="s">
        <v>2616</v>
      </c>
      <c r="CY64" t="s">
        <v>2617</v>
      </c>
      <c r="CZ64" t="s">
        <v>2618</v>
      </c>
      <c r="DA64" t="s">
        <v>2619</v>
      </c>
      <c r="DB64" t="s">
        <v>2587</v>
      </c>
      <c r="DC64" t="s">
        <v>1099</v>
      </c>
      <c r="DD64" t="s">
        <v>238</v>
      </c>
      <c r="DE64" t="s">
        <v>239</v>
      </c>
      <c r="DF64" t="s">
        <v>182</v>
      </c>
      <c r="DG64" t="s">
        <v>240</v>
      </c>
      <c r="DH64" t="s">
        <v>241</v>
      </c>
      <c r="DI64" t="s">
        <v>182</v>
      </c>
      <c r="DJ64" t="s">
        <v>242</v>
      </c>
      <c r="DK64" t="s">
        <v>243</v>
      </c>
      <c r="DL64" t="s">
        <v>244</v>
      </c>
      <c r="DM64" t="s">
        <v>176</v>
      </c>
      <c r="DN64" t="s">
        <v>2586</v>
      </c>
      <c r="DO64" t="s">
        <v>245</v>
      </c>
      <c r="DP64" t="s">
        <v>246</v>
      </c>
      <c r="DQ64" t="s">
        <v>247</v>
      </c>
      <c r="DR64" t="s">
        <v>248</v>
      </c>
      <c r="DS64" t="s">
        <v>249</v>
      </c>
      <c r="DT64" t="s">
        <v>250</v>
      </c>
    </row>
    <row r="65" spans="1:124" ht="17.55" customHeight="1" x14ac:dyDescent="0.45">
      <c r="A65" t="s">
        <v>2620</v>
      </c>
      <c r="B65" t="s">
        <v>2621</v>
      </c>
      <c r="C65" t="s">
        <v>17</v>
      </c>
      <c r="D65" t="s">
        <v>167</v>
      </c>
      <c r="E65" t="s">
        <v>168</v>
      </c>
      <c r="I65" t="s">
        <v>2622</v>
      </c>
      <c r="J65">
        <f t="shared" si="10"/>
        <v>0.52940144735298256</v>
      </c>
      <c r="K65">
        <f t="shared" si="11"/>
        <v>2.81054928</v>
      </c>
      <c r="L65">
        <f t="shared" si="12"/>
        <v>0.44548826559130056</v>
      </c>
      <c r="M65">
        <f t="shared" si="13"/>
        <v>9.3147762710630353</v>
      </c>
      <c r="N65" t="s">
        <v>2623</v>
      </c>
      <c r="O65" t="s">
        <v>2624</v>
      </c>
      <c r="P65">
        <f t="shared" si="14"/>
        <v>4.6706843260785256</v>
      </c>
      <c r="Q65">
        <f t="shared" si="15"/>
        <v>2.0332493260785256</v>
      </c>
      <c r="R65" t="s">
        <v>2625</v>
      </c>
      <c r="S65" t="s">
        <v>2626</v>
      </c>
      <c r="T65">
        <f t="shared" si="16"/>
        <v>46.294819368406436</v>
      </c>
      <c r="U65">
        <f t="shared" si="17"/>
        <v>0.4417875</v>
      </c>
      <c r="V65" t="s">
        <v>174</v>
      </c>
      <c r="W65" t="s">
        <v>2627</v>
      </c>
      <c r="X65" t="s">
        <v>176</v>
      </c>
      <c r="Y65" t="s">
        <v>176</v>
      </c>
      <c r="Z65" t="s">
        <v>176</v>
      </c>
      <c r="AA65" t="s">
        <v>2628</v>
      </c>
      <c r="AB65" t="s">
        <v>2629</v>
      </c>
      <c r="AC65" t="s">
        <v>2630</v>
      </c>
      <c r="AD65" t="s">
        <v>180</v>
      </c>
      <c r="AE65" t="s">
        <v>181</v>
      </c>
      <c r="AF65">
        <f t="shared" si="18"/>
        <v>21.222672240000001</v>
      </c>
      <c r="AG65" t="s">
        <v>182</v>
      </c>
      <c r="AH65" t="s">
        <v>2631</v>
      </c>
      <c r="AI65" t="s">
        <v>1631</v>
      </c>
      <c r="AJ65" t="s">
        <v>2632</v>
      </c>
      <c r="AK65" t="s">
        <v>2633</v>
      </c>
      <c r="AL65">
        <f t="shared" si="19"/>
        <v>31.61</v>
      </c>
      <c r="AM65" t="s">
        <v>2594</v>
      </c>
      <c r="AN65" t="s">
        <v>2634</v>
      </c>
      <c r="AO65" t="s">
        <v>2635</v>
      </c>
      <c r="AP65" t="s">
        <v>2636</v>
      </c>
      <c r="AQ65" t="s">
        <v>2637</v>
      </c>
      <c r="AR65" t="s">
        <v>2598</v>
      </c>
      <c r="AS65" t="s">
        <v>194</v>
      </c>
      <c r="AT65" t="s">
        <v>786</v>
      </c>
      <c r="AU65" t="s">
        <v>2638</v>
      </c>
      <c r="AV65" t="s">
        <v>2639</v>
      </c>
      <c r="AW65" t="s">
        <v>2640</v>
      </c>
      <c r="AX65" t="s">
        <v>831</v>
      </c>
      <c r="AY65" t="s">
        <v>2641</v>
      </c>
      <c r="AZ65" t="s">
        <v>1283</v>
      </c>
      <c r="BA65" t="s">
        <v>2642</v>
      </c>
      <c r="BB65" t="s">
        <v>2643</v>
      </c>
      <c r="BC65" t="s">
        <v>2644</v>
      </c>
      <c r="BD65" t="s">
        <v>17</v>
      </c>
      <c r="BE65" t="s">
        <v>416</v>
      </c>
      <c r="BF65" t="s">
        <v>795</v>
      </c>
      <c r="BG65" t="s">
        <v>2608</v>
      </c>
      <c r="BH65" t="s">
        <v>890</v>
      </c>
      <c r="BI65" t="s">
        <v>1647</v>
      </c>
      <c r="BJ65" t="s">
        <v>2497</v>
      </c>
      <c r="BK65" t="s">
        <v>17</v>
      </c>
      <c r="BL65" t="s">
        <v>2498</v>
      </c>
      <c r="BM65" t="s">
        <v>165</v>
      </c>
      <c r="BN65" t="s">
        <v>211</v>
      </c>
      <c r="BO65" t="s">
        <v>284</v>
      </c>
      <c r="BP65" t="s">
        <v>1126</v>
      </c>
      <c r="BQ65" t="s">
        <v>2645</v>
      </c>
      <c r="BR65" t="s">
        <v>2646</v>
      </c>
      <c r="BS65" t="s">
        <v>2647</v>
      </c>
      <c r="BT65" t="s">
        <v>165</v>
      </c>
      <c r="BU65" t="s">
        <v>217</v>
      </c>
      <c r="BV65" t="s">
        <v>212</v>
      </c>
      <c r="BW65" t="s">
        <v>218</v>
      </c>
      <c r="BX65" t="s">
        <v>219</v>
      </c>
      <c r="BY65" t="s">
        <v>176</v>
      </c>
      <c r="BZ65" t="s">
        <v>220</v>
      </c>
      <c r="CA65" t="s">
        <v>176</v>
      </c>
      <c r="CB65" t="s">
        <v>176</v>
      </c>
      <c r="CC65" t="s">
        <v>221</v>
      </c>
      <c r="CD65" t="s">
        <v>222</v>
      </c>
      <c r="CE65" t="s">
        <v>223</v>
      </c>
      <c r="CF65" t="s">
        <v>224</v>
      </c>
      <c r="CG65" t="s">
        <v>225</v>
      </c>
      <c r="CH65" t="s">
        <v>226</v>
      </c>
      <c r="CI65" t="s">
        <v>182</v>
      </c>
      <c r="CJ65" t="s">
        <v>218</v>
      </c>
      <c r="CK65" t="s">
        <v>227</v>
      </c>
      <c r="CL65" t="s">
        <v>227</v>
      </c>
      <c r="CM65" t="s">
        <v>227</v>
      </c>
      <c r="CN65" t="s">
        <v>176</v>
      </c>
      <c r="CO65" t="s">
        <v>228</v>
      </c>
      <c r="CP65" t="s">
        <v>176</v>
      </c>
      <c r="CQ65" t="s">
        <v>176</v>
      </c>
      <c r="CR65" t="s">
        <v>176</v>
      </c>
      <c r="CS65" t="s">
        <v>176</v>
      </c>
      <c r="CT65" t="s">
        <v>2648</v>
      </c>
      <c r="CU65" t="s">
        <v>2649</v>
      </c>
      <c r="CV65" t="s">
        <v>2650</v>
      </c>
      <c r="CW65" t="s">
        <v>2651</v>
      </c>
      <c r="CX65" t="s">
        <v>2652</v>
      </c>
      <c r="CY65" t="s">
        <v>2653</v>
      </c>
      <c r="CZ65" t="s">
        <v>2654</v>
      </c>
      <c r="DA65" t="s">
        <v>2655</v>
      </c>
      <c r="DB65" t="s">
        <v>2628</v>
      </c>
      <c r="DC65" t="s">
        <v>513</v>
      </c>
      <c r="DD65" t="s">
        <v>238</v>
      </c>
      <c r="DE65" t="s">
        <v>239</v>
      </c>
      <c r="DF65" t="s">
        <v>182</v>
      </c>
      <c r="DG65" t="s">
        <v>240</v>
      </c>
      <c r="DH65" t="s">
        <v>241</v>
      </c>
      <c r="DI65" t="s">
        <v>182</v>
      </c>
      <c r="DJ65" t="s">
        <v>242</v>
      </c>
      <c r="DK65" t="s">
        <v>243</v>
      </c>
      <c r="DL65" t="s">
        <v>244</v>
      </c>
      <c r="DM65" t="s">
        <v>176</v>
      </c>
      <c r="DN65" t="s">
        <v>2627</v>
      </c>
      <c r="DO65" t="s">
        <v>245</v>
      </c>
      <c r="DP65" t="s">
        <v>246</v>
      </c>
      <c r="DQ65" t="s">
        <v>247</v>
      </c>
      <c r="DR65" t="s">
        <v>248</v>
      </c>
      <c r="DS65" t="s">
        <v>249</v>
      </c>
      <c r="DT65" t="s">
        <v>250</v>
      </c>
    </row>
    <row r="66" spans="1:124" ht="17.55" customHeight="1" x14ac:dyDescent="0.45">
      <c r="A66" t="s">
        <v>2656</v>
      </c>
      <c r="B66" t="s">
        <v>2657</v>
      </c>
      <c r="C66" t="s">
        <v>17</v>
      </c>
      <c r="D66" t="s">
        <v>167</v>
      </c>
      <c r="E66" t="s">
        <v>168</v>
      </c>
      <c r="I66" t="s">
        <v>2658</v>
      </c>
      <c r="J66">
        <f t="shared" si="10"/>
        <v>0.21150416472484543</v>
      </c>
      <c r="K66">
        <f t="shared" si="11"/>
        <v>2.7481087199999998</v>
      </c>
      <c r="L66">
        <f t="shared" si="12"/>
        <v>0.1963893461866387</v>
      </c>
      <c r="M66">
        <f t="shared" si="13"/>
        <v>5.2926452873665113</v>
      </c>
      <c r="N66" t="s">
        <v>2659</v>
      </c>
      <c r="O66" t="s">
        <v>2660</v>
      </c>
      <c r="P66">
        <f t="shared" si="14"/>
        <v>4.9146663334072587</v>
      </c>
      <c r="Q66">
        <f t="shared" si="15"/>
        <v>2.6215453334072585</v>
      </c>
      <c r="R66" t="s">
        <v>2661</v>
      </c>
      <c r="S66" t="s">
        <v>2662</v>
      </c>
      <c r="T66">
        <f t="shared" si="16"/>
        <v>48.717945414425643</v>
      </c>
      <c r="U66">
        <f t="shared" si="17"/>
        <v>0.4417875</v>
      </c>
      <c r="V66" t="s">
        <v>174</v>
      </c>
      <c r="W66" t="s">
        <v>2663</v>
      </c>
      <c r="X66" t="s">
        <v>176</v>
      </c>
      <c r="Y66" t="s">
        <v>176</v>
      </c>
      <c r="Z66" t="s">
        <v>176</v>
      </c>
      <c r="AA66" t="s">
        <v>2664</v>
      </c>
      <c r="AB66" t="s">
        <v>2665</v>
      </c>
      <c r="AC66" t="s">
        <v>2666</v>
      </c>
      <c r="AD66" t="s">
        <v>180</v>
      </c>
      <c r="AE66" t="s">
        <v>181</v>
      </c>
      <c r="AF66">
        <f t="shared" si="18"/>
        <v>51.650405099999993</v>
      </c>
      <c r="AG66" t="s">
        <v>182</v>
      </c>
      <c r="AH66" t="s">
        <v>2092</v>
      </c>
      <c r="AI66" t="s">
        <v>2667</v>
      </c>
      <c r="AJ66" t="s">
        <v>2668</v>
      </c>
      <c r="AK66" t="s">
        <v>2669</v>
      </c>
      <c r="AL66">
        <f t="shared" si="19"/>
        <v>32.51</v>
      </c>
      <c r="AM66" t="s">
        <v>2670</v>
      </c>
      <c r="AN66" t="s">
        <v>2671</v>
      </c>
      <c r="AO66" t="s">
        <v>948</v>
      </c>
      <c r="AP66" t="s">
        <v>907</v>
      </c>
      <c r="AQ66" t="s">
        <v>2672</v>
      </c>
      <c r="AR66" t="s">
        <v>2673</v>
      </c>
      <c r="AS66" t="s">
        <v>489</v>
      </c>
      <c r="AT66" t="s">
        <v>2674</v>
      </c>
      <c r="AU66" t="s">
        <v>2675</v>
      </c>
      <c r="AV66" t="s">
        <v>2676</v>
      </c>
      <c r="AW66" t="s">
        <v>2677</v>
      </c>
      <c r="AX66" t="s">
        <v>2678</v>
      </c>
      <c r="AY66" t="s">
        <v>2679</v>
      </c>
      <c r="AZ66" t="s">
        <v>1283</v>
      </c>
      <c r="BA66" t="s">
        <v>2680</v>
      </c>
      <c r="BB66" t="s">
        <v>2681</v>
      </c>
      <c r="BC66" t="s">
        <v>2682</v>
      </c>
      <c r="BD66" t="s">
        <v>17</v>
      </c>
      <c r="BE66" t="s">
        <v>2288</v>
      </c>
      <c r="BF66" t="s">
        <v>1001</v>
      </c>
      <c r="BG66" t="s">
        <v>2683</v>
      </c>
      <c r="BH66" t="s">
        <v>890</v>
      </c>
      <c r="BI66" t="s">
        <v>1912</v>
      </c>
      <c r="BJ66" t="s">
        <v>2497</v>
      </c>
      <c r="BK66" t="s">
        <v>17</v>
      </c>
      <c r="BL66" t="s">
        <v>2498</v>
      </c>
      <c r="BM66" t="s">
        <v>165</v>
      </c>
      <c r="BN66" t="s">
        <v>212</v>
      </c>
      <c r="BO66" t="s">
        <v>211</v>
      </c>
      <c r="BP66" t="s">
        <v>213</v>
      </c>
      <c r="BQ66" t="s">
        <v>2684</v>
      </c>
      <c r="BR66" t="s">
        <v>2685</v>
      </c>
      <c r="BS66" t="s">
        <v>2686</v>
      </c>
      <c r="BT66" t="s">
        <v>165</v>
      </c>
      <c r="BU66" t="s">
        <v>217</v>
      </c>
      <c r="BV66" t="s">
        <v>212</v>
      </c>
      <c r="BW66" t="s">
        <v>218</v>
      </c>
      <c r="BX66" t="s">
        <v>219</v>
      </c>
      <c r="BY66" t="s">
        <v>176</v>
      </c>
      <c r="BZ66" t="s">
        <v>220</v>
      </c>
      <c r="CA66" t="s">
        <v>176</v>
      </c>
      <c r="CB66" t="s">
        <v>176</v>
      </c>
      <c r="CC66" t="s">
        <v>221</v>
      </c>
      <c r="CD66" t="s">
        <v>222</v>
      </c>
      <c r="CE66" t="s">
        <v>223</v>
      </c>
      <c r="CF66" t="s">
        <v>224</v>
      </c>
      <c r="CG66" t="s">
        <v>225</v>
      </c>
      <c r="CH66" t="s">
        <v>226</v>
      </c>
      <c r="CI66" t="s">
        <v>182</v>
      </c>
      <c r="CJ66" t="s">
        <v>218</v>
      </c>
      <c r="CK66" t="s">
        <v>227</v>
      </c>
      <c r="CL66" t="s">
        <v>227</v>
      </c>
      <c r="CM66" t="s">
        <v>227</v>
      </c>
      <c r="CN66" t="s">
        <v>176</v>
      </c>
      <c r="CO66" t="s">
        <v>228</v>
      </c>
      <c r="CP66" t="s">
        <v>176</v>
      </c>
      <c r="CQ66" t="s">
        <v>176</v>
      </c>
      <c r="CR66" t="s">
        <v>176</v>
      </c>
      <c r="CS66" t="s">
        <v>176</v>
      </c>
      <c r="CT66" t="s">
        <v>2687</v>
      </c>
      <c r="CU66" t="s">
        <v>2688</v>
      </c>
      <c r="CV66" t="s">
        <v>2689</v>
      </c>
      <c r="CW66" t="s">
        <v>2690</v>
      </c>
      <c r="CX66" t="s">
        <v>2691</v>
      </c>
      <c r="CY66" t="s">
        <v>2692</v>
      </c>
      <c r="CZ66" t="s">
        <v>2693</v>
      </c>
      <c r="DA66" t="s">
        <v>2694</v>
      </c>
      <c r="DB66" t="s">
        <v>2664</v>
      </c>
      <c r="DC66" t="s">
        <v>297</v>
      </c>
      <c r="DD66" t="s">
        <v>238</v>
      </c>
      <c r="DE66" t="s">
        <v>239</v>
      </c>
      <c r="DF66" t="s">
        <v>182</v>
      </c>
      <c r="DG66" t="s">
        <v>240</v>
      </c>
      <c r="DH66" t="s">
        <v>241</v>
      </c>
      <c r="DI66" t="s">
        <v>182</v>
      </c>
      <c r="DJ66" t="s">
        <v>242</v>
      </c>
      <c r="DK66" t="s">
        <v>243</v>
      </c>
      <c r="DL66" t="s">
        <v>244</v>
      </c>
      <c r="DM66" t="s">
        <v>176</v>
      </c>
      <c r="DN66" t="s">
        <v>2663</v>
      </c>
      <c r="DO66" t="s">
        <v>245</v>
      </c>
      <c r="DP66" t="s">
        <v>246</v>
      </c>
      <c r="DQ66" t="s">
        <v>247</v>
      </c>
      <c r="DR66" t="s">
        <v>248</v>
      </c>
      <c r="DS66" t="s">
        <v>249</v>
      </c>
      <c r="DT66" t="s">
        <v>250</v>
      </c>
    </row>
    <row r="67" spans="1:124" ht="17.55" customHeight="1" x14ac:dyDescent="0.45">
      <c r="A67" t="s">
        <v>2695</v>
      </c>
      <c r="B67" t="s">
        <v>2696</v>
      </c>
      <c r="C67" t="s">
        <v>17</v>
      </c>
      <c r="D67" t="s">
        <v>167</v>
      </c>
      <c r="E67" t="s">
        <v>168</v>
      </c>
      <c r="I67" t="s">
        <v>2697</v>
      </c>
      <c r="J67">
        <f t="shared" si="10"/>
        <v>4.9703423776390762E-3</v>
      </c>
      <c r="K67">
        <f t="shared" si="11"/>
        <v>2.7695220000000003</v>
      </c>
      <c r="L67">
        <f t="shared" si="12"/>
        <v>4.9614382970713912E-3</v>
      </c>
      <c r="M67">
        <f t="shared" si="13"/>
        <v>0.18011721462288563</v>
      </c>
      <c r="N67" t="s">
        <v>2698</v>
      </c>
      <c r="O67" t="s">
        <v>2699</v>
      </c>
      <c r="P67">
        <f t="shared" si="14"/>
        <v>5.7715095955330389</v>
      </c>
      <c r="Q67">
        <f t="shared" si="15"/>
        <v>3.5169825955330389</v>
      </c>
      <c r="R67" t="s">
        <v>2700</v>
      </c>
      <c r="S67" t="s">
        <v>2701</v>
      </c>
      <c r="T67">
        <f t="shared" si="16"/>
        <v>57.205962885648127</v>
      </c>
      <c r="U67">
        <f t="shared" si="17"/>
        <v>0.4417875</v>
      </c>
      <c r="V67" t="s">
        <v>174</v>
      </c>
      <c r="W67" t="s">
        <v>2702</v>
      </c>
      <c r="X67" t="s">
        <v>176</v>
      </c>
      <c r="Y67" t="s">
        <v>176</v>
      </c>
      <c r="Z67" t="s">
        <v>176</v>
      </c>
      <c r="AA67" t="s">
        <v>2703</v>
      </c>
      <c r="AB67" t="s">
        <v>2704</v>
      </c>
      <c r="AC67" t="s">
        <v>2705</v>
      </c>
      <c r="AD67" t="s">
        <v>180</v>
      </c>
      <c r="AE67" t="s">
        <v>181</v>
      </c>
      <c r="AF67">
        <f t="shared" si="18"/>
        <v>233.91310319999999</v>
      </c>
      <c r="AG67" t="s">
        <v>182</v>
      </c>
      <c r="AH67" t="s">
        <v>2706</v>
      </c>
      <c r="AI67" t="s">
        <v>2707</v>
      </c>
      <c r="AJ67" t="s">
        <v>2708</v>
      </c>
      <c r="AK67" t="s">
        <v>2709</v>
      </c>
      <c r="AL67">
        <f t="shared" si="19"/>
        <v>35.39</v>
      </c>
      <c r="AM67" t="s">
        <v>2594</v>
      </c>
      <c r="AN67" t="s">
        <v>2710</v>
      </c>
      <c r="AO67" t="s">
        <v>2711</v>
      </c>
      <c r="AP67" t="s">
        <v>739</v>
      </c>
      <c r="AQ67" t="s">
        <v>2712</v>
      </c>
      <c r="AR67" t="s">
        <v>2713</v>
      </c>
      <c r="AS67" t="s">
        <v>223</v>
      </c>
      <c r="AT67" t="s">
        <v>910</v>
      </c>
      <c r="AU67" t="s">
        <v>2714</v>
      </c>
      <c r="AV67" t="s">
        <v>2715</v>
      </c>
      <c r="AW67" t="s">
        <v>2716</v>
      </c>
      <c r="AX67" t="s">
        <v>2565</v>
      </c>
      <c r="AY67" t="s">
        <v>2717</v>
      </c>
      <c r="AZ67" t="s">
        <v>1283</v>
      </c>
      <c r="BA67" t="s">
        <v>2680</v>
      </c>
      <c r="BB67" t="s">
        <v>2681</v>
      </c>
      <c r="BC67" t="s">
        <v>2718</v>
      </c>
      <c r="BD67" t="s">
        <v>17</v>
      </c>
      <c r="BE67" t="s">
        <v>2719</v>
      </c>
      <c r="BF67" t="s">
        <v>2720</v>
      </c>
      <c r="BG67" t="s">
        <v>2721</v>
      </c>
      <c r="BH67" t="s">
        <v>932</v>
      </c>
      <c r="BI67" t="s">
        <v>2105</v>
      </c>
      <c r="BJ67" t="s">
        <v>2497</v>
      </c>
      <c r="BK67" t="s">
        <v>17</v>
      </c>
      <c r="BL67" t="s">
        <v>2498</v>
      </c>
      <c r="BM67" t="s">
        <v>165</v>
      </c>
      <c r="BN67" t="s">
        <v>211</v>
      </c>
      <c r="BO67" t="s">
        <v>212</v>
      </c>
      <c r="BP67" t="s">
        <v>212</v>
      </c>
      <c r="BQ67" t="s">
        <v>2722</v>
      </c>
      <c r="BR67" t="s">
        <v>2723</v>
      </c>
      <c r="BS67" t="s">
        <v>2724</v>
      </c>
      <c r="BT67" t="s">
        <v>165</v>
      </c>
      <c r="BU67" t="s">
        <v>217</v>
      </c>
      <c r="BV67" t="s">
        <v>212</v>
      </c>
      <c r="BW67" t="s">
        <v>218</v>
      </c>
      <c r="BX67" t="s">
        <v>219</v>
      </c>
      <c r="BY67" t="s">
        <v>176</v>
      </c>
      <c r="BZ67" t="s">
        <v>220</v>
      </c>
      <c r="CA67" t="s">
        <v>176</v>
      </c>
      <c r="CB67" t="s">
        <v>176</v>
      </c>
      <c r="CC67" t="s">
        <v>221</v>
      </c>
      <c r="CD67" t="s">
        <v>222</v>
      </c>
      <c r="CE67" t="s">
        <v>223</v>
      </c>
      <c r="CF67" t="s">
        <v>224</v>
      </c>
      <c r="CG67" t="s">
        <v>225</v>
      </c>
      <c r="CH67" t="s">
        <v>226</v>
      </c>
      <c r="CI67" t="s">
        <v>182</v>
      </c>
      <c r="CJ67" t="s">
        <v>218</v>
      </c>
      <c r="CK67" t="s">
        <v>227</v>
      </c>
      <c r="CL67" t="s">
        <v>227</v>
      </c>
      <c r="CM67" t="s">
        <v>227</v>
      </c>
      <c r="CN67" t="s">
        <v>176</v>
      </c>
      <c r="CO67" t="s">
        <v>228</v>
      </c>
      <c r="CP67" t="s">
        <v>176</v>
      </c>
      <c r="CQ67" t="s">
        <v>176</v>
      </c>
      <c r="CR67" t="s">
        <v>176</v>
      </c>
      <c r="CS67" t="s">
        <v>176</v>
      </c>
      <c r="CT67" t="s">
        <v>2725</v>
      </c>
      <c r="CU67" t="s">
        <v>2726</v>
      </c>
      <c r="CV67" t="s">
        <v>2727</v>
      </c>
      <c r="CW67" t="s">
        <v>2728</v>
      </c>
      <c r="CX67" t="s">
        <v>2729</v>
      </c>
      <c r="CY67" t="s">
        <v>2730</v>
      </c>
      <c r="CZ67" t="s">
        <v>2731</v>
      </c>
      <c r="DA67" t="s">
        <v>2732</v>
      </c>
      <c r="DB67" t="s">
        <v>2703</v>
      </c>
      <c r="DC67" t="s">
        <v>2263</v>
      </c>
      <c r="DD67" t="s">
        <v>238</v>
      </c>
      <c r="DE67" t="s">
        <v>239</v>
      </c>
      <c r="DF67" t="s">
        <v>182</v>
      </c>
      <c r="DG67" t="s">
        <v>240</v>
      </c>
      <c r="DH67" t="s">
        <v>241</v>
      </c>
      <c r="DI67" t="s">
        <v>182</v>
      </c>
      <c r="DJ67" t="s">
        <v>242</v>
      </c>
      <c r="DK67" t="s">
        <v>243</v>
      </c>
      <c r="DL67" t="s">
        <v>244</v>
      </c>
      <c r="DM67" t="s">
        <v>176</v>
      </c>
      <c r="DN67" t="s">
        <v>2702</v>
      </c>
      <c r="DO67" t="s">
        <v>245</v>
      </c>
      <c r="DP67" t="s">
        <v>246</v>
      </c>
      <c r="DQ67" t="s">
        <v>247</v>
      </c>
      <c r="DR67" t="s">
        <v>248</v>
      </c>
      <c r="DS67" t="s">
        <v>249</v>
      </c>
      <c r="DT67" t="s">
        <v>250</v>
      </c>
    </row>
    <row r="68" spans="1:124" ht="17.55" customHeight="1" x14ac:dyDescent="0.45">
      <c r="A68" t="s">
        <v>2733</v>
      </c>
      <c r="B68" t="s">
        <v>2734</v>
      </c>
      <c r="C68" t="s">
        <v>17</v>
      </c>
      <c r="D68" t="s">
        <v>167</v>
      </c>
      <c r="E68" t="s">
        <v>168</v>
      </c>
      <c r="I68" t="s">
        <v>2735</v>
      </c>
      <c r="J68">
        <f t="shared" ref="J68:J76" si="20">1/((1/L68)-(1/K68))</f>
        <v>0.37687345641883963</v>
      </c>
      <c r="K68">
        <f t="shared" ref="K68:K76" si="21">BY68+(BZ68*AN68)+(CA68*AN68*POWER(V68,2))+(CB68*AN68*V68)+(CC68*POWER(AN68,2))</f>
        <v>2.6610399200000003</v>
      </c>
      <c r="L68">
        <f t="shared" ref="L68:L76" si="22">((M68/1000)*(1000-((T68+S68)/2)))/(T68-S68)</f>
        <v>0.33011978554211591</v>
      </c>
      <c r="M68">
        <f t="shared" ref="M68:M76" si="23">(AN68*(S68-R68))/(100*U68*(1000-S68))*1000</f>
        <v>7.6639665793569547</v>
      </c>
      <c r="N68" t="s">
        <v>2736</v>
      </c>
      <c r="O68" t="s">
        <v>2737</v>
      </c>
      <c r="P68">
        <f t="shared" ref="P68:P76" si="24">0.61365*EXP((17.502*AL68)/(240.97+AL68))</f>
        <v>4.845805807156526</v>
      </c>
      <c r="Q68">
        <f t="shared" ref="Q68:Q76" si="25">P68-N68</f>
        <v>2.2558378071565262</v>
      </c>
      <c r="R68" t="s">
        <v>2738</v>
      </c>
      <c r="S68" t="s">
        <v>2739</v>
      </c>
      <c r="T68">
        <f t="shared" ref="T68:T76" si="26">(P68/AM68)*1000</f>
        <v>48.030585857434097</v>
      </c>
      <c r="U68">
        <f t="shared" ref="U68:U76" si="27">V68*BX68</f>
        <v>0.4417875</v>
      </c>
      <c r="V68" t="s">
        <v>174</v>
      </c>
      <c r="W68" t="s">
        <v>2740</v>
      </c>
      <c r="X68" t="s">
        <v>176</v>
      </c>
      <c r="Y68" t="s">
        <v>176</v>
      </c>
      <c r="Z68" t="s">
        <v>176</v>
      </c>
      <c r="AA68" t="s">
        <v>2741</v>
      </c>
      <c r="AB68" t="s">
        <v>2742</v>
      </c>
      <c r="AC68" t="s">
        <v>2743</v>
      </c>
      <c r="AD68" t="s">
        <v>180</v>
      </c>
      <c r="AE68" t="s">
        <v>181</v>
      </c>
      <c r="AF68">
        <f t="shared" ref="AF68:AF76" si="28">AC68*AD68*AE68*AQ68</f>
        <v>26.006501220000001</v>
      </c>
      <c r="AG68" t="s">
        <v>182</v>
      </c>
      <c r="AH68" t="s">
        <v>2744</v>
      </c>
      <c r="AI68" t="s">
        <v>2745</v>
      </c>
      <c r="AJ68" t="s">
        <v>2668</v>
      </c>
      <c r="AK68" t="s">
        <v>2746</v>
      </c>
      <c r="AL68">
        <f t="shared" ref="AL68:AL76" si="29">(AK68-AJ68)*(AJ68*0+0)+AK68</f>
        <v>32.26</v>
      </c>
      <c r="AM68" t="s">
        <v>2594</v>
      </c>
      <c r="AN68" t="s">
        <v>2747</v>
      </c>
      <c r="AO68" t="s">
        <v>2748</v>
      </c>
      <c r="AP68" t="s">
        <v>1076</v>
      </c>
      <c r="AQ68" t="s">
        <v>2749</v>
      </c>
      <c r="AR68" t="s">
        <v>2750</v>
      </c>
      <c r="AS68" t="s">
        <v>1396</v>
      </c>
      <c r="AT68" t="s">
        <v>223</v>
      </c>
      <c r="AU68" t="s">
        <v>2751</v>
      </c>
      <c r="AV68" t="s">
        <v>2752</v>
      </c>
      <c r="AW68" t="s">
        <v>2753</v>
      </c>
      <c r="AX68" t="s">
        <v>2754</v>
      </c>
      <c r="AY68" t="s">
        <v>2755</v>
      </c>
      <c r="AZ68" t="s">
        <v>1283</v>
      </c>
      <c r="BA68" t="s">
        <v>2756</v>
      </c>
      <c r="BB68" t="s">
        <v>2757</v>
      </c>
      <c r="BC68" t="s">
        <v>2758</v>
      </c>
      <c r="BD68" t="s">
        <v>17</v>
      </c>
      <c r="BE68" t="s">
        <v>2719</v>
      </c>
      <c r="BF68" t="s">
        <v>544</v>
      </c>
      <c r="BG68" t="s">
        <v>2759</v>
      </c>
      <c r="BH68" t="s">
        <v>849</v>
      </c>
      <c r="BI68" t="s">
        <v>2069</v>
      </c>
      <c r="BJ68" t="s">
        <v>2497</v>
      </c>
      <c r="BK68" t="s">
        <v>17</v>
      </c>
      <c r="BL68" t="s">
        <v>2498</v>
      </c>
      <c r="BM68" t="s">
        <v>165</v>
      </c>
      <c r="BN68" t="s">
        <v>212</v>
      </c>
      <c r="BO68" t="s">
        <v>330</v>
      </c>
      <c r="BP68" t="s">
        <v>331</v>
      </c>
      <c r="BQ68" t="s">
        <v>2030</v>
      </c>
      <c r="BR68" t="s">
        <v>2760</v>
      </c>
      <c r="BS68" t="s">
        <v>2761</v>
      </c>
      <c r="BT68" t="s">
        <v>165</v>
      </c>
      <c r="BU68" t="s">
        <v>217</v>
      </c>
      <c r="BV68" t="s">
        <v>212</v>
      </c>
      <c r="BW68" t="s">
        <v>218</v>
      </c>
      <c r="BX68" t="s">
        <v>219</v>
      </c>
      <c r="BY68" t="s">
        <v>176</v>
      </c>
      <c r="BZ68" t="s">
        <v>220</v>
      </c>
      <c r="CA68" t="s">
        <v>176</v>
      </c>
      <c r="CB68" t="s">
        <v>176</v>
      </c>
      <c r="CC68" t="s">
        <v>221</v>
      </c>
      <c r="CD68" t="s">
        <v>222</v>
      </c>
      <c r="CE68" t="s">
        <v>223</v>
      </c>
      <c r="CF68" t="s">
        <v>224</v>
      </c>
      <c r="CG68" t="s">
        <v>225</v>
      </c>
      <c r="CH68" t="s">
        <v>226</v>
      </c>
      <c r="CI68" t="s">
        <v>182</v>
      </c>
      <c r="CJ68" t="s">
        <v>218</v>
      </c>
      <c r="CK68" t="s">
        <v>227</v>
      </c>
      <c r="CL68" t="s">
        <v>227</v>
      </c>
      <c r="CM68" t="s">
        <v>227</v>
      </c>
      <c r="CN68" t="s">
        <v>176</v>
      </c>
      <c r="CO68" t="s">
        <v>228</v>
      </c>
      <c r="CP68" t="s">
        <v>176</v>
      </c>
      <c r="CQ68" t="s">
        <v>176</v>
      </c>
      <c r="CR68" t="s">
        <v>176</v>
      </c>
      <c r="CS68" t="s">
        <v>176</v>
      </c>
      <c r="CT68" t="s">
        <v>2762</v>
      </c>
      <c r="CU68" t="s">
        <v>2763</v>
      </c>
      <c r="CV68" t="s">
        <v>2764</v>
      </c>
      <c r="CW68" t="s">
        <v>2765</v>
      </c>
      <c r="CX68" t="s">
        <v>2766</v>
      </c>
      <c r="CY68" t="s">
        <v>2767</v>
      </c>
      <c r="CZ68" t="s">
        <v>2768</v>
      </c>
      <c r="DA68" t="s">
        <v>2769</v>
      </c>
      <c r="DB68" t="s">
        <v>2741</v>
      </c>
      <c r="DC68" t="s">
        <v>513</v>
      </c>
      <c r="DD68" t="s">
        <v>238</v>
      </c>
      <c r="DE68" t="s">
        <v>239</v>
      </c>
      <c r="DF68" t="s">
        <v>182</v>
      </c>
      <c r="DG68" t="s">
        <v>240</v>
      </c>
      <c r="DH68" t="s">
        <v>241</v>
      </c>
      <c r="DI68" t="s">
        <v>182</v>
      </c>
      <c r="DJ68" t="s">
        <v>242</v>
      </c>
      <c r="DK68" t="s">
        <v>243</v>
      </c>
      <c r="DL68" t="s">
        <v>244</v>
      </c>
      <c r="DM68" t="s">
        <v>176</v>
      </c>
      <c r="DN68" t="s">
        <v>2740</v>
      </c>
      <c r="DO68" t="s">
        <v>245</v>
      </c>
      <c r="DP68" t="s">
        <v>246</v>
      </c>
      <c r="DQ68" t="s">
        <v>247</v>
      </c>
      <c r="DR68" t="s">
        <v>248</v>
      </c>
      <c r="DS68" t="s">
        <v>249</v>
      </c>
      <c r="DT68" t="s">
        <v>250</v>
      </c>
    </row>
    <row r="69" spans="1:124" ht="17.55" customHeight="1" x14ac:dyDescent="0.45">
      <c r="A69" t="s">
        <v>2770</v>
      </c>
      <c r="B69" t="s">
        <v>2771</v>
      </c>
      <c r="C69" t="s">
        <v>17</v>
      </c>
      <c r="D69" t="s">
        <v>167</v>
      </c>
      <c r="E69" t="s">
        <v>168</v>
      </c>
      <c r="I69" t="s">
        <v>2772</v>
      </c>
      <c r="J69">
        <f t="shared" si="20"/>
        <v>0.20628963071201201</v>
      </c>
      <c r="K69">
        <f t="shared" si="21"/>
        <v>2.7583803199999997</v>
      </c>
      <c r="L69">
        <f t="shared" si="22"/>
        <v>0.19193544881426722</v>
      </c>
      <c r="M69">
        <f t="shared" si="23"/>
        <v>5.0095821537357326</v>
      </c>
      <c r="N69" t="s">
        <v>2773</v>
      </c>
      <c r="O69" t="s">
        <v>2774</v>
      </c>
      <c r="P69">
        <f t="shared" si="24"/>
        <v>5.1120262537776666</v>
      </c>
      <c r="Q69">
        <f t="shared" si="25"/>
        <v>2.5326922537776668</v>
      </c>
      <c r="R69" t="s">
        <v>2775</v>
      </c>
      <c r="S69" t="s">
        <v>2776</v>
      </c>
      <c r="T69">
        <f t="shared" si="26"/>
        <v>50.674328447439201</v>
      </c>
      <c r="U69">
        <f t="shared" si="27"/>
        <v>0.4417875</v>
      </c>
      <c r="V69" t="s">
        <v>174</v>
      </c>
      <c r="W69" t="s">
        <v>2777</v>
      </c>
      <c r="X69" t="s">
        <v>176</v>
      </c>
      <c r="Y69" t="s">
        <v>176</v>
      </c>
      <c r="Z69" t="s">
        <v>176</v>
      </c>
      <c r="AA69" t="s">
        <v>2778</v>
      </c>
      <c r="AB69" t="s">
        <v>2779</v>
      </c>
      <c r="AC69" t="s">
        <v>2780</v>
      </c>
      <c r="AD69" t="s">
        <v>180</v>
      </c>
      <c r="AE69" t="s">
        <v>181</v>
      </c>
      <c r="AF69">
        <f t="shared" si="28"/>
        <v>16.740054239999999</v>
      </c>
      <c r="AG69" t="s">
        <v>182</v>
      </c>
      <c r="AH69" t="s">
        <v>2781</v>
      </c>
      <c r="AI69" t="s">
        <v>2782</v>
      </c>
      <c r="AJ69" t="s">
        <v>2783</v>
      </c>
      <c r="AK69" t="s">
        <v>2393</v>
      </c>
      <c r="AL69">
        <f t="shared" si="29"/>
        <v>33.21</v>
      </c>
      <c r="AM69" t="s">
        <v>2670</v>
      </c>
      <c r="AN69" t="s">
        <v>1475</v>
      </c>
      <c r="AO69" t="s">
        <v>948</v>
      </c>
      <c r="AP69" t="s">
        <v>531</v>
      </c>
      <c r="AQ69" t="s">
        <v>2264</v>
      </c>
      <c r="AR69" t="s">
        <v>2784</v>
      </c>
      <c r="AS69" t="s">
        <v>409</v>
      </c>
      <c r="AT69" t="s">
        <v>298</v>
      </c>
      <c r="AU69" t="s">
        <v>2785</v>
      </c>
      <c r="AV69" t="s">
        <v>2786</v>
      </c>
      <c r="AW69" t="s">
        <v>2787</v>
      </c>
      <c r="AX69" t="s">
        <v>2788</v>
      </c>
      <c r="AY69" t="s">
        <v>2789</v>
      </c>
      <c r="AZ69" t="s">
        <v>1283</v>
      </c>
      <c r="BA69" t="s">
        <v>2790</v>
      </c>
      <c r="BB69" t="s">
        <v>2791</v>
      </c>
      <c r="BC69" t="s">
        <v>2792</v>
      </c>
      <c r="BD69" t="s">
        <v>17</v>
      </c>
      <c r="BE69" t="s">
        <v>416</v>
      </c>
      <c r="BF69" t="s">
        <v>1406</v>
      </c>
      <c r="BG69" t="s">
        <v>2608</v>
      </c>
      <c r="BH69" t="s">
        <v>890</v>
      </c>
      <c r="BI69" t="s">
        <v>1912</v>
      </c>
      <c r="BJ69" t="s">
        <v>2497</v>
      </c>
      <c r="BK69" t="s">
        <v>17</v>
      </c>
      <c r="BL69" t="s">
        <v>2498</v>
      </c>
      <c r="BM69" t="s">
        <v>165</v>
      </c>
      <c r="BN69" t="s">
        <v>211</v>
      </c>
      <c r="BO69" t="s">
        <v>211</v>
      </c>
      <c r="BP69" t="s">
        <v>331</v>
      </c>
      <c r="BQ69" t="s">
        <v>838</v>
      </c>
      <c r="BR69" t="s">
        <v>2793</v>
      </c>
      <c r="BS69" t="s">
        <v>2794</v>
      </c>
      <c r="BT69" t="s">
        <v>165</v>
      </c>
      <c r="BU69" t="s">
        <v>217</v>
      </c>
      <c r="BV69" t="s">
        <v>212</v>
      </c>
      <c r="BW69" t="s">
        <v>218</v>
      </c>
      <c r="BX69" t="s">
        <v>219</v>
      </c>
      <c r="BY69" t="s">
        <v>176</v>
      </c>
      <c r="BZ69" t="s">
        <v>220</v>
      </c>
      <c r="CA69" t="s">
        <v>176</v>
      </c>
      <c r="CB69" t="s">
        <v>176</v>
      </c>
      <c r="CC69" t="s">
        <v>221</v>
      </c>
      <c r="CD69" t="s">
        <v>222</v>
      </c>
      <c r="CE69" t="s">
        <v>223</v>
      </c>
      <c r="CF69" t="s">
        <v>224</v>
      </c>
      <c r="CG69" t="s">
        <v>225</v>
      </c>
      <c r="CH69" t="s">
        <v>226</v>
      </c>
      <c r="CI69" t="s">
        <v>182</v>
      </c>
      <c r="CJ69" t="s">
        <v>218</v>
      </c>
      <c r="CK69" t="s">
        <v>227</v>
      </c>
      <c r="CL69" t="s">
        <v>227</v>
      </c>
      <c r="CM69" t="s">
        <v>227</v>
      </c>
      <c r="CN69" t="s">
        <v>176</v>
      </c>
      <c r="CO69" t="s">
        <v>228</v>
      </c>
      <c r="CP69" t="s">
        <v>176</v>
      </c>
      <c r="CQ69" t="s">
        <v>176</v>
      </c>
      <c r="CR69" t="s">
        <v>176</v>
      </c>
      <c r="CS69" t="s">
        <v>176</v>
      </c>
      <c r="CT69" t="s">
        <v>2795</v>
      </c>
      <c r="CU69" t="s">
        <v>2796</v>
      </c>
      <c r="CV69" t="s">
        <v>2797</v>
      </c>
      <c r="CW69" t="s">
        <v>2798</v>
      </c>
      <c r="CX69" t="s">
        <v>2799</v>
      </c>
      <c r="CY69" t="s">
        <v>2800</v>
      </c>
      <c r="CZ69" t="s">
        <v>2801</v>
      </c>
      <c r="DA69" t="s">
        <v>2802</v>
      </c>
      <c r="DB69" t="s">
        <v>2778</v>
      </c>
      <c r="DC69" t="s">
        <v>1738</v>
      </c>
      <c r="DD69" t="s">
        <v>238</v>
      </c>
      <c r="DE69" t="s">
        <v>239</v>
      </c>
      <c r="DF69" t="s">
        <v>182</v>
      </c>
      <c r="DG69" t="s">
        <v>240</v>
      </c>
      <c r="DH69" t="s">
        <v>241</v>
      </c>
      <c r="DI69" t="s">
        <v>182</v>
      </c>
      <c r="DJ69" t="s">
        <v>242</v>
      </c>
      <c r="DK69" t="s">
        <v>243</v>
      </c>
      <c r="DL69" t="s">
        <v>244</v>
      </c>
      <c r="DM69" t="s">
        <v>176</v>
      </c>
      <c r="DN69" t="s">
        <v>2777</v>
      </c>
      <c r="DO69" t="s">
        <v>245</v>
      </c>
      <c r="DP69" t="s">
        <v>246</v>
      </c>
      <c r="DQ69" t="s">
        <v>247</v>
      </c>
      <c r="DR69" t="s">
        <v>248</v>
      </c>
      <c r="DS69" t="s">
        <v>249</v>
      </c>
      <c r="DT69" t="s">
        <v>250</v>
      </c>
    </row>
    <row r="70" spans="1:124" ht="17.55" customHeight="1" x14ac:dyDescent="0.45">
      <c r="A70" t="s">
        <v>2803</v>
      </c>
      <c r="B70" t="s">
        <v>2804</v>
      </c>
      <c r="C70" t="s">
        <v>17</v>
      </c>
      <c r="D70" t="s">
        <v>167</v>
      </c>
      <c r="E70" t="s">
        <v>168</v>
      </c>
      <c r="I70" t="s">
        <v>2805</v>
      </c>
      <c r="J70">
        <f t="shared" si="20"/>
        <v>5.8446142541531923E-2</v>
      </c>
      <c r="K70">
        <f t="shared" si="21"/>
        <v>2.71647792</v>
      </c>
      <c r="L70">
        <f t="shared" si="22"/>
        <v>5.721513531358767E-2</v>
      </c>
      <c r="M70">
        <f t="shared" si="23"/>
        <v>2.0345349173418734</v>
      </c>
      <c r="N70" t="s">
        <v>2806</v>
      </c>
      <c r="O70" t="s">
        <v>2807</v>
      </c>
      <c r="P70">
        <f t="shared" si="24"/>
        <v>5.8548917501441586</v>
      </c>
      <c r="Q70">
        <f t="shared" si="25"/>
        <v>3.4401517501441585</v>
      </c>
      <c r="R70" t="s">
        <v>2808</v>
      </c>
      <c r="S70" t="s">
        <v>2809</v>
      </c>
      <c r="T70">
        <f t="shared" si="26"/>
        <v>58.038181504204587</v>
      </c>
      <c r="U70">
        <f t="shared" si="27"/>
        <v>0.4417875</v>
      </c>
      <c r="V70" t="s">
        <v>174</v>
      </c>
      <c r="W70" t="s">
        <v>2810</v>
      </c>
      <c r="X70" t="s">
        <v>176</v>
      </c>
      <c r="Y70" t="s">
        <v>176</v>
      </c>
      <c r="Z70" t="s">
        <v>176</v>
      </c>
      <c r="AA70" t="s">
        <v>2811</v>
      </c>
      <c r="AB70" t="s">
        <v>2812</v>
      </c>
      <c r="AC70" t="s">
        <v>2813</v>
      </c>
      <c r="AD70" t="s">
        <v>180</v>
      </c>
      <c r="AE70" t="s">
        <v>181</v>
      </c>
      <c r="AF70">
        <f t="shared" si="28"/>
        <v>118.71785393999998</v>
      </c>
      <c r="AG70" t="s">
        <v>182</v>
      </c>
      <c r="AH70" t="s">
        <v>2814</v>
      </c>
      <c r="AI70" t="s">
        <v>2815</v>
      </c>
      <c r="AJ70" t="s">
        <v>2816</v>
      </c>
      <c r="AK70" t="s">
        <v>2419</v>
      </c>
      <c r="AL70">
        <f t="shared" si="29"/>
        <v>35.65</v>
      </c>
      <c r="AM70" t="s">
        <v>2670</v>
      </c>
      <c r="AN70" t="s">
        <v>1754</v>
      </c>
      <c r="AO70" t="s">
        <v>2817</v>
      </c>
      <c r="AP70" t="s">
        <v>2818</v>
      </c>
      <c r="AQ70" t="s">
        <v>2819</v>
      </c>
      <c r="AR70" t="s">
        <v>2820</v>
      </c>
      <c r="AS70" t="s">
        <v>2821</v>
      </c>
      <c r="AT70" t="s">
        <v>223</v>
      </c>
      <c r="AU70" t="s">
        <v>2822</v>
      </c>
      <c r="AV70" t="s">
        <v>2823</v>
      </c>
      <c r="AW70" t="s">
        <v>2824</v>
      </c>
      <c r="AX70" t="s">
        <v>2825</v>
      </c>
      <c r="AY70" t="s">
        <v>2826</v>
      </c>
      <c r="AZ70" t="s">
        <v>1283</v>
      </c>
      <c r="BA70" t="s">
        <v>2827</v>
      </c>
      <c r="BB70" t="s">
        <v>2828</v>
      </c>
      <c r="BC70" t="s">
        <v>2829</v>
      </c>
      <c r="BD70" t="s">
        <v>17</v>
      </c>
      <c r="BE70" t="s">
        <v>2830</v>
      </c>
      <c r="BF70" t="s">
        <v>2831</v>
      </c>
      <c r="BG70" t="s">
        <v>2832</v>
      </c>
      <c r="BH70" t="s">
        <v>724</v>
      </c>
      <c r="BI70" t="s">
        <v>588</v>
      </c>
      <c r="BJ70" t="s">
        <v>2497</v>
      </c>
      <c r="BK70" t="s">
        <v>17</v>
      </c>
      <c r="BL70" t="s">
        <v>2498</v>
      </c>
      <c r="BM70" t="s">
        <v>165</v>
      </c>
      <c r="BN70" t="s">
        <v>212</v>
      </c>
      <c r="BO70" t="s">
        <v>284</v>
      </c>
      <c r="BP70" t="s">
        <v>458</v>
      </c>
      <c r="BQ70" t="s">
        <v>2833</v>
      </c>
      <c r="BR70" t="s">
        <v>2834</v>
      </c>
      <c r="BS70" t="s">
        <v>2835</v>
      </c>
      <c r="BT70" t="s">
        <v>165</v>
      </c>
      <c r="BU70" t="s">
        <v>217</v>
      </c>
      <c r="BV70" t="s">
        <v>212</v>
      </c>
      <c r="BW70" t="s">
        <v>218</v>
      </c>
      <c r="BX70" t="s">
        <v>219</v>
      </c>
      <c r="BY70" t="s">
        <v>176</v>
      </c>
      <c r="BZ70" t="s">
        <v>220</v>
      </c>
      <c r="CA70" t="s">
        <v>176</v>
      </c>
      <c r="CB70" t="s">
        <v>176</v>
      </c>
      <c r="CC70" t="s">
        <v>221</v>
      </c>
      <c r="CD70" t="s">
        <v>222</v>
      </c>
      <c r="CE70" t="s">
        <v>223</v>
      </c>
      <c r="CF70" t="s">
        <v>224</v>
      </c>
      <c r="CG70" t="s">
        <v>225</v>
      </c>
      <c r="CH70" t="s">
        <v>226</v>
      </c>
      <c r="CI70" t="s">
        <v>182</v>
      </c>
      <c r="CJ70" t="s">
        <v>218</v>
      </c>
      <c r="CK70" t="s">
        <v>227</v>
      </c>
      <c r="CL70" t="s">
        <v>227</v>
      </c>
      <c r="CM70" t="s">
        <v>227</v>
      </c>
      <c r="CN70" t="s">
        <v>176</v>
      </c>
      <c r="CO70" t="s">
        <v>228</v>
      </c>
      <c r="CP70" t="s">
        <v>176</v>
      </c>
      <c r="CQ70" t="s">
        <v>176</v>
      </c>
      <c r="CR70" t="s">
        <v>176</v>
      </c>
      <c r="CS70" t="s">
        <v>176</v>
      </c>
      <c r="CT70" t="s">
        <v>2836</v>
      </c>
      <c r="CU70" t="s">
        <v>2837</v>
      </c>
      <c r="CV70" t="s">
        <v>2838</v>
      </c>
      <c r="CW70" t="s">
        <v>2839</v>
      </c>
      <c r="CX70" t="s">
        <v>2840</v>
      </c>
      <c r="CY70" t="s">
        <v>2841</v>
      </c>
      <c r="CZ70" t="s">
        <v>2842</v>
      </c>
      <c r="DA70" t="s">
        <v>2843</v>
      </c>
      <c r="DB70" t="s">
        <v>2811</v>
      </c>
      <c r="DC70" t="s">
        <v>343</v>
      </c>
      <c r="DD70" t="s">
        <v>238</v>
      </c>
      <c r="DE70" t="s">
        <v>239</v>
      </c>
      <c r="DF70" t="s">
        <v>182</v>
      </c>
      <c r="DG70" t="s">
        <v>240</v>
      </c>
      <c r="DH70" t="s">
        <v>241</v>
      </c>
      <c r="DI70" t="s">
        <v>182</v>
      </c>
      <c r="DJ70" t="s">
        <v>242</v>
      </c>
      <c r="DK70" t="s">
        <v>243</v>
      </c>
      <c r="DL70" t="s">
        <v>244</v>
      </c>
      <c r="DM70" t="s">
        <v>176</v>
      </c>
      <c r="DN70" t="s">
        <v>2810</v>
      </c>
      <c r="DO70" t="s">
        <v>245</v>
      </c>
      <c r="DP70" t="s">
        <v>246</v>
      </c>
      <c r="DQ70" t="s">
        <v>247</v>
      </c>
      <c r="DR70" t="s">
        <v>248</v>
      </c>
      <c r="DS70" t="s">
        <v>249</v>
      </c>
      <c r="DT70" t="s">
        <v>250</v>
      </c>
    </row>
    <row r="71" spans="1:124" ht="17.55" customHeight="1" x14ac:dyDescent="0.45">
      <c r="A71" t="s">
        <v>2844</v>
      </c>
      <c r="B71" t="s">
        <v>2845</v>
      </c>
      <c r="C71" t="s">
        <v>17</v>
      </c>
      <c r="D71" t="s">
        <v>167</v>
      </c>
      <c r="E71" t="s">
        <v>168</v>
      </c>
      <c r="I71" t="s">
        <v>2846</v>
      </c>
      <c r="J71">
        <f t="shared" si="20"/>
        <v>0.27587999742841618</v>
      </c>
      <c r="K71">
        <f t="shared" si="21"/>
        <v>2.8199640800000001</v>
      </c>
      <c r="L71">
        <f t="shared" si="22"/>
        <v>0.25129549928265554</v>
      </c>
      <c r="M71">
        <f t="shared" si="23"/>
        <v>6.6540045130020671</v>
      </c>
      <c r="N71" t="s">
        <v>2847</v>
      </c>
      <c r="O71" t="s">
        <v>2848</v>
      </c>
      <c r="P71">
        <f t="shared" si="24"/>
        <v>5.1062931444775277</v>
      </c>
      <c r="Q71">
        <f t="shared" si="25"/>
        <v>2.5699041444775279</v>
      </c>
      <c r="R71" t="s">
        <v>2849</v>
      </c>
      <c r="S71" t="s">
        <v>2850</v>
      </c>
      <c r="T71">
        <f t="shared" si="26"/>
        <v>50.617497467065107</v>
      </c>
      <c r="U71">
        <f t="shared" si="27"/>
        <v>0.4417875</v>
      </c>
      <c r="V71" t="s">
        <v>174</v>
      </c>
      <c r="W71" t="s">
        <v>2851</v>
      </c>
      <c r="X71" t="s">
        <v>176</v>
      </c>
      <c r="Y71" t="s">
        <v>176</v>
      </c>
      <c r="Z71" t="s">
        <v>176</v>
      </c>
      <c r="AA71" t="s">
        <v>2852</v>
      </c>
      <c r="AB71" t="s">
        <v>2853</v>
      </c>
      <c r="AC71" t="s">
        <v>2854</v>
      </c>
      <c r="AD71" t="s">
        <v>180</v>
      </c>
      <c r="AE71" t="s">
        <v>181</v>
      </c>
      <c r="AF71">
        <f t="shared" si="28"/>
        <v>129.31213428000001</v>
      </c>
      <c r="AG71" t="s">
        <v>182</v>
      </c>
      <c r="AH71" t="s">
        <v>2855</v>
      </c>
      <c r="AI71" t="s">
        <v>749</v>
      </c>
      <c r="AJ71" t="s">
        <v>2856</v>
      </c>
      <c r="AK71" t="s">
        <v>2857</v>
      </c>
      <c r="AL71">
        <f t="shared" si="29"/>
        <v>33.19</v>
      </c>
      <c r="AM71" t="s">
        <v>2670</v>
      </c>
      <c r="AN71" t="s">
        <v>2858</v>
      </c>
      <c r="AO71" t="s">
        <v>2859</v>
      </c>
      <c r="AP71" t="s">
        <v>1635</v>
      </c>
      <c r="AQ71" t="s">
        <v>2860</v>
      </c>
      <c r="AR71" t="s">
        <v>2861</v>
      </c>
      <c r="AS71" t="s">
        <v>2674</v>
      </c>
      <c r="AT71" t="s">
        <v>1396</v>
      </c>
      <c r="AU71" t="s">
        <v>217</v>
      </c>
      <c r="AV71" t="s">
        <v>2862</v>
      </c>
      <c r="AW71" t="s">
        <v>2863</v>
      </c>
      <c r="AX71" t="s">
        <v>2864</v>
      </c>
      <c r="AY71" t="s">
        <v>2865</v>
      </c>
      <c r="AZ71" t="s">
        <v>1283</v>
      </c>
      <c r="BA71" t="s">
        <v>2866</v>
      </c>
      <c r="BB71" t="s">
        <v>2633</v>
      </c>
      <c r="BC71" t="s">
        <v>2867</v>
      </c>
      <c r="BD71" t="s">
        <v>17</v>
      </c>
      <c r="BE71" t="s">
        <v>2830</v>
      </c>
      <c r="BF71" t="s">
        <v>2868</v>
      </c>
      <c r="BG71" t="s">
        <v>2869</v>
      </c>
      <c r="BH71" t="s">
        <v>808</v>
      </c>
      <c r="BI71" t="s">
        <v>2870</v>
      </c>
      <c r="BJ71" t="s">
        <v>2871</v>
      </c>
      <c r="BK71" t="s">
        <v>17</v>
      </c>
      <c r="BL71" t="s">
        <v>2872</v>
      </c>
      <c r="BM71" t="s">
        <v>165</v>
      </c>
      <c r="BN71" t="s">
        <v>212</v>
      </c>
      <c r="BO71" t="s">
        <v>212</v>
      </c>
      <c r="BP71" t="s">
        <v>283</v>
      </c>
      <c r="BQ71" t="s">
        <v>2873</v>
      </c>
      <c r="BR71" t="s">
        <v>2874</v>
      </c>
      <c r="BS71" t="s">
        <v>2875</v>
      </c>
      <c r="BT71" t="s">
        <v>165</v>
      </c>
      <c r="BU71" t="s">
        <v>217</v>
      </c>
      <c r="BV71" t="s">
        <v>212</v>
      </c>
      <c r="BW71" t="s">
        <v>218</v>
      </c>
      <c r="BX71" t="s">
        <v>219</v>
      </c>
      <c r="BY71" t="s">
        <v>176</v>
      </c>
      <c r="BZ71" t="s">
        <v>220</v>
      </c>
      <c r="CA71" t="s">
        <v>176</v>
      </c>
      <c r="CB71" t="s">
        <v>176</v>
      </c>
      <c r="CC71" t="s">
        <v>221</v>
      </c>
      <c r="CD71" t="s">
        <v>222</v>
      </c>
      <c r="CE71" t="s">
        <v>223</v>
      </c>
      <c r="CF71" t="s">
        <v>224</v>
      </c>
      <c r="CG71" t="s">
        <v>225</v>
      </c>
      <c r="CH71" t="s">
        <v>226</v>
      </c>
      <c r="CI71" t="s">
        <v>182</v>
      </c>
      <c r="CJ71" t="s">
        <v>218</v>
      </c>
      <c r="CK71" t="s">
        <v>227</v>
      </c>
      <c r="CL71" t="s">
        <v>227</v>
      </c>
      <c r="CM71" t="s">
        <v>227</v>
      </c>
      <c r="CN71" t="s">
        <v>176</v>
      </c>
      <c r="CO71" t="s">
        <v>228</v>
      </c>
      <c r="CP71" t="s">
        <v>176</v>
      </c>
      <c r="CQ71" t="s">
        <v>176</v>
      </c>
      <c r="CR71" t="s">
        <v>176</v>
      </c>
      <c r="CS71" t="s">
        <v>176</v>
      </c>
      <c r="CT71" t="s">
        <v>2876</v>
      </c>
      <c r="CU71" t="s">
        <v>2877</v>
      </c>
      <c r="CV71" t="s">
        <v>2878</v>
      </c>
      <c r="CW71" t="s">
        <v>2879</v>
      </c>
      <c r="CX71" t="s">
        <v>2880</v>
      </c>
      <c r="CY71" t="s">
        <v>2881</v>
      </c>
      <c r="CZ71" t="s">
        <v>2882</v>
      </c>
      <c r="DA71" t="s">
        <v>2883</v>
      </c>
      <c r="DB71" t="s">
        <v>2852</v>
      </c>
      <c r="DC71" t="s">
        <v>1259</v>
      </c>
      <c r="DD71" t="s">
        <v>238</v>
      </c>
      <c r="DE71" t="s">
        <v>239</v>
      </c>
      <c r="DF71" t="s">
        <v>182</v>
      </c>
      <c r="DG71" t="s">
        <v>240</v>
      </c>
      <c r="DH71" t="s">
        <v>241</v>
      </c>
      <c r="DI71" t="s">
        <v>182</v>
      </c>
      <c r="DJ71" t="s">
        <v>242</v>
      </c>
      <c r="DK71" t="s">
        <v>243</v>
      </c>
      <c r="DL71" t="s">
        <v>244</v>
      </c>
      <c r="DM71" t="s">
        <v>176</v>
      </c>
      <c r="DN71" t="s">
        <v>2851</v>
      </c>
      <c r="DO71" t="s">
        <v>245</v>
      </c>
      <c r="DP71" t="s">
        <v>246</v>
      </c>
      <c r="DQ71" t="s">
        <v>247</v>
      </c>
      <c r="DR71" t="s">
        <v>248</v>
      </c>
      <c r="DS71" t="s">
        <v>249</v>
      </c>
      <c r="DT71" t="s">
        <v>250</v>
      </c>
    </row>
    <row r="72" spans="1:124" ht="17.55" customHeight="1" x14ac:dyDescent="0.45">
      <c r="A72" t="s">
        <v>2884</v>
      </c>
      <c r="B72" t="s">
        <v>2885</v>
      </c>
      <c r="C72" t="s">
        <v>17</v>
      </c>
      <c r="D72" t="s">
        <v>167</v>
      </c>
      <c r="E72" t="s">
        <v>168</v>
      </c>
      <c r="I72" t="s">
        <v>2886</v>
      </c>
      <c r="J72">
        <f t="shared" si="20"/>
        <v>0.69803741742896697</v>
      </c>
      <c r="K72">
        <f t="shared" si="21"/>
        <v>2.7418804799999998</v>
      </c>
      <c r="L72">
        <f t="shared" si="22"/>
        <v>0.55638978203188882</v>
      </c>
      <c r="M72">
        <f t="shared" si="23"/>
        <v>11.343566213825923</v>
      </c>
      <c r="N72" t="s">
        <v>2887</v>
      </c>
      <c r="O72" t="s">
        <v>2888</v>
      </c>
      <c r="P72">
        <f t="shared" si="24"/>
        <v>4.5319974590347263</v>
      </c>
      <c r="Q72">
        <f t="shared" si="25"/>
        <v>1.9845354590347264</v>
      </c>
      <c r="R72" t="s">
        <v>2889</v>
      </c>
      <c r="S72" t="s">
        <v>2890</v>
      </c>
      <c r="T72">
        <f t="shared" si="26"/>
        <v>44.924637777901729</v>
      </c>
      <c r="U72">
        <f t="shared" si="27"/>
        <v>0.4417875</v>
      </c>
      <c r="V72" t="s">
        <v>174</v>
      </c>
      <c r="W72" t="s">
        <v>2891</v>
      </c>
      <c r="X72" t="s">
        <v>176</v>
      </c>
      <c r="Y72" t="s">
        <v>176</v>
      </c>
      <c r="Z72" t="s">
        <v>176</v>
      </c>
      <c r="AA72" t="s">
        <v>2892</v>
      </c>
      <c r="AB72" t="s">
        <v>2893</v>
      </c>
      <c r="AC72" t="s">
        <v>2894</v>
      </c>
      <c r="AD72" t="s">
        <v>180</v>
      </c>
      <c r="AE72" t="s">
        <v>181</v>
      </c>
      <c r="AF72">
        <f t="shared" si="28"/>
        <v>64.944694499999997</v>
      </c>
      <c r="AG72" t="s">
        <v>182</v>
      </c>
      <c r="AH72" t="s">
        <v>2895</v>
      </c>
      <c r="AI72" t="s">
        <v>2896</v>
      </c>
      <c r="AJ72" t="s">
        <v>2856</v>
      </c>
      <c r="AK72" t="s">
        <v>2897</v>
      </c>
      <c r="AL72">
        <f t="shared" si="29"/>
        <v>31.08</v>
      </c>
      <c r="AM72" t="s">
        <v>2670</v>
      </c>
      <c r="AN72" t="s">
        <v>2523</v>
      </c>
      <c r="AO72" t="s">
        <v>1354</v>
      </c>
      <c r="AP72" t="s">
        <v>907</v>
      </c>
      <c r="AQ72" t="s">
        <v>2898</v>
      </c>
      <c r="AR72" t="s">
        <v>2899</v>
      </c>
      <c r="AS72" t="s">
        <v>911</v>
      </c>
      <c r="AT72" t="s">
        <v>2900</v>
      </c>
      <c r="AU72" t="s">
        <v>1037</v>
      </c>
      <c r="AV72" t="s">
        <v>627</v>
      </c>
      <c r="AW72" t="s">
        <v>2901</v>
      </c>
      <c r="AX72" t="s">
        <v>2902</v>
      </c>
      <c r="AY72" t="s">
        <v>2903</v>
      </c>
      <c r="AZ72" t="s">
        <v>1283</v>
      </c>
      <c r="BA72" t="s">
        <v>2866</v>
      </c>
      <c r="BB72" t="s">
        <v>2633</v>
      </c>
      <c r="BC72" t="s">
        <v>2904</v>
      </c>
      <c r="BD72" t="s">
        <v>17</v>
      </c>
      <c r="BE72" t="s">
        <v>2288</v>
      </c>
      <c r="BF72" t="s">
        <v>1842</v>
      </c>
      <c r="BG72" t="s">
        <v>751</v>
      </c>
      <c r="BH72" t="s">
        <v>808</v>
      </c>
      <c r="BI72" t="s">
        <v>2870</v>
      </c>
      <c r="BJ72" t="s">
        <v>2871</v>
      </c>
      <c r="BK72" t="s">
        <v>17</v>
      </c>
      <c r="BL72" t="s">
        <v>2872</v>
      </c>
      <c r="BM72" t="s">
        <v>165</v>
      </c>
      <c r="BN72" t="s">
        <v>754</v>
      </c>
      <c r="BO72" t="s">
        <v>330</v>
      </c>
      <c r="BP72" t="s">
        <v>1567</v>
      </c>
      <c r="BQ72" t="s">
        <v>2905</v>
      </c>
      <c r="BR72" t="s">
        <v>2252</v>
      </c>
      <c r="BS72" t="s">
        <v>2906</v>
      </c>
      <c r="BT72" t="s">
        <v>165</v>
      </c>
      <c r="BU72" t="s">
        <v>217</v>
      </c>
      <c r="BV72" t="s">
        <v>212</v>
      </c>
      <c r="BW72" t="s">
        <v>218</v>
      </c>
      <c r="BX72" t="s">
        <v>219</v>
      </c>
      <c r="BY72" t="s">
        <v>176</v>
      </c>
      <c r="BZ72" t="s">
        <v>220</v>
      </c>
      <c r="CA72" t="s">
        <v>176</v>
      </c>
      <c r="CB72" t="s">
        <v>176</v>
      </c>
      <c r="CC72" t="s">
        <v>221</v>
      </c>
      <c r="CD72" t="s">
        <v>222</v>
      </c>
      <c r="CE72" t="s">
        <v>223</v>
      </c>
      <c r="CF72" t="s">
        <v>224</v>
      </c>
      <c r="CG72" t="s">
        <v>225</v>
      </c>
      <c r="CH72" t="s">
        <v>226</v>
      </c>
      <c r="CI72" t="s">
        <v>182</v>
      </c>
      <c r="CJ72" t="s">
        <v>218</v>
      </c>
      <c r="CK72" t="s">
        <v>227</v>
      </c>
      <c r="CL72" t="s">
        <v>227</v>
      </c>
      <c r="CM72" t="s">
        <v>227</v>
      </c>
      <c r="CN72" t="s">
        <v>176</v>
      </c>
      <c r="CO72" t="s">
        <v>228</v>
      </c>
      <c r="CP72" t="s">
        <v>176</v>
      </c>
      <c r="CQ72" t="s">
        <v>176</v>
      </c>
      <c r="CR72" t="s">
        <v>176</v>
      </c>
      <c r="CS72" t="s">
        <v>176</v>
      </c>
      <c r="CT72" t="s">
        <v>2907</v>
      </c>
      <c r="CU72" t="s">
        <v>2908</v>
      </c>
      <c r="CV72" t="s">
        <v>2909</v>
      </c>
      <c r="CW72" t="s">
        <v>2910</v>
      </c>
      <c r="CX72" t="s">
        <v>2911</v>
      </c>
      <c r="CY72" t="s">
        <v>2912</v>
      </c>
      <c r="CZ72" t="s">
        <v>2913</v>
      </c>
      <c r="DA72" t="s">
        <v>2914</v>
      </c>
      <c r="DB72" t="s">
        <v>2892</v>
      </c>
      <c r="DC72" t="s">
        <v>766</v>
      </c>
      <c r="DD72" t="s">
        <v>238</v>
      </c>
      <c r="DE72" t="s">
        <v>239</v>
      </c>
      <c r="DF72" t="s">
        <v>182</v>
      </c>
      <c r="DG72" t="s">
        <v>240</v>
      </c>
      <c r="DH72" t="s">
        <v>241</v>
      </c>
      <c r="DI72" t="s">
        <v>182</v>
      </c>
      <c r="DJ72" t="s">
        <v>242</v>
      </c>
      <c r="DK72" t="s">
        <v>243</v>
      </c>
      <c r="DL72" t="s">
        <v>244</v>
      </c>
      <c r="DM72" t="s">
        <v>176</v>
      </c>
      <c r="DN72" t="s">
        <v>2891</v>
      </c>
      <c r="DO72" t="s">
        <v>245</v>
      </c>
      <c r="DP72" t="s">
        <v>246</v>
      </c>
      <c r="DQ72" t="s">
        <v>247</v>
      </c>
      <c r="DR72" t="s">
        <v>248</v>
      </c>
      <c r="DS72" t="s">
        <v>249</v>
      </c>
      <c r="DT72" t="s">
        <v>250</v>
      </c>
    </row>
    <row r="73" spans="1:124" ht="17.55" customHeight="1" x14ac:dyDescent="0.45">
      <c r="A73" t="s">
        <v>2915</v>
      </c>
      <c r="B73" t="s">
        <v>2916</v>
      </c>
      <c r="C73" t="s">
        <v>17</v>
      </c>
      <c r="D73" t="s">
        <v>167</v>
      </c>
      <c r="E73" t="s">
        <v>168</v>
      </c>
      <c r="I73" t="s">
        <v>2917</v>
      </c>
      <c r="J73">
        <f t="shared" si="20"/>
        <v>0.412516668821164</v>
      </c>
      <c r="K73">
        <f t="shared" si="21"/>
        <v>2.76851592</v>
      </c>
      <c r="L73">
        <f t="shared" si="22"/>
        <v>0.35902146017309039</v>
      </c>
      <c r="M73">
        <f t="shared" si="23"/>
        <v>8.5280020872775975</v>
      </c>
      <c r="N73" t="s">
        <v>2918</v>
      </c>
      <c r="O73" t="s">
        <v>2919</v>
      </c>
      <c r="P73">
        <f t="shared" si="24"/>
        <v>4.7696804419119347</v>
      </c>
      <c r="Q73">
        <f t="shared" si="25"/>
        <v>2.3107304419119346</v>
      </c>
      <c r="R73" t="s">
        <v>2920</v>
      </c>
      <c r="S73" t="s">
        <v>2921</v>
      </c>
      <c r="T73">
        <f t="shared" si="26"/>
        <v>47.276047595519223</v>
      </c>
      <c r="U73">
        <f t="shared" si="27"/>
        <v>0.4417875</v>
      </c>
      <c r="V73" t="s">
        <v>174</v>
      </c>
      <c r="W73" t="s">
        <v>2922</v>
      </c>
      <c r="X73" t="s">
        <v>176</v>
      </c>
      <c r="Y73" t="s">
        <v>176</v>
      </c>
      <c r="Z73" t="s">
        <v>176</v>
      </c>
      <c r="AA73" t="s">
        <v>2923</v>
      </c>
      <c r="AB73" t="s">
        <v>2924</v>
      </c>
      <c r="AC73" t="s">
        <v>2925</v>
      </c>
      <c r="AD73" t="s">
        <v>180</v>
      </c>
      <c r="AE73" t="s">
        <v>181</v>
      </c>
      <c r="AF73">
        <f t="shared" si="28"/>
        <v>23.965297020000001</v>
      </c>
      <c r="AG73" t="s">
        <v>182</v>
      </c>
      <c r="AH73" t="s">
        <v>2926</v>
      </c>
      <c r="AI73" t="s">
        <v>2927</v>
      </c>
      <c r="AJ73" t="s">
        <v>1316</v>
      </c>
      <c r="AK73" t="s">
        <v>2928</v>
      </c>
      <c r="AL73">
        <f t="shared" si="29"/>
        <v>31.98</v>
      </c>
      <c r="AM73" t="s">
        <v>2594</v>
      </c>
      <c r="AN73" t="s">
        <v>2929</v>
      </c>
      <c r="AO73" t="s">
        <v>2635</v>
      </c>
      <c r="AP73" t="s">
        <v>825</v>
      </c>
      <c r="AQ73" t="s">
        <v>2930</v>
      </c>
      <c r="AR73" t="s">
        <v>2899</v>
      </c>
      <c r="AS73" t="s">
        <v>194</v>
      </c>
      <c r="AT73" t="s">
        <v>2931</v>
      </c>
      <c r="AU73" t="s">
        <v>2932</v>
      </c>
      <c r="AV73" t="s">
        <v>2933</v>
      </c>
      <c r="AW73" t="s">
        <v>2934</v>
      </c>
      <c r="AX73" t="s">
        <v>2935</v>
      </c>
      <c r="AY73" t="s">
        <v>2936</v>
      </c>
      <c r="AZ73" t="s">
        <v>1283</v>
      </c>
      <c r="BA73" t="s">
        <v>2937</v>
      </c>
      <c r="BB73" t="s">
        <v>2938</v>
      </c>
      <c r="BC73" t="s">
        <v>2939</v>
      </c>
      <c r="BD73" t="s">
        <v>17</v>
      </c>
      <c r="BE73" t="s">
        <v>917</v>
      </c>
      <c r="BF73" t="s">
        <v>795</v>
      </c>
      <c r="BG73" t="s">
        <v>2940</v>
      </c>
      <c r="BH73" t="s">
        <v>849</v>
      </c>
      <c r="BI73" t="s">
        <v>2069</v>
      </c>
      <c r="BJ73" t="s">
        <v>2871</v>
      </c>
      <c r="BK73" t="s">
        <v>17</v>
      </c>
      <c r="BL73" t="s">
        <v>2872</v>
      </c>
      <c r="BM73" t="s">
        <v>165</v>
      </c>
      <c r="BN73" t="s">
        <v>211</v>
      </c>
      <c r="BO73" t="s">
        <v>212</v>
      </c>
      <c r="BP73" t="s">
        <v>213</v>
      </c>
      <c r="BQ73" t="s">
        <v>2941</v>
      </c>
      <c r="BR73" t="s">
        <v>2942</v>
      </c>
      <c r="BS73" t="s">
        <v>2943</v>
      </c>
      <c r="BT73" t="s">
        <v>165</v>
      </c>
      <c r="BU73" t="s">
        <v>217</v>
      </c>
      <c r="BV73" t="s">
        <v>212</v>
      </c>
      <c r="BW73" t="s">
        <v>218</v>
      </c>
      <c r="BX73" t="s">
        <v>219</v>
      </c>
      <c r="BY73" t="s">
        <v>176</v>
      </c>
      <c r="BZ73" t="s">
        <v>220</v>
      </c>
      <c r="CA73" t="s">
        <v>176</v>
      </c>
      <c r="CB73" t="s">
        <v>176</v>
      </c>
      <c r="CC73" t="s">
        <v>221</v>
      </c>
      <c r="CD73" t="s">
        <v>222</v>
      </c>
      <c r="CE73" t="s">
        <v>223</v>
      </c>
      <c r="CF73" t="s">
        <v>224</v>
      </c>
      <c r="CG73" t="s">
        <v>225</v>
      </c>
      <c r="CH73" t="s">
        <v>226</v>
      </c>
      <c r="CI73" t="s">
        <v>182</v>
      </c>
      <c r="CJ73" t="s">
        <v>218</v>
      </c>
      <c r="CK73" t="s">
        <v>227</v>
      </c>
      <c r="CL73" t="s">
        <v>227</v>
      </c>
      <c r="CM73" t="s">
        <v>227</v>
      </c>
      <c r="CN73" t="s">
        <v>176</v>
      </c>
      <c r="CO73" t="s">
        <v>228</v>
      </c>
      <c r="CP73" t="s">
        <v>176</v>
      </c>
      <c r="CQ73" t="s">
        <v>176</v>
      </c>
      <c r="CR73" t="s">
        <v>176</v>
      </c>
      <c r="CS73" t="s">
        <v>176</v>
      </c>
      <c r="CT73" t="s">
        <v>2944</v>
      </c>
      <c r="CU73" t="s">
        <v>2945</v>
      </c>
      <c r="CV73" t="s">
        <v>2946</v>
      </c>
      <c r="CW73" t="s">
        <v>2947</v>
      </c>
      <c r="CX73" t="s">
        <v>2948</v>
      </c>
      <c r="CY73" t="s">
        <v>2949</v>
      </c>
      <c r="CZ73" t="s">
        <v>2950</v>
      </c>
      <c r="DA73" t="s">
        <v>2951</v>
      </c>
      <c r="DB73" t="s">
        <v>2923</v>
      </c>
      <c r="DC73" t="s">
        <v>1179</v>
      </c>
      <c r="DD73" t="s">
        <v>238</v>
      </c>
      <c r="DE73" t="s">
        <v>239</v>
      </c>
      <c r="DF73" t="s">
        <v>182</v>
      </c>
      <c r="DG73" t="s">
        <v>240</v>
      </c>
      <c r="DH73" t="s">
        <v>241</v>
      </c>
      <c r="DI73" t="s">
        <v>182</v>
      </c>
      <c r="DJ73" t="s">
        <v>242</v>
      </c>
      <c r="DK73" t="s">
        <v>243</v>
      </c>
      <c r="DL73" t="s">
        <v>244</v>
      </c>
      <c r="DM73" t="s">
        <v>176</v>
      </c>
      <c r="DN73" t="s">
        <v>2922</v>
      </c>
      <c r="DO73" t="s">
        <v>245</v>
      </c>
      <c r="DP73" t="s">
        <v>246</v>
      </c>
      <c r="DQ73" t="s">
        <v>247</v>
      </c>
      <c r="DR73" t="s">
        <v>248</v>
      </c>
      <c r="DS73" t="s">
        <v>249</v>
      </c>
      <c r="DT73" t="s">
        <v>250</v>
      </c>
    </row>
    <row r="74" spans="1:124" ht="17.55" customHeight="1" x14ac:dyDescent="0.45">
      <c r="A74" t="s">
        <v>2952</v>
      </c>
      <c r="B74" t="s">
        <v>2953</v>
      </c>
      <c r="C74" t="s">
        <v>17</v>
      </c>
      <c r="D74" t="s">
        <v>167</v>
      </c>
      <c r="E74" t="s">
        <v>168</v>
      </c>
      <c r="I74" t="s">
        <v>2954</v>
      </c>
      <c r="J74">
        <f t="shared" si="20"/>
        <v>0.39653973604176468</v>
      </c>
      <c r="K74">
        <f t="shared" si="21"/>
        <v>2.76851592</v>
      </c>
      <c r="L74">
        <f t="shared" si="22"/>
        <v>0.34685853629416774</v>
      </c>
      <c r="M74">
        <f t="shared" si="23"/>
        <v>8.0703465001793528</v>
      </c>
      <c r="N74" t="s">
        <v>2955</v>
      </c>
      <c r="O74" t="s">
        <v>2956</v>
      </c>
      <c r="P74">
        <f t="shared" si="24"/>
        <v>4.7293288978029242</v>
      </c>
      <c r="Q74">
        <f t="shared" si="25"/>
        <v>2.2635218978029243</v>
      </c>
      <c r="R74" t="s">
        <v>2957</v>
      </c>
      <c r="S74" t="s">
        <v>2958</v>
      </c>
      <c r="T74">
        <f t="shared" si="26"/>
        <v>46.880738479410432</v>
      </c>
      <c r="U74">
        <f t="shared" si="27"/>
        <v>0.4417875</v>
      </c>
      <c r="V74" t="s">
        <v>174</v>
      </c>
      <c r="W74" t="s">
        <v>2959</v>
      </c>
      <c r="X74" t="s">
        <v>176</v>
      </c>
      <c r="Y74" t="s">
        <v>176</v>
      </c>
      <c r="Z74" t="s">
        <v>176</v>
      </c>
      <c r="AA74" t="s">
        <v>2960</v>
      </c>
      <c r="AB74" t="s">
        <v>2961</v>
      </c>
      <c r="AC74" t="s">
        <v>2962</v>
      </c>
      <c r="AD74" t="s">
        <v>180</v>
      </c>
      <c r="AE74" t="s">
        <v>181</v>
      </c>
      <c r="AF74">
        <f t="shared" si="28"/>
        <v>39.307356480000003</v>
      </c>
      <c r="AG74" t="s">
        <v>182</v>
      </c>
      <c r="AH74" t="s">
        <v>2963</v>
      </c>
      <c r="AI74" t="s">
        <v>2964</v>
      </c>
      <c r="AJ74" t="s">
        <v>2965</v>
      </c>
      <c r="AK74" t="s">
        <v>2420</v>
      </c>
      <c r="AL74">
        <f t="shared" si="29"/>
        <v>31.83</v>
      </c>
      <c r="AM74" t="s">
        <v>2670</v>
      </c>
      <c r="AN74" t="s">
        <v>2929</v>
      </c>
      <c r="AO74" t="s">
        <v>2966</v>
      </c>
      <c r="AP74" t="s">
        <v>1277</v>
      </c>
      <c r="AQ74" t="s">
        <v>2967</v>
      </c>
      <c r="AR74" t="s">
        <v>2899</v>
      </c>
      <c r="AS74" t="s">
        <v>1396</v>
      </c>
      <c r="AT74" t="s">
        <v>223</v>
      </c>
      <c r="AU74" t="s">
        <v>1157</v>
      </c>
      <c r="AV74" t="s">
        <v>2968</v>
      </c>
      <c r="AW74" t="s">
        <v>2969</v>
      </c>
      <c r="AX74" t="s">
        <v>2754</v>
      </c>
      <c r="AY74" t="s">
        <v>2970</v>
      </c>
      <c r="AZ74" t="s">
        <v>1283</v>
      </c>
      <c r="BA74" t="s">
        <v>2971</v>
      </c>
      <c r="BB74" t="s">
        <v>2972</v>
      </c>
      <c r="BC74" t="s">
        <v>2973</v>
      </c>
      <c r="BD74" t="s">
        <v>17</v>
      </c>
      <c r="BE74" t="s">
        <v>917</v>
      </c>
      <c r="BF74" t="s">
        <v>669</v>
      </c>
      <c r="BG74" t="s">
        <v>2974</v>
      </c>
      <c r="BH74" t="s">
        <v>808</v>
      </c>
      <c r="BI74" t="s">
        <v>2870</v>
      </c>
      <c r="BJ74" t="s">
        <v>2871</v>
      </c>
      <c r="BK74" t="s">
        <v>17</v>
      </c>
      <c r="BL74" t="s">
        <v>2872</v>
      </c>
      <c r="BM74" t="s">
        <v>165</v>
      </c>
      <c r="BN74" t="s">
        <v>212</v>
      </c>
      <c r="BO74" t="s">
        <v>211</v>
      </c>
      <c r="BP74" t="s">
        <v>331</v>
      </c>
      <c r="BQ74" t="s">
        <v>2975</v>
      </c>
      <c r="BR74" t="s">
        <v>2976</v>
      </c>
      <c r="BS74" t="s">
        <v>2977</v>
      </c>
      <c r="BT74" t="s">
        <v>165</v>
      </c>
      <c r="BU74" t="s">
        <v>217</v>
      </c>
      <c r="BV74" t="s">
        <v>212</v>
      </c>
      <c r="BW74" t="s">
        <v>218</v>
      </c>
      <c r="BX74" t="s">
        <v>219</v>
      </c>
      <c r="BY74" t="s">
        <v>176</v>
      </c>
      <c r="BZ74" t="s">
        <v>220</v>
      </c>
      <c r="CA74" t="s">
        <v>176</v>
      </c>
      <c r="CB74" t="s">
        <v>176</v>
      </c>
      <c r="CC74" t="s">
        <v>221</v>
      </c>
      <c r="CD74" t="s">
        <v>222</v>
      </c>
      <c r="CE74" t="s">
        <v>223</v>
      </c>
      <c r="CF74" t="s">
        <v>224</v>
      </c>
      <c r="CG74" t="s">
        <v>225</v>
      </c>
      <c r="CH74" t="s">
        <v>226</v>
      </c>
      <c r="CI74" t="s">
        <v>182</v>
      </c>
      <c r="CJ74" t="s">
        <v>218</v>
      </c>
      <c r="CK74" t="s">
        <v>227</v>
      </c>
      <c r="CL74" t="s">
        <v>227</v>
      </c>
      <c r="CM74" t="s">
        <v>227</v>
      </c>
      <c r="CN74" t="s">
        <v>176</v>
      </c>
      <c r="CO74" t="s">
        <v>228</v>
      </c>
      <c r="CP74" t="s">
        <v>176</v>
      </c>
      <c r="CQ74" t="s">
        <v>176</v>
      </c>
      <c r="CR74" t="s">
        <v>176</v>
      </c>
      <c r="CS74" t="s">
        <v>176</v>
      </c>
      <c r="CT74" t="s">
        <v>2978</v>
      </c>
      <c r="CU74" t="s">
        <v>2979</v>
      </c>
      <c r="CV74" t="s">
        <v>2980</v>
      </c>
      <c r="CW74" t="s">
        <v>2981</v>
      </c>
      <c r="CX74" t="s">
        <v>2982</v>
      </c>
      <c r="CY74" t="s">
        <v>2983</v>
      </c>
      <c r="CZ74" t="s">
        <v>2984</v>
      </c>
      <c r="DA74" t="s">
        <v>2985</v>
      </c>
      <c r="DB74" t="s">
        <v>2960</v>
      </c>
      <c r="DC74" t="s">
        <v>1338</v>
      </c>
      <c r="DD74" t="s">
        <v>238</v>
      </c>
      <c r="DE74" t="s">
        <v>239</v>
      </c>
      <c r="DF74" t="s">
        <v>182</v>
      </c>
      <c r="DG74" t="s">
        <v>240</v>
      </c>
      <c r="DH74" t="s">
        <v>241</v>
      </c>
      <c r="DI74" t="s">
        <v>182</v>
      </c>
      <c r="DJ74" t="s">
        <v>242</v>
      </c>
      <c r="DK74" t="s">
        <v>243</v>
      </c>
      <c r="DL74" t="s">
        <v>244</v>
      </c>
      <c r="DM74" t="s">
        <v>176</v>
      </c>
      <c r="DN74" t="s">
        <v>2959</v>
      </c>
      <c r="DO74" t="s">
        <v>245</v>
      </c>
      <c r="DP74" t="s">
        <v>246</v>
      </c>
      <c r="DQ74" t="s">
        <v>247</v>
      </c>
      <c r="DR74" t="s">
        <v>248</v>
      </c>
      <c r="DS74" t="s">
        <v>249</v>
      </c>
      <c r="DT74" t="s">
        <v>250</v>
      </c>
    </row>
    <row r="75" spans="1:124" ht="17.55" customHeight="1" x14ac:dyDescent="0.45">
      <c r="A75" t="s">
        <v>2986</v>
      </c>
      <c r="B75" t="s">
        <v>2987</v>
      </c>
      <c r="C75" t="s">
        <v>17</v>
      </c>
      <c r="D75" t="s">
        <v>167</v>
      </c>
      <c r="E75" t="s">
        <v>168</v>
      </c>
      <c r="I75" t="s">
        <v>2988</v>
      </c>
      <c r="J75">
        <f t="shared" si="20"/>
        <v>1.4864323963243159E-2</v>
      </c>
      <c r="K75">
        <f t="shared" si="21"/>
        <v>2.7186247199999998</v>
      </c>
      <c r="L75">
        <f t="shared" si="22"/>
        <v>1.4783493887347229E-2</v>
      </c>
      <c r="M75">
        <f t="shared" si="23"/>
        <v>0.52500292630640166</v>
      </c>
      <c r="N75" t="s">
        <v>2989</v>
      </c>
      <c r="O75" t="s">
        <v>2990</v>
      </c>
      <c r="P75">
        <f t="shared" si="24"/>
        <v>5.7238754503756342</v>
      </c>
      <c r="Q75">
        <f t="shared" si="25"/>
        <v>3.4403744503756344</v>
      </c>
      <c r="R75" t="s">
        <v>2991</v>
      </c>
      <c r="S75" t="s">
        <v>2992</v>
      </c>
      <c r="T75">
        <f t="shared" si="26"/>
        <v>56.739447366927379</v>
      </c>
      <c r="U75">
        <f t="shared" si="27"/>
        <v>0.4417875</v>
      </c>
      <c r="V75" t="s">
        <v>174</v>
      </c>
      <c r="W75" t="s">
        <v>2993</v>
      </c>
      <c r="X75" t="s">
        <v>176</v>
      </c>
      <c r="Y75" t="s">
        <v>176</v>
      </c>
      <c r="Z75" t="s">
        <v>176</v>
      </c>
      <c r="AA75" t="s">
        <v>2994</v>
      </c>
      <c r="AB75" t="s">
        <v>2995</v>
      </c>
      <c r="AC75" t="s">
        <v>2996</v>
      </c>
      <c r="AD75" t="s">
        <v>180</v>
      </c>
      <c r="AE75" t="s">
        <v>181</v>
      </c>
      <c r="AF75">
        <f t="shared" si="28"/>
        <v>26.173857359999996</v>
      </c>
      <c r="AG75" t="s">
        <v>182</v>
      </c>
      <c r="AH75" t="s">
        <v>2997</v>
      </c>
      <c r="AI75" t="s">
        <v>2998</v>
      </c>
      <c r="AJ75" t="s">
        <v>2999</v>
      </c>
      <c r="AK75" t="s">
        <v>3000</v>
      </c>
      <c r="AL75">
        <f t="shared" si="29"/>
        <v>35.24</v>
      </c>
      <c r="AM75" t="s">
        <v>2670</v>
      </c>
      <c r="AN75" t="s">
        <v>3001</v>
      </c>
      <c r="AO75" t="s">
        <v>3002</v>
      </c>
      <c r="AP75" t="s">
        <v>486</v>
      </c>
      <c r="AQ75" t="s">
        <v>3003</v>
      </c>
      <c r="AR75" t="s">
        <v>2899</v>
      </c>
      <c r="AS75" t="s">
        <v>1638</v>
      </c>
      <c r="AT75" t="s">
        <v>298</v>
      </c>
      <c r="AU75" t="s">
        <v>3004</v>
      </c>
      <c r="AV75" t="s">
        <v>3005</v>
      </c>
      <c r="AW75" t="s">
        <v>3006</v>
      </c>
      <c r="AX75" t="s">
        <v>3007</v>
      </c>
      <c r="AY75" t="s">
        <v>3008</v>
      </c>
      <c r="AZ75" t="s">
        <v>1283</v>
      </c>
      <c r="BA75" t="s">
        <v>3009</v>
      </c>
      <c r="BB75" t="s">
        <v>3010</v>
      </c>
      <c r="BC75" t="s">
        <v>3011</v>
      </c>
      <c r="BD75" t="s">
        <v>17</v>
      </c>
      <c r="BE75" t="s">
        <v>960</v>
      </c>
      <c r="BF75" t="s">
        <v>2027</v>
      </c>
      <c r="BG75" t="s">
        <v>3012</v>
      </c>
      <c r="BH75" t="s">
        <v>752</v>
      </c>
      <c r="BI75" t="s">
        <v>1290</v>
      </c>
      <c r="BJ75" t="s">
        <v>2871</v>
      </c>
      <c r="BK75" t="s">
        <v>17</v>
      </c>
      <c r="BL75" t="s">
        <v>2872</v>
      </c>
      <c r="BM75" t="s">
        <v>165</v>
      </c>
      <c r="BN75" t="s">
        <v>211</v>
      </c>
      <c r="BO75" t="s">
        <v>330</v>
      </c>
      <c r="BP75" t="s">
        <v>1293</v>
      </c>
      <c r="BQ75" t="s">
        <v>1250</v>
      </c>
      <c r="BR75" t="s">
        <v>3013</v>
      </c>
      <c r="BS75" t="s">
        <v>1293</v>
      </c>
      <c r="BT75" t="s">
        <v>165</v>
      </c>
      <c r="BU75" t="s">
        <v>217</v>
      </c>
      <c r="BV75" t="s">
        <v>212</v>
      </c>
      <c r="BW75" t="s">
        <v>218</v>
      </c>
      <c r="BX75" t="s">
        <v>219</v>
      </c>
      <c r="BY75" t="s">
        <v>176</v>
      </c>
      <c r="BZ75" t="s">
        <v>220</v>
      </c>
      <c r="CA75" t="s">
        <v>176</v>
      </c>
      <c r="CB75" t="s">
        <v>176</v>
      </c>
      <c r="CC75" t="s">
        <v>221</v>
      </c>
      <c r="CD75" t="s">
        <v>222</v>
      </c>
      <c r="CE75" t="s">
        <v>223</v>
      </c>
      <c r="CF75" t="s">
        <v>224</v>
      </c>
      <c r="CG75" t="s">
        <v>225</v>
      </c>
      <c r="CH75" t="s">
        <v>226</v>
      </c>
      <c r="CI75" t="s">
        <v>182</v>
      </c>
      <c r="CJ75" t="s">
        <v>218</v>
      </c>
      <c r="CK75" t="s">
        <v>227</v>
      </c>
      <c r="CL75" t="s">
        <v>227</v>
      </c>
      <c r="CM75" t="s">
        <v>227</v>
      </c>
      <c r="CN75" t="s">
        <v>176</v>
      </c>
      <c r="CO75" t="s">
        <v>228</v>
      </c>
      <c r="CP75" t="s">
        <v>176</v>
      </c>
      <c r="CQ75" t="s">
        <v>176</v>
      </c>
      <c r="CR75" t="s">
        <v>176</v>
      </c>
      <c r="CS75" t="s">
        <v>176</v>
      </c>
      <c r="CT75" t="s">
        <v>3014</v>
      </c>
      <c r="CU75" t="s">
        <v>3015</v>
      </c>
      <c r="CV75" t="s">
        <v>3016</v>
      </c>
      <c r="CW75" t="s">
        <v>3017</v>
      </c>
      <c r="CX75" t="s">
        <v>3018</v>
      </c>
      <c r="CY75" t="s">
        <v>3019</v>
      </c>
      <c r="CZ75" t="s">
        <v>3020</v>
      </c>
      <c r="DA75" t="s">
        <v>3021</v>
      </c>
      <c r="DB75" t="s">
        <v>2994</v>
      </c>
      <c r="DC75" t="s">
        <v>766</v>
      </c>
      <c r="DD75" t="s">
        <v>238</v>
      </c>
      <c r="DE75" t="s">
        <v>239</v>
      </c>
      <c r="DF75" t="s">
        <v>182</v>
      </c>
      <c r="DG75" t="s">
        <v>240</v>
      </c>
      <c r="DH75" t="s">
        <v>241</v>
      </c>
      <c r="DI75" t="s">
        <v>182</v>
      </c>
      <c r="DJ75" t="s">
        <v>242</v>
      </c>
      <c r="DK75" t="s">
        <v>243</v>
      </c>
      <c r="DL75" t="s">
        <v>244</v>
      </c>
      <c r="DM75" t="s">
        <v>176</v>
      </c>
      <c r="DN75" t="s">
        <v>2993</v>
      </c>
      <c r="DO75" t="s">
        <v>245</v>
      </c>
      <c r="DP75" t="s">
        <v>246</v>
      </c>
      <c r="DQ75" t="s">
        <v>247</v>
      </c>
      <c r="DR75" t="s">
        <v>248</v>
      </c>
      <c r="DS75" t="s">
        <v>249</v>
      </c>
      <c r="DT75" t="s">
        <v>250</v>
      </c>
    </row>
    <row r="76" spans="1:124" ht="17.55" customHeight="1" x14ac:dyDescent="0.45">
      <c r="A76" t="s">
        <v>2930</v>
      </c>
      <c r="B76" t="s">
        <v>3022</v>
      </c>
      <c r="C76" t="s">
        <v>17</v>
      </c>
      <c r="D76" t="s">
        <v>167</v>
      </c>
      <c r="E76" t="s">
        <v>168</v>
      </c>
      <c r="I76" t="s">
        <v>3023</v>
      </c>
      <c r="J76">
        <f t="shared" si="20"/>
        <v>0.35273503883221125</v>
      </c>
      <c r="K76">
        <f t="shared" si="21"/>
        <v>2.78739888</v>
      </c>
      <c r="L76">
        <f t="shared" si="22"/>
        <v>0.31311188554127356</v>
      </c>
      <c r="M76">
        <f t="shared" si="23"/>
        <v>7.7109719094951306</v>
      </c>
      <c r="N76" t="s">
        <v>3024</v>
      </c>
      <c r="O76" t="s">
        <v>3025</v>
      </c>
      <c r="P76">
        <f t="shared" si="24"/>
        <v>4.8980626115402082</v>
      </c>
      <c r="Q76">
        <f t="shared" si="25"/>
        <v>2.3928436115402083</v>
      </c>
      <c r="R76" t="s">
        <v>3026</v>
      </c>
      <c r="S76" t="s">
        <v>3027</v>
      </c>
      <c r="T76">
        <f t="shared" si="26"/>
        <v>48.558170036088114</v>
      </c>
      <c r="U76">
        <f t="shared" si="27"/>
        <v>0.4417875</v>
      </c>
      <c r="V76" t="s">
        <v>174</v>
      </c>
      <c r="W76" t="s">
        <v>3028</v>
      </c>
      <c r="X76" t="s">
        <v>176</v>
      </c>
      <c r="Y76" t="s">
        <v>176</v>
      </c>
      <c r="Z76" t="s">
        <v>176</v>
      </c>
      <c r="AA76" t="s">
        <v>3029</v>
      </c>
      <c r="AB76" t="s">
        <v>3030</v>
      </c>
      <c r="AC76" t="s">
        <v>3031</v>
      </c>
      <c r="AD76" t="s">
        <v>180</v>
      </c>
      <c r="AE76" t="s">
        <v>181</v>
      </c>
      <c r="AF76">
        <f t="shared" si="28"/>
        <v>248.48390238000002</v>
      </c>
      <c r="AG76" t="s">
        <v>182</v>
      </c>
      <c r="AH76" t="s">
        <v>3032</v>
      </c>
      <c r="AI76" t="s">
        <v>3033</v>
      </c>
      <c r="AJ76" t="s">
        <v>2419</v>
      </c>
      <c r="AK76" t="s">
        <v>1353</v>
      </c>
      <c r="AL76">
        <f t="shared" si="29"/>
        <v>32.450000000000003</v>
      </c>
      <c r="AM76" t="s">
        <v>3034</v>
      </c>
      <c r="AN76" t="s">
        <v>3035</v>
      </c>
      <c r="AO76" t="s">
        <v>2929</v>
      </c>
      <c r="AP76" t="s">
        <v>3036</v>
      </c>
      <c r="AQ76" t="s">
        <v>3037</v>
      </c>
      <c r="AR76" t="s">
        <v>3038</v>
      </c>
      <c r="AS76" t="s">
        <v>1396</v>
      </c>
      <c r="AT76" t="s">
        <v>318</v>
      </c>
      <c r="AU76" t="s">
        <v>1157</v>
      </c>
      <c r="AV76" t="s">
        <v>3039</v>
      </c>
      <c r="AW76" t="s">
        <v>3040</v>
      </c>
      <c r="AX76" t="s">
        <v>3041</v>
      </c>
      <c r="AY76" t="s">
        <v>3042</v>
      </c>
      <c r="AZ76" t="s">
        <v>1283</v>
      </c>
      <c r="BA76" t="s">
        <v>3043</v>
      </c>
      <c r="BB76" t="s">
        <v>3044</v>
      </c>
      <c r="BC76" t="s">
        <v>3045</v>
      </c>
      <c r="BD76" t="s">
        <v>17</v>
      </c>
      <c r="BE76" t="s">
        <v>2288</v>
      </c>
      <c r="BF76" t="s">
        <v>709</v>
      </c>
      <c r="BG76" t="s">
        <v>3046</v>
      </c>
      <c r="BH76" t="s">
        <v>328</v>
      </c>
      <c r="BI76" t="s">
        <v>208</v>
      </c>
      <c r="BJ76" t="s">
        <v>2871</v>
      </c>
      <c r="BK76" t="s">
        <v>17</v>
      </c>
      <c r="BL76" t="s">
        <v>2872</v>
      </c>
      <c r="BM76" t="s">
        <v>165</v>
      </c>
      <c r="BN76" t="s">
        <v>211</v>
      </c>
      <c r="BO76" t="s">
        <v>211</v>
      </c>
      <c r="BP76" t="s">
        <v>330</v>
      </c>
      <c r="BQ76" t="s">
        <v>3047</v>
      </c>
      <c r="BR76" t="s">
        <v>3048</v>
      </c>
      <c r="BS76" t="s">
        <v>3049</v>
      </c>
      <c r="BT76" t="s">
        <v>165</v>
      </c>
      <c r="BU76" t="s">
        <v>217</v>
      </c>
      <c r="BV76" t="s">
        <v>212</v>
      </c>
      <c r="BW76" t="s">
        <v>218</v>
      </c>
      <c r="BX76" t="s">
        <v>219</v>
      </c>
      <c r="BY76" t="s">
        <v>176</v>
      </c>
      <c r="BZ76" t="s">
        <v>220</v>
      </c>
      <c r="CA76" t="s">
        <v>176</v>
      </c>
      <c r="CB76" t="s">
        <v>176</v>
      </c>
      <c r="CC76" t="s">
        <v>221</v>
      </c>
      <c r="CD76" t="s">
        <v>222</v>
      </c>
      <c r="CE76" t="s">
        <v>223</v>
      </c>
      <c r="CF76" t="s">
        <v>224</v>
      </c>
      <c r="CG76" t="s">
        <v>225</v>
      </c>
      <c r="CH76" t="s">
        <v>226</v>
      </c>
      <c r="CI76" t="s">
        <v>182</v>
      </c>
      <c r="CJ76" t="s">
        <v>218</v>
      </c>
      <c r="CK76" t="s">
        <v>227</v>
      </c>
      <c r="CL76" t="s">
        <v>227</v>
      </c>
      <c r="CM76" t="s">
        <v>227</v>
      </c>
      <c r="CN76" t="s">
        <v>176</v>
      </c>
      <c r="CO76" t="s">
        <v>228</v>
      </c>
      <c r="CP76" t="s">
        <v>176</v>
      </c>
      <c r="CQ76" t="s">
        <v>176</v>
      </c>
      <c r="CR76" t="s">
        <v>176</v>
      </c>
      <c r="CS76" t="s">
        <v>176</v>
      </c>
      <c r="CT76" t="s">
        <v>3050</v>
      </c>
      <c r="CU76" t="s">
        <v>3051</v>
      </c>
      <c r="CV76" t="s">
        <v>3052</v>
      </c>
      <c r="CW76" t="s">
        <v>3053</v>
      </c>
      <c r="CX76" t="s">
        <v>3054</v>
      </c>
      <c r="CY76" t="s">
        <v>3055</v>
      </c>
      <c r="CZ76" t="s">
        <v>3056</v>
      </c>
      <c r="DA76" t="s">
        <v>3057</v>
      </c>
      <c r="DB76" t="s">
        <v>3029</v>
      </c>
      <c r="DC76" t="s">
        <v>297</v>
      </c>
      <c r="DD76" t="s">
        <v>238</v>
      </c>
      <c r="DE76" t="s">
        <v>239</v>
      </c>
      <c r="DF76" t="s">
        <v>182</v>
      </c>
      <c r="DG76" t="s">
        <v>240</v>
      </c>
      <c r="DH76" t="s">
        <v>241</v>
      </c>
      <c r="DI76" t="s">
        <v>182</v>
      </c>
      <c r="DJ76" t="s">
        <v>242</v>
      </c>
      <c r="DK76" t="s">
        <v>243</v>
      </c>
      <c r="DL76" t="s">
        <v>244</v>
      </c>
      <c r="DM76" t="s">
        <v>176</v>
      </c>
      <c r="DN76" t="s">
        <v>3028</v>
      </c>
      <c r="DO76" t="s">
        <v>245</v>
      </c>
      <c r="DP76" t="s">
        <v>246</v>
      </c>
      <c r="DQ76" t="s">
        <v>247</v>
      </c>
      <c r="DR76" t="s">
        <v>248</v>
      </c>
      <c r="DS76" t="s">
        <v>249</v>
      </c>
      <c r="DT76" t="s">
        <v>250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89"/>
  <sheetViews>
    <sheetView workbookViewId="0">
      <selection activeCell="J7" sqref="J7"/>
    </sheetView>
  </sheetViews>
  <sheetFormatPr defaultRowHeight="19.2" x14ac:dyDescent="0.45"/>
  <sheetData>
    <row r="1" spans="1:124" x14ac:dyDescent="0.45">
      <c r="A1" t="s">
        <v>20</v>
      </c>
      <c r="B1" t="s">
        <v>20</v>
      </c>
      <c r="C1" t="s">
        <v>20</v>
      </c>
      <c r="D1" t="s">
        <v>20</v>
      </c>
      <c r="E1" t="s">
        <v>20</v>
      </c>
      <c r="F1" t="s">
        <v>21</v>
      </c>
      <c r="G1" t="s">
        <v>21</v>
      </c>
      <c r="H1" t="s">
        <v>21</v>
      </c>
      <c r="I1" t="s">
        <v>21</v>
      </c>
      <c r="J1" t="s">
        <v>22</v>
      </c>
      <c r="K1" t="s">
        <v>22</v>
      </c>
      <c r="L1" t="s">
        <v>22</v>
      </c>
      <c r="M1" t="s">
        <v>22</v>
      </c>
      <c r="N1" t="s">
        <v>22</v>
      </c>
      <c r="O1" t="s">
        <v>22</v>
      </c>
      <c r="P1" t="s">
        <v>22</v>
      </c>
      <c r="Q1" t="s">
        <v>22</v>
      </c>
      <c r="R1" t="s">
        <v>22</v>
      </c>
      <c r="S1" t="s">
        <v>22</v>
      </c>
      <c r="T1" t="s">
        <v>22</v>
      </c>
      <c r="U1" t="s">
        <v>22</v>
      </c>
      <c r="V1" t="s">
        <v>22</v>
      </c>
      <c r="W1" t="s">
        <v>23</v>
      </c>
      <c r="X1" t="s">
        <v>23</v>
      </c>
      <c r="Y1" t="s">
        <v>23</v>
      </c>
      <c r="Z1" t="s">
        <v>23</v>
      </c>
      <c r="AA1" t="s">
        <v>23</v>
      </c>
      <c r="AB1" t="s">
        <v>23</v>
      </c>
      <c r="AC1" t="s">
        <v>23</v>
      </c>
      <c r="AD1" t="s">
        <v>23</v>
      </c>
      <c r="AE1" t="s">
        <v>23</v>
      </c>
      <c r="AF1" t="s">
        <v>23</v>
      </c>
      <c r="AG1" t="s">
        <v>23</v>
      </c>
      <c r="AH1" t="s">
        <v>24</v>
      </c>
      <c r="AI1" t="s">
        <v>24</v>
      </c>
      <c r="AJ1" t="s">
        <v>24</v>
      </c>
      <c r="AK1" t="s">
        <v>24</v>
      </c>
      <c r="AL1" t="s">
        <v>24</v>
      </c>
      <c r="AM1" t="s">
        <v>24</v>
      </c>
      <c r="AN1" t="s">
        <v>24</v>
      </c>
      <c r="AO1" t="s">
        <v>24</v>
      </c>
      <c r="AP1" t="s">
        <v>24</v>
      </c>
      <c r="AQ1" t="s">
        <v>24</v>
      </c>
      <c r="AR1" t="s">
        <v>24</v>
      </c>
      <c r="AS1" t="s">
        <v>25</v>
      </c>
      <c r="AT1" t="s">
        <v>25</v>
      </c>
      <c r="AU1" t="s">
        <v>25</v>
      </c>
      <c r="AV1" t="s">
        <v>25</v>
      </c>
      <c r="AW1" t="s">
        <v>25</v>
      </c>
      <c r="AX1" t="s">
        <v>25</v>
      </c>
      <c r="AY1" t="s">
        <v>25</v>
      </c>
      <c r="AZ1" t="s">
        <v>25</v>
      </c>
      <c r="BA1" t="s">
        <v>25</v>
      </c>
      <c r="BB1" t="s">
        <v>25</v>
      </c>
      <c r="BC1" t="s">
        <v>26</v>
      </c>
      <c r="BD1" t="s">
        <v>26</v>
      </c>
      <c r="BE1" t="s">
        <v>26</v>
      </c>
      <c r="BF1" t="s">
        <v>26</v>
      </c>
      <c r="BG1" t="s">
        <v>26</v>
      </c>
      <c r="BH1" t="s">
        <v>26</v>
      </c>
      <c r="BI1" t="s">
        <v>26</v>
      </c>
      <c r="BJ1" t="s">
        <v>27</v>
      </c>
      <c r="BK1" t="s">
        <v>27</v>
      </c>
      <c r="BL1" t="s">
        <v>27</v>
      </c>
      <c r="BM1" t="s">
        <v>27</v>
      </c>
      <c r="BN1" t="s">
        <v>28</v>
      </c>
      <c r="BO1" t="s">
        <v>28</v>
      </c>
      <c r="BP1" t="s">
        <v>28</v>
      </c>
      <c r="BQ1" t="s">
        <v>28</v>
      </c>
      <c r="BR1" t="s">
        <v>28</v>
      </c>
      <c r="BS1" t="s">
        <v>28</v>
      </c>
      <c r="BT1" t="s">
        <v>29</v>
      </c>
      <c r="BU1" t="s">
        <v>29</v>
      </c>
      <c r="BV1" t="s">
        <v>29</v>
      </c>
      <c r="BW1" t="s">
        <v>29</v>
      </c>
      <c r="BX1" t="s">
        <v>29</v>
      </c>
      <c r="BY1" t="s">
        <v>29</v>
      </c>
      <c r="BZ1" t="s">
        <v>29</v>
      </c>
      <c r="CA1" t="s">
        <v>29</v>
      </c>
      <c r="CB1" t="s">
        <v>29</v>
      </c>
      <c r="CC1" t="s">
        <v>29</v>
      </c>
      <c r="CD1" t="s">
        <v>29</v>
      </c>
      <c r="CE1" t="s">
        <v>30</v>
      </c>
      <c r="CF1" t="s">
        <v>30</v>
      </c>
      <c r="CG1" t="s">
        <v>30</v>
      </c>
      <c r="CH1" t="s">
        <v>30</v>
      </c>
      <c r="CI1" t="s">
        <v>30</v>
      </c>
      <c r="CJ1" t="s">
        <v>30</v>
      </c>
      <c r="CK1" t="s">
        <v>30</v>
      </c>
      <c r="CL1" t="s">
        <v>30</v>
      </c>
      <c r="CM1" t="s">
        <v>30</v>
      </c>
      <c r="CN1" t="s">
        <v>30</v>
      </c>
      <c r="CO1" t="s">
        <v>30</v>
      </c>
      <c r="CP1" t="s">
        <v>30</v>
      </c>
      <c r="CQ1" t="s">
        <v>30</v>
      </c>
      <c r="CR1" t="s">
        <v>30</v>
      </c>
      <c r="CS1" t="s">
        <v>30</v>
      </c>
      <c r="CT1" t="s">
        <v>31</v>
      </c>
      <c r="CU1" t="s">
        <v>31</v>
      </c>
      <c r="CV1" t="s">
        <v>31</v>
      </c>
      <c r="CW1" t="s">
        <v>31</v>
      </c>
      <c r="CX1" t="s">
        <v>31</v>
      </c>
      <c r="CY1" t="s">
        <v>31</v>
      </c>
      <c r="CZ1" t="s">
        <v>31</v>
      </c>
      <c r="DA1" t="s">
        <v>31</v>
      </c>
      <c r="DB1" t="s">
        <v>31</v>
      </c>
      <c r="DC1" t="s">
        <v>31</v>
      </c>
      <c r="DD1" t="s">
        <v>32</v>
      </c>
      <c r="DE1" t="s">
        <v>32</v>
      </c>
      <c r="DF1" t="s">
        <v>32</v>
      </c>
      <c r="DG1" t="s">
        <v>32</v>
      </c>
      <c r="DH1" t="s">
        <v>32</v>
      </c>
      <c r="DI1" t="s">
        <v>32</v>
      </c>
      <c r="DJ1" t="s">
        <v>32</v>
      </c>
      <c r="DK1" t="s">
        <v>32</v>
      </c>
      <c r="DL1" t="s">
        <v>32</v>
      </c>
      <c r="DM1" t="s">
        <v>32</v>
      </c>
      <c r="DN1" t="s">
        <v>33</v>
      </c>
      <c r="DO1" t="s">
        <v>33</v>
      </c>
      <c r="DP1" t="s">
        <v>33</v>
      </c>
      <c r="DQ1" t="s">
        <v>33</v>
      </c>
      <c r="DR1" t="s">
        <v>33</v>
      </c>
      <c r="DS1" t="s">
        <v>33</v>
      </c>
      <c r="DT1" t="s">
        <v>33</v>
      </c>
    </row>
    <row r="2" spans="1:124" x14ac:dyDescent="0.45">
      <c r="A2" t="s">
        <v>34</v>
      </c>
      <c r="B2" t="s">
        <v>35</v>
      </c>
      <c r="C2" t="s">
        <v>0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5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6</v>
      </c>
      <c r="AB2" t="s">
        <v>7</v>
      </c>
      <c r="AC2" t="s">
        <v>8</v>
      </c>
      <c r="AD2" t="s">
        <v>57</v>
      </c>
      <c r="AE2" t="s">
        <v>58</v>
      </c>
      <c r="AF2" t="s">
        <v>9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  <c r="AL2" t="s">
        <v>10</v>
      </c>
      <c r="AM2" t="s">
        <v>64</v>
      </c>
      <c r="AN2" t="s">
        <v>65</v>
      </c>
      <c r="AO2" t="s">
        <v>66</v>
      </c>
      <c r="AP2" t="s">
        <v>67</v>
      </c>
      <c r="AQ2" t="s">
        <v>11</v>
      </c>
      <c r="AR2" t="s">
        <v>68</v>
      </c>
      <c r="AS2" t="s">
        <v>69</v>
      </c>
      <c r="AT2" t="s">
        <v>70</v>
      </c>
      <c r="AU2" t="s">
        <v>71</v>
      </c>
      <c r="AV2" t="s">
        <v>72</v>
      </c>
      <c r="AW2" t="s">
        <v>73</v>
      </c>
      <c r="AX2" t="s">
        <v>74</v>
      </c>
      <c r="AY2" t="s">
        <v>75</v>
      </c>
      <c r="AZ2" t="s">
        <v>76</v>
      </c>
      <c r="BA2" t="s">
        <v>77</v>
      </c>
      <c r="BB2" t="s">
        <v>78</v>
      </c>
      <c r="BC2" t="s">
        <v>79</v>
      </c>
      <c r="BD2" t="s">
        <v>80</v>
      </c>
      <c r="BE2" t="s">
        <v>81</v>
      </c>
      <c r="BF2" t="s">
        <v>82</v>
      </c>
      <c r="BG2" t="s">
        <v>83</v>
      </c>
      <c r="BH2" t="s">
        <v>84</v>
      </c>
      <c r="BI2" t="s">
        <v>85</v>
      </c>
      <c r="BJ2" t="s">
        <v>86</v>
      </c>
      <c r="BK2" t="s">
        <v>87</v>
      </c>
      <c r="BL2" t="s">
        <v>88</v>
      </c>
      <c r="BM2" t="s">
        <v>89</v>
      </c>
      <c r="BN2" t="s">
        <v>90</v>
      </c>
      <c r="BO2" t="s">
        <v>91</v>
      </c>
      <c r="BP2" t="s">
        <v>92</v>
      </c>
      <c r="BQ2" t="s">
        <v>93</v>
      </c>
      <c r="BR2" t="s">
        <v>94</v>
      </c>
      <c r="BS2" t="s">
        <v>95</v>
      </c>
      <c r="BT2" t="s">
        <v>96</v>
      </c>
      <c r="BU2" t="s">
        <v>97</v>
      </c>
      <c r="BV2" t="s">
        <v>98</v>
      </c>
      <c r="BW2" t="s">
        <v>99</v>
      </c>
      <c r="BX2" t="s">
        <v>100</v>
      </c>
      <c r="BY2" t="s">
        <v>101</v>
      </c>
      <c r="BZ2" t="s">
        <v>102</v>
      </c>
      <c r="CA2" t="s">
        <v>103</v>
      </c>
      <c r="CB2" t="s">
        <v>104</v>
      </c>
      <c r="CC2" t="s">
        <v>105</v>
      </c>
      <c r="CD2" t="s">
        <v>106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J2" t="s">
        <v>112</v>
      </c>
      <c r="CK2" t="s">
        <v>113</v>
      </c>
      <c r="CL2" t="s">
        <v>114</v>
      </c>
      <c r="CM2" t="s">
        <v>115</v>
      </c>
      <c r="CN2" t="s">
        <v>116</v>
      </c>
      <c r="CO2" t="s">
        <v>117</v>
      </c>
      <c r="CP2" t="s">
        <v>118</v>
      </c>
      <c r="CQ2" t="s">
        <v>119</v>
      </c>
      <c r="CR2" t="s">
        <v>120</v>
      </c>
      <c r="CS2" t="s">
        <v>121</v>
      </c>
      <c r="CT2" t="s">
        <v>122</v>
      </c>
      <c r="CU2" t="s">
        <v>123</v>
      </c>
      <c r="CV2" t="s">
        <v>124</v>
      </c>
      <c r="CW2" t="s">
        <v>125</v>
      </c>
      <c r="CX2" t="s">
        <v>126</v>
      </c>
      <c r="CY2" t="s">
        <v>127</v>
      </c>
      <c r="CZ2" t="s">
        <v>128</v>
      </c>
      <c r="DA2" t="s">
        <v>129</v>
      </c>
      <c r="DB2" t="s">
        <v>130</v>
      </c>
      <c r="DC2" t="s">
        <v>131</v>
      </c>
      <c r="DD2" t="s">
        <v>132</v>
      </c>
      <c r="DE2" t="s">
        <v>133</v>
      </c>
      <c r="DF2" t="s">
        <v>134</v>
      </c>
      <c r="DG2" t="s">
        <v>135</v>
      </c>
      <c r="DH2" t="s">
        <v>136</v>
      </c>
      <c r="DI2" t="s">
        <v>137</v>
      </c>
      <c r="DJ2" t="s">
        <v>138</v>
      </c>
      <c r="DK2" t="s">
        <v>139</v>
      </c>
      <c r="DL2" t="s">
        <v>140</v>
      </c>
      <c r="DM2" t="s">
        <v>141</v>
      </c>
      <c r="DN2" t="s">
        <v>142</v>
      </c>
      <c r="DO2" t="s">
        <v>143</v>
      </c>
      <c r="DP2" t="s">
        <v>144</v>
      </c>
      <c r="DQ2" t="s">
        <v>145</v>
      </c>
      <c r="DR2" t="s">
        <v>146</v>
      </c>
      <c r="DS2" t="s">
        <v>147</v>
      </c>
      <c r="DT2" t="s">
        <v>148</v>
      </c>
    </row>
    <row r="3" spans="1:124" x14ac:dyDescent="0.45">
      <c r="B3" t="s">
        <v>149</v>
      </c>
      <c r="C3" t="s">
        <v>12</v>
      </c>
      <c r="J3" t="s">
        <v>13</v>
      </c>
      <c r="K3" t="s">
        <v>13</v>
      </c>
      <c r="L3" t="s">
        <v>13</v>
      </c>
      <c r="M3" t="s">
        <v>150</v>
      </c>
      <c r="N3" t="s">
        <v>14</v>
      </c>
      <c r="O3" t="s">
        <v>14</v>
      </c>
      <c r="P3" t="s">
        <v>14</v>
      </c>
      <c r="Q3" t="s">
        <v>14</v>
      </c>
      <c r="R3" t="s">
        <v>151</v>
      </c>
      <c r="S3" t="s">
        <v>151</v>
      </c>
      <c r="T3" t="s">
        <v>151</v>
      </c>
      <c r="U3" t="s">
        <v>152</v>
      </c>
      <c r="V3" t="s">
        <v>153</v>
      </c>
      <c r="AF3" t="s">
        <v>15</v>
      </c>
      <c r="AH3" t="s">
        <v>154</v>
      </c>
      <c r="AI3" t="s">
        <v>154</v>
      </c>
      <c r="AJ3" t="s">
        <v>16</v>
      </c>
      <c r="AK3" t="s">
        <v>16</v>
      </c>
      <c r="AL3" t="s">
        <v>16</v>
      </c>
      <c r="AM3" t="s">
        <v>14</v>
      </c>
      <c r="AN3" t="s">
        <v>155</v>
      </c>
      <c r="AO3" t="s">
        <v>155</v>
      </c>
      <c r="AP3" t="s">
        <v>154</v>
      </c>
      <c r="AQ3" t="s">
        <v>15</v>
      </c>
      <c r="AR3" t="s">
        <v>156</v>
      </c>
      <c r="AS3" t="s">
        <v>157</v>
      </c>
      <c r="AT3" t="s">
        <v>157</v>
      </c>
      <c r="AU3" t="s">
        <v>157</v>
      </c>
      <c r="AV3" t="s">
        <v>157</v>
      </c>
      <c r="AW3" t="s">
        <v>154</v>
      </c>
      <c r="AX3" t="s">
        <v>157</v>
      </c>
      <c r="AY3" t="s">
        <v>157</v>
      </c>
      <c r="AZ3" t="s">
        <v>157</v>
      </c>
      <c r="BA3" t="s">
        <v>157</v>
      </c>
      <c r="BB3" t="s">
        <v>157</v>
      </c>
      <c r="BC3" t="s">
        <v>149</v>
      </c>
      <c r="BD3" t="s">
        <v>12</v>
      </c>
      <c r="BE3" t="s">
        <v>157</v>
      </c>
      <c r="BF3" t="s">
        <v>157</v>
      </c>
      <c r="BG3" t="s">
        <v>158</v>
      </c>
      <c r="BJ3" t="s">
        <v>149</v>
      </c>
      <c r="BK3" t="s">
        <v>12</v>
      </c>
      <c r="BL3" t="s">
        <v>154</v>
      </c>
      <c r="BU3" t="s">
        <v>155</v>
      </c>
      <c r="BV3" t="s">
        <v>159</v>
      </c>
      <c r="BW3" t="s">
        <v>160</v>
      </c>
      <c r="CG3" t="s">
        <v>15</v>
      </c>
      <c r="CH3" t="s">
        <v>161</v>
      </c>
      <c r="CI3" t="s">
        <v>162</v>
      </c>
      <c r="CJ3" t="s">
        <v>160</v>
      </c>
      <c r="CK3" t="s">
        <v>163</v>
      </c>
      <c r="CL3" t="s">
        <v>163</v>
      </c>
      <c r="CM3" t="s">
        <v>163</v>
      </c>
      <c r="CO3" t="s">
        <v>154</v>
      </c>
      <c r="CT3" t="s">
        <v>156</v>
      </c>
      <c r="CU3" t="s">
        <v>156</v>
      </c>
      <c r="CV3" t="s">
        <v>156</v>
      </c>
      <c r="CW3" t="s">
        <v>156</v>
      </c>
      <c r="CX3" t="s">
        <v>156</v>
      </c>
      <c r="CY3" t="s">
        <v>156</v>
      </c>
      <c r="CZ3" t="s">
        <v>156</v>
      </c>
      <c r="DA3" t="s">
        <v>156</v>
      </c>
      <c r="DB3" t="s">
        <v>156</v>
      </c>
      <c r="DC3" t="s">
        <v>164</v>
      </c>
    </row>
    <row r="4" spans="1:124" x14ac:dyDescent="0.45">
      <c r="A4" t="s">
        <v>165</v>
      </c>
      <c r="B4" t="s">
        <v>166</v>
      </c>
      <c r="C4" t="s">
        <v>17</v>
      </c>
      <c r="D4" t="s">
        <v>167</v>
      </c>
      <c r="E4" t="s">
        <v>168</v>
      </c>
      <c r="I4" t="s">
        <v>169</v>
      </c>
      <c r="J4">
        <v>0.5572542331557363</v>
      </c>
      <c r="K4">
        <v>2.5258152800000002</v>
      </c>
      <c r="L4">
        <v>0.45653244305502061</v>
      </c>
      <c r="M4">
        <v>5.8975085199318666</v>
      </c>
      <c r="N4" t="s">
        <v>170</v>
      </c>
      <c r="O4" t="s">
        <v>171</v>
      </c>
      <c r="P4">
        <v>3.6942583008687162</v>
      </c>
      <c r="Q4">
        <v>1.2646003008687161</v>
      </c>
      <c r="R4" t="s">
        <v>172</v>
      </c>
      <c r="S4" t="s">
        <v>173</v>
      </c>
      <c r="T4">
        <v>36.594931162642062</v>
      </c>
      <c r="U4">
        <v>0.4417875</v>
      </c>
      <c r="V4" t="s">
        <v>174</v>
      </c>
      <c r="W4" t="s">
        <v>175</v>
      </c>
      <c r="X4" t="s">
        <v>176</v>
      </c>
      <c r="Y4" t="s">
        <v>176</v>
      </c>
      <c r="Z4" t="s">
        <v>176</v>
      </c>
      <c r="AA4" t="s">
        <v>177</v>
      </c>
      <c r="AB4" t="s">
        <v>178</v>
      </c>
      <c r="AC4" t="s">
        <v>179</v>
      </c>
      <c r="AD4" t="s">
        <v>180</v>
      </c>
      <c r="AE4" t="s">
        <v>181</v>
      </c>
      <c r="AF4">
        <v>320.66910372000001</v>
      </c>
      <c r="AG4" t="s">
        <v>182</v>
      </c>
      <c r="AH4" t="s">
        <v>183</v>
      </c>
      <c r="AI4" t="s">
        <v>184</v>
      </c>
      <c r="AJ4" t="s">
        <v>185</v>
      </c>
      <c r="AK4" t="s">
        <v>186</v>
      </c>
      <c r="AL4">
        <v>27.54</v>
      </c>
      <c r="AM4" t="s">
        <v>187</v>
      </c>
      <c r="AN4" t="s">
        <v>188</v>
      </c>
      <c r="AO4" t="s">
        <v>189</v>
      </c>
      <c r="AP4" t="s">
        <v>190</v>
      </c>
      <c r="AQ4" t="s">
        <v>191</v>
      </c>
      <c r="AR4" t="s">
        <v>192</v>
      </c>
      <c r="AS4" t="s">
        <v>193</v>
      </c>
      <c r="AT4" t="s">
        <v>194</v>
      </c>
      <c r="AU4" t="s">
        <v>195</v>
      </c>
      <c r="AV4" t="s">
        <v>196</v>
      </c>
      <c r="AW4" t="s">
        <v>197</v>
      </c>
      <c r="AX4" t="s">
        <v>198</v>
      </c>
      <c r="AY4" t="s">
        <v>199</v>
      </c>
      <c r="AZ4" t="s">
        <v>200</v>
      </c>
      <c r="BA4" t="s">
        <v>201</v>
      </c>
      <c r="BB4" t="s">
        <v>202</v>
      </c>
      <c r="BC4" t="s">
        <v>203</v>
      </c>
      <c r="BD4" t="s">
        <v>17</v>
      </c>
      <c r="BE4" t="s">
        <v>204</v>
      </c>
      <c r="BF4" t="s">
        <v>205</v>
      </c>
      <c r="BG4" t="s">
        <v>206</v>
      </c>
      <c r="BH4" t="s">
        <v>207</v>
      </c>
      <c r="BI4" t="s">
        <v>208</v>
      </c>
      <c r="BJ4" t="s">
        <v>209</v>
      </c>
      <c r="BK4" t="s">
        <v>17</v>
      </c>
      <c r="BL4" t="s">
        <v>210</v>
      </c>
      <c r="BM4" t="s">
        <v>165</v>
      </c>
      <c r="BN4" t="s">
        <v>211</v>
      </c>
      <c r="BO4" t="s">
        <v>212</v>
      </c>
      <c r="BP4" t="s">
        <v>213</v>
      </c>
      <c r="BQ4" t="s">
        <v>214</v>
      </c>
      <c r="BR4" t="s">
        <v>215</v>
      </c>
      <c r="BS4" t="s">
        <v>216</v>
      </c>
      <c r="BT4" t="s">
        <v>165</v>
      </c>
      <c r="BU4" t="s">
        <v>217</v>
      </c>
      <c r="BV4" t="s">
        <v>212</v>
      </c>
      <c r="BW4" t="s">
        <v>218</v>
      </c>
      <c r="BX4" t="s">
        <v>219</v>
      </c>
      <c r="BY4" t="s">
        <v>176</v>
      </c>
      <c r="BZ4" t="s">
        <v>220</v>
      </c>
      <c r="CA4" t="s">
        <v>176</v>
      </c>
      <c r="CB4" t="s">
        <v>176</v>
      </c>
      <c r="CC4" t="s">
        <v>221</v>
      </c>
      <c r="CD4" t="s">
        <v>222</v>
      </c>
      <c r="CE4" t="s">
        <v>223</v>
      </c>
      <c r="CF4" t="s">
        <v>224</v>
      </c>
      <c r="CG4" t="s">
        <v>225</v>
      </c>
      <c r="CH4" t="s">
        <v>226</v>
      </c>
      <c r="CI4" t="s">
        <v>182</v>
      </c>
      <c r="CJ4" t="s">
        <v>218</v>
      </c>
      <c r="CK4" t="s">
        <v>227</v>
      </c>
      <c r="CL4" t="s">
        <v>227</v>
      </c>
      <c r="CM4" t="s">
        <v>227</v>
      </c>
      <c r="CN4" t="s">
        <v>176</v>
      </c>
      <c r="CO4" t="s">
        <v>228</v>
      </c>
      <c r="CP4" t="s">
        <v>176</v>
      </c>
      <c r="CQ4" t="s">
        <v>176</v>
      </c>
      <c r="CR4" t="s">
        <v>176</v>
      </c>
      <c r="CS4" t="s">
        <v>176</v>
      </c>
      <c r="CT4" t="s">
        <v>229</v>
      </c>
      <c r="CU4" t="s">
        <v>230</v>
      </c>
      <c r="CV4" t="s">
        <v>231</v>
      </c>
      <c r="CW4" t="s">
        <v>232</v>
      </c>
      <c r="CX4" t="s">
        <v>233</v>
      </c>
      <c r="CY4" t="s">
        <v>234</v>
      </c>
      <c r="CZ4" t="s">
        <v>235</v>
      </c>
      <c r="DA4" t="s">
        <v>236</v>
      </c>
      <c r="DB4" t="s">
        <v>177</v>
      </c>
      <c r="DC4" t="s">
        <v>237</v>
      </c>
      <c r="DD4" t="s">
        <v>238</v>
      </c>
      <c r="DE4" t="s">
        <v>239</v>
      </c>
      <c r="DF4" t="s">
        <v>182</v>
      </c>
      <c r="DG4" t="s">
        <v>240</v>
      </c>
      <c r="DH4" t="s">
        <v>241</v>
      </c>
      <c r="DI4" t="s">
        <v>182</v>
      </c>
      <c r="DJ4" t="s">
        <v>242</v>
      </c>
      <c r="DK4" t="s">
        <v>243</v>
      </c>
      <c r="DL4" t="s">
        <v>244</v>
      </c>
      <c r="DM4" t="s">
        <v>176</v>
      </c>
      <c r="DN4" t="s">
        <v>175</v>
      </c>
      <c r="DO4" t="s">
        <v>245</v>
      </c>
      <c r="DP4" t="s">
        <v>246</v>
      </c>
      <c r="DQ4" t="s">
        <v>247</v>
      </c>
      <c r="DR4" t="s">
        <v>248</v>
      </c>
      <c r="DS4" t="s">
        <v>249</v>
      </c>
      <c r="DT4" t="s">
        <v>250</v>
      </c>
    </row>
    <row r="5" spans="1:124" x14ac:dyDescent="0.45">
      <c r="A5" t="s">
        <v>3058</v>
      </c>
    </row>
    <row r="7" spans="1:124" x14ac:dyDescent="0.45">
      <c r="A7" t="s">
        <v>251</v>
      </c>
      <c r="B7" t="s">
        <v>252</v>
      </c>
      <c r="C7" t="s">
        <v>17</v>
      </c>
      <c r="D7" t="s">
        <v>167</v>
      </c>
      <c r="E7" t="s">
        <v>168</v>
      </c>
      <c r="I7" t="s">
        <v>253</v>
      </c>
      <c r="J7">
        <v>0.68004331209636892</v>
      </c>
      <c r="K7">
        <v>2.5539480000000001</v>
      </c>
      <c r="L7">
        <v>0.53704388454774643</v>
      </c>
      <c r="M7">
        <v>6.7870237729193867</v>
      </c>
      <c r="N7" t="s">
        <v>254</v>
      </c>
      <c r="O7" t="s">
        <v>255</v>
      </c>
      <c r="P7">
        <v>3.744254303642891</v>
      </c>
      <c r="Q7">
        <v>1.2361803036428911</v>
      </c>
      <c r="R7" t="s">
        <v>256</v>
      </c>
      <c r="S7" t="s">
        <v>257</v>
      </c>
      <c r="T7">
        <v>37.090186266893419</v>
      </c>
      <c r="U7">
        <v>0.4417875</v>
      </c>
      <c r="V7" t="s">
        <v>174</v>
      </c>
      <c r="W7" t="s">
        <v>258</v>
      </c>
      <c r="X7" t="s">
        <v>176</v>
      </c>
      <c r="Y7" t="s">
        <v>176</v>
      </c>
      <c r="Z7" t="s">
        <v>176</v>
      </c>
      <c r="AA7" t="s">
        <v>259</v>
      </c>
      <c r="AB7" t="s">
        <v>260</v>
      </c>
      <c r="AC7" t="s">
        <v>261</v>
      </c>
      <c r="AD7" t="s">
        <v>180</v>
      </c>
      <c r="AE7" t="s">
        <v>181</v>
      </c>
      <c r="AF7">
        <v>368.21399580000002</v>
      </c>
      <c r="AG7" t="s">
        <v>182</v>
      </c>
      <c r="AH7" t="s">
        <v>262</v>
      </c>
      <c r="AI7" t="s">
        <v>263</v>
      </c>
      <c r="AJ7" t="s">
        <v>264</v>
      </c>
      <c r="AK7" t="s">
        <v>265</v>
      </c>
      <c r="AL7">
        <v>27.77</v>
      </c>
      <c r="AM7" t="s">
        <v>187</v>
      </c>
      <c r="AN7" t="s">
        <v>266</v>
      </c>
      <c r="AO7" t="s">
        <v>267</v>
      </c>
      <c r="AP7" t="s">
        <v>268</v>
      </c>
      <c r="AQ7" t="s">
        <v>269</v>
      </c>
      <c r="AR7" t="s">
        <v>270</v>
      </c>
      <c r="AS7" t="s">
        <v>193</v>
      </c>
      <c r="AT7" t="s">
        <v>223</v>
      </c>
      <c r="AU7" t="s">
        <v>271</v>
      </c>
      <c r="AV7" t="s">
        <v>272</v>
      </c>
      <c r="AW7" t="s">
        <v>273</v>
      </c>
      <c r="AX7" t="s">
        <v>274</v>
      </c>
      <c r="AY7" t="s">
        <v>275</v>
      </c>
      <c r="AZ7" t="s">
        <v>200</v>
      </c>
      <c r="BA7" t="s">
        <v>276</v>
      </c>
      <c r="BB7" t="s">
        <v>277</v>
      </c>
      <c r="BC7" t="s">
        <v>278</v>
      </c>
      <c r="BD7" t="s">
        <v>17</v>
      </c>
      <c r="BE7" t="s">
        <v>279</v>
      </c>
      <c r="BF7" t="s">
        <v>280</v>
      </c>
      <c r="BG7" t="s">
        <v>281</v>
      </c>
      <c r="BH7" t="s">
        <v>207</v>
      </c>
      <c r="BI7" t="s">
        <v>282</v>
      </c>
      <c r="BJ7" t="s">
        <v>209</v>
      </c>
      <c r="BK7" t="s">
        <v>17</v>
      </c>
      <c r="BL7" t="s">
        <v>210</v>
      </c>
      <c r="BM7" t="s">
        <v>165</v>
      </c>
      <c r="BN7" t="s">
        <v>283</v>
      </c>
      <c r="BO7" t="s">
        <v>284</v>
      </c>
      <c r="BP7" t="s">
        <v>285</v>
      </c>
      <c r="BQ7" t="s">
        <v>286</v>
      </c>
      <c r="BR7" t="s">
        <v>287</v>
      </c>
      <c r="BS7" t="s">
        <v>288</v>
      </c>
      <c r="BT7" t="s">
        <v>165</v>
      </c>
      <c r="BU7" t="s">
        <v>217</v>
      </c>
      <c r="BV7" t="s">
        <v>212</v>
      </c>
      <c r="BW7" t="s">
        <v>218</v>
      </c>
      <c r="BX7" t="s">
        <v>219</v>
      </c>
      <c r="BY7" t="s">
        <v>176</v>
      </c>
      <c r="BZ7" t="s">
        <v>220</v>
      </c>
      <c r="CA7" t="s">
        <v>176</v>
      </c>
      <c r="CB7" t="s">
        <v>176</v>
      </c>
      <c r="CC7" t="s">
        <v>221</v>
      </c>
      <c r="CD7" t="s">
        <v>222</v>
      </c>
      <c r="CE7" t="s">
        <v>223</v>
      </c>
      <c r="CF7" t="s">
        <v>224</v>
      </c>
      <c r="CG7" t="s">
        <v>225</v>
      </c>
      <c r="CH7" t="s">
        <v>226</v>
      </c>
      <c r="CI7" t="s">
        <v>182</v>
      </c>
      <c r="CJ7" t="s">
        <v>218</v>
      </c>
      <c r="CK7" t="s">
        <v>227</v>
      </c>
      <c r="CL7" t="s">
        <v>227</v>
      </c>
      <c r="CM7" t="s">
        <v>227</v>
      </c>
      <c r="CN7" t="s">
        <v>176</v>
      </c>
      <c r="CO7" t="s">
        <v>228</v>
      </c>
      <c r="CP7" t="s">
        <v>176</v>
      </c>
      <c r="CQ7" t="s">
        <v>176</v>
      </c>
      <c r="CR7" t="s">
        <v>176</v>
      </c>
      <c r="CS7" t="s">
        <v>176</v>
      </c>
      <c r="CT7" t="s">
        <v>289</v>
      </c>
      <c r="CU7" t="s">
        <v>290</v>
      </c>
      <c r="CV7" t="s">
        <v>291</v>
      </c>
      <c r="CW7" t="s">
        <v>292</v>
      </c>
      <c r="CX7" t="s">
        <v>293</v>
      </c>
      <c r="CY7" t="s">
        <v>294</v>
      </c>
      <c r="CZ7" t="s">
        <v>295</v>
      </c>
      <c r="DA7" t="s">
        <v>296</v>
      </c>
      <c r="DB7" t="s">
        <v>259</v>
      </c>
      <c r="DC7" t="s">
        <v>297</v>
      </c>
      <c r="DD7" t="s">
        <v>238</v>
      </c>
      <c r="DE7" t="s">
        <v>239</v>
      </c>
      <c r="DF7" t="s">
        <v>182</v>
      </c>
      <c r="DG7" t="s">
        <v>240</v>
      </c>
      <c r="DH7" t="s">
        <v>241</v>
      </c>
      <c r="DI7" t="s">
        <v>182</v>
      </c>
      <c r="DJ7" t="s">
        <v>242</v>
      </c>
      <c r="DK7" t="s">
        <v>243</v>
      </c>
      <c r="DL7" t="s">
        <v>244</v>
      </c>
      <c r="DM7" t="s">
        <v>176</v>
      </c>
      <c r="DN7" t="s">
        <v>258</v>
      </c>
      <c r="DO7" t="s">
        <v>245</v>
      </c>
      <c r="DP7" t="s">
        <v>246</v>
      </c>
      <c r="DQ7" t="s">
        <v>247</v>
      </c>
      <c r="DR7" t="s">
        <v>248</v>
      </c>
      <c r="DS7" t="s">
        <v>249</v>
      </c>
      <c r="DT7" t="s">
        <v>250</v>
      </c>
    </row>
    <row r="8" spans="1:124" x14ac:dyDescent="0.45">
      <c r="A8" t="s">
        <v>298</v>
      </c>
      <c r="B8" t="s">
        <v>299</v>
      </c>
      <c r="C8" t="s">
        <v>17</v>
      </c>
      <c r="D8" t="s">
        <v>167</v>
      </c>
      <c r="E8" t="s">
        <v>168</v>
      </c>
      <c r="I8" t="s">
        <v>300</v>
      </c>
      <c r="J8">
        <v>0.25448339143683829</v>
      </c>
      <c r="K8">
        <v>2.5801879199999989</v>
      </c>
      <c r="L8">
        <v>0.23163707544390269</v>
      </c>
      <c r="M8">
        <v>3.9536381461603352</v>
      </c>
      <c r="N8" t="s">
        <v>301</v>
      </c>
      <c r="O8" t="s">
        <v>302</v>
      </c>
      <c r="P8">
        <v>4.0124732857523204</v>
      </c>
      <c r="Q8">
        <v>1.6687372857523199</v>
      </c>
      <c r="R8" t="s">
        <v>303</v>
      </c>
      <c r="S8" t="s">
        <v>304</v>
      </c>
      <c r="T8">
        <v>39.747135074317178</v>
      </c>
      <c r="U8">
        <v>0.4417875</v>
      </c>
      <c r="V8" t="s">
        <v>174</v>
      </c>
      <c r="W8" t="s">
        <v>305</v>
      </c>
      <c r="X8" t="s">
        <v>176</v>
      </c>
      <c r="Y8" t="s">
        <v>176</v>
      </c>
      <c r="Z8" t="s">
        <v>176</v>
      </c>
      <c r="AA8" t="s">
        <v>306</v>
      </c>
      <c r="AB8" t="s">
        <v>307</v>
      </c>
      <c r="AC8" t="s">
        <v>308</v>
      </c>
      <c r="AD8" t="s">
        <v>180</v>
      </c>
      <c r="AE8" t="s">
        <v>181</v>
      </c>
      <c r="AF8">
        <v>382.16053218000002</v>
      </c>
      <c r="AG8" t="s">
        <v>182</v>
      </c>
      <c r="AH8" t="s">
        <v>309</v>
      </c>
      <c r="AI8" t="s">
        <v>310</v>
      </c>
      <c r="AJ8" t="s">
        <v>311</v>
      </c>
      <c r="AK8" t="s">
        <v>312</v>
      </c>
      <c r="AL8">
        <v>28.96</v>
      </c>
      <c r="AM8" t="s">
        <v>187</v>
      </c>
      <c r="AN8" t="s">
        <v>313</v>
      </c>
      <c r="AO8" t="s">
        <v>314</v>
      </c>
      <c r="AP8" t="s">
        <v>315</v>
      </c>
      <c r="AQ8" t="s">
        <v>316</v>
      </c>
      <c r="AR8" t="s">
        <v>270</v>
      </c>
      <c r="AS8" t="s">
        <v>317</v>
      </c>
      <c r="AT8" t="s">
        <v>318</v>
      </c>
      <c r="AU8" t="s">
        <v>319</v>
      </c>
      <c r="AV8" t="s">
        <v>320</v>
      </c>
      <c r="AW8" t="s">
        <v>321</v>
      </c>
      <c r="AX8" t="s">
        <v>322</v>
      </c>
      <c r="AY8" t="s">
        <v>323</v>
      </c>
      <c r="AZ8" t="s">
        <v>200</v>
      </c>
      <c r="BA8" t="s">
        <v>276</v>
      </c>
      <c r="BB8" t="s">
        <v>277</v>
      </c>
      <c r="BC8" t="s">
        <v>324</v>
      </c>
      <c r="BD8" t="s">
        <v>17</v>
      </c>
      <c r="BE8" t="s">
        <v>325</v>
      </c>
      <c r="BF8" t="s">
        <v>326</v>
      </c>
      <c r="BG8" t="s">
        <v>327</v>
      </c>
      <c r="BH8" t="s">
        <v>328</v>
      </c>
      <c r="BI8" t="s">
        <v>329</v>
      </c>
      <c r="BJ8" t="s">
        <v>209</v>
      </c>
      <c r="BK8" t="s">
        <v>17</v>
      </c>
      <c r="BL8" t="s">
        <v>210</v>
      </c>
      <c r="BM8" t="s">
        <v>165</v>
      </c>
      <c r="BN8" t="s">
        <v>330</v>
      </c>
      <c r="BO8" t="s">
        <v>211</v>
      </c>
      <c r="BP8" t="s">
        <v>331</v>
      </c>
      <c r="BQ8" t="s">
        <v>332</v>
      </c>
      <c r="BR8" t="s">
        <v>333</v>
      </c>
      <c r="BS8" t="s">
        <v>334</v>
      </c>
      <c r="BT8" t="s">
        <v>165</v>
      </c>
      <c r="BU8" t="s">
        <v>217</v>
      </c>
      <c r="BV8" t="s">
        <v>212</v>
      </c>
      <c r="BW8" t="s">
        <v>218</v>
      </c>
      <c r="BX8" t="s">
        <v>219</v>
      </c>
      <c r="BY8" t="s">
        <v>176</v>
      </c>
      <c r="BZ8" t="s">
        <v>220</v>
      </c>
      <c r="CA8" t="s">
        <v>176</v>
      </c>
      <c r="CB8" t="s">
        <v>176</v>
      </c>
      <c r="CC8" t="s">
        <v>221</v>
      </c>
      <c r="CD8" t="s">
        <v>222</v>
      </c>
      <c r="CE8" t="s">
        <v>223</v>
      </c>
      <c r="CF8" t="s">
        <v>224</v>
      </c>
      <c r="CG8" t="s">
        <v>225</v>
      </c>
      <c r="CH8" t="s">
        <v>226</v>
      </c>
      <c r="CI8" t="s">
        <v>182</v>
      </c>
      <c r="CJ8" t="s">
        <v>218</v>
      </c>
      <c r="CK8" t="s">
        <v>227</v>
      </c>
      <c r="CL8" t="s">
        <v>227</v>
      </c>
      <c r="CM8" t="s">
        <v>227</v>
      </c>
      <c r="CN8" t="s">
        <v>176</v>
      </c>
      <c r="CO8" t="s">
        <v>228</v>
      </c>
      <c r="CP8" t="s">
        <v>176</v>
      </c>
      <c r="CQ8" t="s">
        <v>176</v>
      </c>
      <c r="CR8" t="s">
        <v>176</v>
      </c>
      <c r="CS8" t="s">
        <v>176</v>
      </c>
      <c r="CT8" t="s">
        <v>335</v>
      </c>
      <c r="CU8" t="s">
        <v>336</v>
      </c>
      <c r="CV8" t="s">
        <v>337</v>
      </c>
      <c r="CW8" t="s">
        <v>338</v>
      </c>
      <c r="CX8" t="s">
        <v>339</v>
      </c>
      <c r="CY8" t="s">
        <v>340</v>
      </c>
      <c r="CZ8" t="s">
        <v>341</v>
      </c>
      <c r="DA8" t="s">
        <v>342</v>
      </c>
      <c r="DB8" t="s">
        <v>306</v>
      </c>
      <c r="DC8" t="s">
        <v>343</v>
      </c>
      <c r="DD8" t="s">
        <v>238</v>
      </c>
      <c r="DE8" t="s">
        <v>239</v>
      </c>
      <c r="DF8" t="s">
        <v>182</v>
      </c>
      <c r="DG8" t="s">
        <v>240</v>
      </c>
      <c r="DH8" t="s">
        <v>241</v>
      </c>
      <c r="DI8" t="s">
        <v>182</v>
      </c>
      <c r="DJ8" t="s">
        <v>242</v>
      </c>
      <c r="DK8" t="s">
        <v>243</v>
      </c>
      <c r="DL8" t="s">
        <v>244</v>
      </c>
      <c r="DM8" t="s">
        <v>176</v>
      </c>
      <c r="DN8" t="s">
        <v>305</v>
      </c>
      <c r="DO8" t="s">
        <v>245</v>
      </c>
      <c r="DP8" t="s">
        <v>246</v>
      </c>
      <c r="DQ8" t="s">
        <v>247</v>
      </c>
      <c r="DR8" t="s">
        <v>248</v>
      </c>
      <c r="DS8" t="s">
        <v>249</v>
      </c>
      <c r="DT8" t="s">
        <v>250</v>
      </c>
    </row>
    <row r="9" spans="1:124" x14ac:dyDescent="0.45">
      <c r="A9" t="s">
        <v>344</v>
      </c>
      <c r="B9" t="s">
        <v>345</v>
      </c>
      <c r="C9" t="s">
        <v>17</v>
      </c>
      <c r="D9" t="s">
        <v>167</v>
      </c>
      <c r="E9" t="s">
        <v>168</v>
      </c>
      <c r="I9" t="s">
        <v>346</v>
      </c>
      <c r="J9">
        <v>6.3116110575941825E-2</v>
      </c>
      <c r="K9">
        <v>2.6225883200000002</v>
      </c>
      <c r="L9">
        <v>6.1632833649083493E-2</v>
      </c>
      <c r="M9">
        <v>1.300599959717627</v>
      </c>
      <c r="N9" t="s">
        <v>347</v>
      </c>
      <c r="O9" t="s">
        <v>348</v>
      </c>
      <c r="P9">
        <v>4.3743239403233787</v>
      </c>
      <c r="Q9">
        <v>2.0594389403233788</v>
      </c>
      <c r="R9" t="s">
        <v>349</v>
      </c>
      <c r="S9" t="s">
        <v>350</v>
      </c>
      <c r="T9">
        <v>43.335882111386752</v>
      </c>
      <c r="U9">
        <v>0.4417875</v>
      </c>
      <c r="V9" t="s">
        <v>174</v>
      </c>
      <c r="W9" t="s">
        <v>351</v>
      </c>
      <c r="X9" t="s">
        <v>176</v>
      </c>
      <c r="Y9" t="s">
        <v>176</v>
      </c>
      <c r="Z9" t="s">
        <v>176</v>
      </c>
      <c r="AA9" t="s">
        <v>352</v>
      </c>
      <c r="AB9" t="s">
        <v>353</v>
      </c>
      <c r="AC9" t="s">
        <v>354</v>
      </c>
      <c r="AD9" t="s">
        <v>180</v>
      </c>
      <c r="AE9" t="s">
        <v>181</v>
      </c>
      <c r="AF9">
        <v>172.40319936</v>
      </c>
      <c r="AG9" t="s">
        <v>182</v>
      </c>
      <c r="AH9" t="s">
        <v>355</v>
      </c>
      <c r="AI9" t="s">
        <v>356</v>
      </c>
      <c r="AJ9" t="s">
        <v>357</v>
      </c>
      <c r="AK9" t="s">
        <v>358</v>
      </c>
      <c r="AL9">
        <v>30.46</v>
      </c>
      <c r="AM9" t="s">
        <v>359</v>
      </c>
      <c r="AN9" t="s">
        <v>360</v>
      </c>
      <c r="AO9" t="s">
        <v>361</v>
      </c>
      <c r="AP9" t="s">
        <v>362</v>
      </c>
      <c r="AQ9" t="s">
        <v>363</v>
      </c>
      <c r="AR9" t="s">
        <v>270</v>
      </c>
      <c r="AS9" t="s">
        <v>364</v>
      </c>
      <c r="AT9" t="s">
        <v>365</v>
      </c>
      <c r="AU9" t="s">
        <v>366</v>
      </c>
      <c r="AV9" t="s">
        <v>367</v>
      </c>
      <c r="AW9" t="s">
        <v>368</v>
      </c>
      <c r="AX9" t="s">
        <v>369</v>
      </c>
      <c r="AY9" t="s">
        <v>370</v>
      </c>
      <c r="AZ9" t="s">
        <v>200</v>
      </c>
      <c r="BA9" t="s">
        <v>371</v>
      </c>
      <c r="BB9" t="s">
        <v>372</v>
      </c>
      <c r="BC9" t="s">
        <v>373</v>
      </c>
      <c r="BD9" t="s">
        <v>17</v>
      </c>
      <c r="BE9" t="s">
        <v>374</v>
      </c>
      <c r="BF9" t="s">
        <v>375</v>
      </c>
      <c r="BG9" t="s">
        <v>376</v>
      </c>
      <c r="BH9" t="s">
        <v>328</v>
      </c>
      <c r="BI9" t="s">
        <v>329</v>
      </c>
      <c r="BJ9" t="s">
        <v>209</v>
      </c>
      <c r="BK9" t="s">
        <v>17</v>
      </c>
      <c r="BL9" t="s">
        <v>210</v>
      </c>
      <c r="BM9" t="s">
        <v>165</v>
      </c>
      <c r="BN9" t="s">
        <v>211</v>
      </c>
      <c r="BO9" t="s">
        <v>211</v>
      </c>
      <c r="BP9" t="s">
        <v>213</v>
      </c>
      <c r="BQ9" t="s">
        <v>377</v>
      </c>
      <c r="BR9" t="s">
        <v>378</v>
      </c>
      <c r="BS9" t="s">
        <v>379</v>
      </c>
      <c r="BT9" t="s">
        <v>165</v>
      </c>
      <c r="BU9" t="s">
        <v>217</v>
      </c>
      <c r="BV9" t="s">
        <v>212</v>
      </c>
      <c r="BW9" t="s">
        <v>218</v>
      </c>
      <c r="BX9" t="s">
        <v>219</v>
      </c>
      <c r="BY9" t="s">
        <v>176</v>
      </c>
      <c r="BZ9" t="s">
        <v>220</v>
      </c>
      <c r="CA9" t="s">
        <v>176</v>
      </c>
      <c r="CB9" t="s">
        <v>176</v>
      </c>
      <c r="CC9" t="s">
        <v>221</v>
      </c>
      <c r="CD9" t="s">
        <v>222</v>
      </c>
      <c r="CE9" t="s">
        <v>223</v>
      </c>
      <c r="CF9" t="s">
        <v>224</v>
      </c>
      <c r="CG9" t="s">
        <v>225</v>
      </c>
      <c r="CH9" t="s">
        <v>226</v>
      </c>
      <c r="CI9" t="s">
        <v>182</v>
      </c>
      <c r="CJ9" t="s">
        <v>218</v>
      </c>
      <c r="CK9" t="s">
        <v>227</v>
      </c>
      <c r="CL9" t="s">
        <v>227</v>
      </c>
      <c r="CM9" t="s">
        <v>227</v>
      </c>
      <c r="CN9" t="s">
        <v>176</v>
      </c>
      <c r="CO9" t="s">
        <v>228</v>
      </c>
      <c r="CP9" t="s">
        <v>176</v>
      </c>
      <c r="CQ9" t="s">
        <v>176</v>
      </c>
      <c r="CR9" t="s">
        <v>176</v>
      </c>
      <c r="CS9" t="s">
        <v>176</v>
      </c>
      <c r="CT9" t="s">
        <v>380</v>
      </c>
      <c r="CU9" t="s">
        <v>381</v>
      </c>
      <c r="CV9" t="s">
        <v>382</v>
      </c>
      <c r="CW9" t="s">
        <v>383</v>
      </c>
      <c r="CX9" t="s">
        <v>384</v>
      </c>
      <c r="CY9" t="s">
        <v>385</v>
      </c>
      <c r="CZ9" t="s">
        <v>386</v>
      </c>
      <c r="DA9" t="s">
        <v>387</v>
      </c>
      <c r="DB9" t="s">
        <v>352</v>
      </c>
      <c r="DC9" t="s">
        <v>388</v>
      </c>
      <c r="DD9" t="s">
        <v>238</v>
      </c>
      <c r="DE9" t="s">
        <v>239</v>
      </c>
      <c r="DF9" t="s">
        <v>182</v>
      </c>
      <c r="DG9" t="s">
        <v>240</v>
      </c>
      <c r="DH9" t="s">
        <v>241</v>
      </c>
      <c r="DI9" t="s">
        <v>182</v>
      </c>
      <c r="DJ9" t="s">
        <v>242</v>
      </c>
      <c r="DK9" t="s">
        <v>243</v>
      </c>
      <c r="DL9" t="s">
        <v>244</v>
      </c>
      <c r="DM9" t="s">
        <v>176</v>
      </c>
      <c r="DN9" t="s">
        <v>351</v>
      </c>
      <c r="DO9" t="s">
        <v>245</v>
      </c>
      <c r="DP9" t="s">
        <v>246</v>
      </c>
      <c r="DQ9" t="s">
        <v>247</v>
      </c>
      <c r="DR9" t="s">
        <v>248</v>
      </c>
      <c r="DS9" t="s">
        <v>249</v>
      </c>
      <c r="DT9" t="s">
        <v>250</v>
      </c>
    </row>
    <row r="10" spans="1:124" x14ac:dyDescent="0.45">
      <c r="A10" t="s">
        <v>318</v>
      </c>
      <c r="B10" t="s">
        <v>389</v>
      </c>
      <c r="C10" t="s">
        <v>17</v>
      </c>
      <c r="D10" t="s">
        <v>167</v>
      </c>
      <c r="E10" t="s">
        <v>168</v>
      </c>
      <c r="I10" t="s">
        <v>390</v>
      </c>
      <c r="J10">
        <v>0.12341362401130419</v>
      </c>
      <c r="K10">
        <v>2.6082387200000001</v>
      </c>
      <c r="L10">
        <v>0.1178379062136149</v>
      </c>
      <c r="M10">
        <v>2.222925134802348</v>
      </c>
      <c r="N10" t="s">
        <v>391</v>
      </c>
      <c r="O10" t="s">
        <v>392</v>
      </c>
      <c r="P10">
        <v>4.1755455535599353</v>
      </c>
      <c r="Q10">
        <v>1.842800553559935</v>
      </c>
      <c r="R10" t="s">
        <v>393</v>
      </c>
      <c r="S10" t="s">
        <v>394</v>
      </c>
      <c r="T10">
        <v>41.366609407171943</v>
      </c>
      <c r="U10">
        <v>0.4417875</v>
      </c>
      <c r="V10" t="s">
        <v>174</v>
      </c>
      <c r="W10" t="s">
        <v>395</v>
      </c>
      <c r="X10" t="s">
        <v>176</v>
      </c>
      <c r="Y10" t="s">
        <v>176</v>
      </c>
      <c r="Z10" t="s">
        <v>176</v>
      </c>
      <c r="AA10" t="s">
        <v>396</v>
      </c>
      <c r="AB10" t="s">
        <v>397</v>
      </c>
      <c r="AC10" t="s">
        <v>398</v>
      </c>
      <c r="AD10" t="s">
        <v>180</v>
      </c>
      <c r="AE10" t="s">
        <v>181</v>
      </c>
      <c r="AF10">
        <v>321.58921703999999</v>
      </c>
      <c r="AG10" t="s">
        <v>182</v>
      </c>
      <c r="AH10" t="s">
        <v>399</v>
      </c>
      <c r="AI10" t="s">
        <v>400</v>
      </c>
      <c r="AJ10" t="s">
        <v>401</v>
      </c>
      <c r="AK10" t="s">
        <v>402</v>
      </c>
      <c r="AL10">
        <v>29.65</v>
      </c>
      <c r="AM10" t="s">
        <v>359</v>
      </c>
      <c r="AN10" t="s">
        <v>403</v>
      </c>
      <c r="AO10" t="s">
        <v>404</v>
      </c>
      <c r="AP10" t="s">
        <v>405</v>
      </c>
      <c r="AQ10" t="s">
        <v>406</v>
      </c>
      <c r="AR10" t="s">
        <v>407</v>
      </c>
      <c r="AS10" t="s">
        <v>408</v>
      </c>
      <c r="AT10" t="s">
        <v>409</v>
      </c>
      <c r="AU10" t="s">
        <v>410</v>
      </c>
      <c r="AV10" t="s">
        <v>411</v>
      </c>
      <c r="AW10" t="s">
        <v>412</v>
      </c>
      <c r="AX10" t="s">
        <v>413</v>
      </c>
      <c r="AY10" t="s">
        <v>414</v>
      </c>
      <c r="AZ10" t="s">
        <v>200</v>
      </c>
      <c r="BA10" t="s">
        <v>371</v>
      </c>
      <c r="BB10" t="s">
        <v>372</v>
      </c>
      <c r="BC10" t="s">
        <v>415</v>
      </c>
      <c r="BD10" t="s">
        <v>17</v>
      </c>
      <c r="BE10" t="s">
        <v>416</v>
      </c>
      <c r="BF10" t="s">
        <v>375</v>
      </c>
      <c r="BG10" t="s">
        <v>417</v>
      </c>
      <c r="BH10" t="s">
        <v>328</v>
      </c>
      <c r="BI10" t="s">
        <v>329</v>
      </c>
      <c r="BJ10" t="s">
        <v>209</v>
      </c>
      <c r="BK10" t="s">
        <v>17</v>
      </c>
      <c r="BL10" t="s">
        <v>210</v>
      </c>
      <c r="BM10" t="s">
        <v>165</v>
      </c>
      <c r="BN10" t="s">
        <v>283</v>
      </c>
      <c r="BO10" t="s">
        <v>330</v>
      </c>
      <c r="BP10" t="s">
        <v>283</v>
      </c>
      <c r="BQ10" t="s">
        <v>418</v>
      </c>
      <c r="BR10" t="s">
        <v>419</v>
      </c>
      <c r="BS10" t="s">
        <v>420</v>
      </c>
      <c r="BT10" t="s">
        <v>165</v>
      </c>
      <c r="BU10" t="s">
        <v>217</v>
      </c>
      <c r="BV10" t="s">
        <v>212</v>
      </c>
      <c r="BW10" t="s">
        <v>218</v>
      </c>
      <c r="BX10" t="s">
        <v>219</v>
      </c>
      <c r="BY10" t="s">
        <v>176</v>
      </c>
      <c r="BZ10" t="s">
        <v>220</v>
      </c>
      <c r="CA10" t="s">
        <v>176</v>
      </c>
      <c r="CB10" t="s">
        <v>176</v>
      </c>
      <c r="CC10" t="s">
        <v>221</v>
      </c>
      <c r="CD10" t="s">
        <v>222</v>
      </c>
      <c r="CE10" t="s">
        <v>223</v>
      </c>
      <c r="CF10" t="s">
        <v>224</v>
      </c>
      <c r="CG10" t="s">
        <v>225</v>
      </c>
      <c r="CH10" t="s">
        <v>226</v>
      </c>
      <c r="CI10" t="s">
        <v>182</v>
      </c>
      <c r="CJ10" t="s">
        <v>218</v>
      </c>
      <c r="CK10" t="s">
        <v>227</v>
      </c>
      <c r="CL10" t="s">
        <v>227</v>
      </c>
      <c r="CM10" t="s">
        <v>227</v>
      </c>
      <c r="CN10" t="s">
        <v>176</v>
      </c>
      <c r="CO10" t="s">
        <v>228</v>
      </c>
      <c r="CP10" t="s">
        <v>176</v>
      </c>
      <c r="CQ10" t="s">
        <v>176</v>
      </c>
      <c r="CR10" t="s">
        <v>176</v>
      </c>
      <c r="CS10" t="s">
        <v>176</v>
      </c>
      <c r="CT10" t="s">
        <v>421</v>
      </c>
      <c r="CU10" t="s">
        <v>422</v>
      </c>
      <c r="CV10" t="s">
        <v>423</v>
      </c>
      <c r="CW10" t="s">
        <v>424</v>
      </c>
      <c r="CX10" t="s">
        <v>425</v>
      </c>
      <c r="CY10" t="s">
        <v>426</v>
      </c>
      <c r="CZ10" t="s">
        <v>427</v>
      </c>
      <c r="DA10" t="s">
        <v>428</v>
      </c>
      <c r="DB10" t="s">
        <v>396</v>
      </c>
      <c r="DC10" t="s">
        <v>297</v>
      </c>
      <c r="DD10" t="s">
        <v>238</v>
      </c>
      <c r="DE10" t="s">
        <v>239</v>
      </c>
      <c r="DF10" t="s">
        <v>182</v>
      </c>
      <c r="DG10" t="s">
        <v>240</v>
      </c>
      <c r="DH10" t="s">
        <v>241</v>
      </c>
      <c r="DI10" t="s">
        <v>182</v>
      </c>
      <c r="DJ10" t="s">
        <v>242</v>
      </c>
      <c r="DK10" t="s">
        <v>243</v>
      </c>
      <c r="DL10" t="s">
        <v>244</v>
      </c>
      <c r="DM10" t="s">
        <v>176</v>
      </c>
      <c r="DN10" t="s">
        <v>395</v>
      </c>
      <c r="DO10" t="s">
        <v>245</v>
      </c>
      <c r="DP10" t="s">
        <v>246</v>
      </c>
      <c r="DQ10" t="s">
        <v>247</v>
      </c>
      <c r="DR10" t="s">
        <v>248</v>
      </c>
      <c r="DS10" t="s">
        <v>249</v>
      </c>
      <c r="DT10" t="s">
        <v>250</v>
      </c>
    </row>
    <row r="11" spans="1:124" x14ac:dyDescent="0.45">
      <c r="A11" t="s">
        <v>365</v>
      </c>
      <c r="B11" t="s">
        <v>429</v>
      </c>
      <c r="C11" t="s">
        <v>17</v>
      </c>
      <c r="D11" t="s">
        <v>167</v>
      </c>
      <c r="E11" t="s">
        <v>168</v>
      </c>
      <c r="I11" t="s">
        <v>430</v>
      </c>
      <c r="J11">
        <v>0.38408589250157699</v>
      </c>
      <c r="K11">
        <v>2.585118</v>
      </c>
      <c r="L11">
        <v>0.33440187679915773</v>
      </c>
      <c r="M11">
        <v>5.2059361011523357</v>
      </c>
      <c r="N11" t="s">
        <v>431</v>
      </c>
      <c r="O11" t="s">
        <v>432</v>
      </c>
      <c r="P11">
        <v>3.966256562251719</v>
      </c>
      <c r="Q11">
        <v>1.5217025622517191</v>
      </c>
      <c r="R11" t="s">
        <v>433</v>
      </c>
      <c r="S11" t="s">
        <v>434</v>
      </c>
      <c r="T11">
        <v>39.289317109972451</v>
      </c>
      <c r="U11">
        <v>0.4417875</v>
      </c>
      <c r="V11" t="s">
        <v>174</v>
      </c>
      <c r="W11" t="s">
        <v>435</v>
      </c>
      <c r="X11" t="s">
        <v>176</v>
      </c>
      <c r="Y11" t="s">
        <v>176</v>
      </c>
      <c r="Z11" t="s">
        <v>176</v>
      </c>
      <c r="AA11" t="s">
        <v>436</v>
      </c>
      <c r="AB11" t="s">
        <v>437</v>
      </c>
      <c r="AC11" t="s">
        <v>438</v>
      </c>
      <c r="AD11" t="s">
        <v>180</v>
      </c>
      <c r="AE11" t="s">
        <v>181</v>
      </c>
      <c r="AF11">
        <v>346.97534256</v>
      </c>
      <c r="AG11" t="s">
        <v>182</v>
      </c>
      <c r="AH11" t="s">
        <v>439</v>
      </c>
      <c r="AI11" t="s">
        <v>440</v>
      </c>
      <c r="AJ11" t="s">
        <v>441</v>
      </c>
      <c r="AK11" t="s">
        <v>442</v>
      </c>
      <c r="AL11">
        <v>28.76</v>
      </c>
      <c r="AM11" t="s">
        <v>187</v>
      </c>
      <c r="AN11" t="s">
        <v>443</v>
      </c>
      <c r="AO11" t="s">
        <v>444</v>
      </c>
      <c r="AP11" t="s">
        <v>445</v>
      </c>
      <c r="AQ11" t="s">
        <v>446</v>
      </c>
      <c r="AR11" t="s">
        <v>447</v>
      </c>
      <c r="AS11" t="s">
        <v>408</v>
      </c>
      <c r="AT11" t="s">
        <v>318</v>
      </c>
      <c r="AU11" t="s">
        <v>271</v>
      </c>
      <c r="AV11" t="s">
        <v>448</v>
      </c>
      <c r="AW11" t="s">
        <v>449</v>
      </c>
      <c r="AX11" t="s">
        <v>450</v>
      </c>
      <c r="AY11" t="s">
        <v>451</v>
      </c>
      <c r="AZ11" t="s">
        <v>200</v>
      </c>
      <c r="BA11" t="s">
        <v>452</v>
      </c>
      <c r="BB11" t="s">
        <v>453</v>
      </c>
      <c r="BC11" t="s">
        <v>454</v>
      </c>
      <c r="BD11" t="s">
        <v>17</v>
      </c>
      <c r="BE11" t="s">
        <v>455</v>
      </c>
      <c r="BF11" t="s">
        <v>456</v>
      </c>
      <c r="BG11" t="s">
        <v>457</v>
      </c>
      <c r="BH11" t="s">
        <v>328</v>
      </c>
      <c r="BI11" t="s">
        <v>329</v>
      </c>
      <c r="BJ11" t="s">
        <v>209</v>
      </c>
      <c r="BK11" t="s">
        <v>17</v>
      </c>
      <c r="BL11" t="s">
        <v>210</v>
      </c>
      <c r="BM11" t="s">
        <v>165</v>
      </c>
      <c r="BN11" t="s">
        <v>458</v>
      </c>
      <c r="BO11" t="s">
        <v>330</v>
      </c>
      <c r="BP11" t="s">
        <v>213</v>
      </c>
      <c r="BQ11" t="s">
        <v>459</v>
      </c>
      <c r="BR11" t="s">
        <v>460</v>
      </c>
      <c r="BS11" t="s">
        <v>461</v>
      </c>
      <c r="BT11" t="s">
        <v>165</v>
      </c>
      <c r="BU11" t="s">
        <v>217</v>
      </c>
      <c r="BV11" t="s">
        <v>212</v>
      </c>
      <c r="BW11" t="s">
        <v>218</v>
      </c>
      <c r="BX11" t="s">
        <v>219</v>
      </c>
      <c r="BY11" t="s">
        <v>176</v>
      </c>
      <c r="BZ11" t="s">
        <v>220</v>
      </c>
      <c r="CA11" t="s">
        <v>176</v>
      </c>
      <c r="CB11" t="s">
        <v>176</v>
      </c>
      <c r="CC11" t="s">
        <v>221</v>
      </c>
      <c r="CD11" t="s">
        <v>222</v>
      </c>
      <c r="CE11" t="s">
        <v>223</v>
      </c>
      <c r="CF11" t="s">
        <v>224</v>
      </c>
      <c r="CG11" t="s">
        <v>225</v>
      </c>
      <c r="CH11" t="s">
        <v>226</v>
      </c>
      <c r="CI11" t="s">
        <v>182</v>
      </c>
      <c r="CJ11" t="s">
        <v>218</v>
      </c>
      <c r="CK11" t="s">
        <v>227</v>
      </c>
      <c r="CL11" t="s">
        <v>227</v>
      </c>
      <c r="CM11" t="s">
        <v>227</v>
      </c>
      <c r="CN11" t="s">
        <v>176</v>
      </c>
      <c r="CO11" t="s">
        <v>228</v>
      </c>
      <c r="CP11" t="s">
        <v>176</v>
      </c>
      <c r="CQ11" t="s">
        <v>176</v>
      </c>
      <c r="CR11" t="s">
        <v>176</v>
      </c>
      <c r="CS11" t="s">
        <v>176</v>
      </c>
      <c r="CT11" t="s">
        <v>462</v>
      </c>
      <c r="CU11" t="s">
        <v>463</v>
      </c>
      <c r="CV11" t="s">
        <v>464</v>
      </c>
      <c r="CW11" t="s">
        <v>465</v>
      </c>
      <c r="CX11" t="s">
        <v>466</v>
      </c>
      <c r="CY11" t="s">
        <v>467</v>
      </c>
      <c r="CZ11" t="s">
        <v>468</v>
      </c>
      <c r="DA11" t="s">
        <v>469</v>
      </c>
      <c r="DB11" t="s">
        <v>436</v>
      </c>
      <c r="DC11" t="s">
        <v>470</v>
      </c>
      <c r="DD11" t="s">
        <v>238</v>
      </c>
      <c r="DE11" t="s">
        <v>239</v>
      </c>
      <c r="DF11" t="s">
        <v>182</v>
      </c>
      <c r="DG11" t="s">
        <v>240</v>
      </c>
      <c r="DH11" t="s">
        <v>241</v>
      </c>
      <c r="DI11" t="s">
        <v>182</v>
      </c>
      <c r="DJ11" t="s">
        <v>242</v>
      </c>
      <c r="DK11" t="s">
        <v>243</v>
      </c>
      <c r="DL11" t="s">
        <v>244</v>
      </c>
      <c r="DM11" t="s">
        <v>176</v>
      </c>
      <c r="DN11" t="s">
        <v>435</v>
      </c>
      <c r="DO11" t="s">
        <v>245</v>
      </c>
      <c r="DP11" t="s">
        <v>246</v>
      </c>
      <c r="DQ11" t="s">
        <v>247</v>
      </c>
      <c r="DR11" t="s">
        <v>248</v>
      </c>
      <c r="DS11" t="s">
        <v>249</v>
      </c>
      <c r="DT11" t="s">
        <v>250</v>
      </c>
    </row>
    <row r="12" spans="1:124" x14ac:dyDescent="0.45">
      <c r="A12" t="s">
        <v>207</v>
      </c>
      <c r="B12" t="s">
        <v>471</v>
      </c>
      <c r="C12" t="s">
        <v>17</v>
      </c>
      <c r="D12" t="s">
        <v>167</v>
      </c>
      <c r="E12" t="s">
        <v>168</v>
      </c>
      <c r="I12" t="s">
        <v>472</v>
      </c>
      <c r="J12">
        <v>0.73719193535469563</v>
      </c>
      <c r="K12">
        <v>2.609442</v>
      </c>
      <c r="L12">
        <v>0.57480430645664482</v>
      </c>
      <c r="M12">
        <v>7.6410845192020531</v>
      </c>
      <c r="N12" t="s">
        <v>473</v>
      </c>
      <c r="O12" t="s">
        <v>474</v>
      </c>
      <c r="P12">
        <v>3.8527401961396048</v>
      </c>
      <c r="Q12">
        <v>1.299380196139605</v>
      </c>
      <c r="R12" t="s">
        <v>475</v>
      </c>
      <c r="S12" t="s">
        <v>476</v>
      </c>
      <c r="T12">
        <v>38.164836019213517</v>
      </c>
      <c r="U12">
        <v>0.4417875</v>
      </c>
      <c r="V12" t="s">
        <v>174</v>
      </c>
      <c r="W12" t="s">
        <v>477</v>
      </c>
      <c r="X12" t="s">
        <v>176</v>
      </c>
      <c r="Y12" t="s">
        <v>176</v>
      </c>
      <c r="Z12" t="s">
        <v>176</v>
      </c>
      <c r="AA12" t="s">
        <v>478</v>
      </c>
      <c r="AB12" t="s">
        <v>479</v>
      </c>
      <c r="AC12" t="s">
        <v>480</v>
      </c>
      <c r="AD12" t="s">
        <v>180</v>
      </c>
      <c r="AE12" t="s">
        <v>181</v>
      </c>
      <c r="AF12">
        <v>153.48789791999999</v>
      </c>
      <c r="AG12" t="s">
        <v>182</v>
      </c>
      <c r="AH12" t="s">
        <v>481</v>
      </c>
      <c r="AI12" t="s">
        <v>482</v>
      </c>
      <c r="AJ12" t="s">
        <v>483</v>
      </c>
      <c r="AK12" t="s">
        <v>484</v>
      </c>
      <c r="AL12">
        <v>28.26</v>
      </c>
      <c r="AM12" t="s">
        <v>187</v>
      </c>
      <c r="AN12" t="s">
        <v>361</v>
      </c>
      <c r="AO12" t="s">
        <v>485</v>
      </c>
      <c r="AP12" t="s">
        <v>486</v>
      </c>
      <c r="AQ12" t="s">
        <v>487</v>
      </c>
      <c r="AR12" t="s">
        <v>488</v>
      </c>
      <c r="AS12" t="s">
        <v>489</v>
      </c>
      <c r="AT12" t="s">
        <v>344</v>
      </c>
      <c r="AU12" t="s">
        <v>490</v>
      </c>
      <c r="AV12" t="s">
        <v>491</v>
      </c>
      <c r="AW12" t="s">
        <v>492</v>
      </c>
      <c r="AX12" t="s">
        <v>493</v>
      </c>
      <c r="AY12" t="s">
        <v>494</v>
      </c>
      <c r="AZ12" t="s">
        <v>200</v>
      </c>
      <c r="BA12" t="s">
        <v>495</v>
      </c>
      <c r="BB12" t="s">
        <v>496</v>
      </c>
      <c r="BC12" t="s">
        <v>497</v>
      </c>
      <c r="BD12" t="s">
        <v>17</v>
      </c>
      <c r="BE12" t="s">
        <v>498</v>
      </c>
      <c r="BF12" t="s">
        <v>499</v>
      </c>
      <c r="BG12" t="s">
        <v>500</v>
      </c>
      <c r="BH12" t="s">
        <v>328</v>
      </c>
      <c r="BI12" t="s">
        <v>329</v>
      </c>
      <c r="BJ12" t="s">
        <v>209</v>
      </c>
      <c r="BK12" t="s">
        <v>17</v>
      </c>
      <c r="BL12" t="s">
        <v>210</v>
      </c>
      <c r="BM12" t="s">
        <v>165</v>
      </c>
      <c r="BN12" t="s">
        <v>285</v>
      </c>
      <c r="BO12" t="s">
        <v>284</v>
      </c>
      <c r="BP12" t="s">
        <v>501</v>
      </c>
      <c r="BQ12" t="s">
        <v>502</v>
      </c>
      <c r="BR12" t="s">
        <v>503</v>
      </c>
      <c r="BS12" t="s">
        <v>504</v>
      </c>
      <c r="BT12" t="s">
        <v>165</v>
      </c>
      <c r="BU12" t="s">
        <v>217</v>
      </c>
      <c r="BV12" t="s">
        <v>212</v>
      </c>
      <c r="BW12" t="s">
        <v>218</v>
      </c>
      <c r="BX12" t="s">
        <v>219</v>
      </c>
      <c r="BY12" t="s">
        <v>176</v>
      </c>
      <c r="BZ12" t="s">
        <v>220</v>
      </c>
      <c r="CA12" t="s">
        <v>176</v>
      </c>
      <c r="CB12" t="s">
        <v>176</v>
      </c>
      <c r="CC12" t="s">
        <v>221</v>
      </c>
      <c r="CD12" t="s">
        <v>222</v>
      </c>
      <c r="CE12" t="s">
        <v>223</v>
      </c>
      <c r="CF12" t="s">
        <v>224</v>
      </c>
      <c r="CG12" t="s">
        <v>225</v>
      </c>
      <c r="CH12" t="s">
        <v>226</v>
      </c>
      <c r="CI12" t="s">
        <v>182</v>
      </c>
      <c r="CJ12" t="s">
        <v>218</v>
      </c>
      <c r="CK12" t="s">
        <v>227</v>
      </c>
      <c r="CL12" t="s">
        <v>227</v>
      </c>
      <c r="CM12" t="s">
        <v>227</v>
      </c>
      <c r="CN12" t="s">
        <v>176</v>
      </c>
      <c r="CO12" t="s">
        <v>228</v>
      </c>
      <c r="CP12" t="s">
        <v>176</v>
      </c>
      <c r="CQ12" t="s">
        <v>176</v>
      </c>
      <c r="CR12" t="s">
        <v>176</v>
      </c>
      <c r="CS12" t="s">
        <v>176</v>
      </c>
      <c r="CT12" t="s">
        <v>505</v>
      </c>
      <c r="CU12" t="s">
        <v>506</v>
      </c>
      <c r="CV12" t="s">
        <v>507</v>
      </c>
      <c r="CW12" t="s">
        <v>508</v>
      </c>
      <c r="CX12" t="s">
        <v>509</v>
      </c>
      <c r="CY12" t="s">
        <v>510</v>
      </c>
      <c r="CZ12" t="s">
        <v>511</v>
      </c>
      <c r="DA12" t="s">
        <v>512</v>
      </c>
      <c r="DB12" t="s">
        <v>478</v>
      </c>
      <c r="DC12" t="s">
        <v>513</v>
      </c>
      <c r="DD12" t="s">
        <v>238</v>
      </c>
      <c r="DE12" t="s">
        <v>239</v>
      </c>
      <c r="DF12" t="s">
        <v>182</v>
      </c>
      <c r="DG12" t="s">
        <v>240</v>
      </c>
      <c r="DH12" t="s">
        <v>241</v>
      </c>
      <c r="DI12" t="s">
        <v>182</v>
      </c>
      <c r="DJ12" t="s">
        <v>242</v>
      </c>
      <c r="DK12" t="s">
        <v>243</v>
      </c>
      <c r="DL12" t="s">
        <v>244</v>
      </c>
      <c r="DM12" t="s">
        <v>176</v>
      </c>
      <c r="DN12" t="s">
        <v>477</v>
      </c>
      <c r="DO12" t="s">
        <v>245</v>
      </c>
      <c r="DP12" t="s">
        <v>246</v>
      </c>
      <c r="DQ12" t="s">
        <v>247</v>
      </c>
      <c r="DR12" t="s">
        <v>248</v>
      </c>
      <c r="DS12" t="s">
        <v>249</v>
      </c>
      <c r="DT12" t="s">
        <v>250</v>
      </c>
    </row>
    <row r="14" spans="1:124" x14ac:dyDescent="0.45">
      <c r="A14" t="s">
        <v>514</v>
      </c>
      <c r="B14" t="s">
        <v>515</v>
      </c>
      <c r="C14" t="s">
        <v>17</v>
      </c>
      <c r="D14" t="s">
        <v>167</v>
      </c>
      <c r="E14" t="s">
        <v>168</v>
      </c>
      <c r="I14" t="s">
        <v>516</v>
      </c>
      <c r="J14">
        <v>0.40176488182930881</v>
      </c>
      <c r="K14">
        <v>2.5973480000000002</v>
      </c>
      <c r="L14">
        <v>0.34794395989960031</v>
      </c>
      <c r="M14">
        <v>7.0965080477823834</v>
      </c>
      <c r="N14" t="s">
        <v>517</v>
      </c>
      <c r="O14" t="s">
        <v>518</v>
      </c>
      <c r="P14">
        <v>4.4780464487987954</v>
      </c>
      <c r="Q14">
        <v>1.9877834487987951</v>
      </c>
      <c r="R14" t="s">
        <v>519</v>
      </c>
      <c r="S14" t="s">
        <v>520</v>
      </c>
      <c r="T14">
        <v>44.359053479928633</v>
      </c>
      <c r="U14">
        <v>0.4417875</v>
      </c>
      <c r="V14" t="s">
        <v>174</v>
      </c>
      <c r="W14" t="s">
        <v>521</v>
      </c>
      <c r="X14" t="s">
        <v>176</v>
      </c>
      <c r="Y14" t="s">
        <v>176</v>
      </c>
      <c r="Z14" t="s">
        <v>176</v>
      </c>
      <c r="AA14" t="s">
        <v>522</v>
      </c>
      <c r="AB14" t="s">
        <v>523</v>
      </c>
      <c r="AC14" t="s">
        <v>524</v>
      </c>
      <c r="AD14" t="s">
        <v>180</v>
      </c>
      <c r="AE14" t="s">
        <v>181</v>
      </c>
      <c r="AF14">
        <v>207.13974708000001</v>
      </c>
      <c r="AG14" t="s">
        <v>182</v>
      </c>
      <c r="AH14" t="s">
        <v>525</v>
      </c>
      <c r="AI14" t="s">
        <v>526</v>
      </c>
      <c r="AJ14" t="s">
        <v>527</v>
      </c>
      <c r="AK14" t="s">
        <v>528</v>
      </c>
      <c r="AL14">
        <v>30.87</v>
      </c>
      <c r="AM14" t="s">
        <v>187</v>
      </c>
      <c r="AN14" t="s">
        <v>529</v>
      </c>
      <c r="AO14" t="s">
        <v>530</v>
      </c>
      <c r="AP14" t="s">
        <v>531</v>
      </c>
      <c r="AQ14" t="s">
        <v>532</v>
      </c>
      <c r="AR14" t="s">
        <v>533</v>
      </c>
      <c r="AS14" t="s">
        <v>534</v>
      </c>
      <c r="AT14" t="s">
        <v>223</v>
      </c>
      <c r="AU14" t="s">
        <v>535</v>
      </c>
      <c r="AV14" t="s">
        <v>536</v>
      </c>
      <c r="AW14" t="s">
        <v>537</v>
      </c>
      <c r="AX14" t="s">
        <v>538</v>
      </c>
      <c r="AY14" t="s">
        <v>539</v>
      </c>
      <c r="AZ14" t="s">
        <v>200</v>
      </c>
      <c r="BA14" t="s">
        <v>540</v>
      </c>
      <c r="BB14" t="s">
        <v>541</v>
      </c>
      <c r="BC14" t="s">
        <v>542</v>
      </c>
      <c r="BD14" t="s">
        <v>17</v>
      </c>
      <c r="BE14" t="s">
        <v>543</v>
      </c>
      <c r="BF14" t="s">
        <v>544</v>
      </c>
      <c r="BG14" t="s">
        <v>545</v>
      </c>
      <c r="BH14" t="s">
        <v>328</v>
      </c>
      <c r="BI14" t="s">
        <v>329</v>
      </c>
      <c r="BJ14" t="s">
        <v>209</v>
      </c>
      <c r="BK14" t="s">
        <v>17</v>
      </c>
      <c r="BL14" t="s">
        <v>210</v>
      </c>
      <c r="BM14" t="s">
        <v>165</v>
      </c>
      <c r="BN14" t="s">
        <v>212</v>
      </c>
      <c r="BO14" t="s">
        <v>212</v>
      </c>
      <c r="BP14" t="s">
        <v>212</v>
      </c>
      <c r="BQ14" t="s">
        <v>546</v>
      </c>
      <c r="BR14" t="s">
        <v>547</v>
      </c>
      <c r="BS14" t="s">
        <v>548</v>
      </c>
      <c r="BT14" t="s">
        <v>165</v>
      </c>
      <c r="BU14" t="s">
        <v>217</v>
      </c>
      <c r="BV14" t="s">
        <v>212</v>
      </c>
      <c r="BW14" t="s">
        <v>218</v>
      </c>
      <c r="BX14" t="s">
        <v>219</v>
      </c>
      <c r="BY14" t="s">
        <v>176</v>
      </c>
      <c r="BZ14" t="s">
        <v>220</v>
      </c>
      <c r="CA14" t="s">
        <v>176</v>
      </c>
      <c r="CB14" t="s">
        <v>176</v>
      </c>
      <c r="CC14" t="s">
        <v>221</v>
      </c>
      <c r="CD14" t="s">
        <v>222</v>
      </c>
      <c r="CE14" t="s">
        <v>223</v>
      </c>
      <c r="CF14" t="s">
        <v>224</v>
      </c>
      <c r="CG14" t="s">
        <v>225</v>
      </c>
      <c r="CH14" t="s">
        <v>226</v>
      </c>
      <c r="CI14" t="s">
        <v>182</v>
      </c>
      <c r="CJ14" t="s">
        <v>218</v>
      </c>
      <c r="CK14" t="s">
        <v>227</v>
      </c>
      <c r="CL14" t="s">
        <v>227</v>
      </c>
      <c r="CM14" t="s">
        <v>227</v>
      </c>
      <c r="CN14" t="s">
        <v>176</v>
      </c>
      <c r="CO14" t="s">
        <v>228</v>
      </c>
      <c r="CP14" t="s">
        <v>176</v>
      </c>
      <c r="CQ14" t="s">
        <v>176</v>
      </c>
      <c r="CR14" t="s">
        <v>176</v>
      </c>
      <c r="CS14" t="s">
        <v>176</v>
      </c>
      <c r="CT14" t="s">
        <v>549</v>
      </c>
      <c r="CU14" t="s">
        <v>550</v>
      </c>
      <c r="CV14" t="s">
        <v>551</v>
      </c>
      <c r="CW14" t="s">
        <v>552</v>
      </c>
      <c r="CX14" t="s">
        <v>553</v>
      </c>
      <c r="CY14" t="s">
        <v>554</v>
      </c>
      <c r="CZ14" t="s">
        <v>555</v>
      </c>
      <c r="DA14" t="s">
        <v>556</v>
      </c>
      <c r="DB14" t="s">
        <v>522</v>
      </c>
      <c r="DC14" t="s">
        <v>557</v>
      </c>
      <c r="DD14" t="s">
        <v>238</v>
      </c>
      <c r="DE14" t="s">
        <v>239</v>
      </c>
      <c r="DF14" t="s">
        <v>182</v>
      </c>
      <c r="DG14" t="s">
        <v>240</v>
      </c>
      <c r="DH14" t="s">
        <v>241</v>
      </c>
      <c r="DI14" t="s">
        <v>182</v>
      </c>
      <c r="DJ14" t="s">
        <v>242</v>
      </c>
      <c r="DK14" t="s">
        <v>243</v>
      </c>
      <c r="DL14" t="s">
        <v>244</v>
      </c>
      <c r="DM14" t="s">
        <v>176</v>
      </c>
      <c r="DN14" t="s">
        <v>521</v>
      </c>
      <c r="DO14" t="s">
        <v>245</v>
      </c>
      <c r="DP14" t="s">
        <v>246</v>
      </c>
      <c r="DQ14" t="s">
        <v>247</v>
      </c>
      <c r="DR14" t="s">
        <v>248</v>
      </c>
      <c r="DS14" t="s">
        <v>249</v>
      </c>
      <c r="DT14" t="s">
        <v>250</v>
      </c>
    </row>
    <row r="15" spans="1:124" x14ac:dyDescent="0.45">
      <c r="A15" t="s">
        <v>328</v>
      </c>
      <c r="B15" t="s">
        <v>558</v>
      </c>
      <c r="C15" t="s">
        <v>17</v>
      </c>
      <c r="D15" t="s">
        <v>167</v>
      </c>
      <c r="E15" t="s">
        <v>168</v>
      </c>
      <c r="I15" t="s">
        <v>559</v>
      </c>
      <c r="J15">
        <v>0.51761575409617777</v>
      </c>
      <c r="K15">
        <v>2.5997776799999999</v>
      </c>
      <c r="L15">
        <v>0.43167021191400068</v>
      </c>
      <c r="M15">
        <v>9.1806995731401688</v>
      </c>
      <c r="N15" t="s">
        <v>560</v>
      </c>
      <c r="O15" t="s">
        <v>561</v>
      </c>
      <c r="P15">
        <v>4.665384537447423</v>
      </c>
      <c r="Q15">
        <v>2.0699015374474228</v>
      </c>
      <c r="R15" t="s">
        <v>562</v>
      </c>
      <c r="S15" t="s">
        <v>563</v>
      </c>
      <c r="T15">
        <v>46.210227193417417</v>
      </c>
      <c r="U15">
        <v>0.4417875</v>
      </c>
      <c r="V15" t="s">
        <v>174</v>
      </c>
      <c r="W15" t="s">
        <v>564</v>
      </c>
      <c r="X15" t="s">
        <v>176</v>
      </c>
      <c r="Y15" t="s">
        <v>176</v>
      </c>
      <c r="Z15" t="s">
        <v>176</v>
      </c>
      <c r="AA15" t="s">
        <v>565</v>
      </c>
      <c r="AB15" t="s">
        <v>566</v>
      </c>
      <c r="AC15" t="s">
        <v>567</v>
      </c>
      <c r="AD15" t="s">
        <v>180</v>
      </c>
      <c r="AE15" t="s">
        <v>181</v>
      </c>
      <c r="AF15">
        <v>262.15037477999999</v>
      </c>
      <c r="AG15" t="s">
        <v>182</v>
      </c>
      <c r="AH15" t="s">
        <v>399</v>
      </c>
      <c r="AI15" t="s">
        <v>568</v>
      </c>
      <c r="AJ15" t="s">
        <v>569</v>
      </c>
      <c r="AK15" t="s">
        <v>570</v>
      </c>
      <c r="AL15">
        <v>31.59</v>
      </c>
      <c r="AM15" t="s">
        <v>571</v>
      </c>
      <c r="AN15" t="s">
        <v>572</v>
      </c>
      <c r="AO15" t="s">
        <v>573</v>
      </c>
      <c r="AP15" t="s">
        <v>574</v>
      </c>
      <c r="AQ15" t="s">
        <v>575</v>
      </c>
      <c r="AR15" t="s">
        <v>576</v>
      </c>
      <c r="AS15" t="s">
        <v>577</v>
      </c>
      <c r="AT15" t="s">
        <v>251</v>
      </c>
      <c r="AU15" t="s">
        <v>535</v>
      </c>
      <c r="AV15" t="s">
        <v>578</v>
      </c>
      <c r="AW15" t="s">
        <v>579</v>
      </c>
      <c r="AX15" t="s">
        <v>580</v>
      </c>
      <c r="AY15" t="s">
        <v>581</v>
      </c>
      <c r="AZ15" t="s">
        <v>200</v>
      </c>
      <c r="BA15" t="s">
        <v>582</v>
      </c>
      <c r="BB15" t="s">
        <v>583</v>
      </c>
      <c r="BC15" t="s">
        <v>584</v>
      </c>
      <c r="BD15" t="s">
        <v>17</v>
      </c>
      <c r="BE15" t="s">
        <v>585</v>
      </c>
      <c r="BF15" t="s">
        <v>499</v>
      </c>
      <c r="BG15" t="s">
        <v>586</v>
      </c>
      <c r="BH15" t="s">
        <v>587</v>
      </c>
      <c r="BI15" t="s">
        <v>588</v>
      </c>
      <c r="BJ15" t="s">
        <v>589</v>
      </c>
      <c r="BK15" t="s">
        <v>17</v>
      </c>
      <c r="BL15" t="s">
        <v>590</v>
      </c>
      <c r="BM15" t="s">
        <v>165</v>
      </c>
      <c r="BN15" t="s">
        <v>212</v>
      </c>
      <c r="BO15" t="s">
        <v>284</v>
      </c>
      <c r="BP15" t="s">
        <v>212</v>
      </c>
      <c r="BQ15" t="s">
        <v>591</v>
      </c>
      <c r="BR15" t="s">
        <v>592</v>
      </c>
      <c r="BS15" t="s">
        <v>593</v>
      </c>
      <c r="BT15" t="s">
        <v>165</v>
      </c>
      <c r="BU15" t="s">
        <v>217</v>
      </c>
      <c r="BV15" t="s">
        <v>212</v>
      </c>
      <c r="BW15" t="s">
        <v>218</v>
      </c>
      <c r="BX15" t="s">
        <v>219</v>
      </c>
      <c r="BY15" t="s">
        <v>176</v>
      </c>
      <c r="BZ15" t="s">
        <v>220</v>
      </c>
      <c r="CA15" t="s">
        <v>176</v>
      </c>
      <c r="CB15" t="s">
        <v>176</v>
      </c>
      <c r="CC15" t="s">
        <v>221</v>
      </c>
      <c r="CD15" t="s">
        <v>222</v>
      </c>
      <c r="CE15" t="s">
        <v>223</v>
      </c>
      <c r="CF15" t="s">
        <v>224</v>
      </c>
      <c r="CG15" t="s">
        <v>225</v>
      </c>
      <c r="CH15" t="s">
        <v>226</v>
      </c>
      <c r="CI15" t="s">
        <v>182</v>
      </c>
      <c r="CJ15" t="s">
        <v>218</v>
      </c>
      <c r="CK15" t="s">
        <v>227</v>
      </c>
      <c r="CL15" t="s">
        <v>227</v>
      </c>
      <c r="CM15" t="s">
        <v>227</v>
      </c>
      <c r="CN15" t="s">
        <v>176</v>
      </c>
      <c r="CO15" t="s">
        <v>228</v>
      </c>
      <c r="CP15" t="s">
        <v>176</v>
      </c>
      <c r="CQ15" t="s">
        <v>176</v>
      </c>
      <c r="CR15" t="s">
        <v>176</v>
      </c>
      <c r="CS15" t="s">
        <v>176</v>
      </c>
      <c r="CT15" t="s">
        <v>594</v>
      </c>
      <c r="CU15" t="s">
        <v>595</v>
      </c>
      <c r="CV15" t="s">
        <v>596</v>
      </c>
      <c r="CW15" t="s">
        <v>597</v>
      </c>
      <c r="CX15" t="s">
        <v>598</v>
      </c>
      <c r="CY15" t="s">
        <v>599</v>
      </c>
      <c r="CZ15" t="s">
        <v>600</v>
      </c>
      <c r="DA15" t="s">
        <v>601</v>
      </c>
      <c r="DB15" t="s">
        <v>565</v>
      </c>
      <c r="DC15" t="s">
        <v>388</v>
      </c>
      <c r="DD15" t="s">
        <v>238</v>
      </c>
      <c r="DE15" t="s">
        <v>239</v>
      </c>
      <c r="DF15" t="s">
        <v>182</v>
      </c>
      <c r="DG15" t="s">
        <v>240</v>
      </c>
      <c r="DH15" t="s">
        <v>241</v>
      </c>
      <c r="DI15" t="s">
        <v>182</v>
      </c>
      <c r="DJ15" t="s">
        <v>242</v>
      </c>
      <c r="DK15" t="s">
        <v>243</v>
      </c>
      <c r="DL15" t="s">
        <v>244</v>
      </c>
      <c r="DM15" t="s">
        <v>176</v>
      </c>
      <c r="DN15" t="s">
        <v>564</v>
      </c>
      <c r="DO15" t="s">
        <v>245</v>
      </c>
      <c r="DP15" t="s">
        <v>246</v>
      </c>
      <c r="DQ15" t="s">
        <v>247</v>
      </c>
      <c r="DR15" t="s">
        <v>248</v>
      </c>
      <c r="DS15" t="s">
        <v>249</v>
      </c>
      <c r="DT15" t="s">
        <v>250</v>
      </c>
    </row>
    <row r="16" spans="1:124" x14ac:dyDescent="0.45">
      <c r="A16" t="s">
        <v>602</v>
      </c>
      <c r="B16" t="s">
        <v>603</v>
      </c>
      <c r="C16" t="s">
        <v>17</v>
      </c>
      <c r="D16" t="s">
        <v>167</v>
      </c>
      <c r="E16" t="s">
        <v>168</v>
      </c>
      <c r="I16" t="s">
        <v>604</v>
      </c>
      <c r="J16">
        <v>0.17431121562584259</v>
      </c>
      <c r="K16">
        <v>2.6046207199999998</v>
      </c>
      <c r="L16">
        <v>0.1633773746405951</v>
      </c>
      <c r="M16">
        <v>4.634045474288861</v>
      </c>
      <c r="N16" t="s">
        <v>605</v>
      </c>
      <c r="O16" t="s">
        <v>606</v>
      </c>
      <c r="P16">
        <v>5.2307954940584844</v>
      </c>
      <c r="Q16">
        <v>2.754379494058484</v>
      </c>
      <c r="R16" t="s">
        <v>607</v>
      </c>
      <c r="S16" t="s">
        <v>608</v>
      </c>
      <c r="T16">
        <v>51.810573435603061</v>
      </c>
      <c r="U16">
        <v>0.4417875</v>
      </c>
      <c r="V16" t="s">
        <v>174</v>
      </c>
      <c r="W16" t="s">
        <v>609</v>
      </c>
      <c r="X16" t="s">
        <v>176</v>
      </c>
      <c r="Y16" t="s">
        <v>176</v>
      </c>
      <c r="Z16" t="s">
        <v>176</v>
      </c>
      <c r="AA16" t="s">
        <v>610</v>
      </c>
      <c r="AB16" t="s">
        <v>611</v>
      </c>
      <c r="AC16" t="s">
        <v>612</v>
      </c>
      <c r="AD16" t="s">
        <v>180</v>
      </c>
      <c r="AE16" t="s">
        <v>181</v>
      </c>
      <c r="AF16">
        <v>207.87098639999999</v>
      </c>
      <c r="AG16" t="s">
        <v>182</v>
      </c>
      <c r="AH16" t="s">
        <v>613</v>
      </c>
      <c r="AI16" t="s">
        <v>614</v>
      </c>
      <c r="AJ16" t="s">
        <v>615</v>
      </c>
      <c r="AK16" t="s">
        <v>616</v>
      </c>
      <c r="AL16">
        <v>33.619999999999997</v>
      </c>
      <c r="AM16" t="s">
        <v>571</v>
      </c>
      <c r="AN16" t="s">
        <v>617</v>
      </c>
      <c r="AO16" t="s">
        <v>443</v>
      </c>
      <c r="AP16" t="s">
        <v>618</v>
      </c>
      <c r="AQ16" t="s">
        <v>619</v>
      </c>
      <c r="AR16" t="s">
        <v>620</v>
      </c>
      <c r="AS16" t="s">
        <v>364</v>
      </c>
      <c r="AT16" t="s">
        <v>223</v>
      </c>
      <c r="AU16" t="s">
        <v>621</v>
      </c>
      <c r="AV16" t="s">
        <v>622</v>
      </c>
      <c r="AW16" t="s">
        <v>623</v>
      </c>
      <c r="AX16" t="s">
        <v>624</v>
      </c>
      <c r="AY16" t="s">
        <v>625</v>
      </c>
      <c r="AZ16" t="s">
        <v>200</v>
      </c>
      <c r="BA16" t="s">
        <v>626</v>
      </c>
      <c r="BB16" t="s">
        <v>627</v>
      </c>
      <c r="BC16" t="s">
        <v>628</v>
      </c>
      <c r="BD16" t="s">
        <v>17</v>
      </c>
      <c r="BE16" t="s">
        <v>629</v>
      </c>
      <c r="BF16" t="s">
        <v>630</v>
      </c>
      <c r="BG16" t="s">
        <v>631</v>
      </c>
      <c r="BH16" t="s">
        <v>632</v>
      </c>
      <c r="BI16" t="s">
        <v>588</v>
      </c>
      <c r="BJ16" t="s">
        <v>589</v>
      </c>
      <c r="BK16" t="s">
        <v>17</v>
      </c>
      <c r="BL16" t="s">
        <v>590</v>
      </c>
      <c r="BM16" t="s">
        <v>165</v>
      </c>
      <c r="BN16" t="s">
        <v>211</v>
      </c>
      <c r="BO16" t="s">
        <v>212</v>
      </c>
      <c r="BP16" t="s">
        <v>283</v>
      </c>
      <c r="BQ16" t="s">
        <v>633</v>
      </c>
      <c r="BR16" t="s">
        <v>634</v>
      </c>
      <c r="BS16" t="s">
        <v>635</v>
      </c>
      <c r="BT16" t="s">
        <v>165</v>
      </c>
      <c r="BU16" t="s">
        <v>217</v>
      </c>
      <c r="BV16" t="s">
        <v>212</v>
      </c>
      <c r="BW16" t="s">
        <v>218</v>
      </c>
      <c r="BX16" t="s">
        <v>219</v>
      </c>
      <c r="BY16" t="s">
        <v>176</v>
      </c>
      <c r="BZ16" t="s">
        <v>220</v>
      </c>
      <c r="CA16" t="s">
        <v>176</v>
      </c>
      <c r="CB16" t="s">
        <v>176</v>
      </c>
      <c r="CC16" t="s">
        <v>221</v>
      </c>
      <c r="CD16" t="s">
        <v>222</v>
      </c>
      <c r="CE16" t="s">
        <v>223</v>
      </c>
      <c r="CF16" t="s">
        <v>224</v>
      </c>
      <c r="CG16" t="s">
        <v>225</v>
      </c>
      <c r="CH16" t="s">
        <v>226</v>
      </c>
      <c r="CI16" t="s">
        <v>182</v>
      </c>
      <c r="CJ16" t="s">
        <v>218</v>
      </c>
      <c r="CK16" t="s">
        <v>227</v>
      </c>
      <c r="CL16" t="s">
        <v>227</v>
      </c>
      <c r="CM16" t="s">
        <v>227</v>
      </c>
      <c r="CN16" t="s">
        <v>176</v>
      </c>
      <c r="CO16" t="s">
        <v>228</v>
      </c>
      <c r="CP16" t="s">
        <v>176</v>
      </c>
      <c r="CQ16" t="s">
        <v>176</v>
      </c>
      <c r="CR16" t="s">
        <v>176</v>
      </c>
      <c r="CS16" t="s">
        <v>176</v>
      </c>
      <c r="CT16" t="s">
        <v>636</v>
      </c>
      <c r="CU16" t="s">
        <v>637</v>
      </c>
      <c r="CV16" t="s">
        <v>638</v>
      </c>
      <c r="CW16" t="s">
        <v>639</v>
      </c>
      <c r="CX16" t="s">
        <v>640</v>
      </c>
      <c r="CY16" t="s">
        <v>641</v>
      </c>
      <c r="CZ16" t="s">
        <v>642</v>
      </c>
      <c r="DA16" t="s">
        <v>643</v>
      </c>
      <c r="DB16" t="s">
        <v>610</v>
      </c>
      <c r="DC16" t="s">
        <v>644</v>
      </c>
      <c r="DD16" t="s">
        <v>238</v>
      </c>
      <c r="DE16" t="s">
        <v>239</v>
      </c>
      <c r="DF16" t="s">
        <v>182</v>
      </c>
      <c r="DG16" t="s">
        <v>240</v>
      </c>
      <c r="DH16" t="s">
        <v>241</v>
      </c>
      <c r="DI16" t="s">
        <v>182</v>
      </c>
      <c r="DJ16" t="s">
        <v>242</v>
      </c>
      <c r="DK16" t="s">
        <v>243</v>
      </c>
      <c r="DL16" t="s">
        <v>244</v>
      </c>
      <c r="DM16" t="s">
        <v>176</v>
      </c>
      <c r="DN16" t="s">
        <v>609</v>
      </c>
      <c r="DO16" t="s">
        <v>245</v>
      </c>
      <c r="DP16" t="s">
        <v>246</v>
      </c>
      <c r="DQ16" t="s">
        <v>247</v>
      </c>
      <c r="DR16" t="s">
        <v>248</v>
      </c>
      <c r="DS16" t="s">
        <v>249</v>
      </c>
      <c r="DT16" t="s">
        <v>250</v>
      </c>
    </row>
    <row r="17" spans="1:124" x14ac:dyDescent="0.45">
      <c r="A17" t="s">
        <v>587</v>
      </c>
      <c r="B17" t="s">
        <v>645</v>
      </c>
      <c r="C17" t="s">
        <v>17</v>
      </c>
      <c r="D17" t="s">
        <v>167</v>
      </c>
      <c r="E17" t="s">
        <v>168</v>
      </c>
      <c r="I17" t="s">
        <v>646</v>
      </c>
      <c r="J17">
        <v>2.5149597716807949E-2</v>
      </c>
      <c r="K17">
        <v>2.5997776799999999</v>
      </c>
      <c r="L17">
        <v>2.4908637797389759E-2</v>
      </c>
      <c r="M17">
        <v>0.88036820599717913</v>
      </c>
      <c r="N17" t="s">
        <v>647</v>
      </c>
      <c r="O17" t="s">
        <v>648</v>
      </c>
      <c r="P17">
        <v>5.7970550334150097</v>
      </c>
      <c r="Q17">
        <v>3.42354703341501</v>
      </c>
      <c r="R17" t="s">
        <v>649</v>
      </c>
      <c r="S17" t="s">
        <v>650</v>
      </c>
      <c r="T17">
        <v>57.42501271337305</v>
      </c>
      <c r="U17">
        <v>0.4417875</v>
      </c>
      <c r="V17" t="s">
        <v>174</v>
      </c>
      <c r="W17" t="s">
        <v>651</v>
      </c>
      <c r="X17" t="s">
        <v>176</v>
      </c>
      <c r="Y17" t="s">
        <v>176</v>
      </c>
      <c r="Z17" t="s">
        <v>176</v>
      </c>
      <c r="AA17" t="s">
        <v>652</v>
      </c>
      <c r="AB17" t="s">
        <v>653</v>
      </c>
      <c r="AC17" t="s">
        <v>654</v>
      </c>
      <c r="AD17" t="s">
        <v>180</v>
      </c>
      <c r="AE17" t="s">
        <v>181</v>
      </c>
      <c r="AF17">
        <v>164.1942603</v>
      </c>
      <c r="AG17" t="s">
        <v>182</v>
      </c>
      <c r="AH17" t="s">
        <v>655</v>
      </c>
      <c r="AI17" t="s">
        <v>656</v>
      </c>
      <c r="AJ17" t="s">
        <v>657</v>
      </c>
      <c r="AK17" t="s">
        <v>658</v>
      </c>
      <c r="AL17">
        <v>35.47</v>
      </c>
      <c r="AM17" t="s">
        <v>187</v>
      </c>
      <c r="AN17" t="s">
        <v>572</v>
      </c>
      <c r="AO17" t="s">
        <v>659</v>
      </c>
      <c r="AP17" t="s">
        <v>405</v>
      </c>
      <c r="AQ17" t="s">
        <v>660</v>
      </c>
      <c r="AR17" t="s">
        <v>661</v>
      </c>
      <c r="AS17" t="s">
        <v>662</v>
      </c>
      <c r="AT17" t="s">
        <v>223</v>
      </c>
      <c r="AU17" t="s">
        <v>663</v>
      </c>
      <c r="AV17" t="s">
        <v>664</v>
      </c>
      <c r="AW17" t="s">
        <v>665</v>
      </c>
      <c r="AX17" t="s">
        <v>666</v>
      </c>
      <c r="AY17" t="s">
        <v>667</v>
      </c>
      <c r="AZ17" t="s">
        <v>200</v>
      </c>
      <c r="BA17" t="s">
        <v>626</v>
      </c>
      <c r="BB17" t="s">
        <v>627</v>
      </c>
      <c r="BC17" t="s">
        <v>668</v>
      </c>
      <c r="BD17" t="s">
        <v>17</v>
      </c>
      <c r="BE17" t="s">
        <v>325</v>
      </c>
      <c r="BF17" t="s">
        <v>669</v>
      </c>
      <c r="BG17" t="s">
        <v>670</v>
      </c>
      <c r="BH17" t="s">
        <v>632</v>
      </c>
      <c r="BI17" t="s">
        <v>588</v>
      </c>
      <c r="BJ17" t="s">
        <v>589</v>
      </c>
      <c r="BK17" t="s">
        <v>17</v>
      </c>
      <c r="BL17" t="s">
        <v>590</v>
      </c>
      <c r="BM17" t="s">
        <v>165</v>
      </c>
      <c r="BN17" t="s">
        <v>330</v>
      </c>
      <c r="BO17" t="s">
        <v>330</v>
      </c>
      <c r="BP17" t="s">
        <v>330</v>
      </c>
      <c r="BQ17" t="s">
        <v>671</v>
      </c>
      <c r="BR17" t="s">
        <v>672</v>
      </c>
      <c r="BS17" t="s">
        <v>673</v>
      </c>
      <c r="BT17" t="s">
        <v>165</v>
      </c>
      <c r="BU17" t="s">
        <v>217</v>
      </c>
      <c r="BV17" t="s">
        <v>212</v>
      </c>
      <c r="BW17" t="s">
        <v>218</v>
      </c>
      <c r="BX17" t="s">
        <v>219</v>
      </c>
      <c r="BY17" t="s">
        <v>176</v>
      </c>
      <c r="BZ17" t="s">
        <v>220</v>
      </c>
      <c r="CA17" t="s">
        <v>176</v>
      </c>
      <c r="CB17" t="s">
        <v>176</v>
      </c>
      <c r="CC17" t="s">
        <v>221</v>
      </c>
      <c r="CD17" t="s">
        <v>222</v>
      </c>
      <c r="CE17" t="s">
        <v>223</v>
      </c>
      <c r="CF17" t="s">
        <v>224</v>
      </c>
      <c r="CG17" t="s">
        <v>225</v>
      </c>
      <c r="CH17" t="s">
        <v>226</v>
      </c>
      <c r="CI17" t="s">
        <v>182</v>
      </c>
      <c r="CJ17" t="s">
        <v>218</v>
      </c>
      <c r="CK17" t="s">
        <v>227</v>
      </c>
      <c r="CL17" t="s">
        <v>227</v>
      </c>
      <c r="CM17" t="s">
        <v>227</v>
      </c>
      <c r="CN17" t="s">
        <v>176</v>
      </c>
      <c r="CO17" t="s">
        <v>228</v>
      </c>
      <c r="CP17" t="s">
        <v>176</v>
      </c>
      <c r="CQ17" t="s">
        <v>176</v>
      </c>
      <c r="CR17" t="s">
        <v>176</v>
      </c>
      <c r="CS17" t="s">
        <v>176</v>
      </c>
      <c r="CT17" t="s">
        <v>674</v>
      </c>
      <c r="CU17" t="s">
        <v>675</v>
      </c>
      <c r="CV17" t="s">
        <v>676</v>
      </c>
      <c r="CW17" t="s">
        <v>677</v>
      </c>
      <c r="CX17" t="s">
        <v>678</v>
      </c>
      <c r="CY17" t="s">
        <v>679</v>
      </c>
      <c r="CZ17" t="s">
        <v>680</v>
      </c>
      <c r="DA17" t="s">
        <v>681</v>
      </c>
      <c r="DB17" t="s">
        <v>652</v>
      </c>
      <c r="DC17" t="s">
        <v>682</v>
      </c>
      <c r="DD17" t="s">
        <v>238</v>
      </c>
      <c r="DE17" t="s">
        <v>239</v>
      </c>
      <c r="DF17" t="s">
        <v>182</v>
      </c>
      <c r="DG17" t="s">
        <v>240</v>
      </c>
      <c r="DH17" t="s">
        <v>241</v>
      </c>
      <c r="DI17" t="s">
        <v>182</v>
      </c>
      <c r="DJ17" t="s">
        <v>242</v>
      </c>
      <c r="DK17" t="s">
        <v>243</v>
      </c>
      <c r="DL17" t="s">
        <v>244</v>
      </c>
      <c r="DM17" t="s">
        <v>176</v>
      </c>
      <c r="DN17" t="s">
        <v>651</v>
      </c>
      <c r="DO17" t="s">
        <v>245</v>
      </c>
      <c r="DP17" t="s">
        <v>246</v>
      </c>
      <c r="DQ17" t="s">
        <v>247</v>
      </c>
      <c r="DR17" t="s">
        <v>248</v>
      </c>
      <c r="DS17" t="s">
        <v>249</v>
      </c>
      <c r="DT17" t="s">
        <v>250</v>
      </c>
    </row>
    <row r="18" spans="1:124" x14ac:dyDescent="0.45">
      <c r="A18" t="s">
        <v>632</v>
      </c>
      <c r="B18" t="s">
        <v>683</v>
      </c>
      <c r="C18" t="s">
        <v>17</v>
      </c>
      <c r="D18" t="s">
        <v>167</v>
      </c>
      <c r="E18" t="s">
        <v>168</v>
      </c>
      <c r="I18" t="s">
        <v>684</v>
      </c>
      <c r="J18">
        <v>0.5762583420575691</v>
      </c>
      <c r="K18">
        <v>2.60703408</v>
      </c>
      <c r="L18">
        <v>0.47194066313811328</v>
      </c>
      <c r="M18">
        <v>10.09683449608309</v>
      </c>
      <c r="N18" t="s">
        <v>685</v>
      </c>
      <c r="O18" t="s">
        <v>686</v>
      </c>
      <c r="P18">
        <v>4.7373753443719613</v>
      </c>
      <c r="Q18">
        <v>2.0803693443719609</v>
      </c>
      <c r="R18" t="s">
        <v>687</v>
      </c>
      <c r="S18" t="s">
        <v>688</v>
      </c>
      <c r="T18">
        <v>46.932587124746988</v>
      </c>
      <c r="U18">
        <v>0.4417875</v>
      </c>
      <c r="V18" t="s">
        <v>174</v>
      </c>
      <c r="W18" t="s">
        <v>689</v>
      </c>
      <c r="X18" t="s">
        <v>176</v>
      </c>
      <c r="Y18" t="s">
        <v>176</v>
      </c>
      <c r="Z18" t="s">
        <v>176</v>
      </c>
      <c r="AA18" t="s">
        <v>690</v>
      </c>
      <c r="AB18" t="s">
        <v>691</v>
      </c>
      <c r="AC18" t="s">
        <v>692</v>
      </c>
      <c r="AD18" t="s">
        <v>180</v>
      </c>
      <c r="AE18" t="s">
        <v>181</v>
      </c>
      <c r="AF18">
        <v>210.81193728</v>
      </c>
      <c r="AG18" t="s">
        <v>182</v>
      </c>
      <c r="AH18" t="s">
        <v>693</v>
      </c>
      <c r="AI18" t="s">
        <v>694</v>
      </c>
      <c r="AJ18" t="s">
        <v>695</v>
      </c>
      <c r="AK18" t="s">
        <v>696</v>
      </c>
      <c r="AL18">
        <v>31.86</v>
      </c>
      <c r="AM18" t="s">
        <v>359</v>
      </c>
      <c r="AN18" t="s">
        <v>697</v>
      </c>
      <c r="AO18" t="s">
        <v>698</v>
      </c>
      <c r="AP18" t="s">
        <v>699</v>
      </c>
      <c r="AQ18" t="s">
        <v>700</v>
      </c>
      <c r="AR18" t="s">
        <v>701</v>
      </c>
      <c r="AS18" t="s">
        <v>534</v>
      </c>
      <c r="AT18" t="s">
        <v>223</v>
      </c>
      <c r="AU18" t="s">
        <v>702</v>
      </c>
      <c r="AV18" t="s">
        <v>264</v>
      </c>
      <c r="AW18" t="s">
        <v>703</v>
      </c>
      <c r="AX18" t="s">
        <v>538</v>
      </c>
      <c r="AY18" t="s">
        <v>704</v>
      </c>
      <c r="AZ18" t="s">
        <v>200</v>
      </c>
      <c r="BA18" t="s">
        <v>705</v>
      </c>
      <c r="BB18" t="s">
        <v>706</v>
      </c>
      <c r="BC18" t="s">
        <v>707</v>
      </c>
      <c r="BD18" t="s">
        <v>17</v>
      </c>
      <c r="BE18" t="s">
        <v>708</v>
      </c>
      <c r="BF18" t="s">
        <v>709</v>
      </c>
      <c r="BG18" t="s">
        <v>710</v>
      </c>
      <c r="BH18" t="s">
        <v>587</v>
      </c>
      <c r="BI18" t="s">
        <v>711</v>
      </c>
      <c r="BJ18" t="s">
        <v>589</v>
      </c>
      <c r="BK18" t="s">
        <v>17</v>
      </c>
      <c r="BL18" t="s">
        <v>590</v>
      </c>
      <c r="BM18" t="s">
        <v>165</v>
      </c>
      <c r="BN18" t="s">
        <v>458</v>
      </c>
      <c r="BO18" t="s">
        <v>211</v>
      </c>
      <c r="BP18" t="s">
        <v>283</v>
      </c>
      <c r="BQ18" t="s">
        <v>712</v>
      </c>
      <c r="BR18" t="s">
        <v>713</v>
      </c>
      <c r="BS18" t="s">
        <v>714</v>
      </c>
      <c r="BT18" t="s">
        <v>165</v>
      </c>
      <c r="BU18" t="s">
        <v>217</v>
      </c>
      <c r="BV18" t="s">
        <v>212</v>
      </c>
      <c r="BW18" t="s">
        <v>218</v>
      </c>
      <c r="BX18" t="s">
        <v>219</v>
      </c>
      <c r="BY18" t="s">
        <v>176</v>
      </c>
      <c r="BZ18" t="s">
        <v>220</v>
      </c>
      <c r="CA18" t="s">
        <v>176</v>
      </c>
      <c r="CB18" t="s">
        <v>176</v>
      </c>
      <c r="CC18" t="s">
        <v>221</v>
      </c>
      <c r="CD18" t="s">
        <v>222</v>
      </c>
      <c r="CE18" t="s">
        <v>223</v>
      </c>
      <c r="CF18" t="s">
        <v>224</v>
      </c>
      <c r="CG18" t="s">
        <v>225</v>
      </c>
      <c r="CH18" t="s">
        <v>226</v>
      </c>
      <c r="CI18" t="s">
        <v>182</v>
      </c>
      <c r="CJ18" t="s">
        <v>218</v>
      </c>
      <c r="CK18" t="s">
        <v>227</v>
      </c>
      <c r="CL18" t="s">
        <v>227</v>
      </c>
      <c r="CM18" t="s">
        <v>227</v>
      </c>
      <c r="CN18" t="s">
        <v>176</v>
      </c>
      <c r="CO18" t="s">
        <v>228</v>
      </c>
      <c r="CP18" t="s">
        <v>176</v>
      </c>
      <c r="CQ18" t="s">
        <v>176</v>
      </c>
      <c r="CR18" t="s">
        <v>176</v>
      </c>
      <c r="CS18" t="s">
        <v>176</v>
      </c>
      <c r="CT18" t="s">
        <v>715</v>
      </c>
      <c r="CU18" t="s">
        <v>716</v>
      </c>
      <c r="CV18" t="s">
        <v>717</v>
      </c>
      <c r="CW18" t="s">
        <v>718</v>
      </c>
      <c r="CX18" t="s">
        <v>719</v>
      </c>
      <c r="CY18" t="s">
        <v>720</v>
      </c>
      <c r="CZ18" t="s">
        <v>721</v>
      </c>
      <c r="DA18" t="s">
        <v>722</v>
      </c>
      <c r="DB18" t="s">
        <v>690</v>
      </c>
      <c r="DC18" t="s">
        <v>723</v>
      </c>
      <c r="DD18" t="s">
        <v>238</v>
      </c>
      <c r="DE18" t="s">
        <v>239</v>
      </c>
      <c r="DF18" t="s">
        <v>182</v>
      </c>
      <c r="DG18" t="s">
        <v>240</v>
      </c>
      <c r="DH18" t="s">
        <v>241</v>
      </c>
      <c r="DI18" t="s">
        <v>182</v>
      </c>
      <c r="DJ18" t="s">
        <v>242</v>
      </c>
      <c r="DK18" t="s">
        <v>243</v>
      </c>
      <c r="DL18" t="s">
        <v>244</v>
      </c>
      <c r="DM18" t="s">
        <v>176</v>
      </c>
      <c r="DN18" t="s">
        <v>689</v>
      </c>
      <c r="DO18" t="s">
        <v>245</v>
      </c>
      <c r="DP18" t="s">
        <v>246</v>
      </c>
      <c r="DQ18" t="s">
        <v>247</v>
      </c>
      <c r="DR18" t="s">
        <v>248</v>
      </c>
      <c r="DS18" t="s">
        <v>249</v>
      </c>
      <c r="DT18" t="s">
        <v>250</v>
      </c>
    </row>
    <row r="19" spans="1:124" x14ac:dyDescent="0.45">
      <c r="A19" t="s">
        <v>724</v>
      </c>
      <c r="B19" t="s">
        <v>725</v>
      </c>
      <c r="C19" t="s">
        <v>17</v>
      </c>
      <c r="D19" t="s">
        <v>167</v>
      </c>
      <c r="E19" t="s">
        <v>168</v>
      </c>
      <c r="I19" t="s">
        <v>726</v>
      </c>
      <c r="J19">
        <v>0.24435292000110431</v>
      </c>
      <c r="K19">
        <v>2.6166331199999999</v>
      </c>
      <c r="L19">
        <v>0.22348306999895501</v>
      </c>
      <c r="M19">
        <v>5.0581642167044212</v>
      </c>
      <c r="N19" t="s">
        <v>727</v>
      </c>
      <c r="O19" t="s">
        <v>728</v>
      </c>
      <c r="P19">
        <v>4.7373753443719613</v>
      </c>
      <c r="Q19">
        <v>2.2022573443719611</v>
      </c>
      <c r="R19" t="s">
        <v>729</v>
      </c>
      <c r="S19" t="s">
        <v>730</v>
      </c>
      <c r="T19">
        <v>46.932587124746988</v>
      </c>
      <c r="U19">
        <v>0.4417875</v>
      </c>
      <c r="V19" t="s">
        <v>174</v>
      </c>
      <c r="W19" t="s">
        <v>731</v>
      </c>
      <c r="X19" t="s">
        <v>176</v>
      </c>
      <c r="Y19" t="s">
        <v>176</v>
      </c>
      <c r="Z19" t="s">
        <v>176</v>
      </c>
      <c r="AA19" t="s">
        <v>732</v>
      </c>
      <c r="AB19" t="s">
        <v>733</v>
      </c>
      <c r="AC19" t="s">
        <v>734</v>
      </c>
      <c r="AD19" t="s">
        <v>180</v>
      </c>
      <c r="AE19" t="s">
        <v>181</v>
      </c>
      <c r="AF19">
        <v>336.31484166000001</v>
      </c>
      <c r="AG19" t="s">
        <v>182</v>
      </c>
      <c r="AH19" t="s">
        <v>735</v>
      </c>
      <c r="AI19" t="s">
        <v>736</v>
      </c>
      <c r="AJ19" t="s">
        <v>737</v>
      </c>
      <c r="AK19" t="s">
        <v>696</v>
      </c>
      <c r="AL19">
        <v>31.86</v>
      </c>
      <c r="AM19" t="s">
        <v>359</v>
      </c>
      <c r="AN19" t="s">
        <v>738</v>
      </c>
      <c r="AO19" t="s">
        <v>572</v>
      </c>
      <c r="AP19" t="s">
        <v>739</v>
      </c>
      <c r="AQ19" t="s">
        <v>740</v>
      </c>
      <c r="AR19" t="s">
        <v>741</v>
      </c>
      <c r="AS19" t="s">
        <v>742</v>
      </c>
      <c r="AT19" t="s">
        <v>298</v>
      </c>
      <c r="AU19" t="s">
        <v>743</v>
      </c>
      <c r="AV19" t="s">
        <v>744</v>
      </c>
      <c r="AW19" t="s">
        <v>745</v>
      </c>
      <c r="AX19" t="s">
        <v>746</v>
      </c>
      <c r="AY19" t="s">
        <v>747</v>
      </c>
      <c r="AZ19" t="s">
        <v>200</v>
      </c>
      <c r="BA19" t="s">
        <v>748</v>
      </c>
      <c r="BB19" t="s">
        <v>749</v>
      </c>
      <c r="BC19" t="s">
        <v>750</v>
      </c>
      <c r="BD19" t="s">
        <v>17</v>
      </c>
      <c r="BE19" t="s">
        <v>708</v>
      </c>
      <c r="BF19" t="s">
        <v>709</v>
      </c>
      <c r="BG19" t="s">
        <v>751</v>
      </c>
      <c r="BH19" t="s">
        <v>752</v>
      </c>
      <c r="BI19" t="s">
        <v>753</v>
      </c>
      <c r="BJ19" t="s">
        <v>589</v>
      </c>
      <c r="BK19" t="s">
        <v>17</v>
      </c>
      <c r="BL19" t="s">
        <v>590</v>
      </c>
      <c r="BM19" t="s">
        <v>165</v>
      </c>
      <c r="BN19" t="s">
        <v>330</v>
      </c>
      <c r="BO19" t="s">
        <v>211</v>
      </c>
      <c r="BP19" t="s">
        <v>754</v>
      </c>
      <c r="BQ19" t="s">
        <v>755</v>
      </c>
      <c r="BR19" t="s">
        <v>756</v>
      </c>
      <c r="BS19" t="s">
        <v>757</v>
      </c>
      <c r="BT19" t="s">
        <v>165</v>
      </c>
      <c r="BU19" t="s">
        <v>217</v>
      </c>
      <c r="BV19" t="s">
        <v>212</v>
      </c>
      <c r="BW19" t="s">
        <v>218</v>
      </c>
      <c r="BX19" t="s">
        <v>219</v>
      </c>
      <c r="BY19" t="s">
        <v>176</v>
      </c>
      <c r="BZ19" t="s">
        <v>220</v>
      </c>
      <c r="CA19" t="s">
        <v>176</v>
      </c>
      <c r="CB19" t="s">
        <v>176</v>
      </c>
      <c r="CC19" t="s">
        <v>221</v>
      </c>
      <c r="CD19" t="s">
        <v>222</v>
      </c>
      <c r="CE19" t="s">
        <v>223</v>
      </c>
      <c r="CF19" t="s">
        <v>224</v>
      </c>
      <c r="CG19" t="s">
        <v>225</v>
      </c>
      <c r="CH19" t="s">
        <v>226</v>
      </c>
      <c r="CI19" t="s">
        <v>182</v>
      </c>
      <c r="CJ19" t="s">
        <v>218</v>
      </c>
      <c r="CK19" t="s">
        <v>227</v>
      </c>
      <c r="CL19" t="s">
        <v>227</v>
      </c>
      <c r="CM19" t="s">
        <v>227</v>
      </c>
      <c r="CN19" t="s">
        <v>176</v>
      </c>
      <c r="CO19" t="s">
        <v>228</v>
      </c>
      <c r="CP19" t="s">
        <v>176</v>
      </c>
      <c r="CQ19" t="s">
        <v>176</v>
      </c>
      <c r="CR19" t="s">
        <v>176</v>
      </c>
      <c r="CS19" t="s">
        <v>176</v>
      </c>
      <c r="CT19" t="s">
        <v>758</v>
      </c>
      <c r="CU19" t="s">
        <v>759</v>
      </c>
      <c r="CV19" t="s">
        <v>760</v>
      </c>
      <c r="CW19" t="s">
        <v>761</v>
      </c>
      <c r="CX19" t="s">
        <v>762</v>
      </c>
      <c r="CY19" t="s">
        <v>763</v>
      </c>
      <c r="CZ19" t="s">
        <v>764</v>
      </c>
      <c r="DA19" t="s">
        <v>765</v>
      </c>
      <c r="DB19" t="s">
        <v>732</v>
      </c>
      <c r="DC19" t="s">
        <v>766</v>
      </c>
      <c r="DD19" t="s">
        <v>238</v>
      </c>
      <c r="DE19" t="s">
        <v>239</v>
      </c>
      <c r="DF19" t="s">
        <v>182</v>
      </c>
      <c r="DG19" t="s">
        <v>240</v>
      </c>
      <c r="DH19" t="s">
        <v>241</v>
      </c>
      <c r="DI19" t="s">
        <v>182</v>
      </c>
      <c r="DJ19" t="s">
        <v>242</v>
      </c>
      <c r="DK19" t="s">
        <v>243</v>
      </c>
      <c r="DL19" t="s">
        <v>244</v>
      </c>
      <c r="DM19" t="s">
        <v>176</v>
      </c>
      <c r="DN19" t="s">
        <v>731</v>
      </c>
      <c r="DO19" t="s">
        <v>245</v>
      </c>
      <c r="DP19" t="s">
        <v>246</v>
      </c>
      <c r="DQ19" t="s">
        <v>247</v>
      </c>
      <c r="DR19" t="s">
        <v>248</v>
      </c>
      <c r="DS19" t="s">
        <v>249</v>
      </c>
      <c r="DT19" t="s">
        <v>250</v>
      </c>
    </row>
    <row r="21" spans="1:124" x14ac:dyDescent="0.45">
      <c r="A21" t="s">
        <v>752</v>
      </c>
      <c r="B21" t="s">
        <v>767</v>
      </c>
      <c r="C21" t="s">
        <v>17</v>
      </c>
      <c r="D21" t="s">
        <v>167</v>
      </c>
      <c r="E21" t="s">
        <v>168</v>
      </c>
      <c r="I21" t="s">
        <v>768</v>
      </c>
      <c r="J21">
        <v>0.67520967264322174</v>
      </c>
      <c r="K21">
        <v>2.736652879999999</v>
      </c>
      <c r="L21">
        <v>0.54158526808514018</v>
      </c>
      <c r="M21">
        <v>9.42744004865202</v>
      </c>
      <c r="N21" t="s">
        <v>769</v>
      </c>
      <c r="O21" t="s">
        <v>770</v>
      </c>
      <c r="P21">
        <v>4.3493456320892294</v>
      </c>
      <c r="Q21">
        <v>1.6962766320892291</v>
      </c>
      <c r="R21" t="s">
        <v>771</v>
      </c>
      <c r="S21" t="s">
        <v>772</v>
      </c>
      <c r="T21">
        <v>43.084156830997813</v>
      </c>
      <c r="U21">
        <v>0.4417875</v>
      </c>
      <c r="V21" t="s">
        <v>174</v>
      </c>
      <c r="W21" t="s">
        <v>773</v>
      </c>
      <c r="X21" t="s">
        <v>176</v>
      </c>
      <c r="Y21" t="s">
        <v>176</v>
      </c>
      <c r="Z21" t="s">
        <v>176</v>
      </c>
      <c r="AA21" t="s">
        <v>774</v>
      </c>
      <c r="AB21" t="s">
        <v>775</v>
      </c>
      <c r="AC21" t="s">
        <v>776</v>
      </c>
      <c r="AD21" t="s">
        <v>180</v>
      </c>
      <c r="AE21" t="s">
        <v>181</v>
      </c>
      <c r="AF21">
        <v>432.30138335999999</v>
      </c>
      <c r="AG21" t="s">
        <v>182</v>
      </c>
      <c r="AH21" t="s">
        <v>777</v>
      </c>
      <c r="AI21" t="s">
        <v>778</v>
      </c>
      <c r="AJ21" t="s">
        <v>779</v>
      </c>
      <c r="AK21" t="s">
        <v>780</v>
      </c>
      <c r="AL21">
        <v>30.36</v>
      </c>
      <c r="AM21" t="s">
        <v>187</v>
      </c>
      <c r="AN21" t="s">
        <v>781</v>
      </c>
      <c r="AO21" t="s">
        <v>782</v>
      </c>
      <c r="AP21" t="s">
        <v>699</v>
      </c>
      <c r="AQ21" t="s">
        <v>783</v>
      </c>
      <c r="AR21" t="s">
        <v>784</v>
      </c>
      <c r="AS21" t="s">
        <v>785</v>
      </c>
      <c r="AT21" t="s">
        <v>786</v>
      </c>
      <c r="AU21" t="s">
        <v>787</v>
      </c>
      <c r="AV21" t="s">
        <v>788</v>
      </c>
      <c r="AW21" t="s">
        <v>789</v>
      </c>
      <c r="AX21" t="s">
        <v>790</v>
      </c>
      <c r="AY21" t="s">
        <v>791</v>
      </c>
      <c r="AZ21" t="s">
        <v>200</v>
      </c>
      <c r="BA21" t="s">
        <v>792</v>
      </c>
      <c r="BB21" t="s">
        <v>793</v>
      </c>
      <c r="BC21" t="s">
        <v>794</v>
      </c>
      <c r="BD21" t="s">
        <v>17</v>
      </c>
      <c r="BE21" t="s">
        <v>708</v>
      </c>
      <c r="BF21" t="s">
        <v>795</v>
      </c>
      <c r="BG21" t="s">
        <v>751</v>
      </c>
      <c r="BH21" t="s">
        <v>752</v>
      </c>
      <c r="BI21" t="s">
        <v>753</v>
      </c>
      <c r="BJ21" t="s">
        <v>589</v>
      </c>
      <c r="BK21" t="s">
        <v>17</v>
      </c>
      <c r="BL21" t="s">
        <v>590</v>
      </c>
      <c r="BM21" t="s">
        <v>165</v>
      </c>
      <c r="BN21" t="s">
        <v>285</v>
      </c>
      <c r="BO21" t="s">
        <v>330</v>
      </c>
      <c r="BP21" t="s">
        <v>330</v>
      </c>
      <c r="BQ21" t="s">
        <v>796</v>
      </c>
      <c r="BR21" t="s">
        <v>797</v>
      </c>
      <c r="BS21" t="s">
        <v>798</v>
      </c>
      <c r="BT21" t="s">
        <v>165</v>
      </c>
      <c r="BU21" t="s">
        <v>217</v>
      </c>
      <c r="BV21" t="s">
        <v>212</v>
      </c>
      <c r="BW21" t="s">
        <v>218</v>
      </c>
      <c r="BX21" t="s">
        <v>219</v>
      </c>
      <c r="BY21" t="s">
        <v>176</v>
      </c>
      <c r="BZ21" t="s">
        <v>220</v>
      </c>
      <c r="CA21" t="s">
        <v>176</v>
      </c>
      <c r="CB21" t="s">
        <v>176</v>
      </c>
      <c r="CC21" t="s">
        <v>221</v>
      </c>
      <c r="CD21" t="s">
        <v>222</v>
      </c>
      <c r="CE21" t="s">
        <v>223</v>
      </c>
      <c r="CF21" t="s">
        <v>224</v>
      </c>
      <c r="CG21" t="s">
        <v>225</v>
      </c>
      <c r="CH21" t="s">
        <v>226</v>
      </c>
      <c r="CI21" t="s">
        <v>182</v>
      </c>
      <c r="CJ21" t="s">
        <v>218</v>
      </c>
      <c r="CK21" t="s">
        <v>227</v>
      </c>
      <c r="CL21" t="s">
        <v>227</v>
      </c>
      <c r="CM21" t="s">
        <v>227</v>
      </c>
      <c r="CN21" t="s">
        <v>176</v>
      </c>
      <c r="CO21" t="s">
        <v>228</v>
      </c>
      <c r="CP21" t="s">
        <v>176</v>
      </c>
      <c r="CQ21" t="s">
        <v>176</v>
      </c>
      <c r="CR21" t="s">
        <v>176</v>
      </c>
      <c r="CS21" t="s">
        <v>176</v>
      </c>
      <c r="CT21" t="s">
        <v>799</v>
      </c>
      <c r="CU21" t="s">
        <v>800</v>
      </c>
      <c r="CV21" t="s">
        <v>801</v>
      </c>
      <c r="CW21" t="s">
        <v>802</v>
      </c>
      <c r="CX21" t="s">
        <v>803</v>
      </c>
      <c r="CY21" t="s">
        <v>804</v>
      </c>
      <c r="CZ21" t="s">
        <v>805</v>
      </c>
      <c r="DA21" t="s">
        <v>806</v>
      </c>
      <c r="DB21" t="s">
        <v>774</v>
      </c>
      <c r="DC21" t="s">
        <v>807</v>
      </c>
      <c r="DD21" t="s">
        <v>238</v>
      </c>
      <c r="DE21" t="s">
        <v>239</v>
      </c>
      <c r="DF21" t="s">
        <v>182</v>
      </c>
      <c r="DG21" t="s">
        <v>240</v>
      </c>
      <c r="DH21" t="s">
        <v>241</v>
      </c>
      <c r="DI21" t="s">
        <v>182</v>
      </c>
      <c r="DJ21" t="s">
        <v>242</v>
      </c>
      <c r="DK21" t="s">
        <v>243</v>
      </c>
      <c r="DL21" t="s">
        <v>244</v>
      </c>
      <c r="DM21" t="s">
        <v>176</v>
      </c>
      <c r="DN21" t="s">
        <v>773</v>
      </c>
      <c r="DO21" t="s">
        <v>245</v>
      </c>
      <c r="DP21" t="s">
        <v>246</v>
      </c>
      <c r="DQ21" t="s">
        <v>247</v>
      </c>
      <c r="DR21" t="s">
        <v>248</v>
      </c>
      <c r="DS21" t="s">
        <v>249</v>
      </c>
      <c r="DT21" t="s">
        <v>250</v>
      </c>
    </row>
    <row r="22" spans="1:124" x14ac:dyDescent="0.45">
      <c r="A22" t="s">
        <v>808</v>
      </c>
      <c r="B22" t="s">
        <v>809</v>
      </c>
      <c r="C22" t="s">
        <v>17</v>
      </c>
      <c r="D22" t="s">
        <v>167</v>
      </c>
      <c r="E22" t="s">
        <v>168</v>
      </c>
      <c r="I22" t="s">
        <v>810</v>
      </c>
      <c r="J22">
        <v>0.67586714303847795</v>
      </c>
      <c r="K22">
        <v>2.69910768</v>
      </c>
      <c r="L22">
        <v>0.54051905335176964</v>
      </c>
      <c r="M22">
        <v>9.5962485341967181</v>
      </c>
      <c r="N22" t="s">
        <v>811</v>
      </c>
      <c r="O22" t="s">
        <v>812</v>
      </c>
      <c r="P22">
        <v>4.3344183783743171</v>
      </c>
      <c r="Q22">
        <v>1.7307753783743169</v>
      </c>
      <c r="R22" t="s">
        <v>813</v>
      </c>
      <c r="S22" t="s">
        <v>814</v>
      </c>
      <c r="T22">
        <v>42.936289037883277</v>
      </c>
      <c r="U22">
        <v>0.4417875</v>
      </c>
      <c r="V22" t="s">
        <v>174</v>
      </c>
      <c r="W22" t="s">
        <v>815</v>
      </c>
      <c r="X22" t="s">
        <v>176</v>
      </c>
      <c r="Y22" t="s">
        <v>176</v>
      </c>
      <c r="Z22" t="s">
        <v>176</v>
      </c>
      <c r="AA22" t="s">
        <v>816</v>
      </c>
      <c r="AB22" t="s">
        <v>817</v>
      </c>
      <c r="AC22" t="s">
        <v>818</v>
      </c>
      <c r="AD22" t="s">
        <v>180</v>
      </c>
      <c r="AE22" t="s">
        <v>181</v>
      </c>
      <c r="AF22">
        <v>370.32512243999997</v>
      </c>
      <c r="AG22" t="s">
        <v>182</v>
      </c>
      <c r="AH22" t="s">
        <v>819</v>
      </c>
      <c r="AI22" t="s">
        <v>820</v>
      </c>
      <c r="AJ22" t="s">
        <v>821</v>
      </c>
      <c r="AK22" t="s">
        <v>822</v>
      </c>
      <c r="AL22">
        <v>30.3</v>
      </c>
      <c r="AM22" t="s">
        <v>187</v>
      </c>
      <c r="AN22" t="s">
        <v>823</v>
      </c>
      <c r="AO22" t="s">
        <v>824</v>
      </c>
      <c r="AP22" t="s">
        <v>825</v>
      </c>
      <c r="AQ22" t="s">
        <v>826</v>
      </c>
      <c r="AR22" t="s">
        <v>827</v>
      </c>
      <c r="AS22" t="s">
        <v>194</v>
      </c>
      <c r="AT22" t="s">
        <v>786</v>
      </c>
      <c r="AU22" t="s">
        <v>828</v>
      </c>
      <c r="AV22" t="s">
        <v>829</v>
      </c>
      <c r="AW22" t="s">
        <v>830</v>
      </c>
      <c r="AX22" t="s">
        <v>831</v>
      </c>
      <c r="AY22" t="s">
        <v>832</v>
      </c>
      <c r="AZ22" t="s">
        <v>200</v>
      </c>
      <c r="BA22" t="s">
        <v>833</v>
      </c>
      <c r="BB22" t="s">
        <v>834</v>
      </c>
      <c r="BC22" t="s">
        <v>835</v>
      </c>
      <c r="BD22" t="s">
        <v>17</v>
      </c>
      <c r="BE22" t="s">
        <v>836</v>
      </c>
      <c r="BF22" t="s">
        <v>795</v>
      </c>
      <c r="BG22" t="s">
        <v>837</v>
      </c>
      <c r="BH22" t="s">
        <v>752</v>
      </c>
      <c r="BI22" t="s">
        <v>753</v>
      </c>
      <c r="BJ22" t="s">
        <v>589</v>
      </c>
      <c r="BK22" t="s">
        <v>17</v>
      </c>
      <c r="BL22" t="s">
        <v>590</v>
      </c>
      <c r="BM22" t="s">
        <v>165</v>
      </c>
      <c r="BN22" t="s">
        <v>458</v>
      </c>
      <c r="BO22" t="s">
        <v>211</v>
      </c>
      <c r="BP22" t="s">
        <v>212</v>
      </c>
      <c r="BQ22" t="s">
        <v>838</v>
      </c>
      <c r="BR22" t="s">
        <v>839</v>
      </c>
      <c r="BS22" t="s">
        <v>840</v>
      </c>
      <c r="BT22" t="s">
        <v>165</v>
      </c>
      <c r="BU22" t="s">
        <v>217</v>
      </c>
      <c r="BV22" t="s">
        <v>212</v>
      </c>
      <c r="BW22" t="s">
        <v>218</v>
      </c>
      <c r="BX22" t="s">
        <v>219</v>
      </c>
      <c r="BY22" t="s">
        <v>176</v>
      </c>
      <c r="BZ22" t="s">
        <v>220</v>
      </c>
      <c r="CA22" t="s">
        <v>176</v>
      </c>
      <c r="CB22" t="s">
        <v>176</v>
      </c>
      <c r="CC22" t="s">
        <v>221</v>
      </c>
      <c r="CD22" t="s">
        <v>222</v>
      </c>
      <c r="CE22" t="s">
        <v>223</v>
      </c>
      <c r="CF22" t="s">
        <v>224</v>
      </c>
      <c r="CG22" t="s">
        <v>225</v>
      </c>
      <c r="CH22" t="s">
        <v>226</v>
      </c>
      <c r="CI22" t="s">
        <v>182</v>
      </c>
      <c r="CJ22" t="s">
        <v>218</v>
      </c>
      <c r="CK22" t="s">
        <v>227</v>
      </c>
      <c r="CL22" t="s">
        <v>227</v>
      </c>
      <c r="CM22" t="s">
        <v>227</v>
      </c>
      <c r="CN22" t="s">
        <v>176</v>
      </c>
      <c r="CO22" t="s">
        <v>228</v>
      </c>
      <c r="CP22" t="s">
        <v>176</v>
      </c>
      <c r="CQ22" t="s">
        <v>176</v>
      </c>
      <c r="CR22" t="s">
        <v>176</v>
      </c>
      <c r="CS22" t="s">
        <v>176</v>
      </c>
      <c r="CT22" t="s">
        <v>841</v>
      </c>
      <c r="CU22" t="s">
        <v>842</v>
      </c>
      <c r="CV22" t="s">
        <v>843</v>
      </c>
      <c r="CW22" t="s">
        <v>844</v>
      </c>
      <c r="CX22" t="s">
        <v>845</v>
      </c>
      <c r="CY22" t="s">
        <v>846</v>
      </c>
      <c r="CZ22" t="s">
        <v>847</v>
      </c>
      <c r="DA22" t="s">
        <v>848</v>
      </c>
      <c r="DB22" t="s">
        <v>816</v>
      </c>
      <c r="DC22" t="s">
        <v>343</v>
      </c>
      <c r="DD22" t="s">
        <v>238</v>
      </c>
      <c r="DE22" t="s">
        <v>239</v>
      </c>
      <c r="DF22" t="s">
        <v>182</v>
      </c>
      <c r="DG22" t="s">
        <v>240</v>
      </c>
      <c r="DH22" t="s">
        <v>241</v>
      </c>
      <c r="DI22" t="s">
        <v>182</v>
      </c>
      <c r="DJ22" t="s">
        <v>242</v>
      </c>
      <c r="DK22" t="s">
        <v>243</v>
      </c>
      <c r="DL22" t="s">
        <v>244</v>
      </c>
      <c r="DM22" t="s">
        <v>176</v>
      </c>
      <c r="DN22" t="s">
        <v>815</v>
      </c>
      <c r="DO22" t="s">
        <v>245</v>
      </c>
      <c r="DP22" t="s">
        <v>246</v>
      </c>
      <c r="DQ22" t="s">
        <v>247</v>
      </c>
      <c r="DR22" t="s">
        <v>248</v>
      </c>
      <c r="DS22" t="s">
        <v>249</v>
      </c>
      <c r="DT22" t="s">
        <v>250</v>
      </c>
    </row>
    <row r="23" spans="1:124" x14ac:dyDescent="0.45">
      <c r="A23" t="s">
        <v>849</v>
      </c>
      <c r="B23" t="s">
        <v>850</v>
      </c>
      <c r="C23" t="s">
        <v>17</v>
      </c>
      <c r="D23" t="s">
        <v>167</v>
      </c>
      <c r="E23" t="s">
        <v>168</v>
      </c>
      <c r="I23" t="s">
        <v>851</v>
      </c>
      <c r="J23">
        <v>0.86276872480024713</v>
      </c>
      <c r="K23">
        <v>2.6541588800000002</v>
      </c>
      <c r="L23">
        <v>0.65111527151976001</v>
      </c>
      <c r="M23">
        <v>13.41800988131415</v>
      </c>
      <c r="N23" t="s">
        <v>852</v>
      </c>
      <c r="O23" t="s">
        <v>853</v>
      </c>
      <c r="P23">
        <v>4.7669810450961778</v>
      </c>
      <c r="Q23">
        <v>2.0027910450961781</v>
      </c>
      <c r="R23" t="s">
        <v>854</v>
      </c>
      <c r="S23" t="s">
        <v>855</v>
      </c>
      <c r="T23">
        <v>47.221208965786808</v>
      </c>
      <c r="U23">
        <v>0.4417875</v>
      </c>
      <c r="V23" t="s">
        <v>174</v>
      </c>
      <c r="W23" t="s">
        <v>856</v>
      </c>
      <c r="X23" t="s">
        <v>176</v>
      </c>
      <c r="Y23" t="s">
        <v>176</v>
      </c>
      <c r="Z23" t="s">
        <v>176</v>
      </c>
      <c r="AA23" t="s">
        <v>857</v>
      </c>
      <c r="AB23" t="s">
        <v>858</v>
      </c>
      <c r="AC23" t="s">
        <v>859</v>
      </c>
      <c r="AD23" t="s">
        <v>180</v>
      </c>
      <c r="AE23" t="s">
        <v>181</v>
      </c>
      <c r="AF23">
        <v>312.87411539999999</v>
      </c>
      <c r="AG23" t="s">
        <v>182</v>
      </c>
      <c r="AH23" t="s">
        <v>860</v>
      </c>
      <c r="AI23" t="s">
        <v>861</v>
      </c>
      <c r="AJ23" t="s">
        <v>862</v>
      </c>
      <c r="AK23" t="s">
        <v>863</v>
      </c>
      <c r="AL23">
        <v>31.97</v>
      </c>
      <c r="AM23" t="s">
        <v>187</v>
      </c>
      <c r="AN23" t="s">
        <v>864</v>
      </c>
      <c r="AO23" t="s">
        <v>360</v>
      </c>
      <c r="AP23" t="s">
        <v>699</v>
      </c>
      <c r="AQ23" t="s">
        <v>865</v>
      </c>
      <c r="AR23" t="s">
        <v>827</v>
      </c>
      <c r="AS23" t="s">
        <v>587</v>
      </c>
      <c r="AT23" t="s">
        <v>866</v>
      </c>
      <c r="AU23" t="s">
        <v>867</v>
      </c>
      <c r="AV23" t="s">
        <v>868</v>
      </c>
      <c r="AW23" t="s">
        <v>869</v>
      </c>
      <c r="AX23" t="s">
        <v>870</v>
      </c>
      <c r="AY23" t="s">
        <v>871</v>
      </c>
      <c r="AZ23" t="s">
        <v>200</v>
      </c>
      <c r="BA23" t="s">
        <v>872</v>
      </c>
      <c r="BB23" t="s">
        <v>873</v>
      </c>
      <c r="BC23" t="s">
        <v>874</v>
      </c>
      <c r="BD23" t="s">
        <v>17</v>
      </c>
      <c r="BE23" t="s">
        <v>875</v>
      </c>
      <c r="BF23" t="s">
        <v>876</v>
      </c>
      <c r="BG23" t="s">
        <v>877</v>
      </c>
      <c r="BH23" t="s">
        <v>752</v>
      </c>
      <c r="BI23" t="s">
        <v>753</v>
      </c>
      <c r="BJ23" t="s">
        <v>589</v>
      </c>
      <c r="BK23" t="s">
        <v>17</v>
      </c>
      <c r="BL23" t="s">
        <v>590</v>
      </c>
      <c r="BM23" t="s">
        <v>165</v>
      </c>
      <c r="BN23" t="s">
        <v>211</v>
      </c>
      <c r="BO23" t="s">
        <v>212</v>
      </c>
      <c r="BP23" t="s">
        <v>878</v>
      </c>
      <c r="BQ23" t="s">
        <v>879</v>
      </c>
      <c r="BR23" t="s">
        <v>880</v>
      </c>
      <c r="BS23" t="s">
        <v>881</v>
      </c>
      <c r="BT23" t="s">
        <v>165</v>
      </c>
      <c r="BU23" t="s">
        <v>217</v>
      </c>
      <c r="BV23" t="s">
        <v>212</v>
      </c>
      <c r="BW23" t="s">
        <v>218</v>
      </c>
      <c r="BX23" t="s">
        <v>219</v>
      </c>
      <c r="BY23" t="s">
        <v>176</v>
      </c>
      <c r="BZ23" t="s">
        <v>220</v>
      </c>
      <c r="CA23" t="s">
        <v>176</v>
      </c>
      <c r="CB23" t="s">
        <v>176</v>
      </c>
      <c r="CC23" t="s">
        <v>221</v>
      </c>
      <c r="CD23" t="s">
        <v>222</v>
      </c>
      <c r="CE23" t="s">
        <v>223</v>
      </c>
      <c r="CF23" t="s">
        <v>224</v>
      </c>
      <c r="CG23" t="s">
        <v>225</v>
      </c>
      <c r="CH23" t="s">
        <v>226</v>
      </c>
      <c r="CI23" t="s">
        <v>182</v>
      </c>
      <c r="CJ23" t="s">
        <v>218</v>
      </c>
      <c r="CK23" t="s">
        <v>227</v>
      </c>
      <c r="CL23" t="s">
        <v>227</v>
      </c>
      <c r="CM23" t="s">
        <v>227</v>
      </c>
      <c r="CN23" t="s">
        <v>176</v>
      </c>
      <c r="CO23" t="s">
        <v>228</v>
      </c>
      <c r="CP23" t="s">
        <v>176</v>
      </c>
      <c r="CQ23" t="s">
        <v>176</v>
      </c>
      <c r="CR23" t="s">
        <v>176</v>
      </c>
      <c r="CS23" t="s">
        <v>176</v>
      </c>
      <c r="CT23" t="s">
        <v>882</v>
      </c>
      <c r="CU23" t="s">
        <v>883</v>
      </c>
      <c r="CV23" t="s">
        <v>884</v>
      </c>
      <c r="CW23" t="s">
        <v>885</v>
      </c>
      <c r="CX23" t="s">
        <v>886</v>
      </c>
      <c r="CY23" t="s">
        <v>887</v>
      </c>
      <c r="CZ23" t="s">
        <v>888</v>
      </c>
      <c r="DA23" t="s">
        <v>889</v>
      </c>
      <c r="DB23" t="s">
        <v>857</v>
      </c>
      <c r="DC23" t="s">
        <v>343</v>
      </c>
      <c r="DD23" t="s">
        <v>238</v>
      </c>
      <c r="DE23" t="s">
        <v>239</v>
      </c>
      <c r="DF23" t="s">
        <v>182</v>
      </c>
      <c r="DG23" t="s">
        <v>240</v>
      </c>
      <c r="DH23" t="s">
        <v>241</v>
      </c>
      <c r="DI23" t="s">
        <v>182</v>
      </c>
      <c r="DJ23" t="s">
        <v>242</v>
      </c>
      <c r="DK23" t="s">
        <v>243</v>
      </c>
      <c r="DL23" t="s">
        <v>244</v>
      </c>
      <c r="DM23" t="s">
        <v>176</v>
      </c>
      <c r="DN23" t="s">
        <v>856</v>
      </c>
      <c r="DO23" t="s">
        <v>245</v>
      </c>
      <c r="DP23" t="s">
        <v>246</v>
      </c>
      <c r="DQ23" t="s">
        <v>247</v>
      </c>
      <c r="DR23" t="s">
        <v>248</v>
      </c>
      <c r="DS23" t="s">
        <v>249</v>
      </c>
      <c r="DT23" t="s">
        <v>250</v>
      </c>
    </row>
    <row r="24" spans="1:124" x14ac:dyDescent="0.45">
      <c r="A24" t="s">
        <v>890</v>
      </c>
      <c r="B24" t="s">
        <v>891</v>
      </c>
      <c r="C24" t="s">
        <v>17</v>
      </c>
      <c r="D24" t="s">
        <v>167</v>
      </c>
      <c r="E24" t="s">
        <v>168</v>
      </c>
      <c r="I24" t="s">
        <v>892</v>
      </c>
      <c r="J24">
        <v>1.0453332213892541</v>
      </c>
      <c r="K24">
        <v>2.6644620799999998</v>
      </c>
      <c r="L24">
        <v>0.75078286079905376</v>
      </c>
      <c r="M24">
        <v>11.81032088585302</v>
      </c>
      <c r="N24" t="s">
        <v>893</v>
      </c>
      <c r="O24" t="s">
        <v>894</v>
      </c>
      <c r="P24">
        <v>4.3071676589214247</v>
      </c>
      <c r="Q24">
        <v>1.5323096589214249</v>
      </c>
      <c r="R24" t="s">
        <v>895</v>
      </c>
      <c r="S24" t="s">
        <v>896</v>
      </c>
      <c r="T24">
        <v>42.666346299370232</v>
      </c>
      <c r="U24">
        <v>0.4417875</v>
      </c>
      <c r="V24" t="s">
        <v>174</v>
      </c>
      <c r="W24" t="s">
        <v>897</v>
      </c>
      <c r="X24" t="s">
        <v>176</v>
      </c>
      <c r="Y24" t="s">
        <v>176</v>
      </c>
      <c r="Z24" t="s">
        <v>176</v>
      </c>
      <c r="AA24" t="s">
        <v>898</v>
      </c>
      <c r="AB24" t="s">
        <v>899</v>
      </c>
      <c r="AC24" t="s">
        <v>900</v>
      </c>
      <c r="AD24" t="s">
        <v>180</v>
      </c>
      <c r="AE24" t="s">
        <v>181</v>
      </c>
      <c r="AF24">
        <v>384.47062920000002</v>
      </c>
      <c r="AG24" t="s">
        <v>182</v>
      </c>
      <c r="AH24" t="s">
        <v>901</v>
      </c>
      <c r="AI24" t="s">
        <v>902</v>
      </c>
      <c r="AJ24" t="s">
        <v>903</v>
      </c>
      <c r="AK24" t="s">
        <v>904</v>
      </c>
      <c r="AL24">
        <v>30.19</v>
      </c>
      <c r="AM24" t="s">
        <v>187</v>
      </c>
      <c r="AN24" t="s">
        <v>905</v>
      </c>
      <c r="AO24" t="s">
        <v>906</v>
      </c>
      <c r="AP24" t="s">
        <v>907</v>
      </c>
      <c r="AQ24" t="s">
        <v>908</v>
      </c>
      <c r="AR24" t="s">
        <v>909</v>
      </c>
      <c r="AS24" t="s">
        <v>910</v>
      </c>
      <c r="AT24" t="s">
        <v>911</v>
      </c>
      <c r="AU24" t="s">
        <v>912</v>
      </c>
      <c r="AV24" t="s">
        <v>913</v>
      </c>
      <c r="AW24" t="s">
        <v>914</v>
      </c>
      <c r="AX24" t="s">
        <v>915</v>
      </c>
      <c r="AY24" t="s">
        <v>272</v>
      </c>
      <c r="AZ24" t="s">
        <v>200</v>
      </c>
      <c r="BA24" t="s">
        <v>872</v>
      </c>
      <c r="BB24" t="s">
        <v>873</v>
      </c>
      <c r="BC24" t="s">
        <v>916</v>
      </c>
      <c r="BD24" t="s">
        <v>17</v>
      </c>
      <c r="BE24" t="s">
        <v>917</v>
      </c>
      <c r="BF24" t="s">
        <v>918</v>
      </c>
      <c r="BG24" t="s">
        <v>919</v>
      </c>
      <c r="BH24" t="s">
        <v>752</v>
      </c>
      <c r="BI24" t="s">
        <v>753</v>
      </c>
      <c r="BJ24" t="s">
        <v>589</v>
      </c>
      <c r="BK24" t="s">
        <v>17</v>
      </c>
      <c r="BL24" t="s">
        <v>590</v>
      </c>
      <c r="BM24" t="s">
        <v>165</v>
      </c>
      <c r="BN24" t="s">
        <v>213</v>
      </c>
      <c r="BO24" t="s">
        <v>211</v>
      </c>
      <c r="BP24" t="s">
        <v>920</v>
      </c>
      <c r="BQ24" t="s">
        <v>921</v>
      </c>
      <c r="BR24" t="s">
        <v>922</v>
      </c>
      <c r="BS24" t="s">
        <v>923</v>
      </c>
      <c r="BT24" t="s">
        <v>165</v>
      </c>
      <c r="BU24" t="s">
        <v>217</v>
      </c>
      <c r="BV24" t="s">
        <v>212</v>
      </c>
      <c r="BW24" t="s">
        <v>218</v>
      </c>
      <c r="BX24" t="s">
        <v>219</v>
      </c>
      <c r="BY24" t="s">
        <v>176</v>
      </c>
      <c r="BZ24" t="s">
        <v>220</v>
      </c>
      <c r="CA24" t="s">
        <v>176</v>
      </c>
      <c r="CB24" t="s">
        <v>176</v>
      </c>
      <c r="CC24" t="s">
        <v>221</v>
      </c>
      <c r="CD24" t="s">
        <v>222</v>
      </c>
      <c r="CE24" t="s">
        <v>223</v>
      </c>
      <c r="CF24" t="s">
        <v>224</v>
      </c>
      <c r="CG24" t="s">
        <v>225</v>
      </c>
      <c r="CH24" t="s">
        <v>226</v>
      </c>
      <c r="CI24" t="s">
        <v>182</v>
      </c>
      <c r="CJ24" t="s">
        <v>218</v>
      </c>
      <c r="CK24" t="s">
        <v>227</v>
      </c>
      <c r="CL24" t="s">
        <v>227</v>
      </c>
      <c r="CM24" t="s">
        <v>227</v>
      </c>
      <c r="CN24" t="s">
        <v>176</v>
      </c>
      <c r="CO24" t="s">
        <v>228</v>
      </c>
      <c r="CP24" t="s">
        <v>176</v>
      </c>
      <c r="CQ24" t="s">
        <v>176</v>
      </c>
      <c r="CR24" t="s">
        <v>176</v>
      </c>
      <c r="CS24" t="s">
        <v>176</v>
      </c>
      <c r="CT24" t="s">
        <v>924</v>
      </c>
      <c r="CU24" t="s">
        <v>925</v>
      </c>
      <c r="CV24" t="s">
        <v>926</v>
      </c>
      <c r="CW24" t="s">
        <v>927</v>
      </c>
      <c r="CX24" t="s">
        <v>928</v>
      </c>
      <c r="CY24" t="s">
        <v>929</v>
      </c>
      <c r="CZ24" t="s">
        <v>930</v>
      </c>
      <c r="DA24" t="s">
        <v>931</v>
      </c>
      <c r="DB24" t="s">
        <v>898</v>
      </c>
      <c r="DC24" t="s">
        <v>807</v>
      </c>
      <c r="DD24" t="s">
        <v>238</v>
      </c>
      <c r="DE24" t="s">
        <v>239</v>
      </c>
      <c r="DF24" t="s">
        <v>182</v>
      </c>
      <c r="DG24" t="s">
        <v>240</v>
      </c>
      <c r="DH24" t="s">
        <v>241</v>
      </c>
      <c r="DI24" t="s">
        <v>182</v>
      </c>
      <c r="DJ24" t="s">
        <v>242</v>
      </c>
      <c r="DK24" t="s">
        <v>243</v>
      </c>
      <c r="DL24" t="s">
        <v>244</v>
      </c>
      <c r="DM24" t="s">
        <v>176</v>
      </c>
      <c r="DN24" t="s">
        <v>897</v>
      </c>
      <c r="DO24" t="s">
        <v>245</v>
      </c>
      <c r="DP24" t="s">
        <v>246</v>
      </c>
      <c r="DQ24" t="s">
        <v>247</v>
      </c>
      <c r="DR24" t="s">
        <v>248</v>
      </c>
      <c r="DS24" t="s">
        <v>249</v>
      </c>
      <c r="DT24" t="s">
        <v>250</v>
      </c>
    </row>
    <row r="25" spans="1:124" x14ac:dyDescent="0.45">
      <c r="A25" t="s">
        <v>932</v>
      </c>
      <c r="B25" t="s">
        <v>933</v>
      </c>
      <c r="C25" t="s">
        <v>17</v>
      </c>
      <c r="D25" t="s">
        <v>167</v>
      </c>
      <c r="E25" t="s">
        <v>168</v>
      </c>
      <c r="I25" t="s">
        <v>934</v>
      </c>
      <c r="J25">
        <v>0.58699310915086345</v>
      </c>
      <c r="K25">
        <v>2.7154024799999998</v>
      </c>
      <c r="L25">
        <v>0.48265645386869188</v>
      </c>
      <c r="M25">
        <v>9.4006446867967757</v>
      </c>
      <c r="N25" t="s">
        <v>935</v>
      </c>
      <c r="O25" t="s">
        <v>936</v>
      </c>
      <c r="P25">
        <v>4.5552920706663942</v>
      </c>
      <c r="Q25">
        <v>1.8955720706663941</v>
      </c>
      <c r="R25" t="s">
        <v>937</v>
      </c>
      <c r="S25" t="s">
        <v>938</v>
      </c>
      <c r="T25">
        <v>45.133182113012921</v>
      </c>
      <c r="U25">
        <v>0.4417875</v>
      </c>
      <c r="V25" t="s">
        <v>174</v>
      </c>
      <c r="W25" t="s">
        <v>939</v>
      </c>
      <c r="X25" t="s">
        <v>176</v>
      </c>
      <c r="Y25" t="s">
        <v>176</v>
      </c>
      <c r="Z25" t="s">
        <v>176</v>
      </c>
      <c r="AA25" t="s">
        <v>940</v>
      </c>
      <c r="AB25" t="s">
        <v>941</v>
      </c>
      <c r="AC25" t="s">
        <v>942</v>
      </c>
      <c r="AD25" t="s">
        <v>180</v>
      </c>
      <c r="AE25" t="s">
        <v>181</v>
      </c>
      <c r="AF25">
        <v>446.54466947999998</v>
      </c>
      <c r="AG25" t="s">
        <v>182</v>
      </c>
      <c r="AH25" t="s">
        <v>943</v>
      </c>
      <c r="AI25" t="s">
        <v>944</v>
      </c>
      <c r="AJ25" t="s">
        <v>945</v>
      </c>
      <c r="AK25" t="s">
        <v>946</v>
      </c>
      <c r="AL25">
        <v>31.17</v>
      </c>
      <c r="AM25" t="s">
        <v>947</v>
      </c>
      <c r="AN25" t="s">
        <v>948</v>
      </c>
      <c r="AO25" t="s">
        <v>949</v>
      </c>
      <c r="AP25" t="s">
        <v>950</v>
      </c>
      <c r="AQ25" t="s">
        <v>951</v>
      </c>
      <c r="AR25" t="s">
        <v>909</v>
      </c>
      <c r="AS25" t="s">
        <v>223</v>
      </c>
      <c r="AT25" t="s">
        <v>890</v>
      </c>
      <c r="AU25" t="s">
        <v>952</v>
      </c>
      <c r="AV25" t="s">
        <v>953</v>
      </c>
      <c r="AW25" t="s">
        <v>954</v>
      </c>
      <c r="AX25" t="s">
        <v>955</v>
      </c>
      <c r="AY25" t="s">
        <v>956</v>
      </c>
      <c r="AZ25" t="s">
        <v>200</v>
      </c>
      <c r="BA25" t="s">
        <v>957</v>
      </c>
      <c r="BB25" t="s">
        <v>958</v>
      </c>
      <c r="BC25" t="s">
        <v>959</v>
      </c>
      <c r="BD25" t="s">
        <v>17</v>
      </c>
      <c r="BE25" t="s">
        <v>960</v>
      </c>
      <c r="BF25" t="s">
        <v>876</v>
      </c>
      <c r="BG25" t="s">
        <v>961</v>
      </c>
      <c r="BH25" t="s">
        <v>752</v>
      </c>
      <c r="BI25" t="s">
        <v>753</v>
      </c>
      <c r="BJ25" t="s">
        <v>589</v>
      </c>
      <c r="BK25" t="s">
        <v>17</v>
      </c>
      <c r="BL25" t="s">
        <v>590</v>
      </c>
      <c r="BM25" t="s">
        <v>165</v>
      </c>
      <c r="BN25" t="s">
        <v>331</v>
      </c>
      <c r="BO25" t="s">
        <v>212</v>
      </c>
      <c r="BP25" t="s">
        <v>331</v>
      </c>
      <c r="BQ25" t="s">
        <v>962</v>
      </c>
      <c r="BR25" t="s">
        <v>963</v>
      </c>
      <c r="BS25" t="s">
        <v>964</v>
      </c>
      <c r="BT25" t="s">
        <v>165</v>
      </c>
      <c r="BU25" t="s">
        <v>217</v>
      </c>
      <c r="BV25" t="s">
        <v>212</v>
      </c>
      <c r="BW25" t="s">
        <v>218</v>
      </c>
      <c r="BX25" t="s">
        <v>219</v>
      </c>
      <c r="BY25" t="s">
        <v>176</v>
      </c>
      <c r="BZ25" t="s">
        <v>220</v>
      </c>
      <c r="CA25" t="s">
        <v>176</v>
      </c>
      <c r="CB25" t="s">
        <v>176</v>
      </c>
      <c r="CC25" t="s">
        <v>221</v>
      </c>
      <c r="CD25" t="s">
        <v>222</v>
      </c>
      <c r="CE25" t="s">
        <v>223</v>
      </c>
      <c r="CF25" t="s">
        <v>224</v>
      </c>
      <c r="CG25" t="s">
        <v>225</v>
      </c>
      <c r="CH25" t="s">
        <v>226</v>
      </c>
      <c r="CI25" t="s">
        <v>182</v>
      </c>
      <c r="CJ25" t="s">
        <v>218</v>
      </c>
      <c r="CK25" t="s">
        <v>227</v>
      </c>
      <c r="CL25" t="s">
        <v>227</v>
      </c>
      <c r="CM25" t="s">
        <v>227</v>
      </c>
      <c r="CN25" t="s">
        <v>176</v>
      </c>
      <c r="CO25" t="s">
        <v>228</v>
      </c>
      <c r="CP25" t="s">
        <v>176</v>
      </c>
      <c r="CQ25" t="s">
        <v>176</v>
      </c>
      <c r="CR25" t="s">
        <v>176</v>
      </c>
      <c r="CS25" t="s">
        <v>176</v>
      </c>
      <c r="CT25" t="s">
        <v>965</v>
      </c>
      <c r="CU25" t="s">
        <v>966</v>
      </c>
      <c r="CV25" t="s">
        <v>967</v>
      </c>
      <c r="CW25" t="s">
        <v>968</v>
      </c>
      <c r="CX25" t="s">
        <v>969</v>
      </c>
      <c r="CY25" t="s">
        <v>970</v>
      </c>
      <c r="CZ25" t="s">
        <v>971</v>
      </c>
      <c r="DA25" t="s">
        <v>972</v>
      </c>
      <c r="DB25" t="s">
        <v>940</v>
      </c>
      <c r="DC25" t="s">
        <v>682</v>
      </c>
      <c r="DD25" t="s">
        <v>238</v>
      </c>
      <c r="DE25" t="s">
        <v>239</v>
      </c>
      <c r="DF25" t="s">
        <v>182</v>
      </c>
      <c r="DG25" t="s">
        <v>240</v>
      </c>
      <c r="DH25" t="s">
        <v>241</v>
      </c>
      <c r="DI25" t="s">
        <v>182</v>
      </c>
      <c r="DJ25" t="s">
        <v>242</v>
      </c>
      <c r="DK25" t="s">
        <v>243</v>
      </c>
      <c r="DL25" t="s">
        <v>244</v>
      </c>
      <c r="DM25" t="s">
        <v>176</v>
      </c>
      <c r="DN25" t="s">
        <v>939</v>
      </c>
      <c r="DO25" t="s">
        <v>245</v>
      </c>
      <c r="DP25" t="s">
        <v>246</v>
      </c>
      <c r="DQ25" t="s">
        <v>247</v>
      </c>
      <c r="DR25" t="s">
        <v>248</v>
      </c>
      <c r="DS25" t="s">
        <v>249</v>
      </c>
      <c r="DT25" t="s">
        <v>250</v>
      </c>
    </row>
    <row r="26" spans="1:124" x14ac:dyDescent="0.45">
      <c r="A26" t="s">
        <v>973</v>
      </c>
      <c r="B26" t="s">
        <v>974</v>
      </c>
      <c r="C26" t="s">
        <v>17</v>
      </c>
      <c r="D26" t="s">
        <v>167</v>
      </c>
      <c r="E26" t="s">
        <v>168</v>
      </c>
      <c r="I26" t="s">
        <v>975</v>
      </c>
      <c r="J26">
        <v>0.90234487691654197</v>
      </c>
      <c r="K26">
        <v>2.68027032</v>
      </c>
      <c r="L26">
        <v>0.67507339166233116</v>
      </c>
      <c r="M26">
        <v>11.31298377196892</v>
      </c>
      <c r="N26" t="s">
        <v>976</v>
      </c>
      <c r="O26" t="s">
        <v>977</v>
      </c>
      <c r="P26">
        <v>4.2948304037817904</v>
      </c>
      <c r="Q26">
        <v>1.63308440378179</v>
      </c>
      <c r="R26" t="s">
        <v>978</v>
      </c>
      <c r="S26" t="s">
        <v>979</v>
      </c>
      <c r="T26">
        <v>42.552565181628751</v>
      </c>
      <c r="U26">
        <v>0.4417875</v>
      </c>
      <c r="V26" t="s">
        <v>174</v>
      </c>
      <c r="W26" t="s">
        <v>980</v>
      </c>
      <c r="X26" t="s">
        <v>176</v>
      </c>
      <c r="Y26" t="s">
        <v>176</v>
      </c>
      <c r="Z26" t="s">
        <v>176</v>
      </c>
      <c r="AA26" t="s">
        <v>981</v>
      </c>
      <c r="AB26" t="s">
        <v>982</v>
      </c>
      <c r="AC26" t="s">
        <v>983</v>
      </c>
      <c r="AD26" t="s">
        <v>180</v>
      </c>
      <c r="AE26" t="s">
        <v>181</v>
      </c>
      <c r="AF26">
        <v>359.93960184000002</v>
      </c>
      <c r="AG26" t="s">
        <v>182</v>
      </c>
      <c r="AH26" t="s">
        <v>984</v>
      </c>
      <c r="AI26" t="s">
        <v>985</v>
      </c>
      <c r="AJ26" t="s">
        <v>986</v>
      </c>
      <c r="AK26" t="s">
        <v>987</v>
      </c>
      <c r="AL26">
        <v>30.14</v>
      </c>
      <c r="AM26" t="s">
        <v>947</v>
      </c>
      <c r="AN26" t="s">
        <v>988</v>
      </c>
      <c r="AO26" t="s">
        <v>189</v>
      </c>
      <c r="AP26" t="s">
        <v>989</v>
      </c>
      <c r="AQ26" t="s">
        <v>990</v>
      </c>
      <c r="AR26" t="s">
        <v>991</v>
      </c>
      <c r="AS26" t="s">
        <v>317</v>
      </c>
      <c r="AT26" t="s">
        <v>992</v>
      </c>
      <c r="AU26" t="s">
        <v>993</v>
      </c>
      <c r="AV26" t="s">
        <v>994</v>
      </c>
      <c r="AW26" t="s">
        <v>995</v>
      </c>
      <c r="AX26" t="s">
        <v>996</v>
      </c>
      <c r="AY26" t="s">
        <v>997</v>
      </c>
      <c r="AZ26" t="s">
        <v>200</v>
      </c>
      <c r="BA26" t="s">
        <v>998</v>
      </c>
      <c r="BB26" t="s">
        <v>999</v>
      </c>
      <c r="BC26" t="s">
        <v>1000</v>
      </c>
      <c r="BD26" t="s">
        <v>17</v>
      </c>
      <c r="BE26" t="s">
        <v>917</v>
      </c>
      <c r="BF26" t="s">
        <v>1001</v>
      </c>
      <c r="BG26" t="s">
        <v>1002</v>
      </c>
      <c r="BH26" t="s">
        <v>752</v>
      </c>
      <c r="BI26" t="s">
        <v>753</v>
      </c>
      <c r="BJ26" t="s">
        <v>589</v>
      </c>
      <c r="BK26" t="s">
        <v>17</v>
      </c>
      <c r="BL26" t="s">
        <v>590</v>
      </c>
      <c r="BM26" t="s">
        <v>165</v>
      </c>
      <c r="BN26" t="s">
        <v>331</v>
      </c>
      <c r="BO26" t="s">
        <v>212</v>
      </c>
      <c r="BP26" t="s">
        <v>1003</v>
      </c>
      <c r="BQ26" t="s">
        <v>1004</v>
      </c>
      <c r="BR26" t="s">
        <v>1005</v>
      </c>
      <c r="BS26" t="s">
        <v>1006</v>
      </c>
      <c r="BT26" t="s">
        <v>165</v>
      </c>
      <c r="BU26" t="s">
        <v>217</v>
      </c>
      <c r="BV26" t="s">
        <v>212</v>
      </c>
      <c r="BW26" t="s">
        <v>218</v>
      </c>
      <c r="BX26" t="s">
        <v>219</v>
      </c>
      <c r="BY26" t="s">
        <v>176</v>
      </c>
      <c r="BZ26" t="s">
        <v>220</v>
      </c>
      <c r="CA26" t="s">
        <v>176</v>
      </c>
      <c r="CB26" t="s">
        <v>176</v>
      </c>
      <c r="CC26" t="s">
        <v>221</v>
      </c>
      <c r="CD26" t="s">
        <v>222</v>
      </c>
      <c r="CE26" t="s">
        <v>223</v>
      </c>
      <c r="CF26" t="s">
        <v>224</v>
      </c>
      <c r="CG26" t="s">
        <v>225</v>
      </c>
      <c r="CH26" t="s">
        <v>226</v>
      </c>
      <c r="CI26" t="s">
        <v>182</v>
      </c>
      <c r="CJ26" t="s">
        <v>218</v>
      </c>
      <c r="CK26" t="s">
        <v>227</v>
      </c>
      <c r="CL26" t="s">
        <v>227</v>
      </c>
      <c r="CM26" t="s">
        <v>227</v>
      </c>
      <c r="CN26" t="s">
        <v>176</v>
      </c>
      <c r="CO26" t="s">
        <v>228</v>
      </c>
      <c r="CP26" t="s">
        <v>176</v>
      </c>
      <c r="CQ26" t="s">
        <v>176</v>
      </c>
      <c r="CR26" t="s">
        <v>176</v>
      </c>
      <c r="CS26" t="s">
        <v>176</v>
      </c>
      <c r="CT26" t="s">
        <v>1007</v>
      </c>
      <c r="CU26" t="s">
        <v>1008</v>
      </c>
      <c r="CV26" t="s">
        <v>1009</v>
      </c>
      <c r="CW26" t="s">
        <v>1010</v>
      </c>
      <c r="CX26" t="s">
        <v>1011</v>
      </c>
      <c r="CY26" t="s">
        <v>1012</v>
      </c>
      <c r="CZ26" t="s">
        <v>1013</v>
      </c>
      <c r="DA26" t="s">
        <v>1014</v>
      </c>
      <c r="DB26" t="s">
        <v>981</v>
      </c>
      <c r="DC26" t="s">
        <v>1015</v>
      </c>
      <c r="DD26" t="s">
        <v>238</v>
      </c>
      <c r="DE26" t="s">
        <v>239</v>
      </c>
      <c r="DF26" t="s">
        <v>182</v>
      </c>
      <c r="DG26" t="s">
        <v>240</v>
      </c>
      <c r="DH26" t="s">
        <v>241</v>
      </c>
      <c r="DI26" t="s">
        <v>182</v>
      </c>
      <c r="DJ26" t="s">
        <v>242</v>
      </c>
      <c r="DK26" t="s">
        <v>243</v>
      </c>
      <c r="DL26" t="s">
        <v>244</v>
      </c>
      <c r="DM26" t="s">
        <v>176</v>
      </c>
      <c r="DN26" t="s">
        <v>980</v>
      </c>
      <c r="DO26" t="s">
        <v>245</v>
      </c>
      <c r="DP26" t="s">
        <v>246</v>
      </c>
      <c r="DQ26" t="s">
        <v>247</v>
      </c>
      <c r="DR26" t="s">
        <v>248</v>
      </c>
      <c r="DS26" t="s">
        <v>249</v>
      </c>
      <c r="DT26" t="s">
        <v>250</v>
      </c>
    </row>
    <row r="28" spans="1:124" x14ac:dyDescent="0.45">
      <c r="A28" t="s">
        <v>1016</v>
      </c>
      <c r="B28" t="s">
        <v>1017</v>
      </c>
      <c r="C28" t="s">
        <v>17</v>
      </c>
      <c r="D28" t="s">
        <v>167</v>
      </c>
      <c r="E28" t="s">
        <v>168</v>
      </c>
      <c r="I28" t="s">
        <v>1018</v>
      </c>
      <c r="J28">
        <v>0.83819011410989963</v>
      </c>
      <c r="K28">
        <v>2.7553131199999998</v>
      </c>
      <c r="L28">
        <v>0.64268099066657836</v>
      </c>
      <c r="M28">
        <v>13.75089953866293</v>
      </c>
      <c r="N28" t="s">
        <v>1019</v>
      </c>
      <c r="O28" t="s">
        <v>1020</v>
      </c>
      <c r="P28">
        <v>4.8677492218336624</v>
      </c>
      <c r="Q28">
        <v>2.077568221833662</v>
      </c>
      <c r="R28" t="s">
        <v>1021</v>
      </c>
      <c r="S28" t="s">
        <v>1022</v>
      </c>
      <c r="T28">
        <v>48.228962863704162</v>
      </c>
      <c r="U28">
        <v>0.4417875</v>
      </c>
      <c r="V28" t="s">
        <v>174</v>
      </c>
      <c r="W28" t="s">
        <v>1023</v>
      </c>
      <c r="X28" t="s">
        <v>176</v>
      </c>
      <c r="Y28" t="s">
        <v>176</v>
      </c>
      <c r="Z28" t="s">
        <v>176</v>
      </c>
      <c r="AA28" t="s">
        <v>1024</v>
      </c>
      <c r="AB28" t="s">
        <v>1025</v>
      </c>
      <c r="AC28" t="s">
        <v>1026</v>
      </c>
      <c r="AD28" t="s">
        <v>180</v>
      </c>
      <c r="AE28" t="s">
        <v>181</v>
      </c>
      <c r="AF28">
        <v>321.22949670000003</v>
      </c>
      <c r="AG28" t="s">
        <v>182</v>
      </c>
      <c r="AH28" t="s">
        <v>1027</v>
      </c>
      <c r="AI28" t="s">
        <v>1028</v>
      </c>
      <c r="AJ28" t="s">
        <v>1029</v>
      </c>
      <c r="AK28" t="s">
        <v>1030</v>
      </c>
      <c r="AL28">
        <v>32.340000000000003</v>
      </c>
      <c r="AM28" t="s">
        <v>947</v>
      </c>
      <c r="AN28" t="s">
        <v>1031</v>
      </c>
      <c r="AO28" t="s">
        <v>1032</v>
      </c>
      <c r="AP28" t="s">
        <v>1033</v>
      </c>
      <c r="AQ28" t="s">
        <v>1034</v>
      </c>
      <c r="AR28" t="s">
        <v>1035</v>
      </c>
      <c r="AS28" t="s">
        <v>1036</v>
      </c>
      <c r="AT28" t="s">
        <v>251</v>
      </c>
      <c r="AU28" t="s">
        <v>1037</v>
      </c>
      <c r="AV28" t="s">
        <v>1038</v>
      </c>
      <c r="AW28" t="s">
        <v>1039</v>
      </c>
      <c r="AX28" t="s">
        <v>1040</v>
      </c>
      <c r="AY28" t="s">
        <v>1041</v>
      </c>
      <c r="AZ28" t="s">
        <v>1042</v>
      </c>
      <c r="BA28" t="s">
        <v>1043</v>
      </c>
      <c r="BB28" t="s">
        <v>1044</v>
      </c>
      <c r="BC28" t="s">
        <v>1045</v>
      </c>
      <c r="BD28" t="s">
        <v>17</v>
      </c>
      <c r="BE28" t="s">
        <v>585</v>
      </c>
      <c r="BF28" t="s">
        <v>1046</v>
      </c>
      <c r="BG28" t="s">
        <v>1047</v>
      </c>
      <c r="BH28" t="s">
        <v>752</v>
      </c>
      <c r="BI28" t="s">
        <v>753</v>
      </c>
      <c r="BJ28" t="s">
        <v>1048</v>
      </c>
      <c r="BK28" t="s">
        <v>17</v>
      </c>
      <c r="BL28" t="s">
        <v>1049</v>
      </c>
      <c r="BM28" t="s">
        <v>165</v>
      </c>
      <c r="BN28" t="s">
        <v>211</v>
      </c>
      <c r="BO28" t="s">
        <v>212</v>
      </c>
      <c r="BP28" t="s">
        <v>283</v>
      </c>
      <c r="BQ28" t="s">
        <v>1050</v>
      </c>
      <c r="BR28" t="s">
        <v>1051</v>
      </c>
      <c r="BS28" t="s">
        <v>1052</v>
      </c>
      <c r="BT28" t="s">
        <v>165</v>
      </c>
      <c r="BU28" t="s">
        <v>217</v>
      </c>
      <c r="BV28" t="s">
        <v>212</v>
      </c>
      <c r="BW28" t="s">
        <v>218</v>
      </c>
      <c r="BX28" t="s">
        <v>219</v>
      </c>
      <c r="BY28" t="s">
        <v>176</v>
      </c>
      <c r="BZ28" t="s">
        <v>220</v>
      </c>
      <c r="CA28" t="s">
        <v>176</v>
      </c>
      <c r="CB28" t="s">
        <v>176</v>
      </c>
      <c r="CC28" t="s">
        <v>221</v>
      </c>
      <c r="CD28" t="s">
        <v>222</v>
      </c>
      <c r="CE28" t="s">
        <v>223</v>
      </c>
      <c r="CF28" t="s">
        <v>224</v>
      </c>
      <c r="CG28" t="s">
        <v>225</v>
      </c>
      <c r="CH28" t="s">
        <v>226</v>
      </c>
      <c r="CI28" t="s">
        <v>182</v>
      </c>
      <c r="CJ28" t="s">
        <v>218</v>
      </c>
      <c r="CK28" t="s">
        <v>227</v>
      </c>
      <c r="CL28" t="s">
        <v>227</v>
      </c>
      <c r="CM28" t="s">
        <v>227</v>
      </c>
      <c r="CN28" t="s">
        <v>176</v>
      </c>
      <c r="CO28" t="s">
        <v>228</v>
      </c>
      <c r="CP28" t="s">
        <v>176</v>
      </c>
      <c r="CQ28" t="s">
        <v>176</v>
      </c>
      <c r="CR28" t="s">
        <v>176</v>
      </c>
      <c r="CS28" t="s">
        <v>176</v>
      </c>
      <c r="CT28" t="s">
        <v>1053</v>
      </c>
      <c r="CU28" t="s">
        <v>1054</v>
      </c>
      <c r="CV28" t="s">
        <v>1055</v>
      </c>
      <c r="CW28" t="s">
        <v>1056</v>
      </c>
      <c r="CX28" t="s">
        <v>1057</v>
      </c>
      <c r="CY28" t="s">
        <v>1058</v>
      </c>
      <c r="CZ28" t="s">
        <v>1059</v>
      </c>
      <c r="DA28" t="s">
        <v>1060</v>
      </c>
      <c r="DB28" t="s">
        <v>1024</v>
      </c>
      <c r="DC28" t="s">
        <v>470</v>
      </c>
      <c r="DD28" t="s">
        <v>238</v>
      </c>
      <c r="DE28" t="s">
        <v>239</v>
      </c>
      <c r="DF28" t="s">
        <v>182</v>
      </c>
      <c r="DG28" t="s">
        <v>240</v>
      </c>
      <c r="DH28" t="s">
        <v>241</v>
      </c>
      <c r="DI28" t="s">
        <v>182</v>
      </c>
      <c r="DJ28" t="s">
        <v>242</v>
      </c>
      <c r="DK28" t="s">
        <v>243</v>
      </c>
      <c r="DL28" t="s">
        <v>244</v>
      </c>
      <c r="DM28" t="s">
        <v>176</v>
      </c>
      <c r="DN28" t="s">
        <v>1023</v>
      </c>
      <c r="DO28" t="s">
        <v>245</v>
      </c>
      <c r="DP28" t="s">
        <v>246</v>
      </c>
      <c r="DQ28" t="s">
        <v>247</v>
      </c>
      <c r="DR28" t="s">
        <v>248</v>
      </c>
      <c r="DS28" t="s">
        <v>249</v>
      </c>
      <c r="DT28" t="s">
        <v>250</v>
      </c>
    </row>
    <row r="29" spans="1:124" x14ac:dyDescent="0.45">
      <c r="A29" t="s">
        <v>1061</v>
      </c>
      <c r="B29" t="s">
        <v>1062</v>
      </c>
      <c r="C29" t="s">
        <v>17</v>
      </c>
      <c r="D29" t="s">
        <v>167</v>
      </c>
      <c r="E29" t="s">
        <v>168</v>
      </c>
      <c r="I29" t="s">
        <v>1063</v>
      </c>
      <c r="J29">
        <v>0.58338349415313717</v>
      </c>
      <c r="K29">
        <v>2.5997776799999999</v>
      </c>
      <c r="L29">
        <v>0.47646578479747809</v>
      </c>
      <c r="M29">
        <v>9.7999869877550552</v>
      </c>
      <c r="N29" t="s">
        <v>1064</v>
      </c>
      <c r="O29" t="s">
        <v>1065</v>
      </c>
      <c r="P29">
        <v>4.7913235654888569</v>
      </c>
      <c r="Q29">
        <v>1.998198565488857</v>
      </c>
      <c r="R29" t="s">
        <v>1066</v>
      </c>
      <c r="S29" t="s">
        <v>1067</v>
      </c>
      <c r="T29">
        <v>47.467045427866623</v>
      </c>
      <c r="U29">
        <v>0.4417875</v>
      </c>
      <c r="V29" t="s">
        <v>174</v>
      </c>
      <c r="W29" t="s">
        <v>1068</v>
      </c>
      <c r="X29" t="s">
        <v>176</v>
      </c>
      <c r="Y29" t="s">
        <v>176</v>
      </c>
      <c r="Z29" t="s">
        <v>176</v>
      </c>
      <c r="AA29" t="s">
        <v>1069</v>
      </c>
      <c r="AB29" t="s">
        <v>1070</v>
      </c>
      <c r="AC29" t="s">
        <v>1071</v>
      </c>
      <c r="AD29" t="s">
        <v>180</v>
      </c>
      <c r="AE29" t="s">
        <v>181</v>
      </c>
      <c r="AF29">
        <v>386.94105744000001</v>
      </c>
      <c r="AG29" t="s">
        <v>182</v>
      </c>
      <c r="AH29" t="s">
        <v>1072</v>
      </c>
      <c r="AI29" t="s">
        <v>1073</v>
      </c>
      <c r="AJ29" t="s">
        <v>1074</v>
      </c>
      <c r="AK29" t="s">
        <v>1075</v>
      </c>
      <c r="AL29">
        <v>32.06</v>
      </c>
      <c r="AM29" t="s">
        <v>359</v>
      </c>
      <c r="AN29" t="s">
        <v>572</v>
      </c>
      <c r="AO29" t="s">
        <v>529</v>
      </c>
      <c r="AP29" t="s">
        <v>1076</v>
      </c>
      <c r="AQ29" t="s">
        <v>1077</v>
      </c>
      <c r="AR29" t="s">
        <v>1078</v>
      </c>
      <c r="AS29" t="s">
        <v>193</v>
      </c>
      <c r="AT29" t="s">
        <v>298</v>
      </c>
      <c r="AU29" t="s">
        <v>1079</v>
      </c>
      <c r="AV29" t="s">
        <v>1080</v>
      </c>
      <c r="AW29" t="s">
        <v>1081</v>
      </c>
      <c r="AX29" t="s">
        <v>198</v>
      </c>
      <c r="AY29" t="s">
        <v>1082</v>
      </c>
      <c r="AZ29" t="s">
        <v>1042</v>
      </c>
      <c r="BA29" t="s">
        <v>1083</v>
      </c>
      <c r="BB29" t="s">
        <v>1084</v>
      </c>
      <c r="BC29" t="s">
        <v>1085</v>
      </c>
      <c r="BD29" t="s">
        <v>17</v>
      </c>
      <c r="BE29" t="s">
        <v>1086</v>
      </c>
      <c r="BF29" t="s">
        <v>795</v>
      </c>
      <c r="BG29" t="s">
        <v>1087</v>
      </c>
      <c r="BH29" t="s">
        <v>752</v>
      </c>
      <c r="BI29" t="s">
        <v>753</v>
      </c>
      <c r="BJ29" t="s">
        <v>1048</v>
      </c>
      <c r="BK29" t="s">
        <v>17</v>
      </c>
      <c r="BL29" t="s">
        <v>1049</v>
      </c>
      <c r="BM29" t="s">
        <v>165</v>
      </c>
      <c r="BN29" t="s">
        <v>211</v>
      </c>
      <c r="BO29" t="s">
        <v>211</v>
      </c>
      <c r="BP29" t="s">
        <v>458</v>
      </c>
      <c r="BQ29" t="s">
        <v>1088</v>
      </c>
      <c r="BR29" t="s">
        <v>1089</v>
      </c>
      <c r="BS29" t="s">
        <v>1090</v>
      </c>
      <c r="BT29" t="s">
        <v>165</v>
      </c>
      <c r="BU29" t="s">
        <v>217</v>
      </c>
      <c r="BV29" t="s">
        <v>212</v>
      </c>
      <c r="BW29" t="s">
        <v>218</v>
      </c>
      <c r="BX29" t="s">
        <v>219</v>
      </c>
      <c r="BY29" t="s">
        <v>176</v>
      </c>
      <c r="BZ29" t="s">
        <v>220</v>
      </c>
      <c r="CA29" t="s">
        <v>176</v>
      </c>
      <c r="CB29" t="s">
        <v>176</v>
      </c>
      <c r="CC29" t="s">
        <v>221</v>
      </c>
      <c r="CD29" t="s">
        <v>222</v>
      </c>
      <c r="CE29" t="s">
        <v>223</v>
      </c>
      <c r="CF29" t="s">
        <v>224</v>
      </c>
      <c r="CG29" t="s">
        <v>225</v>
      </c>
      <c r="CH29" t="s">
        <v>226</v>
      </c>
      <c r="CI29" t="s">
        <v>182</v>
      </c>
      <c r="CJ29" t="s">
        <v>218</v>
      </c>
      <c r="CK29" t="s">
        <v>227</v>
      </c>
      <c r="CL29" t="s">
        <v>227</v>
      </c>
      <c r="CM29" t="s">
        <v>227</v>
      </c>
      <c r="CN29" t="s">
        <v>176</v>
      </c>
      <c r="CO29" t="s">
        <v>228</v>
      </c>
      <c r="CP29" t="s">
        <v>176</v>
      </c>
      <c r="CQ29" t="s">
        <v>176</v>
      </c>
      <c r="CR29" t="s">
        <v>176</v>
      </c>
      <c r="CS29" t="s">
        <v>176</v>
      </c>
      <c r="CT29" t="s">
        <v>1091</v>
      </c>
      <c r="CU29" t="s">
        <v>1092</v>
      </c>
      <c r="CV29" t="s">
        <v>1093</v>
      </c>
      <c r="CW29" t="s">
        <v>1094</v>
      </c>
      <c r="CX29" t="s">
        <v>1095</v>
      </c>
      <c r="CY29" t="s">
        <v>1096</v>
      </c>
      <c r="CZ29" t="s">
        <v>1097</v>
      </c>
      <c r="DA29" t="s">
        <v>1098</v>
      </c>
      <c r="DB29" t="s">
        <v>1069</v>
      </c>
      <c r="DC29" t="s">
        <v>1099</v>
      </c>
      <c r="DD29" t="s">
        <v>238</v>
      </c>
      <c r="DE29" t="s">
        <v>239</v>
      </c>
      <c r="DF29" t="s">
        <v>182</v>
      </c>
      <c r="DG29" t="s">
        <v>240</v>
      </c>
      <c r="DH29" t="s">
        <v>241</v>
      </c>
      <c r="DI29" t="s">
        <v>182</v>
      </c>
      <c r="DJ29" t="s">
        <v>242</v>
      </c>
      <c r="DK29" t="s">
        <v>243</v>
      </c>
      <c r="DL29" t="s">
        <v>244</v>
      </c>
      <c r="DM29" t="s">
        <v>176</v>
      </c>
      <c r="DN29" t="s">
        <v>1068</v>
      </c>
      <c r="DO29" t="s">
        <v>245</v>
      </c>
      <c r="DP29" t="s">
        <v>246</v>
      </c>
      <c r="DQ29" t="s">
        <v>247</v>
      </c>
      <c r="DR29" t="s">
        <v>248</v>
      </c>
      <c r="DS29" t="s">
        <v>249</v>
      </c>
      <c r="DT29" t="s">
        <v>250</v>
      </c>
    </row>
    <row r="30" spans="1:124" x14ac:dyDescent="0.45">
      <c r="A30" t="s">
        <v>1100</v>
      </c>
      <c r="B30" t="s">
        <v>1101</v>
      </c>
      <c r="C30" t="s">
        <v>17</v>
      </c>
      <c r="D30" t="s">
        <v>167</v>
      </c>
      <c r="E30" t="s">
        <v>168</v>
      </c>
      <c r="I30" t="s">
        <v>1102</v>
      </c>
      <c r="J30">
        <v>0.87087397493949381</v>
      </c>
      <c r="K30">
        <v>2.633222</v>
      </c>
      <c r="L30">
        <v>0.65443541684891238</v>
      </c>
      <c r="M30">
        <v>13.93542749613365</v>
      </c>
      <c r="N30" t="s">
        <v>1103</v>
      </c>
      <c r="O30" t="s">
        <v>1104</v>
      </c>
      <c r="P30">
        <v>4.992799732688014</v>
      </c>
      <c r="Q30">
        <v>2.064995732688014</v>
      </c>
      <c r="R30" t="s">
        <v>1105</v>
      </c>
      <c r="S30" t="s">
        <v>1106</v>
      </c>
      <c r="T30">
        <v>49.463044706637753</v>
      </c>
      <c r="U30">
        <v>0.4417875</v>
      </c>
      <c r="V30" t="s">
        <v>174</v>
      </c>
      <c r="W30" t="s">
        <v>1107</v>
      </c>
      <c r="X30" t="s">
        <v>176</v>
      </c>
      <c r="Y30" t="s">
        <v>176</v>
      </c>
      <c r="Z30" t="s">
        <v>176</v>
      </c>
      <c r="AA30" t="s">
        <v>1108</v>
      </c>
      <c r="AB30" t="s">
        <v>1109</v>
      </c>
      <c r="AC30" t="s">
        <v>1110</v>
      </c>
      <c r="AD30" t="s">
        <v>180</v>
      </c>
      <c r="AE30" t="s">
        <v>181</v>
      </c>
      <c r="AF30">
        <v>324.62341631999999</v>
      </c>
      <c r="AG30" t="s">
        <v>182</v>
      </c>
      <c r="AH30" t="s">
        <v>1111</v>
      </c>
      <c r="AI30" t="s">
        <v>1112</v>
      </c>
      <c r="AJ30" t="s">
        <v>1113</v>
      </c>
      <c r="AK30" t="s">
        <v>1114</v>
      </c>
      <c r="AL30">
        <v>32.79</v>
      </c>
      <c r="AM30" t="s">
        <v>359</v>
      </c>
      <c r="AN30" t="s">
        <v>1115</v>
      </c>
      <c r="AO30" t="s">
        <v>1116</v>
      </c>
      <c r="AP30" t="s">
        <v>1117</v>
      </c>
      <c r="AQ30" t="s">
        <v>1118</v>
      </c>
      <c r="AR30" t="s">
        <v>1119</v>
      </c>
      <c r="AS30" t="s">
        <v>193</v>
      </c>
      <c r="AT30" t="s">
        <v>298</v>
      </c>
      <c r="AU30" t="s">
        <v>1120</v>
      </c>
      <c r="AV30" t="s">
        <v>1121</v>
      </c>
      <c r="AW30" t="s">
        <v>1122</v>
      </c>
      <c r="AX30" t="s">
        <v>198</v>
      </c>
      <c r="AY30" t="s">
        <v>1123</v>
      </c>
      <c r="AZ30" t="s">
        <v>1042</v>
      </c>
      <c r="BA30" t="s">
        <v>1083</v>
      </c>
      <c r="BB30" t="s">
        <v>1084</v>
      </c>
      <c r="BC30" t="s">
        <v>1124</v>
      </c>
      <c r="BD30" t="s">
        <v>17</v>
      </c>
      <c r="BE30" t="s">
        <v>917</v>
      </c>
      <c r="BF30" t="s">
        <v>1001</v>
      </c>
      <c r="BG30" t="s">
        <v>1125</v>
      </c>
      <c r="BH30" t="s">
        <v>752</v>
      </c>
      <c r="BI30" t="s">
        <v>753</v>
      </c>
      <c r="BJ30" t="s">
        <v>1048</v>
      </c>
      <c r="BK30" t="s">
        <v>17</v>
      </c>
      <c r="BL30" t="s">
        <v>1049</v>
      </c>
      <c r="BM30" t="s">
        <v>165</v>
      </c>
      <c r="BN30" t="s">
        <v>458</v>
      </c>
      <c r="BO30" t="s">
        <v>330</v>
      </c>
      <c r="BP30" t="s">
        <v>1126</v>
      </c>
      <c r="BQ30" t="s">
        <v>1127</v>
      </c>
      <c r="BR30" t="s">
        <v>1128</v>
      </c>
      <c r="BS30" t="s">
        <v>1129</v>
      </c>
      <c r="BT30" t="s">
        <v>165</v>
      </c>
      <c r="BU30" t="s">
        <v>217</v>
      </c>
      <c r="BV30" t="s">
        <v>212</v>
      </c>
      <c r="BW30" t="s">
        <v>218</v>
      </c>
      <c r="BX30" t="s">
        <v>219</v>
      </c>
      <c r="BY30" t="s">
        <v>176</v>
      </c>
      <c r="BZ30" t="s">
        <v>220</v>
      </c>
      <c r="CA30" t="s">
        <v>176</v>
      </c>
      <c r="CB30" t="s">
        <v>176</v>
      </c>
      <c r="CC30" t="s">
        <v>221</v>
      </c>
      <c r="CD30" t="s">
        <v>222</v>
      </c>
      <c r="CE30" t="s">
        <v>223</v>
      </c>
      <c r="CF30" t="s">
        <v>224</v>
      </c>
      <c r="CG30" t="s">
        <v>225</v>
      </c>
      <c r="CH30" t="s">
        <v>226</v>
      </c>
      <c r="CI30" t="s">
        <v>182</v>
      </c>
      <c r="CJ30" t="s">
        <v>218</v>
      </c>
      <c r="CK30" t="s">
        <v>227</v>
      </c>
      <c r="CL30" t="s">
        <v>227</v>
      </c>
      <c r="CM30" t="s">
        <v>227</v>
      </c>
      <c r="CN30" t="s">
        <v>176</v>
      </c>
      <c r="CO30" t="s">
        <v>228</v>
      </c>
      <c r="CP30" t="s">
        <v>176</v>
      </c>
      <c r="CQ30" t="s">
        <v>176</v>
      </c>
      <c r="CR30" t="s">
        <v>176</v>
      </c>
      <c r="CS30" t="s">
        <v>176</v>
      </c>
      <c r="CT30" t="s">
        <v>1130</v>
      </c>
      <c r="CU30" t="s">
        <v>1131</v>
      </c>
      <c r="CV30" t="s">
        <v>1132</v>
      </c>
      <c r="CW30" t="s">
        <v>1133</v>
      </c>
      <c r="CX30" t="s">
        <v>1134</v>
      </c>
      <c r="CY30" t="s">
        <v>1135</v>
      </c>
      <c r="CZ30" t="s">
        <v>1136</v>
      </c>
      <c r="DA30" t="s">
        <v>1137</v>
      </c>
      <c r="DB30" t="s">
        <v>1108</v>
      </c>
      <c r="DC30" t="s">
        <v>470</v>
      </c>
      <c r="DD30" t="s">
        <v>238</v>
      </c>
      <c r="DE30" t="s">
        <v>239</v>
      </c>
      <c r="DF30" t="s">
        <v>182</v>
      </c>
      <c r="DG30" t="s">
        <v>240</v>
      </c>
      <c r="DH30" t="s">
        <v>241</v>
      </c>
      <c r="DI30" t="s">
        <v>182</v>
      </c>
      <c r="DJ30" t="s">
        <v>242</v>
      </c>
      <c r="DK30" t="s">
        <v>243</v>
      </c>
      <c r="DL30" t="s">
        <v>244</v>
      </c>
      <c r="DM30" t="s">
        <v>176</v>
      </c>
      <c r="DN30" t="s">
        <v>1107</v>
      </c>
      <c r="DO30" t="s">
        <v>245</v>
      </c>
      <c r="DP30" t="s">
        <v>246</v>
      </c>
      <c r="DQ30" t="s">
        <v>247</v>
      </c>
      <c r="DR30" t="s">
        <v>248</v>
      </c>
      <c r="DS30" t="s">
        <v>249</v>
      </c>
      <c r="DT30" t="s">
        <v>250</v>
      </c>
    </row>
    <row r="31" spans="1:124" x14ac:dyDescent="0.45">
      <c r="A31" t="s">
        <v>1138</v>
      </c>
      <c r="B31" t="s">
        <v>1139</v>
      </c>
      <c r="C31" t="s">
        <v>17</v>
      </c>
      <c r="D31" t="s">
        <v>167</v>
      </c>
      <c r="E31" t="s">
        <v>168</v>
      </c>
      <c r="I31" t="s">
        <v>1140</v>
      </c>
      <c r="J31">
        <v>0.35038065478271002</v>
      </c>
      <c r="K31">
        <v>2.7110871200000002</v>
      </c>
      <c r="L31">
        <v>0.31028008463881102</v>
      </c>
      <c r="M31">
        <v>6.750841066050973</v>
      </c>
      <c r="N31" t="s">
        <v>1141</v>
      </c>
      <c r="O31" t="s">
        <v>1142</v>
      </c>
      <c r="P31">
        <v>4.683956738613813</v>
      </c>
      <c r="Q31">
        <v>2.1171117386138132</v>
      </c>
      <c r="R31" t="s">
        <v>1143</v>
      </c>
      <c r="S31" t="s">
        <v>1144</v>
      </c>
      <c r="T31">
        <v>46.40797323505214</v>
      </c>
      <c r="U31">
        <v>0.4417875</v>
      </c>
      <c r="V31" t="s">
        <v>174</v>
      </c>
      <c r="W31" t="s">
        <v>1145</v>
      </c>
      <c r="X31" t="s">
        <v>176</v>
      </c>
      <c r="Y31" t="s">
        <v>176</v>
      </c>
      <c r="Z31" t="s">
        <v>176</v>
      </c>
      <c r="AA31" t="s">
        <v>1146</v>
      </c>
      <c r="AB31" t="s">
        <v>1147</v>
      </c>
      <c r="AC31" t="s">
        <v>1148</v>
      </c>
      <c r="AD31" t="s">
        <v>180</v>
      </c>
      <c r="AE31" t="s">
        <v>181</v>
      </c>
      <c r="AF31">
        <v>313.09782042000001</v>
      </c>
      <c r="AG31" t="s">
        <v>182</v>
      </c>
      <c r="AH31" t="s">
        <v>1149</v>
      </c>
      <c r="AI31" t="s">
        <v>1150</v>
      </c>
      <c r="AJ31" t="s">
        <v>1151</v>
      </c>
      <c r="AK31" t="s">
        <v>1152</v>
      </c>
      <c r="AL31">
        <v>31.66</v>
      </c>
      <c r="AM31" t="s">
        <v>947</v>
      </c>
      <c r="AN31" t="s">
        <v>1153</v>
      </c>
      <c r="AO31" t="s">
        <v>1154</v>
      </c>
      <c r="AP31" t="s">
        <v>315</v>
      </c>
      <c r="AQ31" t="s">
        <v>1155</v>
      </c>
      <c r="AR31" t="s">
        <v>1156</v>
      </c>
      <c r="AS31" t="s">
        <v>577</v>
      </c>
      <c r="AT31" t="s">
        <v>165</v>
      </c>
      <c r="AU31" t="s">
        <v>1157</v>
      </c>
      <c r="AV31" t="s">
        <v>1158</v>
      </c>
      <c r="AW31" t="s">
        <v>1159</v>
      </c>
      <c r="AX31" t="s">
        <v>1160</v>
      </c>
      <c r="AY31" t="s">
        <v>1161</v>
      </c>
      <c r="AZ31" t="s">
        <v>1042</v>
      </c>
      <c r="BA31" t="s">
        <v>1162</v>
      </c>
      <c r="BB31" t="s">
        <v>1163</v>
      </c>
      <c r="BC31" t="s">
        <v>1164</v>
      </c>
      <c r="BD31" t="s">
        <v>17</v>
      </c>
      <c r="BE31" t="s">
        <v>1165</v>
      </c>
      <c r="BF31" t="s">
        <v>544</v>
      </c>
      <c r="BG31" t="s">
        <v>1166</v>
      </c>
      <c r="BH31" t="s">
        <v>752</v>
      </c>
      <c r="BI31" t="s">
        <v>1167</v>
      </c>
      <c r="BJ31" t="s">
        <v>1048</v>
      </c>
      <c r="BK31" t="s">
        <v>17</v>
      </c>
      <c r="BL31" t="s">
        <v>1049</v>
      </c>
      <c r="BM31" t="s">
        <v>165</v>
      </c>
      <c r="BN31" t="s">
        <v>212</v>
      </c>
      <c r="BO31" t="s">
        <v>284</v>
      </c>
      <c r="BP31" t="s">
        <v>283</v>
      </c>
      <c r="BQ31" t="s">
        <v>1168</v>
      </c>
      <c r="BR31" t="s">
        <v>1169</v>
      </c>
      <c r="BS31" t="s">
        <v>1170</v>
      </c>
      <c r="BT31" t="s">
        <v>165</v>
      </c>
      <c r="BU31" t="s">
        <v>217</v>
      </c>
      <c r="BV31" t="s">
        <v>212</v>
      </c>
      <c r="BW31" t="s">
        <v>218</v>
      </c>
      <c r="BX31" t="s">
        <v>219</v>
      </c>
      <c r="BY31" t="s">
        <v>176</v>
      </c>
      <c r="BZ31" t="s">
        <v>220</v>
      </c>
      <c r="CA31" t="s">
        <v>176</v>
      </c>
      <c r="CB31" t="s">
        <v>176</v>
      </c>
      <c r="CC31" t="s">
        <v>221</v>
      </c>
      <c r="CD31" t="s">
        <v>222</v>
      </c>
      <c r="CE31" t="s">
        <v>223</v>
      </c>
      <c r="CF31" t="s">
        <v>224</v>
      </c>
      <c r="CG31" t="s">
        <v>225</v>
      </c>
      <c r="CH31" t="s">
        <v>226</v>
      </c>
      <c r="CI31" t="s">
        <v>182</v>
      </c>
      <c r="CJ31" t="s">
        <v>218</v>
      </c>
      <c r="CK31" t="s">
        <v>227</v>
      </c>
      <c r="CL31" t="s">
        <v>227</v>
      </c>
      <c r="CM31" t="s">
        <v>227</v>
      </c>
      <c r="CN31" t="s">
        <v>176</v>
      </c>
      <c r="CO31" t="s">
        <v>228</v>
      </c>
      <c r="CP31" t="s">
        <v>176</v>
      </c>
      <c r="CQ31" t="s">
        <v>176</v>
      </c>
      <c r="CR31" t="s">
        <v>176</v>
      </c>
      <c r="CS31" t="s">
        <v>176</v>
      </c>
      <c r="CT31" t="s">
        <v>1171</v>
      </c>
      <c r="CU31" t="s">
        <v>1172</v>
      </c>
      <c r="CV31" t="s">
        <v>1173</v>
      </c>
      <c r="CW31" t="s">
        <v>1174</v>
      </c>
      <c r="CX31" t="s">
        <v>1175</v>
      </c>
      <c r="CY31" t="s">
        <v>1176</v>
      </c>
      <c r="CZ31" t="s">
        <v>1177</v>
      </c>
      <c r="DA31" t="s">
        <v>1178</v>
      </c>
      <c r="DB31" t="s">
        <v>1146</v>
      </c>
      <c r="DC31" t="s">
        <v>1179</v>
      </c>
      <c r="DD31" t="s">
        <v>238</v>
      </c>
      <c r="DE31" t="s">
        <v>239</v>
      </c>
      <c r="DF31" t="s">
        <v>182</v>
      </c>
      <c r="DG31" t="s">
        <v>240</v>
      </c>
      <c r="DH31" t="s">
        <v>241</v>
      </c>
      <c r="DI31" t="s">
        <v>182</v>
      </c>
      <c r="DJ31" t="s">
        <v>242</v>
      </c>
      <c r="DK31" t="s">
        <v>243</v>
      </c>
      <c r="DL31" t="s">
        <v>244</v>
      </c>
      <c r="DM31" t="s">
        <v>176</v>
      </c>
      <c r="DN31" t="s">
        <v>1145</v>
      </c>
      <c r="DO31" t="s">
        <v>245</v>
      </c>
      <c r="DP31" t="s">
        <v>246</v>
      </c>
      <c r="DQ31" t="s">
        <v>247</v>
      </c>
      <c r="DR31" t="s">
        <v>248</v>
      </c>
      <c r="DS31" t="s">
        <v>249</v>
      </c>
      <c r="DT31" t="s">
        <v>250</v>
      </c>
    </row>
    <row r="32" spans="1:124" x14ac:dyDescent="0.45">
      <c r="A32" t="s">
        <v>992</v>
      </c>
      <c r="B32" t="s">
        <v>1180</v>
      </c>
      <c r="C32" t="s">
        <v>17</v>
      </c>
      <c r="D32" t="s">
        <v>167</v>
      </c>
      <c r="E32" t="s">
        <v>168</v>
      </c>
      <c r="I32" t="s">
        <v>1181</v>
      </c>
      <c r="J32">
        <v>0.94706134224324834</v>
      </c>
      <c r="K32">
        <v>2.6644620799999998</v>
      </c>
      <c r="L32">
        <v>0.69871041630228614</v>
      </c>
      <c r="M32">
        <v>11.373335934522229</v>
      </c>
      <c r="N32" t="s">
        <v>1182</v>
      </c>
      <c r="O32" t="s">
        <v>1183</v>
      </c>
      <c r="P32">
        <v>4.2874428418852526</v>
      </c>
      <c r="Q32">
        <v>1.5860848418852529</v>
      </c>
      <c r="R32" t="s">
        <v>1184</v>
      </c>
      <c r="S32" t="s">
        <v>1185</v>
      </c>
      <c r="T32">
        <v>42.479370275292297</v>
      </c>
      <c r="U32">
        <v>0.4417875</v>
      </c>
      <c r="V32" t="s">
        <v>174</v>
      </c>
      <c r="W32" t="s">
        <v>1186</v>
      </c>
      <c r="X32" t="s">
        <v>176</v>
      </c>
      <c r="Y32" t="s">
        <v>176</v>
      </c>
      <c r="Z32" t="s">
        <v>176</v>
      </c>
      <c r="AA32" t="s">
        <v>1187</v>
      </c>
      <c r="AB32" t="s">
        <v>1188</v>
      </c>
      <c r="AC32" t="s">
        <v>1189</v>
      </c>
      <c r="AD32" t="s">
        <v>180</v>
      </c>
      <c r="AE32" t="s">
        <v>181</v>
      </c>
      <c r="AF32">
        <v>152.43993449999999</v>
      </c>
      <c r="AG32" t="s">
        <v>182</v>
      </c>
      <c r="AH32" t="s">
        <v>1190</v>
      </c>
      <c r="AI32" t="s">
        <v>372</v>
      </c>
      <c r="AJ32" t="s">
        <v>1191</v>
      </c>
      <c r="AK32" t="s">
        <v>1192</v>
      </c>
      <c r="AL32">
        <v>30.11</v>
      </c>
      <c r="AM32" t="s">
        <v>947</v>
      </c>
      <c r="AN32" t="s">
        <v>905</v>
      </c>
      <c r="AO32" t="s">
        <v>1193</v>
      </c>
      <c r="AP32" t="s">
        <v>268</v>
      </c>
      <c r="AQ32" t="s">
        <v>1194</v>
      </c>
      <c r="AR32" t="s">
        <v>1195</v>
      </c>
      <c r="AS32" t="s">
        <v>489</v>
      </c>
      <c r="AT32" t="s">
        <v>223</v>
      </c>
      <c r="AU32" t="s">
        <v>1196</v>
      </c>
      <c r="AV32" t="s">
        <v>1197</v>
      </c>
      <c r="AW32" t="s">
        <v>1198</v>
      </c>
      <c r="AX32" t="s">
        <v>1199</v>
      </c>
      <c r="AY32" t="s">
        <v>1200</v>
      </c>
      <c r="AZ32" t="s">
        <v>1042</v>
      </c>
      <c r="BA32" t="s">
        <v>1201</v>
      </c>
      <c r="BB32" t="s">
        <v>1202</v>
      </c>
      <c r="BC32" t="s">
        <v>1203</v>
      </c>
      <c r="BD32" t="s">
        <v>17</v>
      </c>
      <c r="BE32" t="s">
        <v>1204</v>
      </c>
      <c r="BF32" t="s">
        <v>544</v>
      </c>
      <c r="BG32" t="s">
        <v>1205</v>
      </c>
      <c r="BH32" t="s">
        <v>724</v>
      </c>
      <c r="BI32" t="s">
        <v>1206</v>
      </c>
      <c r="BJ32" t="s">
        <v>1048</v>
      </c>
      <c r="BK32" t="s">
        <v>17</v>
      </c>
      <c r="BL32" t="s">
        <v>1049</v>
      </c>
      <c r="BM32" t="s">
        <v>165</v>
      </c>
      <c r="BN32" t="s">
        <v>330</v>
      </c>
      <c r="BO32" t="s">
        <v>212</v>
      </c>
      <c r="BP32" t="s">
        <v>1207</v>
      </c>
      <c r="BQ32" t="s">
        <v>1208</v>
      </c>
      <c r="BR32" t="s">
        <v>1209</v>
      </c>
      <c r="BS32" t="s">
        <v>964</v>
      </c>
      <c r="BT32" t="s">
        <v>165</v>
      </c>
      <c r="BU32" t="s">
        <v>217</v>
      </c>
      <c r="BV32" t="s">
        <v>212</v>
      </c>
      <c r="BW32" t="s">
        <v>218</v>
      </c>
      <c r="BX32" t="s">
        <v>219</v>
      </c>
      <c r="BY32" t="s">
        <v>176</v>
      </c>
      <c r="BZ32" t="s">
        <v>220</v>
      </c>
      <c r="CA32" t="s">
        <v>176</v>
      </c>
      <c r="CB32" t="s">
        <v>176</v>
      </c>
      <c r="CC32" t="s">
        <v>221</v>
      </c>
      <c r="CD32" t="s">
        <v>222</v>
      </c>
      <c r="CE32" t="s">
        <v>223</v>
      </c>
      <c r="CF32" t="s">
        <v>224</v>
      </c>
      <c r="CG32" t="s">
        <v>225</v>
      </c>
      <c r="CH32" t="s">
        <v>226</v>
      </c>
      <c r="CI32" t="s">
        <v>182</v>
      </c>
      <c r="CJ32" t="s">
        <v>218</v>
      </c>
      <c r="CK32" t="s">
        <v>227</v>
      </c>
      <c r="CL32" t="s">
        <v>227</v>
      </c>
      <c r="CM32" t="s">
        <v>227</v>
      </c>
      <c r="CN32" t="s">
        <v>176</v>
      </c>
      <c r="CO32" t="s">
        <v>228</v>
      </c>
      <c r="CP32" t="s">
        <v>176</v>
      </c>
      <c r="CQ32" t="s">
        <v>176</v>
      </c>
      <c r="CR32" t="s">
        <v>176</v>
      </c>
      <c r="CS32" t="s">
        <v>176</v>
      </c>
      <c r="CT32" t="s">
        <v>1210</v>
      </c>
      <c r="CU32" t="s">
        <v>1211</v>
      </c>
      <c r="CV32" t="s">
        <v>1212</v>
      </c>
      <c r="CW32" t="s">
        <v>1213</v>
      </c>
      <c r="CX32" t="s">
        <v>1214</v>
      </c>
      <c r="CY32" t="s">
        <v>1215</v>
      </c>
      <c r="CZ32" t="s">
        <v>1216</v>
      </c>
      <c r="DA32" t="s">
        <v>1217</v>
      </c>
      <c r="DB32" t="s">
        <v>1187</v>
      </c>
      <c r="DC32" t="s">
        <v>1218</v>
      </c>
      <c r="DD32" t="s">
        <v>238</v>
      </c>
      <c r="DE32" t="s">
        <v>239</v>
      </c>
      <c r="DF32" t="s">
        <v>182</v>
      </c>
      <c r="DG32" t="s">
        <v>240</v>
      </c>
      <c r="DH32" t="s">
        <v>241</v>
      </c>
      <c r="DI32" t="s">
        <v>182</v>
      </c>
      <c r="DJ32" t="s">
        <v>242</v>
      </c>
      <c r="DK32" t="s">
        <v>243</v>
      </c>
      <c r="DL32" t="s">
        <v>244</v>
      </c>
      <c r="DM32" t="s">
        <v>176</v>
      </c>
      <c r="DN32" t="s">
        <v>1186</v>
      </c>
      <c r="DO32" t="s">
        <v>245</v>
      </c>
      <c r="DP32" t="s">
        <v>246</v>
      </c>
      <c r="DQ32" t="s">
        <v>247</v>
      </c>
      <c r="DR32" t="s">
        <v>248</v>
      </c>
      <c r="DS32" t="s">
        <v>249</v>
      </c>
      <c r="DT32" t="s">
        <v>250</v>
      </c>
    </row>
    <row r="33" spans="1:124" x14ac:dyDescent="0.45">
      <c r="A33" t="s">
        <v>1219</v>
      </c>
      <c r="B33" t="s">
        <v>1220</v>
      </c>
      <c r="C33" t="s">
        <v>17</v>
      </c>
      <c r="D33" t="s">
        <v>167</v>
      </c>
      <c r="E33" t="s">
        <v>168</v>
      </c>
      <c r="I33" t="s">
        <v>1221</v>
      </c>
      <c r="J33">
        <v>0.76049908505232511</v>
      </c>
      <c r="K33">
        <v>2.68027032</v>
      </c>
      <c r="L33">
        <v>0.59240910566684857</v>
      </c>
      <c r="M33">
        <v>10.18891162938788</v>
      </c>
      <c r="N33" t="s">
        <v>1222</v>
      </c>
      <c r="O33" t="s">
        <v>1223</v>
      </c>
      <c r="P33">
        <v>4.4170739763436151</v>
      </c>
      <c r="Q33">
        <v>1.674437976343615</v>
      </c>
      <c r="R33" t="s">
        <v>1224</v>
      </c>
      <c r="S33" t="s">
        <v>1225</v>
      </c>
      <c r="T33">
        <v>43.763737009250121</v>
      </c>
      <c r="U33">
        <v>0.4417875</v>
      </c>
      <c r="V33" t="s">
        <v>174</v>
      </c>
      <c r="W33" t="s">
        <v>1226</v>
      </c>
      <c r="X33" t="s">
        <v>176</v>
      </c>
      <c r="Y33" t="s">
        <v>176</v>
      </c>
      <c r="Z33" t="s">
        <v>176</v>
      </c>
      <c r="AA33" t="s">
        <v>1227</v>
      </c>
      <c r="AB33" t="s">
        <v>1228</v>
      </c>
      <c r="AC33" t="s">
        <v>1229</v>
      </c>
      <c r="AD33" t="s">
        <v>180</v>
      </c>
      <c r="AE33" t="s">
        <v>181</v>
      </c>
      <c r="AF33">
        <v>233.98872</v>
      </c>
      <c r="AG33" t="s">
        <v>182</v>
      </c>
      <c r="AH33" t="s">
        <v>1230</v>
      </c>
      <c r="AI33" t="s">
        <v>1231</v>
      </c>
      <c r="AJ33" t="s">
        <v>1151</v>
      </c>
      <c r="AK33" t="s">
        <v>1232</v>
      </c>
      <c r="AL33">
        <v>30.63</v>
      </c>
      <c r="AM33" t="s">
        <v>947</v>
      </c>
      <c r="AN33" t="s">
        <v>988</v>
      </c>
      <c r="AO33" t="s">
        <v>1233</v>
      </c>
      <c r="AP33" t="s">
        <v>1234</v>
      </c>
      <c r="AQ33" t="s">
        <v>1235</v>
      </c>
      <c r="AR33" t="s">
        <v>1236</v>
      </c>
      <c r="AS33" t="s">
        <v>662</v>
      </c>
      <c r="AT33" t="s">
        <v>298</v>
      </c>
      <c r="AU33" t="s">
        <v>1237</v>
      </c>
      <c r="AV33" t="s">
        <v>1238</v>
      </c>
      <c r="AW33" t="s">
        <v>1239</v>
      </c>
      <c r="AX33" t="s">
        <v>1240</v>
      </c>
      <c r="AY33" t="s">
        <v>1241</v>
      </c>
      <c r="AZ33" t="s">
        <v>1042</v>
      </c>
      <c r="BA33" t="s">
        <v>1242</v>
      </c>
      <c r="BB33" t="s">
        <v>1243</v>
      </c>
      <c r="BC33" t="s">
        <v>1244</v>
      </c>
      <c r="BD33" t="s">
        <v>17</v>
      </c>
      <c r="BE33" t="s">
        <v>1245</v>
      </c>
      <c r="BF33" t="s">
        <v>669</v>
      </c>
      <c r="BG33" t="s">
        <v>1246</v>
      </c>
      <c r="BH33" t="s">
        <v>752</v>
      </c>
      <c r="BI33" t="s">
        <v>1247</v>
      </c>
      <c r="BJ33" t="s">
        <v>1048</v>
      </c>
      <c r="BK33" t="s">
        <v>17</v>
      </c>
      <c r="BL33" t="s">
        <v>1049</v>
      </c>
      <c r="BM33" t="s">
        <v>165</v>
      </c>
      <c r="BN33" t="s">
        <v>501</v>
      </c>
      <c r="BO33" t="s">
        <v>212</v>
      </c>
      <c r="BP33" t="s">
        <v>331</v>
      </c>
      <c r="BQ33" t="s">
        <v>1248</v>
      </c>
      <c r="BR33" t="s">
        <v>1249</v>
      </c>
      <c r="BS33" t="s">
        <v>1250</v>
      </c>
      <c r="BT33" t="s">
        <v>165</v>
      </c>
      <c r="BU33" t="s">
        <v>217</v>
      </c>
      <c r="BV33" t="s">
        <v>212</v>
      </c>
      <c r="BW33" t="s">
        <v>218</v>
      </c>
      <c r="BX33" t="s">
        <v>219</v>
      </c>
      <c r="BY33" t="s">
        <v>176</v>
      </c>
      <c r="BZ33" t="s">
        <v>220</v>
      </c>
      <c r="CA33" t="s">
        <v>176</v>
      </c>
      <c r="CB33" t="s">
        <v>176</v>
      </c>
      <c r="CC33" t="s">
        <v>221</v>
      </c>
      <c r="CD33" t="s">
        <v>222</v>
      </c>
      <c r="CE33" t="s">
        <v>223</v>
      </c>
      <c r="CF33" t="s">
        <v>224</v>
      </c>
      <c r="CG33" t="s">
        <v>225</v>
      </c>
      <c r="CH33" t="s">
        <v>226</v>
      </c>
      <c r="CI33" t="s">
        <v>182</v>
      </c>
      <c r="CJ33" t="s">
        <v>218</v>
      </c>
      <c r="CK33" t="s">
        <v>227</v>
      </c>
      <c r="CL33" t="s">
        <v>227</v>
      </c>
      <c r="CM33" t="s">
        <v>227</v>
      </c>
      <c r="CN33" t="s">
        <v>176</v>
      </c>
      <c r="CO33" t="s">
        <v>228</v>
      </c>
      <c r="CP33" t="s">
        <v>176</v>
      </c>
      <c r="CQ33" t="s">
        <v>176</v>
      </c>
      <c r="CR33" t="s">
        <v>176</v>
      </c>
      <c r="CS33" t="s">
        <v>176</v>
      </c>
      <c r="CT33" t="s">
        <v>1251</v>
      </c>
      <c r="CU33" t="s">
        <v>1252</v>
      </c>
      <c r="CV33" t="s">
        <v>1253</v>
      </c>
      <c r="CW33" t="s">
        <v>1254</v>
      </c>
      <c r="CX33" t="s">
        <v>1255</v>
      </c>
      <c r="CY33" t="s">
        <v>1256</v>
      </c>
      <c r="CZ33" t="s">
        <v>1257</v>
      </c>
      <c r="DA33" t="s">
        <v>1258</v>
      </c>
      <c r="DB33" t="s">
        <v>1227</v>
      </c>
      <c r="DC33" t="s">
        <v>1259</v>
      </c>
      <c r="DD33" t="s">
        <v>238</v>
      </c>
      <c r="DE33" t="s">
        <v>239</v>
      </c>
      <c r="DF33" t="s">
        <v>182</v>
      </c>
      <c r="DG33" t="s">
        <v>240</v>
      </c>
      <c r="DH33" t="s">
        <v>241</v>
      </c>
      <c r="DI33" t="s">
        <v>182</v>
      </c>
      <c r="DJ33" t="s">
        <v>242</v>
      </c>
      <c r="DK33" t="s">
        <v>243</v>
      </c>
      <c r="DL33" t="s">
        <v>244</v>
      </c>
      <c r="DM33" t="s">
        <v>176</v>
      </c>
      <c r="DN33" t="s">
        <v>1226</v>
      </c>
      <c r="DO33" t="s">
        <v>245</v>
      </c>
      <c r="DP33" t="s">
        <v>246</v>
      </c>
      <c r="DQ33" t="s">
        <v>247</v>
      </c>
      <c r="DR33" t="s">
        <v>248</v>
      </c>
      <c r="DS33" t="s">
        <v>249</v>
      </c>
      <c r="DT33" t="s">
        <v>250</v>
      </c>
    </row>
    <row r="35" spans="1:124" x14ac:dyDescent="0.45">
      <c r="A35" t="s">
        <v>1260</v>
      </c>
      <c r="B35" t="s">
        <v>1261</v>
      </c>
      <c r="C35" t="s">
        <v>17</v>
      </c>
      <c r="D35" t="s">
        <v>167</v>
      </c>
      <c r="E35" t="s">
        <v>168</v>
      </c>
      <c r="I35" t="s">
        <v>1262</v>
      </c>
      <c r="J35">
        <v>0.1427790238718189</v>
      </c>
      <c r="K35">
        <v>2.770526719999999</v>
      </c>
      <c r="L35">
        <v>0.13578152637239879</v>
      </c>
      <c r="M35">
        <v>3.9730476631192251</v>
      </c>
      <c r="N35" t="s">
        <v>1263</v>
      </c>
      <c r="O35" t="s">
        <v>1264</v>
      </c>
      <c r="P35">
        <v>5.319213541705536</v>
      </c>
      <c r="Q35">
        <v>2.839264541705536</v>
      </c>
      <c r="R35" t="s">
        <v>1265</v>
      </c>
      <c r="S35" t="s">
        <v>1266</v>
      </c>
      <c r="T35">
        <v>52.702006754240912</v>
      </c>
      <c r="U35">
        <v>0.4417875</v>
      </c>
      <c r="V35" t="s">
        <v>174</v>
      </c>
      <c r="W35" t="s">
        <v>1267</v>
      </c>
      <c r="X35" t="s">
        <v>176</v>
      </c>
      <c r="Y35" t="s">
        <v>176</v>
      </c>
      <c r="Z35" t="s">
        <v>176</v>
      </c>
      <c r="AA35" t="s">
        <v>1268</v>
      </c>
      <c r="AB35" t="s">
        <v>1269</v>
      </c>
      <c r="AC35" t="s">
        <v>1270</v>
      </c>
      <c r="AD35" t="s">
        <v>180</v>
      </c>
      <c r="AE35" t="s">
        <v>181</v>
      </c>
      <c r="AF35">
        <v>275.93198555999999</v>
      </c>
      <c r="AG35" t="s">
        <v>182</v>
      </c>
      <c r="AH35" t="s">
        <v>1271</v>
      </c>
      <c r="AI35" t="s">
        <v>1272</v>
      </c>
      <c r="AJ35" t="s">
        <v>1273</v>
      </c>
      <c r="AK35" t="s">
        <v>1274</v>
      </c>
      <c r="AL35">
        <v>33.92</v>
      </c>
      <c r="AM35" t="s">
        <v>947</v>
      </c>
      <c r="AN35" t="s">
        <v>1275</v>
      </c>
      <c r="AO35" t="s">
        <v>1276</v>
      </c>
      <c r="AP35" t="s">
        <v>1277</v>
      </c>
      <c r="AQ35" t="s">
        <v>1278</v>
      </c>
      <c r="AR35" t="s">
        <v>1279</v>
      </c>
      <c r="AS35" t="s">
        <v>1280</v>
      </c>
      <c r="AT35" t="s">
        <v>344</v>
      </c>
      <c r="AU35" t="s">
        <v>366</v>
      </c>
      <c r="AV35" t="s">
        <v>1281</v>
      </c>
      <c r="AW35" t="s">
        <v>1282</v>
      </c>
      <c r="AX35" t="s">
        <v>1283</v>
      </c>
      <c r="AY35" t="s">
        <v>1284</v>
      </c>
      <c r="AZ35" t="s">
        <v>1042</v>
      </c>
      <c r="BA35" t="s">
        <v>1285</v>
      </c>
      <c r="BB35" t="s">
        <v>1286</v>
      </c>
      <c r="BC35" t="s">
        <v>1287</v>
      </c>
      <c r="BD35" t="s">
        <v>17</v>
      </c>
      <c r="BE35" t="s">
        <v>1288</v>
      </c>
      <c r="BF35" t="s">
        <v>669</v>
      </c>
      <c r="BG35" t="s">
        <v>1289</v>
      </c>
      <c r="BH35" t="s">
        <v>724</v>
      </c>
      <c r="BI35" t="s">
        <v>1290</v>
      </c>
      <c r="BJ35" t="s">
        <v>1291</v>
      </c>
      <c r="BK35" t="s">
        <v>17</v>
      </c>
      <c r="BL35" t="s">
        <v>1292</v>
      </c>
      <c r="BM35" t="s">
        <v>165</v>
      </c>
      <c r="BN35" t="s">
        <v>212</v>
      </c>
      <c r="BO35" t="s">
        <v>284</v>
      </c>
      <c r="BP35" t="s">
        <v>1293</v>
      </c>
      <c r="BQ35" t="s">
        <v>1294</v>
      </c>
      <c r="BR35" t="s">
        <v>1295</v>
      </c>
      <c r="BS35" t="s">
        <v>1293</v>
      </c>
      <c r="BT35" t="s">
        <v>165</v>
      </c>
      <c r="BU35" t="s">
        <v>217</v>
      </c>
      <c r="BV35" t="s">
        <v>212</v>
      </c>
      <c r="BW35" t="s">
        <v>218</v>
      </c>
      <c r="BX35" t="s">
        <v>219</v>
      </c>
      <c r="BY35" t="s">
        <v>176</v>
      </c>
      <c r="BZ35" t="s">
        <v>220</v>
      </c>
      <c r="CA35" t="s">
        <v>176</v>
      </c>
      <c r="CB35" t="s">
        <v>176</v>
      </c>
      <c r="CC35" t="s">
        <v>221</v>
      </c>
      <c r="CD35" t="s">
        <v>222</v>
      </c>
      <c r="CE35" t="s">
        <v>223</v>
      </c>
      <c r="CF35" t="s">
        <v>224</v>
      </c>
      <c r="CG35" t="s">
        <v>225</v>
      </c>
      <c r="CH35" t="s">
        <v>226</v>
      </c>
      <c r="CI35" t="s">
        <v>182</v>
      </c>
      <c r="CJ35" t="s">
        <v>218</v>
      </c>
      <c r="CK35" t="s">
        <v>227</v>
      </c>
      <c r="CL35" t="s">
        <v>227</v>
      </c>
      <c r="CM35" t="s">
        <v>227</v>
      </c>
      <c r="CN35" t="s">
        <v>176</v>
      </c>
      <c r="CO35" t="s">
        <v>228</v>
      </c>
      <c r="CP35" t="s">
        <v>176</v>
      </c>
      <c r="CQ35" t="s">
        <v>176</v>
      </c>
      <c r="CR35" t="s">
        <v>176</v>
      </c>
      <c r="CS35" t="s">
        <v>176</v>
      </c>
      <c r="CT35" t="s">
        <v>1296</v>
      </c>
      <c r="CU35" t="s">
        <v>1297</v>
      </c>
      <c r="CV35" t="s">
        <v>1298</v>
      </c>
      <c r="CW35" t="s">
        <v>1299</v>
      </c>
      <c r="CX35" t="s">
        <v>1300</v>
      </c>
      <c r="CY35" t="s">
        <v>1301</v>
      </c>
      <c r="CZ35" t="s">
        <v>1302</v>
      </c>
      <c r="DA35" t="s">
        <v>1303</v>
      </c>
      <c r="DB35" t="s">
        <v>1268</v>
      </c>
      <c r="DC35" t="s">
        <v>297</v>
      </c>
      <c r="DD35" t="s">
        <v>238</v>
      </c>
      <c r="DE35" t="s">
        <v>239</v>
      </c>
      <c r="DF35" t="s">
        <v>182</v>
      </c>
      <c r="DG35" t="s">
        <v>240</v>
      </c>
      <c r="DH35" t="s">
        <v>241</v>
      </c>
      <c r="DI35" t="s">
        <v>182</v>
      </c>
      <c r="DJ35" t="s">
        <v>242</v>
      </c>
      <c r="DK35" t="s">
        <v>243</v>
      </c>
      <c r="DL35" t="s">
        <v>244</v>
      </c>
      <c r="DM35" t="s">
        <v>176</v>
      </c>
      <c r="DN35" t="s">
        <v>1267</v>
      </c>
      <c r="DO35" t="s">
        <v>245</v>
      </c>
      <c r="DP35" t="s">
        <v>246</v>
      </c>
      <c r="DQ35" t="s">
        <v>247</v>
      </c>
      <c r="DR35" t="s">
        <v>248</v>
      </c>
      <c r="DS35" t="s">
        <v>249</v>
      </c>
      <c r="DT35" t="s">
        <v>250</v>
      </c>
    </row>
    <row r="36" spans="1:124" x14ac:dyDescent="0.45">
      <c r="A36" t="s">
        <v>866</v>
      </c>
      <c r="B36" t="s">
        <v>1304</v>
      </c>
      <c r="C36" t="s">
        <v>17</v>
      </c>
      <c r="D36" t="s">
        <v>167</v>
      </c>
      <c r="E36" t="s">
        <v>168</v>
      </c>
      <c r="I36" t="s">
        <v>1305</v>
      </c>
      <c r="J36">
        <v>8.6578828653871877E-3</v>
      </c>
      <c r="K36">
        <v>2.8718880000000002</v>
      </c>
      <c r="L36">
        <v>8.6318603895236198E-3</v>
      </c>
      <c r="M36">
        <v>0.32834058974792951</v>
      </c>
      <c r="N36" t="s">
        <v>1306</v>
      </c>
      <c r="O36" t="s">
        <v>1307</v>
      </c>
      <c r="P36">
        <v>6.1046541586587626</v>
      </c>
      <c r="Q36">
        <v>3.6764231586587628</v>
      </c>
      <c r="R36" t="s">
        <v>1308</v>
      </c>
      <c r="S36" t="s">
        <v>1309</v>
      </c>
      <c r="T36">
        <v>60.490033280407872</v>
      </c>
      <c r="U36">
        <v>0.4417875</v>
      </c>
      <c r="V36" t="s">
        <v>174</v>
      </c>
      <c r="W36" t="s">
        <v>1310</v>
      </c>
      <c r="X36" t="s">
        <v>176</v>
      </c>
      <c r="Y36" t="s">
        <v>176</v>
      </c>
      <c r="Z36" t="s">
        <v>176</v>
      </c>
      <c r="AA36" t="s">
        <v>1311</v>
      </c>
      <c r="AB36" t="s">
        <v>1312</v>
      </c>
      <c r="AC36" t="s">
        <v>1313</v>
      </c>
      <c r="AD36" t="s">
        <v>180</v>
      </c>
      <c r="AE36" t="s">
        <v>181</v>
      </c>
      <c r="AF36">
        <v>259.54604760000001</v>
      </c>
      <c r="AG36" t="s">
        <v>182</v>
      </c>
      <c r="AH36" t="s">
        <v>1314</v>
      </c>
      <c r="AI36" t="s">
        <v>1315</v>
      </c>
      <c r="AJ36" t="s">
        <v>1316</v>
      </c>
      <c r="AK36" t="s">
        <v>1317</v>
      </c>
      <c r="AL36">
        <v>36.409999999999997</v>
      </c>
      <c r="AM36" t="s">
        <v>1318</v>
      </c>
      <c r="AN36" t="s">
        <v>1319</v>
      </c>
      <c r="AO36" t="s">
        <v>1320</v>
      </c>
      <c r="AP36" t="s">
        <v>190</v>
      </c>
      <c r="AQ36" t="s">
        <v>1321</v>
      </c>
      <c r="AR36" t="s">
        <v>1279</v>
      </c>
      <c r="AS36" t="s">
        <v>534</v>
      </c>
      <c r="AT36" t="s">
        <v>808</v>
      </c>
      <c r="AU36" t="s">
        <v>787</v>
      </c>
      <c r="AV36" t="s">
        <v>1322</v>
      </c>
      <c r="AW36" t="s">
        <v>1323</v>
      </c>
      <c r="AX36" t="s">
        <v>1324</v>
      </c>
      <c r="AY36" t="s">
        <v>1325</v>
      </c>
      <c r="AZ36" t="s">
        <v>1042</v>
      </c>
      <c r="BA36" t="s">
        <v>1285</v>
      </c>
      <c r="BB36" t="s">
        <v>1286</v>
      </c>
      <c r="BC36" t="s">
        <v>1326</v>
      </c>
      <c r="BD36" t="s">
        <v>17</v>
      </c>
      <c r="BE36" t="s">
        <v>1288</v>
      </c>
      <c r="BF36" t="s">
        <v>795</v>
      </c>
      <c r="BG36" t="s">
        <v>1327</v>
      </c>
      <c r="BH36" t="s">
        <v>752</v>
      </c>
      <c r="BI36" t="s">
        <v>1247</v>
      </c>
      <c r="BJ36" t="s">
        <v>1291</v>
      </c>
      <c r="BK36" t="s">
        <v>17</v>
      </c>
      <c r="BL36" t="s">
        <v>1292</v>
      </c>
      <c r="BM36" t="s">
        <v>165</v>
      </c>
      <c r="BN36" t="s">
        <v>211</v>
      </c>
      <c r="BO36" t="s">
        <v>211</v>
      </c>
      <c r="BP36" t="s">
        <v>1293</v>
      </c>
      <c r="BQ36" t="s">
        <v>1328</v>
      </c>
      <c r="BR36" t="s">
        <v>1329</v>
      </c>
      <c r="BS36" t="s">
        <v>1293</v>
      </c>
      <c r="BT36" t="s">
        <v>165</v>
      </c>
      <c r="BU36" t="s">
        <v>217</v>
      </c>
      <c r="BV36" t="s">
        <v>212</v>
      </c>
      <c r="BW36" t="s">
        <v>218</v>
      </c>
      <c r="BX36" t="s">
        <v>219</v>
      </c>
      <c r="BY36" t="s">
        <v>176</v>
      </c>
      <c r="BZ36" t="s">
        <v>220</v>
      </c>
      <c r="CA36" t="s">
        <v>176</v>
      </c>
      <c r="CB36" t="s">
        <v>176</v>
      </c>
      <c r="CC36" t="s">
        <v>221</v>
      </c>
      <c r="CD36" t="s">
        <v>222</v>
      </c>
      <c r="CE36" t="s">
        <v>223</v>
      </c>
      <c r="CF36" t="s">
        <v>224</v>
      </c>
      <c r="CG36" t="s">
        <v>225</v>
      </c>
      <c r="CH36" t="s">
        <v>226</v>
      </c>
      <c r="CI36" t="s">
        <v>182</v>
      </c>
      <c r="CJ36" t="s">
        <v>218</v>
      </c>
      <c r="CK36" t="s">
        <v>227</v>
      </c>
      <c r="CL36" t="s">
        <v>227</v>
      </c>
      <c r="CM36" t="s">
        <v>227</v>
      </c>
      <c r="CN36" t="s">
        <v>176</v>
      </c>
      <c r="CO36" t="s">
        <v>228</v>
      </c>
      <c r="CP36" t="s">
        <v>176</v>
      </c>
      <c r="CQ36" t="s">
        <v>176</v>
      </c>
      <c r="CR36" t="s">
        <v>176</v>
      </c>
      <c r="CS36" t="s">
        <v>176</v>
      </c>
      <c r="CT36" t="s">
        <v>1330</v>
      </c>
      <c r="CU36" t="s">
        <v>1331</v>
      </c>
      <c r="CV36" t="s">
        <v>1332</v>
      </c>
      <c r="CW36" t="s">
        <v>1333</v>
      </c>
      <c r="CX36" t="s">
        <v>1334</v>
      </c>
      <c r="CY36" t="s">
        <v>1335</v>
      </c>
      <c r="CZ36" t="s">
        <v>1336</v>
      </c>
      <c r="DA36" t="s">
        <v>1337</v>
      </c>
      <c r="DB36" t="s">
        <v>1311</v>
      </c>
      <c r="DC36" t="s">
        <v>1338</v>
      </c>
      <c r="DD36" t="s">
        <v>238</v>
      </c>
      <c r="DE36" t="s">
        <v>239</v>
      </c>
      <c r="DF36" t="s">
        <v>182</v>
      </c>
      <c r="DG36" t="s">
        <v>240</v>
      </c>
      <c r="DH36" t="s">
        <v>241</v>
      </c>
      <c r="DI36" t="s">
        <v>182</v>
      </c>
      <c r="DJ36" t="s">
        <v>242</v>
      </c>
      <c r="DK36" t="s">
        <v>243</v>
      </c>
      <c r="DL36" t="s">
        <v>244</v>
      </c>
      <c r="DM36" t="s">
        <v>176</v>
      </c>
      <c r="DN36" t="s">
        <v>1310</v>
      </c>
      <c r="DO36" t="s">
        <v>245</v>
      </c>
      <c r="DP36" t="s">
        <v>246</v>
      </c>
      <c r="DQ36" t="s">
        <v>247</v>
      </c>
      <c r="DR36" t="s">
        <v>248</v>
      </c>
      <c r="DS36" t="s">
        <v>249</v>
      </c>
      <c r="DT36" t="s">
        <v>250</v>
      </c>
    </row>
    <row r="37" spans="1:124" x14ac:dyDescent="0.45">
      <c r="A37" t="s">
        <v>1339</v>
      </c>
      <c r="B37" t="s">
        <v>1340</v>
      </c>
      <c r="C37" t="s">
        <v>17</v>
      </c>
      <c r="D37" t="s">
        <v>167</v>
      </c>
      <c r="E37" t="s">
        <v>168</v>
      </c>
      <c r="I37" t="s">
        <v>1341</v>
      </c>
      <c r="J37">
        <v>0.5277429427025746</v>
      </c>
      <c r="K37">
        <v>2.7078363200000002</v>
      </c>
      <c r="L37">
        <v>0.44166481234030358</v>
      </c>
      <c r="M37">
        <v>9.5276068849421343</v>
      </c>
      <c r="N37" t="s">
        <v>1342</v>
      </c>
      <c r="O37" t="s">
        <v>1343</v>
      </c>
      <c r="P37">
        <v>4.8980626115402082</v>
      </c>
      <c r="Q37">
        <v>2.0941986115402078</v>
      </c>
      <c r="R37" t="s">
        <v>1344</v>
      </c>
      <c r="S37" t="s">
        <v>1345</v>
      </c>
      <c r="T37">
        <v>48.529303591996509</v>
      </c>
      <c r="U37">
        <v>0.4417875</v>
      </c>
      <c r="V37" t="s">
        <v>174</v>
      </c>
      <c r="W37" t="s">
        <v>1346</v>
      </c>
      <c r="X37" t="s">
        <v>176</v>
      </c>
      <c r="Y37" t="s">
        <v>176</v>
      </c>
      <c r="Z37" t="s">
        <v>176</v>
      </c>
      <c r="AA37" t="s">
        <v>1347</v>
      </c>
      <c r="AB37" t="s">
        <v>1348</v>
      </c>
      <c r="AC37" t="s">
        <v>1349</v>
      </c>
      <c r="AD37" t="s">
        <v>180</v>
      </c>
      <c r="AE37" t="s">
        <v>181</v>
      </c>
      <c r="AF37">
        <v>290.24549400000001</v>
      </c>
      <c r="AG37" t="s">
        <v>182</v>
      </c>
      <c r="AH37" t="s">
        <v>1350</v>
      </c>
      <c r="AI37" t="s">
        <v>1351</v>
      </c>
      <c r="AJ37" t="s">
        <v>1352</v>
      </c>
      <c r="AK37" t="s">
        <v>1353</v>
      </c>
      <c r="AL37">
        <v>32.450000000000003</v>
      </c>
      <c r="AM37" t="s">
        <v>947</v>
      </c>
      <c r="AN37" t="s">
        <v>1354</v>
      </c>
      <c r="AO37" t="s">
        <v>1355</v>
      </c>
      <c r="AP37" t="s">
        <v>1356</v>
      </c>
      <c r="AQ37" t="s">
        <v>1357</v>
      </c>
      <c r="AR37" t="s">
        <v>1358</v>
      </c>
      <c r="AS37" t="s">
        <v>1280</v>
      </c>
      <c r="AT37" t="s">
        <v>785</v>
      </c>
      <c r="AU37" t="s">
        <v>1359</v>
      </c>
      <c r="AV37" t="s">
        <v>1360</v>
      </c>
      <c r="AW37" t="s">
        <v>1361</v>
      </c>
      <c r="AX37" t="s">
        <v>1362</v>
      </c>
      <c r="AY37" t="s">
        <v>1363</v>
      </c>
      <c r="AZ37" t="s">
        <v>1042</v>
      </c>
      <c r="BA37" t="s">
        <v>1364</v>
      </c>
      <c r="BB37" t="s">
        <v>1365</v>
      </c>
      <c r="BC37" t="s">
        <v>1366</v>
      </c>
      <c r="BD37" t="s">
        <v>17</v>
      </c>
      <c r="BE37" t="s">
        <v>455</v>
      </c>
      <c r="BF37" t="s">
        <v>499</v>
      </c>
      <c r="BG37" t="s">
        <v>1205</v>
      </c>
      <c r="BH37" t="s">
        <v>752</v>
      </c>
      <c r="BI37" t="s">
        <v>1247</v>
      </c>
      <c r="BJ37" t="s">
        <v>1291</v>
      </c>
      <c r="BK37" t="s">
        <v>17</v>
      </c>
      <c r="BL37" t="s">
        <v>1292</v>
      </c>
      <c r="BM37" t="s">
        <v>165</v>
      </c>
      <c r="BN37" t="s">
        <v>283</v>
      </c>
      <c r="BO37" t="s">
        <v>212</v>
      </c>
      <c r="BP37" t="s">
        <v>213</v>
      </c>
      <c r="BQ37" t="s">
        <v>1367</v>
      </c>
      <c r="BR37" t="s">
        <v>1368</v>
      </c>
      <c r="BS37" t="s">
        <v>1369</v>
      </c>
      <c r="BT37" t="s">
        <v>165</v>
      </c>
      <c r="BU37" t="s">
        <v>217</v>
      </c>
      <c r="BV37" t="s">
        <v>212</v>
      </c>
      <c r="BW37" t="s">
        <v>218</v>
      </c>
      <c r="BX37" t="s">
        <v>219</v>
      </c>
      <c r="BY37" t="s">
        <v>176</v>
      </c>
      <c r="BZ37" t="s">
        <v>220</v>
      </c>
      <c r="CA37" t="s">
        <v>176</v>
      </c>
      <c r="CB37" t="s">
        <v>176</v>
      </c>
      <c r="CC37" t="s">
        <v>221</v>
      </c>
      <c r="CD37" t="s">
        <v>222</v>
      </c>
      <c r="CE37" t="s">
        <v>223</v>
      </c>
      <c r="CF37" t="s">
        <v>224</v>
      </c>
      <c r="CG37" t="s">
        <v>225</v>
      </c>
      <c r="CH37" t="s">
        <v>226</v>
      </c>
      <c r="CI37" t="s">
        <v>182</v>
      </c>
      <c r="CJ37" t="s">
        <v>218</v>
      </c>
      <c r="CK37" t="s">
        <v>227</v>
      </c>
      <c r="CL37" t="s">
        <v>227</v>
      </c>
      <c r="CM37" t="s">
        <v>227</v>
      </c>
      <c r="CN37" t="s">
        <v>176</v>
      </c>
      <c r="CO37" t="s">
        <v>228</v>
      </c>
      <c r="CP37" t="s">
        <v>176</v>
      </c>
      <c r="CQ37" t="s">
        <v>176</v>
      </c>
      <c r="CR37" t="s">
        <v>176</v>
      </c>
      <c r="CS37" t="s">
        <v>176</v>
      </c>
      <c r="CT37" t="s">
        <v>1370</v>
      </c>
      <c r="CU37" t="s">
        <v>1371</v>
      </c>
      <c r="CV37" t="s">
        <v>1372</v>
      </c>
      <c r="CW37" t="s">
        <v>1373</v>
      </c>
      <c r="CX37" t="s">
        <v>1374</v>
      </c>
      <c r="CY37" t="s">
        <v>1375</v>
      </c>
      <c r="CZ37" t="s">
        <v>1376</v>
      </c>
      <c r="DA37" t="s">
        <v>1377</v>
      </c>
      <c r="DB37" t="s">
        <v>1347</v>
      </c>
      <c r="DC37" t="s">
        <v>343</v>
      </c>
      <c r="DD37" t="s">
        <v>238</v>
      </c>
      <c r="DE37" t="s">
        <v>239</v>
      </c>
      <c r="DF37" t="s">
        <v>182</v>
      </c>
      <c r="DG37" t="s">
        <v>240</v>
      </c>
      <c r="DH37" t="s">
        <v>241</v>
      </c>
      <c r="DI37" t="s">
        <v>182</v>
      </c>
      <c r="DJ37" t="s">
        <v>242</v>
      </c>
      <c r="DK37" t="s">
        <v>243</v>
      </c>
      <c r="DL37" t="s">
        <v>244</v>
      </c>
      <c r="DM37" t="s">
        <v>176</v>
      </c>
      <c r="DN37" t="s">
        <v>1346</v>
      </c>
      <c r="DO37" t="s">
        <v>245</v>
      </c>
      <c r="DP37" t="s">
        <v>246</v>
      </c>
      <c r="DQ37" t="s">
        <v>247</v>
      </c>
      <c r="DR37" t="s">
        <v>248</v>
      </c>
      <c r="DS37" t="s">
        <v>249</v>
      </c>
      <c r="DT37" t="s">
        <v>250</v>
      </c>
    </row>
    <row r="38" spans="1:124" x14ac:dyDescent="0.45">
      <c r="A38" t="s">
        <v>1378</v>
      </c>
      <c r="B38" t="s">
        <v>1379</v>
      </c>
      <c r="C38" t="s">
        <v>17</v>
      </c>
      <c r="D38" t="s">
        <v>167</v>
      </c>
      <c r="E38" t="s">
        <v>168</v>
      </c>
      <c r="I38" t="s">
        <v>1380</v>
      </c>
      <c r="J38">
        <v>9.8807733613225479E-2</v>
      </c>
      <c r="K38">
        <v>2.87615</v>
      </c>
      <c r="L38">
        <v>9.552601699874283E-2</v>
      </c>
      <c r="M38">
        <v>3.4165498056699879</v>
      </c>
      <c r="N38" t="s">
        <v>1381</v>
      </c>
      <c r="O38" t="s">
        <v>1382</v>
      </c>
      <c r="P38">
        <v>5.9132291499216372</v>
      </c>
      <c r="Q38">
        <v>3.4598321499216369</v>
      </c>
      <c r="R38" t="s">
        <v>1383</v>
      </c>
      <c r="S38" t="s">
        <v>1384</v>
      </c>
      <c r="T38">
        <v>58.593233748728068</v>
      </c>
      <c r="U38">
        <v>0.4417875</v>
      </c>
      <c r="V38" t="s">
        <v>174</v>
      </c>
      <c r="W38" t="s">
        <v>1385</v>
      </c>
      <c r="X38" t="s">
        <v>176</v>
      </c>
      <c r="Y38" t="s">
        <v>176</v>
      </c>
      <c r="Z38" t="s">
        <v>176</v>
      </c>
      <c r="AA38" t="s">
        <v>1386</v>
      </c>
      <c r="AB38" t="s">
        <v>1387</v>
      </c>
      <c r="AC38" t="s">
        <v>1388</v>
      </c>
      <c r="AD38" t="s">
        <v>180</v>
      </c>
      <c r="AE38" t="s">
        <v>181</v>
      </c>
      <c r="AF38">
        <v>265.36061538000001</v>
      </c>
      <c r="AG38" t="s">
        <v>182</v>
      </c>
      <c r="AH38" t="s">
        <v>372</v>
      </c>
      <c r="AI38" t="s">
        <v>1389</v>
      </c>
      <c r="AJ38" t="s">
        <v>1390</v>
      </c>
      <c r="AK38" t="s">
        <v>1352</v>
      </c>
      <c r="AL38">
        <v>35.83</v>
      </c>
      <c r="AM38" t="s">
        <v>1318</v>
      </c>
      <c r="AN38" t="s">
        <v>1391</v>
      </c>
      <c r="AO38" t="s">
        <v>1392</v>
      </c>
      <c r="AP38" t="s">
        <v>1393</v>
      </c>
      <c r="AQ38" t="s">
        <v>1394</v>
      </c>
      <c r="AR38" t="s">
        <v>1395</v>
      </c>
      <c r="AS38" t="s">
        <v>1396</v>
      </c>
      <c r="AT38" t="s">
        <v>165</v>
      </c>
      <c r="AU38" t="s">
        <v>1397</v>
      </c>
      <c r="AV38" t="s">
        <v>1398</v>
      </c>
      <c r="AW38" t="s">
        <v>1399</v>
      </c>
      <c r="AX38" t="s">
        <v>1400</v>
      </c>
      <c r="AY38" t="s">
        <v>1401</v>
      </c>
      <c r="AZ38" t="s">
        <v>1042</v>
      </c>
      <c r="BA38" t="s">
        <v>1402</v>
      </c>
      <c r="BB38" t="s">
        <v>1403</v>
      </c>
      <c r="BC38" t="s">
        <v>1404</v>
      </c>
      <c r="BD38" t="s">
        <v>17</v>
      </c>
      <c r="BE38" t="s">
        <v>1405</v>
      </c>
      <c r="BF38" t="s">
        <v>1406</v>
      </c>
      <c r="BG38" t="s">
        <v>1205</v>
      </c>
      <c r="BH38" t="s">
        <v>752</v>
      </c>
      <c r="BI38" t="s">
        <v>1247</v>
      </c>
      <c r="BJ38" t="s">
        <v>1291</v>
      </c>
      <c r="BK38" t="s">
        <v>17</v>
      </c>
      <c r="BL38" t="s">
        <v>1292</v>
      </c>
      <c r="BM38" t="s">
        <v>165</v>
      </c>
      <c r="BN38" t="s">
        <v>211</v>
      </c>
      <c r="BO38" t="s">
        <v>330</v>
      </c>
      <c r="BP38" t="s">
        <v>212</v>
      </c>
      <c r="BQ38" t="s">
        <v>1407</v>
      </c>
      <c r="BR38" t="s">
        <v>1408</v>
      </c>
      <c r="BS38" t="s">
        <v>1409</v>
      </c>
      <c r="BT38" t="s">
        <v>165</v>
      </c>
      <c r="BU38" t="s">
        <v>217</v>
      </c>
      <c r="BV38" t="s">
        <v>212</v>
      </c>
      <c r="BW38" t="s">
        <v>218</v>
      </c>
      <c r="BX38" t="s">
        <v>219</v>
      </c>
      <c r="BY38" t="s">
        <v>176</v>
      </c>
      <c r="BZ38" t="s">
        <v>220</v>
      </c>
      <c r="CA38" t="s">
        <v>176</v>
      </c>
      <c r="CB38" t="s">
        <v>176</v>
      </c>
      <c r="CC38" t="s">
        <v>221</v>
      </c>
      <c r="CD38" t="s">
        <v>222</v>
      </c>
      <c r="CE38" t="s">
        <v>223</v>
      </c>
      <c r="CF38" t="s">
        <v>224</v>
      </c>
      <c r="CG38" t="s">
        <v>225</v>
      </c>
      <c r="CH38" t="s">
        <v>226</v>
      </c>
      <c r="CI38" t="s">
        <v>182</v>
      </c>
      <c r="CJ38" t="s">
        <v>218</v>
      </c>
      <c r="CK38" t="s">
        <v>227</v>
      </c>
      <c r="CL38" t="s">
        <v>227</v>
      </c>
      <c r="CM38" t="s">
        <v>227</v>
      </c>
      <c r="CN38" t="s">
        <v>176</v>
      </c>
      <c r="CO38" t="s">
        <v>228</v>
      </c>
      <c r="CP38" t="s">
        <v>176</v>
      </c>
      <c r="CQ38" t="s">
        <v>176</v>
      </c>
      <c r="CR38" t="s">
        <v>176</v>
      </c>
      <c r="CS38" t="s">
        <v>176</v>
      </c>
      <c r="CT38" t="s">
        <v>1410</v>
      </c>
      <c r="CU38" t="s">
        <v>1411</v>
      </c>
      <c r="CV38" t="s">
        <v>1412</v>
      </c>
      <c r="CW38" t="s">
        <v>1413</v>
      </c>
      <c r="CX38" t="s">
        <v>1414</v>
      </c>
      <c r="CY38" t="s">
        <v>1415</v>
      </c>
      <c r="CZ38" t="s">
        <v>1416</v>
      </c>
      <c r="DA38" t="s">
        <v>1417</v>
      </c>
      <c r="DB38" t="s">
        <v>1386</v>
      </c>
      <c r="DC38" t="s">
        <v>1218</v>
      </c>
      <c r="DD38" t="s">
        <v>238</v>
      </c>
      <c r="DE38" t="s">
        <v>239</v>
      </c>
      <c r="DF38" t="s">
        <v>182</v>
      </c>
      <c r="DG38" t="s">
        <v>240</v>
      </c>
      <c r="DH38" t="s">
        <v>241</v>
      </c>
      <c r="DI38" t="s">
        <v>182</v>
      </c>
      <c r="DJ38" t="s">
        <v>242</v>
      </c>
      <c r="DK38" t="s">
        <v>243</v>
      </c>
      <c r="DL38" t="s">
        <v>244</v>
      </c>
      <c r="DM38" t="s">
        <v>176</v>
      </c>
      <c r="DN38" t="s">
        <v>1385</v>
      </c>
      <c r="DO38" t="s">
        <v>245</v>
      </c>
      <c r="DP38" t="s">
        <v>246</v>
      </c>
      <c r="DQ38" t="s">
        <v>247</v>
      </c>
      <c r="DR38" t="s">
        <v>248</v>
      </c>
      <c r="DS38" t="s">
        <v>249</v>
      </c>
      <c r="DT38" t="s">
        <v>250</v>
      </c>
    </row>
    <row r="39" spans="1:124" x14ac:dyDescent="0.45">
      <c r="A39" t="s">
        <v>1418</v>
      </c>
      <c r="B39" t="s">
        <v>1419</v>
      </c>
      <c r="C39" t="s">
        <v>17</v>
      </c>
      <c r="D39" t="s">
        <v>167</v>
      </c>
      <c r="E39" t="s">
        <v>168</v>
      </c>
      <c r="I39" t="s">
        <v>1420</v>
      </c>
      <c r="J39">
        <v>0.33313163474506241</v>
      </c>
      <c r="K39">
        <v>2.7292771199999999</v>
      </c>
      <c r="L39">
        <v>0.29689326979917968</v>
      </c>
      <c r="M39">
        <v>10.07066940974928</v>
      </c>
      <c r="N39" t="s">
        <v>1421</v>
      </c>
      <c r="O39" t="s">
        <v>1422</v>
      </c>
      <c r="P39">
        <v>5.8904826577146601</v>
      </c>
      <c r="Q39">
        <v>3.2794656577146601</v>
      </c>
      <c r="R39" t="s">
        <v>1423</v>
      </c>
      <c r="S39" t="s">
        <v>1424</v>
      </c>
      <c r="T39">
        <v>58.362059424498753</v>
      </c>
      <c r="U39">
        <v>0.4417875</v>
      </c>
      <c r="V39" t="s">
        <v>174</v>
      </c>
      <c r="W39" t="s">
        <v>1425</v>
      </c>
      <c r="X39" t="s">
        <v>176</v>
      </c>
      <c r="Y39" t="s">
        <v>176</v>
      </c>
      <c r="Z39" t="s">
        <v>176</v>
      </c>
      <c r="AA39" t="s">
        <v>1426</v>
      </c>
      <c r="AB39" t="s">
        <v>1427</v>
      </c>
      <c r="AC39" t="s">
        <v>1428</v>
      </c>
      <c r="AD39" t="s">
        <v>180</v>
      </c>
      <c r="AE39" t="s">
        <v>181</v>
      </c>
      <c r="AF39">
        <v>251.66574678000001</v>
      </c>
      <c r="AG39" t="s">
        <v>182</v>
      </c>
      <c r="AH39" t="s">
        <v>1429</v>
      </c>
      <c r="AI39" t="s">
        <v>1430</v>
      </c>
      <c r="AJ39" t="s">
        <v>1431</v>
      </c>
      <c r="AK39" t="s">
        <v>1432</v>
      </c>
      <c r="AL39">
        <v>35.76</v>
      </c>
      <c r="AM39" t="s">
        <v>947</v>
      </c>
      <c r="AN39" t="s">
        <v>1433</v>
      </c>
      <c r="AO39" t="s">
        <v>1434</v>
      </c>
      <c r="AP39" t="s">
        <v>1435</v>
      </c>
      <c r="AQ39" t="s">
        <v>1436</v>
      </c>
      <c r="AR39" t="s">
        <v>1437</v>
      </c>
      <c r="AS39" t="s">
        <v>742</v>
      </c>
      <c r="AT39" t="s">
        <v>1396</v>
      </c>
      <c r="AU39" t="s">
        <v>1438</v>
      </c>
      <c r="AV39" t="s">
        <v>1439</v>
      </c>
      <c r="AW39" t="s">
        <v>1440</v>
      </c>
      <c r="AX39" t="s">
        <v>1441</v>
      </c>
      <c r="AY39" t="s">
        <v>1442</v>
      </c>
      <c r="AZ39" t="s">
        <v>1042</v>
      </c>
      <c r="BA39" t="s">
        <v>1443</v>
      </c>
      <c r="BB39" t="s">
        <v>1444</v>
      </c>
      <c r="BC39" t="s">
        <v>1445</v>
      </c>
      <c r="BD39" t="s">
        <v>17</v>
      </c>
      <c r="BE39" t="s">
        <v>1446</v>
      </c>
      <c r="BF39" t="s">
        <v>499</v>
      </c>
      <c r="BG39" t="s">
        <v>1447</v>
      </c>
      <c r="BH39" t="s">
        <v>752</v>
      </c>
      <c r="BI39" t="s">
        <v>1247</v>
      </c>
      <c r="BJ39" t="s">
        <v>1291</v>
      </c>
      <c r="BK39" t="s">
        <v>17</v>
      </c>
      <c r="BL39" t="s">
        <v>1292</v>
      </c>
      <c r="BM39" t="s">
        <v>165</v>
      </c>
      <c r="BN39" t="s">
        <v>211</v>
      </c>
      <c r="BO39" t="s">
        <v>284</v>
      </c>
      <c r="BP39" t="s">
        <v>1448</v>
      </c>
      <c r="BQ39" t="s">
        <v>1449</v>
      </c>
      <c r="BR39" t="s">
        <v>1450</v>
      </c>
      <c r="BS39" t="s">
        <v>1451</v>
      </c>
      <c r="BT39" t="s">
        <v>165</v>
      </c>
      <c r="BU39" t="s">
        <v>217</v>
      </c>
      <c r="BV39" t="s">
        <v>212</v>
      </c>
      <c r="BW39" t="s">
        <v>218</v>
      </c>
      <c r="BX39" t="s">
        <v>219</v>
      </c>
      <c r="BY39" t="s">
        <v>176</v>
      </c>
      <c r="BZ39" t="s">
        <v>220</v>
      </c>
      <c r="CA39" t="s">
        <v>176</v>
      </c>
      <c r="CB39" t="s">
        <v>176</v>
      </c>
      <c r="CC39" t="s">
        <v>221</v>
      </c>
      <c r="CD39" t="s">
        <v>222</v>
      </c>
      <c r="CE39" t="s">
        <v>223</v>
      </c>
      <c r="CF39" t="s">
        <v>224</v>
      </c>
      <c r="CG39" t="s">
        <v>225</v>
      </c>
      <c r="CH39" t="s">
        <v>226</v>
      </c>
      <c r="CI39" t="s">
        <v>182</v>
      </c>
      <c r="CJ39" t="s">
        <v>218</v>
      </c>
      <c r="CK39" t="s">
        <v>227</v>
      </c>
      <c r="CL39" t="s">
        <v>227</v>
      </c>
      <c r="CM39" t="s">
        <v>227</v>
      </c>
      <c r="CN39" t="s">
        <v>176</v>
      </c>
      <c r="CO39" t="s">
        <v>228</v>
      </c>
      <c r="CP39" t="s">
        <v>176</v>
      </c>
      <c r="CQ39" t="s">
        <v>176</v>
      </c>
      <c r="CR39" t="s">
        <v>176</v>
      </c>
      <c r="CS39" t="s">
        <v>176</v>
      </c>
      <c r="CT39" t="s">
        <v>1452</v>
      </c>
      <c r="CU39" t="s">
        <v>1453</v>
      </c>
      <c r="CV39" t="s">
        <v>1454</v>
      </c>
      <c r="CW39" t="s">
        <v>1455</v>
      </c>
      <c r="CX39" t="s">
        <v>1456</v>
      </c>
      <c r="CY39" t="s">
        <v>1457</v>
      </c>
      <c r="CZ39" t="s">
        <v>1458</v>
      </c>
      <c r="DA39" t="s">
        <v>1459</v>
      </c>
      <c r="DB39" t="s">
        <v>1426</v>
      </c>
      <c r="DC39" t="s">
        <v>470</v>
      </c>
      <c r="DD39" t="s">
        <v>238</v>
      </c>
      <c r="DE39" t="s">
        <v>239</v>
      </c>
      <c r="DF39" t="s">
        <v>182</v>
      </c>
      <c r="DG39" t="s">
        <v>240</v>
      </c>
      <c r="DH39" t="s">
        <v>241</v>
      </c>
      <c r="DI39" t="s">
        <v>182</v>
      </c>
      <c r="DJ39" t="s">
        <v>242</v>
      </c>
      <c r="DK39" t="s">
        <v>243</v>
      </c>
      <c r="DL39" t="s">
        <v>244</v>
      </c>
      <c r="DM39" t="s">
        <v>176</v>
      </c>
      <c r="DN39" t="s">
        <v>1425</v>
      </c>
      <c r="DO39" t="s">
        <v>245</v>
      </c>
      <c r="DP39" t="s">
        <v>246</v>
      </c>
      <c r="DQ39" t="s">
        <v>247</v>
      </c>
      <c r="DR39" t="s">
        <v>248</v>
      </c>
      <c r="DS39" t="s">
        <v>249</v>
      </c>
      <c r="DT39" t="s">
        <v>250</v>
      </c>
    </row>
    <row r="40" spans="1:124" x14ac:dyDescent="0.45">
      <c r="A40" t="s">
        <v>1460</v>
      </c>
      <c r="B40" t="s">
        <v>1461</v>
      </c>
      <c r="C40" t="s">
        <v>17</v>
      </c>
      <c r="D40" t="s">
        <v>167</v>
      </c>
      <c r="E40" t="s">
        <v>168</v>
      </c>
      <c r="I40" t="s">
        <v>1462</v>
      </c>
      <c r="J40">
        <v>0.63359735427301556</v>
      </c>
      <c r="K40">
        <v>2.7583803200000001</v>
      </c>
      <c r="L40">
        <v>0.5152458655864619</v>
      </c>
      <c r="M40">
        <v>13.87097985837932</v>
      </c>
      <c r="N40" t="s">
        <v>1463</v>
      </c>
      <c r="O40" t="s">
        <v>1464</v>
      </c>
      <c r="P40">
        <v>5.3221830572191742</v>
      </c>
      <c r="Q40">
        <v>2.609119057219174</v>
      </c>
      <c r="R40" t="s">
        <v>1465</v>
      </c>
      <c r="S40" t="s">
        <v>1466</v>
      </c>
      <c r="T40">
        <v>52.731428289103079</v>
      </c>
      <c r="U40">
        <v>0.4417875</v>
      </c>
      <c r="V40" t="s">
        <v>174</v>
      </c>
      <c r="W40" t="s">
        <v>1467</v>
      </c>
      <c r="X40" t="s">
        <v>176</v>
      </c>
      <c r="Y40" t="s">
        <v>176</v>
      </c>
      <c r="Z40" t="s">
        <v>176</v>
      </c>
      <c r="AA40" t="s">
        <v>1468</v>
      </c>
      <c r="AB40" t="s">
        <v>1469</v>
      </c>
      <c r="AC40" t="s">
        <v>1470</v>
      </c>
      <c r="AD40" t="s">
        <v>180</v>
      </c>
      <c r="AE40" t="s">
        <v>181</v>
      </c>
      <c r="AF40">
        <v>346.33873427999998</v>
      </c>
      <c r="AG40" t="s">
        <v>182</v>
      </c>
      <c r="AH40" t="s">
        <v>1471</v>
      </c>
      <c r="AI40" t="s">
        <v>1472</v>
      </c>
      <c r="AJ40" t="s">
        <v>1473</v>
      </c>
      <c r="AK40" t="s">
        <v>1474</v>
      </c>
      <c r="AL40">
        <v>33.93</v>
      </c>
      <c r="AM40" t="s">
        <v>947</v>
      </c>
      <c r="AN40" t="s">
        <v>1475</v>
      </c>
      <c r="AO40" t="s">
        <v>1476</v>
      </c>
      <c r="AP40" t="s">
        <v>315</v>
      </c>
      <c r="AQ40" t="s">
        <v>1477</v>
      </c>
      <c r="AR40" t="s">
        <v>1437</v>
      </c>
      <c r="AS40" t="s">
        <v>194</v>
      </c>
      <c r="AT40" t="s">
        <v>365</v>
      </c>
      <c r="AU40" t="s">
        <v>1478</v>
      </c>
      <c r="AV40" t="s">
        <v>1479</v>
      </c>
      <c r="AW40" t="s">
        <v>1480</v>
      </c>
      <c r="AX40" t="s">
        <v>1481</v>
      </c>
      <c r="AY40" t="s">
        <v>1482</v>
      </c>
      <c r="AZ40" t="s">
        <v>1042</v>
      </c>
      <c r="BA40" t="s">
        <v>1483</v>
      </c>
      <c r="BB40" t="s">
        <v>1484</v>
      </c>
      <c r="BC40" t="s">
        <v>1485</v>
      </c>
      <c r="BD40" t="s">
        <v>17</v>
      </c>
      <c r="BE40" t="s">
        <v>1486</v>
      </c>
      <c r="BF40" t="s">
        <v>1001</v>
      </c>
      <c r="BG40" t="s">
        <v>1487</v>
      </c>
      <c r="BH40" t="s">
        <v>752</v>
      </c>
      <c r="BI40" t="s">
        <v>1247</v>
      </c>
      <c r="BJ40" t="s">
        <v>1291</v>
      </c>
      <c r="BK40" t="s">
        <v>17</v>
      </c>
      <c r="BL40" t="s">
        <v>1292</v>
      </c>
      <c r="BM40" t="s">
        <v>165</v>
      </c>
      <c r="BN40" t="s">
        <v>212</v>
      </c>
      <c r="BO40" t="s">
        <v>284</v>
      </c>
      <c r="BP40" t="s">
        <v>283</v>
      </c>
      <c r="BQ40" t="s">
        <v>1488</v>
      </c>
      <c r="BR40" t="s">
        <v>1489</v>
      </c>
      <c r="BS40" t="s">
        <v>1490</v>
      </c>
      <c r="BT40" t="s">
        <v>165</v>
      </c>
      <c r="BU40" t="s">
        <v>217</v>
      </c>
      <c r="BV40" t="s">
        <v>212</v>
      </c>
      <c r="BW40" t="s">
        <v>218</v>
      </c>
      <c r="BX40" t="s">
        <v>219</v>
      </c>
      <c r="BY40" t="s">
        <v>176</v>
      </c>
      <c r="BZ40" t="s">
        <v>220</v>
      </c>
      <c r="CA40" t="s">
        <v>176</v>
      </c>
      <c r="CB40" t="s">
        <v>176</v>
      </c>
      <c r="CC40" t="s">
        <v>221</v>
      </c>
      <c r="CD40" t="s">
        <v>222</v>
      </c>
      <c r="CE40" t="s">
        <v>223</v>
      </c>
      <c r="CF40" t="s">
        <v>224</v>
      </c>
      <c r="CG40" t="s">
        <v>225</v>
      </c>
      <c r="CH40" t="s">
        <v>226</v>
      </c>
      <c r="CI40" t="s">
        <v>182</v>
      </c>
      <c r="CJ40" t="s">
        <v>218</v>
      </c>
      <c r="CK40" t="s">
        <v>227</v>
      </c>
      <c r="CL40" t="s">
        <v>227</v>
      </c>
      <c r="CM40" t="s">
        <v>227</v>
      </c>
      <c r="CN40" t="s">
        <v>176</v>
      </c>
      <c r="CO40" t="s">
        <v>228</v>
      </c>
      <c r="CP40" t="s">
        <v>176</v>
      </c>
      <c r="CQ40" t="s">
        <v>176</v>
      </c>
      <c r="CR40" t="s">
        <v>176</v>
      </c>
      <c r="CS40" t="s">
        <v>176</v>
      </c>
      <c r="CT40" t="s">
        <v>1491</v>
      </c>
      <c r="CU40" t="s">
        <v>1492</v>
      </c>
      <c r="CV40" t="s">
        <v>1493</v>
      </c>
      <c r="CW40" t="s">
        <v>1494</v>
      </c>
      <c r="CX40" t="s">
        <v>1495</v>
      </c>
      <c r="CY40" t="s">
        <v>1496</v>
      </c>
      <c r="CZ40" t="s">
        <v>1497</v>
      </c>
      <c r="DA40" t="s">
        <v>1498</v>
      </c>
      <c r="DB40" t="s">
        <v>1468</v>
      </c>
      <c r="DC40" t="s">
        <v>807</v>
      </c>
      <c r="DD40" t="s">
        <v>238</v>
      </c>
      <c r="DE40" t="s">
        <v>239</v>
      </c>
      <c r="DF40" t="s">
        <v>182</v>
      </c>
      <c r="DG40" t="s">
        <v>240</v>
      </c>
      <c r="DH40" t="s">
        <v>241</v>
      </c>
      <c r="DI40" t="s">
        <v>182</v>
      </c>
      <c r="DJ40" t="s">
        <v>242</v>
      </c>
      <c r="DK40" t="s">
        <v>243</v>
      </c>
      <c r="DL40" t="s">
        <v>244</v>
      </c>
      <c r="DM40" t="s">
        <v>176</v>
      </c>
      <c r="DN40" t="s">
        <v>1467</v>
      </c>
      <c r="DO40" t="s">
        <v>245</v>
      </c>
      <c r="DP40" t="s">
        <v>246</v>
      </c>
      <c r="DQ40" t="s">
        <v>247</v>
      </c>
      <c r="DR40" t="s">
        <v>248</v>
      </c>
      <c r="DS40" t="s">
        <v>249</v>
      </c>
      <c r="DT40" t="s">
        <v>250</v>
      </c>
    </row>
    <row r="42" spans="1:124" x14ac:dyDescent="0.45">
      <c r="A42" t="s">
        <v>1499</v>
      </c>
      <c r="B42" t="s">
        <v>1500</v>
      </c>
      <c r="C42" t="s">
        <v>17</v>
      </c>
      <c r="D42" t="s">
        <v>167</v>
      </c>
      <c r="E42" t="s">
        <v>168</v>
      </c>
      <c r="I42" t="s">
        <v>1501</v>
      </c>
      <c r="J42">
        <v>0.60056427584768113</v>
      </c>
      <c r="K42">
        <v>2.70457328</v>
      </c>
      <c r="L42">
        <v>0.49143797071514178</v>
      </c>
      <c r="M42">
        <v>10.77516009747213</v>
      </c>
      <c r="N42" t="s">
        <v>1502</v>
      </c>
      <c r="O42" t="s">
        <v>1503</v>
      </c>
      <c r="P42">
        <v>4.7561967531330742</v>
      </c>
      <c r="Q42">
        <v>2.1317137531330741</v>
      </c>
      <c r="R42" t="s">
        <v>1504</v>
      </c>
      <c r="S42" t="s">
        <v>1505</v>
      </c>
      <c r="T42">
        <v>47.128386376665418</v>
      </c>
      <c r="U42">
        <v>0.4417875</v>
      </c>
      <c r="V42" t="s">
        <v>174</v>
      </c>
      <c r="W42" t="s">
        <v>1506</v>
      </c>
      <c r="X42" t="s">
        <v>176</v>
      </c>
      <c r="Y42" t="s">
        <v>176</v>
      </c>
      <c r="Z42" t="s">
        <v>176</v>
      </c>
      <c r="AA42" t="s">
        <v>1507</v>
      </c>
      <c r="AB42" t="s">
        <v>1508</v>
      </c>
      <c r="AC42" t="s">
        <v>1509</v>
      </c>
      <c r="AD42" t="s">
        <v>180</v>
      </c>
      <c r="AE42" t="s">
        <v>181</v>
      </c>
      <c r="AF42">
        <v>365.41887858000001</v>
      </c>
      <c r="AG42" t="s">
        <v>182</v>
      </c>
      <c r="AH42" t="s">
        <v>1510</v>
      </c>
      <c r="AI42" t="s">
        <v>1511</v>
      </c>
      <c r="AJ42" t="s">
        <v>1473</v>
      </c>
      <c r="AK42" t="s">
        <v>1512</v>
      </c>
      <c r="AL42">
        <v>31.93</v>
      </c>
      <c r="AM42" t="s">
        <v>1318</v>
      </c>
      <c r="AN42" t="s">
        <v>1513</v>
      </c>
      <c r="AO42" t="s">
        <v>1514</v>
      </c>
      <c r="AP42" t="s">
        <v>486</v>
      </c>
      <c r="AQ42" t="s">
        <v>1515</v>
      </c>
      <c r="AR42" t="s">
        <v>1516</v>
      </c>
      <c r="AS42" t="s">
        <v>1517</v>
      </c>
      <c r="AT42" t="s">
        <v>223</v>
      </c>
      <c r="AU42" t="s">
        <v>410</v>
      </c>
      <c r="AV42" t="s">
        <v>1518</v>
      </c>
      <c r="AW42" t="s">
        <v>1519</v>
      </c>
      <c r="AX42" t="s">
        <v>1520</v>
      </c>
      <c r="AY42" t="s">
        <v>1521</v>
      </c>
      <c r="AZ42" t="s">
        <v>1042</v>
      </c>
      <c r="BA42" t="s">
        <v>1522</v>
      </c>
      <c r="BB42" t="s">
        <v>1523</v>
      </c>
      <c r="BC42" t="s">
        <v>1524</v>
      </c>
      <c r="BD42" t="s">
        <v>17</v>
      </c>
      <c r="BE42" t="s">
        <v>1486</v>
      </c>
      <c r="BF42" t="s">
        <v>1046</v>
      </c>
      <c r="BG42" t="s">
        <v>1525</v>
      </c>
      <c r="BH42" t="s">
        <v>724</v>
      </c>
      <c r="BI42" t="s">
        <v>1526</v>
      </c>
      <c r="BJ42" t="s">
        <v>1291</v>
      </c>
      <c r="BK42" t="s">
        <v>17</v>
      </c>
      <c r="BL42" t="s">
        <v>1292</v>
      </c>
      <c r="BM42" t="s">
        <v>165</v>
      </c>
      <c r="BN42" t="s">
        <v>331</v>
      </c>
      <c r="BO42" t="s">
        <v>211</v>
      </c>
      <c r="BP42" t="s">
        <v>213</v>
      </c>
      <c r="BQ42" t="s">
        <v>1527</v>
      </c>
      <c r="BR42" t="s">
        <v>1528</v>
      </c>
      <c r="BS42" t="s">
        <v>1529</v>
      </c>
      <c r="BT42" t="s">
        <v>165</v>
      </c>
      <c r="BU42" t="s">
        <v>217</v>
      </c>
      <c r="BV42" t="s">
        <v>212</v>
      </c>
      <c r="BW42" t="s">
        <v>218</v>
      </c>
      <c r="BX42" t="s">
        <v>219</v>
      </c>
      <c r="BY42" t="s">
        <v>176</v>
      </c>
      <c r="BZ42" t="s">
        <v>220</v>
      </c>
      <c r="CA42" t="s">
        <v>176</v>
      </c>
      <c r="CB42" t="s">
        <v>176</v>
      </c>
      <c r="CC42" t="s">
        <v>221</v>
      </c>
      <c r="CD42" t="s">
        <v>222</v>
      </c>
      <c r="CE42" t="s">
        <v>223</v>
      </c>
      <c r="CF42" t="s">
        <v>224</v>
      </c>
      <c r="CG42" t="s">
        <v>225</v>
      </c>
      <c r="CH42" t="s">
        <v>226</v>
      </c>
      <c r="CI42" t="s">
        <v>182</v>
      </c>
      <c r="CJ42" t="s">
        <v>218</v>
      </c>
      <c r="CK42" t="s">
        <v>227</v>
      </c>
      <c r="CL42" t="s">
        <v>227</v>
      </c>
      <c r="CM42" t="s">
        <v>227</v>
      </c>
      <c r="CN42" t="s">
        <v>176</v>
      </c>
      <c r="CO42" t="s">
        <v>228</v>
      </c>
      <c r="CP42" t="s">
        <v>176</v>
      </c>
      <c r="CQ42" t="s">
        <v>176</v>
      </c>
      <c r="CR42" t="s">
        <v>176</v>
      </c>
      <c r="CS42" t="s">
        <v>176</v>
      </c>
      <c r="CT42" t="s">
        <v>1530</v>
      </c>
      <c r="CU42" t="s">
        <v>1531</v>
      </c>
      <c r="CV42" t="s">
        <v>1532</v>
      </c>
      <c r="CW42" t="s">
        <v>1533</v>
      </c>
      <c r="CX42" t="s">
        <v>1534</v>
      </c>
      <c r="CY42" t="s">
        <v>1535</v>
      </c>
      <c r="CZ42" t="s">
        <v>1536</v>
      </c>
      <c r="DA42" t="s">
        <v>1537</v>
      </c>
      <c r="DB42" t="s">
        <v>1507</v>
      </c>
      <c r="DC42" t="s">
        <v>1538</v>
      </c>
      <c r="DD42" t="s">
        <v>238</v>
      </c>
      <c r="DE42" t="s">
        <v>239</v>
      </c>
      <c r="DF42" t="s">
        <v>182</v>
      </c>
      <c r="DG42" t="s">
        <v>240</v>
      </c>
      <c r="DH42" t="s">
        <v>241</v>
      </c>
      <c r="DI42" t="s">
        <v>182</v>
      </c>
      <c r="DJ42" t="s">
        <v>242</v>
      </c>
      <c r="DK42" t="s">
        <v>243</v>
      </c>
      <c r="DL42" t="s">
        <v>244</v>
      </c>
      <c r="DM42" t="s">
        <v>176</v>
      </c>
      <c r="DN42" t="s">
        <v>1506</v>
      </c>
      <c r="DO42" t="s">
        <v>245</v>
      </c>
      <c r="DP42" t="s">
        <v>246</v>
      </c>
      <c r="DQ42" t="s">
        <v>247</v>
      </c>
      <c r="DR42" t="s">
        <v>248</v>
      </c>
      <c r="DS42" t="s">
        <v>249</v>
      </c>
      <c r="DT42" t="s">
        <v>250</v>
      </c>
    </row>
    <row r="43" spans="1:124" x14ac:dyDescent="0.45">
      <c r="A43" t="s">
        <v>1539</v>
      </c>
      <c r="B43" t="s">
        <v>1540</v>
      </c>
      <c r="C43" t="s">
        <v>17</v>
      </c>
      <c r="D43" t="s">
        <v>167</v>
      </c>
      <c r="E43" t="s">
        <v>168</v>
      </c>
      <c r="I43" t="s">
        <v>1541</v>
      </c>
      <c r="J43">
        <v>0.83205512521108127</v>
      </c>
      <c r="K43">
        <v>2.7501739199999999</v>
      </c>
      <c r="L43">
        <v>0.63879117624177861</v>
      </c>
      <c r="M43">
        <v>11.795682514053651</v>
      </c>
      <c r="N43" t="s">
        <v>1542</v>
      </c>
      <c r="O43" t="s">
        <v>1543</v>
      </c>
      <c r="P43">
        <v>4.5139512266519732</v>
      </c>
      <c r="Q43">
        <v>1.7969672266519729</v>
      </c>
      <c r="R43" t="s">
        <v>1544</v>
      </c>
      <c r="S43" t="s">
        <v>1545</v>
      </c>
      <c r="T43">
        <v>44.723582945130019</v>
      </c>
      <c r="U43">
        <v>0.4417875</v>
      </c>
      <c r="V43" t="s">
        <v>174</v>
      </c>
      <c r="W43" t="s">
        <v>1546</v>
      </c>
      <c r="X43" t="s">
        <v>176</v>
      </c>
      <c r="Y43" t="s">
        <v>176</v>
      </c>
      <c r="Z43" t="s">
        <v>176</v>
      </c>
      <c r="AA43" t="s">
        <v>1547</v>
      </c>
      <c r="AB43" t="s">
        <v>1548</v>
      </c>
      <c r="AC43" t="s">
        <v>1549</v>
      </c>
      <c r="AD43" t="s">
        <v>180</v>
      </c>
      <c r="AE43" t="s">
        <v>181</v>
      </c>
      <c r="AF43">
        <v>337.68314412000001</v>
      </c>
      <c r="AG43" t="s">
        <v>182</v>
      </c>
      <c r="AH43" t="s">
        <v>1550</v>
      </c>
      <c r="AI43" t="s">
        <v>1551</v>
      </c>
      <c r="AJ43" t="s">
        <v>1552</v>
      </c>
      <c r="AK43" t="s">
        <v>1553</v>
      </c>
      <c r="AL43">
        <v>31.01</v>
      </c>
      <c r="AM43" t="s">
        <v>947</v>
      </c>
      <c r="AN43" t="s">
        <v>1276</v>
      </c>
      <c r="AO43" t="s">
        <v>1554</v>
      </c>
      <c r="AP43" t="s">
        <v>1555</v>
      </c>
      <c r="AQ43" t="s">
        <v>1556</v>
      </c>
      <c r="AR43" t="s">
        <v>1557</v>
      </c>
      <c r="AS43" t="s">
        <v>1036</v>
      </c>
      <c r="AT43" t="s">
        <v>223</v>
      </c>
      <c r="AU43" t="s">
        <v>366</v>
      </c>
      <c r="AV43" t="s">
        <v>1558</v>
      </c>
      <c r="AW43" t="s">
        <v>1559</v>
      </c>
      <c r="AX43" t="s">
        <v>1560</v>
      </c>
      <c r="AY43" t="s">
        <v>1561</v>
      </c>
      <c r="AZ43" t="s">
        <v>1042</v>
      </c>
      <c r="BA43" t="s">
        <v>1562</v>
      </c>
      <c r="BB43" t="s">
        <v>1563</v>
      </c>
      <c r="BC43" t="s">
        <v>1564</v>
      </c>
      <c r="BD43" t="s">
        <v>17</v>
      </c>
      <c r="BE43" t="s">
        <v>1405</v>
      </c>
      <c r="BF43" t="s">
        <v>1565</v>
      </c>
      <c r="BG43" t="s">
        <v>1566</v>
      </c>
      <c r="BH43" t="s">
        <v>752</v>
      </c>
      <c r="BI43" t="s">
        <v>1247</v>
      </c>
      <c r="BJ43" t="s">
        <v>1291</v>
      </c>
      <c r="BK43" t="s">
        <v>17</v>
      </c>
      <c r="BL43" t="s">
        <v>1292</v>
      </c>
      <c r="BM43" t="s">
        <v>165</v>
      </c>
      <c r="BN43" t="s">
        <v>213</v>
      </c>
      <c r="BO43" t="s">
        <v>212</v>
      </c>
      <c r="BP43" t="s">
        <v>1567</v>
      </c>
      <c r="BQ43" t="s">
        <v>1568</v>
      </c>
      <c r="BR43" t="s">
        <v>1569</v>
      </c>
      <c r="BS43" t="s">
        <v>1570</v>
      </c>
      <c r="BT43" t="s">
        <v>165</v>
      </c>
      <c r="BU43" t="s">
        <v>217</v>
      </c>
      <c r="BV43" t="s">
        <v>212</v>
      </c>
      <c r="BW43" t="s">
        <v>218</v>
      </c>
      <c r="BX43" t="s">
        <v>219</v>
      </c>
      <c r="BY43" t="s">
        <v>176</v>
      </c>
      <c r="BZ43" t="s">
        <v>220</v>
      </c>
      <c r="CA43" t="s">
        <v>176</v>
      </c>
      <c r="CB43" t="s">
        <v>176</v>
      </c>
      <c r="CC43" t="s">
        <v>221</v>
      </c>
      <c r="CD43" t="s">
        <v>222</v>
      </c>
      <c r="CE43" t="s">
        <v>223</v>
      </c>
      <c r="CF43" t="s">
        <v>224</v>
      </c>
      <c r="CG43" t="s">
        <v>225</v>
      </c>
      <c r="CH43" t="s">
        <v>226</v>
      </c>
      <c r="CI43" t="s">
        <v>182</v>
      </c>
      <c r="CJ43" t="s">
        <v>218</v>
      </c>
      <c r="CK43" t="s">
        <v>227</v>
      </c>
      <c r="CL43" t="s">
        <v>227</v>
      </c>
      <c r="CM43" t="s">
        <v>227</v>
      </c>
      <c r="CN43" t="s">
        <v>176</v>
      </c>
      <c r="CO43" t="s">
        <v>228</v>
      </c>
      <c r="CP43" t="s">
        <v>176</v>
      </c>
      <c r="CQ43" t="s">
        <v>176</v>
      </c>
      <c r="CR43" t="s">
        <v>176</v>
      </c>
      <c r="CS43" t="s">
        <v>176</v>
      </c>
      <c r="CT43" t="s">
        <v>1571</v>
      </c>
      <c r="CU43" t="s">
        <v>1572</v>
      </c>
      <c r="CV43" t="s">
        <v>1573</v>
      </c>
      <c r="CW43" t="s">
        <v>1574</v>
      </c>
      <c r="CX43" t="s">
        <v>1575</v>
      </c>
      <c r="CY43" t="s">
        <v>1576</v>
      </c>
      <c r="CZ43" t="s">
        <v>1577</v>
      </c>
      <c r="DA43" t="s">
        <v>1578</v>
      </c>
      <c r="DB43" t="s">
        <v>1547</v>
      </c>
      <c r="DC43" t="s">
        <v>1338</v>
      </c>
      <c r="DD43" t="s">
        <v>238</v>
      </c>
      <c r="DE43" t="s">
        <v>239</v>
      </c>
      <c r="DF43" t="s">
        <v>182</v>
      </c>
      <c r="DG43" t="s">
        <v>240</v>
      </c>
      <c r="DH43" t="s">
        <v>241</v>
      </c>
      <c r="DI43" t="s">
        <v>182</v>
      </c>
      <c r="DJ43" t="s">
        <v>242</v>
      </c>
      <c r="DK43" t="s">
        <v>243</v>
      </c>
      <c r="DL43" t="s">
        <v>244</v>
      </c>
      <c r="DM43" t="s">
        <v>176</v>
      </c>
      <c r="DN43" t="s">
        <v>1546</v>
      </c>
      <c r="DO43" t="s">
        <v>245</v>
      </c>
      <c r="DP43" t="s">
        <v>246</v>
      </c>
      <c r="DQ43" t="s">
        <v>247</v>
      </c>
      <c r="DR43" t="s">
        <v>248</v>
      </c>
      <c r="DS43" t="s">
        <v>249</v>
      </c>
      <c r="DT43" t="s">
        <v>250</v>
      </c>
    </row>
    <row r="44" spans="1:124" x14ac:dyDescent="0.45">
      <c r="A44" t="s">
        <v>1579</v>
      </c>
      <c r="B44" t="s">
        <v>1580</v>
      </c>
      <c r="C44" t="s">
        <v>17</v>
      </c>
      <c r="D44" t="s">
        <v>167</v>
      </c>
      <c r="E44" t="s">
        <v>168</v>
      </c>
      <c r="I44" t="s">
        <v>1581</v>
      </c>
      <c r="J44">
        <v>0.69371520236708728</v>
      </c>
      <c r="K44">
        <v>2.6891839200000001</v>
      </c>
      <c r="L44">
        <v>0.5514582905918185</v>
      </c>
      <c r="M44">
        <v>10.658070571235481</v>
      </c>
      <c r="N44" t="s">
        <v>1582</v>
      </c>
      <c r="O44" t="s">
        <v>1583</v>
      </c>
      <c r="P44">
        <v>4.4449293145151856</v>
      </c>
      <c r="Q44">
        <v>1.8830333145151861</v>
      </c>
      <c r="R44" t="s">
        <v>1584</v>
      </c>
      <c r="S44" t="s">
        <v>1585</v>
      </c>
      <c r="T44">
        <v>44.039723714606019</v>
      </c>
      <c r="U44">
        <v>0.4417875</v>
      </c>
      <c r="V44" t="s">
        <v>174</v>
      </c>
      <c r="W44" t="s">
        <v>1586</v>
      </c>
      <c r="X44" t="s">
        <v>176</v>
      </c>
      <c r="Y44" t="s">
        <v>176</v>
      </c>
      <c r="Z44" t="s">
        <v>176</v>
      </c>
      <c r="AA44" t="s">
        <v>1587</v>
      </c>
      <c r="AB44" t="s">
        <v>1588</v>
      </c>
      <c r="AC44" t="s">
        <v>1589</v>
      </c>
      <c r="AD44" t="s">
        <v>180</v>
      </c>
      <c r="AE44" t="s">
        <v>181</v>
      </c>
      <c r="AF44">
        <v>318.03156000000001</v>
      </c>
      <c r="AG44" t="s">
        <v>182</v>
      </c>
      <c r="AH44" t="s">
        <v>1590</v>
      </c>
      <c r="AI44" t="s">
        <v>1591</v>
      </c>
      <c r="AJ44" t="s">
        <v>1592</v>
      </c>
      <c r="AK44" t="s">
        <v>1593</v>
      </c>
      <c r="AL44">
        <v>30.74</v>
      </c>
      <c r="AM44" t="s">
        <v>947</v>
      </c>
      <c r="AN44" t="s">
        <v>1594</v>
      </c>
      <c r="AO44" t="s">
        <v>1595</v>
      </c>
      <c r="AP44" t="s">
        <v>1596</v>
      </c>
      <c r="AQ44" t="s">
        <v>1597</v>
      </c>
      <c r="AR44" t="s">
        <v>1598</v>
      </c>
      <c r="AS44" t="s">
        <v>742</v>
      </c>
      <c r="AT44" t="s">
        <v>785</v>
      </c>
      <c r="AU44" t="s">
        <v>1599</v>
      </c>
      <c r="AV44" t="s">
        <v>1600</v>
      </c>
      <c r="AW44" t="s">
        <v>1601</v>
      </c>
      <c r="AX44" t="s">
        <v>1602</v>
      </c>
      <c r="AY44" t="s">
        <v>1603</v>
      </c>
      <c r="AZ44" t="s">
        <v>1042</v>
      </c>
      <c r="BA44" t="s">
        <v>1604</v>
      </c>
      <c r="BB44" t="s">
        <v>1316</v>
      </c>
      <c r="BC44" t="s">
        <v>1605</v>
      </c>
      <c r="BD44" t="s">
        <v>17</v>
      </c>
      <c r="BE44" t="s">
        <v>1606</v>
      </c>
      <c r="BF44" t="s">
        <v>544</v>
      </c>
      <c r="BG44" t="s">
        <v>1607</v>
      </c>
      <c r="BH44" t="s">
        <v>752</v>
      </c>
      <c r="BI44" t="s">
        <v>1247</v>
      </c>
      <c r="BJ44" t="s">
        <v>1291</v>
      </c>
      <c r="BK44" t="s">
        <v>17</v>
      </c>
      <c r="BL44" t="s">
        <v>1292</v>
      </c>
      <c r="BM44" t="s">
        <v>165</v>
      </c>
      <c r="BN44" t="s">
        <v>284</v>
      </c>
      <c r="BO44" t="s">
        <v>284</v>
      </c>
      <c r="BP44" t="s">
        <v>213</v>
      </c>
      <c r="BQ44" t="s">
        <v>1608</v>
      </c>
      <c r="BR44" t="s">
        <v>1609</v>
      </c>
      <c r="BS44" t="s">
        <v>1610</v>
      </c>
      <c r="BT44" t="s">
        <v>165</v>
      </c>
      <c r="BU44" t="s">
        <v>217</v>
      </c>
      <c r="BV44" t="s">
        <v>212</v>
      </c>
      <c r="BW44" t="s">
        <v>218</v>
      </c>
      <c r="BX44" t="s">
        <v>219</v>
      </c>
      <c r="BY44" t="s">
        <v>176</v>
      </c>
      <c r="BZ44" t="s">
        <v>220</v>
      </c>
      <c r="CA44" t="s">
        <v>176</v>
      </c>
      <c r="CB44" t="s">
        <v>176</v>
      </c>
      <c r="CC44" t="s">
        <v>221</v>
      </c>
      <c r="CD44" t="s">
        <v>222</v>
      </c>
      <c r="CE44" t="s">
        <v>223</v>
      </c>
      <c r="CF44" t="s">
        <v>224</v>
      </c>
      <c r="CG44" t="s">
        <v>225</v>
      </c>
      <c r="CH44" t="s">
        <v>226</v>
      </c>
      <c r="CI44" t="s">
        <v>182</v>
      </c>
      <c r="CJ44" t="s">
        <v>218</v>
      </c>
      <c r="CK44" t="s">
        <v>227</v>
      </c>
      <c r="CL44" t="s">
        <v>227</v>
      </c>
      <c r="CM44" t="s">
        <v>227</v>
      </c>
      <c r="CN44" t="s">
        <v>176</v>
      </c>
      <c r="CO44" t="s">
        <v>228</v>
      </c>
      <c r="CP44" t="s">
        <v>176</v>
      </c>
      <c r="CQ44" t="s">
        <v>176</v>
      </c>
      <c r="CR44" t="s">
        <v>176</v>
      </c>
      <c r="CS44" t="s">
        <v>176</v>
      </c>
      <c r="CT44" t="s">
        <v>1611</v>
      </c>
      <c r="CU44" t="s">
        <v>1612</v>
      </c>
      <c r="CV44" t="s">
        <v>1613</v>
      </c>
      <c r="CW44" t="s">
        <v>1614</v>
      </c>
      <c r="CX44" t="s">
        <v>1615</v>
      </c>
      <c r="CY44" t="s">
        <v>1616</v>
      </c>
      <c r="CZ44" t="s">
        <v>1617</v>
      </c>
      <c r="DA44" t="s">
        <v>1618</v>
      </c>
      <c r="DB44" t="s">
        <v>1587</v>
      </c>
      <c r="DC44" t="s">
        <v>1259</v>
      </c>
      <c r="DD44" t="s">
        <v>238</v>
      </c>
      <c r="DE44" t="s">
        <v>239</v>
      </c>
      <c r="DF44" t="s">
        <v>182</v>
      </c>
      <c r="DG44" t="s">
        <v>240</v>
      </c>
      <c r="DH44" t="s">
        <v>241</v>
      </c>
      <c r="DI44" t="s">
        <v>182</v>
      </c>
      <c r="DJ44" t="s">
        <v>242</v>
      </c>
      <c r="DK44" t="s">
        <v>243</v>
      </c>
      <c r="DL44" t="s">
        <v>244</v>
      </c>
      <c r="DM44" t="s">
        <v>176</v>
      </c>
      <c r="DN44" t="s">
        <v>1586</v>
      </c>
      <c r="DO44" t="s">
        <v>245</v>
      </c>
      <c r="DP44" t="s">
        <v>246</v>
      </c>
      <c r="DQ44" t="s">
        <v>247</v>
      </c>
      <c r="DR44" t="s">
        <v>248</v>
      </c>
      <c r="DS44" t="s">
        <v>249</v>
      </c>
      <c r="DT44" t="s">
        <v>250</v>
      </c>
    </row>
    <row r="45" spans="1:124" x14ac:dyDescent="0.45">
      <c r="A45" t="s">
        <v>1619</v>
      </c>
      <c r="B45" t="s">
        <v>1620</v>
      </c>
      <c r="C45" t="s">
        <v>17</v>
      </c>
      <c r="D45" t="s">
        <v>167</v>
      </c>
      <c r="E45" t="s">
        <v>168</v>
      </c>
      <c r="I45" t="s">
        <v>1621</v>
      </c>
      <c r="J45">
        <v>0.67074636113426345</v>
      </c>
      <c r="K45">
        <v>2.6553091200000001</v>
      </c>
      <c r="L45">
        <v>0.53548082406588327</v>
      </c>
      <c r="M45">
        <v>13.90160369883629</v>
      </c>
      <c r="N45" t="s">
        <v>1622</v>
      </c>
      <c r="O45" t="s">
        <v>1623</v>
      </c>
      <c r="P45">
        <v>5.3668991051803552</v>
      </c>
      <c r="Q45">
        <v>2.5133391051803549</v>
      </c>
      <c r="R45" t="s">
        <v>1624</v>
      </c>
      <c r="S45" t="s">
        <v>1625</v>
      </c>
      <c r="T45">
        <v>53.179737467106172</v>
      </c>
      <c r="U45">
        <v>0.4417875</v>
      </c>
      <c r="V45" t="s">
        <v>174</v>
      </c>
      <c r="W45" t="s">
        <v>1626</v>
      </c>
      <c r="X45" t="s">
        <v>176</v>
      </c>
      <c r="Y45" t="s">
        <v>176</v>
      </c>
      <c r="Z45" t="s">
        <v>176</v>
      </c>
      <c r="AA45" t="s">
        <v>1627</v>
      </c>
      <c r="AB45" t="s">
        <v>1628</v>
      </c>
      <c r="AC45" t="s">
        <v>1629</v>
      </c>
      <c r="AD45" t="s">
        <v>180</v>
      </c>
      <c r="AE45" t="s">
        <v>181</v>
      </c>
      <c r="AF45">
        <v>342.34180259999999</v>
      </c>
      <c r="AG45" t="s">
        <v>182</v>
      </c>
      <c r="AH45" t="s">
        <v>1630</v>
      </c>
      <c r="AI45" t="s">
        <v>1631</v>
      </c>
      <c r="AJ45" t="s">
        <v>1432</v>
      </c>
      <c r="AK45" t="s">
        <v>1632</v>
      </c>
      <c r="AL45">
        <v>34.08</v>
      </c>
      <c r="AM45" t="s">
        <v>1318</v>
      </c>
      <c r="AN45" t="s">
        <v>1633</v>
      </c>
      <c r="AO45" t="s">
        <v>1634</v>
      </c>
      <c r="AP45" t="s">
        <v>1635</v>
      </c>
      <c r="AQ45" t="s">
        <v>1636</v>
      </c>
      <c r="AR45" t="s">
        <v>1637</v>
      </c>
      <c r="AS45" t="s">
        <v>1638</v>
      </c>
      <c r="AT45" t="s">
        <v>785</v>
      </c>
      <c r="AU45" t="s">
        <v>1639</v>
      </c>
      <c r="AV45" t="s">
        <v>1640</v>
      </c>
      <c r="AW45" t="s">
        <v>1641</v>
      </c>
      <c r="AX45" t="s">
        <v>1642</v>
      </c>
      <c r="AY45" t="s">
        <v>1643</v>
      </c>
      <c r="AZ45" t="s">
        <v>1042</v>
      </c>
      <c r="BA45" t="s">
        <v>1644</v>
      </c>
      <c r="BB45" t="s">
        <v>658</v>
      </c>
      <c r="BC45" t="s">
        <v>1645</v>
      </c>
      <c r="BD45" t="s">
        <v>17</v>
      </c>
      <c r="BE45" t="s">
        <v>455</v>
      </c>
      <c r="BF45" t="s">
        <v>544</v>
      </c>
      <c r="BG45" t="s">
        <v>1646</v>
      </c>
      <c r="BH45" t="s">
        <v>808</v>
      </c>
      <c r="BI45" t="s">
        <v>1647</v>
      </c>
      <c r="BJ45" t="s">
        <v>1291</v>
      </c>
      <c r="BK45" t="s">
        <v>17</v>
      </c>
      <c r="BL45" t="s">
        <v>1292</v>
      </c>
      <c r="BM45" t="s">
        <v>165</v>
      </c>
      <c r="BN45" t="s">
        <v>331</v>
      </c>
      <c r="BO45" t="s">
        <v>330</v>
      </c>
      <c r="BP45" t="s">
        <v>213</v>
      </c>
      <c r="BQ45" t="s">
        <v>1648</v>
      </c>
      <c r="BR45" t="s">
        <v>1649</v>
      </c>
      <c r="BS45" t="s">
        <v>1650</v>
      </c>
      <c r="BT45" t="s">
        <v>165</v>
      </c>
      <c r="BU45" t="s">
        <v>217</v>
      </c>
      <c r="BV45" t="s">
        <v>212</v>
      </c>
      <c r="BW45" t="s">
        <v>218</v>
      </c>
      <c r="BX45" t="s">
        <v>219</v>
      </c>
      <c r="BY45" t="s">
        <v>176</v>
      </c>
      <c r="BZ45" t="s">
        <v>220</v>
      </c>
      <c r="CA45" t="s">
        <v>176</v>
      </c>
      <c r="CB45" t="s">
        <v>176</v>
      </c>
      <c r="CC45" t="s">
        <v>221</v>
      </c>
      <c r="CD45" t="s">
        <v>222</v>
      </c>
      <c r="CE45" t="s">
        <v>223</v>
      </c>
      <c r="CF45" t="s">
        <v>224</v>
      </c>
      <c r="CG45" t="s">
        <v>225</v>
      </c>
      <c r="CH45" t="s">
        <v>226</v>
      </c>
      <c r="CI45" t="s">
        <v>182</v>
      </c>
      <c r="CJ45" t="s">
        <v>218</v>
      </c>
      <c r="CK45" t="s">
        <v>227</v>
      </c>
      <c r="CL45" t="s">
        <v>227</v>
      </c>
      <c r="CM45" t="s">
        <v>227</v>
      </c>
      <c r="CN45" t="s">
        <v>176</v>
      </c>
      <c r="CO45" t="s">
        <v>228</v>
      </c>
      <c r="CP45" t="s">
        <v>176</v>
      </c>
      <c r="CQ45" t="s">
        <v>176</v>
      </c>
      <c r="CR45" t="s">
        <v>176</v>
      </c>
      <c r="CS45" t="s">
        <v>176</v>
      </c>
      <c r="CT45" t="s">
        <v>1651</v>
      </c>
      <c r="CU45" t="s">
        <v>1652</v>
      </c>
      <c r="CV45" t="s">
        <v>1653</v>
      </c>
      <c r="CW45" t="s">
        <v>1654</v>
      </c>
      <c r="CX45" t="s">
        <v>1655</v>
      </c>
      <c r="CY45" t="s">
        <v>1656</v>
      </c>
      <c r="CZ45" t="s">
        <v>1657</v>
      </c>
      <c r="DA45" t="s">
        <v>1658</v>
      </c>
      <c r="DB45" t="s">
        <v>1627</v>
      </c>
      <c r="DC45" t="s">
        <v>297</v>
      </c>
      <c r="DD45" t="s">
        <v>238</v>
      </c>
      <c r="DE45" t="s">
        <v>239</v>
      </c>
      <c r="DF45" t="s">
        <v>182</v>
      </c>
      <c r="DG45" t="s">
        <v>240</v>
      </c>
      <c r="DH45" t="s">
        <v>241</v>
      </c>
      <c r="DI45" t="s">
        <v>182</v>
      </c>
      <c r="DJ45" t="s">
        <v>242</v>
      </c>
      <c r="DK45" t="s">
        <v>243</v>
      </c>
      <c r="DL45" t="s">
        <v>244</v>
      </c>
      <c r="DM45" t="s">
        <v>176</v>
      </c>
      <c r="DN45" t="s">
        <v>1626</v>
      </c>
      <c r="DO45" t="s">
        <v>245</v>
      </c>
      <c r="DP45" t="s">
        <v>246</v>
      </c>
      <c r="DQ45" t="s">
        <v>247</v>
      </c>
      <c r="DR45" t="s">
        <v>248</v>
      </c>
      <c r="DS45" t="s">
        <v>249</v>
      </c>
      <c r="DT45" t="s">
        <v>250</v>
      </c>
    </row>
    <row r="46" spans="1:124" x14ac:dyDescent="0.45">
      <c r="A46" t="s">
        <v>1659</v>
      </c>
      <c r="B46" t="s">
        <v>1660</v>
      </c>
      <c r="C46" t="s">
        <v>17</v>
      </c>
      <c r="D46" t="s">
        <v>167</v>
      </c>
      <c r="E46" t="s">
        <v>168</v>
      </c>
      <c r="I46" t="s">
        <v>1661</v>
      </c>
      <c r="J46">
        <v>1.100290552593153</v>
      </c>
      <c r="K46">
        <v>2.6891839200000001</v>
      </c>
      <c r="L46">
        <v>0.78081635930288917</v>
      </c>
      <c r="M46">
        <v>18.222978183922589</v>
      </c>
      <c r="N46" t="s">
        <v>1662</v>
      </c>
      <c r="O46" t="s">
        <v>1663</v>
      </c>
      <c r="P46">
        <v>5.2074343615645624</v>
      </c>
      <c r="Q46">
        <v>2.2605013615645619</v>
      </c>
      <c r="R46" t="s">
        <v>1664</v>
      </c>
      <c r="S46" t="s">
        <v>1665</v>
      </c>
      <c r="T46">
        <v>51.594514629590428</v>
      </c>
      <c r="U46">
        <v>0.4417875</v>
      </c>
      <c r="V46" t="s">
        <v>174</v>
      </c>
      <c r="W46" t="s">
        <v>1666</v>
      </c>
      <c r="X46" t="s">
        <v>176</v>
      </c>
      <c r="Y46" t="s">
        <v>176</v>
      </c>
      <c r="Z46" t="s">
        <v>176</v>
      </c>
      <c r="AA46" t="s">
        <v>1667</v>
      </c>
      <c r="AB46" t="s">
        <v>1668</v>
      </c>
      <c r="AC46" t="s">
        <v>1669</v>
      </c>
      <c r="AD46" t="s">
        <v>180</v>
      </c>
      <c r="AE46" t="s">
        <v>181</v>
      </c>
      <c r="AF46">
        <v>348.13454718000003</v>
      </c>
      <c r="AG46" t="s">
        <v>182</v>
      </c>
      <c r="AH46" t="s">
        <v>1670</v>
      </c>
      <c r="AI46" t="s">
        <v>1671</v>
      </c>
      <c r="AJ46" t="s">
        <v>1563</v>
      </c>
      <c r="AK46" t="s">
        <v>821</v>
      </c>
      <c r="AL46">
        <v>33.54</v>
      </c>
      <c r="AM46" t="s">
        <v>947</v>
      </c>
      <c r="AN46" t="s">
        <v>1594</v>
      </c>
      <c r="AO46" t="s">
        <v>1672</v>
      </c>
      <c r="AP46" t="s">
        <v>1673</v>
      </c>
      <c r="AQ46" t="s">
        <v>1674</v>
      </c>
      <c r="AR46" t="s">
        <v>1675</v>
      </c>
      <c r="AS46" t="s">
        <v>193</v>
      </c>
      <c r="AT46" t="s">
        <v>223</v>
      </c>
      <c r="AU46" t="s">
        <v>1079</v>
      </c>
      <c r="AV46" t="s">
        <v>1676</v>
      </c>
      <c r="AW46" t="s">
        <v>1677</v>
      </c>
      <c r="AX46" t="s">
        <v>274</v>
      </c>
      <c r="AY46" t="s">
        <v>1678</v>
      </c>
      <c r="AZ46" t="s">
        <v>1042</v>
      </c>
      <c r="BA46" t="s">
        <v>1679</v>
      </c>
      <c r="BB46" t="s">
        <v>1680</v>
      </c>
      <c r="BC46" t="s">
        <v>1681</v>
      </c>
      <c r="BD46" t="s">
        <v>17</v>
      </c>
      <c r="BE46" t="s">
        <v>1682</v>
      </c>
      <c r="BF46" t="s">
        <v>1683</v>
      </c>
      <c r="BG46" t="s">
        <v>1684</v>
      </c>
      <c r="BH46" t="s">
        <v>808</v>
      </c>
      <c r="BI46" t="s">
        <v>1685</v>
      </c>
      <c r="BJ46" t="s">
        <v>1686</v>
      </c>
      <c r="BK46" t="s">
        <v>17</v>
      </c>
      <c r="BL46" t="s">
        <v>1687</v>
      </c>
      <c r="BM46" t="s">
        <v>165</v>
      </c>
      <c r="BN46" t="s">
        <v>1688</v>
      </c>
      <c r="BO46" t="s">
        <v>284</v>
      </c>
      <c r="BP46" t="s">
        <v>1567</v>
      </c>
      <c r="BQ46" t="s">
        <v>1689</v>
      </c>
      <c r="BR46" t="s">
        <v>1690</v>
      </c>
      <c r="BS46" t="s">
        <v>1691</v>
      </c>
      <c r="BT46" t="s">
        <v>165</v>
      </c>
      <c r="BU46" t="s">
        <v>217</v>
      </c>
      <c r="BV46" t="s">
        <v>212</v>
      </c>
      <c r="BW46" t="s">
        <v>218</v>
      </c>
      <c r="BX46" t="s">
        <v>219</v>
      </c>
      <c r="BY46" t="s">
        <v>176</v>
      </c>
      <c r="BZ46" t="s">
        <v>220</v>
      </c>
      <c r="CA46" t="s">
        <v>176</v>
      </c>
      <c r="CB46" t="s">
        <v>176</v>
      </c>
      <c r="CC46" t="s">
        <v>221</v>
      </c>
      <c r="CD46" t="s">
        <v>222</v>
      </c>
      <c r="CE46" t="s">
        <v>223</v>
      </c>
      <c r="CF46" t="s">
        <v>224</v>
      </c>
      <c r="CG46" t="s">
        <v>225</v>
      </c>
      <c r="CH46" t="s">
        <v>226</v>
      </c>
      <c r="CI46" t="s">
        <v>182</v>
      </c>
      <c r="CJ46" t="s">
        <v>218</v>
      </c>
      <c r="CK46" t="s">
        <v>227</v>
      </c>
      <c r="CL46" t="s">
        <v>227</v>
      </c>
      <c r="CM46" t="s">
        <v>227</v>
      </c>
      <c r="CN46" t="s">
        <v>176</v>
      </c>
      <c r="CO46" t="s">
        <v>228</v>
      </c>
      <c r="CP46" t="s">
        <v>176</v>
      </c>
      <c r="CQ46" t="s">
        <v>176</v>
      </c>
      <c r="CR46" t="s">
        <v>176</v>
      </c>
      <c r="CS46" t="s">
        <v>176</v>
      </c>
      <c r="CT46" t="s">
        <v>1692</v>
      </c>
      <c r="CU46" t="s">
        <v>1693</v>
      </c>
      <c r="CV46" t="s">
        <v>1694</v>
      </c>
      <c r="CW46" t="s">
        <v>1695</v>
      </c>
      <c r="CX46" t="s">
        <v>1696</v>
      </c>
      <c r="CY46" t="s">
        <v>1697</v>
      </c>
      <c r="CZ46" t="s">
        <v>1698</v>
      </c>
      <c r="DA46" t="s">
        <v>1699</v>
      </c>
      <c r="DB46" t="s">
        <v>1667</v>
      </c>
      <c r="DC46" t="s">
        <v>807</v>
      </c>
      <c r="DD46" t="s">
        <v>238</v>
      </c>
      <c r="DE46" t="s">
        <v>239</v>
      </c>
      <c r="DF46" t="s">
        <v>182</v>
      </c>
      <c r="DG46" t="s">
        <v>240</v>
      </c>
      <c r="DH46" t="s">
        <v>241</v>
      </c>
      <c r="DI46" t="s">
        <v>182</v>
      </c>
      <c r="DJ46" t="s">
        <v>242</v>
      </c>
      <c r="DK46" t="s">
        <v>243</v>
      </c>
      <c r="DL46" t="s">
        <v>244</v>
      </c>
      <c r="DM46" t="s">
        <v>176</v>
      </c>
      <c r="DN46" t="s">
        <v>1666</v>
      </c>
      <c r="DO46" t="s">
        <v>245</v>
      </c>
      <c r="DP46" t="s">
        <v>246</v>
      </c>
      <c r="DQ46" t="s">
        <v>247</v>
      </c>
      <c r="DR46" t="s">
        <v>248</v>
      </c>
      <c r="DS46" t="s">
        <v>249</v>
      </c>
      <c r="DT46" t="s">
        <v>250</v>
      </c>
    </row>
    <row r="47" spans="1:124" x14ac:dyDescent="0.45">
      <c r="A47" t="s">
        <v>1700</v>
      </c>
      <c r="B47" t="s">
        <v>1701</v>
      </c>
      <c r="C47" t="s">
        <v>17</v>
      </c>
      <c r="D47" t="s">
        <v>167</v>
      </c>
      <c r="E47" t="s">
        <v>168</v>
      </c>
      <c r="I47" t="s">
        <v>1702</v>
      </c>
      <c r="J47">
        <v>0.6480309303685482</v>
      </c>
      <c r="K47">
        <v>2.6980104800000002</v>
      </c>
      <c r="L47">
        <v>0.52252618155909714</v>
      </c>
      <c r="M47">
        <v>14.110015264465749</v>
      </c>
      <c r="N47" t="s">
        <v>1703</v>
      </c>
      <c r="O47" t="s">
        <v>1704</v>
      </c>
      <c r="P47">
        <v>5.3818768751633153</v>
      </c>
      <c r="Q47">
        <v>2.6155118751633148</v>
      </c>
      <c r="R47" t="s">
        <v>1705</v>
      </c>
      <c r="S47" t="s">
        <v>1706</v>
      </c>
      <c r="T47">
        <v>53.322866096931683</v>
      </c>
      <c r="U47">
        <v>0.4417875</v>
      </c>
      <c r="V47" t="s">
        <v>174</v>
      </c>
      <c r="W47" t="s">
        <v>1707</v>
      </c>
      <c r="X47" t="s">
        <v>176</v>
      </c>
      <c r="Y47" t="s">
        <v>176</v>
      </c>
      <c r="Z47" t="s">
        <v>176</v>
      </c>
      <c r="AA47" t="s">
        <v>1708</v>
      </c>
      <c r="AB47" t="s">
        <v>1709</v>
      </c>
      <c r="AC47" t="s">
        <v>1710</v>
      </c>
      <c r="AD47" t="s">
        <v>180</v>
      </c>
      <c r="AE47" t="s">
        <v>181</v>
      </c>
      <c r="AF47">
        <v>308.63826168000003</v>
      </c>
      <c r="AG47" t="s">
        <v>182</v>
      </c>
      <c r="AH47" t="s">
        <v>1711</v>
      </c>
      <c r="AI47" t="s">
        <v>1712</v>
      </c>
      <c r="AJ47" t="s">
        <v>1552</v>
      </c>
      <c r="AK47" t="s">
        <v>1713</v>
      </c>
      <c r="AL47">
        <v>34.130000000000003</v>
      </c>
      <c r="AM47" t="s">
        <v>947</v>
      </c>
      <c r="AN47" t="s">
        <v>1714</v>
      </c>
      <c r="AO47" t="s">
        <v>1715</v>
      </c>
      <c r="AP47" t="s">
        <v>1716</v>
      </c>
      <c r="AQ47" t="s">
        <v>1717</v>
      </c>
      <c r="AR47" t="s">
        <v>1718</v>
      </c>
      <c r="AS47" t="s">
        <v>489</v>
      </c>
      <c r="AT47" t="s">
        <v>165</v>
      </c>
      <c r="AU47" t="s">
        <v>1719</v>
      </c>
      <c r="AV47" t="s">
        <v>1040</v>
      </c>
      <c r="AW47" t="s">
        <v>1720</v>
      </c>
      <c r="AX47" t="s">
        <v>1721</v>
      </c>
      <c r="AY47" t="s">
        <v>1722</v>
      </c>
      <c r="AZ47" t="s">
        <v>1042</v>
      </c>
      <c r="BA47" t="s">
        <v>1723</v>
      </c>
      <c r="BB47" t="s">
        <v>1724</v>
      </c>
      <c r="BC47" t="s">
        <v>1725</v>
      </c>
      <c r="BD47" t="s">
        <v>17</v>
      </c>
      <c r="BE47" t="s">
        <v>1726</v>
      </c>
      <c r="BF47" t="s">
        <v>1727</v>
      </c>
      <c r="BG47" t="s">
        <v>1646</v>
      </c>
      <c r="BH47" t="s">
        <v>849</v>
      </c>
      <c r="BI47" t="s">
        <v>1685</v>
      </c>
      <c r="BJ47" t="s">
        <v>1686</v>
      </c>
      <c r="BK47" t="s">
        <v>17</v>
      </c>
      <c r="BL47" t="s">
        <v>1687</v>
      </c>
      <c r="BM47" t="s">
        <v>165</v>
      </c>
      <c r="BN47" t="s">
        <v>284</v>
      </c>
      <c r="BO47" t="s">
        <v>212</v>
      </c>
      <c r="BP47" t="s">
        <v>213</v>
      </c>
      <c r="BQ47" t="s">
        <v>1728</v>
      </c>
      <c r="BR47" t="s">
        <v>1729</v>
      </c>
      <c r="BS47" t="s">
        <v>879</v>
      </c>
      <c r="BT47" t="s">
        <v>165</v>
      </c>
      <c r="BU47" t="s">
        <v>217</v>
      </c>
      <c r="BV47" t="s">
        <v>212</v>
      </c>
      <c r="BW47" t="s">
        <v>218</v>
      </c>
      <c r="BX47" t="s">
        <v>219</v>
      </c>
      <c r="BY47" t="s">
        <v>176</v>
      </c>
      <c r="BZ47" t="s">
        <v>220</v>
      </c>
      <c r="CA47" t="s">
        <v>176</v>
      </c>
      <c r="CB47" t="s">
        <v>176</v>
      </c>
      <c r="CC47" t="s">
        <v>221</v>
      </c>
      <c r="CD47" t="s">
        <v>222</v>
      </c>
      <c r="CE47" t="s">
        <v>223</v>
      </c>
      <c r="CF47" t="s">
        <v>224</v>
      </c>
      <c r="CG47" t="s">
        <v>225</v>
      </c>
      <c r="CH47" t="s">
        <v>226</v>
      </c>
      <c r="CI47" t="s">
        <v>182</v>
      </c>
      <c r="CJ47" t="s">
        <v>218</v>
      </c>
      <c r="CK47" t="s">
        <v>227</v>
      </c>
      <c r="CL47" t="s">
        <v>227</v>
      </c>
      <c r="CM47" t="s">
        <v>227</v>
      </c>
      <c r="CN47" t="s">
        <v>176</v>
      </c>
      <c r="CO47" t="s">
        <v>228</v>
      </c>
      <c r="CP47" t="s">
        <v>176</v>
      </c>
      <c r="CQ47" t="s">
        <v>176</v>
      </c>
      <c r="CR47" t="s">
        <v>176</v>
      </c>
      <c r="CS47" t="s">
        <v>176</v>
      </c>
      <c r="CT47" t="s">
        <v>1730</v>
      </c>
      <c r="CU47" t="s">
        <v>1731</v>
      </c>
      <c r="CV47" t="s">
        <v>1732</v>
      </c>
      <c r="CW47" t="s">
        <v>1733</v>
      </c>
      <c r="CX47" t="s">
        <v>1734</v>
      </c>
      <c r="CY47" t="s">
        <v>1735</v>
      </c>
      <c r="CZ47" t="s">
        <v>1736</v>
      </c>
      <c r="DA47" t="s">
        <v>1737</v>
      </c>
      <c r="DB47" t="s">
        <v>1708</v>
      </c>
      <c r="DC47" t="s">
        <v>1738</v>
      </c>
      <c r="DD47" t="s">
        <v>238</v>
      </c>
      <c r="DE47" t="s">
        <v>239</v>
      </c>
      <c r="DF47" t="s">
        <v>182</v>
      </c>
      <c r="DG47" t="s">
        <v>240</v>
      </c>
      <c r="DH47" t="s">
        <v>241</v>
      </c>
      <c r="DI47" t="s">
        <v>182</v>
      </c>
      <c r="DJ47" t="s">
        <v>242</v>
      </c>
      <c r="DK47" t="s">
        <v>243</v>
      </c>
      <c r="DL47" t="s">
        <v>244</v>
      </c>
      <c r="DM47" t="s">
        <v>176</v>
      </c>
      <c r="DN47" t="s">
        <v>1707</v>
      </c>
      <c r="DO47" t="s">
        <v>245</v>
      </c>
      <c r="DP47" t="s">
        <v>246</v>
      </c>
      <c r="DQ47" t="s">
        <v>247</v>
      </c>
      <c r="DR47" t="s">
        <v>248</v>
      </c>
      <c r="DS47" t="s">
        <v>249</v>
      </c>
      <c r="DT47" t="s">
        <v>250</v>
      </c>
    </row>
    <row r="49" spans="1:124" x14ac:dyDescent="0.45">
      <c r="A49" t="s">
        <v>1739</v>
      </c>
      <c r="B49" t="s">
        <v>1740</v>
      </c>
      <c r="C49" t="s">
        <v>17</v>
      </c>
      <c r="D49" t="s">
        <v>167</v>
      </c>
      <c r="E49" t="s">
        <v>168</v>
      </c>
      <c r="I49" t="s">
        <v>1741</v>
      </c>
      <c r="J49">
        <v>0.26359936557812769</v>
      </c>
      <c r="K49">
        <v>2.71647792</v>
      </c>
      <c r="L49">
        <v>0.24028298184893471</v>
      </c>
      <c r="M49">
        <v>6.0344700094223294</v>
      </c>
      <c r="N49" t="s">
        <v>1742</v>
      </c>
      <c r="O49" t="s">
        <v>1743</v>
      </c>
      <c r="P49">
        <v>5.0379308978775406</v>
      </c>
      <c r="Q49">
        <v>2.4392038978775412</v>
      </c>
      <c r="R49" t="s">
        <v>1744</v>
      </c>
      <c r="S49" t="s">
        <v>1745</v>
      </c>
      <c r="T49">
        <v>49.910153535541319</v>
      </c>
      <c r="U49">
        <v>0.4417875</v>
      </c>
      <c r="V49" t="s">
        <v>174</v>
      </c>
      <c r="W49" t="s">
        <v>1746</v>
      </c>
      <c r="X49" t="s">
        <v>176</v>
      </c>
      <c r="Y49" t="s">
        <v>176</v>
      </c>
      <c r="Z49" t="s">
        <v>176</v>
      </c>
      <c r="AA49" t="s">
        <v>1747</v>
      </c>
      <c r="AB49" t="s">
        <v>1748</v>
      </c>
      <c r="AC49" t="s">
        <v>1749</v>
      </c>
      <c r="AD49" t="s">
        <v>180</v>
      </c>
      <c r="AE49" t="s">
        <v>181</v>
      </c>
      <c r="AF49">
        <v>332.37414000000001</v>
      </c>
      <c r="AG49" t="s">
        <v>182</v>
      </c>
      <c r="AH49" t="s">
        <v>1750</v>
      </c>
      <c r="AI49" t="s">
        <v>1751</v>
      </c>
      <c r="AJ49" t="s">
        <v>1752</v>
      </c>
      <c r="AK49" t="s">
        <v>1753</v>
      </c>
      <c r="AL49">
        <v>32.950000000000003</v>
      </c>
      <c r="AM49" t="s">
        <v>359</v>
      </c>
      <c r="AN49" t="s">
        <v>1754</v>
      </c>
      <c r="AO49" t="s">
        <v>1755</v>
      </c>
      <c r="AP49" t="s">
        <v>1756</v>
      </c>
      <c r="AQ49" t="s">
        <v>1757</v>
      </c>
      <c r="AR49" t="s">
        <v>1758</v>
      </c>
      <c r="AS49" t="s">
        <v>364</v>
      </c>
      <c r="AT49" t="s">
        <v>298</v>
      </c>
      <c r="AU49" t="s">
        <v>1759</v>
      </c>
      <c r="AV49" t="s">
        <v>1760</v>
      </c>
      <c r="AW49" t="s">
        <v>1761</v>
      </c>
      <c r="AX49" t="s">
        <v>1762</v>
      </c>
      <c r="AY49" t="s">
        <v>1763</v>
      </c>
      <c r="AZ49" t="s">
        <v>1042</v>
      </c>
      <c r="BA49" t="s">
        <v>1764</v>
      </c>
      <c r="BB49" t="s">
        <v>1765</v>
      </c>
      <c r="BC49" t="s">
        <v>1766</v>
      </c>
      <c r="BD49" t="s">
        <v>17</v>
      </c>
      <c r="BE49" t="s">
        <v>1682</v>
      </c>
      <c r="BF49" t="s">
        <v>1406</v>
      </c>
      <c r="BG49" t="s">
        <v>1767</v>
      </c>
      <c r="BH49" t="s">
        <v>849</v>
      </c>
      <c r="BI49" t="s">
        <v>1685</v>
      </c>
      <c r="BJ49" t="s">
        <v>1686</v>
      </c>
      <c r="BK49" t="s">
        <v>17</v>
      </c>
      <c r="BL49" t="s">
        <v>1687</v>
      </c>
      <c r="BM49" t="s">
        <v>165</v>
      </c>
      <c r="BN49" t="s">
        <v>212</v>
      </c>
      <c r="BO49" t="s">
        <v>330</v>
      </c>
      <c r="BP49" t="s">
        <v>754</v>
      </c>
      <c r="BQ49" t="s">
        <v>1768</v>
      </c>
      <c r="BR49" t="s">
        <v>1769</v>
      </c>
      <c r="BS49" t="s">
        <v>1770</v>
      </c>
      <c r="BT49" t="s">
        <v>165</v>
      </c>
      <c r="BU49" t="s">
        <v>217</v>
      </c>
      <c r="BV49" t="s">
        <v>212</v>
      </c>
      <c r="BW49" t="s">
        <v>218</v>
      </c>
      <c r="BX49" t="s">
        <v>219</v>
      </c>
      <c r="BY49" t="s">
        <v>176</v>
      </c>
      <c r="BZ49" t="s">
        <v>220</v>
      </c>
      <c r="CA49" t="s">
        <v>176</v>
      </c>
      <c r="CB49" t="s">
        <v>176</v>
      </c>
      <c r="CC49" t="s">
        <v>221</v>
      </c>
      <c r="CD49" t="s">
        <v>222</v>
      </c>
      <c r="CE49" t="s">
        <v>223</v>
      </c>
      <c r="CF49" t="s">
        <v>224</v>
      </c>
      <c r="CG49" t="s">
        <v>225</v>
      </c>
      <c r="CH49" t="s">
        <v>226</v>
      </c>
      <c r="CI49" t="s">
        <v>182</v>
      </c>
      <c r="CJ49" t="s">
        <v>218</v>
      </c>
      <c r="CK49" t="s">
        <v>227</v>
      </c>
      <c r="CL49" t="s">
        <v>227</v>
      </c>
      <c r="CM49" t="s">
        <v>227</v>
      </c>
      <c r="CN49" t="s">
        <v>176</v>
      </c>
      <c r="CO49" t="s">
        <v>228</v>
      </c>
      <c r="CP49" t="s">
        <v>176</v>
      </c>
      <c r="CQ49" t="s">
        <v>176</v>
      </c>
      <c r="CR49" t="s">
        <v>176</v>
      </c>
      <c r="CS49" t="s">
        <v>176</v>
      </c>
      <c r="CT49" t="s">
        <v>1771</v>
      </c>
      <c r="CU49" t="s">
        <v>1772</v>
      </c>
      <c r="CV49" t="s">
        <v>1773</v>
      </c>
      <c r="CW49" t="s">
        <v>1774</v>
      </c>
      <c r="CX49" t="s">
        <v>1775</v>
      </c>
      <c r="CY49" t="s">
        <v>1776</v>
      </c>
      <c r="CZ49" t="s">
        <v>1777</v>
      </c>
      <c r="DA49" t="s">
        <v>1778</v>
      </c>
      <c r="DB49" t="s">
        <v>1747</v>
      </c>
      <c r="DC49" t="s">
        <v>1538</v>
      </c>
      <c r="DD49" t="s">
        <v>238</v>
      </c>
      <c r="DE49" t="s">
        <v>239</v>
      </c>
      <c r="DF49" t="s">
        <v>182</v>
      </c>
      <c r="DG49" t="s">
        <v>240</v>
      </c>
      <c r="DH49" t="s">
        <v>241</v>
      </c>
      <c r="DI49" t="s">
        <v>182</v>
      </c>
      <c r="DJ49" t="s">
        <v>242</v>
      </c>
      <c r="DK49" t="s">
        <v>243</v>
      </c>
      <c r="DL49" t="s">
        <v>244</v>
      </c>
      <c r="DM49" t="s">
        <v>176</v>
      </c>
      <c r="DN49" t="s">
        <v>1746</v>
      </c>
      <c r="DO49" t="s">
        <v>245</v>
      </c>
      <c r="DP49" t="s">
        <v>246</v>
      </c>
      <c r="DQ49" t="s">
        <v>247</v>
      </c>
      <c r="DR49" t="s">
        <v>248</v>
      </c>
      <c r="DS49" t="s">
        <v>249</v>
      </c>
      <c r="DT49" t="s">
        <v>250</v>
      </c>
    </row>
    <row r="50" spans="1:124" x14ac:dyDescent="0.45">
      <c r="A50" t="s">
        <v>1779</v>
      </c>
      <c r="B50" t="s">
        <v>1780</v>
      </c>
      <c r="C50" t="s">
        <v>17</v>
      </c>
      <c r="D50" t="s">
        <v>167</v>
      </c>
      <c r="E50" t="s">
        <v>168</v>
      </c>
      <c r="I50" t="s">
        <v>1781</v>
      </c>
      <c r="J50">
        <v>0.65620509226148183</v>
      </c>
      <c r="K50">
        <v>2.701298</v>
      </c>
      <c r="L50">
        <v>0.52795349836053285</v>
      </c>
      <c r="M50">
        <v>10.96931074048736</v>
      </c>
      <c r="N50" t="s">
        <v>1782</v>
      </c>
      <c r="O50" t="s">
        <v>1783</v>
      </c>
      <c r="P50">
        <v>4.6812996321043006</v>
      </c>
      <c r="Q50">
        <v>2.021011632104301</v>
      </c>
      <c r="R50" t="s">
        <v>1784</v>
      </c>
      <c r="S50" t="s">
        <v>1785</v>
      </c>
      <c r="T50">
        <v>46.377052031942739</v>
      </c>
      <c r="U50">
        <v>0.4417875</v>
      </c>
      <c r="V50" t="s">
        <v>174</v>
      </c>
      <c r="W50" t="s">
        <v>1786</v>
      </c>
      <c r="X50" t="s">
        <v>176</v>
      </c>
      <c r="Y50" t="s">
        <v>176</v>
      </c>
      <c r="Z50" t="s">
        <v>176</v>
      </c>
      <c r="AA50" t="s">
        <v>1787</v>
      </c>
      <c r="AB50" t="s">
        <v>1788</v>
      </c>
      <c r="AC50" t="s">
        <v>1789</v>
      </c>
      <c r="AD50" t="s">
        <v>180</v>
      </c>
      <c r="AE50" t="s">
        <v>181</v>
      </c>
      <c r="AF50">
        <v>278.29720800000001</v>
      </c>
      <c r="AG50" t="s">
        <v>182</v>
      </c>
      <c r="AH50" t="s">
        <v>1790</v>
      </c>
      <c r="AI50" t="s">
        <v>1791</v>
      </c>
      <c r="AJ50" t="s">
        <v>1752</v>
      </c>
      <c r="AK50" t="s">
        <v>1792</v>
      </c>
      <c r="AL50">
        <v>31.65</v>
      </c>
      <c r="AM50" t="s">
        <v>359</v>
      </c>
      <c r="AN50" t="s">
        <v>1793</v>
      </c>
      <c r="AO50" t="s">
        <v>1794</v>
      </c>
      <c r="AP50" t="s">
        <v>531</v>
      </c>
      <c r="AQ50" t="s">
        <v>1795</v>
      </c>
      <c r="AR50" t="s">
        <v>1796</v>
      </c>
      <c r="AS50" t="s">
        <v>1036</v>
      </c>
      <c r="AT50" t="s">
        <v>223</v>
      </c>
      <c r="AU50" t="s">
        <v>1599</v>
      </c>
      <c r="AV50" t="s">
        <v>1797</v>
      </c>
      <c r="AW50" t="s">
        <v>1798</v>
      </c>
      <c r="AX50" t="s">
        <v>1560</v>
      </c>
      <c r="AY50" t="s">
        <v>1799</v>
      </c>
      <c r="AZ50" t="s">
        <v>1042</v>
      </c>
      <c r="BA50" t="s">
        <v>1800</v>
      </c>
      <c r="BB50" t="s">
        <v>1801</v>
      </c>
      <c r="BC50" t="s">
        <v>1802</v>
      </c>
      <c r="BD50" t="s">
        <v>17</v>
      </c>
      <c r="BE50" t="s">
        <v>1803</v>
      </c>
      <c r="BF50" t="s">
        <v>1727</v>
      </c>
      <c r="BG50" t="s">
        <v>1804</v>
      </c>
      <c r="BH50" t="s">
        <v>849</v>
      </c>
      <c r="BI50" t="s">
        <v>1685</v>
      </c>
      <c r="BJ50" t="s">
        <v>1686</v>
      </c>
      <c r="BK50" t="s">
        <v>17</v>
      </c>
      <c r="BL50" t="s">
        <v>1687</v>
      </c>
      <c r="BM50" t="s">
        <v>165</v>
      </c>
      <c r="BN50" t="s">
        <v>212</v>
      </c>
      <c r="BO50" t="s">
        <v>212</v>
      </c>
      <c r="BP50" t="s">
        <v>284</v>
      </c>
      <c r="BQ50" t="s">
        <v>1805</v>
      </c>
      <c r="BR50" t="s">
        <v>1806</v>
      </c>
      <c r="BS50" t="s">
        <v>1807</v>
      </c>
      <c r="BT50" t="s">
        <v>165</v>
      </c>
      <c r="BU50" t="s">
        <v>217</v>
      </c>
      <c r="BV50" t="s">
        <v>212</v>
      </c>
      <c r="BW50" t="s">
        <v>218</v>
      </c>
      <c r="BX50" t="s">
        <v>219</v>
      </c>
      <c r="BY50" t="s">
        <v>176</v>
      </c>
      <c r="BZ50" t="s">
        <v>220</v>
      </c>
      <c r="CA50" t="s">
        <v>176</v>
      </c>
      <c r="CB50" t="s">
        <v>176</v>
      </c>
      <c r="CC50" t="s">
        <v>221</v>
      </c>
      <c r="CD50" t="s">
        <v>222</v>
      </c>
      <c r="CE50" t="s">
        <v>223</v>
      </c>
      <c r="CF50" t="s">
        <v>224</v>
      </c>
      <c r="CG50" t="s">
        <v>225</v>
      </c>
      <c r="CH50" t="s">
        <v>226</v>
      </c>
      <c r="CI50" t="s">
        <v>182</v>
      </c>
      <c r="CJ50" t="s">
        <v>218</v>
      </c>
      <c r="CK50" t="s">
        <v>227</v>
      </c>
      <c r="CL50" t="s">
        <v>227</v>
      </c>
      <c r="CM50" t="s">
        <v>227</v>
      </c>
      <c r="CN50" t="s">
        <v>176</v>
      </c>
      <c r="CO50" t="s">
        <v>228</v>
      </c>
      <c r="CP50" t="s">
        <v>176</v>
      </c>
      <c r="CQ50" t="s">
        <v>176</v>
      </c>
      <c r="CR50" t="s">
        <v>176</v>
      </c>
      <c r="CS50" t="s">
        <v>176</v>
      </c>
      <c r="CT50" t="s">
        <v>1808</v>
      </c>
      <c r="CU50" t="s">
        <v>1809</v>
      </c>
      <c r="CV50" t="s">
        <v>1810</v>
      </c>
      <c r="CW50" t="s">
        <v>1811</v>
      </c>
      <c r="CX50" t="s">
        <v>1812</v>
      </c>
      <c r="CY50" t="s">
        <v>1813</v>
      </c>
      <c r="CZ50" t="s">
        <v>1814</v>
      </c>
      <c r="DA50" t="s">
        <v>1815</v>
      </c>
      <c r="DB50" t="s">
        <v>1787</v>
      </c>
      <c r="DC50" t="s">
        <v>343</v>
      </c>
      <c r="DD50" t="s">
        <v>238</v>
      </c>
      <c r="DE50" t="s">
        <v>239</v>
      </c>
      <c r="DF50" t="s">
        <v>182</v>
      </c>
      <c r="DG50" t="s">
        <v>240</v>
      </c>
      <c r="DH50" t="s">
        <v>241</v>
      </c>
      <c r="DI50" t="s">
        <v>182</v>
      </c>
      <c r="DJ50" t="s">
        <v>242</v>
      </c>
      <c r="DK50" t="s">
        <v>243</v>
      </c>
      <c r="DL50" t="s">
        <v>244</v>
      </c>
      <c r="DM50" t="s">
        <v>176</v>
      </c>
      <c r="DN50" t="s">
        <v>1786</v>
      </c>
      <c r="DO50" t="s">
        <v>245</v>
      </c>
      <c r="DP50" t="s">
        <v>246</v>
      </c>
      <c r="DQ50" t="s">
        <v>247</v>
      </c>
      <c r="DR50" t="s">
        <v>248</v>
      </c>
      <c r="DS50" t="s">
        <v>249</v>
      </c>
      <c r="DT50" t="s">
        <v>250</v>
      </c>
    </row>
    <row r="51" spans="1:124" x14ac:dyDescent="0.45">
      <c r="A51" t="s">
        <v>1816</v>
      </c>
      <c r="B51" t="s">
        <v>1817</v>
      </c>
      <c r="C51" t="s">
        <v>17</v>
      </c>
      <c r="D51" t="s">
        <v>167</v>
      </c>
      <c r="E51" t="s">
        <v>168</v>
      </c>
      <c r="I51" t="s">
        <v>1818</v>
      </c>
      <c r="J51">
        <v>0.50744655963366969</v>
      </c>
      <c r="K51">
        <v>2.6947107199999998</v>
      </c>
      <c r="L51">
        <v>0.42703139310771249</v>
      </c>
      <c r="M51">
        <v>9.4275315366486367</v>
      </c>
      <c r="N51" t="s">
        <v>1819</v>
      </c>
      <c r="O51" t="s">
        <v>1820</v>
      </c>
      <c r="P51">
        <v>4.7346918722148121</v>
      </c>
      <c r="Q51">
        <v>2.1477438722148121</v>
      </c>
      <c r="R51" t="s">
        <v>1821</v>
      </c>
      <c r="S51" t="s">
        <v>1822</v>
      </c>
      <c r="T51">
        <v>46.906002300523213</v>
      </c>
      <c r="U51">
        <v>0.4417875</v>
      </c>
      <c r="V51" t="s">
        <v>174</v>
      </c>
      <c r="W51" t="s">
        <v>1823</v>
      </c>
      <c r="X51" t="s">
        <v>176</v>
      </c>
      <c r="Y51" t="s">
        <v>176</v>
      </c>
      <c r="Z51" t="s">
        <v>176</v>
      </c>
      <c r="AA51" t="s">
        <v>1824</v>
      </c>
      <c r="AB51" t="s">
        <v>1825</v>
      </c>
      <c r="AC51" t="s">
        <v>1826</v>
      </c>
      <c r="AD51" t="s">
        <v>180</v>
      </c>
      <c r="AE51" t="s">
        <v>181</v>
      </c>
      <c r="AF51">
        <v>171.8757621</v>
      </c>
      <c r="AG51" t="s">
        <v>182</v>
      </c>
      <c r="AH51" t="s">
        <v>1827</v>
      </c>
      <c r="AI51" t="s">
        <v>1828</v>
      </c>
      <c r="AJ51" t="s">
        <v>1829</v>
      </c>
      <c r="AK51" t="s">
        <v>1830</v>
      </c>
      <c r="AL51">
        <v>31.85</v>
      </c>
      <c r="AM51" t="s">
        <v>359</v>
      </c>
      <c r="AN51" t="s">
        <v>1831</v>
      </c>
      <c r="AO51" t="s">
        <v>1832</v>
      </c>
      <c r="AP51" t="s">
        <v>1596</v>
      </c>
      <c r="AQ51" t="s">
        <v>1833</v>
      </c>
      <c r="AR51" t="s">
        <v>1796</v>
      </c>
      <c r="AS51" t="s">
        <v>364</v>
      </c>
      <c r="AT51" t="s">
        <v>251</v>
      </c>
      <c r="AU51" t="s">
        <v>1834</v>
      </c>
      <c r="AV51" t="s">
        <v>1835</v>
      </c>
      <c r="AW51" t="s">
        <v>1836</v>
      </c>
      <c r="AX51" t="s">
        <v>1837</v>
      </c>
      <c r="AY51" t="s">
        <v>1838</v>
      </c>
      <c r="AZ51" t="s">
        <v>1042</v>
      </c>
      <c r="BA51" t="s">
        <v>1839</v>
      </c>
      <c r="BB51" t="s">
        <v>1840</v>
      </c>
      <c r="BC51" t="s">
        <v>1841</v>
      </c>
      <c r="BD51" t="s">
        <v>17</v>
      </c>
      <c r="BE51" t="s">
        <v>1165</v>
      </c>
      <c r="BF51" t="s">
        <v>1842</v>
      </c>
      <c r="BG51" t="s">
        <v>1843</v>
      </c>
      <c r="BH51" t="s">
        <v>808</v>
      </c>
      <c r="BI51" t="s">
        <v>1290</v>
      </c>
      <c r="BJ51" t="s">
        <v>1686</v>
      </c>
      <c r="BK51" t="s">
        <v>17</v>
      </c>
      <c r="BL51" t="s">
        <v>1687</v>
      </c>
      <c r="BM51" t="s">
        <v>165</v>
      </c>
      <c r="BN51" t="s">
        <v>331</v>
      </c>
      <c r="BO51" t="s">
        <v>211</v>
      </c>
      <c r="BP51" t="s">
        <v>212</v>
      </c>
      <c r="BQ51" t="s">
        <v>920</v>
      </c>
      <c r="BR51" t="s">
        <v>1844</v>
      </c>
      <c r="BS51" t="s">
        <v>1845</v>
      </c>
      <c r="BT51" t="s">
        <v>165</v>
      </c>
      <c r="BU51" t="s">
        <v>217</v>
      </c>
      <c r="BV51" t="s">
        <v>212</v>
      </c>
      <c r="BW51" t="s">
        <v>218</v>
      </c>
      <c r="BX51" t="s">
        <v>219</v>
      </c>
      <c r="BY51" t="s">
        <v>176</v>
      </c>
      <c r="BZ51" t="s">
        <v>220</v>
      </c>
      <c r="CA51" t="s">
        <v>176</v>
      </c>
      <c r="CB51" t="s">
        <v>176</v>
      </c>
      <c r="CC51" t="s">
        <v>221</v>
      </c>
      <c r="CD51" t="s">
        <v>222</v>
      </c>
      <c r="CE51" t="s">
        <v>223</v>
      </c>
      <c r="CF51" t="s">
        <v>224</v>
      </c>
      <c r="CG51" t="s">
        <v>225</v>
      </c>
      <c r="CH51" t="s">
        <v>226</v>
      </c>
      <c r="CI51" t="s">
        <v>182</v>
      </c>
      <c r="CJ51" t="s">
        <v>218</v>
      </c>
      <c r="CK51" t="s">
        <v>227</v>
      </c>
      <c r="CL51" t="s">
        <v>227</v>
      </c>
      <c r="CM51" t="s">
        <v>227</v>
      </c>
      <c r="CN51" t="s">
        <v>176</v>
      </c>
      <c r="CO51" t="s">
        <v>228</v>
      </c>
      <c r="CP51" t="s">
        <v>176</v>
      </c>
      <c r="CQ51" t="s">
        <v>176</v>
      </c>
      <c r="CR51" t="s">
        <v>176</v>
      </c>
      <c r="CS51" t="s">
        <v>176</v>
      </c>
      <c r="CT51" t="s">
        <v>1846</v>
      </c>
      <c r="CU51" t="s">
        <v>1847</v>
      </c>
      <c r="CV51" t="s">
        <v>1848</v>
      </c>
      <c r="CW51" t="s">
        <v>1849</v>
      </c>
      <c r="CX51" t="s">
        <v>1850</v>
      </c>
      <c r="CY51" t="s">
        <v>1851</v>
      </c>
      <c r="CZ51" t="s">
        <v>1852</v>
      </c>
      <c r="DA51" t="s">
        <v>1853</v>
      </c>
      <c r="DB51" t="s">
        <v>1824</v>
      </c>
      <c r="DC51" t="s">
        <v>343</v>
      </c>
      <c r="DD51" t="s">
        <v>238</v>
      </c>
      <c r="DE51" t="s">
        <v>239</v>
      </c>
      <c r="DF51" t="s">
        <v>182</v>
      </c>
      <c r="DG51" t="s">
        <v>240</v>
      </c>
      <c r="DH51" t="s">
        <v>241</v>
      </c>
      <c r="DI51" t="s">
        <v>182</v>
      </c>
      <c r="DJ51" t="s">
        <v>242</v>
      </c>
      <c r="DK51" t="s">
        <v>243</v>
      </c>
      <c r="DL51" t="s">
        <v>244</v>
      </c>
      <c r="DM51" t="s">
        <v>176</v>
      </c>
      <c r="DN51" t="s">
        <v>1823</v>
      </c>
      <c r="DO51" t="s">
        <v>245</v>
      </c>
      <c r="DP51" t="s">
        <v>246</v>
      </c>
      <c r="DQ51" t="s">
        <v>247</v>
      </c>
      <c r="DR51" t="s">
        <v>248</v>
      </c>
      <c r="DS51" t="s">
        <v>249</v>
      </c>
      <c r="DT51" t="s">
        <v>250</v>
      </c>
    </row>
    <row r="52" spans="1:124" x14ac:dyDescent="0.45">
      <c r="A52" t="s">
        <v>1854</v>
      </c>
      <c r="B52" t="s">
        <v>1855</v>
      </c>
      <c r="C52" t="s">
        <v>17</v>
      </c>
      <c r="D52" t="s">
        <v>167</v>
      </c>
      <c r="E52" t="s">
        <v>168</v>
      </c>
      <c r="I52" t="s">
        <v>1856</v>
      </c>
      <c r="J52">
        <v>3.1576993980732541E-2</v>
      </c>
      <c r="K52">
        <v>2.69910768</v>
      </c>
      <c r="L52">
        <v>3.1211845064652952E-2</v>
      </c>
      <c r="M52">
        <v>1.0601562761763339</v>
      </c>
      <c r="N52" t="s">
        <v>1857</v>
      </c>
      <c r="O52" t="s">
        <v>1858</v>
      </c>
      <c r="P52">
        <v>5.5861140203766828</v>
      </c>
      <c r="Q52">
        <v>3.294854020376683</v>
      </c>
      <c r="R52" t="s">
        <v>1859</v>
      </c>
      <c r="S52" t="s">
        <v>1860</v>
      </c>
      <c r="T52">
        <v>55.340935410904322</v>
      </c>
      <c r="U52">
        <v>0.4417875</v>
      </c>
      <c r="V52" t="s">
        <v>174</v>
      </c>
      <c r="W52" t="s">
        <v>1861</v>
      </c>
      <c r="X52" t="s">
        <v>176</v>
      </c>
      <c r="Y52" t="s">
        <v>176</v>
      </c>
      <c r="Z52" t="s">
        <v>176</v>
      </c>
      <c r="AA52" t="s">
        <v>1862</v>
      </c>
      <c r="AB52" t="s">
        <v>1863</v>
      </c>
      <c r="AC52" t="s">
        <v>1864</v>
      </c>
      <c r="AD52" t="s">
        <v>180</v>
      </c>
      <c r="AE52" t="s">
        <v>181</v>
      </c>
      <c r="AF52">
        <v>371.50847285999993</v>
      </c>
      <c r="AG52" t="s">
        <v>182</v>
      </c>
      <c r="AH52" t="s">
        <v>1865</v>
      </c>
      <c r="AI52" t="s">
        <v>1866</v>
      </c>
      <c r="AJ52" t="s">
        <v>1867</v>
      </c>
      <c r="AK52" t="s">
        <v>1868</v>
      </c>
      <c r="AL52">
        <v>34.799999999999997</v>
      </c>
      <c r="AM52" t="s">
        <v>359</v>
      </c>
      <c r="AN52" t="s">
        <v>823</v>
      </c>
      <c r="AO52" t="s">
        <v>1869</v>
      </c>
      <c r="AP52" t="s">
        <v>1596</v>
      </c>
      <c r="AQ52" t="s">
        <v>1870</v>
      </c>
      <c r="AR52" t="s">
        <v>1871</v>
      </c>
      <c r="AS52" t="s">
        <v>193</v>
      </c>
      <c r="AT52" t="s">
        <v>223</v>
      </c>
      <c r="AU52" t="s">
        <v>752</v>
      </c>
      <c r="AV52" t="s">
        <v>1872</v>
      </c>
      <c r="AW52" t="s">
        <v>1873</v>
      </c>
      <c r="AX52" t="s">
        <v>274</v>
      </c>
      <c r="AY52" t="s">
        <v>1874</v>
      </c>
      <c r="AZ52" t="s">
        <v>1042</v>
      </c>
      <c r="BA52" t="s">
        <v>1839</v>
      </c>
      <c r="BB52" t="s">
        <v>1840</v>
      </c>
      <c r="BC52" t="s">
        <v>1875</v>
      </c>
      <c r="BD52" t="s">
        <v>17</v>
      </c>
      <c r="BE52" t="s">
        <v>1876</v>
      </c>
      <c r="BF52" t="s">
        <v>1727</v>
      </c>
      <c r="BG52" t="s">
        <v>1843</v>
      </c>
      <c r="BH52" t="s">
        <v>849</v>
      </c>
      <c r="BI52" t="s">
        <v>1685</v>
      </c>
      <c r="BJ52" t="s">
        <v>1686</v>
      </c>
      <c r="BK52" t="s">
        <v>17</v>
      </c>
      <c r="BL52" t="s">
        <v>1687</v>
      </c>
      <c r="BM52" t="s">
        <v>165</v>
      </c>
      <c r="BN52" t="s">
        <v>211</v>
      </c>
      <c r="BO52" t="s">
        <v>211</v>
      </c>
      <c r="BP52" t="s">
        <v>284</v>
      </c>
      <c r="BQ52" t="s">
        <v>1877</v>
      </c>
      <c r="BR52" t="s">
        <v>1878</v>
      </c>
      <c r="BS52" t="s">
        <v>1879</v>
      </c>
      <c r="BT52" t="s">
        <v>165</v>
      </c>
      <c r="BU52" t="s">
        <v>217</v>
      </c>
      <c r="BV52" t="s">
        <v>212</v>
      </c>
      <c r="BW52" t="s">
        <v>218</v>
      </c>
      <c r="BX52" t="s">
        <v>219</v>
      </c>
      <c r="BY52" t="s">
        <v>176</v>
      </c>
      <c r="BZ52" t="s">
        <v>220</v>
      </c>
      <c r="CA52" t="s">
        <v>176</v>
      </c>
      <c r="CB52" t="s">
        <v>176</v>
      </c>
      <c r="CC52" t="s">
        <v>221</v>
      </c>
      <c r="CD52" t="s">
        <v>222</v>
      </c>
      <c r="CE52" t="s">
        <v>223</v>
      </c>
      <c r="CF52" t="s">
        <v>224</v>
      </c>
      <c r="CG52" t="s">
        <v>225</v>
      </c>
      <c r="CH52" t="s">
        <v>226</v>
      </c>
      <c r="CI52" t="s">
        <v>182</v>
      </c>
      <c r="CJ52" t="s">
        <v>218</v>
      </c>
      <c r="CK52" t="s">
        <v>227</v>
      </c>
      <c r="CL52" t="s">
        <v>227</v>
      </c>
      <c r="CM52" t="s">
        <v>227</v>
      </c>
      <c r="CN52" t="s">
        <v>176</v>
      </c>
      <c r="CO52" t="s">
        <v>228</v>
      </c>
      <c r="CP52" t="s">
        <v>176</v>
      </c>
      <c r="CQ52" t="s">
        <v>176</v>
      </c>
      <c r="CR52" t="s">
        <v>176</v>
      </c>
      <c r="CS52" t="s">
        <v>176</v>
      </c>
      <c r="CT52" t="s">
        <v>1880</v>
      </c>
      <c r="CU52" t="s">
        <v>1881</v>
      </c>
      <c r="CV52" t="s">
        <v>1882</v>
      </c>
      <c r="CW52" t="s">
        <v>1883</v>
      </c>
      <c r="CX52" t="s">
        <v>1884</v>
      </c>
      <c r="CY52" t="s">
        <v>1885</v>
      </c>
      <c r="CZ52" t="s">
        <v>1886</v>
      </c>
      <c r="DA52" t="s">
        <v>1887</v>
      </c>
      <c r="DB52" t="s">
        <v>1862</v>
      </c>
      <c r="DC52" t="s">
        <v>343</v>
      </c>
      <c r="DD52" t="s">
        <v>238</v>
      </c>
      <c r="DE52" t="s">
        <v>239</v>
      </c>
      <c r="DF52" t="s">
        <v>182</v>
      </c>
      <c r="DG52" t="s">
        <v>240</v>
      </c>
      <c r="DH52" t="s">
        <v>241</v>
      </c>
      <c r="DI52" t="s">
        <v>182</v>
      </c>
      <c r="DJ52" t="s">
        <v>242</v>
      </c>
      <c r="DK52" t="s">
        <v>243</v>
      </c>
      <c r="DL52" t="s">
        <v>244</v>
      </c>
      <c r="DM52" t="s">
        <v>176</v>
      </c>
      <c r="DN52" t="s">
        <v>1861</v>
      </c>
      <c r="DO52" t="s">
        <v>245</v>
      </c>
      <c r="DP52" t="s">
        <v>246</v>
      </c>
      <c r="DQ52" t="s">
        <v>247</v>
      </c>
      <c r="DR52" t="s">
        <v>248</v>
      </c>
      <c r="DS52" t="s">
        <v>249</v>
      </c>
      <c r="DT52" t="s">
        <v>250</v>
      </c>
    </row>
    <row r="53" spans="1:124" x14ac:dyDescent="0.45">
      <c r="A53" t="s">
        <v>1888</v>
      </c>
      <c r="B53" t="s">
        <v>1889</v>
      </c>
      <c r="C53" t="s">
        <v>17</v>
      </c>
      <c r="D53" t="s">
        <v>167</v>
      </c>
      <c r="E53" t="s">
        <v>168</v>
      </c>
      <c r="I53" t="s">
        <v>1890</v>
      </c>
      <c r="J53">
        <v>0.52650292436328716</v>
      </c>
      <c r="K53">
        <v>2.6980104800000002</v>
      </c>
      <c r="L53">
        <v>0.44053481240320358</v>
      </c>
      <c r="M53">
        <v>9.4917559614352989</v>
      </c>
      <c r="N53" t="s">
        <v>1891</v>
      </c>
      <c r="O53" t="s">
        <v>1892</v>
      </c>
      <c r="P53">
        <v>4.665384537447423</v>
      </c>
      <c r="Q53">
        <v>2.0967485374474228</v>
      </c>
      <c r="R53" t="s">
        <v>1893</v>
      </c>
      <c r="S53" t="s">
        <v>1894</v>
      </c>
      <c r="T53">
        <v>46.223962523010243</v>
      </c>
      <c r="U53">
        <v>0.4417875</v>
      </c>
      <c r="V53" t="s">
        <v>174</v>
      </c>
      <c r="W53" t="s">
        <v>1895</v>
      </c>
      <c r="X53" t="s">
        <v>176</v>
      </c>
      <c r="Y53" t="s">
        <v>176</v>
      </c>
      <c r="Z53" t="s">
        <v>176</v>
      </c>
      <c r="AA53" t="s">
        <v>1896</v>
      </c>
      <c r="AB53" t="s">
        <v>1897</v>
      </c>
      <c r="AC53" t="s">
        <v>1898</v>
      </c>
      <c r="AD53" t="s">
        <v>180</v>
      </c>
      <c r="AE53" t="s">
        <v>181</v>
      </c>
      <c r="AF53">
        <v>118.04845122</v>
      </c>
      <c r="AG53" t="s">
        <v>182</v>
      </c>
      <c r="AH53" t="s">
        <v>1899</v>
      </c>
      <c r="AI53" t="s">
        <v>1900</v>
      </c>
      <c r="AJ53" t="s">
        <v>1431</v>
      </c>
      <c r="AK53" t="s">
        <v>570</v>
      </c>
      <c r="AL53">
        <v>31.59</v>
      </c>
      <c r="AM53" t="s">
        <v>947</v>
      </c>
      <c r="AN53" t="s">
        <v>1714</v>
      </c>
      <c r="AO53" t="s">
        <v>444</v>
      </c>
      <c r="AP53" t="s">
        <v>1901</v>
      </c>
      <c r="AQ53" t="s">
        <v>1902</v>
      </c>
      <c r="AR53" t="s">
        <v>1903</v>
      </c>
      <c r="AS53" t="s">
        <v>742</v>
      </c>
      <c r="AT53" t="s">
        <v>165</v>
      </c>
      <c r="AU53" t="s">
        <v>1834</v>
      </c>
      <c r="AV53" t="s">
        <v>1904</v>
      </c>
      <c r="AW53" t="s">
        <v>1905</v>
      </c>
      <c r="AX53" t="s">
        <v>1602</v>
      </c>
      <c r="AY53" t="s">
        <v>1906</v>
      </c>
      <c r="AZ53" t="s">
        <v>1042</v>
      </c>
      <c r="BA53" t="s">
        <v>1907</v>
      </c>
      <c r="BB53" t="s">
        <v>1908</v>
      </c>
      <c r="BC53" t="s">
        <v>1909</v>
      </c>
      <c r="BD53" t="s">
        <v>17</v>
      </c>
      <c r="BE53" t="s">
        <v>1910</v>
      </c>
      <c r="BF53" t="s">
        <v>1842</v>
      </c>
      <c r="BG53" t="s">
        <v>1911</v>
      </c>
      <c r="BH53" t="s">
        <v>890</v>
      </c>
      <c r="BI53" t="s">
        <v>1912</v>
      </c>
      <c r="BJ53" t="s">
        <v>1686</v>
      </c>
      <c r="BK53" t="s">
        <v>17</v>
      </c>
      <c r="BL53" t="s">
        <v>1687</v>
      </c>
      <c r="BM53" t="s">
        <v>165</v>
      </c>
      <c r="BN53" t="s">
        <v>212</v>
      </c>
      <c r="BO53" t="s">
        <v>211</v>
      </c>
      <c r="BP53" t="s">
        <v>331</v>
      </c>
      <c r="BQ53" t="s">
        <v>1913</v>
      </c>
      <c r="BR53" t="s">
        <v>1914</v>
      </c>
      <c r="BS53" t="s">
        <v>1915</v>
      </c>
      <c r="BT53" t="s">
        <v>165</v>
      </c>
      <c r="BU53" t="s">
        <v>217</v>
      </c>
      <c r="BV53" t="s">
        <v>212</v>
      </c>
      <c r="BW53" t="s">
        <v>218</v>
      </c>
      <c r="BX53" t="s">
        <v>219</v>
      </c>
      <c r="BY53" t="s">
        <v>176</v>
      </c>
      <c r="BZ53" t="s">
        <v>220</v>
      </c>
      <c r="CA53" t="s">
        <v>176</v>
      </c>
      <c r="CB53" t="s">
        <v>176</v>
      </c>
      <c r="CC53" t="s">
        <v>221</v>
      </c>
      <c r="CD53" t="s">
        <v>222</v>
      </c>
      <c r="CE53" t="s">
        <v>223</v>
      </c>
      <c r="CF53" t="s">
        <v>224</v>
      </c>
      <c r="CG53" t="s">
        <v>225</v>
      </c>
      <c r="CH53" t="s">
        <v>226</v>
      </c>
      <c r="CI53" t="s">
        <v>182</v>
      </c>
      <c r="CJ53" t="s">
        <v>218</v>
      </c>
      <c r="CK53" t="s">
        <v>227</v>
      </c>
      <c r="CL53" t="s">
        <v>227</v>
      </c>
      <c r="CM53" t="s">
        <v>227</v>
      </c>
      <c r="CN53" t="s">
        <v>176</v>
      </c>
      <c r="CO53" t="s">
        <v>228</v>
      </c>
      <c r="CP53" t="s">
        <v>176</v>
      </c>
      <c r="CQ53" t="s">
        <v>176</v>
      </c>
      <c r="CR53" t="s">
        <v>176</v>
      </c>
      <c r="CS53" t="s">
        <v>176</v>
      </c>
      <c r="CT53" t="s">
        <v>1916</v>
      </c>
      <c r="CU53" t="s">
        <v>1917</v>
      </c>
      <c r="CV53" t="s">
        <v>1918</v>
      </c>
      <c r="CW53" t="s">
        <v>1919</v>
      </c>
      <c r="CX53" t="s">
        <v>1920</v>
      </c>
      <c r="CY53" t="s">
        <v>1921</v>
      </c>
      <c r="CZ53" t="s">
        <v>1922</v>
      </c>
      <c r="DA53" t="s">
        <v>1923</v>
      </c>
      <c r="DB53" t="s">
        <v>1896</v>
      </c>
      <c r="DC53" t="s">
        <v>1924</v>
      </c>
      <c r="DD53" t="s">
        <v>238</v>
      </c>
      <c r="DE53" t="s">
        <v>239</v>
      </c>
      <c r="DF53" t="s">
        <v>182</v>
      </c>
      <c r="DG53" t="s">
        <v>240</v>
      </c>
      <c r="DH53" t="s">
        <v>241</v>
      </c>
      <c r="DI53" t="s">
        <v>182</v>
      </c>
      <c r="DJ53" t="s">
        <v>242</v>
      </c>
      <c r="DK53" t="s">
        <v>243</v>
      </c>
      <c r="DL53" t="s">
        <v>244</v>
      </c>
      <c r="DM53" t="s">
        <v>176</v>
      </c>
      <c r="DN53" t="s">
        <v>1895</v>
      </c>
      <c r="DO53" t="s">
        <v>245</v>
      </c>
      <c r="DP53" t="s">
        <v>246</v>
      </c>
      <c r="DQ53" t="s">
        <v>247</v>
      </c>
      <c r="DR53" t="s">
        <v>248</v>
      </c>
      <c r="DS53" t="s">
        <v>249</v>
      </c>
      <c r="DT53" t="s">
        <v>250</v>
      </c>
    </row>
    <row r="54" spans="1:124" x14ac:dyDescent="0.45">
      <c r="A54" t="s">
        <v>1925</v>
      </c>
      <c r="B54" t="s">
        <v>1926</v>
      </c>
      <c r="C54" t="s">
        <v>17</v>
      </c>
      <c r="D54" t="s">
        <v>167</v>
      </c>
      <c r="E54" t="s">
        <v>168</v>
      </c>
      <c r="I54" t="s">
        <v>1927</v>
      </c>
      <c r="J54">
        <v>0.65400649457862392</v>
      </c>
      <c r="K54">
        <v>2.68027032</v>
      </c>
      <c r="L54">
        <v>0.52572545531971815</v>
      </c>
      <c r="M54">
        <v>10.656787506992851</v>
      </c>
      <c r="N54" t="s">
        <v>1928</v>
      </c>
      <c r="O54" t="s">
        <v>1929</v>
      </c>
      <c r="P54">
        <v>4.665384537447423</v>
      </c>
      <c r="Q54">
        <v>1.9714515374474231</v>
      </c>
      <c r="R54" t="s">
        <v>1930</v>
      </c>
      <c r="S54" t="s">
        <v>1931</v>
      </c>
      <c r="T54">
        <v>46.223962523010243</v>
      </c>
      <c r="U54">
        <v>0.4417875</v>
      </c>
      <c r="V54" t="s">
        <v>174</v>
      </c>
      <c r="W54" t="s">
        <v>1932</v>
      </c>
      <c r="X54" t="s">
        <v>176</v>
      </c>
      <c r="Y54" t="s">
        <v>176</v>
      </c>
      <c r="Z54" t="s">
        <v>176</v>
      </c>
      <c r="AA54" t="s">
        <v>1933</v>
      </c>
      <c r="AB54" t="s">
        <v>1934</v>
      </c>
      <c r="AC54" t="s">
        <v>1935</v>
      </c>
      <c r="AD54" t="s">
        <v>180</v>
      </c>
      <c r="AE54" t="s">
        <v>181</v>
      </c>
      <c r="AF54">
        <v>140.46909324000001</v>
      </c>
      <c r="AG54" t="s">
        <v>182</v>
      </c>
      <c r="AH54" t="s">
        <v>1936</v>
      </c>
      <c r="AI54" t="s">
        <v>1937</v>
      </c>
      <c r="AJ54" t="s">
        <v>1938</v>
      </c>
      <c r="AK54" t="s">
        <v>570</v>
      </c>
      <c r="AL54">
        <v>31.59</v>
      </c>
      <c r="AM54" t="s">
        <v>947</v>
      </c>
      <c r="AN54" t="s">
        <v>988</v>
      </c>
      <c r="AO54" t="s">
        <v>1939</v>
      </c>
      <c r="AP54" t="s">
        <v>362</v>
      </c>
      <c r="AQ54" t="s">
        <v>1940</v>
      </c>
      <c r="AR54" t="s">
        <v>1941</v>
      </c>
      <c r="AS54" t="s">
        <v>364</v>
      </c>
      <c r="AT54" t="s">
        <v>223</v>
      </c>
      <c r="AU54" t="s">
        <v>1942</v>
      </c>
      <c r="AV54" t="s">
        <v>1943</v>
      </c>
      <c r="AW54" t="s">
        <v>1944</v>
      </c>
      <c r="AX54" t="s">
        <v>624</v>
      </c>
      <c r="AY54" t="s">
        <v>1945</v>
      </c>
      <c r="AZ54" t="s">
        <v>1042</v>
      </c>
      <c r="BA54" t="s">
        <v>1946</v>
      </c>
      <c r="BB54" t="s">
        <v>1947</v>
      </c>
      <c r="BC54" t="s">
        <v>1948</v>
      </c>
      <c r="BD54" t="s">
        <v>17</v>
      </c>
      <c r="BE54" t="s">
        <v>917</v>
      </c>
      <c r="BF54" t="s">
        <v>1949</v>
      </c>
      <c r="BG54" t="s">
        <v>1950</v>
      </c>
      <c r="BH54" t="s">
        <v>890</v>
      </c>
      <c r="BI54" t="s">
        <v>1912</v>
      </c>
      <c r="BJ54" t="s">
        <v>1686</v>
      </c>
      <c r="BK54" t="s">
        <v>17</v>
      </c>
      <c r="BL54" t="s">
        <v>1687</v>
      </c>
      <c r="BM54" t="s">
        <v>165</v>
      </c>
      <c r="BN54" t="s">
        <v>331</v>
      </c>
      <c r="BO54" t="s">
        <v>284</v>
      </c>
      <c r="BP54" t="s">
        <v>283</v>
      </c>
      <c r="BQ54" t="s">
        <v>878</v>
      </c>
      <c r="BR54" t="s">
        <v>1951</v>
      </c>
      <c r="BS54" t="s">
        <v>1952</v>
      </c>
      <c r="BT54" t="s">
        <v>165</v>
      </c>
      <c r="BU54" t="s">
        <v>217</v>
      </c>
      <c r="BV54" t="s">
        <v>212</v>
      </c>
      <c r="BW54" t="s">
        <v>218</v>
      </c>
      <c r="BX54" t="s">
        <v>219</v>
      </c>
      <c r="BY54" t="s">
        <v>176</v>
      </c>
      <c r="BZ54" t="s">
        <v>220</v>
      </c>
      <c r="CA54" t="s">
        <v>176</v>
      </c>
      <c r="CB54" t="s">
        <v>176</v>
      </c>
      <c r="CC54" t="s">
        <v>221</v>
      </c>
      <c r="CD54" t="s">
        <v>222</v>
      </c>
      <c r="CE54" t="s">
        <v>223</v>
      </c>
      <c r="CF54" t="s">
        <v>224</v>
      </c>
      <c r="CG54" t="s">
        <v>225</v>
      </c>
      <c r="CH54" t="s">
        <v>226</v>
      </c>
      <c r="CI54" t="s">
        <v>182</v>
      </c>
      <c r="CJ54" t="s">
        <v>218</v>
      </c>
      <c r="CK54" t="s">
        <v>227</v>
      </c>
      <c r="CL54" t="s">
        <v>227</v>
      </c>
      <c r="CM54" t="s">
        <v>227</v>
      </c>
      <c r="CN54" t="s">
        <v>176</v>
      </c>
      <c r="CO54" t="s">
        <v>228</v>
      </c>
      <c r="CP54" t="s">
        <v>176</v>
      </c>
      <c r="CQ54" t="s">
        <v>176</v>
      </c>
      <c r="CR54" t="s">
        <v>176</v>
      </c>
      <c r="CS54" t="s">
        <v>176</v>
      </c>
      <c r="CT54" t="s">
        <v>1953</v>
      </c>
      <c r="CU54" t="s">
        <v>1954</v>
      </c>
      <c r="CV54" t="s">
        <v>1955</v>
      </c>
      <c r="CW54" t="s">
        <v>1956</v>
      </c>
      <c r="CX54" t="s">
        <v>1957</v>
      </c>
      <c r="CY54" t="s">
        <v>1958</v>
      </c>
      <c r="CZ54" t="s">
        <v>1959</v>
      </c>
      <c r="DA54" t="s">
        <v>1960</v>
      </c>
      <c r="DB54" t="s">
        <v>1933</v>
      </c>
      <c r="DC54" t="s">
        <v>343</v>
      </c>
      <c r="DD54" t="s">
        <v>238</v>
      </c>
      <c r="DE54" t="s">
        <v>239</v>
      </c>
      <c r="DF54" t="s">
        <v>182</v>
      </c>
      <c r="DG54" t="s">
        <v>240</v>
      </c>
      <c r="DH54" t="s">
        <v>241</v>
      </c>
      <c r="DI54" t="s">
        <v>182</v>
      </c>
      <c r="DJ54" t="s">
        <v>242</v>
      </c>
      <c r="DK54" t="s">
        <v>243</v>
      </c>
      <c r="DL54" t="s">
        <v>244</v>
      </c>
      <c r="DM54" t="s">
        <v>176</v>
      </c>
      <c r="DN54" t="s">
        <v>1932</v>
      </c>
      <c r="DO54" t="s">
        <v>245</v>
      </c>
      <c r="DP54" t="s">
        <v>246</v>
      </c>
      <c r="DQ54" t="s">
        <v>247</v>
      </c>
      <c r="DR54" t="s">
        <v>248</v>
      </c>
      <c r="DS54" t="s">
        <v>249</v>
      </c>
      <c r="DT54" t="s">
        <v>250</v>
      </c>
    </row>
    <row r="56" spans="1:124" x14ac:dyDescent="0.45">
      <c r="A56" t="s">
        <v>1961</v>
      </c>
      <c r="B56" t="s">
        <v>1962</v>
      </c>
      <c r="C56" t="s">
        <v>17</v>
      </c>
      <c r="D56" t="s">
        <v>167</v>
      </c>
      <c r="E56" t="s">
        <v>168</v>
      </c>
      <c r="I56" t="s">
        <v>1963</v>
      </c>
      <c r="J56">
        <v>0.26326060040872989</v>
      </c>
      <c r="K56">
        <v>2.6507000000000001</v>
      </c>
      <c r="L56">
        <v>0.23947642717116319</v>
      </c>
      <c r="M56">
        <v>6.030858416673273</v>
      </c>
      <c r="N56" t="s">
        <v>1964</v>
      </c>
      <c r="O56" t="s">
        <v>1965</v>
      </c>
      <c r="P56">
        <v>4.9619765119234742</v>
      </c>
      <c r="Q56">
        <v>2.4473705119234741</v>
      </c>
      <c r="R56" t="s">
        <v>1966</v>
      </c>
      <c r="S56" t="s">
        <v>1967</v>
      </c>
      <c r="T56">
        <v>49.167424810973777</v>
      </c>
      <c r="U56">
        <v>0.4417875</v>
      </c>
      <c r="V56" t="s">
        <v>174</v>
      </c>
      <c r="W56" t="s">
        <v>1968</v>
      </c>
      <c r="X56" t="s">
        <v>176</v>
      </c>
      <c r="Y56" t="s">
        <v>176</v>
      </c>
      <c r="Z56" t="s">
        <v>176</v>
      </c>
      <c r="AA56" t="s">
        <v>1969</v>
      </c>
      <c r="AB56" t="s">
        <v>1970</v>
      </c>
      <c r="AC56" t="s">
        <v>1971</v>
      </c>
      <c r="AD56" t="s">
        <v>180</v>
      </c>
      <c r="AE56" t="s">
        <v>181</v>
      </c>
      <c r="AF56">
        <v>162.06993180000001</v>
      </c>
      <c r="AG56" t="s">
        <v>182</v>
      </c>
      <c r="AH56" t="s">
        <v>1972</v>
      </c>
      <c r="AI56" t="s">
        <v>1973</v>
      </c>
      <c r="AJ56" t="s">
        <v>1974</v>
      </c>
      <c r="AK56" t="s">
        <v>1975</v>
      </c>
      <c r="AL56">
        <v>32.68</v>
      </c>
      <c r="AM56" t="s">
        <v>1318</v>
      </c>
      <c r="AN56" t="s">
        <v>1976</v>
      </c>
      <c r="AO56" t="s">
        <v>1977</v>
      </c>
      <c r="AP56" t="s">
        <v>1978</v>
      </c>
      <c r="AQ56" t="s">
        <v>1979</v>
      </c>
      <c r="AR56" t="s">
        <v>1941</v>
      </c>
      <c r="AS56" t="s">
        <v>1980</v>
      </c>
      <c r="AT56" t="s">
        <v>223</v>
      </c>
      <c r="AU56" t="s">
        <v>1981</v>
      </c>
      <c r="AV56" t="s">
        <v>1982</v>
      </c>
      <c r="AW56" t="s">
        <v>1983</v>
      </c>
      <c r="AX56" t="s">
        <v>1984</v>
      </c>
      <c r="AY56" t="s">
        <v>1985</v>
      </c>
      <c r="AZ56" t="s">
        <v>1042</v>
      </c>
      <c r="BA56" t="s">
        <v>1986</v>
      </c>
      <c r="BB56" t="s">
        <v>1987</v>
      </c>
      <c r="BC56" t="s">
        <v>1988</v>
      </c>
      <c r="BD56" t="s">
        <v>17</v>
      </c>
      <c r="BE56" t="s">
        <v>875</v>
      </c>
      <c r="BF56" t="s">
        <v>795</v>
      </c>
      <c r="BG56" t="s">
        <v>1989</v>
      </c>
      <c r="BH56" t="s">
        <v>890</v>
      </c>
      <c r="BI56" t="s">
        <v>1647</v>
      </c>
      <c r="BJ56" t="s">
        <v>1686</v>
      </c>
      <c r="BK56" t="s">
        <v>17</v>
      </c>
      <c r="BL56" t="s">
        <v>1687</v>
      </c>
      <c r="BM56" t="s">
        <v>165</v>
      </c>
      <c r="BN56" t="s">
        <v>284</v>
      </c>
      <c r="BO56" t="s">
        <v>330</v>
      </c>
      <c r="BP56" t="s">
        <v>283</v>
      </c>
      <c r="BQ56" t="s">
        <v>1990</v>
      </c>
      <c r="BR56" t="s">
        <v>1991</v>
      </c>
      <c r="BS56" t="s">
        <v>1992</v>
      </c>
      <c r="BT56" t="s">
        <v>165</v>
      </c>
      <c r="BU56" t="s">
        <v>217</v>
      </c>
      <c r="BV56" t="s">
        <v>212</v>
      </c>
      <c r="BW56" t="s">
        <v>218</v>
      </c>
      <c r="BX56" t="s">
        <v>219</v>
      </c>
      <c r="BY56" t="s">
        <v>176</v>
      </c>
      <c r="BZ56" t="s">
        <v>220</v>
      </c>
      <c r="CA56" t="s">
        <v>176</v>
      </c>
      <c r="CB56" t="s">
        <v>176</v>
      </c>
      <c r="CC56" t="s">
        <v>221</v>
      </c>
      <c r="CD56" t="s">
        <v>222</v>
      </c>
      <c r="CE56" t="s">
        <v>223</v>
      </c>
      <c r="CF56" t="s">
        <v>224</v>
      </c>
      <c r="CG56" t="s">
        <v>225</v>
      </c>
      <c r="CH56" t="s">
        <v>226</v>
      </c>
      <c r="CI56" t="s">
        <v>182</v>
      </c>
      <c r="CJ56" t="s">
        <v>218</v>
      </c>
      <c r="CK56" t="s">
        <v>227</v>
      </c>
      <c r="CL56" t="s">
        <v>227</v>
      </c>
      <c r="CM56" t="s">
        <v>227</v>
      </c>
      <c r="CN56" t="s">
        <v>176</v>
      </c>
      <c r="CO56" t="s">
        <v>228</v>
      </c>
      <c r="CP56" t="s">
        <v>176</v>
      </c>
      <c r="CQ56" t="s">
        <v>176</v>
      </c>
      <c r="CR56" t="s">
        <v>176</v>
      </c>
      <c r="CS56" t="s">
        <v>176</v>
      </c>
      <c r="CT56" t="s">
        <v>1993</v>
      </c>
      <c r="CU56" t="s">
        <v>1994</v>
      </c>
      <c r="CV56" t="s">
        <v>1995</v>
      </c>
      <c r="CW56" t="s">
        <v>1996</v>
      </c>
      <c r="CX56" t="s">
        <v>1997</v>
      </c>
      <c r="CY56" t="s">
        <v>1998</v>
      </c>
      <c r="CZ56" t="s">
        <v>1999</v>
      </c>
      <c r="DA56" t="s">
        <v>2000</v>
      </c>
      <c r="DB56" t="s">
        <v>1969</v>
      </c>
      <c r="DC56" t="s">
        <v>1924</v>
      </c>
      <c r="DD56" t="s">
        <v>238</v>
      </c>
      <c r="DE56" t="s">
        <v>239</v>
      </c>
      <c r="DF56" t="s">
        <v>182</v>
      </c>
      <c r="DG56" t="s">
        <v>240</v>
      </c>
      <c r="DH56" t="s">
        <v>241</v>
      </c>
      <c r="DI56" t="s">
        <v>182</v>
      </c>
      <c r="DJ56" t="s">
        <v>242</v>
      </c>
      <c r="DK56" t="s">
        <v>243</v>
      </c>
      <c r="DL56" t="s">
        <v>244</v>
      </c>
      <c r="DM56" t="s">
        <v>176</v>
      </c>
      <c r="DN56" t="s">
        <v>1968</v>
      </c>
      <c r="DO56" t="s">
        <v>245</v>
      </c>
      <c r="DP56" t="s">
        <v>246</v>
      </c>
      <c r="DQ56" t="s">
        <v>247</v>
      </c>
      <c r="DR56" t="s">
        <v>248</v>
      </c>
      <c r="DS56" t="s">
        <v>249</v>
      </c>
      <c r="DT56" t="s">
        <v>250</v>
      </c>
    </row>
    <row r="57" spans="1:124" x14ac:dyDescent="0.45">
      <c r="A57" t="s">
        <v>2001</v>
      </c>
      <c r="B57" t="s">
        <v>2002</v>
      </c>
      <c r="C57" t="s">
        <v>17</v>
      </c>
      <c r="D57" t="s">
        <v>167</v>
      </c>
      <c r="E57" t="s">
        <v>168</v>
      </c>
      <c r="I57" t="s">
        <v>2003</v>
      </c>
      <c r="J57">
        <v>0.25949631458791372</v>
      </c>
      <c r="K57">
        <v>2.67126968</v>
      </c>
      <c r="L57">
        <v>0.2365199536607501</v>
      </c>
      <c r="M57">
        <v>5.6804564478090143</v>
      </c>
      <c r="N57" t="s">
        <v>2004</v>
      </c>
      <c r="O57" t="s">
        <v>2005</v>
      </c>
      <c r="P57">
        <v>4.8540244763790881</v>
      </c>
      <c r="Q57">
        <v>2.3355404763790881</v>
      </c>
      <c r="R57" t="s">
        <v>2006</v>
      </c>
      <c r="S57" t="s">
        <v>2007</v>
      </c>
      <c r="T57">
        <v>48.092980049332077</v>
      </c>
      <c r="U57">
        <v>0.4417875</v>
      </c>
      <c r="V57" t="s">
        <v>174</v>
      </c>
      <c r="W57" t="s">
        <v>2008</v>
      </c>
      <c r="X57" t="s">
        <v>176</v>
      </c>
      <c r="Y57" t="s">
        <v>176</v>
      </c>
      <c r="Z57" t="s">
        <v>176</v>
      </c>
      <c r="AA57" t="s">
        <v>2009</v>
      </c>
      <c r="AB57" t="s">
        <v>2010</v>
      </c>
      <c r="AC57" t="s">
        <v>2011</v>
      </c>
      <c r="AD57" t="s">
        <v>180</v>
      </c>
      <c r="AE57" t="s">
        <v>181</v>
      </c>
      <c r="AF57">
        <v>98.785317959999986</v>
      </c>
      <c r="AG57" t="s">
        <v>182</v>
      </c>
      <c r="AH57" t="s">
        <v>2012</v>
      </c>
      <c r="AI57" t="s">
        <v>2013</v>
      </c>
      <c r="AJ57" t="s">
        <v>2014</v>
      </c>
      <c r="AK57" t="s">
        <v>2015</v>
      </c>
      <c r="AL57">
        <v>32.29</v>
      </c>
      <c r="AM57" t="s">
        <v>947</v>
      </c>
      <c r="AN57" t="s">
        <v>2016</v>
      </c>
      <c r="AO57" t="s">
        <v>2017</v>
      </c>
      <c r="AP57" t="s">
        <v>2018</v>
      </c>
      <c r="AQ57" t="s">
        <v>195</v>
      </c>
      <c r="AR57" t="s">
        <v>2019</v>
      </c>
      <c r="AS57" t="s">
        <v>1517</v>
      </c>
      <c r="AT57" t="s">
        <v>223</v>
      </c>
      <c r="AU57" t="s">
        <v>2020</v>
      </c>
      <c r="AV57" t="s">
        <v>2021</v>
      </c>
      <c r="AW57" t="s">
        <v>2022</v>
      </c>
      <c r="AX57" t="s">
        <v>1520</v>
      </c>
      <c r="AY57" t="s">
        <v>2023</v>
      </c>
      <c r="AZ57" t="s">
        <v>1042</v>
      </c>
      <c r="BA57" t="s">
        <v>2024</v>
      </c>
      <c r="BB57" t="s">
        <v>2025</v>
      </c>
      <c r="BC57" t="s">
        <v>2026</v>
      </c>
      <c r="BD57" t="s">
        <v>17</v>
      </c>
      <c r="BE57" t="s">
        <v>585</v>
      </c>
      <c r="BF57" t="s">
        <v>2027</v>
      </c>
      <c r="BG57" t="s">
        <v>2028</v>
      </c>
      <c r="BH57" t="s">
        <v>849</v>
      </c>
      <c r="BI57" t="s">
        <v>1647</v>
      </c>
      <c r="BJ57" t="s">
        <v>1686</v>
      </c>
      <c r="BK57" t="s">
        <v>17</v>
      </c>
      <c r="BL57" t="s">
        <v>1687</v>
      </c>
      <c r="BM57" t="s">
        <v>165</v>
      </c>
      <c r="BN57" t="s">
        <v>330</v>
      </c>
      <c r="BO57" t="s">
        <v>212</v>
      </c>
      <c r="BP57" t="s">
        <v>501</v>
      </c>
      <c r="BQ57" t="s">
        <v>2029</v>
      </c>
      <c r="BR57" t="s">
        <v>2030</v>
      </c>
      <c r="BS57" t="s">
        <v>2031</v>
      </c>
      <c r="BT57" t="s">
        <v>165</v>
      </c>
      <c r="BU57" t="s">
        <v>217</v>
      </c>
      <c r="BV57" t="s">
        <v>212</v>
      </c>
      <c r="BW57" t="s">
        <v>218</v>
      </c>
      <c r="BX57" t="s">
        <v>219</v>
      </c>
      <c r="BY57" t="s">
        <v>176</v>
      </c>
      <c r="BZ57" t="s">
        <v>220</v>
      </c>
      <c r="CA57" t="s">
        <v>176</v>
      </c>
      <c r="CB57" t="s">
        <v>176</v>
      </c>
      <c r="CC57" t="s">
        <v>221</v>
      </c>
      <c r="CD57" t="s">
        <v>222</v>
      </c>
      <c r="CE57" t="s">
        <v>223</v>
      </c>
      <c r="CF57" t="s">
        <v>224</v>
      </c>
      <c r="CG57" t="s">
        <v>225</v>
      </c>
      <c r="CH57" t="s">
        <v>226</v>
      </c>
      <c r="CI57" t="s">
        <v>182</v>
      </c>
      <c r="CJ57" t="s">
        <v>218</v>
      </c>
      <c r="CK57" t="s">
        <v>227</v>
      </c>
      <c r="CL57" t="s">
        <v>227</v>
      </c>
      <c r="CM57" t="s">
        <v>227</v>
      </c>
      <c r="CN57" t="s">
        <v>176</v>
      </c>
      <c r="CO57" t="s">
        <v>228</v>
      </c>
      <c r="CP57" t="s">
        <v>176</v>
      </c>
      <c r="CQ57" t="s">
        <v>176</v>
      </c>
      <c r="CR57" t="s">
        <v>176</v>
      </c>
      <c r="CS57" t="s">
        <v>176</v>
      </c>
      <c r="CT57" t="s">
        <v>2032</v>
      </c>
      <c r="CU57" t="s">
        <v>2033</v>
      </c>
      <c r="CV57" t="s">
        <v>2034</v>
      </c>
      <c r="CW57" t="s">
        <v>2035</v>
      </c>
      <c r="CX57" t="s">
        <v>2036</v>
      </c>
      <c r="CY57" t="s">
        <v>2037</v>
      </c>
      <c r="CZ57" t="s">
        <v>2038</v>
      </c>
      <c r="DA57" t="s">
        <v>2039</v>
      </c>
      <c r="DB57" t="s">
        <v>2009</v>
      </c>
      <c r="DC57" t="s">
        <v>297</v>
      </c>
      <c r="DD57" t="s">
        <v>238</v>
      </c>
      <c r="DE57" t="s">
        <v>239</v>
      </c>
      <c r="DF57" t="s">
        <v>182</v>
      </c>
      <c r="DG57" t="s">
        <v>240</v>
      </c>
      <c r="DH57" t="s">
        <v>241</v>
      </c>
      <c r="DI57" t="s">
        <v>182</v>
      </c>
      <c r="DJ57" t="s">
        <v>242</v>
      </c>
      <c r="DK57" t="s">
        <v>243</v>
      </c>
      <c r="DL57" t="s">
        <v>244</v>
      </c>
      <c r="DM57" t="s">
        <v>176</v>
      </c>
      <c r="DN57" t="s">
        <v>2008</v>
      </c>
      <c r="DO57" t="s">
        <v>245</v>
      </c>
      <c r="DP57" t="s">
        <v>246</v>
      </c>
      <c r="DQ57" t="s">
        <v>247</v>
      </c>
      <c r="DR57" t="s">
        <v>248</v>
      </c>
      <c r="DS57" t="s">
        <v>249</v>
      </c>
      <c r="DT57" t="s">
        <v>250</v>
      </c>
    </row>
    <row r="58" spans="1:124" x14ac:dyDescent="0.45">
      <c r="A58" t="s">
        <v>2040</v>
      </c>
      <c r="B58" t="s">
        <v>2041</v>
      </c>
      <c r="C58" t="s">
        <v>17</v>
      </c>
      <c r="D58" t="s">
        <v>167</v>
      </c>
      <c r="E58" t="s">
        <v>168</v>
      </c>
      <c r="I58" t="s">
        <v>2042</v>
      </c>
      <c r="J58">
        <v>0.1278230210661013</v>
      </c>
      <c r="K58">
        <v>2.66332272</v>
      </c>
      <c r="L58">
        <v>0.1219692512417337</v>
      </c>
      <c r="M58">
        <v>3.5169941422953812</v>
      </c>
      <c r="N58" t="s">
        <v>2043</v>
      </c>
      <c r="O58" t="s">
        <v>2044</v>
      </c>
      <c r="P58">
        <v>5.1667706975753118</v>
      </c>
      <c r="Q58">
        <v>2.801436697575312</v>
      </c>
      <c r="R58" t="s">
        <v>2045</v>
      </c>
      <c r="S58" t="s">
        <v>2046</v>
      </c>
      <c r="T58">
        <v>51.196697360040737</v>
      </c>
      <c r="U58">
        <v>0.4417875</v>
      </c>
      <c r="V58" t="s">
        <v>174</v>
      </c>
      <c r="W58" t="s">
        <v>2047</v>
      </c>
      <c r="X58" t="s">
        <v>176</v>
      </c>
      <c r="Y58" t="s">
        <v>176</v>
      </c>
      <c r="Z58" t="s">
        <v>176</v>
      </c>
      <c r="AA58" t="s">
        <v>2048</v>
      </c>
      <c r="AB58" t="s">
        <v>2049</v>
      </c>
      <c r="AC58" t="s">
        <v>2050</v>
      </c>
      <c r="AD58" t="s">
        <v>180</v>
      </c>
      <c r="AE58" t="s">
        <v>181</v>
      </c>
      <c r="AF58">
        <v>46.078572540000003</v>
      </c>
      <c r="AG58" t="s">
        <v>182</v>
      </c>
      <c r="AH58" t="s">
        <v>2051</v>
      </c>
      <c r="AI58" t="s">
        <v>2052</v>
      </c>
      <c r="AJ58" t="s">
        <v>2053</v>
      </c>
      <c r="AK58" t="s">
        <v>2054</v>
      </c>
      <c r="AL58">
        <v>33.4</v>
      </c>
      <c r="AM58" t="s">
        <v>1318</v>
      </c>
      <c r="AN58" t="s">
        <v>2055</v>
      </c>
      <c r="AO58" t="s">
        <v>2056</v>
      </c>
      <c r="AP58" t="s">
        <v>2057</v>
      </c>
      <c r="AQ58" t="s">
        <v>1120</v>
      </c>
      <c r="AR58" t="s">
        <v>2058</v>
      </c>
      <c r="AS58" t="s">
        <v>2059</v>
      </c>
      <c r="AT58" t="s">
        <v>223</v>
      </c>
      <c r="AU58" t="s">
        <v>2060</v>
      </c>
      <c r="AV58" t="s">
        <v>2061</v>
      </c>
      <c r="AW58" t="s">
        <v>2062</v>
      </c>
      <c r="AX58" t="s">
        <v>2063</v>
      </c>
      <c r="AY58" t="s">
        <v>2064</v>
      </c>
      <c r="AZ58" t="s">
        <v>1042</v>
      </c>
      <c r="BA58" t="s">
        <v>2065</v>
      </c>
      <c r="BB58" t="s">
        <v>2066</v>
      </c>
      <c r="BC58" t="s">
        <v>2067</v>
      </c>
      <c r="BD58" t="s">
        <v>17</v>
      </c>
      <c r="BE58" t="s">
        <v>1086</v>
      </c>
      <c r="BF58" t="s">
        <v>1001</v>
      </c>
      <c r="BG58" t="s">
        <v>2068</v>
      </c>
      <c r="BH58" t="s">
        <v>890</v>
      </c>
      <c r="BI58" t="s">
        <v>2069</v>
      </c>
      <c r="BJ58" t="s">
        <v>1686</v>
      </c>
      <c r="BK58" t="s">
        <v>17</v>
      </c>
      <c r="BL58" t="s">
        <v>1687</v>
      </c>
      <c r="BM58" t="s">
        <v>165</v>
      </c>
      <c r="BN58" t="s">
        <v>211</v>
      </c>
      <c r="BO58" t="s">
        <v>212</v>
      </c>
      <c r="BP58" t="s">
        <v>331</v>
      </c>
      <c r="BQ58" t="s">
        <v>2070</v>
      </c>
      <c r="BR58" t="s">
        <v>1250</v>
      </c>
      <c r="BS58" t="s">
        <v>2071</v>
      </c>
      <c r="BT58" t="s">
        <v>165</v>
      </c>
      <c r="BU58" t="s">
        <v>217</v>
      </c>
      <c r="BV58" t="s">
        <v>212</v>
      </c>
      <c r="BW58" t="s">
        <v>218</v>
      </c>
      <c r="BX58" t="s">
        <v>219</v>
      </c>
      <c r="BY58" t="s">
        <v>176</v>
      </c>
      <c r="BZ58" t="s">
        <v>220</v>
      </c>
      <c r="CA58" t="s">
        <v>176</v>
      </c>
      <c r="CB58" t="s">
        <v>176</v>
      </c>
      <c r="CC58" t="s">
        <v>221</v>
      </c>
      <c r="CD58" t="s">
        <v>222</v>
      </c>
      <c r="CE58" t="s">
        <v>223</v>
      </c>
      <c r="CF58" t="s">
        <v>224</v>
      </c>
      <c r="CG58" t="s">
        <v>225</v>
      </c>
      <c r="CH58" t="s">
        <v>226</v>
      </c>
      <c r="CI58" t="s">
        <v>182</v>
      </c>
      <c r="CJ58" t="s">
        <v>218</v>
      </c>
      <c r="CK58" t="s">
        <v>227</v>
      </c>
      <c r="CL58" t="s">
        <v>227</v>
      </c>
      <c r="CM58" t="s">
        <v>227</v>
      </c>
      <c r="CN58" t="s">
        <v>176</v>
      </c>
      <c r="CO58" t="s">
        <v>228</v>
      </c>
      <c r="CP58" t="s">
        <v>176</v>
      </c>
      <c r="CQ58" t="s">
        <v>176</v>
      </c>
      <c r="CR58" t="s">
        <v>176</v>
      </c>
      <c r="CS58" t="s">
        <v>176</v>
      </c>
      <c r="CT58" t="s">
        <v>2072</v>
      </c>
      <c r="CU58" t="s">
        <v>2073</v>
      </c>
      <c r="CV58" t="s">
        <v>2074</v>
      </c>
      <c r="CW58" t="s">
        <v>2075</v>
      </c>
      <c r="CX58" t="s">
        <v>2076</v>
      </c>
      <c r="CY58" t="s">
        <v>2077</v>
      </c>
      <c r="CZ58" t="s">
        <v>2078</v>
      </c>
      <c r="DA58" t="s">
        <v>2079</v>
      </c>
      <c r="DB58" t="s">
        <v>2048</v>
      </c>
      <c r="DC58" t="s">
        <v>2080</v>
      </c>
      <c r="DD58" t="s">
        <v>238</v>
      </c>
      <c r="DE58" t="s">
        <v>239</v>
      </c>
      <c r="DF58" t="s">
        <v>182</v>
      </c>
      <c r="DG58" t="s">
        <v>240</v>
      </c>
      <c r="DH58" t="s">
        <v>241</v>
      </c>
      <c r="DI58" t="s">
        <v>182</v>
      </c>
      <c r="DJ58" t="s">
        <v>242</v>
      </c>
      <c r="DK58" t="s">
        <v>243</v>
      </c>
      <c r="DL58" t="s">
        <v>244</v>
      </c>
      <c r="DM58" t="s">
        <v>176</v>
      </c>
      <c r="DN58" t="s">
        <v>2047</v>
      </c>
      <c r="DO58" t="s">
        <v>245</v>
      </c>
      <c r="DP58" t="s">
        <v>246</v>
      </c>
      <c r="DQ58" t="s">
        <v>247</v>
      </c>
      <c r="DR58" t="s">
        <v>248</v>
      </c>
      <c r="DS58" t="s">
        <v>249</v>
      </c>
      <c r="DT58" t="s">
        <v>250</v>
      </c>
    </row>
    <row r="59" spans="1:124" x14ac:dyDescent="0.45">
      <c r="A59" t="s">
        <v>2081</v>
      </c>
      <c r="B59" t="s">
        <v>2082</v>
      </c>
      <c r="C59" t="s">
        <v>17</v>
      </c>
      <c r="D59" t="s">
        <v>167</v>
      </c>
      <c r="E59" t="s">
        <v>168</v>
      </c>
      <c r="I59" t="s">
        <v>2083</v>
      </c>
      <c r="J59">
        <v>0.2076521556311085</v>
      </c>
      <c r="K59">
        <v>2.701298</v>
      </c>
      <c r="L59">
        <v>0.192829138586703</v>
      </c>
      <c r="M59">
        <v>5.2260136403323543</v>
      </c>
      <c r="N59" t="s">
        <v>2084</v>
      </c>
      <c r="O59" t="s">
        <v>2085</v>
      </c>
      <c r="P59">
        <v>4.992799732688014</v>
      </c>
      <c r="Q59">
        <v>2.6355997326880138</v>
      </c>
      <c r="R59" t="s">
        <v>2086</v>
      </c>
      <c r="S59" t="s">
        <v>2087</v>
      </c>
      <c r="T59">
        <v>49.472847133254199</v>
      </c>
      <c r="U59">
        <v>0.4417875</v>
      </c>
      <c r="V59" t="s">
        <v>174</v>
      </c>
      <c r="W59" t="s">
        <v>2088</v>
      </c>
      <c r="X59" t="s">
        <v>176</v>
      </c>
      <c r="Y59" t="s">
        <v>176</v>
      </c>
      <c r="Z59" t="s">
        <v>176</v>
      </c>
      <c r="AA59" t="s">
        <v>2089</v>
      </c>
      <c r="AB59" t="s">
        <v>2090</v>
      </c>
      <c r="AC59" t="s">
        <v>2091</v>
      </c>
      <c r="AD59" t="s">
        <v>180</v>
      </c>
      <c r="AE59" t="s">
        <v>181</v>
      </c>
      <c r="AF59">
        <v>39.632092499999999</v>
      </c>
      <c r="AG59" t="s">
        <v>182</v>
      </c>
      <c r="AH59" t="s">
        <v>2092</v>
      </c>
      <c r="AI59" t="s">
        <v>2093</v>
      </c>
      <c r="AJ59" t="s">
        <v>1431</v>
      </c>
      <c r="AK59" t="s">
        <v>1114</v>
      </c>
      <c r="AL59">
        <v>32.79</v>
      </c>
      <c r="AM59" t="s">
        <v>1318</v>
      </c>
      <c r="AN59" t="s">
        <v>1793</v>
      </c>
      <c r="AO59" t="s">
        <v>2094</v>
      </c>
      <c r="AP59" t="s">
        <v>2095</v>
      </c>
      <c r="AQ59" t="s">
        <v>1639</v>
      </c>
      <c r="AR59" t="s">
        <v>2096</v>
      </c>
      <c r="AS59" t="s">
        <v>408</v>
      </c>
      <c r="AT59" t="s">
        <v>223</v>
      </c>
      <c r="AU59" t="s">
        <v>2097</v>
      </c>
      <c r="AV59" t="s">
        <v>2098</v>
      </c>
      <c r="AW59" t="s">
        <v>2099</v>
      </c>
      <c r="AX59" t="s">
        <v>2100</v>
      </c>
      <c r="AY59" t="s">
        <v>2101</v>
      </c>
      <c r="AZ59" t="s">
        <v>1042</v>
      </c>
      <c r="BA59" t="s">
        <v>2102</v>
      </c>
      <c r="BB59" t="s">
        <v>1274</v>
      </c>
      <c r="BC59" t="s">
        <v>2103</v>
      </c>
      <c r="BD59" t="s">
        <v>17</v>
      </c>
      <c r="BE59" t="s">
        <v>2104</v>
      </c>
      <c r="BF59" t="s">
        <v>669</v>
      </c>
      <c r="BG59" t="s">
        <v>1684</v>
      </c>
      <c r="BH59" t="s">
        <v>932</v>
      </c>
      <c r="BI59" t="s">
        <v>2105</v>
      </c>
      <c r="BJ59" t="s">
        <v>2106</v>
      </c>
      <c r="BK59" t="s">
        <v>17</v>
      </c>
      <c r="BL59" t="s">
        <v>2107</v>
      </c>
      <c r="BM59" t="s">
        <v>165</v>
      </c>
      <c r="BN59" t="s">
        <v>211</v>
      </c>
      <c r="BO59" t="s">
        <v>330</v>
      </c>
      <c r="BP59" t="s">
        <v>1003</v>
      </c>
      <c r="BQ59" t="s">
        <v>2108</v>
      </c>
      <c r="BR59" t="s">
        <v>2109</v>
      </c>
      <c r="BS59" t="s">
        <v>2110</v>
      </c>
      <c r="BT59" t="s">
        <v>165</v>
      </c>
      <c r="BU59" t="s">
        <v>217</v>
      </c>
      <c r="BV59" t="s">
        <v>212</v>
      </c>
      <c r="BW59" t="s">
        <v>218</v>
      </c>
      <c r="BX59" t="s">
        <v>219</v>
      </c>
      <c r="BY59" t="s">
        <v>176</v>
      </c>
      <c r="BZ59" t="s">
        <v>220</v>
      </c>
      <c r="CA59" t="s">
        <v>176</v>
      </c>
      <c r="CB59" t="s">
        <v>176</v>
      </c>
      <c r="CC59" t="s">
        <v>221</v>
      </c>
      <c r="CD59" t="s">
        <v>222</v>
      </c>
      <c r="CE59" t="s">
        <v>223</v>
      </c>
      <c r="CF59" t="s">
        <v>224</v>
      </c>
      <c r="CG59" t="s">
        <v>225</v>
      </c>
      <c r="CH59" t="s">
        <v>226</v>
      </c>
      <c r="CI59" t="s">
        <v>182</v>
      </c>
      <c r="CJ59" t="s">
        <v>218</v>
      </c>
      <c r="CK59" t="s">
        <v>227</v>
      </c>
      <c r="CL59" t="s">
        <v>227</v>
      </c>
      <c r="CM59" t="s">
        <v>227</v>
      </c>
      <c r="CN59" t="s">
        <v>176</v>
      </c>
      <c r="CO59" t="s">
        <v>228</v>
      </c>
      <c r="CP59" t="s">
        <v>176</v>
      </c>
      <c r="CQ59" t="s">
        <v>176</v>
      </c>
      <c r="CR59" t="s">
        <v>176</v>
      </c>
      <c r="CS59" t="s">
        <v>176</v>
      </c>
      <c r="CT59" t="s">
        <v>2111</v>
      </c>
      <c r="CU59" t="s">
        <v>2112</v>
      </c>
      <c r="CV59" t="s">
        <v>2113</v>
      </c>
      <c r="CW59" t="s">
        <v>2114</v>
      </c>
      <c r="CX59" t="s">
        <v>2115</v>
      </c>
      <c r="CY59" t="s">
        <v>2116</v>
      </c>
      <c r="CZ59" t="s">
        <v>2117</v>
      </c>
      <c r="DA59" t="s">
        <v>2118</v>
      </c>
      <c r="DB59" t="s">
        <v>2089</v>
      </c>
      <c r="DC59" t="s">
        <v>1924</v>
      </c>
      <c r="DD59" t="s">
        <v>238</v>
      </c>
      <c r="DE59" t="s">
        <v>239</v>
      </c>
      <c r="DF59" t="s">
        <v>182</v>
      </c>
      <c r="DG59" t="s">
        <v>240</v>
      </c>
      <c r="DH59" t="s">
        <v>241</v>
      </c>
      <c r="DI59" t="s">
        <v>182</v>
      </c>
      <c r="DJ59" t="s">
        <v>242</v>
      </c>
      <c r="DK59" t="s">
        <v>243</v>
      </c>
      <c r="DL59" t="s">
        <v>244</v>
      </c>
      <c r="DM59" t="s">
        <v>176</v>
      </c>
      <c r="DN59" t="s">
        <v>2088</v>
      </c>
      <c r="DO59" t="s">
        <v>245</v>
      </c>
      <c r="DP59" t="s">
        <v>246</v>
      </c>
      <c r="DQ59" t="s">
        <v>247</v>
      </c>
      <c r="DR59" t="s">
        <v>248</v>
      </c>
      <c r="DS59" t="s">
        <v>249</v>
      </c>
      <c r="DT59" t="s">
        <v>250</v>
      </c>
    </row>
    <row r="60" spans="1:124" x14ac:dyDescent="0.45">
      <c r="A60" t="s">
        <v>2119</v>
      </c>
      <c r="B60" t="s">
        <v>2120</v>
      </c>
      <c r="C60" t="s">
        <v>17</v>
      </c>
      <c r="D60" t="s">
        <v>167</v>
      </c>
      <c r="E60" t="s">
        <v>168</v>
      </c>
      <c r="I60" t="s">
        <v>2121</v>
      </c>
      <c r="J60">
        <v>0.22576604081812221</v>
      </c>
      <c r="K60">
        <v>2.77253208</v>
      </c>
      <c r="L60">
        <v>0.2087662952515332</v>
      </c>
      <c r="M60">
        <v>5.583476934828659</v>
      </c>
      <c r="N60" t="s">
        <v>2122</v>
      </c>
      <c r="O60" t="s">
        <v>2123</v>
      </c>
      <c r="P60">
        <v>4.9899907537265848</v>
      </c>
      <c r="Q60">
        <v>2.6001617537265851</v>
      </c>
      <c r="R60" t="s">
        <v>2124</v>
      </c>
      <c r="S60" t="s">
        <v>2125</v>
      </c>
      <c r="T60">
        <v>49.449913325999248</v>
      </c>
      <c r="U60">
        <v>0.4417875</v>
      </c>
      <c r="V60" t="s">
        <v>174</v>
      </c>
      <c r="W60" t="s">
        <v>2126</v>
      </c>
      <c r="X60" t="s">
        <v>176</v>
      </c>
      <c r="Y60" t="s">
        <v>176</v>
      </c>
      <c r="Z60" t="s">
        <v>176</v>
      </c>
      <c r="AA60" t="s">
        <v>2127</v>
      </c>
      <c r="AB60" t="s">
        <v>2128</v>
      </c>
      <c r="AC60" t="s">
        <v>2129</v>
      </c>
      <c r="AD60" t="s">
        <v>180</v>
      </c>
      <c r="AE60" t="s">
        <v>181</v>
      </c>
      <c r="AF60">
        <v>154.09348542000001</v>
      </c>
      <c r="AG60" t="s">
        <v>182</v>
      </c>
      <c r="AH60" t="s">
        <v>2130</v>
      </c>
      <c r="AI60" t="s">
        <v>1591</v>
      </c>
      <c r="AJ60" t="s">
        <v>2131</v>
      </c>
      <c r="AK60" t="s">
        <v>2132</v>
      </c>
      <c r="AL60">
        <v>32.78</v>
      </c>
      <c r="AM60" t="s">
        <v>2133</v>
      </c>
      <c r="AN60" t="s">
        <v>2134</v>
      </c>
      <c r="AO60" t="s">
        <v>2135</v>
      </c>
      <c r="AP60" t="s">
        <v>2136</v>
      </c>
      <c r="AQ60" t="s">
        <v>2137</v>
      </c>
      <c r="AR60" t="s">
        <v>2138</v>
      </c>
      <c r="AS60" t="s">
        <v>1980</v>
      </c>
      <c r="AT60" t="s">
        <v>223</v>
      </c>
      <c r="AU60" t="s">
        <v>1438</v>
      </c>
      <c r="AV60" t="s">
        <v>2139</v>
      </c>
      <c r="AW60" t="s">
        <v>2140</v>
      </c>
      <c r="AX60" t="s">
        <v>1984</v>
      </c>
      <c r="AY60" t="s">
        <v>2141</v>
      </c>
      <c r="AZ60" t="s">
        <v>1042</v>
      </c>
      <c r="BA60" t="s">
        <v>2142</v>
      </c>
      <c r="BB60" t="s">
        <v>2143</v>
      </c>
      <c r="BC60" t="s">
        <v>2144</v>
      </c>
      <c r="BD60" t="s">
        <v>17</v>
      </c>
      <c r="BE60" t="s">
        <v>2145</v>
      </c>
      <c r="BF60" t="s">
        <v>2146</v>
      </c>
      <c r="BG60" t="s">
        <v>2147</v>
      </c>
      <c r="BH60" t="s">
        <v>890</v>
      </c>
      <c r="BI60" t="s">
        <v>2148</v>
      </c>
      <c r="BJ60" t="s">
        <v>2106</v>
      </c>
      <c r="BK60" t="s">
        <v>17</v>
      </c>
      <c r="BL60" t="s">
        <v>2107</v>
      </c>
      <c r="BM60" t="s">
        <v>165</v>
      </c>
      <c r="BN60" t="s">
        <v>211</v>
      </c>
      <c r="BO60" t="s">
        <v>330</v>
      </c>
      <c r="BP60" t="s">
        <v>212</v>
      </c>
      <c r="BQ60" t="s">
        <v>2149</v>
      </c>
      <c r="BR60" t="s">
        <v>2150</v>
      </c>
      <c r="BS60" t="s">
        <v>2151</v>
      </c>
      <c r="BT60" t="s">
        <v>165</v>
      </c>
      <c r="BU60" t="s">
        <v>217</v>
      </c>
      <c r="BV60" t="s">
        <v>212</v>
      </c>
      <c r="BW60" t="s">
        <v>218</v>
      </c>
      <c r="BX60" t="s">
        <v>219</v>
      </c>
      <c r="BY60" t="s">
        <v>176</v>
      </c>
      <c r="BZ60" t="s">
        <v>220</v>
      </c>
      <c r="CA60" t="s">
        <v>176</v>
      </c>
      <c r="CB60" t="s">
        <v>176</v>
      </c>
      <c r="CC60" t="s">
        <v>221</v>
      </c>
      <c r="CD60" t="s">
        <v>222</v>
      </c>
      <c r="CE60" t="s">
        <v>223</v>
      </c>
      <c r="CF60" t="s">
        <v>224</v>
      </c>
      <c r="CG60" t="s">
        <v>225</v>
      </c>
      <c r="CH60" t="s">
        <v>226</v>
      </c>
      <c r="CI60" t="s">
        <v>182</v>
      </c>
      <c r="CJ60" t="s">
        <v>218</v>
      </c>
      <c r="CK60" t="s">
        <v>227</v>
      </c>
      <c r="CL60" t="s">
        <v>227</v>
      </c>
      <c r="CM60" t="s">
        <v>227</v>
      </c>
      <c r="CN60" t="s">
        <v>176</v>
      </c>
      <c r="CO60" t="s">
        <v>228</v>
      </c>
      <c r="CP60" t="s">
        <v>176</v>
      </c>
      <c r="CQ60" t="s">
        <v>176</v>
      </c>
      <c r="CR60" t="s">
        <v>176</v>
      </c>
      <c r="CS60" t="s">
        <v>176</v>
      </c>
      <c r="CT60" t="s">
        <v>1611</v>
      </c>
      <c r="CU60" t="s">
        <v>2152</v>
      </c>
      <c r="CV60" t="s">
        <v>2153</v>
      </c>
      <c r="CW60" t="s">
        <v>2154</v>
      </c>
      <c r="CX60" t="s">
        <v>2155</v>
      </c>
      <c r="CY60" t="s">
        <v>2156</v>
      </c>
      <c r="CZ60" t="s">
        <v>2157</v>
      </c>
      <c r="DA60" t="s">
        <v>2158</v>
      </c>
      <c r="DB60" t="s">
        <v>2127</v>
      </c>
      <c r="DC60" t="s">
        <v>766</v>
      </c>
      <c r="DD60" t="s">
        <v>238</v>
      </c>
      <c r="DE60" t="s">
        <v>239</v>
      </c>
      <c r="DF60" t="s">
        <v>182</v>
      </c>
      <c r="DG60" t="s">
        <v>240</v>
      </c>
      <c r="DH60" t="s">
        <v>241</v>
      </c>
      <c r="DI60" t="s">
        <v>182</v>
      </c>
      <c r="DJ60" t="s">
        <v>242</v>
      </c>
      <c r="DK60" t="s">
        <v>243</v>
      </c>
      <c r="DL60" t="s">
        <v>244</v>
      </c>
      <c r="DM60" t="s">
        <v>176</v>
      </c>
      <c r="DN60" t="s">
        <v>2126</v>
      </c>
      <c r="DO60" t="s">
        <v>245</v>
      </c>
      <c r="DP60" t="s">
        <v>246</v>
      </c>
      <c r="DQ60" t="s">
        <v>247</v>
      </c>
      <c r="DR60" t="s">
        <v>248</v>
      </c>
      <c r="DS60" t="s">
        <v>249</v>
      </c>
      <c r="DT60" t="s">
        <v>250</v>
      </c>
    </row>
    <row r="61" spans="1:124" x14ac:dyDescent="0.45">
      <c r="A61" t="s">
        <v>2159</v>
      </c>
      <c r="B61" t="s">
        <v>2160</v>
      </c>
      <c r="C61" t="s">
        <v>17</v>
      </c>
      <c r="D61" t="s">
        <v>167</v>
      </c>
      <c r="E61" t="s">
        <v>168</v>
      </c>
      <c r="I61" t="s">
        <v>2161</v>
      </c>
      <c r="J61">
        <v>1.486538452101027E-2</v>
      </c>
      <c r="K61">
        <v>2.7056623200000001</v>
      </c>
      <c r="L61">
        <v>1.478415775879415E-2</v>
      </c>
      <c r="M61">
        <v>0.46227217883872151</v>
      </c>
      <c r="N61" t="s">
        <v>2162</v>
      </c>
      <c r="O61" t="s">
        <v>2163</v>
      </c>
      <c r="P61">
        <v>5.4360982164928009</v>
      </c>
      <c r="Q61">
        <v>3.0326332164928012</v>
      </c>
      <c r="R61" t="s">
        <v>2164</v>
      </c>
      <c r="S61" t="s">
        <v>2165</v>
      </c>
      <c r="T61">
        <v>53.870758264719058</v>
      </c>
      <c r="U61">
        <v>0.4417875</v>
      </c>
      <c r="V61" t="s">
        <v>174</v>
      </c>
      <c r="W61" t="s">
        <v>2166</v>
      </c>
      <c r="X61" t="s">
        <v>176</v>
      </c>
      <c r="Y61" t="s">
        <v>176</v>
      </c>
      <c r="Z61" t="s">
        <v>176</v>
      </c>
      <c r="AA61" t="s">
        <v>2167</v>
      </c>
      <c r="AB61" t="s">
        <v>2168</v>
      </c>
      <c r="AC61" t="s">
        <v>2169</v>
      </c>
      <c r="AD61" t="s">
        <v>180</v>
      </c>
      <c r="AE61" t="s">
        <v>181</v>
      </c>
      <c r="AF61">
        <v>36.77101974</v>
      </c>
      <c r="AG61" t="s">
        <v>182</v>
      </c>
      <c r="AH61" t="s">
        <v>2170</v>
      </c>
      <c r="AI61" t="s">
        <v>1751</v>
      </c>
      <c r="AJ61" t="s">
        <v>1592</v>
      </c>
      <c r="AK61" t="s">
        <v>2171</v>
      </c>
      <c r="AL61">
        <v>34.31</v>
      </c>
      <c r="AM61" t="s">
        <v>2133</v>
      </c>
      <c r="AN61" t="s">
        <v>2172</v>
      </c>
      <c r="AO61" t="s">
        <v>1594</v>
      </c>
      <c r="AP61" t="s">
        <v>739</v>
      </c>
      <c r="AQ61" t="s">
        <v>2173</v>
      </c>
      <c r="AR61" t="s">
        <v>2138</v>
      </c>
      <c r="AS61" t="s">
        <v>742</v>
      </c>
      <c r="AT61" t="s">
        <v>344</v>
      </c>
      <c r="AU61" t="s">
        <v>2173</v>
      </c>
      <c r="AV61" t="s">
        <v>2174</v>
      </c>
      <c r="AW61" t="s">
        <v>2175</v>
      </c>
      <c r="AX61" t="s">
        <v>1441</v>
      </c>
      <c r="AY61" t="s">
        <v>2176</v>
      </c>
      <c r="AZ61" t="s">
        <v>1042</v>
      </c>
      <c r="BA61" t="s">
        <v>2142</v>
      </c>
      <c r="BB61" t="s">
        <v>2143</v>
      </c>
      <c r="BC61" t="s">
        <v>2177</v>
      </c>
      <c r="BD61" t="s">
        <v>17</v>
      </c>
      <c r="BE61" t="s">
        <v>917</v>
      </c>
      <c r="BF61" t="s">
        <v>2178</v>
      </c>
      <c r="BG61" t="s">
        <v>1289</v>
      </c>
      <c r="BH61" t="s">
        <v>849</v>
      </c>
      <c r="BI61" t="s">
        <v>2069</v>
      </c>
      <c r="BJ61" t="s">
        <v>2106</v>
      </c>
      <c r="BK61" t="s">
        <v>17</v>
      </c>
      <c r="BL61" t="s">
        <v>2107</v>
      </c>
      <c r="BM61" t="s">
        <v>165</v>
      </c>
      <c r="BN61" t="s">
        <v>212</v>
      </c>
      <c r="BO61" t="s">
        <v>284</v>
      </c>
      <c r="BP61" t="s">
        <v>331</v>
      </c>
      <c r="BQ61" t="s">
        <v>2179</v>
      </c>
      <c r="BR61" t="s">
        <v>2180</v>
      </c>
      <c r="BS61" t="s">
        <v>2181</v>
      </c>
      <c r="BT61" t="s">
        <v>165</v>
      </c>
      <c r="BU61" t="s">
        <v>217</v>
      </c>
      <c r="BV61" t="s">
        <v>212</v>
      </c>
      <c r="BW61" t="s">
        <v>218</v>
      </c>
      <c r="BX61" t="s">
        <v>219</v>
      </c>
      <c r="BY61" t="s">
        <v>176</v>
      </c>
      <c r="BZ61" t="s">
        <v>220</v>
      </c>
      <c r="CA61" t="s">
        <v>176</v>
      </c>
      <c r="CB61" t="s">
        <v>176</v>
      </c>
      <c r="CC61" t="s">
        <v>221</v>
      </c>
      <c r="CD61" t="s">
        <v>222</v>
      </c>
      <c r="CE61" t="s">
        <v>223</v>
      </c>
      <c r="CF61" t="s">
        <v>224</v>
      </c>
      <c r="CG61" t="s">
        <v>225</v>
      </c>
      <c r="CH61" t="s">
        <v>226</v>
      </c>
      <c r="CI61" t="s">
        <v>182</v>
      </c>
      <c r="CJ61" t="s">
        <v>218</v>
      </c>
      <c r="CK61" t="s">
        <v>227</v>
      </c>
      <c r="CL61" t="s">
        <v>227</v>
      </c>
      <c r="CM61" t="s">
        <v>227</v>
      </c>
      <c r="CN61" t="s">
        <v>176</v>
      </c>
      <c r="CO61" t="s">
        <v>228</v>
      </c>
      <c r="CP61" t="s">
        <v>176</v>
      </c>
      <c r="CQ61" t="s">
        <v>176</v>
      </c>
      <c r="CR61" t="s">
        <v>176</v>
      </c>
      <c r="CS61" t="s">
        <v>176</v>
      </c>
      <c r="CT61" t="s">
        <v>2182</v>
      </c>
      <c r="CU61" t="s">
        <v>2183</v>
      </c>
      <c r="CV61" t="s">
        <v>2184</v>
      </c>
      <c r="CW61" t="s">
        <v>2185</v>
      </c>
      <c r="CX61" t="s">
        <v>2186</v>
      </c>
      <c r="CY61" t="s">
        <v>2187</v>
      </c>
      <c r="CZ61" t="s">
        <v>2188</v>
      </c>
      <c r="DA61" t="s">
        <v>2189</v>
      </c>
      <c r="DB61" t="s">
        <v>2167</v>
      </c>
      <c r="DC61" t="s">
        <v>1338</v>
      </c>
      <c r="DD61" t="s">
        <v>238</v>
      </c>
      <c r="DE61" t="s">
        <v>239</v>
      </c>
      <c r="DF61" t="s">
        <v>182</v>
      </c>
      <c r="DG61" t="s">
        <v>240</v>
      </c>
      <c r="DH61" t="s">
        <v>241</v>
      </c>
      <c r="DI61" t="s">
        <v>182</v>
      </c>
      <c r="DJ61" t="s">
        <v>242</v>
      </c>
      <c r="DK61" t="s">
        <v>243</v>
      </c>
      <c r="DL61" t="s">
        <v>244</v>
      </c>
      <c r="DM61" t="s">
        <v>176</v>
      </c>
      <c r="DN61" t="s">
        <v>2166</v>
      </c>
      <c r="DO61" t="s">
        <v>245</v>
      </c>
      <c r="DP61" t="s">
        <v>246</v>
      </c>
      <c r="DQ61" t="s">
        <v>247</v>
      </c>
      <c r="DR61" t="s">
        <v>248</v>
      </c>
      <c r="DS61" t="s">
        <v>249</v>
      </c>
      <c r="DT61" t="s">
        <v>250</v>
      </c>
    </row>
    <row r="63" spans="1:124" x14ac:dyDescent="0.45">
      <c r="A63" t="s">
        <v>2190</v>
      </c>
      <c r="B63" t="s">
        <v>2191</v>
      </c>
      <c r="C63" t="s">
        <v>17</v>
      </c>
      <c r="D63" t="s">
        <v>167</v>
      </c>
      <c r="E63" t="s">
        <v>168</v>
      </c>
      <c r="I63" t="s">
        <v>2192</v>
      </c>
      <c r="J63">
        <v>0.57521039078172687</v>
      </c>
      <c r="K63">
        <v>2.70675</v>
      </c>
      <c r="L63">
        <v>0.47439656176886119</v>
      </c>
      <c r="M63">
        <v>10.42825399008086</v>
      </c>
      <c r="N63" t="s">
        <v>2193</v>
      </c>
      <c r="O63" t="s">
        <v>2194</v>
      </c>
      <c r="P63">
        <v>4.6600899859318314</v>
      </c>
      <c r="Q63">
        <v>2.1392299859318311</v>
      </c>
      <c r="R63" t="s">
        <v>2195</v>
      </c>
      <c r="S63" t="s">
        <v>2196</v>
      </c>
      <c r="T63">
        <v>46.180655890712814</v>
      </c>
      <c r="U63">
        <v>0.4417875</v>
      </c>
      <c r="V63" t="s">
        <v>174</v>
      </c>
      <c r="W63" t="s">
        <v>2197</v>
      </c>
      <c r="X63" t="s">
        <v>176</v>
      </c>
      <c r="Y63" t="s">
        <v>176</v>
      </c>
      <c r="Z63" t="s">
        <v>176</v>
      </c>
      <c r="AA63" t="s">
        <v>2198</v>
      </c>
      <c r="AB63" t="s">
        <v>2199</v>
      </c>
      <c r="AC63" t="s">
        <v>2200</v>
      </c>
      <c r="AD63" t="s">
        <v>180</v>
      </c>
      <c r="AE63" t="s">
        <v>181</v>
      </c>
      <c r="AF63">
        <v>148.60063932</v>
      </c>
      <c r="AG63" t="s">
        <v>182</v>
      </c>
      <c r="AH63" t="s">
        <v>2201</v>
      </c>
      <c r="AI63" t="s">
        <v>2202</v>
      </c>
      <c r="AJ63" t="s">
        <v>1352</v>
      </c>
      <c r="AK63" t="s">
        <v>2203</v>
      </c>
      <c r="AL63">
        <v>31.57</v>
      </c>
      <c r="AM63" t="s">
        <v>2133</v>
      </c>
      <c r="AN63" t="s">
        <v>782</v>
      </c>
      <c r="AO63" t="s">
        <v>2204</v>
      </c>
      <c r="AP63" t="s">
        <v>2205</v>
      </c>
      <c r="AQ63" t="s">
        <v>2206</v>
      </c>
      <c r="AR63" t="s">
        <v>2138</v>
      </c>
      <c r="AS63" t="s">
        <v>577</v>
      </c>
      <c r="AT63" t="s">
        <v>409</v>
      </c>
      <c r="AU63" t="s">
        <v>993</v>
      </c>
      <c r="AV63" t="s">
        <v>2207</v>
      </c>
      <c r="AW63" t="s">
        <v>2208</v>
      </c>
      <c r="AX63" t="s">
        <v>580</v>
      </c>
      <c r="AY63" t="s">
        <v>2209</v>
      </c>
      <c r="AZ63" t="s">
        <v>1042</v>
      </c>
      <c r="BA63" t="s">
        <v>2210</v>
      </c>
      <c r="BB63" t="s">
        <v>2211</v>
      </c>
      <c r="BC63" t="s">
        <v>2212</v>
      </c>
      <c r="BD63" t="s">
        <v>17</v>
      </c>
      <c r="BE63" t="s">
        <v>708</v>
      </c>
      <c r="BF63" t="s">
        <v>2213</v>
      </c>
      <c r="BG63" t="s">
        <v>1327</v>
      </c>
      <c r="BH63" t="s">
        <v>890</v>
      </c>
      <c r="BI63" t="s">
        <v>2105</v>
      </c>
      <c r="BJ63" t="s">
        <v>2106</v>
      </c>
      <c r="BK63" t="s">
        <v>17</v>
      </c>
      <c r="BL63" t="s">
        <v>2107</v>
      </c>
      <c r="BM63" t="s">
        <v>165</v>
      </c>
      <c r="BN63" t="s">
        <v>330</v>
      </c>
      <c r="BO63" t="s">
        <v>284</v>
      </c>
      <c r="BP63" t="s">
        <v>1003</v>
      </c>
      <c r="BQ63" t="s">
        <v>2214</v>
      </c>
      <c r="BR63" t="s">
        <v>2215</v>
      </c>
      <c r="BS63" t="s">
        <v>2216</v>
      </c>
      <c r="BT63" t="s">
        <v>165</v>
      </c>
      <c r="BU63" t="s">
        <v>217</v>
      </c>
      <c r="BV63" t="s">
        <v>212</v>
      </c>
      <c r="BW63" t="s">
        <v>218</v>
      </c>
      <c r="BX63" t="s">
        <v>219</v>
      </c>
      <c r="BY63" t="s">
        <v>176</v>
      </c>
      <c r="BZ63" t="s">
        <v>220</v>
      </c>
      <c r="CA63" t="s">
        <v>176</v>
      </c>
      <c r="CB63" t="s">
        <v>176</v>
      </c>
      <c r="CC63" t="s">
        <v>221</v>
      </c>
      <c r="CD63" t="s">
        <v>222</v>
      </c>
      <c r="CE63" t="s">
        <v>223</v>
      </c>
      <c r="CF63" t="s">
        <v>224</v>
      </c>
      <c r="CG63" t="s">
        <v>225</v>
      </c>
      <c r="CH63" t="s">
        <v>226</v>
      </c>
      <c r="CI63" t="s">
        <v>182</v>
      </c>
      <c r="CJ63" t="s">
        <v>218</v>
      </c>
      <c r="CK63" t="s">
        <v>227</v>
      </c>
      <c r="CL63" t="s">
        <v>227</v>
      </c>
      <c r="CM63" t="s">
        <v>227</v>
      </c>
      <c r="CN63" t="s">
        <v>176</v>
      </c>
      <c r="CO63" t="s">
        <v>228</v>
      </c>
      <c r="CP63" t="s">
        <v>176</v>
      </c>
      <c r="CQ63" t="s">
        <v>176</v>
      </c>
      <c r="CR63" t="s">
        <v>176</v>
      </c>
      <c r="CS63" t="s">
        <v>176</v>
      </c>
      <c r="CT63" t="s">
        <v>2217</v>
      </c>
      <c r="CU63" t="s">
        <v>2218</v>
      </c>
      <c r="CV63" t="s">
        <v>2219</v>
      </c>
      <c r="CW63" t="s">
        <v>2220</v>
      </c>
      <c r="CX63" t="s">
        <v>2221</v>
      </c>
      <c r="CY63" t="s">
        <v>2222</v>
      </c>
      <c r="CZ63" t="s">
        <v>2223</v>
      </c>
      <c r="DA63" t="s">
        <v>2224</v>
      </c>
      <c r="DB63" t="s">
        <v>2198</v>
      </c>
      <c r="DC63" t="s">
        <v>1099</v>
      </c>
      <c r="DD63" t="s">
        <v>238</v>
      </c>
      <c r="DE63" t="s">
        <v>239</v>
      </c>
      <c r="DF63" t="s">
        <v>182</v>
      </c>
      <c r="DG63" t="s">
        <v>240</v>
      </c>
      <c r="DH63" t="s">
        <v>241</v>
      </c>
      <c r="DI63" t="s">
        <v>182</v>
      </c>
      <c r="DJ63" t="s">
        <v>242</v>
      </c>
      <c r="DK63" t="s">
        <v>243</v>
      </c>
      <c r="DL63" t="s">
        <v>244</v>
      </c>
      <c r="DM63" t="s">
        <v>176</v>
      </c>
      <c r="DN63" t="s">
        <v>2197</v>
      </c>
      <c r="DO63" t="s">
        <v>245</v>
      </c>
      <c r="DP63" t="s">
        <v>246</v>
      </c>
      <c r="DQ63" t="s">
        <v>247</v>
      </c>
      <c r="DR63" t="s">
        <v>248</v>
      </c>
      <c r="DS63" t="s">
        <v>249</v>
      </c>
      <c r="DT63" t="s">
        <v>250</v>
      </c>
    </row>
    <row r="64" spans="1:124" x14ac:dyDescent="0.45">
      <c r="A64" t="s">
        <v>2225</v>
      </c>
      <c r="B64" t="s">
        <v>2226</v>
      </c>
      <c r="C64" t="s">
        <v>17</v>
      </c>
      <c r="D64" t="s">
        <v>167</v>
      </c>
      <c r="E64" t="s">
        <v>168</v>
      </c>
      <c r="I64" t="s">
        <v>2227</v>
      </c>
      <c r="J64">
        <v>0.72597426384235053</v>
      </c>
      <c r="K64">
        <v>2.6902919999999999</v>
      </c>
      <c r="L64">
        <v>0.57170097509445572</v>
      </c>
      <c r="M64">
        <v>11.10291622798322</v>
      </c>
      <c r="N64" t="s">
        <v>2228</v>
      </c>
      <c r="O64" t="s">
        <v>2229</v>
      </c>
      <c r="P64">
        <v>4.6627366073221719</v>
      </c>
      <c r="Q64">
        <v>1.8878516073221721</v>
      </c>
      <c r="R64" t="s">
        <v>2230</v>
      </c>
      <c r="S64" t="s">
        <v>2231</v>
      </c>
      <c r="T64">
        <v>46.202304868432137</v>
      </c>
      <c r="U64">
        <v>0.4417875</v>
      </c>
      <c r="V64" t="s">
        <v>174</v>
      </c>
      <c r="W64" t="s">
        <v>2232</v>
      </c>
      <c r="X64" t="s">
        <v>176</v>
      </c>
      <c r="Y64" t="s">
        <v>176</v>
      </c>
      <c r="Z64" t="s">
        <v>176</v>
      </c>
      <c r="AA64" t="s">
        <v>2233</v>
      </c>
      <c r="AB64" t="s">
        <v>2234</v>
      </c>
      <c r="AC64" t="s">
        <v>2235</v>
      </c>
      <c r="AD64" t="s">
        <v>180</v>
      </c>
      <c r="AE64" t="s">
        <v>181</v>
      </c>
      <c r="AF64">
        <v>216.39686544</v>
      </c>
      <c r="AG64" t="s">
        <v>182</v>
      </c>
      <c r="AH64" t="s">
        <v>2236</v>
      </c>
      <c r="AI64" t="s">
        <v>2237</v>
      </c>
      <c r="AJ64" t="s">
        <v>1592</v>
      </c>
      <c r="AK64" t="s">
        <v>2238</v>
      </c>
      <c r="AL64">
        <v>31.58</v>
      </c>
      <c r="AM64" t="s">
        <v>1318</v>
      </c>
      <c r="AN64" t="s">
        <v>2239</v>
      </c>
      <c r="AO64" t="s">
        <v>2240</v>
      </c>
      <c r="AP64" t="s">
        <v>2241</v>
      </c>
      <c r="AQ64" t="s">
        <v>2242</v>
      </c>
      <c r="AR64" t="s">
        <v>2243</v>
      </c>
      <c r="AS64" t="s">
        <v>1036</v>
      </c>
      <c r="AT64" t="s">
        <v>251</v>
      </c>
      <c r="AU64" t="s">
        <v>2244</v>
      </c>
      <c r="AV64" t="s">
        <v>860</v>
      </c>
      <c r="AW64" t="s">
        <v>2245</v>
      </c>
      <c r="AX64" t="s">
        <v>1040</v>
      </c>
      <c r="AY64" t="s">
        <v>2246</v>
      </c>
      <c r="AZ64" t="s">
        <v>1042</v>
      </c>
      <c r="BA64" t="s">
        <v>2247</v>
      </c>
      <c r="BB64" t="s">
        <v>2248</v>
      </c>
      <c r="BC64" t="s">
        <v>2249</v>
      </c>
      <c r="BD64" t="s">
        <v>17</v>
      </c>
      <c r="BE64" t="s">
        <v>2250</v>
      </c>
      <c r="BF64" t="s">
        <v>669</v>
      </c>
      <c r="BG64" t="s">
        <v>2251</v>
      </c>
      <c r="BH64" t="s">
        <v>849</v>
      </c>
      <c r="BI64" t="s">
        <v>2148</v>
      </c>
      <c r="BJ64" t="s">
        <v>2106</v>
      </c>
      <c r="BK64" t="s">
        <v>17</v>
      </c>
      <c r="BL64" t="s">
        <v>2107</v>
      </c>
      <c r="BM64" t="s">
        <v>165</v>
      </c>
      <c r="BN64" t="s">
        <v>330</v>
      </c>
      <c r="BO64" t="s">
        <v>284</v>
      </c>
      <c r="BP64" t="s">
        <v>212</v>
      </c>
      <c r="BQ64" t="s">
        <v>2252</v>
      </c>
      <c r="BR64" t="s">
        <v>2253</v>
      </c>
      <c r="BS64" t="s">
        <v>2254</v>
      </c>
      <c r="BT64" t="s">
        <v>165</v>
      </c>
      <c r="BU64" t="s">
        <v>217</v>
      </c>
      <c r="BV64" t="s">
        <v>212</v>
      </c>
      <c r="BW64" t="s">
        <v>218</v>
      </c>
      <c r="BX64" t="s">
        <v>219</v>
      </c>
      <c r="BY64" t="s">
        <v>176</v>
      </c>
      <c r="BZ64" t="s">
        <v>220</v>
      </c>
      <c r="CA64" t="s">
        <v>176</v>
      </c>
      <c r="CB64" t="s">
        <v>176</v>
      </c>
      <c r="CC64" t="s">
        <v>221</v>
      </c>
      <c r="CD64" t="s">
        <v>222</v>
      </c>
      <c r="CE64" t="s">
        <v>223</v>
      </c>
      <c r="CF64" t="s">
        <v>224</v>
      </c>
      <c r="CG64" t="s">
        <v>225</v>
      </c>
      <c r="CH64" t="s">
        <v>226</v>
      </c>
      <c r="CI64" t="s">
        <v>182</v>
      </c>
      <c r="CJ64" t="s">
        <v>218</v>
      </c>
      <c r="CK64" t="s">
        <v>227</v>
      </c>
      <c r="CL64" t="s">
        <v>227</v>
      </c>
      <c r="CM64" t="s">
        <v>227</v>
      </c>
      <c r="CN64" t="s">
        <v>176</v>
      </c>
      <c r="CO64" t="s">
        <v>228</v>
      </c>
      <c r="CP64" t="s">
        <v>176</v>
      </c>
      <c r="CQ64" t="s">
        <v>176</v>
      </c>
      <c r="CR64" t="s">
        <v>176</v>
      </c>
      <c r="CS64" t="s">
        <v>176</v>
      </c>
      <c r="CT64" t="s">
        <v>2255</v>
      </c>
      <c r="CU64" t="s">
        <v>2256</v>
      </c>
      <c r="CV64" t="s">
        <v>2257</v>
      </c>
      <c r="CW64" t="s">
        <v>2258</v>
      </c>
      <c r="CX64" t="s">
        <v>2259</v>
      </c>
      <c r="CY64" t="s">
        <v>2260</v>
      </c>
      <c r="CZ64" t="s">
        <v>2261</v>
      </c>
      <c r="DA64" t="s">
        <v>2262</v>
      </c>
      <c r="DB64" t="s">
        <v>2233</v>
      </c>
      <c r="DC64" t="s">
        <v>2263</v>
      </c>
      <c r="DD64" t="s">
        <v>238</v>
      </c>
      <c r="DE64" t="s">
        <v>239</v>
      </c>
      <c r="DF64" t="s">
        <v>182</v>
      </c>
      <c r="DG64" t="s">
        <v>240</v>
      </c>
      <c r="DH64" t="s">
        <v>241</v>
      </c>
      <c r="DI64" t="s">
        <v>182</v>
      </c>
      <c r="DJ64" t="s">
        <v>242</v>
      </c>
      <c r="DK64" t="s">
        <v>243</v>
      </c>
      <c r="DL64" t="s">
        <v>244</v>
      </c>
      <c r="DM64" t="s">
        <v>176</v>
      </c>
      <c r="DN64" t="s">
        <v>2232</v>
      </c>
      <c r="DO64" t="s">
        <v>245</v>
      </c>
      <c r="DP64" t="s">
        <v>246</v>
      </c>
      <c r="DQ64" t="s">
        <v>247</v>
      </c>
      <c r="DR64" t="s">
        <v>248</v>
      </c>
      <c r="DS64" t="s">
        <v>249</v>
      </c>
      <c r="DT64" t="s">
        <v>250</v>
      </c>
    </row>
    <row r="65" spans="1:124" x14ac:dyDescent="0.45">
      <c r="A65" t="s">
        <v>2264</v>
      </c>
      <c r="B65" t="s">
        <v>2265</v>
      </c>
      <c r="C65" t="s">
        <v>17</v>
      </c>
      <c r="D65" t="s">
        <v>167</v>
      </c>
      <c r="E65" t="s">
        <v>168</v>
      </c>
      <c r="I65" t="s">
        <v>2266</v>
      </c>
      <c r="J65">
        <v>0.6272619003917963</v>
      </c>
      <c r="K65">
        <v>2.7100048800000001</v>
      </c>
      <c r="L65">
        <v>0.50936377669521371</v>
      </c>
      <c r="M65">
        <v>10.30752578126139</v>
      </c>
      <c r="N65" t="s">
        <v>2267</v>
      </c>
      <c r="O65" t="s">
        <v>2268</v>
      </c>
      <c r="P65">
        <v>4.5708796840731996</v>
      </c>
      <c r="Q65">
        <v>1.969414684073199</v>
      </c>
      <c r="R65" t="s">
        <v>2269</v>
      </c>
      <c r="S65" t="s">
        <v>2270</v>
      </c>
      <c r="T65">
        <v>45.296597800745211</v>
      </c>
      <c r="U65">
        <v>0.4417875</v>
      </c>
      <c r="V65" t="s">
        <v>174</v>
      </c>
      <c r="W65" t="s">
        <v>2271</v>
      </c>
      <c r="X65" t="s">
        <v>176</v>
      </c>
      <c r="Y65" t="s">
        <v>176</v>
      </c>
      <c r="Z65" t="s">
        <v>176</v>
      </c>
      <c r="AA65" t="s">
        <v>2272</v>
      </c>
      <c r="AB65" t="s">
        <v>2273</v>
      </c>
      <c r="AC65" t="s">
        <v>2274</v>
      </c>
      <c r="AD65" t="s">
        <v>180</v>
      </c>
      <c r="AE65" t="s">
        <v>181</v>
      </c>
      <c r="AF65">
        <v>70.329829500000002</v>
      </c>
      <c r="AG65" t="s">
        <v>182</v>
      </c>
      <c r="AH65" t="s">
        <v>2275</v>
      </c>
      <c r="AI65" t="s">
        <v>1973</v>
      </c>
      <c r="AJ65" t="s">
        <v>2276</v>
      </c>
      <c r="AK65" t="s">
        <v>2277</v>
      </c>
      <c r="AL65">
        <v>31.23</v>
      </c>
      <c r="AM65" t="s">
        <v>2133</v>
      </c>
      <c r="AN65" t="s">
        <v>2278</v>
      </c>
      <c r="AO65" t="s">
        <v>2279</v>
      </c>
      <c r="AP65" t="s">
        <v>1117</v>
      </c>
      <c r="AQ65" t="s">
        <v>2280</v>
      </c>
      <c r="AR65" t="s">
        <v>2243</v>
      </c>
      <c r="AS65" t="s">
        <v>364</v>
      </c>
      <c r="AT65" t="s">
        <v>223</v>
      </c>
      <c r="AU65" t="s">
        <v>2281</v>
      </c>
      <c r="AV65" t="s">
        <v>2282</v>
      </c>
      <c r="AW65" t="s">
        <v>2283</v>
      </c>
      <c r="AX65" t="s">
        <v>624</v>
      </c>
      <c r="AY65" t="s">
        <v>2284</v>
      </c>
      <c r="AZ65" t="s">
        <v>1283</v>
      </c>
      <c r="BA65" t="s">
        <v>2285</v>
      </c>
      <c r="BB65" t="s">
        <v>2286</v>
      </c>
      <c r="BC65" t="s">
        <v>2287</v>
      </c>
      <c r="BD65" t="s">
        <v>17</v>
      </c>
      <c r="BE65" t="s">
        <v>2288</v>
      </c>
      <c r="BF65" t="s">
        <v>709</v>
      </c>
      <c r="BG65" t="s">
        <v>2289</v>
      </c>
      <c r="BH65" t="s">
        <v>849</v>
      </c>
      <c r="BI65" t="s">
        <v>2069</v>
      </c>
      <c r="BJ65" t="s">
        <v>2106</v>
      </c>
      <c r="BK65" t="s">
        <v>17</v>
      </c>
      <c r="BL65" t="s">
        <v>2107</v>
      </c>
      <c r="BM65" t="s">
        <v>165</v>
      </c>
      <c r="BN65" t="s">
        <v>285</v>
      </c>
      <c r="BO65" t="s">
        <v>284</v>
      </c>
      <c r="BP65" t="s">
        <v>284</v>
      </c>
      <c r="BQ65" t="s">
        <v>796</v>
      </c>
      <c r="BR65" t="s">
        <v>2290</v>
      </c>
      <c r="BS65" t="s">
        <v>2291</v>
      </c>
      <c r="BT65" t="s">
        <v>165</v>
      </c>
      <c r="BU65" t="s">
        <v>217</v>
      </c>
      <c r="BV65" t="s">
        <v>212</v>
      </c>
      <c r="BW65" t="s">
        <v>218</v>
      </c>
      <c r="BX65" t="s">
        <v>219</v>
      </c>
      <c r="BY65" t="s">
        <v>176</v>
      </c>
      <c r="BZ65" t="s">
        <v>220</v>
      </c>
      <c r="CA65" t="s">
        <v>176</v>
      </c>
      <c r="CB65" t="s">
        <v>176</v>
      </c>
      <c r="CC65" t="s">
        <v>221</v>
      </c>
      <c r="CD65" t="s">
        <v>222</v>
      </c>
      <c r="CE65" t="s">
        <v>223</v>
      </c>
      <c r="CF65" t="s">
        <v>224</v>
      </c>
      <c r="CG65" t="s">
        <v>225</v>
      </c>
      <c r="CH65" t="s">
        <v>226</v>
      </c>
      <c r="CI65" t="s">
        <v>182</v>
      </c>
      <c r="CJ65" t="s">
        <v>218</v>
      </c>
      <c r="CK65" t="s">
        <v>227</v>
      </c>
      <c r="CL65" t="s">
        <v>227</v>
      </c>
      <c r="CM65" t="s">
        <v>227</v>
      </c>
      <c r="CN65" t="s">
        <v>176</v>
      </c>
      <c r="CO65" t="s">
        <v>228</v>
      </c>
      <c r="CP65" t="s">
        <v>176</v>
      </c>
      <c r="CQ65" t="s">
        <v>176</v>
      </c>
      <c r="CR65" t="s">
        <v>176</v>
      </c>
      <c r="CS65" t="s">
        <v>176</v>
      </c>
      <c r="CT65" t="s">
        <v>2292</v>
      </c>
      <c r="CU65" t="s">
        <v>2293</v>
      </c>
      <c r="CV65" t="s">
        <v>2294</v>
      </c>
      <c r="CW65" t="s">
        <v>2295</v>
      </c>
      <c r="CX65" t="s">
        <v>2296</v>
      </c>
      <c r="CY65" t="s">
        <v>2297</v>
      </c>
      <c r="CZ65" t="s">
        <v>2298</v>
      </c>
      <c r="DA65" t="s">
        <v>2299</v>
      </c>
      <c r="DB65" t="s">
        <v>2272</v>
      </c>
      <c r="DC65" t="s">
        <v>766</v>
      </c>
      <c r="DD65" t="s">
        <v>238</v>
      </c>
      <c r="DE65" t="s">
        <v>239</v>
      </c>
      <c r="DF65" t="s">
        <v>182</v>
      </c>
      <c r="DG65" t="s">
        <v>240</v>
      </c>
      <c r="DH65" t="s">
        <v>241</v>
      </c>
      <c r="DI65" t="s">
        <v>182</v>
      </c>
      <c r="DJ65" t="s">
        <v>242</v>
      </c>
      <c r="DK65" t="s">
        <v>243</v>
      </c>
      <c r="DL65" t="s">
        <v>244</v>
      </c>
      <c r="DM65" t="s">
        <v>176</v>
      </c>
      <c r="DN65" t="s">
        <v>2271</v>
      </c>
      <c r="DO65" t="s">
        <v>245</v>
      </c>
      <c r="DP65" t="s">
        <v>246</v>
      </c>
      <c r="DQ65" t="s">
        <v>247</v>
      </c>
      <c r="DR65" t="s">
        <v>248</v>
      </c>
      <c r="DS65" t="s">
        <v>249</v>
      </c>
      <c r="DT65" t="s">
        <v>250</v>
      </c>
    </row>
    <row r="66" spans="1:124" x14ac:dyDescent="0.45">
      <c r="A66" t="s">
        <v>2300</v>
      </c>
      <c r="B66" t="s">
        <v>2301</v>
      </c>
      <c r="C66" t="s">
        <v>17</v>
      </c>
      <c r="D66" t="s">
        <v>167</v>
      </c>
      <c r="E66" t="s">
        <v>168</v>
      </c>
      <c r="I66" t="s">
        <v>2302</v>
      </c>
      <c r="J66">
        <v>0.75600865489615077</v>
      </c>
      <c r="K66">
        <v>2.69910768</v>
      </c>
      <c r="L66">
        <v>0.59058757181847599</v>
      </c>
      <c r="M66">
        <v>11.254690652662839</v>
      </c>
      <c r="N66" t="s">
        <v>2303</v>
      </c>
      <c r="O66" t="s">
        <v>2304</v>
      </c>
      <c r="P66">
        <v>4.5139512266519732</v>
      </c>
      <c r="Q66">
        <v>1.8546232266519731</v>
      </c>
      <c r="R66" t="s">
        <v>2305</v>
      </c>
      <c r="S66" t="s">
        <v>2306</v>
      </c>
      <c r="T66">
        <v>44.732446998830383</v>
      </c>
      <c r="U66">
        <v>0.4417875</v>
      </c>
      <c r="V66" t="s">
        <v>174</v>
      </c>
      <c r="W66" t="s">
        <v>2307</v>
      </c>
      <c r="X66" t="s">
        <v>176</v>
      </c>
      <c r="Y66" t="s">
        <v>176</v>
      </c>
      <c r="Z66" t="s">
        <v>176</v>
      </c>
      <c r="AA66" t="s">
        <v>2308</v>
      </c>
      <c r="AB66" t="s">
        <v>2309</v>
      </c>
      <c r="AC66" t="s">
        <v>2310</v>
      </c>
      <c r="AD66" t="s">
        <v>180</v>
      </c>
      <c r="AE66" t="s">
        <v>181</v>
      </c>
      <c r="AF66">
        <v>140.28054474000001</v>
      </c>
      <c r="AG66" t="s">
        <v>182</v>
      </c>
      <c r="AH66" t="s">
        <v>2311</v>
      </c>
      <c r="AI66" t="s">
        <v>2312</v>
      </c>
      <c r="AJ66" t="s">
        <v>2313</v>
      </c>
      <c r="AK66" t="s">
        <v>1553</v>
      </c>
      <c r="AL66">
        <v>31.01</v>
      </c>
      <c r="AM66" t="s">
        <v>2133</v>
      </c>
      <c r="AN66" t="s">
        <v>823</v>
      </c>
      <c r="AO66" t="s">
        <v>2314</v>
      </c>
      <c r="AP66" t="s">
        <v>699</v>
      </c>
      <c r="AQ66" t="s">
        <v>2315</v>
      </c>
      <c r="AR66" t="s">
        <v>2316</v>
      </c>
      <c r="AS66" t="s">
        <v>662</v>
      </c>
      <c r="AT66" t="s">
        <v>251</v>
      </c>
      <c r="AU66" t="s">
        <v>1196</v>
      </c>
      <c r="AV66" t="s">
        <v>2317</v>
      </c>
      <c r="AW66" t="s">
        <v>2318</v>
      </c>
      <c r="AX66" t="s">
        <v>2319</v>
      </c>
      <c r="AY66" t="s">
        <v>2320</v>
      </c>
      <c r="AZ66" t="s">
        <v>1283</v>
      </c>
      <c r="BA66" t="s">
        <v>2285</v>
      </c>
      <c r="BB66" t="s">
        <v>2286</v>
      </c>
      <c r="BC66" t="s">
        <v>2321</v>
      </c>
      <c r="BD66" t="s">
        <v>17</v>
      </c>
      <c r="BE66" t="s">
        <v>2288</v>
      </c>
      <c r="BF66" t="s">
        <v>669</v>
      </c>
      <c r="BG66" t="s">
        <v>1087</v>
      </c>
      <c r="BH66" t="s">
        <v>849</v>
      </c>
      <c r="BI66" t="s">
        <v>2322</v>
      </c>
      <c r="BJ66" t="s">
        <v>2106</v>
      </c>
      <c r="BK66" t="s">
        <v>17</v>
      </c>
      <c r="BL66" t="s">
        <v>2107</v>
      </c>
      <c r="BM66" t="s">
        <v>165</v>
      </c>
      <c r="BN66" t="s">
        <v>283</v>
      </c>
      <c r="BO66" t="s">
        <v>284</v>
      </c>
      <c r="BP66" t="s">
        <v>213</v>
      </c>
      <c r="BQ66" t="s">
        <v>2323</v>
      </c>
      <c r="BR66" t="s">
        <v>1250</v>
      </c>
      <c r="BS66" t="s">
        <v>2324</v>
      </c>
      <c r="BT66" t="s">
        <v>165</v>
      </c>
      <c r="BU66" t="s">
        <v>217</v>
      </c>
      <c r="BV66" t="s">
        <v>212</v>
      </c>
      <c r="BW66" t="s">
        <v>218</v>
      </c>
      <c r="BX66" t="s">
        <v>219</v>
      </c>
      <c r="BY66" t="s">
        <v>176</v>
      </c>
      <c r="BZ66" t="s">
        <v>220</v>
      </c>
      <c r="CA66" t="s">
        <v>176</v>
      </c>
      <c r="CB66" t="s">
        <v>176</v>
      </c>
      <c r="CC66" t="s">
        <v>221</v>
      </c>
      <c r="CD66" t="s">
        <v>222</v>
      </c>
      <c r="CE66" t="s">
        <v>223</v>
      </c>
      <c r="CF66" t="s">
        <v>224</v>
      </c>
      <c r="CG66" t="s">
        <v>225</v>
      </c>
      <c r="CH66" t="s">
        <v>226</v>
      </c>
      <c r="CI66" t="s">
        <v>182</v>
      </c>
      <c r="CJ66" t="s">
        <v>218</v>
      </c>
      <c r="CK66" t="s">
        <v>227</v>
      </c>
      <c r="CL66" t="s">
        <v>227</v>
      </c>
      <c r="CM66" t="s">
        <v>227</v>
      </c>
      <c r="CN66" t="s">
        <v>176</v>
      </c>
      <c r="CO66" t="s">
        <v>228</v>
      </c>
      <c r="CP66" t="s">
        <v>176</v>
      </c>
      <c r="CQ66" t="s">
        <v>176</v>
      </c>
      <c r="CR66" t="s">
        <v>176</v>
      </c>
      <c r="CS66" t="s">
        <v>176</v>
      </c>
      <c r="CT66" t="s">
        <v>2325</v>
      </c>
      <c r="CU66" t="s">
        <v>2326</v>
      </c>
      <c r="CV66" t="s">
        <v>2327</v>
      </c>
      <c r="CW66" t="s">
        <v>2328</v>
      </c>
      <c r="CX66" t="s">
        <v>2329</v>
      </c>
      <c r="CY66" t="s">
        <v>2330</v>
      </c>
      <c r="CZ66" t="s">
        <v>2331</v>
      </c>
      <c r="DA66" t="s">
        <v>2332</v>
      </c>
      <c r="DB66" t="s">
        <v>2308</v>
      </c>
      <c r="DC66" t="s">
        <v>1924</v>
      </c>
      <c r="DD66" t="s">
        <v>238</v>
      </c>
      <c r="DE66" t="s">
        <v>239</v>
      </c>
      <c r="DF66" t="s">
        <v>182</v>
      </c>
      <c r="DG66" t="s">
        <v>240</v>
      </c>
      <c r="DH66" t="s">
        <v>241</v>
      </c>
      <c r="DI66" t="s">
        <v>182</v>
      </c>
      <c r="DJ66" t="s">
        <v>242</v>
      </c>
      <c r="DK66" t="s">
        <v>243</v>
      </c>
      <c r="DL66" t="s">
        <v>244</v>
      </c>
      <c r="DM66" t="s">
        <v>176</v>
      </c>
      <c r="DN66" t="s">
        <v>2307</v>
      </c>
      <c r="DO66" t="s">
        <v>245</v>
      </c>
      <c r="DP66" t="s">
        <v>246</v>
      </c>
      <c r="DQ66" t="s">
        <v>247</v>
      </c>
      <c r="DR66" t="s">
        <v>248</v>
      </c>
      <c r="DS66" t="s">
        <v>249</v>
      </c>
      <c r="DT66" t="s">
        <v>250</v>
      </c>
    </row>
    <row r="67" spans="1:124" x14ac:dyDescent="0.45">
      <c r="A67" t="s">
        <v>2333</v>
      </c>
      <c r="B67" t="s">
        <v>2334</v>
      </c>
      <c r="C67" t="s">
        <v>17</v>
      </c>
      <c r="D67" t="s">
        <v>167</v>
      </c>
      <c r="E67" t="s">
        <v>168</v>
      </c>
      <c r="I67" t="s">
        <v>2335</v>
      </c>
      <c r="J67">
        <v>0.82178233419619118</v>
      </c>
      <c r="K67">
        <v>2.6969119199999998</v>
      </c>
      <c r="L67">
        <v>0.62985710398001493</v>
      </c>
      <c r="M67">
        <v>11.27305618449866</v>
      </c>
      <c r="N67" t="s">
        <v>2336</v>
      </c>
      <c r="O67" t="s">
        <v>2337</v>
      </c>
      <c r="P67">
        <v>4.4934036319428561</v>
      </c>
      <c r="Q67">
        <v>1.741536631942856</v>
      </c>
      <c r="R67" t="s">
        <v>2338</v>
      </c>
      <c r="S67" t="s">
        <v>2339</v>
      </c>
      <c r="T67">
        <v>44.524411731498773</v>
      </c>
      <c r="U67">
        <v>0.4417875</v>
      </c>
      <c r="V67" t="s">
        <v>174</v>
      </c>
      <c r="W67" t="s">
        <v>2340</v>
      </c>
      <c r="X67" t="s">
        <v>176</v>
      </c>
      <c r="Y67" t="s">
        <v>176</v>
      </c>
      <c r="Z67" t="s">
        <v>176</v>
      </c>
      <c r="AA67" t="s">
        <v>2341</v>
      </c>
      <c r="AB67" t="s">
        <v>2342</v>
      </c>
      <c r="AC67" t="s">
        <v>2343</v>
      </c>
      <c r="AD67" t="s">
        <v>180</v>
      </c>
      <c r="AE67" t="s">
        <v>181</v>
      </c>
      <c r="AF67">
        <v>312.29323271999999</v>
      </c>
      <c r="AG67" t="s">
        <v>182</v>
      </c>
      <c r="AH67" t="s">
        <v>2344</v>
      </c>
      <c r="AI67" t="s">
        <v>2345</v>
      </c>
      <c r="AJ67" t="s">
        <v>1432</v>
      </c>
      <c r="AK67" t="s">
        <v>2346</v>
      </c>
      <c r="AL67">
        <v>30.93</v>
      </c>
      <c r="AM67" t="s">
        <v>1318</v>
      </c>
      <c r="AN67" t="s">
        <v>2347</v>
      </c>
      <c r="AO67" t="s">
        <v>988</v>
      </c>
      <c r="AP67" t="s">
        <v>739</v>
      </c>
      <c r="AQ67" t="s">
        <v>2348</v>
      </c>
      <c r="AR67" t="s">
        <v>2349</v>
      </c>
      <c r="AS67" t="s">
        <v>742</v>
      </c>
      <c r="AT67" t="s">
        <v>223</v>
      </c>
      <c r="AU67" t="s">
        <v>867</v>
      </c>
      <c r="AV67" t="s">
        <v>2350</v>
      </c>
      <c r="AW67" t="s">
        <v>2351</v>
      </c>
      <c r="AX67" t="s">
        <v>2352</v>
      </c>
      <c r="AY67" t="s">
        <v>2353</v>
      </c>
      <c r="AZ67" t="s">
        <v>1283</v>
      </c>
      <c r="BA67" t="s">
        <v>2354</v>
      </c>
      <c r="BB67" t="s">
        <v>2355</v>
      </c>
      <c r="BC67" t="s">
        <v>2356</v>
      </c>
      <c r="BD67" t="s">
        <v>17</v>
      </c>
      <c r="BE67" t="s">
        <v>2357</v>
      </c>
      <c r="BF67" t="s">
        <v>1949</v>
      </c>
      <c r="BG67" t="s">
        <v>2358</v>
      </c>
      <c r="BH67" t="s">
        <v>890</v>
      </c>
      <c r="BI67" t="s">
        <v>1912</v>
      </c>
      <c r="BJ67" t="s">
        <v>2106</v>
      </c>
      <c r="BK67" t="s">
        <v>17</v>
      </c>
      <c r="BL67" t="s">
        <v>2107</v>
      </c>
      <c r="BM67" t="s">
        <v>165</v>
      </c>
      <c r="BN67" t="s">
        <v>211</v>
      </c>
      <c r="BO67" t="s">
        <v>330</v>
      </c>
      <c r="BP67" t="s">
        <v>458</v>
      </c>
      <c r="BQ67" t="s">
        <v>2359</v>
      </c>
      <c r="BR67" t="s">
        <v>2360</v>
      </c>
      <c r="BS67" t="s">
        <v>2361</v>
      </c>
      <c r="BT67" t="s">
        <v>165</v>
      </c>
      <c r="BU67" t="s">
        <v>217</v>
      </c>
      <c r="BV67" t="s">
        <v>212</v>
      </c>
      <c r="BW67" t="s">
        <v>218</v>
      </c>
      <c r="BX67" t="s">
        <v>219</v>
      </c>
      <c r="BY67" t="s">
        <v>176</v>
      </c>
      <c r="BZ67" t="s">
        <v>220</v>
      </c>
      <c r="CA67" t="s">
        <v>176</v>
      </c>
      <c r="CB67" t="s">
        <v>176</v>
      </c>
      <c r="CC67" t="s">
        <v>221</v>
      </c>
      <c r="CD67" t="s">
        <v>222</v>
      </c>
      <c r="CE67" t="s">
        <v>223</v>
      </c>
      <c r="CF67" t="s">
        <v>224</v>
      </c>
      <c r="CG67" t="s">
        <v>225</v>
      </c>
      <c r="CH67" t="s">
        <v>226</v>
      </c>
      <c r="CI67" t="s">
        <v>182</v>
      </c>
      <c r="CJ67" t="s">
        <v>218</v>
      </c>
      <c r="CK67" t="s">
        <v>227</v>
      </c>
      <c r="CL67" t="s">
        <v>227</v>
      </c>
      <c r="CM67" t="s">
        <v>227</v>
      </c>
      <c r="CN67" t="s">
        <v>176</v>
      </c>
      <c r="CO67" t="s">
        <v>228</v>
      </c>
      <c r="CP67" t="s">
        <v>176</v>
      </c>
      <c r="CQ67" t="s">
        <v>176</v>
      </c>
      <c r="CR67" t="s">
        <v>176</v>
      </c>
      <c r="CS67" t="s">
        <v>176</v>
      </c>
      <c r="CT67" t="s">
        <v>2362</v>
      </c>
      <c r="CU67" t="s">
        <v>2363</v>
      </c>
      <c r="CV67" t="s">
        <v>2364</v>
      </c>
      <c r="CW67" t="s">
        <v>2365</v>
      </c>
      <c r="CX67" t="s">
        <v>2366</v>
      </c>
      <c r="CY67" t="s">
        <v>2367</v>
      </c>
      <c r="CZ67" t="s">
        <v>2368</v>
      </c>
      <c r="DA67" t="s">
        <v>2369</v>
      </c>
      <c r="DB67" t="s">
        <v>2341</v>
      </c>
      <c r="DC67" t="s">
        <v>297</v>
      </c>
      <c r="DD67" t="s">
        <v>238</v>
      </c>
      <c r="DE67" t="s">
        <v>239</v>
      </c>
      <c r="DF67" t="s">
        <v>182</v>
      </c>
      <c r="DG67" t="s">
        <v>240</v>
      </c>
      <c r="DH67" t="s">
        <v>241</v>
      </c>
      <c r="DI67" t="s">
        <v>182</v>
      </c>
      <c r="DJ67" t="s">
        <v>242</v>
      </c>
      <c r="DK67" t="s">
        <v>243</v>
      </c>
      <c r="DL67" t="s">
        <v>244</v>
      </c>
      <c r="DM67" t="s">
        <v>176</v>
      </c>
      <c r="DN67" t="s">
        <v>2340</v>
      </c>
      <c r="DO67" t="s">
        <v>245</v>
      </c>
      <c r="DP67" t="s">
        <v>246</v>
      </c>
      <c r="DQ67" t="s">
        <v>247</v>
      </c>
      <c r="DR67" t="s">
        <v>248</v>
      </c>
      <c r="DS67" t="s">
        <v>249</v>
      </c>
      <c r="DT67" t="s">
        <v>250</v>
      </c>
    </row>
    <row r="68" spans="1:124" x14ac:dyDescent="0.45">
      <c r="A68" t="s">
        <v>2370</v>
      </c>
      <c r="B68" t="s">
        <v>2371</v>
      </c>
      <c r="C68" t="s">
        <v>17</v>
      </c>
      <c r="D68" t="s">
        <v>167</v>
      </c>
      <c r="E68" t="s">
        <v>168</v>
      </c>
      <c r="I68" t="s">
        <v>2372</v>
      </c>
      <c r="J68">
        <v>0.46783152973560999</v>
      </c>
      <c r="K68">
        <v>2.717552</v>
      </c>
      <c r="L68">
        <v>0.39912195734922701</v>
      </c>
      <c r="M68">
        <v>8.6135744788386575</v>
      </c>
      <c r="N68" t="s">
        <v>2373</v>
      </c>
      <c r="O68" t="s">
        <v>2374</v>
      </c>
      <c r="P68">
        <v>4.6048122931013289</v>
      </c>
      <c r="Q68">
        <v>2.1013632931013291</v>
      </c>
      <c r="R68" t="s">
        <v>2375</v>
      </c>
      <c r="S68" t="s">
        <v>2376</v>
      </c>
      <c r="T68">
        <v>45.628342182930332</v>
      </c>
      <c r="U68">
        <v>0.4417875</v>
      </c>
      <c r="V68" t="s">
        <v>174</v>
      </c>
      <c r="W68" t="s">
        <v>2377</v>
      </c>
      <c r="X68" t="s">
        <v>176</v>
      </c>
      <c r="Y68" t="s">
        <v>176</v>
      </c>
      <c r="Z68" t="s">
        <v>176</v>
      </c>
      <c r="AA68" t="s">
        <v>2378</v>
      </c>
      <c r="AB68" t="s">
        <v>2379</v>
      </c>
      <c r="AC68" t="s">
        <v>2380</v>
      </c>
      <c r="AD68" t="s">
        <v>180</v>
      </c>
      <c r="AE68" t="s">
        <v>181</v>
      </c>
      <c r="AF68">
        <v>19.353675599999999</v>
      </c>
      <c r="AG68" t="s">
        <v>182</v>
      </c>
      <c r="AH68" t="s">
        <v>2381</v>
      </c>
      <c r="AI68" t="s">
        <v>2382</v>
      </c>
      <c r="AJ68" t="s">
        <v>2383</v>
      </c>
      <c r="AK68" t="s">
        <v>2384</v>
      </c>
      <c r="AL68">
        <v>31.36</v>
      </c>
      <c r="AM68" t="s">
        <v>1318</v>
      </c>
      <c r="AN68" t="s">
        <v>2385</v>
      </c>
      <c r="AO68" t="s">
        <v>2239</v>
      </c>
      <c r="AP68" t="s">
        <v>2386</v>
      </c>
      <c r="AQ68" t="s">
        <v>2387</v>
      </c>
      <c r="AR68" t="s">
        <v>2349</v>
      </c>
      <c r="AS68" t="s">
        <v>1638</v>
      </c>
      <c r="AT68" t="s">
        <v>344</v>
      </c>
      <c r="AU68" t="s">
        <v>271</v>
      </c>
      <c r="AV68" t="s">
        <v>2388</v>
      </c>
      <c r="AW68" t="s">
        <v>2389</v>
      </c>
      <c r="AX68" t="s">
        <v>2390</v>
      </c>
      <c r="AY68" t="s">
        <v>2391</v>
      </c>
      <c r="AZ68" t="s">
        <v>1283</v>
      </c>
      <c r="BA68" t="s">
        <v>2392</v>
      </c>
      <c r="BB68" t="s">
        <v>2393</v>
      </c>
      <c r="BC68" t="s">
        <v>2394</v>
      </c>
      <c r="BD68" t="s">
        <v>17</v>
      </c>
      <c r="BE68" t="s">
        <v>374</v>
      </c>
      <c r="BF68" t="s">
        <v>1046</v>
      </c>
      <c r="BG68" t="s">
        <v>1246</v>
      </c>
      <c r="BH68" t="s">
        <v>849</v>
      </c>
      <c r="BI68" t="s">
        <v>2322</v>
      </c>
      <c r="BJ68" t="s">
        <v>2106</v>
      </c>
      <c r="BK68" t="s">
        <v>17</v>
      </c>
      <c r="BL68" t="s">
        <v>2107</v>
      </c>
      <c r="BM68" t="s">
        <v>165</v>
      </c>
      <c r="BN68" t="s">
        <v>213</v>
      </c>
      <c r="BO68" t="s">
        <v>212</v>
      </c>
      <c r="BP68" t="s">
        <v>212</v>
      </c>
      <c r="BQ68" t="s">
        <v>2395</v>
      </c>
      <c r="BR68" t="s">
        <v>2396</v>
      </c>
      <c r="BS68" t="s">
        <v>2397</v>
      </c>
      <c r="BT68" t="s">
        <v>165</v>
      </c>
      <c r="BU68" t="s">
        <v>217</v>
      </c>
      <c r="BV68" t="s">
        <v>212</v>
      </c>
      <c r="BW68" t="s">
        <v>218</v>
      </c>
      <c r="BX68" t="s">
        <v>219</v>
      </c>
      <c r="BY68" t="s">
        <v>176</v>
      </c>
      <c r="BZ68" t="s">
        <v>220</v>
      </c>
      <c r="CA68" t="s">
        <v>176</v>
      </c>
      <c r="CB68" t="s">
        <v>176</v>
      </c>
      <c r="CC68" t="s">
        <v>221</v>
      </c>
      <c r="CD68" t="s">
        <v>222</v>
      </c>
      <c r="CE68" t="s">
        <v>223</v>
      </c>
      <c r="CF68" t="s">
        <v>224</v>
      </c>
      <c r="CG68" t="s">
        <v>225</v>
      </c>
      <c r="CH68" t="s">
        <v>226</v>
      </c>
      <c r="CI68" t="s">
        <v>182</v>
      </c>
      <c r="CJ68" t="s">
        <v>218</v>
      </c>
      <c r="CK68" t="s">
        <v>227</v>
      </c>
      <c r="CL68" t="s">
        <v>227</v>
      </c>
      <c r="CM68" t="s">
        <v>227</v>
      </c>
      <c r="CN68" t="s">
        <v>176</v>
      </c>
      <c r="CO68" t="s">
        <v>228</v>
      </c>
      <c r="CP68" t="s">
        <v>176</v>
      </c>
      <c r="CQ68" t="s">
        <v>176</v>
      </c>
      <c r="CR68" t="s">
        <v>176</v>
      </c>
      <c r="CS68" t="s">
        <v>176</v>
      </c>
      <c r="CT68" t="s">
        <v>2398</v>
      </c>
      <c r="CU68" t="s">
        <v>2399</v>
      </c>
      <c r="CV68" t="s">
        <v>2400</v>
      </c>
      <c r="CW68" t="s">
        <v>2401</v>
      </c>
      <c r="CX68" t="s">
        <v>2402</v>
      </c>
      <c r="CY68" t="s">
        <v>2403</v>
      </c>
      <c r="CZ68" t="s">
        <v>2404</v>
      </c>
      <c r="DA68" t="s">
        <v>2405</v>
      </c>
      <c r="DB68" t="s">
        <v>2378</v>
      </c>
      <c r="DC68" t="s">
        <v>1259</v>
      </c>
      <c r="DD68" t="s">
        <v>238</v>
      </c>
      <c r="DE68" t="s">
        <v>239</v>
      </c>
      <c r="DF68" t="s">
        <v>182</v>
      </c>
      <c r="DG68" t="s">
        <v>240</v>
      </c>
      <c r="DH68" t="s">
        <v>241</v>
      </c>
      <c r="DI68" t="s">
        <v>182</v>
      </c>
      <c r="DJ68" t="s">
        <v>242</v>
      </c>
      <c r="DK68" t="s">
        <v>243</v>
      </c>
      <c r="DL68" t="s">
        <v>244</v>
      </c>
      <c r="DM68" t="s">
        <v>176</v>
      </c>
      <c r="DN68" t="s">
        <v>2377</v>
      </c>
      <c r="DO68" t="s">
        <v>245</v>
      </c>
      <c r="DP68" t="s">
        <v>246</v>
      </c>
      <c r="DQ68" t="s">
        <v>247</v>
      </c>
      <c r="DR68" t="s">
        <v>248</v>
      </c>
      <c r="DS68" t="s">
        <v>249</v>
      </c>
      <c r="DT68" t="s">
        <v>250</v>
      </c>
    </row>
    <row r="70" spans="1:124" x14ac:dyDescent="0.45">
      <c r="A70" t="s">
        <v>2406</v>
      </c>
      <c r="B70" t="s">
        <v>2407</v>
      </c>
      <c r="C70" t="s">
        <v>17</v>
      </c>
      <c r="D70" t="s">
        <v>167</v>
      </c>
      <c r="E70" t="s">
        <v>168</v>
      </c>
      <c r="I70" t="s">
        <v>2408</v>
      </c>
      <c r="J70">
        <v>0.43167839119616169</v>
      </c>
      <c r="K70">
        <v>2.77353272</v>
      </c>
      <c r="L70">
        <v>0.37353987021862661</v>
      </c>
      <c r="M70">
        <v>8.580952833741808</v>
      </c>
      <c r="N70" t="s">
        <v>2409</v>
      </c>
      <c r="O70" t="s">
        <v>2410</v>
      </c>
      <c r="P70">
        <v>4.7293288978029242</v>
      </c>
      <c r="Q70">
        <v>2.2351148978029238</v>
      </c>
      <c r="R70" t="s">
        <v>2411</v>
      </c>
      <c r="S70" t="s">
        <v>2412</v>
      </c>
      <c r="T70">
        <v>46.866801088127282</v>
      </c>
      <c r="U70">
        <v>0.4417875</v>
      </c>
      <c r="V70" t="s">
        <v>174</v>
      </c>
      <c r="W70" t="s">
        <v>2413</v>
      </c>
      <c r="X70" t="s">
        <v>176</v>
      </c>
      <c r="Y70" t="s">
        <v>176</v>
      </c>
      <c r="Z70" t="s">
        <v>176</v>
      </c>
      <c r="AA70" t="s">
        <v>2414</v>
      </c>
      <c r="AB70" t="s">
        <v>2415</v>
      </c>
      <c r="AC70" t="s">
        <v>2416</v>
      </c>
      <c r="AD70" t="s">
        <v>180</v>
      </c>
      <c r="AE70" t="s">
        <v>181</v>
      </c>
      <c r="AF70">
        <v>7.9825636799999993</v>
      </c>
      <c r="AG70" t="s">
        <v>182</v>
      </c>
      <c r="AH70" t="s">
        <v>2417</v>
      </c>
      <c r="AI70" t="s">
        <v>2418</v>
      </c>
      <c r="AJ70" t="s">
        <v>2419</v>
      </c>
      <c r="AK70" t="s">
        <v>2420</v>
      </c>
      <c r="AL70">
        <v>31.83</v>
      </c>
      <c r="AM70" t="s">
        <v>2133</v>
      </c>
      <c r="AN70" t="s">
        <v>2421</v>
      </c>
      <c r="AO70" t="s">
        <v>2422</v>
      </c>
      <c r="AP70" t="s">
        <v>907</v>
      </c>
      <c r="AQ70" t="s">
        <v>992</v>
      </c>
      <c r="AR70" t="s">
        <v>2423</v>
      </c>
      <c r="AS70" t="s">
        <v>742</v>
      </c>
      <c r="AT70" t="s">
        <v>223</v>
      </c>
      <c r="AU70" t="s">
        <v>217</v>
      </c>
      <c r="AV70" t="s">
        <v>2424</v>
      </c>
      <c r="AW70" t="s">
        <v>2425</v>
      </c>
      <c r="AX70" t="s">
        <v>2352</v>
      </c>
      <c r="AY70" t="s">
        <v>2426</v>
      </c>
      <c r="AZ70" t="s">
        <v>1283</v>
      </c>
      <c r="BA70" t="s">
        <v>2427</v>
      </c>
      <c r="BB70" t="s">
        <v>2428</v>
      </c>
      <c r="BC70" t="s">
        <v>2429</v>
      </c>
      <c r="BD70" t="s">
        <v>17</v>
      </c>
      <c r="BE70" t="s">
        <v>2357</v>
      </c>
      <c r="BF70" t="s">
        <v>2213</v>
      </c>
      <c r="BG70" t="s">
        <v>1166</v>
      </c>
      <c r="BH70" t="s">
        <v>932</v>
      </c>
      <c r="BI70" t="s">
        <v>2105</v>
      </c>
      <c r="BJ70" t="s">
        <v>2106</v>
      </c>
      <c r="BK70" t="s">
        <v>17</v>
      </c>
      <c r="BL70" t="s">
        <v>2107</v>
      </c>
      <c r="BM70" t="s">
        <v>165</v>
      </c>
      <c r="BN70" t="s">
        <v>213</v>
      </c>
      <c r="BO70" t="s">
        <v>212</v>
      </c>
      <c r="BP70" t="s">
        <v>213</v>
      </c>
      <c r="BQ70" t="s">
        <v>797</v>
      </c>
      <c r="BR70" t="s">
        <v>2430</v>
      </c>
      <c r="BS70" t="s">
        <v>2431</v>
      </c>
      <c r="BT70" t="s">
        <v>165</v>
      </c>
      <c r="BU70" t="s">
        <v>217</v>
      </c>
      <c r="BV70" t="s">
        <v>212</v>
      </c>
      <c r="BW70" t="s">
        <v>218</v>
      </c>
      <c r="BX70" t="s">
        <v>219</v>
      </c>
      <c r="BY70" t="s">
        <v>176</v>
      </c>
      <c r="BZ70" t="s">
        <v>220</v>
      </c>
      <c r="CA70" t="s">
        <v>176</v>
      </c>
      <c r="CB70" t="s">
        <v>176</v>
      </c>
      <c r="CC70" t="s">
        <v>221</v>
      </c>
      <c r="CD70" t="s">
        <v>222</v>
      </c>
      <c r="CE70" t="s">
        <v>223</v>
      </c>
      <c r="CF70" t="s">
        <v>224</v>
      </c>
      <c r="CG70" t="s">
        <v>225</v>
      </c>
      <c r="CH70" t="s">
        <v>226</v>
      </c>
      <c r="CI70" t="s">
        <v>182</v>
      </c>
      <c r="CJ70" t="s">
        <v>218</v>
      </c>
      <c r="CK70" t="s">
        <v>227</v>
      </c>
      <c r="CL70" t="s">
        <v>227</v>
      </c>
      <c r="CM70" t="s">
        <v>227</v>
      </c>
      <c r="CN70" t="s">
        <v>176</v>
      </c>
      <c r="CO70" t="s">
        <v>228</v>
      </c>
      <c r="CP70" t="s">
        <v>176</v>
      </c>
      <c r="CQ70" t="s">
        <v>176</v>
      </c>
      <c r="CR70" t="s">
        <v>176</v>
      </c>
      <c r="CS70" t="s">
        <v>176</v>
      </c>
      <c r="CT70" t="s">
        <v>2432</v>
      </c>
      <c r="CU70" t="s">
        <v>2218</v>
      </c>
      <c r="CV70" t="s">
        <v>2433</v>
      </c>
      <c r="CW70" t="s">
        <v>2434</v>
      </c>
      <c r="CX70" t="s">
        <v>2435</v>
      </c>
      <c r="CY70" t="s">
        <v>2436</v>
      </c>
      <c r="CZ70" t="s">
        <v>2437</v>
      </c>
      <c r="DA70" t="s">
        <v>2438</v>
      </c>
      <c r="DB70" t="s">
        <v>2414</v>
      </c>
      <c r="DC70" t="s">
        <v>297</v>
      </c>
      <c r="DD70" t="s">
        <v>238</v>
      </c>
      <c r="DE70" t="s">
        <v>239</v>
      </c>
      <c r="DF70" t="s">
        <v>182</v>
      </c>
      <c r="DG70" t="s">
        <v>240</v>
      </c>
      <c r="DH70" t="s">
        <v>241</v>
      </c>
      <c r="DI70" t="s">
        <v>182</v>
      </c>
      <c r="DJ70" t="s">
        <v>242</v>
      </c>
      <c r="DK70" t="s">
        <v>243</v>
      </c>
      <c r="DL70" t="s">
        <v>244</v>
      </c>
      <c r="DM70" t="s">
        <v>176</v>
      </c>
      <c r="DN70" t="s">
        <v>2413</v>
      </c>
      <c r="DO70" t="s">
        <v>245</v>
      </c>
      <c r="DP70" t="s">
        <v>246</v>
      </c>
      <c r="DQ70" t="s">
        <v>247</v>
      </c>
      <c r="DR70" t="s">
        <v>248</v>
      </c>
      <c r="DS70" t="s">
        <v>249</v>
      </c>
      <c r="DT70" t="s">
        <v>250</v>
      </c>
    </row>
    <row r="71" spans="1:124" x14ac:dyDescent="0.45">
      <c r="A71" t="s">
        <v>2439</v>
      </c>
      <c r="B71" t="s">
        <v>2440</v>
      </c>
      <c r="C71" t="s">
        <v>17</v>
      </c>
      <c r="D71" t="s">
        <v>167</v>
      </c>
      <c r="E71" t="s">
        <v>168</v>
      </c>
      <c r="I71" t="s">
        <v>2441</v>
      </c>
      <c r="J71">
        <v>0.56645204608178767</v>
      </c>
      <c r="K71">
        <v>2.7397935200000001</v>
      </c>
      <c r="L71">
        <v>0.46940301747908098</v>
      </c>
      <c r="M71">
        <v>9.5522551457396894</v>
      </c>
      <c r="N71" t="s">
        <v>2442</v>
      </c>
      <c r="O71" t="s">
        <v>2443</v>
      </c>
      <c r="P71">
        <v>4.4729375579807016</v>
      </c>
      <c r="Q71">
        <v>1.9826535579807021</v>
      </c>
      <c r="R71" t="s">
        <v>2444</v>
      </c>
      <c r="S71" t="s">
        <v>2445</v>
      </c>
      <c r="T71">
        <v>44.326008898827688</v>
      </c>
      <c r="U71">
        <v>0.4417875</v>
      </c>
      <c r="V71" t="s">
        <v>174</v>
      </c>
      <c r="W71" t="s">
        <v>2446</v>
      </c>
      <c r="X71" t="s">
        <v>176</v>
      </c>
      <c r="Y71" t="s">
        <v>176</v>
      </c>
      <c r="Z71" t="s">
        <v>176</v>
      </c>
      <c r="AA71" t="s">
        <v>2447</v>
      </c>
      <c r="AB71" t="s">
        <v>2448</v>
      </c>
      <c r="AC71" t="s">
        <v>2449</v>
      </c>
      <c r="AD71" t="s">
        <v>180</v>
      </c>
      <c r="AE71" t="s">
        <v>181</v>
      </c>
      <c r="AF71">
        <v>14.881537440000001</v>
      </c>
      <c r="AG71" t="s">
        <v>182</v>
      </c>
      <c r="AH71" t="s">
        <v>2450</v>
      </c>
      <c r="AI71" t="s">
        <v>2451</v>
      </c>
      <c r="AJ71" t="s">
        <v>2452</v>
      </c>
      <c r="AK71" t="s">
        <v>2453</v>
      </c>
      <c r="AL71">
        <v>30.85</v>
      </c>
      <c r="AM71" t="s">
        <v>2133</v>
      </c>
      <c r="AN71" t="s">
        <v>2422</v>
      </c>
      <c r="AO71" t="s">
        <v>2454</v>
      </c>
      <c r="AP71" t="s">
        <v>1234</v>
      </c>
      <c r="AQ71" t="s">
        <v>1961</v>
      </c>
      <c r="AR71" t="s">
        <v>2455</v>
      </c>
      <c r="AS71" t="s">
        <v>165</v>
      </c>
      <c r="AT71" t="s">
        <v>328</v>
      </c>
      <c r="AU71" t="s">
        <v>1478</v>
      </c>
      <c r="AV71" t="s">
        <v>2456</v>
      </c>
      <c r="AW71" t="s">
        <v>2457</v>
      </c>
      <c r="AX71" t="s">
        <v>2458</v>
      </c>
      <c r="AY71" t="s">
        <v>2459</v>
      </c>
      <c r="AZ71" t="s">
        <v>1283</v>
      </c>
      <c r="BA71" t="s">
        <v>2460</v>
      </c>
      <c r="BB71" t="s">
        <v>2461</v>
      </c>
      <c r="BC71" t="s">
        <v>2462</v>
      </c>
      <c r="BD71" t="s">
        <v>17</v>
      </c>
      <c r="BE71" t="s">
        <v>1682</v>
      </c>
      <c r="BF71" t="s">
        <v>795</v>
      </c>
      <c r="BG71" t="s">
        <v>2251</v>
      </c>
      <c r="BH71" t="s">
        <v>890</v>
      </c>
      <c r="BI71" t="s">
        <v>1912</v>
      </c>
      <c r="BJ71" t="s">
        <v>2106</v>
      </c>
      <c r="BK71" t="s">
        <v>17</v>
      </c>
      <c r="BL71" t="s">
        <v>2107</v>
      </c>
      <c r="BM71" t="s">
        <v>165</v>
      </c>
      <c r="BN71" t="s">
        <v>331</v>
      </c>
      <c r="BO71" t="s">
        <v>211</v>
      </c>
      <c r="BP71" t="s">
        <v>284</v>
      </c>
      <c r="BQ71" t="s">
        <v>754</v>
      </c>
      <c r="BR71" t="s">
        <v>1170</v>
      </c>
      <c r="BS71" t="s">
        <v>2463</v>
      </c>
      <c r="BT71" t="s">
        <v>165</v>
      </c>
      <c r="BU71" t="s">
        <v>217</v>
      </c>
      <c r="BV71" t="s">
        <v>212</v>
      </c>
      <c r="BW71" t="s">
        <v>218</v>
      </c>
      <c r="BX71" t="s">
        <v>219</v>
      </c>
      <c r="BY71" t="s">
        <v>176</v>
      </c>
      <c r="BZ71" t="s">
        <v>220</v>
      </c>
      <c r="CA71" t="s">
        <v>176</v>
      </c>
      <c r="CB71" t="s">
        <v>176</v>
      </c>
      <c r="CC71" t="s">
        <v>221</v>
      </c>
      <c r="CD71" t="s">
        <v>222</v>
      </c>
      <c r="CE71" t="s">
        <v>223</v>
      </c>
      <c r="CF71" t="s">
        <v>224</v>
      </c>
      <c r="CG71" t="s">
        <v>225</v>
      </c>
      <c r="CH71" t="s">
        <v>226</v>
      </c>
      <c r="CI71" t="s">
        <v>182</v>
      </c>
      <c r="CJ71" t="s">
        <v>218</v>
      </c>
      <c r="CK71" t="s">
        <v>227</v>
      </c>
      <c r="CL71" t="s">
        <v>227</v>
      </c>
      <c r="CM71" t="s">
        <v>227</v>
      </c>
      <c r="CN71" t="s">
        <v>176</v>
      </c>
      <c r="CO71" t="s">
        <v>228</v>
      </c>
      <c r="CP71" t="s">
        <v>176</v>
      </c>
      <c r="CQ71" t="s">
        <v>176</v>
      </c>
      <c r="CR71" t="s">
        <v>176</v>
      </c>
      <c r="CS71" t="s">
        <v>176</v>
      </c>
      <c r="CT71" t="s">
        <v>2464</v>
      </c>
      <c r="CU71" t="s">
        <v>2465</v>
      </c>
      <c r="CV71" t="s">
        <v>2466</v>
      </c>
      <c r="CW71" t="s">
        <v>2467</v>
      </c>
      <c r="CX71" t="s">
        <v>2468</v>
      </c>
      <c r="CY71" t="s">
        <v>2469</v>
      </c>
      <c r="CZ71" t="s">
        <v>2470</v>
      </c>
      <c r="DA71" t="s">
        <v>2471</v>
      </c>
      <c r="DB71" t="s">
        <v>2447</v>
      </c>
      <c r="DC71" t="s">
        <v>1538</v>
      </c>
      <c r="DD71" t="s">
        <v>238</v>
      </c>
      <c r="DE71" t="s">
        <v>239</v>
      </c>
      <c r="DF71" t="s">
        <v>182</v>
      </c>
      <c r="DG71" t="s">
        <v>240</v>
      </c>
      <c r="DH71" t="s">
        <v>241</v>
      </c>
      <c r="DI71" t="s">
        <v>182</v>
      </c>
      <c r="DJ71" t="s">
        <v>242</v>
      </c>
      <c r="DK71" t="s">
        <v>243</v>
      </c>
      <c r="DL71" t="s">
        <v>244</v>
      </c>
      <c r="DM71" t="s">
        <v>176</v>
      </c>
      <c r="DN71" t="s">
        <v>2446</v>
      </c>
      <c r="DO71" t="s">
        <v>245</v>
      </c>
      <c r="DP71" t="s">
        <v>246</v>
      </c>
      <c r="DQ71" t="s">
        <v>247</v>
      </c>
      <c r="DR71" t="s">
        <v>248</v>
      </c>
      <c r="DS71" t="s">
        <v>249</v>
      </c>
      <c r="DT71" t="s">
        <v>250</v>
      </c>
    </row>
    <row r="72" spans="1:124" x14ac:dyDescent="0.45">
      <c r="A72" t="s">
        <v>2472</v>
      </c>
      <c r="B72" t="s">
        <v>2473</v>
      </c>
      <c r="C72" t="s">
        <v>17</v>
      </c>
      <c r="D72" t="s">
        <v>167</v>
      </c>
      <c r="E72" t="s">
        <v>168</v>
      </c>
      <c r="I72" t="s">
        <v>2474</v>
      </c>
      <c r="J72">
        <v>0.47035428571453242</v>
      </c>
      <c r="K72">
        <v>2.7553131199999998</v>
      </c>
      <c r="L72">
        <v>0.40176905163302251</v>
      </c>
      <c r="M72">
        <v>8.9053516138959417</v>
      </c>
      <c r="N72" t="s">
        <v>2475</v>
      </c>
      <c r="O72" t="s">
        <v>2476</v>
      </c>
      <c r="P72">
        <v>4.7079298517885118</v>
      </c>
      <c r="Q72">
        <v>2.1563318517885119</v>
      </c>
      <c r="R72" t="s">
        <v>2477</v>
      </c>
      <c r="S72" t="s">
        <v>2478</v>
      </c>
      <c r="T72">
        <v>46.65474038042327</v>
      </c>
      <c r="U72">
        <v>0.4417875</v>
      </c>
      <c r="V72" t="s">
        <v>174</v>
      </c>
      <c r="W72" t="s">
        <v>2479</v>
      </c>
      <c r="X72" t="s">
        <v>176</v>
      </c>
      <c r="Y72" t="s">
        <v>176</v>
      </c>
      <c r="Z72" t="s">
        <v>176</v>
      </c>
      <c r="AA72" t="s">
        <v>2480</v>
      </c>
      <c r="AB72" t="s">
        <v>2481</v>
      </c>
      <c r="AC72" t="s">
        <v>2482</v>
      </c>
      <c r="AD72" t="s">
        <v>180</v>
      </c>
      <c r="AE72" t="s">
        <v>181</v>
      </c>
      <c r="AF72">
        <v>77.642628000000002</v>
      </c>
      <c r="AG72" t="s">
        <v>182</v>
      </c>
      <c r="AH72" t="s">
        <v>2483</v>
      </c>
      <c r="AI72" t="s">
        <v>2484</v>
      </c>
      <c r="AJ72" t="s">
        <v>2485</v>
      </c>
      <c r="AK72" t="s">
        <v>2486</v>
      </c>
      <c r="AL72">
        <v>31.75</v>
      </c>
      <c r="AM72" t="s">
        <v>2133</v>
      </c>
      <c r="AN72" t="s">
        <v>1031</v>
      </c>
      <c r="AO72" t="s">
        <v>1433</v>
      </c>
      <c r="AP72" t="s">
        <v>2487</v>
      </c>
      <c r="AQ72" t="s">
        <v>2488</v>
      </c>
      <c r="AR72" t="s">
        <v>2455</v>
      </c>
      <c r="AS72" t="s">
        <v>194</v>
      </c>
      <c r="AT72" t="s">
        <v>534</v>
      </c>
      <c r="AU72" t="s">
        <v>787</v>
      </c>
      <c r="AV72" t="s">
        <v>2489</v>
      </c>
      <c r="AW72" t="s">
        <v>2490</v>
      </c>
      <c r="AX72" t="s">
        <v>2491</v>
      </c>
      <c r="AY72" t="s">
        <v>2492</v>
      </c>
      <c r="AZ72" t="s">
        <v>1283</v>
      </c>
      <c r="BA72" t="s">
        <v>2493</v>
      </c>
      <c r="BB72" t="s">
        <v>2494</v>
      </c>
      <c r="BC72" t="s">
        <v>2495</v>
      </c>
      <c r="BD72" t="s">
        <v>17</v>
      </c>
      <c r="BE72" t="s">
        <v>1165</v>
      </c>
      <c r="BF72" t="s">
        <v>1406</v>
      </c>
      <c r="BG72" t="s">
        <v>2496</v>
      </c>
      <c r="BH72" t="s">
        <v>808</v>
      </c>
      <c r="BI72" t="s">
        <v>1167</v>
      </c>
      <c r="BJ72" t="s">
        <v>2497</v>
      </c>
      <c r="BK72" t="s">
        <v>17</v>
      </c>
      <c r="BL72" t="s">
        <v>2498</v>
      </c>
      <c r="BM72" t="s">
        <v>165</v>
      </c>
      <c r="BN72" t="s">
        <v>754</v>
      </c>
      <c r="BO72" t="s">
        <v>211</v>
      </c>
      <c r="BP72" t="s">
        <v>754</v>
      </c>
      <c r="BQ72" t="s">
        <v>1448</v>
      </c>
      <c r="BR72" t="s">
        <v>2499</v>
      </c>
      <c r="BS72" t="s">
        <v>2500</v>
      </c>
      <c r="BT72" t="s">
        <v>165</v>
      </c>
      <c r="BU72" t="s">
        <v>217</v>
      </c>
      <c r="BV72" t="s">
        <v>212</v>
      </c>
      <c r="BW72" t="s">
        <v>218</v>
      </c>
      <c r="BX72" t="s">
        <v>219</v>
      </c>
      <c r="BY72" t="s">
        <v>176</v>
      </c>
      <c r="BZ72" t="s">
        <v>220</v>
      </c>
      <c r="CA72" t="s">
        <v>176</v>
      </c>
      <c r="CB72" t="s">
        <v>176</v>
      </c>
      <c r="CC72" t="s">
        <v>221</v>
      </c>
      <c r="CD72" t="s">
        <v>222</v>
      </c>
      <c r="CE72" t="s">
        <v>223</v>
      </c>
      <c r="CF72" t="s">
        <v>224</v>
      </c>
      <c r="CG72" t="s">
        <v>225</v>
      </c>
      <c r="CH72" t="s">
        <v>226</v>
      </c>
      <c r="CI72" t="s">
        <v>182</v>
      </c>
      <c r="CJ72" t="s">
        <v>218</v>
      </c>
      <c r="CK72" t="s">
        <v>227</v>
      </c>
      <c r="CL72" t="s">
        <v>227</v>
      </c>
      <c r="CM72" t="s">
        <v>227</v>
      </c>
      <c r="CN72" t="s">
        <v>176</v>
      </c>
      <c r="CO72" t="s">
        <v>228</v>
      </c>
      <c r="CP72" t="s">
        <v>176</v>
      </c>
      <c r="CQ72" t="s">
        <v>176</v>
      </c>
      <c r="CR72" t="s">
        <v>176</v>
      </c>
      <c r="CS72" t="s">
        <v>176</v>
      </c>
      <c r="CT72" t="s">
        <v>2501</v>
      </c>
      <c r="CU72" t="s">
        <v>2502</v>
      </c>
      <c r="CV72" t="s">
        <v>2503</v>
      </c>
      <c r="CW72" t="s">
        <v>2504</v>
      </c>
      <c r="CX72" t="s">
        <v>2505</v>
      </c>
      <c r="CY72" t="s">
        <v>2506</v>
      </c>
      <c r="CZ72" t="s">
        <v>2507</v>
      </c>
      <c r="DA72" t="s">
        <v>2508</v>
      </c>
      <c r="DB72" t="s">
        <v>2480</v>
      </c>
      <c r="DC72" t="s">
        <v>513</v>
      </c>
      <c r="DD72" t="s">
        <v>238</v>
      </c>
      <c r="DE72" t="s">
        <v>239</v>
      </c>
      <c r="DF72" t="s">
        <v>182</v>
      </c>
      <c r="DG72" t="s">
        <v>240</v>
      </c>
      <c r="DH72" t="s">
        <v>241</v>
      </c>
      <c r="DI72" t="s">
        <v>182</v>
      </c>
      <c r="DJ72" t="s">
        <v>242</v>
      </c>
      <c r="DK72" t="s">
        <v>243</v>
      </c>
      <c r="DL72" t="s">
        <v>244</v>
      </c>
      <c r="DM72" t="s">
        <v>176</v>
      </c>
      <c r="DN72" t="s">
        <v>2479</v>
      </c>
      <c r="DO72" t="s">
        <v>245</v>
      </c>
      <c r="DP72" t="s">
        <v>246</v>
      </c>
      <c r="DQ72" t="s">
        <v>247</v>
      </c>
      <c r="DR72" t="s">
        <v>248</v>
      </c>
      <c r="DS72" t="s">
        <v>249</v>
      </c>
      <c r="DT72" t="s">
        <v>250</v>
      </c>
    </row>
    <row r="73" spans="1:124" x14ac:dyDescent="0.45">
      <c r="A73" t="s">
        <v>2387</v>
      </c>
      <c r="B73" t="s">
        <v>2509</v>
      </c>
      <c r="C73" t="s">
        <v>17</v>
      </c>
      <c r="D73" t="s">
        <v>167</v>
      </c>
      <c r="E73" t="s">
        <v>168</v>
      </c>
      <c r="I73" t="s">
        <v>2510</v>
      </c>
      <c r="J73">
        <v>0.28231346808357283</v>
      </c>
      <c r="K73">
        <v>2.7418804799999998</v>
      </c>
      <c r="L73">
        <v>0.25595904253097862</v>
      </c>
      <c r="M73">
        <v>6.0858860703456719</v>
      </c>
      <c r="N73" t="s">
        <v>2511</v>
      </c>
      <c r="O73" t="s">
        <v>2512</v>
      </c>
      <c r="P73">
        <v>4.9202117820972342</v>
      </c>
      <c r="Q73">
        <v>2.3097957820972339</v>
      </c>
      <c r="R73" t="s">
        <v>2513</v>
      </c>
      <c r="S73" t="s">
        <v>2514</v>
      </c>
      <c r="T73">
        <v>48.758416233249783</v>
      </c>
      <c r="U73">
        <v>0.4417875</v>
      </c>
      <c r="V73" t="s">
        <v>174</v>
      </c>
      <c r="W73" t="s">
        <v>2515</v>
      </c>
      <c r="X73" t="s">
        <v>176</v>
      </c>
      <c r="Y73" t="s">
        <v>176</v>
      </c>
      <c r="Z73" t="s">
        <v>176</v>
      </c>
      <c r="AA73" t="s">
        <v>2516</v>
      </c>
      <c r="AB73" t="s">
        <v>2517</v>
      </c>
      <c r="AC73" t="s">
        <v>2518</v>
      </c>
      <c r="AD73" t="s">
        <v>180</v>
      </c>
      <c r="AE73" t="s">
        <v>181</v>
      </c>
      <c r="AF73">
        <v>28.680040200000001</v>
      </c>
      <c r="AG73" t="s">
        <v>182</v>
      </c>
      <c r="AH73" t="s">
        <v>2519</v>
      </c>
      <c r="AI73" t="s">
        <v>2520</v>
      </c>
      <c r="AJ73" t="s">
        <v>2521</v>
      </c>
      <c r="AK73" t="s">
        <v>2522</v>
      </c>
      <c r="AL73">
        <v>32.53</v>
      </c>
      <c r="AM73" t="s">
        <v>2133</v>
      </c>
      <c r="AN73" t="s">
        <v>2523</v>
      </c>
      <c r="AO73" t="s">
        <v>2278</v>
      </c>
      <c r="AP73" t="s">
        <v>268</v>
      </c>
      <c r="AQ73" t="s">
        <v>2524</v>
      </c>
      <c r="AR73" t="s">
        <v>2525</v>
      </c>
      <c r="AS73" t="s">
        <v>165</v>
      </c>
      <c r="AT73" t="s">
        <v>2059</v>
      </c>
      <c r="AU73" t="s">
        <v>828</v>
      </c>
      <c r="AV73" t="s">
        <v>2526</v>
      </c>
      <c r="AW73" t="s">
        <v>2527</v>
      </c>
      <c r="AX73" t="s">
        <v>2528</v>
      </c>
      <c r="AY73" t="s">
        <v>2529</v>
      </c>
      <c r="AZ73" t="s">
        <v>1283</v>
      </c>
      <c r="BA73" t="s">
        <v>2530</v>
      </c>
      <c r="BB73" t="s">
        <v>2531</v>
      </c>
      <c r="BC73" t="s">
        <v>2532</v>
      </c>
      <c r="BD73" t="s">
        <v>17</v>
      </c>
      <c r="BE73" t="s">
        <v>1165</v>
      </c>
      <c r="BF73" t="s">
        <v>1683</v>
      </c>
      <c r="BG73" t="s">
        <v>2533</v>
      </c>
      <c r="BH73" t="s">
        <v>890</v>
      </c>
      <c r="BI73" t="s">
        <v>2148</v>
      </c>
      <c r="BJ73" t="s">
        <v>2497</v>
      </c>
      <c r="BK73" t="s">
        <v>17</v>
      </c>
      <c r="BL73" t="s">
        <v>2498</v>
      </c>
      <c r="BM73" t="s">
        <v>165</v>
      </c>
      <c r="BN73" t="s">
        <v>212</v>
      </c>
      <c r="BO73" t="s">
        <v>212</v>
      </c>
      <c r="BP73" t="s">
        <v>283</v>
      </c>
      <c r="BQ73" t="s">
        <v>2534</v>
      </c>
      <c r="BR73" t="s">
        <v>2535</v>
      </c>
      <c r="BS73" t="s">
        <v>213</v>
      </c>
      <c r="BT73" t="s">
        <v>165</v>
      </c>
      <c r="BU73" t="s">
        <v>217</v>
      </c>
      <c r="BV73" t="s">
        <v>212</v>
      </c>
      <c r="BW73" t="s">
        <v>218</v>
      </c>
      <c r="BX73" t="s">
        <v>219</v>
      </c>
      <c r="BY73" t="s">
        <v>176</v>
      </c>
      <c r="BZ73" t="s">
        <v>220</v>
      </c>
      <c r="CA73" t="s">
        <v>176</v>
      </c>
      <c r="CB73" t="s">
        <v>176</v>
      </c>
      <c r="CC73" t="s">
        <v>221</v>
      </c>
      <c r="CD73" t="s">
        <v>222</v>
      </c>
      <c r="CE73" t="s">
        <v>223</v>
      </c>
      <c r="CF73" t="s">
        <v>224</v>
      </c>
      <c r="CG73" t="s">
        <v>225</v>
      </c>
      <c r="CH73" t="s">
        <v>226</v>
      </c>
      <c r="CI73" t="s">
        <v>182</v>
      </c>
      <c r="CJ73" t="s">
        <v>218</v>
      </c>
      <c r="CK73" t="s">
        <v>227</v>
      </c>
      <c r="CL73" t="s">
        <v>227</v>
      </c>
      <c r="CM73" t="s">
        <v>227</v>
      </c>
      <c r="CN73" t="s">
        <v>176</v>
      </c>
      <c r="CO73" t="s">
        <v>228</v>
      </c>
      <c r="CP73" t="s">
        <v>176</v>
      </c>
      <c r="CQ73" t="s">
        <v>176</v>
      </c>
      <c r="CR73" t="s">
        <v>176</v>
      </c>
      <c r="CS73" t="s">
        <v>176</v>
      </c>
      <c r="CT73" t="s">
        <v>2536</v>
      </c>
      <c r="CU73" t="s">
        <v>2537</v>
      </c>
      <c r="CV73" t="s">
        <v>2538</v>
      </c>
      <c r="CW73" t="s">
        <v>2539</v>
      </c>
      <c r="CX73" t="s">
        <v>2540</v>
      </c>
      <c r="CY73" t="s">
        <v>2541</v>
      </c>
      <c r="CZ73" t="s">
        <v>2542</v>
      </c>
      <c r="DA73" t="s">
        <v>2543</v>
      </c>
      <c r="DB73" t="s">
        <v>2516</v>
      </c>
      <c r="DC73" t="s">
        <v>2080</v>
      </c>
      <c r="DD73" t="s">
        <v>238</v>
      </c>
      <c r="DE73" t="s">
        <v>239</v>
      </c>
      <c r="DF73" t="s">
        <v>182</v>
      </c>
      <c r="DG73" t="s">
        <v>240</v>
      </c>
      <c r="DH73" t="s">
        <v>241</v>
      </c>
      <c r="DI73" t="s">
        <v>182</v>
      </c>
      <c r="DJ73" t="s">
        <v>242</v>
      </c>
      <c r="DK73" t="s">
        <v>243</v>
      </c>
      <c r="DL73" t="s">
        <v>244</v>
      </c>
      <c r="DM73" t="s">
        <v>176</v>
      </c>
      <c r="DN73" t="s">
        <v>2515</v>
      </c>
      <c r="DO73" t="s">
        <v>245</v>
      </c>
      <c r="DP73" t="s">
        <v>246</v>
      </c>
      <c r="DQ73" t="s">
        <v>247</v>
      </c>
      <c r="DR73" t="s">
        <v>248</v>
      </c>
      <c r="DS73" t="s">
        <v>249</v>
      </c>
      <c r="DT73" t="s">
        <v>250</v>
      </c>
    </row>
    <row r="74" spans="1:124" x14ac:dyDescent="0.45">
      <c r="A74" t="s">
        <v>2544</v>
      </c>
      <c r="B74" t="s">
        <v>2545</v>
      </c>
      <c r="C74" t="s">
        <v>17</v>
      </c>
      <c r="D74" t="s">
        <v>167</v>
      </c>
      <c r="E74" t="s">
        <v>168</v>
      </c>
      <c r="I74" t="s">
        <v>2546</v>
      </c>
      <c r="J74">
        <v>0.38347080711598702</v>
      </c>
      <c r="K74">
        <v>2.7356032799999999</v>
      </c>
      <c r="L74">
        <v>0.33632545057649088</v>
      </c>
      <c r="M74">
        <v>7.6000758484673607</v>
      </c>
      <c r="N74" t="s">
        <v>2547</v>
      </c>
      <c r="O74" t="s">
        <v>2548</v>
      </c>
      <c r="P74">
        <v>4.7615862411558467</v>
      </c>
      <c r="Q74">
        <v>2.1972462411558471</v>
      </c>
      <c r="R74" t="s">
        <v>2549</v>
      </c>
      <c r="S74" t="s">
        <v>2550</v>
      </c>
      <c r="T74">
        <v>47.191142132367148</v>
      </c>
      <c r="U74">
        <v>0.4417875</v>
      </c>
      <c r="V74" t="s">
        <v>174</v>
      </c>
      <c r="W74" t="s">
        <v>2551</v>
      </c>
      <c r="X74" t="s">
        <v>176</v>
      </c>
      <c r="Y74" t="s">
        <v>176</v>
      </c>
      <c r="Z74" t="s">
        <v>176</v>
      </c>
      <c r="AA74" t="s">
        <v>2552</v>
      </c>
      <c r="AB74" t="s">
        <v>2553</v>
      </c>
      <c r="AC74" t="s">
        <v>2554</v>
      </c>
      <c r="AD74" t="s">
        <v>180</v>
      </c>
      <c r="AE74" t="s">
        <v>181</v>
      </c>
      <c r="AF74">
        <v>157.91827968000001</v>
      </c>
      <c r="AG74" t="s">
        <v>182</v>
      </c>
      <c r="AH74" t="s">
        <v>2555</v>
      </c>
      <c r="AI74" t="s">
        <v>2556</v>
      </c>
      <c r="AJ74" t="s">
        <v>2557</v>
      </c>
      <c r="AK74" t="s">
        <v>2558</v>
      </c>
      <c r="AL74">
        <v>31.95</v>
      </c>
      <c r="AM74" t="s">
        <v>2559</v>
      </c>
      <c r="AN74" t="s">
        <v>2560</v>
      </c>
      <c r="AO74" t="s">
        <v>2561</v>
      </c>
      <c r="AP74" t="s">
        <v>2562</v>
      </c>
      <c r="AQ74" t="s">
        <v>2563</v>
      </c>
      <c r="AR74" t="s">
        <v>2455</v>
      </c>
      <c r="AS74" t="s">
        <v>223</v>
      </c>
      <c r="AT74" t="s">
        <v>910</v>
      </c>
      <c r="AU74" t="s">
        <v>1157</v>
      </c>
      <c r="AV74" t="s">
        <v>1680</v>
      </c>
      <c r="AW74" t="s">
        <v>2564</v>
      </c>
      <c r="AX74" t="s">
        <v>2565</v>
      </c>
      <c r="AY74" t="s">
        <v>2566</v>
      </c>
      <c r="AZ74" t="s">
        <v>1283</v>
      </c>
      <c r="BA74" t="s">
        <v>2530</v>
      </c>
      <c r="BB74" t="s">
        <v>2531</v>
      </c>
      <c r="BC74" t="s">
        <v>2567</v>
      </c>
      <c r="BD74" t="s">
        <v>17</v>
      </c>
      <c r="BE74" t="s">
        <v>1606</v>
      </c>
      <c r="BF74" t="s">
        <v>1683</v>
      </c>
      <c r="BG74" t="s">
        <v>2568</v>
      </c>
      <c r="BH74" t="s">
        <v>890</v>
      </c>
      <c r="BI74" t="s">
        <v>2148</v>
      </c>
      <c r="BJ74" t="s">
        <v>2497</v>
      </c>
      <c r="BK74" t="s">
        <v>17</v>
      </c>
      <c r="BL74" t="s">
        <v>2498</v>
      </c>
      <c r="BM74" t="s">
        <v>165</v>
      </c>
      <c r="BN74" t="s">
        <v>212</v>
      </c>
      <c r="BO74" t="s">
        <v>211</v>
      </c>
      <c r="BP74" t="s">
        <v>283</v>
      </c>
      <c r="BQ74" t="s">
        <v>1448</v>
      </c>
      <c r="BR74" t="s">
        <v>2569</v>
      </c>
      <c r="BS74" t="s">
        <v>2570</v>
      </c>
      <c r="BT74" t="s">
        <v>165</v>
      </c>
      <c r="BU74" t="s">
        <v>217</v>
      </c>
      <c r="BV74" t="s">
        <v>212</v>
      </c>
      <c r="BW74" t="s">
        <v>218</v>
      </c>
      <c r="BX74" t="s">
        <v>219</v>
      </c>
      <c r="BY74" t="s">
        <v>176</v>
      </c>
      <c r="BZ74" t="s">
        <v>220</v>
      </c>
      <c r="CA74" t="s">
        <v>176</v>
      </c>
      <c r="CB74" t="s">
        <v>176</v>
      </c>
      <c r="CC74" t="s">
        <v>221</v>
      </c>
      <c r="CD74" t="s">
        <v>222</v>
      </c>
      <c r="CE74" t="s">
        <v>223</v>
      </c>
      <c r="CF74" t="s">
        <v>224</v>
      </c>
      <c r="CG74" t="s">
        <v>225</v>
      </c>
      <c r="CH74" t="s">
        <v>226</v>
      </c>
      <c r="CI74" t="s">
        <v>182</v>
      </c>
      <c r="CJ74" t="s">
        <v>218</v>
      </c>
      <c r="CK74" t="s">
        <v>227</v>
      </c>
      <c r="CL74" t="s">
        <v>227</v>
      </c>
      <c r="CM74" t="s">
        <v>227</v>
      </c>
      <c r="CN74" t="s">
        <v>176</v>
      </c>
      <c r="CO74" t="s">
        <v>228</v>
      </c>
      <c r="CP74" t="s">
        <v>176</v>
      </c>
      <c r="CQ74" t="s">
        <v>176</v>
      </c>
      <c r="CR74" t="s">
        <v>176</v>
      </c>
      <c r="CS74" t="s">
        <v>176</v>
      </c>
      <c r="CT74" t="s">
        <v>2571</v>
      </c>
      <c r="CU74" t="s">
        <v>2572</v>
      </c>
      <c r="CV74" t="s">
        <v>2573</v>
      </c>
      <c r="CW74" t="s">
        <v>2574</v>
      </c>
      <c r="CX74" t="s">
        <v>2575</v>
      </c>
      <c r="CY74" t="s">
        <v>2576</v>
      </c>
      <c r="CZ74" t="s">
        <v>2577</v>
      </c>
      <c r="DA74" t="s">
        <v>2578</v>
      </c>
      <c r="DB74" t="s">
        <v>2552</v>
      </c>
      <c r="DC74" t="s">
        <v>766</v>
      </c>
      <c r="DD74" t="s">
        <v>238</v>
      </c>
      <c r="DE74" t="s">
        <v>239</v>
      </c>
      <c r="DF74" t="s">
        <v>182</v>
      </c>
      <c r="DG74" t="s">
        <v>240</v>
      </c>
      <c r="DH74" t="s">
        <v>241</v>
      </c>
      <c r="DI74" t="s">
        <v>182</v>
      </c>
      <c r="DJ74" t="s">
        <v>242</v>
      </c>
      <c r="DK74" t="s">
        <v>243</v>
      </c>
      <c r="DL74" t="s">
        <v>244</v>
      </c>
      <c r="DM74" t="s">
        <v>176</v>
      </c>
      <c r="DN74" t="s">
        <v>2551</v>
      </c>
      <c r="DO74" t="s">
        <v>245</v>
      </c>
      <c r="DP74" t="s">
        <v>246</v>
      </c>
      <c r="DQ74" t="s">
        <v>247</v>
      </c>
      <c r="DR74" t="s">
        <v>248</v>
      </c>
      <c r="DS74" t="s">
        <v>249</v>
      </c>
      <c r="DT74" t="s">
        <v>250</v>
      </c>
    </row>
    <row r="75" spans="1:124" x14ac:dyDescent="0.45">
      <c r="A75" t="s">
        <v>2579</v>
      </c>
      <c r="B75" t="s">
        <v>2580</v>
      </c>
      <c r="C75" t="s">
        <v>17</v>
      </c>
      <c r="D75" t="s">
        <v>167</v>
      </c>
      <c r="E75" t="s">
        <v>168</v>
      </c>
      <c r="I75" t="s">
        <v>2581</v>
      </c>
      <c r="J75">
        <v>0.21755653582055259</v>
      </c>
      <c r="K75">
        <v>2.64954432</v>
      </c>
      <c r="L75">
        <v>0.20104827585399021</v>
      </c>
      <c r="M75">
        <v>5.2429665572847757</v>
      </c>
      <c r="N75" t="s">
        <v>2582</v>
      </c>
      <c r="O75" t="s">
        <v>2583</v>
      </c>
      <c r="P75">
        <v>4.9452337459605848</v>
      </c>
      <c r="Q75">
        <v>2.5350097459605849</v>
      </c>
      <c r="R75" t="s">
        <v>2584</v>
      </c>
      <c r="S75" t="s">
        <v>2585</v>
      </c>
      <c r="T75">
        <v>49.016094221038607</v>
      </c>
      <c r="U75">
        <v>0.4417875</v>
      </c>
      <c r="V75" t="s">
        <v>174</v>
      </c>
      <c r="W75" t="s">
        <v>2586</v>
      </c>
      <c r="X75" t="s">
        <v>176</v>
      </c>
      <c r="Y75" t="s">
        <v>176</v>
      </c>
      <c r="Z75" t="s">
        <v>176</v>
      </c>
      <c r="AA75" t="s">
        <v>2587</v>
      </c>
      <c r="AB75" t="s">
        <v>2588</v>
      </c>
      <c r="AC75" t="s">
        <v>2589</v>
      </c>
      <c r="AD75" t="s">
        <v>180</v>
      </c>
      <c r="AE75" t="s">
        <v>181</v>
      </c>
      <c r="AF75">
        <v>27.192474959999998</v>
      </c>
      <c r="AG75" t="s">
        <v>182</v>
      </c>
      <c r="AH75" t="s">
        <v>2590</v>
      </c>
      <c r="AI75" t="s">
        <v>2591</v>
      </c>
      <c r="AJ75" t="s">
        <v>2592</v>
      </c>
      <c r="AK75" t="s">
        <v>2593</v>
      </c>
      <c r="AL75">
        <v>32.619999999999997</v>
      </c>
      <c r="AM75" t="s">
        <v>2594</v>
      </c>
      <c r="AN75" t="s">
        <v>2595</v>
      </c>
      <c r="AO75" t="s">
        <v>2596</v>
      </c>
      <c r="AP75" t="s">
        <v>180</v>
      </c>
      <c r="AQ75" t="s">
        <v>2597</v>
      </c>
      <c r="AR75" t="s">
        <v>2598</v>
      </c>
      <c r="AS75" t="s">
        <v>849</v>
      </c>
      <c r="AT75" t="s">
        <v>365</v>
      </c>
      <c r="AU75" t="s">
        <v>2599</v>
      </c>
      <c r="AV75" t="s">
        <v>2600</v>
      </c>
      <c r="AW75" t="s">
        <v>2601</v>
      </c>
      <c r="AX75" t="s">
        <v>2602</v>
      </c>
      <c r="AY75" t="s">
        <v>2603</v>
      </c>
      <c r="AZ75" t="s">
        <v>1283</v>
      </c>
      <c r="BA75" t="s">
        <v>2604</v>
      </c>
      <c r="BB75" t="s">
        <v>2605</v>
      </c>
      <c r="BC75" t="s">
        <v>2606</v>
      </c>
      <c r="BD75" t="s">
        <v>17</v>
      </c>
      <c r="BE75" t="s">
        <v>2607</v>
      </c>
      <c r="BF75" t="s">
        <v>669</v>
      </c>
      <c r="BG75" t="s">
        <v>2608</v>
      </c>
      <c r="BH75" t="s">
        <v>890</v>
      </c>
      <c r="BI75" t="s">
        <v>1647</v>
      </c>
      <c r="BJ75" t="s">
        <v>2497</v>
      </c>
      <c r="BK75" t="s">
        <v>17</v>
      </c>
      <c r="BL75" t="s">
        <v>2498</v>
      </c>
      <c r="BM75" t="s">
        <v>165</v>
      </c>
      <c r="BN75" t="s">
        <v>211</v>
      </c>
      <c r="BO75" t="s">
        <v>212</v>
      </c>
      <c r="BP75" t="s">
        <v>331</v>
      </c>
      <c r="BQ75" t="s">
        <v>2609</v>
      </c>
      <c r="BR75" t="s">
        <v>2610</v>
      </c>
      <c r="BS75" t="s">
        <v>2611</v>
      </c>
      <c r="BT75" t="s">
        <v>165</v>
      </c>
      <c r="BU75" t="s">
        <v>217</v>
      </c>
      <c r="BV75" t="s">
        <v>212</v>
      </c>
      <c r="BW75" t="s">
        <v>218</v>
      </c>
      <c r="BX75" t="s">
        <v>219</v>
      </c>
      <c r="BY75" t="s">
        <v>176</v>
      </c>
      <c r="BZ75" t="s">
        <v>220</v>
      </c>
      <c r="CA75" t="s">
        <v>176</v>
      </c>
      <c r="CB75" t="s">
        <v>176</v>
      </c>
      <c r="CC75" t="s">
        <v>221</v>
      </c>
      <c r="CD75" t="s">
        <v>222</v>
      </c>
      <c r="CE75" t="s">
        <v>223</v>
      </c>
      <c r="CF75" t="s">
        <v>224</v>
      </c>
      <c r="CG75" t="s">
        <v>225</v>
      </c>
      <c r="CH75" t="s">
        <v>226</v>
      </c>
      <c r="CI75" t="s">
        <v>182</v>
      </c>
      <c r="CJ75" t="s">
        <v>218</v>
      </c>
      <c r="CK75" t="s">
        <v>227</v>
      </c>
      <c r="CL75" t="s">
        <v>227</v>
      </c>
      <c r="CM75" t="s">
        <v>227</v>
      </c>
      <c r="CN75" t="s">
        <v>176</v>
      </c>
      <c r="CO75" t="s">
        <v>228</v>
      </c>
      <c r="CP75" t="s">
        <v>176</v>
      </c>
      <c r="CQ75" t="s">
        <v>176</v>
      </c>
      <c r="CR75" t="s">
        <v>176</v>
      </c>
      <c r="CS75" t="s">
        <v>176</v>
      </c>
      <c r="CT75" t="s">
        <v>2612</v>
      </c>
      <c r="CU75" t="s">
        <v>2613</v>
      </c>
      <c r="CV75" t="s">
        <v>2614</v>
      </c>
      <c r="CW75" t="s">
        <v>2615</v>
      </c>
      <c r="CX75" t="s">
        <v>2616</v>
      </c>
      <c r="CY75" t="s">
        <v>2617</v>
      </c>
      <c r="CZ75" t="s">
        <v>2618</v>
      </c>
      <c r="DA75" t="s">
        <v>2619</v>
      </c>
      <c r="DB75" t="s">
        <v>2587</v>
      </c>
      <c r="DC75" t="s">
        <v>1099</v>
      </c>
      <c r="DD75" t="s">
        <v>238</v>
      </c>
      <c r="DE75" t="s">
        <v>239</v>
      </c>
      <c r="DF75" t="s">
        <v>182</v>
      </c>
      <c r="DG75" t="s">
        <v>240</v>
      </c>
      <c r="DH75" t="s">
        <v>241</v>
      </c>
      <c r="DI75" t="s">
        <v>182</v>
      </c>
      <c r="DJ75" t="s">
        <v>242</v>
      </c>
      <c r="DK75" t="s">
        <v>243</v>
      </c>
      <c r="DL75" t="s">
        <v>244</v>
      </c>
      <c r="DM75" t="s">
        <v>176</v>
      </c>
      <c r="DN75" t="s">
        <v>2586</v>
      </c>
      <c r="DO75" t="s">
        <v>245</v>
      </c>
      <c r="DP75" t="s">
        <v>246</v>
      </c>
      <c r="DQ75" t="s">
        <v>247</v>
      </c>
      <c r="DR75" t="s">
        <v>248</v>
      </c>
      <c r="DS75" t="s">
        <v>249</v>
      </c>
      <c r="DT75" t="s">
        <v>250</v>
      </c>
    </row>
    <row r="77" spans="1:124" x14ac:dyDescent="0.45">
      <c r="A77" t="s">
        <v>2620</v>
      </c>
      <c r="B77" t="s">
        <v>2621</v>
      </c>
      <c r="C77" t="s">
        <v>17</v>
      </c>
      <c r="D77" t="s">
        <v>167</v>
      </c>
      <c r="E77" t="s">
        <v>168</v>
      </c>
      <c r="I77" t="s">
        <v>2622</v>
      </c>
      <c r="J77">
        <v>0.52940144735298256</v>
      </c>
      <c r="K77">
        <v>2.81054928</v>
      </c>
      <c r="L77">
        <v>0.44548826559130061</v>
      </c>
      <c r="M77">
        <v>9.3147762710630353</v>
      </c>
      <c r="N77" t="s">
        <v>2623</v>
      </c>
      <c r="O77" t="s">
        <v>2624</v>
      </c>
      <c r="P77">
        <v>4.6706843260785256</v>
      </c>
      <c r="Q77">
        <v>2.033249326078526</v>
      </c>
      <c r="R77" t="s">
        <v>2625</v>
      </c>
      <c r="S77" t="s">
        <v>2626</v>
      </c>
      <c r="T77">
        <v>46.294819368406444</v>
      </c>
      <c r="U77">
        <v>0.4417875</v>
      </c>
      <c r="V77" t="s">
        <v>174</v>
      </c>
      <c r="W77" t="s">
        <v>2627</v>
      </c>
      <c r="X77" t="s">
        <v>176</v>
      </c>
      <c r="Y77" t="s">
        <v>176</v>
      </c>
      <c r="Z77" t="s">
        <v>176</v>
      </c>
      <c r="AA77" t="s">
        <v>2628</v>
      </c>
      <c r="AB77" t="s">
        <v>2629</v>
      </c>
      <c r="AC77" t="s">
        <v>2630</v>
      </c>
      <c r="AD77" t="s">
        <v>180</v>
      </c>
      <c r="AE77" t="s">
        <v>181</v>
      </c>
      <c r="AF77">
        <v>21.222672240000001</v>
      </c>
      <c r="AG77" t="s">
        <v>182</v>
      </c>
      <c r="AH77" t="s">
        <v>2631</v>
      </c>
      <c r="AI77" t="s">
        <v>1631</v>
      </c>
      <c r="AJ77" t="s">
        <v>2632</v>
      </c>
      <c r="AK77" t="s">
        <v>2633</v>
      </c>
      <c r="AL77">
        <v>31.61</v>
      </c>
      <c r="AM77" t="s">
        <v>2594</v>
      </c>
      <c r="AN77" t="s">
        <v>2634</v>
      </c>
      <c r="AO77" t="s">
        <v>2635</v>
      </c>
      <c r="AP77" t="s">
        <v>2636</v>
      </c>
      <c r="AQ77" t="s">
        <v>2637</v>
      </c>
      <c r="AR77" t="s">
        <v>2598</v>
      </c>
      <c r="AS77" t="s">
        <v>194</v>
      </c>
      <c r="AT77" t="s">
        <v>786</v>
      </c>
      <c r="AU77" t="s">
        <v>2638</v>
      </c>
      <c r="AV77" t="s">
        <v>2639</v>
      </c>
      <c r="AW77" t="s">
        <v>2640</v>
      </c>
      <c r="AX77" t="s">
        <v>831</v>
      </c>
      <c r="AY77" t="s">
        <v>2641</v>
      </c>
      <c r="AZ77" t="s">
        <v>1283</v>
      </c>
      <c r="BA77" t="s">
        <v>2642</v>
      </c>
      <c r="BB77" t="s">
        <v>2643</v>
      </c>
      <c r="BC77" t="s">
        <v>2644</v>
      </c>
      <c r="BD77" t="s">
        <v>17</v>
      </c>
      <c r="BE77" t="s">
        <v>416</v>
      </c>
      <c r="BF77" t="s">
        <v>795</v>
      </c>
      <c r="BG77" t="s">
        <v>2608</v>
      </c>
      <c r="BH77" t="s">
        <v>890</v>
      </c>
      <c r="BI77" t="s">
        <v>1647</v>
      </c>
      <c r="BJ77" t="s">
        <v>2497</v>
      </c>
      <c r="BK77" t="s">
        <v>17</v>
      </c>
      <c r="BL77" t="s">
        <v>2498</v>
      </c>
      <c r="BM77" t="s">
        <v>165</v>
      </c>
      <c r="BN77" t="s">
        <v>211</v>
      </c>
      <c r="BO77" t="s">
        <v>284</v>
      </c>
      <c r="BP77" t="s">
        <v>1126</v>
      </c>
      <c r="BQ77" t="s">
        <v>2645</v>
      </c>
      <c r="BR77" t="s">
        <v>2646</v>
      </c>
      <c r="BS77" t="s">
        <v>2647</v>
      </c>
      <c r="BT77" t="s">
        <v>165</v>
      </c>
      <c r="BU77" t="s">
        <v>217</v>
      </c>
      <c r="BV77" t="s">
        <v>212</v>
      </c>
      <c r="BW77" t="s">
        <v>218</v>
      </c>
      <c r="BX77" t="s">
        <v>219</v>
      </c>
      <c r="BY77" t="s">
        <v>176</v>
      </c>
      <c r="BZ77" t="s">
        <v>220</v>
      </c>
      <c r="CA77" t="s">
        <v>176</v>
      </c>
      <c r="CB77" t="s">
        <v>176</v>
      </c>
      <c r="CC77" t="s">
        <v>221</v>
      </c>
      <c r="CD77" t="s">
        <v>222</v>
      </c>
      <c r="CE77" t="s">
        <v>223</v>
      </c>
      <c r="CF77" t="s">
        <v>224</v>
      </c>
      <c r="CG77" t="s">
        <v>225</v>
      </c>
      <c r="CH77" t="s">
        <v>226</v>
      </c>
      <c r="CI77" t="s">
        <v>182</v>
      </c>
      <c r="CJ77" t="s">
        <v>218</v>
      </c>
      <c r="CK77" t="s">
        <v>227</v>
      </c>
      <c r="CL77" t="s">
        <v>227</v>
      </c>
      <c r="CM77" t="s">
        <v>227</v>
      </c>
      <c r="CN77" t="s">
        <v>176</v>
      </c>
      <c r="CO77" t="s">
        <v>228</v>
      </c>
      <c r="CP77" t="s">
        <v>176</v>
      </c>
      <c r="CQ77" t="s">
        <v>176</v>
      </c>
      <c r="CR77" t="s">
        <v>176</v>
      </c>
      <c r="CS77" t="s">
        <v>176</v>
      </c>
      <c r="CT77" t="s">
        <v>2648</v>
      </c>
      <c r="CU77" t="s">
        <v>2649</v>
      </c>
      <c r="CV77" t="s">
        <v>2650</v>
      </c>
      <c r="CW77" t="s">
        <v>2651</v>
      </c>
      <c r="CX77" t="s">
        <v>2652</v>
      </c>
      <c r="CY77" t="s">
        <v>2653</v>
      </c>
      <c r="CZ77" t="s">
        <v>2654</v>
      </c>
      <c r="DA77" t="s">
        <v>2655</v>
      </c>
      <c r="DB77" t="s">
        <v>2628</v>
      </c>
      <c r="DC77" t="s">
        <v>513</v>
      </c>
      <c r="DD77" t="s">
        <v>238</v>
      </c>
      <c r="DE77" t="s">
        <v>239</v>
      </c>
      <c r="DF77" t="s">
        <v>182</v>
      </c>
      <c r="DG77" t="s">
        <v>240</v>
      </c>
      <c r="DH77" t="s">
        <v>241</v>
      </c>
      <c r="DI77" t="s">
        <v>182</v>
      </c>
      <c r="DJ77" t="s">
        <v>242</v>
      </c>
      <c r="DK77" t="s">
        <v>243</v>
      </c>
      <c r="DL77" t="s">
        <v>244</v>
      </c>
      <c r="DM77" t="s">
        <v>176</v>
      </c>
      <c r="DN77" t="s">
        <v>2627</v>
      </c>
      <c r="DO77" t="s">
        <v>245</v>
      </c>
      <c r="DP77" t="s">
        <v>246</v>
      </c>
      <c r="DQ77" t="s">
        <v>247</v>
      </c>
      <c r="DR77" t="s">
        <v>248</v>
      </c>
      <c r="DS77" t="s">
        <v>249</v>
      </c>
      <c r="DT77" t="s">
        <v>250</v>
      </c>
    </row>
    <row r="78" spans="1:124" x14ac:dyDescent="0.45">
      <c r="A78" t="s">
        <v>2656</v>
      </c>
      <c r="B78" t="s">
        <v>2657</v>
      </c>
      <c r="C78" t="s">
        <v>17</v>
      </c>
      <c r="D78" t="s">
        <v>167</v>
      </c>
      <c r="E78" t="s">
        <v>168</v>
      </c>
      <c r="I78" t="s">
        <v>2658</v>
      </c>
      <c r="J78">
        <v>0.2115041647248454</v>
      </c>
      <c r="K78">
        <v>2.7481087199999998</v>
      </c>
      <c r="L78">
        <v>0.1963893461866387</v>
      </c>
      <c r="M78">
        <v>5.2926452873665113</v>
      </c>
      <c r="N78" t="s">
        <v>2659</v>
      </c>
      <c r="O78" t="s">
        <v>2660</v>
      </c>
      <c r="P78">
        <v>4.9146663334072587</v>
      </c>
      <c r="Q78">
        <v>2.621545333407258</v>
      </c>
      <c r="R78" t="s">
        <v>2661</v>
      </c>
      <c r="S78" t="s">
        <v>2662</v>
      </c>
      <c r="T78">
        <v>48.717945414425643</v>
      </c>
      <c r="U78">
        <v>0.4417875</v>
      </c>
      <c r="V78" t="s">
        <v>174</v>
      </c>
      <c r="W78" t="s">
        <v>2663</v>
      </c>
      <c r="X78" t="s">
        <v>176</v>
      </c>
      <c r="Y78" t="s">
        <v>176</v>
      </c>
      <c r="Z78" t="s">
        <v>176</v>
      </c>
      <c r="AA78" t="s">
        <v>2664</v>
      </c>
      <c r="AB78" t="s">
        <v>2665</v>
      </c>
      <c r="AC78" t="s">
        <v>2666</v>
      </c>
      <c r="AD78" t="s">
        <v>180</v>
      </c>
      <c r="AE78" t="s">
        <v>181</v>
      </c>
      <c r="AF78">
        <v>51.650405099999993</v>
      </c>
      <c r="AG78" t="s">
        <v>182</v>
      </c>
      <c r="AH78" t="s">
        <v>2092</v>
      </c>
      <c r="AI78" t="s">
        <v>2667</v>
      </c>
      <c r="AJ78" t="s">
        <v>2668</v>
      </c>
      <c r="AK78" t="s">
        <v>2669</v>
      </c>
      <c r="AL78">
        <v>32.51</v>
      </c>
      <c r="AM78" t="s">
        <v>2670</v>
      </c>
      <c r="AN78" t="s">
        <v>2671</v>
      </c>
      <c r="AO78" t="s">
        <v>948</v>
      </c>
      <c r="AP78" t="s">
        <v>907</v>
      </c>
      <c r="AQ78" t="s">
        <v>2672</v>
      </c>
      <c r="AR78" t="s">
        <v>2673</v>
      </c>
      <c r="AS78" t="s">
        <v>489</v>
      </c>
      <c r="AT78" t="s">
        <v>2674</v>
      </c>
      <c r="AU78" t="s">
        <v>2675</v>
      </c>
      <c r="AV78" t="s">
        <v>2676</v>
      </c>
      <c r="AW78" t="s">
        <v>2677</v>
      </c>
      <c r="AX78" t="s">
        <v>2678</v>
      </c>
      <c r="AY78" t="s">
        <v>2679</v>
      </c>
      <c r="AZ78" t="s">
        <v>1283</v>
      </c>
      <c r="BA78" t="s">
        <v>2680</v>
      </c>
      <c r="BB78" t="s">
        <v>2681</v>
      </c>
      <c r="BC78" t="s">
        <v>2682</v>
      </c>
      <c r="BD78" t="s">
        <v>17</v>
      </c>
      <c r="BE78" t="s">
        <v>2288</v>
      </c>
      <c r="BF78" t="s">
        <v>1001</v>
      </c>
      <c r="BG78" t="s">
        <v>2683</v>
      </c>
      <c r="BH78" t="s">
        <v>890</v>
      </c>
      <c r="BI78" t="s">
        <v>1912</v>
      </c>
      <c r="BJ78" t="s">
        <v>2497</v>
      </c>
      <c r="BK78" t="s">
        <v>17</v>
      </c>
      <c r="BL78" t="s">
        <v>2498</v>
      </c>
      <c r="BM78" t="s">
        <v>165</v>
      </c>
      <c r="BN78" t="s">
        <v>212</v>
      </c>
      <c r="BO78" t="s">
        <v>211</v>
      </c>
      <c r="BP78" t="s">
        <v>213</v>
      </c>
      <c r="BQ78" t="s">
        <v>2684</v>
      </c>
      <c r="BR78" t="s">
        <v>2685</v>
      </c>
      <c r="BS78" t="s">
        <v>2686</v>
      </c>
      <c r="BT78" t="s">
        <v>165</v>
      </c>
      <c r="BU78" t="s">
        <v>217</v>
      </c>
      <c r="BV78" t="s">
        <v>212</v>
      </c>
      <c r="BW78" t="s">
        <v>218</v>
      </c>
      <c r="BX78" t="s">
        <v>219</v>
      </c>
      <c r="BY78" t="s">
        <v>176</v>
      </c>
      <c r="BZ78" t="s">
        <v>220</v>
      </c>
      <c r="CA78" t="s">
        <v>176</v>
      </c>
      <c r="CB78" t="s">
        <v>176</v>
      </c>
      <c r="CC78" t="s">
        <v>221</v>
      </c>
      <c r="CD78" t="s">
        <v>222</v>
      </c>
      <c r="CE78" t="s">
        <v>223</v>
      </c>
      <c r="CF78" t="s">
        <v>224</v>
      </c>
      <c r="CG78" t="s">
        <v>225</v>
      </c>
      <c r="CH78" t="s">
        <v>226</v>
      </c>
      <c r="CI78" t="s">
        <v>182</v>
      </c>
      <c r="CJ78" t="s">
        <v>218</v>
      </c>
      <c r="CK78" t="s">
        <v>227</v>
      </c>
      <c r="CL78" t="s">
        <v>227</v>
      </c>
      <c r="CM78" t="s">
        <v>227</v>
      </c>
      <c r="CN78" t="s">
        <v>176</v>
      </c>
      <c r="CO78" t="s">
        <v>228</v>
      </c>
      <c r="CP78" t="s">
        <v>176</v>
      </c>
      <c r="CQ78" t="s">
        <v>176</v>
      </c>
      <c r="CR78" t="s">
        <v>176</v>
      </c>
      <c r="CS78" t="s">
        <v>176</v>
      </c>
      <c r="CT78" t="s">
        <v>2687</v>
      </c>
      <c r="CU78" t="s">
        <v>2688</v>
      </c>
      <c r="CV78" t="s">
        <v>2689</v>
      </c>
      <c r="CW78" t="s">
        <v>2690</v>
      </c>
      <c r="CX78" t="s">
        <v>2691</v>
      </c>
      <c r="CY78" t="s">
        <v>2692</v>
      </c>
      <c r="CZ78" t="s">
        <v>2693</v>
      </c>
      <c r="DA78" t="s">
        <v>2694</v>
      </c>
      <c r="DB78" t="s">
        <v>2664</v>
      </c>
      <c r="DC78" t="s">
        <v>297</v>
      </c>
      <c r="DD78" t="s">
        <v>238</v>
      </c>
      <c r="DE78" t="s">
        <v>239</v>
      </c>
      <c r="DF78" t="s">
        <v>182</v>
      </c>
      <c r="DG78" t="s">
        <v>240</v>
      </c>
      <c r="DH78" t="s">
        <v>241</v>
      </c>
      <c r="DI78" t="s">
        <v>182</v>
      </c>
      <c r="DJ78" t="s">
        <v>242</v>
      </c>
      <c r="DK78" t="s">
        <v>243</v>
      </c>
      <c r="DL78" t="s">
        <v>244</v>
      </c>
      <c r="DM78" t="s">
        <v>176</v>
      </c>
      <c r="DN78" t="s">
        <v>2663</v>
      </c>
      <c r="DO78" t="s">
        <v>245</v>
      </c>
      <c r="DP78" t="s">
        <v>246</v>
      </c>
      <c r="DQ78" t="s">
        <v>247</v>
      </c>
      <c r="DR78" t="s">
        <v>248</v>
      </c>
      <c r="DS78" t="s">
        <v>249</v>
      </c>
      <c r="DT78" t="s">
        <v>250</v>
      </c>
    </row>
    <row r="79" spans="1:124" x14ac:dyDescent="0.45">
      <c r="A79" t="s">
        <v>2695</v>
      </c>
      <c r="B79" t="s">
        <v>2696</v>
      </c>
      <c r="C79" t="s">
        <v>17</v>
      </c>
      <c r="D79" t="s">
        <v>167</v>
      </c>
      <c r="E79" t="s">
        <v>168</v>
      </c>
      <c r="I79" t="s">
        <v>2697</v>
      </c>
      <c r="J79">
        <v>4.9703423776390762E-3</v>
      </c>
      <c r="K79">
        <v>2.7695219999999998</v>
      </c>
      <c r="L79">
        <v>4.9614382970713912E-3</v>
      </c>
      <c r="M79">
        <v>0.1801172146228856</v>
      </c>
      <c r="N79" t="s">
        <v>2698</v>
      </c>
      <c r="O79" t="s">
        <v>2699</v>
      </c>
      <c r="P79">
        <v>5.7715095955330389</v>
      </c>
      <c r="Q79">
        <v>3.5169825955330389</v>
      </c>
      <c r="R79" t="s">
        <v>2700</v>
      </c>
      <c r="S79" t="s">
        <v>2701</v>
      </c>
      <c r="T79">
        <v>57.205962885648127</v>
      </c>
      <c r="U79">
        <v>0.4417875</v>
      </c>
      <c r="V79" t="s">
        <v>174</v>
      </c>
      <c r="W79" t="s">
        <v>2702</v>
      </c>
      <c r="X79" t="s">
        <v>176</v>
      </c>
      <c r="Y79" t="s">
        <v>176</v>
      </c>
      <c r="Z79" t="s">
        <v>176</v>
      </c>
      <c r="AA79" t="s">
        <v>2703</v>
      </c>
      <c r="AB79" t="s">
        <v>2704</v>
      </c>
      <c r="AC79" t="s">
        <v>2705</v>
      </c>
      <c r="AD79" t="s">
        <v>180</v>
      </c>
      <c r="AE79" t="s">
        <v>181</v>
      </c>
      <c r="AF79">
        <v>233.91310319999999</v>
      </c>
      <c r="AG79" t="s">
        <v>182</v>
      </c>
      <c r="AH79" t="s">
        <v>2706</v>
      </c>
      <c r="AI79" t="s">
        <v>2707</v>
      </c>
      <c r="AJ79" t="s">
        <v>2708</v>
      </c>
      <c r="AK79" t="s">
        <v>2709</v>
      </c>
      <c r="AL79">
        <v>35.39</v>
      </c>
      <c r="AM79" t="s">
        <v>2594</v>
      </c>
      <c r="AN79" t="s">
        <v>2710</v>
      </c>
      <c r="AO79" t="s">
        <v>2711</v>
      </c>
      <c r="AP79" t="s">
        <v>739</v>
      </c>
      <c r="AQ79" t="s">
        <v>2712</v>
      </c>
      <c r="AR79" t="s">
        <v>2713</v>
      </c>
      <c r="AS79" t="s">
        <v>223</v>
      </c>
      <c r="AT79" t="s">
        <v>910</v>
      </c>
      <c r="AU79" t="s">
        <v>2714</v>
      </c>
      <c r="AV79" t="s">
        <v>2715</v>
      </c>
      <c r="AW79" t="s">
        <v>2716</v>
      </c>
      <c r="AX79" t="s">
        <v>2565</v>
      </c>
      <c r="AY79" t="s">
        <v>2717</v>
      </c>
      <c r="AZ79" t="s">
        <v>1283</v>
      </c>
      <c r="BA79" t="s">
        <v>2680</v>
      </c>
      <c r="BB79" t="s">
        <v>2681</v>
      </c>
      <c r="BC79" t="s">
        <v>2718</v>
      </c>
      <c r="BD79" t="s">
        <v>17</v>
      </c>
      <c r="BE79" t="s">
        <v>2719</v>
      </c>
      <c r="BF79" t="s">
        <v>2720</v>
      </c>
      <c r="BG79" t="s">
        <v>2721</v>
      </c>
      <c r="BH79" t="s">
        <v>932</v>
      </c>
      <c r="BI79" t="s">
        <v>2105</v>
      </c>
      <c r="BJ79" t="s">
        <v>2497</v>
      </c>
      <c r="BK79" t="s">
        <v>17</v>
      </c>
      <c r="BL79" t="s">
        <v>2498</v>
      </c>
      <c r="BM79" t="s">
        <v>165</v>
      </c>
      <c r="BN79" t="s">
        <v>211</v>
      </c>
      <c r="BO79" t="s">
        <v>212</v>
      </c>
      <c r="BP79" t="s">
        <v>212</v>
      </c>
      <c r="BQ79" t="s">
        <v>2722</v>
      </c>
      <c r="BR79" t="s">
        <v>2723</v>
      </c>
      <c r="BS79" t="s">
        <v>2724</v>
      </c>
      <c r="BT79" t="s">
        <v>165</v>
      </c>
      <c r="BU79" t="s">
        <v>217</v>
      </c>
      <c r="BV79" t="s">
        <v>212</v>
      </c>
      <c r="BW79" t="s">
        <v>218</v>
      </c>
      <c r="BX79" t="s">
        <v>219</v>
      </c>
      <c r="BY79" t="s">
        <v>176</v>
      </c>
      <c r="BZ79" t="s">
        <v>220</v>
      </c>
      <c r="CA79" t="s">
        <v>176</v>
      </c>
      <c r="CB79" t="s">
        <v>176</v>
      </c>
      <c r="CC79" t="s">
        <v>221</v>
      </c>
      <c r="CD79" t="s">
        <v>222</v>
      </c>
      <c r="CE79" t="s">
        <v>223</v>
      </c>
      <c r="CF79" t="s">
        <v>224</v>
      </c>
      <c r="CG79" t="s">
        <v>225</v>
      </c>
      <c r="CH79" t="s">
        <v>226</v>
      </c>
      <c r="CI79" t="s">
        <v>182</v>
      </c>
      <c r="CJ79" t="s">
        <v>218</v>
      </c>
      <c r="CK79" t="s">
        <v>227</v>
      </c>
      <c r="CL79" t="s">
        <v>227</v>
      </c>
      <c r="CM79" t="s">
        <v>227</v>
      </c>
      <c r="CN79" t="s">
        <v>176</v>
      </c>
      <c r="CO79" t="s">
        <v>228</v>
      </c>
      <c r="CP79" t="s">
        <v>176</v>
      </c>
      <c r="CQ79" t="s">
        <v>176</v>
      </c>
      <c r="CR79" t="s">
        <v>176</v>
      </c>
      <c r="CS79" t="s">
        <v>176</v>
      </c>
      <c r="CT79" t="s">
        <v>2725</v>
      </c>
      <c r="CU79" t="s">
        <v>2726</v>
      </c>
      <c r="CV79" t="s">
        <v>2727</v>
      </c>
      <c r="CW79" t="s">
        <v>2728</v>
      </c>
      <c r="CX79" t="s">
        <v>2729</v>
      </c>
      <c r="CY79" t="s">
        <v>2730</v>
      </c>
      <c r="CZ79" t="s">
        <v>2731</v>
      </c>
      <c r="DA79" t="s">
        <v>2732</v>
      </c>
      <c r="DB79" t="s">
        <v>2703</v>
      </c>
      <c r="DC79" t="s">
        <v>2263</v>
      </c>
      <c r="DD79" t="s">
        <v>238</v>
      </c>
      <c r="DE79" t="s">
        <v>239</v>
      </c>
      <c r="DF79" t="s">
        <v>182</v>
      </c>
      <c r="DG79" t="s">
        <v>240</v>
      </c>
      <c r="DH79" t="s">
        <v>241</v>
      </c>
      <c r="DI79" t="s">
        <v>182</v>
      </c>
      <c r="DJ79" t="s">
        <v>242</v>
      </c>
      <c r="DK79" t="s">
        <v>243</v>
      </c>
      <c r="DL79" t="s">
        <v>244</v>
      </c>
      <c r="DM79" t="s">
        <v>176</v>
      </c>
      <c r="DN79" t="s">
        <v>2702</v>
      </c>
      <c r="DO79" t="s">
        <v>245</v>
      </c>
      <c r="DP79" t="s">
        <v>246</v>
      </c>
      <c r="DQ79" t="s">
        <v>247</v>
      </c>
      <c r="DR79" t="s">
        <v>248</v>
      </c>
      <c r="DS79" t="s">
        <v>249</v>
      </c>
      <c r="DT79" t="s">
        <v>250</v>
      </c>
    </row>
    <row r="80" spans="1:124" x14ac:dyDescent="0.45">
      <c r="A80" t="s">
        <v>2733</v>
      </c>
      <c r="B80" t="s">
        <v>2734</v>
      </c>
      <c r="C80" t="s">
        <v>17</v>
      </c>
      <c r="D80" t="s">
        <v>167</v>
      </c>
      <c r="E80" t="s">
        <v>168</v>
      </c>
      <c r="I80" t="s">
        <v>2735</v>
      </c>
      <c r="J80">
        <v>0.37687345641883963</v>
      </c>
      <c r="K80">
        <v>2.6610399199999999</v>
      </c>
      <c r="L80">
        <v>0.33011978554211591</v>
      </c>
      <c r="M80">
        <v>7.6639665793569547</v>
      </c>
      <c r="N80" t="s">
        <v>2736</v>
      </c>
      <c r="O80" t="s">
        <v>2737</v>
      </c>
      <c r="P80">
        <v>4.845805807156526</v>
      </c>
      <c r="Q80">
        <v>2.2558378071565262</v>
      </c>
      <c r="R80" t="s">
        <v>2738</v>
      </c>
      <c r="S80" t="s">
        <v>2739</v>
      </c>
      <c r="T80">
        <v>48.030585857434097</v>
      </c>
      <c r="U80">
        <v>0.4417875</v>
      </c>
      <c r="V80" t="s">
        <v>174</v>
      </c>
      <c r="W80" t="s">
        <v>2740</v>
      </c>
      <c r="X80" t="s">
        <v>176</v>
      </c>
      <c r="Y80" t="s">
        <v>176</v>
      </c>
      <c r="Z80" t="s">
        <v>176</v>
      </c>
      <c r="AA80" t="s">
        <v>2741</v>
      </c>
      <c r="AB80" t="s">
        <v>2742</v>
      </c>
      <c r="AC80" t="s">
        <v>2743</v>
      </c>
      <c r="AD80" t="s">
        <v>180</v>
      </c>
      <c r="AE80" t="s">
        <v>181</v>
      </c>
      <c r="AF80">
        <v>26.006501220000001</v>
      </c>
      <c r="AG80" t="s">
        <v>182</v>
      </c>
      <c r="AH80" t="s">
        <v>2744</v>
      </c>
      <c r="AI80" t="s">
        <v>2745</v>
      </c>
      <c r="AJ80" t="s">
        <v>2668</v>
      </c>
      <c r="AK80" t="s">
        <v>2746</v>
      </c>
      <c r="AL80">
        <v>32.26</v>
      </c>
      <c r="AM80" t="s">
        <v>2594</v>
      </c>
      <c r="AN80" t="s">
        <v>2747</v>
      </c>
      <c r="AO80" t="s">
        <v>2748</v>
      </c>
      <c r="AP80" t="s">
        <v>1076</v>
      </c>
      <c r="AQ80" t="s">
        <v>2749</v>
      </c>
      <c r="AR80" t="s">
        <v>2750</v>
      </c>
      <c r="AS80" t="s">
        <v>1396</v>
      </c>
      <c r="AT80" t="s">
        <v>223</v>
      </c>
      <c r="AU80" t="s">
        <v>2751</v>
      </c>
      <c r="AV80" t="s">
        <v>2752</v>
      </c>
      <c r="AW80" t="s">
        <v>2753</v>
      </c>
      <c r="AX80" t="s">
        <v>2754</v>
      </c>
      <c r="AY80" t="s">
        <v>2755</v>
      </c>
      <c r="AZ80" t="s">
        <v>1283</v>
      </c>
      <c r="BA80" t="s">
        <v>2756</v>
      </c>
      <c r="BB80" t="s">
        <v>2757</v>
      </c>
      <c r="BC80" t="s">
        <v>2758</v>
      </c>
      <c r="BD80" t="s">
        <v>17</v>
      </c>
      <c r="BE80" t="s">
        <v>2719</v>
      </c>
      <c r="BF80" t="s">
        <v>544</v>
      </c>
      <c r="BG80" t="s">
        <v>2759</v>
      </c>
      <c r="BH80" t="s">
        <v>849</v>
      </c>
      <c r="BI80" t="s">
        <v>2069</v>
      </c>
      <c r="BJ80" t="s">
        <v>2497</v>
      </c>
      <c r="BK80" t="s">
        <v>17</v>
      </c>
      <c r="BL80" t="s">
        <v>2498</v>
      </c>
      <c r="BM80" t="s">
        <v>165</v>
      </c>
      <c r="BN80" t="s">
        <v>212</v>
      </c>
      <c r="BO80" t="s">
        <v>330</v>
      </c>
      <c r="BP80" t="s">
        <v>331</v>
      </c>
      <c r="BQ80" t="s">
        <v>2030</v>
      </c>
      <c r="BR80" t="s">
        <v>2760</v>
      </c>
      <c r="BS80" t="s">
        <v>2761</v>
      </c>
      <c r="BT80" t="s">
        <v>165</v>
      </c>
      <c r="BU80" t="s">
        <v>217</v>
      </c>
      <c r="BV80" t="s">
        <v>212</v>
      </c>
      <c r="BW80" t="s">
        <v>218</v>
      </c>
      <c r="BX80" t="s">
        <v>219</v>
      </c>
      <c r="BY80" t="s">
        <v>176</v>
      </c>
      <c r="BZ80" t="s">
        <v>220</v>
      </c>
      <c r="CA80" t="s">
        <v>176</v>
      </c>
      <c r="CB80" t="s">
        <v>176</v>
      </c>
      <c r="CC80" t="s">
        <v>221</v>
      </c>
      <c r="CD80" t="s">
        <v>222</v>
      </c>
      <c r="CE80" t="s">
        <v>223</v>
      </c>
      <c r="CF80" t="s">
        <v>224</v>
      </c>
      <c r="CG80" t="s">
        <v>225</v>
      </c>
      <c r="CH80" t="s">
        <v>226</v>
      </c>
      <c r="CI80" t="s">
        <v>182</v>
      </c>
      <c r="CJ80" t="s">
        <v>218</v>
      </c>
      <c r="CK80" t="s">
        <v>227</v>
      </c>
      <c r="CL80" t="s">
        <v>227</v>
      </c>
      <c r="CM80" t="s">
        <v>227</v>
      </c>
      <c r="CN80" t="s">
        <v>176</v>
      </c>
      <c r="CO80" t="s">
        <v>228</v>
      </c>
      <c r="CP80" t="s">
        <v>176</v>
      </c>
      <c r="CQ80" t="s">
        <v>176</v>
      </c>
      <c r="CR80" t="s">
        <v>176</v>
      </c>
      <c r="CS80" t="s">
        <v>176</v>
      </c>
      <c r="CT80" t="s">
        <v>2762</v>
      </c>
      <c r="CU80" t="s">
        <v>2763</v>
      </c>
      <c r="CV80" t="s">
        <v>2764</v>
      </c>
      <c r="CW80" t="s">
        <v>2765</v>
      </c>
      <c r="CX80" t="s">
        <v>2766</v>
      </c>
      <c r="CY80" t="s">
        <v>2767</v>
      </c>
      <c r="CZ80" t="s">
        <v>2768</v>
      </c>
      <c r="DA80" t="s">
        <v>2769</v>
      </c>
      <c r="DB80" t="s">
        <v>2741</v>
      </c>
      <c r="DC80" t="s">
        <v>513</v>
      </c>
      <c r="DD80" t="s">
        <v>238</v>
      </c>
      <c r="DE80" t="s">
        <v>239</v>
      </c>
      <c r="DF80" t="s">
        <v>182</v>
      </c>
      <c r="DG80" t="s">
        <v>240</v>
      </c>
      <c r="DH80" t="s">
        <v>241</v>
      </c>
      <c r="DI80" t="s">
        <v>182</v>
      </c>
      <c r="DJ80" t="s">
        <v>242</v>
      </c>
      <c r="DK80" t="s">
        <v>243</v>
      </c>
      <c r="DL80" t="s">
        <v>244</v>
      </c>
      <c r="DM80" t="s">
        <v>176</v>
      </c>
      <c r="DN80" t="s">
        <v>2740</v>
      </c>
      <c r="DO80" t="s">
        <v>245</v>
      </c>
      <c r="DP80" t="s">
        <v>246</v>
      </c>
      <c r="DQ80" t="s">
        <v>247</v>
      </c>
      <c r="DR80" t="s">
        <v>248</v>
      </c>
      <c r="DS80" t="s">
        <v>249</v>
      </c>
      <c r="DT80" t="s">
        <v>250</v>
      </c>
    </row>
    <row r="81" spans="1:124" x14ac:dyDescent="0.45">
      <c r="A81" t="s">
        <v>2770</v>
      </c>
      <c r="B81" t="s">
        <v>2771</v>
      </c>
      <c r="C81" t="s">
        <v>17</v>
      </c>
      <c r="D81" t="s">
        <v>167</v>
      </c>
      <c r="E81" t="s">
        <v>168</v>
      </c>
      <c r="I81" t="s">
        <v>2772</v>
      </c>
      <c r="J81">
        <v>0.20628963071201201</v>
      </c>
      <c r="K81">
        <v>2.7583803200000001</v>
      </c>
      <c r="L81">
        <v>0.19193544881426719</v>
      </c>
      <c r="M81">
        <v>5.0095821537357326</v>
      </c>
      <c r="N81" t="s">
        <v>2773</v>
      </c>
      <c r="O81" t="s">
        <v>2774</v>
      </c>
      <c r="P81">
        <v>5.1120262537776666</v>
      </c>
      <c r="Q81">
        <v>2.5326922537776668</v>
      </c>
      <c r="R81" t="s">
        <v>2775</v>
      </c>
      <c r="S81" t="s">
        <v>2776</v>
      </c>
      <c r="T81">
        <v>50.674328447439201</v>
      </c>
      <c r="U81">
        <v>0.4417875</v>
      </c>
      <c r="V81" t="s">
        <v>174</v>
      </c>
      <c r="W81" t="s">
        <v>2777</v>
      </c>
      <c r="X81" t="s">
        <v>176</v>
      </c>
      <c r="Y81" t="s">
        <v>176</v>
      </c>
      <c r="Z81" t="s">
        <v>176</v>
      </c>
      <c r="AA81" t="s">
        <v>2778</v>
      </c>
      <c r="AB81" t="s">
        <v>2779</v>
      </c>
      <c r="AC81" t="s">
        <v>2780</v>
      </c>
      <c r="AD81" t="s">
        <v>180</v>
      </c>
      <c r="AE81" t="s">
        <v>181</v>
      </c>
      <c r="AF81">
        <v>16.740054239999999</v>
      </c>
      <c r="AG81" t="s">
        <v>182</v>
      </c>
      <c r="AH81" t="s">
        <v>2781</v>
      </c>
      <c r="AI81" t="s">
        <v>2782</v>
      </c>
      <c r="AJ81" t="s">
        <v>2783</v>
      </c>
      <c r="AK81" t="s">
        <v>2393</v>
      </c>
      <c r="AL81">
        <v>33.21</v>
      </c>
      <c r="AM81" t="s">
        <v>2670</v>
      </c>
      <c r="AN81" t="s">
        <v>1475</v>
      </c>
      <c r="AO81" t="s">
        <v>948</v>
      </c>
      <c r="AP81" t="s">
        <v>531</v>
      </c>
      <c r="AQ81" t="s">
        <v>2264</v>
      </c>
      <c r="AR81" t="s">
        <v>2784</v>
      </c>
      <c r="AS81" t="s">
        <v>409</v>
      </c>
      <c r="AT81" t="s">
        <v>298</v>
      </c>
      <c r="AU81" t="s">
        <v>2785</v>
      </c>
      <c r="AV81" t="s">
        <v>2786</v>
      </c>
      <c r="AW81" t="s">
        <v>2787</v>
      </c>
      <c r="AX81" t="s">
        <v>2788</v>
      </c>
      <c r="AY81" t="s">
        <v>2789</v>
      </c>
      <c r="AZ81" t="s">
        <v>1283</v>
      </c>
      <c r="BA81" t="s">
        <v>2790</v>
      </c>
      <c r="BB81" t="s">
        <v>2791</v>
      </c>
      <c r="BC81" t="s">
        <v>2792</v>
      </c>
      <c r="BD81" t="s">
        <v>17</v>
      </c>
      <c r="BE81" t="s">
        <v>416</v>
      </c>
      <c r="BF81" t="s">
        <v>1406</v>
      </c>
      <c r="BG81" t="s">
        <v>2608</v>
      </c>
      <c r="BH81" t="s">
        <v>890</v>
      </c>
      <c r="BI81" t="s">
        <v>1912</v>
      </c>
      <c r="BJ81" t="s">
        <v>2497</v>
      </c>
      <c r="BK81" t="s">
        <v>17</v>
      </c>
      <c r="BL81" t="s">
        <v>2498</v>
      </c>
      <c r="BM81" t="s">
        <v>165</v>
      </c>
      <c r="BN81" t="s">
        <v>211</v>
      </c>
      <c r="BO81" t="s">
        <v>211</v>
      </c>
      <c r="BP81" t="s">
        <v>331</v>
      </c>
      <c r="BQ81" t="s">
        <v>838</v>
      </c>
      <c r="BR81" t="s">
        <v>2793</v>
      </c>
      <c r="BS81" t="s">
        <v>2794</v>
      </c>
      <c r="BT81" t="s">
        <v>165</v>
      </c>
      <c r="BU81" t="s">
        <v>217</v>
      </c>
      <c r="BV81" t="s">
        <v>212</v>
      </c>
      <c r="BW81" t="s">
        <v>218</v>
      </c>
      <c r="BX81" t="s">
        <v>219</v>
      </c>
      <c r="BY81" t="s">
        <v>176</v>
      </c>
      <c r="BZ81" t="s">
        <v>220</v>
      </c>
      <c r="CA81" t="s">
        <v>176</v>
      </c>
      <c r="CB81" t="s">
        <v>176</v>
      </c>
      <c r="CC81" t="s">
        <v>221</v>
      </c>
      <c r="CD81" t="s">
        <v>222</v>
      </c>
      <c r="CE81" t="s">
        <v>223</v>
      </c>
      <c r="CF81" t="s">
        <v>224</v>
      </c>
      <c r="CG81" t="s">
        <v>225</v>
      </c>
      <c r="CH81" t="s">
        <v>226</v>
      </c>
      <c r="CI81" t="s">
        <v>182</v>
      </c>
      <c r="CJ81" t="s">
        <v>218</v>
      </c>
      <c r="CK81" t="s">
        <v>227</v>
      </c>
      <c r="CL81" t="s">
        <v>227</v>
      </c>
      <c r="CM81" t="s">
        <v>227</v>
      </c>
      <c r="CN81" t="s">
        <v>176</v>
      </c>
      <c r="CO81" t="s">
        <v>228</v>
      </c>
      <c r="CP81" t="s">
        <v>176</v>
      </c>
      <c r="CQ81" t="s">
        <v>176</v>
      </c>
      <c r="CR81" t="s">
        <v>176</v>
      </c>
      <c r="CS81" t="s">
        <v>176</v>
      </c>
      <c r="CT81" t="s">
        <v>2795</v>
      </c>
      <c r="CU81" t="s">
        <v>2796</v>
      </c>
      <c r="CV81" t="s">
        <v>2797</v>
      </c>
      <c r="CW81" t="s">
        <v>2798</v>
      </c>
      <c r="CX81" t="s">
        <v>2799</v>
      </c>
      <c r="CY81" t="s">
        <v>2800</v>
      </c>
      <c r="CZ81" t="s">
        <v>2801</v>
      </c>
      <c r="DA81" t="s">
        <v>2802</v>
      </c>
      <c r="DB81" t="s">
        <v>2778</v>
      </c>
      <c r="DC81" t="s">
        <v>1738</v>
      </c>
      <c r="DD81" t="s">
        <v>238</v>
      </c>
      <c r="DE81" t="s">
        <v>239</v>
      </c>
      <c r="DF81" t="s">
        <v>182</v>
      </c>
      <c r="DG81" t="s">
        <v>240</v>
      </c>
      <c r="DH81" t="s">
        <v>241</v>
      </c>
      <c r="DI81" t="s">
        <v>182</v>
      </c>
      <c r="DJ81" t="s">
        <v>242</v>
      </c>
      <c r="DK81" t="s">
        <v>243</v>
      </c>
      <c r="DL81" t="s">
        <v>244</v>
      </c>
      <c r="DM81" t="s">
        <v>176</v>
      </c>
      <c r="DN81" t="s">
        <v>2777</v>
      </c>
      <c r="DO81" t="s">
        <v>245</v>
      </c>
      <c r="DP81" t="s">
        <v>246</v>
      </c>
      <c r="DQ81" t="s">
        <v>247</v>
      </c>
      <c r="DR81" t="s">
        <v>248</v>
      </c>
      <c r="DS81" t="s">
        <v>249</v>
      </c>
      <c r="DT81" t="s">
        <v>250</v>
      </c>
    </row>
    <row r="82" spans="1:124" x14ac:dyDescent="0.45">
      <c r="A82" t="s">
        <v>2803</v>
      </c>
      <c r="B82" t="s">
        <v>2804</v>
      </c>
      <c r="C82" t="s">
        <v>17</v>
      </c>
      <c r="D82" t="s">
        <v>167</v>
      </c>
      <c r="E82" t="s">
        <v>168</v>
      </c>
      <c r="I82" t="s">
        <v>2805</v>
      </c>
      <c r="J82">
        <v>5.8446142541531923E-2</v>
      </c>
      <c r="K82">
        <v>2.71647792</v>
      </c>
      <c r="L82">
        <v>5.721513531358767E-2</v>
      </c>
      <c r="M82">
        <v>2.034534917341873</v>
      </c>
      <c r="N82" t="s">
        <v>2806</v>
      </c>
      <c r="O82" t="s">
        <v>2807</v>
      </c>
      <c r="P82">
        <v>5.8548917501441586</v>
      </c>
      <c r="Q82">
        <v>3.440151750144159</v>
      </c>
      <c r="R82" t="s">
        <v>2808</v>
      </c>
      <c r="S82" t="s">
        <v>2809</v>
      </c>
      <c r="T82">
        <v>58.038181504204587</v>
      </c>
      <c r="U82">
        <v>0.4417875</v>
      </c>
      <c r="V82" t="s">
        <v>174</v>
      </c>
      <c r="W82" t="s">
        <v>2810</v>
      </c>
      <c r="X82" t="s">
        <v>176</v>
      </c>
      <c r="Y82" t="s">
        <v>176</v>
      </c>
      <c r="Z82" t="s">
        <v>176</v>
      </c>
      <c r="AA82" t="s">
        <v>2811</v>
      </c>
      <c r="AB82" t="s">
        <v>2812</v>
      </c>
      <c r="AC82" t="s">
        <v>2813</v>
      </c>
      <c r="AD82" t="s">
        <v>180</v>
      </c>
      <c r="AE82" t="s">
        <v>181</v>
      </c>
      <c r="AF82">
        <v>118.71785394</v>
      </c>
      <c r="AG82" t="s">
        <v>182</v>
      </c>
      <c r="AH82" t="s">
        <v>2814</v>
      </c>
      <c r="AI82" t="s">
        <v>2815</v>
      </c>
      <c r="AJ82" t="s">
        <v>2816</v>
      </c>
      <c r="AK82" t="s">
        <v>2419</v>
      </c>
      <c r="AL82">
        <v>35.65</v>
      </c>
      <c r="AM82" t="s">
        <v>2670</v>
      </c>
      <c r="AN82" t="s">
        <v>1754</v>
      </c>
      <c r="AO82" t="s">
        <v>2817</v>
      </c>
      <c r="AP82" t="s">
        <v>2818</v>
      </c>
      <c r="AQ82" t="s">
        <v>2819</v>
      </c>
      <c r="AR82" t="s">
        <v>2820</v>
      </c>
      <c r="AS82" t="s">
        <v>2821</v>
      </c>
      <c r="AT82" t="s">
        <v>223</v>
      </c>
      <c r="AU82" t="s">
        <v>2822</v>
      </c>
      <c r="AV82" t="s">
        <v>2823</v>
      </c>
      <c r="AW82" t="s">
        <v>2824</v>
      </c>
      <c r="AX82" t="s">
        <v>2825</v>
      </c>
      <c r="AY82" t="s">
        <v>2826</v>
      </c>
      <c r="AZ82" t="s">
        <v>1283</v>
      </c>
      <c r="BA82" t="s">
        <v>2827</v>
      </c>
      <c r="BB82" t="s">
        <v>2828</v>
      </c>
      <c r="BC82" t="s">
        <v>2829</v>
      </c>
      <c r="BD82" t="s">
        <v>17</v>
      </c>
      <c r="BE82" t="s">
        <v>2830</v>
      </c>
      <c r="BF82" t="s">
        <v>2831</v>
      </c>
      <c r="BG82" t="s">
        <v>2832</v>
      </c>
      <c r="BH82" t="s">
        <v>724</v>
      </c>
      <c r="BI82" t="s">
        <v>588</v>
      </c>
      <c r="BJ82" t="s">
        <v>2497</v>
      </c>
      <c r="BK82" t="s">
        <v>17</v>
      </c>
      <c r="BL82" t="s">
        <v>2498</v>
      </c>
      <c r="BM82" t="s">
        <v>165</v>
      </c>
      <c r="BN82" t="s">
        <v>212</v>
      </c>
      <c r="BO82" t="s">
        <v>284</v>
      </c>
      <c r="BP82" t="s">
        <v>458</v>
      </c>
      <c r="BQ82" t="s">
        <v>2833</v>
      </c>
      <c r="BR82" t="s">
        <v>2834</v>
      </c>
      <c r="BS82" t="s">
        <v>2835</v>
      </c>
      <c r="BT82" t="s">
        <v>165</v>
      </c>
      <c r="BU82" t="s">
        <v>217</v>
      </c>
      <c r="BV82" t="s">
        <v>212</v>
      </c>
      <c r="BW82" t="s">
        <v>218</v>
      </c>
      <c r="BX82" t="s">
        <v>219</v>
      </c>
      <c r="BY82" t="s">
        <v>176</v>
      </c>
      <c r="BZ82" t="s">
        <v>220</v>
      </c>
      <c r="CA82" t="s">
        <v>176</v>
      </c>
      <c r="CB82" t="s">
        <v>176</v>
      </c>
      <c r="CC82" t="s">
        <v>221</v>
      </c>
      <c r="CD82" t="s">
        <v>222</v>
      </c>
      <c r="CE82" t="s">
        <v>223</v>
      </c>
      <c r="CF82" t="s">
        <v>224</v>
      </c>
      <c r="CG82" t="s">
        <v>225</v>
      </c>
      <c r="CH82" t="s">
        <v>226</v>
      </c>
      <c r="CI82" t="s">
        <v>182</v>
      </c>
      <c r="CJ82" t="s">
        <v>218</v>
      </c>
      <c r="CK82" t="s">
        <v>227</v>
      </c>
      <c r="CL82" t="s">
        <v>227</v>
      </c>
      <c r="CM82" t="s">
        <v>227</v>
      </c>
      <c r="CN82" t="s">
        <v>176</v>
      </c>
      <c r="CO82" t="s">
        <v>228</v>
      </c>
      <c r="CP82" t="s">
        <v>176</v>
      </c>
      <c r="CQ82" t="s">
        <v>176</v>
      </c>
      <c r="CR82" t="s">
        <v>176</v>
      </c>
      <c r="CS82" t="s">
        <v>176</v>
      </c>
      <c r="CT82" t="s">
        <v>2836</v>
      </c>
      <c r="CU82" t="s">
        <v>2837</v>
      </c>
      <c r="CV82" t="s">
        <v>2838</v>
      </c>
      <c r="CW82" t="s">
        <v>2839</v>
      </c>
      <c r="CX82" t="s">
        <v>2840</v>
      </c>
      <c r="CY82" t="s">
        <v>2841</v>
      </c>
      <c r="CZ82" t="s">
        <v>2842</v>
      </c>
      <c r="DA82" t="s">
        <v>2843</v>
      </c>
      <c r="DB82" t="s">
        <v>2811</v>
      </c>
      <c r="DC82" t="s">
        <v>343</v>
      </c>
      <c r="DD82" t="s">
        <v>238</v>
      </c>
      <c r="DE82" t="s">
        <v>239</v>
      </c>
      <c r="DF82" t="s">
        <v>182</v>
      </c>
      <c r="DG82" t="s">
        <v>240</v>
      </c>
      <c r="DH82" t="s">
        <v>241</v>
      </c>
      <c r="DI82" t="s">
        <v>182</v>
      </c>
      <c r="DJ82" t="s">
        <v>242</v>
      </c>
      <c r="DK82" t="s">
        <v>243</v>
      </c>
      <c r="DL82" t="s">
        <v>244</v>
      </c>
      <c r="DM82" t="s">
        <v>176</v>
      </c>
      <c r="DN82" t="s">
        <v>2810</v>
      </c>
      <c r="DO82" t="s">
        <v>245</v>
      </c>
      <c r="DP82" t="s">
        <v>246</v>
      </c>
      <c r="DQ82" t="s">
        <v>247</v>
      </c>
      <c r="DR82" t="s">
        <v>248</v>
      </c>
      <c r="DS82" t="s">
        <v>249</v>
      </c>
      <c r="DT82" t="s">
        <v>250</v>
      </c>
    </row>
    <row r="84" spans="1:124" x14ac:dyDescent="0.45">
      <c r="A84" t="s">
        <v>2844</v>
      </c>
      <c r="B84" t="s">
        <v>2845</v>
      </c>
      <c r="C84" t="s">
        <v>17</v>
      </c>
      <c r="D84" t="s">
        <v>167</v>
      </c>
      <c r="E84" t="s">
        <v>168</v>
      </c>
      <c r="I84" t="s">
        <v>2846</v>
      </c>
      <c r="J84">
        <v>0.27587999742841618</v>
      </c>
      <c r="K84">
        <v>2.8199640800000001</v>
      </c>
      <c r="L84">
        <v>0.25129549928265549</v>
      </c>
      <c r="M84">
        <v>6.6540045130020671</v>
      </c>
      <c r="N84" t="s">
        <v>2847</v>
      </c>
      <c r="O84" t="s">
        <v>2848</v>
      </c>
      <c r="P84">
        <v>5.1062931444775277</v>
      </c>
      <c r="Q84">
        <v>2.5699041444775279</v>
      </c>
      <c r="R84" t="s">
        <v>2849</v>
      </c>
      <c r="S84" t="s">
        <v>2850</v>
      </c>
      <c r="T84">
        <v>50.617497467065107</v>
      </c>
      <c r="U84">
        <v>0.4417875</v>
      </c>
      <c r="V84" t="s">
        <v>174</v>
      </c>
      <c r="W84" t="s">
        <v>2851</v>
      </c>
      <c r="X84" t="s">
        <v>176</v>
      </c>
      <c r="Y84" t="s">
        <v>176</v>
      </c>
      <c r="Z84" t="s">
        <v>176</v>
      </c>
      <c r="AA84" t="s">
        <v>2852</v>
      </c>
      <c r="AB84" t="s">
        <v>2853</v>
      </c>
      <c r="AC84" t="s">
        <v>2854</v>
      </c>
      <c r="AD84" t="s">
        <v>180</v>
      </c>
      <c r="AE84" t="s">
        <v>181</v>
      </c>
      <c r="AF84">
        <v>129.31213428000001</v>
      </c>
      <c r="AG84" t="s">
        <v>182</v>
      </c>
      <c r="AH84" t="s">
        <v>2855</v>
      </c>
      <c r="AI84" t="s">
        <v>749</v>
      </c>
      <c r="AJ84" t="s">
        <v>2856</v>
      </c>
      <c r="AK84" t="s">
        <v>2857</v>
      </c>
      <c r="AL84">
        <v>33.19</v>
      </c>
      <c r="AM84" t="s">
        <v>2670</v>
      </c>
      <c r="AN84" t="s">
        <v>2858</v>
      </c>
      <c r="AO84" t="s">
        <v>2859</v>
      </c>
      <c r="AP84" t="s">
        <v>1635</v>
      </c>
      <c r="AQ84" t="s">
        <v>2860</v>
      </c>
      <c r="AR84" t="s">
        <v>2861</v>
      </c>
      <c r="AS84" t="s">
        <v>2674</v>
      </c>
      <c r="AT84" t="s">
        <v>1396</v>
      </c>
      <c r="AU84" t="s">
        <v>217</v>
      </c>
      <c r="AV84" t="s">
        <v>2862</v>
      </c>
      <c r="AW84" t="s">
        <v>2863</v>
      </c>
      <c r="AX84" t="s">
        <v>2864</v>
      </c>
      <c r="AY84" t="s">
        <v>2865</v>
      </c>
      <c r="AZ84" t="s">
        <v>1283</v>
      </c>
      <c r="BA84" t="s">
        <v>2866</v>
      </c>
      <c r="BB84" t="s">
        <v>2633</v>
      </c>
      <c r="BC84" t="s">
        <v>2867</v>
      </c>
      <c r="BD84" t="s">
        <v>17</v>
      </c>
      <c r="BE84" t="s">
        <v>2830</v>
      </c>
      <c r="BF84" t="s">
        <v>2868</v>
      </c>
      <c r="BG84" t="s">
        <v>2869</v>
      </c>
      <c r="BH84" t="s">
        <v>808</v>
      </c>
      <c r="BI84" t="s">
        <v>2870</v>
      </c>
      <c r="BJ84" t="s">
        <v>2871</v>
      </c>
      <c r="BK84" t="s">
        <v>17</v>
      </c>
      <c r="BL84" t="s">
        <v>2872</v>
      </c>
      <c r="BM84" t="s">
        <v>165</v>
      </c>
      <c r="BN84" t="s">
        <v>212</v>
      </c>
      <c r="BO84" t="s">
        <v>212</v>
      </c>
      <c r="BP84" t="s">
        <v>283</v>
      </c>
      <c r="BQ84" t="s">
        <v>2873</v>
      </c>
      <c r="BR84" t="s">
        <v>2874</v>
      </c>
      <c r="BS84" t="s">
        <v>2875</v>
      </c>
      <c r="BT84" t="s">
        <v>165</v>
      </c>
      <c r="BU84" t="s">
        <v>217</v>
      </c>
      <c r="BV84" t="s">
        <v>212</v>
      </c>
      <c r="BW84" t="s">
        <v>218</v>
      </c>
      <c r="BX84" t="s">
        <v>219</v>
      </c>
      <c r="BY84" t="s">
        <v>176</v>
      </c>
      <c r="BZ84" t="s">
        <v>220</v>
      </c>
      <c r="CA84" t="s">
        <v>176</v>
      </c>
      <c r="CB84" t="s">
        <v>176</v>
      </c>
      <c r="CC84" t="s">
        <v>221</v>
      </c>
      <c r="CD84" t="s">
        <v>222</v>
      </c>
      <c r="CE84" t="s">
        <v>223</v>
      </c>
      <c r="CF84" t="s">
        <v>224</v>
      </c>
      <c r="CG84" t="s">
        <v>225</v>
      </c>
      <c r="CH84" t="s">
        <v>226</v>
      </c>
      <c r="CI84" t="s">
        <v>182</v>
      </c>
      <c r="CJ84" t="s">
        <v>218</v>
      </c>
      <c r="CK84" t="s">
        <v>227</v>
      </c>
      <c r="CL84" t="s">
        <v>227</v>
      </c>
      <c r="CM84" t="s">
        <v>227</v>
      </c>
      <c r="CN84" t="s">
        <v>176</v>
      </c>
      <c r="CO84" t="s">
        <v>228</v>
      </c>
      <c r="CP84" t="s">
        <v>176</v>
      </c>
      <c r="CQ84" t="s">
        <v>176</v>
      </c>
      <c r="CR84" t="s">
        <v>176</v>
      </c>
      <c r="CS84" t="s">
        <v>176</v>
      </c>
      <c r="CT84" t="s">
        <v>2876</v>
      </c>
      <c r="CU84" t="s">
        <v>2877</v>
      </c>
      <c r="CV84" t="s">
        <v>2878</v>
      </c>
      <c r="CW84" t="s">
        <v>2879</v>
      </c>
      <c r="CX84" t="s">
        <v>2880</v>
      </c>
      <c r="CY84" t="s">
        <v>2881</v>
      </c>
      <c r="CZ84" t="s">
        <v>2882</v>
      </c>
      <c r="DA84" t="s">
        <v>2883</v>
      </c>
      <c r="DB84" t="s">
        <v>2852</v>
      </c>
      <c r="DC84" t="s">
        <v>1259</v>
      </c>
      <c r="DD84" t="s">
        <v>238</v>
      </c>
      <c r="DE84" t="s">
        <v>239</v>
      </c>
      <c r="DF84" t="s">
        <v>182</v>
      </c>
      <c r="DG84" t="s">
        <v>240</v>
      </c>
      <c r="DH84" t="s">
        <v>241</v>
      </c>
      <c r="DI84" t="s">
        <v>182</v>
      </c>
      <c r="DJ84" t="s">
        <v>242</v>
      </c>
      <c r="DK84" t="s">
        <v>243</v>
      </c>
      <c r="DL84" t="s">
        <v>244</v>
      </c>
      <c r="DM84" t="s">
        <v>176</v>
      </c>
      <c r="DN84" t="s">
        <v>2851</v>
      </c>
      <c r="DO84" t="s">
        <v>245</v>
      </c>
      <c r="DP84" t="s">
        <v>246</v>
      </c>
      <c r="DQ84" t="s">
        <v>247</v>
      </c>
      <c r="DR84" t="s">
        <v>248</v>
      </c>
      <c r="DS84" t="s">
        <v>249</v>
      </c>
      <c r="DT84" t="s">
        <v>250</v>
      </c>
    </row>
    <row r="85" spans="1:124" x14ac:dyDescent="0.45">
      <c r="A85" t="s">
        <v>2884</v>
      </c>
      <c r="B85" t="s">
        <v>2885</v>
      </c>
      <c r="C85" t="s">
        <v>17</v>
      </c>
      <c r="D85" t="s">
        <v>167</v>
      </c>
      <c r="E85" t="s">
        <v>168</v>
      </c>
      <c r="I85" t="s">
        <v>2886</v>
      </c>
      <c r="J85">
        <v>0.69803741742896697</v>
      </c>
      <c r="K85">
        <v>2.7418804799999998</v>
      </c>
      <c r="L85">
        <v>0.55638978203188882</v>
      </c>
      <c r="M85">
        <v>11.34356621382592</v>
      </c>
      <c r="N85" t="s">
        <v>2887</v>
      </c>
      <c r="O85" t="s">
        <v>2888</v>
      </c>
      <c r="P85">
        <v>4.5319974590347263</v>
      </c>
      <c r="Q85">
        <v>1.9845354590347259</v>
      </c>
      <c r="R85" t="s">
        <v>2889</v>
      </c>
      <c r="S85" t="s">
        <v>2890</v>
      </c>
      <c r="T85">
        <v>44.924637777901729</v>
      </c>
      <c r="U85">
        <v>0.4417875</v>
      </c>
      <c r="V85" t="s">
        <v>174</v>
      </c>
      <c r="W85" t="s">
        <v>2891</v>
      </c>
      <c r="X85" t="s">
        <v>176</v>
      </c>
      <c r="Y85" t="s">
        <v>176</v>
      </c>
      <c r="Z85" t="s">
        <v>176</v>
      </c>
      <c r="AA85" t="s">
        <v>2892</v>
      </c>
      <c r="AB85" t="s">
        <v>2893</v>
      </c>
      <c r="AC85" t="s">
        <v>2894</v>
      </c>
      <c r="AD85" t="s">
        <v>180</v>
      </c>
      <c r="AE85" t="s">
        <v>181</v>
      </c>
      <c r="AF85">
        <v>64.944694499999997</v>
      </c>
      <c r="AG85" t="s">
        <v>182</v>
      </c>
      <c r="AH85" t="s">
        <v>2895</v>
      </c>
      <c r="AI85" t="s">
        <v>2896</v>
      </c>
      <c r="AJ85" t="s">
        <v>2856</v>
      </c>
      <c r="AK85" t="s">
        <v>2897</v>
      </c>
      <c r="AL85">
        <v>31.08</v>
      </c>
      <c r="AM85" t="s">
        <v>2670</v>
      </c>
      <c r="AN85" t="s">
        <v>2523</v>
      </c>
      <c r="AO85" t="s">
        <v>1354</v>
      </c>
      <c r="AP85" t="s">
        <v>907</v>
      </c>
      <c r="AQ85" t="s">
        <v>2898</v>
      </c>
      <c r="AR85" t="s">
        <v>2899</v>
      </c>
      <c r="AS85" t="s">
        <v>911</v>
      </c>
      <c r="AT85" t="s">
        <v>2900</v>
      </c>
      <c r="AU85" t="s">
        <v>1037</v>
      </c>
      <c r="AV85" t="s">
        <v>627</v>
      </c>
      <c r="AW85" t="s">
        <v>2901</v>
      </c>
      <c r="AX85" t="s">
        <v>2902</v>
      </c>
      <c r="AY85" t="s">
        <v>2903</v>
      </c>
      <c r="AZ85" t="s">
        <v>1283</v>
      </c>
      <c r="BA85" t="s">
        <v>2866</v>
      </c>
      <c r="BB85" t="s">
        <v>2633</v>
      </c>
      <c r="BC85" t="s">
        <v>2904</v>
      </c>
      <c r="BD85" t="s">
        <v>17</v>
      </c>
      <c r="BE85" t="s">
        <v>2288</v>
      </c>
      <c r="BF85" t="s">
        <v>1842</v>
      </c>
      <c r="BG85" t="s">
        <v>751</v>
      </c>
      <c r="BH85" t="s">
        <v>808</v>
      </c>
      <c r="BI85" t="s">
        <v>2870</v>
      </c>
      <c r="BJ85" t="s">
        <v>2871</v>
      </c>
      <c r="BK85" t="s">
        <v>17</v>
      </c>
      <c r="BL85" t="s">
        <v>2872</v>
      </c>
      <c r="BM85" t="s">
        <v>165</v>
      </c>
      <c r="BN85" t="s">
        <v>754</v>
      </c>
      <c r="BO85" t="s">
        <v>330</v>
      </c>
      <c r="BP85" t="s">
        <v>1567</v>
      </c>
      <c r="BQ85" t="s">
        <v>2905</v>
      </c>
      <c r="BR85" t="s">
        <v>2252</v>
      </c>
      <c r="BS85" t="s">
        <v>2906</v>
      </c>
      <c r="BT85" t="s">
        <v>165</v>
      </c>
      <c r="BU85" t="s">
        <v>217</v>
      </c>
      <c r="BV85" t="s">
        <v>212</v>
      </c>
      <c r="BW85" t="s">
        <v>218</v>
      </c>
      <c r="BX85" t="s">
        <v>219</v>
      </c>
      <c r="BY85" t="s">
        <v>176</v>
      </c>
      <c r="BZ85" t="s">
        <v>220</v>
      </c>
      <c r="CA85" t="s">
        <v>176</v>
      </c>
      <c r="CB85" t="s">
        <v>176</v>
      </c>
      <c r="CC85" t="s">
        <v>221</v>
      </c>
      <c r="CD85" t="s">
        <v>222</v>
      </c>
      <c r="CE85" t="s">
        <v>223</v>
      </c>
      <c r="CF85" t="s">
        <v>224</v>
      </c>
      <c r="CG85" t="s">
        <v>225</v>
      </c>
      <c r="CH85" t="s">
        <v>226</v>
      </c>
      <c r="CI85" t="s">
        <v>182</v>
      </c>
      <c r="CJ85" t="s">
        <v>218</v>
      </c>
      <c r="CK85" t="s">
        <v>227</v>
      </c>
      <c r="CL85" t="s">
        <v>227</v>
      </c>
      <c r="CM85" t="s">
        <v>227</v>
      </c>
      <c r="CN85" t="s">
        <v>176</v>
      </c>
      <c r="CO85" t="s">
        <v>228</v>
      </c>
      <c r="CP85" t="s">
        <v>176</v>
      </c>
      <c r="CQ85" t="s">
        <v>176</v>
      </c>
      <c r="CR85" t="s">
        <v>176</v>
      </c>
      <c r="CS85" t="s">
        <v>176</v>
      </c>
      <c r="CT85" t="s">
        <v>2907</v>
      </c>
      <c r="CU85" t="s">
        <v>2908</v>
      </c>
      <c r="CV85" t="s">
        <v>2909</v>
      </c>
      <c r="CW85" t="s">
        <v>2910</v>
      </c>
      <c r="CX85" t="s">
        <v>2911</v>
      </c>
      <c r="CY85" t="s">
        <v>2912</v>
      </c>
      <c r="CZ85" t="s">
        <v>2913</v>
      </c>
      <c r="DA85" t="s">
        <v>2914</v>
      </c>
      <c r="DB85" t="s">
        <v>2892</v>
      </c>
      <c r="DC85" t="s">
        <v>766</v>
      </c>
      <c r="DD85" t="s">
        <v>238</v>
      </c>
      <c r="DE85" t="s">
        <v>239</v>
      </c>
      <c r="DF85" t="s">
        <v>182</v>
      </c>
      <c r="DG85" t="s">
        <v>240</v>
      </c>
      <c r="DH85" t="s">
        <v>241</v>
      </c>
      <c r="DI85" t="s">
        <v>182</v>
      </c>
      <c r="DJ85" t="s">
        <v>242</v>
      </c>
      <c r="DK85" t="s">
        <v>243</v>
      </c>
      <c r="DL85" t="s">
        <v>244</v>
      </c>
      <c r="DM85" t="s">
        <v>176</v>
      </c>
      <c r="DN85" t="s">
        <v>2891</v>
      </c>
      <c r="DO85" t="s">
        <v>245</v>
      </c>
      <c r="DP85" t="s">
        <v>246</v>
      </c>
      <c r="DQ85" t="s">
        <v>247</v>
      </c>
      <c r="DR85" t="s">
        <v>248</v>
      </c>
      <c r="DS85" t="s">
        <v>249</v>
      </c>
      <c r="DT85" t="s">
        <v>250</v>
      </c>
    </row>
    <row r="86" spans="1:124" x14ac:dyDescent="0.45">
      <c r="A86" t="s">
        <v>2915</v>
      </c>
      <c r="B86" t="s">
        <v>2916</v>
      </c>
      <c r="C86" t="s">
        <v>17</v>
      </c>
      <c r="D86" t="s">
        <v>167</v>
      </c>
      <c r="E86" t="s">
        <v>168</v>
      </c>
      <c r="I86" t="s">
        <v>2917</v>
      </c>
      <c r="J86">
        <v>0.412516668821164</v>
      </c>
      <c r="K86">
        <v>2.76851592</v>
      </c>
      <c r="L86">
        <v>0.35902146017309039</v>
      </c>
      <c r="M86">
        <v>8.5280020872775975</v>
      </c>
      <c r="N86" t="s">
        <v>2918</v>
      </c>
      <c r="O86" t="s">
        <v>2919</v>
      </c>
      <c r="P86">
        <v>4.7696804419119347</v>
      </c>
      <c r="Q86">
        <v>2.310730441911935</v>
      </c>
      <c r="R86" t="s">
        <v>2920</v>
      </c>
      <c r="S86" t="s">
        <v>2921</v>
      </c>
      <c r="T86">
        <v>47.276047595519223</v>
      </c>
      <c r="U86">
        <v>0.4417875</v>
      </c>
      <c r="V86" t="s">
        <v>174</v>
      </c>
      <c r="W86" t="s">
        <v>2922</v>
      </c>
      <c r="X86" t="s">
        <v>176</v>
      </c>
      <c r="Y86" t="s">
        <v>176</v>
      </c>
      <c r="Z86" t="s">
        <v>176</v>
      </c>
      <c r="AA86" t="s">
        <v>2923</v>
      </c>
      <c r="AB86" t="s">
        <v>2924</v>
      </c>
      <c r="AC86" t="s">
        <v>2925</v>
      </c>
      <c r="AD86" t="s">
        <v>180</v>
      </c>
      <c r="AE86" t="s">
        <v>181</v>
      </c>
      <c r="AF86">
        <v>23.965297020000001</v>
      </c>
      <c r="AG86" t="s">
        <v>182</v>
      </c>
      <c r="AH86" t="s">
        <v>2926</v>
      </c>
      <c r="AI86" t="s">
        <v>2927</v>
      </c>
      <c r="AJ86" t="s">
        <v>1316</v>
      </c>
      <c r="AK86" t="s">
        <v>2928</v>
      </c>
      <c r="AL86">
        <v>31.98</v>
      </c>
      <c r="AM86" t="s">
        <v>2594</v>
      </c>
      <c r="AN86" t="s">
        <v>2929</v>
      </c>
      <c r="AO86" t="s">
        <v>2635</v>
      </c>
      <c r="AP86" t="s">
        <v>825</v>
      </c>
      <c r="AQ86" t="s">
        <v>2930</v>
      </c>
      <c r="AR86" t="s">
        <v>2899</v>
      </c>
      <c r="AS86" t="s">
        <v>194</v>
      </c>
      <c r="AT86" t="s">
        <v>2931</v>
      </c>
      <c r="AU86" t="s">
        <v>2932</v>
      </c>
      <c r="AV86" t="s">
        <v>2933</v>
      </c>
      <c r="AW86" t="s">
        <v>2934</v>
      </c>
      <c r="AX86" t="s">
        <v>2935</v>
      </c>
      <c r="AY86" t="s">
        <v>2936</v>
      </c>
      <c r="AZ86" t="s">
        <v>1283</v>
      </c>
      <c r="BA86" t="s">
        <v>2937</v>
      </c>
      <c r="BB86" t="s">
        <v>2938</v>
      </c>
      <c r="BC86" t="s">
        <v>2939</v>
      </c>
      <c r="BD86" t="s">
        <v>17</v>
      </c>
      <c r="BE86" t="s">
        <v>917</v>
      </c>
      <c r="BF86" t="s">
        <v>795</v>
      </c>
      <c r="BG86" t="s">
        <v>2940</v>
      </c>
      <c r="BH86" t="s">
        <v>849</v>
      </c>
      <c r="BI86" t="s">
        <v>2069</v>
      </c>
      <c r="BJ86" t="s">
        <v>2871</v>
      </c>
      <c r="BK86" t="s">
        <v>17</v>
      </c>
      <c r="BL86" t="s">
        <v>2872</v>
      </c>
      <c r="BM86" t="s">
        <v>165</v>
      </c>
      <c r="BN86" t="s">
        <v>211</v>
      </c>
      <c r="BO86" t="s">
        <v>212</v>
      </c>
      <c r="BP86" t="s">
        <v>213</v>
      </c>
      <c r="BQ86" t="s">
        <v>2941</v>
      </c>
      <c r="BR86" t="s">
        <v>2942</v>
      </c>
      <c r="BS86" t="s">
        <v>2943</v>
      </c>
      <c r="BT86" t="s">
        <v>165</v>
      </c>
      <c r="BU86" t="s">
        <v>217</v>
      </c>
      <c r="BV86" t="s">
        <v>212</v>
      </c>
      <c r="BW86" t="s">
        <v>218</v>
      </c>
      <c r="BX86" t="s">
        <v>219</v>
      </c>
      <c r="BY86" t="s">
        <v>176</v>
      </c>
      <c r="BZ86" t="s">
        <v>220</v>
      </c>
      <c r="CA86" t="s">
        <v>176</v>
      </c>
      <c r="CB86" t="s">
        <v>176</v>
      </c>
      <c r="CC86" t="s">
        <v>221</v>
      </c>
      <c r="CD86" t="s">
        <v>222</v>
      </c>
      <c r="CE86" t="s">
        <v>223</v>
      </c>
      <c r="CF86" t="s">
        <v>224</v>
      </c>
      <c r="CG86" t="s">
        <v>225</v>
      </c>
      <c r="CH86" t="s">
        <v>226</v>
      </c>
      <c r="CI86" t="s">
        <v>182</v>
      </c>
      <c r="CJ86" t="s">
        <v>218</v>
      </c>
      <c r="CK86" t="s">
        <v>227</v>
      </c>
      <c r="CL86" t="s">
        <v>227</v>
      </c>
      <c r="CM86" t="s">
        <v>227</v>
      </c>
      <c r="CN86" t="s">
        <v>176</v>
      </c>
      <c r="CO86" t="s">
        <v>228</v>
      </c>
      <c r="CP86" t="s">
        <v>176</v>
      </c>
      <c r="CQ86" t="s">
        <v>176</v>
      </c>
      <c r="CR86" t="s">
        <v>176</v>
      </c>
      <c r="CS86" t="s">
        <v>176</v>
      </c>
      <c r="CT86" t="s">
        <v>2944</v>
      </c>
      <c r="CU86" t="s">
        <v>2945</v>
      </c>
      <c r="CV86" t="s">
        <v>2946</v>
      </c>
      <c r="CW86" t="s">
        <v>2947</v>
      </c>
      <c r="CX86" t="s">
        <v>2948</v>
      </c>
      <c r="CY86" t="s">
        <v>2949</v>
      </c>
      <c r="CZ86" t="s">
        <v>2950</v>
      </c>
      <c r="DA86" t="s">
        <v>2951</v>
      </c>
      <c r="DB86" t="s">
        <v>2923</v>
      </c>
      <c r="DC86" t="s">
        <v>1179</v>
      </c>
      <c r="DD86" t="s">
        <v>238</v>
      </c>
      <c r="DE86" t="s">
        <v>239</v>
      </c>
      <c r="DF86" t="s">
        <v>182</v>
      </c>
      <c r="DG86" t="s">
        <v>240</v>
      </c>
      <c r="DH86" t="s">
        <v>241</v>
      </c>
      <c r="DI86" t="s">
        <v>182</v>
      </c>
      <c r="DJ86" t="s">
        <v>242</v>
      </c>
      <c r="DK86" t="s">
        <v>243</v>
      </c>
      <c r="DL86" t="s">
        <v>244</v>
      </c>
      <c r="DM86" t="s">
        <v>176</v>
      </c>
      <c r="DN86" t="s">
        <v>2922</v>
      </c>
      <c r="DO86" t="s">
        <v>245</v>
      </c>
      <c r="DP86" t="s">
        <v>246</v>
      </c>
      <c r="DQ86" t="s">
        <v>247</v>
      </c>
      <c r="DR86" t="s">
        <v>248</v>
      </c>
      <c r="DS86" t="s">
        <v>249</v>
      </c>
      <c r="DT86" t="s">
        <v>250</v>
      </c>
    </row>
    <row r="87" spans="1:124" x14ac:dyDescent="0.45">
      <c r="A87" t="s">
        <v>2952</v>
      </c>
      <c r="B87" t="s">
        <v>2953</v>
      </c>
      <c r="C87" t="s">
        <v>17</v>
      </c>
      <c r="D87" t="s">
        <v>167</v>
      </c>
      <c r="E87" t="s">
        <v>168</v>
      </c>
      <c r="I87" t="s">
        <v>2954</v>
      </c>
      <c r="J87">
        <v>0.39653973604176468</v>
      </c>
      <c r="K87">
        <v>2.76851592</v>
      </c>
      <c r="L87">
        <v>0.34685853629416769</v>
      </c>
      <c r="M87">
        <v>8.0703465001793528</v>
      </c>
      <c r="N87" t="s">
        <v>2955</v>
      </c>
      <c r="O87" t="s">
        <v>2956</v>
      </c>
      <c r="P87">
        <v>4.7293288978029242</v>
      </c>
      <c r="Q87">
        <v>2.2635218978029239</v>
      </c>
      <c r="R87" t="s">
        <v>2957</v>
      </c>
      <c r="S87" t="s">
        <v>2958</v>
      </c>
      <c r="T87">
        <v>46.880738479410432</v>
      </c>
      <c r="U87">
        <v>0.4417875</v>
      </c>
      <c r="V87" t="s">
        <v>174</v>
      </c>
      <c r="W87" t="s">
        <v>2959</v>
      </c>
      <c r="X87" t="s">
        <v>176</v>
      </c>
      <c r="Y87" t="s">
        <v>176</v>
      </c>
      <c r="Z87" t="s">
        <v>176</v>
      </c>
      <c r="AA87" t="s">
        <v>2960</v>
      </c>
      <c r="AB87" t="s">
        <v>2961</v>
      </c>
      <c r="AC87" t="s">
        <v>2962</v>
      </c>
      <c r="AD87" t="s">
        <v>180</v>
      </c>
      <c r="AE87" t="s">
        <v>181</v>
      </c>
      <c r="AF87">
        <v>39.307356480000003</v>
      </c>
      <c r="AG87" t="s">
        <v>182</v>
      </c>
      <c r="AH87" t="s">
        <v>2963</v>
      </c>
      <c r="AI87" t="s">
        <v>2964</v>
      </c>
      <c r="AJ87" t="s">
        <v>2965</v>
      </c>
      <c r="AK87" t="s">
        <v>2420</v>
      </c>
      <c r="AL87">
        <v>31.83</v>
      </c>
      <c r="AM87" t="s">
        <v>2670</v>
      </c>
      <c r="AN87" t="s">
        <v>2929</v>
      </c>
      <c r="AO87" t="s">
        <v>2966</v>
      </c>
      <c r="AP87" t="s">
        <v>1277</v>
      </c>
      <c r="AQ87" t="s">
        <v>2967</v>
      </c>
      <c r="AR87" t="s">
        <v>2899</v>
      </c>
      <c r="AS87" t="s">
        <v>1396</v>
      </c>
      <c r="AT87" t="s">
        <v>223</v>
      </c>
      <c r="AU87" t="s">
        <v>1157</v>
      </c>
      <c r="AV87" t="s">
        <v>2968</v>
      </c>
      <c r="AW87" t="s">
        <v>2969</v>
      </c>
      <c r="AX87" t="s">
        <v>2754</v>
      </c>
      <c r="AY87" t="s">
        <v>2970</v>
      </c>
      <c r="AZ87" t="s">
        <v>1283</v>
      </c>
      <c r="BA87" t="s">
        <v>2971</v>
      </c>
      <c r="BB87" t="s">
        <v>2972</v>
      </c>
      <c r="BC87" t="s">
        <v>2973</v>
      </c>
      <c r="BD87" t="s">
        <v>17</v>
      </c>
      <c r="BE87" t="s">
        <v>917</v>
      </c>
      <c r="BF87" t="s">
        <v>669</v>
      </c>
      <c r="BG87" t="s">
        <v>2974</v>
      </c>
      <c r="BH87" t="s">
        <v>808</v>
      </c>
      <c r="BI87" t="s">
        <v>2870</v>
      </c>
      <c r="BJ87" t="s">
        <v>2871</v>
      </c>
      <c r="BK87" t="s">
        <v>17</v>
      </c>
      <c r="BL87" t="s">
        <v>2872</v>
      </c>
      <c r="BM87" t="s">
        <v>165</v>
      </c>
      <c r="BN87" t="s">
        <v>212</v>
      </c>
      <c r="BO87" t="s">
        <v>211</v>
      </c>
      <c r="BP87" t="s">
        <v>331</v>
      </c>
      <c r="BQ87" t="s">
        <v>2975</v>
      </c>
      <c r="BR87" t="s">
        <v>2976</v>
      </c>
      <c r="BS87" t="s">
        <v>2977</v>
      </c>
      <c r="BT87" t="s">
        <v>165</v>
      </c>
      <c r="BU87" t="s">
        <v>217</v>
      </c>
      <c r="BV87" t="s">
        <v>212</v>
      </c>
      <c r="BW87" t="s">
        <v>218</v>
      </c>
      <c r="BX87" t="s">
        <v>219</v>
      </c>
      <c r="BY87" t="s">
        <v>176</v>
      </c>
      <c r="BZ87" t="s">
        <v>220</v>
      </c>
      <c r="CA87" t="s">
        <v>176</v>
      </c>
      <c r="CB87" t="s">
        <v>176</v>
      </c>
      <c r="CC87" t="s">
        <v>221</v>
      </c>
      <c r="CD87" t="s">
        <v>222</v>
      </c>
      <c r="CE87" t="s">
        <v>223</v>
      </c>
      <c r="CF87" t="s">
        <v>224</v>
      </c>
      <c r="CG87" t="s">
        <v>225</v>
      </c>
      <c r="CH87" t="s">
        <v>226</v>
      </c>
      <c r="CI87" t="s">
        <v>182</v>
      </c>
      <c r="CJ87" t="s">
        <v>218</v>
      </c>
      <c r="CK87" t="s">
        <v>227</v>
      </c>
      <c r="CL87" t="s">
        <v>227</v>
      </c>
      <c r="CM87" t="s">
        <v>227</v>
      </c>
      <c r="CN87" t="s">
        <v>176</v>
      </c>
      <c r="CO87" t="s">
        <v>228</v>
      </c>
      <c r="CP87" t="s">
        <v>176</v>
      </c>
      <c r="CQ87" t="s">
        <v>176</v>
      </c>
      <c r="CR87" t="s">
        <v>176</v>
      </c>
      <c r="CS87" t="s">
        <v>176</v>
      </c>
      <c r="CT87" t="s">
        <v>2978</v>
      </c>
      <c r="CU87" t="s">
        <v>2979</v>
      </c>
      <c r="CV87" t="s">
        <v>2980</v>
      </c>
      <c r="CW87" t="s">
        <v>2981</v>
      </c>
      <c r="CX87" t="s">
        <v>2982</v>
      </c>
      <c r="CY87" t="s">
        <v>2983</v>
      </c>
      <c r="CZ87" t="s">
        <v>2984</v>
      </c>
      <c r="DA87" t="s">
        <v>2985</v>
      </c>
      <c r="DB87" t="s">
        <v>2960</v>
      </c>
      <c r="DC87" t="s">
        <v>1338</v>
      </c>
      <c r="DD87" t="s">
        <v>238</v>
      </c>
      <c r="DE87" t="s">
        <v>239</v>
      </c>
      <c r="DF87" t="s">
        <v>182</v>
      </c>
      <c r="DG87" t="s">
        <v>240</v>
      </c>
      <c r="DH87" t="s">
        <v>241</v>
      </c>
      <c r="DI87" t="s">
        <v>182</v>
      </c>
      <c r="DJ87" t="s">
        <v>242</v>
      </c>
      <c r="DK87" t="s">
        <v>243</v>
      </c>
      <c r="DL87" t="s">
        <v>244</v>
      </c>
      <c r="DM87" t="s">
        <v>176</v>
      </c>
      <c r="DN87" t="s">
        <v>2959</v>
      </c>
      <c r="DO87" t="s">
        <v>245</v>
      </c>
      <c r="DP87" t="s">
        <v>246</v>
      </c>
      <c r="DQ87" t="s">
        <v>247</v>
      </c>
      <c r="DR87" t="s">
        <v>248</v>
      </c>
      <c r="DS87" t="s">
        <v>249</v>
      </c>
      <c r="DT87" t="s">
        <v>250</v>
      </c>
    </row>
    <row r="88" spans="1:124" x14ac:dyDescent="0.45">
      <c r="A88" t="s">
        <v>2986</v>
      </c>
      <c r="B88" t="s">
        <v>2987</v>
      </c>
      <c r="C88" t="s">
        <v>17</v>
      </c>
      <c r="D88" t="s">
        <v>167</v>
      </c>
      <c r="E88" t="s">
        <v>168</v>
      </c>
      <c r="I88" t="s">
        <v>2988</v>
      </c>
      <c r="J88">
        <v>1.4864323963243159E-2</v>
      </c>
      <c r="K88">
        <v>2.7186247200000002</v>
      </c>
      <c r="L88">
        <v>1.478349388734723E-2</v>
      </c>
      <c r="M88">
        <v>0.52500292630640166</v>
      </c>
      <c r="N88" t="s">
        <v>2989</v>
      </c>
      <c r="O88" t="s">
        <v>2990</v>
      </c>
      <c r="P88">
        <v>5.7238754503756342</v>
      </c>
      <c r="Q88">
        <v>3.4403744503756339</v>
      </c>
      <c r="R88" t="s">
        <v>2991</v>
      </c>
      <c r="S88" t="s">
        <v>2992</v>
      </c>
      <c r="T88">
        <v>56.739447366927379</v>
      </c>
      <c r="U88">
        <v>0.4417875</v>
      </c>
      <c r="V88" t="s">
        <v>174</v>
      </c>
      <c r="W88" t="s">
        <v>2993</v>
      </c>
      <c r="X88" t="s">
        <v>176</v>
      </c>
      <c r="Y88" t="s">
        <v>176</v>
      </c>
      <c r="Z88" t="s">
        <v>176</v>
      </c>
      <c r="AA88" t="s">
        <v>2994</v>
      </c>
      <c r="AB88" t="s">
        <v>2995</v>
      </c>
      <c r="AC88" t="s">
        <v>2996</v>
      </c>
      <c r="AD88" t="s">
        <v>180</v>
      </c>
      <c r="AE88" t="s">
        <v>181</v>
      </c>
      <c r="AF88">
        <v>26.17385736</v>
      </c>
      <c r="AG88" t="s">
        <v>182</v>
      </c>
      <c r="AH88" t="s">
        <v>2997</v>
      </c>
      <c r="AI88" t="s">
        <v>2998</v>
      </c>
      <c r="AJ88" t="s">
        <v>2999</v>
      </c>
      <c r="AK88" t="s">
        <v>3000</v>
      </c>
      <c r="AL88">
        <v>35.24</v>
      </c>
      <c r="AM88" t="s">
        <v>2670</v>
      </c>
      <c r="AN88" t="s">
        <v>3001</v>
      </c>
      <c r="AO88" t="s">
        <v>3002</v>
      </c>
      <c r="AP88" t="s">
        <v>486</v>
      </c>
      <c r="AQ88" t="s">
        <v>3003</v>
      </c>
      <c r="AR88" t="s">
        <v>2899</v>
      </c>
      <c r="AS88" t="s">
        <v>1638</v>
      </c>
      <c r="AT88" t="s">
        <v>298</v>
      </c>
      <c r="AU88" t="s">
        <v>3004</v>
      </c>
      <c r="AV88" t="s">
        <v>3005</v>
      </c>
      <c r="AW88" t="s">
        <v>3006</v>
      </c>
      <c r="AX88" t="s">
        <v>3007</v>
      </c>
      <c r="AY88" t="s">
        <v>3008</v>
      </c>
      <c r="AZ88" t="s">
        <v>1283</v>
      </c>
      <c r="BA88" t="s">
        <v>3009</v>
      </c>
      <c r="BB88" t="s">
        <v>3010</v>
      </c>
      <c r="BC88" t="s">
        <v>3011</v>
      </c>
      <c r="BD88" t="s">
        <v>17</v>
      </c>
      <c r="BE88" t="s">
        <v>960</v>
      </c>
      <c r="BF88" t="s">
        <v>2027</v>
      </c>
      <c r="BG88" t="s">
        <v>3012</v>
      </c>
      <c r="BH88" t="s">
        <v>752</v>
      </c>
      <c r="BI88" t="s">
        <v>1290</v>
      </c>
      <c r="BJ88" t="s">
        <v>2871</v>
      </c>
      <c r="BK88" t="s">
        <v>17</v>
      </c>
      <c r="BL88" t="s">
        <v>2872</v>
      </c>
      <c r="BM88" t="s">
        <v>165</v>
      </c>
      <c r="BN88" t="s">
        <v>211</v>
      </c>
      <c r="BO88" t="s">
        <v>330</v>
      </c>
      <c r="BP88" t="s">
        <v>1293</v>
      </c>
      <c r="BQ88" t="s">
        <v>1250</v>
      </c>
      <c r="BR88" t="s">
        <v>3013</v>
      </c>
      <c r="BS88" t="s">
        <v>1293</v>
      </c>
      <c r="BT88" t="s">
        <v>165</v>
      </c>
      <c r="BU88" t="s">
        <v>217</v>
      </c>
      <c r="BV88" t="s">
        <v>212</v>
      </c>
      <c r="BW88" t="s">
        <v>218</v>
      </c>
      <c r="BX88" t="s">
        <v>219</v>
      </c>
      <c r="BY88" t="s">
        <v>176</v>
      </c>
      <c r="BZ88" t="s">
        <v>220</v>
      </c>
      <c r="CA88" t="s">
        <v>176</v>
      </c>
      <c r="CB88" t="s">
        <v>176</v>
      </c>
      <c r="CC88" t="s">
        <v>221</v>
      </c>
      <c r="CD88" t="s">
        <v>222</v>
      </c>
      <c r="CE88" t="s">
        <v>223</v>
      </c>
      <c r="CF88" t="s">
        <v>224</v>
      </c>
      <c r="CG88" t="s">
        <v>225</v>
      </c>
      <c r="CH88" t="s">
        <v>226</v>
      </c>
      <c r="CI88" t="s">
        <v>182</v>
      </c>
      <c r="CJ88" t="s">
        <v>218</v>
      </c>
      <c r="CK88" t="s">
        <v>227</v>
      </c>
      <c r="CL88" t="s">
        <v>227</v>
      </c>
      <c r="CM88" t="s">
        <v>227</v>
      </c>
      <c r="CN88" t="s">
        <v>176</v>
      </c>
      <c r="CO88" t="s">
        <v>228</v>
      </c>
      <c r="CP88" t="s">
        <v>176</v>
      </c>
      <c r="CQ88" t="s">
        <v>176</v>
      </c>
      <c r="CR88" t="s">
        <v>176</v>
      </c>
      <c r="CS88" t="s">
        <v>176</v>
      </c>
      <c r="CT88" t="s">
        <v>3014</v>
      </c>
      <c r="CU88" t="s">
        <v>3015</v>
      </c>
      <c r="CV88" t="s">
        <v>3016</v>
      </c>
      <c r="CW88" t="s">
        <v>3017</v>
      </c>
      <c r="CX88" t="s">
        <v>3018</v>
      </c>
      <c r="CY88" t="s">
        <v>3019</v>
      </c>
      <c r="CZ88" t="s">
        <v>3020</v>
      </c>
      <c r="DA88" t="s">
        <v>3021</v>
      </c>
      <c r="DB88" t="s">
        <v>2994</v>
      </c>
      <c r="DC88" t="s">
        <v>766</v>
      </c>
      <c r="DD88" t="s">
        <v>238</v>
      </c>
      <c r="DE88" t="s">
        <v>239</v>
      </c>
      <c r="DF88" t="s">
        <v>182</v>
      </c>
      <c r="DG88" t="s">
        <v>240</v>
      </c>
      <c r="DH88" t="s">
        <v>241</v>
      </c>
      <c r="DI88" t="s">
        <v>182</v>
      </c>
      <c r="DJ88" t="s">
        <v>242</v>
      </c>
      <c r="DK88" t="s">
        <v>243</v>
      </c>
      <c r="DL88" t="s">
        <v>244</v>
      </c>
      <c r="DM88" t="s">
        <v>176</v>
      </c>
      <c r="DN88" t="s">
        <v>2993</v>
      </c>
      <c r="DO88" t="s">
        <v>245</v>
      </c>
      <c r="DP88" t="s">
        <v>246</v>
      </c>
      <c r="DQ88" t="s">
        <v>247</v>
      </c>
      <c r="DR88" t="s">
        <v>248</v>
      </c>
      <c r="DS88" t="s">
        <v>249</v>
      </c>
      <c r="DT88" t="s">
        <v>250</v>
      </c>
    </row>
    <row r="89" spans="1:124" x14ac:dyDescent="0.45">
      <c r="A89" t="s">
        <v>2930</v>
      </c>
      <c r="B89" t="s">
        <v>3022</v>
      </c>
      <c r="C89" t="s">
        <v>17</v>
      </c>
      <c r="D89" t="s">
        <v>167</v>
      </c>
      <c r="E89" t="s">
        <v>168</v>
      </c>
      <c r="I89" t="s">
        <v>3023</v>
      </c>
      <c r="J89">
        <v>0.35273503883221119</v>
      </c>
      <c r="K89">
        <v>2.78739888</v>
      </c>
      <c r="L89">
        <v>0.31311188554127362</v>
      </c>
      <c r="M89">
        <v>7.7109719094951306</v>
      </c>
      <c r="N89" t="s">
        <v>3024</v>
      </c>
      <c r="O89" t="s">
        <v>3025</v>
      </c>
      <c r="P89">
        <v>4.8980626115402082</v>
      </c>
      <c r="Q89">
        <v>2.3928436115402079</v>
      </c>
      <c r="R89" t="s">
        <v>3026</v>
      </c>
      <c r="S89" t="s">
        <v>3027</v>
      </c>
      <c r="T89">
        <v>48.558170036088107</v>
      </c>
      <c r="U89">
        <v>0.4417875</v>
      </c>
      <c r="V89" t="s">
        <v>174</v>
      </c>
      <c r="W89" t="s">
        <v>3028</v>
      </c>
      <c r="X89" t="s">
        <v>176</v>
      </c>
      <c r="Y89" t="s">
        <v>176</v>
      </c>
      <c r="Z89" t="s">
        <v>176</v>
      </c>
      <c r="AA89" t="s">
        <v>3029</v>
      </c>
      <c r="AB89" t="s">
        <v>3030</v>
      </c>
      <c r="AC89" t="s">
        <v>3031</v>
      </c>
      <c r="AD89" t="s">
        <v>180</v>
      </c>
      <c r="AE89" t="s">
        <v>181</v>
      </c>
      <c r="AF89">
        <v>248.48390237999999</v>
      </c>
      <c r="AG89" t="s">
        <v>182</v>
      </c>
      <c r="AH89" t="s">
        <v>3032</v>
      </c>
      <c r="AI89" t="s">
        <v>3033</v>
      </c>
      <c r="AJ89" t="s">
        <v>2419</v>
      </c>
      <c r="AK89" t="s">
        <v>1353</v>
      </c>
      <c r="AL89">
        <v>32.450000000000003</v>
      </c>
      <c r="AM89" t="s">
        <v>3034</v>
      </c>
      <c r="AN89" t="s">
        <v>3035</v>
      </c>
      <c r="AO89" t="s">
        <v>2929</v>
      </c>
      <c r="AP89" t="s">
        <v>3036</v>
      </c>
      <c r="AQ89" t="s">
        <v>3037</v>
      </c>
      <c r="AR89" t="s">
        <v>3038</v>
      </c>
      <c r="AS89" t="s">
        <v>1396</v>
      </c>
      <c r="AT89" t="s">
        <v>318</v>
      </c>
      <c r="AU89" t="s">
        <v>1157</v>
      </c>
      <c r="AV89" t="s">
        <v>3039</v>
      </c>
      <c r="AW89" t="s">
        <v>3040</v>
      </c>
      <c r="AX89" t="s">
        <v>3041</v>
      </c>
      <c r="AY89" t="s">
        <v>3042</v>
      </c>
      <c r="AZ89" t="s">
        <v>1283</v>
      </c>
      <c r="BA89" t="s">
        <v>3043</v>
      </c>
      <c r="BB89" t="s">
        <v>3044</v>
      </c>
      <c r="BC89" t="s">
        <v>3045</v>
      </c>
      <c r="BD89" t="s">
        <v>17</v>
      </c>
      <c r="BE89" t="s">
        <v>2288</v>
      </c>
      <c r="BF89" t="s">
        <v>709</v>
      </c>
      <c r="BG89" t="s">
        <v>3046</v>
      </c>
      <c r="BH89" t="s">
        <v>328</v>
      </c>
      <c r="BI89" t="s">
        <v>208</v>
      </c>
      <c r="BJ89" t="s">
        <v>2871</v>
      </c>
      <c r="BK89" t="s">
        <v>17</v>
      </c>
      <c r="BL89" t="s">
        <v>2872</v>
      </c>
      <c r="BM89" t="s">
        <v>165</v>
      </c>
      <c r="BN89" t="s">
        <v>211</v>
      </c>
      <c r="BO89" t="s">
        <v>211</v>
      </c>
      <c r="BP89" t="s">
        <v>330</v>
      </c>
      <c r="BQ89" t="s">
        <v>3047</v>
      </c>
      <c r="BR89" t="s">
        <v>3048</v>
      </c>
      <c r="BS89" t="s">
        <v>3049</v>
      </c>
      <c r="BT89" t="s">
        <v>165</v>
      </c>
      <c r="BU89" t="s">
        <v>217</v>
      </c>
      <c r="BV89" t="s">
        <v>212</v>
      </c>
      <c r="BW89" t="s">
        <v>218</v>
      </c>
      <c r="BX89" t="s">
        <v>219</v>
      </c>
      <c r="BY89" t="s">
        <v>176</v>
      </c>
      <c r="BZ89" t="s">
        <v>220</v>
      </c>
      <c r="CA89" t="s">
        <v>176</v>
      </c>
      <c r="CB89" t="s">
        <v>176</v>
      </c>
      <c r="CC89" t="s">
        <v>221</v>
      </c>
      <c r="CD89" t="s">
        <v>222</v>
      </c>
      <c r="CE89" t="s">
        <v>223</v>
      </c>
      <c r="CF89" t="s">
        <v>224</v>
      </c>
      <c r="CG89" t="s">
        <v>225</v>
      </c>
      <c r="CH89" t="s">
        <v>226</v>
      </c>
      <c r="CI89" t="s">
        <v>182</v>
      </c>
      <c r="CJ89" t="s">
        <v>218</v>
      </c>
      <c r="CK89" t="s">
        <v>227</v>
      </c>
      <c r="CL89" t="s">
        <v>227</v>
      </c>
      <c r="CM89" t="s">
        <v>227</v>
      </c>
      <c r="CN89" t="s">
        <v>176</v>
      </c>
      <c r="CO89" t="s">
        <v>228</v>
      </c>
      <c r="CP89" t="s">
        <v>176</v>
      </c>
      <c r="CQ89" t="s">
        <v>176</v>
      </c>
      <c r="CR89" t="s">
        <v>176</v>
      </c>
      <c r="CS89" t="s">
        <v>176</v>
      </c>
      <c r="CT89" t="s">
        <v>3050</v>
      </c>
      <c r="CU89" t="s">
        <v>3051</v>
      </c>
      <c r="CV89" t="s">
        <v>3052</v>
      </c>
      <c r="CW89" t="s">
        <v>3053</v>
      </c>
      <c r="CX89" t="s">
        <v>3054</v>
      </c>
      <c r="CY89" t="s">
        <v>3055</v>
      </c>
      <c r="CZ89" t="s">
        <v>3056</v>
      </c>
      <c r="DA89" t="s">
        <v>3057</v>
      </c>
      <c r="DB89" t="s">
        <v>3029</v>
      </c>
      <c r="DC89" t="s">
        <v>297</v>
      </c>
      <c r="DD89" t="s">
        <v>238</v>
      </c>
      <c r="DE89" t="s">
        <v>239</v>
      </c>
      <c r="DF89" t="s">
        <v>182</v>
      </c>
      <c r="DG89" t="s">
        <v>240</v>
      </c>
      <c r="DH89" t="s">
        <v>241</v>
      </c>
      <c r="DI89" t="s">
        <v>182</v>
      </c>
      <c r="DJ89" t="s">
        <v>242</v>
      </c>
      <c r="DK89" t="s">
        <v>243</v>
      </c>
      <c r="DL89" t="s">
        <v>244</v>
      </c>
      <c r="DM89" t="s">
        <v>176</v>
      </c>
      <c r="DN89" t="s">
        <v>3028</v>
      </c>
      <c r="DO89" t="s">
        <v>245</v>
      </c>
      <c r="DP89" t="s">
        <v>246</v>
      </c>
      <c r="DQ89" t="s">
        <v>247</v>
      </c>
      <c r="DR89" t="s">
        <v>248</v>
      </c>
      <c r="DS89" t="s">
        <v>249</v>
      </c>
      <c r="DT89" t="s">
        <v>250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3"/>
  <sheetViews>
    <sheetView tabSelected="1" topLeftCell="A55" workbookViewId="0">
      <selection activeCell="B68" sqref="B68:B73"/>
    </sheetView>
  </sheetViews>
  <sheetFormatPr defaultRowHeight="19.2" x14ac:dyDescent="0.45"/>
  <cols>
    <col min="1" max="1" width="10.453125" customWidth="1"/>
    <col min="5" max="5" width="8.7265625" style="6"/>
    <col min="7" max="7" width="8.7265625" customWidth="1"/>
    <col min="12" max="12" width="14.6328125" bestFit="1" customWidth="1"/>
  </cols>
  <sheetData>
    <row r="1" spans="1:14" ht="19.8" thickBot="1" x14ac:dyDescent="0.5">
      <c r="A1" s="2" t="s">
        <v>0</v>
      </c>
      <c r="B1" s="2" t="s">
        <v>1</v>
      </c>
      <c r="C1" s="2" t="s">
        <v>3061</v>
      </c>
      <c r="D1" s="2" t="s">
        <v>2</v>
      </c>
      <c r="E1" s="5" t="s">
        <v>3</v>
      </c>
      <c r="F1" s="2" t="s">
        <v>4</v>
      </c>
      <c r="G1" s="3" t="s">
        <v>3060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ht="19.8" thickTop="1" x14ac:dyDescent="0.45">
      <c r="A2" t="s">
        <v>17</v>
      </c>
      <c r="B2" t="s">
        <v>3062</v>
      </c>
      <c r="C2">
        <v>1</v>
      </c>
      <c r="D2">
        <v>1</v>
      </c>
      <c r="E2" s="6" t="s">
        <v>18</v>
      </c>
      <c r="F2">
        <v>0.83819011410989963</v>
      </c>
      <c r="G2">
        <v>0.59311066608532448</v>
      </c>
      <c r="H2">
        <v>2.077568221833662</v>
      </c>
      <c r="I2">
        <v>142.39596599999999</v>
      </c>
      <c r="J2">
        <v>369.209991</v>
      </c>
      <c r="K2">
        <v>0.61432299999999995</v>
      </c>
      <c r="L2">
        <v>321.22949670000003</v>
      </c>
      <c r="M2">
        <v>32.340000000000003</v>
      </c>
      <c r="N2">
        <v>1245</v>
      </c>
    </row>
    <row r="3" spans="1:14" x14ac:dyDescent="0.45">
      <c r="A3" t="s">
        <v>17</v>
      </c>
      <c r="B3" t="s">
        <v>3062</v>
      </c>
      <c r="C3">
        <v>1</v>
      </c>
      <c r="D3">
        <v>2</v>
      </c>
      <c r="E3" s="6" t="s">
        <v>18</v>
      </c>
      <c r="F3">
        <v>0.58338349415313717</v>
      </c>
      <c r="G3">
        <v>0.44529433043041849</v>
      </c>
      <c r="H3">
        <v>1.998198565488857</v>
      </c>
      <c r="I3">
        <v>132.292633</v>
      </c>
      <c r="J3">
        <v>426.18261699999999</v>
      </c>
      <c r="K3">
        <v>0.68958699999999995</v>
      </c>
      <c r="L3">
        <v>386.94105744000001</v>
      </c>
      <c r="M3">
        <v>32.06</v>
      </c>
      <c r="N3">
        <v>1336</v>
      </c>
    </row>
    <row r="4" spans="1:14" x14ac:dyDescent="0.45">
      <c r="A4" t="s">
        <v>17</v>
      </c>
      <c r="B4" t="s">
        <v>3062</v>
      </c>
      <c r="C4">
        <v>1</v>
      </c>
      <c r="D4">
        <v>3</v>
      </c>
      <c r="E4" s="6" t="s">
        <v>18</v>
      </c>
      <c r="F4">
        <v>0.87087397493949381</v>
      </c>
      <c r="G4">
        <v>0.59214096177837283</v>
      </c>
      <c r="H4">
        <v>2.064995732688014</v>
      </c>
      <c r="I4">
        <v>153.396255</v>
      </c>
      <c r="J4">
        <v>361.00351000000001</v>
      </c>
      <c r="K4">
        <v>0.57508400000000004</v>
      </c>
      <c r="L4">
        <v>324.62341631999999</v>
      </c>
      <c r="M4">
        <v>32.79</v>
      </c>
      <c r="N4">
        <v>1344</v>
      </c>
    </row>
    <row r="5" spans="1:14" x14ac:dyDescent="0.45">
      <c r="A5" t="s">
        <v>17</v>
      </c>
      <c r="B5" t="s">
        <v>3062</v>
      </c>
      <c r="C5">
        <v>1</v>
      </c>
      <c r="D5">
        <v>4</v>
      </c>
      <c r="E5" s="6" t="s">
        <v>18</v>
      </c>
      <c r="F5">
        <v>0.35038065478271002</v>
      </c>
      <c r="G5">
        <v>0.30271276331877273</v>
      </c>
      <c r="H5">
        <v>2.1171117386138132</v>
      </c>
      <c r="I5">
        <v>105.26597599999999</v>
      </c>
      <c r="J5">
        <v>319.94818099999998</v>
      </c>
      <c r="K5">
        <v>0.670991</v>
      </c>
      <c r="L5">
        <v>313.09782042000001</v>
      </c>
      <c r="M5">
        <v>31.66</v>
      </c>
      <c r="N5">
        <v>1111</v>
      </c>
    </row>
    <row r="6" spans="1:14" x14ac:dyDescent="0.45">
      <c r="A6" t="s">
        <v>17</v>
      </c>
      <c r="B6" t="s">
        <v>3062</v>
      </c>
      <c r="C6">
        <v>1</v>
      </c>
      <c r="D6">
        <v>5</v>
      </c>
      <c r="E6" s="6" t="s">
        <v>18</v>
      </c>
      <c r="F6">
        <v>0.94706134224324834</v>
      </c>
      <c r="G6">
        <v>0.63349483376019111</v>
      </c>
      <c r="H6">
        <v>1.5860848418852529</v>
      </c>
      <c r="I6">
        <v>105.217339</v>
      </c>
      <c r="J6">
        <v>377.90216099999998</v>
      </c>
      <c r="K6">
        <v>0.72157499999999997</v>
      </c>
      <c r="L6">
        <v>152.43993449999999</v>
      </c>
      <c r="M6">
        <v>30.11</v>
      </c>
      <c r="N6">
        <v>503</v>
      </c>
    </row>
    <row r="7" spans="1:14" ht="19.8" thickBot="1" x14ac:dyDescent="0.5">
      <c r="A7" t="s">
        <v>17</v>
      </c>
      <c r="B7" s="4" t="s">
        <v>3062</v>
      </c>
      <c r="C7">
        <v>1</v>
      </c>
      <c r="D7">
        <v>6</v>
      </c>
      <c r="E7" s="6" t="s">
        <v>18</v>
      </c>
      <c r="F7">
        <v>0.76049908505232511</v>
      </c>
      <c r="G7">
        <v>0.54452719862141952</v>
      </c>
      <c r="H7">
        <v>1.674437976343615</v>
      </c>
      <c r="I7">
        <v>118.319389</v>
      </c>
      <c r="J7">
        <v>403.82086199999998</v>
      </c>
      <c r="K7">
        <v>0.70699999999999996</v>
      </c>
      <c r="L7">
        <v>233.98872</v>
      </c>
      <c r="M7">
        <v>30.63</v>
      </c>
      <c r="N7">
        <v>788</v>
      </c>
    </row>
    <row r="8" spans="1:14" x14ac:dyDescent="0.45">
      <c r="A8" t="s">
        <v>17</v>
      </c>
      <c r="B8" t="s">
        <v>3062</v>
      </c>
      <c r="C8">
        <v>1</v>
      </c>
      <c r="D8">
        <v>1</v>
      </c>
      <c r="E8" s="6" t="s">
        <v>19</v>
      </c>
      <c r="F8">
        <v>0.43167839119616169</v>
      </c>
      <c r="G8">
        <v>0.36407652034699661</v>
      </c>
      <c r="H8">
        <v>2.2351148978029238</v>
      </c>
      <c r="I8">
        <v>114.435913</v>
      </c>
      <c r="J8">
        <v>549.96301300000005</v>
      </c>
      <c r="K8">
        <v>0.79192099999999999</v>
      </c>
      <c r="L8">
        <v>7.9825636799999993</v>
      </c>
      <c r="M8">
        <v>31.83</v>
      </c>
      <c r="N8">
        <v>24</v>
      </c>
    </row>
    <row r="9" spans="1:14" x14ac:dyDescent="0.45">
      <c r="A9" t="s">
        <v>17</v>
      </c>
      <c r="B9" t="s">
        <v>3062</v>
      </c>
      <c r="C9">
        <v>1</v>
      </c>
      <c r="D9">
        <v>2</v>
      </c>
      <c r="E9" s="6" t="s">
        <v>19</v>
      </c>
      <c r="F9">
        <v>0.56645204608178767</v>
      </c>
      <c r="G9">
        <v>0.44961685666251772</v>
      </c>
      <c r="H9">
        <v>1.9826535579807021</v>
      </c>
      <c r="I9">
        <v>111.967209</v>
      </c>
      <c r="J9">
        <v>575.01019299999996</v>
      </c>
      <c r="K9">
        <v>0.80527800000000005</v>
      </c>
      <c r="L9">
        <v>14.881537440000001</v>
      </c>
      <c r="M9">
        <v>30.85</v>
      </c>
      <c r="N9">
        <v>44</v>
      </c>
    </row>
    <row r="10" spans="1:14" x14ac:dyDescent="0.45">
      <c r="A10" t="s">
        <v>17</v>
      </c>
      <c r="B10" t="s">
        <v>3062</v>
      </c>
      <c r="C10">
        <v>1</v>
      </c>
      <c r="D10">
        <v>3</v>
      </c>
      <c r="E10" s="6" t="s">
        <v>19</v>
      </c>
      <c r="F10">
        <v>0.47035428571453242</v>
      </c>
      <c r="G10">
        <v>0.38851989942645321</v>
      </c>
      <c r="H10">
        <v>2.1563318517885119</v>
      </c>
      <c r="I10">
        <v>124.526741</v>
      </c>
      <c r="J10">
        <v>343.48367300000001</v>
      </c>
      <c r="K10">
        <v>0.63746000000000003</v>
      </c>
      <c r="L10">
        <v>77.642628000000002</v>
      </c>
      <c r="M10">
        <v>31.75</v>
      </c>
      <c r="N10">
        <v>290</v>
      </c>
    </row>
    <row r="11" spans="1:14" x14ac:dyDescent="0.45">
      <c r="A11" t="s">
        <v>17</v>
      </c>
      <c r="B11" t="s">
        <v>3062</v>
      </c>
      <c r="C11">
        <v>1</v>
      </c>
      <c r="D11">
        <v>4</v>
      </c>
      <c r="E11" s="6" t="s">
        <v>19</v>
      </c>
      <c r="F11">
        <v>0.28231346808357283</v>
      </c>
      <c r="G11">
        <v>0.25230799861465419</v>
      </c>
      <c r="H11">
        <v>2.3097957820972339</v>
      </c>
      <c r="I11">
        <v>118.561508</v>
      </c>
      <c r="J11">
        <v>421.62429800000001</v>
      </c>
      <c r="K11">
        <v>0.71879800000000005</v>
      </c>
      <c r="L11">
        <v>28.680040200000001</v>
      </c>
      <c r="M11">
        <v>32.53</v>
      </c>
      <c r="N11">
        <v>95</v>
      </c>
    </row>
    <row r="12" spans="1:14" x14ac:dyDescent="0.45">
      <c r="A12" t="s">
        <v>17</v>
      </c>
      <c r="B12" t="s">
        <v>3062</v>
      </c>
      <c r="C12">
        <v>1</v>
      </c>
      <c r="D12">
        <v>5</v>
      </c>
      <c r="E12" s="6" t="s">
        <v>19</v>
      </c>
      <c r="F12">
        <v>0.38347080711598702</v>
      </c>
      <c r="G12">
        <v>0.32686412236622431</v>
      </c>
      <c r="H12">
        <v>2.1972462411558471</v>
      </c>
      <c r="I12">
        <v>153.28788800000001</v>
      </c>
      <c r="J12">
        <v>480.75592</v>
      </c>
      <c r="K12">
        <v>0.68115199999999998</v>
      </c>
      <c r="L12">
        <v>157.91827968000001</v>
      </c>
      <c r="M12">
        <v>31.95</v>
      </c>
      <c r="N12">
        <v>552</v>
      </c>
    </row>
    <row r="13" spans="1:14" s="4" customFormat="1" ht="19.8" thickBot="1" x14ac:dyDescent="0.5">
      <c r="A13" s="4" t="s">
        <v>17</v>
      </c>
      <c r="B13" s="4" t="s">
        <v>3062</v>
      </c>
      <c r="C13">
        <v>1</v>
      </c>
      <c r="D13" s="4">
        <v>6</v>
      </c>
      <c r="E13" s="7" t="s">
        <v>19</v>
      </c>
      <c r="F13" s="4">
        <v>0.21755653582055259</v>
      </c>
      <c r="G13" s="4">
        <v>0.20100015174297359</v>
      </c>
      <c r="H13" s="4">
        <v>2.5350097459605849</v>
      </c>
      <c r="I13" s="4">
        <v>139.67442299999999</v>
      </c>
      <c r="J13" s="4">
        <v>471.457245</v>
      </c>
      <c r="K13" s="4">
        <v>0.703739</v>
      </c>
      <c r="L13" s="4">
        <v>27.192474959999998</v>
      </c>
      <c r="M13" s="4">
        <v>32.619999999999997</v>
      </c>
      <c r="N13" s="4">
        <v>92</v>
      </c>
    </row>
    <row r="14" spans="1:14" x14ac:dyDescent="0.45">
      <c r="A14" t="s">
        <v>17</v>
      </c>
      <c r="B14" t="s">
        <v>3063</v>
      </c>
      <c r="C14">
        <v>2</v>
      </c>
      <c r="D14">
        <v>1</v>
      </c>
      <c r="E14" s="6" t="s">
        <v>18</v>
      </c>
      <c r="F14">
        <v>0.67520967264322174</v>
      </c>
      <c r="G14">
        <v>0.5052141892168811</v>
      </c>
      <c r="H14">
        <v>1.6962766320892291</v>
      </c>
      <c r="I14">
        <v>104.709862</v>
      </c>
      <c r="J14">
        <v>325.24288899999999</v>
      </c>
      <c r="K14">
        <v>0.67805599999999999</v>
      </c>
      <c r="L14">
        <v>432.30138335999999</v>
      </c>
      <c r="M14">
        <v>30.36</v>
      </c>
      <c r="N14">
        <v>1518</v>
      </c>
    </row>
    <row r="15" spans="1:14" x14ac:dyDescent="0.45">
      <c r="A15" t="s">
        <v>17</v>
      </c>
      <c r="B15" t="s">
        <v>3063</v>
      </c>
      <c r="C15">
        <v>2</v>
      </c>
      <c r="D15">
        <v>2</v>
      </c>
      <c r="E15" s="6" t="s">
        <v>18</v>
      </c>
      <c r="F15">
        <v>0.67586714303847795</v>
      </c>
      <c r="G15">
        <v>0.50544376191611162</v>
      </c>
      <c r="H15">
        <v>1.7307753783743169</v>
      </c>
      <c r="I15">
        <v>106.619598</v>
      </c>
      <c r="J15">
        <v>346.27212500000002</v>
      </c>
      <c r="K15">
        <v>0.69209299999999996</v>
      </c>
      <c r="L15">
        <v>370.32512243999997</v>
      </c>
      <c r="M15">
        <v>30.3</v>
      </c>
      <c r="N15">
        <v>1274</v>
      </c>
    </row>
    <row r="16" spans="1:14" x14ac:dyDescent="0.45">
      <c r="A16" t="s">
        <v>17</v>
      </c>
      <c r="B16" t="s">
        <v>3063</v>
      </c>
      <c r="C16">
        <v>2</v>
      </c>
      <c r="D16">
        <v>3</v>
      </c>
      <c r="E16" s="6" t="s">
        <v>18</v>
      </c>
      <c r="F16">
        <v>0.86276872480024713</v>
      </c>
      <c r="G16">
        <v>0.5960439769240915</v>
      </c>
      <c r="H16">
        <v>2.0027910450961781</v>
      </c>
      <c r="I16">
        <v>147.03012100000001</v>
      </c>
      <c r="J16">
        <v>252.64442399999999</v>
      </c>
      <c r="K16">
        <v>0.41803499999999999</v>
      </c>
      <c r="L16">
        <v>312.87411539999999</v>
      </c>
      <c r="M16">
        <v>31.97</v>
      </c>
      <c r="N16">
        <v>1782</v>
      </c>
    </row>
    <row r="17" spans="1:14" x14ac:dyDescent="0.45">
      <c r="A17" t="s">
        <v>17</v>
      </c>
      <c r="B17" t="s">
        <v>3063</v>
      </c>
      <c r="C17">
        <v>2</v>
      </c>
      <c r="D17">
        <v>4</v>
      </c>
      <c r="E17" s="6" t="s">
        <v>18</v>
      </c>
      <c r="F17">
        <v>1.0453332213892541</v>
      </c>
      <c r="G17">
        <v>0.6699146122649432</v>
      </c>
      <c r="H17">
        <v>1.5323096589214249</v>
      </c>
      <c r="I17">
        <v>102.56302599999999</v>
      </c>
      <c r="J17">
        <v>323.684326</v>
      </c>
      <c r="K17">
        <v>0.68313900000000005</v>
      </c>
      <c r="L17">
        <v>384.47062920000002</v>
      </c>
      <c r="M17">
        <v>30.19</v>
      </c>
      <c r="N17">
        <v>1340</v>
      </c>
    </row>
    <row r="18" spans="1:14" x14ac:dyDescent="0.45">
      <c r="A18" t="s">
        <v>17</v>
      </c>
      <c r="B18" t="s">
        <v>3063</v>
      </c>
      <c r="C18">
        <v>2</v>
      </c>
      <c r="D18">
        <v>5</v>
      </c>
      <c r="E18" s="6" t="s">
        <v>18</v>
      </c>
      <c r="F18">
        <v>0.58699310915086345</v>
      </c>
      <c r="G18">
        <v>0.45475429908353521</v>
      </c>
      <c r="H18">
        <v>1.8955720706663941</v>
      </c>
      <c r="I18">
        <v>106.717941</v>
      </c>
      <c r="J18">
        <v>347.71798699999999</v>
      </c>
      <c r="K18">
        <v>0.69309100000000001</v>
      </c>
      <c r="L18">
        <v>446.54466947999998</v>
      </c>
      <c r="M18">
        <v>31.17</v>
      </c>
      <c r="N18">
        <v>1534</v>
      </c>
    </row>
    <row r="19" spans="1:14" ht="19.8" thickBot="1" x14ac:dyDescent="0.5">
      <c r="A19" t="s">
        <v>17</v>
      </c>
      <c r="B19" s="4" t="s">
        <v>3063</v>
      </c>
      <c r="C19">
        <v>2</v>
      </c>
      <c r="D19">
        <v>6</v>
      </c>
      <c r="E19" s="6" t="s">
        <v>18</v>
      </c>
      <c r="F19">
        <v>0.90234487691654197</v>
      </c>
      <c r="G19">
        <v>0.61688041350422196</v>
      </c>
      <c r="H19">
        <v>1.63308440378179</v>
      </c>
      <c r="I19">
        <v>107.18536400000001</v>
      </c>
      <c r="J19">
        <v>323.32061800000002</v>
      </c>
      <c r="K19">
        <v>0.66848600000000002</v>
      </c>
      <c r="L19">
        <v>359.93960184000002</v>
      </c>
      <c r="M19">
        <v>30.14</v>
      </c>
      <c r="N19">
        <v>1282</v>
      </c>
    </row>
    <row r="20" spans="1:14" x14ac:dyDescent="0.45">
      <c r="A20" t="s">
        <v>17</v>
      </c>
      <c r="B20" t="s">
        <v>3063</v>
      </c>
      <c r="C20">
        <v>2</v>
      </c>
      <c r="D20">
        <v>1</v>
      </c>
      <c r="E20" s="6" t="s">
        <v>19</v>
      </c>
      <c r="F20">
        <v>0.57521039078172687</v>
      </c>
      <c r="G20">
        <v>0.45432186611409953</v>
      </c>
      <c r="H20">
        <v>2.1392299859318311</v>
      </c>
      <c r="I20">
        <v>111.81306499999999</v>
      </c>
      <c r="J20">
        <v>480.88754299999999</v>
      </c>
      <c r="K20">
        <v>0.767486</v>
      </c>
      <c r="L20">
        <v>148.60063932</v>
      </c>
      <c r="M20">
        <v>31.57</v>
      </c>
      <c r="N20">
        <v>461</v>
      </c>
    </row>
    <row r="21" spans="1:14" x14ac:dyDescent="0.45">
      <c r="A21" t="s">
        <v>17</v>
      </c>
      <c r="B21" t="s">
        <v>3063</v>
      </c>
      <c r="C21">
        <v>2</v>
      </c>
      <c r="D21">
        <v>2</v>
      </c>
      <c r="E21" s="6" t="s">
        <v>19</v>
      </c>
      <c r="F21">
        <v>0.72597426384235053</v>
      </c>
      <c r="G21">
        <v>0.52926039890622556</v>
      </c>
      <c r="H21">
        <v>1.8878516073221721</v>
      </c>
      <c r="I21">
        <v>114.729523</v>
      </c>
      <c r="J21">
        <v>475.67797899999999</v>
      </c>
      <c r="K21">
        <v>0.75880800000000004</v>
      </c>
      <c r="L21">
        <v>216.39686544</v>
      </c>
      <c r="M21">
        <v>31.58</v>
      </c>
      <c r="N21">
        <v>679</v>
      </c>
    </row>
    <row r="22" spans="1:14" x14ac:dyDescent="0.45">
      <c r="A22" t="s">
        <v>17</v>
      </c>
      <c r="B22" t="s">
        <v>3063</v>
      </c>
      <c r="C22">
        <v>2</v>
      </c>
      <c r="D22">
        <v>3</v>
      </c>
      <c r="E22" s="6" t="s">
        <v>19</v>
      </c>
      <c r="F22">
        <v>0.6272619003917963</v>
      </c>
      <c r="G22">
        <v>0.48238499764493969</v>
      </c>
      <c r="H22">
        <v>1.969414684073199</v>
      </c>
      <c r="I22">
        <v>109.13014200000001</v>
      </c>
      <c r="J22">
        <v>426.674713</v>
      </c>
      <c r="K22">
        <v>0.74423099999999998</v>
      </c>
      <c r="L22">
        <v>70.329829500000002</v>
      </c>
      <c r="M22">
        <v>31.23</v>
      </c>
      <c r="N22">
        <v>225</v>
      </c>
    </row>
    <row r="23" spans="1:14" x14ac:dyDescent="0.45">
      <c r="A23" t="s">
        <v>17</v>
      </c>
      <c r="B23" t="s">
        <v>3063</v>
      </c>
      <c r="C23">
        <v>2</v>
      </c>
      <c r="D23">
        <v>4</v>
      </c>
      <c r="E23" s="6" t="s">
        <v>19</v>
      </c>
      <c r="F23">
        <v>0.75600865489615077</v>
      </c>
      <c r="G23">
        <v>0.54992556788618041</v>
      </c>
      <c r="H23">
        <v>1.8546232266519731</v>
      </c>
      <c r="I23">
        <v>102.824448</v>
      </c>
      <c r="J23">
        <v>429.90945399999998</v>
      </c>
      <c r="K23">
        <v>0.76082300000000003</v>
      </c>
      <c r="L23">
        <v>140.28054474000001</v>
      </c>
      <c r="M23">
        <v>31.01</v>
      </c>
      <c r="N23">
        <v>439</v>
      </c>
    </row>
    <row r="24" spans="1:14" x14ac:dyDescent="0.45">
      <c r="A24" t="s">
        <v>17</v>
      </c>
      <c r="B24" t="s">
        <v>3063</v>
      </c>
      <c r="C24">
        <v>2</v>
      </c>
      <c r="D24">
        <v>5</v>
      </c>
      <c r="E24" s="6" t="s">
        <v>19</v>
      </c>
      <c r="F24">
        <v>0.82178233419619118</v>
      </c>
      <c r="G24">
        <v>0.57680698834608812</v>
      </c>
      <c r="H24">
        <v>1.741536631942856</v>
      </c>
      <c r="I24">
        <v>98.949554000000006</v>
      </c>
      <c r="J24">
        <v>429.70275900000001</v>
      </c>
      <c r="K24">
        <v>0.76972600000000002</v>
      </c>
      <c r="L24">
        <v>312.29323271999999</v>
      </c>
      <c r="M24">
        <v>30.93</v>
      </c>
      <c r="N24">
        <v>966</v>
      </c>
    </row>
    <row r="25" spans="1:14" s="4" customFormat="1" ht="19.8" thickBot="1" x14ac:dyDescent="0.5">
      <c r="A25" s="4" t="s">
        <v>17</v>
      </c>
      <c r="B25" s="4" t="s">
        <v>3063</v>
      </c>
      <c r="C25">
        <v>2</v>
      </c>
      <c r="D25" s="4">
        <v>6</v>
      </c>
      <c r="E25" s="7" t="s">
        <v>19</v>
      </c>
      <c r="F25" s="4">
        <v>0.46783152973560999</v>
      </c>
      <c r="G25" s="4">
        <v>0.38555928548225049</v>
      </c>
      <c r="H25" s="4">
        <v>2.1013632931013291</v>
      </c>
      <c r="I25" s="4">
        <v>108.042953</v>
      </c>
      <c r="J25" s="4">
        <v>493.39269999999999</v>
      </c>
      <c r="K25" s="4">
        <v>0.78102000000000005</v>
      </c>
      <c r="L25" s="4">
        <v>19.353675599999999</v>
      </c>
      <c r="M25" s="4">
        <v>31.36</v>
      </c>
      <c r="N25" s="4">
        <v>59</v>
      </c>
    </row>
    <row r="26" spans="1:14" x14ac:dyDescent="0.45">
      <c r="A26" t="s">
        <v>17</v>
      </c>
      <c r="B26" t="s">
        <v>3064</v>
      </c>
      <c r="C26">
        <v>3</v>
      </c>
      <c r="D26">
        <v>1</v>
      </c>
      <c r="E26" s="6" t="s">
        <v>18</v>
      </c>
      <c r="F26">
        <v>0.40176488182930881</v>
      </c>
      <c r="G26">
        <v>0.33610067317492048</v>
      </c>
      <c r="H26">
        <v>1.9877834487987951</v>
      </c>
      <c r="I26">
        <v>200.43647799999999</v>
      </c>
      <c r="J26">
        <v>375.45706200000001</v>
      </c>
      <c r="K26">
        <v>0.46615299999999998</v>
      </c>
      <c r="L26">
        <v>207.13974708000001</v>
      </c>
      <c r="M26">
        <v>30.87</v>
      </c>
      <c r="N26">
        <v>1058</v>
      </c>
    </row>
    <row r="27" spans="1:14" x14ac:dyDescent="0.45">
      <c r="A27" t="s">
        <v>17</v>
      </c>
      <c r="B27" t="s">
        <v>3064</v>
      </c>
      <c r="C27">
        <v>3</v>
      </c>
      <c r="D27">
        <v>2</v>
      </c>
      <c r="E27" s="6" t="s">
        <v>18</v>
      </c>
      <c r="F27">
        <v>0.51761575409617777</v>
      </c>
      <c r="G27">
        <v>0.4106688011296713</v>
      </c>
      <c r="H27">
        <v>2.0699015374474228</v>
      </c>
      <c r="I27">
        <v>164.83891299999999</v>
      </c>
      <c r="J27">
        <v>377.92932100000002</v>
      </c>
      <c r="K27">
        <v>0.56383700000000003</v>
      </c>
      <c r="L27">
        <v>262.15037477999999</v>
      </c>
      <c r="M27">
        <v>31.59</v>
      </c>
      <c r="N27">
        <v>1107</v>
      </c>
    </row>
    <row r="28" spans="1:14" x14ac:dyDescent="0.45">
      <c r="A28" t="s">
        <v>17</v>
      </c>
      <c r="B28" t="s">
        <v>3064</v>
      </c>
      <c r="C28">
        <v>3</v>
      </c>
      <c r="D28">
        <v>3</v>
      </c>
      <c r="E28" s="6" t="s">
        <v>18</v>
      </c>
      <c r="F28">
        <v>0.17431121562584259</v>
      </c>
      <c r="G28">
        <v>0.16410265155484491</v>
      </c>
      <c r="H28">
        <v>2.754379494058484</v>
      </c>
      <c r="I28">
        <v>155.449387</v>
      </c>
      <c r="J28">
        <v>277.75204500000001</v>
      </c>
      <c r="K28">
        <v>0.44033</v>
      </c>
      <c r="L28">
        <v>207.87098639999999</v>
      </c>
      <c r="M28">
        <v>33.619999999999997</v>
      </c>
      <c r="N28">
        <v>1124</v>
      </c>
    </row>
    <row r="29" spans="1:14" x14ac:dyDescent="0.45">
      <c r="A29" t="s">
        <v>17</v>
      </c>
      <c r="B29" t="s">
        <v>3064</v>
      </c>
      <c r="C29">
        <v>3</v>
      </c>
      <c r="D29">
        <v>4</v>
      </c>
      <c r="E29" s="6" t="s">
        <v>18</v>
      </c>
      <c r="F29">
        <v>2.5149597716807949E-2</v>
      </c>
      <c r="G29">
        <v>2.5831841915538469E-2</v>
      </c>
      <c r="H29">
        <v>3.42354703341501</v>
      </c>
      <c r="I29">
        <v>144.174454</v>
      </c>
      <c r="J29">
        <v>215.696091</v>
      </c>
      <c r="K29">
        <v>0.33158500000000002</v>
      </c>
      <c r="L29">
        <v>164.1942603</v>
      </c>
      <c r="M29">
        <v>35.47</v>
      </c>
      <c r="N29">
        <v>1179</v>
      </c>
    </row>
    <row r="30" spans="1:14" x14ac:dyDescent="0.45">
      <c r="A30" t="s">
        <v>17</v>
      </c>
      <c r="B30" t="s">
        <v>3064</v>
      </c>
      <c r="C30">
        <v>3</v>
      </c>
      <c r="D30">
        <v>5</v>
      </c>
      <c r="E30" s="6" t="s">
        <v>18</v>
      </c>
      <c r="F30">
        <v>0.5762583420575691</v>
      </c>
      <c r="G30">
        <v>0.44451820464655462</v>
      </c>
      <c r="H30">
        <v>2.0803693443719609</v>
      </c>
      <c r="I30">
        <v>154.48808299999999</v>
      </c>
      <c r="J30">
        <v>263.08108499999997</v>
      </c>
      <c r="K30">
        <v>0.41277399999999997</v>
      </c>
      <c r="L30">
        <v>210.81193728</v>
      </c>
      <c r="M30">
        <v>31.86</v>
      </c>
      <c r="N30">
        <v>1216</v>
      </c>
    </row>
    <row r="31" spans="1:14" ht="19.8" thickBot="1" x14ac:dyDescent="0.5">
      <c r="A31" t="s">
        <v>17</v>
      </c>
      <c r="B31" s="4" t="s">
        <v>3064</v>
      </c>
      <c r="C31">
        <v>3</v>
      </c>
      <c r="D31">
        <v>6</v>
      </c>
      <c r="E31" s="6" t="s">
        <v>18</v>
      </c>
      <c r="F31">
        <v>0.24435292000110431</v>
      </c>
      <c r="G31">
        <v>0.22096718407431429</v>
      </c>
      <c r="H31">
        <v>2.2022573443719611</v>
      </c>
      <c r="I31">
        <v>120.263458</v>
      </c>
      <c r="J31">
        <v>389.07229599999999</v>
      </c>
      <c r="K31">
        <v>0.69089699999999998</v>
      </c>
      <c r="L31">
        <v>336.31484166000001</v>
      </c>
      <c r="M31">
        <v>31.86</v>
      </c>
      <c r="N31">
        <v>1159</v>
      </c>
    </row>
    <row r="32" spans="1:14" x14ac:dyDescent="0.45">
      <c r="A32" t="s">
        <v>17</v>
      </c>
      <c r="B32" t="s">
        <v>3064</v>
      </c>
      <c r="C32">
        <v>3</v>
      </c>
      <c r="D32">
        <v>1</v>
      </c>
      <c r="E32" s="6" t="s">
        <v>19</v>
      </c>
      <c r="F32">
        <v>0.26326060040872989</v>
      </c>
      <c r="G32">
        <v>0.23697110715985689</v>
      </c>
      <c r="H32">
        <v>2.4473705119234741</v>
      </c>
      <c r="I32">
        <v>113.041161</v>
      </c>
      <c r="J32">
        <v>464.479919</v>
      </c>
      <c r="K32">
        <v>0.756629</v>
      </c>
      <c r="L32">
        <v>162.06993180000001</v>
      </c>
      <c r="M32">
        <v>32.68</v>
      </c>
      <c r="N32">
        <v>510</v>
      </c>
    </row>
    <row r="33" spans="1:14" x14ac:dyDescent="0.45">
      <c r="A33" t="s">
        <v>17</v>
      </c>
      <c r="B33" t="s">
        <v>3064</v>
      </c>
      <c r="C33">
        <v>3</v>
      </c>
      <c r="D33">
        <v>2</v>
      </c>
      <c r="E33" s="6" t="s">
        <v>19</v>
      </c>
      <c r="F33">
        <v>0.25949631458791372</v>
      </c>
      <c r="G33">
        <v>0.23404381199808461</v>
      </c>
      <c r="H33">
        <v>2.3355404763790881</v>
      </c>
      <c r="I33">
        <v>108.020065</v>
      </c>
      <c r="J33">
        <v>461.88784800000002</v>
      </c>
      <c r="K33">
        <v>0.76613399999999998</v>
      </c>
      <c r="L33">
        <v>98.785317959999986</v>
      </c>
      <c r="M33">
        <v>32.29</v>
      </c>
      <c r="N33">
        <v>307</v>
      </c>
    </row>
    <row r="34" spans="1:14" x14ac:dyDescent="0.45">
      <c r="A34" t="s">
        <v>17</v>
      </c>
      <c r="B34" t="s">
        <v>3064</v>
      </c>
      <c r="C34">
        <v>3</v>
      </c>
      <c r="D34">
        <v>3</v>
      </c>
      <c r="E34" s="6" t="s">
        <v>19</v>
      </c>
      <c r="F34">
        <v>0.1278230210661013</v>
      </c>
      <c r="G34">
        <v>0.1238664458837427</v>
      </c>
      <c r="H34">
        <v>2.801436697575312</v>
      </c>
      <c r="I34">
        <v>109.67945899999999</v>
      </c>
      <c r="J34">
        <v>471.14968900000002</v>
      </c>
      <c r="K34">
        <v>0.76720900000000003</v>
      </c>
      <c r="L34">
        <v>46.078572540000003</v>
      </c>
      <c r="M34">
        <v>33.4</v>
      </c>
      <c r="N34">
        <v>143</v>
      </c>
    </row>
    <row r="35" spans="1:14" x14ac:dyDescent="0.45">
      <c r="A35" t="s">
        <v>17</v>
      </c>
      <c r="B35" t="s">
        <v>3064</v>
      </c>
      <c r="C35">
        <v>3</v>
      </c>
      <c r="D35">
        <v>4</v>
      </c>
      <c r="E35" s="6" t="s">
        <v>19</v>
      </c>
      <c r="F35">
        <v>0.2076521556311085</v>
      </c>
      <c r="G35">
        <v>0.1938127833746193</v>
      </c>
      <c r="H35">
        <v>2.6355997326880138</v>
      </c>
      <c r="I35">
        <v>133.850449</v>
      </c>
      <c r="J35">
        <v>546.09881600000006</v>
      </c>
      <c r="K35">
        <v>0.75489700000000004</v>
      </c>
      <c r="L35">
        <v>39.632092499999999</v>
      </c>
      <c r="M35">
        <v>32.79</v>
      </c>
      <c r="N35">
        <v>125</v>
      </c>
    </row>
    <row r="36" spans="1:14" x14ac:dyDescent="0.45">
      <c r="A36" t="s">
        <v>17</v>
      </c>
      <c r="B36" t="s">
        <v>3064</v>
      </c>
      <c r="C36">
        <v>3</v>
      </c>
      <c r="D36">
        <v>5</v>
      </c>
      <c r="E36" s="6" t="s">
        <v>19</v>
      </c>
      <c r="F36">
        <v>0.22576604081812221</v>
      </c>
      <c r="G36">
        <v>0.20877369952620409</v>
      </c>
      <c r="H36">
        <v>2.6001617537265851</v>
      </c>
      <c r="I36">
        <v>118.84367399999999</v>
      </c>
      <c r="J36">
        <v>448.88769500000001</v>
      </c>
      <c r="K36">
        <v>0.73524900000000004</v>
      </c>
      <c r="L36">
        <v>154.09348542000001</v>
      </c>
      <c r="M36">
        <v>32.78</v>
      </c>
      <c r="N36">
        <v>499</v>
      </c>
    </row>
    <row r="37" spans="1:14" s="4" customFormat="1" ht="19.8" thickBot="1" x14ac:dyDescent="0.5">
      <c r="A37" s="4" t="s">
        <v>17</v>
      </c>
      <c r="B37" s="4" t="s">
        <v>3064</v>
      </c>
      <c r="C37">
        <v>3</v>
      </c>
      <c r="D37" s="4">
        <v>6</v>
      </c>
      <c r="E37" s="7" t="s">
        <v>19</v>
      </c>
      <c r="F37" s="4">
        <v>1.486538452101027E-2</v>
      </c>
      <c r="G37" s="4">
        <v>1.519058933427846E-2</v>
      </c>
      <c r="H37" s="4">
        <v>3.0326332164928012</v>
      </c>
      <c r="I37" s="4">
        <v>110.450867</v>
      </c>
      <c r="J37" s="4">
        <v>438.803314</v>
      </c>
      <c r="K37" s="4">
        <v>0.74829100000000004</v>
      </c>
      <c r="L37" s="4">
        <v>36.77101974</v>
      </c>
      <c r="M37" s="4">
        <v>34.31</v>
      </c>
      <c r="N37" s="4">
        <v>117</v>
      </c>
    </row>
    <row r="38" spans="1:14" x14ac:dyDescent="0.45">
      <c r="A38" t="s">
        <v>17</v>
      </c>
      <c r="B38" t="s">
        <v>3065</v>
      </c>
      <c r="C38">
        <v>4</v>
      </c>
      <c r="D38">
        <v>1</v>
      </c>
      <c r="E38" s="6" t="s">
        <v>18</v>
      </c>
      <c r="F38">
        <v>0.68004331209636892</v>
      </c>
      <c r="G38">
        <v>0.49508729177317867</v>
      </c>
      <c r="H38">
        <v>1.2361803036428911</v>
      </c>
      <c r="I38">
        <v>101.502296</v>
      </c>
      <c r="J38">
        <v>351.256012</v>
      </c>
      <c r="K38">
        <v>0.71103000000000005</v>
      </c>
      <c r="L38">
        <v>368.21399580000002</v>
      </c>
      <c r="M38">
        <v>27.77</v>
      </c>
      <c r="N38">
        <v>1233</v>
      </c>
    </row>
    <row r="39" spans="1:14" x14ac:dyDescent="0.45">
      <c r="A39" t="s">
        <v>17</v>
      </c>
      <c r="B39" t="s">
        <v>3065</v>
      </c>
      <c r="C39">
        <v>4</v>
      </c>
      <c r="D39">
        <v>2</v>
      </c>
      <c r="E39" s="6" t="s">
        <v>18</v>
      </c>
      <c r="F39">
        <v>0.25448339143683829</v>
      </c>
      <c r="G39">
        <v>0.22787805832940919</v>
      </c>
      <c r="H39">
        <v>1.6687372857523199</v>
      </c>
      <c r="I39">
        <v>120.17369100000001</v>
      </c>
      <c r="J39">
        <v>421.32605000000001</v>
      </c>
      <c r="K39">
        <v>0.71477299999999999</v>
      </c>
      <c r="L39">
        <v>382.16053218000002</v>
      </c>
      <c r="M39">
        <v>28.96</v>
      </c>
      <c r="N39">
        <v>1273</v>
      </c>
    </row>
    <row r="40" spans="1:14" x14ac:dyDescent="0.45">
      <c r="A40" t="s">
        <v>17</v>
      </c>
      <c r="B40" t="s">
        <v>3065</v>
      </c>
      <c r="C40">
        <v>4</v>
      </c>
      <c r="D40">
        <v>3</v>
      </c>
      <c r="E40" s="6" t="s">
        <v>18</v>
      </c>
      <c r="F40">
        <v>6.3116110575941825E-2</v>
      </c>
      <c r="G40">
        <v>6.2579555085149161E-2</v>
      </c>
      <c r="H40">
        <v>2.0594389403233788</v>
      </c>
      <c r="I40">
        <v>130.17117300000001</v>
      </c>
      <c r="J40">
        <v>407.723297</v>
      </c>
      <c r="K40">
        <v>0.68073600000000001</v>
      </c>
      <c r="L40">
        <v>172.40319936</v>
      </c>
      <c r="M40">
        <v>30.46</v>
      </c>
      <c r="N40">
        <v>603</v>
      </c>
    </row>
    <row r="41" spans="1:14" x14ac:dyDescent="0.45">
      <c r="A41" t="s">
        <v>17</v>
      </c>
      <c r="B41" t="s">
        <v>3065</v>
      </c>
      <c r="C41">
        <v>4</v>
      </c>
      <c r="D41">
        <v>4</v>
      </c>
      <c r="E41" s="6" t="s">
        <v>18</v>
      </c>
      <c r="F41">
        <v>0.12341362401130419</v>
      </c>
      <c r="G41">
        <v>0.1186780880612711</v>
      </c>
      <c r="H41">
        <v>1.842800553559935</v>
      </c>
      <c r="I41">
        <v>120.89967300000001</v>
      </c>
      <c r="J41">
        <v>429.15164199999998</v>
      </c>
      <c r="K41">
        <v>0.71828199999999998</v>
      </c>
      <c r="L41">
        <v>321.58921703999999</v>
      </c>
      <c r="M41">
        <v>29.65</v>
      </c>
      <c r="N41">
        <v>1066</v>
      </c>
    </row>
    <row r="42" spans="1:14" x14ac:dyDescent="0.45">
      <c r="A42" t="s">
        <v>17</v>
      </c>
      <c r="B42" t="s">
        <v>3065</v>
      </c>
      <c r="C42">
        <v>4</v>
      </c>
      <c r="D42">
        <v>5</v>
      </c>
      <c r="E42" s="6" t="s">
        <v>18</v>
      </c>
      <c r="F42">
        <v>0.38408589250157699</v>
      </c>
      <c r="G42">
        <v>0.32230819274171119</v>
      </c>
      <c r="H42">
        <v>1.5217025622517191</v>
      </c>
      <c r="I42">
        <v>107.218979</v>
      </c>
      <c r="J42">
        <v>458.898438</v>
      </c>
      <c r="K42">
        <v>0.76635600000000004</v>
      </c>
      <c r="L42">
        <v>346.97534256</v>
      </c>
      <c r="M42">
        <v>28.76</v>
      </c>
      <c r="N42">
        <v>1078</v>
      </c>
    </row>
    <row r="43" spans="1:14" ht="19.8" thickBot="1" x14ac:dyDescent="0.5">
      <c r="A43" t="s">
        <v>17</v>
      </c>
      <c r="B43" s="4" t="s">
        <v>3065</v>
      </c>
      <c r="C43">
        <v>4</v>
      </c>
      <c r="D43">
        <v>6</v>
      </c>
      <c r="E43" s="6" t="s">
        <v>18</v>
      </c>
      <c r="F43">
        <v>0.73719193535469563</v>
      </c>
      <c r="G43">
        <v>0.52889325959903566</v>
      </c>
      <c r="H43">
        <v>1.299380196139605</v>
      </c>
      <c r="I43">
        <v>111.558441</v>
      </c>
      <c r="J43">
        <v>405.80535900000001</v>
      </c>
      <c r="K43">
        <v>0.72509400000000002</v>
      </c>
      <c r="L43">
        <v>153.48789791999999</v>
      </c>
      <c r="M43">
        <v>28.26</v>
      </c>
      <c r="N43">
        <v>504</v>
      </c>
    </row>
    <row r="44" spans="1:14" x14ac:dyDescent="0.45">
      <c r="A44" t="s">
        <v>17</v>
      </c>
      <c r="B44" t="s">
        <v>3065</v>
      </c>
      <c r="C44">
        <v>4</v>
      </c>
      <c r="D44">
        <v>1</v>
      </c>
      <c r="E44" s="6" t="s">
        <v>19</v>
      </c>
      <c r="F44">
        <v>0.26359936557812769</v>
      </c>
      <c r="G44">
        <v>0.23791148976237261</v>
      </c>
      <c r="H44">
        <v>2.4392038978775412</v>
      </c>
      <c r="I44">
        <v>119.496346</v>
      </c>
      <c r="J44">
        <v>482.32663000000002</v>
      </c>
      <c r="K44">
        <v>0.75224999999999997</v>
      </c>
      <c r="L44">
        <v>332.37414000000001</v>
      </c>
      <c r="M44">
        <v>32.950000000000003</v>
      </c>
      <c r="N44">
        <v>1052</v>
      </c>
    </row>
    <row r="45" spans="1:14" x14ac:dyDescent="0.45">
      <c r="A45" t="s">
        <v>17</v>
      </c>
      <c r="B45" t="s">
        <v>3065</v>
      </c>
      <c r="C45">
        <v>4</v>
      </c>
      <c r="D45">
        <v>2</v>
      </c>
      <c r="E45" s="6" t="s">
        <v>19</v>
      </c>
      <c r="F45">
        <v>0.65620509226148183</v>
      </c>
      <c r="G45">
        <v>0.49734718287547491</v>
      </c>
      <c r="H45">
        <v>2.021011632104301</v>
      </c>
      <c r="I45">
        <v>112.33055899999999</v>
      </c>
      <c r="J45">
        <v>352.90789799999999</v>
      </c>
      <c r="K45">
        <v>0.68169999999999997</v>
      </c>
      <c r="L45">
        <v>278.29720800000001</v>
      </c>
      <c r="M45">
        <v>31.65</v>
      </c>
      <c r="N45">
        <v>972</v>
      </c>
    </row>
    <row r="46" spans="1:14" x14ac:dyDescent="0.45">
      <c r="A46" t="s">
        <v>17</v>
      </c>
      <c r="B46" t="s">
        <v>3065</v>
      </c>
      <c r="C46">
        <v>4</v>
      </c>
      <c r="D46">
        <v>3</v>
      </c>
      <c r="E46" s="6" t="s">
        <v>19</v>
      </c>
      <c r="F46">
        <v>0.50744655963366969</v>
      </c>
      <c r="G46">
        <v>0.40931444131522632</v>
      </c>
      <c r="H46">
        <v>2.1477438722148121</v>
      </c>
      <c r="I46">
        <v>111.277344</v>
      </c>
      <c r="J46">
        <v>389.33300800000001</v>
      </c>
      <c r="K46">
        <v>0.71418499999999996</v>
      </c>
      <c r="L46">
        <v>171.8757621</v>
      </c>
      <c r="M46">
        <v>31.85</v>
      </c>
      <c r="N46">
        <v>573</v>
      </c>
    </row>
    <row r="47" spans="1:14" x14ac:dyDescent="0.45">
      <c r="A47" t="s">
        <v>17</v>
      </c>
      <c r="B47" t="s">
        <v>3065</v>
      </c>
      <c r="C47">
        <v>4</v>
      </c>
      <c r="D47">
        <v>4</v>
      </c>
      <c r="E47" s="6" t="s">
        <v>19</v>
      </c>
      <c r="F47">
        <v>3.1576993980732541E-2</v>
      </c>
      <c r="G47">
        <v>3.2492020725392173E-2</v>
      </c>
      <c r="H47">
        <v>3.294854020376683</v>
      </c>
      <c r="I47">
        <v>110.95547500000001</v>
      </c>
      <c r="J47">
        <v>496.66033900000002</v>
      </c>
      <c r="K47">
        <v>0.77659699999999998</v>
      </c>
      <c r="L47">
        <v>371.50847285999993</v>
      </c>
      <c r="M47">
        <v>34.799999999999997</v>
      </c>
      <c r="N47">
        <v>1139</v>
      </c>
    </row>
    <row r="48" spans="1:14" x14ac:dyDescent="0.45">
      <c r="A48" t="s">
        <v>17</v>
      </c>
      <c r="B48" t="s">
        <v>3065</v>
      </c>
      <c r="C48">
        <v>4</v>
      </c>
      <c r="D48">
        <v>5</v>
      </c>
      <c r="E48" s="6" t="s">
        <v>19</v>
      </c>
      <c r="F48">
        <v>0.52650292436328716</v>
      </c>
      <c r="G48">
        <v>0.42177826775804012</v>
      </c>
      <c r="H48">
        <v>2.0967485374474228</v>
      </c>
      <c r="I48">
        <v>116.214752</v>
      </c>
      <c r="J48">
        <v>524.86254899999994</v>
      </c>
      <c r="K48">
        <v>0.77858099999999997</v>
      </c>
      <c r="L48">
        <v>118.04845122</v>
      </c>
      <c r="M48">
        <v>31.59</v>
      </c>
      <c r="N48">
        <v>361</v>
      </c>
    </row>
    <row r="49" spans="1:14" s="4" customFormat="1" ht="19.8" thickBot="1" x14ac:dyDescent="0.5">
      <c r="A49" s="4" t="s">
        <v>17</v>
      </c>
      <c r="B49" s="4" t="s">
        <v>3065</v>
      </c>
      <c r="C49">
        <v>4</v>
      </c>
      <c r="D49" s="4">
        <v>6</v>
      </c>
      <c r="E49" s="7" t="s">
        <v>19</v>
      </c>
      <c r="F49" s="4">
        <v>0.65400649457862392</v>
      </c>
      <c r="G49" s="4">
        <v>0.49367548525173</v>
      </c>
      <c r="H49" s="4">
        <v>1.9714515374474231</v>
      </c>
      <c r="I49" s="4">
        <v>105.34465</v>
      </c>
      <c r="J49" s="4">
        <v>412.91857900000002</v>
      </c>
      <c r="K49" s="4">
        <v>0.74487800000000004</v>
      </c>
      <c r="L49" s="4">
        <v>140.46909324000001</v>
      </c>
      <c r="M49" s="4">
        <v>31.59</v>
      </c>
      <c r="N49" s="4">
        <v>449</v>
      </c>
    </row>
    <row r="50" spans="1:14" x14ac:dyDescent="0.45">
      <c r="A50" t="s">
        <v>17</v>
      </c>
      <c r="B50" t="s">
        <v>3066</v>
      </c>
      <c r="C50">
        <v>5</v>
      </c>
      <c r="D50">
        <v>1</v>
      </c>
      <c r="E50" s="6" t="s">
        <v>18</v>
      </c>
      <c r="F50">
        <v>0.60056427584768113</v>
      </c>
      <c r="G50">
        <v>0.46649661169982243</v>
      </c>
      <c r="H50">
        <v>2.1317137531330741</v>
      </c>
      <c r="I50">
        <v>110.43084</v>
      </c>
      <c r="J50">
        <v>376.61325099999999</v>
      </c>
      <c r="K50">
        <v>0.70677900000000005</v>
      </c>
      <c r="L50">
        <v>365.41887858000001</v>
      </c>
      <c r="M50">
        <v>31.93</v>
      </c>
      <c r="N50">
        <v>1231</v>
      </c>
    </row>
    <row r="51" spans="1:14" x14ac:dyDescent="0.45">
      <c r="A51" t="s">
        <v>17</v>
      </c>
      <c r="B51" t="s">
        <v>3066</v>
      </c>
      <c r="C51">
        <v>5</v>
      </c>
      <c r="D51">
        <v>2</v>
      </c>
      <c r="E51" s="6" t="s">
        <v>18</v>
      </c>
      <c r="F51">
        <v>0.83205512521108127</v>
      </c>
      <c r="G51">
        <v>0.58901849141485163</v>
      </c>
      <c r="H51">
        <v>1.7969672266519729</v>
      </c>
      <c r="I51">
        <v>107.421402</v>
      </c>
      <c r="J51">
        <v>348.00518799999998</v>
      </c>
      <c r="K51">
        <v>0.69132199999999999</v>
      </c>
      <c r="L51">
        <v>337.68314412000001</v>
      </c>
      <c r="M51">
        <v>31.01</v>
      </c>
      <c r="N51">
        <v>1163</v>
      </c>
    </row>
    <row r="52" spans="1:14" x14ac:dyDescent="0.45">
      <c r="A52" t="s">
        <v>17</v>
      </c>
      <c r="B52" t="s">
        <v>3066</v>
      </c>
      <c r="C52">
        <v>5</v>
      </c>
      <c r="D52">
        <v>3</v>
      </c>
      <c r="E52" s="6" t="s">
        <v>18</v>
      </c>
      <c r="F52">
        <v>0.69371520236708728</v>
      </c>
      <c r="G52">
        <v>0.51874400938705478</v>
      </c>
      <c r="H52">
        <v>1.8830333145151861</v>
      </c>
      <c r="I52">
        <v>103.586197</v>
      </c>
      <c r="J52">
        <v>378.05126999999999</v>
      </c>
      <c r="K52">
        <v>0.72599999999999998</v>
      </c>
      <c r="L52">
        <v>318.03156000000001</v>
      </c>
      <c r="M52">
        <v>30.74</v>
      </c>
      <c r="N52">
        <v>1043</v>
      </c>
    </row>
    <row r="53" spans="1:14" x14ac:dyDescent="0.45">
      <c r="A53" t="s">
        <v>17</v>
      </c>
      <c r="B53" t="s">
        <v>3066</v>
      </c>
      <c r="C53">
        <v>5</v>
      </c>
      <c r="D53">
        <v>4</v>
      </c>
      <c r="E53" s="6" t="s">
        <v>18</v>
      </c>
      <c r="F53">
        <v>0.67074636113426345</v>
      </c>
      <c r="G53">
        <v>0.50081615175152072</v>
      </c>
      <c r="H53">
        <v>2.5133391051803549</v>
      </c>
      <c r="I53">
        <v>159.43408199999999</v>
      </c>
      <c r="J53">
        <v>300.70459</v>
      </c>
      <c r="K53">
        <v>0.46979799999999999</v>
      </c>
      <c r="L53">
        <v>342.34180259999999</v>
      </c>
      <c r="M53">
        <v>34.08</v>
      </c>
      <c r="N53">
        <v>1735</v>
      </c>
    </row>
    <row r="54" spans="1:14" x14ac:dyDescent="0.45">
      <c r="A54" t="s">
        <v>17</v>
      </c>
      <c r="B54" t="s">
        <v>3066</v>
      </c>
      <c r="C54">
        <v>5</v>
      </c>
      <c r="D54">
        <v>5</v>
      </c>
      <c r="E54" s="6" t="s">
        <v>18</v>
      </c>
      <c r="F54">
        <v>1.100290552593153</v>
      </c>
      <c r="G54">
        <v>0.70299522310345275</v>
      </c>
      <c r="H54">
        <v>2.2605013615645619</v>
      </c>
      <c r="I54">
        <v>160.57598899999999</v>
      </c>
      <c r="J54">
        <v>295.27795400000002</v>
      </c>
      <c r="K54">
        <v>0.45618700000000001</v>
      </c>
      <c r="L54">
        <v>348.13454718000003</v>
      </c>
      <c r="M54">
        <v>33.54</v>
      </c>
      <c r="N54">
        <v>1817</v>
      </c>
    </row>
    <row r="55" spans="1:14" ht="19.8" thickBot="1" x14ac:dyDescent="0.5">
      <c r="A55" t="s">
        <v>17</v>
      </c>
      <c r="B55" s="4" t="s">
        <v>3066</v>
      </c>
      <c r="C55">
        <v>5</v>
      </c>
      <c r="D55">
        <v>6</v>
      </c>
      <c r="E55" s="6" t="s">
        <v>18</v>
      </c>
      <c r="F55">
        <v>0.6480309303685482</v>
      </c>
      <c r="G55">
        <v>0.49423366117841572</v>
      </c>
      <c r="H55">
        <v>2.6155118751633148</v>
      </c>
      <c r="I55">
        <v>150.42971800000001</v>
      </c>
      <c r="J55">
        <v>291.76318400000002</v>
      </c>
      <c r="K55">
        <v>0.48441200000000001</v>
      </c>
      <c r="L55">
        <v>308.63826168000003</v>
      </c>
      <c r="M55">
        <v>34.130000000000003</v>
      </c>
      <c r="N55">
        <v>1517</v>
      </c>
    </row>
    <row r="56" spans="1:14" x14ac:dyDescent="0.45">
      <c r="A56" t="s">
        <v>17</v>
      </c>
      <c r="B56" t="s">
        <v>3066</v>
      </c>
      <c r="C56">
        <v>5</v>
      </c>
      <c r="D56">
        <v>1</v>
      </c>
      <c r="E56" s="6" t="s">
        <v>19</v>
      </c>
      <c r="F56">
        <v>0.27587999742841618</v>
      </c>
      <c r="G56">
        <v>0.2496401763641253</v>
      </c>
      <c r="H56">
        <v>2.5699041444775279</v>
      </c>
      <c r="I56">
        <v>111.81521600000001</v>
      </c>
      <c r="J56">
        <v>493.84652699999998</v>
      </c>
      <c r="K56">
        <v>0.77358300000000002</v>
      </c>
      <c r="L56">
        <v>129.31213428000001</v>
      </c>
      <c r="M56">
        <v>33.19</v>
      </c>
      <c r="N56">
        <v>398</v>
      </c>
    </row>
    <row r="57" spans="1:14" x14ac:dyDescent="0.45">
      <c r="A57" t="s">
        <v>17</v>
      </c>
      <c r="B57" t="s">
        <v>3066</v>
      </c>
      <c r="C57">
        <v>5</v>
      </c>
      <c r="D57">
        <v>2</v>
      </c>
      <c r="E57" s="6" t="s">
        <v>19</v>
      </c>
      <c r="F57">
        <v>0.69803741742896697</v>
      </c>
      <c r="G57">
        <v>0.52608907423901519</v>
      </c>
      <c r="H57">
        <v>1.9845354590347259</v>
      </c>
      <c r="I57">
        <v>115.623947</v>
      </c>
      <c r="J57">
        <v>537.59942599999999</v>
      </c>
      <c r="K57">
        <v>0.78492499999999998</v>
      </c>
      <c r="L57">
        <v>64.944694499999997</v>
      </c>
      <c r="M57">
        <v>31.08</v>
      </c>
      <c r="N57">
        <v>197</v>
      </c>
    </row>
    <row r="58" spans="1:14" x14ac:dyDescent="0.45">
      <c r="A58" t="s">
        <v>17</v>
      </c>
      <c r="B58" t="s">
        <v>3066</v>
      </c>
      <c r="C58">
        <v>5</v>
      </c>
      <c r="D58">
        <v>3</v>
      </c>
      <c r="E58" s="6" t="s">
        <v>19</v>
      </c>
      <c r="F58">
        <v>0.412516668821164</v>
      </c>
      <c r="G58">
        <v>0.35069047660260921</v>
      </c>
      <c r="H58">
        <v>2.310730441911935</v>
      </c>
      <c r="I58">
        <v>107.851265</v>
      </c>
      <c r="J58">
        <v>493.93057299999998</v>
      </c>
      <c r="K58">
        <v>0.78164699999999998</v>
      </c>
      <c r="L58">
        <v>23.965297020000001</v>
      </c>
      <c r="M58">
        <v>31.98</v>
      </c>
      <c r="N58">
        <v>73</v>
      </c>
    </row>
    <row r="59" spans="1:14" x14ac:dyDescent="0.45">
      <c r="A59" t="s">
        <v>17</v>
      </c>
      <c r="B59" t="s">
        <v>3066</v>
      </c>
      <c r="C59">
        <v>5</v>
      </c>
      <c r="D59">
        <v>4</v>
      </c>
      <c r="E59" s="6" t="s">
        <v>19</v>
      </c>
      <c r="F59">
        <v>0.39653973604176468</v>
      </c>
      <c r="G59">
        <v>0.33913676341558813</v>
      </c>
      <c r="H59">
        <v>2.2635218978029239</v>
      </c>
      <c r="I59">
        <v>116.371391</v>
      </c>
      <c r="J59">
        <v>373.16931199999999</v>
      </c>
      <c r="K59">
        <v>0.68815400000000004</v>
      </c>
      <c r="L59">
        <v>39.307356480000003</v>
      </c>
      <c r="M59">
        <v>31.83</v>
      </c>
      <c r="N59">
        <v>136</v>
      </c>
    </row>
    <row r="60" spans="1:14" x14ac:dyDescent="0.45">
      <c r="A60" t="s">
        <v>17</v>
      </c>
      <c r="B60" t="s">
        <v>3066</v>
      </c>
      <c r="C60">
        <v>5</v>
      </c>
      <c r="D60">
        <v>5</v>
      </c>
      <c r="E60" s="6" t="s">
        <v>19</v>
      </c>
      <c r="F60">
        <v>1.4864323963243159E-2</v>
      </c>
      <c r="G60">
        <v>1.500437318801111E-2</v>
      </c>
      <c r="H60">
        <v>3.4403744503756339</v>
      </c>
      <c r="I60">
        <v>105.543137</v>
      </c>
      <c r="J60">
        <v>267.22204599999998</v>
      </c>
      <c r="K60">
        <v>0.60503600000000002</v>
      </c>
      <c r="L60">
        <v>26.17385736</v>
      </c>
      <c r="M60">
        <v>35.24</v>
      </c>
      <c r="N60">
        <v>103</v>
      </c>
    </row>
    <row r="61" spans="1:14" s="4" customFormat="1" ht="19.8" thickBot="1" x14ac:dyDescent="0.5">
      <c r="A61" s="4" t="s">
        <v>17</v>
      </c>
      <c r="B61" s="4" t="s">
        <v>3066</v>
      </c>
      <c r="C61">
        <v>5</v>
      </c>
      <c r="D61" s="4">
        <v>6</v>
      </c>
      <c r="E61" s="7" t="s">
        <v>19</v>
      </c>
      <c r="F61" s="4">
        <v>0.35273503883221119</v>
      </c>
      <c r="G61" s="4">
        <v>0.30794108004105658</v>
      </c>
      <c r="H61" s="4">
        <v>2.3928436115402079</v>
      </c>
      <c r="I61" s="4">
        <v>129.45019500000001</v>
      </c>
      <c r="J61" s="4">
        <v>498.76998900000001</v>
      </c>
      <c r="K61" s="4">
        <v>0.74046100000000004</v>
      </c>
      <c r="L61" s="4">
        <v>248.48390237999999</v>
      </c>
      <c r="M61" s="4">
        <v>32.450000000000003</v>
      </c>
      <c r="N61" s="4">
        <v>799</v>
      </c>
    </row>
    <row r="62" spans="1:14" x14ac:dyDescent="0.45">
      <c r="A62" t="s">
        <v>17</v>
      </c>
      <c r="B62" t="s">
        <v>3067</v>
      </c>
      <c r="C62">
        <v>6</v>
      </c>
      <c r="D62">
        <v>1</v>
      </c>
      <c r="E62" s="6" t="s">
        <v>18</v>
      </c>
      <c r="F62">
        <v>0.1427790238718189</v>
      </c>
      <c r="G62">
        <v>0.1371241746346302</v>
      </c>
      <c r="H62">
        <v>2.839264541705536</v>
      </c>
      <c r="I62">
        <v>115.77629899999999</v>
      </c>
      <c r="J62">
        <v>378.95214800000002</v>
      </c>
      <c r="K62">
        <v>0.69448299999999996</v>
      </c>
      <c r="L62">
        <v>275.93198555999999</v>
      </c>
      <c r="M62">
        <v>33.92</v>
      </c>
      <c r="N62">
        <v>946</v>
      </c>
    </row>
    <row r="63" spans="1:14" x14ac:dyDescent="0.45">
      <c r="A63" t="s">
        <v>17</v>
      </c>
      <c r="B63" t="s">
        <v>3067</v>
      </c>
      <c r="C63">
        <v>6</v>
      </c>
      <c r="D63">
        <v>2</v>
      </c>
      <c r="E63" s="6" t="s">
        <v>18</v>
      </c>
      <c r="F63">
        <v>8.6578828653871877E-3</v>
      </c>
      <c r="G63">
        <v>9.012584344914509E-3</v>
      </c>
      <c r="H63">
        <v>3.6764231586587628</v>
      </c>
      <c r="I63">
        <v>96.417191000000003</v>
      </c>
      <c r="J63">
        <v>222.64265399999999</v>
      </c>
      <c r="K63">
        <v>0.56694199999999995</v>
      </c>
      <c r="L63">
        <v>259.54604760000001</v>
      </c>
      <c r="M63">
        <v>36.409999999999997</v>
      </c>
      <c r="N63">
        <v>1090</v>
      </c>
    </row>
    <row r="64" spans="1:14" x14ac:dyDescent="0.45">
      <c r="A64" t="s">
        <v>17</v>
      </c>
      <c r="B64" t="s">
        <v>3067</v>
      </c>
      <c r="C64">
        <v>6</v>
      </c>
      <c r="D64">
        <v>3</v>
      </c>
      <c r="E64" s="6" t="s">
        <v>18</v>
      </c>
      <c r="F64">
        <v>0.5277429427025746</v>
      </c>
      <c r="G64">
        <v>0.41781681302167162</v>
      </c>
      <c r="H64">
        <v>2.0941986115402078</v>
      </c>
      <c r="I64">
        <v>106.185081</v>
      </c>
      <c r="J64">
        <v>368.31414799999999</v>
      </c>
      <c r="K64">
        <v>0.7117</v>
      </c>
      <c r="L64">
        <v>290.24549400000001</v>
      </c>
      <c r="M64">
        <v>32.450000000000003</v>
      </c>
      <c r="N64">
        <v>971</v>
      </c>
    </row>
    <row r="65" spans="1:14" x14ac:dyDescent="0.45">
      <c r="A65" t="s">
        <v>17</v>
      </c>
      <c r="B65" t="s">
        <v>3067</v>
      </c>
      <c r="C65">
        <v>6</v>
      </c>
      <c r="D65">
        <v>4</v>
      </c>
      <c r="E65" s="6" t="s">
        <v>18</v>
      </c>
      <c r="F65">
        <v>9.8807733613225479E-2</v>
      </c>
      <c r="G65">
        <v>9.784717339530434E-2</v>
      </c>
      <c r="H65">
        <v>3.4598321499216369</v>
      </c>
      <c r="I65">
        <v>164.51454200000001</v>
      </c>
      <c r="J65">
        <v>327.64041099999997</v>
      </c>
      <c r="K65">
        <v>0.49788100000000002</v>
      </c>
      <c r="L65">
        <v>265.36061538000001</v>
      </c>
      <c r="M65">
        <v>35.83</v>
      </c>
      <c r="N65">
        <v>1269</v>
      </c>
    </row>
    <row r="66" spans="1:14" x14ac:dyDescent="0.45">
      <c r="A66" t="s">
        <v>17</v>
      </c>
      <c r="B66" t="s">
        <v>3067</v>
      </c>
      <c r="C66">
        <v>6</v>
      </c>
      <c r="D66">
        <v>5</v>
      </c>
      <c r="E66" s="6" t="s">
        <v>18</v>
      </c>
      <c r="F66">
        <v>0.33313163474506241</v>
      </c>
      <c r="G66">
        <v>0.29300114301528879</v>
      </c>
      <c r="H66">
        <v>3.2794656577146601</v>
      </c>
      <c r="I66">
        <v>147.95922899999999</v>
      </c>
      <c r="J66">
        <v>229.16293300000001</v>
      </c>
      <c r="K66">
        <v>0.35434900000000003</v>
      </c>
      <c r="L66">
        <v>251.66574678000001</v>
      </c>
      <c r="M66">
        <v>35.76</v>
      </c>
      <c r="N66">
        <v>1691</v>
      </c>
    </row>
    <row r="67" spans="1:14" ht="19.8" thickBot="1" x14ac:dyDescent="0.5">
      <c r="A67" t="s">
        <v>17</v>
      </c>
      <c r="B67" s="4" t="s">
        <v>3067</v>
      </c>
      <c r="C67">
        <v>6</v>
      </c>
      <c r="D67">
        <v>6</v>
      </c>
      <c r="E67" s="6" t="s">
        <v>18</v>
      </c>
      <c r="F67">
        <v>0.63359735427301556</v>
      </c>
      <c r="G67">
        <v>0.49012560763679569</v>
      </c>
      <c r="H67">
        <v>2.609119057219174</v>
      </c>
      <c r="I67">
        <v>145.26522800000001</v>
      </c>
      <c r="J67">
        <v>329.729309</v>
      </c>
      <c r="K67">
        <v>0.55944099999999997</v>
      </c>
      <c r="L67">
        <v>346.33873427999998</v>
      </c>
      <c r="M67">
        <v>33.93</v>
      </c>
      <c r="N67">
        <v>1474</v>
      </c>
    </row>
    <row r="68" spans="1:14" x14ac:dyDescent="0.45">
      <c r="A68" t="s">
        <v>17</v>
      </c>
      <c r="B68" t="s">
        <v>3067</v>
      </c>
      <c r="C68">
        <v>6</v>
      </c>
      <c r="D68">
        <v>1</v>
      </c>
      <c r="E68" s="6" t="s">
        <v>19</v>
      </c>
      <c r="F68">
        <v>0.52940144735298256</v>
      </c>
      <c r="G68">
        <v>0.42588368823950618</v>
      </c>
      <c r="H68">
        <v>2.033249326078526</v>
      </c>
      <c r="I68">
        <v>126.257301</v>
      </c>
      <c r="J68">
        <v>367.27844199999998</v>
      </c>
      <c r="K68">
        <v>0.65623600000000004</v>
      </c>
      <c r="L68">
        <v>21.222672240000001</v>
      </c>
      <c r="M68">
        <v>31.61</v>
      </c>
      <c r="N68">
        <v>77</v>
      </c>
    </row>
    <row r="69" spans="1:14" x14ac:dyDescent="0.45">
      <c r="A69" t="s">
        <v>17</v>
      </c>
      <c r="B69" t="s">
        <v>3067</v>
      </c>
      <c r="C69">
        <v>6</v>
      </c>
      <c r="D69">
        <v>2</v>
      </c>
      <c r="E69" s="6" t="s">
        <v>19</v>
      </c>
      <c r="F69">
        <v>0.2115041647248454</v>
      </c>
      <c r="G69">
        <v>0.19743550229425741</v>
      </c>
      <c r="H69">
        <v>2.621545333407258</v>
      </c>
      <c r="I69">
        <v>114.619736</v>
      </c>
      <c r="J69">
        <v>554.79278599999998</v>
      </c>
      <c r="K69">
        <v>0.79340100000000002</v>
      </c>
      <c r="L69">
        <v>51.650405099999993</v>
      </c>
      <c r="M69">
        <v>32.51</v>
      </c>
      <c r="N69">
        <v>155</v>
      </c>
    </row>
    <row r="70" spans="1:14" x14ac:dyDescent="0.45">
      <c r="A70" t="s">
        <v>17</v>
      </c>
      <c r="B70" t="s">
        <v>3067</v>
      </c>
      <c r="C70">
        <v>6</v>
      </c>
      <c r="D70">
        <v>3</v>
      </c>
      <c r="E70" s="6" t="s">
        <v>19</v>
      </c>
      <c r="F70">
        <v>4.9703423776390762E-3</v>
      </c>
      <c r="G70">
        <v>5.378958850249969E-3</v>
      </c>
      <c r="H70">
        <v>3.5169825955330389</v>
      </c>
      <c r="I70">
        <v>113.954185</v>
      </c>
      <c r="J70">
        <v>263.967285</v>
      </c>
      <c r="K70">
        <v>0.56830199999999997</v>
      </c>
      <c r="L70">
        <v>233.91310319999999</v>
      </c>
      <c r="M70">
        <v>35.39</v>
      </c>
      <c r="N70">
        <v>980</v>
      </c>
    </row>
    <row r="71" spans="1:14" x14ac:dyDescent="0.45">
      <c r="A71" t="s">
        <v>17</v>
      </c>
      <c r="B71" t="s">
        <v>3067</v>
      </c>
      <c r="C71">
        <v>6</v>
      </c>
      <c r="D71">
        <v>4</v>
      </c>
      <c r="E71" s="6" t="s">
        <v>19</v>
      </c>
      <c r="F71">
        <v>0.37687345641883963</v>
      </c>
      <c r="G71">
        <v>0.32089392835077668</v>
      </c>
      <c r="H71">
        <v>2.2558378071565262</v>
      </c>
      <c r="I71">
        <v>132.37237500000001</v>
      </c>
      <c r="J71">
        <v>521.20544400000006</v>
      </c>
      <c r="K71">
        <v>0.746027</v>
      </c>
      <c r="L71">
        <v>26.006501220000001</v>
      </c>
      <c r="M71">
        <v>32.26</v>
      </c>
      <c r="N71">
        <v>83</v>
      </c>
    </row>
    <row r="72" spans="1:14" x14ac:dyDescent="0.45">
      <c r="A72" t="s">
        <v>17</v>
      </c>
      <c r="B72" t="s">
        <v>3067</v>
      </c>
      <c r="C72">
        <v>6</v>
      </c>
      <c r="D72">
        <v>5</v>
      </c>
      <c r="E72" s="6" t="s">
        <v>19</v>
      </c>
      <c r="F72">
        <v>0.20628963071201201</v>
      </c>
      <c r="G72">
        <v>0.1916556541630427</v>
      </c>
      <c r="H72">
        <v>2.5326922537776668</v>
      </c>
      <c r="I72">
        <v>125.72229</v>
      </c>
      <c r="J72">
        <v>538.39373799999998</v>
      </c>
      <c r="K72">
        <v>0.766486</v>
      </c>
      <c r="L72">
        <v>16.740054239999999</v>
      </c>
      <c r="M72">
        <v>33.21</v>
      </c>
      <c r="N72">
        <v>52</v>
      </c>
    </row>
    <row r="73" spans="1:14" s="4" customFormat="1" ht="19.8" thickBot="1" x14ac:dyDescent="0.5">
      <c r="A73" s="4" t="s">
        <v>17</v>
      </c>
      <c r="B73" s="4" t="s">
        <v>3067</v>
      </c>
      <c r="C73">
        <v>6</v>
      </c>
      <c r="D73" s="4">
        <v>6</v>
      </c>
      <c r="E73" s="7" t="s">
        <v>19</v>
      </c>
      <c r="F73" s="4">
        <v>5.8446142541531923E-2</v>
      </c>
      <c r="G73" s="4">
        <v>5.9161593771230217E-2</v>
      </c>
      <c r="H73" s="4">
        <v>3.440151750144159</v>
      </c>
      <c r="I73" s="4">
        <v>171.67210399999999</v>
      </c>
      <c r="J73" s="4">
        <v>434.91125499999998</v>
      </c>
      <c r="K73" s="4">
        <v>0.605271</v>
      </c>
      <c r="L73" s="4">
        <v>118.71785394</v>
      </c>
      <c r="M73" s="4">
        <v>35.65</v>
      </c>
      <c r="N73" s="4">
        <v>467</v>
      </c>
    </row>
  </sheetData>
  <sortState xmlns:xlrd2="http://schemas.microsoft.com/office/spreadsheetml/2017/richdata2" ref="A2:N49">
    <sortCondition descending="1" ref="B2:B4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T74"/>
  <sheetViews>
    <sheetView workbookViewId="0"/>
  </sheetViews>
  <sheetFormatPr defaultRowHeight="19.2" x14ac:dyDescent="0.45"/>
  <sheetData>
    <row r="1" spans="1:124" x14ac:dyDescent="0.45">
      <c r="A1" t="s">
        <v>34</v>
      </c>
      <c r="B1" t="s">
        <v>35</v>
      </c>
      <c r="C1" t="s">
        <v>0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5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6</v>
      </c>
      <c r="AB1" t="s">
        <v>7</v>
      </c>
      <c r="AC1" t="s">
        <v>8</v>
      </c>
      <c r="AD1" t="s">
        <v>57</v>
      </c>
      <c r="AE1" t="s">
        <v>58</v>
      </c>
      <c r="AF1" t="s">
        <v>9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10</v>
      </c>
      <c r="AM1" t="s">
        <v>64</v>
      </c>
      <c r="AN1" t="s">
        <v>65</v>
      </c>
      <c r="AO1" t="s">
        <v>66</v>
      </c>
      <c r="AP1" t="s">
        <v>67</v>
      </c>
      <c r="AQ1" t="s">
        <v>11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131</v>
      </c>
      <c r="DD1" t="s">
        <v>132</v>
      </c>
      <c r="DE1" t="s">
        <v>133</v>
      </c>
      <c r="DF1" t="s">
        <v>134</v>
      </c>
      <c r="DG1" t="s">
        <v>135</v>
      </c>
      <c r="DH1" t="s">
        <v>136</v>
      </c>
      <c r="DI1" t="s">
        <v>137</v>
      </c>
      <c r="DJ1" t="s">
        <v>138</v>
      </c>
      <c r="DK1" t="s">
        <v>139</v>
      </c>
      <c r="DL1" t="s">
        <v>140</v>
      </c>
      <c r="DM1" t="s">
        <v>141</v>
      </c>
      <c r="DN1" t="s">
        <v>142</v>
      </c>
      <c r="DO1" t="s">
        <v>143</v>
      </c>
      <c r="DP1" t="s">
        <v>144</v>
      </c>
      <c r="DQ1" t="s">
        <v>145</v>
      </c>
      <c r="DR1" t="s">
        <v>146</v>
      </c>
      <c r="DS1" t="s">
        <v>147</v>
      </c>
      <c r="DT1" t="s">
        <v>148</v>
      </c>
    </row>
    <row r="2" spans="1:124" x14ac:dyDescent="0.45">
      <c r="A2" t="s">
        <v>165</v>
      </c>
      <c r="B2" t="s">
        <v>166</v>
      </c>
      <c r="C2" t="s">
        <v>17</v>
      </c>
      <c r="D2" t="s">
        <v>167</v>
      </c>
      <c r="E2" t="s">
        <v>168</v>
      </c>
      <c r="I2" t="s">
        <v>169</v>
      </c>
      <c r="J2">
        <v>0.56000000000000005</v>
      </c>
      <c r="K2">
        <v>2.5299999999999998</v>
      </c>
      <c r="L2">
        <v>0.46</v>
      </c>
      <c r="M2">
        <v>5.9</v>
      </c>
      <c r="N2">
        <v>2.4300000000000002</v>
      </c>
      <c r="O2">
        <v>2.2200000000000002</v>
      </c>
      <c r="P2">
        <v>3.69</v>
      </c>
      <c r="Q2">
        <v>1.26</v>
      </c>
      <c r="R2">
        <v>21.95</v>
      </c>
      <c r="S2">
        <v>24.07</v>
      </c>
      <c r="T2">
        <v>36.590000000000003</v>
      </c>
      <c r="U2">
        <v>0.44</v>
      </c>
      <c r="V2">
        <v>7.5</v>
      </c>
      <c r="W2" t="s">
        <v>175</v>
      </c>
      <c r="X2">
        <v>0</v>
      </c>
      <c r="Y2">
        <v>0</v>
      </c>
      <c r="Z2">
        <v>0</v>
      </c>
      <c r="AA2">
        <v>104.06</v>
      </c>
      <c r="AB2">
        <v>382.35</v>
      </c>
      <c r="AC2">
        <v>0.73</v>
      </c>
      <c r="AD2">
        <v>0.5</v>
      </c>
      <c r="AE2">
        <v>0.84</v>
      </c>
      <c r="AF2">
        <v>320.67</v>
      </c>
      <c r="AG2">
        <v>1</v>
      </c>
      <c r="AH2">
        <v>58.28</v>
      </c>
      <c r="AI2">
        <v>53.14</v>
      </c>
      <c r="AJ2">
        <v>29.62</v>
      </c>
      <c r="AK2">
        <v>27.54</v>
      </c>
      <c r="AL2">
        <v>27.54</v>
      </c>
      <c r="AM2">
        <v>100.95</v>
      </c>
      <c r="AN2">
        <v>119.8</v>
      </c>
      <c r="AO2">
        <v>116.9</v>
      </c>
      <c r="AP2">
        <v>2.4</v>
      </c>
      <c r="AQ2">
        <v>1049</v>
      </c>
      <c r="AR2">
        <v>3.71</v>
      </c>
      <c r="AS2">
        <v>-16</v>
      </c>
      <c r="AT2">
        <v>-3</v>
      </c>
      <c r="AU2">
        <v>307</v>
      </c>
      <c r="AV2">
        <v>57.78</v>
      </c>
      <c r="AW2">
        <v>53.32</v>
      </c>
      <c r="AX2">
        <v>16.27</v>
      </c>
      <c r="AY2">
        <v>116.23</v>
      </c>
      <c r="AZ2">
        <v>7.23</v>
      </c>
      <c r="BA2">
        <v>125.31</v>
      </c>
      <c r="BB2">
        <v>41.66</v>
      </c>
      <c r="BC2" t="s">
        <v>203</v>
      </c>
      <c r="BD2" t="s">
        <v>17</v>
      </c>
      <c r="BE2">
        <v>35.85</v>
      </c>
      <c r="BF2">
        <v>127.13</v>
      </c>
      <c r="BG2">
        <v>72.900000000000006</v>
      </c>
      <c r="BH2">
        <v>7</v>
      </c>
      <c r="BI2">
        <v>1.08</v>
      </c>
      <c r="BJ2" t="s">
        <v>209</v>
      </c>
      <c r="BK2" t="s">
        <v>17</v>
      </c>
      <c r="BL2">
        <v>-1.67</v>
      </c>
      <c r="BM2" t="s">
        <v>165</v>
      </c>
      <c r="BN2">
        <v>0</v>
      </c>
      <c r="BO2">
        <v>0</v>
      </c>
      <c r="BP2">
        <v>0</v>
      </c>
      <c r="BQ2">
        <v>-0.14000000000000001</v>
      </c>
      <c r="BR2">
        <v>-0.45</v>
      </c>
      <c r="BS2">
        <v>-0.98</v>
      </c>
      <c r="BT2" t="s">
        <v>165</v>
      </c>
      <c r="BU2">
        <v>150</v>
      </c>
      <c r="BV2">
        <v>0</v>
      </c>
      <c r="BW2">
        <v>2</v>
      </c>
      <c r="BX2">
        <v>0.06</v>
      </c>
      <c r="BY2">
        <v>0</v>
      </c>
      <c r="BZ2">
        <v>0.03</v>
      </c>
      <c r="CA2">
        <v>0</v>
      </c>
      <c r="CB2">
        <v>0</v>
      </c>
      <c r="CC2">
        <v>0</v>
      </c>
      <c r="CD2" t="s">
        <v>222</v>
      </c>
      <c r="CE2" t="s">
        <v>223</v>
      </c>
      <c r="CF2" t="s">
        <v>224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2.5099999999999998</v>
      </c>
      <c r="CU2">
        <v>2.46</v>
      </c>
      <c r="CV2">
        <v>1.37</v>
      </c>
      <c r="CW2">
        <v>0.85</v>
      </c>
      <c r="CX2">
        <v>0.23</v>
      </c>
      <c r="CY2">
        <v>-0.02</v>
      </c>
      <c r="CZ2">
        <v>0.16</v>
      </c>
      <c r="DA2">
        <v>1.02</v>
      </c>
      <c r="DB2">
        <v>104.06</v>
      </c>
      <c r="DC2">
        <v>0</v>
      </c>
      <c r="DD2">
        <v>2.42</v>
      </c>
      <c r="DE2">
        <v>0</v>
      </c>
      <c r="DF2">
        <v>1</v>
      </c>
      <c r="DG2">
        <v>2.37</v>
      </c>
      <c r="DH2">
        <v>0</v>
      </c>
      <c r="DI2">
        <v>1</v>
      </c>
      <c r="DJ2">
        <v>0.6</v>
      </c>
      <c r="DK2">
        <v>0.6</v>
      </c>
      <c r="DL2">
        <v>0.11</v>
      </c>
      <c r="DM2">
        <v>0</v>
      </c>
      <c r="DN2" t="s">
        <v>175</v>
      </c>
      <c r="DO2" t="s">
        <v>245</v>
      </c>
      <c r="DP2" t="s">
        <v>246</v>
      </c>
      <c r="DQ2" t="s">
        <v>247</v>
      </c>
      <c r="DR2" t="s">
        <v>248</v>
      </c>
      <c r="DS2" t="s">
        <v>249</v>
      </c>
      <c r="DT2" t="s">
        <v>250</v>
      </c>
    </row>
    <row r="3" spans="1:124" x14ac:dyDescent="0.45">
      <c r="A3" t="s">
        <v>251</v>
      </c>
      <c r="B3" t="s">
        <v>252</v>
      </c>
      <c r="C3" t="s">
        <v>17</v>
      </c>
      <c r="D3" t="s">
        <v>167</v>
      </c>
      <c r="E3" t="s">
        <v>168</v>
      </c>
      <c r="I3" t="s">
        <v>253</v>
      </c>
      <c r="J3">
        <v>0.68</v>
      </c>
      <c r="K3">
        <v>2.5499999999999998</v>
      </c>
      <c r="L3">
        <v>0.54</v>
      </c>
      <c r="M3">
        <v>6.79</v>
      </c>
      <c r="N3">
        <v>2.5099999999999998</v>
      </c>
      <c r="O3">
        <v>2.27</v>
      </c>
      <c r="P3">
        <v>3.74</v>
      </c>
      <c r="Q3">
        <v>1.24</v>
      </c>
      <c r="R3">
        <v>22.45</v>
      </c>
      <c r="S3">
        <v>24.84</v>
      </c>
      <c r="T3">
        <v>37.090000000000003</v>
      </c>
      <c r="U3">
        <v>0.44</v>
      </c>
      <c r="V3">
        <v>7.5</v>
      </c>
      <c r="W3" t="s">
        <v>258</v>
      </c>
      <c r="X3">
        <v>0</v>
      </c>
      <c r="Y3">
        <v>0</v>
      </c>
      <c r="Z3">
        <v>0</v>
      </c>
      <c r="AA3">
        <v>101.5</v>
      </c>
      <c r="AB3">
        <v>351.26</v>
      </c>
      <c r="AC3">
        <v>0.71</v>
      </c>
      <c r="AD3">
        <v>0.5</v>
      </c>
      <c r="AE3">
        <v>0.84</v>
      </c>
      <c r="AF3">
        <v>368.21</v>
      </c>
      <c r="AG3">
        <v>1</v>
      </c>
      <c r="AH3">
        <v>58.83</v>
      </c>
      <c r="AI3">
        <v>53.16</v>
      </c>
      <c r="AJ3">
        <v>30.01</v>
      </c>
      <c r="AK3">
        <v>27.77</v>
      </c>
      <c r="AL3">
        <v>27.77</v>
      </c>
      <c r="AM3">
        <v>100.95</v>
      </c>
      <c r="AN3">
        <v>122</v>
      </c>
      <c r="AO3">
        <v>119.2</v>
      </c>
      <c r="AP3">
        <v>2.2000000000000002</v>
      </c>
      <c r="AQ3">
        <v>1233</v>
      </c>
      <c r="AR3">
        <v>3.71</v>
      </c>
      <c r="AS3">
        <v>-16</v>
      </c>
      <c r="AT3">
        <v>0</v>
      </c>
      <c r="AU3">
        <v>320</v>
      </c>
      <c r="AV3">
        <v>57.11</v>
      </c>
      <c r="AW3">
        <v>54.31</v>
      </c>
      <c r="AX3">
        <v>16</v>
      </c>
      <c r="AY3">
        <v>140</v>
      </c>
      <c r="AZ3">
        <v>7.23</v>
      </c>
      <c r="BA3">
        <v>125.59</v>
      </c>
      <c r="BB3">
        <v>41.5</v>
      </c>
      <c r="BC3" t="s">
        <v>278</v>
      </c>
      <c r="BD3" t="s">
        <v>17</v>
      </c>
      <c r="BE3">
        <v>35.85</v>
      </c>
      <c r="BF3">
        <v>127.13</v>
      </c>
      <c r="BG3">
        <v>67.7</v>
      </c>
      <c r="BH3">
        <v>7</v>
      </c>
      <c r="BI3">
        <v>1.18</v>
      </c>
      <c r="BJ3" t="s">
        <v>209</v>
      </c>
      <c r="BK3" t="s">
        <v>17</v>
      </c>
      <c r="BL3">
        <v>-1.67</v>
      </c>
      <c r="BM3" t="s">
        <v>165</v>
      </c>
      <c r="BN3">
        <v>0</v>
      </c>
      <c r="BO3">
        <v>0</v>
      </c>
      <c r="BP3">
        <v>0</v>
      </c>
      <c r="BQ3">
        <v>0.03</v>
      </c>
      <c r="BR3">
        <v>0.03</v>
      </c>
      <c r="BS3">
        <v>0.31</v>
      </c>
      <c r="BT3" t="s">
        <v>165</v>
      </c>
      <c r="BU3">
        <v>150</v>
      </c>
      <c r="BV3">
        <v>0</v>
      </c>
      <c r="BW3">
        <v>2</v>
      </c>
      <c r="BX3">
        <v>0.06</v>
      </c>
      <c r="BY3">
        <v>0</v>
      </c>
      <c r="BZ3">
        <v>0.03</v>
      </c>
      <c r="CA3">
        <v>0</v>
      </c>
      <c r="CB3">
        <v>0</v>
      </c>
      <c r="CC3">
        <v>0</v>
      </c>
      <c r="CD3" t="s">
        <v>222</v>
      </c>
      <c r="CE3" t="s">
        <v>223</v>
      </c>
      <c r="CF3" t="s">
        <v>224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2.5099999999999998</v>
      </c>
      <c r="CU3">
        <v>2.46</v>
      </c>
      <c r="CV3">
        <v>1.39</v>
      </c>
      <c r="CW3">
        <v>0.85</v>
      </c>
      <c r="CX3">
        <v>0.22</v>
      </c>
      <c r="CY3">
        <v>-0.03</v>
      </c>
      <c r="CZ3">
        <v>0.17</v>
      </c>
      <c r="DA3">
        <v>1.18</v>
      </c>
      <c r="DB3">
        <v>101.5</v>
      </c>
      <c r="DC3">
        <v>0</v>
      </c>
      <c r="DD3">
        <v>2.42</v>
      </c>
      <c r="DE3">
        <v>0</v>
      </c>
      <c r="DF3">
        <v>1</v>
      </c>
      <c r="DG3">
        <v>2.37</v>
      </c>
      <c r="DH3">
        <v>0</v>
      </c>
      <c r="DI3">
        <v>1</v>
      </c>
      <c r="DJ3">
        <v>0.6</v>
      </c>
      <c r="DK3">
        <v>0.6</v>
      </c>
      <c r="DL3">
        <v>0.11</v>
      </c>
      <c r="DM3">
        <v>0</v>
      </c>
      <c r="DN3" t="s">
        <v>258</v>
      </c>
      <c r="DO3" t="s">
        <v>245</v>
      </c>
      <c r="DP3" t="s">
        <v>246</v>
      </c>
      <c r="DQ3" t="s">
        <v>247</v>
      </c>
      <c r="DR3" t="s">
        <v>248</v>
      </c>
      <c r="DS3" t="s">
        <v>249</v>
      </c>
      <c r="DT3" t="s">
        <v>250</v>
      </c>
    </row>
    <row r="4" spans="1:124" x14ac:dyDescent="0.45">
      <c r="A4" t="s">
        <v>298</v>
      </c>
      <c r="B4" t="s">
        <v>299</v>
      </c>
      <c r="C4" t="s">
        <v>17</v>
      </c>
      <c r="D4" t="s">
        <v>167</v>
      </c>
      <c r="E4" t="s">
        <v>168</v>
      </c>
      <c r="I4" t="s">
        <v>300</v>
      </c>
      <c r="J4">
        <v>0.25</v>
      </c>
      <c r="K4">
        <v>2.58</v>
      </c>
      <c r="L4">
        <v>0.23</v>
      </c>
      <c r="M4">
        <v>3.95</v>
      </c>
      <c r="N4">
        <v>2.34</v>
      </c>
      <c r="O4">
        <v>2.2000000000000002</v>
      </c>
      <c r="P4">
        <v>4.01</v>
      </c>
      <c r="Q4">
        <v>1.67</v>
      </c>
      <c r="R4">
        <v>21.84</v>
      </c>
      <c r="S4">
        <v>23.22</v>
      </c>
      <c r="T4">
        <v>39.75</v>
      </c>
      <c r="U4">
        <v>0.44</v>
      </c>
      <c r="V4">
        <v>7.5</v>
      </c>
      <c r="W4" t="s">
        <v>305</v>
      </c>
      <c r="X4">
        <v>0</v>
      </c>
      <c r="Y4">
        <v>0</v>
      </c>
      <c r="Z4">
        <v>0</v>
      </c>
      <c r="AA4">
        <v>120.17</v>
      </c>
      <c r="AB4">
        <v>421.33</v>
      </c>
      <c r="AC4">
        <v>0.71</v>
      </c>
      <c r="AD4">
        <v>0.5</v>
      </c>
      <c r="AE4">
        <v>0.84</v>
      </c>
      <c r="AF4">
        <v>382.16</v>
      </c>
      <c r="AG4">
        <v>1</v>
      </c>
      <c r="AH4">
        <v>54.28</v>
      </c>
      <c r="AI4">
        <v>51.07</v>
      </c>
      <c r="AJ4">
        <v>30.23</v>
      </c>
      <c r="AK4">
        <v>28.96</v>
      </c>
      <c r="AL4">
        <v>28.96</v>
      </c>
      <c r="AM4">
        <v>100.95</v>
      </c>
      <c r="AN4">
        <v>124.1</v>
      </c>
      <c r="AO4">
        <v>123.4</v>
      </c>
      <c r="AP4">
        <v>0.6</v>
      </c>
      <c r="AQ4">
        <v>1273</v>
      </c>
      <c r="AR4">
        <v>3.71</v>
      </c>
      <c r="AS4">
        <v>-7</v>
      </c>
      <c r="AT4">
        <v>5</v>
      </c>
      <c r="AU4">
        <v>303</v>
      </c>
      <c r="AV4">
        <v>48.88</v>
      </c>
      <c r="AW4">
        <v>65.760000000000005</v>
      </c>
      <c r="AX4">
        <v>8.6</v>
      </c>
      <c r="AY4">
        <v>158.66999999999999</v>
      </c>
      <c r="AZ4">
        <v>7.23</v>
      </c>
      <c r="BA4">
        <v>125.59</v>
      </c>
      <c r="BB4">
        <v>41.5</v>
      </c>
      <c r="BC4" t="s">
        <v>324</v>
      </c>
      <c r="BD4" t="s">
        <v>17</v>
      </c>
      <c r="BE4">
        <v>35.85</v>
      </c>
      <c r="BF4">
        <v>127.13</v>
      </c>
      <c r="BG4">
        <v>65.099999999999994</v>
      </c>
      <c r="BH4">
        <v>9</v>
      </c>
      <c r="BI4">
        <v>0.89</v>
      </c>
      <c r="BJ4" t="s">
        <v>209</v>
      </c>
      <c r="BK4" t="s">
        <v>17</v>
      </c>
      <c r="BL4">
        <v>-1.67</v>
      </c>
      <c r="BM4" t="s">
        <v>165</v>
      </c>
      <c r="BN4">
        <v>0</v>
      </c>
      <c r="BO4">
        <v>0</v>
      </c>
      <c r="BP4">
        <v>0</v>
      </c>
      <c r="BQ4">
        <v>-0.35</v>
      </c>
      <c r="BR4">
        <v>-0.62</v>
      </c>
      <c r="BS4">
        <v>-1.27</v>
      </c>
      <c r="BT4" t="s">
        <v>165</v>
      </c>
      <c r="BU4">
        <v>150</v>
      </c>
      <c r="BV4">
        <v>0</v>
      </c>
      <c r="BW4">
        <v>2</v>
      </c>
      <c r="BX4">
        <v>0.06</v>
      </c>
      <c r="BY4">
        <v>0</v>
      </c>
      <c r="BZ4">
        <v>0.03</v>
      </c>
      <c r="CA4">
        <v>0</v>
      </c>
      <c r="CB4">
        <v>0</v>
      </c>
      <c r="CC4">
        <v>0</v>
      </c>
      <c r="CD4" t="s">
        <v>222</v>
      </c>
      <c r="CE4" t="s">
        <v>223</v>
      </c>
      <c r="CF4" t="s">
        <v>224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2.5099999999999998</v>
      </c>
      <c r="CU4">
        <v>2.4500000000000002</v>
      </c>
      <c r="CV4">
        <v>1.41</v>
      </c>
      <c r="CW4">
        <v>0.86</v>
      </c>
      <c r="CX4">
        <v>0.22</v>
      </c>
      <c r="CY4">
        <v>-0.01</v>
      </c>
      <c r="CZ4">
        <v>0.17</v>
      </c>
      <c r="DA4">
        <v>1.22</v>
      </c>
      <c r="DB4">
        <v>120.17</v>
      </c>
      <c r="DC4">
        <v>0</v>
      </c>
      <c r="DD4">
        <v>2.42</v>
      </c>
      <c r="DE4">
        <v>0</v>
      </c>
      <c r="DF4">
        <v>1</v>
      </c>
      <c r="DG4">
        <v>2.37</v>
      </c>
      <c r="DH4">
        <v>0</v>
      </c>
      <c r="DI4">
        <v>1</v>
      </c>
      <c r="DJ4">
        <v>0.6</v>
      </c>
      <c r="DK4">
        <v>0.6</v>
      </c>
      <c r="DL4">
        <v>0.11</v>
      </c>
      <c r="DM4">
        <v>0</v>
      </c>
      <c r="DN4" t="s">
        <v>305</v>
      </c>
      <c r="DO4" t="s">
        <v>245</v>
      </c>
      <c r="DP4" t="s">
        <v>246</v>
      </c>
      <c r="DQ4" t="s">
        <v>247</v>
      </c>
      <c r="DR4" t="s">
        <v>248</v>
      </c>
      <c r="DS4" t="s">
        <v>249</v>
      </c>
      <c r="DT4" t="s">
        <v>250</v>
      </c>
    </row>
    <row r="5" spans="1:124" x14ac:dyDescent="0.45">
      <c r="A5" t="s">
        <v>344</v>
      </c>
      <c r="B5" t="s">
        <v>345</v>
      </c>
      <c r="C5" t="s">
        <v>17</v>
      </c>
      <c r="D5" t="s">
        <v>167</v>
      </c>
      <c r="E5" t="s">
        <v>168</v>
      </c>
      <c r="I5" t="s">
        <v>346</v>
      </c>
      <c r="J5">
        <v>0.06</v>
      </c>
      <c r="K5">
        <v>2.62</v>
      </c>
      <c r="L5">
        <v>0.06</v>
      </c>
      <c r="M5">
        <v>1.3</v>
      </c>
      <c r="N5">
        <v>2.31</v>
      </c>
      <c r="O5">
        <v>2.27</v>
      </c>
      <c r="P5">
        <v>4.37</v>
      </c>
      <c r="Q5">
        <v>2.06</v>
      </c>
      <c r="R5">
        <v>22.49</v>
      </c>
      <c r="S5">
        <v>22.93</v>
      </c>
      <c r="T5">
        <v>43.34</v>
      </c>
      <c r="U5">
        <v>0.44</v>
      </c>
      <c r="V5">
        <v>7.5</v>
      </c>
      <c r="W5" t="s">
        <v>351</v>
      </c>
      <c r="X5">
        <v>0</v>
      </c>
      <c r="Y5">
        <v>0</v>
      </c>
      <c r="Z5">
        <v>0</v>
      </c>
      <c r="AA5">
        <v>130.16999999999999</v>
      </c>
      <c r="AB5">
        <v>407.72</v>
      </c>
      <c r="AC5">
        <v>0.68</v>
      </c>
      <c r="AD5">
        <v>0.5</v>
      </c>
      <c r="AE5">
        <v>0.84</v>
      </c>
      <c r="AF5">
        <v>172.4</v>
      </c>
      <c r="AG5">
        <v>1</v>
      </c>
      <c r="AH5">
        <v>52.96</v>
      </c>
      <c r="AI5">
        <v>51.95</v>
      </c>
      <c r="AJ5">
        <v>30.45</v>
      </c>
      <c r="AK5">
        <v>30.46</v>
      </c>
      <c r="AL5">
        <v>30.46</v>
      </c>
      <c r="AM5">
        <v>100.94</v>
      </c>
      <c r="AN5">
        <v>127.6</v>
      </c>
      <c r="AO5">
        <v>126.5</v>
      </c>
      <c r="AP5">
        <v>0.9</v>
      </c>
      <c r="AQ5">
        <v>603</v>
      </c>
      <c r="AR5">
        <v>3.71</v>
      </c>
      <c r="AS5">
        <v>-18</v>
      </c>
      <c r="AT5">
        <v>6</v>
      </c>
      <c r="AU5">
        <v>300</v>
      </c>
      <c r="AV5">
        <v>59.92</v>
      </c>
      <c r="AW5">
        <v>50.12</v>
      </c>
      <c r="AX5">
        <v>18.940000000000001</v>
      </c>
      <c r="AY5">
        <v>138.78</v>
      </c>
      <c r="AZ5">
        <v>7.23</v>
      </c>
      <c r="BA5">
        <v>125.87</v>
      </c>
      <c r="BB5">
        <v>41.34</v>
      </c>
      <c r="BC5" t="s">
        <v>373</v>
      </c>
      <c r="BD5" t="s">
        <v>17</v>
      </c>
      <c r="BE5">
        <v>35.85</v>
      </c>
      <c r="BF5">
        <v>127.13</v>
      </c>
      <c r="BG5">
        <v>64.3</v>
      </c>
      <c r="BH5">
        <v>9</v>
      </c>
      <c r="BI5">
        <v>0.89</v>
      </c>
      <c r="BJ5" t="s">
        <v>209</v>
      </c>
      <c r="BK5" t="s">
        <v>17</v>
      </c>
      <c r="BL5">
        <v>-1.67</v>
      </c>
      <c r="BM5" t="s">
        <v>165</v>
      </c>
      <c r="BN5">
        <v>0</v>
      </c>
      <c r="BO5">
        <v>0</v>
      </c>
      <c r="BP5">
        <v>0</v>
      </c>
      <c r="BQ5">
        <v>0.4</v>
      </c>
      <c r="BR5">
        <v>-0.28000000000000003</v>
      </c>
      <c r="BS5">
        <v>0.4</v>
      </c>
      <c r="BT5" t="s">
        <v>165</v>
      </c>
      <c r="BU5">
        <v>150</v>
      </c>
      <c r="BV5">
        <v>0</v>
      </c>
      <c r="BW5">
        <v>2</v>
      </c>
      <c r="BX5">
        <v>0.06</v>
      </c>
      <c r="BY5">
        <v>0</v>
      </c>
      <c r="BZ5">
        <v>0.03</v>
      </c>
      <c r="CA5">
        <v>0</v>
      </c>
      <c r="CB5">
        <v>0</v>
      </c>
      <c r="CC5">
        <v>0</v>
      </c>
      <c r="CD5" t="s">
        <v>222</v>
      </c>
      <c r="CE5" t="s">
        <v>223</v>
      </c>
      <c r="CF5" t="s">
        <v>224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2.5099999999999998</v>
      </c>
      <c r="CU5">
        <v>2.4500000000000002</v>
      </c>
      <c r="CV5">
        <v>1.43</v>
      </c>
      <c r="CW5">
        <v>0.87</v>
      </c>
      <c r="CX5">
        <v>0.22</v>
      </c>
      <c r="CY5">
        <v>0</v>
      </c>
      <c r="CZ5">
        <v>0.17</v>
      </c>
      <c r="DA5">
        <v>0.63</v>
      </c>
      <c r="DB5">
        <v>130.16999999999999</v>
      </c>
      <c r="DC5">
        <v>0</v>
      </c>
      <c r="DD5">
        <v>2.42</v>
      </c>
      <c r="DE5">
        <v>0</v>
      </c>
      <c r="DF5">
        <v>1</v>
      </c>
      <c r="DG5">
        <v>2.37</v>
      </c>
      <c r="DH5">
        <v>0</v>
      </c>
      <c r="DI5">
        <v>1</v>
      </c>
      <c r="DJ5">
        <v>0.6</v>
      </c>
      <c r="DK5">
        <v>0.6</v>
      </c>
      <c r="DL5">
        <v>0.11</v>
      </c>
      <c r="DM5">
        <v>0</v>
      </c>
      <c r="DN5" t="s">
        <v>351</v>
      </c>
      <c r="DO5" t="s">
        <v>245</v>
      </c>
      <c r="DP5" t="s">
        <v>246</v>
      </c>
      <c r="DQ5" t="s">
        <v>247</v>
      </c>
      <c r="DR5" t="s">
        <v>248</v>
      </c>
      <c r="DS5" t="s">
        <v>249</v>
      </c>
      <c r="DT5" t="s">
        <v>250</v>
      </c>
    </row>
    <row r="6" spans="1:124" x14ac:dyDescent="0.45">
      <c r="A6" t="s">
        <v>318</v>
      </c>
      <c r="B6" t="s">
        <v>389</v>
      </c>
      <c r="C6" t="s">
        <v>17</v>
      </c>
      <c r="D6" t="s">
        <v>167</v>
      </c>
      <c r="E6" t="s">
        <v>168</v>
      </c>
      <c r="I6" t="s">
        <v>390</v>
      </c>
      <c r="J6">
        <v>0.12</v>
      </c>
      <c r="K6">
        <v>2.61</v>
      </c>
      <c r="L6">
        <v>0.12</v>
      </c>
      <c r="M6">
        <v>2.2200000000000002</v>
      </c>
      <c r="N6">
        <v>2.33</v>
      </c>
      <c r="O6">
        <v>2.2599999999999998</v>
      </c>
      <c r="P6">
        <v>4.18</v>
      </c>
      <c r="Q6">
        <v>1.84</v>
      </c>
      <c r="R6">
        <v>22.35</v>
      </c>
      <c r="S6">
        <v>23.11</v>
      </c>
      <c r="T6">
        <v>41.37</v>
      </c>
      <c r="U6">
        <v>0.44</v>
      </c>
      <c r="V6">
        <v>7.5</v>
      </c>
      <c r="W6" t="s">
        <v>395</v>
      </c>
      <c r="X6">
        <v>0</v>
      </c>
      <c r="Y6">
        <v>0</v>
      </c>
      <c r="Z6">
        <v>0</v>
      </c>
      <c r="AA6">
        <v>120.9</v>
      </c>
      <c r="AB6">
        <v>429.15</v>
      </c>
      <c r="AC6">
        <v>0.72</v>
      </c>
      <c r="AD6">
        <v>0.5</v>
      </c>
      <c r="AE6">
        <v>0.84</v>
      </c>
      <c r="AF6">
        <v>321.58999999999997</v>
      </c>
      <c r="AG6">
        <v>1</v>
      </c>
      <c r="AH6">
        <v>53.01</v>
      </c>
      <c r="AI6">
        <v>51.27</v>
      </c>
      <c r="AJ6">
        <v>30.56</v>
      </c>
      <c r="AK6">
        <v>29.65</v>
      </c>
      <c r="AL6">
        <v>29.65</v>
      </c>
      <c r="AM6">
        <v>100.94</v>
      </c>
      <c r="AN6">
        <v>126.4</v>
      </c>
      <c r="AO6">
        <v>125.2</v>
      </c>
      <c r="AP6">
        <v>1</v>
      </c>
      <c r="AQ6">
        <v>1066</v>
      </c>
      <c r="AR6">
        <v>3.7</v>
      </c>
      <c r="AS6">
        <v>-13</v>
      </c>
      <c r="AT6">
        <v>-2</v>
      </c>
      <c r="AU6">
        <v>280</v>
      </c>
      <c r="AV6">
        <v>52.58</v>
      </c>
      <c r="AW6">
        <v>60.76</v>
      </c>
      <c r="AX6">
        <v>13.15</v>
      </c>
      <c r="AY6">
        <v>91.18</v>
      </c>
      <c r="AZ6">
        <v>7.23</v>
      </c>
      <c r="BA6">
        <v>125.87</v>
      </c>
      <c r="BB6">
        <v>41.34</v>
      </c>
      <c r="BC6" t="s">
        <v>415</v>
      </c>
      <c r="BD6" t="s">
        <v>17</v>
      </c>
      <c r="BE6">
        <v>35.85</v>
      </c>
      <c r="BF6">
        <v>127.13</v>
      </c>
      <c r="BG6">
        <v>63.9</v>
      </c>
      <c r="BH6">
        <v>9</v>
      </c>
      <c r="BI6">
        <v>0.89</v>
      </c>
      <c r="BJ6" t="s">
        <v>209</v>
      </c>
      <c r="BK6" t="s">
        <v>17</v>
      </c>
      <c r="BL6">
        <v>-1.67</v>
      </c>
      <c r="BM6" t="s">
        <v>165</v>
      </c>
      <c r="BN6">
        <v>0</v>
      </c>
      <c r="BO6">
        <v>0</v>
      </c>
      <c r="BP6">
        <v>0</v>
      </c>
      <c r="BQ6">
        <v>-0.69</v>
      </c>
      <c r="BR6">
        <v>-0.93</v>
      </c>
      <c r="BS6">
        <v>-1.94</v>
      </c>
      <c r="BT6" t="s">
        <v>165</v>
      </c>
      <c r="BU6">
        <v>150</v>
      </c>
      <c r="BV6">
        <v>0</v>
      </c>
      <c r="BW6">
        <v>2</v>
      </c>
      <c r="BX6">
        <v>0.06</v>
      </c>
      <c r="BY6">
        <v>0</v>
      </c>
      <c r="BZ6">
        <v>0.03</v>
      </c>
      <c r="CA6">
        <v>0</v>
      </c>
      <c r="CB6">
        <v>0</v>
      </c>
      <c r="CC6">
        <v>0</v>
      </c>
      <c r="CD6" t="s">
        <v>222</v>
      </c>
      <c r="CE6" t="s">
        <v>223</v>
      </c>
      <c r="CF6" t="s">
        <v>224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2.5099999999999998</v>
      </c>
      <c r="CU6">
        <v>2.4500000000000002</v>
      </c>
      <c r="CV6">
        <v>1.43</v>
      </c>
      <c r="CW6">
        <v>0.87</v>
      </c>
      <c r="CX6">
        <v>0.22</v>
      </c>
      <c r="CY6">
        <v>-0.01</v>
      </c>
      <c r="CZ6">
        <v>0.18</v>
      </c>
      <c r="DA6">
        <v>1.04</v>
      </c>
      <c r="DB6">
        <v>120.9</v>
      </c>
      <c r="DC6">
        <v>0</v>
      </c>
      <c r="DD6">
        <v>2.42</v>
      </c>
      <c r="DE6">
        <v>0</v>
      </c>
      <c r="DF6">
        <v>1</v>
      </c>
      <c r="DG6">
        <v>2.37</v>
      </c>
      <c r="DH6">
        <v>0</v>
      </c>
      <c r="DI6">
        <v>1</v>
      </c>
      <c r="DJ6">
        <v>0.6</v>
      </c>
      <c r="DK6">
        <v>0.6</v>
      </c>
      <c r="DL6">
        <v>0.11</v>
      </c>
      <c r="DM6">
        <v>0</v>
      </c>
      <c r="DN6" t="s">
        <v>395</v>
      </c>
      <c r="DO6" t="s">
        <v>245</v>
      </c>
      <c r="DP6" t="s">
        <v>246</v>
      </c>
      <c r="DQ6" t="s">
        <v>247</v>
      </c>
      <c r="DR6" t="s">
        <v>248</v>
      </c>
      <c r="DS6" t="s">
        <v>249</v>
      </c>
      <c r="DT6" t="s">
        <v>250</v>
      </c>
    </row>
    <row r="7" spans="1:124" x14ac:dyDescent="0.45">
      <c r="A7" t="s">
        <v>365</v>
      </c>
      <c r="B7" t="s">
        <v>429</v>
      </c>
      <c r="C7" t="s">
        <v>17</v>
      </c>
      <c r="D7" t="s">
        <v>167</v>
      </c>
      <c r="E7" t="s">
        <v>168</v>
      </c>
      <c r="I7" t="s">
        <v>430</v>
      </c>
      <c r="J7">
        <v>0.38</v>
      </c>
      <c r="K7">
        <v>2.59</v>
      </c>
      <c r="L7">
        <v>0.33</v>
      </c>
      <c r="M7">
        <v>5.21</v>
      </c>
      <c r="N7">
        <v>2.44</v>
      </c>
      <c r="O7">
        <v>2.2599999999999998</v>
      </c>
      <c r="P7">
        <v>3.97</v>
      </c>
      <c r="Q7">
        <v>1.52</v>
      </c>
      <c r="R7">
        <v>22.41</v>
      </c>
      <c r="S7">
        <v>24.22</v>
      </c>
      <c r="T7">
        <v>39.29</v>
      </c>
      <c r="U7">
        <v>0.44</v>
      </c>
      <c r="V7">
        <v>7.5</v>
      </c>
      <c r="W7" t="s">
        <v>435</v>
      </c>
      <c r="X7">
        <v>0</v>
      </c>
      <c r="Y7">
        <v>0</v>
      </c>
      <c r="Z7">
        <v>0</v>
      </c>
      <c r="AA7">
        <v>107.22</v>
      </c>
      <c r="AB7">
        <v>458.9</v>
      </c>
      <c r="AC7">
        <v>0.77</v>
      </c>
      <c r="AD7">
        <v>0.5</v>
      </c>
      <c r="AE7">
        <v>0.84</v>
      </c>
      <c r="AF7">
        <v>346.98</v>
      </c>
      <c r="AG7">
        <v>1</v>
      </c>
      <c r="AH7">
        <v>55.05</v>
      </c>
      <c r="AI7">
        <v>50.95</v>
      </c>
      <c r="AJ7">
        <v>30.72</v>
      </c>
      <c r="AK7">
        <v>28.76</v>
      </c>
      <c r="AL7">
        <v>28.76</v>
      </c>
      <c r="AM7">
        <v>100.95</v>
      </c>
      <c r="AN7">
        <v>124.5</v>
      </c>
      <c r="AO7">
        <v>124.3</v>
      </c>
      <c r="AP7">
        <v>0.1</v>
      </c>
      <c r="AQ7">
        <v>1078</v>
      </c>
      <c r="AR7">
        <v>3.7</v>
      </c>
      <c r="AS7">
        <v>-13</v>
      </c>
      <c r="AT7">
        <v>5</v>
      </c>
      <c r="AU7">
        <v>320</v>
      </c>
      <c r="AV7">
        <v>53.05</v>
      </c>
      <c r="AW7">
        <v>60.12</v>
      </c>
      <c r="AX7">
        <v>13.91</v>
      </c>
      <c r="AY7">
        <v>161.25</v>
      </c>
      <c r="AZ7">
        <v>7.23</v>
      </c>
      <c r="BA7">
        <v>126.15</v>
      </c>
      <c r="BB7">
        <v>41.17</v>
      </c>
      <c r="BC7" t="s">
        <v>454</v>
      </c>
      <c r="BD7" t="s">
        <v>17</v>
      </c>
      <c r="BE7">
        <v>35.85</v>
      </c>
      <c r="BF7">
        <v>127.13</v>
      </c>
      <c r="BG7">
        <v>62.3</v>
      </c>
      <c r="BH7">
        <v>9</v>
      </c>
      <c r="BI7">
        <v>0.89</v>
      </c>
      <c r="BJ7" t="s">
        <v>209</v>
      </c>
      <c r="BK7" t="s">
        <v>17</v>
      </c>
      <c r="BL7">
        <v>-1.67</v>
      </c>
      <c r="BM7" t="s">
        <v>165</v>
      </c>
      <c r="BN7">
        <v>0</v>
      </c>
      <c r="BO7">
        <v>0</v>
      </c>
      <c r="BP7">
        <v>0</v>
      </c>
      <c r="BQ7">
        <v>0.01</v>
      </c>
      <c r="BR7">
        <v>-0.37</v>
      </c>
      <c r="BS7">
        <v>-0.77</v>
      </c>
      <c r="BT7" t="s">
        <v>165</v>
      </c>
      <c r="BU7">
        <v>150</v>
      </c>
      <c r="BV7">
        <v>0</v>
      </c>
      <c r="BW7">
        <v>2</v>
      </c>
      <c r="BX7">
        <v>0.06</v>
      </c>
      <c r="BY7">
        <v>0</v>
      </c>
      <c r="BZ7">
        <v>0.03</v>
      </c>
      <c r="CA7">
        <v>0</v>
      </c>
      <c r="CB7">
        <v>0</v>
      </c>
      <c r="CC7">
        <v>0</v>
      </c>
      <c r="CD7" t="s">
        <v>222</v>
      </c>
      <c r="CE7" t="s">
        <v>223</v>
      </c>
      <c r="CF7" t="s">
        <v>224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2.5099999999999998</v>
      </c>
      <c r="CU7">
        <v>2.4500000000000002</v>
      </c>
      <c r="CV7">
        <v>1.41</v>
      </c>
      <c r="CW7">
        <v>0.86</v>
      </c>
      <c r="CX7">
        <v>0.22</v>
      </c>
      <c r="CY7">
        <v>-0.02</v>
      </c>
      <c r="CZ7">
        <v>0.18</v>
      </c>
      <c r="DA7">
        <v>1.05</v>
      </c>
      <c r="DB7">
        <v>107.22</v>
      </c>
      <c r="DC7">
        <v>0</v>
      </c>
      <c r="DD7">
        <v>2.42</v>
      </c>
      <c r="DE7">
        <v>0</v>
      </c>
      <c r="DF7">
        <v>1</v>
      </c>
      <c r="DG7">
        <v>2.37</v>
      </c>
      <c r="DH7">
        <v>0</v>
      </c>
      <c r="DI7">
        <v>1</v>
      </c>
      <c r="DJ7">
        <v>0.6</v>
      </c>
      <c r="DK7">
        <v>0.6</v>
      </c>
      <c r="DL7">
        <v>0.11</v>
      </c>
      <c r="DM7">
        <v>0</v>
      </c>
      <c r="DN7" t="s">
        <v>435</v>
      </c>
      <c r="DO7" t="s">
        <v>245</v>
      </c>
      <c r="DP7" t="s">
        <v>246</v>
      </c>
      <c r="DQ7" t="s">
        <v>247</v>
      </c>
      <c r="DR7" t="s">
        <v>248</v>
      </c>
      <c r="DS7" t="s">
        <v>249</v>
      </c>
      <c r="DT7" t="s">
        <v>250</v>
      </c>
    </row>
    <row r="8" spans="1:124" x14ac:dyDescent="0.45">
      <c r="A8" t="s">
        <v>207</v>
      </c>
      <c r="B8" t="s">
        <v>471</v>
      </c>
      <c r="C8" t="s">
        <v>17</v>
      </c>
      <c r="D8" t="s">
        <v>167</v>
      </c>
      <c r="E8" t="s">
        <v>168</v>
      </c>
      <c r="I8" t="s">
        <v>472</v>
      </c>
      <c r="J8">
        <v>0.74</v>
      </c>
      <c r="K8">
        <v>2.61</v>
      </c>
      <c r="L8">
        <v>0.56999999999999995</v>
      </c>
      <c r="M8">
        <v>7.64</v>
      </c>
      <c r="N8">
        <v>2.5499999999999998</v>
      </c>
      <c r="O8">
        <v>2.29</v>
      </c>
      <c r="P8">
        <v>3.85</v>
      </c>
      <c r="Q8">
        <v>1.3</v>
      </c>
      <c r="R8">
        <v>22.69</v>
      </c>
      <c r="S8">
        <v>25.29</v>
      </c>
      <c r="T8">
        <v>38.159999999999997</v>
      </c>
      <c r="U8">
        <v>0.44</v>
      </c>
      <c r="V8">
        <v>7.5</v>
      </c>
      <c r="W8" t="s">
        <v>477</v>
      </c>
      <c r="X8">
        <v>0</v>
      </c>
      <c r="Y8">
        <v>0</v>
      </c>
      <c r="Z8">
        <v>0</v>
      </c>
      <c r="AA8">
        <v>111.56</v>
      </c>
      <c r="AB8">
        <v>405.81</v>
      </c>
      <c r="AC8">
        <v>0.73</v>
      </c>
      <c r="AD8">
        <v>0.5</v>
      </c>
      <c r="AE8">
        <v>0.84</v>
      </c>
      <c r="AF8">
        <v>153.49</v>
      </c>
      <c r="AG8">
        <v>1</v>
      </c>
      <c r="AH8">
        <v>56</v>
      </c>
      <c r="AI8">
        <v>50.24</v>
      </c>
      <c r="AJ8">
        <v>31.19</v>
      </c>
      <c r="AK8">
        <v>28.26</v>
      </c>
      <c r="AL8">
        <v>28.26</v>
      </c>
      <c r="AM8">
        <v>100.95</v>
      </c>
      <c r="AN8">
        <v>126.5</v>
      </c>
      <c r="AO8">
        <v>116.4</v>
      </c>
      <c r="AP8">
        <v>7.9</v>
      </c>
      <c r="AQ8">
        <v>504</v>
      </c>
      <c r="AR8">
        <v>3.7</v>
      </c>
      <c r="AS8">
        <v>-21</v>
      </c>
      <c r="AT8">
        <v>4</v>
      </c>
      <c r="AU8">
        <v>321</v>
      </c>
      <c r="AV8">
        <v>60.84</v>
      </c>
      <c r="AW8">
        <v>48.72</v>
      </c>
      <c r="AX8">
        <v>21.36</v>
      </c>
      <c r="AY8">
        <v>152.04</v>
      </c>
      <c r="AZ8">
        <v>7.23</v>
      </c>
      <c r="BA8">
        <v>126.44</v>
      </c>
      <c r="BB8">
        <v>41.01</v>
      </c>
      <c r="BC8" t="s">
        <v>497</v>
      </c>
      <c r="BD8" t="s">
        <v>17</v>
      </c>
      <c r="BE8">
        <v>35.85</v>
      </c>
      <c r="BF8">
        <v>127.13</v>
      </c>
      <c r="BG8">
        <v>50.8</v>
      </c>
      <c r="BH8">
        <v>9</v>
      </c>
      <c r="BI8">
        <v>0.89</v>
      </c>
      <c r="BJ8" t="s">
        <v>209</v>
      </c>
      <c r="BK8" t="s">
        <v>17</v>
      </c>
      <c r="BL8">
        <v>-1.67</v>
      </c>
      <c r="BM8" t="s">
        <v>165</v>
      </c>
      <c r="BN8">
        <v>0</v>
      </c>
      <c r="BO8">
        <v>0</v>
      </c>
      <c r="BP8">
        <v>-0.01</v>
      </c>
      <c r="BQ8">
        <v>-7.0000000000000007E-2</v>
      </c>
      <c r="BR8">
        <v>-0.08</v>
      </c>
      <c r="BS8">
        <v>-0.39</v>
      </c>
      <c r="BT8" t="s">
        <v>165</v>
      </c>
      <c r="BU8">
        <v>150</v>
      </c>
      <c r="BV8">
        <v>0</v>
      </c>
      <c r="BW8">
        <v>2</v>
      </c>
      <c r="BX8">
        <v>0.06</v>
      </c>
      <c r="BY8">
        <v>0</v>
      </c>
      <c r="BZ8">
        <v>0.03</v>
      </c>
      <c r="CA8">
        <v>0</v>
      </c>
      <c r="CB8">
        <v>0</v>
      </c>
      <c r="CC8">
        <v>0</v>
      </c>
      <c r="CD8" t="s">
        <v>222</v>
      </c>
      <c r="CE8" t="s">
        <v>223</v>
      </c>
      <c r="CF8" t="s">
        <v>224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</v>
      </c>
      <c r="CU8">
        <v>2.4500000000000002</v>
      </c>
      <c r="CV8">
        <v>1.43</v>
      </c>
      <c r="CW8">
        <v>0.85</v>
      </c>
      <c r="CX8">
        <v>0.21</v>
      </c>
      <c r="CY8">
        <v>-0.03</v>
      </c>
      <c r="CZ8">
        <v>0.19</v>
      </c>
      <c r="DA8">
        <v>0.55000000000000004</v>
      </c>
      <c r="DB8">
        <v>111.56</v>
      </c>
      <c r="DC8">
        <v>0</v>
      </c>
      <c r="DD8">
        <v>2.42</v>
      </c>
      <c r="DE8">
        <v>0</v>
      </c>
      <c r="DF8">
        <v>1</v>
      </c>
      <c r="DG8">
        <v>2.37</v>
      </c>
      <c r="DH8">
        <v>0</v>
      </c>
      <c r="DI8">
        <v>1</v>
      </c>
      <c r="DJ8">
        <v>0.6</v>
      </c>
      <c r="DK8">
        <v>0.6</v>
      </c>
      <c r="DL8">
        <v>0.11</v>
      </c>
      <c r="DM8">
        <v>0</v>
      </c>
      <c r="DN8" t="s">
        <v>477</v>
      </c>
      <c r="DO8" t="s">
        <v>245</v>
      </c>
      <c r="DP8" t="s">
        <v>246</v>
      </c>
      <c r="DQ8" t="s">
        <v>247</v>
      </c>
      <c r="DR8" t="s">
        <v>248</v>
      </c>
      <c r="DS8" t="s">
        <v>249</v>
      </c>
      <c r="DT8" t="s">
        <v>250</v>
      </c>
    </row>
    <row r="9" spans="1:124" x14ac:dyDescent="0.45">
      <c r="A9" t="s">
        <v>514</v>
      </c>
      <c r="B9" t="s">
        <v>515</v>
      </c>
      <c r="C9" t="s">
        <v>17</v>
      </c>
      <c r="D9" t="s">
        <v>167</v>
      </c>
      <c r="E9" t="s">
        <v>168</v>
      </c>
      <c r="I9" t="s">
        <v>516</v>
      </c>
      <c r="J9">
        <v>0.4</v>
      </c>
      <c r="K9">
        <v>2.6</v>
      </c>
      <c r="L9">
        <v>0.35</v>
      </c>
      <c r="M9">
        <v>7.1</v>
      </c>
      <c r="N9">
        <v>2.4900000000000002</v>
      </c>
      <c r="O9">
        <v>2.2400000000000002</v>
      </c>
      <c r="P9">
        <v>4.4800000000000004</v>
      </c>
      <c r="Q9">
        <v>1.99</v>
      </c>
      <c r="R9">
        <v>22.23</v>
      </c>
      <c r="S9">
        <v>24.67</v>
      </c>
      <c r="T9">
        <v>44.36</v>
      </c>
      <c r="U9">
        <v>0.44</v>
      </c>
      <c r="V9">
        <v>7.5</v>
      </c>
      <c r="W9" t="s">
        <v>521</v>
      </c>
      <c r="X9">
        <v>0</v>
      </c>
      <c r="Y9">
        <v>0</v>
      </c>
      <c r="Z9">
        <v>0</v>
      </c>
      <c r="AA9">
        <v>200.44</v>
      </c>
      <c r="AB9">
        <v>375.46</v>
      </c>
      <c r="AC9">
        <v>0.47</v>
      </c>
      <c r="AD9">
        <v>0.5</v>
      </c>
      <c r="AE9">
        <v>0.84</v>
      </c>
      <c r="AF9">
        <v>207.14</v>
      </c>
      <c r="AG9">
        <v>1</v>
      </c>
      <c r="AH9">
        <v>52.74</v>
      </c>
      <c r="AI9">
        <v>47.53</v>
      </c>
      <c r="AJ9">
        <v>31.8</v>
      </c>
      <c r="AK9">
        <v>30.87</v>
      </c>
      <c r="AL9">
        <v>30.87</v>
      </c>
      <c r="AM9">
        <v>100.95</v>
      </c>
      <c r="AN9">
        <v>125.5</v>
      </c>
      <c r="AO9">
        <v>121.7</v>
      </c>
      <c r="AP9">
        <v>3</v>
      </c>
      <c r="AQ9">
        <v>1058</v>
      </c>
      <c r="AR9">
        <v>3.7</v>
      </c>
      <c r="AS9">
        <v>-11</v>
      </c>
      <c r="AT9">
        <v>0</v>
      </c>
      <c r="AU9">
        <v>139</v>
      </c>
      <c r="AV9">
        <v>30</v>
      </c>
      <c r="AW9">
        <v>86.61</v>
      </c>
      <c r="AX9">
        <v>11</v>
      </c>
      <c r="AY9">
        <v>-41</v>
      </c>
      <c r="AZ9">
        <v>7.23</v>
      </c>
      <c r="BA9">
        <v>127.01</v>
      </c>
      <c r="BB9">
        <v>40.68</v>
      </c>
      <c r="BC9" t="s">
        <v>542</v>
      </c>
      <c r="BD9" t="s">
        <v>17</v>
      </c>
      <c r="BE9">
        <v>35.85</v>
      </c>
      <c r="BF9">
        <v>127.13</v>
      </c>
      <c r="BG9">
        <v>49</v>
      </c>
      <c r="BH9">
        <v>9</v>
      </c>
      <c r="BI9">
        <v>0.89</v>
      </c>
      <c r="BJ9" t="s">
        <v>209</v>
      </c>
      <c r="BK9" t="s">
        <v>17</v>
      </c>
      <c r="BL9">
        <v>-1.67</v>
      </c>
      <c r="BM9" t="s">
        <v>165</v>
      </c>
      <c r="BN9">
        <v>0</v>
      </c>
      <c r="BO9">
        <v>0</v>
      </c>
      <c r="BP9">
        <v>0</v>
      </c>
      <c r="BQ9">
        <v>-0.44</v>
      </c>
      <c r="BR9">
        <v>-0.25</v>
      </c>
      <c r="BS9">
        <v>-3.43</v>
      </c>
      <c r="BT9" t="s">
        <v>165</v>
      </c>
      <c r="BU9">
        <v>150</v>
      </c>
      <c r="BV9">
        <v>0</v>
      </c>
      <c r="BW9">
        <v>2</v>
      </c>
      <c r="BX9">
        <v>0.06</v>
      </c>
      <c r="BY9">
        <v>0</v>
      </c>
      <c r="BZ9">
        <v>0.03</v>
      </c>
      <c r="CA9">
        <v>0</v>
      </c>
      <c r="CB9">
        <v>0</v>
      </c>
      <c r="CC9">
        <v>0</v>
      </c>
      <c r="CD9" t="s">
        <v>222</v>
      </c>
      <c r="CE9" t="s">
        <v>223</v>
      </c>
      <c r="CF9" t="s">
        <v>224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</v>
      </c>
      <c r="CU9">
        <v>2.4500000000000002</v>
      </c>
      <c r="CV9">
        <v>1.42</v>
      </c>
      <c r="CW9">
        <v>0.86</v>
      </c>
      <c r="CX9">
        <v>0.21</v>
      </c>
      <c r="CY9">
        <v>-0.01</v>
      </c>
      <c r="CZ9">
        <v>0.2</v>
      </c>
      <c r="DA9">
        <v>1.03</v>
      </c>
      <c r="DB9">
        <v>200.44</v>
      </c>
      <c r="DC9">
        <v>0</v>
      </c>
      <c r="DD9">
        <v>2.42</v>
      </c>
      <c r="DE9">
        <v>0</v>
      </c>
      <c r="DF9">
        <v>1</v>
      </c>
      <c r="DG9">
        <v>2.37</v>
      </c>
      <c r="DH9">
        <v>0</v>
      </c>
      <c r="DI9">
        <v>1</v>
      </c>
      <c r="DJ9">
        <v>0.6</v>
      </c>
      <c r="DK9">
        <v>0.6</v>
      </c>
      <c r="DL9">
        <v>0.11</v>
      </c>
      <c r="DM9">
        <v>0</v>
      </c>
      <c r="DN9" t="s">
        <v>521</v>
      </c>
      <c r="DO9" t="s">
        <v>245</v>
      </c>
      <c r="DP9" t="s">
        <v>246</v>
      </c>
      <c r="DQ9" t="s">
        <v>247</v>
      </c>
      <c r="DR9" t="s">
        <v>248</v>
      </c>
      <c r="DS9" t="s">
        <v>249</v>
      </c>
      <c r="DT9" t="s">
        <v>250</v>
      </c>
    </row>
    <row r="10" spans="1:124" x14ac:dyDescent="0.45">
      <c r="A10" t="s">
        <v>328</v>
      </c>
      <c r="B10" t="s">
        <v>558</v>
      </c>
      <c r="C10" t="s">
        <v>17</v>
      </c>
      <c r="D10" t="s">
        <v>167</v>
      </c>
      <c r="E10" t="s">
        <v>168</v>
      </c>
      <c r="I10" t="s">
        <v>559</v>
      </c>
      <c r="J10">
        <v>0.52</v>
      </c>
      <c r="K10">
        <v>2.6</v>
      </c>
      <c r="L10">
        <v>0.43</v>
      </c>
      <c r="M10">
        <v>9.18</v>
      </c>
      <c r="N10">
        <v>2.6</v>
      </c>
      <c r="O10">
        <v>2.2799999999999998</v>
      </c>
      <c r="P10">
        <v>4.67</v>
      </c>
      <c r="Q10">
        <v>2.0699999999999998</v>
      </c>
      <c r="R10">
        <v>22.56</v>
      </c>
      <c r="S10">
        <v>25.71</v>
      </c>
      <c r="T10">
        <v>46.21</v>
      </c>
      <c r="U10">
        <v>0.44</v>
      </c>
      <c r="V10">
        <v>7.5</v>
      </c>
      <c r="W10" t="s">
        <v>564</v>
      </c>
      <c r="X10">
        <v>0</v>
      </c>
      <c r="Y10">
        <v>0</v>
      </c>
      <c r="Z10">
        <v>0</v>
      </c>
      <c r="AA10">
        <v>164.84</v>
      </c>
      <c r="AB10">
        <v>377.93</v>
      </c>
      <c r="AC10">
        <v>0.56000000000000005</v>
      </c>
      <c r="AD10">
        <v>0.5</v>
      </c>
      <c r="AE10">
        <v>0.84</v>
      </c>
      <c r="AF10">
        <v>262.14999999999998</v>
      </c>
      <c r="AG10">
        <v>1</v>
      </c>
      <c r="AH10">
        <v>53.01</v>
      </c>
      <c r="AI10">
        <v>46.52</v>
      </c>
      <c r="AJ10">
        <v>32.44</v>
      </c>
      <c r="AK10">
        <v>31.59</v>
      </c>
      <c r="AL10">
        <v>31.59</v>
      </c>
      <c r="AM10">
        <v>100.96</v>
      </c>
      <c r="AN10">
        <v>125.7</v>
      </c>
      <c r="AO10">
        <v>120.1</v>
      </c>
      <c r="AP10">
        <v>4.4000000000000004</v>
      </c>
      <c r="AQ10">
        <v>1107</v>
      </c>
      <c r="AR10">
        <v>3.69</v>
      </c>
      <c r="AS10">
        <v>-17</v>
      </c>
      <c r="AT10">
        <v>2</v>
      </c>
      <c r="AU10">
        <v>139</v>
      </c>
      <c r="AV10">
        <v>24.6</v>
      </c>
      <c r="AW10">
        <v>90.93</v>
      </c>
      <c r="AX10">
        <v>17.11</v>
      </c>
      <c r="AY10">
        <v>-34.19</v>
      </c>
      <c r="AZ10">
        <v>7.23</v>
      </c>
      <c r="BA10">
        <v>127.59</v>
      </c>
      <c r="BB10">
        <v>40.36</v>
      </c>
      <c r="BC10" t="s">
        <v>584</v>
      </c>
      <c r="BD10" t="s">
        <v>17</v>
      </c>
      <c r="BE10">
        <v>35.85</v>
      </c>
      <c r="BF10">
        <v>127.13</v>
      </c>
      <c r="BG10">
        <v>44.5</v>
      </c>
      <c r="BH10">
        <v>11</v>
      </c>
      <c r="BI10">
        <v>0.81</v>
      </c>
      <c r="BJ10" t="s">
        <v>589</v>
      </c>
      <c r="BK10" t="s">
        <v>17</v>
      </c>
      <c r="BL10">
        <v>-1.33</v>
      </c>
      <c r="BM10" t="s">
        <v>165</v>
      </c>
      <c r="BN10">
        <v>0</v>
      </c>
      <c r="BO10">
        <v>0</v>
      </c>
      <c r="BP10">
        <v>0</v>
      </c>
      <c r="BQ10">
        <v>0.7</v>
      </c>
      <c r="BR10">
        <v>0.79</v>
      </c>
      <c r="BS10">
        <v>-0.5</v>
      </c>
      <c r="BT10" t="s">
        <v>165</v>
      </c>
      <c r="BU10">
        <v>150</v>
      </c>
      <c r="BV10">
        <v>0</v>
      </c>
      <c r="BW10">
        <v>2</v>
      </c>
      <c r="BX10">
        <v>0.06</v>
      </c>
      <c r="BY10">
        <v>0</v>
      </c>
      <c r="BZ10">
        <v>0.03</v>
      </c>
      <c r="CA10">
        <v>0</v>
      </c>
      <c r="CB10">
        <v>0</v>
      </c>
      <c r="CC10">
        <v>0</v>
      </c>
      <c r="CD10" t="s">
        <v>222</v>
      </c>
      <c r="CE10" t="s">
        <v>223</v>
      </c>
      <c r="CF10" t="s">
        <v>224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</v>
      </c>
      <c r="CU10">
        <v>2.4500000000000002</v>
      </c>
      <c r="CV10">
        <v>1.42</v>
      </c>
      <c r="CW10">
        <v>0.85</v>
      </c>
      <c r="CX10">
        <v>0.2</v>
      </c>
      <c r="CY10">
        <v>-0.01</v>
      </c>
      <c r="CZ10">
        <v>0.22</v>
      </c>
      <c r="DA10">
        <v>1.07</v>
      </c>
      <c r="DB10">
        <v>164.84</v>
      </c>
      <c r="DC10">
        <v>0</v>
      </c>
      <c r="DD10">
        <v>2.42</v>
      </c>
      <c r="DE10">
        <v>0</v>
      </c>
      <c r="DF10">
        <v>1</v>
      </c>
      <c r="DG10">
        <v>2.37</v>
      </c>
      <c r="DH10">
        <v>0</v>
      </c>
      <c r="DI10">
        <v>1</v>
      </c>
      <c r="DJ10">
        <v>0.6</v>
      </c>
      <c r="DK10">
        <v>0.6</v>
      </c>
      <c r="DL10">
        <v>0.11</v>
      </c>
      <c r="DM10">
        <v>0</v>
      </c>
      <c r="DN10" t="s">
        <v>564</v>
      </c>
      <c r="DO10" t="s">
        <v>245</v>
      </c>
      <c r="DP10" t="s">
        <v>246</v>
      </c>
      <c r="DQ10" t="s">
        <v>247</v>
      </c>
      <c r="DR10" t="s">
        <v>248</v>
      </c>
      <c r="DS10" t="s">
        <v>249</v>
      </c>
      <c r="DT10" t="s">
        <v>250</v>
      </c>
    </row>
    <row r="11" spans="1:124" x14ac:dyDescent="0.45">
      <c r="A11" t="s">
        <v>602</v>
      </c>
      <c r="B11" t="s">
        <v>603</v>
      </c>
      <c r="C11" t="s">
        <v>17</v>
      </c>
      <c r="D11" t="s">
        <v>167</v>
      </c>
      <c r="E11" t="s">
        <v>168</v>
      </c>
      <c r="I11" t="s">
        <v>604</v>
      </c>
      <c r="J11">
        <v>0.17</v>
      </c>
      <c r="K11">
        <v>2.6</v>
      </c>
      <c r="L11">
        <v>0.16</v>
      </c>
      <c r="M11">
        <v>4.63</v>
      </c>
      <c r="N11">
        <v>2.48</v>
      </c>
      <c r="O11">
        <v>2.3199999999999998</v>
      </c>
      <c r="P11">
        <v>5.23</v>
      </c>
      <c r="Q11">
        <v>2.75</v>
      </c>
      <c r="R11">
        <v>22.95</v>
      </c>
      <c r="S11">
        <v>24.53</v>
      </c>
      <c r="T11">
        <v>51.81</v>
      </c>
      <c r="U11">
        <v>0.44</v>
      </c>
      <c r="V11">
        <v>7.5</v>
      </c>
      <c r="W11" t="s">
        <v>609</v>
      </c>
      <c r="X11">
        <v>0</v>
      </c>
      <c r="Y11">
        <v>0</v>
      </c>
      <c r="Z11">
        <v>0</v>
      </c>
      <c r="AA11">
        <v>155.44999999999999</v>
      </c>
      <c r="AB11">
        <v>277.75</v>
      </c>
      <c r="AC11">
        <v>0.44</v>
      </c>
      <c r="AD11">
        <v>0.5</v>
      </c>
      <c r="AE11">
        <v>0.84</v>
      </c>
      <c r="AF11">
        <v>207.87</v>
      </c>
      <c r="AG11">
        <v>1</v>
      </c>
      <c r="AH11">
        <v>49.85</v>
      </c>
      <c r="AI11">
        <v>46.63</v>
      </c>
      <c r="AJ11">
        <v>32.700000000000003</v>
      </c>
      <c r="AK11">
        <v>33.619999999999997</v>
      </c>
      <c r="AL11">
        <v>33.619999999999997</v>
      </c>
      <c r="AM11">
        <v>100.96</v>
      </c>
      <c r="AN11">
        <v>126.1</v>
      </c>
      <c r="AO11">
        <v>124.5</v>
      </c>
      <c r="AP11">
        <v>1.2</v>
      </c>
      <c r="AQ11">
        <v>1124</v>
      </c>
      <c r="AR11">
        <v>3.69</v>
      </c>
      <c r="AS11">
        <v>-18</v>
      </c>
      <c r="AT11">
        <v>0</v>
      </c>
      <c r="AU11">
        <v>133</v>
      </c>
      <c r="AV11">
        <v>22.32</v>
      </c>
      <c r="AW11">
        <v>92.51</v>
      </c>
      <c r="AX11">
        <v>18</v>
      </c>
      <c r="AY11">
        <v>-47</v>
      </c>
      <c r="AZ11">
        <v>7.23</v>
      </c>
      <c r="BA11">
        <v>127.88</v>
      </c>
      <c r="BB11">
        <v>40.200000000000003</v>
      </c>
      <c r="BC11" t="s">
        <v>628</v>
      </c>
      <c r="BD11" t="s">
        <v>17</v>
      </c>
      <c r="BE11">
        <v>35.85</v>
      </c>
      <c r="BF11">
        <v>127.13</v>
      </c>
      <c r="BG11">
        <v>42.6</v>
      </c>
      <c r="BH11">
        <v>12</v>
      </c>
      <c r="BI11">
        <v>0.81</v>
      </c>
      <c r="BJ11" t="s">
        <v>589</v>
      </c>
      <c r="BK11" t="s">
        <v>17</v>
      </c>
      <c r="BL11">
        <v>-1.33</v>
      </c>
      <c r="BM11" t="s">
        <v>165</v>
      </c>
      <c r="BN11">
        <v>0</v>
      </c>
      <c r="BO11">
        <v>0</v>
      </c>
      <c r="BP11">
        <v>0</v>
      </c>
      <c r="BQ11">
        <v>-0.1</v>
      </c>
      <c r="BR11">
        <v>-0.3</v>
      </c>
      <c r="BS11">
        <v>-2.34</v>
      </c>
      <c r="BT11" t="s">
        <v>165</v>
      </c>
      <c r="BU11">
        <v>150</v>
      </c>
      <c r="BV11">
        <v>0</v>
      </c>
      <c r="BW11">
        <v>2</v>
      </c>
      <c r="BX11">
        <v>0.06</v>
      </c>
      <c r="BY11">
        <v>0</v>
      </c>
      <c r="BZ11">
        <v>0.03</v>
      </c>
      <c r="CA11">
        <v>0</v>
      </c>
      <c r="CB11">
        <v>0</v>
      </c>
      <c r="CC11">
        <v>0</v>
      </c>
      <c r="CD11" t="s">
        <v>222</v>
      </c>
      <c r="CE11" t="s">
        <v>223</v>
      </c>
      <c r="CF11" t="s">
        <v>224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</v>
      </c>
      <c r="CU11">
        <v>2.44</v>
      </c>
      <c r="CV11">
        <v>1.42</v>
      </c>
      <c r="CW11">
        <v>0.87</v>
      </c>
      <c r="CX11">
        <v>0.2</v>
      </c>
      <c r="CY11">
        <v>0.01</v>
      </c>
      <c r="CZ11">
        <v>0.22</v>
      </c>
      <c r="DA11">
        <v>1.0900000000000001</v>
      </c>
      <c r="DB11">
        <v>155.44999999999999</v>
      </c>
      <c r="DC11">
        <v>0</v>
      </c>
      <c r="DD11">
        <v>2.42</v>
      </c>
      <c r="DE11">
        <v>0</v>
      </c>
      <c r="DF11">
        <v>1</v>
      </c>
      <c r="DG11">
        <v>2.37</v>
      </c>
      <c r="DH11">
        <v>0</v>
      </c>
      <c r="DI11">
        <v>1</v>
      </c>
      <c r="DJ11">
        <v>0.6</v>
      </c>
      <c r="DK11">
        <v>0.6</v>
      </c>
      <c r="DL11">
        <v>0.11</v>
      </c>
      <c r="DM11">
        <v>0</v>
      </c>
      <c r="DN11" t="s">
        <v>609</v>
      </c>
      <c r="DO11" t="s">
        <v>245</v>
      </c>
      <c r="DP11" t="s">
        <v>246</v>
      </c>
      <c r="DQ11" t="s">
        <v>247</v>
      </c>
      <c r="DR11" t="s">
        <v>248</v>
      </c>
      <c r="DS11" t="s">
        <v>249</v>
      </c>
      <c r="DT11" t="s">
        <v>250</v>
      </c>
    </row>
    <row r="12" spans="1:124" x14ac:dyDescent="0.45">
      <c r="A12" t="s">
        <v>587</v>
      </c>
      <c r="B12" t="s">
        <v>645</v>
      </c>
      <c r="C12" t="s">
        <v>17</v>
      </c>
      <c r="D12" t="s">
        <v>167</v>
      </c>
      <c r="E12" t="s">
        <v>168</v>
      </c>
      <c r="I12" t="s">
        <v>646</v>
      </c>
      <c r="J12">
        <v>0.03</v>
      </c>
      <c r="K12">
        <v>2.6</v>
      </c>
      <c r="L12">
        <v>0.02</v>
      </c>
      <c r="M12">
        <v>0.88</v>
      </c>
      <c r="N12">
        <v>2.37</v>
      </c>
      <c r="O12">
        <v>2.34</v>
      </c>
      <c r="P12">
        <v>5.8</v>
      </c>
      <c r="Q12">
        <v>3.42</v>
      </c>
      <c r="R12">
        <v>23.21</v>
      </c>
      <c r="S12">
        <v>23.51</v>
      </c>
      <c r="T12">
        <v>57.43</v>
      </c>
      <c r="U12">
        <v>0.44</v>
      </c>
      <c r="V12">
        <v>7.5</v>
      </c>
      <c r="W12" t="s">
        <v>651</v>
      </c>
      <c r="X12">
        <v>0</v>
      </c>
      <c r="Y12">
        <v>0</v>
      </c>
      <c r="Z12">
        <v>0</v>
      </c>
      <c r="AA12">
        <v>144.16999999999999</v>
      </c>
      <c r="AB12">
        <v>215.7</v>
      </c>
      <c r="AC12">
        <v>0.33</v>
      </c>
      <c r="AD12">
        <v>0.5</v>
      </c>
      <c r="AE12">
        <v>0.84</v>
      </c>
      <c r="AF12">
        <v>164.19</v>
      </c>
      <c r="AG12">
        <v>1</v>
      </c>
      <c r="AH12">
        <v>47.42</v>
      </c>
      <c r="AI12">
        <v>46.81</v>
      </c>
      <c r="AJ12">
        <v>32.83</v>
      </c>
      <c r="AK12">
        <v>35.47</v>
      </c>
      <c r="AL12">
        <v>35.47</v>
      </c>
      <c r="AM12">
        <v>100.95</v>
      </c>
      <c r="AN12">
        <v>125.7</v>
      </c>
      <c r="AO12">
        <v>124.4</v>
      </c>
      <c r="AP12">
        <v>1</v>
      </c>
      <c r="AQ12">
        <v>1179</v>
      </c>
      <c r="AR12">
        <v>3.69</v>
      </c>
      <c r="AS12">
        <v>-24</v>
      </c>
      <c r="AT12">
        <v>0</v>
      </c>
      <c r="AU12">
        <v>109</v>
      </c>
      <c r="AV12">
        <v>18.89</v>
      </c>
      <c r="AW12">
        <v>94.62</v>
      </c>
      <c r="AX12">
        <v>24</v>
      </c>
      <c r="AY12">
        <v>-71</v>
      </c>
      <c r="AZ12">
        <v>7.23</v>
      </c>
      <c r="BA12">
        <v>127.88</v>
      </c>
      <c r="BB12">
        <v>40.200000000000003</v>
      </c>
      <c r="BC12" t="s">
        <v>668</v>
      </c>
      <c r="BD12" t="s">
        <v>17</v>
      </c>
      <c r="BE12">
        <v>35.85</v>
      </c>
      <c r="BF12">
        <v>127.13</v>
      </c>
      <c r="BG12">
        <v>42.5</v>
      </c>
      <c r="BH12">
        <v>12</v>
      </c>
      <c r="BI12">
        <v>0.81</v>
      </c>
      <c r="BJ12" t="s">
        <v>589</v>
      </c>
      <c r="BK12" t="s">
        <v>17</v>
      </c>
      <c r="BL12">
        <v>-1.33</v>
      </c>
      <c r="BM12" t="s">
        <v>165</v>
      </c>
      <c r="BN12">
        <v>0</v>
      </c>
      <c r="BO12">
        <v>0</v>
      </c>
      <c r="BP12">
        <v>0</v>
      </c>
      <c r="BQ12">
        <v>-0.42</v>
      </c>
      <c r="BR12">
        <v>-0.81</v>
      </c>
      <c r="BS12">
        <v>-1.93</v>
      </c>
      <c r="BT12" t="s">
        <v>165</v>
      </c>
      <c r="BU12">
        <v>150</v>
      </c>
      <c r="BV12">
        <v>0</v>
      </c>
      <c r="BW12">
        <v>2</v>
      </c>
      <c r="BX12">
        <v>0.06</v>
      </c>
      <c r="BY12">
        <v>0</v>
      </c>
      <c r="BZ12">
        <v>0.03</v>
      </c>
      <c r="CA12">
        <v>0</v>
      </c>
      <c r="CB12">
        <v>0</v>
      </c>
      <c r="CC12">
        <v>0</v>
      </c>
      <c r="CD12" t="s">
        <v>222</v>
      </c>
      <c r="CE12" t="s">
        <v>223</v>
      </c>
      <c r="CF12" t="s">
        <v>224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</v>
      </c>
      <c r="CU12">
        <v>2.44</v>
      </c>
      <c r="CV12">
        <v>1.42</v>
      </c>
      <c r="CW12">
        <v>0.86</v>
      </c>
      <c r="CX12">
        <v>0.2</v>
      </c>
      <c r="CY12">
        <v>0.03</v>
      </c>
      <c r="CZ12">
        <v>0.23</v>
      </c>
      <c r="DA12">
        <v>1.1399999999999999</v>
      </c>
      <c r="DB12">
        <v>144.16999999999999</v>
      </c>
      <c r="DC12">
        <v>0</v>
      </c>
      <c r="DD12">
        <v>2.42</v>
      </c>
      <c r="DE12">
        <v>0</v>
      </c>
      <c r="DF12">
        <v>1</v>
      </c>
      <c r="DG12">
        <v>2.37</v>
      </c>
      <c r="DH12">
        <v>0</v>
      </c>
      <c r="DI12">
        <v>1</v>
      </c>
      <c r="DJ12">
        <v>0.6</v>
      </c>
      <c r="DK12">
        <v>0.6</v>
      </c>
      <c r="DL12">
        <v>0.11</v>
      </c>
      <c r="DM12">
        <v>0</v>
      </c>
      <c r="DN12" t="s">
        <v>651</v>
      </c>
      <c r="DO12" t="s">
        <v>245</v>
      </c>
      <c r="DP12" t="s">
        <v>246</v>
      </c>
      <c r="DQ12" t="s">
        <v>247</v>
      </c>
      <c r="DR12" t="s">
        <v>248</v>
      </c>
      <c r="DS12" t="s">
        <v>249</v>
      </c>
      <c r="DT12" t="s">
        <v>250</v>
      </c>
    </row>
    <row r="13" spans="1:124" x14ac:dyDescent="0.45">
      <c r="A13" t="s">
        <v>632</v>
      </c>
      <c r="B13" t="s">
        <v>683</v>
      </c>
      <c r="C13" t="s">
        <v>17</v>
      </c>
      <c r="D13" t="s">
        <v>167</v>
      </c>
      <c r="E13" t="s">
        <v>168</v>
      </c>
      <c r="I13" t="s">
        <v>684</v>
      </c>
      <c r="J13">
        <v>0.57999999999999996</v>
      </c>
      <c r="K13">
        <v>2.61</v>
      </c>
      <c r="L13">
        <v>0.47</v>
      </c>
      <c r="M13">
        <v>10.1</v>
      </c>
      <c r="N13">
        <v>2.66</v>
      </c>
      <c r="O13">
        <v>2.31</v>
      </c>
      <c r="P13">
        <v>4.74</v>
      </c>
      <c r="Q13">
        <v>2.08</v>
      </c>
      <c r="R13">
        <v>22.88</v>
      </c>
      <c r="S13">
        <v>26.32</v>
      </c>
      <c r="T13">
        <v>46.93</v>
      </c>
      <c r="U13">
        <v>0.44</v>
      </c>
      <c r="V13">
        <v>7.5</v>
      </c>
      <c r="W13" t="s">
        <v>689</v>
      </c>
      <c r="X13">
        <v>0</v>
      </c>
      <c r="Y13">
        <v>0</v>
      </c>
      <c r="Z13">
        <v>0</v>
      </c>
      <c r="AA13">
        <v>154.49</v>
      </c>
      <c r="AB13">
        <v>263.08</v>
      </c>
      <c r="AC13">
        <v>0.41</v>
      </c>
      <c r="AD13">
        <v>0.5</v>
      </c>
      <c r="AE13">
        <v>0.84</v>
      </c>
      <c r="AF13">
        <v>210.81</v>
      </c>
      <c r="AG13">
        <v>1</v>
      </c>
      <c r="AH13">
        <v>52.56</v>
      </c>
      <c r="AI13">
        <v>45.7</v>
      </c>
      <c r="AJ13">
        <v>33.01</v>
      </c>
      <c r="AK13">
        <v>31.86</v>
      </c>
      <c r="AL13">
        <v>31.86</v>
      </c>
      <c r="AM13">
        <v>100.94</v>
      </c>
      <c r="AN13">
        <v>126.3</v>
      </c>
      <c r="AO13">
        <v>123.7</v>
      </c>
      <c r="AP13">
        <v>2.1</v>
      </c>
      <c r="AQ13">
        <v>1216</v>
      </c>
      <c r="AR13">
        <v>3.69</v>
      </c>
      <c r="AS13">
        <v>-11</v>
      </c>
      <c r="AT13">
        <v>0</v>
      </c>
      <c r="AU13">
        <v>107</v>
      </c>
      <c r="AV13">
        <v>30.01</v>
      </c>
      <c r="AW13">
        <v>86.6</v>
      </c>
      <c r="AX13">
        <v>11</v>
      </c>
      <c r="AY13">
        <v>-73</v>
      </c>
      <c r="AZ13">
        <v>7.23</v>
      </c>
      <c r="BA13">
        <v>128.18</v>
      </c>
      <c r="BB13">
        <v>40.04</v>
      </c>
      <c r="BC13" t="s">
        <v>707</v>
      </c>
      <c r="BD13" t="s">
        <v>17</v>
      </c>
      <c r="BE13">
        <v>35.85</v>
      </c>
      <c r="BF13">
        <v>127.13</v>
      </c>
      <c r="BG13">
        <v>42.2</v>
      </c>
      <c r="BH13">
        <v>11</v>
      </c>
      <c r="BI13">
        <v>0.88</v>
      </c>
      <c r="BJ13" t="s">
        <v>589</v>
      </c>
      <c r="BK13" t="s">
        <v>17</v>
      </c>
      <c r="BL13">
        <v>-1.33</v>
      </c>
      <c r="BM13" t="s">
        <v>165</v>
      </c>
      <c r="BN13">
        <v>0</v>
      </c>
      <c r="BO13">
        <v>0</v>
      </c>
      <c r="BP13">
        <v>0</v>
      </c>
      <c r="BQ13">
        <v>0.1</v>
      </c>
      <c r="BR13">
        <v>0.33</v>
      </c>
      <c r="BS13">
        <v>-1.66</v>
      </c>
      <c r="BT13" t="s">
        <v>165</v>
      </c>
      <c r="BU13">
        <v>150</v>
      </c>
      <c r="BV13">
        <v>0</v>
      </c>
      <c r="BW13">
        <v>2</v>
      </c>
      <c r="BX13">
        <v>0.06</v>
      </c>
      <c r="BY13">
        <v>0</v>
      </c>
      <c r="BZ13">
        <v>0.03</v>
      </c>
      <c r="CA13">
        <v>0</v>
      </c>
      <c r="CB13">
        <v>0</v>
      </c>
      <c r="CC13">
        <v>0</v>
      </c>
      <c r="CD13" t="s">
        <v>222</v>
      </c>
      <c r="CE13" t="s">
        <v>223</v>
      </c>
      <c r="CF13" t="s">
        <v>224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</v>
      </c>
      <c r="CU13">
        <v>2.4500000000000002</v>
      </c>
      <c r="CV13">
        <v>1.42</v>
      </c>
      <c r="CW13">
        <v>0.86</v>
      </c>
      <c r="CX13">
        <v>0.2</v>
      </c>
      <c r="CY13">
        <v>-0.01</v>
      </c>
      <c r="CZ13">
        <v>0.23</v>
      </c>
      <c r="DA13">
        <v>1.17</v>
      </c>
      <c r="DB13">
        <v>154.49</v>
      </c>
      <c r="DC13">
        <v>0</v>
      </c>
      <c r="DD13">
        <v>2.42</v>
      </c>
      <c r="DE13">
        <v>0</v>
      </c>
      <c r="DF13">
        <v>1</v>
      </c>
      <c r="DG13">
        <v>2.37</v>
      </c>
      <c r="DH13">
        <v>0</v>
      </c>
      <c r="DI13">
        <v>1</v>
      </c>
      <c r="DJ13">
        <v>0.6</v>
      </c>
      <c r="DK13">
        <v>0.6</v>
      </c>
      <c r="DL13">
        <v>0.11</v>
      </c>
      <c r="DM13">
        <v>0</v>
      </c>
      <c r="DN13" t="s">
        <v>689</v>
      </c>
      <c r="DO13" t="s">
        <v>245</v>
      </c>
      <c r="DP13" t="s">
        <v>246</v>
      </c>
      <c r="DQ13" t="s">
        <v>247</v>
      </c>
      <c r="DR13" t="s">
        <v>248</v>
      </c>
      <c r="DS13" t="s">
        <v>249</v>
      </c>
      <c r="DT13" t="s">
        <v>250</v>
      </c>
    </row>
    <row r="14" spans="1:124" x14ac:dyDescent="0.45">
      <c r="A14" t="s">
        <v>724</v>
      </c>
      <c r="B14" t="s">
        <v>725</v>
      </c>
      <c r="C14" t="s">
        <v>17</v>
      </c>
      <c r="D14" t="s">
        <v>167</v>
      </c>
      <c r="E14" t="s">
        <v>168</v>
      </c>
      <c r="I14" t="s">
        <v>726</v>
      </c>
      <c r="J14">
        <v>0.24</v>
      </c>
      <c r="K14">
        <v>2.62</v>
      </c>
      <c r="L14">
        <v>0.22</v>
      </c>
      <c r="M14">
        <v>5.0599999999999996</v>
      </c>
      <c r="N14">
        <v>2.54</v>
      </c>
      <c r="O14">
        <v>2.36</v>
      </c>
      <c r="P14">
        <v>4.74</v>
      </c>
      <c r="Q14">
        <v>2.2000000000000002</v>
      </c>
      <c r="R14">
        <v>23.4</v>
      </c>
      <c r="S14">
        <v>25.11</v>
      </c>
      <c r="T14">
        <v>46.93</v>
      </c>
      <c r="U14">
        <v>0.44</v>
      </c>
      <c r="V14">
        <v>7.5</v>
      </c>
      <c r="W14" t="s">
        <v>731</v>
      </c>
      <c r="X14">
        <v>0</v>
      </c>
      <c r="Y14">
        <v>0</v>
      </c>
      <c r="Z14">
        <v>0</v>
      </c>
      <c r="AA14">
        <v>120.26</v>
      </c>
      <c r="AB14">
        <v>389.07</v>
      </c>
      <c r="AC14">
        <v>0.69</v>
      </c>
      <c r="AD14">
        <v>0.5</v>
      </c>
      <c r="AE14">
        <v>0.84</v>
      </c>
      <c r="AF14">
        <v>336.31</v>
      </c>
      <c r="AG14">
        <v>1</v>
      </c>
      <c r="AH14">
        <v>49.5</v>
      </c>
      <c r="AI14">
        <v>46.12</v>
      </c>
      <c r="AJ14">
        <v>33.24</v>
      </c>
      <c r="AK14">
        <v>31.86</v>
      </c>
      <c r="AL14">
        <v>31.86</v>
      </c>
      <c r="AM14">
        <v>100.94</v>
      </c>
      <c r="AN14">
        <v>127.1</v>
      </c>
      <c r="AO14">
        <v>125.7</v>
      </c>
      <c r="AP14">
        <v>1.1000000000000001</v>
      </c>
      <c r="AQ14">
        <v>1159</v>
      </c>
      <c r="AR14">
        <v>3.69</v>
      </c>
      <c r="AS14">
        <v>-20</v>
      </c>
      <c r="AT14">
        <v>3</v>
      </c>
      <c r="AU14">
        <v>114</v>
      </c>
      <c r="AV14">
        <v>19.72</v>
      </c>
      <c r="AW14">
        <v>94.13</v>
      </c>
      <c r="AX14">
        <v>20.21</v>
      </c>
      <c r="AY14">
        <v>-57.29</v>
      </c>
      <c r="AZ14">
        <v>7.23</v>
      </c>
      <c r="BA14">
        <v>128.77000000000001</v>
      </c>
      <c r="BB14">
        <v>39.729999999999997</v>
      </c>
      <c r="BC14" t="s">
        <v>750</v>
      </c>
      <c r="BD14" t="s">
        <v>17</v>
      </c>
      <c r="BE14">
        <v>35.85</v>
      </c>
      <c r="BF14">
        <v>127.13</v>
      </c>
      <c r="BG14">
        <v>39.799999999999997</v>
      </c>
      <c r="BH14">
        <v>14</v>
      </c>
      <c r="BI14">
        <v>0.75</v>
      </c>
      <c r="BJ14" t="s">
        <v>589</v>
      </c>
      <c r="BK14" t="s">
        <v>17</v>
      </c>
      <c r="BL14">
        <v>-1.33</v>
      </c>
      <c r="BM14" t="s">
        <v>165</v>
      </c>
      <c r="BN14">
        <v>0</v>
      </c>
      <c r="BO14">
        <v>0</v>
      </c>
      <c r="BP14">
        <v>0</v>
      </c>
      <c r="BQ14">
        <v>0.2</v>
      </c>
      <c r="BR14">
        <v>-0.26</v>
      </c>
      <c r="BS14">
        <v>-1.02</v>
      </c>
      <c r="BT14" t="s">
        <v>165</v>
      </c>
      <c r="BU14">
        <v>150</v>
      </c>
      <c r="BV14">
        <v>0</v>
      </c>
      <c r="BW14">
        <v>2</v>
      </c>
      <c r="BX14">
        <v>0.06</v>
      </c>
      <c r="BY14">
        <v>0</v>
      </c>
      <c r="BZ14">
        <v>0.03</v>
      </c>
      <c r="CA14">
        <v>0</v>
      </c>
      <c r="CB14">
        <v>0</v>
      </c>
      <c r="CC14">
        <v>0</v>
      </c>
      <c r="CD14" t="s">
        <v>222</v>
      </c>
      <c r="CE14" t="s">
        <v>223</v>
      </c>
      <c r="CF14" t="s">
        <v>224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2.5</v>
      </c>
      <c r="CU14">
        <v>2.44</v>
      </c>
      <c r="CV14">
        <v>1.43</v>
      </c>
      <c r="CW14">
        <v>0.87</v>
      </c>
      <c r="CX14">
        <v>0.2</v>
      </c>
      <c r="CY14">
        <v>-0.02</v>
      </c>
      <c r="CZ14">
        <v>0.24</v>
      </c>
      <c r="DA14">
        <v>1.1200000000000001</v>
      </c>
      <c r="DB14">
        <v>120.26</v>
      </c>
      <c r="DC14">
        <v>0</v>
      </c>
      <c r="DD14">
        <v>2.42</v>
      </c>
      <c r="DE14">
        <v>0</v>
      </c>
      <c r="DF14">
        <v>1</v>
      </c>
      <c r="DG14">
        <v>2.37</v>
      </c>
      <c r="DH14">
        <v>0</v>
      </c>
      <c r="DI14">
        <v>1</v>
      </c>
      <c r="DJ14">
        <v>0.6</v>
      </c>
      <c r="DK14">
        <v>0.6</v>
      </c>
      <c r="DL14">
        <v>0.11</v>
      </c>
      <c r="DM14">
        <v>0</v>
      </c>
      <c r="DN14" t="s">
        <v>731</v>
      </c>
      <c r="DO14" t="s">
        <v>245</v>
      </c>
      <c r="DP14" t="s">
        <v>246</v>
      </c>
      <c r="DQ14" t="s">
        <v>247</v>
      </c>
      <c r="DR14" t="s">
        <v>248</v>
      </c>
      <c r="DS14" t="s">
        <v>249</v>
      </c>
      <c r="DT14" t="s">
        <v>250</v>
      </c>
    </row>
    <row r="15" spans="1:124" x14ac:dyDescent="0.45">
      <c r="A15" t="s">
        <v>752</v>
      </c>
      <c r="B15" t="s">
        <v>767</v>
      </c>
      <c r="C15" t="s">
        <v>17</v>
      </c>
      <c r="D15" t="s">
        <v>167</v>
      </c>
      <c r="E15" t="s">
        <v>168</v>
      </c>
      <c r="I15" t="s">
        <v>768</v>
      </c>
      <c r="J15">
        <v>0.68</v>
      </c>
      <c r="K15">
        <v>2.74</v>
      </c>
      <c r="L15">
        <v>0.54</v>
      </c>
      <c r="M15">
        <v>9.43</v>
      </c>
      <c r="N15">
        <v>2.65</v>
      </c>
      <c r="O15">
        <v>2.36</v>
      </c>
      <c r="P15">
        <v>4.3499999999999996</v>
      </c>
      <c r="Q15">
        <v>1.7</v>
      </c>
      <c r="R15">
        <v>23.34</v>
      </c>
      <c r="S15">
        <v>26.28</v>
      </c>
      <c r="T15">
        <v>43.08</v>
      </c>
      <c r="U15">
        <v>0.44</v>
      </c>
      <c r="V15">
        <v>7.5</v>
      </c>
      <c r="W15" t="s">
        <v>773</v>
      </c>
      <c r="X15">
        <v>0</v>
      </c>
      <c r="Y15">
        <v>0</v>
      </c>
      <c r="Z15">
        <v>0</v>
      </c>
      <c r="AA15">
        <v>104.71</v>
      </c>
      <c r="AB15">
        <v>325.24</v>
      </c>
      <c r="AC15">
        <v>0.68</v>
      </c>
      <c r="AD15">
        <v>0.5</v>
      </c>
      <c r="AE15">
        <v>0.84</v>
      </c>
      <c r="AF15">
        <v>432.3</v>
      </c>
      <c r="AG15">
        <v>1</v>
      </c>
      <c r="AH15">
        <v>51.16</v>
      </c>
      <c r="AI15">
        <v>45.43</v>
      </c>
      <c r="AJ15">
        <v>33.46</v>
      </c>
      <c r="AK15">
        <v>30.36</v>
      </c>
      <c r="AL15">
        <v>30.36</v>
      </c>
      <c r="AM15">
        <v>100.95</v>
      </c>
      <c r="AN15">
        <v>137.80000000000001</v>
      </c>
      <c r="AO15">
        <v>135</v>
      </c>
      <c r="AP15">
        <v>2.1</v>
      </c>
      <c r="AQ15">
        <v>1518</v>
      </c>
      <c r="AR15">
        <v>3.69</v>
      </c>
      <c r="AS15">
        <v>-1</v>
      </c>
      <c r="AT15">
        <v>-5</v>
      </c>
      <c r="AU15">
        <v>308</v>
      </c>
      <c r="AV15">
        <v>40.729999999999997</v>
      </c>
      <c r="AW15">
        <v>75.78</v>
      </c>
      <c r="AX15">
        <v>5.0999999999999996</v>
      </c>
      <c r="AY15">
        <v>49.28</v>
      </c>
      <c r="AZ15">
        <v>7.23</v>
      </c>
      <c r="BA15">
        <v>129.07</v>
      </c>
      <c r="BB15">
        <v>39.57</v>
      </c>
      <c r="BC15" t="s">
        <v>794</v>
      </c>
      <c r="BD15" t="s">
        <v>17</v>
      </c>
      <c r="BE15">
        <v>35.85</v>
      </c>
      <c r="BF15">
        <v>127.13</v>
      </c>
      <c r="BG15">
        <v>39.799999999999997</v>
      </c>
      <c r="BH15">
        <v>14</v>
      </c>
      <c r="BI15">
        <v>0.75</v>
      </c>
      <c r="BJ15" t="s">
        <v>589</v>
      </c>
      <c r="BK15" t="s">
        <v>17</v>
      </c>
      <c r="BL15">
        <v>-1.33</v>
      </c>
      <c r="BM15" t="s">
        <v>165</v>
      </c>
      <c r="BN15">
        <v>0</v>
      </c>
      <c r="BO15">
        <v>0</v>
      </c>
      <c r="BP15">
        <v>0</v>
      </c>
      <c r="BQ15">
        <v>-0.06</v>
      </c>
      <c r="BR15">
        <v>-0.32</v>
      </c>
      <c r="BS15">
        <v>-0.56999999999999995</v>
      </c>
      <c r="BT15" t="s">
        <v>165</v>
      </c>
      <c r="BU15">
        <v>150</v>
      </c>
      <c r="BV15">
        <v>0</v>
      </c>
      <c r="BW15">
        <v>2</v>
      </c>
      <c r="BX15">
        <v>0.06</v>
      </c>
      <c r="BY15">
        <v>0</v>
      </c>
      <c r="BZ15">
        <v>0.03</v>
      </c>
      <c r="CA15">
        <v>0</v>
      </c>
      <c r="CB15">
        <v>0</v>
      </c>
      <c r="CC15">
        <v>0</v>
      </c>
      <c r="CD15" t="s">
        <v>222</v>
      </c>
      <c r="CE15" t="s">
        <v>223</v>
      </c>
      <c r="CF15" t="s">
        <v>224</v>
      </c>
      <c r="CG15">
        <v>6000</v>
      </c>
      <c r="CH15">
        <v>500</v>
      </c>
      <c r="CI15">
        <v>1</v>
      </c>
      <c r="CJ15">
        <v>2</v>
      </c>
      <c r="CK15">
        <v>55537</v>
      </c>
      <c r="CL15">
        <v>55537</v>
      </c>
      <c r="CM15">
        <v>55537</v>
      </c>
      <c r="CN15">
        <v>0</v>
      </c>
      <c r="CO15">
        <v>-9999</v>
      </c>
      <c r="CP15">
        <v>0</v>
      </c>
      <c r="CQ15">
        <v>0</v>
      </c>
      <c r="CR15">
        <v>0</v>
      </c>
      <c r="CS15">
        <v>0</v>
      </c>
      <c r="CT15">
        <v>2.5</v>
      </c>
      <c r="CU15">
        <v>2.44</v>
      </c>
      <c r="CV15">
        <v>1.52</v>
      </c>
      <c r="CW15">
        <v>0.89</v>
      </c>
      <c r="CX15">
        <v>0.2</v>
      </c>
      <c r="CY15">
        <v>-0.04</v>
      </c>
      <c r="CZ15">
        <v>0.25</v>
      </c>
      <c r="DA15">
        <v>1.43</v>
      </c>
      <c r="DB15">
        <v>104.71</v>
      </c>
      <c r="DC15">
        <v>0</v>
      </c>
      <c r="DD15">
        <v>2.42</v>
      </c>
      <c r="DE15">
        <v>0</v>
      </c>
      <c r="DF15">
        <v>1</v>
      </c>
      <c r="DG15">
        <v>2.37</v>
      </c>
      <c r="DH15">
        <v>0</v>
      </c>
      <c r="DI15">
        <v>1</v>
      </c>
      <c r="DJ15">
        <v>0.6</v>
      </c>
      <c r="DK15">
        <v>0.6</v>
      </c>
      <c r="DL15">
        <v>0.11</v>
      </c>
      <c r="DM15">
        <v>0</v>
      </c>
      <c r="DN15" t="s">
        <v>773</v>
      </c>
      <c r="DO15" t="s">
        <v>245</v>
      </c>
      <c r="DP15" t="s">
        <v>246</v>
      </c>
      <c r="DQ15" t="s">
        <v>247</v>
      </c>
      <c r="DR15" t="s">
        <v>248</v>
      </c>
      <c r="DS15" t="s">
        <v>249</v>
      </c>
      <c r="DT15" t="s">
        <v>250</v>
      </c>
    </row>
    <row r="16" spans="1:124" x14ac:dyDescent="0.45">
      <c r="A16" t="s">
        <v>808</v>
      </c>
      <c r="B16" t="s">
        <v>809</v>
      </c>
      <c r="C16" t="s">
        <v>17</v>
      </c>
      <c r="D16" t="s">
        <v>167</v>
      </c>
      <c r="E16" t="s">
        <v>168</v>
      </c>
      <c r="I16" t="s">
        <v>810</v>
      </c>
      <c r="J16">
        <v>0.68</v>
      </c>
      <c r="K16">
        <v>2.7</v>
      </c>
      <c r="L16">
        <v>0.54</v>
      </c>
      <c r="M16">
        <v>9.6</v>
      </c>
      <c r="N16">
        <v>2.6</v>
      </c>
      <c r="O16">
        <v>2.29</v>
      </c>
      <c r="P16">
        <v>4.33</v>
      </c>
      <c r="Q16">
        <v>1.73</v>
      </c>
      <c r="R16">
        <v>22.72</v>
      </c>
      <c r="S16">
        <v>25.79</v>
      </c>
      <c r="T16">
        <v>42.94</v>
      </c>
      <c r="U16">
        <v>0.44</v>
      </c>
      <c r="V16">
        <v>7.5</v>
      </c>
      <c r="W16" t="s">
        <v>815</v>
      </c>
      <c r="X16">
        <v>0</v>
      </c>
      <c r="Y16">
        <v>0</v>
      </c>
      <c r="Z16">
        <v>0</v>
      </c>
      <c r="AA16">
        <v>106.62</v>
      </c>
      <c r="AB16">
        <v>346.27</v>
      </c>
      <c r="AC16">
        <v>0.69</v>
      </c>
      <c r="AD16">
        <v>0.5</v>
      </c>
      <c r="AE16">
        <v>0.84</v>
      </c>
      <c r="AF16">
        <v>370.33</v>
      </c>
      <c r="AG16">
        <v>1</v>
      </c>
      <c r="AH16">
        <v>49.99</v>
      </c>
      <c r="AI16">
        <v>44.03</v>
      </c>
      <c r="AJ16">
        <v>33.54</v>
      </c>
      <c r="AK16">
        <v>30.3</v>
      </c>
      <c r="AL16">
        <v>30.3</v>
      </c>
      <c r="AM16">
        <v>100.95</v>
      </c>
      <c r="AN16">
        <v>134.30000000000001</v>
      </c>
      <c r="AO16">
        <v>132.1</v>
      </c>
      <c r="AP16">
        <v>1.6</v>
      </c>
      <c r="AQ16">
        <v>1274</v>
      </c>
      <c r="AR16">
        <v>3.68</v>
      </c>
      <c r="AS16">
        <v>-3</v>
      </c>
      <c r="AT16">
        <v>-5</v>
      </c>
      <c r="AU16">
        <v>294</v>
      </c>
      <c r="AV16">
        <v>41.29</v>
      </c>
      <c r="AW16">
        <v>75.14</v>
      </c>
      <c r="AX16">
        <v>5.83</v>
      </c>
      <c r="AY16">
        <v>54.89</v>
      </c>
      <c r="AZ16">
        <v>7.23</v>
      </c>
      <c r="BA16">
        <v>129.38</v>
      </c>
      <c r="BB16">
        <v>39.409999999999997</v>
      </c>
      <c r="BC16" t="s">
        <v>835</v>
      </c>
      <c r="BD16" t="s">
        <v>17</v>
      </c>
      <c r="BE16">
        <v>35.85</v>
      </c>
      <c r="BF16">
        <v>127.13</v>
      </c>
      <c r="BG16">
        <v>39.5</v>
      </c>
      <c r="BH16">
        <v>14</v>
      </c>
      <c r="BI16">
        <v>0.75</v>
      </c>
      <c r="BJ16" t="s">
        <v>589</v>
      </c>
      <c r="BK16" t="s">
        <v>17</v>
      </c>
      <c r="BL16">
        <v>-1.33</v>
      </c>
      <c r="BM16" t="s">
        <v>165</v>
      </c>
      <c r="BN16">
        <v>0</v>
      </c>
      <c r="BO16">
        <v>0</v>
      </c>
      <c r="BP16">
        <v>0</v>
      </c>
      <c r="BQ16">
        <v>-0.14000000000000001</v>
      </c>
      <c r="BR16">
        <v>-0.35</v>
      </c>
      <c r="BS16">
        <v>-0.48</v>
      </c>
      <c r="BT16" t="s">
        <v>165</v>
      </c>
      <c r="BU16">
        <v>150</v>
      </c>
      <c r="BV16">
        <v>0</v>
      </c>
      <c r="BW16">
        <v>2</v>
      </c>
      <c r="BX16">
        <v>0.06</v>
      </c>
      <c r="BY16">
        <v>0</v>
      </c>
      <c r="BZ16">
        <v>0.03</v>
      </c>
      <c r="CA16">
        <v>0</v>
      </c>
      <c r="CB16">
        <v>0</v>
      </c>
      <c r="CC16">
        <v>0</v>
      </c>
      <c r="CD16" t="s">
        <v>222</v>
      </c>
      <c r="CE16" t="s">
        <v>223</v>
      </c>
      <c r="CF16" t="s">
        <v>224</v>
      </c>
      <c r="CG16">
        <v>6000</v>
      </c>
      <c r="CH16">
        <v>500</v>
      </c>
      <c r="CI16">
        <v>1</v>
      </c>
      <c r="CJ16">
        <v>2</v>
      </c>
      <c r="CK16">
        <v>55537</v>
      </c>
      <c r="CL16">
        <v>55537</v>
      </c>
      <c r="CM16">
        <v>55537</v>
      </c>
      <c r="CN16">
        <v>0</v>
      </c>
      <c r="CO16">
        <v>-9999</v>
      </c>
      <c r="CP16">
        <v>0</v>
      </c>
      <c r="CQ16">
        <v>0</v>
      </c>
      <c r="CR16">
        <v>0</v>
      </c>
      <c r="CS16">
        <v>0</v>
      </c>
      <c r="CT16">
        <v>2.4900000000000002</v>
      </c>
      <c r="CU16">
        <v>2.44</v>
      </c>
      <c r="CV16">
        <v>1.49</v>
      </c>
      <c r="CW16">
        <v>0.88</v>
      </c>
      <c r="CX16">
        <v>0.19</v>
      </c>
      <c r="CY16">
        <v>-0.04</v>
      </c>
      <c r="CZ16">
        <v>0.26</v>
      </c>
      <c r="DA16">
        <v>1.22</v>
      </c>
      <c r="DB16">
        <v>106.62</v>
      </c>
      <c r="DC16">
        <v>0</v>
      </c>
      <c r="DD16">
        <v>2.42</v>
      </c>
      <c r="DE16">
        <v>0</v>
      </c>
      <c r="DF16">
        <v>1</v>
      </c>
      <c r="DG16">
        <v>2.37</v>
      </c>
      <c r="DH16">
        <v>0</v>
      </c>
      <c r="DI16">
        <v>1</v>
      </c>
      <c r="DJ16">
        <v>0.6</v>
      </c>
      <c r="DK16">
        <v>0.6</v>
      </c>
      <c r="DL16">
        <v>0.11</v>
      </c>
      <c r="DM16">
        <v>0</v>
      </c>
      <c r="DN16" t="s">
        <v>815</v>
      </c>
      <c r="DO16" t="s">
        <v>245</v>
      </c>
      <c r="DP16" t="s">
        <v>246</v>
      </c>
      <c r="DQ16" t="s">
        <v>247</v>
      </c>
      <c r="DR16" t="s">
        <v>248</v>
      </c>
      <c r="DS16" t="s">
        <v>249</v>
      </c>
      <c r="DT16" t="s">
        <v>250</v>
      </c>
    </row>
    <row r="17" spans="1:124" x14ac:dyDescent="0.45">
      <c r="A17" t="s">
        <v>849</v>
      </c>
      <c r="B17" t="s">
        <v>850</v>
      </c>
      <c r="C17" t="s">
        <v>17</v>
      </c>
      <c r="D17" t="s">
        <v>167</v>
      </c>
      <c r="E17" t="s">
        <v>168</v>
      </c>
      <c r="I17" t="s">
        <v>851</v>
      </c>
      <c r="J17">
        <v>0.86</v>
      </c>
      <c r="K17">
        <v>2.65</v>
      </c>
      <c r="L17">
        <v>0.65</v>
      </c>
      <c r="M17">
        <v>13.42</v>
      </c>
      <c r="N17">
        <v>2.76</v>
      </c>
      <c r="O17">
        <v>2.3199999999999998</v>
      </c>
      <c r="P17">
        <v>4.7699999999999996</v>
      </c>
      <c r="Q17">
        <v>2</v>
      </c>
      <c r="R17">
        <v>22.96</v>
      </c>
      <c r="S17">
        <v>27.38</v>
      </c>
      <c r="T17">
        <v>47.22</v>
      </c>
      <c r="U17">
        <v>0.44</v>
      </c>
      <c r="V17">
        <v>7.5</v>
      </c>
      <c r="W17" t="s">
        <v>856</v>
      </c>
      <c r="X17">
        <v>0</v>
      </c>
      <c r="Y17">
        <v>0</v>
      </c>
      <c r="Z17">
        <v>0</v>
      </c>
      <c r="AA17">
        <v>147.03</v>
      </c>
      <c r="AB17">
        <v>252.64</v>
      </c>
      <c r="AC17">
        <v>0.42</v>
      </c>
      <c r="AD17">
        <v>0.5</v>
      </c>
      <c r="AE17">
        <v>0.84</v>
      </c>
      <c r="AF17">
        <v>312.87</v>
      </c>
      <c r="AG17">
        <v>1</v>
      </c>
      <c r="AH17">
        <v>52.61</v>
      </c>
      <c r="AI17">
        <v>44.11</v>
      </c>
      <c r="AJ17">
        <v>33.700000000000003</v>
      </c>
      <c r="AK17">
        <v>31.97</v>
      </c>
      <c r="AL17">
        <v>31.97</v>
      </c>
      <c r="AM17">
        <v>100.95</v>
      </c>
      <c r="AN17">
        <v>130.30000000000001</v>
      </c>
      <c r="AO17">
        <v>127.6</v>
      </c>
      <c r="AP17">
        <v>2.1</v>
      </c>
      <c r="AQ17">
        <v>1782</v>
      </c>
      <c r="AR17">
        <v>3.68</v>
      </c>
      <c r="AS17">
        <v>11</v>
      </c>
      <c r="AT17">
        <v>27</v>
      </c>
      <c r="AU17">
        <v>355</v>
      </c>
      <c r="AV17">
        <v>16.829999999999998</v>
      </c>
      <c r="AW17">
        <v>95.72</v>
      </c>
      <c r="AX17">
        <v>29</v>
      </c>
      <c r="AY17">
        <v>-74.47</v>
      </c>
      <c r="AZ17">
        <v>7.23</v>
      </c>
      <c r="BA17">
        <v>129.68</v>
      </c>
      <c r="BB17">
        <v>39.26</v>
      </c>
      <c r="BC17" t="s">
        <v>874</v>
      </c>
      <c r="BD17" t="s">
        <v>17</v>
      </c>
      <c r="BE17">
        <v>35.85</v>
      </c>
      <c r="BF17">
        <v>127.13</v>
      </c>
      <c r="BG17">
        <v>38.299999999999997</v>
      </c>
      <c r="BH17">
        <v>14</v>
      </c>
      <c r="BI17">
        <v>0.75</v>
      </c>
      <c r="BJ17" t="s">
        <v>589</v>
      </c>
      <c r="BK17" t="s">
        <v>17</v>
      </c>
      <c r="BL17">
        <v>-1.33</v>
      </c>
      <c r="BM17" t="s">
        <v>165</v>
      </c>
      <c r="BN17">
        <v>0</v>
      </c>
      <c r="BO17">
        <v>0</v>
      </c>
      <c r="BP17">
        <v>0.01</v>
      </c>
      <c r="BQ17">
        <v>-1.48</v>
      </c>
      <c r="BR17">
        <v>-0.31</v>
      </c>
      <c r="BS17">
        <v>-1</v>
      </c>
      <c r="BT17" t="s">
        <v>165</v>
      </c>
      <c r="BU17">
        <v>150</v>
      </c>
      <c r="BV17">
        <v>0</v>
      </c>
      <c r="BW17">
        <v>2</v>
      </c>
      <c r="BX17">
        <v>0.06</v>
      </c>
      <c r="BY17">
        <v>0</v>
      </c>
      <c r="BZ17">
        <v>0.03</v>
      </c>
      <c r="CA17">
        <v>0</v>
      </c>
      <c r="CB17">
        <v>0</v>
      </c>
      <c r="CC17">
        <v>0</v>
      </c>
      <c r="CD17" t="s">
        <v>222</v>
      </c>
      <c r="CE17" t="s">
        <v>223</v>
      </c>
      <c r="CF17" t="s">
        <v>224</v>
      </c>
      <c r="CG17">
        <v>6000</v>
      </c>
      <c r="CH17">
        <v>500</v>
      </c>
      <c r="CI17">
        <v>1</v>
      </c>
      <c r="CJ17">
        <v>2</v>
      </c>
      <c r="CK17">
        <v>55537</v>
      </c>
      <c r="CL17">
        <v>55537</v>
      </c>
      <c r="CM17">
        <v>55537</v>
      </c>
      <c r="CN17">
        <v>0</v>
      </c>
      <c r="CO17">
        <v>-9999</v>
      </c>
      <c r="CP17">
        <v>0</v>
      </c>
      <c r="CQ17">
        <v>0</v>
      </c>
      <c r="CR17">
        <v>0</v>
      </c>
      <c r="CS17">
        <v>0</v>
      </c>
      <c r="CT17">
        <v>2.4900000000000002</v>
      </c>
      <c r="CU17">
        <v>2.4500000000000002</v>
      </c>
      <c r="CV17">
        <v>1.46</v>
      </c>
      <c r="CW17">
        <v>0.87</v>
      </c>
      <c r="CX17">
        <v>0.19</v>
      </c>
      <c r="CY17">
        <v>-0.02</v>
      </c>
      <c r="CZ17">
        <v>0.26</v>
      </c>
      <c r="DA17">
        <v>1.66</v>
      </c>
      <c r="DB17">
        <v>147.03</v>
      </c>
      <c r="DC17">
        <v>0</v>
      </c>
      <c r="DD17">
        <v>2.42</v>
      </c>
      <c r="DE17">
        <v>0</v>
      </c>
      <c r="DF17">
        <v>1</v>
      </c>
      <c r="DG17">
        <v>2.37</v>
      </c>
      <c r="DH17">
        <v>0</v>
      </c>
      <c r="DI17">
        <v>1</v>
      </c>
      <c r="DJ17">
        <v>0.6</v>
      </c>
      <c r="DK17">
        <v>0.6</v>
      </c>
      <c r="DL17">
        <v>0.11</v>
      </c>
      <c r="DM17">
        <v>0</v>
      </c>
      <c r="DN17" t="s">
        <v>856</v>
      </c>
      <c r="DO17" t="s">
        <v>245</v>
      </c>
      <c r="DP17" t="s">
        <v>246</v>
      </c>
      <c r="DQ17" t="s">
        <v>247</v>
      </c>
      <c r="DR17" t="s">
        <v>248</v>
      </c>
      <c r="DS17" t="s">
        <v>249</v>
      </c>
      <c r="DT17" t="s">
        <v>250</v>
      </c>
    </row>
    <row r="18" spans="1:124" x14ac:dyDescent="0.45">
      <c r="A18" t="s">
        <v>890</v>
      </c>
      <c r="B18" t="s">
        <v>891</v>
      </c>
      <c r="C18" t="s">
        <v>17</v>
      </c>
      <c r="D18" t="s">
        <v>167</v>
      </c>
      <c r="E18" t="s">
        <v>168</v>
      </c>
      <c r="I18" t="s">
        <v>892</v>
      </c>
      <c r="J18">
        <v>1.05</v>
      </c>
      <c r="K18">
        <v>2.66</v>
      </c>
      <c r="L18">
        <v>0.75</v>
      </c>
      <c r="M18">
        <v>11.81</v>
      </c>
      <c r="N18">
        <v>2.77</v>
      </c>
      <c r="O18">
        <v>2.38</v>
      </c>
      <c r="P18">
        <v>4.3099999999999996</v>
      </c>
      <c r="Q18">
        <v>1.53</v>
      </c>
      <c r="R18">
        <v>23.62</v>
      </c>
      <c r="S18">
        <v>27.49</v>
      </c>
      <c r="T18">
        <v>42.67</v>
      </c>
      <c r="U18">
        <v>0.44</v>
      </c>
      <c r="V18">
        <v>7.5</v>
      </c>
      <c r="W18" t="s">
        <v>897</v>
      </c>
      <c r="X18">
        <v>0</v>
      </c>
      <c r="Y18">
        <v>0</v>
      </c>
      <c r="Z18">
        <v>0</v>
      </c>
      <c r="AA18">
        <v>102.56</v>
      </c>
      <c r="AB18">
        <v>323.68</v>
      </c>
      <c r="AC18">
        <v>0.68</v>
      </c>
      <c r="AD18">
        <v>0.5</v>
      </c>
      <c r="AE18">
        <v>0.84</v>
      </c>
      <c r="AF18">
        <v>384.47</v>
      </c>
      <c r="AG18">
        <v>1</v>
      </c>
      <c r="AH18">
        <v>52.57</v>
      </c>
      <c r="AI18">
        <v>45.17</v>
      </c>
      <c r="AJ18">
        <v>33.78</v>
      </c>
      <c r="AK18">
        <v>30.19</v>
      </c>
      <c r="AL18">
        <v>30.19</v>
      </c>
      <c r="AM18">
        <v>100.95</v>
      </c>
      <c r="AN18">
        <v>131.19999999999999</v>
      </c>
      <c r="AO18">
        <v>128.19999999999999</v>
      </c>
      <c r="AP18">
        <v>2.2999999999999998</v>
      </c>
      <c r="AQ18">
        <v>1340</v>
      </c>
      <c r="AR18">
        <v>3.68</v>
      </c>
      <c r="AS18">
        <v>-9</v>
      </c>
      <c r="AT18">
        <v>-14</v>
      </c>
      <c r="AU18">
        <v>295</v>
      </c>
      <c r="AV18">
        <v>46.53</v>
      </c>
      <c r="AW18">
        <v>68.8</v>
      </c>
      <c r="AX18">
        <v>16.59</v>
      </c>
      <c r="AY18">
        <v>57.11</v>
      </c>
      <c r="AZ18">
        <v>7.23</v>
      </c>
      <c r="BA18">
        <v>129.68</v>
      </c>
      <c r="BB18">
        <v>39.26</v>
      </c>
      <c r="BC18" t="s">
        <v>916</v>
      </c>
      <c r="BD18" t="s">
        <v>17</v>
      </c>
      <c r="BE18">
        <v>35.85</v>
      </c>
      <c r="BF18">
        <v>127.13</v>
      </c>
      <c r="BG18">
        <v>37.700000000000003</v>
      </c>
      <c r="BH18">
        <v>14</v>
      </c>
      <c r="BI18">
        <v>0.75</v>
      </c>
      <c r="BJ18" t="s">
        <v>589</v>
      </c>
      <c r="BK18" t="s">
        <v>17</v>
      </c>
      <c r="BL18">
        <v>-1.33</v>
      </c>
      <c r="BM18" t="s">
        <v>165</v>
      </c>
      <c r="BN18">
        <v>0</v>
      </c>
      <c r="BO18">
        <v>0</v>
      </c>
      <c r="BP18">
        <v>0.02</v>
      </c>
      <c r="BQ18">
        <v>-0.09</v>
      </c>
      <c r="BR18">
        <v>-0.27</v>
      </c>
      <c r="BS18">
        <v>-0.41</v>
      </c>
      <c r="BT18" t="s">
        <v>165</v>
      </c>
      <c r="BU18">
        <v>150</v>
      </c>
      <c r="BV18">
        <v>0</v>
      </c>
      <c r="BW18">
        <v>2</v>
      </c>
      <c r="BX18">
        <v>0.06</v>
      </c>
      <c r="BY18">
        <v>0</v>
      </c>
      <c r="BZ18">
        <v>0.03</v>
      </c>
      <c r="CA18">
        <v>0</v>
      </c>
      <c r="CB18">
        <v>0</v>
      </c>
      <c r="CC18">
        <v>0</v>
      </c>
      <c r="CD18" t="s">
        <v>222</v>
      </c>
      <c r="CE18" t="s">
        <v>223</v>
      </c>
      <c r="CF18" t="s">
        <v>224</v>
      </c>
      <c r="CG18">
        <v>6000</v>
      </c>
      <c r="CH18">
        <v>500</v>
      </c>
      <c r="CI18">
        <v>1</v>
      </c>
      <c r="CJ18">
        <v>2</v>
      </c>
      <c r="CK18">
        <v>55537</v>
      </c>
      <c r="CL18">
        <v>55537</v>
      </c>
      <c r="CM18">
        <v>55537</v>
      </c>
      <c r="CN18">
        <v>0</v>
      </c>
      <c r="CO18">
        <v>-9999</v>
      </c>
      <c r="CP18">
        <v>0</v>
      </c>
      <c r="CQ18">
        <v>0</v>
      </c>
      <c r="CR18">
        <v>0</v>
      </c>
      <c r="CS18">
        <v>0</v>
      </c>
      <c r="CT18">
        <v>2.5</v>
      </c>
      <c r="CU18">
        <v>2.4500000000000002</v>
      </c>
      <c r="CV18">
        <v>1.46</v>
      </c>
      <c r="CW18">
        <v>0.87</v>
      </c>
      <c r="CX18">
        <v>0.19</v>
      </c>
      <c r="CY18">
        <v>-0.04</v>
      </c>
      <c r="CZ18">
        <v>0.26</v>
      </c>
      <c r="DA18">
        <v>1.28</v>
      </c>
      <c r="DB18">
        <v>102.56</v>
      </c>
      <c r="DC18">
        <v>0</v>
      </c>
      <c r="DD18">
        <v>2.42</v>
      </c>
      <c r="DE18">
        <v>0</v>
      </c>
      <c r="DF18">
        <v>1</v>
      </c>
      <c r="DG18">
        <v>2.37</v>
      </c>
      <c r="DH18">
        <v>0</v>
      </c>
      <c r="DI18">
        <v>1</v>
      </c>
      <c r="DJ18">
        <v>0.6</v>
      </c>
      <c r="DK18">
        <v>0.6</v>
      </c>
      <c r="DL18">
        <v>0.11</v>
      </c>
      <c r="DM18">
        <v>0</v>
      </c>
      <c r="DN18" t="s">
        <v>897</v>
      </c>
      <c r="DO18" t="s">
        <v>245</v>
      </c>
      <c r="DP18" t="s">
        <v>246</v>
      </c>
      <c r="DQ18" t="s">
        <v>247</v>
      </c>
      <c r="DR18" t="s">
        <v>248</v>
      </c>
      <c r="DS18" t="s">
        <v>249</v>
      </c>
      <c r="DT18" t="s">
        <v>250</v>
      </c>
    </row>
    <row r="19" spans="1:124" x14ac:dyDescent="0.45">
      <c r="A19" t="s">
        <v>932</v>
      </c>
      <c r="B19" t="s">
        <v>933</v>
      </c>
      <c r="C19" t="s">
        <v>17</v>
      </c>
      <c r="D19" t="s">
        <v>167</v>
      </c>
      <c r="E19" t="s">
        <v>168</v>
      </c>
      <c r="I19" t="s">
        <v>934</v>
      </c>
      <c r="J19">
        <v>0.59</v>
      </c>
      <c r="K19">
        <v>2.72</v>
      </c>
      <c r="L19">
        <v>0.48</v>
      </c>
      <c r="M19">
        <v>9.4</v>
      </c>
      <c r="N19">
        <v>2.66</v>
      </c>
      <c r="O19">
        <v>2.36</v>
      </c>
      <c r="P19">
        <v>4.5599999999999996</v>
      </c>
      <c r="Q19">
        <v>1.9</v>
      </c>
      <c r="R19">
        <v>23.37</v>
      </c>
      <c r="S19">
        <v>26.35</v>
      </c>
      <c r="T19">
        <v>45.13</v>
      </c>
      <c r="U19">
        <v>0.44</v>
      </c>
      <c r="V19">
        <v>7.5</v>
      </c>
      <c r="W19" t="s">
        <v>939</v>
      </c>
      <c r="X19">
        <v>0</v>
      </c>
      <c r="Y19">
        <v>0</v>
      </c>
      <c r="Z19">
        <v>0</v>
      </c>
      <c r="AA19">
        <v>106.72</v>
      </c>
      <c r="AB19">
        <v>347.72</v>
      </c>
      <c r="AC19">
        <v>0.69</v>
      </c>
      <c r="AD19">
        <v>0.5</v>
      </c>
      <c r="AE19">
        <v>0.84</v>
      </c>
      <c r="AF19">
        <v>446.54</v>
      </c>
      <c r="AG19">
        <v>1</v>
      </c>
      <c r="AH19">
        <v>49.8</v>
      </c>
      <c r="AI19">
        <v>44.18</v>
      </c>
      <c r="AJ19">
        <v>33.99</v>
      </c>
      <c r="AK19">
        <v>31.17</v>
      </c>
      <c r="AL19">
        <v>31.17</v>
      </c>
      <c r="AM19">
        <v>100.93</v>
      </c>
      <c r="AN19">
        <v>135.80000000000001</v>
      </c>
      <c r="AO19">
        <v>126.9</v>
      </c>
      <c r="AP19">
        <v>6.6</v>
      </c>
      <c r="AQ19">
        <v>1534</v>
      </c>
      <c r="AR19">
        <v>3.68</v>
      </c>
      <c r="AS19">
        <v>0</v>
      </c>
      <c r="AT19">
        <v>17</v>
      </c>
      <c r="AU19">
        <v>309</v>
      </c>
      <c r="AV19">
        <v>42.36</v>
      </c>
      <c r="AW19">
        <v>73.900000000000006</v>
      </c>
      <c r="AX19">
        <v>17</v>
      </c>
      <c r="AY19">
        <v>-141</v>
      </c>
      <c r="AZ19">
        <v>7.23</v>
      </c>
      <c r="BA19">
        <v>129.99</v>
      </c>
      <c r="BB19">
        <v>39.1</v>
      </c>
      <c r="BC19" t="s">
        <v>959</v>
      </c>
      <c r="BD19" t="s">
        <v>17</v>
      </c>
      <c r="BE19">
        <v>35.85</v>
      </c>
      <c r="BF19">
        <v>127.13</v>
      </c>
      <c r="BG19">
        <v>37.5</v>
      </c>
      <c r="BH19">
        <v>14</v>
      </c>
      <c r="BI19">
        <v>0.75</v>
      </c>
      <c r="BJ19" t="s">
        <v>589</v>
      </c>
      <c r="BK19" t="s">
        <v>17</v>
      </c>
      <c r="BL19">
        <v>-1.33</v>
      </c>
      <c r="BM19" t="s">
        <v>165</v>
      </c>
      <c r="BN19">
        <v>0</v>
      </c>
      <c r="BO19">
        <v>0</v>
      </c>
      <c r="BP19">
        <v>0</v>
      </c>
      <c r="BQ19">
        <v>-0.16</v>
      </c>
      <c r="BR19">
        <v>-0.17</v>
      </c>
      <c r="BS19">
        <v>-0.4</v>
      </c>
      <c r="BT19" t="s">
        <v>165</v>
      </c>
      <c r="BU19">
        <v>150</v>
      </c>
      <c r="BV19">
        <v>0</v>
      </c>
      <c r="BW19">
        <v>2</v>
      </c>
      <c r="BX19">
        <v>0.06</v>
      </c>
      <c r="BY19">
        <v>0</v>
      </c>
      <c r="BZ19">
        <v>0.03</v>
      </c>
      <c r="CA19">
        <v>0</v>
      </c>
      <c r="CB19">
        <v>0</v>
      </c>
      <c r="CC19">
        <v>0</v>
      </c>
      <c r="CD19" t="s">
        <v>222</v>
      </c>
      <c r="CE19" t="s">
        <v>223</v>
      </c>
      <c r="CF19" t="s">
        <v>224</v>
      </c>
      <c r="CG19">
        <v>6000</v>
      </c>
      <c r="CH19">
        <v>500</v>
      </c>
      <c r="CI19">
        <v>1</v>
      </c>
      <c r="CJ19">
        <v>2</v>
      </c>
      <c r="CK19">
        <v>55537</v>
      </c>
      <c r="CL19">
        <v>55537</v>
      </c>
      <c r="CM19">
        <v>55537</v>
      </c>
      <c r="CN19">
        <v>0</v>
      </c>
      <c r="CO19">
        <v>-9999</v>
      </c>
      <c r="CP19">
        <v>0</v>
      </c>
      <c r="CQ19">
        <v>0</v>
      </c>
      <c r="CR19">
        <v>0</v>
      </c>
      <c r="CS19">
        <v>0</v>
      </c>
      <c r="CT19">
        <v>2.5</v>
      </c>
      <c r="CU19">
        <v>2.44</v>
      </c>
      <c r="CV19">
        <v>1.5</v>
      </c>
      <c r="CW19">
        <v>0.87</v>
      </c>
      <c r="CX19">
        <v>0.19</v>
      </c>
      <c r="CY19">
        <v>-0.03</v>
      </c>
      <c r="CZ19">
        <v>0.27</v>
      </c>
      <c r="DA19">
        <v>1.44</v>
      </c>
      <c r="DB19">
        <v>106.72</v>
      </c>
      <c r="DC19">
        <v>0</v>
      </c>
      <c r="DD19">
        <v>2.42</v>
      </c>
      <c r="DE19">
        <v>0</v>
      </c>
      <c r="DF19">
        <v>1</v>
      </c>
      <c r="DG19">
        <v>2.37</v>
      </c>
      <c r="DH19">
        <v>0</v>
      </c>
      <c r="DI19">
        <v>1</v>
      </c>
      <c r="DJ19">
        <v>0.6</v>
      </c>
      <c r="DK19">
        <v>0.6</v>
      </c>
      <c r="DL19">
        <v>0.11</v>
      </c>
      <c r="DM19">
        <v>0</v>
      </c>
      <c r="DN19" t="s">
        <v>939</v>
      </c>
      <c r="DO19" t="s">
        <v>245</v>
      </c>
      <c r="DP19" t="s">
        <v>246</v>
      </c>
      <c r="DQ19" t="s">
        <v>247</v>
      </c>
      <c r="DR19" t="s">
        <v>248</v>
      </c>
      <c r="DS19" t="s">
        <v>249</v>
      </c>
      <c r="DT19" t="s">
        <v>250</v>
      </c>
    </row>
    <row r="20" spans="1:124" x14ac:dyDescent="0.45">
      <c r="A20" t="s">
        <v>973</v>
      </c>
      <c r="B20" t="s">
        <v>974</v>
      </c>
      <c r="C20" t="s">
        <v>17</v>
      </c>
      <c r="D20" t="s">
        <v>167</v>
      </c>
      <c r="E20" t="s">
        <v>168</v>
      </c>
      <c r="I20" t="s">
        <v>975</v>
      </c>
      <c r="J20">
        <v>0.9</v>
      </c>
      <c r="K20">
        <v>2.68</v>
      </c>
      <c r="L20">
        <v>0.68</v>
      </c>
      <c r="M20">
        <v>11.31</v>
      </c>
      <c r="N20">
        <v>2.66</v>
      </c>
      <c r="O20">
        <v>2.29</v>
      </c>
      <c r="P20">
        <v>4.29</v>
      </c>
      <c r="Q20">
        <v>1.63</v>
      </c>
      <c r="R20">
        <v>22.7</v>
      </c>
      <c r="S20">
        <v>26.37</v>
      </c>
      <c r="T20">
        <v>42.55</v>
      </c>
      <c r="U20">
        <v>0.44</v>
      </c>
      <c r="V20">
        <v>7.5</v>
      </c>
      <c r="W20" t="s">
        <v>980</v>
      </c>
      <c r="X20">
        <v>0</v>
      </c>
      <c r="Y20">
        <v>0</v>
      </c>
      <c r="Z20">
        <v>0</v>
      </c>
      <c r="AA20">
        <v>107.19</v>
      </c>
      <c r="AB20">
        <v>323.32</v>
      </c>
      <c r="AC20">
        <v>0.67</v>
      </c>
      <c r="AD20">
        <v>0.5</v>
      </c>
      <c r="AE20">
        <v>0.84</v>
      </c>
      <c r="AF20">
        <v>359.94</v>
      </c>
      <c r="AG20">
        <v>1</v>
      </c>
      <c r="AH20">
        <v>49.57</v>
      </c>
      <c r="AI20">
        <v>42.67</v>
      </c>
      <c r="AJ20">
        <v>34.090000000000003</v>
      </c>
      <c r="AK20">
        <v>30.14</v>
      </c>
      <c r="AL20">
        <v>30.14</v>
      </c>
      <c r="AM20">
        <v>100.93</v>
      </c>
      <c r="AN20">
        <v>132.6</v>
      </c>
      <c r="AO20">
        <v>116.9</v>
      </c>
      <c r="AP20">
        <v>11.8</v>
      </c>
      <c r="AQ20">
        <v>1282</v>
      </c>
      <c r="AR20">
        <v>3.68</v>
      </c>
      <c r="AS20">
        <v>-7</v>
      </c>
      <c r="AT20">
        <v>24</v>
      </c>
      <c r="AU20">
        <v>322</v>
      </c>
      <c r="AV20">
        <v>46.48</v>
      </c>
      <c r="AW20">
        <v>68.86</v>
      </c>
      <c r="AX20">
        <v>24.94</v>
      </c>
      <c r="AY20">
        <v>-143.31</v>
      </c>
      <c r="AZ20">
        <v>7.23</v>
      </c>
      <c r="BA20">
        <v>130.29</v>
      </c>
      <c r="BB20">
        <v>38.950000000000003</v>
      </c>
      <c r="BC20" t="s">
        <v>1000</v>
      </c>
      <c r="BD20" t="s">
        <v>17</v>
      </c>
      <c r="BE20">
        <v>35.85</v>
      </c>
      <c r="BF20">
        <v>127.13</v>
      </c>
      <c r="BG20">
        <v>37.4</v>
      </c>
      <c r="BH20">
        <v>14</v>
      </c>
      <c r="BI20">
        <v>0.75</v>
      </c>
      <c r="BJ20" t="s">
        <v>589</v>
      </c>
      <c r="BK20" t="s">
        <v>17</v>
      </c>
      <c r="BL20">
        <v>-1.33</v>
      </c>
      <c r="BM20" t="s">
        <v>165</v>
      </c>
      <c r="BN20">
        <v>0</v>
      </c>
      <c r="BO20">
        <v>0</v>
      </c>
      <c r="BP20">
        <v>0.01</v>
      </c>
      <c r="BQ20">
        <v>-0.19</v>
      </c>
      <c r="BR20">
        <v>-0.53</v>
      </c>
      <c r="BS20">
        <v>-0.86</v>
      </c>
      <c r="BT20" t="s">
        <v>165</v>
      </c>
      <c r="BU20">
        <v>150</v>
      </c>
      <c r="BV20">
        <v>0</v>
      </c>
      <c r="BW20">
        <v>2</v>
      </c>
      <c r="BX20">
        <v>0.06</v>
      </c>
      <c r="BY20">
        <v>0</v>
      </c>
      <c r="BZ20">
        <v>0.03</v>
      </c>
      <c r="CA20">
        <v>0</v>
      </c>
      <c r="CB20">
        <v>0</v>
      </c>
      <c r="CC20">
        <v>0</v>
      </c>
      <c r="CD20" t="s">
        <v>222</v>
      </c>
      <c r="CE20" t="s">
        <v>223</v>
      </c>
      <c r="CF20" t="s">
        <v>224</v>
      </c>
      <c r="CG20">
        <v>6000</v>
      </c>
      <c r="CH20">
        <v>500</v>
      </c>
      <c r="CI20">
        <v>1</v>
      </c>
      <c r="CJ20">
        <v>2</v>
      </c>
      <c r="CK20">
        <v>55537</v>
      </c>
      <c r="CL20">
        <v>55537</v>
      </c>
      <c r="CM20">
        <v>55537</v>
      </c>
      <c r="CN20">
        <v>0</v>
      </c>
      <c r="CO20">
        <v>-9999</v>
      </c>
      <c r="CP20">
        <v>0</v>
      </c>
      <c r="CQ20">
        <v>0</v>
      </c>
      <c r="CR20">
        <v>0</v>
      </c>
      <c r="CS20">
        <v>0</v>
      </c>
      <c r="CT20">
        <v>2.4900000000000002</v>
      </c>
      <c r="CU20">
        <v>2.44</v>
      </c>
      <c r="CV20">
        <v>1.47</v>
      </c>
      <c r="CW20">
        <v>0.85</v>
      </c>
      <c r="CX20">
        <v>0.19</v>
      </c>
      <c r="CY20">
        <v>-0.05</v>
      </c>
      <c r="CZ20">
        <v>0.28000000000000003</v>
      </c>
      <c r="DA20">
        <v>1.23</v>
      </c>
      <c r="DB20">
        <v>107.19</v>
      </c>
      <c r="DC20">
        <v>0</v>
      </c>
      <c r="DD20">
        <v>2.42</v>
      </c>
      <c r="DE20">
        <v>0</v>
      </c>
      <c r="DF20">
        <v>1</v>
      </c>
      <c r="DG20">
        <v>2.37</v>
      </c>
      <c r="DH20">
        <v>0</v>
      </c>
      <c r="DI20">
        <v>1</v>
      </c>
      <c r="DJ20">
        <v>0.6</v>
      </c>
      <c r="DK20">
        <v>0.6</v>
      </c>
      <c r="DL20">
        <v>0.11</v>
      </c>
      <c r="DM20">
        <v>0</v>
      </c>
      <c r="DN20" t="s">
        <v>980</v>
      </c>
      <c r="DO20" t="s">
        <v>245</v>
      </c>
      <c r="DP20" t="s">
        <v>246</v>
      </c>
      <c r="DQ20" t="s">
        <v>247</v>
      </c>
      <c r="DR20" t="s">
        <v>248</v>
      </c>
      <c r="DS20" t="s">
        <v>249</v>
      </c>
      <c r="DT20" t="s">
        <v>250</v>
      </c>
    </row>
    <row r="21" spans="1:124" x14ac:dyDescent="0.45">
      <c r="A21" t="s">
        <v>1016</v>
      </c>
      <c r="B21" t="s">
        <v>1017</v>
      </c>
      <c r="C21" t="s">
        <v>17</v>
      </c>
      <c r="D21" t="s">
        <v>167</v>
      </c>
      <c r="E21" t="s">
        <v>168</v>
      </c>
      <c r="I21" t="s">
        <v>1018</v>
      </c>
      <c r="J21">
        <v>0.84</v>
      </c>
      <c r="K21">
        <v>2.76</v>
      </c>
      <c r="L21">
        <v>0.64</v>
      </c>
      <c r="M21">
        <v>13.75</v>
      </c>
      <c r="N21">
        <v>2.79</v>
      </c>
      <c r="O21">
        <v>2.36</v>
      </c>
      <c r="P21">
        <v>4.87</v>
      </c>
      <c r="Q21">
        <v>2.08</v>
      </c>
      <c r="R21">
        <v>23.41</v>
      </c>
      <c r="S21">
        <v>27.64</v>
      </c>
      <c r="T21">
        <v>48.23</v>
      </c>
      <c r="U21">
        <v>0.44</v>
      </c>
      <c r="V21">
        <v>7.5</v>
      </c>
      <c r="W21" t="s">
        <v>1023</v>
      </c>
      <c r="X21">
        <v>0</v>
      </c>
      <c r="Y21">
        <v>0</v>
      </c>
      <c r="Z21">
        <v>0</v>
      </c>
      <c r="AA21">
        <v>142.4</v>
      </c>
      <c r="AB21">
        <v>369.21</v>
      </c>
      <c r="AC21">
        <v>0.61</v>
      </c>
      <c r="AD21">
        <v>0.5</v>
      </c>
      <c r="AE21">
        <v>0.84</v>
      </c>
      <c r="AF21">
        <v>321.23</v>
      </c>
      <c r="AG21">
        <v>1</v>
      </c>
      <c r="AH21">
        <v>51.05</v>
      </c>
      <c r="AI21">
        <v>43.23</v>
      </c>
      <c r="AJ21">
        <v>34.409999999999997</v>
      </c>
      <c r="AK21">
        <v>32.340000000000003</v>
      </c>
      <c r="AL21">
        <v>32.340000000000003</v>
      </c>
      <c r="AM21">
        <v>100.93</v>
      </c>
      <c r="AN21">
        <v>139.6</v>
      </c>
      <c r="AO21">
        <v>133.80000000000001</v>
      </c>
      <c r="AP21">
        <v>4.2</v>
      </c>
      <c r="AQ21">
        <v>1245</v>
      </c>
      <c r="AR21">
        <v>3.67</v>
      </c>
      <c r="AS21">
        <v>-19</v>
      </c>
      <c r="AT21">
        <v>2</v>
      </c>
      <c r="AU21">
        <v>132</v>
      </c>
      <c r="AV21">
        <v>19.989999999999998</v>
      </c>
      <c r="AW21">
        <v>93.98</v>
      </c>
      <c r="AX21">
        <v>19.100000000000001</v>
      </c>
      <c r="AY21">
        <v>-41.88</v>
      </c>
      <c r="AZ21">
        <v>7.22</v>
      </c>
      <c r="BA21">
        <v>130.6</v>
      </c>
      <c r="BB21">
        <v>38.79</v>
      </c>
      <c r="BC21" t="s">
        <v>1045</v>
      </c>
      <c r="BD21" t="s">
        <v>17</v>
      </c>
      <c r="BE21">
        <v>35.85</v>
      </c>
      <c r="BF21">
        <v>127.13</v>
      </c>
      <c r="BG21">
        <v>36.799999999999997</v>
      </c>
      <c r="BH21">
        <v>14</v>
      </c>
      <c r="BI21">
        <v>0.75</v>
      </c>
      <c r="BJ21" t="s">
        <v>1048</v>
      </c>
      <c r="BK21" t="s">
        <v>17</v>
      </c>
      <c r="BL21">
        <v>-0.96</v>
      </c>
      <c r="BM21" t="s">
        <v>165</v>
      </c>
      <c r="BN21">
        <v>0</v>
      </c>
      <c r="BO21">
        <v>0</v>
      </c>
      <c r="BP21">
        <v>0</v>
      </c>
      <c r="BQ21">
        <v>0.56000000000000005</v>
      </c>
      <c r="BR21">
        <v>0.5</v>
      </c>
      <c r="BS21">
        <v>-0.04</v>
      </c>
      <c r="BT21" t="s">
        <v>165</v>
      </c>
      <c r="BU21">
        <v>150</v>
      </c>
      <c r="BV21">
        <v>0</v>
      </c>
      <c r="BW21">
        <v>2</v>
      </c>
      <c r="BX21">
        <v>0.06</v>
      </c>
      <c r="BY21">
        <v>0</v>
      </c>
      <c r="BZ21">
        <v>0.03</v>
      </c>
      <c r="CA21">
        <v>0</v>
      </c>
      <c r="CB21">
        <v>0</v>
      </c>
      <c r="CC21">
        <v>0</v>
      </c>
      <c r="CD21" t="s">
        <v>222</v>
      </c>
      <c r="CE21" t="s">
        <v>223</v>
      </c>
      <c r="CF21" t="s">
        <v>224</v>
      </c>
      <c r="CG21">
        <v>6000</v>
      </c>
      <c r="CH21">
        <v>500</v>
      </c>
      <c r="CI21">
        <v>1</v>
      </c>
      <c r="CJ21">
        <v>2</v>
      </c>
      <c r="CK21">
        <v>55537</v>
      </c>
      <c r="CL21">
        <v>55537</v>
      </c>
      <c r="CM21">
        <v>55537</v>
      </c>
      <c r="CN21">
        <v>0</v>
      </c>
      <c r="CO21">
        <v>-9999</v>
      </c>
      <c r="CP21">
        <v>0</v>
      </c>
      <c r="CQ21">
        <v>0</v>
      </c>
      <c r="CR21">
        <v>0</v>
      </c>
      <c r="CS21">
        <v>0</v>
      </c>
      <c r="CT21">
        <v>2.4900000000000002</v>
      </c>
      <c r="CU21">
        <v>2.44</v>
      </c>
      <c r="CV21">
        <v>1.53</v>
      </c>
      <c r="CW21">
        <v>0.89</v>
      </c>
      <c r="CX21">
        <v>0.19</v>
      </c>
      <c r="CY21">
        <v>-0.03</v>
      </c>
      <c r="CZ21">
        <v>0.28999999999999998</v>
      </c>
      <c r="DA21">
        <v>1.19</v>
      </c>
      <c r="DB21">
        <v>142.4</v>
      </c>
      <c r="DC21">
        <v>0</v>
      </c>
      <c r="DD21">
        <v>2.42</v>
      </c>
      <c r="DE21">
        <v>0</v>
      </c>
      <c r="DF21">
        <v>1</v>
      </c>
      <c r="DG21">
        <v>2.37</v>
      </c>
      <c r="DH21">
        <v>0</v>
      </c>
      <c r="DI21">
        <v>1</v>
      </c>
      <c r="DJ21">
        <v>0.6</v>
      </c>
      <c r="DK21">
        <v>0.6</v>
      </c>
      <c r="DL21">
        <v>0.11</v>
      </c>
      <c r="DM21">
        <v>0</v>
      </c>
      <c r="DN21" t="s">
        <v>1023</v>
      </c>
      <c r="DO21" t="s">
        <v>245</v>
      </c>
      <c r="DP21" t="s">
        <v>246</v>
      </c>
      <c r="DQ21" t="s">
        <v>247</v>
      </c>
      <c r="DR21" t="s">
        <v>248</v>
      </c>
      <c r="DS21" t="s">
        <v>249</v>
      </c>
      <c r="DT21" t="s">
        <v>250</v>
      </c>
    </row>
    <row r="22" spans="1:124" x14ac:dyDescent="0.45">
      <c r="A22" t="s">
        <v>1061</v>
      </c>
      <c r="B22" t="s">
        <v>1062</v>
      </c>
      <c r="C22" t="s">
        <v>17</v>
      </c>
      <c r="D22" t="s">
        <v>167</v>
      </c>
      <c r="E22" t="s">
        <v>168</v>
      </c>
      <c r="I22" t="s">
        <v>1063</v>
      </c>
      <c r="J22">
        <v>0.57999999999999996</v>
      </c>
      <c r="K22">
        <v>2.6</v>
      </c>
      <c r="L22">
        <v>0.48</v>
      </c>
      <c r="M22">
        <v>9.8000000000000007</v>
      </c>
      <c r="N22">
        <v>2.79</v>
      </c>
      <c r="O22">
        <v>2.46</v>
      </c>
      <c r="P22">
        <v>4.79</v>
      </c>
      <c r="Q22">
        <v>2</v>
      </c>
      <c r="R22">
        <v>24.32</v>
      </c>
      <c r="S22">
        <v>27.67</v>
      </c>
      <c r="T22">
        <v>47.47</v>
      </c>
      <c r="U22">
        <v>0.44</v>
      </c>
      <c r="V22">
        <v>7.5</v>
      </c>
      <c r="W22" t="s">
        <v>1068</v>
      </c>
      <c r="X22">
        <v>0</v>
      </c>
      <c r="Y22">
        <v>0</v>
      </c>
      <c r="Z22">
        <v>0</v>
      </c>
      <c r="AA22">
        <v>132.29</v>
      </c>
      <c r="AB22">
        <v>426.18</v>
      </c>
      <c r="AC22">
        <v>0.69</v>
      </c>
      <c r="AD22">
        <v>0.5</v>
      </c>
      <c r="AE22">
        <v>0.84</v>
      </c>
      <c r="AF22">
        <v>386.94</v>
      </c>
      <c r="AG22">
        <v>1</v>
      </c>
      <c r="AH22">
        <v>50.63</v>
      </c>
      <c r="AI22">
        <v>44.5</v>
      </c>
      <c r="AJ22">
        <v>34.57</v>
      </c>
      <c r="AK22">
        <v>32.06</v>
      </c>
      <c r="AL22">
        <v>32.06</v>
      </c>
      <c r="AM22">
        <v>100.94</v>
      </c>
      <c r="AN22">
        <v>125.7</v>
      </c>
      <c r="AO22">
        <v>125.5</v>
      </c>
      <c r="AP22">
        <v>0.2</v>
      </c>
      <c r="AQ22">
        <v>1336</v>
      </c>
      <c r="AR22">
        <v>3.67</v>
      </c>
      <c r="AS22">
        <v>-16</v>
      </c>
      <c r="AT22">
        <v>3</v>
      </c>
      <c r="AU22">
        <v>137</v>
      </c>
      <c r="AV22">
        <v>23.28</v>
      </c>
      <c r="AW22">
        <v>91.86</v>
      </c>
      <c r="AX22">
        <v>16.27</v>
      </c>
      <c r="AY22">
        <v>-32.229999999999997</v>
      </c>
      <c r="AZ22">
        <v>7.22</v>
      </c>
      <c r="BA22">
        <v>131.22999999999999</v>
      </c>
      <c r="BB22">
        <v>38.49</v>
      </c>
      <c r="BC22" t="s">
        <v>1085</v>
      </c>
      <c r="BD22" t="s">
        <v>17</v>
      </c>
      <c r="BE22">
        <v>35.85</v>
      </c>
      <c r="BF22">
        <v>127.13</v>
      </c>
      <c r="BG22">
        <v>35.700000000000003</v>
      </c>
      <c r="BH22">
        <v>14</v>
      </c>
      <c r="BI22">
        <v>0.75</v>
      </c>
      <c r="BJ22" t="s">
        <v>1048</v>
      </c>
      <c r="BK22" t="s">
        <v>17</v>
      </c>
      <c r="BL22">
        <v>-0.96</v>
      </c>
      <c r="BM22" t="s">
        <v>165</v>
      </c>
      <c r="BN22">
        <v>0</v>
      </c>
      <c r="BO22">
        <v>0</v>
      </c>
      <c r="BP22">
        <v>0</v>
      </c>
      <c r="BQ22">
        <v>0.6</v>
      </c>
      <c r="BR22">
        <v>0.86</v>
      </c>
      <c r="BS22">
        <v>1.75</v>
      </c>
      <c r="BT22" t="s">
        <v>165</v>
      </c>
      <c r="BU22">
        <v>150</v>
      </c>
      <c r="BV22">
        <v>0</v>
      </c>
      <c r="BW22">
        <v>2</v>
      </c>
      <c r="BX22">
        <v>0.06</v>
      </c>
      <c r="BY22">
        <v>0</v>
      </c>
      <c r="BZ22">
        <v>0.03</v>
      </c>
      <c r="CA22">
        <v>0</v>
      </c>
      <c r="CB22">
        <v>0</v>
      </c>
      <c r="CC22">
        <v>0</v>
      </c>
      <c r="CD22" t="s">
        <v>222</v>
      </c>
      <c r="CE22" t="s">
        <v>223</v>
      </c>
      <c r="CF22" t="s">
        <v>224</v>
      </c>
      <c r="CG22">
        <v>6000</v>
      </c>
      <c r="CH22">
        <v>500</v>
      </c>
      <c r="CI22">
        <v>1</v>
      </c>
      <c r="CJ22">
        <v>2</v>
      </c>
      <c r="CK22">
        <v>55537</v>
      </c>
      <c r="CL22">
        <v>55537</v>
      </c>
      <c r="CM22">
        <v>55537</v>
      </c>
      <c r="CN22">
        <v>0</v>
      </c>
      <c r="CO22">
        <v>-9999</v>
      </c>
      <c r="CP22">
        <v>0</v>
      </c>
      <c r="CQ22">
        <v>0</v>
      </c>
      <c r="CR22">
        <v>0</v>
      </c>
      <c r="CS22">
        <v>0</v>
      </c>
      <c r="CT22">
        <v>2.5</v>
      </c>
      <c r="CU22">
        <v>2.44</v>
      </c>
      <c r="CV22">
        <v>1.42</v>
      </c>
      <c r="CW22">
        <v>0.87</v>
      </c>
      <c r="CX22">
        <v>0.19</v>
      </c>
      <c r="CY22">
        <v>-0.03</v>
      </c>
      <c r="CZ22">
        <v>0.28999999999999998</v>
      </c>
      <c r="DA22">
        <v>1.27</v>
      </c>
      <c r="DB22">
        <v>132.29</v>
      </c>
      <c r="DC22">
        <v>0</v>
      </c>
      <c r="DD22">
        <v>2.42</v>
      </c>
      <c r="DE22">
        <v>0</v>
      </c>
      <c r="DF22">
        <v>1</v>
      </c>
      <c r="DG22">
        <v>2.37</v>
      </c>
      <c r="DH22">
        <v>0</v>
      </c>
      <c r="DI22">
        <v>1</v>
      </c>
      <c r="DJ22">
        <v>0.6</v>
      </c>
      <c r="DK22">
        <v>0.6</v>
      </c>
      <c r="DL22">
        <v>0.11</v>
      </c>
      <c r="DM22">
        <v>0</v>
      </c>
      <c r="DN22" t="s">
        <v>1068</v>
      </c>
      <c r="DO22" t="s">
        <v>245</v>
      </c>
      <c r="DP22" t="s">
        <v>246</v>
      </c>
      <c r="DQ22" t="s">
        <v>247</v>
      </c>
      <c r="DR22" t="s">
        <v>248</v>
      </c>
      <c r="DS22" t="s">
        <v>249</v>
      </c>
      <c r="DT22" t="s">
        <v>250</v>
      </c>
    </row>
    <row r="23" spans="1:124" x14ac:dyDescent="0.45">
      <c r="A23" t="s">
        <v>1100</v>
      </c>
      <c r="B23" t="s">
        <v>1101</v>
      </c>
      <c r="C23" t="s">
        <v>17</v>
      </c>
      <c r="D23" t="s">
        <v>167</v>
      </c>
      <c r="E23" t="s">
        <v>168</v>
      </c>
      <c r="I23" t="s">
        <v>1102</v>
      </c>
      <c r="J23">
        <v>0.87</v>
      </c>
      <c r="K23">
        <v>2.63</v>
      </c>
      <c r="L23">
        <v>0.65</v>
      </c>
      <c r="M23">
        <v>13.94</v>
      </c>
      <c r="N23">
        <v>2.93</v>
      </c>
      <c r="O23">
        <v>2.46</v>
      </c>
      <c r="P23">
        <v>4.99</v>
      </c>
      <c r="Q23">
        <v>2.06</v>
      </c>
      <c r="R23">
        <v>24.35</v>
      </c>
      <c r="S23">
        <v>29</v>
      </c>
      <c r="T23">
        <v>49.46</v>
      </c>
      <c r="U23">
        <v>0.44</v>
      </c>
      <c r="V23">
        <v>7.5</v>
      </c>
      <c r="W23" t="s">
        <v>1107</v>
      </c>
      <c r="X23">
        <v>0</v>
      </c>
      <c r="Y23">
        <v>0</v>
      </c>
      <c r="Z23">
        <v>0</v>
      </c>
      <c r="AA23">
        <v>153.4</v>
      </c>
      <c r="AB23">
        <v>361</v>
      </c>
      <c r="AC23">
        <v>0.57999999999999996</v>
      </c>
      <c r="AD23">
        <v>0.5</v>
      </c>
      <c r="AE23">
        <v>0.84</v>
      </c>
      <c r="AF23">
        <v>324.62</v>
      </c>
      <c r="AG23">
        <v>1</v>
      </c>
      <c r="AH23">
        <v>52.69</v>
      </c>
      <c r="AI23">
        <v>44.24</v>
      </c>
      <c r="AJ23">
        <v>34.700000000000003</v>
      </c>
      <c r="AK23">
        <v>32.79</v>
      </c>
      <c r="AL23">
        <v>32.79</v>
      </c>
      <c r="AM23">
        <v>100.94</v>
      </c>
      <c r="AN23">
        <v>128.5</v>
      </c>
      <c r="AO23">
        <v>115.8</v>
      </c>
      <c r="AP23">
        <v>9.9</v>
      </c>
      <c r="AQ23">
        <v>1344</v>
      </c>
      <c r="AR23">
        <v>3.67</v>
      </c>
      <c r="AS23">
        <v>-16</v>
      </c>
      <c r="AT23">
        <v>3</v>
      </c>
      <c r="AU23">
        <v>143</v>
      </c>
      <c r="AV23">
        <v>24.15</v>
      </c>
      <c r="AW23">
        <v>91.25</v>
      </c>
      <c r="AX23">
        <v>16.27</v>
      </c>
      <c r="AY23">
        <v>-26.23</v>
      </c>
      <c r="AZ23">
        <v>7.22</v>
      </c>
      <c r="BA23">
        <v>131.22999999999999</v>
      </c>
      <c r="BB23">
        <v>38.49</v>
      </c>
      <c r="BC23" t="s">
        <v>1124</v>
      </c>
      <c r="BD23" t="s">
        <v>17</v>
      </c>
      <c r="BE23">
        <v>35.85</v>
      </c>
      <c r="BF23">
        <v>127.13</v>
      </c>
      <c r="BG23">
        <v>35.5</v>
      </c>
      <c r="BH23">
        <v>14</v>
      </c>
      <c r="BI23">
        <v>0.75</v>
      </c>
      <c r="BJ23" t="s">
        <v>1048</v>
      </c>
      <c r="BK23" t="s">
        <v>17</v>
      </c>
      <c r="BL23">
        <v>-0.96</v>
      </c>
      <c r="BM23" t="s">
        <v>165</v>
      </c>
      <c r="BN23">
        <v>0</v>
      </c>
      <c r="BO23">
        <v>0</v>
      </c>
      <c r="BP23">
        <v>0.01</v>
      </c>
      <c r="BQ23">
        <v>-0.17</v>
      </c>
      <c r="BR23">
        <v>-0.39</v>
      </c>
      <c r="BS23">
        <v>-1.1200000000000001</v>
      </c>
      <c r="BT23" t="s">
        <v>165</v>
      </c>
      <c r="BU23">
        <v>150</v>
      </c>
      <c r="BV23">
        <v>0</v>
      </c>
      <c r="BW23">
        <v>2</v>
      </c>
      <c r="BX23">
        <v>0.06</v>
      </c>
      <c r="BY23">
        <v>0</v>
      </c>
      <c r="BZ23">
        <v>0.03</v>
      </c>
      <c r="CA23">
        <v>0</v>
      </c>
      <c r="CB23">
        <v>0</v>
      </c>
      <c r="CC23">
        <v>0</v>
      </c>
      <c r="CD23" t="s">
        <v>222</v>
      </c>
      <c r="CE23" t="s">
        <v>223</v>
      </c>
      <c r="CF23" t="s">
        <v>224</v>
      </c>
      <c r="CG23">
        <v>6000</v>
      </c>
      <c r="CH23">
        <v>500</v>
      </c>
      <c r="CI23">
        <v>1</v>
      </c>
      <c r="CJ23">
        <v>2</v>
      </c>
      <c r="CK23">
        <v>55537</v>
      </c>
      <c r="CL23">
        <v>55537</v>
      </c>
      <c r="CM23">
        <v>55537</v>
      </c>
      <c r="CN23">
        <v>0</v>
      </c>
      <c r="CO23">
        <v>-9999</v>
      </c>
      <c r="CP23">
        <v>0</v>
      </c>
      <c r="CQ23">
        <v>0</v>
      </c>
      <c r="CR23">
        <v>0</v>
      </c>
      <c r="CS23">
        <v>0</v>
      </c>
      <c r="CT23">
        <v>2.4900000000000002</v>
      </c>
      <c r="CU23">
        <v>2.4500000000000002</v>
      </c>
      <c r="CV23">
        <v>1.44</v>
      </c>
      <c r="CW23">
        <v>0.84</v>
      </c>
      <c r="CX23">
        <v>0.19</v>
      </c>
      <c r="CY23">
        <v>-0.02</v>
      </c>
      <c r="CZ23">
        <v>0.3</v>
      </c>
      <c r="DA23">
        <v>1.28</v>
      </c>
      <c r="DB23">
        <v>153.4</v>
      </c>
      <c r="DC23">
        <v>0</v>
      </c>
      <c r="DD23">
        <v>2.42</v>
      </c>
      <c r="DE23">
        <v>0</v>
      </c>
      <c r="DF23">
        <v>1</v>
      </c>
      <c r="DG23">
        <v>2.37</v>
      </c>
      <c r="DH23">
        <v>0</v>
      </c>
      <c r="DI23">
        <v>1</v>
      </c>
      <c r="DJ23">
        <v>0.6</v>
      </c>
      <c r="DK23">
        <v>0.6</v>
      </c>
      <c r="DL23">
        <v>0.11</v>
      </c>
      <c r="DM23">
        <v>0</v>
      </c>
      <c r="DN23" t="s">
        <v>1107</v>
      </c>
      <c r="DO23" t="s">
        <v>245</v>
      </c>
      <c r="DP23" t="s">
        <v>246</v>
      </c>
      <c r="DQ23" t="s">
        <v>247</v>
      </c>
      <c r="DR23" t="s">
        <v>248</v>
      </c>
      <c r="DS23" t="s">
        <v>249</v>
      </c>
      <c r="DT23" t="s">
        <v>250</v>
      </c>
    </row>
    <row r="24" spans="1:124" x14ac:dyDescent="0.45">
      <c r="A24" t="s">
        <v>1138</v>
      </c>
      <c r="B24" t="s">
        <v>1139</v>
      </c>
      <c r="C24" t="s">
        <v>17</v>
      </c>
      <c r="D24" t="s">
        <v>167</v>
      </c>
      <c r="E24" t="s">
        <v>168</v>
      </c>
      <c r="I24" t="s">
        <v>1140</v>
      </c>
      <c r="J24">
        <v>0.35</v>
      </c>
      <c r="K24">
        <v>2.71</v>
      </c>
      <c r="L24">
        <v>0.31</v>
      </c>
      <c r="M24">
        <v>6.75</v>
      </c>
      <c r="N24">
        <v>2.57</v>
      </c>
      <c r="O24">
        <v>2.35</v>
      </c>
      <c r="P24">
        <v>4.68</v>
      </c>
      <c r="Q24">
        <v>2.12</v>
      </c>
      <c r="R24">
        <v>23.29</v>
      </c>
      <c r="S24">
        <v>25.43</v>
      </c>
      <c r="T24">
        <v>46.41</v>
      </c>
      <c r="U24">
        <v>0.44</v>
      </c>
      <c r="V24">
        <v>7.5</v>
      </c>
      <c r="W24" t="s">
        <v>1145</v>
      </c>
      <c r="X24">
        <v>0</v>
      </c>
      <c r="Y24">
        <v>0</v>
      </c>
      <c r="Z24">
        <v>0</v>
      </c>
      <c r="AA24">
        <v>105.27</v>
      </c>
      <c r="AB24">
        <v>319.95</v>
      </c>
      <c r="AC24">
        <v>0.67</v>
      </c>
      <c r="AD24">
        <v>0.5</v>
      </c>
      <c r="AE24">
        <v>0.84</v>
      </c>
      <c r="AF24">
        <v>313.10000000000002</v>
      </c>
      <c r="AG24">
        <v>1</v>
      </c>
      <c r="AH24">
        <v>45.62</v>
      </c>
      <c r="AI24">
        <v>41.77</v>
      </c>
      <c r="AJ24">
        <v>34.93</v>
      </c>
      <c r="AK24">
        <v>31.66</v>
      </c>
      <c r="AL24">
        <v>31.66</v>
      </c>
      <c r="AM24">
        <v>100.93</v>
      </c>
      <c r="AN24">
        <v>135.4</v>
      </c>
      <c r="AO24">
        <v>134.6</v>
      </c>
      <c r="AP24">
        <v>0.6</v>
      </c>
      <c r="AQ24">
        <v>1111</v>
      </c>
      <c r="AR24">
        <v>3.66</v>
      </c>
      <c r="AS24">
        <v>-17</v>
      </c>
      <c r="AT24">
        <v>1</v>
      </c>
      <c r="AU24">
        <v>338</v>
      </c>
      <c r="AV24">
        <v>53.21</v>
      </c>
      <c r="AW24">
        <v>59.88</v>
      </c>
      <c r="AX24">
        <v>17.03</v>
      </c>
      <c r="AY24">
        <v>161.41999999999999</v>
      </c>
      <c r="AZ24">
        <v>7.22</v>
      </c>
      <c r="BA24">
        <v>132.83000000000001</v>
      </c>
      <c r="BB24">
        <v>37.729999999999997</v>
      </c>
      <c r="BC24" t="s">
        <v>1164</v>
      </c>
      <c r="BD24" t="s">
        <v>17</v>
      </c>
      <c r="BE24">
        <v>35.85</v>
      </c>
      <c r="BF24">
        <v>127.13</v>
      </c>
      <c r="BG24">
        <v>35.1</v>
      </c>
      <c r="BH24">
        <v>14</v>
      </c>
      <c r="BI24">
        <v>0.74</v>
      </c>
      <c r="BJ24" t="s">
        <v>1048</v>
      </c>
      <c r="BK24" t="s">
        <v>17</v>
      </c>
      <c r="BL24">
        <v>-0.96</v>
      </c>
      <c r="BM24" t="s">
        <v>165</v>
      </c>
      <c r="BN24">
        <v>0</v>
      </c>
      <c r="BO24">
        <v>0</v>
      </c>
      <c r="BP24">
        <v>0</v>
      </c>
      <c r="BQ24">
        <v>-0.18</v>
      </c>
      <c r="BR24">
        <v>-7.0000000000000007E-2</v>
      </c>
      <c r="BS24">
        <v>-7.0000000000000007E-2</v>
      </c>
      <c r="BT24" t="s">
        <v>165</v>
      </c>
      <c r="BU24">
        <v>150</v>
      </c>
      <c r="BV24">
        <v>0</v>
      </c>
      <c r="BW24">
        <v>2</v>
      </c>
      <c r="BX24">
        <v>0.06</v>
      </c>
      <c r="BY24">
        <v>0</v>
      </c>
      <c r="BZ24">
        <v>0.03</v>
      </c>
      <c r="CA24">
        <v>0</v>
      </c>
      <c r="CB24">
        <v>0</v>
      </c>
      <c r="CC24">
        <v>0</v>
      </c>
      <c r="CD24" t="s">
        <v>222</v>
      </c>
      <c r="CE24" t="s">
        <v>223</v>
      </c>
      <c r="CF24" t="s">
        <v>224</v>
      </c>
      <c r="CG24">
        <v>6000</v>
      </c>
      <c r="CH24">
        <v>500</v>
      </c>
      <c r="CI24">
        <v>1</v>
      </c>
      <c r="CJ24">
        <v>2</v>
      </c>
      <c r="CK24">
        <v>55537</v>
      </c>
      <c r="CL24">
        <v>55537</v>
      </c>
      <c r="CM24">
        <v>55537</v>
      </c>
      <c r="CN24">
        <v>0</v>
      </c>
      <c r="CO24">
        <v>-9999</v>
      </c>
      <c r="CP24">
        <v>0</v>
      </c>
      <c r="CQ24">
        <v>0</v>
      </c>
      <c r="CR24">
        <v>0</v>
      </c>
      <c r="CS24">
        <v>0</v>
      </c>
      <c r="CT24">
        <v>2.4900000000000002</v>
      </c>
      <c r="CU24">
        <v>2.44</v>
      </c>
      <c r="CV24">
        <v>1.5</v>
      </c>
      <c r="CW24">
        <v>0.89</v>
      </c>
      <c r="CX24">
        <v>0.18</v>
      </c>
      <c r="CY24">
        <v>-0.04</v>
      </c>
      <c r="CZ24">
        <v>0.33</v>
      </c>
      <c r="DA24">
        <v>1.08</v>
      </c>
      <c r="DB24">
        <v>105.27</v>
      </c>
      <c r="DC24">
        <v>0</v>
      </c>
      <c r="DD24">
        <v>2.42</v>
      </c>
      <c r="DE24">
        <v>0</v>
      </c>
      <c r="DF24">
        <v>1</v>
      </c>
      <c r="DG24">
        <v>2.37</v>
      </c>
      <c r="DH24">
        <v>0</v>
      </c>
      <c r="DI24">
        <v>1</v>
      </c>
      <c r="DJ24">
        <v>0.6</v>
      </c>
      <c r="DK24">
        <v>0.6</v>
      </c>
      <c r="DL24">
        <v>0.11</v>
      </c>
      <c r="DM24">
        <v>0</v>
      </c>
      <c r="DN24" t="s">
        <v>1145</v>
      </c>
      <c r="DO24" t="s">
        <v>245</v>
      </c>
      <c r="DP24" t="s">
        <v>246</v>
      </c>
      <c r="DQ24" t="s">
        <v>247</v>
      </c>
      <c r="DR24" t="s">
        <v>248</v>
      </c>
      <c r="DS24" t="s">
        <v>249</v>
      </c>
      <c r="DT24" t="s">
        <v>250</v>
      </c>
    </row>
    <row r="25" spans="1:124" x14ac:dyDescent="0.45">
      <c r="A25" t="s">
        <v>992</v>
      </c>
      <c r="B25" t="s">
        <v>1180</v>
      </c>
      <c r="C25" t="s">
        <v>17</v>
      </c>
      <c r="D25" t="s">
        <v>167</v>
      </c>
      <c r="E25" t="s">
        <v>168</v>
      </c>
      <c r="I25" t="s">
        <v>1181</v>
      </c>
      <c r="J25">
        <v>0.95</v>
      </c>
      <c r="K25">
        <v>2.66</v>
      </c>
      <c r="L25">
        <v>0.7</v>
      </c>
      <c r="M25">
        <v>11.37</v>
      </c>
      <c r="N25">
        <v>2.7</v>
      </c>
      <c r="O25">
        <v>2.33</v>
      </c>
      <c r="P25">
        <v>4.29</v>
      </c>
      <c r="Q25">
        <v>1.59</v>
      </c>
      <c r="R25">
        <v>23.04</v>
      </c>
      <c r="S25">
        <v>26.77</v>
      </c>
      <c r="T25">
        <v>42.48</v>
      </c>
      <c r="U25">
        <v>0.44</v>
      </c>
      <c r="V25">
        <v>7.5</v>
      </c>
      <c r="W25" t="s">
        <v>1186</v>
      </c>
      <c r="X25">
        <v>0</v>
      </c>
      <c r="Y25">
        <v>0</v>
      </c>
      <c r="Z25">
        <v>0</v>
      </c>
      <c r="AA25">
        <v>105.22</v>
      </c>
      <c r="AB25">
        <v>377.9</v>
      </c>
      <c r="AC25">
        <v>0.72</v>
      </c>
      <c r="AD25">
        <v>0.5</v>
      </c>
      <c r="AE25">
        <v>0.84</v>
      </c>
      <c r="AF25">
        <v>152.44</v>
      </c>
      <c r="AG25">
        <v>1</v>
      </c>
      <c r="AH25">
        <v>48.03</v>
      </c>
      <c r="AI25">
        <v>41.34</v>
      </c>
      <c r="AJ25">
        <v>34.92</v>
      </c>
      <c r="AK25">
        <v>30.11</v>
      </c>
      <c r="AL25">
        <v>30.11</v>
      </c>
      <c r="AM25">
        <v>100.93</v>
      </c>
      <c r="AN25">
        <v>131.19999999999999</v>
      </c>
      <c r="AO25">
        <v>128.30000000000001</v>
      </c>
      <c r="AP25">
        <v>2.2000000000000002</v>
      </c>
      <c r="AQ25">
        <v>503</v>
      </c>
      <c r="AR25">
        <v>3.66</v>
      </c>
      <c r="AS25">
        <v>-21</v>
      </c>
      <c r="AT25">
        <v>0</v>
      </c>
      <c r="AU25">
        <v>324</v>
      </c>
      <c r="AV25">
        <v>58.32</v>
      </c>
      <c r="AW25">
        <v>52.51</v>
      </c>
      <c r="AX25">
        <v>21</v>
      </c>
      <c r="AY25">
        <v>144</v>
      </c>
      <c r="AZ25">
        <v>7.22</v>
      </c>
      <c r="BA25">
        <v>133.15</v>
      </c>
      <c r="BB25">
        <v>37.590000000000003</v>
      </c>
      <c r="BC25" t="s">
        <v>1203</v>
      </c>
      <c r="BD25" t="s">
        <v>17</v>
      </c>
      <c r="BE25">
        <v>35.85</v>
      </c>
      <c r="BF25">
        <v>127.13</v>
      </c>
      <c r="BG25">
        <v>35.200000000000003</v>
      </c>
      <c r="BH25">
        <v>13</v>
      </c>
      <c r="BI25">
        <v>0.84</v>
      </c>
      <c r="BJ25" t="s">
        <v>1048</v>
      </c>
      <c r="BK25" t="s">
        <v>17</v>
      </c>
      <c r="BL25">
        <v>-0.96</v>
      </c>
      <c r="BM25" t="s">
        <v>165</v>
      </c>
      <c r="BN25">
        <v>0</v>
      </c>
      <c r="BO25">
        <v>0</v>
      </c>
      <c r="BP25">
        <v>0.03</v>
      </c>
      <c r="BQ25">
        <v>-0.17</v>
      </c>
      <c r="BR25">
        <v>-0.37</v>
      </c>
      <c r="BS25">
        <v>-0.4</v>
      </c>
      <c r="BT25" t="s">
        <v>165</v>
      </c>
      <c r="BU25">
        <v>150</v>
      </c>
      <c r="BV25">
        <v>0</v>
      </c>
      <c r="BW25">
        <v>2</v>
      </c>
      <c r="BX25">
        <v>0.06</v>
      </c>
      <c r="BY25">
        <v>0</v>
      </c>
      <c r="BZ25">
        <v>0.03</v>
      </c>
      <c r="CA25">
        <v>0</v>
      </c>
      <c r="CB25">
        <v>0</v>
      </c>
      <c r="CC25">
        <v>0</v>
      </c>
      <c r="CD25" t="s">
        <v>222</v>
      </c>
      <c r="CE25" t="s">
        <v>223</v>
      </c>
      <c r="CF25" t="s">
        <v>224</v>
      </c>
      <c r="CG25">
        <v>6000</v>
      </c>
      <c r="CH25">
        <v>500</v>
      </c>
      <c r="CI25">
        <v>1</v>
      </c>
      <c r="CJ25">
        <v>2</v>
      </c>
      <c r="CK25">
        <v>55537</v>
      </c>
      <c r="CL25">
        <v>55537</v>
      </c>
      <c r="CM25">
        <v>55537</v>
      </c>
      <c r="CN25">
        <v>0</v>
      </c>
      <c r="CO25">
        <v>-9999</v>
      </c>
      <c r="CP25">
        <v>0</v>
      </c>
      <c r="CQ25">
        <v>0</v>
      </c>
      <c r="CR25">
        <v>0</v>
      </c>
      <c r="CS25">
        <v>0</v>
      </c>
      <c r="CT25">
        <v>2.4900000000000002</v>
      </c>
      <c r="CU25">
        <v>2.44</v>
      </c>
      <c r="CV25">
        <v>1.46</v>
      </c>
      <c r="CW25">
        <v>0.87</v>
      </c>
      <c r="CX25">
        <v>0.18</v>
      </c>
      <c r="CY25">
        <v>-0.06</v>
      </c>
      <c r="CZ25">
        <v>0.33</v>
      </c>
      <c r="DA25">
        <v>0.55000000000000004</v>
      </c>
      <c r="DB25">
        <v>105.22</v>
      </c>
      <c r="DC25">
        <v>0</v>
      </c>
      <c r="DD25">
        <v>2.42</v>
      </c>
      <c r="DE25">
        <v>0</v>
      </c>
      <c r="DF25">
        <v>1</v>
      </c>
      <c r="DG25">
        <v>2.37</v>
      </c>
      <c r="DH25">
        <v>0</v>
      </c>
      <c r="DI25">
        <v>1</v>
      </c>
      <c r="DJ25">
        <v>0.6</v>
      </c>
      <c r="DK25">
        <v>0.6</v>
      </c>
      <c r="DL25">
        <v>0.11</v>
      </c>
      <c r="DM25">
        <v>0</v>
      </c>
      <c r="DN25" t="s">
        <v>1186</v>
      </c>
      <c r="DO25" t="s">
        <v>245</v>
      </c>
      <c r="DP25" t="s">
        <v>246</v>
      </c>
      <c r="DQ25" t="s">
        <v>247</v>
      </c>
      <c r="DR25" t="s">
        <v>248</v>
      </c>
      <c r="DS25" t="s">
        <v>249</v>
      </c>
      <c r="DT25" t="s">
        <v>250</v>
      </c>
    </row>
    <row r="26" spans="1:124" x14ac:dyDescent="0.45">
      <c r="A26" t="s">
        <v>1219</v>
      </c>
      <c r="B26" t="s">
        <v>1220</v>
      </c>
      <c r="C26" t="s">
        <v>17</v>
      </c>
      <c r="D26" t="s">
        <v>167</v>
      </c>
      <c r="E26" t="s">
        <v>168</v>
      </c>
      <c r="I26" t="s">
        <v>1221</v>
      </c>
      <c r="J26">
        <v>0.76</v>
      </c>
      <c r="K26">
        <v>2.68</v>
      </c>
      <c r="L26">
        <v>0.59</v>
      </c>
      <c r="M26">
        <v>10.19</v>
      </c>
      <c r="N26">
        <v>2.74</v>
      </c>
      <c r="O26">
        <v>2.41</v>
      </c>
      <c r="P26">
        <v>4.42</v>
      </c>
      <c r="Q26">
        <v>1.67</v>
      </c>
      <c r="R26">
        <v>23.87</v>
      </c>
      <c r="S26">
        <v>27.17</v>
      </c>
      <c r="T26">
        <v>43.76</v>
      </c>
      <c r="U26">
        <v>0.44</v>
      </c>
      <c r="V26">
        <v>7.5</v>
      </c>
      <c r="W26" t="s">
        <v>1226</v>
      </c>
      <c r="X26">
        <v>0</v>
      </c>
      <c r="Y26">
        <v>0</v>
      </c>
      <c r="Z26">
        <v>0</v>
      </c>
      <c r="AA26">
        <v>118.32</v>
      </c>
      <c r="AB26">
        <v>403.82</v>
      </c>
      <c r="AC26">
        <v>0.71</v>
      </c>
      <c r="AD26">
        <v>0.5</v>
      </c>
      <c r="AE26">
        <v>0.84</v>
      </c>
      <c r="AF26">
        <v>233.99</v>
      </c>
      <c r="AG26">
        <v>1</v>
      </c>
      <c r="AH26">
        <v>48.75</v>
      </c>
      <c r="AI26">
        <v>42.83</v>
      </c>
      <c r="AJ26">
        <v>34.93</v>
      </c>
      <c r="AK26">
        <v>30.63</v>
      </c>
      <c r="AL26">
        <v>30.63</v>
      </c>
      <c r="AM26">
        <v>100.93</v>
      </c>
      <c r="AN26">
        <v>132.6</v>
      </c>
      <c r="AO26">
        <v>127.2</v>
      </c>
      <c r="AP26">
        <v>4.0999999999999996</v>
      </c>
      <c r="AQ26">
        <v>788</v>
      </c>
      <c r="AR26">
        <v>3.65</v>
      </c>
      <c r="AS26">
        <v>-24</v>
      </c>
      <c r="AT26">
        <v>3</v>
      </c>
      <c r="AU26">
        <v>314</v>
      </c>
      <c r="AV26">
        <v>61.46</v>
      </c>
      <c r="AW26">
        <v>47.77</v>
      </c>
      <c r="AX26">
        <v>24.18</v>
      </c>
      <c r="AY26">
        <v>141.34</v>
      </c>
      <c r="AZ26">
        <v>7.22</v>
      </c>
      <c r="BA26">
        <v>133.47999999999999</v>
      </c>
      <c r="BB26">
        <v>37.44</v>
      </c>
      <c r="BC26" t="s">
        <v>1244</v>
      </c>
      <c r="BD26" t="s">
        <v>17</v>
      </c>
      <c r="BE26">
        <v>35.85</v>
      </c>
      <c r="BF26">
        <v>127.13</v>
      </c>
      <c r="BG26">
        <v>35.299999999999997</v>
      </c>
      <c r="BH26">
        <v>14</v>
      </c>
      <c r="BI26">
        <v>0.76</v>
      </c>
      <c r="BJ26" t="s">
        <v>1048</v>
      </c>
      <c r="BK26" t="s">
        <v>17</v>
      </c>
      <c r="BL26">
        <v>-0.96</v>
      </c>
      <c r="BM26" t="s">
        <v>165</v>
      </c>
      <c r="BN26">
        <v>-0.01</v>
      </c>
      <c r="BO26">
        <v>0</v>
      </c>
      <c r="BP26">
        <v>0</v>
      </c>
      <c r="BQ26">
        <v>-0.06</v>
      </c>
      <c r="BR26">
        <v>-0.06</v>
      </c>
      <c r="BS26">
        <v>-0.05</v>
      </c>
      <c r="BT26" t="s">
        <v>165</v>
      </c>
      <c r="BU26">
        <v>150</v>
      </c>
      <c r="BV26">
        <v>0</v>
      </c>
      <c r="BW26">
        <v>2</v>
      </c>
      <c r="BX26">
        <v>0.06</v>
      </c>
      <c r="BY26">
        <v>0</v>
      </c>
      <c r="BZ26">
        <v>0.03</v>
      </c>
      <c r="CA26">
        <v>0</v>
      </c>
      <c r="CB26">
        <v>0</v>
      </c>
      <c r="CC26">
        <v>0</v>
      </c>
      <c r="CD26" t="s">
        <v>222</v>
      </c>
      <c r="CE26" t="s">
        <v>223</v>
      </c>
      <c r="CF26" t="s">
        <v>224</v>
      </c>
      <c r="CG26">
        <v>6000</v>
      </c>
      <c r="CH26">
        <v>500</v>
      </c>
      <c r="CI26">
        <v>1</v>
      </c>
      <c r="CJ26">
        <v>2</v>
      </c>
      <c r="CK26">
        <v>55537</v>
      </c>
      <c r="CL26">
        <v>55537</v>
      </c>
      <c r="CM26">
        <v>55537</v>
      </c>
      <c r="CN26">
        <v>0</v>
      </c>
      <c r="CO26">
        <v>-9999</v>
      </c>
      <c r="CP26">
        <v>0</v>
      </c>
      <c r="CQ26">
        <v>0</v>
      </c>
      <c r="CR26">
        <v>0</v>
      </c>
      <c r="CS26">
        <v>0</v>
      </c>
      <c r="CT26">
        <v>2.4900000000000002</v>
      </c>
      <c r="CU26">
        <v>2.44</v>
      </c>
      <c r="CV26">
        <v>1.48</v>
      </c>
      <c r="CW26">
        <v>0.87</v>
      </c>
      <c r="CX26">
        <v>0.18</v>
      </c>
      <c r="CY26">
        <v>-0.05</v>
      </c>
      <c r="CZ26">
        <v>0.34</v>
      </c>
      <c r="DA26">
        <v>0.79</v>
      </c>
      <c r="DB26">
        <v>118.32</v>
      </c>
      <c r="DC26">
        <v>0</v>
      </c>
      <c r="DD26">
        <v>2.42</v>
      </c>
      <c r="DE26">
        <v>0</v>
      </c>
      <c r="DF26">
        <v>1</v>
      </c>
      <c r="DG26">
        <v>2.37</v>
      </c>
      <c r="DH26">
        <v>0</v>
      </c>
      <c r="DI26">
        <v>1</v>
      </c>
      <c r="DJ26">
        <v>0.6</v>
      </c>
      <c r="DK26">
        <v>0.6</v>
      </c>
      <c r="DL26">
        <v>0.11</v>
      </c>
      <c r="DM26">
        <v>0</v>
      </c>
      <c r="DN26" t="s">
        <v>1226</v>
      </c>
      <c r="DO26" t="s">
        <v>245</v>
      </c>
      <c r="DP26" t="s">
        <v>246</v>
      </c>
      <c r="DQ26" t="s">
        <v>247</v>
      </c>
      <c r="DR26" t="s">
        <v>248</v>
      </c>
      <c r="DS26" t="s">
        <v>249</v>
      </c>
      <c r="DT26" t="s">
        <v>250</v>
      </c>
    </row>
    <row r="27" spans="1:124" x14ac:dyDescent="0.45">
      <c r="A27" t="s">
        <v>1260</v>
      </c>
      <c r="B27" t="s">
        <v>1261</v>
      </c>
      <c r="C27" t="s">
        <v>17</v>
      </c>
      <c r="D27" t="s">
        <v>167</v>
      </c>
      <c r="E27" t="s">
        <v>168</v>
      </c>
      <c r="I27" t="s">
        <v>1262</v>
      </c>
      <c r="J27">
        <v>0.14000000000000001</v>
      </c>
      <c r="K27">
        <v>2.77</v>
      </c>
      <c r="L27">
        <v>0.14000000000000001</v>
      </c>
      <c r="M27">
        <v>3.97</v>
      </c>
      <c r="N27">
        <v>2.48</v>
      </c>
      <c r="O27">
        <v>2.36</v>
      </c>
      <c r="P27">
        <v>5.32</v>
      </c>
      <c r="Q27">
        <v>2.84</v>
      </c>
      <c r="R27">
        <v>23.36</v>
      </c>
      <c r="S27">
        <v>24.57</v>
      </c>
      <c r="T27">
        <v>52.7</v>
      </c>
      <c r="U27">
        <v>0.44</v>
      </c>
      <c r="V27">
        <v>7.5</v>
      </c>
      <c r="W27" t="s">
        <v>1267</v>
      </c>
      <c r="X27">
        <v>0</v>
      </c>
      <c r="Y27">
        <v>0</v>
      </c>
      <c r="Z27">
        <v>0</v>
      </c>
      <c r="AA27">
        <v>115.78</v>
      </c>
      <c r="AB27">
        <v>378.95</v>
      </c>
      <c r="AC27">
        <v>0.69</v>
      </c>
      <c r="AD27">
        <v>0.5</v>
      </c>
      <c r="AE27">
        <v>0.84</v>
      </c>
      <c r="AF27">
        <v>275.93</v>
      </c>
      <c r="AG27">
        <v>1</v>
      </c>
      <c r="AH27">
        <v>42.27</v>
      </c>
      <c r="AI27">
        <v>40.19</v>
      </c>
      <c r="AJ27">
        <v>35.69</v>
      </c>
      <c r="AK27">
        <v>33.92</v>
      </c>
      <c r="AL27">
        <v>33.92</v>
      </c>
      <c r="AM27">
        <v>100.93</v>
      </c>
      <c r="AN27">
        <v>141.1</v>
      </c>
      <c r="AO27">
        <v>139.1</v>
      </c>
      <c r="AP27">
        <v>1.4</v>
      </c>
      <c r="AQ27">
        <v>946</v>
      </c>
      <c r="AR27">
        <v>3.65</v>
      </c>
      <c r="AS27">
        <v>-6</v>
      </c>
      <c r="AT27">
        <v>4</v>
      </c>
      <c r="AU27">
        <v>300</v>
      </c>
      <c r="AV27">
        <v>43.73</v>
      </c>
      <c r="AW27">
        <v>72.260000000000005</v>
      </c>
      <c r="AX27">
        <v>7.21</v>
      </c>
      <c r="AY27">
        <v>153.78</v>
      </c>
      <c r="AZ27">
        <v>7.22</v>
      </c>
      <c r="BA27">
        <v>134.81</v>
      </c>
      <c r="BB27">
        <v>36.86</v>
      </c>
      <c r="BC27" t="s">
        <v>1287</v>
      </c>
      <c r="BD27" t="s">
        <v>17</v>
      </c>
      <c r="BE27">
        <v>35.85</v>
      </c>
      <c r="BF27">
        <v>127.13</v>
      </c>
      <c r="BG27">
        <v>35.9</v>
      </c>
      <c r="BH27">
        <v>13</v>
      </c>
      <c r="BI27">
        <v>0.77</v>
      </c>
      <c r="BJ27" t="s">
        <v>1291</v>
      </c>
      <c r="BK27" t="s">
        <v>17</v>
      </c>
      <c r="BL27">
        <v>-0.76</v>
      </c>
      <c r="BM27" t="s">
        <v>165</v>
      </c>
      <c r="BN27">
        <v>0</v>
      </c>
      <c r="BO27">
        <v>0</v>
      </c>
      <c r="BP27">
        <v>-9999</v>
      </c>
      <c r="BQ27">
        <v>-0.79</v>
      </c>
      <c r="BR27">
        <v>-0.33</v>
      </c>
      <c r="BS27">
        <v>-9999</v>
      </c>
      <c r="BT27" t="s">
        <v>165</v>
      </c>
      <c r="BU27">
        <v>150</v>
      </c>
      <c r="BV27">
        <v>0</v>
      </c>
      <c r="BW27">
        <v>2</v>
      </c>
      <c r="BX27">
        <v>0.06</v>
      </c>
      <c r="BY27">
        <v>0</v>
      </c>
      <c r="BZ27">
        <v>0.03</v>
      </c>
      <c r="CA27">
        <v>0</v>
      </c>
      <c r="CB27">
        <v>0</v>
      </c>
      <c r="CC27">
        <v>0</v>
      </c>
      <c r="CD27" t="s">
        <v>222</v>
      </c>
      <c r="CE27" t="s">
        <v>223</v>
      </c>
      <c r="CF27" t="s">
        <v>224</v>
      </c>
      <c r="CG27">
        <v>6000</v>
      </c>
      <c r="CH27">
        <v>500</v>
      </c>
      <c r="CI27">
        <v>1</v>
      </c>
      <c r="CJ27">
        <v>2</v>
      </c>
      <c r="CK27">
        <v>55537</v>
      </c>
      <c r="CL27">
        <v>55537</v>
      </c>
      <c r="CM27">
        <v>55537</v>
      </c>
      <c r="CN27">
        <v>0</v>
      </c>
      <c r="CO27">
        <v>-9999</v>
      </c>
      <c r="CP27">
        <v>0</v>
      </c>
      <c r="CQ27">
        <v>0</v>
      </c>
      <c r="CR27">
        <v>0</v>
      </c>
      <c r="CS27">
        <v>0</v>
      </c>
      <c r="CT27">
        <v>2.4900000000000002</v>
      </c>
      <c r="CU27">
        <v>2.4300000000000002</v>
      </c>
      <c r="CV27">
        <v>1.54</v>
      </c>
      <c r="CW27">
        <v>0.9</v>
      </c>
      <c r="CX27">
        <v>0.18</v>
      </c>
      <c r="CY27">
        <v>-0.02</v>
      </c>
      <c r="CZ27">
        <v>0.37</v>
      </c>
      <c r="DA27">
        <v>0.93</v>
      </c>
      <c r="DB27">
        <v>115.78</v>
      </c>
      <c r="DC27">
        <v>0</v>
      </c>
      <c r="DD27">
        <v>2.42</v>
      </c>
      <c r="DE27">
        <v>0</v>
      </c>
      <c r="DF27">
        <v>1</v>
      </c>
      <c r="DG27">
        <v>2.37</v>
      </c>
      <c r="DH27">
        <v>0</v>
      </c>
      <c r="DI27">
        <v>1</v>
      </c>
      <c r="DJ27">
        <v>0.6</v>
      </c>
      <c r="DK27">
        <v>0.6</v>
      </c>
      <c r="DL27">
        <v>0.11</v>
      </c>
      <c r="DM27">
        <v>0</v>
      </c>
      <c r="DN27" t="s">
        <v>1267</v>
      </c>
      <c r="DO27" t="s">
        <v>245</v>
      </c>
      <c r="DP27" t="s">
        <v>246</v>
      </c>
      <c r="DQ27" t="s">
        <v>247</v>
      </c>
      <c r="DR27" t="s">
        <v>248</v>
      </c>
      <c r="DS27" t="s">
        <v>249</v>
      </c>
      <c r="DT27" t="s">
        <v>250</v>
      </c>
    </row>
    <row r="28" spans="1:124" x14ac:dyDescent="0.45">
      <c r="A28" t="s">
        <v>866</v>
      </c>
      <c r="B28" t="s">
        <v>1304</v>
      </c>
      <c r="C28" t="s">
        <v>17</v>
      </c>
      <c r="D28" t="s">
        <v>167</v>
      </c>
      <c r="E28" t="s">
        <v>168</v>
      </c>
      <c r="I28" t="s">
        <v>1305</v>
      </c>
      <c r="J28">
        <v>0.01</v>
      </c>
      <c r="K28">
        <v>2.87</v>
      </c>
      <c r="L28">
        <v>0.01</v>
      </c>
      <c r="M28">
        <v>0.33</v>
      </c>
      <c r="N28">
        <v>2.4300000000000002</v>
      </c>
      <c r="O28">
        <v>2.42</v>
      </c>
      <c r="P28">
        <v>6.1</v>
      </c>
      <c r="Q28">
        <v>3.68</v>
      </c>
      <c r="R28">
        <v>23.97</v>
      </c>
      <c r="S28">
        <v>24.06</v>
      </c>
      <c r="T28">
        <v>60.49</v>
      </c>
      <c r="U28">
        <v>0.44</v>
      </c>
      <c r="V28">
        <v>7.5</v>
      </c>
      <c r="W28" t="s">
        <v>1310</v>
      </c>
      <c r="X28">
        <v>0</v>
      </c>
      <c r="Y28">
        <v>0</v>
      </c>
      <c r="Z28">
        <v>0</v>
      </c>
      <c r="AA28">
        <v>96.42</v>
      </c>
      <c r="AB28">
        <v>222.64</v>
      </c>
      <c r="AC28">
        <v>0.56999999999999995</v>
      </c>
      <c r="AD28">
        <v>0.5</v>
      </c>
      <c r="AE28">
        <v>0.84</v>
      </c>
      <c r="AF28">
        <v>259.55</v>
      </c>
      <c r="AG28">
        <v>1</v>
      </c>
      <c r="AH28">
        <v>41.27</v>
      </c>
      <c r="AI28">
        <v>41.11</v>
      </c>
      <c r="AJ28">
        <v>35.74</v>
      </c>
      <c r="AK28">
        <v>36.409999999999997</v>
      </c>
      <c r="AL28">
        <v>36.409999999999997</v>
      </c>
      <c r="AM28">
        <v>100.92</v>
      </c>
      <c r="AN28">
        <v>152</v>
      </c>
      <c r="AO28">
        <v>148.30000000000001</v>
      </c>
      <c r="AP28">
        <v>2.4</v>
      </c>
      <c r="AQ28">
        <v>1090</v>
      </c>
      <c r="AR28">
        <v>3.65</v>
      </c>
      <c r="AS28">
        <v>-11</v>
      </c>
      <c r="AT28">
        <v>15</v>
      </c>
      <c r="AU28">
        <v>308</v>
      </c>
      <c r="AV28">
        <v>50.91</v>
      </c>
      <c r="AW28">
        <v>63.05</v>
      </c>
      <c r="AX28">
        <v>18.53</v>
      </c>
      <c r="AY28">
        <v>-177.46</v>
      </c>
      <c r="AZ28">
        <v>7.22</v>
      </c>
      <c r="BA28">
        <v>134.81</v>
      </c>
      <c r="BB28">
        <v>36.86</v>
      </c>
      <c r="BC28" t="s">
        <v>1326</v>
      </c>
      <c r="BD28" t="s">
        <v>17</v>
      </c>
      <c r="BE28">
        <v>35.85</v>
      </c>
      <c r="BF28">
        <v>127.13</v>
      </c>
      <c r="BG28">
        <v>35.799999999999997</v>
      </c>
      <c r="BH28">
        <v>14</v>
      </c>
      <c r="BI28">
        <v>0.76</v>
      </c>
      <c r="BJ28" t="s">
        <v>1291</v>
      </c>
      <c r="BK28" t="s">
        <v>17</v>
      </c>
      <c r="BL28">
        <v>-0.76</v>
      </c>
      <c r="BM28" t="s">
        <v>165</v>
      </c>
      <c r="BN28">
        <v>0</v>
      </c>
      <c r="BO28">
        <v>0</v>
      </c>
      <c r="BP28">
        <v>-9999</v>
      </c>
      <c r="BQ28">
        <v>0.31</v>
      </c>
      <c r="BR28">
        <v>0.53</v>
      </c>
      <c r="BS28">
        <v>-9999</v>
      </c>
      <c r="BT28" t="s">
        <v>165</v>
      </c>
      <c r="BU28">
        <v>150</v>
      </c>
      <c r="BV28">
        <v>0</v>
      </c>
      <c r="BW28">
        <v>2</v>
      </c>
      <c r="BX28">
        <v>0.06</v>
      </c>
      <c r="BY28">
        <v>0</v>
      </c>
      <c r="BZ28">
        <v>0.03</v>
      </c>
      <c r="CA28">
        <v>0</v>
      </c>
      <c r="CB28">
        <v>0</v>
      </c>
      <c r="CC28">
        <v>0</v>
      </c>
      <c r="CD28" t="s">
        <v>222</v>
      </c>
      <c r="CE28" t="s">
        <v>223</v>
      </c>
      <c r="CF28" t="s">
        <v>224</v>
      </c>
      <c r="CG28">
        <v>6000</v>
      </c>
      <c r="CH28">
        <v>500</v>
      </c>
      <c r="CI28">
        <v>1</v>
      </c>
      <c r="CJ28">
        <v>2</v>
      </c>
      <c r="CK28">
        <v>55537</v>
      </c>
      <c r="CL28">
        <v>55537</v>
      </c>
      <c r="CM28">
        <v>55537</v>
      </c>
      <c r="CN28">
        <v>0</v>
      </c>
      <c r="CO28">
        <v>-9999</v>
      </c>
      <c r="CP28">
        <v>0</v>
      </c>
      <c r="CQ28">
        <v>0</v>
      </c>
      <c r="CR28">
        <v>0</v>
      </c>
      <c r="CS28">
        <v>0</v>
      </c>
      <c r="CT28">
        <v>2.4900000000000002</v>
      </c>
      <c r="CU28">
        <v>2.4300000000000002</v>
      </c>
      <c r="CV28">
        <v>1.64</v>
      </c>
      <c r="CW28">
        <v>0.92</v>
      </c>
      <c r="CX28">
        <v>0.18</v>
      </c>
      <c r="CY28">
        <v>0.01</v>
      </c>
      <c r="CZ28">
        <v>0.37</v>
      </c>
      <c r="DA28">
        <v>1.06</v>
      </c>
      <c r="DB28">
        <v>96.42</v>
      </c>
      <c r="DC28">
        <v>0</v>
      </c>
      <c r="DD28">
        <v>2.42</v>
      </c>
      <c r="DE28">
        <v>0</v>
      </c>
      <c r="DF28">
        <v>1</v>
      </c>
      <c r="DG28">
        <v>2.37</v>
      </c>
      <c r="DH28">
        <v>0</v>
      </c>
      <c r="DI28">
        <v>1</v>
      </c>
      <c r="DJ28">
        <v>0.6</v>
      </c>
      <c r="DK28">
        <v>0.6</v>
      </c>
      <c r="DL28">
        <v>0.11</v>
      </c>
      <c r="DM28">
        <v>0</v>
      </c>
      <c r="DN28" t="s">
        <v>1310</v>
      </c>
      <c r="DO28" t="s">
        <v>245</v>
      </c>
      <c r="DP28" t="s">
        <v>246</v>
      </c>
      <c r="DQ28" t="s">
        <v>247</v>
      </c>
      <c r="DR28" t="s">
        <v>248</v>
      </c>
      <c r="DS28" t="s">
        <v>249</v>
      </c>
      <c r="DT28" t="s">
        <v>250</v>
      </c>
    </row>
    <row r="29" spans="1:124" x14ac:dyDescent="0.45">
      <c r="A29" t="s">
        <v>1339</v>
      </c>
      <c r="B29" t="s">
        <v>1340</v>
      </c>
      <c r="C29" t="s">
        <v>17</v>
      </c>
      <c r="D29" t="s">
        <v>167</v>
      </c>
      <c r="E29" t="s">
        <v>168</v>
      </c>
      <c r="I29" t="s">
        <v>1341</v>
      </c>
      <c r="J29">
        <v>0.53</v>
      </c>
      <c r="K29">
        <v>2.71</v>
      </c>
      <c r="L29">
        <v>0.44</v>
      </c>
      <c r="M29">
        <v>9.5299999999999994</v>
      </c>
      <c r="N29">
        <v>2.8</v>
      </c>
      <c r="O29">
        <v>2.5</v>
      </c>
      <c r="P29">
        <v>4.9000000000000004</v>
      </c>
      <c r="Q29">
        <v>2.09</v>
      </c>
      <c r="R29">
        <v>24.75</v>
      </c>
      <c r="S29">
        <v>27.78</v>
      </c>
      <c r="T29">
        <v>48.53</v>
      </c>
      <c r="U29">
        <v>0.44</v>
      </c>
      <c r="V29">
        <v>7.5</v>
      </c>
      <c r="W29" t="s">
        <v>1346</v>
      </c>
      <c r="X29">
        <v>0</v>
      </c>
      <c r="Y29">
        <v>0</v>
      </c>
      <c r="Z29">
        <v>0</v>
      </c>
      <c r="AA29">
        <v>106.19</v>
      </c>
      <c r="AB29">
        <v>368.31</v>
      </c>
      <c r="AC29">
        <v>0.71</v>
      </c>
      <c r="AD29">
        <v>0.5</v>
      </c>
      <c r="AE29">
        <v>0.84</v>
      </c>
      <c r="AF29">
        <v>290.25</v>
      </c>
      <c r="AG29">
        <v>1</v>
      </c>
      <c r="AH29">
        <v>47.41</v>
      </c>
      <c r="AI29">
        <v>42.24</v>
      </c>
      <c r="AJ29">
        <v>35.83</v>
      </c>
      <c r="AK29">
        <v>32.450000000000003</v>
      </c>
      <c r="AL29">
        <v>32.450000000000003</v>
      </c>
      <c r="AM29">
        <v>100.93</v>
      </c>
      <c r="AN29">
        <v>135.1</v>
      </c>
      <c r="AO29">
        <v>124.9</v>
      </c>
      <c r="AP29">
        <v>7.5</v>
      </c>
      <c r="AQ29">
        <v>971</v>
      </c>
      <c r="AR29">
        <v>3.65</v>
      </c>
      <c r="AS29">
        <v>-6</v>
      </c>
      <c r="AT29">
        <v>-1</v>
      </c>
      <c r="AU29">
        <v>326</v>
      </c>
      <c r="AV29">
        <v>42.8</v>
      </c>
      <c r="AW29">
        <v>73.38</v>
      </c>
      <c r="AX29">
        <v>6.08</v>
      </c>
      <c r="AY29">
        <v>136.52000000000001</v>
      </c>
      <c r="AZ29">
        <v>7.22</v>
      </c>
      <c r="BA29">
        <v>135.15</v>
      </c>
      <c r="BB29">
        <v>36.71</v>
      </c>
      <c r="BC29" t="s">
        <v>1366</v>
      </c>
      <c r="BD29" t="s">
        <v>17</v>
      </c>
      <c r="BE29">
        <v>35.85</v>
      </c>
      <c r="BF29">
        <v>127.13</v>
      </c>
      <c r="BG29">
        <v>35.200000000000003</v>
      </c>
      <c r="BH29">
        <v>14</v>
      </c>
      <c r="BI29">
        <v>0.76</v>
      </c>
      <c r="BJ29" t="s">
        <v>1291</v>
      </c>
      <c r="BK29" t="s">
        <v>17</v>
      </c>
      <c r="BL29">
        <v>-0.76</v>
      </c>
      <c r="BM29" t="s">
        <v>165</v>
      </c>
      <c r="BN29">
        <v>0</v>
      </c>
      <c r="BO29">
        <v>0</v>
      </c>
      <c r="BP29">
        <v>0</v>
      </c>
      <c r="BQ29">
        <v>0.03</v>
      </c>
      <c r="BR29">
        <v>0.05</v>
      </c>
      <c r="BS29">
        <v>-0.2</v>
      </c>
      <c r="BT29" t="s">
        <v>165</v>
      </c>
      <c r="BU29">
        <v>150</v>
      </c>
      <c r="BV29">
        <v>0</v>
      </c>
      <c r="BW29">
        <v>2</v>
      </c>
      <c r="BX29">
        <v>0.06</v>
      </c>
      <c r="BY29">
        <v>0</v>
      </c>
      <c r="BZ29">
        <v>0.03</v>
      </c>
      <c r="CA29">
        <v>0</v>
      </c>
      <c r="CB29">
        <v>0</v>
      </c>
      <c r="CC29">
        <v>0</v>
      </c>
      <c r="CD29" t="s">
        <v>222</v>
      </c>
      <c r="CE29" t="s">
        <v>223</v>
      </c>
      <c r="CF29" t="s">
        <v>224</v>
      </c>
      <c r="CG29">
        <v>6000</v>
      </c>
      <c r="CH29">
        <v>500</v>
      </c>
      <c r="CI29">
        <v>1</v>
      </c>
      <c r="CJ29">
        <v>2</v>
      </c>
      <c r="CK29">
        <v>55537</v>
      </c>
      <c r="CL29">
        <v>55537</v>
      </c>
      <c r="CM29">
        <v>55537</v>
      </c>
      <c r="CN29">
        <v>0</v>
      </c>
      <c r="CO29">
        <v>-9999</v>
      </c>
      <c r="CP29">
        <v>0</v>
      </c>
      <c r="CQ29">
        <v>0</v>
      </c>
      <c r="CR29">
        <v>0</v>
      </c>
      <c r="CS29">
        <v>0</v>
      </c>
      <c r="CT29">
        <v>2.4900000000000002</v>
      </c>
      <c r="CU29">
        <v>2.44</v>
      </c>
      <c r="CV29">
        <v>1.49</v>
      </c>
      <c r="CW29">
        <v>0.87</v>
      </c>
      <c r="CX29">
        <v>0.18</v>
      </c>
      <c r="CY29">
        <v>-0.04</v>
      </c>
      <c r="CZ29">
        <v>0.37</v>
      </c>
      <c r="DA29">
        <v>0.95</v>
      </c>
      <c r="DB29">
        <v>106.19</v>
      </c>
      <c r="DC29">
        <v>0</v>
      </c>
      <c r="DD29">
        <v>2.42</v>
      </c>
      <c r="DE29">
        <v>0</v>
      </c>
      <c r="DF29">
        <v>1</v>
      </c>
      <c r="DG29">
        <v>2.37</v>
      </c>
      <c r="DH29">
        <v>0</v>
      </c>
      <c r="DI29">
        <v>1</v>
      </c>
      <c r="DJ29">
        <v>0.6</v>
      </c>
      <c r="DK29">
        <v>0.6</v>
      </c>
      <c r="DL29">
        <v>0.11</v>
      </c>
      <c r="DM29">
        <v>0</v>
      </c>
      <c r="DN29" t="s">
        <v>1346</v>
      </c>
      <c r="DO29" t="s">
        <v>245</v>
      </c>
      <c r="DP29" t="s">
        <v>246</v>
      </c>
      <c r="DQ29" t="s">
        <v>247</v>
      </c>
      <c r="DR29" t="s">
        <v>248</v>
      </c>
      <c r="DS29" t="s">
        <v>249</v>
      </c>
      <c r="DT29" t="s">
        <v>250</v>
      </c>
    </row>
    <row r="30" spans="1:124" x14ac:dyDescent="0.45">
      <c r="A30" t="s">
        <v>1378</v>
      </c>
      <c r="B30" t="s">
        <v>1379</v>
      </c>
      <c r="C30" t="s">
        <v>17</v>
      </c>
      <c r="D30" t="s">
        <v>167</v>
      </c>
      <c r="E30" t="s">
        <v>168</v>
      </c>
      <c r="I30" t="s">
        <v>1380</v>
      </c>
      <c r="J30">
        <v>0.1</v>
      </c>
      <c r="K30">
        <v>2.88</v>
      </c>
      <c r="L30">
        <v>0.1</v>
      </c>
      <c r="M30">
        <v>3.42</v>
      </c>
      <c r="N30">
        <v>2.4500000000000002</v>
      </c>
      <c r="O30">
        <v>2.36</v>
      </c>
      <c r="P30">
        <v>5.91</v>
      </c>
      <c r="Q30">
        <v>3.46</v>
      </c>
      <c r="R30">
        <v>23.34</v>
      </c>
      <c r="S30">
        <v>24.31</v>
      </c>
      <c r="T30">
        <v>58.59</v>
      </c>
      <c r="U30">
        <v>0.44</v>
      </c>
      <c r="V30">
        <v>7.5</v>
      </c>
      <c r="W30" t="s">
        <v>1385</v>
      </c>
      <c r="X30">
        <v>0</v>
      </c>
      <c r="Y30">
        <v>0</v>
      </c>
      <c r="Z30">
        <v>0</v>
      </c>
      <c r="AA30">
        <v>164.51</v>
      </c>
      <c r="AB30">
        <v>327.64</v>
      </c>
      <c r="AC30">
        <v>0.5</v>
      </c>
      <c r="AD30">
        <v>0.5</v>
      </c>
      <c r="AE30">
        <v>0.84</v>
      </c>
      <c r="AF30">
        <v>265.36</v>
      </c>
      <c r="AG30">
        <v>1</v>
      </c>
      <c r="AH30">
        <v>41.34</v>
      </c>
      <c r="AI30">
        <v>39.700000000000003</v>
      </c>
      <c r="AJ30">
        <v>35.9</v>
      </c>
      <c r="AK30">
        <v>35.83</v>
      </c>
      <c r="AL30">
        <v>35.83</v>
      </c>
      <c r="AM30">
        <v>100.92</v>
      </c>
      <c r="AN30">
        <v>152.5</v>
      </c>
      <c r="AO30">
        <v>137.6</v>
      </c>
      <c r="AP30">
        <v>9.8000000000000007</v>
      </c>
      <c r="AQ30">
        <v>1269</v>
      </c>
      <c r="AR30">
        <v>3.65</v>
      </c>
      <c r="AS30">
        <v>-4</v>
      </c>
      <c r="AT30">
        <v>1</v>
      </c>
      <c r="AU30">
        <v>135</v>
      </c>
      <c r="AV30">
        <v>32.58</v>
      </c>
      <c r="AW30">
        <v>84.27</v>
      </c>
      <c r="AX30">
        <v>4.12</v>
      </c>
      <c r="AY30">
        <v>-30.95</v>
      </c>
      <c r="AZ30">
        <v>7.22</v>
      </c>
      <c r="BA30">
        <v>135.49</v>
      </c>
      <c r="BB30">
        <v>36.57</v>
      </c>
      <c r="BC30" t="s">
        <v>1404</v>
      </c>
      <c r="BD30" t="s">
        <v>17</v>
      </c>
      <c r="BE30">
        <v>35.85</v>
      </c>
      <c r="BF30">
        <v>127.13</v>
      </c>
      <c r="BG30">
        <v>35.200000000000003</v>
      </c>
      <c r="BH30">
        <v>14</v>
      </c>
      <c r="BI30">
        <v>0.76</v>
      </c>
      <c r="BJ30" t="s">
        <v>1291</v>
      </c>
      <c r="BK30" t="s">
        <v>17</v>
      </c>
      <c r="BL30">
        <v>-0.76</v>
      </c>
      <c r="BM30" t="s">
        <v>165</v>
      </c>
      <c r="BN30">
        <v>0</v>
      </c>
      <c r="BO30">
        <v>0</v>
      </c>
      <c r="BP30">
        <v>0</v>
      </c>
      <c r="BQ30">
        <v>-0.43</v>
      </c>
      <c r="BR30">
        <v>-0.09</v>
      </c>
      <c r="BS30">
        <v>0.57999999999999996</v>
      </c>
      <c r="BT30" t="s">
        <v>165</v>
      </c>
      <c r="BU30">
        <v>150</v>
      </c>
      <c r="BV30">
        <v>0</v>
      </c>
      <c r="BW30">
        <v>2</v>
      </c>
      <c r="BX30">
        <v>0.06</v>
      </c>
      <c r="BY30">
        <v>0</v>
      </c>
      <c r="BZ30">
        <v>0.03</v>
      </c>
      <c r="CA30">
        <v>0</v>
      </c>
      <c r="CB30">
        <v>0</v>
      </c>
      <c r="CC30">
        <v>0</v>
      </c>
      <c r="CD30" t="s">
        <v>222</v>
      </c>
      <c r="CE30" t="s">
        <v>223</v>
      </c>
      <c r="CF30" t="s">
        <v>224</v>
      </c>
      <c r="CG30">
        <v>6000</v>
      </c>
      <c r="CH30">
        <v>500</v>
      </c>
      <c r="CI30">
        <v>1</v>
      </c>
      <c r="CJ30">
        <v>2</v>
      </c>
      <c r="CK30">
        <v>55537</v>
      </c>
      <c r="CL30">
        <v>55537</v>
      </c>
      <c r="CM30">
        <v>55537</v>
      </c>
      <c r="CN30">
        <v>0</v>
      </c>
      <c r="CO30">
        <v>-9999</v>
      </c>
      <c r="CP30">
        <v>0</v>
      </c>
      <c r="CQ30">
        <v>0</v>
      </c>
      <c r="CR30">
        <v>0</v>
      </c>
      <c r="CS30">
        <v>0</v>
      </c>
      <c r="CT30">
        <v>2.4900000000000002</v>
      </c>
      <c r="CU30">
        <v>2.4300000000000002</v>
      </c>
      <c r="CV30">
        <v>1.64</v>
      </c>
      <c r="CW30">
        <v>0.9</v>
      </c>
      <c r="CX30">
        <v>0.18</v>
      </c>
      <c r="CY30">
        <v>0</v>
      </c>
      <c r="CZ30">
        <v>0.38</v>
      </c>
      <c r="DA30">
        <v>1.21</v>
      </c>
      <c r="DB30">
        <v>164.51</v>
      </c>
      <c r="DC30">
        <v>0</v>
      </c>
      <c r="DD30">
        <v>2.42</v>
      </c>
      <c r="DE30">
        <v>0</v>
      </c>
      <c r="DF30">
        <v>1</v>
      </c>
      <c r="DG30">
        <v>2.37</v>
      </c>
      <c r="DH30">
        <v>0</v>
      </c>
      <c r="DI30">
        <v>1</v>
      </c>
      <c r="DJ30">
        <v>0.6</v>
      </c>
      <c r="DK30">
        <v>0.6</v>
      </c>
      <c r="DL30">
        <v>0.11</v>
      </c>
      <c r="DM30">
        <v>0</v>
      </c>
      <c r="DN30" t="s">
        <v>1385</v>
      </c>
      <c r="DO30" t="s">
        <v>245</v>
      </c>
      <c r="DP30" t="s">
        <v>246</v>
      </c>
      <c r="DQ30" t="s">
        <v>247</v>
      </c>
      <c r="DR30" t="s">
        <v>248</v>
      </c>
      <c r="DS30" t="s">
        <v>249</v>
      </c>
      <c r="DT30" t="s">
        <v>250</v>
      </c>
    </row>
    <row r="31" spans="1:124" x14ac:dyDescent="0.45">
      <c r="A31" t="s">
        <v>1418</v>
      </c>
      <c r="B31" t="s">
        <v>1419</v>
      </c>
      <c r="C31" t="s">
        <v>17</v>
      </c>
      <c r="D31" t="s">
        <v>167</v>
      </c>
      <c r="E31" t="s">
        <v>168</v>
      </c>
      <c r="I31" t="s">
        <v>1420</v>
      </c>
      <c r="J31">
        <v>0.33</v>
      </c>
      <c r="K31">
        <v>2.73</v>
      </c>
      <c r="L31">
        <v>0.3</v>
      </c>
      <c r="M31">
        <v>10.07</v>
      </c>
      <c r="N31">
        <v>2.61</v>
      </c>
      <c r="O31">
        <v>2.29</v>
      </c>
      <c r="P31">
        <v>5.89</v>
      </c>
      <c r="Q31">
        <v>3.28</v>
      </c>
      <c r="R31">
        <v>22.71</v>
      </c>
      <c r="S31">
        <v>25.87</v>
      </c>
      <c r="T31">
        <v>58.36</v>
      </c>
      <c r="U31">
        <v>0.44</v>
      </c>
      <c r="V31">
        <v>7.5</v>
      </c>
      <c r="W31" t="s">
        <v>1425</v>
      </c>
      <c r="X31">
        <v>0</v>
      </c>
      <c r="Y31">
        <v>0</v>
      </c>
      <c r="Z31">
        <v>0</v>
      </c>
      <c r="AA31">
        <v>147.96</v>
      </c>
      <c r="AB31">
        <v>229.16</v>
      </c>
      <c r="AC31">
        <v>0.35</v>
      </c>
      <c r="AD31">
        <v>0.5</v>
      </c>
      <c r="AE31">
        <v>0.84</v>
      </c>
      <c r="AF31">
        <v>251.67</v>
      </c>
      <c r="AG31">
        <v>1</v>
      </c>
      <c r="AH31">
        <v>43.77</v>
      </c>
      <c r="AI31">
        <v>38.43</v>
      </c>
      <c r="AJ31">
        <v>35.99</v>
      </c>
      <c r="AK31">
        <v>35.76</v>
      </c>
      <c r="AL31">
        <v>35.76</v>
      </c>
      <c r="AM31">
        <v>100.93</v>
      </c>
      <c r="AN31">
        <v>137.1</v>
      </c>
      <c r="AO31">
        <v>124.7</v>
      </c>
      <c r="AP31">
        <v>9</v>
      </c>
      <c r="AQ31">
        <v>1691</v>
      </c>
      <c r="AR31">
        <v>3.65</v>
      </c>
      <c r="AS31">
        <v>-20</v>
      </c>
      <c r="AT31">
        <v>-4</v>
      </c>
      <c r="AU31">
        <v>140</v>
      </c>
      <c r="AV31">
        <v>16.399999999999999</v>
      </c>
      <c r="AW31">
        <v>95.93</v>
      </c>
      <c r="AX31">
        <v>20.38</v>
      </c>
      <c r="AY31">
        <v>-51.56</v>
      </c>
      <c r="AZ31">
        <v>7.22</v>
      </c>
      <c r="BA31">
        <v>135.83000000000001</v>
      </c>
      <c r="BB31">
        <v>36.43</v>
      </c>
      <c r="BC31" t="s">
        <v>1445</v>
      </c>
      <c r="BD31" t="s">
        <v>17</v>
      </c>
      <c r="BE31">
        <v>35.85</v>
      </c>
      <c r="BF31">
        <v>127.13</v>
      </c>
      <c r="BG31">
        <v>35</v>
      </c>
      <c r="BH31">
        <v>14</v>
      </c>
      <c r="BI31">
        <v>0.76</v>
      </c>
      <c r="BJ31" t="s">
        <v>1291</v>
      </c>
      <c r="BK31" t="s">
        <v>17</v>
      </c>
      <c r="BL31">
        <v>-0.76</v>
      </c>
      <c r="BM31" t="s">
        <v>165</v>
      </c>
      <c r="BN31">
        <v>0</v>
      </c>
      <c r="BO31">
        <v>0</v>
      </c>
      <c r="BP31">
        <v>-0.01</v>
      </c>
      <c r="BQ31">
        <v>0.15</v>
      </c>
      <c r="BR31">
        <v>-0.78</v>
      </c>
      <c r="BS31">
        <v>2.85</v>
      </c>
      <c r="BT31" t="s">
        <v>165</v>
      </c>
      <c r="BU31">
        <v>150</v>
      </c>
      <c r="BV31">
        <v>0</v>
      </c>
      <c r="BW31">
        <v>2</v>
      </c>
      <c r="BX31">
        <v>0.06</v>
      </c>
      <c r="BY31">
        <v>0</v>
      </c>
      <c r="BZ31">
        <v>0.03</v>
      </c>
      <c r="CA31">
        <v>0</v>
      </c>
      <c r="CB31">
        <v>0</v>
      </c>
      <c r="CC31">
        <v>0</v>
      </c>
      <c r="CD31" t="s">
        <v>222</v>
      </c>
      <c r="CE31" t="s">
        <v>223</v>
      </c>
      <c r="CF31" t="s">
        <v>224</v>
      </c>
      <c r="CG31">
        <v>6000</v>
      </c>
      <c r="CH31">
        <v>500</v>
      </c>
      <c r="CI31">
        <v>1</v>
      </c>
      <c r="CJ31">
        <v>2</v>
      </c>
      <c r="CK31">
        <v>55537</v>
      </c>
      <c r="CL31">
        <v>55537</v>
      </c>
      <c r="CM31">
        <v>55537</v>
      </c>
      <c r="CN31">
        <v>0</v>
      </c>
      <c r="CO31">
        <v>-9999</v>
      </c>
      <c r="CP31">
        <v>0</v>
      </c>
      <c r="CQ31">
        <v>0</v>
      </c>
      <c r="CR31">
        <v>0</v>
      </c>
      <c r="CS31">
        <v>0</v>
      </c>
      <c r="CT31">
        <v>2.4900000000000002</v>
      </c>
      <c r="CU31">
        <v>2.4300000000000002</v>
      </c>
      <c r="CV31">
        <v>1.51</v>
      </c>
      <c r="CW31">
        <v>0.87</v>
      </c>
      <c r="CX31">
        <v>0.18</v>
      </c>
      <c r="CY31">
        <v>0</v>
      </c>
      <c r="CZ31">
        <v>0.38</v>
      </c>
      <c r="DA31">
        <v>1.58</v>
      </c>
      <c r="DB31">
        <v>147.96</v>
      </c>
      <c r="DC31">
        <v>0</v>
      </c>
      <c r="DD31">
        <v>2.42</v>
      </c>
      <c r="DE31">
        <v>0</v>
      </c>
      <c r="DF31">
        <v>1</v>
      </c>
      <c r="DG31">
        <v>2.37</v>
      </c>
      <c r="DH31">
        <v>0</v>
      </c>
      <c r="DI31">
        <v>1</v>
      </c>
      <c r="DJ31">
        <v>0.6</v>
      </c>
      <c r="DK31">
        <v>0.6</v>
      </c>
      <c r="DL31">
        <v>0.11</v>
      </c>
      <c r="DM31">
        <v>0</v>
      </c>
      <c r="DN31" t="s">
        <v>1425</v>
      </c>
      <c r="DO31" t="s">
        <v>245</v>
      </c>
      <c r="DP31" t="s">
        <v>246</v>
      </c>
      <c r="DQ31" t="s">
        <v>247</v>
      </c>
      <c r="DR31" t="s">
        <v>248</v>
      </c>
      <c r="DS31" t="s">
        <v>249</v>
      </c>
      <c r="DT31" t="s">
        <v>250</v>
      </c>
    </row>
    <row r="32" spans="1:124" x14ac:dyDescent="0.45">
      <c r="A32" t="s">
        <v>1460</v>
      </c>
      <c r="B32" t="s">
        <v>1461</v>
      </c>
      <c r="C32" t="s">
        <v>17</v>
      </c>
      <c r="D32" t="s">
        <v>167</v>
      </c>
      <c r="E32" t="s">
        <v>168</v>
      </c>
      <c r="I32" t="s">
        <v>1462</v>
      </c>
      <c r="J32">
        <v>0.63</v>
      </c>
      <c r="K32">
        <v>2.76</v>
      </c>
      <c r="L32">
        <v>0.52</v>
      </c>
      <c r="M32">
        <v>13.87</v>
      </c>
      <c r="N32">
        <v>2.71</v>
      </c>
      <c r="O32">
        <v>2.2799999999999998</v>
      </c>
      <c r="P32">
        <v>5.32</v>
      </c>
      <c r="Q32">
        <v>2.61</v>
      </c>
      <c r="R32">
        <v>22.62</v>
      </c>
      <c r="S32">
        <v>26.88</v>
      </c>
      <c r="T32">
        <v>52.73</v>
      </c>
      <c r="U32">
        <v>0.44</v>
      </c>
      <c r="V32">
        <v>7.5</v>
      </c>
      <c r="W32" t="s">
        <v>1467</v>
      </c>
      <c r="X32">
        <v>0</v>
      </c>
      <c r="Y32">
        <v>0</v>
      </c>
      <c r="Z32">
        <v>0</v>
      </c>
      <c r="AA32">
        <v>145.27000000000001</v>
      </c>
      <c r="AB32">
        <v>329.73</v>
      </c>
      <c r="AC32">
        <v>0.56000000000000005</v>
      </c>
      <c r="AD32">
        <v>0.5</v>
      </c>
      <c r="AE32">
        <v>0.84</v>
      </c>
      <c r="AF32">
        <v>346.34</v>
      </c>
      <c r="AG32">
        <v>1</v>
      </c>
      <c r="AH32">
        <v>45.42</v>
      </c>
      <c r="AI32">
        <v>38.22</v>
      </c>
      <c r="AJ32">
        <v>36.01</v>
      </c>
      <c r="AK32">
        <v>33.93</v>
      </c>
      <c r="AL32">
        <v>33.93</v>
      </c>
      <c r="AM32">
        <v>100.93</v>
      </c>
      <c r="AN32">
        <v>139.9</v>
      </c>
      <c r="AO32">
        <v>139</v>
      </c>
      <c r="AP32">
        <v>0.6</v>
      </c>
      <c r="AQ32">
        <v>1474</v>
      </c>
      <c r="AR32">
        <v>3.65</v>
      </c>
      <c r="AS32">
        <v>-3</v>
      </c>
      <c r="AT32">
        <v>6</v>
      </c>
      <c r="AU32">
        <v>138</v>
      </c>
      <c r="AV32">
        <v>33.97</v>
      </c>
      <c r="AW32">
        <v>82.93</v>
      </c>
      <c r="AX32">
        <v>6.71</v>
      </c>
      <c r="AY32">
        <v>21.53</v>
      </c>
      <c r="AZ32">
        <v>7.22</v>
      </c>
      <c r="BA32">
        <v>136.18</v>
      </c>
      <c r="BB32">
        <v>36.29</v>
      </c>
      <c r="BC32" t="s">
        <v>1485</v>
      </c>
      <c r="BD32" t="s">
        <v>17</v>
      </c>
      <c r="BE32">
        <v>35.85</v>
      </c>
      <c r="BF32">
        <v>127.13</v>
      </c>
      <c r="BG32">
        <v>34.4</v>
      </c>
      <c r="BH32">
        <v>14</v>
      </c>
      <c r="BI32">
        <v>0.76</v>
      </c>
      <c r="BJ32" t="s">
        <v>1291</v>
      </c>
      <c r="BK32" t="s">
        <v>17</v>
      </c>
      <c r="BL32">
        <v>-0.76</v>
      </c>
      <c r="BM32" t="s">
        <v>165</v>
      </c>
      <c r="BN32">
        <v>0</v>
      </c>
      <c r="BO32">
        <v>0</v>
      </c>
      <c r="BP32">
        <v>0</v>
      </c>
      <c r="BQ32">
        <v>0.08</v>
      </c>
      <c r="BR32">
        <v>-0.41</v>
      </c>
      <c r="BS32">
        <v>-1.1399999999999999</v>
      </c>
      <c r="BT32" t="s">
        <v>165</v>
      </c>
      <c r="BU32">
        <v>150</v>
      </c>
      <c r="BV32">
        <v>0</v>
      </c>
      <c r="BW32">
        <v>2</v>
      </c>
      <c r="BX32">
        <v>0.06</v>
      </c>
      <c r="BY32">
        <v>0</v>
      </c>
      <c r="BZ32">
        <v>0.03</v>
      </c>
      <c r="CA32">
        <v>0</v>
      </c>
      <c r="CB32">
        <v>0</v>
      </c>
      <c r="CC32">
        <v>0</v>
      </c>
      <c r="CD32" t="s">
        <v>222</v>
      </c>
      <c r="CE32" t="s">
        <v>223</v>
      </c>
      <c r="CF32" t="s">
        <v>224</v>
      </c>
      <c r="CG32">
        <v>6000</v>
      </c>
      <c r="CH32">
        <v>500</v>
      </c>
      <c r="CI32">
        <v>1</v>
      </c>
      <c r="CJ32">
        <v>2</v>
      </c>
      <c r="CK32">
        <v>55537</v>
      </c>
      <c r="CL32">
        <v>55537</v>
      </c>
      <c r="CM32">
        <v>55537</v>
      </c>
      <c r="CN32">
        <v>0</v>
      </c>
      <c r="CO32">
        <v>-9999</v>
      </c>
      <c r="CP32">
        <v>0</v>
      </c>
      <c r="CQ32">
        <v>0</v>
      </c>
      <c r="CR32">
        <v>0</v>
      </c>
      <c r="CS32">
        <v>0</v>
      </c>
      <c r="CT32">
        <v>2.4900000000000002</v>
      </c>
      <c r="CU32">
        <v>2.44</v>
      </c>
      <c r="CV32">
        <v>1.53</v>
      </c>
      <c r="CW32">
        <v>0.9</v>
      </c>
      <c r="CX32">
        <v>0.18</v>
      </c>
      <c r="CY32">
        <v>-0.03</v>
      </c>
      <c r="CZ32">
        <v>0.39</v>
      </c>
      <c r="DA32">
        <v>1.39</v>
      </c>
      <c r="DB32">
        <v>145.27000000000001</v>
      </c>
      <c r="DC32">
        <v>0</v>
      </c>
      <c r="DD32">
        <v>2.42</v>
      </c>
      <c r="DE32">
        <v>0</v>
      </c>
      <c r="DF32">
        <v>1</v>
      </c>
      <c r="DG32">
        <v>2.37</v>
      </c>
      <c r="DH32">
        <v>0</v>
      </c>
      <c r="DI32">
        <v>1</v>
      </c>
      <c r="DJ32">
        <v>0.6</v>
      </c>
      <c r="DK32">
        <v>0.6</v>
      </c>
      <c r="DL32">
        <v>0.11</v>
      </c>
      <c r="DM32">
        <v>0</v>
      </c>
      <c r="DN32" t="s">
        <v>1467</v>
      </c>
      <c r="DO32" t="s">
        <v>245</v>
      </c>
      <c r="DP32" t="s">
        <v>246</v>
      </c>
      <c r="DQ32" t="s">
        <v>247</v>
      </c>
      <c r="DR32" t="s">
        <v>248</v>
      </c>
      <c r="DS32" t="s">
        <v>249</v>
      </c>
      <c r="DT32" t="s">
        <v>250</v>
      </c>
    </row>
    <row r="33" spans="1:124" x14ac:dyDescent="0.45">
      <c r="A33" t="s">
        <v>1499</v>
      </c>
      <c r="B33" t="s">
        <v>1500</v>
      </c>
      <c r="C33" t="s">
        <v>17</v>
      </c>
      <c r="D33" t="s">
        <v>167</v>
      </c>
      <c r="E33" t="s">
        <v>168</v>
      </c>
      <c r="I33" t="s">
        <v>1501</v>
      </c>
      <c r="J33">
        <v>0.6</v>
      </c>
      <c r="K33">
        <v>2.7</v>
      </c>
      <c r="L33">
        <v>0.49</v>
      </c>
      <c r="M33">
        <v>10.78</v>
      </c>
      <c r="N33">
        <v>2.62</v>
      </c>
      <c r="O33">
        <v>2.2799999999999998</v>
      </c>
      <c r="P33">
        <v>4.76</v>
      </c>
      <c r="Q33">
        <v>2.13</v>
      </c>
      <c r="R33">
        <v>22.56</v>
      </c>
      <c r="S33">
        <v>26</v>
      </c>
      <c r="T33">
        <v>47.13</v>
      </c>
      <c r="U33">
        <v>0.44</v>
      </c>
      <c r="V33">
        <v>7.5</v>
      </c>
      <c r="W33" t="s">
        <v>1506</v>
      </c>
      <c r="X33">
        <v>0</v>
      </c>
      <c r="Y33">
        <v>0</v>
      </c>
      <c r="Z33">
        <v>0</v>
      </c>
      <c r="AA33">
        <v>110.43</v>
      </c>
      <c r="AB33">
        <v>376.61</v>
      </c>
      <c r="AC33">
        <v>0.71</v>
      </c>
      <c r="AD33">
        <v>0.5</v>
      </c>
      <c r="AE33">
        <v>0.84</v>
      </c>
      <c r="AF33">
        <v>365.42</v>
      </c>
      <c r="AG33">
        <v>1</v>
      </c>
      <c r="AH33">
        <v>43.94</v>
      </c>
      <c r="AI33">
        <v>38.130000000000003</v>
      </c>
      <c r="AJ33">
        <v>36.01</v>
      </c>
      <c r="AK33">
        <v>31.93</v>
      </c>
      <c r="AL33">
        <v>31.93</v>
      </c>
      <c r="AM33">
        <v>100.92</v>
      </c>
      <c r="AN33">
        <v>134.80000000000001</v>
      </c>
      <c r="AO33">
        <v>124.2</v>
      </c>
      <c r="AP33">
        <v>7.9</v>
      </c>
      <c r="AQ33">
        <v>1231</v>
      </c>
      <c r="AR33">
        <v>3.64</v>
      </c>
      <c r="AS33">
        <v>-12</v>
      </c>
      <c r="AT33">
        <v>0</v>
      </c>
      <c r="AU33">
        <v>280</v>
      </c>
      <c r="AV33">
        <v>46.27</v>
      </c>
      <c r="AW33">
        <v>69.13</v>
      </c>
      <c r="AX33">
        <v>12</v>
      </c>
      <c r="AY33">
        <v>100</v>
      </c>
      <c r="AZ33">
        <v>7.22</v>
      </c>
      <c r="BA33">
        <v>136.53</v>
      </c>
      <c r="BB33">
        <v>36.15</v>
      </c>
      <c r="BC33" t="s">
        <v>1524</v>
      </c>
      <c r="BD33" t="s">
        <v>17</v>
      </c>
      <c r="BE33">
        <v>35.85</v>
      </c>
      <c r="BF33">
        <v>127.13</v>
      </c>
      <c r="BG33">
        <v>34.799999999999997</v>
      </c>
      <c r="BH33">
        <v>13</v>
      </c>
      <c r="BI33">
        <v>0.79</v>
      </c>
      <c r="BJ33" t="s">
        <v>1291</v>
      </c>
      <c r="BK33" t="s">
        <v>17</v>
      </c>
      <c r="BL33">
        <v>-0.76</v>
      </c>
      <c r="BM33" t="s">
        <v>165</v>
      </c>
      <c r="BN33">
        <v>0</v>
      </c>
      <c r="BO33">
        <v>0</v>
      </c>
      <c r="BP33">
        <v>0</v>
      </c>
      <c r="BQ33">
        <v>-0.13</v>
      </c>
      <c r="BR33">
        <v>-0.34</v>
      </c>
      <c r="BS33">
        <v>-0.62</v>
      </c>
      <c r="BT33" t="s">
        <v>165</v>
      </c>
      <c r="BU33">
        <v>150</v>
      </c>
      <c r="BV33">
        <v>0</v>
      </c>
      <c r="BW33">
        <v>2</v>
      </c>
      <c r="BX33">
        <v>0.06</v>
      </c>
      <c r="BY33">
        <v>0</v>
      </c>
      <c r="BZ33">
        <v>0.03</v>
      </c>
      <c r="CA33">
        <v>0</v>
      </c>
      <c r="CB33">
        <v>0</v>
      </c>
      <c r="CC33">
        <v>0</v>
      </c>
      <c r="CD33" t="s">
        <v>222</v>
      </c>
      <c r="CE33" t="s">
        <v>223</v>
      </c>
      <c r="CF33" t="s">
        <v>224</v>
      </c>
      <c r="CG33">
        <v>6000</v>
      </c>
      <c r="CH33">
        <v>500</v>
      </c>
      <c r="CI33">
        <v>1</v>
      </c>
      <c r="CJ33">
        <v>2</v>
      </c>
      <c r="CK33">
        <v>55537</v>
      </c>
      <c r="CL33">
        <v>55537</v>
      </c>
      <c r="CM33">
        <v>55537</v>
      </c>
      <c r="CN33">
        <v>0</v>
      </c>
      <c r="CO33">
        <v>-9999</v>
      </c>
      <c r="CP33">
        <v>0</v>
      </c>
      <c r="CQ33">
        <v>0</v>
      </c>
      <c r="CR33">
        <v>0</v>
      </c>
      <c r="CS33">
        <v>0</v>
      </c>
      <c r="CT33">
        <v>2.4900000000000002</v>
      </c>
      <c r="CU33">
        <v>2.4300000000000002</v>
      </c>
      <c r="CV33">
        <v>1.49</v>
      </c>
      <c r="CW33">
        <v>0.86</v>
      </c>
      <c r="CX33">
        <v>0.18</v>
      </c>
      <c r="CY33">
        <v>-0.05</v>
      </c>
      <c r="CZ33">
        <v>0.39</v>
      </c>
      <c r="DA33">
        <v>1.18</v>
      </c>
      <c r="DB33">
        <v>110.43</v>
      </c>
      <c r="DC33">
        <v>0</v>
      </c>
      <c r="DD33">
        <v>2.42</v>
      </c>
      <c r="DE33">
        <v>0</v>
      </c>
      <c r="DF33">
        <v>1</v>
      </c>
      <c r="DG33">
        <v>2.37</v>
      </c>
      <c r="DH33">
        <v>0</v>
      </c>
      <c r="DI33">
        <v>1</v>
      </c>
      <c r="DJ33">
        <v>0.6</v>
      </c>
      <c r="DK33">
        <v>0.6</v>
      </c>
      <c r="DL33">
        <v>0.11</v>
      </c>
      <c r="DM33">
        <v>0</v>
      </c>
      <c r="DN33" t="s">
        <v>1506</v>
      </c>
      <c r="DO33" t="s">
        <v>245</v>
      </c>
      <c r="DP33" t="s">
        <v>246</v>
      </c>
      <c r="DQ33" t="s">
        <v>247</v>
      </c>
      <c r="DR33" t="s">
        <v>248</v>
      </c>
      <c r="DS33" t="s">
        <v>249</v>
      </c>
      <c r="DT33" t="s">
        <v>250</v>
      </c>
    </row>
    <row r="34" spans="1:124" x14ac:dyDescent="0.45">
      <c r="A34" t="s">
        <v>1539</v>
      </c>
      <c r="B34" t="s">
        <v>1540</v>
      </c>
      <c r="C34" t="s">
        <v>17</v>
      </c>
      <c r="D34" t="s">
        <v>167</v>
      </c>
      <c r="E34" t="s">
        <v>168</v>
      </c>
      <c r="I34" t="s">
        <v>1541</v>
      </c>
      <c r="J34">
        <v>0.83</v>
      </c>
      <c r="K34">
        <v>2.75</v>
      </c>
      <c r="L34">
        <v>0.64</v>
      </c>
      <c r="M34">
        <v>11.8</v>
      </c>
      <c r="N34">
        <v>2.72</v>
      </c>
      <c r="O34">
        <v>2.35</v>
      </c>
      <c r="P34">
        <v>4.51</v>
      </c>
      <c r="Q34">
        <v>1.8</v>
      </c>
      <c r="R34">
        <v>23.27</v>
      </c>
      <c r="S34">
        <v>26.92</v>
      </c>
      <c r="T34">
        <v>44.72</v>
      </c>
      <c r="U34">
        <v>0.44</v>
      </c>
      <c r="V34">
        <v>7.5</v>
      </c>
      <c r="W34" t="s">
        <v>1546</v>
      </c>
      <c r="X34">
        <v>0</v>
      </c>
      <c r="Y34">
        <v>0</v>
      </c>
      <c r="Z34">
        <v>0</v>
      </c>
      <c r="AA34">
        <v>107.42</v>
      </c>
      <c r="AB34">
        <v>348.01</v>
      </c>
      <c r="AC34">
        <v>0.69</v>
      </c>
      <c r="AD34">
        <v>0.5</v>
      </c>
      <c r="AE34">
        <v>0.84</v>
      </c>
      <c r="AF34">
        <v>337.68</v>
      </c>
      <c r="AG34">
        <v>1</v>
      </c>
      <c r="AH34">
        <v>45.74</v>
      </c>
      <c r="AI34">
        <v>39.549999999999997</v>
      </c>
      <c r="AJ34">
        <v>35.909999999999997</v>
      </c>
      <c r="AK34">
        <v>31.01</v>
      </c>
      <c r="AL34">
        <v>31.01</v>
      </c>
      <c r="AM34">
        <v>100.93</v>
      </c>
      <c r="AN34">
        <v>139.1</v>
      </c>
      <c r="AO34">
        <v>138.69999999999999</v>
      </c>
      <c r="AP34">
        <v>0.3</v>
      </c>
      <c r="AQ34">
        <v>1163</v>
      </c>
      <c r="AR34">
        <v>3.64</v>
      </c>
      <c r="AS34">
        <v>-19</v>
      </c>
      <c r="AT34">
        <v>0</v>
      </c>
      <c r="AU34">
        <v>300</v>
      </c>
      <c r="AV34">
        <v>54.27</v>
      </c>
      <c r="AW34">
        <v>58.39</v>
      </c>
      <c r="AX34">
        <v>19</v>
      </c>
      <c r="AY34">
        <v>120</v>
      </c>
      <c r="AZ34">
        <v>7.22</v>
      </c>
      <c r="BA34">
        <v>137.22999999999999</v>
      </c>
      <c r="BB34">
        <v>35.869999999999997</v>
      </c>
      <c r="BC34" t="s">
        <v>1564</v>
      </c>
      <c r="BD34" t="s">
        <v>17</v>
      </c>
      <c r="BE34">
        <v>35.85</v>
      </c>
      <c r="BF34">
        <v>127.13</v>
      </c>
      <c r="BG34">
        <v>33.6</v>
      </c>
      <c r="BH34">
        <v>14</v>
      </c>
      <c r="BI34">
        <v>0.76</v>
      </c>
      <c r="BJ34" t="s">
        <v>1291</v>
      </c>
      <c r="BK34" t="s">
        <v>17</v>
      </c>
      <c r="BL34">
        <v>-0.76</v>
      </c>
      <c r="BM34" t="s">
        <v>165</v>
      </c>
      <c r="BN34">
        <v>0</v>
      </c>
      <c r="BO34">
        <v>0</v>
      </c>
      <c r="BP34">
        <v>0.01</v>
      </c>
      <c r="BQ34">
        <v>-0.11</v>
      </c>
      <c r="BR34">
        <v>-0.19</v>
      </c>
      <c r="BS34">
        <v>-0.38</v>
      </c>
      <c r="BT34" t="s">
        <v>165</v>
      </c>
      <c r="BU34">
        <v>150</v>
      </c>
      <c r="BV34">
        <v>0</v>
      </c>
      <c r="BW34">
        <v>2</v>
      </c>
      <c r="BX34">
        <v>0.06</v>
      </c>
      <c r="BY34">
        <v>0</v>
      </c>
      <c r="BZ34">
        <v>0.03</v>
      </c>
      <c r="CA34">
        <v>0</v>
      </c>
      <c r="CB34">
        <v>0</v>
      </c>
      <c r="CC34">
        <v>0</v>
      </c>
      <c r="CD34" t="s">
        <v>222</v>
      </c>
      <c r="CE34" t="s">
        <v>223</v>
      </c>
      <c r="CF34" t="s">
        <v>224</v>
      </c>
      <c r="CG34">
        <v>6000</v>
      </c>
      <c r="CH34">
        <v>500</v>
      </c>
      <c r="CI34">
        <v>1</v>
      </c>
      <c r="CJ34">
        <v>2</v>
      </c>
      <c r="CK34">
        <v>55537</v>
      </c>
      <c r="CL34">
        <v>55537</v>
      </c>
      <c r="CM34">
        <v>55537</v>
      </c>
      <c r="CN34">
        <v>0</v>
      </c>
      <c r="CO34">
        <v>-9999</v>
      </c>
      <c r="CP34">
        <v>0</v>
      </c>
      <c r="CQ34">
        <v>0</v>
      </c>
      <c r="CR34">
        <v>0</v>
      </c>
      <c r="CS34">
        <v>0</v>
      </c>
      <c r="CT34">
        <v>2.4900000000000002</v>
      </c>
      <c r="CU34">
        <v>2.44</v>
      </c>
      <c r="CV34">
        <v>1.53</v>
      </c>
      <c r="CW34">
        <v>0.9</v>
      </c>
      <c r="CX34">
        <v>0.18</v>
      </c>
      <c r="CY34">
        <v>-0.06</v>
      </c>
      <c r="CZ34">
        <v>0.41</v>
      </c>
      <c r="DA34">
        <v>1.1200000000000001</v>
      </c>
      <c r="DB34">
        <v>107.42</v>
      </c>
      <c r="DC34">
        <v>0</v>
      </c>
      <c r="DD34">
        <v>2.42</v>
      </c>
      <c r="DE34">
        <v>0</v>
      </c>
      <c r="DF34">
        <v>1</v>
      </c>
      <c r="DG34">
        <v>2.37</v>
      </c>
      <c r="DH34">
        <v>0</v>
      </c>
      <c r="DI34">
        <v>1</v>
      </c>
      <c r="DJ34">
        <v>0.6</v>
      </c>
      <c r="DK34">
        <v>0.6</v>
      </c>
      <c r="DL34">
        <v>0.11</v>
      </c>
      <c r="DM34">
        <v>0</v>
      </c>
      <c r="DN34" t="s">
        <v>1546</v>
      </c>
      <c r="DO34" t="s">
        <v>245</v>
      </c>
      <c r="DP34" t="s">
        <v>246</v>
      </c>
      <c r="DQ34" t="s">
        <v>247</v>
      </c>
      <c r="DR34" t="s">
        <v>248</v>
      </c>
      <c r="DS34" t="s">
        <v>249</v>
      </c>
      <c r="DT34" t="s">
        <v>250</v>
      </c>
    </row>
    <row r="35" spans="1:124" x14ac:dyDescent="0.45">
      <c r="A35" t="s">
        <v>1579</v>
      </c>
      <c r="B35" t="s">
        <v>1580</v>
      </c>
      <c r="C35" t="s">
        <v>17</v>
      </c>
      <c r="D35" t="s">
        <v>167</v>
      </c>
      <c r="E35" t="s">
        <v>168</v>
      </c>
      <c r="I35" t="s">
        <v>1581</v>
      </c>
      <c r="J35">
        <v>0.69</v>
      </c>
      <c r="K35">
        <v>2.69</v>
      </c>
      <c r="L35">
        <v>0.55000000000000004</v>
      </c>
      <c r="M35">
        <v>10.66</v>
      </c>
      <c r="N35">
        <v>2.56</v>
      </c>
      <c r="O35">
        <v>2.21</v>
      </c>
      <c r="P35">
        <v>4.4400000000000004</v>
      </c>
      <c r="Q35">
        <v>1.88</v>
      </c>
      <c r="R35">
        <v>21.94</v>
      </c>
      <c r="S35">
        <v>25.38</v>
      </c>
      <c r="T35">
        <v>44.04</v>
      </c>
      <c r="U35">
        <v>0.44</v>
      </c>
      <c r="V35">
        <v>7.5</v>
      </c>
      <c r="W35" t="s">
        <v>1586</v>
      </c>
      <c r="X35">
        <v>0</v>
      </c>
      <c r="Y35">
        <v>0</v>
      </c>
      <c r="Z35">
        <v>0</v>
      </c>
      <c r="AA35">
        <v>103.59</v>
      </c>
      <c r="AB35">
        <v>378.05</v>
      </c>
      <c r="AC35">
        <v>0.73</v>
      </c>
      <c r="AD35">
        <v>0.5</v>
      </c>
      <c r="AE35">
        <v>0.84</v>
      </c>
      <c r="AF35">
        <v>318.02999999999997</v>
      </c>
      <c r="AG35">
        <v>1</v>
      </c>
      <c r="AH35">
        <v>43.34</v>
      </c>
      <c r="AI35">
        <v>37.47</v>
      </c>
      <c r="AJ35">
        <v>35.82</v>
      </c>
      <c r="AK35">
        <v>30.74</v>
      </c>
      <c r="AL35">
        <v>30.74</v>
      </c>
      <c r="AM35">
        <v>100.93</v>
      </c>
      <c r="AN35">
        <v>133.4</v>
      </c>
      <c r="AO35">
        <v>129.30000000000001</v>
      </c>
      <c r="AP35">
        <v>3.1</v>
      </c>
      <c r="AQ35">
        <v>1043</v>
      </c>
      <c r="AR35">
        <v>3.64</v>
      </c>
      <c r="AS35">
        <v>-20</v>
      </c>
      <c r="AT35">
        <v>-1</v>
      </c>
      <c r="AU35">
        <v>333</v>
      </c>
      <c r="AV35">
        <v>55.43</v>
      </c>
      <c r="AW35">
        <v>56.74</v>
      </c>
      <c r="AX35">
        <v>20.02</v>
      </c>
      <c r="AY35">
        <v>150.08000000000001</v>
      </c>
      <c r="AZ35">
        <v>7.22</v>
      </c>
      <c r="BA35">
        <v>137.58000000000001</v>
      </c>
      <c r="BB35">
        <v>35.74</v>
      </c>
      <c r="BC35" t="s">
        <v>1605</v>
      </c>
      <c r="BD35" t="s">
        <v>17</v>
      </c>
      <c r="BE35">
        <v>35.85</v>
      </c>
      <c r="BF35">
        <v>127.13</v>
      </c>
      <c r="BG35">
        <v>32.700000000000003</v>
      </c>
      <c r="BH35">
        <v>14</v>
      </c>
      <c r="BI35">
        <v>0.76</v>
      </c>
      <c r="BJ35" t="s">
        <v>1291</v>
      </c>
      <c r="BK35" t="s">
        <v>17</v>
      </c>
      <c r="BL35">
        <v>-0.76</v>
      </c>
      <c r="BM35" t="s">
        <v>165</v>
      </c>
      <c r="BN35">
        <v>0</v>
      </c>
      <c r="BO35">
        <v>0</v>
      </c>
      <c r="BP35">
        <v>0</v>
      </c>
      <c r="BQ35">
        <v>-0.23</v>
      </c>
      <c r="BR35">
        <v>-0.49</v>
      </c>
      <c r="BS35">
        <v>-1.1599999999999999</v>
      </c>
      <c r="BT35" t="s">
        <v>165</v>
      </c>
      <c r="BU35">
        <v>150</v>
      </c>
      <c r="BV35">
        <v>0</v>
      </c>
      <c r="BW35">
        <v>2</v>
      </c>
      <c r="BX35">
        <v>0.06</v>
      </c>
      <c r="BY35">
        <v>0</v>
      </c>
      <c r="BZ35">
        <v>0.03</v>
      </c>
      <c r="CA35">
        <v>0</v>
      </c>
      <c r="CB35">
        <v>0</v>
      </c>
      <c r="CC35">
        <v>0</v>
      </c>
      <c r="CD35" t="s">
        <v>222</v>
      </c>
      <c r="CE35" t="s">
        <v>223</v>
      </c>
      <c r="CF35" t="s">
        <v>224</v>
      </c>
      <c r="CG35">
        <v>6000</v>
      </c>
      <c r="CH35">
        <v>500</v>
      </c>
      <c r="CI35">
        <v>1</v>
      </c>
      <c r="CJ35">
        <v>2</v>
      </c>
      <c r="CK35">
        <v>55537</v>
      </c>
      <c r="CL35">
        <v>55537</v>
      </c>
      <c r="CM35">
        <v>55537</v>
      </c>
      <c r="CN35">
        <v>0</v>
      </c>
      <c r="CO35">
        <v>-9999</v>
      </c>
      <c r="CP35">
        <v>0</v>
      </c>
      <c r="CQ35">
        <v>0</v>
      </c>
      <c r="CR35">
        <v>0</v>
      </c>
      <c r="CS35">
        <v>0</v>
      </c>
      <c r="CT35">
        <v>2.4900000000000002</v>
      </c>
      <c r="CU35">
        <v>2.4300000000000002</v>
      </c>
      <c r="CV35">
        <v>1.48</v>
      </c>
      <c r="CW35">
        <v>0.88</v>
      </c>
      <c r="CX35">
        <v>0.18</v>
      </c>
      <c r="CY35">
        <v>-0.06</v>
      </c>
      <c r="CZ35">
        <v>0.41</v>
      </c>
      <c r="DA35">
        <v>1.02</v>
      </c>
      <c r="DB35">
        <v>103.59</v>
      </c>
      <c r="DC35">
        <v>0</v>
      </c>
      <c r="DD35">
        <v>2.42</v>
      </c>
      <c r="DE35">
        <v>0</v>
      </c>
      <c r="DF35">
        <v>1</v>
      </c>
      <c r="DG35">
        <v>2.37</v>
      </c>
      <c r="DH35">
        <v>0</v>
      </c>
      <c r="DI35">
        <v>1</v>
      </c>
      <c r="DJ35">
        <v>0.6</v>
      </c>
      <c r="DK35">
        <v>0.6</v>
      </c>
      <c r="DL35">
        <v>0.11</v>
      </c>
      <c r="DM35">
        <v>0</v>
      </c>
      <c r="DN35" t="s">
        <v>1586</v>
      </c>
      <c r="DO35" t="s">
        <v>245</v>
      </c>
      <c r="DP35" t="s">
        <v>246</v>
      </c>
      <c r="DQ35" t="s">
        <v>247</v>
      </c>
      <c r="DR35" t="s">
        <v>248</v>
      </c>
      <c r="DS35" t="s">
        <v>249</v>
      </c>
      <c r="DT35" t="s">
        <v>250</v>
      </c>
    </row>
    <row r="36" spans="1:124" x14ac:dyDescent="0.45">
      <c r="A36" t="s">
        <v>1619</v>
      </c>
      <c r="B36" t="s">
        <v>1620</v>
      </c>
      <c r="C36" t="s">
        <v>17</v>
      </c>
      <c r="D36" t="s">
        <v>167</v>
      </c>
      <c r="E36" t="s">
        <v>168</v>
      </c>
      <c r="I36" t="s">
        <v>1621</v>
      </c>
      <c r="J36">
        <v>0.67</v>
      </c>
      <c r="K36">
        <v>2.66</v>
      </c>
      <c r="L36">
        <v>0.54</v>
      </c>
      <c r="M36">
        <v>13.9</v>
      </c>
      <c r="N36">
        <v>2.85</v>
      </c>
      <c r="O36">
        <v>2.39</v>
      </c>
      <c r="P36">
        <v>5.37</v>
      </c>
      <c r="Q36">
        <v>2.5099999999999998</v>
      </c>
      <c r="R36">
        <v>23.7</v>
      </c>
      <c r="S36">
        <v>28.28</v>
      </c>
      <c r="T36">
        <v>53.18</v>
      </c>
      <c r="U36">
        <v>0.44</v>
      </c>
      <c r="V36">
        <v>7.5</v>
      </c>
      <c r="W36" t="s">
        <v>1626</v>
      </c>
      <c r="X36">
        <v>0</v>
      </c>
      <c r="Y36">
        <v>0</v>
      </c>
      <c r="Z36">
        <v>0</v>
      </c>
      <c r="AA36">
        <v>159.43</v>
      </c>
      <c r="AB36">
        <v>300.7</v>
      </c>
      <c r="AC36">
        <v>0.47</v>
      </c>
      <c r="AD36">
        <v>0.5</v>
      </c>
      <c r="AE36">
        <v>0.84</v>
      </c>
      <c r="AF36">
        <v>342.34</v>
      </c>
      <c r="AG36">
        <v>1</v>
      </c>
      <c r="AH36">
        <v>48.44</v>
      </c>
      <c r="AI36">
        <v>40.6</v>
      </c>
      <c r="AJ36">
        <v>35.76</v>
      </c>
      <c r="AK36">
        <v>34.08</v>
      </c>
      <c r="AL36">
        <v>34.08</v>
      </c>
      <c r="AM36">
        <v>100.92</v>
      </c>
      <c r="AN36">
        <v>130.4</v>
      </c>
      <c r="AO36">
        <v>118.5</v>
      </c>
      <c r="AP36">
        <v>9.1</v>
      </c>
      <c r="AQ36">
        <v>1735</v>
      </c>
      <c r="AR36">
        <v>3.64</v>
      </c>
      <c r="AS36">
        <v>-22</v>
      </c>
      <c r="AT36">
        <v>-1</v>
      </c>
      <c r="AU36">
        <v>125</v>
      </c>
      <c r="AV36">
        <v>15.38</v>
      </c>
      <c r="AW36">
        <v>96.42</v>
      </c>
      <c r="AX36">
        <v>22.02</v>
      </c>
      <c r="AY36">
        <v>-57.67</v>
      </c>
      <c r="AZ36">
        <v>7.22</v>
      </c>
      <c r="BA36">
        <v>138.29</v>
      </c>
      <c r="BB36">
        <v>35.47</v>
      </c>
      <c r="BC36" t="s">
        <v>1645</v>
      </c>
      <c r="BD36" t="s">
        <v>17</v>
      </c>
      <c r="BE36">
        <v>35.85</v>
      </c>
      <c r="BF36">
        <v>127.13</v>
      </c>
      <c r="BG36">
        <v>33.299999999999997</v>
      </c>
      <c r="BH36">
        <v>15</v>
      </c>
      <c r="BI36">
        <v>0.72</v>
      </c>
      <c r="BJ36" t="s">
        <v>1291</v>
      </c>
      <c r="BK36" t="s">
        <v>17</v>
      </c>
      <c r="BL36">
        <v>-0.76</v>
      </c>
      <c r="BM36" t="s">
        <v>165</v>
      </c>
      <c r="BN36">
        <v>0</v>
      </c>
      <c r="BO36">
        <v>0</v>
      </c>
      <c r="BP36">
        <v>0</v>
      </c>
      <c r="BQ36">
        <v>-0.25</v>
      </c>
      <c r="BR36">
        <v>-0.41</v>
      </c>
      <c r="BS36">
        <v>-1.18</v>
      </c>
      <c r="BT36" t="s">
        <v>165</v>
      </c>
      <c r="BU36">
        <v>150</v>
      </c>
      <c r="BV36">
        <v>0</v>
      </c>
      <c r="BW36">
        <v>2</v>
      </c>
      <c r="BX36">
        <v>0.06</v>
      </c>
      <c r="BY36">
        <v>0</v>
      </c>
      <c r="BZ36">
        <v>0.03</v>
      </c>
      <c r="CA36">
        <v>0</v>
      </c>
      <c r="CB36">
        <v>0</v>
      </c>
      <c r="CC36">
        <v>0</v>
      </c>
      <c r="CD36" t="s">
        <v>222</v>
      </c>
      <c r="CE36" t="s">
        <v>223</v>
      </c>
      <c r="CF36" t="s">
        <v>224</v>
      </c>
      <c r="CG36">
        <v>6000</v>
      </c>
      <c r="CH36">
        <v>500</v>
      </c>
      <c r="CI36">
        <v>1</v>
      </c>
      <c r="CJ36">
        <v>2</v>
      </c>
      <c r="CK36">
        <v>55537</v>
      </c>
      <c r="CL36">
        <v>55537</v>
      </c>
      <c r="CM36">
        <v>55537</v>
      </c>
      <c r="CN36">
        <v>0</v>
      </c>
      <c r="CO36">
        <v>-9999</v>
      </c>
      <c r="CP36">
        <v>0</v>
      </c>
      <c r="CQ36">
        <v>0</v>
      </c>
      <c r="CR36">
        <v>0</v>
      </c>
      <c r="CS36">
        <v>0</v>
      </c>
      <c r="CT36">
        <v>2.4900000000000002</v>
      </c>
      <c r="CU36">
        <v>2.44</v>
      </c>
      <c r="CV36">
        <v>1.46</v>
      </c>
      <c r="CW36">
        <v>0.85</v>
      </c>
      <c r="CX36">
        <v>0.18</v>
      </c>
      <c r="CY36">
        <v>-0.02</v>
      </c>
      <c r="CZ36">
        <v>0.42</v>
      </c>
      <c r="DA36">
        <v>1.62</v>
      </c>
      <c r="DB36">
        <v>159.43</v>
      </c>
      <c r="DC36">
        <v>0</v>
      </c>
      <c r="DD36">
        <v>2.42</v>
      </c>
      <c r="DE36">
        <v>0</v>
      </c>
      <c r="DF36">
        <v>1</v>
      </c>
      <c r="DG36">
        <v>2.37</v>
      </c>
      <c r="DH36">
        <v>0</v>
      </c>
      <c r="DI36">
        <v>1</v>
      </c>
      <c r="DJ36">
        <v>0.6</v>
      </c>
      <c r="DK36">
        <v>0.6</v>
      </c>
      <c r="DL36">
        <v>0.11</v>
      </c>
      <c r="DM36">
        <v>0</v>
      </c>
      <c r="DN36" t="s">
        <v>1626</v>
      </c>
      <c r="DO36" t="s">
        <v>245</v>
      </c>
      <c r="DP36" t="s">
        <v>246</v>
      </c>
      <c r="DQ36" t="s">
        <v>247</v>
      </c>
      <c r="DR36" t="s">
        <v>248</v>
      </c>
      <c r="DS36" t="s">
        <v>249</v>
      </c>
      <c r="DT36" t="s">
        <v>250</v>
      </c>
    </row>
    <row r="37" spans="1:124" x14ac:dyDescent="0.45">
      <c r="A37" t="s">
        <v>1659</v>
      </c>
      <c r="B37" t="s">
        <v>1660</v>
      </c>
      <c r="C37" t="s">
        <v>17</v>
      </c>
      <c r="D37" t="s">
        <v>167</v>
      </c>
      <c r="E37" t="s">
        <v>168</v>
      </c>
      <c r="I37" t="s">
        <v>1661</v>
      </c>
      <c r="J37">
        <v>1.1000000000000001</v>
      </c>
      <c r="K37">
        <v>2.69</v>
      </c>
      <c r="L37">
        <v>0.78</v>
      </c>
      <c r="M37">
        <v>18.22</v>
      </c>
      <c r="N37">
        <v>2.95</v>
      </c>
      <c r="O37">
        <v>2.36</v>
      </c>
      <c r="P37">
        <v>5.21</v>
      </c>
      <c r="Q37">
        <v>2.2599999999999998</v>
      </c>
      <c r="R37">
        <v>23.34</v>
      </c>
      <c r="S37">
        <v>29.2</v>
      </c>
      <c r="T37">
        <v>51.59</v>
      </c>
      <c r="U37">
        <v>0.44</v>
      </c>
      <c r="V37">
        <v>7.5</v>
      </c>
      <c r="W37" t="s">
        <v>1666</v>
      </c>
      <c r="X37">
        <v>0</v>
      </c>
      <c r="Y37">
        <v>0</v>
      </c>
      <c r="Z37">
        <v>0</v>
      </c>
      <c r="AA37">
        <v>160.58000000000001</v>
      </c>
      <c r="AB37">
        <v>295.27999999999997</v>
      </c>
      <c r="AC37">
        <v>0.46</v>
      </c>
      <c r="AD37">
        <v>0.5</v>
      </c>
      <c r="AE37">
        <v>0.84</v>
      </c>
      <c r="AF37">
        <v>348.13</v>
      </c>
      <c r="AG37">
        <v>1</v>
      </c>
      <c r="AH37">
        <v>49.72</v>
      </c>
      <c r="AI37">
        <v>39.74</v>
      </c>
      <c r="AJ37">
        <v>35.869999999999997</v>
      </c>
      <c r="AK37">
        <v>33.54</v>
      </c>
      <c r="AL37">
        <v>33.54</v>
      </c>
      <c r="AM37">
        <v>100.93</v>
      </c>
      <c r="AN37">
        <v>133.4</v>
      </c>
      <c r="AO37">
        <v>132.30000000000001</v>
      </c>
      <c r="AP37">
        <v>0.8</v>
      </c>
      <c r="AQ37">
        <v>1817</v>
      </c>
      <c r="AR37">
        <v>3.64</v>
      </c>
      <c r="AS37">
        <v>-16</v>
      </c>
      <c r="AT37">
        <v>0</v>
      </c>
      <c r="AU37">
        <v>137</v>
      </c>
      <c r="AV37">
        <v>19.34</v>
      </c>
      <c r="AW37">
        <v>94.35</v>
      </c>
      <c r="AX37">
        <v>16</v>
      </c>
      <c r="AY37">
        <v>-43</v>
      </c>
      <c r="AZ37">
        <v>7.22</v>
      </c>
      <c r="BA37">
        <v>138.65</v>
      </c>
      <c r="BB37">
        <v>35.33</v>
      </c>
      <c r="BC37" t="s">
        <v>1681</v>
      </c>
      <c r="BD37" t="s">
        <v>17</v>
      </c>
      <c r="BE37">
        <v>35.85</v>
      </c>
      <c r="BF37">
        <v>127.13</v>
      </c>
      <c r="BG37">
        <v>34.200000000000003</v>
      </c>
      <c r="BH37">
        <v>15</v>
      </c>
      <c r="BI37">
        <v>0.71</v>
      </c>
      <c r="BJ37" t="s">
        <v>1686</v>
      </c>
      <c r="BK37" t="s">
        <v>17</v>
      </c>
      <c r="BL37">
        <v>-0.82</v>
      </c>
      <c r="BM37" t="s">
        <v>165</v>
      </c>
      <c r="BN37">
        <v>0.01</v>
      </c>
      <c r="BO37">
        <v>0</v>
      </c>
      <c r="BP37">
        <v>0.01</v>
      </c>
      <c r="BQ37">
        <v>-0.33</v>
      </c>
      <c r="BR37">
        <v>-0.38</v>
      </c>
      <c r="BS37">
        <v>-0.57999999999999996</v>
      </c>
      <c r="BT37" t="s">
        <v>165</v>
      </c>
      <c r="BU37">
        <v>150</v>
      </c>
      <c r="BV37">
        <v>0</v>
      </c>
      <c r="BW37">
        <v>2</v>
      </c>
      <c r="BX37">
        <v>0.06</v>
      </c>
      <c r="BY37">
        <v>0</v>
      </c>
      <c r="BZ37">
        <v>0.03</v>
      </c>
      <c r="CA37">
        <v>0</v>
      </c>
      <c r="CB37">
        <v>0</v>
      </c>
      <c r="CC37">
        <v>0</v>
      </c>
      <c r="CD37" t="s">
        <v>222</v>
      </c>
      <c r="CE37" t="s">
        <v>223</v>
      </c>
      <c r="CF37" t="s">
        <v>224</v>
      </c>
      <c r="CG37">
        <v>6000</v>
      </c>
      <c r="CH37">
        <v>500</v>
      </c>
      <c r="CI37">
        <v>1</v>
      </c>
      <c r="CJ37">
        <v>2</v>
      </c>
      <c r="CK37">
        <v>55537</v>
      </c>
      <c r="CL37">
        <v>55537</v>
      </c>
      <c r="CM37">
        <v>55537</v>
      </c>
      <c r="CN37">
        <v>0</v>
      </c>
      <c r="CO37">
        <v>-9999</v>
      </c>
      <c r="CP37">
        <v>0</v>
      </c>
      <c r="CQ37">
        <v>0</v>
      </c>
      <c r="CR37">
        <v>0</v>
      </c>
      <c r="CS37">
        <v>0</v>
      </c>
      <c r="CT37">
        <v>2.4900000000000002</v>
      </c>
      <c r="CU37">
        <v>2.44</v>
      </c>
      <c r="CV37">
        <v>1.48</v>
      </c>
      <c r="CW37">
        <v>0.88</v>
      </c>
      <c r="CX37">
        <v>0.18</v>
      </c>
      <c r="CY37">
        <v>-0.03</v>
      </c>
      <c r="CZ37">
        <v>0.43</v>
      </c>
      <c r="DA37">
        <v>1.69</v>
      </c>
      <c r="DB37">
        <v>160.58000000000001</v>
      </c>
      <c r="DC37">
        <v>0</v>
      </c>
      <c r="DD37">
        <v>2.42</v>
      </c>
      <c r="DE37">
        <v>0</v>
      </c>
      <c r="DF37">
        <v>1</v>
      </c>
      <c r="DG37">
        <v>2.37</v>
      </c>
      <c r="DH37">
        <v>0</v>
      </c>
      <c r="DI37">
        <v>1</v>
      </c>
      <c r="DJ37">
        <v>0.6</v>
      </c>
      <c r="DK37">
        <v>0.6</v>
      </c>
      <c r="DL37">
        <v>0.11</v>
      </c>
      <c r="DM37">
        <v>0</v>
      </c>
      <c r="DN37" t="s">
        <v>1666</v>
      </c>
      <c r="DO37" t="s">
        <v>245</v>
      </c>
      <c r="DP37" t="s">
        <v>246</v>
      </c>
      <c r="DQ37" t="s">
        <v>247</v>
      </c>
      <c r="DR37" t="s">
        <v>248</v>
      </c>
      <c r="DS37" t="s">
        <v>249</v>
      </c>
      <c r="DT37" t="s">
        <v>250</v>
      </c>
    </row>
    <row r="38" spans="1:124" x14ac:dyDescent="0.45">
      <c r="A38" t="s">
        <v>1700</v>
      </c>
      <c r="B38" t="s">
        <v>1701</v>
      </c>
      <c r="C38" t="s">
        <v>17</v>
      </c>
      <c r="D38" t="s">
        <v>167</v>
      </c>
      <c r="E38" t="s">
        <v>168</v>
      </c>
      <c r="I38" t="s">
        <v>1702</v>
      </c>
      <c r="J38">
        <v>0.65</v>
      </c>
      <c r="K38">
        <v>2.7</v>
      </c>
      <c r="L38">
        <v>0.52</v>
      </c>
      <c r="M38">
        <v>14.11</v>
      </c>
      <c r="N38">
        <v>2.77</v>
      </c>
      <c r="O38">
        <v>2.31</v>
      </c>
      <c r="P38">
        <v>5.38</v>
      </c>
      <c r="Q38">
        <v>2.62</v>
      </c>
      <c r="R38">
        <v>22.89</v>
      </c>
      <c r="S38">
        <v>27.41</v>
      </c>
      <c r="T38">
        <v>53.32</v>
      </c>
      <c r="U38">
        <v>0.44</v>
      </c>
      <c r="V38">
        <v>7.5</v>
      </c>
      <c r="W38" t="s">
        <v>1707</v>
      </c>
      <c r="X38">
        <v>0</v>
      </c>
      <c r="Y38">
        <v>0</v>
      </c>
      <c r="Z38">
        <v>0</v>
      </c>
      <c r="AA38">
        <v>150.43</v>
      </c>
      <c r="AB38">
        <v>291.76</v>
      </c>
      <c r="AC38">
        <v>0.48</v>
      </c>
      <c r="AD38">
        <v>0.5</v>
      </c>
      <c r="AE38">
        <v>0.84</v>
      </c>
      <c r="AF38">
        <v>308.64</v>
      </c>
      <c r="AG38">
        <v>1</v>
      </c>
      <c r="AH38">
        <v>46.57</v>
      </c>
      <c r="AI38">
        <v>38.89</v>
      </c>
      <c r="AJ38">
        <v>35.909999999999997</v>
      </c>
      <c r="AK38">
        <v>34.130000000000003</v>
      </c>
      <c r="AL38">
        <v>34.130000000000003</v>
      </c>
      <c r="AM38">
        <v>100.93</v>
      </c>
      <c r="AN38">
        <v>134.19999999999999</v>
      </c>
      <c r="AO38">
        <v>123.3</v>
      </c>
      <c r="AP38">
        <v>8.1</v>
      </c>
      <c r="AQ38">
        <v>1517</v>
      </c>
      <c r="AR38">
        <v>3.63</v>
      </c>
      <c r="AS38">
        <v>-21</v>
      </c>
      <c r="AT38">
        <v>1</v>
      </c>
      <c r="AU38">
        <v>108</v>
      </c>
      <c r="AV38">
        <v>19.100000000000001</v>
      </c>
      <c r="AW38">
        <v>94.5</v>
      </c>
      <c r="AX38">
        <v>21.02</v>
      </c>
      <c r="AY38">
        <v>-69.209999999999994</v>
      </c>
      <c r="AZ38">
        <v>7.22</v>
      </c>
      <c r="BA38">
        <v>139.01</v>
      </c>
      <c r="BB38">
        <v>35.200000000000003</v>
      </c>
      <c r="BC38" t="s">
        <v>1725</v>
      </c>
      <c r="BD38" t="s">
        <v>17</v>
      </c>
      <c r="BE38">
        <v>35.85</v>
      </c>
      <c r="BF38">
        <v>127.13</v>
      </c>
      <c r="BG38">
        <v>33.299999999999997</v>
      </c>
      <c r="BH38">
        <v>16</v>
      </c>
      <c r="BI38">
        <v>0.71</v>
      </c>
      <c r="BJ38" t="s">
        <v>1686</v>
      </c>
      <c r="BK38" t="s">
        <v>17</v>
      </c>
      <c r="BL38">
        <v>-0.82</v>
      </c>
      <c r="BM38" t="s">
        <v>165</v>
      </c>
      <c r="BN38">
        <v>0</v>
      </c>
      <c r="BO38">
        <v>0</v>
      </c>
      <c r="BP38">
        <v>0</v>
      </c>
      <c r="BQ38">
        <v>-0.49</v>
      </c>
      <c r="BR38">
        <v>-0.42</v>
      </c>
      <c r="BS38">
        <v>-1.48</v>
      </c>
      <c r="BT38" t="s">
        <v>165</v>
      </c>
      <c r="BU38">
        <v>150</v>
      </c>
      <c r="BV38">
        <v>0</v>
      </c>
      <c r="BW38">
        <v>2</v>
      </c>
      <c r="BX38">
        <v>0.06</v>
      </c>
      <c r="BY38">
        <v>0</v>
      </c>
      <c r="BZ38">
        <v>0.03</v>
      </c>
      <c r="CA38">
        <v>0</v>
      </c>
      <c r="CB38">
        <v>0</v>
      </c>
      <c r="CC38">
        <v>0</v>
      </c>
      <c r="CD38" t="s">
        <v>222</v>
      </c>
      <c r="CE38" t="s">
        <v>223</v>
      </c>
      <c r="CF38" t="s">
        <v>224</v>
      </c>
      <c r="CG38">
        <v>6000</v>
      </c>
      <c r="CH38">
        <v>500</v>
      </c>
      <c r="CI38">
        <v>1</v>
      </c>
      <c r="CJ38">
        <v>2</v>
      </c>
      <c r="CK38">
        <v>55537</v>
      </c>
      <c r="CL38">
        <v>55537</v>
      </c>
      <c r="CM38">
        <v>55537</v>
      </c>
      <c r="CN38">
        <v>0</v>
      </c>
      <c r="CO38">
        <v>-9999</v>
      </c>
      <c r="CP38">
        <v>0</v>
      </c>
      <c r="CQ38">
        <v>0</v>
      </c>
      <c r="CR38">
        <v>0</v>
      </c>
      <c r="CS38">
        <v>0</v>
      </c>
      <c r="CT38">
        <v>2.4900000000000002</v>
      </c>
      <c r="CU38">
        <v>2.44</v>
      </c>
      <c r="CV38">
        <v>1.49</v>
      </c>
      <c r="CW38">
        <v>0.86</v>
      </c>
      <c r="CX38">
        <v>0.18</v>
      </c>
      <c r="CY38">
        <v>-0.02</v>
      </c>
      <c r="CZ38">
        <v>0.43</v>
      </c>
      <c r="DA38">
        <v>1.43</v>
      </c>
      <c r="DB38">
        <v>150.43</v>
      </c>
      <c r="DC38">
        <v>0</v>
      </c>
      <c r="DD38">
        <v>2.42</v>
      </c>
      <c r="DE38">
        <v>0</v>
      </c>
      <c r="DF38">
        <v>1</v>
      </c>
      <c r="DG38">
        <v>2.37</v>
      </c>
      <c r="DH38">
        <v>0</v>
      </c>
      <c r="DI38">
        <v>1</v>
      </c>
      <c r="DJ38">
        <v>0.6</v>
      </c>
      <c r="DK38">
        <v>0.6</v>
      </c>
      <c r="DL38">
        <v>0.11</v>
      </c>
      <c r="DM38">
        <v>0</v>
      </c>
      <c r="DN38" t="s">
        <v>1707</v>
      </c>
      <c r="DO38" t="s">
        <v>245</v>
      </c>
      <c r="DP38" t="s">
        <v>246</v>
      </c>
      <c r="DQ38" t="s">
        <v>247</v>
      </c>
      <c r="DR38" t="s">
        <v>248</v>
      </c>
      <c r="DS38" t="s">
        <v>249</v>
      </c>
      <c r="DT38" t="s">
        <v>250</v>
      </c>
    </row>
    <row r="39" spans="1:124" x14ac:dyDescent="0.45">
      <c r="A39" t="s">
        <v>1739</v>
      </c>
      <c r="B39" t="s">
        <v>1740</v>
      </c>
      <c r="C39" t="s">
        <v>17</v>
      </c>
      <c r="D39" t="s">
        <v>167</v>
      </c>
      <c r="E39" t="s">
        <v>168</v>
      </c>
      <c r="I39" t="s">
        <v>1741</v>
      </c>
      <c r="J39">
        <v>0.26</v>
      </c>
      <c r="K39">
        <v>2.72</v>
      </c>
      <c r="L39">
        <v>0.24</v>
      </c>
      <c r="M39">
        <v>6.03</v>
      </c>
      <c r="N39">
        <v>2.6</v>
      </c>
      <c r="O39">
        <v>2.41</v>
      </c>
      <c r="P39">
        <v>5.04</v>
      </c>
      <c r="Q39">
        <v>2.44</v>
      </c>
      <c r="R39">
        <v>23.83</v>
      </c>
      <c r="S39">
        <v>25.75</v>
      </c>
      <c r="T39">
        <v>49.91</v>
      </c>
      <c r="U39">
        <v>0.44</v>
      </c>
      <c r="V39">
        <v>7.5</v>
      </c>
      <c r="W39" t="s">
        <v>1746</v>
      </c>
      <c r="X39">
        <v>0</v>
      </c>
      <c r="Y39">
        <v>0</v>
      </c>
      <c r="Z39">
        <v>0</v>
      </c>
      <c r="AA39">
        <v>119.5</v>
      </c>
      <c r="AB39">
        <v>482.33</v>
      </c>
      <c r="AC39">
        <v>0.75</v>
      </c>
      <c r="AD39">
        <v>0.5</v>
      </c>
      <c r="AE39">
        <v>0.84</v>
      </c>
      <c r="AF39">
        <v>332.37</v>
      </c>
      <c r="AG39">
        <v>1</v>
      </c>
      <c r="AH39">
        <v>43.65</v>
      </c>
      <c r="AI39">
        <v>40.409999999999997</v>
      </c>
      <c r="AJ39">
        <v>35.96</v>
      </c>
      <c r="AK39">
        <v>32.950000000000003</v>
      </c>
      <c r="AL39">
        <v>32.950000000000003</v>
      </c>
      <c r="AM39">
        <v>100.94</v>
      </c>
      <c r="AN39">
        <v>135.9</v>
      </c>
      <c r="AO39">
        <v>111.6</v>
      </c>
      <c r="AP39">
        <v>17.899999999999999</v>
      </c>
      <c r="AQ39">
        <v>1052</v>
      </c>
      <c r="AR39">
        <v>3.63</v>
      </c>
      <c r="AS39">
        <v>-18</v>
      </c>
      <c r="AT39">
        <v>3</v>
      </c>
      <c r="AU39">
        <v>343</v>
      </c>
      <c r="AV39">
        <v>51.17</v>
      </c>
      <c r="AW39">
        <v>62.7</v>
      </c>
      <c r="AX39">
        <v>18.239999999999998</v>
      </c>
      <c r="AY39">
        <v>172.63</v>
      </c>
      <c r="AZ39">
        <v>7.22</v>
      </c>
      <c r="BA39">
        <v>139.38</v>
      </c>
      <c r="BB39">
        <v>35.07</v>
      </c>
      <c r="BC39" t="s">
        <v>1766</v>
      </c>
      <c r="BD39" t="s">
        <v>17</v>
      </c>
      <c r="BE39">
        <v>35.85</v>
      </c>
      <c r="BF39">
        <v>127.13</v>
      </c>
      <c r="BG39">
        <v>32.5</v>
      </c>
      <c r="BH39">
        <v>16</v>
      </c>
      <c r="BI39">
        <v>0.71</v>
      </c>
      <c r="BJ39" t="s">
        <v>1686</v>
      </c>
      <c r="BK39" t="s">
        <v>17</v>
      </c>
      <c r="BL39">
        <v>-0.82</v>
      </c>
      <c r="BM39" t="s">
        <v>165</v>
      </c>
      <c r="BN39">
        <v>0</v>
      </c>
      <c r="BO39">
        <v>0</v>
      </c>
      <c r="BP39">
        <v>0</v>
      </c>
      <c r="BQ39">
        <v>-0.13</v>
      </c>
      <c r="BR39">
        <v>-0.2</v>
      </c>
      <c r="BS39">
        <v>-0.61</v>
      </c>
      <c r="BT39" t="s">
        <v>165</v>
      </c>
      <c r="BU39">
        <v>150</v>
      </c>
      <c r="BV39">
        <v>0</v>
      </c>
      <c r="BW39">
        <v>2</v>
      </c>
      <c r="BX39">
        <v>0.06</v>
      </c>
      <c r="BY39">
        <v>0</v>
      </c>
      <c r="BZ39">
        <v>0.03</v>
      </c>
      <c r="CA39">
        <v>0</v>
      </c>
      <c r="CB39">
        <v>0</v>
      </c>
      <c r="CC39">
        <v>0</v>
      </c>
      <c r="CD39" t="s">
        <v>222</v>
      </c>
      <c r="CE39" t="s">
        <v>223</v>
      </c>
      <c r="CF39" t="s">
        <v>224</v>
      </c>
      <c r="CG39">
        <v>6000</v>
      </c>
      <c r="CH39">
        <v>500</v>
      </c>
      <c r="CI39">
        <v>1</v>
      </c>
      <c r="CJ39">
        <v>2</v>
      </c>
      <c r="CK39">
        <v>55537</v>
      </c>
      <c r="CL39">
        <v>55537</v>
      </c>
      <c r="CM39">
        <v>55537</v>
      </c>
      <c r="CN39">
        <v>0</v>
      </c>
      <c r="CO39">
        <v>-9999</v>
      </c>
      <c r="CP39">
        <v>0</v>
      </c>
      <c r="CQ39">
        <v>0</v>
      </c>
      <c r="CR39">
        <v>0</v>
      </c>
      <c r="CS39">
        <v>0</v>
      </c>
      <c r="CT39">
        <v>2.4900000000000002</v>
      </c>
      <c r="CU39">
        <v>2.4300000000000002</v>
      </c>
      <c r="CV39">
        <v>1.5</v>
      </c>
      <c r="CW39">
        <v>0.83</v>
      </c>
      <c r="CX39">
        <v>0.18</v>
      </c>
      <c r="CY39">
        <v>-0.04</v>
      </c>
      <c r="CZ39">
        <v>0.44</v>
      </c>
      <c r="DA39">
        <v>1.02</v>
      </c>
      <c r="DB39">
        <v>119.5</v>
      </c>
      <c r="DC39">
        <v>0</v>
      </c>
      <c r="DD39">
        <v>2.42</v>
      </c>
      <c r="DE39">
        <v>0</v>
      </c>
      <c r="DF39">
        <v>1</v>
      </c>
      <c r="DG39">
        <v>2.37</v>
      </c>
      <c r="DH39">
        <v>0</v>
      </c>
      <c r="DI39">
        <v>1</v>
      </c>
      <c r="DJ39">
        <v>0.6</v>
      </c>
      <c r="DK39">
        <v>0.6</v>
      </c>
      <c r="DL39">
        <v>0.11</v>
      </c>
      <c r="DM39">
        <v>0</v>
      </c>
      <c r="DN39" t="s">
        <v>1746</v>
      </c>
      <c r="DO39" t="s">
        <v>245</v>
      </c>
      <c r="DP39" t="s">
        <v>246</v>
      </c>
      <c r="DQ39" t="s">
        <v>247</v>
      </c>
      <c r="DR39" t="s">
        <v>248</v>
      </c>
      <c r="DS39" t="s">
        <v>249</v>
      </c>
      <c r="DT39" t="s">
        <v>250</v>
      </c>
    </row>
    <row r="40" spans="1:124" x14ac:dyDescent="0.45">
      <c r="A40" t="s">
        <v>1779</v>
      </c>
      <c r="B40" t="s">
        <v>1780</v>
      </c>
      <c r="C40" t="s">
        <v>17</v>
      </c>
      <c r="D40" t="s">
        <v>167</v>
      </c>
      <c r="E40" t="s">
        <v>168</v>
      </c>
      <c r="I40" t="s">
        <v>1781</v>
      </c>
      <c r="J40">
        <v>0.66</v>
      </c>
      <c r="K40">
        <v>2.7</v>
      </c>
      <c r="L40">
        <v>0.53</v>
      </c>
      <c r="M40">
        <v>10.97</v>
      </c>
      <c r="N40">
        <v>2.66</v>
      </c>
      <c r="O40">
        <v>2.31</v>
      </c>
      <c r="P40">
        <v>4.68</v>
      </c>
      <c r="Q40">
        <v>2.02</v>
      </c>
      <c r="R40">
        <v>22.85</v>
      </c>
      <c r="S40">
        <v>26.36</v>
      </c>
      <c r="T40">
        <v>46.38</v>
      </c>
      <c r="U40">
        <v>0.44</v>
      </c>
      <c r="V40">
        <v>7.5</v>
      </c>
      <c r="W40" t="s">
        <v>1786</v>
      </c>
      <c r="X40">
        <v>0</v>
      </c>
      <c r="Y40">
        <v>0</v>
      </c>
      <c r="Z40">
        <v>0</v>
      </c>
      <c r="AA40">
        <v>112.33</v>
      </c>
      <c r="AB40">
        <v>352.91</v>
      </c>
      <c r="AC40">
        <v>0.68</v>
      </c>
      <c r="AD40">
        <v>0.5</v>
      </c>
      <c r="AE40">
        <v>0.84</v>
      </c>
      <c r="AF40">
        <v>278.3</v>
      </c>
      <c r="AG40">
        <v>1</v>
      </c>
      <c r="AH40">
        <v>44.67</v>
      </c>
      <c r="AI40">
        <v>38.72</v>
      </c>
      <c r="AJ40">
        <v>35.96</v>
      </c>
      <c r="AK40">
        <v>31.65</v>
      </c>
      <c r="AL40">
        <v>31.65</v>
      </c>
      <c r="AM40">
        <v>100.94</v>
      </c>
      <c r="AN40">
        <v>134.5</v>
      </c>
      <c r="AO40">
        <v>130.5</v>
      </c>
      <c r="AP40">
        <v>3</v>
      </c>
      <c r="AQ40">
        <v>972</v>
      </c>
      <c r="AR40">
        <v>3.63</v>
      </c>
      <c r="AS40">
        <v>-19</v>
      </c>
      <c r="AT40">
        <v>0</v>
      </c>
      <c r="AU40">
        <v>333</v>
      </c>
      <c r="AV40">
        <v>53.58</v>
      </c>
      <c r="AW40">
        <v>59.37</v>
      </c>
      <c r="AX40">
        <v>19</v>
      </c>
      <c r="AY40">
        <v>153</v>
      </c>
      <c r="AZ40">
        <v>7.22</v>
      </c>
      <c r="BA40">
        <v>139.75</v>
      </c>
      <c r="BB40">
        <v>34.94</v>
      </c>
      <c r="BC40" t="s">
        <v>1802</v>
      </c>
      <c r="BD40" t="s">
        <v>17</v>
      </c>
      <c r="BE40">
        <v>35.85</v>
      </c>
      <c r="BF40">
        <v>127.13</v>
      </c>
      <c r="BG40">
        <v>32.4</v>
      </c>
      <c r="BH40">
        <v>16</v>
      </c>
      <c r="BI40">
        <v>0.71</v>
      </c>
      <c r="BJ40" t="s">
        <v>1686</v>
      </c>
      <c r="BK40" t="s">
        <v>17</v>
      </c>
      <c r="BL40">
        <v>-0.82</v>
      </c>
      <c r="BM40" t="s">
        <v>165</v>
      </c>
      <c r="BN40">
        <v>0</v>
      </c>
      <c r="BO40">
        <v>0</v>
      </c>
      <c r="BP40">
        <v>0</v>
      </c>
      <c r="BQ40">
        <v>-0.09</v>
      </c>
      <c r="BR40">
        <v>-0.04</v>
      </c>
      <c r="BS40">
        <v>-0.1</v>
      </c>
      <c r="BT40" t="s">
        <v>165</v>
      </c>
      <c r="BU40">
        <v>150</v>
      </c>
      <c r="BV40">
        <v>0</v>
      </c>
      <c r="BW40">
        <v>2</v>
      </c>
      <c r="BX40">
        <v>0.06</v>
      </c>
      <c r="BY40">
        <v>0</v>
      </c>
      <c r="BZ40">
        <v>0.03</v>
      </c>
      <c r="CA40">
        <v>0</v>
      </c>
      <c r="CB40">
        <v>0</v>
      </c>
      <c r="CC40">
        <v>0</v>
      </c>
      <c r="CD40" t="s">
        <v>222</v>
      </c>
      <c r="CE40" t="s">
        <v>223</v>
      </c>
      <c r="CF40" t="s">
        <v>224</v>
      </c>
      <c r="CG40">
        <v>6000</v>
      </c>
      <c r="CH40">
        <v>500</v>
      </c>
      <c r="CI40">
        <v>1</v>
      </c>
      <c r="CJ40">
        <v>2</v>
      </c>
      <c r="CK40">
        <v>55537</v>
      </c>
      <c r="CL40">
        <v>55537</v>
      </c>
      <c r="CM40">
        <v>55537</v>
      </c>
      <c r="CN40">
        <v>0</v>
      </c>
      <c r="CO40">
        <v>-9999</v>
      </c>
      <c r="CP40">
        <v>0</v>
      </c>
      <c r="CQ40">
        <v>0</v>
      </c>
      <c r="CR40">
        <v>0</v>
      </c>
      <c r="CS40">
        <v>0</v>
      </c>
      <c r="CT40">
        <v>2.4900000000000002</v>
      </c>
      <c r="CU40">
        <v>2.44</v>
      </c>
      <c r="CV40">
        <v>1.49</v>
      </c>
      <c r="CW40">
        <v>0.88</v>
      </c>
      <c r="CX40">
        <v>0.18</v>
      </c>
      <c r="CY40">
        <v>-0.05</v>
      </c>
      <c r="CZ40">
        <v>0.44</v>
      </c>
      <c r="DA40">
        <v>0.95</v>
      </c>
      <c r="DB40">
        <v>112.33</v>
      </c>
      <c r="DC40">
        <v>0</v>
      </c>
      <c r="DD40">
        <v>2.42</v>
      </c>
      <c r="DE40">
        <v>0</v>
      </c>
      <c r="DF40">
        <v>1</v>
      </c>
      <c r="DG40">
        <v>2.37</v>
      </c>
      <c r="DH40">
        <v>0</v>
      </c>
      <c r="DI40">
        <v>1</v>
      </c>
      <c r="DJ40">
        <v>0.6</v>
      </c>
      <c r="DK40">
        <v>0.6</v>
      </c>
      <c r="DL40">
        <v>0.11</v>
      </c>
      <c r="DM40">
        <v>0</v>
      </c>
      <c r="DN40" t="s">
        <v>1786</v>
      </c>
      <c r="DO40" t="s">
        <v>245</v>
      </c>
      <c r="DP40" t="s">
        <v>246</v>
      </c>
      <c r="DQ40" t="s">
        <v>247</v>
      </c>
      <c r="DR40" t="s">
        <v>248</v>
      </c>
      <c r="DS40" t="s">
        <v>249</v>
      </c>
      <c r="DT40" t="s">
        <v>250</v>
      </c>
    </row>
    <row r="41" spans="1:124" x14ac:dyDescent="0.45">
      <c r="A41" t="s">
        <v>1816</v>
      </c>
      <c r="B41" t="s">
        <v>1817</v>
      </c>
      <c r="C41" t="s">
        <v>17</v>
      </c>
      <c r="D41" t="s">
        <v>167</v>
      </c>
      <c r="E41" t="s">
        <v>168</v>
      </c>
      <c r="I41" t="s">
        <v>1818</v>
      </c>
      <c r="J41">
        <v>0.51</v>
      </c>
      <c r="K41">
        <v>2.69</v>
      </c>
      <c r="L41">
        <v>0.43</v>
      </c>
      <c r="M41">
        <v>9.43</v>
      </c>
      <c r="N41">
        <v>2.59</v>
      </c>
      <c r="O41">
        <v>2.2799999999999998</v>
      </c>
      <c r="P41">
        <v>4.7300000000000004</v>
      </c>
      <c r="Q41">
        <v>2.15</v>
      </c>
      <c r="R41">
        <v>22.6</v>
      </c>
      <c r="S41">
        <v>25.63</v>
      </c>
      <c r="T41">
        <v>46.91</v>
      </c>
      <c r="U41">
        <v>0.44</v>
      </c>
      <c r="V41">
        <v>7.5</v>
      </c>
      <c r="W41" t="s">
        <v>1823</v>
      </c>
      <c r="X41">
        <v>0</v>
      </c>
      <c r="Y41">
        <v>0</v>
      </c>
      <c r="Z41">
        <v>0</v>
      </c>
      <c r="AA41">
        <v>111.28</v>
      </c>
      <c r="AB41">
        <v>389.33</v>
      </c>
      <c r="AC41">
        <v>0.71</v>
      </c>
      <c r="AD41">
        <v>0.5</v>
      </c>
      <c r="AE41">
        <v>0.84</v>
      </c>
      <c r="AF41">
        <v>171.88</v>
      </c>
      <c r="AG41">
        <v>1</v>
      </c>
      <c r="AH41">
        <v>43.41</v>
      </c>
      <c r="AI41">
        <v>38.28</v>
      </c>
      <c r="AJ41">
        <v>35.97</v>
      </c>
      <c r="AK41">
        <v>31.85</v>
      </c>
      <c r="AL41">
        <v>31.85</v>
      </c>
      <c r="AM41">
        <v>100.94</v>
      </c>
      <c r="AN41">
        <v>133.9</v>
      </c>
      <c r="AO41">
        <v>129.80000000000001</v>
      </c>
      <c r="AP41">
        <v>3.1</v>
      </c>
      <c r="AQ41">
        <v>573</v>
      </c>
      <c r="AR41">
        <v>3.63</v>
      </c>
      <c r="AS41">
        <v>-18</v>
      </c>
      <c r="AT41">
        <v>2</v>
      </c>
      <c r="AU41">
        <v>341</v>
      </c>
      <c r="AV41">
        <v>51.48</v>
      </c>
      <c r="AW41">
        <v>62.28</v>
      </c>
      <c r="AX41">
        <v>18.11</v>
      </c>
      <c r="AY41">
        <v>167.45</v>
      </c>
      <c r="AZ41">
        <v>7.22</v>
      </c>
      <c r="BA41">
        <v>140.12</v>
      </c>
      <c r="BB41">
        <v>34.81</v>
      </c>
      <c r="BC41" t="s">
        <v>1841</v>
      </c>
      <c r="BD41" t="s">
        <v>17</v>
      </c>
      <c r="BE41">
        <v>35.85</v>
      </c>
      <c r="BF41">
        <v>127.13</v>
      </c>
      <c r="BG41">
        <v>31.9</v>
      </c>
      <c r="BH41">
        <v>15</v>
      </c>
      <c r="BI41">
        <v>0.77</v>
      </c>
      <c r="BJ41" t="s">
        <v>1686</v>
      </c>
      <c r="BK41" t="s">
        <v>17</v>
      </c>
      <c r="BL41">
        <v>-0.82</v>
      </c>
      <c r="BM41" t="s">
        <v>165</v>
      </c>
      <c r="BN41">
        <v>0</v>
      </c>
      <c r="BO41">
        <v>0</v>
      </c>
      <c r="BP41">
        <v>0</v>
      </c>
      <c r="BQ41">
        <v>0.02</v>
      </c>
      <c r="BR41">
        <v>0.04</v>
      </c>
      <c r="BS41">
        <v>0.02</v>
      </c>
      <c r="BT41" t="s">
        <v>165</v>
      </c>
      <c r="BU41">
        <v>150</v>
      </c>
      <c r="BV41">
        <v>0</v>
      </c>
      <c r="BW41">
        <v>2</v>
      </c>
      <c r="BX41">
        <v>0.06</v>
      </c>
      <c r="BY41">
        <v>0</v>
      </c>
      <c r="BZ41">
        <v>0.03</v>
      </c>
      <c r="CA41">
        <v>0</v>
      </c>
      <c r="CB41">
        <v>0</v>
      </c>
      <c r="CC41">
        <v>0</v>
      </c>
      <c r="CD41" t="s">
        <v>222</v>
      </c>
      <c r="CE41" t="s">
        <v>223</v>
      </c>
      <c r="CF41" t="s">
        <v>224</v>
      </c>
      <c r="CG41">
        <v>6000</v>
      </c>
      <c r="CH41">
        <v>500</v>
      </c>
      <c r="CI41">
        <v>1</v>
      </c>
      <c r="CJ41">
        <v>2</v>
      </c>
      <c r="CK41">
        <v>55537</v>
      </c>
      <c r="CL41">
        <v>55537</v>
      </c>
      <c r="CM41">
        <v>55537</v>
      </c>
      <c r="CN41">
        <v>0</v>
      </c>
      <c r="CO41">
        <v>-9999</v>
      </c>
      <c r="CP41">
        <v>0</v>
      </c>
      <c r="CQ41">
        <v>0</v>
      </c>
      <c r="CR41">
        <v>0</v>
      </c>
      <c r="CS41">
        <v>0</v>
      </c>
      <c r="CT41">
        <v>2.4900000000000002</v>
      </c>
      <c r="CU41">
        <v>2.4300000000000002</v>
      </c>
      <c r="CV41">
        <v>1.49</v>
      </c>
      <c r="CW41">
        <v>0.88</v>
      </c>
      <c r="CX41">
        <v>0.18</v>
      </c>
      <c r="CY41">
        <v>-0.05</v>
      </c>
      <c r="CZ41">
        <v>0.45</v>
      </c>
      <c r="DA41">
        <v>0.61</v>
      </c>
      <c r="DB41">
        <v>111.28</v>
      </c>
      <c r="DC41">
        <v>0</v>
      </c>
      <c r="DD41">
        <v>2.42</v>
      </c>
      <c r="DE41">
        <v>0</v>
      </c>
      <c r="DF41">
        <v>1</v>
      </c>
      <c r="DG41">
        <v>2.37</v>
      </c>
      <c r="DH41">
        <v>0</v>
      </c>
      <c r="DI41">
        <v>1</v>
      </c>
      <c r="DJ41">
        <v>0.6</v>
      </c>
      <c r="DK41">
        <v>0.6</v>
      </c>
      <c r="DL41">
        <v>0.11</v>
      </c>
      <c r="DM41">
        <v>0</v>
      </c>
      <c r="DN41" t="s">
        <v>1823</v>
      </c>
      <c r="DO41" t="s">
        <v>245</v>
      </c>
      <c r="DP41" t="s">
        <v>246</v>
      </c>
      <c r="DQ41" t="s">
        <v>247</v>
      </c>
      <c r="DR41" t="s">
        <v>248</v>
      </c>
      <c r="DS41" t="s">
        <v>249</v>
      </c>
      <c r="DT41" t="s">
        <v>250</v>
      </c>
    </row>
    <row r="42" spans="1:124" x14ac:dyDescent="0.45">
      <c r="A42" t="s">
        <v>1854</v>
      </c>
      <c r="B42" t="s">
        <v>1855</v>
      </c>
      <c r="C42" t="s">
        <v>17</v>
      </c>
      <c r="D42" t="s">
        <v>167</v>
      </c>
      <c r="E42" t="s">
        <v>168</v>
      </c>
      <c r="I42" t="s">
        <v>1856</v>
      </c>
      <c r="J42">
        <v>0.03</v>
      </c>
      <c r="K42">
        <v>2.7</v>
      </c>
      <c r="L42">
        <v>0.03</v>
      </c>
      <c r="M42">
        <v>1.06</v>
      </c>
      <c r="N42">
        <v>2.29</v>
      </c>
      <c r="O42">
        <v>2.2599999999999998</v>
      </c>
      <c r="P42">
        <v>5.59</v>
      </c>
      <c r="Q42">
        <v>3.29</v>
      </c>
      <c r="R42">
        <v>22.36</v>
      </c>
      <c r="S42">
        <v>22.7</v>
      </c>
      <c r="T42">
        <v>55.34</v>
      </c>
      <c r="U42">
        <v>0.44</v>
      </c>
      <c r="V42">
        <v>7.5</v>
      </c>
      <c r="W42" t="s">
        <v>1861</v>
      </c>
      <c r="X42">
        <v>0</v>
      </c>
      <c r="Y42">
        <v>0</v>
      </c>
      <c r="Z42">
        <v>0</v>
      </c>
      <c r="AA42">
        <v>110.96</v>
      </c>
      <c r="AB42">
        <v>496.66</v>
      </c>
      <c r="AC42">
        <v>0.78</v>
      </c>
      <c r="AD42">
        <v>0.5</v>
      </c>
      <c r="AE42">
        <v>0.84</v>
      </c>
      <c r="AF42">
        <v>371.51</v>
      </c>
      <c r="AG42">
        <v>1</v>
      </c>
      <c r="AH42">
        <v>38.39</v>
      </c>
      <c r="AI42">
        <v>37.81</v>
      </c>
      <c r="AJ42">
        <v>36</v>
      </c>
      <c r="AK42">
        <v>34.799999999999997</v>
      </c>
      <c r="AL42">
        <v>34.799999999999997</v>
      </c>
      <c r="AM42">
        <v>100.94</v>
      </c>
      <c r="AN42">
        <v>134.30000000000001</v>
      </c>
      <c r="AO42">
        <v>130.1</v>
      </c>
      <c r="AP42">
        <v>3.1</v>
      </c>
      <c r="AQ42">
        <v>1139</v>
      </c>
      <c r="AR42">
        <v>3.63</v>
      </c>
      <c r="AS42">
        <v>-16</v>
      </c>
      <c r="AT42">
        <v>0</v>
      </c>
      <c r="AU42">
        <v>14</v>
      </c>
      <c r="AV42">
        <v>45.85</v>
      </c>
      <c r="AW42">
        <v>69.66</v>
      </c>
      <c r="AX42">
        <v>16</v>
      </c>
      <c r="AY42">
        <v>-166</v>
      </c>
      <c r="AZ42">
        <v>7.22</v>
      </c>
      <c r="BA42">
        <v>140.12</v>
      </c>
      <c r="BB42">
        <v>34.81</v>
      </c>
      <c r="BC42" t="s">
        <v>1875</v>
      </c>
      <c r="BD42" t="s">
        <v>17</v>
      </c>
      <c r="BE42">
        <v>35.85</v>
      </c>
      <c r="BF42">
        <v>127.13</v>
      </c>
      <c r="BG42">
        <v>31.9</v>
      </c>
      <c r="BH42">
        <v>16</v>
      </c>
      <c r="BI42">
        <v>0.71</v>
      </c>
      <c r="BJ42" t="s">
        <v>1686</v>
      </c>
      <c r="BK42" t="s">
        <v>17</v>
      </c>
      <c r="BL42">
        <v>-0.82</v>
      </c>
      <c r="BM42" t="s">
        <v>165</v>
      </c>
      <c r="BN42">
        <v>0</v>
      </c>
      <c r="BO42">
        <v>0</v>
      </c>
      <c r="BP42">
        <v>0</v>
      </c>
      <c r="BQ42">
        <v>-0.32</v>
      </c>
      <c r="BR42">
        <v>-0.72</v>
      </c>
      <c r="BS42">
        <v>-2.39</v>
      </c>
      <c r="BT42" t="s">
        <v>165</v>
      </c>
      <c r="BU42">
        <v>150</v>
      </c>
      <c r="BV42">
        <v>0</v>
      </c>
      <c r="BW42">
        <v>2</v>
      </c>
      <c r="BX42">
        <v>0.06</v>
      </c>
      <c r="BY42">
        <v>0</v>
      </c>
      <c r="BZ42">
        <v>0.03</v>
      </c>
      <c r="CA42">
        <v>0</v>
      </c>
      <c r="CB42">
        <v>0</v>
      </c>
      <c r="CC42">
        <v>0</v>
      </c>
      <c r="CD42" t="s">
        <v>222</v>
      </c>
      <c r="CE42" t="s">
        <v>223</v>
      </c>
      <c r="CF42" t="s">
        <v>224</v>
      </c>
      <c r="CG42">
        <v>6000</v>
      </c>
      <c r="CH42">
        <v>500</v>
      </c>
      <c r="CI42">
        <v>1</v>
      </c>
      <c r="CJ42">
        <v>2</v>
      </c>
      <c r="CK42">
        <v>55537</v>
      </c>
      <c r="CL42">
        <v>55537</v>
      </c>
      <c r="CM42">
        <v>55537</v>
      </c>
      <c r="CN42">
        <v>0</v>
      </c>
      <c r="CO42">
        <v>-9999</v>
      </c>
      <c r="CP42">
        <v>0</v>
      </c>
      <c r="CQ42">
        <v>0</v>
      </c>
      <c r="CR42">
        <v>0</v>
      </c>
      <c r="CS42">
        <v>0</v>
      </c>
      <c r="CT42">
        <v>2.4900000000000002</v>
      </c>
      <c r="CU42">
        <v>2.4300000000000002</v>
      </c>
      <c r="CV42">
        <v>1.49</v>
      </c>
      <c r="CW42">
        <v>0.88</v>
      </c>
      <c r="CX42">
        <v>0.18</v>
      </c>
      <c r="CY42">
        <v>-0.01</v>
      </c>
      <c r="CZ42">
        <v>0.45</v>
      </c>
      <c r="DA42">
        <v>1.1000000000000001</v>
      </c>
      <c r="DB42">
        <v>110.96</v>
      </c>
      <c r="DC42">
        <v>0</v>
      </c>
      <c r="DD42">
        <v>2.42</v>
      </c>
      <c r="DE42">
        <v>0</v>
      </c>
      <c r="DF42">
        <v>1</v>
      </c>
      <c r="DG42">
        <v>2.37</v>
      </c>
      <c r="DH42">
        <v>0</v>
      </c>
      <c r="DI42">
        <v>1</v>
      </c>
      <c r="DJ42">
        <v>0.6</v>
      </c>
      <c r="DK42">
        <v>0.6</v>
      </c>
      <c r="DL42">
        <v>0.11</v>
      </c>
      <c r="DM42">
        <v>0</v>
      </c>
      <c r="DN42" t="s">
        <v>1861</v>
      </c>
      <c r="DO42" t="s">
        <v>245</v>
      </c>
      <c r="DP42" t="s">
        <v>246</v>
      </c>
      <c r="DQ42" t="s">
        <v>247</v>
      </c>
      <c r="DR42" t="s">
        <v>248</v>
      </c>
      <c r="DS42" t="s">
        <v>249</v>
      </c>
      <c r="DT42" t="s">
        <v>250</v>
      </c>
    </row>
    <row r="43" spans="1:124" x14ac:dyDescent="0.45">
      <c r="A43" t="s">
        <v>1888</v>
      </c>
      <c r="B43" t="s">
        <v>1889</v>
      </c>
      <c r="C43" t="s">
        <v>17</v>
      </c>
      <c r="D43" t="s">
        <v>167</v>
      </c>
      <c r="E43" t="s">
        <v>168</v>
      </c>
      <c r="I43" t="s">
        <v>1890</v>
      </c>
      <c r="J43">
        <v>0.53</v>
      </c>
      <c r="K43">
        <v>2.7</v>
      </c>
      <c r="L43">
        <v>0.44</v>
      </c>
      <c r="M43">
        <v>9.49</v>
      </c>
      <c r="N43">
        <v>2.57</v>
      </c>
      <c r="O43">
        <v>2.2599999999999998</v>
      </c>
      <c r="P43">
        <v>4.67</v>
      </c>
      <c r="Q43">
        <v>2.1</v>
      </c>
      <c r="R43">
        <v>22.4</v>
      </c>
      <c r="S43">
        <v>25.45</v>
      </c>
      <c r="T43">
        <v>46.22</v>
      </c>
      <c r="U43">
        <v>0.44</v>
      </c>
      <c r="V43">
        <v>7.5</v>
      </c>
      <c r="W43" t="s">
        <v>1895</v>
      </c>
      <c r="X43">
        <v>0</v>
      </c>
      <c r="Y43">
        <v>0</v>
      </c>
      <c r="Z43">
        <v>0</v>
      </c>
      <c r="AA43">
        <v>116.21</v>
      </c>
      <c r="AB43">
        <v>524.86</v>
      </c>
      <c r="AC43">
        <v>0.78</v>
      </c>
      <c r="AD43">
        <v>0.5</v>
      </c>
      <c r="AE43">
        <v>0.84</v>
      </c>
      <c r="AF43">
        <v>118.05</v>
      </c>
      <c r="AG43">
        <v>1</v>
      </c>
      <c r="AH43">
        <v>43.05</v>
      </c>
      <c r="AI43">
        <v>37.9</v>
      </c>
      <c r="AJ43">
        <v>35.99</v>
      </c>
      <c r="AK43">
        <v>31.59</v>
      </c>
      <c r="AL43">
        <v>31.59</v>
      </c>
      <c r="AM43">
        <v>100.93</v>
      </c>
      <c r="AN43">
        <v>134.19999999999999</v>
      </c>
      <c r="AO43">
        <v>124.3</v>
      </c>
      <c r="AP43">
        <v>7.3</v>
      </c>
      <c r="AQ43">
        <v>361</v>
      </c>
      <c r="AR43">
        <v>3.63</v>
      </c>
      <c r="AS43">
        <v>-20</v>
      </c>
      <c r="AT43">
        <v>1</v>
      </c>
      <c r="AU43">
        <v>341</v>
      </c>
      <c r="AV43">
        <v>53.56</v>
      </c>
      <c r="AW43">
        <v>59.39</v>
      </c>
      <c r="AX43">
        <v>20.02</v>
      </c>
      <c r="AY43">
        <v>163.92</v>
      </c>
      <c r="AZ43">
        <v>7.22</v>
      </c>
      <c r="BA43">
        <v>140.49</v>
      </c>
      <c r="BB43">
        <v>34.68</v>
      </c>
      <c r="BC43" t="s">
        <v>1909</v>
      </c>
      <c r="BD43" t="s">
        <v>17</v>
      </c>
      <c r="BE43">
        <v>35.85</v>
      </c>
      <c r="BF43">
        <v>127.13</v>
      </c>
      <c r="BG43">
        <v>32.299999999999997</v>
      </c>
      <c r="BH43">
        <v>17</v>
      </c>
      <c r="BI43">
        <v>0.67</v>
      </c>
      <c r="BJ43" t="s">
        <v>1686</v>
      </c>
      <c r="BK43" t="s">
        <v>17</v>
      </c>
      <c r="BL43">
        <v>-0.82</v>
      </c>
      <c r="BM43" t="s">
        <v>165</v>
      </c>
      <c r="BN43">
        <v>0</v>
      </c>
      <c r="BO43">
        <v>0</v>
      </c>
      <c r="BP43">
        <v>0</v>
      </c>
      <c r="BQ43">
        <v>-0.05</v>
      </c>
      <c r="BR43">
        <v>-0.18</v>
      </c>
      <c r="BS43">
        <v>-0.28999999999999998</v>
      </c>
      <c r="BT43" t="s">
        <v>165</v>
      </c>
      <c r="BU43">
        <v>150</v>
      </c>
      <c r="BV43">
        <v>0</v>
      </c>
      <c r="BW43">
        <v>2</v>
      </c>
      <c r="BX43">
        <v>0.06</v>
      </c>
      <c r="BY43">
        <v>0</v>
      </c>
      <c r="BZ43">
        <v>0.03</v>
      </c>
      <c r="CA43">
        <v>0</v>
      </c>
      <c r="CB43">
        <v>0</v>
      </c>
      <c r="CC43">
        <v>0</v>
      </c>
      <c r="CD43" t="s">
        <v>222</v>
      </c>
      <c r="CE43" t="s">
        <v>223</v>
      </c>
      <c r="CF43" t="s">
        <v>224</v>
      </c>
      <c r="CG43">
        <v>6000</v>
      </c>
      <c r="CH43">
        <v>500</v>
      </c>
      <c r="CI43">
        <v>1</v>
      </c>
      <c r="CJ43">
        <v>2</v>
      </c>
      <c r="CK43">
        <v>55537</v>
      </c>
      <c r="CL43">
        <v>55537</v>
      </c>
      <c r="CM43">
        <v>55537</v>
      </c>
      <c r="CN43">
        <v>0</v>
      </c>
      <c r="CO43">
        <v>-9999</v>
      </c>
      <c r="CP43">
        <v>0</v>
      </c>
      <c r="CQ43">
        <v>0</v>
      </c>
      <c r="CR43">
        <v>0</v>
      </c>
      <c r="CS43">
        <v>0</v>
      </c>
      <c r="CT43">
        <v>2.4900000000000002</v>
      </c>
      <c r="CU43">
        <v>2.4300000000000002</v>
      </c>
      <c r="CV43">
        <v>1.49</v>
      </c>
      <c r="CW43">
        <v>0.86</v>
      </c>
      <c r="CX43">
        <v>0.18</v>
      </c>
      <c r="CY43">
        <v>-0.06</v>
      </c>
      <c r="CZ43">
        <v>0.45</v>
      </c>
      <c r="DA43">
        <v>0.42</v>
      </c>
      <c r="DB43">
        <v>116.21</v>
      </c>
      <c r="DC43">
        <v>0</v>
      </c>
      <c r="DD43">
        <v>2.42</v>
      </c>
      <c r="DE43">
        <v>0</v>
      </c>
      <c r="DF43">
        <v>1</v>
      </c>
      <c r="DG43">
        <v>2.37</v>
      </c>
      <c r="DH43">
        <v>0</v>
      </c>
      <c r="DI43">
        <v>1</v>
      </c>
      <c r="DJ43">
        <v>0.6</v>
      </c>
      <c r="DK43">
        <v>0.6</v>
      </c>
      <c r="DL43">
        <v>0.11</v>
      </c>
      <c r="DM43">
        <v>0</v>
      </c>
      <c r="DN43" t="s">
        <v>1895</v>
      </c>
      <c r="DO43" t="s">
        <v>245</v>
      </c>
      <c r="DP43" t="s">
        <v>246</v>
      </c>
      <c r="DQ43" t="s">
        <v>247</v>
      </c>
      <c r="DR43" t="s">
        <v>248</v>
      </c>
      <c r="DS43" t="s">
        <v>249</v>
      </c>
      <c r="DT43" t="s">
        <v>250</v>
      </c>
    </row>
    <row r="44" spans="1:124" x14ac:dyDescent="0.45">
      <c r="A44" t="s">
        <v>1925</v>
      </c>
      <c r="B44" t="s">
        <v>1926</v>
      </c>
      <c r="C44" t="s">
        <v>17</v>
      </c>
      <c r="D44" t="s">
        <v>167</v>
      </c>
      <c r="E44" t="s">
        <v>168</v>
      </c>
      <c r="I44" t="s">
        <v>1927</v>
      </c>
      <c r="J44">
        <v>0.65</v>
      </c>
      <c r="K44">
        <v>2.68</v>
      </c>
      <c r="L44">
        <v>0.53</v>
      </c>
      <c r="M44">
        <v>10.66</v>
      </c>
      <c r="N44">
        <v>2.69</v>
      </c>
      <c r="O44">
        <v>2.35</v>
      </c>
      <c r="P44">
        <v>4.67</v>
      </c>
      <c r="Q44">
        <v>1.97</v>
      </c>
      <c r="R44">
        <v>23.24</v>
      </c>
      <c r="S44">
        <v>26.69</v>
      </c>
      <c r="T44">
        <v>46.22</v>
      </c>
      <c r="U44">
        <v>0.44</v>
      </c>
      <c r="V44">
        <v>7.5</v>
      </c>
      <c r="W44" t="s">
        <v>1932</v>
      </c>
      <c r="X44">
        <v>0</v>
      </c>
      <c r="Y44">
        <v>0</v>
      </c>
      <c r="Z44">
        <v>0</v>
      </c>
      <c r="AA44">
        <v>105.34</v>
      </c>
      <c r="AB44">
        <v>412.92</v>
      </c>
      <c r="AC44">
        <v>0.74</v>
      </c>
      <c r="AD44">
        <v>0.5</v>
      </c>
      <c r="AE44">
        <v>0.84</v>
      </c>
      <c r="AF44">
        <v>140.47</v>
      </c>
      <c r="AG44">
        <v>1</v>
      </c>
      <c r="AH44">
        <v>45.07</v>
      </c>
      <c r="AI44">
        <v>39.229999999999997</v>
      </c>
      <c r="AJ44">
        <v>36.03</v>
      </c>
      <c r="AK44">
        <v>31.59</v>
      </c>
      <c r="AL44">
        <v>31.59</v>
      </c>
      <c r="AM44">
        <v>100.93</v>
      </c>
      <c r="AN44">
        <v>132.6</v>
      </c>
      <c r="AO44">
        <v>131.5</v>
      </c>
      <c r="AP44">
        <v>0.9</v>
      </c>
      <c r="AQ44">
        <v>449</v>
      </c>
      <c r="AR44">
        <v>3.63</v>
      </c>
      <c r="AS44">
        <v>-18</v>
      </c>
      <c r="AT44">
        <v>0</v>
      </c>
      <c r="AU44">
        <v>327</v>
      </c>
      <c r="AV44">
        <v>52.48</v>
      </c>
      <c r="AW44">
        <v>60.91</v>
      </c>
      <c r="AX44">
        <v>18</v>
      </c>
      <c r="AY44">
        <v>147</v>
      </c>
      <c r="AZ44">
        <v>7.22</v>
      </c>
      <c r="BA44">
        <v>140.86000000000001</v>
      </c>
      <c r="BB44">
        <v>34.549999999999997</v>
      </c>
      <c r="BC44" t="s">
        <v>1948</v>
      </c>
      <c r="BD44" t="s">
        <v>17</v>
      </c>
      <c r="BE44">
        <v>35.85</v>
      </c>
      <c r="BF44">
        <v>127.13</v>
      </c>
      <c r="BG44">
        <v>31.8</v>
      </c>
      <c r="BH44">
        <v>17</v>
      </c>
      <c r="BI44">
        <v>0.67</v>
      </c>
      <c r="BJ44" t="s">
        <v>1686</v>
      </c>
      <c r="BK44" t="s">
        <v>17</v>
      </c>
      <c r="BL44">
        <v>-0.82</v>
      </c>
      <c r="BM44" t="s">
        <v>165</v>
      </c>
      <c r="BN44">
        <v>0</v>
      </c>
      <c r="BO44">
        <v>0</v>
      </c>
      <c r="BP44">
        <v>0</v>
      </c>
      <c r="BQ44">
        <v>0.01</v>
      </c>
      <c r="BR44">
        <v>7.0000000000000007E-2</v>
      </c>
      <c r="BS44">
        <v>0.14000000000000001</v>
      </c>
      <c r="BT44" t="s">
        <v>165</v>
      </c>
      <c r="BU44">
        <v>150</v>
      </c>
      <c r="BV44">
        <v>0</v>
      </c>
      <c r="BW44">
        <v>2</v>
      </c>
      <c r="BX44">
        <v>0.06</v>
      </c>
      <c r="BY44">
        <v>0</v>
      </c>
      <c r="BZ44">
        <v>0.03</v>
      </c>
      <c r="CA44">
        <v>0</v>
      </c>
      <c r="CB44">
        <v>0</v>
      </c>
      <c r="CC44">
        <v>0</v>
      </c>
      <c r="CD44" t="s">
        <v>222</v>
      </c>
      <c r="CE44" t="s">
        <v>223</v>
      </c>
      <c r="CF44" t="s">
        <v>224</v>
      </c>
      <c r="CG44">
        <v>6000</v>
      </c>
      <c r="CH44">
        <v>500</v>
      </c>
      <c r="CI44">
        <v>1</v>
      </c>
      <c r="CJ44">
        <v>2</v>
      </c>
      <c r="CK44">
        <v>55537</v>
      </c>
      <c r="CL44">
        <v>55537</v>
      </c>
      <c r="CM44">
        <v>55537</v>
      </c>
      <c r="CN44">
        <v>0</v>
      </c>
      <c r="CO44">
        <v>-9999</v>
      </c>
      <c r="CP44">
        <v>0</v>
      </c>
      <c r="CQ44">
        <v>0</v>
      </c>
      <c r="CR44">
        <v>0</v>
      </c>
      <c r="CS44">
        <v>0</v>
      </c>
      <c r="CT44">
        <v>2.4900000000000002</v>
      </c>
      <c r="CU44">
        <v>2.44</v>
      </c>
      <c r="CV44">
        <v>1.48</v>
      </c>
      <c r="CW44">
        <v>0.88</v>
      </c>
      <c r="CX44">
        <v>0.18</v>
      </c>
      <c r="CY44">
        <v>-0.06</v>
      </c>
      <c r="CZ44">
        <v>0.46</v>
      </c>
      <c r="DA44">
        <v>0.5</v>
      </c>
      <c r="DB44">
        <v>105.34</v>
      </c>
      <c r="DC44">
        <v>0</v>
      </c>
      <c r="DD44">
        <v>2.42</v>
      </c>
      <c r="DE44">
        <v>0</v>
      </c>
      <c r="DF44">
        <v>1</v>
      </c>
      <c r="DG44">
        <v>2.37</v>
      </c>
      <c r="DH44">
        <v>0</v>
      </c>
      <c r="DI44">
        <v>1</v>
      </c>
      <c r="DJ44">
        <v>0.6</v>
      </c>
      <c r="DK44">
        <v>0.6</v>
      </c>
      <c r="DL44">
        <v>0.11</v>
      </c>
      <c r="DM44">
        <v>0</v>
      </c>
      <c r="DN44" t="s">
        <v>1932</v>
      </c>
      <c r="DO44" t="s">
        <v>245</v>
      </c>
      <c r="DP44" t="s">
        <v>246</v>
      </c>
      <c r="DQ44" t="s">
        <v>247</v>
      </c>
      <c r="DR44" t="s">
        <v>248</v>
      </c>
      <c r="DS44" t="s">
        <v>249</v>
      </c>
      <c r="DT44" t="s">
        <v>250</v>
      </c>
    </row>
    <row r="45" spans="1:124" x14ac:dyDescent="0.45">
      <c r="A45" t="s">
        <v>1961</v>
      </c>
      <c r="B45" t="s">
        <v>1962</v>
      </c>
      <c r="C45" t="s">
        <v>17</v>
      </c>
      <c r="D45" t="s">
        <v>167</v>
      </c>
      <c r="E45" t="s">
        <v>168</v>
      </c>
      <c r="I45" t="s">
        <v>1963</v>
      </c>
      <c r="J45">
        <v>0.26</v>
      </c>
      <c r="K45">
        <v>2.65</v>
      </c>
      <c r="L45">
        <v>0.24</v>
      </c>
      <c r="M45">
        <v>6.03</v>
      </c>
      <c r="N45">
        <v>2.5099999999999998</v>
      </c>
      <c r="O45">
        <v>2.31</v>
      </c>
      <c r="P45">
        <v>4.96</v>
      </c>
      <c r="Q45">
        <v>2.4500000000000002</v>
      </c>
      <c r="R45">
        <v>22.92</v>
      </c>
      <c r="S45">
        <v>24.92</v>
      </c>
      <c r="T45">
        <v>49.17</v>
      </c>
      <c r="U45">
        <v>0.44</v>
      </c>
      <c r="V45">
        <v>7.5</v>
      </c>
      <c r="W45" t="s">
        <v>1968</v>
      </c>
      <c r="X45">
        <v>0</v>
      </c>
      <c r="Y45">
        <v>0</v>
      </c>
      <c r="Z45">
        <v>0</v>
      </c>
      <c r="AA45">
        <v>113.04</v>
      </c>
      <c r="AB45">
        <v>464.48</v>
      </c>
      <c r="AC45">
        <v>0.76</v>
      </c>
      <c r="AD45">
        <v>0.5</v>
      </c>
      <c r="AE45">
        <v>0.84</v>
      </c>
      <c r="AF45">
        <v>162.07</v>
      </c>
      <c r="AG45">
        <v>1</v>
      </c>
      <c r="AH45">
        <v>41.8</v>
      </c>
      <c r="AI45">
        <v>38.450000000000003</v>
      </c>
      <c r="AJ45">
        <v>36.14</v>
      </c>
      <c r="AK45">
        <v>32.68</v>
      </c>
      <c r="AL45">
        <v>32.68</v>
      </c>
      <c r="AM45">
        <v>100.92</v>
      </c>
      <c r="AN45">
        <v>130</v>
      </c>
      <c r="AO45">
        <v>110.3</v>
      </c>
      <c r="AP45">
        <v>15.2</v>
      </c>
      <c r="AQ45">
        <v>510</v>
      </c>
      <c r="AR45">
        <v>3.63</v>
      </c>
      <c r="AS45">
        <v>-10</v>
      </c>
      <c r="AT45">
        <v>0</v>
      </c>
      <c r="AU45">
        <v>151</v>
      </c>
      <c r="AV45">
        <v>24.48</v>
      </c>
      <c r="AW45">
        <v>91.01</v>
      </c>
      <c r="AX45">
        <v>10</v>
      </c>
      <c r="AY45">
        <v>-29</v>
      </c>
      <c r="AZ45">
        <v>7.22</v>
      </c>
      <c r="BA45">
        <v>141.62</v>
      </c>
      <c r="BB45">
        <v>34.29</v>
      </c>
      <c r="BC45" t="s">
        <v>1988</v>
      </c>
      <c r="BD45" t="s">
        <v>17</v>
      </c>
      <c r="BE45">
        <v>35.85</v>
      </c>
      <c r="BF45">
        <v>127.13</v>
      </c>
      <c r="BG45">
        <v>32</v>
      </c>
      <c r="BH45">
        <v>17</v>
      </c>
      <c r="BI45">
        <v>0.72</v>
      </c>
      <c r="BJ45" t="s">
        <v>1686</v>
      </c>
      <c r="BK45" t="s">
        <v>17</v>
      </c>
      <c r="BL45">
        <v>-0.82</v>
      </c>
      <c r="BM45" t="s">
        <v>165</v>
      </c>
      <c r="BN45">
        <v>0</v>
      </c>
      <c r="BO45">
        <v>0</v>
      </c>
      <c r="BP45">
        <v>0</v>
      </c>
      <c r="BQ45">
        <v>-0.01</v>
      </c>
      <c r="BR45">
        <v>-0.67</v>
      </c>
      <c r="BS45">
        <v>-0.78</v>
      </c>
      <c r="BT45" t="s">
        <v>165</v>
      </c>
      <c r="BU45">
        <v>150</v>
      </c>
      <c r="BV45">
        <v>0</v>
      </c>
      <c r="BW45">
        <v>2</v>
      </c>
      <c r="BX45">
        <v>0.06</v>
      </c>
      <c r="BY45">
        <v>0</v>
      </c>
      <c r="BZ45">
        <v>0.03</v>
      </c>
      <c r="CA45">
        <v>0</v>
      </c>
      <c r="CB45">
        <v>0</v>
      </c>
      <c r="CC45">
        <v>0</v>
      </c>
      <c r="CD45" t="s">
        <v>222</v>
      </c>
      <c r="CE45" t="s">
        <v>223</v>
      </c>
      <c r="CF45" t="s">
        <v>224</v>
      </c>
      <c r="CG45">
        <v>6000</v>
      </c>
      <c r="CH45">
        <v>500</v>
      </c>
      <c r="CI45">
        <v>1</v>
      </c>
      <c r="CJ45">
        <v>2</v>
      </c>
      <c r="CK45">
        <v>55537</v>
      </c>
      <c r="CL45">
        <v>55537</v>
      </c>
      <c r="CM45">
        <v>55537</v>
      </c>
      <c r="CN45">
        <v>0</v>
      </c>
      <c r="CO45">
        <v>-9999</v>
      </c>
      <c r="CP45">
        <v>0</v>
      </c>
      <c r="CQ45">
        <v>0</v>
      </c>
      <c r="CR45">
        <v>0</v>
      </c>
      <c r="CS45">
        <v>0</v>
      </c>
      <c r="CT45">
        <v>2.4900000000000002</v>
      </c>
      <c r="CU45">
        <v>2.4300000000000002</v>
      </c>
      <c r="CV45">
        <v>1.45</v>
      </c>
      <c r="CW45">
        <v>0.83</v>
      </c>
      <c r="CX45">
        <v>0.18</v>
      </c>
      <c r="CY45">
        <v>-0.04</v>
      </c>
      <c r="CZ45">
        <v>0.47</v>
      </c>
      <c r="DA45">
        <v>0.55000000000000004</v>
      </c>
      <c r="DB45">
        <v>113.04</v>
      </c>
      <c r="DC45">
        <v>0</v>
      </c>
      <c r="DD45">
        <v>2.42</v>
      </c>
      <c r="DE45">
        <v>0</v>
      </c>
      <c r="DF45">
        <v>1</v>
      </c>
      <c r="DG45">
        <v>2.37</v>
      </c>
      <c r="DH45">
        <v>0</v>
      </c>
      <c r="DI45">
        <v>1</v>
      </c>
      <c r="DJ45">
        <v>0.6</v>
      </c>
      <c r="DK45">
        <v>0.6</v>
      </c>
      <c r="DL45">
        <v>0.11</v>
      </c>
      <c r="DM45">
        <v>0</v>
      </c>
      <c r="DN45" t="s">
        <v>1968</v>
      </c>
      <c r="DO45" t="s">
        <v>245</v>
      </c>
      <c r="DP45" t="s">
        <v>246</v>
      </c>
      <c r="DQ45" t="s">
        <v>247</v>
      </c>
      <c r="DR45" t="s">
        <v>248</v>
      </c>
      <c r="DS45" t="s">
        <v>249</v>
      </c>
      <c r="DT45" t="s">
        <v>250</v>
      </c>
    </row>
    <row r="46" spans="1:124" x14ac:dyDescent="0.45">
      <c r="A46" t="s">
        <v>2001</v>
      </c>
      <c r="B46" t="s">
        <v>2002</v>
      </c>
      <c r="C46" t="s">
        <v>17</v>
      </c>
      <c r="D46" t="s">
        <v>167</v>
      </c>
      <c r="E46" t="s">
        <v>168</v>
      </c>
      <c r="I46" t="s">
        <v>2003</v>
      </c>
      <c r="J46">
        <v>0.26</v>
      </c>
      <c r="K46">
        <v>2.67</v>
      </c>
      <c r="L46">
        <v>0.24</v>
      </c>
      <c r="M46">
        <v>5.68</v>
      </c>
      <c r="N46">
        <v>2.52</v>
      </c>
      <c r="O46">
        <v>2.33</v>
      </c>
      <c r="P46">
        <v>4.8499999999999996</v>
      </c>
      <c r="Q46">
        <v>2.34</v>
      </c>
      <c r="R46">
        <v>23.1</v>
      </c>
      <c r="S46">
        <v>24.95</v>
      </c>
      <c r="T46">
        <v>48.09</v>
      </c>
      <c r="U46">
        <v>0.44</v>
      </c>
      <c r="V46">
        <v>7.5</v>
      </c>
      <c r="W46" t="s">
        <v>2008</v>
      </c>
      <c r="X46">
        <v>0</v>
      </c>
      <c r="Y46">
        <v>0</v>
      </c>
      <c r="Z46">
        <v>0</v>
      </c>
      <c r="AA46">
        <v>108.02</v>
      </c>
      <c r="AB46">
        <v>461.89</v>
      </c>
      <c r="AC46">
        <v>0.77</v>
      </c>
      <c r="AD46">
        <v>0.5</v>
      </c>
      <c r="AE46">
        <v>0.84</v>
      </c>
      <c r="AF46">
        <v>98.79</v>
      </c>
      <c r="AG46">
        <v>1</v>
      </c>
      <c r="AH46">
        <v>41.95</v>
      </c>
      <c r="AI46">
        <v>38.83</v>
      </c>
      <c r="AJ46">
        <v>36.1</v>
      </c>
      <c r="AK46">
        <v>32.29</v>
      </c>
      <c r="AL46">
        <v>32.29</v>
      </c>
      <c r="AM46">
        <v>100.93</v>
      </c>
      <c r="AN46">
        <v>131.80000000000001</v>
      </c>
      <c r="AO46">
        <v>122.9</v>
      </c>
      <c r="AP46">
        <v>6.8</v>
      </c>
      <c r="AQ46">
        <v>307</v>
      </c>
      <c r="AR46">
        <v>3.63</v>
      </c>
      <c r="AS46">
        <v>-12</v>
      </c>
      <c r="AT46">
        <v>0</v>
      </c>
      <c r="AU46">
        <v>127</v>
      </c>
      <c r="AV46">
        <v>22.77</v>
      </c>
      <c r="AW46">
        <v>92.21</v>
      </c>
      <c r="AX46">
        <v>12</v>
      </c>
      <c r="AY46">
        <v>-53</v>
      </c>
      <c r="AZ46">
        <v>7.22</v>
      </c>
      <c r="BA46">
        <v>142</v>
      </c>
      <c r="BB46">
        <v>34.17</v>
      </c>
      <c r="BC46" t="s">
        <v>2026</v>
      </c>
      <c r="BD46" t="s">
        <v>17</v>
      </c>
      <c r="BE46">
        <v>35.85</v>
      </c>
      <c r="BF46">
        <v>127.13</v>
      </c>
      <c r="BG46">
        <v>32.6</v>
      </c>
      <c r="BH46">
        <v>16</v>
      </c>
      <c r="BI46">
        <v>0.72</v>
      </c>
      <c r="BJ46" t="s">
        <v>1686</v>
      </c>
      <c r="BK46" t="s">
        <v>17</v>
      </c>
      <c r="BL46">
        <v>-0.82</v>
      </c>
      <c r="BM46" t="s">
        <v>165</v>
      </c>
      <c r="BN46">
        <v>0</v>
      </c>
      <c r="BO46">
        <v>0</v>
      </c>
      <c r="BP46">
        <v>-0.01</v>
      </c>
      <c r="BQ46">
        <v>0.03</v>
      </c>
      <c r="BR46">
        <v>0.1</v>
      </c>
      <c r="BS46">
        <v>-0.3</v>
      </c>
      <c r="BT46" t="s">
        <v>165</v>
      </c>
      <c r="BU46">
        <v>150</v>
      </c>
      <c r="BV46">
        <v>0</v>
      </c>
      <c r="BW46">
        <v>2</v>
      </c>
      <c r="BX46">
        <v>0.06</v>
      </c>
      <c r="BY46">
        <v>0</v>
      </c>
      <c r="BZ46">
        <v>0.03</v>
      </c>
      <c r="CA46">
        <v>0</v>
      </c>
      <c r="CB46">
        <v>0</v>
      </c>
      <c r="CC46">
        <v>0</v>
      </c>
      <c r="CD46" t="s">
        <v>222</v>
      </c>
      <c r="CE46" t="s">
        <v>223</v>
      </c>
      <c r="CF46" t="s">
        <v>224</v>
      </c>
      <c r="CG46">
        <v>6000</v>
      </c>
      <c r="CH46">
        <v>500</v>
      </c>
      <c r="CI46">
        <v>1</v>
      </c>
      <c r="CJ46">
        <v>2</v>
      </c>
      <c r="CK46">
        <v>55537</v>
      </c>
      <c r="CL46">
        <v>55537</v>
      </c>
      <c r="CM46">
        <v>55537</v>
      </c>
      <c r="CN46">
        <v>0</v>
      </c>
      <c r="CO46">
        <v>-9999</v>
      </c>
      <c r="CP46">
        <v>0</v>
      </c>
      <c r="CQ46">
        <v>0</v>
      </c>
      <c r="CR46">
        <v>0</v>
      </c>
      <c r="CS46">
        <v>0</v>
      </c>
      <c r="CT46">
        <v>2.4900000000000002</v>
      </c>
      <c r="CU46">
        <v>2.4300000000000002</v>
      </c>
      <c r="CV46">
        <v>1.47</v>
      </c>
      <c r="CW46">
        <v>0.86</v>
      </c>
      <c r="CX46">
        <v>0.18</v>
      </c>
      <c r="CY46">
        <v>-0.05</v>
      </c>
      <c r="CZ46">
        <v>0.47</v>
      </c>
      <c r="DA46">
        <v>0.37</v>
      </c>
      <c r="DB46">
        <v>108.02</v>
      </c>
      <c r="DC46">
        <v>0</v>
      </c>
      <c r="DD46">
        <v>2.42</v>
      </c>
      <c r="DE46">
        <v>0</v>
      </c>
      <c r="DF46">
        <v>1</v>
      </c>
      <c r="DG46">
        <v>2.37</v>
      </c>
      <c r="DH46">
        <v>0</v>
      </c>
      <c r="DI46">
        <v>1</v>
      </c>
      <c r="DJ46">
        <v>0.6</v>
      </c>
      <c r="DK46">
        <v>0.6</v>
      </c>
      <c r="DL46">
        <v>0.11</v>
      </c>
      <c r="DM46">
        <v>0</v>
      </c>
      <c r="DN46" t="s">
        <v>2008</v>
      </c>
      <c r="DO46" t="s">
        <v>245</v>
      </c>
      <c r="DP46" t="s">
        <v>246</v>
      </c>
      <c r="DQ46" t="s">
        <v>247</v>
      </c>
      <c r="DR46" t="s">
        <v>248</v>
      </c>
      <c r="DS46" t="s">
        <v>249</v>
      </c>
      <c r="DT46" t="s">
        <v>250</v>
      </c>
    </row>
    <row r="47" spans="1:124" x14ac:dyDescent="0.45">
      <c r="A47" t="s">
        <v>2040</v>
      </c>
      <c r="B47" t="s">
        <v>2041</v>
      </c>
      <c r="C47" t="s">
        <v>17</v>
      </c>
      <c r="D47" t="s">
        <v>167</v>
      </c>
      <c r="E47" t="s">
        <v>168</v>
      </c>
      <c r="I47" t="s">
        <v>2042</v>
      </c>
      <c r="J47">
        <v>0.13</v>
      </c>
      <c r="K47">
        <v>2.66</v>
      </c>
      <c r="L47">
        <v>0.12</v>
      </c>
      <c r="M47">
        <v>3.52</v>
      </c>
      <c r="N47">
        <v>2.37</v>
      </c>
      <c r="O47">
        <v>2.25</v>
      </c>
      <c r="P47">
        <v>5.17</v>
      </c>
      <c r="Q47">
        <v>2.8</v>
      </c>
      <c r="R47">
        <v>22.28</v>
      </c>
      <c r="S47">
        <v>23.44</v>
      </c>
      <c r="T47">
        <v>51.2</v>
      </c>
      <c r="U47">
        <v>0.44</v>
      </c>
      <c r="V47">
        <v>7.5</v>
      </c>
      <c r="W47" t="s">
        <v>2047</v>
      </c>
      <c r="X47">
        <v>0</v>
      </c>
      <c r="Y47">
        <v>0</v>
      </c>
      <c r="Z47">
        <v>0</v>
      </c>
      <c r="AA47">
        <v>109.68</v>
      </c>
      <c r="AB47">
        <v>471.15</v>
      </c>
      <c r="AC47">
        <v>0.77</v>
      </c>
      <c r="AD47">
        <v>0.5</v>
      </c>
      <c r="AE47">
        <v>0.84</v>
      </c>
      <c r="AF47">
        <v>46.08</v>
      </c>
      <c r="AG47">
        <v>1</v>
      </c>
      <c r="AH47">
        <v>39.479999999999997</v>
      </c>
      <c r="AI47">
        <v>37.53</v>
      </c>
      <c r="AJ47">
        <v>36.07</v>
      </c>
      <c r="AK47">
        <v>33.4</v>
      </c>
      <c r="AL47">
        <v>33.4</v>
      </c>
      <c r="AM47">
        <v>100.92</v>
      </c>
      <c r="AN47">
        <v>131.1</v>
      </c>
      <c r="AO47">
        <v>120.2</v>
      </c>
      <c r="AP47">
        <v>8.3000000000000007</v>
      </c>
      <c r="AQ47">
        <v>143</v>
      </c>
      <c r="AR47">
        <v>3.62</v>
      </c>
      <c r="AS47">
        <v>-15</v>
      </c>
      <c r="AT47">
        <v>0</v>
      </c>
      <c r="AU47">
        <v>116</v>
      </c>
      <c r="AV47">
        <v>21.54</v>
      </c>
      <c r="AW47">
        <v>93.02</v>
      </c>
      <c r="AX47">
        <v>15</v>
      </c>
      <c r="AY47">
        <v>-64</v>
      </c>
      <c r="AZ47">
        <v>7.22</v>
      </c>
      <c r="BA47">
        <v>142.38</v>
      </c>
      <c r="BB47">
        <v>34.049999999999997</v>
      </c>
      <c r="BC47" t="s">
        <v>2067</v>
      </c>
      <c r="BD47" t="s">
        <v>17</v>
      </c>
      <c r="BE47">
        <v>35.85</v>
      </c>
      <c r="BF47">
        <v>127.13</v>
      </c>
      <c r="BG47">
        <v>33</v>
      </c>
      <c r="BH47">
        <v>17</v>
      </c>
      <c r="BI47">
        <v>0.69</v>
      </c>
      <c r="BJ47" t="s">
        <v>1686</v>
      </c>
      <c r="BK47" t="s">
        <v>17</v>
      </c>
      <c r="BL47">
        <v>-0.82</v>
      </c>
      <c r="BM47" t="s">
        <v>165</v>
      </c>
      <c r="BN47">
        <v>0</v>
      </c>
      <c r="BO47">
        <v>0</v>
      </c>
      <c r="BP47">
        <v>0</v>
      </c>
      <c r="BQ47">
        <v>0.01</v>
      </c>
      <c r="BR47">
        <v>-0.05</v>
      </c>
      <c r="BS47">
        <v>-0.11</v>
      </c>
      <c r="BT47" t="s">
        <v>165</v>
      </c>
      <c r="BU47">
        <v>150</v>
      </c>
      <c r="BV47">
        <v>0</v>
      </c>
      <c r="BW47">
        <v>2</v>
      </c>
      <c r="BX47">
        <v>0.06</v>
      </c>
      <c r="BY47">
        <v>0</v>
      </c>
      <c r="BZ47">
        <v>0.03</v>
      </c>
      <c r="CA47">
        <v>0</v>
      </c>
      <c r="CB47">
        <v>0</v>
      </c>
      <c r="CC47">
        <v>0</v>
      </c>
      <c r="CD47" t="s">
        <v>222</v>
      </c>
      <c r="CE47" t="s">
        <v>223</v>
      </c>
      <c r="CF47" t="s">
        <v>224</v>
      </c>
      <c r="CG47">
        <v>6000</v>
      </c>
      <c r="CH47">
        <v>500</v>
      </c>
      <c r="CI47">
        <v>1</v>
      </c>
      <c r="CJ47">
        <v>2</v>
      </c>
      <c r="CK47">
        <v>55537</v>
      </c>
      <c r="CL47">
        <v>55537</v>
      </c>
      <c r="CM47">
        <v>55537</v>
      </c>
      <c r="CN47">
        <v>0</v>
      </c>
      <c r="CO47">
        <v>-9999</v>
      </c>
      <c r="CP47">
        <v>0</v>
      </c>
      <c r="CQ47">
        <v>0</v>
      </c>
      <c r="CR47">
        <v>0</v>
      </c>
      <c r="CS47">
        <v>0</v>
      </c>
      <c r="CT47">
        <v>2.4900000000000002</v>
      </c>
      <c r="CU47">
        <v>2.4300000000000002</v>
      </c>
      <c r="CV47">
        <v>1.46</v>
      </c>
      <c r="CW47">
        <v>0.85</v>
      </c>
      <c r="CX47">
        <v>0.18</v>
      </c>
      <c r="CY47">
        <v>-0.03</v>
      </c>
      <c r="CZ47">
        <v>0.48</v>
      </c>
      <c r="DA47">
        <v>0.23</v>
      </c>
      <c r="DB47">
        <v>109.68</v>
      </c>
      <c r="DC47">
        <v>0</v>
      </c>
      <c r="DD47">
        <v>2.42</v>
      </c>
      <c r="DE47">
        <v>0</v>
      </c>
      <c r="DF47">
        <v>1</v>
      </c>
      <c r="DG47">
        <v>2.37</v>
      </c>
      <c r="DH47">
        <v>0</v>
      </c>
      <c r="DI47">
        <v>1</v>
      </c>
      <c r="DJ47">
        <v>0.6</v>
      </c>
      <c r="DK47">
        <v>0.6</v>
      </c>
      <c r="DL47">
        <v>0.11</v>
      </c>
      <c r="DM47">
        <v>0</v>
      </c>
      <c r="DN47" t="s">
        <v>2047</v>
      </c>
      <c r="DO47" t="s">
        <v>245</v>
      </c>
      <c r="DP47" t="s">
        <v>246</v>
      </c>
      <c r="DQ47" t="s">
        <v>247</v>
      </c>
      <c r="DR47" t="s">
        <v>248</v>
      </c>
      <c r="DS47" t="s">
        <v>249</v>
      </c>
      <c r="DT47" t="s">
        <v>250</v>
      </c>
    </row>
    <row r="48" spans="1:124" x14ac:dyDescent="0.45">
      <c r="A48" t="s">
        <v>2081</v>
      </c>
      <c r="B48" t="s">
        <v>2082</v>
      </c>
      <c r="C48" t="s">
        <v>17</v>
      </c>
      <c r="D48" t="s">
        <v>167</v>
      </c>
      <c r="E48" t="s">
        <v>168</v>
      </c>
      <c r="I48" t="s">
        <v>2083</v>
      </c>
      <c r="J48">
        <v>0.21</v>
      </c>
      <c r="K48">
        <v>2.7</v>
      </c>
      <c r="L48">
        <v>0.19</v>
      </c>
      <c r="M48">
        <v>5.23</v>
      </c>
      <c r="N48">
        <v>2.36</v>
      </c>
      <c r="O48">
        <v>2.19</v>
      </c>
      <c r="P48">
        <v>4.99</v>
      </c>
      <c r="Q48">
        <v>2.64</v>
      </c>
      <c r="R48">
        <v>21.68</v>
      </c>
      <c r="S48">
        <v>23.36</v>
      </c>
      <c r="T48">
        <v>49.47</v>
      </c>
      <c r="U48">
        <v>0.44</v>
      </c>
      <c r="V48">
        <v>7.5</v>
      </c>
      <c r="W48" t="s">
        <v>2088</v>
      </c>
      <c r="X48">
        <v>0</v>
      </c>
      <c r="Y48">
        <v>0</v>
      </c>
      <c r="Z48">
        <v>0</v>
      </c>
      <c r="AA48">
        <v>133.85</v>
      </c>
      <c r="AB48">
        <v>546.1</v>
      </c>
      <c r="AC48">
        <v>0.75</v>
      </c>
      <c r="AD48">
        <v>0.5</v>
      </c>
      <c r="AE48">
        <v>0.84</v>
      </c>
      <c r="AF48">
        <v>39.630000000000003</v>
      </c>
      <c r="AG48">
        <v>1</v>
      </c>
      <c r="AH48">
        <v>39.520000000000003</v>
      </c>
      <c r="AI48">
        <v>36.68</v>
      </c>
      <c r="AJ48">
        <v>35.99</v>
      </c>
      <c r="AK48">
        <v>32.79</v>
      </c>
      <c r="AL48">
        <v>32.79</v>
      </c>
      <c r="AM48">
        <v>100.92</v>
      </c>
      <c r="AN48">
        <v>134.5</v>
      </c>
      <c r="AO48">
        <v>129.4</v>
      </c>
      <c r="AP48">
        <v>3.8</v>
      </c>
      <c r="AQ48">
        <v>125</v>
      </c>
      <c r="AR48">
        <v>3.62</v>
      </c>
      <c r="AS48">
        <v>-13</v>
      </c>
      <c r="AT48">
        <v>0</v>
      </c>
      <c r="AU48">
        <v>134</v>
      </c>
      <c r="AV48">
        <v>21.16</v>
      </c>
      <c r="AW48">
        <v>93.26</v>
      </c>
      <c r="AX48">
        <v>13</v>
      </c>
      <c r="AY48">
        <v>-46</v>
      </c>
      <c r="AZ48">
        <v>7.22</v>
      </c>
      <c r="BA48">
        <v>142.76</v>
      </c>
      <c r="BB48">
        <v>33.92</v>
      </c>
      <c r="BC48" t="s">
        <v>2103</v>
      </c>
      <c r="BD48" t="s">
        <v>17</v>
      </c>
      <c r="BE48">
        <v>35.85</v>
      </c>
      <c r="BF48">
        <v>127.13</v>
      </c>
      <c r="BG48">
        <v>34.200000000000003</v>
      </c>
      <c r="BH48">
        <v>18</v>
      </c>
      <c r="BI48">
        <v>0.65</v>
      </c>
      <c r="BJ48" t="s">
        <v>2106</v>
      </c>
      <c r="BK48" t="s">
        <v>17</v>
      </c>
      <c r="BL48">
        <v>-0.67</v>
      </c>
      <c r="BM48" t="s">
        <v>165</v>
      </c>
      <c r="BN48">
        <v>0</v>
      </c>
      <c r="BO48">
        <v>0</v>
      </c>
      <c r="BP48">
        <v>0.01</v>
      </c>
      <c r="BQ48">
        <v>-0.32</v>
      </c>
      <c r="BR48">
        <v>-0.24</v>
      </c>
      <c r="BS48">
        <v>-1.33</v>
      </c>
      <c r="BT48" t="s">
        <v>165</v>
      </c>
      <c r="BU48">
        <v>150</v>
      </c>
      <c r="BV48">
        <v>0</v>
      </c>
      <c r="BW48">
        <v>2</v>
      </c>
      <c r="BX48">
        <v>0.06</v>
      </c>
      <c r="BY48">
        <v>0</v>
      </c>
      <c r="BZ48">
        <v>0.03</v>
      </c>
      <c r="CA48">
        <v>0</v>
      </c>
      <c r="CB48">
        <v>0</v>
      </c>
      <c r="CC48">
        <v>0</v>
      </c>
      <c r="CD48" t="s">
        <v>222</v>
      </c>
      <c r="CE48" t="s">
        <v>223</v>
      </c>
      <c r="CF48" t="s">
        <v>224</v>
      </c>
      <c r="CG48">
        <v>6000</v>
      </c>
      <c r="CH48">
        <v>500</v>
      </c>
      <c r="CI48">
        <v>1</v>
      </c>
      <c r="CJ48">
        <v>2</v>
      </c>
      <c r="CK48">
        <v>55537</v>
      </c>
      <c r="CL48">
        <v>55537</v>
      </c>
      <c r="CM48">
        <v>55537</v>
      </c>
      <c r="CN48">
        <v>0</v>
      </c>
      <c r="CO48">
        <v>-9999</v>
      </c>
      <c r="CP48">
        <v>0</v>
      </c>
      <c r="CQ48">
        <v>0</v>
      </c>
      <c r="CR48">
        <v>0</v>
      </c>
      <c r="CS48">
        <v>0</v>
      </c>
      <c r="CT48">
        <v>2.48</v>
      </c>
      <c r="CU48">
        <v>2.4300000000000002</v>
      </c>
      <c r="CV48">
        <v>1.49</v>
      </c>
      <c r="CW48">
        <v>0.88</v>
      </c>
      <c r="CX48">
        <v>0.18</v>
      </c>
      <c r="CY48">
        <v>-0.04</v>
      </c>
      <c r="CZ48">
        <v>0.48</v>
      </c>
      <c r="DA48">
        <v>0.22</v>
      </c>
      <c r="DB48">
        <v>133.85</v>
      </c>
      <c r="DC48">
        <v>0</v>
      </c>
      <c r="DD48">
        <v>2.42</v>
      </c>
      <c r="DE48">
        <v>0</v>
      </c>
      <c r="DF48">
        <v>1</v>
      </c>
      <c r="DG48">
        <v>2.37</v>
      </c>
      <c r="DH48">
        <v>0</v>
      </c>
      <c r="DI48">
        <v>1</v>
      </c>
      <c r="DJ48">
        <v>0.6</v>
      </c>
      <c r="DK48">
        <v>0.6</v>
      </c>
      <c r="DL48">
        <v>0.11</v>
      </c>
      <c r="DM48">
        <v>0</v>
      </c>
      <c r="DN48" t="s">
        <v>2088</v>
      </c>
      <c r="DO48" t="s">
        <v>245</v>
      </c>
      <c r="DP48" t="s">
        <v>246</v>
      </c>
      <c r="DQ48" t="s">
        <v>247</v>
      </c>
      <c r="DR48" t="s">
        <v>248</v>
      </c>
      <c r="DS48" t="s">
        <v>249</v>
      </c>
      <c r="DT48" t="s">
        <v>250</v>
      </c>
    </row>
    <row r="49" spans="1:124" x14ac:dyDescent="0.45">
      <c r="A49" t="s">
        <v>2119</v>
      </c>
      <c r="B49" t="s">
        <v>2120</v>
      </c>
      <c r="C49" t="s">
        <v>17</v>
      </c>
      <c r="D49" t="s">
        <v>167</v>
      </c>
      <c r="E49" t="s">
        <v>168</v>
      </c>
      <c r="I49" t="s">
        <v>2121</v>
      </c>
      <c r="J49">
        <v>0.23</v>
      </c>
      <c r="K49">
        <v>2.77</v>
      </c>
      <c r="L49">
        <v>0.21</v>
      </c>
      <c r="M49">
        <v>5.58</v>
      </c>
      <c r="N49">
        <v>2.39</v>
      </c>
      <c r="O49">
        <v>2.2200000000000002</v>
      </c>
      <c r="P49">
        <v>4.99</v>
      </c>
      <c r="Q49">
        <v>2.6</v>
      </c>
      <c r="R49">
        <v>21.98</v>
      </c>
      <c r="S49">
        <v>23.68</v>
      </c>
      <c r="T49">
        <v>49.45</v>
      </c>
      <c r="U49">
        <v>0.44</v>
      </c>
      <c r="V49">
        <v>7.5</v>
      </c>
      <c r="W49" t="s">
        <v>2126</v>
      </c>
      <c r="X49">
        <v>0</v>
      </c>
      <c r="Y49">
        <v>0</v>
      </c>
      <c r="Z49">
        <v>0</v>
      </c>
      <c r="AA49">
        <v>118.84</v>
      </c>
      <c r="AB49">
        <v>448.89</v>
      </c>
      <c r="AC49">
        <v>0.74</v>
      </c>
      <c r="AD49">
        <v>0.5</v>
      </c>
      <c r="AE49">
        <v>0.84</v>
      </c>
      <c r="AF49">
        <v>154.09</v>
      </c>
      <c r="AG49">
        <v>1</v>
      </c>
      <c r="AH49">
        <v>40.369999999999997</v>
      </c>
      <c r="AI49">
        <v>37.47</v>
      </c>
      <c r="AJ49">
        <v>35.85</v>
      </c>
      <c r="AK49">
        <v>32.78</v>
      </c>
      <c r="AL49">
        <v>32.78</v>
      </c>
      <c r="AM49">
        <v>100.91</v>
      </c>
      <c r="AN49">
        <v>141.30000000000001</v>
      </c>
      <c r="AO49">
        <v>115.4</v>
      </c>
      <c r="AP49">
        <v>18.3</v>
      </c>
      <c r="AQ49">
        <v>499</v>
      </c>
      <c r="AR49">
        <v>3.62</v>
      </c>
      <c r="AS49">
        <v>-10</v>
      </c>
      <c r="AT49">
        <v>0</v>
      </c>
      <c r="AU49">
        <v>140</v>
      </c>
      <c r="AV49">
        <v>23.82</v>
      </c>
      <c r="AW49">
        <v>91.48</v>
      </c>
      <c r="AX49">
        <v>10</v>
      </c>
      <c r="AY49">
        <v>-40</v>
      </c>
      <c r="AZ49">
        <v>7.22</v>
      </c>
      <c r="BA49">
        <v>143.15</v>
      </c>
      <c r="BB49">
        <v>33.799999999999997</v>
      </c>
      <c r="BC49" t="s">
        <v>2144</v>
      </c>
      <c r="BD49" t="s">
        <v>17</v>
      </c>
      <c r="BE49">
        <v>35.85</v>
      </c>
      <c r="BF49">
        <v>127.13</v>
      </c>
      <c r="BG49">
        <v>36.200000000000003</v>
      </c>
      <c r="BH49">
        <v>17</v>
      </c>
      <c r="BI49">
        <v>0.66</v>
      </c>
      <c r="BJ49" t="s">
        <v>2106</v>
      </c>
      <c r="BK49" t="s">
        <v>17</v>
      </c>
      <c r="BL49">
        <v>-0.67</v>
      </c>
      <c r="BM49" t="s">
        <v>165</v>
      </c>
      <c r="BN49">
        <v>0</v>
      </c>
      <c r="BO49">
        <v>0</v>
      </c>
      <c r="BP49">
        <v>0</v>
      </c>
      <c r="BQ49">
        <v>2.88</v>
      </c>
      <c r="BR49">
        <v>0.51</v>
      </c>
      <c r="BS49">
        <v>-0.44</v>
      </c>
      <c r="BT49" t="s">
        <v>165</v>
      </c>
      <c r="BU49">
        <v>150</v>
      </c>
      <c r="BV49">
        <v>0</v>
      </c>
      <c r="BW49">
        <v>2</v>
      </c>
      <c r="BX49">
        <v>0.06</v>
      </c>
      <c r="BY49">
        <v>0</v>
      </c>
      <c r="BZ49">
        <v>0.03</v>
      </c>
      <c r="CA49">
        <v>0</v>
      </c>
      <c r="CB49">
        <v>0</v>
      </c>
      <c r="CC49">
        <v>0</v>
      </c>
      <c r="CD49" t="s">
        <v>222</v>
      </c>
      <c r="CE49" t="s">
        <v>223</v>
      </c>
      <c r="CF49" t="s">
        <v>224</v>
      </c>
      <c r="CG49">
        <v>6000</v>
      </c>
      <c r="CH49">
        <v>500</v>
      </c>
      <c r="CI49">
        <v>1</v>
      </c>
      <c r="CJ49">
        <v>2</v>
      </c>
      <c r="CK49">
        <v>55537</v>
      </c>
      <c r="CL49">
        <v>55537</v>
      </c>
      <c r="CM49">
        <v>55537</v>
      </c>
      <c r="CN49">
        <v>0</v>
      </c>
      <c r="CO49">
        <v>-9999</v>
      </c>
      <c r="CP49">
        <v>0</v>
      </c>
      <c r="CQ49">
        <v>0</v>
      </c>
      <c r="CR49">
        <v>0</v>
      </c>
      <c r="CS49">
        <v>0</v>
      </c>
      <c r="CT49">
        <v>2.4900000000000002</v>
      </c>
      <c r="CU49">
        <v>2.4300000000000002</v>
      </c>
      <c r="CV49">
        <v>1.55</v>
      </c>
      <c r="CW49">
        <v>0.84</v>
      </c>
      <c r="CX49">
        <v>0.18</v>
      </c>
      <c r="CY49">
        <v>-0.04</v>
      </c>
      <c r="CZ49">
        <v>0.48</v>
      </c>
      <c r="DA49">
        <v>0.54</v>
      </c>
      <c r="DB49">
        <v>118.84</v>
      </c>
      <c r="DC49">
        <v>0</v>
      </c>
      <c r="DD49">
        <v>2.42</v>
      </c>
      <c r="DE49">
        <v>0</v>
      </c>
      <c r="DF49">
        <v>1</v>
      </c>
      <c r="DG49">
        <v>2.37</v>
      </c>
      <c r="DH49">
        <v>0</v>
      </c>
      <c r="DI49">
        <v>1</v>
      </c>
      <c r="DJ49">
        <v>0.6</v>
      </c>
      <c r="DK49">
        <v>0.6</v>
      </c>
      <c r="DL49">
        <v>0.11</v>
      </c>
      <c r="DM49">
        <v>0</v>
      </c>
      <c r="DN49" t="s">
        <v>2126</v>
      </c>
      <c r="DO49" t="s">
        <v>245</v>
      </c>
      <c r="DP49" t="s">
        <v>246</v>
      </c>
      <c r="DQ49" t="s">
        <v>247</v>
      </c>
      <c r="DR49" t="s">
        <v>248</v>
      </c>
      <c r="DS49" t="s">
        <v>249</v>
      </c>
      <c r="DT49" t="s">
        <v>250</v>
      </c>
    </row>
    <row r="50" spans="1:124" x14ac:dyDescent="0.45">
      <c r="A50" t="s">
        <v>2159</v>
      </c>
      <c r="B50" t="s">
        <v>2160</v>
      </c>
      <c r="C50" t="s">
        <v>17</v>
      </c>
      <c r="D50" t="s">
        <v>167</v>
      </c>
      <c r="E50" t="s">
        <v>168</v>
      </c>
      <c r="I50" t="s">
        <v>2161</v>
      </c>
      <c r="J50">
        <v>0.01</v>
      </c>
      <c r="K50">
        <v>2.71</v>
      </c>
      <c r="L50">
        <v>0.01</v>
      </c>
      <c r="M50">
        <v>0.46</v>
      </c>
      <c r="N50">
        <v>2.4</v>
      </c>
      <c r="O50">
        <v>2.39</v>
      </c>
      <c r="P50">
        <v>5.44</v>
      </c>
      <c r="Q50">
        <v>3.03</v>
      </c>
      <c r="R50">
        <v>23.67</v>
      </c>
      <c r="S50">
        <v>23.82</v>
      </c>
      <c r="T50">
        <v>53.87</v>
      </c>
      <c r="U50">
        <v>0.44</v>
      </c>
      <c r="V50">
        <v>7.5</v>
      </c>
      <c r="W50" t="s">
        <v>2166</v>
      </c>
      <c r="X50">
        <v>0</v>
      </c>
      <c r="Y50">
        <v>0</v>
      </c>
      <c r="Z50">
        <v>0</v>
      </c>
      <c r="AA50">
        <v>110.45</v>
      </c>
      <c r="AB50">
        <v>438.8</v>
      </c>
      <c r="AC50">
        <v>0.75</v>
      </c>
      <c r="AD50">
        <v>0.5</v>
      </c>
      <c r="AE50">
        <v>0.84</v>
      </c>
      <c r="AF50">
        <v>36.770000000000003</v>
      </c>
      <c r="AG50">
        <v>1</v>
      </c>
      <c r="AH50">
        <v>40.659999999999997</v>
      </c>
      <c r="AI50">
        <v>40.409999999999997</v>
      </c>
      <c r="AJ50">
        <v>35.82</v>
      </c>
      <c r="AK50">
        <v>34.31</v>
      </c>
      <c r="AL50">
        <v>34.31</v>
      </c>
      <c r="AM50">
        <v>100.91</v>
      </c>
      <c r="AN50">
        <v>134.9</v>
      </c>
      <c r="AO50">
        <v>133.4</v>
      </c>
      <c r="AP50">
        <v>1.1000000000000001</v>
      </c>
      <c r="AQ50">
        <v>117</v>
      </c>
      <c r="AR50">
        <v>3.62</v>
      </c>
      <c r="AS50">
        <v>-20</v>
      </c>
      <c r="AT50">
        <v>4</v>
      </c>
      <c r="AU50">
        <v>117</v>
      </c>
      <c r="AV50">
        <v>14.89</v>
      </c>
      <c r="AW50">
        <v>96.64</v>
      </c>
      <c r="AX50">
        <v>20.38</v>
      </c>
      <c r="AY50">
        <v>-51.44</v>
      </c>
      <c r="AZ50">
        <v>7.22</v>
      </c>
      <c r="BA50">
        <v>143.15</v>
      </c>
      <c r="BB50">
        <v>33.799999999999997</v>
      </c>
      <c r="BC50" t="s">
        <v>2177</v>
      </c>
      <c r="BD50" t="s">
        <v>17</v>
      </c>
      <c r="BE50">
        <v>35.85</v>
      </c>
      <c r="BF50">
        <v>127.13</v>
      </c>
      <c r="BG50">
        <v>35.9</v>
      </c>
      <c r="BH50">
        <v>16</v>
      </c>
      <c r="BI50">
        <v>0.69</v>
      </c>
      <c r="BJ50" t="s">
        <v>2106</v>
      </c>
      <c r="BK50" t="s">
        <v>17</v>
      </c>
      <c r="BL50">
        <v>-0.67</v>
      </c>
      <c r="BM50" t="s">
        <v>165</v>
      </c>
      <c r="BN50">
        <v>0</v>
      </c>
      <c r="BO50">
        <v>0</v>
      </c>
      <c r="BP50">
        <v>0</v>
      </c>
      <c r="BQ50">
        <v>-2.36</v>
      </c>
      <c r="BR50">
        <v>-0.68</v>
      </c>
      <c r="BS50">
        <v>-0.63</v>
      </c>
      <c r="BT50" t="s">
        <v>165</v>
      </c>
      <c r="BU50">
        <v>150</v>
      </c>
      <c r="BV50">
        <v>0</v>
      </c>
      <c r="BW50">
        <v>2</v>
      </c>
      <c r="BX50">
        <v>0.06</v>
      </c>
      <c r="BY50">
        <v>0</v>
      </c>
      <c r="BZ50">
        <v>0.03</v>
      </c>
      <c r="CA50">
        <v>0</v>
      </c>
      <c r="CB50">
        <v>0</v>
      </c>
      <c r="CC50">
        <v>0</v>
      </c>
      <c r="CD50" t="s">
        <v>222</v>
      </c>
      <c r="CE50" t="s">
        <v>223</v>
      </c>
      <c r="CF50" t="s">
        <v>224</v>
      </c>
      <c r="CG50">
        <v>6000</v>
      </c>
      <c r="CH50">
        <v>500</v>
      </c>
      <c r="CI50">
        <v>1</v>
      </c>
      <c r="CJ50">
        <v>2</v>
      </c>
      <c r="CK50">
        <v>55537</v>
      </c>
      <c r="CL50">
        <v>55537</v>
      </c>
      <c r="CM50">
        <v>55537</v>
      </c>
      <c r="CN50">
        <v>0</v>
      </c>
      <c r="CO50">
        <v>-9999</v>
      </c>
      <c r="CP50">
        <v>0</v>
      </c>
      <c r="CQ50">
        <v>0</v>
      </c>
      <c r="CR50">
        <v>0</v>
      </c>
      <c r="CS50">
        <v>0</v>
      </c>
      <c r="CT50">
        <v>2.4900000000000002</v>
      </c>
      <c r="CU50">
        <v>2.4300000000000002</v>
      </c>
      <c r="CV50">
        <v>1.49</v>
      </c>
      <c r="CW50">
        <v>0.89</v>
      </c>
      <c r="CX50">
        <v>0.18</v>
      </c>
      <c r="CY50">
        <v>-0.02</v>
      </c>
      <c r="CZ50">
        <v>0.49</v>
      </c>
      <c r="DA50">
        <v>0.21</v>
      </c>
      <c r="DB50">
        <v>110.45</v>
      </c>
      <c r="DC50">
        <v>0</v>
      </c>
      <c r="DD50">
        <v>2.42</v>
      </c>
      <c r="DE50">
        <v>0</v>
      </c>
      <c r="DF50">
        <v>1</v>
      </c>
      <c r="DG50">
        <v>2.37</v>
      </c>
      <c r="DH50">
        <v>0</v>
      </c>
      <c r="DI50">
        <v>1</v>
      </c>
      <c r="DJ50">
        <v>0.6</v>
      </c>
      <c r="DK50">
        <v>0.6</v>
      </c>
      <c r="DL50">
        <v>0.11</v>
      </c>
      <c r="DM50">
        <v>0</v>
      </c>
      <c r="DN50" t="s">
        <v>2166</v>
      </c>
      <c r="DO50" t="s">
        <v>245</v>
      </c>
      <c r="DP50" t="s">
        <v>246</v>
      </c>
      <c r="DQ50" t="s">
        <v>247</v>
      </c>
      <c r="DR50" t="s">
        <v>248</v>
      </c>
      <c r="DS50" t="s">
        <v>249</v>
      </c>
      <c r="DT50" t="s">
        <v>250</v>
      </c>
    </row>
    <row r="51" spans="1:124" x14ac:dyDescent="0.45">
      <c r="A51" t="s">
        <v>2190</v>
      </c>
      <c r="B51" t="s">
        <v>2191</v>
      </c>
      <c r="C51" t="s">
        <v>17</v>
      </c>
      <c r="D51" t="s">
        <v>167</v>
      </c>
      <c r="E51" t="s">
        <v>168</v>
      </c>
      <c r="I51" t="s">
        <v>2192</v>
      </c>
      <c r="J51">
        <v>0.57999999999999996</v>
      </c>
      <c r="K51">
        <v>2.71</v>
      </c>
      <c r="L51">
        <v>0.47</v>
      </c>
      <c r="M51">
        <v>10.43</v>
      </c>
      <c r="N51">
        <v>2.52</v>
      </c>
      <c r="O51">
        <v>2.19</v>
      </c>
      <c r="P51">
        <v>4.66</v>
      </c>
      <c r="Q51">
        <v>2.14</v>
      </c>
      <c r="R51">
        <v>21.65</v>
      </c>
      <c r="S51">
        <v>24.98</v>
      </c>
      <c r="T51">
        <v>46.18</v>
      </c>
      <c r="U51">
        <v>0.44</v>
      </c>
      <c r="V51">
        <v>7.5</v>
      </c>
      <c r="W51" t="s">
        <v>2197</v>
      </c>
      <c r="X51">
        <v>0</v>
      </c>
      <c r="Y51">
        <v>0</v>
      </c>
      <c r="Z51">
        <v>0</v>
      </c>
      <c r="AA51">
        <v>111.81</v>
      </c>
      <c r="AB51">
        <v>480.89</v>
      </c>
      <c r="AC51">
        <v>0.77</v>
      </c>
      <c r="AD51">
        <v>0.5</v>
      </c>
      <c r="AE51">
        <v>0.84</v>
      </c>
      <c r="AF51">
        <v>148.6</v>
      </c>
      <c r="AG51">
        <v>1</v>
      </c>
      <c r="AH51">
        <v>42.63</v>
      </c>
      <c r="AI51">
        <v>36.950000000000003</v>
      </c>
      <c r="AJ51">
        <v>35.83</v>
      </c>
      <c r="AK51">
        <v>31.57</v>
      </c>
      <c r="AL51">
        <v>31.57</v>
      </c>
      <c r="AM51">
        <v>100.91</v>
      </c>
      <c r="AN51">
        <v>135</v>
      </c>
      <c r="AO51">
        <v>132.69999999999999</v>
      </c>
      <c r="AP51">
        <v>1.7</v>
      </c>
      <c r="AQ51">
        <v>461</v>
      </c>
      <c r="AR51">
        <v>3.62</v>
      </c>
      <c r="AS51">
        <v>-17</v>
      </c>
      <c r="AT51">
        <v>-2</v>
      </c>
      <c r="AU51">
        <v>322</v>
      </c>
      <c r="AV51">
        <v>50.67</v>
      </c>
      <c r="AW51">
        <v>63.38</v>
      </c>
      <c r="AX51">
        <v>17.11</v>
      </c>
      <c r="AY51">
        <v>135.19</v>
      </c>
      <c r="AZ51">
        <v>7.22</v>
      </c>
      <c r="BA51">
        <v>143.54</v>
      </c>
      <c r="BB51">
        <v>33.68</v>
      </c>
      <c r="BC51" t="s">
        <v>2212</v>
      </c>
      <c r="BD51" t="s">
        <v>17</v>
      </c>
      <c r="BE51">
        <v>35.85</v>
      </c>
      <c r="BF51">
        <v>127.13</v>
      </c>
      <c r="BG51">
        <v>35.799999999999997</v>
      </c>
      <c r="BH51">
        <v>17</v>
      </c>
      <c r="BI51">
        <v>0.65</v>
      </c>
      <c r="BJ51" t="s">
        <v>2106</v>
      </c>
      <c r="BK51" t="s">
        <v>17</v>
      </c>
      <c r="BL51">
        <v>-0.67</v>
      </c>
      <c r="BM51" t="s">
        <v>165</v>
      </c>
      <c r="BN51">
        <v>0</v>
      </c>
      <c r="BO51">
        <v>0</v>
      </c>
      <c r="BP51">
        <v>0.01</v>
      </c>
      <c r="BQ51">
        <v>-0.2</v>
      </c>
      <c r="BR51">
        <v>-0.55000000000000004</v>
      </c>
      <c r="BS51">
        <v>-1.53</v>
      </c>
      <c r="BT51" t="s">
        <v>165</v>
      </c>
      <c r="BU51">
        <v>150</v>
      </c>
      <c r="BV51">
        <v>0</v>
      </c>
      <c r="BW51">
        <v>2</v>
      </c>
      <c r="BX51">
        <v>0.06</v>
      </c>
      <c r="BY51">
        <v>0</v>
      </c>
      <c r="BZ51">
        <v>0.03</v>
      </c>
      <c r="CA51">
        <v>0</v>
      </c>
      <c r="CB51">
        <v>0</v>
      </c>
      <c r="CC51">
        <v>0</v>
      </c>
      <c r="CD51" t="s">
        <v>222</v>
      </c>
      <c r="CE51" t="s">
        <v>223</v>
      </c>
      <c r="CF51" t="s">
        <v>224</v>
      </c>
      <c r="CG51">
        <v>6000</v>
      </c>
      <c r="CH51">
        <v>500</v>
      </c>
      <c r="CI51">
        <v>1</v>
      </c>
      <c r="CJ51">
        <v>2</v>
      </c>
      <c r="CK51">
        <v>55537</v>
      </c>
      <c r="CL51">
        <v>55537</v>
      </c>
      <c r="CM51">
        <v>55537</v>
      </c>
      <c r="CN51">
        <v>0</v>
      </c>
      <c r="CO51">
        <v>-9999</v>
      </c>
      <c r="CP51">
        <v>0</v>
      </c>
      <c r="CQ51">
        <v>0</v>
      </c>
      <c r="CR51">
        <v>0</v>
      </c>
      <c r="CS51">
        <v>0</v>
      </c>
      <c r="CT51">
        <v>2.48</v>
      </c>
      <c r="CU51">
        <v>2.4300000000000002</v>
      </c>
      <c r="CV51">
        <v>1.49</v>
      </c>
      <c r="CW51">
        <v>0.89</v>
      </c>
      <c r="CX51">
        <v>0.18</v>
      </c>
      <c r="CY51">
        <v>-0.05</v>
      </c>
      <c r="CZ51">
        <v>0.49</v>
      </c>
      <c r="DA51">
        <v>0.51</v>
      </c>
      <c r="DB51">
        <v>111.81</v>
      </c>
      <c r="DC51">
        <v>0</v>
      </c>
      <c r="DD51">
        <v>2.42</v>
      </c>
      <c r="DE51">
        <v>0</v>
      </c>
      <c r="DF51">
        <v>1</v>
      </c>
      <c r="DG51">
        <v>2.37</v>
      </c>
      <c r="DH51">
        <v>0</v>
      </c>
      <c r="DI51">
        <v>1</v>
      </c>
      <c r="DJ51">
        <v>0.6</v>
      </c>
      <c r="DK51">
        <v>0.6</v>
      </c>
      <c r="DL51">
        <v>0.11</v>
      </c>
      <c r="DM51">
        <v>0</v>
      </c>
      <c r="DN51" t="s">
        <v>2197</v>
      </c>
      <c r="DO51" t="s">
        <v>245</v>
      </c>
      <c r="DP51" t="s">
        <v>246</v>
      </c>
      <c r="DQ51" t="s">
        <v>247</v>
      </c>
      <c r="DR51" t="s">
        <v>248</v>
      </c>
      <c r="DS51" t="s">
        <v>249</v>
      </c>
      <c r="DT51" t="s">
        <v>250</v>
      </c>
    </row>
    <row r="52" spans="1:124" x14ac:dyDescent="0.45">
      <c r="A52" t="s">
        <v>2225</v>
      </c>
      <c r="B52" t="s">
        <v>2226</v>
      </c>
      <c r="C52" t="s">
        <v>17</v>
      </c>
      <c r="D52" t="s">
        <v>167</v>
      </c>
      <c r="E52" t="s">
        <v>168</v>
      </c>
      <c r="I52" t="s">
        <v>2227</v>
      </c>
      <c r="J52">
        <v>0.73</v>
      </c>
      <c r="K52">
        <v>2.69</v>
      </c>
      <c r="L52">
        <v>0.56999999999999995</v>
      </c>
      <c r="M52">
        <v>11.1</v>
      </c>
      <c r="N52">
        <v>2.77</v>
      </c>
      <c r="O52">
        <v>2.41</v>
      </c>
      <c r="P52">
        <v>4.66</v>
      </c>
      <c r="Q52">
        <v>1.89</v>
      </c>
      <c r="R52">
        <v>23.92</v>
      </c>
      <c r="S52">
        <v>27.5</v>
      </c>
      <c r="T52">
        <v>46.2</v>
      </c>
      <c r="U52">
        <v>0.44</v>
      </c>
      <c r="V52">
        <v>7.5</v>
      </c>
      <c r="W52" t="s">
        <v>2232</v>
      </c>
      <c r="X52">
        <v>0</v>
      </c>
      <c r="Y52">
        <v>0</v>
      </c>
      <c r="Z52">
        <v>0</v>
      </c>
      <c r="AA52">
        <v>114.73</v>
      </c>
      <c r="AB52">
        <v>475.68</v>
      </c>
      <c r="AC52">
        <v>0.76</v>
      </c>
      <c r="AD52">
        <v>0.5</v>
      </c>
      <c r="AE52">
        <v>0.84</v>
      </c>
      <c r="AF52">
        <v>216.4</v>
      </c>
      <c r="AG52">
        <v>1</v>
      </c>
      <c r="AH52">
        <v>46.96</v>
      </c>
      <c r="AI52">
        <v>40.86</v>
      </c>
      <c r="AJ52">
        <v>35.82</v>
      </c>
      <c r="AK52">
        <v>31.58</v>
      </c>
      <c r="AL52">
        <v>31.58</v>
      </c>
      <c r="AM52">
        <v>100.92</v>
      </c>
      <c r="AN52">
        <v>133.5</v>
      </c>
      <c r="AO52">
        <v>121.6</v>
      </c>
      <c r="AP52">
        <v>8.9</v>
      </c>
      <c r="AQ52">
        <v>679</v>
      </c>
      <c r="AR52">
        <v>3.62</v>
      </c>
      <c r="AS52">
        <v>-19</v>
      </c>
      <c r="AT52">
        <v>2</v>
      </c>
      <c r="AU52">
        <v>323</v>
      </c>
      <c r="AV52">
        <v>52.61</v>
      </c>
      <c r="AW52">
        <v>60.73</v>
      </c>
      <c r="AX52">
        <v>19.100000000000001</v>
      </c>
      <c r="AY52">
        <v>149.12</v>
      </c>
      <c r="AZ52">
        <v>7.22</v>
      </c>
      <c r="BA52">
        <v>143.93</v>
      </c>
      <c r="BB52">
        <v>33.56</v>
      </c>
      <c r="BC52" t="s">
        <v>2249</v>
      </c>
      <c r="BD52" t="s">
        <v>17</v>
      </c>
      <c r="BE52">
        <v>35.85</v>
      </c>
      <c r="BF52">
        <v>127.13</v>
      </c>
      <c r="BG52">
        <v>36.1</v>
      </c>
      <c r="BH52">
        <v>16</v>
      </c>
      <c r="BI52">
        <v>0.66</v>
      </c>
      <c r="BJ52" t="s">
        <v>2106</v>
      </c>
      <c r="BK52" t="s">
        <v>17</v>
      </c>
      <c r="BL52">
        <v>-0.67</v>
      </c>
      <c r="BM52" t="s">
        <v>165</v>
      </c>
      <c r="BN52">
        <v>0</v>
      </c>
      <c r="BO52">
        <v>0</v>
      </c>
      <c r="BP52">
        <v>0</v>
      </c>
      <c r="BQ52">
        <v>-7.0000000000000007E-2</v>
      </c>
      <c r="BR52">
        <v>-0.16</v>
      </c>
      <c r="BS52">
        <v>-0.39</v>
      </c>
      <c r="BT52" t="s">
        <v>165</v>
      </c>
      <c r="BU52">
        <v>150</v>
      </c>
      <c r="BV52">
        <v>0</v>
      </c>
      <c r="BW52">
        <v>2</v>
      </c>
      <c r="BX52">
        <v>0.06</v>
      </c>
      <c r="BY52">
        <v>0</v>
      </c>
      <c r="BZ52">
        <v>0.03</v>
      </c>
      <c r="CA52">
        <v>0</v>
      </c>
      <c r="CB52">
        <v>0</v>
      </c>
      <c r="CC52">
        <v>0</v>
      </c>
      <c r="CD52" t="s">
        <v>222</v>
      </c>
      <c r="CE52" t="s">
        <v>223</v>
      </c>
      <c r="CF52" t="s">
        <v>224</v>
      </c>
      <c r="CG52">
        <v>6000</v>
      </c>
      <c r="CH52">
        <v>500</v>
      </c>
      <c r="CI52">
        <v>1</v>
      </c>
      <c r="CJ52">
        <v>2</v>
      </c>
      <c r="CK52">
        <v>55537</v>
      </c>
      <c r="CL52">
        <v>55537</v>
      </c>
      <c r="CM52">
        <v>55537</v>
      </c>
      <c r="CN52">
        <v>0</v>
      </c>
      <c r="CO52">
        <v>-9999</v>
      </c>
      <c r="CP52">
        <v>0</v>
      </c>
      <c r="CQ52">
        <v>0</v>
      </c>
      <c r="CR52">
        <v>0</v>
      </c>
      <c r="CS52">
        <v>0</v>
      </c>
      <c r="CT52">
        <v>2.4900000000000002</v>
      </c>
      <c r="CU52">
        <v>2.44</v>
      </c>
      <c r="CV52">
        <v>1.48</v>
      </c>
      <c r="CW52">
        <v>0.86</v>
      </c>
      <c r="CX52">
        <v>0.18</v>
      </c>
      <c r="CY52">
        <v>-0.05</v>
      </c>
      <c r="CZ52">
        <v>0.5</v>
      </c>
      <c r="DA52">
        <v>0.7</v>
      </c>
      <c r="DB52">
        <v>114.73</v>
      </c>
      <c r="DC52">
        <v>0</v>
      </c>
      <c r="DD52">
        <v>2.42</v>
      </c>
      <c r="DE52">
        <v>0</v>
      </c>
      <c r="DF52">
        <v>1</v>
      </c>
      <c r="DG52">
        <v>2.37</v>
      </c>
      <c r="DH52">
        <v>0</v>
      </c>
      <c r="DI52">
        <v>1</v>
      </c>
      <c r="DJ52">
        <v>0.6</v>
      </c>
      <c r="DK52">
        <v>0.6</v>
      </c>
      <c r="DL52">
        <v>0.11</v>
      </c>
      <c r="DM52">
        <v>0</v>
      </c>
      <c r="DN52" t="s">
        <v>2232</v>
      </c>
      <c r="DO52" t="s">
        <v>245</v>
      </c>
      <c r="DP52" t="s">
        <v>246</v>
      </c>
      <c r="DQ52" t="s">
        <v>247</v>
      </c>
      <c r="DR52" t="s">
        <v>248</v>
      </c>
      <c r="DS52" t="s">
        <v>249</v>
      </c>
      <c r="DT52" t="s">
        <v>250</v>
      </c>
    </row>
    <row r="53" spans="1:124" x14ac:dyDescent="0.45">
      <c r="A53" t="s">
        <v>2264</v>
      </c>
      <c r="B53" t="s">
        <v>2265</v>
      </c>
      <c r="C53" t="s">
        <v>17</v>
      </c>
      <c r="D53" t="s">
        <v>167</v>
      </c>
      <c r="E53" t="s">
        <v>168</v>
      </c>
      <c r="I53" t="s">
        <v>2266</v>
      </c>
      <c r="J53">
        <v>0.63</v>
      </c>
      <c r="K53">
        <v>2.71</v>
      </c>
      <c r="L53">
        <v>0.51</v>
      </c>
      <c r="M53">
        <v>10.31</v>
      </c>
      <c r="N53">
        <v>2.6</v>
      </c>
      <c r="O53">
        <v>2.27</v>
      </c>
      <c r="P53">
        <v>4.57</v>
      </c>
      <c r="Q53">
        <v>1.97</v>
      </c>
      <c r="R53">
        <v>22.5</v>
      </c>
      <c r="S53">
        <v>25.78</v>
      </c>
      <c r="T53">
        <v>45.3</v>
      </c>
      <c r="U53">
        <v>0.44</v>
      </c>
      <c r="V53">
        <v>7.5</v>
      </c>
      <c r="W53" t="s">
        <v>2271</v>
      </c>
      <c r="X53">
        <v>0</v>
      </c>
      <c r="Y53">
        <v>0</v>
      </c>
      <c r="Z53">
        <v>0</v>
      </c>
      <c r="AA53">
        <v>109.13</v>
      </c>
      <c r="AB53">
        <v>426.67</v>
      </c>
      <c r="AC53">
        <v>0.74</v>
      </c>
      <c r="AD53">
        <v>0.5</v>
      </c>
      <c r="AE53">
        <v>0.84</v>
      </c>
      <c r="AF53">
        <v>70.33</v>
      </c>
      <c r="AG53">
        <v>1</v>
      </c>
      <c r="AH53">
        <v>44.06</v>
      </c>
      <c r="AI53">
        <v>38.450000000000003</v>
      </c>
      <c r="AJ53">
        <v>35.799999999999997</v>
      </c>
      <c r="AK53">
        <v>31.23</v>
      </c>
      <c r="AL53">
        <v>31.23</v>
      </c>
      <c r="AM53">
        <v>100.91</v>
      </c>
      <c r="AN53">
        <v>135.30000000000001</v>
      </c>
      <c r="AO53">
        <v>121.9</v>
      </c>
      <c r="AP53">
        <v>9.9</v>
      </c>
      <c r="AQ53">
        <v>225</v>
      </c>
      <c r="AR53">
        <v>3.62</v>
      </c>
      <c r="AS53">
        <v>-18</v>
      </c>
      <c r="AT53">
        <v>0</v>
      </c>
      <c r="AU53">
        <v>328</v>
      </c>
      <c r="AV53">
        <v>51.42</v>
      </c>
      <c r="AW53">
        <v>62.37</v>
      </c>
      <c r="AX53">
        <v>18</v>
      </c>
      <c r="AY53">
        <v>148</v>
      </c>
      <c r="AZ53">
        <v>7.21</v>
      </c>
      <c r="BA53">
        <v>144.33000000000001</v>
      </c>
      <c r="BB53">
        <v>33.44</v>
      </c>
      <c r="BC53" t="s">
        <v>2287</v>
      </c>
      <c r="BD53" t="s">
        <v>17</v>
      </c>
      <c r="BE53">
        <v>35.85</v>
      </c>
      <c r="BF53">
        <v>127.13</v>
      </c>
      <c r="BG53">
        <v>36.299999999999997</v>
      </c>
      <c r="BH53">
        <v>16</v>
      </c>
      <c r="BI53">
        <v>0.69</v>
      </c>
      <c r="BJ53" t="s">
        <v>2106</v>
      </c>
      <c r="BK53" t="s">
        <v>17</v>
      </c>
      <c r="BL53">
        <v>-0.67</v>
      </c>
      <c r="BM53" t="s">
        <v>165</v>
      </c>
      <c r="BN53">
        <v>0</v>
      </c>
      <c r="BO53">
        <v>0</v>
      </c>
      <c r="BP53">
        <v>0</v>
      </c>
      <c r="BQ53">
        <v>-0.06</v>
      </c>
      <c r="BR53">
        <v>-0.23</v>
      </c>
      <c r="BS53">
        <v>-0.78</v>
      </c>
      <c r="BT53" t="s">
        <v>165</v>
      </c>
      <c r="BU53">
        <v>150</v>
      </c>
      <c r="BV53">
        <v>0</v>
      </c>
      <c r="BW53">
        <v>2</v>
      </c>
      <c r="BX53">
        <v>0.06</v>
      </c>
      <c r="BY53">
        <v>0</v>
      </c>
      <c r="BZ53">
        <v>0.03</v>
      </c>
      <c r="CA53">
        <v>0</v>
      </c>
      <c r="CB53">
        <v>0</v>
      </c>
      <c r="CC53">
        <v>0</v>
      </c>
      <c r="CD53" t="s">
        <v>222</v>
      </c>
      <c r="CE53" t="s">
        <v>223</v>
      </c>
      <c r="CF53" t="s">
        <v>224</v>
      </c>
      <c r="CG53">
        <v>6000</v>
      </c>
      <c r="CH53">
        <v>500</v>
      </c>
      <c r="CI53">
        <v>1</v>
      </c>
      <c r="CJ53">
        <v>2</v>
      </c>
      <c r="CK53">
        <v>55537</v>
      </c>
      <c r="CL53">
        <v>55537</v>
      </c>
      <c r="CM53">
        <v>55537</v>
      </c>
      <c r="CN53">
        <v>0</v>
      </c>
      <c r="CO53">
        <v>-9999</v>
      </c>
      <c r="CP53">
        <v>0</v>
      </c>
      <c r="CQ53">
        <v>0</v>
      </c>
      <c r="CR53">
        <v>0</v>
      </c>
      <c r="CS53">
        <v>0</v>
      </c>
      <c r="CT53">
        <v>2.4900000000000002</v>
      </c>
      <c r="CU53">
        <v>2.4300000000000002</v>
      </c>
      <c r="CV53">
        <v>1.5</v>
      </c>
      <c r="CW53">
        <v>0.86</v>
      </c>
      <c r="CX53">
        <v>0.18</v>
      </c>
      <c r="CY53">
        <v>-0.06</v>
      </c>
      <c r="CZ53">
        <v>0.5</v>
      </c>
      <c r="DA53">
        <v>0.3</v>
      </c>
      <c r="DB53">
        <v>109.13</v>
      </c>
      <c r="DC53">
        <v>0</v>
      </c>
      <c r="DD53">
        <v>2.42</v>
      </c>
      <c r="DE53">
        <v>0</v>
      </c>
      <c r="DF53">
        <v>1</v>
      </c>
      <c r="DG53">
        <v>2.37</v>
      </c>
      <c r="DH53">
        <v>0</v>
      </c>
      <c r="DI53">
        <v>1</v>
      </c>
      <c r="DJ53">
        <v>0.6</v>
      </c>
      <c r="DK53">
        <v>0.6</v>
      </c>
      <c r="DL53">
        <v>0.11</v>
      </c>
      <c r="DM53">
        <v>0</v>
      </c>
      <c r="DN53" t="s">
        <v>2271</v>
      </c>
      <c r="DO53" t="s">
        <v>245</v>
      </c>
      <c r="DP53" t="s">
        <v>246</v>
      </c>
      <c r="DQ53" t="s">
        <v>247</v>
      </c>
      <c r="DR53" t="s">
        <v>248</v>
      </c>
      <c r="DS53" t="s">
        <v>249</v>
      </c>
      <c r="DT53" t="s">
        <v>250</v>
      </c>
    </row>
    <row r="54" spans="1:124" x14ac:dyDescent="0.45">
      <c r="A54" t="s">
        <v>2300</v>
      </c>
      <c r="B54" t="s">
        <v>2301</v>
      </c>
      <c r="C54" t="s">
        <v>17</v>
      </c>
      <c r="D54" t="s">
        <v>167</v>
      </c>
      <c r="E54" t="s">
        <v>168</v>
      </c>
      <c r="I54" t="s">
        <v>2302</v>
      </c>
      <c r="J54">
        <v>0.76</v>
      </c>
      <c r="K54">
        <v>2.7</v>
      </c>
      <c r="L54">
        <v>0.59</v>
      </c>
      <c r="M54">
        <v>11.25</v>
      </c>
      <c r="N54">
        <v>2.66</v>
      </c>
      <c r="O54">
        <v>2.2999999999999998</v>
      </c>
      <c r="P54">
        <v>4.51</v>
      </c>
      <c r="Q54">
        <v>1.85</v>
      </c>
      <c r="R54">
        <v>22.75</v>
      </c>
      <c r="S54">
        <v>26.35</v>
      </c>
      <c r="T54">
        <v>44.73</v>
      </c>
      <c r="U54">
        <v>0.44</v>
      </c>
      <c r="V54">
        <v>7.5</v>
      </c>
      <c r="W54" t="s">
        <v>2307</v>
      </c>
      <c r="X54">
        <v>0</v>
      </c>
      <c r="Y54">
        <v>0</v>
      </c>
      <c r="Z54">
        <v>0</v>
      </c>
      <c r="AA54">
        <v>102.82</v>
      </c>
      <c r="AB54">
        <v>429.91</v>
      </c>
      <c r="AC54">
        <v>0.76</v>
      </c>
      <c r="AD54">
        <v>0.5</v>
      </c>
      <c r="AE54">
        <v>0.84</v>
      </c>
      <c r="AF54">
        <v>140.28</v>
      </c>
      <c r="AG54">
        <v>1</v>
      </c>
      <c r="AH54">
        <v>45.1</v>
      </c>
      <c r="AI54">
        <v>38.93</v>
      </c>
      <c r="AJ54">
        <v>35.78</v>
      </c>
      <c r="AK54">
        <v>31.01</v>
      </c>
      <c r="AL54">
        <v>31.01</v>
      </c>
      <c r="AM54">
        <v>100.91</v>
      </c>
      <c r="AN54">
        <v>134.30000000000001</v>
      </c>
      <c r="AO54">
        <v>131.6</v>
      </c>
      <c r="AP54">
        <v>2.1</v>
      </c>
      <c r="AQ54">
        <v>439</v>
      </c>
      <c r="AR54">
        <v>3.62</v>
      </c>
      <c r="AS54">
        <v>-24</v>
      </c>
      <c r="AT54">
        <v>2</v>
      </c>
      <c r="AU54">
        <v>324</v>
      </c>
      <c r="AV54">
        <v>57.47</v>
      </c>
      <c r="AW54">
        <v>53.77</v>
      </c>
      <c r="AX54">
        <v>24.08</v>
      </c>
      <c r="AY54">
        <v>148.91</v>
      </c>
      <c r="AZ54">
        <v>7.21</v>
      </c>
      <c r="BA54">
        <v>144.33000000000001</v>
      </c>
      <c r="BB54">
        <v>33.44</v>
      </c>
      <c r="BC54" t="s">
        <v>2321</v>
      </c>
      <c r="BD54" t="s">
        <v>17</v>
      </c>
      <c r="BE54">
        <v>35.85</v>
      </c>
      <c r="BF54">
        <v>127.13</v>
      </c>
      <c r="BG54">
        <v>35.700000000000003</v>
      </c>
      <c r="BH54">
        <v>16</v>
      </c>
      <c r="BI54">
        <v>0.68</v>
      </c>
      <c r="BJ54" t="s">
        <v>2106</v>
      </c>
      <c r="BK54" t="s">
        <v>17</v>
      </c>
      <c r="BL54">
        <v>-0.67</v>
      </c>
      <c r="BM54" t="s">
        <v>165</v>
      </c>
      <c r="BN54">
        <v>0</v>
      </c>
      <c r="BO54">
        <v>0</v>
      </c>
      <c r="BP54">
        <v>0</v>
      </c>
      <c r="BQ54">
        <v>-0.02</v>
      </c>
      <c r="BR54">
        <v>-0.05</v>
      </c>
      <c r="BS54">
        <v>-0.16</v>
      </c>
      <c r="BT54" t="s">
        <v>165</v>
      </c>
      <c r="BU54">
        <v>150</v>
      </c>
      <c r="BV54">
        <v>0</v>
      </c>
      <c r="BW54">
        <v>2</v>
      </c>
      <c r="BX54">
        <v>0.06</v>
      </c>
      <c r="BY54">
        <v>0</v>
      </c>
      <c r="BZ54">
        <v>0.03</v>
      </c>
      <c r="CA54">
        <v>0</v>
      </c>
      <c r="CB54">
        <v>0</v>
      </c>
      <c r="CC54">
        <v>0</v>
      </c>
      <c r="CD54" t="s">
        <v>222</v>
      </c>
      <c r="CE54" t="s">
        <v>223</v>
      </c>
      <c r="CF54" t="s">
        <v>224</v>
      </c>
      <c r="CG54">
        <v>6000</v>
      </c>
      <c r="CH54">
        <v>500</v>
      </c>
      <c r="CI54">
        <v>1</v>
      </c>
      <c r="CJ54">
        <v>2</v>
      </c>
      <c r="CK54">
        <v>55537</v>
      </c>
      <c r="CL54">
        <v>55537</v>
      </c>
      <c r="CM54">
        <v>55537</v>
      </c>
      <c r="CN54">
        <v>0</v>
      </c>
      <c r="CO54">
        <v>-9999</v>
      </c>
      <c r="CP54">
        <v>0</v>
      </c>
      <c r="CQ54">
        <v>0</v>
      </c>
      <c r="CR54">
        <v>0</v>
      </c>
      <c r="CS54">
        <v>0</v>
      </c>
      <c r="CT54">
        <v>2.4900000000000002</v>
      </c>
      <c r="CU54">
        <v>2.44</v>
      </c>
      <c r="CV54">
        <v>1.49</v>
      </c>
      <c r="CW54">
        <v>0.88</v>
      </c>
      <c r="CX54">
        <v>0.18</v>
      </c>
      <c r="CY54">
        <v>-0.06</v>
      </c>
      <c r="CZ54">
        <v>0.5</v>
      </c>
      <c r="DA54">
        <v>0.49</v>
      </c>
      <c r="DB54">
        <v>102.82</v>
      </c>
      <c r="DC54">
        <v>0</v>
      </c>
      <c r="DD54">
        <v>2.42</v>
      </c>
      <c r="DE54">
        <v>0</v>
      </c>
      <c r="DF54">
        <v>1</v>
      </c>
      <c r="DG54">
        <v>2.37</v>
      </c>
      <c r="DH54">
        <v>0</v>
      </c>
      <c r="DI54">
        <v>1</v>
      </c>
      <c r="DJ54">
        <v>0.6</v>
      </c>
      <c r="DK54">
        <v>0.6</v>
      </c>
      <c r="DL54">
        <v>0.11</v>
      </c>
      <c r="DM54">
        <v>0</v>
      </c>
      <c r="DN54" t="s">
        <v>2307</v>
      </c>
      <c r="DO54" t="s">
        <v>245</v>
      </c>
      <c r="DP54" t="s">
        <v>246</v>
      </c>
      <c r="DQ54" t="s">
        <v>247</v>
      </c>
      <c r="DR54" t="s">
        <v>248</v>
      </c>
      <c r="DS54" t="s">
        <v>249</v>
      </c>
      <c r="DT54" t="s">
        <v>250</v>
      </c>
    </row>
    <row r="55" spans="1:124" x14ac:dyDescent="0.45">
      <c r="A55" t="s">
        <v>2333</v>
      </c>
      <c r="B55" t="s">
        <v>2334</v>
      </c>
      <c r="C55" t="s">
        <v>17</v>
      </c>
      <c r="D55" t="s">
        <v>167</v>
      </c>
      <c r="E55" t="s">
        <v>168</v>
      </c>
      <c r="I55" t="s">
        <v>2335</v>
      </c>
      <c r="J55">
        <v>0.82</v>
      </c>
      <c r="K55">
        <v>2.7</v>
      </c>
      <c r="L55">
        <v>0.63</v>
      </c>
      <c r="M55">
        <v>11.27</v>
      </c>
      <c r="N55">
        <v>2.75</v>
      </c>
      <c r="O55">
        <v>2.39</v>
      </c>
      <c r="P55">
        <v>4.49</v>
      </c>
      <c r="Q55">
        <v>1.74</v>
      </c>
      <c r="R55">
        <v>23.66</v>
      </c>
      <c r="S55">
        <v>27.27</v>
      </c>
      <c r="T55">
        <v>44.52</v>
      </c>
      <c r="U55">
        <v>0.44</v>
      </c>
      <c r="V55">
        <v>7.5</v>
      </c>
      <c r="W55" t="s">
        <v>2340</v>
      </c>
      <c r="X55">
        <v>0</v>
      </c>
      <c r="Y55">
        <v>0</v>
      </c>
      <c r="Z55">
        <v>0</v>
      </c>
      <c r="AA55">
        <v>98.95</v>
      </c>
      <c r="AB55">
        <v>429.7</v>
      </c>
      <c r="AC55">
        <v>0.77</v>
      </c>
      <c r="AD55">
        <v>0.5</v>
      </c>
      <c r="AE55">
        <v>0.84</v>
      </c>
      <c r="AF55">
        <v>312.29000000000002</v>
      </c>
      <c r="AG55">
        <v>1</v>
      </c>
      <c r="AH55">
        <v>46.7</v>
      </c>
      <c r="AI55">
        <v>40.520000000000003</v>
      </c>
      <c r="AJ55">
        <v>35.76</v>
      </c>
      <c r="AK55">
        <v>30.93</v>
      </c>
      <c r="AL55">
        <v>30.93</v>
      </c>
      <c r="AM55">
        <v>100.92</v>
      </c>
      <c r="AN55">
        <v>134.1</v>
      </c>
      <c r="AO55">
        <v>132.6</v>
      </c>
      <c r="AP55">
        <v>1.1000000000000001</v>
      </c>
      <c r="AQ55">
        <v>966</v>
      </c>
      <c r="AR55">
        <v>3.62</v>
      </c>
      <c r="AS55">
        <v>-20</v>
      </c>
      <c r="AT55">
        <v>0</v>
      </c>
      <c r="AU55">
        <v>355</v>
      </c>
      <c r="AV55">
        <v>51.47</v>
      </c>
      <c r="AW55">
        <v>62.29</v>
      </c>
      <c r="AX55">
        <v>20</v>
      </c>
      <c r="AY55">
        <v>175</v>
      </c>
      <c r="AZ55">
        <v>7.21</v>
      </c>
      <c r="BA55">
        <v>144.72999999999999</v>
      </c>
      <c r="BB55">
        <v>33.32</v>
      </c>
      <c r="BC55" t="s">
        <v>2356</v>
      </c>
      <c r="BD55" t="s">
        <v>17</v>
      </c>
      <c r="BE55">
        <v>35.85</v>
      </c>
      <c r="BF55">
        <v>127.13</v>
      </c>
      <c r="BG55">
        <v>35.6</v>
      </c>
      <c r="BH55">
        <v>17</v>
      </c>
      <c r="BI55">
        <v>0.67</v>
      </c>
      <c r="BJ55" t="s">
        <v>2106</v>
      </c>
      <c r="BK55" t="s">
        <v>17</v>
      </c>
      <c r="BL55">
        <v>-0.67</v>
      </c>
      <c r="BM55" t="s">
        <v>165</v>
      </c>
      <c r="BN55">
        <v>0</v>
      </c>
      <c r="BO55">
        <v>0</v>
      </c>
      <c r="BP55">
        <v>0</v>
      </c>
      <c r="BQ55">
        <v>0.12</v>
      </c>
      <c r="BR55">
        <v>-0.06</v>
      </c>
      <c r="BS55">
        <v>-0.09</v>
      </c>
      <c r="BT55" t="s">
        <v>165</v>
      </c>
      <c r="BU55">
        <v>150</v>
      </c>
      <c r="BV55">
        <v>0</v>
      </c>
      <c r="BW55">
        <v>2</v>
      </c>
      <c r="BX55">
        <v>0.06</v>
      </c>
      <c r="BY55">
        <v>0</v>
      </c>
      <c r="BZ55">
        <v>0.03</v>
      </c>
      <c r="CA55">
        <v>0</v>
      </c>
      <c r="CB55">
        <v>0</v>
      </c>
      <c r="CC55">
        <v>0</v>
      </c>
      <c r="CD55" t="s">
        <v>222</v>
      </c>
      <c r="CE55" t="s">
        <v>223</v>
      </c>
      <c r="CF55" t="s">
        <v>224</v>
      </c>
      <c r="CG55">
        <v>6000</v>
      </c>
      <c r="CH55">
        <v>500</v>
      </c>
      <c r="CI55">
        <v>1</v>
      </c>
      <c r="CJ55">
        <v>2</v>
      </c>
      <c r="CK55">
        <v>55537</v>
      </c>
      <c r="CL55">
        <v>55537</v>
      </c>
      <c r="CM55">
        <v>55537</v>
      </c>
      <c r="CN55">
        <v>0</v>
      </c>
      <c r="CO55">
        <v>-9999</v>
      </c>
      <c r="CP55">
        <v>0</v>
      </c>
      <c r="CQ55">
        <v>0</v>
      </c>
      <c r="CR55">
        <v>0</v>
      </c>
      <c r="CS55">
        <v>0</v>
      </c>
      <c r="CT55">
        <v>2.4900000000000002</v>
      </c>
      <c r="CU55">
        <v>2.44</v>
      </c>
      <c r="CV55">
        <v>1.49</v>
      </c>
      <c r="CW55">
        <v>0.88</v>
      </c>
      <c r="CX55">
        <v>0.18</v>
      </c>
      <c r="CY55">
        <v>-0.06</v>
      </c>
      <c r="CZ55">
        <v>0.51</v>
      </c>
      <c r="DA55">
        <v>0.95</v>
      </c>
      <c r="DB55">
        <v>98.95</v>
      </c>
      <c r="DC55">
        <v>0</v>
      </c>
      <c r="DD55">
        <v>2.42</v>
      </c>
      <c r="DE55">
        <v>0</v>
      </c>
      <c r="DF55">
        <v>1</v>
      </c>
      <c r="DG55">
        <v>2.37</v>
      </c>
      <c r="DH55">
        <v>0</v>
      </c>
      <c r="DI55">
        <v>1</v>
      </c>
      <c r="DJ55">
        <v>0.6</v>
      </c>
      <c r="DK55">
        <v>0.6</v>
      </c>
      <c r="DL55">
        <v>0.11</v>
      </c>
      <c r="DM55">
        <v>0</v>
      </c>
      <c r="DN55" t="s">
        <v>2340</v>
      </c>
      <c r="DO55" t="s">
        <v>245</v>
      </c>
      <c r="DP55" t="s">
        <v>246</v>
      </c>
      <c r="DQ55" t="s">
        <v>247</v>
      </c>
      <c r="DR55" t="s">
        <v>248</v>
      </c>
      <c r="DS55" t="s">
        <v>249</v>
      </c>
      <c r="DT55" t="s">
        <v>250</v>
      </c>
    </row>
    <row r="56" spans="1:124" x14ac:dyDescent="0.45">
      <c r="A56" t="s">
        <v>2370</v>
      </c>
      <c r="B56" t="s">
        <v>2371</v>
      </c>
      <c r="C56" t="s">
        <v>17</v>
      </c>
      <c r="D56" t="s">
        <v>167</v>
      </c>
      <c r="E56" t="s">
        <v>168</v>
      </c>
      <c r="I56" t="s">
        <v>2372</v>
      </c>
      <c r="J56">
        <v>0.47</v>
      </c>
      <c r="K56">
        <v>2.72</v>
      </c>
      <c r="L56">
        <v>0.4</v>
      </c>
      <c r="M56">
        <v>8.61</v>
      </c>
      <c r="N56">
        <v>2.5</v>
      </c>
      <c r="O56">
        <v>2.23</v>
      </c>
      <c r="P56">
        <v>4.5999999999999996</v>
      </c>
      <c r="Q56">
        <v>2.1</v>
      </c>
      <c r="R56">
        <v>22.08</v>
      </c>
      <c r="S56">
        <v>24.81</v>
      </c>
      <c r="T56">
        <v>45.63</v>
      </c>
      <c r="U56">
        <v>0.44</v>
      </c>
      <c r="V56">
        <v>7.5</v>
      </c>
      <c r="W56" t="s">
        <v>2377</v>
      </c>
      <c r="X56">
        <v>0</v>
      </c>
      <c r="Y56">
        <v>0</v>
      </c>
      <c r="Z56">
        <v>0</v>
      </c>
      <c r="AA56">
        <v>108.04</v>
      </c>
      <c r="AB56">
        <v>493.39</v>
      </c>
      <c r="AC56">
        <v>0.78</v>
      </c>
      <c r="AD56">
        <v>0.5</v>
      </c>
      <c r="AE56">
        <v>0.84</v>
      </c>
      <c r="AF56">
        <v>19.350000000000001</v>
      </c>
      <c r="AG56">
        <v>1</v>
      </c>
      <c r="AH56">
        <v>42.56</v>
      </c>
      <c r="AI56">
        <v>37.880000000000003</v>
      </c>
      <c r="AJ56">
        <v>35.729999999999997</v>
      </c>
      <c r="AK56">
        <v>31.36</v>
      </c>
      <c r="AL56">
        <v>31.36</v>
      </c>
      <c r="AM56">
        <v>100.92</v>
      </c>
      <c r="AN56">
        <v>136</v>
      </c>
      <c r="AO56">
        <v>133.5</v>
      </c>
      <c r="AP56">
        <v>1.9</v>
      </c>
      <c r="AQ56">
        <v>59</v>
      </c>
      <c r="AR56">
        <v>3.62</v>
      </c>
      <c r="AS56">
        <v>-22</v>
      </c>
      <c r="AT56">
        <v>4</v>
      </c>
      <c r="AU56">
        <v>320</v>
      </c>
      <c r="AV56">
        <v>55.49</v>
      </c>
      <c r="AW56">
        <v>56.66</v>
      </c>
      <c r="AX56">
        <v>22.34</v>
      </c>
      <c r="AY56">
        <v>150.57</v>
      </c>
      <c r="AZ56">
        <v>7.21</v>
      </c>
      <c r="BA56">
        <v>145.13</v>
      </c>
      <c r="BB56">
        <v>33.21</v>
      </c>
      <c r="BC56" t="s">
        <v>2394</v>
      </c>
      <c r="BD56" t="s">
        <v>17</v>
      </c>
      <c r="BE56">
        <v>35.85</v>
      </c>
      <c r="BF56">
        <v>127.13</v>
      </c>
      <c r="BG56">
        <v>35.299999999999997</v>
      </c>
      <c r="BH56">
        <v>16</v>
      </c>
      <c r="BI56">
        <v>0.68</v>
      </c>
      <c r="BJ56" t="s">
        <v>2106</v>
      </c>
      <c r="BK56" t="s">
        <v>17</v>
      </c>
      <c r="BL56">
        <v>-0.67</v>
      </c>
      <c r="BM56" t="s">
        <v>165</v>
      </c>
      <c r="BN56">
        <v>0</v>
      </c>
      <c r="BO56">
        <v>0</v>
      </c>
      <c r="BP56">
        <v>0</v>
      </c>
      <c r="BQ56">
        <v>-7.0000000000000007E-2</v>
      </c>
      <c r="BR56">
        <v>-0.02</v>
      </c>
      <c r="BS56">
        <v>-0.1</v>
      </c>
      <c r="BT56" t="s">
        <v>165</v>
      </c>
      <c r="BU56">
        <v>150</v>
      </c>
      <c r="BV56">
        <v>0</v>
      </c>
      <c r="BW56">
        <v>2</v>
      </c>
      <c r="BX56">
        <v>0.06</v>
      </c>
      <c r="BY56">
        <v>0</v>
      </c>
      <c r="BZ56">
        <v>0.03</v>
      </c>
      <c r="CA56">
        <v>0</v>
      </c>
      <c r="CB56">
        <v>0</v>
      </c>
      <c r="CC56">
        <v>0</v>
      </c>
      <c r="CD56" t="s">
        <v>222</v>
      </c>
      <c r="CE56" t="s">
        <v>223</v>
      </c>
      <c r="CF56" t="s">
        <v>224</v>
      </c>
      <c r="CG56">
        <v>6000</v>
      </c>
      <c r="CH56">
        <v>500</v>
      </c>
      <c r="CI56">
        <v>1</v>
      </c>
      <c r="CJ56">
        <v>2</v>
      </c>
      <c r="CK56">
        <v>55537</v>
      </c>
      <c r="CL56">
        <v>55537</v>
      </c>
      <c r="CM56">
        <v>55537</v>
      </c>
      <c r="CN56">
        <v>0</v>
      </c>
      <c r="CO56">
        <v>-9999</v>
      </c>
      <c r="CP56">
        <v>0</v>
      </c>
      <c r="CQ56">
        <v>0</v>
      </c>
      <c r="CR56">
        <v>0</v>
      </c>
      <c r="CS56">
        <v>0</v>
      </c>
      <c r="CT56">
        <v>2.4900000000000002</v>
      </c>
      <c r="CU56">
        <v>2.4300000000000002</v>
      </c>
      <c r="CV56">
        <v>1.5</v>
      </c>
      <c r="CW56">
        <v>0.89</v>
      </c>
      <c r="CX56">
        <v>0.18</v>
      </c>
      <c r="CY56">
        <v>-0.05</v>
      </c>
      <c r="CZ56">
        <v>0.51</v>
      </c>
      <c r="DA56">
        <v>0.16</v>
      </c>
      <c r="DB56">
        <v>108.04</v>
      </c>
      <c r="DC56">
        <v>0</v>
      </c>
      <c r="DD56">
        <v>2.42</v>
      </c>
      <c r="DE56">
        <v>0</v>
      </c>
      <c r="DF56">
        <v>1</v>
      </c>
      <c r="DG56">
        <v>2.37</v>
      </c>
      <c r="DH56">
        <v>0</v>
      </c>
      <c r="DI56">
        <v>1</v>
      </c>
      <c r="DJ56">
        <v>0.6</v>
      </c>
      <c r="DK56">
        <v>0.6</v>
      </c>
      <c r="DL56">
        <v>0.11</v>
      </c>
      <c r="DM56">
        <v>0</v>
      </c>
      <c r="DN56" t="s">
        <v>2377</v>
      </c>
      <c r="DO56" t="s">
        <v>245</v>
      </c>
      <c r="DP56" t="s">
        <v>246</v>
      </c>
      <c r="DQ56" t="s">
        <v>247</v>
      </c>
      <c r="DR56" t="s">
        <v>248</v>
      </c>
      <c r="DS56" t="s">
        <v>249</v>
      </c>
      <c r="DT56" t="s">
        <v>250</v>
      </c>
    </row>
    <row r="57" spans="1:124" x14ac:dyDescent="0.45">
      <c r="A57" t="s">
        <v>2406</v>
      </c>
      <c r="B57" t="s">
        <v>2407</v>
      </c>
      <c r="C57" t="s">
        <v>17</v>
      </c>
      <c r="D57" t="s">
        <v>167</v>
      </c>
      <c r="E57" t="s">
        <v>168</v>
      </c>
      <c r="I57" t="s">
        <v>2408</v>
      </c>
      <c r="J57">
        <v>0.43</v>
      </c>
      <c r="K57">
        <v>2.77</v>
      </c>
      <c r="L57">
        <v>0.37</v>
      </c>
      <c r="M57">
        <v>8.58</v>
      </c>
      <c r="N57">
        <v>2.4900000000000002</v>
      </c>
      <c r="O57">
        <v>2.23</v>
      </c>
      <c r="P57">
        <v>4.7300000000000004</v>
      </c>
      <c r="Q57">
        <v>2.2400000000000002</v>
      </c>
      <c r="R57">
        <v>22.1</v>
      </c>
      <c r="S57">
        <v>24.72</v>
      </c>
      <c r="T57">
        <v>46.87</v>
      </c>
      <c r="U57">
        <v>0.44</v>
      </c>
      <c r="V57">
        <v>7.5</v>
      </c>
      <c r="W57" t="s">
        <v>2413</v>
      </c>
      <c r="X57">
        <v>0</v>
      </c>
      <c r="Y57">
        <v>0</v>
      </c>
      <c r="Z57">
        <v>0</v>
      </c>
      <c r="AA57">
        <v>114.44</v>
      </c>
      <c r="AB57">
        <v>549.96</v>
      </c>
      <c r="AC57">
        <v>0.79</v>
      </c>
      <c r="AD57">
        <v>0.5</v>
      </c>
      <c r="AE57">
        <v>0.84</v>
      </c>
      <c r="AF57">
        <v>7.98</v>
      </c>
      <c r="AG57">
        <v>1</v>
      </c>
      <c r="AH57">
        <v>42.61</v>
      </c>
      <c r="AI57">
        <v>38.1</v>
      </c>
      <c r="AJ57">
        <v>35.65</v>
      </c>
      <c r="AK57">
        <v>31.83</v>
      </c>
      <c r="AL57">
        <v>31.83</v>
      </c>
      <c r="AM57">
        <v>100.91</v>
      </c>
      <c r="AN57">
        <v>141.4</v>
      </c>
      <c r="AO57">
        <v>138.1</v>
      </c>
      <c r="AP57">
        <v>2.2999999999999998</v>
      </c>
      <c r="AQ57">
        <v>24</v>
      </c>
      <c r="AR57">
        <v>3.62</v>
      </c>
      <c r="AS57">
        <v>-20</v>
      </c>
      <c r="AT57">
        <v>0</v>
      </c>
      <c r="AU57">
        <v>150</v>
      </c>
      <c r="AV57">
        <v>13.1</v>
      </c>
      <c r="AW57">
        <v>97.4</v>
      </c>
      <c r="AX57">
        <v>20</v>
      </c>
      <c r="AY57">
        <v>-30</v>
      </c>
      <c r="AZ57">
        <v>7.21</v>
      </c>
      <c r="BA57">
        <v>145.93</v>
      </c>
      <c r="BB57">
        <v>32.979999999999997</v>
      </c>
      <c r="BC57" t="s">
        <v>2429</v>
      </c>
      <c r="BD57" t="s">
        <v>17</v>
      </c>
      <c r="BE57">
        <v>35.85</v>
      </c>
      <c r="BF57">
        <v>127.13</v>
      </c>
      <c r="BG57">
        <v>35.1</v>
      </c>
      <c r="BH57">
        <v>18</v>
      </c>
      <c r="BI57">
        <v>0.65</v>
      </c>
      <c r="BJ57" t="s">
        <v>2106</v>
      </c>
      <c r="BK57" t="s">
        <v>17</v>
      </c>
      <c r="BL57">
        <v>-0.67</v>
      </c>
      <c r="BM57" t="s">
        <v>165</v>
      </c>
      <c r="BN57">
        <v>0</v>
      </c>
      <c r="BO57">
        <v>0</v>
      </c>
      <c r="BP57">
        <v>0</v>
      </c>
      <c r="BQ57">
        <v>-0.32</v>
      </c>
      <c r="BR57">
        <v>-0.82</v>
      </c>
      <c r="BS57">
        <v>-1.43</v>
      </c>
      <c r="BT57" t="s">
        <v>165</v>
      </c>
      <c r="BU57">
        <v>150</v>
      </c>
      <c r="BV57">
        <v>0</v>
      </c>
      <c r="BW57">
        <v>2</v>
      </c>
      <c r="BX57">
        <v>0.06</v>
      </c>
      <c r="BY57">
        <v>0</v>
      </c>
      <c r="BZ57">
        <v>0.03</v>
      </c>
      <c r="CA57">
        <v>0</v>
      </c>
      <c r="CB57">
        <v>0</v>
      </c>
      <c r="CC57">
        <v>0</v>
      </c>
      <c r="CD57" t="s">
        <v>222</v>
      </c>
      <c r="CE57" t="s">
        <v>223</v>
      </c>
      <c r="CF57" t="s">
        <v>224</v>
      </c>
      <c r="CG57">
        <v>6000</v>
      </c>
      <c r="CH57">
        <v>500</v>
      </c>
      <c r="CI57">
        <v>1</v>
      </c>
      <c r="CJ57">
        <v>2</v>
      </c>
      <c r="CK57">
        <v>55537</v>
      </c>
      <c r="CL57">
        <v>55537</v>
      </c>
      <c r="CM57">
        <v>55537</v>
      </c>
      <c r="CN57">
        <v>0</v>
      </c>
      <c r="CO57">
        <v>-9999</v>
      </c>
      <c r="CP57">
        <v>0</v>
      </c>
      <c r="CQ57">
        <v>0</v>
      </c>
      <c r="CR57">
        <v>0</v>
      </c>
      <c r="CS57">
        <v>0</v>
      </c>
      <c r="CT57">
        <v>2.4900000000000002</v>
      </c>
      <c r="CU57">
        <v>2.4300000000000002</v>
      </c>
      <c r="CV57">
        <v>1.55</v>
      </c>
      <c r="CW57">
        <v>0.9</v>
      </c>
      <c r="CX57">
        <v>0.18</v>
      </c>
      <c r="CY57">
        <v>-0.05</v>
      </c>
      <c r="CZ57">
        <v>0.52</v>
      </c>
      <c r="DA57">
        <v>0.13</v>
      </c>
      <c r="DB57">
        <v>114.44</v>
      </c>
      <c r="DC57">
        <v>0</v>
      </c>
      <c r="DD57">
        <v>2.42</v>
      </c>
      <c r="DE57">
        <v>0</v>
      </c>
      <c r="DF57">
        <v>1</v>
      </c>
      <c r="DG57">
        <v>2.37</v>
      </c>
      <c r="DH57">
        <v>0</v>
      </c>
      <c r="DI57">
        <v>1</v>
      </c>
      <c r="DJ57">
        <v>0.6</v>
      </c>
      <c r="DK57">
        <v>0.6</v>
      </c>
      <c r="DL57">
        <v>0.11</v>
      </c>
      <c r="DM57">
        <v>0</v>
      </c>
      <c r="DN57" t="s">
        <v>2413</v>
      </c>
      <c r="DO57" t="s">
        <v>245</v>
      </c>
      <c r="DP57" t="s">
        <v>246</v>
      </c>
      <c r="DQ57" t="s">
        <v>247</v>
      </c>
      <c r="DR57" t="s">
        <v>248</v>
      </c>
      <c r="DS57" t="s">
        <v>249</v>
      </c>
      <c r="DT57" t="s">
        <v>250</v>
      </c>
    </row>
    <row r="58" spans="1:124" x14ac:dyDescent="0.45">
      <c r="A58" t="s">
        <v>2439</v>
      </c>
      <c r="B58" t="s">
        <v>2440</v>
      </c>
      <c r="C58" t="s">
        <v>17</v>
      </c>
      <c r="D58" t="s">
        <v>167</v>
      </c>
      <c r="E58" t="s">
        <v>168</v>
      </c>
      <c r="I58" t="s">
        <v>2441</v>
      </c>
      <c r="J58">
        <v>0.56999999999999995</v>
      </c>
      <c r="K58">
        <v>2.74</v>
      </c>
      <c r="L58">
        <v>0.47</v>
      </c>
      <c r="M58">
        <v>9.5500000000000007</v>
      </c>
      <c r="N58">
        <v>2.4900000000000002</v>
      </c>
      <c r="O58">
        <v>2.19</v>
      </c>
      <c r="P58">
        <v>4.47</v>
      </c>
      <c r="Q58">
        <v>1.98</v>
      </c>
      <c r="R58">
        <v>21.7</v>
      </c>
      <c r="S58">
        <v>24.68</v>
      </c>
      <c r="T58">
        <v>44.33</v>
      </c>
      <c r="U58">
        <v>0.44</v>
      </c>
      <c r="V58">
        <v>7.5</v>
      </c>
      <c r="W58" t="s">
        <v>2446</v>
      </c>
      <c r="X58">
        <v>0</v>
      </c>
      <c r="Y58">
        <v>0</v>
      </c>
      <c r="Z58">
        <v>0</v>
      </c>
      <c r="AA58">
        <v>111.97</v>
      </c>
      <c r="AB58">
        <v>575.01</v>
      </c>
      <c r="AC58">
        <v>0.81</v>
      </c>
      <c r="AD58">
        <v>0.5</v>
      </c>
      <c r="AE58">
        <v>0.84</v>
      </c>
      <c r="AF58">
        <v>14.88</v>
      </c>
      <c r="AG58">
        <v>1</v>
      </c>
      <c r="AH58">
        <v>42.74</v>
      </c>
      <c r="AI58">
        <v>37.58</v>
      </c>
      <c r="AJ58">
        <v>35.56</v>
      </c>
      <c r="AK58">
        <v>30.85</v>
      </c>
      <c r="AL58">
        <v>30.85</v>
      </c>
      <c r="AM58">
        <v>100.91</v>
      </c>
      <c r="AN58">
        <v>138.1</v>
      </c>
      <c r="AO58">
        <v>132.4</v>
      </c>
      <c r="AP58">
        <v>4.0999999999999996</v>
      </c>
      <c r="AQ58">
        <v>44</v>
      </c>
      <c r="AR58">
        <v>3.62</v>
      </c>
      <c r="AS58">
        <v>1</v>
      </c>
      <c r="AT58">
        <v>9</v>
      </c>
      <c r="AU58">
        <v>138</v>
      </c>
      <c r="AV58">
        <v>33.64</v>
      </c>
      <c r="AW58">
        <v>83.25</v>
      </c>
      <c r="AX58">
        <v>9.0500000000000007</v>
      </c>
      <c r="AY58">
        <v>54.29</v>
      </c>
      <c r="AZ58">
        <v>7.21</v>
      </c>
      <c r="BA58">
        <v>146.34</v>
      </c>
      <c r="BB58">
        <v>32.869999999999997</v>
      </c>
      <c r="BC58" t="s">
        <v>2462</v>
      </c>
      <c r="BD58" t="s">
        <v>17</v>
      </c>
      <c r="BE58">
        <v>35.85</v>
      </c>
      <c r="BF58">
        <v>127.13</v>
      </c>
      <c r="BG58">
        <v>36.1</v>
      </c>
      <c r="BH58">
        <v>17</v>
      </c>
      <c r="BI58">
        <v>0.67</v>
      </c>
      <c r="BJ58" t="s">
        <v>2106</v>
      </c>
      <c r="BK58" t="s">
        <v>17</v>
      </c>
      <c r="BL58">
        <v>-0.67</v>
      </c>
      <c r="BM58" t="s">
        <v>165</v>
      </c>
      <c r="BN58">
        <v>0</v>
      </c>
      <c r="BO58">
        <v>0</v>
      </c>
      <c r="BP58">
        <v>0</v>
      </c>
      <c r="BQ58">
        <v>0</v>
      </c>
      <c r="BR58">
        <v>-7.0000000000000007E-2</v>
      </c>
      <c r="BS58">
        <v>-7.0000000000000007E-2</v>
      </c>
      <c r="BT58" t="s">
        <v>165</v>
      </c>
      <c r="BU58">
        <v>150</v>
      </c>
      <c r="BV58">
        <v>0</v>
      </c>
      <c r="BW58">
        <v>2</v>
      </c>
      <c r="BX58">
        <v>0.06</v>
      </c>
      <c r="BY58">
        <v>0</v>
      </c>
      <c r="BZ58">
        <v>0.03</v>
      </c>
      <c r="CA58">
        <v>0</v>
      </c>
      <c r="CB58">
        <v>0</v>
      </c>
      <c r="CC58">
        <v>0</v>
      </c>
      <c r="CD58" t="s">
        <v>222</v>
      </c>
      <c r="CE58" t="s">
        <v>223</v>
      </c>
      <c r="CF58" t="s">
        <v>224</v>
      </c>
      <c r="CG58">
        <v>6000</v>
      </c>
      <c r="CH58">
        <v>500</v>
      </c>
      <c r="CI58">
        <v>1</v>
      </c>
      <c r="CJ58">
        <v>2</v>
      </c>
      <c r="CK58">
        <v>55537</v>
      </c>
      <c r="CL58">
        <v>55537</v>
      </c>
      <c r="CM58">
        <v>55537</v>
      </c>
      <c r="CN58">
        <v>0</v>
      </c>
      <c r="CO58">
        <v>-9999</v>
      </c>
      <c r="CP58">
        <v>0</v>
      </c>
      <c r="CQ58">
        <v>0</v>
      </c>
      <c r="CR58">
        <v>0</v>
      </c>
      <c r="CS58">
        <v>0</v>
      </c>
      <c r="CT58">
        <v>2.4900000000000002</v>
      </c>
      <c r="CU58">
        <v>2.4300000000000002</v>
      </c>
      <c r="CV58">
        <v>1.52</v>
      </c>
      <c r="CW58">
        <v>0.88</v>
      </c>
      <c r="CX58">
        <v>0.18</v>
      </c>
      <c r="CY58">
        <v>-0.06</v>
      </c>
      <c r="CZ58">
        <v>0.52</v>
      </c>
      <c r="DA58">
        <v>0.15</v>
      </c>
      <c r="DB58">
        <v>111.97</v>
      </c>
      <c r="DC58">
        <v>0</v>
      </c>
      <c r="DD58">
        <v>2.42</v>
      </c>
      <c r="DE58">
        <v>0</v>
      </c>
      <c r="DF58">
        <v>1</v>
      </c>
      <c r="DG58">
        <v>2.37</v>
      </c>
      <c r="DH58">
        <v>0</v>
      </c>
      <c r="DI58">
        <v>1</v>
      </c>
      <c r="DJ58">
        <v>0.6</v>
      </c>
      <c r="DK58">
        <v>0.6</v>
      </c>
      <c r="DL58">
        <v>0.11</v>
      </c>
      <c r="DM58">
        <v>0</v>
      </c>
      <c r="DN58" t="s">
        <v>2446</v>
      </c>
      <c r="DO58" t="s">
        <v>245</v>
      </c>
      <c r="DP58" t="s">
        <v>246</v>
      </c>
      <c r="DQ58" t="s">
        <v>247</v>
      </c>
      <c r="DR58" t="s">
        <v>248</v>
      </c>
      <c r="DS58" t="s">
        <v>249</v>
      </c>
      <c r="DT58" t="s">
        <v>250</v>
      </c>
    </row>
    <row r="59" spans="1:124" x14ac:dyDescent="0.45">
      <c r="A59" t="s">
        <v>2472</v>
      </c>
      <c r="B59" t="s">
        <v>2473</v>
      </c>
      <c r="C59" t="s">
        <v>17</v>
      </c>
      <c r="D59" t="s">
        <v>167</v>
      </c>
      <c r="E59" t="s">
        <v>168</v>
      </c>
      <c r="I59" t="s">
        <v>2474</v>
      </c>
      <c r="J59">
        <v>0.47</v>
      </c>
      <c r="K59">
        <v>2.76</v>
      </c>
      <c r="L59">
        <v>0.4</v>
      </c>
      <c r="M59">
        <v>8.91</v>
      </c>
      <c r="N59">
        <v>2.5499999999999998</v>
      </c>
      <c r="O59">
        <v>2.27</v>
      </c>
      <c r="P59">
        <v>4.71</v>
      </c>
      <c r="Q59">
        <v>2.16</v>
      </c>
      <c r="R59">
        <v>22.54</v>
      </c>
      <c r="S59">
        <v>25.29</v>
      </c>
      <c r="T59">
        <v>46.65</v>
      </c>
      <c r="U59">
        <v>0.44</v>
      </c>
      <c r="V59">
        <v>7.5</v>
      </c>
      <c r="W59" t="s">
        <v>2479</v>
      </c>
      <c r="X59">
        <v>0</v>
      </c>
      <c r="Y59">
        <v>0</v>
      </c>
      <c r="Z59">
        <v>0</v>
      </c>
      <c r="AA59">
        <v>124.53</v>
      </c>
      <c r="AB59">
        <v>343.48</v>
      </c>
      <c r="AC59">
        <v>0.64</v>
      </c>
      <c r="AD59">
        <v>0.5</v>
      </c>
      <c r="AE59">
        <v>0.84</v>
      </c>
      <c r="AF59">
        <v>77.64</v>
      </c>
      <c r="AG59">
        <v>1</v>
      </c>
      <c r="AH59">
        <v>43.88</v>
      </c>
      <c r="AI59">
        <v>39.11</v>
      </c>
      <c r="AJ59">
        <v>35.53</v>
      </c>
      <c r="AK59">
        <v>31.75</v>
      </c>
      <c r="AL59">
        <v>31.75</v>
      </c>
      <c r="AM59">
        <v>100.91</v>
      </c>
      <c r="AN59">
        <v>139.6</v>
      </c>
      <c r="AO59">
        <v>137.1</v>
      </c>
      <c r="AP59">
        <v>1.8</v>
      </c>
      <c r="AQ59">
        <v>290</v>
      </c>
      <c r="AR59">
        <v>3.62</v>
      </c>
      <c r="AS59">
        <v>-3</v>
      </c>
      <c r="AT59">
        <v>-11</v>
      </c>
      <c r="AU59">
        <v>308</v>
      </c>
      <c r="AV59">
        <v>33.770000000000003</v>
      </c>
      <c r="AW59">
        <v>83.13</v>
      </c>
      <c r="AX59">
        <v>11.4</v>
      </c>
      <c r="AY59">
        <v>53.07</v>
      </c>
      <c r="AZ59">
        <v>7.21</v>
      </c>
      <c r="BA59">
        <v>146.75</v>
      </c>
      <c r="BB59">
        <v>32.76</v>
      </c>
      <c r="BC59" t="s">
        <v>2495</v>
      </c>
      <c r="BD59" t="s">
        <v>17</v>
      </c>
      <c r="BE59">
        <v>35.85</v>
      </c>
      <c r="BF59">
        <v>127.13</v>
      </c>
      <c r="BG59">
        <v>36.6</v>
      </c>
      <c r="BH59">
        <v>15</v>
      </c>
      <c r="BI59">
        <v>0.74</v>
      </c>
      <c r="BJ59" t="s">
        <v>2497</v>
      </c>
      <c r="BK59" t="s">
        <v>17</v>
      </c>
      <c r="BL59">
        <v>-0.74</v>
      </c>
      <c r="BM59" t="s">
        <v>165</v>
      </c>
      <c r="BN59">
        <v>0</v>
      </c>
      <c r="BO59">
        <v>0</v>
      </c>
      <c r="BP59">
        <v>0</v>
      </c>
      <c r="BQ59">
        <v>-0.01</v>
      </c>
      <c r="BR59">
        <v>-0.03</v>
      </c>
      <c r="BS59">
        <v>0.09</v>
      </c>
      <c r="BT59" t="s">
        <v>165</v>
      </c>
      <c r="BU59">
        <v>150</v>
      </c>
      <c r="BV59">
        <v>0</v>
      </c>
      <c r="BW59">
        <v>2</v>
      </c>
      <c r="BX59">
        <v>0.06</v>
      </c>
      <c r="BY59">
        <v>0</v>
      </c>
      <c r="BZ59">
        <v>0.03</v>
      </c>
      <c r="CA59">
        <v>0</v>
      </c>
      <c r="CB59">
        <v>0</v>
      </c>
      <c r="CC59">
        <v>0</v>
      </c>
      <c r="CD59" t="s">
        <v>222</v>
      </c>
      <c r="CE59" t="s">
        <v>223</v>
      </c>
      <c r="CF59" t="s">
        <v>224</v>
      </c>
      <c r="CG59">
        <v>6000</v>
      </c>
      <c r="CH59">
        <v>500</v>
      </c>
      <c r="CI59">
        <v>1</v>
      </c>
      <c r="CJ59">
        <v>2</v>
      </c>
      <c r="CK59">
        <v>55537</v>
      </c>
      <c r="CL59">
        <v>55537</v>
      </c>
      <c r="CM59">
        <v>55537</v>
      </c>
      <c r="CN59">
        <v>0</v>
      </c>
      <c r="CO59">
        <v>-9999</v>
      </c>
      <c r="CP59">
        <v>0</v>
      </c>
      <c r="CQ59">
        <v>0</v>
      </c>
      <c r="CR59">
        <v>0</v>
      </c>
      <c r="CS59">
        <v>0</v>
      </c>
      <c r="CT59">
        <v>2.4900000000000002</v>
      </c>
      <c r="CU59">
        <v>2.4300000000000002</v>
      </c>
      <c r="CV59">
        <v>1.53</v>
      </c>
      <c r="CW59">
        <v>0.9</v>
      </c>
      <c r="CX59">
        <v>0.18</v>
      </c>
      <c r="CY59">
        <v>-0.05</v>
      </c>
      <c r="CZ59">
        <v>0.53</v>
      </c>
      <c r="DA59">
        <v>0.36</v>
      </c>
      <c r="DB59">
        <v>124.53</v>
      </c>
      <c r="DC59">
        <v>0</v>
      </c>
      <c r="DD59">
        <v>2.42</v>
      </c>
      <c r="DE59">
        <v>0</v>
      </c>
      <c r="DF59">
        <v>1</v>
      </c>
      <c r="DG59">
        <v>2.37</v>
      </c>
      <c r="DH59">
        <v>0</v>
      </c>
      <c r="DI59">
        <v>1</v>
      </c>
      <c r="DJ59">
        <v>0.6</v>
      </c>
      <c r="DK59">
        <v>0.6</v>
      </c>
      <c r="DL59">
        <v>0.11</v>
      </c>
      <c r="DM59">
        <v>0</v>
      </c>
      <c r="DN59" t="s">
        <v>2479</v>
      </c>
      <c r="DO59" t="s">
        <v>245</v>
      </c>
      <c r="DP59" t="s">
        <v>246</v>
      </c>
      <c r="DQ59" t="s">
        <v>247</v>
      </c>
      <c r="DR59" t="s">
        <v>248</v>
      </c>
      <c r="DS59" t="s">
        <v>249</v>
      </c>
      <c r="DT59" t="s">
        <v>250</v>
      </c>
    </row>
    <row r="60" spans="1:124" x14ac:dyDescent="0.45">
      <c r="A60" t="s">
        <v>2387</v>
      </c>
      <c r="B60" t="s">
        <v>2509</v>
      </c>
      <c r="C60" t="s">
        <v>17</v>
      </c>
      <c r="D60" t="s">
        <v>167</v>
      </c>
      <c r="E60" t="s">
        <v>168</v>
      </c>
      <c r="I60" t="s">
        <v>2510</v>
      </c>
      <c r="J60">
        <v>0.28000000000000003</v>
      </c>
      <c r="K60">
        <v>2.74</v>
      </c>
      <c r="L60">
        <v>0.26</v>
      </c>
      <c r="M60">
        <v>6.09</v>
      </c>
      <c r="N60">
        <v>2.61</v>
      </c>
      <c r="O60">
        <v>2.42</v>
      </c>
      <c r="P60">
        <v>4.92</v>
      </c>
      <c r="Q60">
        <v>2.31</v>
      </c>
      <c r="R60">
        <v>23.98</v>
      </c>
      <c r="S60">
        <v>25.87</v>
      </c>
      <c r="T60">
        <v>48.76</v>
      </c>
      <c r="U60">
        <v>0.44</v>
      </c>
      <c r="V60">
        <v>7.5</v>
      </c>
      <c r="W60" t="s">
        <v>2515</v>
      </c>
      <c r="X60">
        <v>0</v>
      </c>
      <c r="Y60">
        <v>0</v>
      </c>
      <c r="Z60">
        <v>0</v>
      </c>
      <c r="AA60">
        <v>118.56</v>
      </c>
      <c r="AB60">
        <v>421.62</v>
      </c>
      <c r="AC60">
        <v>0.72</v>
      </c>
      <c r="AD60">
        <v>0.5</v>
      </c>
      <c r="AE60">
        <v>0.84</v>
      </c>
      <c r="AF60">
        <v>28.68</v>
      </c>
      <c r="AG60">
        <v>1</v>
      </c>
      <c r="AH60">
        <v>44.96</v>
      </c>
      <c r="AI60">
        <v>41.67</v>
      </c>
      <c r="AJ60">
        <v>35.5</v>
      </c>
      <c r="AK60">
        <v>32.53</v>
      </c>
      <c r="AL60">
        <v>32.53</v>
      </c>
      <c r="AM60">
        <v>100.91</v>
      </c>
      <c r="AN60">
        <v>138.30000000000001</v>
      </c>
      <c r="AO60">
        <v>135.30000000000001</v>
      </c>
      <c r="AP60">
        <v>2.2000000000000002</v>
      </c>
      <c r="AQ60">
        <v>95</v>
      </c>
      <c r="AR60">
        <v>3.6</v>
      </c>
      <c r="AS60">
        <v>1</v>
      </c>
      <c r="AT60">
        <v>-15</v>
      </c>
      <c r="AU60">
        <v>294</v>
      </c>
      <c r="AV60">
        <v>26.21</v>
      </c>
      <c r="AW60">
        <v>89.72</v>
      </c>
      <c r="AX60">
        <v>15.03</v>
      </c>
      <c r="AY60">
        <v>20.27</v>
      </c>
      <c r="AZ60">
        <v>7.21</v>
      </c>
      <c r="BA60">
        <v>147.16</v>
      </c>
      <c r="BB60">
        <v>32.64</v>
      </c>
      <c r="BC60" t="s">
        <v>2532</v>
      </c>
      <c r="BD60" t="s">
        <v>17</v>
      </c>
      <c r="BE60">
        <v>35.85</v>
      </c>
      <c r="BF60">
        <v>127.13</v>
      </c>
      <c r="BG60">
        <v>36.9</v>
      </c>
      <c r="BH60">
        <v>17</v>
      </c>
      <c r="BI60">
        <v>0.66</v>
      </c>
      <c r="BJ60" t="s">
        <v>2497</v>
      </c>
      <c r="BK60" t="s">
        <v>17</v>
      </c>
      <c r="BL60">
        <v>-0.74</v>
      </c>
      <c r="BM60" t="s">
        <v>165</v>
      </c>
      <c r="BN60">
        <v>0</v>
      </c>
      <c r="BO60">
        <v>0</v>
      </c>
      <c r="BP60">
        <v>0</v>
      </c>
      <c r="BQ60">
        <v>0.05</v>
      </c>
      <c r="BR60">
        <v>-0.01</v>
      </c>
      <c r="BS60">
        <v>0</v>
      </c>
      <c r="BT60" t="s">
        <v>165</v>
      </c>
      <c r="BU60">
        <v>150</v>
      </c>
      <c r="BV60">
        <v>0</v>
      </c>
      <c r="BW60">
        <v>2</v>
      </c>
      <c r="BX60">
        <v>0.06</v>
      </c>
      <c r="BY60">
        <v>0</v>
      </c>
      <c r="BZ60">
        <v>0.03</v>
      </c>
      <c r="CA60">
        <v>0</v>
      </c>
      <c r="CB60">
        <v>0</v>
      </c>
      <c r="CC60">
        <v>0</v>
      </c>
      <c r="CD60" t="s">
        <v>222</v>
      </c>
      <c r="CE60" t="s">
        <v>223</v>
      </c>
      <c r="CF60" t="s">
        <v>224</v>
      </c>
      <c r="CG60">
        <v>6000</v>
      </c>
      <c r="CH60">
        <v>500</v>
      </c>
      <c r="CI60">
        <v>1</v>
      </c>
      <c r="CJ60">
        <v>2</v>
      </c>
      <c r="CK60">
        <v>55537</v>
      </c>
      <c r="CL60">
        <v>55537</v>
      </c>
      <c r="CM60">
        <v>55537</v>
      </c>
      <c r="CN60">
        <v>0</v>
      </c>
      <c r="CO60">
        <v>-9999</v>
      </c>
      <c r="CP60">
        <v>0</v>
      </c>
      <c r="CQ60">
        <v>0</v>
      </c>
      <c r="CR60">
        <v>0</v>
      </c>
      <c r="CS60">
        <v>0</v>
      </c>
      <c r="CT60">
        <v>2.4900000000000002</v>
      </c>
      <c r="CU60">
        <v>2.44</v>
      </c>
      <c r="CV60">
        <v>1.52</v>
      </c>
      <c r="CW60">
        <v>0.89</v>
      </c>
      <c r="CX60">
        <v>0.18</v>
      </c>
      <c r="CY60">
        <v>-0.04</v>
      </c>
      <c r="CZ60">
        <v>0.53</v>
      </c>
      <c r="DA60">
        <v>0.19</v>
      </c>
      <c r="DB60">
        <v>118.56</v>
      </c>
      <c r="DC60">
        <v>0</v>
      </c>
      <c r="DD60">
        <v>2.42</v>
      </c>
      <c r="DE60">
        <v>0</v>
      </c>
      <c r="DF60">
        <v>1</v>
      </c>
      <c r="DG60">
        <v>2.37</v>
      </c>
      <c r="DH60">
        <v>0</v>
      </c>
      <c r="DI60">
        <v>1</v>
      </c>
      <c r="DJ60">
        <v>0.6</v>
      </c>
      <c r="DK60">
        <v>0.6</v>
      </c>
      <c r="DL60">
        <v>0.11</v>
      </c>
      <c r="DM60">
        <v>0</v>
      </c>
      <c r="DN60" t="s">
        <v>2515</v>
      </c>
      <c r="DO60" t="s">
        <v>245</v>
      </c>
      <c r="DP60" t="s">
        <v>246</v>
      </c>
      <c r="DQ60" t="s">
        <v>247</v>
      </c>
      <c r="DR60" t="s">
        <v>248</v>
      </c>
      <c r="DS60" t="s">
        <v>249</v>
      </c>
      <c r="DT60" t="s">
        <v>250</v>
      </c>
    </row>
    <row r="61" spans="1:124" x14ac:dyDescent="0.45">
      <c r="A61" t="s">
        <v>2544</v>
      </c>
      <c r="B61" t="s">
        <v>2545</v>
      </c>
      <c r="C61" t="s">
        <v>17</v>
      </c>
      <c r="D61" t="s">
        <v>167</v>
      </c>
      <c r="E61" t="s">
        <v>168</v>
      </c>
      <c r="I61" t="s">
        <v>2546</v>
      </c>
      <c r="J61">
        <v>0.38</v>
      </c>
      <c r="K61">
        <v>2.74</v>
      </c>
      <c r="L61">
        <v>0.34</v>
      </c>
      <c r="M61">
        <v>7.6</v>
      </c>
      <c r="N61">
        <v>2.56</v>
      </c>
      <c r="O61">
        <v>2.3199999999999998</v>
      </c>
      <c r="P61">
        <v>4.76</v>
      </c>
      <c r="Q61">
        <v>2.2000000000000002</v>
      </c>
      <c r="R61">
        <v>23.04</v>
      </c>
      <c r="S61">
        <v>25.41</v>
      </c>
      <c r="T61">
        <v>47.19</v>
      </c>
      <c r="U61">
        <v>0.44</v>
      </c>
      <c r="V61">
        <v>7.5</v>
      </c>
      <c r="W61" t="s">
        <v>2551</v>
      </c>
      <c r="X61">
        <v>0</v>
      </c>
      <c r="Y61">
        <v>0</v>
      </c>
      <c r="Z61">
        <v>0</v>
      </c>
      <c r="AA61">
        <v>153.29</v>
      </c>
      <c r="AB61">
        <v>480.76</v>
      </c>
      <c r="AC61">
        <v>0.68</v>
      </c>
      <c r="AD61">
        <v>0.5</v>
      </c>
      <c r="AE61">
        <v>0.84</v>
      </c>
      <c r="AF61">
        <v>157.91999999999999</v>
      </c>
      <c r="AG61">
        <v>1</v>
      </c>
      <c r="AH61">
        <v>44.25</v>
      </c>
      <c r="AI61">
        <v>40.119999999999997</v>
      </c>
      <c r="AJ61">
        <v>35.46</v>
      </c>
      <c r="AK61">
        <v>31.95</v>
      </c>
      <c r="AL61">
        <v>31.95</v>
      </c>
      <c r="AM61">
        <v>100.9</v>
      </c>
      <c r="AN61">
        <v>137.69999999999999</v>
      </c>
      <c r="AO61">
        <v>132.80000000000001</v>
      </c>
      <c r="AP61">
        <v>3.5</v>
      </c>
      <c r="AQ61">
        <v>552</v>
      </c>
      <c r="AR61">
        <v>3.62</v>
      </c>
      <c r="AS61">
        <v>0</v>
      </c>
      <c r="AT61">
        <v>-9</v>
      </c>
      <c r="AU61">
        <v>338</v>
      </c>
      <c r="AV61">
        <v>35.33</v>
      </c>
      <c r="AW61">
        <v>81.58</v>
      </c>
      <c r="AX61">
        <v>9</v>
      </c>
      <c r="AY61">
        <v>68</v>
      </c>
      <c r="AZ61">
        <v>7.21</v>
      </c>
      <c r="BA61">
        <v>147.16</v>
      </c>
      <c r="BB61">
        <v>32.64</v>
      </c>
      <c r="BC61" t="s">
        <v>2567</v>
      </c>
      <c r="BD61" t="s">
        <v>17</v>
      </c>
      <c r="BE61">
        <v>35.85</v>
      </c>
      <c r="BF61">
        <v>127.13</v>
      </c>
      <c r="BG61">
        <v>39.6</v>
      </c>
      <c r="BH61">
        <v>17</v>
      </c>
      <c r="BI61">
        <v>0.66</v>
      </c>
      <c r="BJ61" t="s">
        <v>2497</v>
      </c>
      <c r="BK61" t="s">
        <v>17</v>
      </c>
      <c r="BL61">
        <v>-0.74</v>
      </c>
      <c r="BM61" t="s">
        <v>165</v>
      </c>
      <c r="BN61">
        <v>0</v>
      </c>
      <c r="BO61">
        <v>0</v>
      </c>
      <c r="BP61">
        <v>0</v>
      </c>
      <c r="BQ61">
        <v>-0.01</v>
      </c>
      <c r="BR61">
        <v>0.25</v>
      </c>
      <c r="BS61">
        <v>0.56000000000000005</v>
      </c>
      <c r="BT61" t="s">
        <v>165</v>
      </c>
      <c r="BU61">
        <v>150</v>
      </c>
      <c r="BV61">
        <v>0</v>
      </c>
      <c r="BW61">
        <v>2</v>
      </c>
      <c r="BX61">
        <v>0.06</v>
      </c>
      <c r="BY61">
        <v>0</v>
      </c>
      <c r="BZ61">
        <v>0.03</v>
      </c>
      <c r="CA61">
        <v>0</v>
      </c>
      <c r="CB61">
        <v>0</v>
      </c>
      <c r="CC61">
        <v>0</v>
      </c>
      <c r="CD61" t="s">
        <v>222</v>
      </c>
      <c r="CE61" t="s">
        <v>223</v>
      </c>
      <c r="CF61" t="s">
        <v>224</v>
      </c>
      <c r="CG61">
        <v>6000</v>
      </c>
      <c r="CH61">
        <v>500</v>
      </c>
      <c r="CI61">
        <v>1</v>
      </c>
      <c r="CJ61">
        <v>2</v>
      </c>
      <c r="CK61">
        <v>55537</v>
      </c>
      <c r="CL61">
        <v>55537</v>
      </c>
      <c r="CM61">
        <v>55537</v>
      </c>
      <c r="CN61">
        <v>0</v>
      </c>
      <c r="CO61">
        <v>-9999</v>
      </c>
      <c r="CP61">
        <v>0</v>
      </c>
      <c r="CQ61">
        <v>0</v>
      </c>
      <c r="CR61">
        <v>0</v>
      </c>
      <c r="CS61">
        <v>0</v>
      </c>
      <c r="CT61">
        <v>2.4900000000000002</v>
      </c>
      <c r="CU61">
        <v>2.44</v>
      </c>
      <c r="CV61">
        <v>1.52</v>
      </c>
      <c r="CW61">
        <v>0.89</v>
      </c>
      <c r="CX61">
        <v>0.18</v>
      </c>
      <c r="CY61">
        <v>-0.04</v>
      </c>
      <c r="CZ61">
        <v>0.54</v>
      </c>
      <c r="DA61">
        <v>0.59</v>
      </c>
      <c r="DB61">
        <v>153.29</v>
      </c>
      <c r="DC61">
        <v>0</v>
      </c>
      <c r="DD61">
        <v>2.42</v>
      </c>
      <c r="DE61">
        <v>0</v>
      </c>
      <c r="DF61">
        <v>1</v>
      </c>
      <c r="DG61">
        <v>2.37</v>
      </c>
      <c r="DH61">
        <v>0</v>
      </c>
      <c r="DI61">
        <v>1</v>
      </c>
      <c r="DJ61">
        <v>0.6</v>
      </c>
      <c r="DK61">
        <v>0.6</v>
      </c>
      <c r="DL61">
        <v>0.11</v>
      </c>
      <c r="DM61">
        <v>0</v>
      </c>
      <c r="DN61" t="s">
        <v>2551</v>
      </c>
      <c r="DO61" t="s">
        <v>245</v>
      </c>
      <c r="DP61" t="s">
        <v>246</v>
      </c>
      <c r="DQ61" t="s">
        <v>247</v>
      </c>
      <c r="DR61" t="s">
        <v>248</v>
      </c>
      <c r="DS61" t="s">
        <v>249</v>
      </c>
      <c r="DT61" t="s">
        <v>250</v>
      </c>
    </row>
    <row r="62" spans="1:124" x14ac:dyDescent="0.45">
      <c r="A62" t="s">
        <v>2579</v>
      </c>
      <c r="B62" t="s">
        <v>2580</v>
      </c>
      <c r="C62" t="s">
        <v>17</v>
      </c>
      <c r="D62" t="s">
        <v>167</v>
      </c>
      <c r="E62" t="s">
        <v>168</v>
      </c>
      <c r="I62" t="s">
        <v>2581</v>
      </c>
      <c r="J62">
        <v>0.22</v>
      </c>
      <c r="K62">
        <v>2.65</v>
      </c>
      <c r="L62">
        <v>0.2</v>
      </c>
      <c r="M62">
        <v>5.24</v>
      </c>
      <c r="N62">
        <v>2.41</v>
      </c>
      <c r="O62">
        <v>2.23</v>
      </c>
      <c r="P62">
        <v>4.95</v>
      </c>
      <c r="Q62">
        <v>2.54</v>
      </c>
      <c r="R62">
        <v>22.15</v>
      </c>
      <c r="S62">
        <v>23.89</v>
      </c>
      <c r="T62">
        <v>49.02</v>
      </c>
      <c r="U62">
        <v>0.44</v>
      </c>
      <c r="V62">
        <v>7.5</v>
      </c>
      <c r="W62" t="s">
        <v>2586</v>
      </c>
      <c r="X62">
        <v>0</v>
      </c>
      <c r="Y62">
        <v>0</v>
      </c>
      <c r="Z62">
        <v>0</v>
      </c>
      <c r="AA62">
        <v>139.66999999999999</v>
      </c>
      <c r="AB62">
        <v>471.46</v>
      </c>
      <c r="AC62">
        <v>0.7</v>
      </c>
      <c r="AD62">
        <v>0.5</v>
      </c>
      <c r="AE62">
        <v>0.84</v>
      </c>
      <c r="AF62">
        <v>27.19</v>
      </c>
      <c r="AG62">
        <v>1</v>
      </c>
      <c r="AH62">
        <v>41.72</v>
      </c>
      <c r="AI62">
        <v>38.68</v>
      </c>
      <c r="AJ62">
        <v>35.409999999999997</v>
      </c>
      <c r="AK62">
        <v>32.619999999999997</v>
      </c>
      <c r="AL62">
        <v>32.619999999999997</v>
      </c>
      <c r="AM62">
        <v>100.89</v>
      </c>
      <c r="AN62">
        <v>129.9</v>
      </c>
      <c r="AO62">
        <v>129.19999999999999</v>
      </c>
      <c r="AP62">
        <v>0.5</v>
      </c>
      <c r="AQ62">
        <v>92</v>
      </c>
      <c r="AR62">
        <v>3.61</v>
      </c>
      <c r="AS62">
        <v>16</v>
      </c>
      <c r="AT62">
        <v>6</v>
      </c>
      <c r="AU62">
        <v>330</v>
      </c>
      <c r="AV62">
        <v>17.13</v>
      </c>
      <c r="AW62">
        <v>95.56</v>
      </c>
      <c r="AX62">
        <v>17.059999999999999</v>
      </c>
      <c r="AY62">
        <v>-50.87</v>
      </c>
      <c r="AZ62">
        <v>7.21</v>
      </c>
      <c r="BA62">
        <v>147.57</v>
      </c>
      <c r="BB62">
        <v>32.54</v>
      </c>
      <c r="BC62" t="s">
        <v>2606</v>
      </c>
      <c r="BD62" t="s">
        <v>17</v>
      </c>
      <c r="BE62">
        <v>35.85</v>
      </c>
      <c r="BF62">
        <v>127.13</v>
      </c>
      <c r="BG62">
        <v>41</v>
      </c>
      <c r="BH62">
        <v>17</v>
      </c>
      <c r="BI62">
        <v>0.72</v>
      </c>
      <c r="BJ62" t="s">
        <v>2497</v>
      </c>
      <c r="BK62" t="s">
        <v>17</v>
      </c>
      <c r="BL62">
        <v>-0.74</v>
      </c>
      <c r="BM62" t="s">
        <v>165</v>
      </c>
      <c r="BN62">
        <v>0</v>
      </c>
      <c r="BO62">
        <v>0</v>
      </c>
      <c r="BP62">
        <v>0</v>
      </c>
      <c r="BQ62">
        <v>-0.04</v>
      </c>
      <c r="BR62">
        <v>-0.16</v>
      </c>
      <c r="BS62">
        <v>-1.1000000000000001</v>
      </c>
      <c r="BT62" t="s">
        <v>165</v>
      </c>
      <c r="BU62">
        <v>150</v>
      </c>
      <c r="BV62">
        <v>0</v>
      </c>
      <c r="BW62">
        <v>2</v>
      </c>
      <c r="BX62">
        <v>0.06</v>
      </c>
      <c r="BY62">
        <v>0</v>
      </c>
      <c r="BZ62">
        <v>0.03</v>
      </c>
      <c r="CA62">
        <v>0</v>
      </c>
      <c r="CB62">
        <v>0</v>
      </c>
      <c r="CC62">
        <v>0</v>
      </c>
      <c r="CD62" t="s">
        <v>222</v>
      </c>
      <c r="CE62" t="s">
        <v>223</v>
      </c>
      <c r="CF62" t="s">
        <v>224</v>
      </c>
      <c r="CG62">
        <v>6000</v>
      </c>
      <c r="CH62">
        <v>500</v>
      </c>
      <c r="CI62">
        <v>1</v>
      </c>
      <c r="CJ62">
        <v>2</v>
      </c>
      <c r="CK62">
        <v>55537</v>
      </c>
      <c r="CL62">
        <v>55537</v>
      </c>
      <c r="CM62">
        <v>55537</v>
      </c>
      <c r="CN62">
        <v>0</v>
      </c>
      <c r="CO62">
        <v>-9999</v>
      </c>
      <c r="CP62">
        <v>0</v>
      </c>
      <c r="CQ62">
        <v>0</v>
      </c>
      <c r="CR62">
        <v>0</v>
      </c>
      <c r="CS62">
        <v>0</v>
      </c>
      <c r="CT62">
        <v>2.4900000000000002</v>
      </c>
      <c r="CU62">
        <v>2.4300000000000002</v>
      </c>
      <c r="CV62">
        <v>1.45</v>
      </c>
      <c r="CW62">
        <v>0.88</v>
      </c>
      <c r="CX62">
        <v>0.18</v>
      </c>
      <c r="CY62">
        <v>-0.03</v>
      </c>
      <c r="CZ62">
        <v>0.54</v>
      </c>
      <c r="DA62">
        <v>0.19</v>
      </c>
      <c r="DB62">
        <v>139.66999999999999</v>
      </c>
      <c r="DC62">
        <v>0</v>
      </c>
      <c r="DD62">
        <v>2.42</v>
      </c>
      <c r="DE62">
        <v>0</v>
      </c>
      <c r="DF62">
        <v>1</v>
      </c>
      <c r="DG62">
        <v>2.37</v>
      </c>
      <c r="DH62">
        <v>0</v>
      </c>
      <c r="DI62">
        <v>1</v>
      </c>
      <c r="DJ62">
        <v>0.6</v>
      </c>
      <c r="DK62">
        <v>0.6</v>
      </c>
      <c r="DL62">
        <v>0.11</v>
      </c>
      <c r="DM62">
        <v>0</v>
      </c>
      <c r="DN62" t="s">
        <v>2586</v>
      </c>
      <c r="DO62" t="s">
        <v>245</v>
      </c>
      <c r="DP62" t="s">
        <v>246</v>
      </c>
      <c r="DQ62" t="s">
        <v>247</v>
      </c>
      <c r="DR62" t="s">
        <v>248</v>
      </c>
      <c r="DS62" t="s">
        <v>249</v>
      </c>
      <c r="DT62" t="s">
        <v>250</v>
      </c>
    </row>
    <row r="63" spans="1:124" x14ac:dyDescent="0.45">
      <c r="A63" t="s">
        <v>2620</v>
      </c>
      <c r="B63" t="s">
        <v>2621</v>
      </c>
      <c r="C63" t="s">
        <v>17</v>
      </c>
      <c r="D63" t="s">
        <v>167</v>
      </c>
      <c r="E63" t="s">
        <v>168</v>
      </c>
      <c r="I63" t="s">
        <v>2622</v>
      </c>
      <c r="J63">
        <v>0.53</v>
      </c>
      <c r="K63">
        <v>2.81</v>
      </c>
      <c r="L63">
        <v>0.45</v>
      </c>
      <c r="M63">
        <v>9.31</v>
      </c>
      <c r="N63">
        <v>2.64</v>
      </c>
      <c r="O63">
        <v>2.36</v>
      </c>
      <c r="P63">
        <v>4.67</v>
      </c>
      <c r="Q63">
        <v>2.0299999999999998</v>
      </c>
      <c r="R63">
        <v>23.38</v>
      </c>
      <c r="S63">
        <v>26.14</v>
      </c>
      <c r="T63">
        <v>46.29</v>
      </c>
      <c r="U63">
        <v>0.44</v>
      </c>
      <c r="V63">
        <v>7.5</v>
      </c>
      <c r="W63" t="s">
        <v>2627</v>
      </c>
      <c r="X63">
        <v>0</v>
      </c>
      <c r="Y63">
        <v>0</v>
      </c>
      <c r="Z63">
        <v>0</v>
      </c>
      <c r="AA63">
        <v>126.26</v>
      </c>
      <c r="AB63">
        <v>367.28</v>
      </c>
      <c r="AC63">
        <v>0.66</v>
      </c>
      <c r="AD63">
        <v>0.5</v>
      </c>
      <c r="AE63">
        <v>0.84</v>
      </c>
      <c r="AF63">
        <v>21.22</v>
      </c>
      <c r="AG63">
        <v>1</v>
      </c>
      <c r="AH63">
        <v>45.39</v>
      </c>
      <c r="AI63">
        <v>40.6</v>
      </c>
      <c r="AJ63">
        <v>35.51</v>
      </c>
      <c r="AK63">
        <v>31.61</v>
      </c>
      <c r="AL63">
        <v>31.61</v>
      </c>
      <c r="AM63">
        <v>100.89</v>
      </c>
      <c r="AN63">
        <v>145.19999999999999</v>
      </c>
      <c r="AO63">
        <v>138.6</v>
      </c>
      <c r="AP63">
        <v>4.5</v>
      </c>
      <c r="AQ63">
        <v>77</v>
      </c>
      <c r="AR63">
        <v>3.61</v>
      </c>
      <c r="AS63">
        <v>-3</v>
      </c>
      <c r="AT63">
        <v>-5</v>
      </c>
      <c r="AU63">
        <v>310</v>
      </c>
      <c r="AV63">
        <v>34.01</v>
      </c>
      <c r="AW63">
        <v>82.9</v>
      </c>
      <c r="AX63">
        <v>5.83</v>
      </c>
      <c r="AY63">
        <v>70.89</v>
      </c>
      <c r="AZ63">
        <v>7.21</v>
      </c>
      <c r="BA63">
        <v>148.4</v>
      </c>
      <c r="BB63">
        <v>32.32</v>
      </c>
      <c r="BC63" t="s">
        <v>2644</v>
      </c>
      <c r="BD63" t="s">
        <v>17</v>
      </c>
      <c r="BE63">
        <v>35.85</v>
      </c>
      <c r="BF63">
        <v>127.13</v>
      </c>
      <c r="BG63">
        <v>41</v>
      </c>
      <c r="BH63">
        <v>17</v>
      </c>
      <c r="BI63">
        <v>0.72</v>
      </c>
      <c r="BJ63" t="s">
        <v>2497</v>
      </c>
      <c r="BK63" t="s">
        <v>17</v>
      </c>
      <c r="BL63">
        <v>-0.74</v>
      </c>
      <c r="BM63" t="s">
        <v>165</v>
      </c>
      <c r="BN63">
        <v>0</v>
      </c>
      <c r="BO63">
        <v>0</v>
      </c>
      <c r="BP63">
        <v>0.01</v>
      </c>
      <c r="BQ63">
        <v>-0.01</v>
      </c>
      <c r="BR63">
        <v>-0.15</v>
      </c>
      <c r="BS63">
        <v>-0.35</v>
      </c>
      <c r="BT63" t="s">
        <v>165</v>
      </c>
      <c r="BU63">
        <v>150</v>
      </c>
      <c r="BV63">
        <v>0</v>
      </c>
      <c r="BW63">
        <v>2</v>
      </c>
      <c r="BX63">
        <v>0.06</v>
      </c>
      <c r="BY63">
        <v>0</v>
      </c>
      <c r="BZ63">
        <v>0.03</v>
      </c>
      <c r="CA63">
        <v>0</v>
      </c>
      <c r="CB63">
        <v>0</v>
      </c>
      <c r="CC63">
        <v>0</v>
      </c>
      <c r="CD63" t="s">
        <v>222</v>
      </c>
      <c r="CE63" t="s">
        <v>223</v>
      </c>
      <c r="CF63" t="s">
        <v>224</v>
      </c>
      <c r="CG63">
        <v>6000</v>
      </c>
      <c r="CH63">
        <v>500</v>
      </c>
      <c r="CI63">
        <v>1</v>
      </c>
      <c r="CJ63">
        <v>2</v>
      </c>
      <c r="CK63">
        <v>55537</v>
      </c>
      <c r="CL63">
        <v>55537</v>
      </c>
      <c r="CM63">
        <v>55537</v>
      </c>
      <c r="CN63">
        <v>0</v>
      </c>
      <c r="CO63">
        <v>-9999</v>
      </c>
      <c r="CP63">
        <v>0</v>
      </c>
      <c r="CQ63">
        <v>0</v>
      </c>
      <c r="CR63">
        <v>0</v>
      </c>
      <c r="CS63">
        <v>0</v>
      </c>
      <c r="CT63">
        <v>2.4900000000000002</v>
      </c>
      <c r="CU63">
        <v>2.44</v>
      </c>
      <c r="CV63">
        <v>1.58</v>
      </c>
      <c r="CW63">
        <v>0.9</v>
      </c>
      <c r="CX63">
        <v>0.18</v>
      </c>
      <c r="CY63">
        <v>-0.05</v>
      </c>
      <c r="CZ63">
        <v>0.55000000000000004</v>
      </c>
      <c r="DA63">
        <v>0.17</v>
      </c>
      <c r="DB63">
        <v>126.26</v>
      </c>
      <c r="DC63">
        <v>0</v>
      </c>
      <c r="DD63">
        <v>2.42</v>
      </c>
      <c r="DE63">
        <v>0</v>
      </c>
      <c r="DF63">
        <v>1</v>
      </c>
      <c r="DG63">
        <v>2.37</v>
      </c>
      <c r="DH63">
        <v>0</v>
      </c>
      <c r="DI63">
        <v>1</v>
      </c>
      <c r="DJ63">
        <v>0.6</v>
      </c>
      <c r="DK63">
        <v>0.6</v>
      </c>
      <c r="DL63">
        <v>0.11</v>
      </c>
      <c r="DM63">
        <v>0</v>
      </c>
      <c r="DN63" t="s">
        <v>2627</v>
      </c>
      <c r="DO63" t="s">
        <v>245</v>
      </c>
      <c r="DP63" t="s">
        <v>246</v>
      </c>
      <c r="DQ63" t="s">
        <v>247</v>
      </c>
      <c r="DR63" t="s">
        <v>248</v>
      </c>
      <c r="DS63" t="s">
        <v>249</v>
      </c>
      <c r="DT63" t="s">
        <v>250</v>
      </c>
    </row>
    <row r="64" spans="1:124" x14ac:dyDescent="0.45">
      <c r="A64" t="s">
        <v>2656</v>
      </c>
      <c r="B64" t="s">
        <v>2657</v>
      </c>
      <c r="C64" t="s">
        <v>17</v>
      </c>
      <c r="D64" t="s">
        <v>167</v>
      </c>
      <c r="E64" t="s">
        <v>168</v>
      </c>
      <c r="I64" t="s">
        <v>2658</v>
      </c>
      <c r="J64">
        <v>0.21</v>
      </c>
      <c r="K64">
        <v>2.75</v>
      </c>
      <c r="L64">
        <v>0.2</v>
      </c>
      <c r="M64">
        <v>5.29</v>
      </c>
      <c r="N64">
        <v>2.29</v>
      </c>
      <c r="O64">
        <v>2.13</v>
      </c>
      <c r="P64">
        <v>4.91</v>
      </c>
      <c r="Q64">
        <v>2.62</v>
      </c>
      <c r="R64">
        <v>21.09</v>
      </c>
      <c r="S64">
        <v>22.73</v>
      </c>
      <c r="T64">
        <v>48.72</v>
      </c>
      <c r="U64">
        <v>0.44</v>
      </c>
      <c r="V64">
        <v>7.5</v>
      </c>
      <c r="W64" t="s">
        <v>2663</v>
      </c>
      <c r="X64">
        <v>0</v>
      </c>
      <c r="Y64">
        <v>0</v>
      </c>
      <c r="Z64">
        <v>0</v>
      </c>
      <c r="AA64">
        <v>114.62</v>
      </c>
      <c r="AB64">
        <v>554.79</v>
      </c>
      <c r="AC64">
        <v>0.79</v>
      </c>
      <c r="AD64">
        <v>0.5</v>
      </c>
      <c r="AE64">
        <v>0.84</v>
      </c>
      <c r="AF64">
        <v>51.65</v>
      </c>
      <c r="AG64">
        <v>1</v>
      </c>
      <c r="AH64">
        <v>39.520000000000003</v>
      </c>
      <c r="AI64">
        <v>36.659999999999997</v>
      </c>
      <c r="AJ64">
        <v>35.49</v>
      </c>
      <c r="AK64">
        <v>32.51</v>
      </c>
      <c r="AL64">
        <v>32.51</v>
      </c>
      <c r="AM64">
        <v>100.88</v>
      </c>
      <c r="AN64">
        <v>138.9</v>
      </c>
      <c r="AO64">
        <v>135.80000000000001</v>
      </c>
      <c r="AP64">
        <v>2.2999999999999998</v>
      </c>
      <c r="AQ64">
        <v>155</v>
      </c>
      <c r="AR64">
        <v>3.61</v>
      </c>
      <c r="AS64">
        <v>-21</v>
      </c>
      <c r="AT64">
        <v>-8</v>
      </c>
      <c r="AU64">
        <v>334</v>
      </c>
      <c r="AV64">
        <v>53.92</v>
      </c>
      <c r="AW64">
        <v>58.89</v>
      </c>
      <c r="AX64">
        <v>22.41</v>
      </c>
      <c r="AY64">
        <v>132.59</v>
      </c>
      <c r="AZ64">
        <v>7.21</v>
      </c>
      <c r="BA64">
        <v>149.25</v>
      </c>
      <c r="BB64">
        <v>32.11</v>
      </c>
      <c r="BC64" t="s">
        <v>2682</v>
      </c>
      <c r="BD64" t="s">
        <v>17</v>
      </c>
      <c r="BE64">
        <v>35.85</v>
      </c>
      <c r="BF64">
        <v>127.13</v>
      </c>
      <c r="BG64">
        <v>41.1</v>
      </c>
      <c r="BH64">
        <v>17</v>
      </c>
      <c r="BI64">
        <v>0.67</v>
      </c>
      <c r="BJ64" t="s">
        <v>2497</v>
      </c>
      <c r="BK64" t="s">
        <v>17</v>
      </c>
      <c r="BL64">
        <v>-0.74</v>
      </c>
      <c r="BM64" t="s">
        <v>165</v>
      </c>
      <c r="BN64">
        <v>0</v>
      </c>
      <c r="BO64">
        <v>0</v>
      </c>
      <c r="BP64">
        <v>0</v>
      </c>
      <c r="BQ64">
        <v>-0.11</v>
      </c>
      <c r="BR64">
        <v>-0.4</v>
      </c>
      <c r="BS64">
        <v>-0.36</v>
      </c>
      <c r="BT64" t="s">
        <v>165</v>
      </c>
      <c r="BU64">
        <v>150</v>
      </c>
      <c r="BV64">
        <v>0</v>
      </c>
      <c r="BW64">
        <v>2</v>
      </c>
      <c r="BX64">
        <v>0.06</v>
      </c>
      <c r="BY64">
        <v>0</v>
      </c>
      <c r="BZ64">
        <v>0.03</v>
      </c>
      <c r="CA64">
        <v>0</v>
      </c>
      <c r="CB64">
        <v>0</v>
      </c>
      <c r="CC64">
        <v>0</v>
      </c>
      <c r="CD64" t="s">
        <v>222</v>
      </c>
      <c r="CE64" t="s">
        <v>223</v>
      </c>
      <c r="CF64" t="s">
        <v>224</v>
      </c>
      <c r="CG64">
        <v>6000</v>
      </c>
      <c r="CH64">
        <v>500</v>
      </c>
      <c r="CI64">
        <v>1</v>
      </c>
      <c r="CJ64">
        <v>2</v>
      </c>
      <c r="CK64">
        <v>55537</v>
      </c>
      <c r="CL64">
        <v>55537</v>
      </c>
      <c r="CM64">
        <v>55537</v>
      </c>
      <c r="CN64">
        <v>0</v>
      </c>
      <c r="CO64">
        <v>-9999</v>
      </c>
      <c r="CP64">
        <v>0</v>
      </c>
      <c r="CQ64">
        <v>0</v>
      </c>
      <c r="CR64">
        <v>0</v>
      </c>
      <c r="CS64">
        <v>0</v>
      </c>
      <c r="CT64">
        <v>2.48</v>
      </c>
      <c r="CU64">
        <v>2.4300000000000002</v>
      </c>
      <c r="CV64">
        <v>1.53</v>
      </c>
      <c r="CW64">
        <v>0.89</v>
      </c>
      <c r="CX64">
        <v>0.18</v>
      </c>
      <c r="CY64">
        <v>-0.04</v>
      </c>
      <c r="CZ64">
        <v>0.56000000000000005</v>
      </c>
      <c r="DA64">
        <v>0.24</v>
      </c>
      <c r="DB64">
        <v>114.62</v>
      </c>
      <c r="DC64">
        <v>0</v>
      </c>
      <c r="DD64">
        <v>2.42</v>
      </c>
      <c r="DE64">
        <v>0</v>
      </c>
      <c r="DF64">
        <v>1</v>
      </c>
      <c r="DG64">
        <v>2.37</v>
      </c>
      <c r="DH64">
        <v>0</v>
      </c>
      <c r="DI64">
        <v>1</v>
      </c>
      <c r="DJ64">
        <v>0.6</v>
      </c>
      <c r="DK64">
        <v>0.6</v>
      </c>
      <c r="DL64">
        <v>0.11</v>
      </c>
      <c r="DM64">
        <v>0</v>
      </c>
      <c r="DN64" t="s">
        <v>2663</v>
      </c>
      <c r="DO64" t="s">
        <v>245</v>
      </c>
      <c r="DP64" t="s">
        <v>246</v>
      </c>
      <c r="DQ64" t="s">
        <v>247</v>
      </c>
      <c r="DR64" t="s">
        <v>248</v>
      </c>
      <c r="DS64" t="s">
        <v>249</v>
      </c>
      <c r="DT64" t="s">
        <v>250</v>
      </c>
    </row>
    <row r="65" spans="1:124" x14ac:dyDescent="0.45">
      <c r="A65" t="s">
        <v>2695</v>
      </c>
      <c r="B65" t="s">
        <v>2696</v>
      </c>
      <c r="C65" t="s">
        <v>17</v>
      </c>
      <c r="D65" t="s">
        <v>167</v>
      </c>
      <c r="E65" t="s">
        <v>168</v>
      </c>
      <c r="I65" t="s">
        <v>2697</v>
      </c>
      <c r="J65">
        <v>0</v>
      </c>
      <c r="K65">
        <v>2.77</v>
      </c>
      <c r="L65">
        <v>0</v>
      </c>
      <c r="M65">
        <v>0.18</v>
      </c>
      <c r="N65">
        <v>2.25</v>
      </c>
      <c r="O65">
        <v>2.25</v>
      </c>
      <c r="P65">
        <v>5.77</v>
      </c>
      <c r="Q65">
        <v>3.52</v>
      </c>
      <c r="R65">
        <v>22.29</v>
      </c>
      <c r="S65">
        <v>22.35</v>
      </c>
      <c r="T65">
        <v>57.21</v>
      </c>
      <c r="U65">
        <v>0.44</v>
      </c>
      <c r="V65">
        <v>7.5</v>
      </c>
      <c r="W65" t="s">
        <v>2702</v>
      </c>
      <c r="X65">
        <v>0</v>
      </c>
      <c r="Y65">
        <v>0</v>
      </c>
      <c r="Z65">
        <v>0</v>
      </c>
      <c r="AA65">
        <v>113.95</v>
      </c>
      <c r="AB65">
        <v>263.97000000000003</v>
      </c>
      <c r="AC65">
        <v>0.56999999999999995</v>
      </c>
      <c r="AD65">
        <v>0.5</v>
      </c>
      <c r="AE65">
        <v>0.84</v>
      </c>
      <c r="AF65">
        <v>233.91</v>
      </c>
      <c r="AG65">
        <v>1</v>
      </c>
      <c r="AH65">
        <v>38.869999999999997</v>
      </c>
      <c r="AI65">
        <v>38.770000000000003</v>
      </c>
      <c r="AJ65">
        <v>35.479999999999997</v>
      </c>
      <c r="AK65">
        <v>35.39</v>
      </c>
      <c r="AL65">
        <v>35.39</v>
      </c>
      <c r="AM65">
        <v>100.89</v>
      </c>
      <c r="AN65">
        <v>141</v>
      </c>
      <c r="AO65">
        <v>139.4</v>
      </c>
      <c r="AP65">
        <v>1.1000000000000001</v>
      </c>
      <c r="AQ65">
        <v>980</v>
      </c>
      <c r="AR65">
        <v>3.61</v>
      </c>
      <c r="AS65">
        <v>0</v>
      </c>
      <c r="AT65">
        <v>-9</v>
      </c>
      <c r="AU65">
        <v>351</v>
      </c>
      <c r="AV65">
        <v>36.32</v>
      </c>
      <c r="AW65">
        <v>80.58</v>
      </c>
      <c r="AX65">
        <v>9</v>
      </c>
      <c r="AY65">
        <v>81</v>
      </c>
      <c r="AZ65">
        <v>7.21</v>
      </c>
      <c r="BA65">
        <v>149.25</v>
      </c>
      <c r="BB65">
        <v>32.11</v>
      </c>
      <c r="BC65" t="s">
        <v>2718</v>
      </c>
      <c r="BD65" t="s">
        <v>17</v>
      </c>
      <c r="BE65">
        <v>35.85</v>
      </c>
      <c r="BF65">
        <v>127.13</v>
      </c>
      <c r="BG65">
        <v>41.4</v>
      </c>
      <c r="BH65">
        <v>18</v>
      </c>
      <c r="BI65">
        <v>0.65</v>
      </c>
      <c r="BJ65" t="s">
        <v>2497</v>
      </c>
      <c r="BK65" t="s">
        <v>17</v>
      </c>
      <c r="BL65">
        <v>-0.74</v>
      </c>
      <c r="BM65" t="s">
        <v>165</v>
      </c>
      <c r="BN65">
        <v>0</v>
      </c>
      <c r="BO65">
        <v>0</v>
      </c>
      <c r="BP65">
        <v>0</v>
      </c>
      <c r="BQ65">
        <v>0.14000000000000001</v>
      </c>
      <c r="BR65">
        <v>0.83</v>
      </c>
      <c r="BS65">
        <v>2.95</v>
      </c>
      <c r="BT65" t="s">
        <v>165</v>
      </c>
      <c r="BU65">
        <v>150</v>
      </c>
      <c r="BV65">
        <v>0</v>
      </c>
      <c r="BW65">
        <v>2</v>
      </c>
      <c r="BX65">
        <v>0.06</v>
      </c>
      <c r="BY65">
        <v>0</v>
      </c>
      <c r="BZ65">
        <v>0.03</v>
      </c>
      <c r="CA65">
        <v>0</v>
      </c>
      <c r="CB65">
        <v>0</v>
      </c>
      <c r="CC65">
        <v>0</v>
      </c>
      <c r="CD65" t="s">
        <v>222</v>
      </c>
      <c r="CE65" t="s">
        <v>223</v>
      </c>
      <c r="CF65" t="s">
        <v>224</v>
      </c>
      <c r="CG65">
        <v>6000</v>
      </c>
      <c r="CH65">
        <v>500</v>
      </c>
      <c r="CI65">
        <v>1</v>
      </c>
      <c r="CJ65">
        <v>2</v>
      </c>
      <c r="CK65">
        <v>55537</v>
      </c>
      <c r="CL65">
        <v>55537</v>
      </c>
      <c r="CM65">
        <v>55537</v>
      </c>
      <c r="CN65">
        <v>0</v>
      </c>
      <c r="CO65">
        <v>-9999</v>
      </c>
      <c r="CP65">
        <v>0</v>
      </c>
      <c r="CQ65">
        <v>0</v>
      </c>
      <c r="CR65">
        <v>0</v>
      </c>
      <c r="CS65">
        <v>0</v>
      </c>
      <c r="CT65">
        <v>2.4900000000000002</v>
      </c>
      <c r="CU65">
        <v>2.4300000000000002</v>
      </c>
      <c r="CV65">
        <v>1.54</v>
      </c>
      <c r="CW65">
        <v>0.9</v>
      </c>
      <c r="CX65">
        <v>0.18</v>
      </c>
      <c r="CY65">
        <v>0</v>
      </c>
      <c r="CZ65">
        <v>0.56000000000000005</v>
      </c>
      <c r="DA65">
        <v>0.96</v>
      </c>
      <c r="DB65">
        <v>113.95</v>
      </c>
      <c r="DC65">
        <v>0</v>
      </c>
      <c r="DD65">
        <v>2.42</v>
      </c>
      <c r="DE65">
        <v>0</v>
      </c>
      <c r="DF65">
        <v>1</v>
      </c>
      <c r="DG65">
        <v>2.37</v>
      </c>
      <c r="DH65">
        <v>0</v>
      </c>
      <c r="DI65">
        <v>1</v>
      </c>
      <c r="DJ65">
        <v>0.6</v>
      </c>
      <c r="DK65">
        <v>0.6</v>
      </c>
      <c r="DL65">
        <v>0.11</v>
      </c>
      <c r="DM65">
        <v>0</v>
      </c>
      <c r="DN65" t="s">
        <v>2702</v>
      </c>
      <c r="DO65" t="s">
        <v>245</v>
      </c>
      <c r="DP65" t="s">
        <v>246</v>
      </c>
      <c r="DQ65" t="s">
        <v>247</v>
      </c>
      <c r="DR65" t="s">
        <v>248</v>
      </c>
      <c r="DS65" t="s">
        <v>249</v>
      </c>
      <c r="DT65" t="s">
        <v>250</v>
      </c>
    </row>
    <row r="66" spans="1:124" x14ac:dyDescent="0.45">
      <c r="A66" t="s">
        <v>2733</v>
      </c>
      <c r="B66" t="s">
        <v>2734</v>
      </c>
      <c r="C66" t="s">
        <v>17</v>
      </c>
      <c r="D66" t="s">
        <v>167</v>
      </c>
      <c r="E66" t="s">
        <v>168</v>
      </c>
      <c r="I66" t="s">
        <v>2735</v>
      </c>
      <c r="J66">
        <v>0.38</v>
      </c>
      <c r="K66">
        <v>2.66</v>
      </c>
      <c r="L66">
        <v>0.33</v>
      </c>
      <c r="M66">
        <v>7.66</v>
      </c>
      <c r="N66">
        <v>2.59</v>
      </c>
      <c r="O66">
        <v>2.34</v>
      </c>
      <c r="P66">
        <v>4.8499999999999996</v>
      </c>
      <c r="Q66">
        <v>2.2599999999999998</v>
      </c>
      <c r="R66">
        <v>23.15</v>
      </c>
      <c r="S66">
        <v>25.67</v>
      </c>
      <c r="T66">
        <v>48.03</v>
      </c>
      <c r="U66">
        <v>0.44</v>
      </c>
      <c r="V66">
        <v>7.5</v>
      </c>
      <c r="W66" t="s">
        <v>2740</v>
      </c>
      <c r="X66">
        <v>0</v>
      </c>
      <c r="Y66">
        <v>0</v>
      </c>
      <c r="Z66">
        <v>0</v>
      </c>
      <c r="AA66">
        <v>132.37</v>
      </c>
      <c r="AB66">
        <v>521.21</v>
      </c>
      <c r="AC66">
        <v>0.75</v>
      </c>
      <c r="AD66">
        <v>0.5</v>
      </c>
      <c r="AE66">
        <v>0.84</v>
      </c>
      <c r="AF66">
        <v>26.01</v>
      </c>
      <c r="AG66">
        <v>1</v>
      </c>
      <c r="AH66">
        <v>44.63</v>
      </c>
      <c r="AI66">
        <v>40.25</v>
      </c>
      <c r="AJ66">
        <v>35.49</v>
      </c>
      <c r="AK66">
        <v>32.26</v>
      </c>
      <c r="AL66">
        <v>32.26</v>
      </c>
      <c r="AM66">
        <v>100.89</v>
      </c>
      <c r="AN66">
        <v>130.9</v>
      </c>
      <c r="AO66">
        <v>130.6</v>
      </c>
      <c r="AP66">
        <v>0.2</v>
      </c>
      <c r="AQ66">
        <v>83</v>
      </c>
      <c r="AR66">
        <v>3.61</v>
      </c>
      <c r="AS66">
        <v>-4</v>
      </c>
      <c r="AT66">
        <v>0</v>
      </c>
      <c r="AU66">
        <v>153</v>
      </c>
      <c r="AV66">
        <v>28.02</v>
      </c>
      <c r="AW66">
        <v>88.28</v>
      </c>
      <c r="AX66">
        <v>4</v>
      </c>
      <c r="AY66">
        <v>-27</v>
      </c>
      <c r="AZ66">
        <v>7.21</v>
      </c>
      <c r="BA66">
        <v>149.66999999999999</v>
      </c>
      <c r="BB66">
        <v>32.01</v>
      </c>
      <c r="BC66" t="s">
        <v>2758</v>
      </c>
      <c r="BD66" t="s">
        <v>17</v>
      </c>
      <c r="BE66">
        <v>35.85</v>
      </c>
      <c r="BF66">
        <v>127.13</v>
      </c>
      <c r="BG66">
        <v>41.3</v>
      </c>
      <c r="BH66">
        <v>16</v>
      </c>
      <c r="BI66">
        <v>0.69</v>
      </c>
      <c r="BJ66" t="s">
        <v>2497</v>
      </c>
      <c r="BK66" t="s">
        <v>17</v>
      </c>
      <c r="BL66">
        <v>-0.74</v>
      </c>
      <c r="BM66" t="s">
        <v>165</v>
      </c>
      <c r="BN66">
        <v>0</v>
      </c>
      <c r="BO66">
        <v>0</v>
      </c>
      <c r="BP66">
        <v>0</v>
      </c>
      <c r="BQ66">
        <v>0.1</v>
      </c>
      <c r="BR66">
        <v>0.22</v>
      </c>
      <c r="BS66">
        <v>-0.27</v>
      </c>
      <c r="BT66" t="s">
        <v>165</v>
      </c>
      <c r="BU66">
        <v>150</v>
      </c>
      <c r="BV66">
        <v>0</v>
      </c>
      <c r="BW66">
        <v>2</v>
      </c>
      <c r="BX66">
        <v>0.06</v>
      </c>
      <c r="BY66">
        <v>0</v>
      </c>
      <c r="BZ66">
        <v>0.03</v>
      </c>
      <c r="CA66">
        <v>0</v>
      </c>
      <c r="CB66">
        <v>0</v>
      </c>
      <c r="CC66">
        <v>0</v>
      </c>
      <c r="CD66" t="s">
        <v>222</v>
      </c>
      <c r="CE66" t="s">
        <v>223</v>
      </c>
      <c r="CF66" t="s">
        <v>224</v>
      </c>
      <c r="CG66">
        <v>6000</v>
      </c>
      <c r="CH66">
        <v>500</v>
      </c>
      <c r="CI66">
        <v>1</v>
      </c>
      <c r="CJ66">
        <v>2</v>
      </c>
      <c r="CK66">
        <v>55537</v>
      </c>
      <c r="CL66">
        <v>55537</v>
      </c>
      <c r="CM66">
        <v>55537</v>
      </c>
      <c r="CN66">
        <v>0</v>
      </c>
      <c r="CO66">
        <v>-9999</v>
      </c>
      <c r="CP66">
        <v>0</v>
      </c>
      <c r="CQ66">
        <v>0</v>
      </c>
      <c r="CR66">
        <v>0</v>
      </c>
      <c r="CS66">
        <v>0</v>
      </c>
      <c r="CT66">
        <v>2.4900000000000002</v>
      </c>
      <c r="CU66">
        <v>2.44</v>
      </c>
      <c r="CV66">
        <v>1.46</v>
      </c>
      <c r="CW66">
        <v>0.88</v>
      </c>
      <c r="CX66">
        <v>0.18</v>
      </c>
      <c r="CY66">
        <v>-0.04</v>
      </c>
      <c r="CZ66">
        <v>0.56000000000000005</v>
      </c>
      <c r="DA66">
        <v>0.18</v>
      </c>
      <c r="DB66">
        <v>132.37</v>
      </c>
      <c r="DC66">
        <v>0</v>
      </c>
      <c r="DD66">
        <v>2.42</v>
      </c>
      <c r="DE66">
        <v>0</v>
      </c>
      <c r="DF66">
        <v>1</v>
      </c>
      <c r="DG66">
        <v>2.37</v>
      </c>
      <c r="DH66">
        <v>0</v>
      </c>
      <c r="DI66">
        <v>1</v>
      </c>
      <c r="DJ66">
        <v>0.6</v>
      </c>
      <c r="DK66">
        <v>0.6</v>
      </c>
      <c r="DL66">
        <v>0.11</v>
      </c>
      <c r="DM66">
        <v>0</v>
      </c>
      <c r="DN66" t="s">
        <v>2740</v>
      </c>
      <c r="DO66" t="s">
        <v>245</v>
      </c>
      <c r="DP66" t="s">
        <v>246</v>
      </c>
      <c r="DQ66" t="s">
        <v>247</v>
      </c>
      <c r="DR66" t="s">
        <v>248</v>
      </c>
      <c r="DS66" t="s">
        <v>249</v>
      </c>
      <c r="DT66" t="s">
        <v>250</v>
      </c>
    </row>
    <row r="67" spans="1:124" x14ac:dyDescent="0.45">
      <c r="A67" t="s">
        <v>2770</v>
      </c>
      <c r="B67" t="s">
        <v>2771</v>
      </c>
      <c r="C67" t="s">
        <v>17</v>
      </c>
      <c r="D67" t="s">
        <v>167</v>
      </c>
      <c r="E67" t="s">
        <v>168</v>
      </c>
      <c r="I67" t="s">
        <v>2772</v>
      </c>
      <c r="J67">
        <v>0.21</v>
      </c>
      <c r="K67">
        <v>2.76</v>
      </c>
      <c r="L67">
        <v>0.19</v>
      </c>
      <c r="M67">
        <v>5.01</v>
      </c>
      <c r="N67">
        <v>2.58</v>
      </c>
      <c r="O67">
        <v>2.42</v>
      </c>
      <c r="P67">
        <v>5.1100000000000003</v>
      </c>
      <c r="Q67">
        <v>2.5299999999999998</v>
      </c>
      <c r="R67">
        <v>24.03</v>
      </c>
      <c r="S67">
        <v>25.57</v>
      </c>
      <c r="T67">
        <v>50.67</v>
      </c>
      <c r="U67">
        <v>0.44</v>
      </c>
      <c r="V67">
        <v>7.5</v>
      </c>
      <c r="W67" t="s">
        <v>2777</v>
      </c>
      <c r="X67">
        <v>0</v>
      </c>
      <c r="Y67">
        <v>0</v>
      </c>
      <c r="Z67">
        <v>0</v>
      </c>
      <c r="AA67">
        <v>125.72</v>
      </c>
      <c r="AB67">
        <v>538.39</v>
      </c>
      <c r="AC67">
        <v>0.77</v>
      </c>
      <c r="AD67">
        <v>0.5</v>
      </c>
      <c r="AE67">
        <v>0.84</v>
      </c>
      <c r="AF67">
        <v>16.739999999999998</v>
      </c>
      <c r="AG67">
        <v>1</v>
      </c>
      <c r="AH67">
        <v>44.31</v>
      </c>
      <c r="AI67">
        <v>41.64</v>
      </c>
      <c r="AJ67">
        <v>35.54</v>
      </c>
      <c r="AK67">
        <v>33.21</v>
      </c>
      <c r="AL67">
        <v>33.21</v>
      </c>
      <c r="AM67">
        <v>100.88</v>
      </c>
      <c r="AN67">
        <v>139.9</v>
      </c>
      <c r="AO67">
        <v>135.80000000000001</v>
      </c>
      <c r="AP67">
        <v>3</v>
      </c>
      <c r="AQ67">
        <v>52</v>
      </c>
      <c r="AR67">
        <v>3.61</v>
      </c>
      <c r="AS67">
        <v>-2</v>
      </c>
      <c r="AT67">
        <v>3</v>
      </c>
      <c r="AU67">
        <v>194</v>
      </c>
      <c r="AV67">
        <v>32.72</v>
      </c>
      <c r="AW67">
        <v>84.13</v>
      </c>
      <c r="AX67">
        <v>3.61</v>
      </c>
      <c r="AY67">
        <v>70.34</v>
      </c>
      <c r="AZ67">
        <v>7.21</v>
      </c>
      <c r="BA67">
        <v>150.1</v>
      </c>
      <c r="BB67">
        <v>31.91</v>
      </c>
      <c r="BC67" t="s">
        <v>2792</v>
      </c>
      <c r="BD67" t="s">
        <v>17</v>
      </c>
      <c r="BE67">
        <v>35.85</v>
      </c>
      <c r="BF67">
        <v>127.13</v>
      </c>
      <c r="BG67">
        <v>41</v>
      </c>
      <c r="BH67">
        <v>17</v>
      </c>
      <c r="BI67">
        <v>0.67</v>
      </c>
      <c r="BJ67" t="s">
        <v>2497</v>
      </c>
      <c r="BK67" t="s">
        <v>17</v>
      </c>
      <c r="BL67">
        <v>-0.74</v>
      </c>
      <c r="BM67" t="s">
        <v>165</v>
      </c>
      <c r="BN67">
        <v>0</v>
      </c>
      <c r="BO67">
        <v>0</v>
      </c>
      <c r="BP67">
        <v>0</v>
      </c>
      <c r="BQ67">
        <v>-0.14000000000000001</v>
      </c>
      <c r="BR67">
        <v>0.14000000000000001</v>
      </c>
      <c r="BS67">
        <v>0.2</v>
      </c>
      <c r="BT67" t="s">
        <v>165</v>
      </c>
      <c r="BU67">
        <v>150</v>
      </c>
      <c r="BV67">
        <v>0</v>
      </c>
      <c r="BW67">
        <v>2</v>
      </c>
      <c r="BX67">
        <v>0.06</v>
      </c>
      <c r="BY67">
        <v>0</v>
      </c>
      <c r="BZ67">
        <v>0.03</v>
      </c>
      <c r="CA67">
        <v>0</v>
      </c>
      <c r="CB67">
        <v>0</v>
      </c>
      <c r="CC67">
        <v>0</v>
      </c>
      <c r="CD67" t="s">
        <v>222</v>
      </c>
      <c r="CE67" t="s">
        <v>223</v>
      </c>
      <c r="CF67" t="s">
        <v>224</v>
      </c>
      <c r="CG67">
        <v>6000</v>
      </c>
      <c r="CH67">
        <v>500</v>
      </c>
      <c r="CI67">
        <v>1</v>
      </c>
      <c r="CJ67">
        <v>2</v>
      </c>
      <c r="CK67">
        <v>55537</v>
      </c>
      <c r="CL67">
        <v>55537</v>
      </c>
      <c r="CM67">
        <v>55537</v>
      </c>
      <c r="CN67">
        <v>0</v>
      </c>
      <c r="CO67">
        <v>-9999</v>
      </c>
      <c r="CP67">
        <v>0</v>
      </c>
      <c r="CQ67">
        <v>0</v>
      </c>
      <c r="CR67">
        <v>0</v>
      </c>
      <c r="CS67">
        <v>0</v>
      </c>
      <c r="CT67">
        <v>2.4900000000000002</v>
      </c>
      <c r="CU67">
        <v>2.44</v>
      </c>
      <c r="CV67">
        <v>1.53</v>
      </c>
      <c r="CW67">
        <v>0.89</v>
      </c>
      <c r="CX67">
        <v>0.18</v>
      </c>
      <c r="CY67">
        <v>-0.03</v>
      </c>
      <c r="CZ67">
        <v>0.56999999999999995</v>
      </c>
      <c r="DA67">
        <v>0.15</v>
      </c>
      <c r="DB67">
        <v>125.72</v>
      </c>
      <c r="DC67">
        <v>0</v>
      </c>
      <c r="DD67">
        <v>2.42</v>
      </c>
      <c r="DE67">
        <v>0</v>
      </c>
      <c r="DF67">
        <v>1</v>
      </c>
      <c r="DG67">
        <v>2.37</v>
      </c>
      <c r="DH67">
        <v>0</v>
      </c>
      <c r="DI67">
        <v>1</v>
      </c>
      <c r="DJ67">
        <v>0.6</v>
      </c>
      <c r="DK67">
        <v>0.6</v>
      </c>
      <c r="DL67">
        <v>0.11</v>
      </c>
      <c r="DM67">
        <v>0</v>
      </c>
      <c r="DN67" t="s">
        <v>2777</v>
      </c>
      <c r="DO67" t="s">
        <v>245</v>
      </c>
      <c r="DP67" t="s">
        <v>246</v>
      </c>
      <c r="DQ67" t="s">
        <v>247</v>
      </c>
      <c r="DR67" t="s">
        <v>248</v>
      </c>
      <c r="DS67" t="s">
        <v>249</v>
      </c>
      <c r="DT67" t="s">
        <v>250</v>
      </c>
    </row>
    <row r="68" spans="1:124" x14ac:dyDescent="0.45">
      <c r="A68" t="s">
        <v>2803</v>
      </c>
      <c r="B68" t="s">
        <v>2804</v>
      </c>
      <c r="C68" t="s">
        <v>17</v>
      </c>
      <c r="D68" t="s">
        <v>167</v>
      </c>
      <c r="E68" t="s">
        <v>168</v>
      </c>
      <c r="I68" t="s">
        <v>2805</v>
      </c>
      <c r="J68">
        <v>0.06</v>
      </c>
      <c r="K68">
        <v>2.72</v>
      </c>
      <c r="L68">
        <v>0.06</v>
      </c>
      <c r="M68">
        <v>2.0299999999999998</v>
      </c>
      <c r="N68">
        <v>2.41</v>
      </c>
      <c r="O68">
        <v>2.35</v>
      </c>
      <c r="P68">
        <v>5.85</v>
      </c>
      <c r="Q68">
        <v>3.44</v>
      </c>
      <c r="R68">
        <v>23.29</v>
      </c>
      <c r="S68">
        <v>23.94</v>
      </c>
      <c r="T68">
        <v>58.04</v>
      </c>
      <c r="U68">
        <v>0.44</v>
      </c>
      <c r="V68">
        <v>7.5</v>
      </c>
      <c r="W68" t="s">
        <v>2810</v>
      </c>
      <c r="X68">
        <v>0</v>
      </c>
      <c r="Y68">
        <v>0</v>
      </c>
      <c r="Z68">
        <v>0</v>
      </c>
      <c r="AA68">
        <v>171.67</v>
      </c>
      <c r="AB68">
        <v>434.91</v>
      </c>
      <c r="AC68">
        <v>0.61</v>
      </c>
      <c r="AD68">
        <v>0.5</v>
      </c>
      <c r="AE68">
        <v>0.84</v>
      </c>
      <c r="AF68">
        <v>118.72</v>
      </c>
      <c r="AG68">
        <v>1</v>
      </c>
      <c r="AH68">
        <v>41.41</v>
      </c>
      <c r="AI68">
        <v>40.29</v>
      </c>
      <c r="AJ68">
        <v>35.58</v>
      </c>
      <c r="AK68">
        <v>35.65</v>
      </c>
      <c r="AL68">
        <v>35.65</v>
      </c>
      <c r="AM68">
        <v>100.88</v>
      </c>
      <c r="AN68">
        <v>135.9</v>
      </c>
      <c r="AO68">
        <v>128.1</v>
      </c>
      <c r="AP68">
        <v>5.7</v>
      </c>
      <c r="AQ68">
        <v>467</v>
      </c>
      <c r="AR68">
        <v>3.61</v>
      </c>
      <c r="AS68">
        <v>-26</v>
      </c>
      <c r="AT68">
        <v>0</v>
      </c>
      <c r="AU68">
        <v>128</v>
      </c>
      <c r="AV68">
        <v>12.25</v>
      </c>
      <c r="AW68">
        <v>97.72</v>
      </c>
      <c r="AX68">
        <v>26</v>
      </c>
      <c r="AY68">
        <v>-52</v>
      </c>
      <c r="AZ68">
        <v>7.21</v>
      </c>
      <c r="BA68">
        <v>150.53</v>
      </c>
      <c r="BB68">
        <v>31.81</v>
      </c>
      <c r="BC68" t="s">
        <v>2829</v>
      </c>
      <c r="BD68" t="s">
        <v>17</v>
      </c>
      <c r="BE68">
        <v>35.85</v>
      </c>
      <c r="BF68">
        <v>127.13</v>
      </c>
      <c r="BG68">
        <v>40</v>
      </c>
      <c r="BH68">
        <v>13</v>
      </c>
      <c r="BI68">
        <v>0.81</v>
      </c>
      <c r="BJ68" t="s">
        <v>2497</v>
      </c>
      <c r="BK68" t="s">
        <v>17</v>
      </c>
      <c r="BL68">
        <v>-0.74</v>
      </c>
      <c r="BM68" t="s">
        <v>165</v>
      </c>
      <c r="BN68">
        <v>0</v>
      </c>
      <c r="BO68">
        <v>0</v>
      </c>
      <c r="BP68">
        <v>0</v>
      </c>
      <c r="BQ68">
        <v>-0.32</v>
      </c>
      <c r="BR68">
        <v>-0.23</v>
      </c>
      <c r="BS68">
        <v>-0.99</v>
      </c>
      <c r="BT68" t="s">
        <v>165</v>
      </c>
      <c r="BU68">
        <v>150</v>
      </c>
      <c r="BV68">
        <v>0</v>
      </c>
      <c r="BW68">
        <v>2</v>
      </c>
      <c r="BX68">
        <v>0.06</v>
      </c>
      <c r="BY68">
        <v>0</v>
      </c>
      <c r="BZ68">
        <v>0.03</v>
      </c>
      <c r="CA68">
        <v>0</v>
      </c>
      <c r="CB68">
        <v>0</v>
      </c>
      <c r="CC68">
        <v>0</v>
      </c>
      <c r="CD68" t="s">
        <v>222</v>
      </c>
      <c r="CE68" t="s">
        <v>223</v>
      </c>
      <c r="CF68" t="s">
        <v>224</v>
      </c>
      <c r="CG68">
        <v>6000</v>
      </c>
      <c r="CH68">
        <v>500</v>
      </c>
      <c r="CI68">
        <v>1</v>
      </c>
      <c r="CJ68">
        <v>2</v>
      </c>
      <c r="CK68">
        <v>55537</v>
      </c>
      <c r="CL68">
        <v>55537</v>
      </c>
      <c r="CM68">
        <v>55537</v>
      </c>
      <c r="CN68">
        <v>0</v>
      </c>
      <c r="CO68">
        <v>-9999</v>
      </c>
      <c r="CP68">
        <v>0</v>
      </c>
      <c r="CQ68">
        <v>0</v>
      </c>
      <c r="CR68">
        <v>0</v>
      </c>
      <c r="CS68">
        <v>0</v>
      </c>
      <c r="CT68">
        <v>2.4900000000000002</v>
      </c>
      <c r="CU68">
        <v>2.4300000000000002</v>
      </c>
      <c r="CV68">
        <v>1.5</v>
      </c>
      <c r="CW68">
        <v>0.87</v>
      </c>
      <c r="CX68">
        <v>0.18</v>
      </c>
      <c r="CY68">
        <v>0</v>
      </c>
      <c r="CZ68">
        <v>0.57999999999999996</v>
      </c>
      <c r="DA68">
        <v>0.51</v>
      </c>
      <c r="DB68">
        <v>171.67</v>
      </c>
      <c r="DC68">
        <v>0</v>
      </c>
      <c r="DD68">
        <v>2.42</v>
      </c>
      <c r="DE68">
        <v>0</v>
      </c>
      <c r="DF68">
        <v>1</v>
      </c>
      <c r="DG68">
        <v>2.37</v>
      </c>
      <c r="DH68">
        <v>0</v>
      </c>
      <c r="DI68">
        <v>1</v>
      </c>
      <c r="DJ68">
        <v>0.6</v>
      </c>
      <c r="DK68">
        <v>0.6</v>
      </c>
      <c r="DL68">
        <v>0.11</v>
      </c>
      <c r="DM68">
        <v>0</v>
      </c>
      <c r="DN68" t="s">
        <v>2810</v>
      </c>
      <c r="DO68" t="s">
        <v>245</v>
      </c>
      <c r="DP68" t="s">
        <v>246</v>
      </c>
      <c r="DQ68" t="s">
        <v>247</v>
      </c>
      <c r="DR68" t="s">
        <v>248</v>
      </c>
      <c r="DS68" t="s">
        <v>249</v>
      </c>
      <c r="DT68" t="s">
        <v>250</v>
      </c>
    </row>
    <row r="69" spans="1:124" x14ac:dyDescent="0.45">
      <c r="A69" t="s">
        <v>2844</v>
      </c>
      <c r="B69" t="s">
        <v>2845</v>
      </c>
      <c r="C69" t="s">
        <v>17</v>
      </c>
      <c r="D69" t="s">
        <v>167</v>
      </c>
      <c r="E69" t="s">
        <v>168</v>
      </c>
      <c r="I69" t="s">
        <v>2846</v>
      </c>
      <c r="J69">
        <v>0.28000000000000003</v>
      </c>
      <c r="K69">
        <v>2.82</v>
      </c>
      <c r="L69">
        <v>0.25</v>
      </c>
      <c r="M69">
        <v>6.65</v>
      </c>
      <c r="N69">
        <v>2.54</v>
      </c>
      <c r="O69">
        <v>2.34</v>
      </c>
      <c r="P69">
        <v>5.1100000000000003</v>
      </c>
      <c r="Q69">
        <v>2.57</v>
      </c>
      <c r="R69">
        <v>23.18</v>
      </c>
      <c r="S69">
        <v>25.14</v>
      </c>
      <c r="T69">
        <v>50.62</v>
      </c>
      <c r="U69">
        <v>0.44</v>
      </c>
      <c r="V69">
        <v>7.5</v>
      </c>
      <c r="W69" t="s">
        <v>2851</v>
      </c>
      <c r="X69">
        <v>0</v>
      </c>
      <c r="Y69">
        <v>0</v>
      </c>
      <c r="Z69">
        <v>0</v>
      </c>
      <c r="AA69">
        <v>111.82</v>
      </c>
      <c r="AB69">
        <v>493.85</v>
      </c>
      <c r="AC69">
        <v>0.77</v>
      </c>
      <c r="AD69">
        <v>0.5</v>
      </c>
      <c r="AE69">
        <v>0.84</v>
      </c>
      <c r="AF69">
        <v>129.31</v>
      </c>
      <c r="AG69">
        <v>1</v>
      </c>
      <c r="AH69">
        <v>43.09</v>
      </c>
      <c r="AI69">
        <v>39.729999999999997</v>
      </c>
      <c r="AJ69">
        <v>35.75</v>
      </c>
      <c r="AK69">
        <v>33.19</v>
      </c>
      <c r="AL69">
        <v>33.19</v>
      </c>
      <c r="AM69">
        <v>100.88</v>
      </c>
      <c r="AN69">
        <v>146.19999999999999</v>
      </c>
      <c r="AO69">
        <v>132.9</v>
      </c>
      <c r="AP69">
        <v>9.1</v>
      </c>
      <c r="AQ69">
        <v>398</v>
      </c>
      <c r="AR69">
        <v>3.61</v>
      </c>
      <c r="AS69">
        <v>-8</v>
      </c>
      <c r="AT69">
        <v>-4</v>
      </c>
      <c r="AU69">
        <v>150</v>
      </c>
      <c r="AV69">
        <v>24.06</v>
      </c>
      <c r="AW69">
        <v>91.31</v>
      </c>
      <c r="AX69">
        <v>8.94</v>
      </c>
      <c r="AY69">
        <v>-56.68</v>
      </c>
      <c r="AZ69">
        <v>7.21</v>
      </c>
      <c r="BA69">
        <v>151.4</v>
      </c>
      <c r="BB69">
        <v>31.61</v>
      </c>
      <c r="BC69" t="s">
        <v>2867</v>
      </c>
      <c r="BD69" t="s">
        <v>17</v>
      </c>
      <c r="BE69">
        <v>35.85</v>
      </c>
      <c r="BF69">
        <v>127.13</v>
      </c>
      <c r="BG69">
        <v>39.700000000000003</v>
      </c>
      <c r="BH69">
        <v>15</v>
      </c>
      <c r="BI69">
        <v>0.73</v>
      </c>
      <c r="BJ69" t="s">
        <v>2871</v>
      </c>
      <c r="BK69" t="s">
        <v>17</v>
      </c>
      <c r="BL69">
        <v>-0.85</v>
      </c>
      <c r="BM69" t="s">
        <v>165</v>
      </c>
      <c r="BN69">
        <v>0</v>
      </c>
      <c r="BO69">
        <v>0</v>
      </c>
      <c r="BP69">
        <v>0</v>
      </c>
      <c r="BQ69">
        <v>0.23</v>
      </c>
      <c r="BR69">
        <v>-0.2</v>
      </c>
      <c r="BS69">
        <v>-0.38</v>
      </c>
      <c r="BT69" t="s">
        <v>165</v>
      </c>
      <c r="BU69">
        <v>150</v>
      </c>
      <c r="BV69">
        <v>0</v>
      </c>
      <c r="BW69">
        <v>2</v>
      </c>
      <c r="BX69">
        <v>0.06</v>
      </c>
      <c r="BY69">
        <v>0</v>
      </c>
      <c r="BZ69">
        <v>0.03</v>
      </c>
      <c r="CA69">
        <v>0</v>
      </c>
      <c r="CB69">
        <v>0</v>
      </c>
      <c r="CC69">
        <v>0</v>
      </c>
      <c r="CD69" t="s">
        <v>222</v>
      </c>
      <c r="CE69" t="s">
        <v>223</v>
      </c>
      <c r="CF69" t="s">
        <v>224</v>
      </c>
      <c r="CG69">
        <v>6000</v>
      </c>
      <c r="CH69">
        <v>500</v>
      </c>
      <c r="CI69">
        <v>1</v>
      </c>
      <c r="CJ69">
        <v>2</v>
      </c>
      <c r="CK69">
        <v>55537</v>
      </c>
      <c r="CL69">
        <v>55537</v>
      </c>
      <c r="CM69">
        <v>55537</v>
      </c>
      <c r="CN69">
        <v>0</v>
      </c>
      <c r="CO69">
        <v>-9999</v>
      </c>
      <c r="CP69">
        <v>0</v>
      </c>
      <c r="CQ69">
        <v>0</v>
      </c>
      <c r="CR69">
        <v>0</v>
      </c>
      <c r="CS69">
        <v>0</v>
      </c>
      <c r="CT69">
        <v>2.4900000000000002</v>
      </c>
      <c r="CU69">
        <v>2.4300000000000002</v>
      </c>
      <c r="CV69">
        <v>1.59</v>
      </c>
      <c r="CW69">
        <v>0.89</v>
      </c>
      <c r="CX69">
        <v>0.18</v>
      </c>
      <c r="CY69">
        <v>-0.03</v>
      </c>
      <c r="CZ69">
        <v>0.57999999999999996</v>
      </c>
      <c r="DA69">
        <v>0.45</v>
      </c>
      <c r="DB69">
        <v>111.82</v>
      </c>
      <c r="DC69">
        <v>0</v>
      </c>
      <c r="DD69">
        <v>2.42</v>
      </c>
      <c r="DE69">
        <v>0</v>
      </c>
      <c r="DF69">
        <v>1</v>
      </c>
      <c r="DG69">
        <v>2.37</v>
      </c>
      <c r="DH69">
        <v>0</v>
      </c>
      <c r="DI69">
        <v>1</v>
      </c>
      <c r="DJ69">
        <v>0.6</v>
      </c>
      <c r="DK69">
        <v>0.6</v>
      </c>
      <c r="DL69">
        <v>0.11</v>
      </c>
      <c r="DM69">
        <v>0</v>
      </c>
      <c r="DN69" t="s">
        <v>2851</v>
      </c>
      <c r="DO69" t="s">
        <v>245</v>
      </c>
      <c r="DP69" t="s">
        <v>246</v>
      </c>
      <c r="DQ69" t="s">
        <v>247</v>
      </c>
      <c r="DR69" t="s">
        <v>248</v>
      </c>
      <c r="DS69" t="s">
        <v>249</v>
      </c>
      <c r="DT69" t="s">
        <v>250</v>
      </c>
    </row>
    <row r="70" spans="1:124" x14ac:dyDescent="0.45">
      <c r="A70" t="s">
        <v>2884</v>
      </c>
      <c r="B70" t="s">
        <v>2885</v>
      </c>
      <c r="C70" t="s">
        <v>17</v>
      </c>
      <c r="D70" t="s">
        <v>167</v>
      </c>
      <c r="E70" t="s">
        <v>168</v>
      </c>
      <c r="I70" t="s">
        <v>2886</v>
      </c>
      <c r="J70">
        <v>0.7</v>
      </c>
      <c r="K70">
        <v>2.74</v>
      </c>
      <c r="L70">
        <v>0.56000000000000005</v>
      </c>
      <c r="M70">
        <v>11.34</v>
      </c>
      <c r="N70">
        <v>2.5499999999999998</v>
      </c>
      <c r="O70">
        <v>2.19</v>
      </c>
      <c r="P70">
        <v>4.53</v>
      </c>
      <c r="Q70">
        <v>1.98</v>
      </c>
      <c r="R70">
        <v>21.72</v>
      </c>
      <c r="S70">
        <v>25.25</v>
      </c>
      <c r="T70">
        <v>44.92</v>
      </c>
      <c r="U70">
        <v>0.44</v>
      </c>
      <c r="V70">
        <v>7.5</v>
      </c>
      <c r="W70" t="s">
        <v>2891</v>
      </c>
      <c r="X70">
        <v>0</v>
      </c>
      <c r="Y70">
        <v>0</v>
      </c>
      <c r="Z70">
        <v>0</v>
      </c>
      <c r="AA70">
        <v>115.62</v>
      </c>
      <c r="AB70">
        <v>537.6</v>
      </c>
      <c r="AC70">
        <v>0.78</v>
      </c>
      <c r="AD70">
        <v>0.5</v>
      </c>
      <c r="AE70">
        <v>0.84</v>
      </c>
      <c r="AF70">
        <v>64.94</v>
      </c>
      <c r="AG70">
        <v>1</v>
      </c>
      <c r="AH70">
        <v>43.26</v>
      </c>
      <c r="AI70">
        <v>37.21</v>
      </c>
      <c r="AJ70">
        <v>35.75</v>
      </c>
      <c r="AK70">
        <v>31.08</v>
      </c>
      <c r="AL70">
        <v>31.08</v>
      </c>
      <c r="AM70">
        <v>100.88</v>
      </c>
      <c r="AN70">
        <v>138.30000000000001</v>
      </c>
      <c r="AO70">
        <v>135.1</v>
      </c>
      <c r="AP70">
        <v>2.2999999999999998</v>
      </c>
      <c r="AQ70">
        <v>197</v>
      </c>
      <c r="AR70">
        <v>3.6</v>
      </c>
      <c r="AS70">
        <v>-14</v>
      </c>
      <c r="AT70">
        <v>-27</v>
      </c>
      <c r="AU70">
        <v>132</v>
      </c>
      <c r="AV70">
        <v>40.200000000000003</v>
      </c>
      <c r="AW70">
        <v>76.38</v>
      </c>
      <c r="AX70">
        <v>30.17</v>
      </c>
      <c r="AY70">
        <v>-112.6</v>
      </c>
      <c r="AZ70">
        <v>7.21</v>
      </c>
      <c r="BA70">
        <v>151.4</v>
      </c>
      <c r="BB70">
        <v>31.61</v>
      </c>
      <c r="BC70" t="s">
        <v>2904</v>
      </c>
      <c r="BD70" t="s">
        <v>17</v>
      </c>
      <c r="BE70">
        <v>35.85</v>
      </c>
      <c r="BF70">
        <v>127.13</v>
      </c>
      <c r="BG70">
        <v>39.799999999999997</v>
      </c>
      <c r="BH70">
        <v>15</v>
      </c>
      <c r="BI70">
        <v>0.73</v>
      </c>
      <c r="BJ70" t="s">
        <v>2871</v>
      </c>
      <c r="BK70" t="s">
        <v>17</v>
      </c>
      <c r="BL70">
        <v>-0.85</v>
      </c>
      <c r="BM70" t="s">
        <v>165</v>
      </c>
      <c r="BN70">
        <v>0</v>
      </c>
      <c r="BO70">
        <v>0</v>
      </c>
      <c r="BP70">
        <v>0.01</v>
      </c>
      <c r="BQ70">
        <v>-0.27</v>
      </c>
      <c r="BR70">
        <v>-7.0000000000000007E-2</v>
      </c>
      <c r="BS70">
        <v>-0.47</v>
      </c>
      <c r="BT70" t="s">
        <v>165</v>
      </c>
      <c r="BU70">
        <v>150</v>
      </c>
      <c r="BV70">
        <v>0</v>
      </c>
      <c r="BW70">
        <v>2</v>
      </c>
      <c r="BX70">
        <v>0.06</v>
      </c>
      <c r="BY70">
        <v>0</v>
      </c>
      <c r="BZ70">
        <v>0.03</v>
      </c>
      <c r="CA70">
        <v>0</v>
      </c>
      <c r="CB70">
        <v>0</v>
      </c>
      <c r="CC70">
        <v>0</v>
      </c>
      <c r="CD70" t="s">
        <v>222</v>
      </c>
      <c r="CE70" t="s">
        <v>223</v>
      </c>
      <c r="CF70" t="s">
        <v>224</v>
      </c>
      <c r="CG70">
        <v>6000</v>
      </c>
      <c r="CH70">
        <v>500</v>
      </c>
      <c r="CI70">
        <v>1</v>
      </c>
      <c r="CJ70">
        <v>2</v>
      </c>
      <c r="CK70">
        <v>55537</v>
      </c>
      <c r="CL70">
        <v>55537</v>
      </c>
      <c r="CM70">
        <v>55537</v>
      </c>
      <c r="CN70">
        <v>0</v>
      </c>
      <c r="CO70">
        <v>-9999</v>
      </c>
      <c r="CP70">
        <v>0</v>
      </c>
      <c r="CQ70">
        <v>0</v>
      </c>
      <c r="CR70">
        <v>0</v>
      </c>
      <c r="CS70">
        <v>0</v>
      </c>
      <c r="CT70">
        <v>2.48</v>
      </c>
      <c r="CU70">
        <v>2.4300000000000002</v>
      </c>
      <c r="CV70">
        <v>1.52</v>
      </c>
      <c r="CW70">
        <v>0.89</v>
      </c>
      <c r="CX70">
        <v>0.18</v>
      </c>
      <c r="CY70">
        <v>-0.06</v>
      </c>
      <c r="CZ70">
        <v>0.59</v>
      </c>
      <c r="DA70">
        <v>0.28000000000000003</v>
      </c>
      <c r="DB70">
        <v>115.62</v>
      </c>
      <c r="DC70">
        <v>0</v>
      </c>
      <c r="DD70">
        <v>2.42</v>
      </c>
      <c r="DE70">
        <v>0</v>
      </c>
      <c r="DF70">
        <v>1</v>
      </c>
      <c r="DG70">
        <v>2.37</v>
      </c>
      <c r="DH70">
        <v>0</v>
      </c>
      <c r="DI70">
        <v>1</v>
      </c>
      <c r="DJ70">
        <v>0.6</v>
      </c>
      <c r="DK70">
        <v>0.6</v>
      </c>
      <c r="DL70">
        <v>0.11</v>
      </c>
      <c r="DM70">
        <v>0</v>
      </c>
      <c r="DN70" t="s">
        <v>2891</v>
      </c>
      <c r="DO70" t="s">
        <v>245</v>
      </c>
      <c r="DP70" t="s">
        <v>246</v>
      </c>
      <c r="DQ70" t="s">
        <v>247</v>
      </c>
      <c r="DR70" t="s">
        <v>248</v>
      </c>
      <c r="DS70" t="s">
        <v>249</v>
      </c>
      <c r="DT70" t="s">
        <v>250</v>
      </c>
    </row>
    <row r="71" spans="1:124" x14ac:dyDescent="0.45">
      <c r="A71" t="s">
        <v>2915</v>
      </c>
      <c r="B71" t="s">
        <v>2916</v>
      </c>
      <c r="C71" t="s">
        <v>17</v>
      </c>
      <c r="D71" t="s">
        <v>167</v>
      </c>
      <c r="E71" t="s">
        <v>168</v>
      </c>
      <c r="I71" t="s">
        <v>2917</v>
      </c>
      <c r="J71">
        <v>0.41</v>
      </c>
      <c r="K71">
        <v>2.77</v>
      </c>
      <c r="L71">
        <v>0.36</v>
      </c>
      <c r="M71">
        <v>8.5299999999999994</v>
      </c>
      <c r="N71">
        <v>2.46</v>
      </c>
      <c r="O71">
        <v>2.2000000000000002</v>
      </c>
      <c r="P71">
        <v>4.7699999999999996</v>
      </c>
      <c r="Q71">
        <v>2.31</v>
      </c>
      <c r="R71">
        <v>21.76</v>
      </c>
      <c r="S71">
        <v>24.37</v>
      </c>
      <c r="T71">
        <v>47.28</v>
      </c>
      <c r="U71">
        <v>0.44</v>
      </c>
      <c r="V71">
        <v>7.5</v>
      </c>
      <c r="W71" t="s">
        <v>2922</v>
      </c>
      <c r="X71">
        <v>0</v>
      </c>
      <c r="Y71">
        <v>0</v>
      </c>
      <c r="Z71">
        <v>0</v>
      </c>
      <c r="AA71">
        <v>107.85</v>
      </c>
      <c r="AB71">
        <v>493.93</v>
      </c>
      <c r="AC71">
        <v>0.78</v>
      </c>
      <c r="AD71">
        <v>0.5</v>
      </c>
      <c r="AE71">
        <v>0.84</v>
      </c>
      <c r="AF71">
        <v>23.97</v>
      </c>
      <c r="AG71">
        <v>1</v>
      </c>
      <c r="AH71">
        <v>41.78</v>
      </c>
      <c r="AI71">
        <v>37.31</v>
      </c>
      <c r="AJ71">
        <v>35.74</v>
      </c>
      <c r="AK71">
        <v>31.98</v>
      </c>
      <c r="AL71">
        <v>31.98</v>
      </c>
      <c r="AM71">
        <v>100.89</v>
      </c>
      <c r="AN71">
        <v>140.9</v>
      </c>
      <c r="AO71">
        <v>138.6</v>
      </c>
      <c r="AP71">
        <v>1.6</v>
      </c>
      <c r="AQ71">
        <v>73</v>
      </c>
      <c r="AR71">
        <v>3.6</v>
      </c>
      <c r="AS71">
        <v>-3</v>
      </c>
      <c r="AT71">
        <v>-33</v>
      </c>
      <c r="AU71">
        <v>152</v>
      </c>
      <c r="AV71">
        <v>42.46</v>
      </c>
      <c r="AW71">
        <v>73.78</v>
      </c>
      <c r="AX71">
        <v>33.119999999999997</v>
      </c>
      <c r="AY71">
        <v>-113.39</v>
      </c>
      <c r="AZ71">
        <v>7.21</v>
      </c>
      <c r="BA71">
        <v>151.83000000000001</v>
      </c>
      <c r="BB71">
        <v>31.52</v>
      </c>
      <c r="BC71" t="s">
        <v>2939</v>
      </c>
      <c r="BD71" t="s">
        <v>17</v>
      </c>
      <c r="BE71">
        <v>35.85</v>
      </c>
      <c r="BF71">
        <v>127.13</v>
      </c>
      <c r="BG71">
        <v>39.1</v>
      </c>
      <c r="BH71">
        <v>16</v>
      </c>
      <c r="BI71">
        <v>0.69</v>
      </c>
      <c r="BJ71" t="s">
        <v>2871</v>
      </c>
      <c r="BK71" t="s">
        <v>17</v>
      </c>
      <c r="BL71">
        <v>-0.85</v>
      </c>
      <c r="BM71" t="s">
        <v>165</v>
      </c>
      <c r="BN71">
        <v>0</v>
      </c>
      <c r="BO71">
        <v>0</v>
      </c>
      <c r="BP71">
        <v>0</v>
      </c>
      <c r="BQ71">
        <v>-0.12</v>
      </c>
      <c r="BR71">
        <v>-0.18</v>
      </c>
      <c r="BS71">
        <v>-0.33</v>
      </c>
      <c r="BT71" t="s">
        <v>165</v>
      </c>
      <c r="BU71">
        <v>150</v>
      </c>
      <c r="BV71">
        <v>0</v>
      </c>
      <c r="BW71">
        <v>2</v>
      </c>
      <c r="BX71">
        <v>0.06</v>
      </c>
      <c r="BY71">
        <v>0</v>
      </c>
      <c r="BZ71">
        <v>0.03</v>
      </c>
      <c r="CA71">
        <v>0</v>
      </c>
      <c r="CB71">
        <v>0</v>
      </c>
      <c r="CC71">
        <v>0</v>
      </c>
      <c r="CD71" t="s">
        <v>222</v>
      </c>
      <c r="CE71" t="s">
        <v>223</v>
      </c>
      <c r="CF71" t="s">
        <v>224</v>
      </c>
      <c r="CG71">
        <v>6000</v>
      </c>
      <c r="CH71">
        <v>500</v>
      </c>
      <c r="CI71">
        <v>1</v>
      </c>
      <c r="CJ71">
        <v>2</v>
      </c>
      <c r="CK71">
        <v>55537</v>
      </c>
      <c r="CL71">
        <v>55537</v>
      </c>
      <c r="CM71">
        <v>55537</v>
      </c>
      <c r="CN71">
        <v>0</v>
      </c>
      <c r="CO71">
        <v>-9999</v>
      </c>
      <c r="CP71">
        <v>0</v>
      </c>
      <c r="CQ71">
        <v>0</v>
      </c>
      <c r="CR71">
        <v>0</v>
      </c>
      <c r="CS71">
        <v>0</v>
      </c>
      <c r="CT71">
        <v>2.48</v>
      </c>
      <c r="CU71">
        <v>2.4300000000000002</v>
      </c>
      <c r="CV71">
        <v>1.54</v>
      </c>
      <c r="CW71">
        <v>0.9</v>
      </c>
      <c r="CX71">
        <v>0.18</v>
      </c>
      <c r="CY71">
        <v>-0.05</v>
      </c>
      <c r="CZ71">
        <v>0.59</v>
      </c>
      <c r="DA71">
        <v>0.17</v>
      </c>
      <c r="DB71">
        <v>107.85</v>
      </c>
      <c r="DC71">
        <v>0</v>
      </c>
      <c r="DD71">
        <v>2.42</v>
      </c>
      <c r="DE71">
        <v>0</v>
      </c>
      <c r="DF71">
        <v>1</v>
      </c>
      <c r="DG71">
        <v>2.37</v>
      </c>
      <c r="DH71">
        <v>0</v>
      </c>
      <c r="DI71">
        <v>1</v>
      </c>
      <c r="DJ71">
        <v>0.6</v>
      </c>
      <c r="DK71">
        <v>0.6</v>
      </c>
      <c r="DL71">
        <v>0.11</v>
      </c>
      <c r="DM71">
        <v>0</v>
      </c>
      <c r="DN71" t="s">
        <v>2922</v>
      </c>
      <c r="DO71" t="s">
        <v>245</v>
      </c>
      <c r="DP71" t="s">
        <v>246</v>
      </c>
      <c r="DQ71" t="s">
        <v>247</v>
      </c>
      <c r="DR71" t="s">
        <v>248</v>
      </c>
      <c r="DS71" t="s">
        <v>249</v>
      </c>
      <c r="DT71" t="s">
        <v>250</v>
      </c>
    </row>
    <row r="72" spans="1:124" x14ac:dyDescent="0.45">
      <c r="A72" t="s">
        <v>2952</v>
      </c>
      <c r="B72" t="s">
        <v>2953</v>
      </c>
      <c r="C72" t="s">
        <v>17</v>
      </c>
      <c r="D72" t="s">
        <v>167</v>
      </c>
      <c r="E72" t="s">
        <v>168</v>
      </c>
      <c r="I72" t="s">
        <v>2954</v>
      </c>
      <c r="J72">
        <v>0.4</v>
      </c>
      <c r="K72">
        <v>2.77</v>
      </c>
      <c r="L72">
        <v>0.35</v>
      </c>
      <c r="M72">
        <v>8.07</v>
      </c>
      <c r="N72">
        <v>2.4700000000000002</v>
      </c>
      <c r="O72">
        <v>2.2200000000000002</v>
      </c>
      <c r="P72">
        <v>4.7300000000000004</v>
      </c>
      <c r="Q72">
        <v>2.2599999999999998</v>
      </c>
      <c r="R72">
        <v>21.97</v>
      </c>
      <c r="S72">
        <v>24.44</v>
      </c>
      <c r="T72">
        <v>46.88</v>
      </c>
      <c r="U72">
        <v>0.44</v>
      </c>
      <c r="V72">
        <v>7.5</v>
      </c>
      <c r="W72" t="s">
        <v>2959</v>
      </c>
      <c r="X72">
        <v>0</v>
      </c>
      <c r="Y72">
        <v>0</v>
      </c>
      <c r="Z72">
        <v>0</v>
      </c>
      <c r="AA72">
        <v>116.37</v>
      </c>
      <c r="AB72">
        <v>373.17</v>
      </c>
      <c r="AC72">
        <v>0.69</v>
      </c>
      <c r="AD72">
        <v>0.5</v>
      </c>
      <c r="AE72">
        <v>0.84</v>
      </c>
      <c r="AF72">
        <v>39.31</v>
      </c>
      <c r="AG72">
        <v>1</v>
      </c>
      <c r="AH72">
        <v>41.99</v>
      </c>
      <c r="AI72">
        <v>37.75</v>
      </c>
      <c r="AJ72">
        <v>35.700000000000003</v>
      </c>
      <c r="AK72">
        <v>31.83</v>
      </c>
      <c r="AL72">
        <v>31.83</v>
      </c>
      <c r="AM72">
        <v>100.88</v>
      </c>
      <c r="AN72">
        <v>140.9</v>
      </c>
      <c r="AO72">
        <v>138.80000000000001</v>
      </c>
      <c r="AP72">
        <v>1.4</v>
      </c>
      <c r="AQ72">
        <v>136</v>
      </c>
      <c r="AR72">
        <v>3.6</v>
      </c>
      <c r="AS72">
        <v>-4</v>
      </c>
      <c r="AT72">
        <v>0</v>
      </c>
      <c r="AU72">
        <v>338</v>
      </c>
      <c r="AV72">
        <v>35.4</v>
      </c>
      <c r="AW72">
        <v>81.510000000000005</v>
      </c>
      <c r="AX72">
        <v>4</v>
      </c>
      <c r="AY72">
        <v>158</v>
      </c>
      <c r="AZ72">
        <v>7.21</v>
      </c>
      <c r="BA72">
        <v>152.27000000000001</v>
      </c>
      <c r="BB72">
        <v>31.42</v>
      </c>
      <c r="BC72" t="s">
        <v>2973</v>
      </c>
      <c r="BD72" t="s">
        <v>17</v>
      </c>
      <c r="BE72">
        <v>35.85</v>
      </c>
      <c r="BF72">
        <v>127.13</v>
      </c>
      <c r="BG72">
        <v>38.4</v>
      </c>
      <c r="BH72">
        <v>15</v>
      </c>
      <c r="BI72">
        <v>0.73</v>
      </c>
      <c r="BJ72" t="s">
        <v>2871</v>
      </c>
      <c r="BK72" t="s">
        <v>17</v>
      </c>
      <c r="BL72">
        <v>-0.85</v>
      </c>
      <c r="BM72" t="s">
        <v>165</v>
      </c>
      <c r="BN72">
        <v>0</v>
      </c>
      <c r="BO72">
        <v>0</v>
      </c>
      <c r="BP72">
        <v>0</v>
      </c>
      <c r="BQ72">
        <v>0.14000000000000001</v>
      </c>
      <c r="BR72">
        <v>-0.03</v>
      </c>
      <c r="BS72">
        <v>-0.26</v>
      </c>
      <c r="BT72" t="s">
        <v>165</v>
      </c>
      <c r="BU72">
        <v>150</v>
      </c>
      <c r="BV72">
        <v>0</v>
      </c>
      <c r="BW72">
        <v>2</v>
      </c>
      <c r="BX72">
        <v>0.06</v>
      </c>
      <c r="BY72">
        <v>0</v>
      </c>
      <c r="BZ72">
        <v>0.03</v>
      </c>
      <c r="CA72">
        <v>0</v>
      </c>
      <c r="CB72">
        <v>0</v>
      </c>
      <c r="CC72">
        <v>0</v>
      </c>
      <c r="CD72" t="s">
        <v>222</v>
      </c>
      <c r="CE72" t="s">
        <v>223</v>
      </c>
      <c r="CF72" t="s">
        <v>224</v>
      </c>
      <c r="CG72">
        <v>6000</v>
      </c>
      <c r="CH72">
        <v>500</v>
      </c>
      <c r="CI72">
        <v>1</v>
      </c>
      <c r="CJ72">
        <v>2</v>
      </c>
      <c r="CK72">
        <v>55537</v>
      </c>
      <c r="CL72">
        <v>55537</v>
      </c>
      <c r="CM72">
        <v>55537</v>
      </c>
      <c r="CN72">
        <v>0</v>
      </c>
      <c r="CO72">
        <v>-9999</v>
      </c>
      <c r="CP72">
        <v>0</v>
      </c>
      <c r="CQ72">
        <v>0</v>
      </c>
      <c r="CR72">
        <v>0</v>
      </c>
      <c r="CS72">
        <v>0</v>
      </c>
      <c r="CT72">
        <v>2.4900000000000002</v>
      </c>
      <c r="CU72">
        <v>2.4300000000000002</v>
      </c>
      <c r="CV72">
        <v>1.54</v>
      </c>
      <c r="CW72">
        <v>0.9</v>
      </c>
      <c r="CX72">
        <v>0.18</v>
      </c>
      <c r="CY72">
        <v>-0.05</v>
      </c>
      <c r="CZ72">
        <v>0.6</v>
      </c>
      <c r="DA72">
        <v>0.23</v>
      </c>
      <c r="DB72">
        <v>116.37</v>
      </c>
      <c r="DC72">
        <v>0</v>
      </c>
      <c r="DD72">
        <v>2.42</v>
      </c>
      <c r="DE72">
        <v>0</v>
      </c>
      <c r="DF72">
        <v>1</v>
      </c>
      <c r="DG72">
        <v>2.37</v>
      </c>
      <c r="DH72">
        <v>0</v>
      </c>
      <c r="DI72">
        <v>1</v>
      </c>
      <c r="DJ72">
        <v>0.6</v>
      </c>
      <c r="DK72">
        <v>0.6</v>
      </c>
      <c r="DL72">
        <v>0.11</v>
      </c>
      <c r="DM72">
        <v>0</v>
      </c>
      <c r="DN72" t="s">
        <v>2959</v>
      </c>
      <c r="DO72" t="s">
        <v>245</v>
      </c>
      <c r="DP72" t="s">
        <v>246</v>
      </c>
      <c r="DQ72" t="s">
        <v>247</v>
      </c>
      <c r="DR72" t="s">
        <v>248</v>
      </c>
      <c r="DS72" t="s">
        <v>249</v>
      </c>
      <c r="DT72" t="s">
        <v>250</v>
      </c>
    </row>
    <row r="73" spans="1:124" x14ac:dyDescent="0.45">
      <c r="A73" t="s">
        <v>2986</v>
      </c>
      <c r="B73" t="s">
        <v>2987</v>
      </c>
      <c r="C73" t="s">
        <v>17</v>
      </c>
      <c r="D73" t="s">
        <v>167</v>
      </c>
      <c r="E73" t="s">
        <v>168</v>
      </c>
      <c r="I73" t="s">
        <v>2988</v>
      </c>
      <c r="J73">
        <v>0.01</v>
      </c>
      <c r="K73">
        <v>2.72</v>
      </c>
      <c r="L73">
        <v>0.01</v>
      </c>
      <c r="M73">
        <v>0.53</v>
      </c>
      <c r="N73">
        <v>2.2799999999999998</v>
      </c>
      <c r="O73">
        <v>2.27</v>
      </c>
      <c r="P73">
        <v>5.72</v>
      </c>
      <c r="Q73">
        <v>3.44</v>
      </c>
      <c r="R73">
        <v>22.47</v>
      </c>
      <c r="S73">
        <v>22.64</v>
      </c>
      <c r="T73">
        <v>56.74</v>
      </c>
      <c r="U73">
        <v>0.44</v>
      </c>
      <c r="V73">
        <v>7.5</v>
      </c>
      <c r="W73" t="s">
        <v>2993</v>
      </c>
      <c r="X73">
        <v>0</v>
      </c>
      <c r="Y73">
        <v>0</v>
      </c>
      <c r="Z73">
        <v>0</v>
      </c>
      <c r="AA73">
        <v>105.54</v>
      </c>
      <c r="AB73">
        <v>267.22000000000003</v>
      </c>
      <c r="AC73">
        <v>0.61</v>
      </c>
      <c r="AD73">
        <v>0.5</v>
      </c>
      <c r="AE73">
        <v>0.84</v>
      </c>
      <c r="AF73">
        <v>26.17</v>
      </c>
      <c r="AG73">
        <v>1</v>
      </c>
      <c r="AH73">
        <v>38.94</v>
      </c>
      <c r="AI73">
        <v>38.659999999999997</v>
      </c>
      <c r="AJ73">
        <v>35.68</v>
      </c>
      <c r="AK73">
        <v>35.24</v>
      </c>
      <c r="AL73">
        <v>35.24</v>
      </c>
      <c r="AM73">
        <v>100.88</v>
      </c>
      <c r="AN73">
        <v>136.1</v>
      </c>
      <c r="AO73">
        <v>125.4</v>
      </c>
      <c r="AP73">
        <v>7.9</v>
      </c>
      <c r="AQ73">
        <v>103</v>
      </c>
      <c r="AR73">
        <v>3.6</v>
      </c>
      <c r="AS73">
        <v>-22</v>
      </c>
      <c r="AT73">
        <v>3</v>
      </c>
      <c r="AU73">
        <v>293</v>
      </c>
      <c r="AV73">
        <v>51.4</v>
      </c>
      <c r="AW73">
        <v>62.39</v>
      </c>
      <c r="AX73">
        <v>22.19</v>
      </c>
      <c r="AY73">
        <v>120.96</v>
      </c>
      <c r="AZ73">
        <v>7.21</v>
      </c>
      <c r="BA73">
        <v>152.71</v>
      </c>
      <c r="BB73">
        <v>31.33</v>
      </c>
      <c r="BC73" t="s">
        <v>3011</v>
      </c>
      <c r="BD73" t="s">
        <v>17</v>
      </c>
      <c r="BE73">
        <v>35.85</v>
      </c>
      <c r="BF73">
        <v>127.13</v>
      </c>
      <c r="BG73">
        <v>38.6</v>
      </c>
      <c r="BH73">
        <v>14</v>
      </c>
      <c r="BI73">
        <v>0.77</v>
      </c>
      <c r="BJ73" t="s">
        <v>2871</v>
      </c>
      <c r="BK73" t="s">
        <v>17</v>
      </c>
      <c r="BL73">
        <v>-0.85</v>
      </c>
      <c r="BM73" t="s">
        <v>165</v>
      </c>
      <c r="BN73">
        <v>0</v>
      </c>
      <c r="BO73">
        <v>0</v>
      </c>
      <c r="BP73">
        <v>-9999</v>
      </c>
      <c r="BQ73">
        <v>-0.05</v>
      </c>
      <c r="BR73">
        <v>0.23</v>
      </c>
      <c r="BS73">
        <v>-9999</v>
      </c>
      <c r="BT73" t="s">
        <v>165</v>
      </c>
      <c r="BU73">
        <v>150</v>
      </c>
      <c r="BV73">
        <v>0</v>
      </c>
      <c r="BW73">
        <v>2</v>
      </c>
      <c r="BX73">
        <v>0.06</v>
      </c>
      <c r="BY73">
        <v>0</v>
      </c>
      <c r="BZ73">
        <v>0.03</v>
      </c>
      <c r="CA73">
        <v>0</v>
      </c>
      <c r="CB73">
        <v>0</v>
      </c>
      <c r="CC73">
        <v>0</v>
      </c>
      <c r="CD73" t="s">
        <v>222</v>
      </c>
      <c r="CE73" t="s">
        <v>223</v>
      </c>
      <c r="CF73" t="s">
        <v>224</v>
      </c>
      <c r="CG73">
        <v>6000</v>
      </c>
      <c r="CH73">
        <v>500</v>
      </c>
      <c r="CI73">
        <v>1</v>
      </c>
      <c r="CJ73">
        <v>2</v>
      </c>
      <c r="CK73">
        <v>55537</v>
      </c>
      <c r="CL73">
        <v>55537</v>
      </c>
      <c r="CM73">
        <v>55537</v>
      </c>
      <c r="CN73">
        <v>0</v>
      </c>
      <c r="CO73">
        <v>-9999</v>
      </c>
      <c r="CP73">
        <v>0</v>
      </c>
      <c r="CQ73">
        <v>0</v>
      </c>
      <c r="CR73">
        <v>0</v>
      </c>
      <c r="CS73">
        <v>0</v>
      </c>
      <c r="CT73">
        <v>2.4900000000000002</v>
      </c>
      <c r="CU73">
        <v>2.4300000000000002</v>
      </c>
      <c r="CV73">
        <v>1.5</v>
      </c>
      <c r="CW73">
        <v>0.87</v>
      </c>
      <c r="CX73">
        <v>0.18</v>
      </c>
      <c r="CY73">
        <v>0</v>
      </c>
      <c r="CZ73">
        <v>0.6</v>
      </c>
      <c r="DA73">
        <v>0.2</v>
      </c>
      <c r="DB73">
        <v>105.54</v>
      </c>
      <c r="DC73">
        <v>0</v>
      </c>
      <c r="DD73">
        <v>2.42</v>
      </c>
      <c r="DE73">
        <v>0</v>
      </c>
      <c r="DF73">
        <v>1</v>
      </c>
      <c r="DG73">
        <v>2.37</v>
      </c>
      <c r="DH73">
        <v>0</v>
      </c>
      <c r="DI73">
        <v>1</v>
      </c>
      <c r="DJ73">
        <v>0.6</v>
      </c>
      <c r="DK73">
        <v>0.6</v>
      </c>
      <c r="DL73">
        <v>0.11</v>
      </c>
      <c r="DM73">
        <v>0</v>
      </c>
      <c r="DN73" t="s">
        <v>2993</v>
      </c>
      <c r="DO73" t="s">
        <v>245</v>
      </c>
      <c r="DP73" t="s">
        <v>246</v>
      </c>
      <c r="DQ73" t="s">
        <v>247</v>
      </c>
      <c r="DR73" t="s">
        <v>248</v>
      </c>
      <c r="DS73" t="s">
        <v>249</v>
      </c>
      <c r="DT73" t="s">
        <v>250</v>
      </c>
    </row>
    <row r="74" spans="1:124" x14ac:dyDescent="0.45">
      <c r="A74" t="s">
        <v>2930</v>
      </c>
      <c r="B74" t="s">
        <v>3022</v>
      </c>
      <c r="C74" t="s">
        <v>17</v>
      </c>
      <c r="D74" t="s">
        <v>167</v>
      </c>
      <c r="E74" t="s">
        <v>168</v>
      </c>
      <c r="I74" t="s">
        <v>3023</v>
      </c>
      <c r="J74">
        <v>0.35</v>
      </c>
      <c r="K74">
        <v>2.79</v>
      </c>
      <c r="L74">
        <v>0.31</v>
      </c>
      <c r="M74">
        <v>7.71</v>
      </c>
      <c r="N74">
        <v>2.5099999999999998</v>
      </c>
      <c r="O74">
        <v>2.27</v>
      </c>
      <c r="P74">
        <v>4.9000000000000004</v>
      </c>
      <c r="Q74">
        <v>2.39</v>
      </c>
      <c r="R74">
        <v>22.51</v>
      </c>
      <c r="S74">
        <v>24.84</v>
      </c>
      <c r="T74">
        <v>48.56</v>
      </c>
      <c r="U74">
        <v>0.44</v>
      </c>
      <c r="V74">
        <v>7.5</v>
      </c>
      <c r="W74" t="s">
        <v>3028</v>
      </c>
      <c r="X74">
        <v>0</v>
      </c>
      <c r="Y74">
        <v>0</v>
      </c>
      <c r="Z74">
        <v>0</v>
      </c>
      <c r="AA74">
        <v>129.44999999999999</v>
      </c>
      <c r="AB74">
        <v>498.77</v>
      </c>
      <c r="AC74">
        <v>0.74</v>
      </c>
      <c r="AD74">
        <v>0.5</v>
      </c>
      <c r="AE74">
        <v>0.84</v>
      </c>
      <c r="AF74">
        <v>248.48</v>
      </c>
      <c r="AG74">
        <v>1</v>
      </c>
      <c r="AH74">
        <v>42.79</v>
      </c>
      <c r="AI74">
        <v>38.78</v>
      </c>
      <c r="AJ74">
        <v>35.65</v>
      </c>
      <c r="AK74">
        <v>32.450000000000003</v>
      </c>
      <c r="AL74">
        <v>32.450000000000003</v>
      </c>
      <c r="AM74">
        <v>100.87</v>
      </c>
      <c r="AN74">
        <v>142.80000000000001</v>
      </c>
      <c r="AO74">
        <v>140.9</v>
      </c>
      <c r="AP74">
        <v>1.3</v>
      </c>
      <c r="AQ74">
        <v>799</v>
      </c>
      <c r="AR74">
        <v>3.6</v>
      </c>
      <c r="AS74">
        <v>-4</v>
      </c>
      <c r="AT74">
        <v>5</v>
      </c>
      <c r="AU74">
        <v>338</v>
      </c>
      <c r="AV74">
        <v>35.15</v>
      </c>
      <c r="AW74">
        <v>81.760000000000005</v>
      </c>
      <c r="AX74">
        <v>6.4</v>
      </c>
      <c r="AY74">
        <v>-150.57</v>
      </c>
      <c r="AZ74">
        <v>7.21</v>
      </c>
      <c r="BA74">
        <v>153.16</v>
      </c>
      <c r="BB74">
        <v>31.24</v>
      </c>
      <c r="BC74" t="s">
        <v>3045</v>
      </c>
      <c r="BD74" t="s">
        <v>17</v>
      </c>
      <c r="BE74">
        <v>35.85</v>
      </c>
      <c r="BF74">
        <v>127.13</v>
      </c>
      <c r="BG74">
        <v>39</v>
      </c>
      <c r="BH74">
        <v>9</v>
      </c>
      <c r="BI74">
        <v>1.08</v>
      </c>
      <c r="BJ74" t="s">
        <v>2871</v>
      </c>
      <c r="BK74" t="s">
        <v>17</v>
      </c>
      <c r="BL74">
        <v>-0.85</v>
      </c>
      <c r="BM74" t="s">
        <v>165</v>
      </c>
      <c r="BN74">
        <v>0</v>
      </c>
      <c r="BO74">
        <v>0</v>
      </c>
      <c r="BP74">
        <v>0</v>
      </c>
      <c r="BQ74">
        <v>-0.18</v>
      </c>
      <c r="BR74">
        <v>-0.67</v>
      </c>
      <c r="BS74">
        <v>-1.07</v>
      </c>
      <c r="BT74" t="s">
        <v>165</v>
      </c>
      <c r="BU74">
        <v>150</v>
      </c>
      <c r="BV74">
        <v>0</v>
      </c>
      <c r="BW74">
        <v>2</v>
      </c>
      <c r="BX74">
        <v>0.06</v>
      </c>
      <c r="BY74">
        <v>0</v>
      </c>
      <c r="BZ74">
        <v>0.03</v>
      </c>
      <c r="CA74">
        <v>0</v>
      </c>
      <c r="CB74">
        <v>0</v>
      </c>
      <c r="CC74">
        <v>0</v>
      </c>
      <c r="CD74" t="s">
        <v>222</v>
      </c>
      <c r="CE74" t="s">
        <v>223</v>
      </c>
      <c r="CF74" t="s">
        <v>224</v>
      </c>
      <c r="CG74">
        <v>6000</v>
      </c>
      <c r="CH74">
        <v>500</v>
      </c>
      <c r="CI74">
        <v>1</v>
      </c>
      <c r="CJ74">
        <v>2</v>
      </c>
      <c r="CK74">
        <v>55537</v>
      </c>
      <c r="CL74">
        <v>55537</v>
      </c>
      <c r="CM74">
        <v>55537</v>
      </c>
      <c r="CN74">
        <v>0</v>
      </c>
      <c r="CO74">
        <v>-9999</v>
      </c>
      <c r="CP74">
        <v>0</v>
      </c>
      <c r="CQ74">
        <v>0</v>
      </c>
      <c r="CR74">
        <v>0</v>
      </c>
      <c r="CS74">
        <v>0</v>
      </c>
      <c r="CT74">
        <v>2.4900000000000002</v>
      </c>
      <c r="CU74">
        <v>2.4300000000000002</v>
      </c>
      <c r="CV74">
        <v>1.56</v>
      </c>
      <c r="CW74">
        <v>0.91</v>
      </c>
      <c r="CX74">
        <v>0.18</v>
      </c>
      <c r="CY74">
        <v>-0.04</v>
      </c>
      <c r="CZ74">
        <v>0.6</v>
      </c>
      <c r="DA74">
        <v>0.8</v>
      </c>
      <c r="DB74">
        <v>129.44999999999999</v>
      </c>
      <c r="DC74">
        <v>0</v>
      </c>
      <c r="DD74">
        <v>2.42</v>
      </c>
      <c r="DE74">
        <v>0</v>
      </c>
      <c r="DF74">
        <v>1</v>
      </c>
      <c r="DG74">
        <v>2.37</v>
      </c>
      <c r="DH74">
        <v>0</v>
      </c>
      <c r="DI74">
        <v>1</v>
      </c>
      <c r="DJ74">
        <v>0.6</v>
      </c>
      <c r="DK74">
        <v>0.6</v>
      </c>
      <c r="DL74">
        <v>0.11</v>
      </c>
      <c r="DM74">
        <v>0</v>
      </c>
      <c r="DN74" t="s">
        <v>3028</v>
      </c>
      <c r="DO74" t="s">
        <v>245</v>
      </c>
      <c r="DP74" t="s">
        <v>246</v>
      </c>
      <c r="DQ74" t="s">
        <v>247</v>
      </c>
      <c r="DR74" t="s">
        <v>248</v>
      </c>
      <c r="DS74" t="s">
        <v>249</v>
      </c>
      <c r="DT74" t="s">
        <v>250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workbookViewId="0">
      <selection activeCell="C2" sqref="C2"/>
    </sheetView>
  </sheetViews>
  <sheetFormatPr defaultRowHeight="19.2" x14ac:dyDescent="0.45"/>
  <cols>
    <col min="4" max="4" width="13.1796875" bestFit="1" customWidth="1"/>
  </cols>
  <sheetData>
    <row r="1" spans="1:11" x14ac:dyDescent="0.45">
      <c r="A1" t="s">
        <v>35</v>
      </c>
      <c r="B1" t="s">
        <v>40</v>
      </c>
      <c r="C1" t="s">
        <v>4</v>
      </c>
      <c r="D1" s="1" t="s">
        <v>3059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10</v>
      </c>
    </row>
    <row r="2" spans="1:11" x14ac:dyDescent="0.45">
      <c r="A2" t="s">
        <v>166</v>
      </c>
      <c r="C2">
        <v>0.56000000000000005</v>
      </c>
      <c r="D2">
        <v>0.42831175438500801</v>
      </c>
      <c r="E2">
        <v>1.26</v>
      </c>
      <c r="F2">
        <v>104.06</v>
      </c>
      <c r="G2">
        <v>382.35</v>
      </c>
      <c r="H2">
        <v>0.73</v>
      </c>
      <c r="I2">
        <v>320.67</v>
      </c>
      <c r="J2">
        <v>1049</v>
      </c>
      <c r="K2">
        <v>27.54</v>
      </c>
    </row>
    <row r="3" spans="1:11" x14ac:dyDescent="0.45">
      <c r="A3" t="s">
        <v>252</v>
      </c>
      <c r="C3">
        <v>0.68</v>
      </c>
      <c r="D3">
        <v>0.49508729177317867</v>
      </c>
      <c r="E3">
        <v>1.24</v>
      </c>
      <c r="F3">
        <v>101.5</v>
      </c>
      <c r="G3">
        <v>351.26</v>
      </c>
      <c r="H3">
        <v>0.71</v>
      </c>
      <c r="I3">
        <v>368.21</v>
      </c>
      <c r="J3">
        <v>1233</v>
      </c>
      <c r="K3">
        <v>27.77</v>
      </c>
    </row>
    <row r="4" spans="1:11" x14ac:dyDescent="0.45">
      <c r="A4" t="s">
        <v>299</v>
      </c>
      <c r="C4">
        <v>0.25</v>
      </c>
      <c r="D4">
        <v>0.22787805832940919</v>
      </c>
      <c r="E4">
        <v>1.67</v>
      </c>
      <c r="F4">
        <v>120.17</v>
      </c>
      <c r="G4">
        <v>421.33</v>
      </c>
      <c r="H4">
        <v>0.71</v>
      </c>
      <c r="I4">
        <v>382.16</v>
      </c>
      <c r="J4">
        <v>1273</v>
      </c>
      <c r="K4">
        <v>28.96</v>
      </c>
    </row>
    <row r="5" spans="1:11" x14ac:dyDescent="0.45">
      <c r="A5" t="s">
        <v>345</v>
      </c>
      <c r="C5">
        <v>0.06</v>
      </c>
      <c r="D5">
        <v>6.2579555085149161E-2</v>
      </c>
      <c r="E5">
        <v>2.06</v>
      </c>
      <c r="F5">
        <v>130.16999999999999</v>
      </c>
      <c r="G5">
        <v>407.72</v>
      </c>
      <c r="H5">
        <v>0.68</v>
      </c>
      <c r="I5">
        <v>172.4</v>
      </c>
      <c r="J5">
        <v>603</v>
      </c>
      <c r="K5">
        <v>30.46</v>
      </c>
    </row>
    <row r="6" spans="1:11" x14ac:dyDescent="0.45">
      <c r="A6" t="s">
        <v>389</v>
      </c>
      <c r="C6">
        <v>0.12</v>
      </c>
      <c r="D6">
        <v>0.1186780880612711</v>
      </c>
      <c r="E6">
        <v>1.84</v>
      </c>
      <c r="F6">
        <v>120.9</v>
      </c>
      <c r="G6">
        <v>429.15</v>
      </c>
      <c r="H6">
        <v>0.72</v>
      </c>
      <c r="I6">
        <v>321.58999999999997</v>
      </c>
      <c r="J6">
        <v>1066</v>
      </c>
      <c r="K6">
        <v>29.65</v>
      </c>
    </row>
    <row r="7" spans="1:11" x14ac:dyDescent="0.45">
      <c r="A7" t="s">
        <v>429</v>
      </c>
      <c r="C7">
        <v>0.38</v>
      </c>
      <c r="D7">
        <v>0.32230819274171119</v>
      </c>
      <c r="E7">
        <v>1.52</v>
      </c>
      <c r="F7">
        <v>107.22</v>
      </c>
      <c r="G7">
        <v>458.9</v>
      </c>
      <c r="H7">
        <v>0.77</v>
      </c>
      <c r="I7">
        <v>346.98</v>
      </c>
      <c r="J7">
        <v>1078</v>
      </c>
      <c r="K7">
        <v>28.76</v>
      </c>
    </row>
    <row r="8" spans="1:11" x14ac:dyDescent="0.45">
      <c r="A8" t="s">
        <v>471</v>
      </c>
      <c r="C8">
        <v>0.74</v>
      </c>
      <c r="D8">
        <v>0.52889325959903566</v>
      </c>
      <c r="E8">
        <v>1.3</v>
      </c>
      <c r="F8">
        <v>111.56</v>
      </c>
      <c r="G8">
        <v>405.81</v>
      </c>
      <c r="H8">
        <v>0.73</v>
      </c>
      <c r="I8">
        <v>153.49</v>
      </c>
      <c r="J8">
        <v>504</v>
      </c>
      <c r="K8">
        <v>28.26</v>
      </c>
    </row>
    <row r="9" spans="1:11" x14ac:dyDescent="0.45">
      <c r="A9" t="s">
        <v>515</v>
      </c>
      <c r="C9">
        <v>0.4</v>
      </c>
      <c r="D9">
        <v>0.33610067317492048</v>
      </c>
      <c r="E9">
        <v>1.99</v>
      </c>
      <c r="F9">
        <v>200.44</v>
      </c>
      <c r="G9">
        <v>375.46</v>
      </c>
      <c r="H9">
        <v>0.47</v>
      </c>
      <c r="I9">
        <v>207.14</v>
      </c>
      <c r="J9">
        <v>1058</v>
      </c>
      <c r="K9">
        <v>30.87</v>
      </c>
    </row>
    <row r="10" spans="1:11" x14ac:dyDescent="0.45">
      <c r="A10" t="s">
        <v>558</v>
      </c>
      <c r="C10">
        <v>0.52</v>
      </c>
      <c r="D10">
        <v>0.4106688011296713</v>
      </c>
      <c r="E10">
        <v>2.0699999999999998</v>
      </c>
      <c r="F10">
        <v>164.84</v>
      </c>
      <c r="G10">
        <v>377.93</v>
      </c>
      <c r="H10">
        <v>0.56000000000000005</v>
      </c>
      <c r="I10">
        <v>262.14999999999998</v>
      </c>
      <c r="J10">
        <v>1107</v>
      </c>
      <c r="K10">
        <v>31.59</v>
      </c>
    </row>
    <row r="11" spans="1:11" x14ac:dyDescent="0.45">
      <c r="A11" t="s">
        <v>603</v>
      </c>
      <c r="C11">
        <v>0.17</v>
      </c>
      <c r="D11">
        <v>0.16410265155484491</v>
      </c>
      <c r="E11">
        <v>2.75</v>
      </c>
      <c r="F11">
        <v>155.44999999999999</v>
      </c>
      <c r="G11">
        <v>277.75</v>
      </c>
      <c r="H11">
        <v>0.44</v>
      </c>
      <c r="I11">
        <v>207.87</v>
      </c>
      <c r="J11">
        <v>1124</v>
      </c>
      <c r="K11">
        <v>33.619999999999997</v>
      </c>
    </row>
    <row r="12" spans="1:11" x14ac:dyDescent="0.45">
      <c r="A12" t="s">
        <v>645</v>
      </c>
      <c r="C12">
        <v>0.03</v>
      </c>
      <c r="D12">
        <v>2.5831841915538469E-2</v>
      </c>
      <c r="E12">
        <v>3.42</v>
      </c>
      <c r="F12">
        <v>144.16999999999999</v>
      </c>
      <c r="G12">
        <v>215.7</v>
      </c>
      <c r="H12">
        <v>0.33</v>
      </c>
      <c r="I12">
        <v>164.19</v>
      </c>
      <c r="J12">
        <v>1179</v>
      </c>
      <c r="K12">
        <v>35.47</v>
      </c>
    </row>
    <row r="13" spans="1:11" x14ac:dyDescent="0.45">
      <c r="A13" t="s">
        <v>683</v>
      </c>
      <c r="C13">
        <v>0.57999999999999996</v>
      </c>
      <c r="D13">
        <v>0.44451820464655462</v>
      </c>
      <c r="E13">
        <v>2.08</v>
      </c>
      <c r="F13">
        <v>154.49</v>
      </c>
      <c r="G13">
        <v>263.08</v>
      </c>
      <c r="H13">
        <v>0.41</v>
      </c>
      <c r="I13">
        <v>210.81</v>
      </c>
      <c r="J13">
        <v>1216</v>
      </c>
      <c r="K13">
        <v>31.86</v>
      </c>
    </row>
    <row r="14" spans="1:11" x14ac:dyDescent="0.45">
      <c r="A14" t="s">
        <v>725</v>
      </c>
      <c r="C14">
        <v>0.24</v>
      </c>
      <c r="D14">
        <v>0.22096718407431429</v>
      </c>
      <c r="E14">
        <v>2.2000000000000002</v>
      </c>
      <c r="F14">
        <v>120.26</v>
      </c>
      <c r="G14">
        <v>389.07</v>
      </c>
      <c r="H14">
        <v>0.69</v>
      </c>
      <c r="I14">
        <v>336.31</v>
      </c>
      <c r="J14">
        <v>1159</v>
      </c>
      <c r="K14">
        <v>31.86</v>
      </c>
    </row>
    <row r="15" spans="1:11" x14ac:dyDescent="0.45">
      <c r="A15" t="s">
        <v>767</v>
      </c>
      <c r="C15">
        <v>0.68</v>
      </c>
      <c r="D15">
        <v>0.5052141892168811</v>
      </c>
      <c r="E15">
        <v>1.7</v>
      </c>
      <c r="F15">
        <v>104.71</v>
      </c>
      <c r="G15">
        <v>325.24</v>
      </c>
      <c r="H15">
        <v>0.68</v>
      </c>
      <c r="I15">
        <v>432.3</v>
      </c>
      <c r="J15">
        <v>1518</v>
      </c>
      <c r="K15">
        <v>30.36</v>
      </c>
    </row>
    <row r="16" spans="1:11" x14ac:dyDescent="0.45">
      <c r="A16" t="s">
        <v>809</v>
      </c>
      <c r="C16">
        <v>0.68</v>
      </c>
      <c r="D16">
        <v>0.50544376191611162</v>
      </c>
      <c r="E16">
        <v>1.73</v>
      </c>
      <c r="F16">
        <v>106.62</v>
      </c>
      <c r="G16">
        <v>346.27</v>
      </c>
      <c r="H16">
        <v>0.69</v>
      </c>
      <c r="I16">
        <v>370.33</v>
      </c>
      <c r="J16">
        <v>1274</v>
      </c>
      <c r="K16">
        <v>30.3</v>
      </c>
    </row>
    <row r="17" spans="1:11" x14ac:dyDescent="0.45">
      <c r="A17" t="s">
        <v>850</v>
      </c>
      <c r="C17">
        <v>0.86</v>
      </c>
      <c r="D17">
        <v>0.5960439769240915</v>
      </c>
      <c r="E17">
        <v>2</v>
      </c>
      <c r="F17">
        <v>147.03</v>
      </c>
      <c r="G17">
        <v>252.64</v>
      </c>
      <c r="H17">
        <v>0.42</v>
      </c>
      <c r="I17">
        <v>312.87</v>
      </c>
      <c r="J17">
        <v>1782</v>
      </c>
      <c r="K17">
        <v>31.97</v>
      </c>
    </row>
    <row r="18" spans="1:11" x14ac:dyDescent="0.45">
      <c r="A18" t="s">
        <v>891</v>
      </c>
      <c r="C18">
        <v>1.05</v>
      </c>
      <c r="D18">
        <v>0.6699146122649432</v>
      </c>
      <c r="E18">
        <v>1.53</v>
      </c>
      <c r="F18">
        <v>102.56</v>
      </c>
      <c r="G18">
        <v>323.68</v>
      </c>
      <c r="H18">
        <v>0.68</v>
      </c>
      <c r="I18">
        <v>384.47</v>
      </c>
      <c r="J18">
        <v>1340</v>
      </c>
      <c r="K18">
        <v>30.19</v>
      </c>
    </row>
    <row r="19" spans="1:11" x14ac:dyDescent="0.45">
      <c r="A19" t="s">
        <v>933</v>
      </c>
      <c r="C19">
        <v>0.59</v>
      </c>
      <c r="D19">
        <v>0.45475429908353521</v>
      </c>
      <c r="E19">
        <v>1.9</v>
      </c>
      <c r="F19">
        <v>106.72</v>
      </c>
      <c r="G19">
        <v>347.72</v>
      </c>
      <c r="H19">
        <v>0.69</v>
      </c>
      <c r="I19">
        <v>446.54</v>
      </c>
      <c r="J19">
        <v>1534</v>
      </c>
      <c r="K19">
        <v>31.17</v>
      </c>
    </row>
    <row r="20" spans="1:11" x14ac:dyDescent="0.45">
      <c r="A20" t="s">
        <v>974</v>
      </c>
      <c r="C20">
        <v>0.9</v>
      </c>
      <c r="D20">
        <v>0.61688041350422196</v>
      </c>
      <c r="E20">
        <v>1.63</v>
      </c>
      <c r="F20">
        <v>107.19</v>
      </c>
      <c r="G20">
        <v>323.32</v>
      </c>
      <c r="H20">
        <v>0.67</v>
      </c>
      <c r="I20">
        <v>359.94</v>
      </c>
      <c r="J20">
        <v>1282</v>
      </c>
      <c r="K20">
        <v>30.14</v>
      </c>
    </row>
    <row r="21" spans="1:11" x14ac:dyDescent="0.45">
      <c r="A21" t="s">
        <v>1017</v>
      </c>
      <c r="C21">
        <v>0.84</v>
      </c>
      <c r="D21">
        <v>0.59311066608532448</v>
      </c>
      <c r="E21">
        <v>2.08</v>
      </c>
      <c r="F21">
        <v>142.4</v>
      </c>
      <c r="G21">
        <v>369.21</v>
      </c>
      <c r="H21">
        <v>0.61</v>
      </c>
      <c r="I21">
        <v>321.23</v>
      </c>
      <c r="J21">
        <v>1245</v>
      </c>
      <c r="K21">
        <v>32.340000000000003</v>
      </c>
    </row>
    <row r="22" spans="1:11" x14ac:dyDescent="0.45">
      <c r="A22" t="s">
        <v>1062</v>
      </c>
      <c r="C22">
        <v>0.57999999999999996</v>
      </c>
      <c r="D22">
        <v>0.44529433043041849</v>
      </c>
      <c r="E22">
        <v>2</v>
      </c>
      <c r="F22">
        <v>132.29</v>
      </c>
      <c r="G22">
        <v>426.18</v>
      </c>
      <c r="H22">
        <v>0.69</v>
      </c>
      <c r="I22">
        <v>386.94</v>
      </c>
      <c r="J22">
        <v>1336</v>
      </c>
      <c r="K22">
        <v>32.06</v>
      </c>
    </row>
    <row r="23" spans="1:11" x14ac:dyDescent="0.45">
      <c r="A23" t="s">
        <v>1101</v>
      </c>
      <c r="C23">
        <v>0.87</v>
      </c>
      <c r="D23">
        <v>0.59214096177837283</v>
      </c>
      <c r="E23">
        <v>2.06</v>
      </c>
      <c r="F23">
        <v>153.4</v>
      </c>
      <c r="G23">
        <v>361</v>
      </c>
      <c r="H23">
        <v>0.57999999999999996</v>
      </c>
      <c r="I23">
        <v>324.62</v>
      </c>
      <c r="J23">
        <v>1344</v>
      </c>
      <c r="K23">
        <v>32.79</v>
      </c>
    </row>
    <row r="24" spans="1:11" x14ac:dyDescent="0.45">
      <c r="A24" t="s">
        <v>1139</v>
      </c>
      <c r="C24">
        <v>0.35</v>
      </c>
      <c r="D24">
        <v>0.30271276331877273</v>
      </c>
      <c r="E24">
        <v>2.12</v>
      </c>
      <c r="F24">
        <v>105.27</v>
      </c>
      <c r="G24">
        <v>319.95</v>
      </c>
      <c r="H24">
        <v>0.67</v>
      </c>
      <c r="I24">
        <v>313.10000000000002</v>
      </c>
      <c r="J24">
        <v>1111</v>
      </c>
      <c r="K24">
        <v>31.66</v>
      </c>
    </row>
    <row r="25" spans="1:11" x14ac:dyDescent="0.45">
      <c r="A25" t="s">
        <v>1180</v>
      </c>
      <c r="C25">
        <v>0.95</v>
      </c>
      <c r="D25">
        <v>0.63349483376019111</v>
      </c>
      <c r="E25">
        <v>1.59</v>
      </c>
      <c r="F25">
        <v>105.22</v>
      </c>
      <c r="G25">
        <v>377.9</v>
      </c>
      <c r="H25">
        <v>0.72</v>
      </c>
      <c r="I25">
        <v>152.44</v>
      </c>
      <c r="J25">
        <v>503</v>
      </c>
      <c r="K25">
        <v>30.11</v>
      </c>
    </row>
    <row r="26" spans="1:11" x14ac:dyDescent="0.45">
      <c r="A26" t="s">
        <v>1220</v>
      </c>
      <c r="C26">
        <v>0.76</v>
      </c>
      <c r="D26">
        <v>0.54452719862141952</v>
      </c>
      <c r="E26">
        <v>1.67</v>
      </c>
      <c r="F26">
        <v>118.32</v>
      </c>
      <c r="G26">
        <v>403.82</v>
      </c>
      <c r="H26">
        <v>0.71</v>
      </c>
      <c r="I26">
        <v>233.99</v>
      </c>
      <c r="J26">
        <v>788</v>
      </c>
      <c r="K26">
        <v>30.63</v>
      </c>
    </row>
    <row r="27" spans="1:11" x14ac:dyDescent="0.45">
      <c r="A27" t="s">
        <v>1261</v>
      </c>
      <c r="C27">
        <v>0.14000000000000001</v>
      </c>
      <c r="D27">
        <v>0.1371241746346302</v>
      </c>
      <c r="E27">
        <v>2.84</v>
      </c>
      <c r="F27">
        <v>115.78</v>
      </c>
      <c r="G27">
        <v>378.95</v>
      </c>
      <c r="H27">
        <v>0.69</v>
      </c>
      <c r="I27">
        <v>275.93</v>
      </c>
      <c r="J27">
        <v>946</v>
      </c>
      <c r="K27">
        <v>33.92</v>
      </c>
    </row>
    <row r="28" spans="1:11" x14ac:dyDescent="0.45">
      <c r="A28" t="s">
        <v>1304</v>
      </c>
      <c r="C28">
        <v>0.01</v>
      </c>
      <c r="D28">
        <v>9.012584344914509E-3</v>
      </c>
      <c r="E28">
        <v>3.68</v>
      </c>
      <c r="F28">
        <v>96.42</v>
      </c>
      <c r="G28">
        <v>222.64</v>
      </c>
      <c r="H28">
        <v>0.56999999999999995</v>
      </c>
      <c r="I28">
        <v>259.55</v>
      </c>
      <c r="J28">
        <v>1090</v>
      </c>
      <c r="K28">
        <v>36.409999999999997</v>
      </c>
    </row>
    <row r="29" spans="1:11" x14ac:dyDescent="0.45">
      <c r="A29" t="s">
        <v>1340</v>
      </c>
      <c r="C29">
        <v>0.53</v>
      </c>
      <c r="D29">
        <v>0.41781681302167162</v>
      </c>
      <c r="E29">
        <v>2.09</v>
      </c>
      <c r="F29">
        <v>106.19</v>
      </c>
      <c r="G29">
        <v>368.31</v>
      </c>
      <c r="H29">
        <v>0.71</v>
      </c>
      <c r="I29">
        <v>290.25</v>
      </c>
      <c r="J29">
        <v>971</v>
      </c>
      <c r="K29">
        <v>32.450000000000003</v>
      </c>
    </row>
    <row r="30" spans="1:11" x14ac:dyDescent="0.45">
      <c r="A30" t="s">
        <v>1379</v>
      </c>
      <c r="C30">
        <v>0.1</v>
      </c>
      <c r="D30">
        <v>9.784717339530434E-2</v>
      </c>
      <c r="E30">
        <v>3.46</v>
      </c>
      <c r="F30">
        <v>164.51</v>
      </c>
      <c r="G30">
        <v>327.64</v>
      </c>
      <c r="H30">
        <v>0.5</v>
      </c>
      <c r="I30">
        <v>265.36</v>
      </c>
      <c r="J30">
        <v>1269</v>
      </c>
      <c r="K30">
        <v>35.83</v>
      </c>
    </row>
    <row r="31" spans="1:11" x14ac:dyDescent="0.45">
      <c r="A31" t="s">
        <v>1419</v>
      </c>
      <c r="C31">
        <v>0.33</v>
      </c>
      <c r="D31">
        <v>0.29300114301528879</v>
      </c>
      <c r="E31">
        <v>3.28</v>
      </c>
      <c r="F31">
        <v>147.96</v>
      </c>
      <c r="G31">
        <v>229.16</v>
      </c>
      <c r="H31">
        <v>0.35</v>
      </c>
      <c r="I31">
        <v>251.67</v>
      </c>
      <c r="J31">
        <v>1691</v>
      </c>
      <c r="K31">
        <v>35.76</v>
      </c>
    </row>
    <row r="32" spans="1:11" x14ac:dyDescent="0.45">
      <c r="A32" t="s">
        <v>1461</v>
      </c>
      <c r="C32">
        <v>0.63</v>
      </c>
      <c r="D32">
        <v>0.49012560763679569</v>
      </c>
      <c r="E32">
        <v>2.61</v>
      </c>
      <c r="F32">
        <v>145.27000000000001</v>
      </c>
      <c r="G32">
        <v>329.73</v>
      </c>
      <c r="H32">
        <v>0.56000000000000005</v>
      </c>
      <c r="I32">
        <v>346.34</v>
      </c>
      <c r="J32">
        <v>1474</v>
      </c>
      <c r="K32">
        <v>33.93</v>
      </c>
    </row>
    <row r="33" spans="1:11" x14ac:dyDescent="0.45">
      <c r="A33" t="s">
        <v>1500</v>
      </c>
      <c r="C33">
        <v>0.6</v>
      </c>
      <c r="D33">
        <v>0.46649661169982243</v>
      </c>
      <c r="E33">
        <v>2.13</v>
      </c>
      <c r="F33">
        <v>110.43</v>
      </c>
      <c r="G33">
        <v>376.61</v>
      </c>
      <c r="H33">
        <v>0.71</v>
      </c>
      <c r="I33">
        <v>365.42</v>
      </c>
      <c r="J33">
        <v>1231</v>
      </c>
      <c r="K33">
        <v>31.93</v>
      </c>
    </row>
    <row r="34" spans="1:11" x14ac:dyDescent="0.45">
      <c r="A34" t="s">
        <v>1540</v>
      </c>
      <c r="C34">
        <v>0.83</v>
      </c>
      <c r="D34">
        <v>0.58901849141485163</v>
      </c>
      <c r="E34">
        <v>1.8</v>
      </c>
      <c r="F34">
        <v>107.42</v>
      </c>
      <c r="G34">
        <v>348.01</v>
      </c>
      <c r="H34">
        <v>0.69</v>
      </c>
      <c r="I34">
        <v>337.68</v>
      </c>
      <c r="J34">
        <v>1163</v>
      </c>
      <c r="K34">
        <v>31.01</v>
      </c>
    </row>
    <row r="35" spans="1:11" x14ac:dyDescent="0.45">
      <c r="A35" t="s">
        <v>1580</v>
      </c>
      <c r="C35">
        <v>0.69</v>
      </c>
      <c r="D35">
        <v>0.51874400938705478</v>
      </c>
      <c r="E35">
        <v>1.88</v>
      </c>
      <c r="F35">
        <v>103.59</v>
      </c>
      <c r="G35">
        <v>378.05</v>
      </c>
      <c r="H35">
        <v>0.73</v>
      </c>
      <c r="I35">
        <v>318.02999999999997</v>
      </c>
      <c r="J35">
        <v>1043</v>
      </c>
      <c r="K35">
        <v>30.74</v>
      </c>
    </row>
    <row r="36" spans="1:11" x14ac:dyDescent="0.45">
      <c r="A36" t="s">
        <v>1620</v>
      </c>
      <c r="C36">
        <v>0.67</v>
      </c>
      <c r="D36">
        <v>0.50081615175152072</v>
      </c>
      <c r="E36">
        <v>2.5099999999999998</v>
      </c>
      <c r="F36">
        <v>159.43</v>
      </c>
      <c r="G36">
        <v>300.7</v>
      </c>
      <c r="H36">
        <v>0.47</v>
      </c>
      <c r="I36">
        <v>342.34</v>
      </c>
      <c r="J36">
        <v>1735</v>
      </c>
      <c r="K36">
        <v>34.08</v>
      </c>
    </row>
    <row r="37" spans="1:11" x14ac:dyDescent="0.45">
      <c r="A37" t="s">
        <v>1660</v>
      </c>
      <c r="C37">
        <v>1.1000000000000001</v>
      </c>
      <c r="D37">
        <v>0.70299522310345275</v>
      </c>
      <c r="E37">
        <v>2.2599999999999998</v>
      </c>
      <c r="F37">
        <v>160.58000000000001</v>
      </c>
      <c r="G37">
        <v>295.27999999999997</v>
      </c>
      <c r="H37">
        <v>0.46</v>
      </c>
      <c r="I37">
        <v>348.13</v>
      </c>
      <c r="J37">
        <v>1817</v>
      </c>
      <c r="K37">
        <v>33.54</v>
      </c>
    </row>
    <row r="38" spans="1:11" x14ac:dyDescent="0.45">
      <c r="A38" t="s">
        <v>1701</v>
      </c>
      <c r="C38">
        <v>0.65</v>
      </c>
      <c r="D38">
        <v>0.49423366117841572</v>
      </c>
      <c r="E38">
        <v>2.62</v>
      </c>
      <c r="F38">
        <v>150.43</v>
      </c>
      <c r="G38">
        <v>291.76</v>
      </c>
      <c r="H38">
        <v>0.48</v>
      </c>
      <c r="I38">
        <v>308.64</v>
      </c>
      <c r="J38">
        <v>1517</v>
      </c>
      <c r="K38">
        <v>34.130000000000003</v>
      </c>
    </row>
    <row r="39" spans="1:11" x14ac:dyDescent="0.45">
      <c r="A39" t="s">
        <v>1740</v>
      </c>
      <c r="C39">
        <v>0.26</v>
      </c>
      <c r="D39">
        <v>0.23791148976237261</v>
      </c>
      <c r="E39">
        <v>2.44</v>
      </c>
      <c r="F39">
        <v>119.5</v>
      </c>
      <c r="G39">
        <v>482.33</v>
      </c>
      <c r="H39">
        <v>0.75</v>
      </c>
      <c r="I39">
        <v>332.37</v>
      </c>
      <c r="J39">
        <v>1052</v>
      </c>
      <c r="K39">
        <v>32.950000000000003</v>
      </c>
    </row>
    <row r="40" spans="1:11" x14ac:dyDescent="0.45">
      <c r="A40" t="s">
        <v>1780</v>
      </c>
      <c r="C40">
        <v>0.66</v>
      </c>
      <c r="D40">
        <v>0.49734718287547491</v>
      </c>
      <c r="E40">
        <v>2.02</v>
      </c>
      <c r="F40">
        <v>112.33</v>
      </c>
      <c r="G40">
        <v>352.91</v>
      </c>
      <c r="H40">
        <v>0.68</v>
      </c>
      <c r="I40">
        <v>278.3</v>
      </c>
      <c r="J40">
        <v>972</v>
      </c>
      <c r="K40">
        <v>31.65</v>
      </c>
    </row>
    <row r="41" spans="1:11" x14ac:dyDescent="0.45">
      <c r="A41" t="s">
        <v>1817</v>
      </c>
      <c r="C41">
        <v>0.51</v>
      </c>
      <c r="D41">
        <v>0.40931444131522632</v>
      </c>
      <c r="E41">
        <v>2.15</v>
      </c>
      <c r="F41">
        <v>111.28</v>
      </c>
      <c r="G41">
        <v>389.33</v>
      </c>
      <c r="H41">
        <v>0.71</v>
      </c>
      <c r="I41">
        <v>171.88</v>
      </c>
      <c r="J41">
        <v>573</v>
      </c>
      <c r="K41">
        <v>31.85</v>
      </c>
    </row>
    <row r="42" spans="1:11" x14ac:dyDescent="0.45">
      <c r="A42" t="s">
        <v>1855</v>
      </c>
      <c r="C42">
        <v>0.03</v>
      </c>
      <c r="D42">
        <v>3.2492020725392173E-2</v>
      </c>
      <c r="E42">
        <v>3.29</v>
      </c>
      <c r="F42">
        <v>110.96</v>
      </c>
      <c r="G42">
        <v>496.66</v>
      </c>
      <c r="H42">
        <v>0.78</v>
      </c>
      <c r="I42">
        <v>371.51</v>
      </c>
      <c r="J42">
        <v>1139</v>
      </c>
      <c r="K42">
        <v>34.799999999999997</v>
      </c>
    </row>
    <row r="43" spans="1:11" x14ac:dyDescent="0.45">
      <c r="A43" t="s">
        <v>1889</v>
      </c>
      <c r="C43">
        <v>0.53</v>
      </c>
      <c r="D43">
        <v>0.42177826775804012</v>
      </c>
      <c r="E43">
        <v>2.1</v>
      </c>
      <c r="F43">
        <v>116.21</v>
      </c>
      <c r="G43">
        <v>524.86</v>
      </c>
      <c r="H43">
        <v>0.78</v>
      </c>
      <c r="I43">
        <v>118.05</v>
      </c>
      <c r="J43">
        <v>361</v>
      </c>
      <c r="K43">
        <v>31.59</v>
      </c>
    </row>
    <row r="44" spans="1:11" x14ac:dyDescent="0.45">
      <c r="A44" t="s">
        <v>1926</v>
      </c>
      <c r="C44">
        <v>0.65</v>
      </c>
      <c r="D44">
        <v>0.49367548525173</v>
      </c>
      <c r="E44">
        <v>1.97</v>
      </c>
      <c r="F44">
        <v>105.34</v>
      </c>
      <c r="G44">
        <v>412.92</v>
      </c>
      <c r="H44">
        <v>0.74</v>
      </c>
      <c r="I44">
        <v>140.47</v>
      </c>
      <c r="J44">
        <v>449</v>
      </c>
      <c r="K44">
        <v>31.59</v>
      </c>
    </row>
    <row r="45" spans="1:11" x14ac:dyDescent="0.45">
      <c r="A45" t="s">
        <v>1962</v>
      </c>
      <c r="C45">
        <v>0.26</v>
      </c>
      <c r="D45">
        <v>0.23697110715985689</v>
      </c>
      <c r="E45">
        <v>2.4500000000000002</v>
      </c>
      <c r="F45">
        <v>113.04</v>
      </c>
      <c r="G45">
        <v>464.48</v>
      </c>
      <c r="H45">
        <v>0.76</v>
      </c>
      <c r="I45">
        <v>162.07</v>
      </c>
      <c r="J45">
        <v>510</v>
      </c>
      <c r="K45">
        <v>32.68</v>
      </c>
    </row>
    <row r="46" spans="1:11" x14ac:dyDescent="0.45">
      <c r="A46" t="s">
        <v>2002</v>
      </c>
      <c r="C46">
        <v>0.26</v>
      </c>
      <c r="D46">
        <v>0.23404381199808461</v>
      </c>
      <c r="E46">
        <v>2.34</v>
      </c>
      <c r="F46">
        <v>108.02</v>
      </c>
      <c r="G46">
        <v>461.89</v>
      </c>
      <c r="H46">
        <v>0.77</v>
      </c>
      <c r="I46">
        <v>98.79</v>
      </c>
      <c r="J46">
        <v>307</v>
      </c>
      <c r="K46">
        <v>32.29</v>
      </c>
    </row>
    <row r="47" spans="1:11" x14ac:dyDescent="0.45">
      <c r="A47" t="s">
        <v>2041</v>
      </c>
      <c r="C47">
        <v>0.13</v>
      </c>
      <c r="D47">
        <v>0.1238664458837427</v>
      </c>
      <c r="E47">
        <v>2.8</v>
      </c>
      <c r="F47">
        <v>109.68</v>
      </c>
      <c r="G47">
        <v>471.15</v>
      </c>
      <c r="H47">
        <v>0.77</v>
      </c>
      <c r="I47">
        <v>46.08</v>
      </c>
      <c r="J47">
        <v>143</v>
      </c>
      <c r="K47">
        <v>33.4</v>
      </c>
    </row>
    <row r="48" spans="1:11" x14ac:dyDescent="0.45">
      <c r="A48" t="s">
        <v>2082</v>
      </c>
      <c r="C48">
        <v>0.21</v>
      </c>
      <c r="D48">
        <v>0.1938127833746193</v>
      </c>
      <c r="E48">
        <v>2.64</v>
      </c>
      <c r="F48">
        <v>133.85</v>
      </c>
      <c r="G48">
        <v>546.1</v>
      </c>
      <c r="H48">
        <v>0.75</v>
      </c>
      <c r="I48">
        <v>39.630000000000003</v>
      </c>
      <c r="J48">
        <v>125</v>
      </c>
      <c r="K48">
        <v>32.79</v>
      </c>
    </row>
    <row r="49" spans="1:11" x14ac:dyDescent="0.45">
      <c r="A49" t="s">
        <v>2120</v>
      </c>
      <c r="C49">
        <v>0.23</v>
      </c>
      <c r="D49">
        <v>0.20877369952620409</v>
      </c>
      <c r="E49">
        <v>2.6</v>
      </c>
      <c r="F49">
        <v>118.84</v>
      </c>
      <c r="G49">
        <v>448.89</v>
      </c>
      <c r="H49">
        <v>0.74</v>
      </c>
      <c r="I49">
        <v>154.09</v>
      </c>
      <c r="J49">
        <v>499</v>
      </c>
      <c r="K49">
        <v>32.78</v>
      </c>
    </row>
    <row r="50" spans="1:11" x14ac:dyDescent="0.45">
      <c r="A50" t="s">
        <v>2160</v>
      </c>
      <c r="C50">
        <v>0.01</v>
      </c>
      <c r="D50">
        <v>1.519058933427846E-2</v>
      </c>
      <c r="E50">
        <v>3.03</v>
      </c>
      <c r="F50">
        <v>110.45</v>
      </c>
      <c r="G50">
        <v>438.8</v>
      </c>
      <c r="H50">
        <v>0.75</v>
      </c>
      <c r="I50">
        <v>36.770000000000003</v>
      </c>
      <c r="J50">
        <v>117</v>
      </c>
      <c r="K50">
        <v>34.31</v>
      </c>
    </row>
    <row r="51" spans="1:11" x14ac:dyDescent="0.45">
      <c r="A51" t="s">
        <v>2191</v>
      </c>
      <c r="C51">
        <v>0.57999999999999996</v>
      </c>
      <c r="D51">
        <v>0.45432186611409953</v>
      </c>
      <c r="E51">
        <v>2.14</v>
      </c>
      <c r="F51">
        <v>111.81</v>
      </c>
      <c r="G51">
        <v>480.89</v>
      </c>
      <c r="H51">
        <v>0.77</v>
      </c>
      <c r="I51">
        <v>148.6</v>
      </c>
      <c r="J51">
        <v>461</v>
      </c>
      <c r="K51">
        <v>31.57</v>
      </c>
    </row>
    <row r="52" spans="1:11" x14ac:dyDescent="0.45">
      <c r="A52" t="s">
        <v>2226</v>
      </c>
      <c r="C52">
        <v>0.73</v>
      </c>
      <c r="D52">
        <v>0.52926039890622556</v>
      </c>
      <c r="E52">
        <v>1.89</v>
      </c>
      <c r="F52">
        <v>114.73</v>
      </c>
      <c r="G52">
        <v>475.68</v>
      </c>
      <c r="H52">
        <v>0.76</v>
      </c>
      <c r="I52">
        <v>216.4</v>
      </c>
      <c r="J52">
        <v>679</v>
      </c>
      <c r="K52">
        <v>31.58</v>
      </c>
    </row>
    <row r="53" spans="1:11" x14ac:dyDescent="0.45">
      <c r="A53" t="s">
        <v>2265</v>
      </c>
      <c r="C53">
        <v>0.63</v>
      </c>
      <c r="D53">
        <v>0.48238499764493969</v>
      </c>
      <c r="E53">
        <v>1.97</v>
      </c>
      <c r="F53">
        <v>109.13</v>
      </c>
      <c r="G53">
        <v>426.67</v>
      </c>
      <c r="H53">
        <v>0.74</v>
      </c>
      <c r="I53">
        <v>70.33</v>
      </c>
      <c r="J53">
        <v>225</v>
      </c>
      <c r="K53">
        <v>31.23</v>
      </c>
    </row>
    <row r="54" spans="1:11" x14ac:dyDescent="0.45">
      <c r="A54" t="s">
        <v>2301</v>
      </c>
      <c r="C54">
        <v>0.76</v>
      </c>
      <c r="D54">
        <v>0.54992556788618041</v>
      </c>
      <c r="E54">
        <v>1.85</v>
      </c>
      <c r="F54">
        <v>102.82</v>
      </c>
      <c r="G54">
        <v>429.91</v>
      </c>
      <c r="H54">
        <v>0.76</v>
      </c>
      <c r="I54">
        <v>140.28</v>
      </c>
      <c r="J54">
        <v>439</v>
      </c>
      <c r="K54">
        <v>31.01</v>
      </c>
    </row>
    <row r="55" spans="1:11" x14ac:dyDescent="0.45">
      <c r="A55" t="s">
        <v>2334</v>
      </c>
      <c r="C55">
        <v>0.82</v>
      </c>
      <c r="D55">
        <v>0.57680698834608812</v>
      </c>
      <c r="E55">
        <v>1.74</v>
      </c>
      <c r="F55">
        <v>98.95</v>
      </c>
      <c r="G55">
        <v>429.7</v>
      </c>
      <c r="H55">
        <v>0.77</v>
      </c>
      <c r="I55">
        <v>312.29000000000002</v>
      </c>
      <c r="J55">
        <v>966</v>
      </c>
      <c r="K55">
        <v>30.93</v>
      </c>
    </row>
    <row r="56" spans="1:11" x14ac:dyDescent="0.45">
      <c r="A56" t="s">
        <v>2371</v>
      </c>
      <c r="C56">
        <v>0.47</v>
      </c>
      <c r="D56">
        <v>0.38555928548225049</v>
      </c>
      <c r="E56">
        <v>2.1</v>
      </c>
      <c r="F56">
        <v>108.04</v>
      </c>
      <c r="G56">
        <v>493.39</v>
      </c>
      <c r="H56">
        <v>0.78</v>
      </c>
      <c r="I56">
        <v>19.350000000000001</v>
      </c>
      <c r="J56">
        <v>59</v>
      </c>
      <c r="K56">
        <v>31.36</v>
      </c>
    </row>
    <row r="57" spans="1:11" x14ac:dyDescent="0.45">
      <c r="A57" t="s">
        <v>2407</v>
      </c>
      <c r="C57">
        <v>0.43</v>
      </c>
      <c r="D57">
        <v>0.36407652034699661</v>
      </c>
      <c r="E57">
        <v>2.2400000000000002</v>
      </c>
      <c r="F57">
        <v>114.44</v>
      </c>
      <c r="G57">
        <v>549.96</v>
      </c>
      <c r="H57">
        <v>0.79</v>
      </c>
      <c r="I57">
        <v>7.98</v>
      </c>
      <c r="J57">
        <v>24</v>
      </c>
      <c r="K57">
        <v>31.83</v>
      </c>
    </row>
    <row r="58" spans="1:11" x14ac:dyDescent="0.45">
      <c r="A58" t="s">
        <v>2440</v>
      </c>
      <c r="C58">
        <v>0.56999999999999995</v>
      </c>
      <c r="D58">
        <v>0.44961685666251772</v>
      </c>
      <c r="E58">
        <v>1.98</v>
      </c>
      <c r="F58">
        <v>111.97</v>
      </c>
      <c r="G58">
        <v>575.01</v>
      </c>
      <c r="H58">
        <v>0.81</v>
      </c>
      <c r="I58">
        <v>14.88</v>
      </c>
      <c r="J58">
        <v>44</v>
      </c>
      <c r="K58">
        <v>30.85</v>
      </c>
    </row>
    <row r="59" spans="1:11" x14ac:dyDescent="0.45">
      <c r="A59" t="s">
        <v>2473</v>
      </c>
      <c r="C59">
        <v>0.47</v>
      </c>
      <c r="D59">
        <v>0.38851989942645321</v>
      </c>
      <c r="E59">
        <v>2.16</v>
      </c>
      <c r="F59">
        <v>124.53</v>
      </c>
      <c r="G59">
        <v>343.48</v>
      </c>
      <c r="H59">
        <v>0.64</v>
      </c>
      <c r="I59">
        <v>77.64</v>
      </c>
      <c r="J59">
        <v>290</v>
      </c>
      <c r="K59">
        <v>31.75</v>
      </c>
    </row>
    <row r="60" spans="1:11" x14ac:dyDescent="0.45">
      <c r="A60" t="s">
        <v>2509</v>
      </c>
      <c r="C60">
        <v>0.28000000000000003</v>
      </c>
      <c r="D60">
        <v>0.25230799861465419</v>
      </c>
      <c r="E60">
        <v>2.31</v>
      </c>
      <c r="F60">
        <v>118.56</v>
      </c>
      <c r="G60">
        <v>421.62</v>
      </c>
      <c r="H60">
        <v>0.72</v>
      </c>
      <c r="I60">
        <v>28.68</v>
      </c>
      <c r="J60">
        <v>95</v>
      </c>
      <c r="K60">
        <v>32.53</v>
      </c>
    </row>
    <row r="61" spans="1:11" x14ac:dyDescent="0.45">
      <c r="A61" t="s">
        <v>2545</v>
      </c>
      <c r="C61">
        <v>0.38</v>
      </c>
      <c r="D61">
        <v>0.32686412236622431</v>
      </c>
      <c r="E61">
        <v>2.2000000000000002</v>
      </c>
      <c r="F61">
        <v>153.29</v>
      </c>
      <c r="G61">
        <v>480.76</v>
      </c>
      <c r="H61">
        <v>0.68</v>
      </c>
      <c r="I61">
        <v>157.91999999999999</v>
      </c>
      <c r="J61">
        <v>552</v>
      </c>
      <c r="K61">
        <v>31.95</v>
      </c>
    </row>
    <row r="62" spans="1:11" x14ac:dyDescent="0.45">
      <c r="A62" t="s">
        <v>2580</v>
      </c>
      <c r="C62">
        <v>0.22</v>
      </c>
      <c r="D62">
        <v>0.20100015174297359</v>
      </c>
      <c r="E62">
        <v>2.54</v>
      </c>
      <c r="F62">
        <v>139.66999999999999</v>
      </c>
      <c r="G62">
        <v>471.46</v>
      </c>
      <c r="H62">
        <v>0.7</v>
      </c>
      <c r="I62">
        <v>27.19</v>
      </c>
      <c r="J62">
        <v>92</v>
      </c>
      <c r="K62">
        <v>32.619999999999997</v>
      </c>
    </row>
    <row r="63" spans="1:11" x14ac:dyDescent="0.45">
      <c r="A63" t="s">
        <v>2621</v>
      </c>
      <c r="C63">
        <v>0.53</v>
      </c>
      <c r="D63">
        <v>0.42588368823950618</v>
      </c>
      <c r="E63">
        <v>2.0299999999999998</v>
      </c>
      <c r="F63">
        <v>126.26</v>
      </c>
      <c r="G63">
        <v>367.28</v>
      </c>
      <c r="H63">
        <v>0.66</v>
      </c>
      <c r="I63">
        <v>21.22</v>
      </c>
      <c r="J63">
        <v>77</v>
      </c>
      <c r="K63">
        <v>31.61</v>
      </c>
    </row>
    <row r="64" spans="1:11" x14ac:dyDescent="0.45">
      <c r="A64" t="s">
        <v>2657</v>
      </c>
      <c r="C64">
        <v>0.21</v>
      </c>
      <c r="D64">
        <v>0.19743550229425741</v>
      </c>
      <c r="E64">
        <v>2.62</v>
      </c>
      <c r="F64">
        <v>114.62</v>
      </c>
      <c r="G64">
        <v>554.79</v>
      </c>
      <c r="H64">
        <v>0.79</v>
      </c>
      <c r="I64">
        <v>51.65</v>
      </c>
      <c r="J64">
        <v>155</v>
      </c>
      <c r="K64">
        <v>32.51</v>
      </c>
    </row>
    <row r="65" spans="1:11" x14ac:dyDescent="0.45">
      <c r="A65" t="s">
        <v>2696</v>
      </c>
      <c r="C65">
        <v>0</v>
      </c>
      <c r="D65">
        <v>5.378958850249969E-3</v>
      </c>
      <c r="E65">
        <v>3.52</v>
      </c>
      <c r="F65">
        <v>113.95</v>
      </c>
      <c r="G65">
        <v>263.97000000000003</v>
      </c>
      <c r="H65">
        <v>0.56999999999999995</v>
      </c>
      <c r="I65">
        <v>233.91</v>
      </c>
      <c r="J65">
        <v>980</v>
      </c>
      <c r="K65">
        <v>35.39</v>
      </c>
    </row>
    <row r="66" spans="1:11" x14ac:dyDescent="0.45">
      <c r="A66" t="s">
        <v>2734</v>
      </c>
      <c r="C66">
        <v>0.38</v>
      </c>
      <c r="D66">
        <v>0.32089392835077668</v>
      </c>
      <c r="E66">
        <v>2.2599999999999998</v>
      </c>
      <c r="F66">
        <v>132.37</v>
      </c>
      <c r="G66">
        <v>521.21</v>
      </c>
      <c r="H66">
        <v>0.75</v>
      </c>
      <c r="I66">
        <v>26.01</v>
      </c>
      <c r="J66">
        <v>83</v>
      </c>
      <c r="K66">
        <v>32.26</v>
      </c>
    </row>
    <row r="67" spans="1:11" x14ac:dyDescent="0.45">
      <c r="A67" t="s">
        <v>2771</v>
      </c>
      <c r="C67">
        <v>0.21</v>
      </c>
      <c r="D67">
        <v>0.1916556541630427</v>
      </c>
      <c r="E67">
        <v>2.5299999999999998</v>
      </c>
      <c r="F67">
        <v>125.72</v>
      </c>
      <c r="G67">
        <v>538.39</v>
      </c>
      <c r="H67">
        <v>0.77</v>
      </c>
      <c r="I67">
        <v>16.739999999999998</v>
      </c>
      <c r="J67">
        <v>52</v>
      </c>
      <c r="K67">
        <v>33.21</v>
      </c>
    </row>
    <row r="68" spans="1:11" x14ac:dyDescent="0.45">
      <c r="A68" t="s">
        <v>2804</v>
      </c>
      <c r="C68">
        <v>0.06</v>
      </c>
      <c r="D68">
        <v>5.9161593771230217E-2</v>
      </c>
      <c r="E68">
        <v>3.44</v>
      </c>
      <c r="F68">
        <v>171.67</v>
      </c>
      <c r="G68">
        <v>434.91</v>
      </c>
      <c r="H68">
        <v>0.61</v>
      </c>
      <c r="I68">
        <v>118.72</v>
      </c>
      <c r="J68">
        <v>467</v>
      </c>
      <c r="K68">
        <v>35.65</v>
      </c>
    </row>
    <row r="69" spans="1:11" x14ac:dyDescent="0.45">
      <c r="A69" t="s">
        <v>2845</v>
      </c>
      <c r="C69">
        <v>0.28000000000000003</v>
      </c>
      <c r="D69">
        <v>0.2496401763641253</v>
      </c>
      <c r="E69">
        <v>2.57</v>
      </c>
      <c r="F69">
        <v>111.82</v>
      </c>
      <c r="G69">
        <v>493.85</v>
      </c>
      <c r="H69">
        <v>0.77</v>
      </c>
      <c r="I69">
        <v>129.31</v>
      </c>
      <c r="J69">
        <v>398</v>
      </c>
      <c r="K69">
        <v>33.19</v>
      </c>
    </row>
    <row r="70" spans="1:11" x14ac:dyDescent="0.45">
      <c r="A70" t="s">
        <v>2885</v>
      </c>
      <c r="C70">
        <v>0.7</v>
      </c>
      <c r="D70">
        <v>0.52608907423901519</v>
      </c>
      <c r="E70">
        <v>1.98</v>
      </c>
      <c r="F70">
        <v>115.62</v>
      </c>
      <c r="G70">
        <v>537.6</v>
      </c>
      <c r="H70">
        <v>0.78</v>
      </c>
      <c r="I70">
        <v>64.94</v>
      </c>
      <c r="J70">
        <v>197</v>
      </c>
      <c r="K70">
        <v>31.08</v>
      </c>
    </row>
    <row r="71" spans="1:11" x14ac:dyDescent="0.45">
      <c r="A71" t="s">
        <v>2916</v>
      </c>
      <c r="C71">
        <v>0.41</v>
      </c>
      <c r="D71">
        <v>0.35069047660260921</v>
      </c>
      <c r="E71">
        <v>2.31</v>
      </c>
      <c r="F71">
        <v>107.85</v>
      </c>
      <c r="G71">
        <v>493.93</v>
      </c>
      <c r="H71">
        <v>0.78</v>
      </c>
      <c r="I71">
        <v>23.97</v>
      </c>
      <c r="J71">
        <v>73</v>
      </c>
      <c r="K71">
        <v>31.98</v>
      </c>
    </row>
    <row r="72" spans="1:11" x14ac:dyDescent="0.45">
      <c r="A72" t="s">
        <v>2953</v>
      </c>
      <c r="C72">
        <v>0.4</v>
      </c>
      <c r="D72">
        <v>0.33913676341558813</v>
      </c>
      <c r="E72">
        <v>2.2599999999999998</v>
      </c>
      <c r="F72">
        <v>116.37</v>
      </c>
      <c r="G72">
        <v>373.17</v>
      </c>
      <c r="H72">
        <v>0.69</v>
      </c>
      <c r="I72">
        <v>39.31</v>
      </c>
      <c r="J72">
        <v>136</v>
      </c>
      <c r="K72">
        <v>31.83</v>
      </c>
    </row>
    <row r="73" spans="1:11" x14ac:dyDescent="0.45">
      <c r="A73" t="s">
        <v>2987</v>
      </c>
      <c r="C73">
        <v>0.01</v>
      </c>
      <c r="D73">
        <v>1.500437318801111E-2</v>
      </c>
      <c r="E73">
        <v>3.44</v>
      </c>
      <c r="F73">
        <v>105.54</v>
      </c>
      <c r="G73">
        <v>267.22000000000003</v>
      </c>
      <c r="H73">
        <v>0.61</v>
      </c>
      <c r="I73">
        <v>26.17</v>
      </c>
      <c r="J73">
        <v>103</v>
      </c>
      <c r="K73">
        <v>35.24</v>
      </c>
    </row>
    <row r="74" spans="1:11" x14ac:dyDescent="0.45">
      <c r="A74" t="s">
        <v>3022</v>
      </c>
      <c r="C74">
        <v>0.35</v>
      </c>
      <c r="D74">
        <v>0.30794108004105658</v>
      </c>
      <c r="E74">
        <v>2.39</v>
      </c>
      <c r="F74">
        <v>129.44999999999999</v>
      </c>
      <c r="G74">
        <v>498.77</v>
      </c>
      <c r="H74">
        <v>0.74</v>
      </c>
      <c r="I74">
        <v>248.48</v>
      </c>
      <c r="J74">
        <v>799</v>
      </c>
      <c r="K74">
        <v>32.450000000000003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lightfluoromete</vt:lpstr>
      <vt:lpstr>Sheet1</vt:lpstr>
      <vt:lpstr>정리</vt:lpstr>
      <vt:lpstr>Clean_Data</vt:lpstr>
      <vt:lpstr>Selected_Data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2026-09-04T09:03:29Z</dcterms:created>
  <dcterms:modified xsi:type="dcterms:W3CDTF">2026-10-26T05:37:23Z</dcterms:modified>
</cp:coreProperties>
</file>