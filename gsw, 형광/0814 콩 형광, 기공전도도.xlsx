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43" documentId="11_C139261D50C1E2F7A6F4852533906D7893D9548B" xr6:coauthVersionLast="47" xr6:coauthVersionMax="47" xr10:uidLastSave="{F7581DF0-A5DB-418F-9725-DD65E9584AAB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" l="1"/>
  <c r="P2" i="4"/>
  <c r="Q2" i="4"/>
  <c r="R2" i="4"/>
  <c r="S2" i="4"/>
  <c r="T2" i="4"/>
  <c r="U2" i="4"/>
  <c r="O3" i="4"/>
  <c r="P3" i="4"/>
  <c r="Q3" i="4"/>
  <c r="R3" i="4"/>
  <c r="S3" i="4"/>
  <c r="T3" i="4"/>
  <c r="U3" i="4"/>
  <c r="N3" i="4"/>
  <c r="N2" i="4"/>
  <c r="M3" i="4"/>
  <c r="M2" i="4"/>
  <c r="AL27" i="1" l="1"/>
  <c r="P27" i="1" s="1"/>
  <c r="AF27" i="1"/>
  <c r="U27" i="1"/>
  <c r="M27" i="1" s="1"/>
  <c r="K27" i="1"/>
  <c r="AL26" i="1"/>
  <c r="P26" i="1" s="1"/>
  <c r="AF26" i="1"/>
  <c r="U26" i="1"/>
  <c r="M26" i="1" s="1"/>
  <c r="K26" i="1"/>
  <c r="AL25" i="1"/>
  <c r="P25" i="1" s="1"/>
  <c r="AF25" i="1"/>
  <c r="U25" i="1"/>
  <c r="M25" i="1" s="1"/>
  <c r="K25" i="1"/>
  <c r="AL24" i="1"/>
  <c r="P24" i="1" s="1"/>
  <c r="AF24" i="1"/>
  <c r="U24" i="1"/>
  <c r="M24" i="1" s="1"/>
  <c r="K24" i="1"/>
  <c r="AL23" i="1"/>
  <c r="P23" i="1" s="1"/>
  <c r="AF23" i="1"/>
  <c r="U23" i="1"/>
  <c r="M23" i="1"/>
  <c r="K23" i="1"/>
  <c r="AL22" i="1"/>
  <c r="P22" i="1" s="1"/>
  <c r="AF22" i="1"/>
  <c r="U22" i="1"/>
  <c r="M22" i="1"/>
  <c r="K22" i="1"/>
  <c r="AL21" i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P19" i="1" s="1"/>
  <c r="AF19" i="1"/>
  <c r="U19" i="1"/>
  <c r="M19" i="1"/>
  <c r="K19" i="1"/>
  <c r="AL18" i="1"/>
  <c r="AF18" i="1"/>
  <c r="U18" i="1"/>
  <c r="M18" i="1" s="1"/>
  <c r="P18" i="1"/>
  <c r="T18" i="1" s="1"/>
  <c r="K18" i="1"/>
  <c r="AL17" i="1"/>
  <c r="AF17" i="1"/>
  <c r="U17" i="1"/>
  <c r="P17" i="1"/>
  <c r="T17" i="1" s="1"/>
  <c r="M17" i="1"/>
  <c r="K17" i="1"/>
  <c r="AL16" i="1"/>
  <c r="AF16" i="1"/>
  <c r="U16" i="1"/>
  <c r="T16" i="1"/>
  <c r="P16" i="1"/>
  <c r="Q16" i="1" s="1"/>
  <c r="M16" i="1"/>
  <c r="L16" i="1" s="1"/>
  <c r="J16" i="1" s="1"/>
  <c r="K16" i="1"/>
  <c r="AL15" i="1"/>
  <c r="P15" i="1" s="1"/>
  <c r="AF15" i="1"/>
  <c r="U15" i="1"/>
  <c r="M15" i="1" s="1"/>
  <c r="K15" i="1"/>
  <c r="AL14" i="1"/>
  <c r="P14" i="1" s="1"/>
  <c r="AF14" i="1"/>
  <c r="U14" i="1"/>
  <c r="M14" i="1"/>
  <c r="K14" i="1"/>
  <c r="AL13" i="1"/>
  <c r="P13" i="1" s="1"/>
  <c r="AF13" i="1"/>
  <c r="U13" i="1"/>
  <c r="M13" i="1"/>
  <c r="K13" i="1"/>
  <c r="AL12" i="1"/>
  <c r="P12" i="1" s="1"/>
  <c r="AF12" i="1"/>
  <c r="U12" i="1"/>
  <c r="M12" i="1" s="1"/>
  <c r="K12" i="1"/>
  <c r="AL11" i="1"/>
  <c r="P11" i="1" s="1"/>
  <c r="AF11" i="1"/>
  <c r="U11" i="1"/>
  <c r="M11" i="1" s="1"/>
  <c r="K11" i="1"/>
  <c r="AL10" i="1"/>
  <c r="P10" i="1" s="1"/>
  <c r="AF10" i="1"/>
  <c r="U10" i="1"/>
  <c r="M10" i="1"/>
  <c r="K10" i="1"/>
  <c r="AL9" i="1"/>
  <c r="AF9" i="1"/>
  <c r="U9" i="1"/>
  <c r="M9" i="1" s="1"/>
  <c r="L9" i="1" s="1"/>
  <c r="J9" i="1" s="1"/>
  <c r="P9" i="1"/>
  <c r="T9" i="1" s="1"/>
  <c r="K9" i="1"/>
  <c r="AL8" i="1"/>
  <c r="AF8" i="1"/>
  <c r="U8" i="1"/>
  <c r="P8" i="1"/>
  <c r="Q8" i="1" s="1"/>
  <c r="M8" i="1"/>
  <c r="K8" i="1"/>
  <c r="AL7" i="1"/>
  <c r="AF7" i="1"/>
  <c r="U7" i="1"/>
  <c r="T7" i="1"/>
  <c r="P7" i="1"/>
  <c r="Q7" i="1" s="1"/>
  <c r="M7" i="1"/>
  <c r="L7" i="1" s="1"/>
  <c r="J7" i="1" s="1"/>
  <c r="K7" i="1"/>
  <c r="AL6" i="1"/>
  <c r="P6" i="1" s="1"/>
  <c r="AF6" i="1"/>
  <c r="U6" i="1"/>
  <c r="M6" i="1" s="1"/>
  <c r="K6" i="1"/>
  <c r="AL5" i="1"/>
  <c r="P5" i="1" s="1"/>
  <c r="AF5" i="1"/>
  <c r="U5" i="1"/>
  <c r="M5" i="1"/>
  <c r="K5" i="1"/>
  <c r="AL4" i="1"/>
  <c r="P4" i="1" s="1"/>
  <c r="AF4" i="1"/>
  <c r="U4" i="1"/>
  <c r="M4" i="1" s="1"/>
  <c r="K4" i="1"/>
  <c r="T23" i="1" l="1"/>
  <c r="Q23" i="1"/>
  <c r="T19" i="1"/>
  <c r="L19" i="1" s="1"/>
  <c r="J19" i="1" s="1"/>
  <c r="Q19" i="1"/>
  <c r="T6" i="1"/>
  <c r="L6" i="1" s="1"/>
  <c r="J6" i="1" s="1"/>
  <c r="Q6" i="1"/>
  <c r="T13" i="1"/>
  <c r="L13" i="1" s="1"/>
  <c r="J13" i="1" s="1"/>
  <c r="Q13" i="1"/>
  <c r="L17" i="1"/>
  <c r="J17" i="1" s="1"/>
  <c r="T20" i="1"/>
  <c r="L20" i="1" s="1"/>
  <c r="J20" i="1" s="1"/>
  <c r="Q20" i="1"/>
  <c r="T24" i="1"/>
  <c r="L24" i="1" s="1"/>
  <c r="J24" i="1" s="1"/>
  <c r="Q24" i="1"/>
  <c r="T12" i="1"/>
  <c r="L12" i="1" s="1"/>
  <c r="J12" i="1" s="1"/>
  <c r="Q12" i="1"/>
  <c r="Q5" i="1"/>
  <c r="T5" i="1"/>
  <c r="T21" i="1"/>
  <c r="L21" i="1" s="1"/>
  <c r="J21" i="1" s="1"/>
  <c r="Q21" i="1"/>
  <c r="T25" i="1"/>
  <c r="L25" i="1" s="1"/>
  <c r="J25" i="1" s="1"/>
  <c r="Q25" i="1"/>
  <c r="T14" i="1"/>
  <c r="L14" i="1" s="1"/>
  <c r="J14" i="1" s="1"/>
  <c r="Q14" i="1"/>
  <c r="L8" i="1"/>
  <c r="J8" i="1" s="1"/>
  <c r="T11" i="1"/>
  <c r="L11" i="1" s="1"/>
  <c r="J11" i="1" s="1"/>
  <c r="Q11" i="1"/>
  <c r="T15" i="1"/>
  <c r="L15" i="1" s="1"/>
  <c r="J15" i="1" s="1"/>
  <c r="Q15" i="1"/>
  <c r="T22" i="1"/>
  <c r="Q22" i="1"/>
  <c r="L22" i="1"/>
  <c r="J22" i="1" s="1"/>
  <c r="T4" i="1"/>
  <c r="Q4" i="1"/>
  <c r="L4" i="1"/>
  <c r="J4" i="1" s="1"/>
  <c r="L5" i="1"/>
  <c r="J5" i="1" s="1"/>
  <c r="L23" i="1"/>
  <c r="J23" i="1" s="1"/>
  <c r="T10" i="1"/>
  <c r="L10" i="1" s="1"/>
  <c r="J10" i="1" s="1"/>
  <c r="Q10" i="1"/>
  <c r="L18" i="1"/>
  <c r="J18" i="1" s="1"/>
  <c r="T26" i="1"/>
  <c r="L26" i="1" s="1"/>
  <c r="J26" i="1" s="1"/>
  <c r="Q26" i="1"/>
  <c r="T27" i="1"/>
  <c r="L27" i="1" s="1"/>
  <c r="J27" i="1" s="1"/>
  <c r="Q27" i="1"/>
  <c r="Q17" i="1"/>
  <c r="T8" i="1"/>
  <c r="Q9" i="1"/>
  <c r="Q18" i="1"/>
</calcChain>
</file>

<file path=xl/sharedStrings.xml><?xml version="1.0" encoding="utf-8"?>
<sst xmlns="http://schemas.openxmlformats.org/spreadsheetml/2006/main" count="3757" uniqueCount="1188">
  <si>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</si>
  <si>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</si>
  <si>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</si>
  <si>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</si>
  <si>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</si>
  <si>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</si>
  <si>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</si>
  <si>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</si>
  <si>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</si>
  <si>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</si>
  <si>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</si>
  <si>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</si>
  <si>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</si>
  <si>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</si>
  <si>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</si>
  <si>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</si>
  <si>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</si>
  <si>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</si>
  <si>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</si>
  <si>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</si>
  <si>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</si>
  <si>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</si>
  <si>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</si>
  <si>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</si>
  <si>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</si>
  <si>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</si>
  <si>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</si>
  <si>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</si>
  <si>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</si>
  <si>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</si>
  <si>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</si>
  <si>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</si>
  <si>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</si>
  <si>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</si>
  <si>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</si>
  <si>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</si>
  <si>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</si>
  <si>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</si>
  <si>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</si>
  <si>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</si>
  <si>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</si>
  <si>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</si>
  <si>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</si>
  <si>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</si>
  <si>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</si>
  <si>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</si>
  <si>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</si>
  <si>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</si>
  <si>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</si>
  <si>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</si>
  <si>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</si>
  <si>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</si>
  <si>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</si>
  <si>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</si>
  <si>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</si>
  <si>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</si>
  <si>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</si>
  <si>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</si>
  <si>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</si>
  <si>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</si>
  <si>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</si>
  <si>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</si>
  <si>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</si>
  <si>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</si>
  <si>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</si>
  <si>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</si>
  <si>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</si>
  <si>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</si>
  <si>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</si>
  <si>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</si>
  <si>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</si>
  <si>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</si>
  <si>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</si>
  <si>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</si>
  <si>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</si>
  <si>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</si>
  <si>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</si>
  <si>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</si>
  <si>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</si>
  <si>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</si>
  <si>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</si>
  <si>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</si>
  <si>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</si>
  <si>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</si>
  <si>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</si>
  <si>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</si>
  <si>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</si>
  <si>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</si>
  <si>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</si>
  <si>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</si>
  <si>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</si>
  <si>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</si>
  <si>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</si>
  <si>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</si>
  <si>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</si>
  <si>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</si>
  <si>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</si>
  <si>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</si>
  <si>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</si>
  <si>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</si>
  <si>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</si>
  <si>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</si>
  <si>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</si>
  <si>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</si>
  <si>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</si>
  <si>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</si>
  <si>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</si>
  <si>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</si>
  <si>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</si>
  <si>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</si>
  <si>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</si>
  <si>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</si>
  <si>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</si>
  <si>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</si>
  <si>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</si>
  <si>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</si>
  <si>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</si>
  <si>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</si>
  <si>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</si>
  <si>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</si>
  <si>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</si>
  <si>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</si>
  <si>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</si>
  <si>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</si>
  <si>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</si>
  <si>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</si>
  <si>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</si>
  <si>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</si>
  <si>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</si>
  <si>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</si>
  <si>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</si>
  <si>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</si>
  <si>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</si>
  <si>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</si>
  <si>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</si>
  <si>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</si>
  <si>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</si>
  <si>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</si>
  <si>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</si>
  <si>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</si>
  <si>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</si>
  <si>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</si>
  <si>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</si>
  <si>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</si>
  <si>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</si>
  <si>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</si>
  <si>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</si>
  <si>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</si>
  <si>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</si>
  <si>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</si>
  <si>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</si>
  <si>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</si>
  <si>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</si>
  <si>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</si>
  <si>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</si>
  <si>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</si>
  <si>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</si>
  <si>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</si>
  <si>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</si>
  <si>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</si>
  <si>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10:19:11</t>
  </si>
  <si>
    <t>2026-08-14</t>
  </si>
  <si>
    <t>lightfluoromete</t>
  </si>
  <si>
    <t>yun</t>
  </si>
  <si>
    <t>001</t>
  </si>
  <si>
    <t>2.574261</t>
  </si>
  <si>
    <t>2.361790</t>
  </si>
  <si>
    <t>23.539688</t>
  </si>
  <si>
    <t>25.657368</t>
  </si>
  <si>
    <t>7.500000</t>
  </si>
  <si>
    <t>PSF-01106_20260814101911_a1b</t>
  </si>
  <si>
    <t>0.000000</t>
  </si>
  <si>
    <t>222.219940</t>
  </si>
  <si>
    <t>344.459656</t>
  </si>
  <si>
    <t>0.354874</t>
  </si>
  <si>
    <t>0.5</t>
  </si>
  <si>
    <t>0.84</t>
  </si>
  <si>
    <t>1.000000</t>
  </si>
  <si>
    <t>64.33</t>
  </si>
  <si>
    <t>59.02</t>
  </si>
  <si>
    <t>28.91</t>
  </si>
  <si>
    <t>30.14</t>
  </si>
  <si>
    <t>100.33</t>
  </si>
  <si>
    <t>156.2</t>
  </si>
  <si>
    <t>154.7</t>
  </si>
  <si>
    <t>0.9</t>
  </si>
  <si>
    <t>1434</t>
  </si>
  <si>
    <t>3.926</t>
  </si>
  <si>
    <t>-2</t>
  </si>
  <si>
    <t>-38</t>
  </si>
  <si>
    <t>204</t>
  </si>
  <si>
    <t>0.64</t>
  </si>
  <si>
    <t>99.99</t>
  </si>
  <si>
    <t>38.04</t>
  </si>
  <si>
    <t>-63.44</t>
  </si>
  <si>
    <t>14.39</t>
  </si>
  <si>
    <t>115.80</t>
  </si>
  <si>
    <t>37.60</t>
  </si>
  <si>
    <t>01:18:51</t>
  </si>
  <si>
    <t>35.850189</t>
  </si>
  <si>
    <t>127.129784</t>
  </si>
  <si>
    <t>48.299999</t>
  </si>
  <si>
    <t>9</t>
  </si>
  <si>
    <t>10:18:19</t>
  </si>
  <si>
    <t>-1.38</t>
  </si>
  <si>
    <t>-0.002</t>
  </si>
  <si>
    <t>0.000</t>
  </si>
  <si>
    <t>0.005</t>
  </si>
  <si>
    <t>-0.251</t>
  </si>
  <si>
    <t>-0.509</t>
  </si>
  <si>
    <t>-1.296</t>
  </si>
  <si>
    <t>150</t>
  </si>
  <si>
    <t>0.001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</si>
  <si>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</si>
  <si>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</si>
  <si>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</si>
  <si>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</si>
  <si>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</si>
  <si>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</si>
  <si>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</si>
  <si>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</si>
  <si>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</si>
  <si>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</si>
  <si>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</si>
  <si>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2.516767</t>
  </si>
  <si>
    <t>2.462626</t>
  </si>
  <si>
    <t>1.671453</t>
  </si>
  <si>
    <t>0.940782</t>
  </si>
  <si>
    <t>0.233467</t>
  </si>
  <si>
    <t>0.015823</t>
  </si>
  <si>
    <t>0.087202</t>
  </si>
  <si>
    <t>1.357863</t>
  </si>
  <si>
    <t>0.000339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</si>
  <si>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</si>
  <si>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</si>
  <si>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</si>
  <si>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</si>
  <si>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</si>
  <si>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</si>
  <si>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</si>
  <si>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</si>
  <si>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</si>
  <si>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</si>
  <si>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</si>
  <si>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</si>
  <si>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</si>
  <si>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</si>
  <si>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10:19:44</t>
  </si>
  <si>
    <t>002</t>
  </si>
  <si>
    <t>2.494349</t>
  </si>
  <si>
    <t>2.245609</t>
  </si>
  <si>
    <t>22.381891</t>
  </si>
  <si>
    <t>24.861073</t>
  </si>
  <si>
    <t>PSF-01106_20260814101944_d00</t>
  </si>
  <si>
    <t>183.768509</t>
  </si>
  <si>
    <t>323.077087</t>
  </si>
  <si>
    <t>0.431193</t>
  </si>
  <si>
    <t>61.18</t>
  </si>
  <si>
    <t>55.08</t>
  </si>
  <si>
    <t>29.23</t>
  </si>
  <si>
    <t>29.51</t>
  </si>
  <si>
    <t>155.9</t>
  </si>
  <si>
    <t>148.6</t>
  </si>
  <si>
    <t>4.7</t>
  </si>
  <si>
    <t>1429</t>
  </si>
  <si>
    <t>-13</t>
  </si>
  <si>
    <t>173</t>
  </si>
  <si>
    <t>33.88</t>
  </si>
  <si>
    <t>83.02</t>
  </si>
  <si>
    <t>13.15</t>
  </si>
  <si>
    <t>1.82</t>
  </si>
  <si>
    <t>116.07</t>
  </si>
  <si>
    <t>37.42</t>
  </si>
  <si>
    <t>01:19:25</t>
  </si>
  <si>
    <t>35.850227</t>
  </si>
  <si>
    <t>127.129807</t>
  </si>
  <si>
    <t>48.700001</t>
  </si>
  <si>
    <t>0.003</t>
  </si>
  <si>
    <t>-0.006</t>
  </si>
  <si>
    <t>0.297</t>
  </si>
  <si>
    <t>-0.094</t>
  </si>
  <si>
    <t>-0.115</t>
  </si>
  <si>
    <t>2.511234</t>
  </si>
  <si>
    <t>2.458585</t>
  </si>
  <si>
    <t>1.669029</t>
  </si>
  <si>
    <t>0.925006</t>
  </si>
  <si>
    <t>0.230513</t>
  </si>
  <si>
    <t>0.004186</t>
  </si>
  <si>
    <t>0.092380</t>
  </si>
  <si>
    <t>1.353157</t>
  </si>
  <si>
    <t>0.000344</t>
  </si>
  <si>
    <t>3</t>
  </si>
  <si>
    <t>10:21:05</t>
  </si>
  <si>
    <t>003</t>
  </si>
  <si>
    <t>2.475789</t>
  </si>
  <si>
    <t>2.164845</t>
  </si>
  <si>
    <t>21.577726</t>
  </si>
  <si>
    <t>24.677008</t>
  </si>
  <si>
    <t>PSF-01106_20260814102105_b42</t>
  </si>
  <si>
    <t>206.655624</t>
  </si>
  <si>
    <t>354.637390</t>
  </si>
  <si>
    <t>0.417276</t>
  </si>
  <si>
    <t>58.46</t>
  </si>
  <si>
    <t>51.12</t>
  </si>
  <si>
    <t>29.90</t>
  </si>
  <si>
    <t>28.83</t>
  </si>
  <si>
    <t>156.0</t>
  </si>
  <si>
    <t>153.3</t>
  </si>
  <si>
    <t>1.8</t>
  </si>
  <si>
    <t>1292</t>
  </si>
  <si>
    <t>3.923</t>
  </si>
  <si>
    <t>-10</t>
  </si>
  <si>
    <t>154</t>
  </si>
  <si>
    <t>30.61</t>
  </si>
  <si>
    <t>86.07</t>
  </si>
  <si>
    <t>10.05</t>
  </si>
  <si>
    <t>-20.26</t>
  </si>
  <si>
    <t>116.33</t>
  </si>
  <si>
    <t>37.23</t>
  </si>
  <si>
    <t>01:20:45</t>
  </si>
  <si>
    <t>35.850243</t>
  </si>
  <si>
    <t>127.129776</t>
  </si>
  <si>
    <t>48.799999</t>
  </si>
  <si>
    <t>0.930000</t>
  </si>
  <si>
    <t>0.002</t>
  </si>
  <si>
    <t>-0.001</t>
  </si>
  <si>
    <t>-0.406</t>
  </si>
  <si>
    <t>-0.610</t>
  </si>
  <si>
    <t>-1.337</t>
  </si>
  <si>
    <t>2.505557</t>
  </si>
  <si>
    <t>2.455007</t>
  </si>
  <si>
    <t>1.670401</t>
  </si>
  <si>
    <t>0.937062</t>
  </si>
  <si>
    <t>0.224573</t>
  </si>
  <si>
    <t>-0.012121</t>
  </si>
  <si>
    <t>0.104486</t>
  </si>
  <si>
    <t>1.233582</t>
  </si>
  <si>
    <t>0.000338</t>
  </si>
  <si>
    <t>4</t>
  </si>
  <si>
    <t>10:21:41</t>
  </si>
  <si>
    <t>004</t>
  </si>
  <si>
    <t>2.339462</t>
  </si>
  <si>
    <t>2.227111</t>
  </si>
  <si>
    <t>22.194983</t>
  </si>
  <si>
    <t>23.314651</t>
  </si>
  <si>
    <t>PSF-01106_20260814102141_e68</t>
  </si>
  <si>
    <t>166.977173</t>
  </si>
  <si>
    <t>253.957993</t>
  </si>
  <si>
    <t>0.342501</t>
  </si>
  <si>
    <t>54.40</t>
  </si>
  <si>
    <t>51.79</t>
  </si>
  <si>
    <t>30.16</t>
  </si>
  <si>
    <t>31.97</t>
  </si>
  <si>
    <t>100.34</t>
  </si>
  <si>
    <t>156.1</t>
  </si>
  <si>
    <t>155.4</t>
  </si>
  <si>
    <t>0.4</t>
  </si>
  <si>
    <t>1428</t>
  </si>
  <si>
    <t>3.922</t>
  </si>
  <si>
    <t>-5</t>
  </si>
  <si>
    <t>17</t>
  </si>
  <si>
    <t>10</t>
  </si>
  <si>
    <t>23.82</t>
  </si>
  <si>
    <t>91.48</t>
  </si>
  <si>
    <t>17.70</t>
  </si>
  <si>
    <t>-95.91</t>
  </si>
  <si>
    <t>116.60</t>
  </si>
  <si>
    <t>37.05</t>
  </si>
  <si>
    <t>01:21:21</t>
  </si>
  <si>
    <t>35.850246</t>
  </si>
  <si>
    <t>127.129761</t>
  </si>
  <si>
    <t>49.000000</t>
  </si>
  <si>
    <t>11</t>
  </si>
  <si>
    <t>0.800000</t>
  </si>
  <si>
    <t>1.536</t>
  </si>
  <si>
    <t>0.259</t>
  </si>
  <si>
    <t>1.216</t>
  </si>
  <si>
    <t>2.506448</t>
  </si>
  <si>
    <t>2.449793</t>
  </si>
  <si>
    <t>1.670833</t>
  </si>
  <si>
    <t>0.942481</t>
  </si>
  <si>
    <t>0.222226</t>
  </si>
  <si>
    <t>0.023223</t>
  </si>
  <si>
    <t>0.109622</t>
  </si>
  <si>
    <t>1.352794</t>
  </si>
  <si>
    <t>0.000342</t>
  </si>
  <si>
    <t>5</t>
  </si>
  <si>
    <t>10:22:08</t>
  </si>
  <si>
    <t>005</t>
  </si>
  <si>
    <t>2.323262</t>
  </si>
  <si>
    <t>2.178058</t>
  </si>
  <si>
    <t>21.705643</t>
  </si>
  <si>
    <t>23.152685</t>
  </si>
  <si>
    <t>PSF-01106_20260814102208_9de</t>
  </si>
  <si>
    <t>150.717255</t>
  </si>
  <si>
    <t>242.272491</t>
  </si>
  <si>
    <t>0.377902</t>
  </si>
  <si>
    <t>53.42</t>
  </si>
  <si>
    <t>50.08</t>
  </si>
  <si>
    <t>30.36</t>
  </si>
  <si>
    <t>31.24</t>
  </si>
  <si>
    <t>100.35</t>
  </si>
  <si>
    <t>155.0</t>
  </si>
  <si>
    <t>0.7</t>
  </si>
  <si>
    <t>1338</t>
  </si>
  <si>
    <t>3.920</t>
  </si>
  <si>
    <t>20</t>
  </si>
  <si>
    <t>14.41</t>
  </si>
  <si>
    <t>96.85</t>
  </si>
  <si>
    <t>22.72</t>
  </si>
  <si>
    <t>-60.33</t>
  </si>
  <si>
    <t>01:21:48</t>
  </si>
  <si>
    <t>127.129730</t>
  </si>
  <si>
    <t>49.099998</t>
  </si>
  <si>
    <t>0.820000</t>
  </si>
  <si>
    <t>0.274</t>
  </si>
  <si>
    <t>0.234</t>
  </si>
  <si>
    <t>0.216</t>
  </si>
  <si>
    <t>2.504018</t>
  </si>
  <si>
    <t>2.448509</t>
  </si>
  <si>
    <t>1.670673</t>
  </si>
  <si>
    <t>0.941477</t>
  </si>
  <si>
    <t>0.220524</t>
  </si>
  <si>
    <t>0.011807</t>
  </si>
  <si>
    <t>0.113390</t>
  </si>
  <si>
    <t>1.273583</t>
  </si>
  <si>
    <t>0.000348</t>
  </si>
  <si>
    <t>6</t>
  </si>
  <si>
    <t>10:22:45</t>
  </si>
  <si>
    <t>006</t>
  </si>
  <si>
    <t>2.380983</t>
  </si>
  <si>
    <t>2.217144</t>
  </si>
  <si>
    <t>22.099396</t>
  </si>
  <si>
    <t>23.732460</t>
  </si>
  <si>
    <t>PSF-01106_20260814102245_20a</t>
  </si>
  <si>
    <t>163.015366</t>
  </si>
  <si>
    <t>241.443878</t>
  </si>
  <si>
    <t>0.324831</t>
  </si>
  <si>
    <t>53.95</t>
  </si>
  <si>
    <t>50.24</t>
  </si>
  <si>
    <t>30.62</t>
  </si>
  <si>
    <t>31.03</t>
  </si>
  <si>
    <t>155.6</t>
  </si>
  <si>
    <t>0.3</t>
  </si>
  <si>
    <t>1012</t>
  </si>
  <si>
    <t>27</t>
  </si>
  <si>
    <t>359</t>
  </si>
  <si>
    <t>17.52</t>
  </si>
  <si>
    <t>95.36</t>
  </si>
  <si>
    <t>27.00</t>
  </si>
  <si>
    <t>-91.00</t>
  </si>
  <si>
    <t>116.86</t>
  </si>
  <si>
    <t>36.87</t>
  </si>
  <si>
    <t>01:22:25</t>
  </si>
  <si>
    <t>35.850250</t>
  </si>
  <si>
    <t>127.129723</t>
  </si>
  <si>
    <t>48.900002</t>
  </si>
  <si>
    <t>12</t>
  </si>
  <si>
    <t>0.770000</t>
  </si>
  <si>
    <t>0.004</t>
  </si>
  <si>
    <t>-0.088</t>
  </si>
  <si>
    <t>0.535</t>
  </si>
  <si>
    <t>2.774</t>
  </si>
  <si>
    <t>2.504183</t>
  </si>
  <si>
    <t>2.449133</t>
  </si>
  <si>
    <t>1.670436</t>
  </si>
  <si>
    <t>0.942991</t>
  </si>
  <si>
    <t>0.218296</t>
  </si>
  <si>
    <t>0.005896</t>
  </si>
  <si>
    <t>0.118628</t>
  </si>
  <si>
    <t>0.989833</t>
  </si>
  <si>
    <t>0.000343</t>
  </si>
  <si>
    <t>7</t>
  </si>
  <si>
    <t>10:23:37</t>
  </si>
  <si>
    <t>007</t>
  </si>
  <si>
    <t>2.580433</t>
  </si>
  <si>
    <t>2.331543</t>
  </si>
  <si>
    <t>23.236485</t>
  </si>
  <si>
    <t>25.716955</t>
  </si>
  <si>
    <t>PSF-01106_20260814102337_efb</t>
  </si>
  <si>
    <t>165.622116</t>
  </si>
  <si>
    <t>344.843384</t>
  </si>
  <si>
    <t>0.519718</t>
  </si>
  <si>
    <t>57.22</t>
  </si>
  <si>
    <t>51.70</t>
  </si>
  <si>
    <t>30.99</t>
  </si>
  <si>
    <t>30.42</t>
  </si>
  <si>
    <t>150.8</t>
  </si>
  <si>
    <t>3.3</t>
  </si>
  <si>
    <t>1311</t>
  </si>
  <si>
    <t>3.918</t>
  </si>
  <si>
    <t>-4</t>
  </si>
  <si>
    <t>-12</t>
  </si>
  <si>
    <t>27.86</t>
  </si>
  <si>
    <t>88.41</t>
  </si>
  <si>
    <t>12.64</t>
  </si>
  <si>
    <t>-101.83</t>
  </si>
  <si>
    <t>117.13</t>
  </si>
  <si>
    <t>36.69</t>
  </si>
  <si>
    <t>01:23:17</t>
  </si>
  <si>
    <t>127.129738</t>
  </si>
  <si>
    <t>47.900002</t>
  </si>
  <si>
    <t>0.790000</t>
  </si>
  <si>
    <t>-0.154</t>
  </si>
  <si>
    <t>0.092</t>
  </si>
  <si>
    <t>0.131</t>
  </si>
  <si>
    <t>2.506166</t>
  </si>
  <si>
    <t>2.453230</t>
  </si>
  <si>
    <t>1.670026</t>
  </si>
  <si>
    <t>0.930624</t>
  </si>
  <si>
    <t>0.215076</t>
  </si>
  <si>
    <t>-0.006296</t>
  </si>
  <si>
    <t>0.125784</t>
  </si>
  <si>
    <t>1.250639</t>
  </si>
  <si>
    <t>8</t>
  </si>
  <si>
    <t>10:24:09</t>
  </si>
  <si>
    <t>008</t>
  </si>
  <si>
    <t>2.631105</t>
  </si>
  <si>
    <t>2.359922</t>
  </si>
  <si>
    <t>23.515856</t>
  </si>
  <si>
    <t>26.218103</t>
  </si>
  <si>
    <t>PSF-01106_20260814102409_111</t>
  </si>
  <si>
    <t>137.449982</t>
  </si>
  <si>
    <t>202.343338</t>
  </si>
  <si>
    <t>0.320709</t>
  </si>
  <si>
    <t>57.58</t>
  </si>
  <si>
    <t>51.64</t>
  </si>
  <si>
    <t>31.23</t>
  </si>
  <si>
    <t>31.49</t>
  </si>
  <si>
    <t>150.1</t>
  </si>
  <si>
    <t>3.9</t>
  </si>
  <si>
    <t>1577</t>
  </si>
  <si>
    <t>3.917</t>
  </si>
  <si>
    <t>-21</t>
  </si>
  <si>
    <t>115</t>
  </si>
  <si>
    <t>15.68</t>
  </si>
  <si>
    <t>96.28</t>
  </si>
  <si>
    <t>21.09</t>
  </si>
  <si>
    <t>-59.43</t>
  </si>
  <si>
    <t>01:23:49</t>
  </si>
  <si>
    <t>127.129745</t>
  </si>
  <si>
    <t>47.599998</t>
  </si>
  <si>
    <t>0.830000</t>
  </si>
  <si>
    <t>0.009</t>
  </si>
  <si>
    <t>-0.357</t>
  </si>
  <si>
    <t>-0.649</t>
  </si>
  <si>
    <t>-2.198</t>
  </si>
  <si>
    <t>2.506041</t>
  </si>
  <si>
    <t>2.453643</t>
  </si>
  <si>
    <t>1.672083</t>
  </si>
  <si>
    <t>0.928839</t>
  </si>
  <si>
    <t>0.213125</t>
  </si>
  <si>
    <t>0.004103</t>
  </si>
  <si>
    <t>0.130209</t>
  </si>
  <si>
    <t>1.482521</t>
  </si>
  <si>
    <t>0.000336</t>
  </si>
  <si>
    <t>10:24:33</t>
  </si>
  <si>
    <t>009</t>
  </si>
  <si>
    <t>2.640861</t>
  </si>
  <si>
    <t>2.367192</t>
  </si>
  <si>
    <t>23.591358</t>
  </si>
  <si>
    <t>26.318727</t>
  </si>
  <si>
    <t>PSF-01106_20260814102433_50e</t>
  </si>
  <si>
    <t>211.103790</t>
  </si>
  <si>
    <t>410.279999</t>
  </si>
  <si>
    <t>0.485464</t>
  </si>
  <si>
    <t>57.25</t>
  </si>
  <si>
    <t>51.32</t>
  </si>
  <si>
    <t>31.39</t>
  </si>
  <si>
    <t>135.8</t>
  </si>
  <si>
    <t>12.9</t>
  </si>
  <si>
    <t>1166</t>
  </si>
  <si>
    <t>3.911</t>
  </si>
  <si>
    <t>-57</t>
  </si>
  <si>
    <t>142</t>
  </si>
  <si>
    <t>48.32</t>
  </si>
  <si>
    <t>66.49</t>
  </si>
  <si>
    <t>57.09</t>
  </si>
  <si>
    <t>-125.41</t>
  </si>
  <si>
    <t>117.40</t>
  </si>
  <si>
    <t>36.51</t>
  </si>
  <si>
    <t>01:24:13</t>
  </si>
  <si>
    <t>35.850224</t>
  </si>
  <si>
    <t>47.400002</t>
  </si>
  <si>
    <t>0.445</t>
  </si>
  <si>
    <t>-0.397</t>
  </si>
  <si>
    <t>-1.222</t>
  </si>
  <si>
    <t>2.505556</t>
  </si>
  <si>
    <t>2.453199</t>
  </si>
  <si>
    <t>1.670116</t>
  </si>
  <si>
    <t>0.892905</t>
  </si>
  <si>
    <t>0.211751</t>
  </si>
  <si>
    <t>-0.014406</t>
  </si>
  <si>
    <t>0.133430</t>
  </si>
  <si>
    <t>1.123599</t>
  </si>
  <si>
    <t>10:25:13</t>
  </si>
  <si>
    <t>010</t>
  </si>
  <si>
    <t>2.554972</t>
  </si>
  <si>
    <t>2.292158</t>
  </si>
  <si>
    <t>22.843742</t>
  </si>
  <si>
    <t>25.462957</t>
  </si>
  <si>
    <t>PSF-01106_20260814102513_c96</t>
  </si>
  <si>
    <t>151.352402</t>
  </si>
  <si>
    <t>232.229950</t>
  </si>
  <si>
    <t>0.348265</t>
  </si>
  <si>
    <t>54.56</t>
  </si>
  <si>
    <t>48.95</t>
  </si>
  <si>
    <t>31.66</t>
  </si>
  <si>
    <t>31.35</t>
  </si>
  <si>
    <t>154.3</t>
  </si>
  <si>
    <t>1.2</t>
  </si>
  <si>
    <t>1663</t>
  </si>
  <si>
    <t>3.916</t>
  </si>
  <si>
    <t>21</t>
  </si>
  <si>
    <t>355</t>
  </si>
  <si>
    <t>21.51</t>
  </si>
  <si>
    <t>93.04</t>
  </si>
  <si>
    <t>21.00</t>
  </si>
  <si>
    <t>-95.00</t>
  </si>
  <si>
    <t>01:24:52</t>
  </si>
  <si>
    <t>35.850216</t>
  </si>
  <si>
    <t>127.129753</t>
  </si>
  <si>
    <t>46.799999</t>
  </si>
  <si>
    <t>0.514</t>
  </si>
  <si>
    <t>0.119</t>
  </si>
  <si>
    <t>-1.451</t>
  </si>
  <si>
    <t>2.502177</t>
  </si>
  <si>
    <t>2.449727</t>
  </si>
  <si>
    <t>1.671586</t>
  </si>
  <si>
    <t>0.939604</t>
  </si>
  <si>
    <t>0.209555</t>
  </si>
  <si>
    <t>-0.002974</t>
  </si>
  <si>
    <t>0.138869</t>
  </si>
  <si>
    <t>1.556926</t>
  </si>
  <si>
    <t>10:26:10</t>
  </si>
  <si>
    <t>011</t>
  </si>
  <si>
    <t>2.565210</t>
  </si>
  <si>
    <t>2.327148</t>
  </si>
  <si>
    <t>23.190144</t>
  </si>
  <si>
    <t>25.562439</t>
  </si>
  <si>
    <t>PSF-01106_20260814102610_821</t>
  </si>
  <si>
    <t>152.645233</t>
  </si>
  <si>
    <t>211.443909</t>
  </si>
  <si>
    <t>0.278082</t>
  </si>
  <si>
    <t>53.57</t>
  </si>
  <si>
    <t>48.60</t>
  </si>
  <si>
    <t>32.05</t>
  </si>
  <si>
    <t>32.14</t>
  </si>
  <si>
    <t>1649</t>
  </si>
  <si>
    <t>3.914</t>
  </si>
  <si>
    <t>24.96</t>
  </si>
  <si>
    <t>90.66</t>
  </si>
  <si>
    <t>12.00</t>
  </si>
  <si>
    <t>-78.00</t>
  </si>
  <si>
    <t>117.68</t>
  </si>
  <si>
    <t>36.33</t>
  </si>
  <si>
    <t>01:25:50</t>
  </si>
  <si>
    <t>46.000000</t>
  </si>
  <si>
    <t>-0.000</t>
  </si>
  <si>
    <t>-0.003</t>
  </si>
  <si>
    <t>-0.197</t>
  </si>
  <si>
    <t>-0.756</t>
  </si>
  <si>
    <t>-0.713</t>
  </si>
  <si>
    <t>2.501608</t>
  </si>
  <si>
    <t>2.448389</t>
  </si>
  <si>
    <t>1.670573</t>
  </si>
  <si>
    <t>0.940709</t>
  </si>
  <si>
    <t>0.206336</t>
  </si>
  <si>
    <t>0.001913</t>
  </si>
  <si>
    <t>0.146739</t>
  </si>
  <si>
    <t>1.545265</t>
  </si>
  <si>
    <t>0.000351</t>
  </si>
  <si>
    <t>10:27:27</t>
  </si>
  <si>
    <t>012</t>
  </si>
  <si>
    <t>2.720224</t>
  </si>
  <si>
    <t>2.482356</t>
  </si>
  <si>
    <t>24.736422</t>
  </si>
  <si>
    <t>27.106752</t>
  </si>
  <si>
    <t>PSF-01106_20260814102727_719</t>
  </si>
  <si>
    <t>154.549591</t>
  </si>
  <si>
    <t>373.404968</t>
  </si>
  <si>
    <t>0.586107</t>
  </si>
  <si>
    <t>55.28</t>
  </si>
  <si>
    <t>50.45</t>
  </si>
  <si>
    <t>32.53</t>
  </si>
  <si>
    <t>30.80</t>
  </si>
  <si>
    <t>152.9</t>
  </si>
  <si>
    <t>2.0</t>
  </si>
  <si>
    <t>963</t>
  </si>
  <si>
    <t>3.913</t>
  </si>
  <si>
    <t>16</t>
  </si>
  <si>
    <t>331</t>
  </si>
  <si>
    <t>28.01</t>
  </si>
  <si>
    <t>88.29</t>
  </si>
  <si>
    <t>16.74</t>
  </si>
  <si>
    <t>-11.39</t>
  </si>
  <si>
    <t>118.23</t>
  </si>
  <si>
    <t>35.97</t>
  </si>
  <si>
    <t>01:27:07</t>
  </si>
  <si>
    <t>127.129707</t>
  </si>
  <si>
    <t>44.400002</t>
  </si>
  <si>
    <t>13</t>
  </si>
  <si>
    <t>0.710000</t>
  </si>
  <si>
    <t>0.459</t>
  </si>
  <si>
    <t>0.328</t>
  </si>
  <si>
    <t>-6.074</t>
  </si>
  <si>
    <t>2.504120</t>
  </si>
  <si>
    <t>2.450487</t>
  </si>
  <si>
    <t>1.670398</t>
  </si>
  <si>
    <t>0.935959</t>
  </si>
  <si>
    <t>0.202485</t>
  </si>
  <si>
    <t>-0.020735</t>
  </si>
  <si>
    <t>0.157395</t>
  </si>
  <si>
    <t>0.946815</t>
  </si>
  <si>
    <t>0.000347</t>
  </si>
  <si>
    <t>10:28:25</t>
  </si>
  <si>
    <t>013</t>
  </si>
  <si>
    <t>2.616148</t>
  </si>
  <si>
    <t>2.394759</t>
  </si>
  <si>
    <t>23.864840</t>
  </si>
  <si>
    <t>26.071083</t>
  </si>
  <si>
    <t>PSF-01106_20260814102825_8bb</t>
  </si>
  <si>
    <t>139.674072</t>
  </si>
  <si>
    <t>477.787262</t>
  </si>
  <si>
    <t>0.707665</t>
  </si>
  <si>
    <t>52.23</t>
  </si>
  <si>
    <t>47.81</t>
  </si>
  <si>
    <t>32.85</t>
  </si>
  <si>
    <t>30.12</t>
  </si>
  <si>
    <t>153.4</t>
  </si>
  <si>
    <t>1.6</t>
  </si>
  <si>
    <t>387</t>
  </si>
  <si>
    <t>3.912</t>
  </si>
  <si>
    <t>-9</t>
  </si>
  <si>
    <t>-22</t>
  </si>
  <si>
    <t>156</t>
  </si>
  <si>
    <t>19.36</t>
  </si>
  <si>
    <t>94.34</t>
  </si>
  <si>
    <t>23.68</t>
  </si>
  <si>
    <t>-92.83</t>
  </si>
  <si>
    <t>118.51</t>
  </si>
  <si>
    <t>35.80</t>
  </si>
  <si>
    <t>01:28:05</t>
  </si>
  <si>
    <t>43.099998</t>
  </si>
  <si>
    <t>0.750000</t>
  </si>
  <si>
    <t>0.158</t>
  </si>
  <si>
    <t>0.283</t>
  </si>
  <si>
    <t>0.682</t>
  </si>
  <si>
    <t>2.500351</t>
  </si>
  <si>
    <t>2.446536</t>
  </si>
  <si>
    <t>1.669767</t>
  </si>
  <si>
    <t>0.937433</t>
  </si>
  <si>
    <t>0.199992</t>
  </si>
  <si>
    <t>-0.033067</t>
  </si>
  <si>
    <t>0.164769</t>
  </si>
  <si>
    <t>0.444150</t>
  </si>
  <si>
    <t>0.000355</t>
  </si>
  <si>
    <t>14</t>
  </si>
  <si>
    <t>10:29:56</t>
  </si>
  <si>
    <t>014</t>
  </si>
  <si>
    <t>2.788215</t>
  </si>
  <si>
    <t>2.533877</t>
  </si>
  <si>
    <t>25.251270</t>
  </si>
  <si>
    <t>27.785870</t>
  </si>
  <si>
    <t>PSF-01106_20260814102956_312</t>
  </si>
  <si>
    <t>144.298553</t>
  </si>
  <si>
    <t>390.393738</t>
  </si>
  <si>
    <t>0.630377</t>
  </si>
  <si>
    <t>49.44</t>
  </si>
  <si>
    <t>33.26</t>
  </si>
  <si>
    <t>156.3</t>
  </si>
  <si>
    <t>150.9</t>
  </si>
  <si>
    <t>3.5</t>
  </si>
  <si>
    <t>474</t>
  </si>
  <si>
    <t>3.910</t>
  </si>
  <si>
    <t>-31</t>
  </si>
  <si>
    <t>-30</t>
  </si>
  <si>
    <t>107</t>
  </si>
  <si>
    <t>37.04</t>
  </si>
  <si>
    <t>79.82</t>
  </si>
  <si>
    <t>42.07</t>
  </si>
  <si>
    <t>-121.26</t>
  </si>
  <si>
    <t>118.79</t>
  </si>
  <si>
    <t>35.62</t>
  </si>
  <si>
    <t>01:29:36</t>
  </si>
  <si>
    <t>35.850220</t>
  </si>
  <si>
    <t>42.700001</t>
  </si>
  <si>
    <t>0.760000</t>
  </si>
  <si>
    <t>10:28:41</t>
  </si>
  <si>
    <t>-0.81</t>
  </si>
  <si>
    <t>0.008</t>
  </si>
  <si>
    <t>-0.053</t>
  </si>
  <si>
    <t>-0.055</t>
  </si>
  <si>
    <t>-0.368</t>
  </si>
  <si>
    <t>2.502564</t>
  </si>
  <si>
    <t>2.448506</t>
  </si>
  <si>
    <t>1.672898</t>
  </si>
  <si>
    <t>0.930824</t>
  </si>
  <si>
    <t>0.196817</t>
  </si>
  <si>
    <t>-0.034570</t>
  </si>
  <si>
    <t>0.176112</t>
  </si>
  <si>
    <t>0.520182</t>
  </si>
  <si>
    <t>0.000354</t>
  </si>
  <si>
    <t>15</t>
  </si>
  <si>
    <t>10:30:26</t>
  </si>
  <si>
    <t>015</t>
  </si>
  <si>
    <t>2.752613</t>
  </si>
  <si>
    <t>2.543399</t>
  </si>
  <si>
    <t>25.347431</t>
  </si>
  <si>
    <t>27.432449</t>
  </si>
  <si>
    <t>PSF-01106_20260814103026_761</t>
  </si>
  <si>
    <t>144.074677</t>
  </si>
  <si>
    <t>357.107513</t>
  </si>
  <si>
    <t>0.596551</t>
  </si>
  <si>
    <t>53.32</t>
  </si>
  <si>
    <t>49.27</t>
  </si>
  <si>
    <t>33.38</t>
  </si>
  <si>
    <t>31.38</t>
  </si>
  <si>
    <t>148.8</t>
  </si>
  <si>
    <t>644</t>
  </si>
  <si>
    <t>3.908</t>
  </si>
  <si>
    <t>-40</t>
  </si>
  <si>
    <t>-16</t>
  </si>
  <si>
    <t>127</t>
  </si>
  <si>
    <t>12.36</t>
  </si>
  <si>
    <t>97.68</t>
  </si>
  <si>
    <t>42.58</t>
  </si>
  <si>
    <t>-77.04</t>
  </si>
  <si>
    <t>119.08</t>
  </si>
  <si>
    <t>35.44</t>
  </si>
  <si>
    <t>01:30:06</t>
  </si>
  <si>
    <t>127.129715</t>
  </si>
  <si>
    <t>42.400002</t>
  </si>
  <si>
    <t>0.740000</t>
  </si>
  <si>
    <t>0.090</t>
  </si>
  <si>
    <t>0.451</t>
  </si>
  <si>
    <t>0.954</t>
  </si>
  <si>
    <t>2.502304</t>
  </si>
  <si>
    <t>2.447108</t>
  </si>
  <si>
    <t>1.670861</t>
  </si>
  <si>
    <t>0.925609</t>
  </si>
  <si>
    <t>0.195837</t>
  </si>
  <si>
    <t>-0.024392</t>
  </si>
  <si>
    <t>0.179833</t>
  </si>
  <si>
    <t>0.668954</t>
  </si>
  <si>
    <t>10:31:04</t>
  </si>
  <si>
    <t>016</t>
  </si>
  <si>
    <t>2.825240</t>
  </si>
  <si>
    <t>2.622907</t>
  </si>
  <si>
    <t>26.138437</t>
  </si>
  <si>
    <t>28.154776</t>
  </si>
  <si>
    <t>PSF-01106_20260814103104_815</t>
  </si>
  <si>
    <t>124.254585</t>
  </si>
  <si>
    <t>367.592468</t>
  </si>
  <si>
    <t>0.661977</t>
  </si>
  <si>
    <t>54.21</t>
  </si>
  <si>
    <t>50.33</t>
  </si>
  <si>
    <t>33.55</t>
  </si>
  <si>
    <t>31.67</t>
  </si>
  <si>
    <t>541</t>
  </si>
  <si>
    <t>3.907</t>
  </si>
  <si>
    <t>-8</t>
  </si>
  <si>
    <t>38</t>
  </si>
  <si>
    <t>19.01</t>
  </si>
  <si>
    <t>94.55</t>
  </si>
  <si>
    <t>17.84</t>
  </si>
  <si>
    <t>-77.89</t>
  </si>
  <si>
    <t>01:30:44</t>
  </si>
  <si>
    <t>35.850151</t>
  </si>
  <si>
    <t>42.299999</t>
  </si>
  <si>
    <t>0.103</t>
  </si>
  <si>
    <t>-0.060</t>
  </si>
  <si>
    <t>-0.385</t>
  </si>
  <si>
    <t>2.503755</t>
  </si>
  <si>
    <t>2.448210</t>
  </si>
  <si>
    <t>1.671599</t>
  </si>
  <si>
    <t>0.939729</t>
  </si>
  <si>
    <t>0.194541</t>
  </si>
  <si>
    <t>-0.022848</t>
  </si>
  <si>
    <t>0.184491</t>
  </si>
  <si>
    <t>0.578816</t>
  </si>
  <si>
    <t>10:31:41</t>
  </si>
  <si>
    <t>017</t>
  </si>
  <si>
    <t>2.775129</t>
  </si>
  <si>
    <t>2.542427</t>
  </si>
  <si>
    <t>25.337236</t>
  </si>
  <si>
    <t>27.656292</t>
  </si>
  <si>
    <t>PSF-01106_20260814103141_19b</t>
  </si>
  <si>
    <t>137.652405</t>
  </si>
  <si>
    <t>477.239380</t>
  </si>
  <si>
    <t>0.711565</t>
  </si>
  <si>
    <t>52.81</t>
  </si>
  <si>
    <t>48.38</t>
  </si>
  <si>
    <t>33.70</t>
  </si>
  <si>
    <t>31.14</t>
  </si>
  <si>
    <t>154.6</t>
  </si>
  <si>
    <t>1.0</t>
  </si>
  <si>
    <t>432</t>
  </si>
  <si>
    <t>3.906</t>
  </si>
  <si>
    <t>28</t>
  </si>
  <si>
    <t>37.26</t>
  </si>
  <si>
    <t>79.59</t>
  </si>
  <si>
    <t>2.00</t>
  </si>
  <si>
    <t>118.00</t>
  </si>
  <si>
    <t>119.36</t>
  </si>
  <si>
    <t>35.26</t>
  </si>
  <si>
    <t>01:31:21</t>
  </si>
  <si>
    <t>35.850147</t>
  </si>
  <si>
    <t>0.680000</t>
  </si>
  <si>
    <t>0.006</t>
  </si>
  <si>
    <t>-0.109</t>
  </si>
  <si>
    <t>-0.282</t>
  </si>
  <si>
    <t>-0.296</t>
  </si>
  <si>
    <t>2.500997</t>
  </si>
  <si>
    <t>2.446396</t>
  </si>
  <si>
    <t>1.671731</t>
  </si>
  <si>
    <t>0.940370</t>
  </si>
  <si>
    <t>0.193418</t>
  </si>
  <si>
    <t>-0.031365</t>
  </si>
  <si>
    <t>0.188889</t>
  </si>
  <si>
    <t>0.484015</t>
  </si>
  <si>
    <t>18</t>
  </si>
  <si>
    <t>10:32:12</t>
  </si>
  <si>
    <t>018</t>
  </si>
  <si>
    <t>2.868212</t>
  </si>
  <si>
    <t>2.685848</t>
  </si>
  <si>
    <t>26.766340</t>
  </si>
  <si>
    <t>28.583725</t>
  </si>
  <si>
    <t>PSF-01106_20260814103212_1b4</t>
  </si>
  <si>
    <t>151.403549</t>
  </si>
  <si>
    <t>373.021240</t>
  </si>
  <si>
    <t>0.594115</t>
  </si>
  <si>
    <t>54.20</t>
  </si>
  <si>
    <t>50.75</t>
  </si>
  <si>
    <t>33.83</t>
  </si>
  <si>
    <t>32.50</t>
  </si>
  <si>
    <t>153.6</t>
  </si>
  <si>
    <t>689</t>
  </si>
  <si>
    <t>352</t>
  </si>
  <si>
    <t>31.25</t>
  </si>
  <si>
    <t>85.50</t>
  </si>
  <si>
    <t>12.16</t>
  </si>
  <si>
    <t>1.53</t>
  </si>
  <si>
    <t>01:31:51</t>
  </si>
  <si>
    <t>35.850155</t>
  </si>
  <si>
    <t>42.200001</t>
  </si>
  <si>
    <t>-0.073</t>
  </si>
  <si>
    <t>-0.056</t>
  </si>
  <si>
    <t>1.091</t>
  </si>
  <si>
    <t>2.504297</t>
  </si>
  <si>
    <t>2.448145</t>
  </si>
  <si>
    <t>1.670262</t>
  </si>
  <si>
    <t>0.937868</t>
  </si>
  <si>
    <t>0.192472</t>
  </si>
  <si>
    <t>-0.015968</t>
  </si>
  <si>
    <t>0.192530</t>
  </si>
  <si>
    <t>0.708201</t>
  </si>
  <si>
    <t>0.000345</t>
  </si>
  <si>
    <t>19</t>
  </si>
  <si>
    <t>10:32:59</t>
  </si>
  <si>
    <t>019</t>
  </si>
  <si>
    <t>2.838620</t>
  </si>
  <si>
    <t>2.509877</t>
  </si>
  <si>
    <t>25.014906</t>
  </si>
  <si>
    <t>28.291351</t>
  </si>
  <si>
    <t>PSF-01106_20260814103259_6fd</t>
  </si>
  <si>
    <t>150.931122</t>
  </si>
  <si>
    <t>302.967316</t>
  </si>
  <si>
    <t>0.501824</t>
  </si>
  <si>
    <t>53.08</t>
  </si>
  <si>
    <t>46.93</t>
  </si>
  <si>
    <t>34.02</t>
  </si>
  <si>
    <t>958</t>
  </si>
  <si>
    <t>3.905</t>
  </si>
  <si>
    <t>100</t>
  </si>
  <si>
    <t>24.98</t>
  </si>
  <si>
    <t>90.65</t>
  </si>
  <si>
    <t>-23.22</t>
  </si>
  <si>
    <t>119.65</t>
  </si>
  <si>
    <t>35.09</t>
  </si>
  <si>
    <t>01:32:39</t>
  </si>
  <si>
    <t>35.850182</t>
  </si>
  <si>
    <t>0.730000</t>
  </si>
  <si>
    <t>-0.070</t>
  </si>
  <si>
    <t>-0.769</t>
  </si>
  <si>
    <t>-2.552</t>
  </si>
  <si>
    <t>2.498901</t>
  </si>
  <si>
    <t>2.446686</t>
  </si>
  <si>
    <t>1.670743</t>
  </si>
  <si>
    <t>0.936042</t>
  </si>
  <si>
    <t>0.191068</t>
  </si>
  <si>
    <t>-0.034204</t>
  </si>
  <si>
    <t>0.198263</t>
  </si>
  <si>
    <t>0.942737</t>
  </si>
  <si>
    <t>0.000356</t>
  </si>
  <si>
    <t>10:33:26</t>
  </si>
  <si>
    <t>020</t>
  </si>
  <si>
    <t>2.797312</t>
  </si>
  <si>
    <t>2.472927</t>
  </si>
  <si>
    <t>24.644615</t>
  </si>
  <si>
    <t>27.877357</t>
  </si>
  <si>
    <t>PSF-01106_20260814103326_ad4</t>
  </si>
  <si>
    <t>154.607529</t>
  </si>
  <si>
    <t>385.924805</t>
  </si>
  <si>
    <t>0.599384</t>
  </si>
  <si>
    <t>52.07</t>
  </si>
  <si>
    <t>46.03</t>
  </si>
  <si>
    <t>34.10</t>
  </si>
  <si>
    <t>30.78</t>
  </si>
  <si>
    <t>150.7</t>
  </si>
  <si>
    <t>3.4</t>
  </si>
  <si>
    <t>836</t>
  </si>
  <si>
    <t>-15</t>
  </si>
  <si>
    <t>119</t>
  </si>
  <si>
    <t>19.96</t>
  </si>
  <si>
    <t>93.99</t>
  </si>
  <si>
    <t>15.13</t>
  </si>
  <si>
    <t>-53.32</t>
  </si>
  <si>
    <t>119.94</t>
  </si>
  <si>
    <t>34.91</t>
  </si>
  <si>
    <t>01:33:06</t>
  </si>
  <si>
    <t>0.168</t>
  </si>
  <si>
    <t>0.521</t>
  </si>
  <si>
    <t>2.503</t>
  </si>
  <si>
    <t>2.497609</t>
  </si>
  <si>
    <t>2.445377</t>
  </si>
  <si>
    <t>1.670074</t>
  </si>
  <si>
    <t>0.930490</t>
  </si>
  <si>
    <t>0.190452</t>
  </si>
  <si>
    <t>-0.040891</t>
  </si>
  <si>
    <t>0.201303</t>
  </si>
  <si>
    <t>0.835967</t>
  </si>
  <si>
    <t>10:33:50</t>
  </si>
  <si>
    <t>021</t>
  </si>
  <si>
    <t>2.788109</t>
  </si>
  <si>
    <t>2.515249</t>
  </si>
  <si>
    <t>25.067265</t>
  </si>
  <si>
    <t>27.786619</t>
  </si>
  <si>
    <t>PSF-01106_20260814103350_dff</t>
  </si>
  <si>
    <t>157.667404</t>
  </si>
  <si>
    <t>410.662994</t>
  </si>
  <si>
    <t>0.616066</t>
  </si>
  <si>
    <t>51.69</t>
  </si>
  <si>
    <t>46.64</t>
  </si>
  <si>
    <t>34.17</t>
  </si>
  <si>
    <t>31.28</t>
  </si>
  <si>
    <t>827</t>
  </si>
  <si>
    <t>3.904</t>
  </si>
  <si>
    <t>-7</t>
  </si>
  <si>
    <t>80</t>
  </si>
  <si>
    <t>30.15</t>
  </si>
  <si>
    <t>86.47</t>
  </si>
  <si>
    <t>38.54</t>
  </si>
  <si>
    <t>-111.28</t>
  </si>
  <si>
    <t>01:33:30</t>
  </si>
  <si>
    <t>35.850178</t>
  </si>
  <si>
    <t>0.975</t>
  </si>
  <si>
    <t>0.864</t>
  </si>
  <si>
    <t>0.469</t>
  </si>
  <si>
    <t>2.498454</t>
  </si>
  <si>
    <t>2.444890</t>
  </si>
  <si>
    <t>1.670170</t>
  </si>
  <si>
    <t>0.937827</t>
  </si>
  <si>
    <t>0.189937</t>
  </si>
  <si>
    <t>-0.035553</t>
  </si>
  <si>
    <t>0.204185</t>
  </si>
  <si>
    <t>0.828608</t>
  </si>
  <si>
    <t>22</t>
  </si>
  <si>
    <t>10:34:26</t>
  </si>
  <si>
    <t>022</t>
  </si>
  <si>
    <t>2.950469</t>
  </si>
  <si>
    <t>2.669115</t>
  </si>
  <si>
    <t>26.600048</t>
  </si>
  <si>
    <t>29.403982</t>
  </si>
  <si>
    <t>PSF-01106_20260814103426_309</t>
  </si>
  <si>
    <t>132.864838</t>
  </si>
  <si>
    <t>413.633118</t>
  </si>
  <si>
    <t>0.678786</t>
  </si>
  <si>
    <t>49.21</t>
  </si>
  <si>
    <t>34.27</t>
  </si>
  <si>
    <t>31.46</t>
  </si>
  <si>
    <t>139.7</t>
  </si>
  <si>
    <t>10.4</t>
  </si>
  <si>
    <t>598</t>
  </si>
  <si>
    <t>3.903</t>
  </si>
  <si>
    <t>348</t>
  </si>
  <si>
    <t>15.45</t>
  </si>
  <si>
    <t>96.39</t>
  </si>
  <si>
    <t>-44.17</t>
  </si>
  <si>
    <t>120.23</t>
  </si>
  <si>
    <t>34.74</t>
  </si>
  <si>
    <t>01:34:06</t>
  </si>
  <si>
    <t>0.700000</t>
  </si>
  <si>
    <t>0.012</t>
  </si>
  <si>
    <t>0.041</t>
  </si>
  <si>
    <t>0.963</t>
  </si>
  <si>
    <t>1.317</t>
  </si>
  <si>
    <t>2.502057</t>
  </si>
  <si>
    <t>2.448320</t>
  </si>
  <si>
    <t>1.669987</t>
  </si>
  <si>
    <t>0.902669</t>
  </si>
  <si>
    <t>0.189192</t>
  </si>
  <si>
    <t>-0.034567</t>
  </si>
  <si>
    <t>0.208398</t>
  </si>
  <si>
    <t>0.628954</t>
  </si>
  <si>
    <t>0.000358</t>
  </si>
  <si>
    <t>23</t>
  </si>
  <si>
    <t>10:35:09</t>
  </si>
  <si>
    <t>023</t>
  </si>
  <si>
    <t>2.748714</t>
  </si>
  <si>
    <t>2.486866</t>
  </si>
  <si>
    <t>24.784893</t>
  </si>
  <si>
    <t>27.394550</t>
  </si>
  <si>
    <t>PSF-01106_20260814103509_5cf</t>
  </si>
  <si>
    <t>150.120377</t>
  </si>
  <si>
    <t>449.461700</t>
  </si>
  <si>
    <t>0.666000</t>
  </si>
  <si>
    <t>45.64</t>
  </si>
  <si>
    <t>34.35</t>
  </si>
  <si>
    <t>31.15</t>
  </si>
  <si>
    <t>154.4</t>
  </si>
  <si>
    <t>1.1</t>
  </si>
  <si>
    <t>458</t>
  </si>
  <si>
    <t>3.901</t>
  </si>
  <si>
    <t>6.25</t>
  </si>
  <si>
    <t>99.41</t>
  </si>
  <si>
    <t>29.30</t>
  </si>
  <si>
    <t>-65.61</t>
  </si>
  <si>
    <t>01:34:48</t>
  </si>
  <si>
    <t>35.850163</t>
  </si>
  <si>
    <t>127.129692</t>
  </si>
  <si>
    <t>-0.092</t>
  </si>
  <si>
    <t>-0.599</t>
  </si>
  <si>
    <t>2.497015</t>
  </si>
  <si>
    <t>2.443260</t>
  </si>
  <si>
    <t>1.670611</t>
  </si>
  <si>
    <t>0.939842</t>
  </si>
  <si>
    <t>0.188583</t>
  </si>
  <si>
    <t>-0.039550</t>
  </si>
  <si>
    <t>0.213237</t>
  </si>
  <si>
    <t>0.506745</t>
  </si>
  <si>
    <t>24</t>
  </si>
  <si>
    <t>10:36:05</t>
  </si>
  <si>
    <t>024</t>
  </si>
  <si>
    <t>2.674578</t>
  </si>
  <si>
    <t>2.527713</t>
  </si>
  <si>
    <t>25.190540</t>
  </si>
  <si>
    <t>26.654161</t>
  </si>
  <si>
    <t>PSF-01106_20260814103605_a2b</t>
  </si>
  <si>
    <t>144.983414</t>
  </si>
  <si>
    <t>473.391296</t>
  </si>
  <si>
    <t>0.693735</t>
  </si>
  <si>
    <t>48.81</t>
  </si>
  <si>
    <t>46.13</t>
  </si>
  <si>
    <t>34.45</t>
  </si>
  <si>
    <t>32.31</t>
  </si>
  <si>
    <t>153.2</t>
  </si>
  <si>
    <t>469</t>
  </si>
  <si>
    <t>3.899</t>
  </si>
  <si>
    <t>56</t>
  </si>
  <si>
    <t>340</t>
  </si>
  <si>
    <t>43.87</t>
  </si>
  <si>
    <t>72.09</t>
  </si>
  <si>
    <t>56.38</t>
  </si>
  <si>
    <t>-115.36</t>
  </si>
  <si>
    <t>120.53</t>
  </si>
  <si>
    <t>34.56</t>
  </si>
  <si>
    <t>01:35:45</t>
  </si>
  <si>
    <t>43.000000</t>
  </si>
  <si>
    <t>0.720000</t>
  </si>
  <si>
    <t>0.227</t>
  </si>
  <si>
    <t>-0.314</t>
  </si>
  <si>
    <t>-0.330</t>
  </si>
  <si>
    <t>2.497688</t>
  </si>
  <si>
    <t>2.441144</t>
  </si>
  <si>
    <t>1.670789</t>
  </si>
  <si>
    <t>0.936914</t>
  </si>
  <si>
    <t>0.187840</t>
  </si>
  <si>
    <t>-0.026403</t>
  </si>
  <si>
    <t>0.219817</t>
  </si>
  <si>
    <t>0.515965</t>
  </si>
  <si>
    <t>0.000360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</si>
  <si>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</si>
  <si>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</si>
  <si>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</si>
  <si>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</si>
  <si>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ETc</t>
    <phoneticPr fontId="1" type="noConversion"/>
  </si>
  <si>
    <t>ETc_침수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</si>
</sst>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4" xfId="0" applyBorder="1"/>
    <xf numFmtId="2" fontId="0" fillId="0" borderId="0" xfId="0" applyNumberFormat="1" applyAlignment="1">
      <alignment vertical="center"/>
    </xf>
    <xf numFmtId="2" fontId="0" fillId="0" borderId="0" xfId="0" applyNumberFormat="1"/>
    <xf numFmtId="0" fontId="0" fillId="0" borderId="5" xfId="0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보정 </a:t>
            </a:r>
            <a:r>
              <a:rPr lang="en-US" altLang="ko-KR"/>
              <a:t>gsw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'처리별 분류'!$E$2:$E$25</c:f>
              <c:numCache>
                <c:formatCode>0.00</c:formatCode>
                <c:ptCount val="24"/>
                <c:pt idx="0">
                  <c:v>0.41277961528010998</c:v>
                </c:pt>
                <c:pt idx="1">
                  <c:v>0.49929959301308302</c:v>
                </c:pt>
                <c:pt idx="2">
                  <c:v>0.66974552623848804</c:v>
                </c:pt>
                <c:pt idx="3">
                  <c:v>0.46345047982820398</c:v>
                </c:pt>
                <c:pt idx="4">
                  <c:v>0.450725754045117</c:v>
                </c:pt>
                <c:pt idx="5">
                  <c:v>0.53879165118801198</c:v>
                </c:pt>
                <c:pt idx="6">
                  <c:v>0.44053357224782602</c:v>
                </c:pt>
                <c:pt idx="7">
                  <c:v>0.524236998238225</c:v>
                </c:pt>
                <c:pt idx="8">
                  <c:v>0.37673480484463601</c:v>
                </c:pt>
                <c:pt idx="9">
                  <c:v>0.607940200865282</c:v>
                </c:pt>
                <c:pt idx="10">
                  <c:v>0.62584411664350503</c:v>
                </c:pt>
                <c:pt idx="11">
                  <c:v>0.496365784335636</c:v>
                </c:pt>
                <c:pt idx="12">
                  <c:v>0.162654199102336</c:v>
                </c:pt>
                <c:pt idx="13">
                  <c:v>0.225170331347707</c:v>
                </c:pt>
                <c:pt idx="14">
                  <c:v>0.265061019090362</c:v>
                </c:pt>
                <c:pt idx="15">
                  <c:v>0.43133700412340598</c:v>
                </c:pt>
                <c:pt idx="16">
                  <c:v>0.35954828515637399</c:v>
                </c:pt>
                <c:pt idx="17">
                  <c:v>0.45105031943864698</c:v>
                </c:pt>
                <c:pt idx="18">
                  <c:v>0.36349640741728501</c:v>
                </c:pt>
                <c:pt idx="19">
                  <c:v>0.43476048975398002</c:v>
                </c:pt>
                <c:pt idx="20">
                  <c:v>0.30231849832562502</c:v>
                </c:pt>
                <c:pt idx="21">
                  <c:v>0.53682423062414997</c:v>
                </c:pt>
                <c:pt idx="22">
                  <c:v>0.47913848572316298</c:v>
                </c:pt>
                <c:pt idx="23">
                  <c:v>0.23233051593305901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D-4634-BC63-78FF218D4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937280"/>
        <c:axId val="752350800"/>
      </c:scatterChart>
      <c:valAx>
        <c:axId val="81293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2350800"/>
        <c:crosses val="autoZero"/>
        <c:crossBetween val="midCat"/>
      </c:valAx>
      <c:valAx>
        <c:axId val="7523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93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5</xdr:row>
      <xdr:rowOff>34290</xdr:rowOff>
    </xdr:from>
    <xdr:to>
      <xdr:col>19</xdr:col>
      <xdr:colOff>581025</xdr:colOff>
      <xdr:row>16</xdr:row>
      <xdr:rowOff>91440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B86746E-FAFD-FE17-D751-6B5B7F299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7"/>
  <sheetViews>
    <sheetView workbookViewId="0">
      <selection activeCell="F11" sqref="F11"/>
    </sheetView>
  </sheetViews>
  <sheetFormatPr defaultRowHeight="19.2" x14ac:dyDescent="0.45"/>
  <sheetData>
    <row r="1" spans="1:124" ht="17.25" customHeight="1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7.25" customHeight="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7.25" customHeight="1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ht="17.25" customHeight="1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27" si="0">1/((1/L4)-(1/K4))</f>
        <v>0.50844442677941404</v>
      </c>
      <c r="K4">
        <f t="shared" ref="K4:K27" si="1">BY4+(BZ4*AN4)+(CA4*AN4*POWER(V4,2))+(CB4*AN4*V4)+(CC4*POWER(AN4,2))</f>
        <v>2.9066320800000001</v>
      </c>
      <c r="L4">
        <f t="shared" ref="L4:L27" si="2">((M4/1000)*(1000-((T4+S4)/2)))/(T4-S4)</f>
        <v>0.43274605381182268</v>
      </c>
      <c r="M4">
        <f t="shared" ref="M4:M27" si="3">(AN4*(S4-R4))/(100*U4*(1000-S4))*1000</f>
        <v>7.684510980339863</v>
      </c>
      <c r="N4" t="s">
        <v>165</v>
      </c>
      <c r="O4" t="s">
        <v>166</v>
      </c>
      <c r="P4">
        <f t="shared" ref="P4:P27" si="4">0.61365*EXP((17.502*AL4)/(240.97+AL4))</f>
        <v>4.2948304037817904</v>
      </c>
      <c r="Q4">
        <f t="shared" ref="Q4:Q27" si="5">P4-N4</f>
        <v>1.7205694037817905</v>
      </c>
      <c r="R4" t="s">
        <v>167</v>
      </c>
      <c r="S4" t="s">
        <v>168</v>
      </c>
      <c r="T4">
        <f t="shared" ref="T4:T27" si="6">(P4/AM4)*1000</f>
        <v>42.807040803167453</v>
      </c>
      <c r="U4">
        <f t="shared" ref="U4:U27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27" si="8">AC4*AD4*AE4*AQ4</f>
        <v>213.73351271999999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27" si="9">(AK4-AJ4)*(AJ4*0+0)+AK4</f>
        <v>30.14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V4" t="s">
        <v>191</v>
      </c>
      <c r="AW4" t="s">
        <v>192</v>
      </c>
      <c r="AX4" t="s">
        <v>193</v>
      </c>
      <c r="AY4" t="s">
        <v>194</v>
      </c>
      <c r="AZ4" t="s">
        <v>195</v>
      </c>
      <c r="BA4" t="s">
        <v>196</v>
      </c>
      <c r="BB4" t="s">
        <v>197</v>
      </c>
      <c r="BC4" t="s">
        <v>198</v>
      </c>
      <c r="BD4" t="s">
        <v>161</v>
      </c>
      <c r="BE4" t="s">
        <v>199</v>
      </c>
      <c r="BF4" t="s">
        <v>200</v>
      </c>
      <c r="BG4" t="s">
        <v>201</v>
      </c>
      <c r="BH4" t="s">
        <v>202</v>
      </c>
      <c r="BI4" t="s">
        <v>177</v>
      </c>
      <c r="BJ4" t="s">
        <v>203</v>
      </c>
      <c r="BK4" t="s">
        <v>161</v>
      </c>
      <c r="BL4" t="s">
        <v>204</v>
      </c>
      <c r="BM4" t="s">
        <v>159</v>
      </c>
      <c r="BN4" t="s">
        <v>205</v>
      </c>
      <c r="BO4" t="s">
        <v>206</v>
      </c>
      <c r="BP4" t="s">
        <v>207</v>
      </c>
      <c r="BQ4" t="s">
        <v>208</v>
      </c>
      <c r="BR4" t="s">
        <v>209</v>
      </c>
      <c r="BS4" t="s">
        <v>210</v>
      </c>
      <c r="BT4" t="s">
        <v>159</v>
      </c>
      <c r="BU4" t="s">
        <v>211</v>
      </c>
      <c r="BV4" t="s">
        <v>212</v>
      </c>
      <c r="BW4" t="s">
        <v>213</v>
      </c>
      <c r="BX4" t="s">
        <v>214</v>
      </c>
      <c r="BY4" t="s">
        <v>171</v>
      </c>
      <c r="BZ4" t="s">
        <v>215</v>
      </c>
      <c r="CA4" t="s">
        <v>171</v>
      </c>
      <c r="CB4" t="s">
        <v>171</v>
      </c>
      <c r="CC4" t="s">
        <v>216</v>
      </c>
      <c r="CD4" t="s">
        <v>217</v>
      </c>
      <c r="CE4" t="s">
        <v>218</v>
      </c>
      <c r="CF4" t="s">
        <v>219</v>
      </c>
      <c r="CG4" t="s">
        <v>220</v>
      </c>
      <c r="CH4" t="s">
        <v>221</v>
      </c>
      <c r="CI4" t="s">
        <v>177</v>
      </c>
      <c r="CJ4" t="s">
        <v>213</v>
      </c>
      <c r="CK4" t="s">
        <v>222</v>
      </c>
      <c r="CL4" t="s">
        <v>222</v>
      </c>
      <c r="CM4" t="s">
        <v>222</v>
      </c>
      <c r="CN4" t="s">
        <v>171</v>
      </c>
      <c r="CO4" t="s">
        <v>223</v>
      </c>
      <c r="CP4" t="s">
        <v>171</v>
      </c>
      <c r="CQ4" t="s">
        <v>171</v>
      </c>
      <c r="CR4" t="s">
        <v>171</v>
      </c>
      <c r="CS4" t="s">
        <v>171</v>
      </c>
      <c r="CT4" t="s">
        <v>224</v>
      </c>
      <c r="CU4" t="s">
        <v>225</v>
      </c>
      <c r="CV4" t="s">
        <v>226</v>
      </c>
      <c r="CW4" t="s">
        <v>227</v>
      </c>
      <c r="CX4" t="s">
        <v>228</v>
      </c>
      <c r="CY4" t="s">
        <v>229</v>
      </c>
      <c r="CZ4" t="s">
        <v>230</v>
      </c>
      <c r="DA4" t="s">
        <v>231</v>
      </c>
      <c r="DB4" t="s">
        <v>172</v>
      </c>
      <c r="DC4" t="s">
        <v>232</v>
      </c>
      <c r="DD4" t="s">
        <v>233</v>
      </c>
      <c r="DE4" t="s">
        <v>234</v>
      </c>
      <c r="DF4" t="s">
        <v>177</v>
      </c>
      <c r="DG4" t="s">
        <v>235</v>
      </c>
      <c r="DH4" t="s">
        <v>236</v>
      </c>
      <c r="DI4" t="s">
        <v>177</v>
      </c>
      <c r="DJ4" t="s">
        <v>237</v>
      </c>
      <c r="DK4" t="s">
        <v>238</v>
      </c>
      <c r="DL4" t="s">
        <v>239</v>
      </c>
      <c r="DM4" t="s">
        <v>171</v>
      </c>
      <c r="DN4" t="s">
        <v>170</v>
      </c>
      <c r="DO4" t="s">
        <v>240</v>
      </c>
      <c r="DP4" t="s">
        <v>241</v>
      </c>
      <c r="DQ4" t="s">
        <v>242</v>
      </c>
      <c r="DR4" t="s">
        <v>243</v>
      </c>
      <c r="DS4" t="s">
        <v>244</v>
      </c>
      <c r="DT4" t="s">
        <v>245</v>
      </c>
    </row>
    <row r="5" spans="1:124" ht="17.25" customHeight="1" x14ac:dyDescent="0.45">
      <c r="A5" t="s">
        <v>246</v>
      </c>
      <c r="B5" t="s">
        <v>247</v>
      </c>
      <c r="C5" t="s">
        <v>161</v>
      </c>
      <c r="D5" t="s">
        <v>162</v>
      </c>
      <c r="E5" t="s">
        <v>163</v>
      </c>
      <c r="I5" t="s">
        <v>248</v>
      </c>
      <c r="J5">
        <f t="shared" si="0"/>
        <v>0.64566816073743472</v>
      </c>
      <c r="K5">
        <f t="shared" si="1"/>
        <v>2.9042299199999997</v>
      </c>
      <c r="L5">
        <f t="shared" si="2"/>
        <v>0.52823172613887848</v>
      </c>
      <c r="M5">
        <f t="shared" si="3"/>
        <v>8.9716972101767087</v>
      </c>
      <c r="N5" t="s">
        <v>249</v>
      </c>
      <c r="O5" t="s">
        <v>250</v>
      </c>
      <c r="P5">
        <f t="shared" si="4"/>
        <v>4.1419991137376488</v>
      </c>
      <c r="Q5">
        <f t="shared" si="5"/>
        <v>1.6476501137376487</v>
      </c>
      <c r="R5" t="s">
        <v>251</v>
      </c>
      <c r="S5" t="s">
        <v>252</v>
      </c>
      <c r="T5">
        <f t="shared" si="6"/>
        <v>41.28375474671234</v>
      </c>
      <c r="U5">
        <f t="shared" si="7"/>
        <v>0.4417875</v>
      </c>
      <c r="V5" t="s">
        <v>169</v>
      </c>
      <c r="W5" t="s">
        <v>253</v>
      </c>
      <c r="X5" t="s">
        <v>171</v>
      </c>
      <c r="Y5" t="s">
        <v>171</v>
      </c>
      <c r="Z5" t="s">
        <v>171</v>
      </c>
      <c r="AA5" t="s">
        <v>254</v>
      </c>
      <c r="AB5" t="s">
        <v>255</v>
      </c>
      <c r="AC5" t="s">
        <v>256</v>
      </c>
      <c r="AD5" t="s">
        <v>175</v>
      </c>
      <c r="AE5" t="s">
        <v>176</v>
      </c>
      <c r="AF5">
        <f t="shared" si="8"/>
        <v>258.79341473999995</v>
      </c>
      <c r="AG5" t="s">
        <v>177</v>
      </c>
      <c r="AH5" t="s">
        <v>257</v>
      </c>
      <c r="AI5" t="s">
        <v>258</v>
      </c>
      <c r="AJ5" t="s">
        <v>259</v>
      </c>
      <c r="AK5" t="s">
        <v>260</v>
      </c>
      <c r="AL5">
        <f t="shared" si="9"/>
        <v>29.51</v>
      </c>
      <c r="AM5" t="s">
        <v>182</v>
      </c>
      <c r="AN5" t="s">
        <v>261</v>
      </c>
      <c r="AO5" t="s">
        <v>262</v>
      </c>
      <c r="AP5" t="s">
        <v>263</v>
      </c>
      <c r="AQ5" t="s">
        <v>264</v>
      </c>
      <c r="AR5" t="s">
        <v>187</v>
      </c>
      <c r="AS5" t="s">
        <v>265</v>
      </c>
      <c r="AT5" t="s">
        <v>246</v>
      </c>
      <c r="AU5" t="s">
        <v>266</v>
      </c>
      <c r="AV5" t="s">
        <v>267</v>
      </c>
      <c r="AW5" t="s">
        <v>268</v>
      </c>
      <c r="AX5" t="s">
        <v>269</v>
      </c>
      <c r="AY5" t="s">
        <v>270</v>
      </c>
      <c r="AZ5" t="s">
        <v>195</v>
      </c>
      <c r="BA5" t="s">
        <v>271</v>
      </c>
      <c r="BB5" t="s">
        <v>272</v>
      </c>
      <c r="BC5" t="s">
        <v>273</v>
      </c>
      <c r="BD5" t="s">
        <v>161</v>
      </c>
      <c r="BE5" t="s">
        <v>274</v>
      </c>
      <c r="BF5" t="s">
        <v>275</v>
      </c>
      <c r="BG5" t="s">
        <v>276</v>
      </c>
      <c r="BH5" t="s">
        <v>202</v>
      </c>
      <c r="BI5" t="s">
        <v>177</v>
      </c>
      <c r="BJ5" t="s">
        <v>203</v>
      </c>
      <c r="BK5" t="s">
        <v>161</v>
      </c>
      <c r="BL5" t="s">
        <v>204</v>
      </c>
      <c r="BM5" t="s">
        <v>159</v>
      </c>
      <c r="BN5" t="s">
        <v>277</v>
      </c>
      <c r="BO5" t="s">
        <v>206</v>
      </c>
      <c r="BP5" t="s">
        <v>278</v>
      </c>
      <c r="BQ5" t="s">
        <v>279</v>
      </c>
      <c r="BR5" t="s">
        <v>280</v>
      </c>
      <c r="BS5" t="s">
        <v>281</v>
      </c>
      <c r="BT5" t="s">
        <v>159</v>
      </c>
      <c r="BU5" t="s">
        <v>211</v>
      </c>
      <c r="BV5" t="s">
        <v>212</v>
      </c>
      <c r="BW5" t="s">
        <v>213</v>
      </c>
      <c r="BX5" t="s">
        <v>214</v>
      </c>
      <c r="BY5" t="s">
        <v>171</v>
      </c>
      <c r="BZ5" t="s">
        <v>215</v>
      </c>
      <c r="CA5" t="s">
        <v>171</v>
      </c>
      <c r="CB5" t="s">
        <v>171</v>
      </c>
      <c r="CC5" t="s">
        <v>216</v>
      </c>
      <c r="CD5" t="s">
        <v>217</v>
      </c>
      <c r="CE5" t="s">
        <v>218</v>
      </c>
      <c r="CF5" t="s">
        <v>219</v>
      </c>
      <c r="CG5" t="s">
        <v>220</v>
      </c>
      <c r="CH5" t="s">
        <v>221</v>
      </c>
      <c r="CI5" t="s">
        <v>177</v>
      </c>
      <c r="CJ5" t="s">
        <v>213</v>
      </c>
      <c r="CK5" t="s">
        <v>222</v>
      </c>
      <c r="CL5" t="s">
        <v>222</v>
      </c>
      <c r="CM5" t="s">
        <v>222</v>
      </c>
      <c r="CN5" t="s">
        <v>171</v>
      </c>
      <c r="CO5" t="s">
        <v>223</v>
      </c>
      <c r="CP5" t="s">
        <v>171</v>
      </c>
      <c r="CQ5" t="s">
        <v>171</v>
      </c>
      <c r="CR5" t="s">
        <v>171</v>
      </c>
      <c r="CS5" t="s">
        <v>171</v>
      </c>
      <c r="CT5" t="s">
        <v>282</v>
      </c>
      <c r="CU5" t="s">
        <v>283</v>
      </c>
      <c r="CV5" t="s">
        <v>284</v>
      </c>
      <c r="CW5" t="s">
        <v>285</v>
      </c>
      <c r="CX5" t="s">
        <v>286</v>
      </c>
      <c r="CY5" t="s">
        <v>287</v>
      </c>
      <c r="CZ5" t="s">
        <v>288</v>
      </c>
      <c r="DA5" t="s">
        <v>289</v>
      </c>
      <c r="DB5" t="s">
        <v>254</v>
      </c>
      <c r="DC5" t="s">
        <v>290</v>
      </c>
      <c r="DD5" t="s">
        <v>233</v>
      </c>
      <c r="DE5" t="s">
        <v>234</v>
      </c>
      <c r="DF5" t="s">
        <v>177</v>
      </c>
      <c r="DG5" t="s">
        <v>235</v>
      </c>
      <c r="DH5" t="s">
        <v>236</v>
      </c>
      <c r="DI5" t="s">
        <v>177</v>
      </c>
      <c r="DJ5" t="s">
        <v>237</v>
      </c>
      <c r="DK5" t="s">
        <v>238</v>
      </c>
      <c r="DL5" t="s">
        <v>239</v>
      </c>
      <c r="DM5" t="s">
        <v>171</v>
      </c>
      <c r="DN5" t="s">
        <v>253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</row>
    <row r="6" spans="1:124" ht="17.25" customHeight="1" x14ac:dyDescent="0.45">
      <c r="A6" t="s">
        <v>291</v>
      </c>
      <c r="B6" t="s">
        <v>292</v>
      </c>
      <c r="C6" t="s">
        <v>161</v>
      </c>
      <c r="D6" t="s">
        <v>162</v>
      </c>
      <c r="E6" t="s">
        <v>163</v>
      </c>
      <c r="I6" t="s">
        <v>293</v>
      </c>
      <c r="J6">
        <f t="shared" si="0"/>
        <v>0.96294272740028342</v>
      </c>
      <c r="K6">
        <f t="shared" si="1"/>
        <v>2.9050319999999994</v>
      </c>
      <c r="L6">
        <f t="shared" si="2"/>
        <v>0.72321554157238654</v>
      </c>
      <c r="M6">
        <f t="shared" si="3"/>
        <v>11.220799606838799</v>
      </c>
      <c r="N6" t="s">
        <v>294</v>
      </c>
      <c r="O6" t="s">
        <v>295</v>
      </c>
      <c r="P6">
        <f t="shared" si="4"/>
        <v>3.9823793267903715</v>
      </c>
      <c r="Q6">
        <f t="shared" si="5"/>
        <v>1.5065903267903717</v>
      </c>
      <c r="R6" t="s">
        <v>296</v>
      </c>
      <c r="S6" t="s">
        <v>297</v>
      </c>
      <c r="T6">
        <f t="shared" si="6"/>
        <v>39.692807004787916</v>
      </c>
      <c r="U6">
        <f t="shared" si="7"/>
        <v>0.4417875</v>
      </c>
      <c r="V6" t="s">
        <v>169</v>
      </c>
      <c r="W6" t="s">
        <v>298</v>
      </c>
      <c r="X6" t="s">
        <v>171</v>
      </c>
      <c r="Y6" t="s">
        <v>171</v>
      </c>
      <c r="Z6" t="s">
        <v>171</v>
      </c>
      <c r="AA6" t="s">
        <v>299</v>
      </c>
      <c r="AB6" t="s">
        <v>300</v>
      </c>
      <c r="AC6" t="s">
        <v>301</v>
      </c>
      <c r="AD6" t="s">
        <v>175</v>
      </c>
      <c r="AE6" t="s">
        <v>176</v>
      </c>
      <c r="AF6">
        <f t="shared" si="8"/>
        <v>226.43064863999999</v>
      </c>
      <c r="AG6" t="s">
        <v>177</v>
      </c>
      <c r="AH6" t="s">
        <v>302</v>
      </c>
      <c r="AI6" t="s">
        <v>303</v>
      </c>
      <c r="AJ6" t="s">
        <v>304</v>
      </c>
      <c r="AK6" t="s">
        <v>305</v>
      </c>
      <c r="AL6">
        <f t="shared" si="9"/>
        <v>28.83</v>
      </c>
      <c r="AM6" t="s">
        <v>182</v>
      </c>
      <c r="AN6" t="s">
        <v>306</v>
      </c>
      <c r="AO6" t="s">
        <v>307</v>
      </c>
      <c r="AP6" t="s">
        <v>308</v>
      </c>
      <c r="AQ6" t="s">
        <v>309</v>
      </c>
      <c r="AR6" t="s">
        <v>310</v>
      </c>
      <c r="AS6" t="s">
        <v>311</v>
      </c>
      <c r="AT6" t="s">
        <v>159</v>
      </c>
      <c r="AU6" t="s">
        <v>312</v>
      </c>
      <c r="AV6" t="s">
        <v>313</v>
      </c>
      <c r="AW6" t="s">
        <v>314</v>
      </c>
      <c r="AX6" t="s">
        <v>315</v>
      </c>
      <c r="AY6" t="s">
        <v>316</v>
      </c>
      <c r="AZ6" t="s">
        <v>195</v>
      </c>
      <c r="BA6" t="s">
        <v>317</v>
      </c>
      <c r="BB6" t="s">
        <v>318</v>
      </c>
      <c r="BC6" t="s">
        <v>319</v>
      </c>
      <c r="BD6" t="s">
        <v>161</v>
      </c>
      <c r="BE6" t="s">
        <v>320</v>
      </c>
      <c r="BF6" t="s">
        <v>321</v>
      </c>
      <c r="BG6" t="s">
        <v>322</v>
      </c>
      <c r="BH6" t="s">
        <v>202</v>
      </c>
      <c r="BI6" t="s">
        <v>323</v>
      </c>
      <c r="BJ6" t="s">
        <v>203</v>
      </c>
      <c r="BK6" t="s">
        <v>161</v>
      </c>
      <c r="BL6" t="s">
        <v>204</v>
      </c>
      <c r="BM6" t="s">
        <v>159</v>
      </c>
      <c r="BN6" t="s">
        <v>324</v>
      </c>
      <c r="BO6" t="s">
        <v>325</v>
      </c>
      <c r="BP6" t="s">
        <v>278</v>
      </c>
      <c r="BQ6" t="s">
        <v>326</v>
      </c>
      <c r="BR6" t="s">
        <v>327</v>
      </c>
      <c r="BS6" t="s">
        <v>328</v>
      </c>
      <c r="BT6" t="s">
        <v>159</v>
      </c>
      <c r="BU6" t="s">
        <v>211</v>
      </c>
      <c r="BV6" t="s">
        <v>212</v>
      </c>
      <c r="BW6" t="s">
        <v>213</v>
      </c>
      <c r="BX6" t="s">
        <v>214</v>
      </c>
      <c r="BY6" t="s">
        <v>171</v>
      </c>
      <c r="BZ6" t="s">
        <v>215</v>
      </c>
      <c r="CA6" t="s">
        <v>171</v>
      </c>
      <c r="CB6" t="s">
        <v>171</v>
      </c>
      <c r="CC6" t="s">
        <v>216</v>
      </c>
      <c r="CD6" t="s">
        <v>217</v>
      </c>
      <c r="CE6" t="s">
        <v>218</v>
      </c>
      <c r="CF6" t="s">
        <v>219</v>
      </c>
      <c r="CG6" t="s">
        <v>220</v>
      </c>
      <c r="CH6" t="s">
        <v>221</v>
      </c>
      <c r="CI6" t="s">
        <v>177</v>
      </c>
      <c r="CJ6" t="s">
        <v>213</v>
      </c>
      <c r="CK6" t="s">
        <v>222</v>
      </c>
      <c r="CL6" t="s">
        <v>222</v>
      </c>
      <c r="CM6" t="s">
        <v>222</v>
      </c>
      <c r="CN6" t="s">
        <v>171</v>
      </c>
      <c r="CO6" t="s">
        <v>223</v>
      </c>
      <c r="CP6" t="s">
        <v>171</v>
      </c>
      <c r="CQ6" t="s">
        <v>171</v>
      </c>
      <c r="CR6" t="s">
        <v>171</v>
      </c>
      <c r="CS6" t="s">
        <v>171</v>
      </c>
      <c r="CT6" t="s">
        <v>329</v>
      </c>
      <c r="CU6" t="s">
        <v>330</v>
      </c>
      <c r="CV6" t="s">
        <v>331</v>
      </c>
      <c r="CW6" t="s">
        <v>332</v>
      </c>
      <c r="CX6" t="s">
        <v>333</v>
      </c>
      <c r="CY6" t="s">
        <v>334</v>
      </c>
      <c r="CZ6" t="s">
        <v>335</v>
      </c>
      <c r="DA6" t="s">
        <v>336</v>
      </c>
      <c r="DB6" t="s">
        <v>299</v>
      </c>
      <c r="DC6" t="s">
        <v>337</v>
      </c>
      <c r="DD6" t="s">
        <v>233</v>
      </c>
      <c r="DE6" t="s">
        <v>234</v>
      </c>
      <c r="DF6" t="s">
        <v>177</v>
      </c>
      <c r="DG6" t="s">
        <v>235</v>
      </c>
      <c r="DH6" t="s">
        <v>236</v>
      </c>
      <c r="DI6" t="s">
        <v>177</v>
      </c>
      <c r="DJ6" t="s">
        <v>237</v>
      </c>
      <c r="DK6" t="s">
        <v>238</v>
      </c>
      <c r="DL6" t="s">
        <v>239</v>
      </c>
      <c r="DM6" t="s">
        <v>171</v>
      </c>
      <c r="DN6" t="s">
        <v>298</v>
      </c>
      <c r="DO6" t="s">
        <v>240</v>
      </c>
      <c r="DP6" t="s">
        <v>241</v>
      </c>
      <c r="DQ6" t="s">
        <v>242</v>
      </c>
      <c r="DR6" t="s">
        <v>243</v>
      </c>
      <c r="DS6" t="s">
        <v>244</v>
      </c>
      <c r="DT6" t="s">
        <v>245</v>
      </c>
    </row>
    <row r="7" spans="1:124" ht="17.25" customHeight="1" x14ac:dyDescent="0.45">
      <c r="A7" t="s">
        <v>338</v>
      </c>
      <c r="B7" t="s">
        <v>339</v>
      </c>
      <c r="C7" t="s">
        <v>161</v>
      </c>
      <c r="D7" t="s">
        <v>162</v>
      </c>
      <c r="E7" t="s">
        <v>163</v>
      </c>
      <c r="I7" t="s">
        <v>340</v>
      </c>
      <c r="J7">
        <f t="shared" si="0"/>
        <v>0.17100094849520364</v>
      </c>
      <c r="K7">
        <f t="shared" si="1"/>
        <v>2.9058327199999998</v>
      </c>
      <c r="L7">
        <f t="shared" si="2"/>
        <v>0.16149724191344342</v>
      </c>
      <c r="M7">
        <f t="shared" si="3"/>
        <v>4.0506439692036231</v>
      </c>
      <c r="N7" t="s">
        <v>341</v>
      </c>
      <c r="O7" t="s">
        <v>342</v>
      </c>
      <c r="P7">
        <f t="shared" si="4"/>
        <v>4.7669810450961778</v>
      </c>
      <c r="Q7">
        <f t="shared" si="5"/>
        <v>2.4275190450961777</v>
      </c>
      <c r="R7" t="s">
        <v>343</v>
      </c>
      <c r="S7" t="s">
        <v>344</v>
      </c>
      <c r="T7">
        <f t="shared" si="6"/>
        <v>47.508282291171795</v>
      </c>
      <c r="U7">
        <f t="shared" si="7"/>
        <v>0.4417875</v>
      </c>
      <c r="V7" t="s">
        <v>169</v>
      </c>
      <c r="W7" t="s">
        <v>345</v>
      </c>
      <c r="X7" t="s">
        <v>171</v>
      </c>
      <c r="Y7" t="s">
        <v>171</v>
      </c>
      <c r="Z7" t="s">
        <v>171</v>
      </c>
      <c r="AA7" t="s">
        <v>346</v>
      </c>
      <c r="AB7" t="s">
        <v>347</v>
      </c>
      <c r="AC7" t="s">
        <v>348</v>
      </c>
      <c r="AD7" t="s">
        <v>175</v>
      </c>
      <c r="AE7" t="s">
        <v>176</v>
      </c>
      <c r="AF7">
        <f t="shared" si="8"/>
        <v>205.41839976</v>
      </c>
      <c r="AG7" t="s">
        <v>177</v>
      </c>
      <c r="AH7" t="s">
        <v>349</v>
      </c>
      <c r="AI7" t="s">
        <v>350</v>
      </c>
      <c r="AJ7" t="s">
        <v>351</v>
      </c>
      <c r="AK7" t="s">
        <v>352</v>
      </c>
      <c r="AL7">
        <f t="shared" si="9"/>
        <v>31.97</v>
      </c>
      <c r="AM7" t="s">
        <v>353</v>
      </c>
      <c r="AN7" t="s">
        <v>354</v>
      </c>
      <c r="AO7" t="s">
        <v>355</v>
      </c>
      <c r="AP7" t="s">
        <v>356</v>
      </c>
      <c r="AQ7" t="s">
        <v>357</v>
      </c>
      <c r="AR7" t="s">
        <v>358</v>
      </c>
      <c r="AS7" t="s">
        <v>359</v>
      </c>
      <c r="AT7" t="s">
        <v>360</v>
      </c>
      <c r="AU7" t="s">
        <v>361</v>
      </c>
      <c r="AV7" t="s">
        <v>362</v>
      </c>
      <c r="AW7" t="s">
        <v>363</v>
      </c>
      <c r="AX7" t="s">
        <v>364</v>
      </c>
      <c r="AY7" t="s">
        <v>365</v>
      </c>
      <c r="AZ7" t="s">
        <v>195</v>
      </c>
      <c r="BA7" t="s">
        <v>366</v>
      </c>
      <c r="BB7" t="s">
        <v>367</v>
      </c>
      <c r="BC7" t="s">
        <v>368</v>
      </c>
      <c r="BD7" t="s">
        <v>161</v>
      </c>
      <c r="BE7" t="s">
        <v>369</v>
      </c>
      <c r="BF7" t="s">
        <v>370</v>
      </c>
      <c r="BG7" t="s">
        <v>371</v>
      </c>
      <c r="BH7" t="s">
        <v>372</v>
      </c>
      <c r="BI7" t="s">
        <v>373</v>
      </c>
      <c r="BJ7" t="s">
        <v>203</v>
      </c>
      <c r="BK7" t="s">
        <v>161</v>
      </c>
      <c r="BL7" t="s">
        <v>204</v>
      </c>
      <c r="BM7" t="s">
        <v>159</v>
      </c>
      <c r="BN7" t="s">
        <v>206</v>
      </c>
      <c r="BO7" t="s">
        <v>206</v>
      </c>
      <c r="BP7" t="s">
        <v>205</v>
      </c>
      <c r="BQ7" t="s">
        <v>374</v>
      </c>
      <c r="BR7" t="s">
        <v>375</v>
      </c>
      <c r="BS7" t="s">
        <v>376</v>
      </c>
      <c r="BT7" t="s">
        <v>159</v>
      </c>
      <c r="BU7" t="s">
        <v>211</v>
      </c>
      <c r="BV7" t="s">
        <v>212</v>
      </c>
      <c r="BW7" t="s">
        <v>213</v>
      </c>
      <c r="BX7" t="s">
        <v>214</v>
      </c>
      <c r="BY7" t="s">
        <v>171</v>
      </c>
      <c r="BZ7" t="s">
        <v>215</v>
      </c>
      <c r="CA7" t="s">
        <v>171</v>
      </c>
      <c r="CB7" t="s">
        <v>171</v>
      </c>
      <c r="CC7" t="s">
        <v>216</v>
      </c>
      <c r="CD7" t="s">
        <v>217</v>
      </c>
      <c r="CE7" t="s">
        <v>218</v>
      </c>
      <c r="CF7" t="s">
        <v>219</v>
      </c>
      <c r="CG7" t="s">
        <v>220</v>
      </c>
      <c r="CH7" t="s">
        <v>221</v>
      </c>
      <c r="CI7" t="s">
        <v>177</v>
      </c>
      <c r="CJ7" t="s">
        <v>213</v>
      </c>
      <c r="CK7" t="s">
        <v>222</v>
      </c>
      <c r="CL7" t="s">
        <v>222</v>
      </c>
      <c r="CM7" t="s">
        <v>222</v>
      </c>
      <c r="CN7" t="s">
        <v>171</v>
      </c>
      <c r="CO7" t="s">
        <v>223</v>
      </c>
      <c r="CP7" t="s">
        <v>171</v>
      </c>
      <c r="CQ7" t="s">
        <v>171</v>
      </c>
      <c r="CR7" t="s">
        <v>171</v>
      </c>
      <c r="CS7" t="s">
        <v>171</v>
      </c>
      <c r="CT7" t="s">
        <v>377</v>
      </c>
      <c r="CU7" t="s">
        <v>378</v>
      </c>
      <c r="CV7" t="s">
        <v>379</v>
      </c>
      <c r="CW7" t="s">
        <v>380</v>
      </c>
      <c r="CX7" t="s">
        <v>381</v>
      </c>
      <c r="CY7" t="s">
        <v>382</v>
      </c>
      <c r="CZ7" t="s">
        <v>383</v>
      </c>
      <c r="DA7" t="s">
        <v>384</v>
      </c>
      <c r="DB7" t="s">
        <v>346</v>
      </c>
      <c r="DC7" t="s">
        <v>385</v>
      </c>
      <c r="DD7" t="s">
        <v>233</v>
      </c>
      <c r="DE7" t="s">
        <v>234</v>
      </c>
      <c r="DF7" t="s">
        <v>177</v>
      </c>
      <c r="DG7" t="s">
        <v>235</v>
      </c>
      <c r="DH7" t="s">
        <v>236</v>
      </c>
      <c r="DI7" t="s">
        <v>177</v>
      </c>
      <c r="DJ7" t="s">
        <v>237</v>
      </c>
      <c r="DK7" t="s">
        <v>238</v>
      </c>
      <c r="DL7" t="s">
        <v>239</v>
      </c>
      <c r="DM7" t="s">
        <v>171</v>
      </c>
      <c r="DN7" t="s">
        <v>345</v>
      </c>
      <c r="DO7" t="s">
        <v>240</v>
      </c>
      <c r="DP7" t="s">
        <v>241</v>
      </c>
      <c r="DQ7" t="s">
        <v>242</v>
      </c>
      <c r="DR7" t="s">
        <v>243</v>
      </c>
      <c r="DS7" t="s">
        <v>244</v>
      </c>
      <c r="DT7" t="s">
        <v>245</v>
      </c>
    </row>
    <row r="8" spans="1:124" ht="17.25" customHeight="1" x14ac:dyDescent="0.45">
      <c r="A8" t="s">
        <v>386</v>
      </c>
      <c r="B8" t="s">
        <v>387</v>
      </c>
      <c r="C8" t="s">
        <v>161</v>
      </c>
      <c r="D8" t="s">
        <v>162</v>
      </c>
      <c r="E8" t="s">
        <v>163</v>
      </c>
      <c r="I8" t="s">
        <v>388</v>
      </c>
      <c r="J8">
        <f t="shared" si="0"/>
        <v>0.24436449336527688</v>
      </c>
      <c r="K8">
        <f t="shared" si="1"/>
        <v>2.9058327199999998</v>
      </c>
      <c r="L8">
        <f t="shared" si="2"/>
        <v>0.22540885294875909</v>
      </c>
      <c r="M8">
        <f t="shared" si="3"/>
        <v>5.2341230556362719</v>
      </c>
      <c r="N8" t="s">
        <v>389</v>
      </c>
      <c r="O8" t="s">
        <v>390</v>
      </c>
      <c r="P8">
        <f t="shared" si="4"/>
        <v>4.5734821308403193</v>
      </c>
      <c r="Q8">
        <f t="shared" si="5"/>
        <v>2.2502201308403191</v>
      </c>
      <c r="R8" t="s">
        <v>391</v>
      </c>
      <c r="S8" t="s">
        <v>392</v>
      </c>
      <c r="T8">
        <f t="shared" si="6"/>
        <v>45.575307731343493</v>
      </c>
      <c r="U8">
        <f t="shared" si="7"/>
        <v>0.4417875</v>
      </c>
      <c r="V8" t="s">
        <v>169</v>
      </c>
      <c r="W8" t="s">
        <v>393</v>
      </c>
      <c r="X8" t="s">
        <v>171</v>
      </c>
      <c r="Y8" t="s">
        <v>171</v>
      </c>
      <c r="Z8" t="s">
        <v>171</v>
      </c>
      <c r="AA8" t="s">
        <v>394</v>
      </c>
      <c r="AB8" t="s">
        <v>395</v>
      </c>
      <c r="AC8" t="s">
        <v>396</v>
      </c>
      <c r="AD8" t="s">
        <v>175</v>
      </c>
      <c r="AE8" t="s">
        <v>176</v>
      </c>
      <c r="AF8">
        <f t="shared" si="8"/>
        <v>212.36580792000001</v>
      </c>
      <c r="AG8" t="s">
        <v>177</v>
      </c>
      <c r="AH8" t="s">
        <v>397</v>
      </c>
      <c r="AI8" t="s">
        <v>398</v>
      </c>
      <c r="AJ8" t="s">
        <v>399</v>
      </c>
      <c r="AK8" t="s">
        <v>400</v>
      </c>
      <c r="AL8">
        <f t="shared" si="9"/>
        <v>31.24</v>
      </c>
      <c r="AM8" t="s">
        <v>401</v>
      </c>
      <c r="AN8" t="s">
        <v>354</v>
      </c>
      <c r="AO8" t="s">
        <v>402</v>
      </c>
      <c r="AP8" t="s">
        <v>403</v>
      </c>
      <c r="AQ8" t="s">
        <v>404</v>
      </c>
      <c r="AR8" t="s">
        <v>405</v>
      </c>
      <c r="AS8" t="s">
        <v>372</v>
      </c>
      <c r="AT8" t="s">
        <v>406</v>
      </c>
      <c r="AU8" t="s">
        <v>246</v>
      </c>
      <c r="AV8" t="s">
        <v>407</v>
      </c>
      <c r="AW8" t="s">
        <v>408</v>
      </c>
      <c r="AX8" t="s">
        <v>409</v>
      </c>
      <c r="AY8" t="s">
        <v>410</v>
      </c>
      <c r="AZ8" t="s">
        <v>195</v>
      </c>
      <c r="BA8" t="s">
        <v>366</v>
      </c>
      <c r="BB8" t="s">
        <v>367</v>
      </c>
      <c r="BC8" t="s">
        <v>411</v>
      </c>
      <c r="BD8" t="s">
        <v>161</v>
      </c>
      <c r="BE8" t="s">
        <v>369</v>
      </c>
      <c r="BF8" t="s">
        <v>412</v>
      </c>
      <c r="BG8" t="s">
        <v>413</v>
      </c>
      <c r="BH8" t="s">
        <v>372</v>
      </c>
      <c r="BI8" t="s">
        <v>414</v>
      </c>
      <c r="BJ8" t="s">
        <v>203</v>
      </c>
      <c r="BK8" t="s">
        <v>161</v>
      </c>
      <c r="BL8" t="s">
        <v>204</v>
      </c>
      <c r="BM8" t="s">
        <v>159</v>
      </c>
      <c r="BN8" t="s">
        <v>325</v>
      </c>
      <c r="BO8" t="s">
        <v>206</v>
      </c>
      <c r="BP8" t="s">
        <v>325</v>
      </c>
      <c r="BQ8" t="s">
        <v>415</v>
      </c>
      <c r="BR8" t="s">
        <v>416</v>
      </c>
      <c r="BS8" t="s">
        <v>417</v>
      </c>
      <c r="BT8" t="s">
        <v>159</v>
      </c>
      <c r="BU8" t="s">
        <v>211</v>
      </c>
      <c r="BV8" t="s">
        <v>212</v>
      </c>
      <c r="BW8" t="s">
        <v>213</v>
      </c>
      <c r="BX8" t="s">
        <v>214</v>
      </c>
      <c r="BY8" t="s">
        <v>171</v>
      </c>
      <c r="BZ8" t="s">
        <v>215</v>
      </c>
      <c r="CA8" t="s">
        <v>171</v>
      </c>
      <c r="CB8" t="s">
        <v>171</v>
      </c>
      <c r="CC8" t="s">
        <v>216</v>
      </c>
      <c r="CD8" t="s">
        <v>217</v>
      </c>
      <c r="CE8" t="s">
        <v>218</v>
      </c>
      <c r="CF8" t="s">
        <v>219</v>
      </c>
      <c r="CG8" t="s">
        <v>220</v>
      </c>
      <c r="CH8" t="s">
        <v>221</v>
      </c>
      <c r="CI8" t="s">
        <v>177</v>
      </c>
      <c r="CJ8" t="s">
        <v>213</v>
      </c>
      <c r="CK8" t="s">
        <v>222</v>
      </c>
      <c r="CL8" t="s">
        <v>222</v>
      </c>
      <c r="CM8" t="s">
        <v>222</v>
      </c>
      <c r="CN8" t="s">
        <v>171</v>
      </c>
      <c r="CO8" t="s">
        <v>223</v>
      </c>
      <c r="CP8" t="s">
        <v>171</v>
      </c>
      <c r="CQ8" t="s">
        <v>171</v>
      </c>
      <c r="CR8" t="s">
        <v>171</v>
      </c>
      <c r="CS8" t="s">
        <v>171</v>
      </c>
      <c r="CT8" t="s">
        <v>418</v>
      </c>
      <c r="CU8" t="s">
        <v>419</v>
      </c>
      <c r="CV8" t="s">
        <v>420</v>
      </c>
      <c r="CW8" t="s">
        <v>421</v>
      </c>
      <c r="CX8" t="s">
        <v>422</v>
      </c>
      <c r="CY8" t="s">
        <v>423</v>
      </c>
      <c r="CZ8" t="s">
        <v>424</v>
      </c>
      <c r="DA8" t="s">
        <v>425</v>
      </c>
      <c r="DB8" t="s">
        <v>394</v>
      </c>
      <c r="DC8" t="s">
        <v>426</v>
      </c>
      <c r="DD8" t="s">
        <v>233</v>
      </c>
      <c r="DE8" t="s">
        <v>234</v>
      </c>
      <c r="DF8" t="s">
        <v>177</v>
      </c>
      <c r="DG8" t="s">
        <v>235</v>
      </c>
      <c r="DH8" t="s">
        <v>236</v>
      </c>
      <c r="DI8" t="s">
        <v>177</v>
      </c>
      <c r="DJ8" t="s">
        <v>237</v>
      </c>
      <c r="DK8" t="s">
        <v>238</v>
      </c>
      <c r="DL8" t="s">
        <v>239</v>
      </c>
      <c r="DM8" t="s">
        <v>171</v>
      </c>
      <c r="DN8" t="s">
        <v>393</v>
      </c>
      <c r="DO8" t="s">
        <v>240</v>
      </c>
      <c r="DP8" t="s">
        <v>241</v>
      </c>
      <c r="DQ8" t="s">
        <v>242</v>
      </c>
      <c r="DR8" t="s">
        <v>243</v>
      </c>
      <c r="DS8" t="s">
        <v>244</v>
      </c>
      <c r="DT8" t="s">
        <v>245</v>
      </c>
    </row>
    <row r="9" spans="1:124" ht="17.25" customHeight="1" x14ac:dyDescent="0.45">
      <c r="A9" t="s">
        <v>427</v>
      </c>
      <c r="B9" t="s">
        <v>428</v>
      </c>
      <c r="C9" t="s">
        <v>161</v>
      </c>
      <c r="D9" t="s">
        <v>162</v>
      </c>
      <c r="E9" t="s">
        <v>163</v>
      </c>
      <c r="I9" t="s">
        <v>429</v>
      </c>
      <c r="J9">
        <f t="shared" si="0"/>
        <v>0.29481168454160966</v>
      </c>
      <c r="K9">
        <f t="shared" si="1"/>
        <v>2.9050319999999994</v>
      </c>
      <c r="L9">
        <f t="shared" si="2"/>
        <v>0.26764975480043474</v>
      </c>
      <c r="M9">
        <f t="shared" si="3"/>
        <v>5.9067083836327177</v>
      </c>
      <c r="N9" t="s">
        <v>430</v>
      </c>
      <c r="O9" t="s">
        <v>431</v>
      </c>
      <c r="P9">
        <f t="shared" si="4"/>
        <v>4.5191008949115723</v>
      </c>
      <c r="Q9">
        <f t="shared" si="5"/>
        <v>2.1381178949115722</v>
      </c>
      <c r="R9" t="s">
        <v>432</v>
      </c>
      <c r="S9" t="s">
        <v>433</v>
      </c>
      <c r="T9">
        <f t="shared" si="6"/>
        <v>45.042369130983481</v>
      </c>
      <c r="U9">
        <f t="shared" si="7"/>
        <v>0.4417875</v>
      </c>
      <c r="V9" t="s">
        <v>169</v>
      </c>
      <c r="W9" t="s">
        <v>434</v>
      </c>
      <c r="X9" t="s">
        <v>171</v>
      </c>
      <c r="Y9" t="s">
        <v>171</v>
      </c>
      <c r="Z9" t="s">
        <v>171</v>
      </c>
      <c r="AA9" t="s">
        <v>435</v>
      </c>
      <c r="AB9" t="s">
        <v>436</v>
      </c>
      <c r="AC9" t="s">
        <v>437</v>
      </c>
      <c r="AD9" t="s">
        <v>175</v>
      </c>
      <c r="AE9" t="s">
        <v>176</v>
      </c>
      <c r="AF9">
        <f t="shared" si="8"/>
        <v>138.06616824</v>
      </c>
      <c r="AG9" t="s">
        <v>177</v>
      </c>
      <c r="AH9" t="s">
        <v>438</v>
      </c>
      <c r="AI9" t="s">
        <v>439</v>
      </c>
      <c r="AJ9" t="s">
        <v>440</v>
      </c>
      <c r="AK9" t="s">
        <v>441</v>
      </c>
      <c r="AL9">
        <f t="shared" si="9"/>
        <v>31.03</v>
      </c>
      <c r="AM9" t="s">
        <v>182</v>
      </c>
      <c r="AN9" t="s">
        <v>306</v>
      </c>
      <c r="AO9" t="s">
        <v>442</v>
      </c>
      <c r="AP9" t="s">
        <v>443</v>
      </c>
      <c r="AQ9" t="s">
        <v>444</v>
      </c>
      <c r="AR9" t="s">
        <v>405</v>
      </c>
      <c r="AS9" t="s">
        <v>218</v>
      </c>
      <c r="AT9" t="s">
        <v>445</v>
      </c>
      <c r="AU9" t="s">
        <v>446</v>
      </c>
      <c r="AV9" t="s">
        <v>447</v>
      </c>
      <c r="AW9" t="s">
        <v>448</v>
      </c>
      <c r="AX9" t="s">
        <v>449</v>
      </c>
      <c r="AY9" t="s">
        <v>450</v>
      </c>
      <c r="AZ9" t="s">
        <v>195</v>
      </c>
      <c r="BA9" t="s">
        <v>451</v>
      </c>
      <c r="BB9" t="s">
        <v>452</v>
      </c>
      <c r="BC9" t="s">
        <v>453</v>
      </c>
      <c r="BD9" t="s">
        <v>161</v>
      </c>
      <c r="BE9" t="s">
        <v>454</v>
      </c>
      <c r="BF9" t="s">
        <v>455</v>
      </c>
      <c r="BG9" t="s">
        <v>456</v>
      </c>
      <c r="BH9" t="s">
        <v>457</v>
      </c>
      <c r="BI9" t="s">
        <v>458</v>
      </c>
      <c r="BJ9" t="s">
        <v>203</v>
      </c>
      <c r="BK9" t="s">
        <v>161</v>
      </c>
      <c r="BL9" t="s">
        <v>204</v>
      </c>
      <c r="BM9" t="s">
        <v>159</v>
      </c>
      <c r="BN9" t="s">
        <v>212</v>
      </c>
      <c r="BO9" t="s">
        <v>212</v>
      </c>
      <c r="BP9" t="s">
        <v>459</v>
      </c>
      <c r="BQ9" t="s">
        <v>460</v>
      </c>
      <c r="BR9" t="s">
        <v>461</v>
      </c>
      <c r="BS9" t="s">
        <v>462</v>
      </c>
      <c r="BT9" t="s">
        <v>159</v>
      </c>
      <c r="BU9" t="s">
        <v>211</v>
      </c>
      <c r="BV9" t="s">
        <v>212</v>
      </c>
      <c r="BW9" t="s">
        <v>213</v>
      </c>
      <c r="BX9" t="s">
        <v>214</v>
      </c>
      <c r="BY9" t="s">
        <v>171</v>
      </c>
      <c r="BZ9" t="s">
        <v>215</v>
      </c>
      <c r="CA9" t="s">
        <v>171</v>
      </c>
      <c r="CB9" t="s">
        <v>171</v>
      </c>
      <c r="CC9" t="s">
        <v>216</v>
      </c>
      <c r="CD9" t="s">
        <v>217</v>
      </c>
      <c r="CE9" t="s">
        <v>218</v>
      </c>
      <c r="CF9" t="s">
        <v>219</v>
      </c>
      <c r="CG9" t="s">
        <v>220</v>
      </c>
      <c r="CH9" t="s">
        <v>221</v>
      </c>
      <c r="CI9" t="s">
        <v>177</v>
      </c>
      <c r="CJ9" t="s">
        <v>213</v>
      </c>
      <c r="CK9" t="s">
        <v>222</v>
      </c>
      <c r="CL9" t="s">
        <v>222</v>
      </c>
      <c r="CM9" t="s">
        <v>222</v>
      </c>
      <c r="CN9" t="s">
        <v>171</v>
      </c>
      <c r="CO9" t="s">
        <v>223</v>
      </c>
      <c r="CP9" t="s">
        <v>171</v>
      </c>
      <c r="CQ9" t="s">
        <v>171</v>
      </c>
      <c r="CR9" t="s">
        <v>171</v>
      </c>
      <c r="CS9" t="s">
        <v>171</v>
      </c>
      <c r="CT9" t="s">
        <v>463</v>
      </c>
      <c r="CU9" t="s">
        <v>464</v>
      </c>
      <c r="CV9" t="s">
        <v>465</v>
      </c>
      <c r="CW9" t="s">
        <v>466</v>
      </c>
      <c r="CX9" t="s">
        <v>467</v>
      </c>
      <c r="CY9" t="s">
        <v>468</v>
      </c>
      <c r="CZ9" t="s">
        <v>469</v>
      </c>
      <c r="DA9" t="s">
        <v>470</v>
      </c>
      <c r="DB9" t="s">
        <v>435</v>
      </c>
      <c r="DC9" t="s">
        <v>471</v>
      </c>
      <c r="DD9" t="s">
        <v>233</v>
      </c>
      <c r="DE9" t="s">
        <v>234</v>
      </c>
      <c r="DF9" t="s">
        <v>177</v>
      </c>
      <c r="DG9" t="s">
        <v>235</v>
      </c>
      <c r="DH9" t="s">
        <v>236</v>
      </c>
      <c r="DI9" t="s">
        <v>177</v>
      </c>
      <c r="DJ9" t="s">
        <v>237</v>
      </c>
      <c r="DK9" t="s">
        <v>238</v>
      </c>
      <c r="DL9" t="s">
        <v>239</v>
      </c>
      <c r="DM9" t="s">
        <v>171</v>
      </c>
      <c r="DN9" t="s">
        <v>434</v>
      </c>
      <c r="DO9" t="s">
        <v>240</v>
      </c>
      <c r="DP9" t="s">
        <v>241</v>
      </c>
      <c r="DQ9" t="s">
        <v>242</v>
      </c>
      <c r="DR9" t="s">
        <v>243</v>
      </c>
      <c r="DS9" t="s">
        <v>244</v>
      </c>
      <c r="DT9" t="s">
        <v>245</v>
      </c>
    </row>
    <row r="10" spans="1:124" ht="17.25" customHeight="1" x14ac:dyDescent="0.45">
      <c r="A10" t="s">
        <v>472</v>
      </c>
      <c r="B10" t="s">
        <v>473</v>
      </c>
      <c r="C10" t="s">
        <v>161</v>
      </c>
      <c r="D10" t="s">
        <v>162</v>
      </c>
      <c r="E10" t="s">
        <v>163</v>
      </c>
      <c r="I10" t="s">
        <v>474</v>
      </c>
      <c r="J10">
        <f t="shared" si="0"/>
        <v>0.58677679931187032</v>
      </c>
      <c r="K10">
        <f t="shared" si="1"/>
        <v>2.9050319999999994</v>
      </c>
      <c r="L10">
        <f t="shared" si="2"/>
        <v>0.48817259959780368</v>
      </c>
      <c r="M10">
        <f t="shared" si="3"/>
        <v>8.9900065609896433</v>
      </c>
      <c r="N10" t="s">
        <v>475</v>
      </c>
      <c r="O10" t="s">
        <v>476</v>
      </c>
      <c r="P10">
        <f t="shared" si="4"/>
        <v>4.3643176591291812</v>
      </c>
      <c r="Q10">
        <f t="shared" si="5"/>
        <v>1.783884659129181</v>
      </c>
      <c r="R10" t="s">
        <v>477</v>
      </c>
      <c r="S10" t="s">
        <v>478</v>
      </c>
      <c r="T10">
        <f t="shared" si="6"/>
        <v>43.495292596463834</v>
      </c>
      <c r="U10">
        <f t="shared" si="7"/>
        <v>0.4417875</v>
      </c>
      <c r="V10" t="s">
        <v>169</v>
      </c>
      <c r="W10" t="s">
        <v>479</v>
      </c>
      <c r="X10" t="s">
        <v>171</v>
      </c>
      <c r="Y10" t="s">
        <v>171</v>
      </c>
      <c r="Z10" t="s">
        <v>171</v>
      </c>
      <c r="AA10" t="s">
        <v>480</v>
      </c>
      <c r="AB10" t="s">
        <v>481</v>
      </c>
      <c r="AC10" t="s">
        <v>482</v>
      </c>
      <c r="AD10" t="s">
        <v>175</v>
      </c>
      <c r="AE10" t="s">
        <v>176</v>
      </c>
      <c r="AF10">
        <f t="shared" si="8"/>
        <v>286.16712515999996</v>
      </c>
      <c r="AG10" t="s">
        <v>177</v>
      </c>
      <c r="AH10" t="s">
        <v>483</v>
      </c>
      <c r="AI10" t="s">
        <v>484</v>
      </c>
      <c r="AJ10" t="s">
        <v>485</v>
      </c>
      <c r="AK10" t="s">
        <v>486</v>
      </c>
      <c r="AL10">
        <f t="shared" si="9"/>
        <v>30.42</v>
      </c>
      <c r="AM10" t="s">
        <v>353</v>
      </c>
      <c r="AN10" t="s">
        <v>306</v>
      </c>
      <c r="AO10" t="s">
        <v>487</v>
      </c>
      <c r="AP10" t="s">
        <v>488</v>
      </c>
      <c r="AQ10" t="s">
        <v>489</v>
      </c>
      <c r="AR10" t="s">
        <v>490</v>
      </c>
      <c r="AS10" t="s">
        <v>491</v>
      </c>
      <c r="AT10" t="s">
        <v>492</v>
      </c>
      <c r="AU10" t="s">
        <v>211</v>
      </c>
      <c r="AV10" t="s">
        <v>493</v>
      </c>
      <c r="AW10" t="s">
        <v>494</v>
      </c>
      <c r="AX10" t="s">
        <v>495</v>
      </c>
      <c r="AY10" t="s">
        <v>496</v>
      </c>
      <c r="AZ10" t="s">
        <v>195</v>
      </c>
      <c r="BA10" t="s">
        <v>497</v>
      </c>
      <c r="BB10" t="s">
        <v>498</v>
      </c>
      <c r="BC10" t="s">
        <v>499</v>
      </c>
      <c r="BD10" t="s">
        <v>161</v>
      </c>
      <c r="BE10" t="s">
        <v>320</v>
      </c>
      <c r="BF10" t="s">
        <v>500</v>
      </c>
      <c r="BG10" t="s">
        <v>501</v>
      </c>
      <c r="BH10" t="s">
        <v>372</v>
      </c>
      <c r="BI10" t="s">
        <v>502</v>
      </c>
      <c r="BJ10" t="s">
        <v>203</v>
      </c>
      <c r="BK10" t="s">
        <v>161</v>
      </c>
      <c r="BL10" t="s">
        <v>204</v>
      </c>
      <c r="BM10" t="s">
        <v>159</v>
      </c>
      <c r="BN10" t="s">
        <v>205</v>
      </c>
      <c r="BO10" t="s">
        <v>325</v>
      </c>
      <c r="BP10" t="s">
        <v>278</v>
      </c>
      <c r="BQ10" t="s">
        <v>503</v>
      </c>
      <c r="BR10" t="s">
        <v>504</v>
      </c>
      <c r="BS10" t="s">
        <v>505</v>
      </c>
      <c r="BT10" t="s">
        <v>159</v>
      </c>
      <c r="BU10" t="s">
        <v>211</v>
      </c>
      <c r="BV10" t="s">
        <v>212</v>
      </c>
      <c r="BW10" t="s">
        <v>213</v>
      </c>
      <c r="BX10" t="s">
        <v>214</v>
      </c>
      <c r="BY10" t="s">
        <v>171</v>
      </c>
      <c r="BZ10" t="s">
        <v>215</v>
      </c>
      <c r="CA10" t="s">
        <v>171</v>
      </c>
      <c r="CB10" t="s">
        <v>171</v>
      </c>
      <c r="CC10" t="s">
        <v>216</v>
      </c>
      <c r="CD10" t="s">
        <v>217</v>
      </c>
      <c r="CE10" t="s">
        <v>218</v>
      </c>
      <c r="CF10" t="s">
        <v>219</v>
      </c>
      <c r="CG10" t="s">
        <v>220</v>
      </c>
      <c r="CH10" t="s">
        <v>221</v>
      </c>
      <c r="CI10" t="s">
        <v>177</v>
      </c>
      <c r="CJ10" t="s">
        <v>213</v>
      </c>
      <c r="CK10" t="s">
        <v>222</v>
      </c>
      <c r="CL10" t="s">
        <v>222</v>
      </c>
      <c r="CM10" t="s">
        <v>222</v>
      </c>
      <c r="CN10" t="s">
        <v>171</v>
      </c>
      <c r="CO10" t="s">
        <v>223</v>
      </c>
      <c r="CP10" t="s">
        <v>171</v>
      </c>
      <c r="CQ10" t="s">
        <v>171</v>
      </c>
      <c r="CR10" t="s">
        <v>171</v>
      </c>
      <c r="CS10" t="s">
        <v>171</v>
      </c>
      <c r="CT10" t="s">
        <v>506</v>
      </c>
      <c r="CU10" t="s">
        <v>507</v>
      </c>
      <c r="CV10" t="s">
        <v>508</v>
      </c>
      <c r="CW10" t="s">
        <v>509</v>
      </c>
      <c r="CX10" t="s">
        <v>510</v>
      </c>
      <c r="CY10" t="s">
        <v>511</v>
      </c>
      <c r="CZ10" t="s">
        <v>512</v>
      </c>
      <c r="DA10" t="s">
        <v>513</v>
      </c>
      <c r="DB10" t="s">
        <v>480</v>
      </c>
      <c r="DC10" t="s">
        <v>426</v>
      </c>
      <c r="DD10" t="s">
        <v>233</v>
      </c>
      <c r="DE10" t="s">
        <v>234</v>
      </c>
      <c r="DF10" t="s">
        <v>177</v>
      </c>
      <c r="DG10" t="s">
        <v>235</v>
      </c>
      <c r="DH10" t="s">
        <v>236</v>
      </c>
      <c r="DI10" t="s">
        <v>177</v>
      </c>
      <c r="DJ10" t="s">
        <v>237</v>
      </c>
      <c r="DK10" t="s">
        <v>238</v>
      </c>
      <c r="DL10" t="s">
        <v>239</v>
      </c>
      <c r="DM10" t="s">
        <v>171</v>
      </c>
      <c r="DN10" t="s">
        <v>479</v>
      </c>
      <c r="DO10" t="s">
        <v>240</v>
      </c>
      <c r="DP10" t="s">
        <v>241</v>
      </c>
      <c r="DQ10" t="s">
        <v>242</v>
      </c>
      <c r="DR10" t="s">
        <v>243</v>
      </c>
      <c r="DS10" t="s">
        <v>244</v>
      </c>
      <c r="DT10" t="s">
        <v>245</v>
      </c>
    </row>
    <row r="11" spans="1:124" ht="17.25" customHeight="1" x14ac:dyDescent="0.45">
      <c r="A11" t="s">
        <v>514</v>
      </c>
      <c r="B11" t="s">
        <v>515</v>
      </c>
      <c r="C11" t="s">
        <v>161</v>
      </c>
      <c r="D11" t="s">
        <v>162</v>
      </c>
      <c r="E11" t="s">
        <v>163</v>
      </c>
      <c r="I11" t="s">
        <v>516</v>
      </c>
      <c r="J11">
        <f t="shared" si="0"/>
        <v>0.56431873689307599</v>
      </c>
      <c r="K11">
        <f t="shared" si="1"/>
        <v>2.9066320800000001</v>
      </c>
      <c r="L11">
        <f t="shared" si="2"/>
        <v>0.47256991831037615</v>
      </c>
      <c r="M11">
        <f t="shared" si="3"/>
        <v>9.8113993410563012</v>
      </c>
      <c r="N11" t="s">
        <v>517</v>
      </c>
      <c r="O11" t="s">
        <v>518</v>
      </c>
      <c r="P11">
        <f t="shared" si="4"/>
        <v>4.6389640640536101</v>
      </c>
      <c r="Q11">
        <f t="shared" si="5"/>
        <v>2.0078590640536103</v>
      </c>
      <c r="R11" t="s">
        <v>519</v>
      </c>
      <c r="S11" t="s">
        <v>520</v>
      </c>
      <c r="T11">
        <f t="shared" si="6"/>
        <v>46.227843189373303</v>
      </c>
      <c r="U11">
        <f t="shared" si="7"/>
        <v>0.4417875</v>
      </c>
      <c r="V11" t="s">
        <v>169</v>
      </c>
      <c r="W11" t="s">
        <v>521</v>
      </c>
      <c r="X11" t="s">
        <v>171</v>
      </c>
      <c r="Y11" t="s">
        <v>171</v>
      </c>
      <c r="Z11" t="s">
        <v>171</v>
      </c>
      <c r="AA11" t="s">
        <v>522</v>
      </c>
      <c r="AB11" t="s">
        <v>523</v>
      </c>
      <c r="AC11" t="s">
        <v>524</v>
      </c>
      <c r="AD11" t="s">
        <v>175</v>
      </c>
      <c r="AE11" t="s">
        <v>176</v>
      </c>
      <c r="AF11">
        <f t="shared" si="8"/>
        <v>212.41839906000001</v>
      </c>
      <c r="AG11" t="s">
        <v>177</v>
      </c>
      <c r="AH11" t="s">
        <v>525</v>
      </c>
      <c r="AI11" t="s">
        <v>526</v>
      </c>
      <c r="AJ11" t="s">
        <v>527</v>
      </c>
      <c r="AK11" t="s">
        <v>528</v>
      </c>
      <c r="AL11">
        <f t="shared" si="9"/>
        <v>31.49</v>
      </c>
      <c r="AM11" t="s">
        <v>401</v>
      </c>
      <c r="AN11" t="s">
        <v>183</v>
      </c>
      <c r="AO11" t="s">
        <v>529</v>
      </c>
      <c r="AP11" t="s">
        <v>530</v>
      </c>
      <c r="AQ11" t="s">
        <v>531</v>
      </c>
      <c r="AR11" t="s">
        <v>532</v>
      </c>
      <c r="AS11" t="s">
        <v>533</v>
      </c>
      <c r="AT11" t="s">
        <v>246</v>
      </c>
      <c r="AU11" t="s">
        <v>534</v>
      </c>
      <c r="AV11" t="s">
        <v>535</v>
      </c>
      <c r="AW11" t="s">
        <v>536</v>
      </c>
      <c r="AX11" t="s">
        <v>537</v>
      </c>
      <c r="AY11" t="s">
        <v>538</v>
      </c>
      <c r="AZ11" t="s">
        <v>195</v>
      </c>
      <c r="BA11" t="s">
        <v>497</v>
      </c>
      <c r="BB11" t="s">
        <v>498</v>
      </c>
      <c r="BC11" t="s">
        <v>539</v>
      </c>
      <c r="BD11" t="s">
        <v>161</v>
      </c>
      <c r="BE11" t="s">
        <v>274</v>
      </c>
      <c r="BF11" t="s">
        <v>540</v>
      </c>
      <c r="BG11" t="s">
        <v>541</v>
      </c>
      <c r="BH11" t="s">
        <v>372</v>
      </c>
      <c r="BI11" t="s">
        <v>542</v>
      </c>
      <c r="BJ11" t="s">
        <v>203</v>
      </c>
      <c r="BK11" t="s">
        <v>161</v>
      </c>
      <c r="BL11" t="s">
        <v>204</v>
      </c>
      <c r="BM11" t="s">
        <v>159</v>
      </c>
      <c r="BN11" t="s">
        <v>459</v>
      </c>
      <c r="BO11" t="s">
        <v>212</v>
      </c>
      <c r="BP11" t="s">
        <v>543</v>
      </c>
      <c r="BQ11" t="s">
        <v>544</v>
      </c>
      <c r="BR11" t="s">
        <v>545</v>
      </c>
      <c r="BS11" t="s">
        <v>546</v>
      </c>
      <c r="BT11" t="s">
        <v>159</v>
      </c>
      <c r="BU11" t="s">
        <v>211</v>
      </c>
      <c r="BV11" t="s">
        <v>212</v>
      </c>
      <c r="BW11" t="s">
        <v>213</v>
      </c>
      <c r="BX11" t="s">
        <v>214</v>
      </c>
      <c r="BY11" t="s">
        <v>171</v>
      </c>
      <c r="BZ11" t="s">
        <v>215</v>
      </c>
      <c r="CA11" t="s">
        <v>171</v>
      </c>
      <c r="CB11" t="s">
        <v>171</v>
      </c>
      <c r="CC11" t="s">
        <v>216</v>
      </c>
      <c r="CD11" t="s">
        <v>217</v>
      </c>
      <c r="CE11" t="s">
        <v>218</v>
      </c>
      <c r="CF11" t="s">
        <v>219</v>
      </c>
      <c r="CG11" t="s">
        <v>220</v>
      </c>
      <c r="CH11" t="s">
        <v>221</v>
      </c>
      <c r="CI11" t="s">
        <v>177</v>
      </c>
      <c r="CJ11" t="s">
        <v>213</v>
      </c>
      <c r="CK11" t="s">
        <v>222</v>
      </c>
      <c r="CL11" t="s">
        <v>222</v>
      </c>
      <c r="CM11" t="s">
        <v>222</v>
      </c>
      <c r="CN11" t="s">
        <v>171</v>
      </c>
      <c r="CO11" t="s">
        <v>223</v>
      </c>
      <c r="CP11" t="s">
        <v>171</v>
      </c>
      <c r="CQ11" t="s">
        <v>171</v>
      </c>
      <c r="CR11" t="s">
        <v>171</v>
      </c>
      <c r="CS11" t="s">
        <v>171</v>
      </c>
      <c r="CT11" t="s">
        <v>547</v>
      </c>
      <c r="CU11" t="s">
        <v>548</v>
      </c>
      <c r="CV11" t="s">
        <v>549</v>
      </c>
      <c r="CW11" t="s">
        <v>550</v>
      </c>
      <c r="CX11" t="s">
        <v>551</v>
      </c>
      <c r="CY11" t="s">
        <v>552</v>
      </c>
      <c r="CZ11" t="s">
        <v>553</v>
      </c>
      <c r="DA11" t="s">
        <v>554</v>
      </c>
      <c r="DB11" t="s">
        <v>522</v>
      </c>
      <c r="DC11" t="s">
        <v>555</v>
      </c>
      <c r="DD11" t="s">
        <v>233</v>
      </c>
      <c r="DE11" t="s">
        <v>234</v>
      </c>
      <c r="DF11" t="s">
        <v>177</v>
      </c>
      <c r="DG11" t="s">
        <v>235</v>
      </c>
      <c r="DH11" t="s">
        <v>236</v>
      </c>
      <c r="DI11" t="s">
        <v>177</v>
      </c>
      <c r="DJ11" t="s">
        <v>237</v>
      </c>
      <c r="DK11" t="s">
        <v>238</v>
      </c>
      <c r="DL11" t="s">
        <v>239</v>
      </c>
      <c r="DM11" t="s">
        <v>171</v>
      </c>
      <c r="DN11" t="s">
        <v>521</v>
      </c>
      <c r="DO11" t="s">
        <v>240</v>
      </c>
      <c r="DP11" t="s">
        <v>241</v>
      </c>
      <c r="DQ11" t="s">
        <v>242</v>
      </c>
      <c r="DR11" t="s">
        <v>243</v>
      </c>
      <c r="DS11" t="s">
        <v>244</v>
      </c>
      <c r="DT11" t="s">
        <v>245</v>
      </c>
    </row>
    <row r="12" spans="1:124" ht="17.25" customHeight="1" x14ac:dyDescent="0.45">
      <c r="A12" t="s">
        <v>202</v>
      </c>
      <c r="B12" t="s">
        <v>556</v>
      </c>
      <c r="C12" t="s">
        <v>161</v>
      </c>
      <c r="D12" t="s">
        <v>162</v>
      </c>
      <c r="E12" t="s">
        <v>163</v>
      </c>
      <c r="I12" t="s">
        <v>557</v>
      </c>
      <c r="J12">
        <f t="shared" si="0"/>
        <v>0.72087750022514341</v>
      </c>
      <c r="K12">
        <f t="shared" si="1"/>
        <v>2.9050319999999994</v>
      </c>
      <c r="L12">
        <f t="shared" si="2"/>
        <v>0.5775577702929473</v>
      </c>
      <c r="M12">
        <f t="shared" si="3"/>
        <v>9.890955713066699</v>
      </c>
      <c r="N12" t="s">
        <v>558</v>
      </c>
      <c r="O12" t="s">
        <v>559</v>
      </c>
      <c r="P12">
        <f t="shared" si="4"/>
        <v>4.299761605447217</v>
      </c>
      <c r="Q12">
        <f t="shared" si="5"/>
        <v>1.6589006054472168</v>
      </c>
      <c r="R12" t="s">
        <v>560</v>
      </c>
      <c r="S12" t="s">
        <v>561</v>
      </c>
      <c r="T12">
        <f t="shared" si="6"/>
        <v>42.851919528076706</v>
      </c>
      <c r="U12">
        <f t="shared" si="7"/>
        <v>0.4417875</v>
      </c>
      <c r="V12" t="s">
        <v>169</v>
      </c>
      <c r="W12" t="s">
        <v>562</v>
      </c>
      <c r="X12" t="s">
        <v>171</v>
      </c>
      <c r="Y12" t="s">
        <v>171</v>
      </c>
      <c r="Z12" t="s">
        <v>171</v>
      </c>
      <c r="AA12" t="s">
        <v>563</v>
      </c>
      <c r="AB12" t="s">
        <v>564</v>
      </c>
      <c r="AC12" t="s">
        <v>565</v>
      </c>
      <c r="AD12" t="s">
        <v>175</v>
      </c>
      <c r="AE12" t="s">
        <v>176</v>
      </c>
      <c r="AF12">
        <f t="shared" si="8"/>
        <v>237.74143007999999</v>
      </c>
      <c r="AG12" t="s">
        <v>177</v>
      </c>
      <c r="AH12" t="s">
        <v>566</v>
      </c>
      <c r="AI12" t="s">
        <v>567</v>
      </c>
      <c r="AJ12" t="s">
        <v>568</v>
      </c>
      <c r="AK12" t="s">
        <v>351</v>
      </c>
      <c r="AL12">
        <f t="shared" si="9"/>
        <v>30.16</v>
      </c>
      <c r="AM12" t="s">
        <v>353</v>
      </c>
      <c r="AN12" t="s">
        <v>306</v>
      </c>
      <c r="AO12" t="s">
        <v>569</v>
      </c>
      <c r="AP12" t="s">
        <v>570</v>
      </c>
      <c r="AQ12" t="s">
        <v>571</v>
      </c>
      <c r="AR12" t="s">
        <v>572</v>
      </c>
      <c r="AS12" t="s">
        <v>491</v>
      </c>
      <c r="AT12" t="s">
        <v>573</v>
      </c>
      <c r="AU12" t="s">
        <v>574</v>
      </c>
      <c r="AV12" t="s">
        <v>575</v>
      </c>
      <c r="AW12" t="s">
        <v>576</v>
      </c>
      <c r="AX12" t="s">
        <v>577</v>
      </c>
      <c r="AY12" t="s">
        <v>578</v>
      </c>
      <c r="AZ12" t="s">
        <v>195</v>
      </c>
      <c r="BA12" t="s">
        <v>579</v>
      </c>
      <c r="BB12" t="s">
        <v>580</v>
      </c>
      <c r="BC12" t="s">
        <v>581</v>
      </c>
      <c r="BD12" t="s">
        <v>161</v>
      </c>
      <c r="BE12" t="s">
        <v>582</v>
      </c>
      <c r="BF12" t="s">
        <v>540</v>
      </c>
      <c r="BG12" t="s">
        <v>583</v>
      </c>
      <c r="BH12" t="s">
        <v>457</v>
      </c>
      <c r="BI12" t="s">
        <v>458</v>
      </c>
      <c r="BJ12" t="s">
        <v>203</v>
      </c>
      <c r="BK12" t="s">
        <v>161</v>
      </c>
      <c r="BL12" t="s">
        <v>204</v>
      </c>
      <c r="BM12" t="s">
        <v>159</v>
      </c>
      <c r="BN12" t="s">
        <v>325</v>
      </c>
      <c r="BO12" t="s">
        <v>212</v>
      </c>
      <c r="BP12" t="s">
        <v>325</v>
      </c>
      <c r="BQ12" t="s">
        <v>584</v>
      </c>
      <c r="BR12" t="s">
        <v>585</v>
      </c>
      <c r="BS12" t="s">
        <v>586</v>
      </c>
      <c r="BT12" t="s">
        <v>159</v>
      </c>
      <c r="BU12" t="s">
        <v>211</v>
      </c>
      <c r="BV12" t="s">
        <v>212</v>
      </c>
      <c r="BW12" t="s">
        <v>213</v>
      </c>
      <c r="BX12" t="s">
        <v>214</v>
      </c>
      <c r="BY12" t="s">
        <v>171</v>
      </c>
      <c r="BZ12" t="s">
        <v>215</v>
      </c>
      <c r="CA12" t="s">
        <v>171</v>
      </c>
      <c r="CB12" t="s">
        <v>171</v>
      </c>
      <c r="CC12" t="s">
        <v>216</v>
      </c>
      <c r="CD12" t="s">
        <v>217</v>
      </c>
      <c r="CE12" t="s">
        <v>218</v>
      </c>
      <c r="CF12" t="s">
        <v>219</v>
      </c>
      <c r="CG12" t="s">
        <v>220</v>
      </c>
      <c r="CH12" t="s">
        <v>221</v>
      </c>
      <c r="CI12" t="s">
        <v>177</v>
      </c>
      <c r="CJ12" t="s">
        <v>213</v>
      </c>
      <c r="CK12" t="s">
        <v>222</v>
      </c>
      <c r="CL12" t="s">
        <v>222</v>
      </c>
      <c r="CM12" t="s">
        <v>222</v>
      </c>
      <c r="CN12" t="s">
        <v>171</v>
      </c>
      <c r="CO12" t="s">
        <v>223</v>
      </c>
      <c r="CP12" t="s">
        <v>171</v>
      </c>
      <c r="CQ12" t="s">
        <v>171</v>
      </c>
      <c r="CR12" t="s">
        <v>171</v>
      </c>
      <c r="CS12" t="s">
        <v>171</v>
      </c>
      <c r="CT12" t="s">
        <v>587</v>
      </c>
      <c r="CU12" t="s">
        <v>588</v>
      </c>
      <c r="CV12" t="s">
        <v>589</v>
      </c>
      <c r="CW12" t="s">
        <v>590</v>
      </c>
      <c r="CX12" t="s">
        <v>591</v>
      </c>
      <c r="CY12" t="s">
        <v>592</v>
      </c>
      <c r="CZ12" t="s">
        <v>593</v>
      </c>
      <c r="DA12" t="s">
        <v>594</v>
      </c>
      <c r="DB12" t="s">
        <v>563</v>
      </c>
      <c r="DC12" t="s">
        <v>385</v>
      </c>
      <c r="DD12" t="s">
        <v>233</v>
      </c>
      <c r="DE12" t="s">
        <v>234</v>
      </c>
      <c r="DF12" t="s">
        <v>177</v>
      </c>
      <c r="DG12" t="s">
        <v>235</v>
      </c>
      <c r="DH12" t="s">
        <v>236</v>
      </c>
      <c r="DI12" t="s">
        <v>177</v>
      </c>
      <c r="DJ12" t="s">
        <v>237</v>
      </c>
      <c r="DK12" t="s">
        <v>238</v>
      </c>
      <c r="DL12" t="s">
        <v>239</v>
      </c>
      <c r="DM12" t="s">
        <v>171</v>
      </c>
      <c r="DN12" t="s">
        <v>562</v>
      </c>
      <c r="DO12" t="s">
        <v>240</v>
      </c>
      <c r="DP12" t="s">
        <v>241</v>
      </c>
      <c r="DQ12" t="s">
        <v>242</v>
      </c>
      <c r="DR12" t="s">
        <v>243</v>
      </c>
      <c r="DS12" t="s">
        <v>244</v>
      </c>
      <c r="DT12" t="s">
        <v>245</v>
      </c>
    </row>
    <row r="13" spans="1:124" ht="17.25" customHeight="1" x14ac:dyDescent="0.45">
      <c r="A13" t="s">
        <v>361</v>
      </c>
      <c r="B13" t="s">
        <v>595</v>
      </c>
      <c r="C13" t="s">
        <v>161</v>
      </c>
      <c r="D13" t="s">
        <v>162</v>
      </c>
      <c r="E13" t="s">
        <v>163</v>
      </c>
      <c r="I13" t="s">
        <v>596</v>
      </c>
      <c r="J13">
        <f t="shared" si="0"/>
        <v>0.53121472476928344</v>
      </c>
      <c r="K13">
        <f t="shared" si="1"/>
        <v>2.9066320800000001</v>
      </c>
      <c r="L13">
        <f t="shared" si="2"/>
        <v>0.44913163618597951</v>
      </c>
      <c r="M13">
        <f t="shared" si="3"/>
        <v>9.5025552503452904</v>
      </c>
      <c r="N13" t="s">
        <v>597</v>
      </c>
      <c r="O13" t="s">
        <v>598</v>
      </c>
      <c r="P13">
        <f t="shared" si="4"/>
        <v>4.602194326626651</v>
      </c>
      <c r="Q13">
        <f t="shared" si="5"/>
        <v>2.0472223266266512</v>
      </c>
      <c r="R13" t="s">
        <v>599</v>
      </c>
      <c r="S13" t="s">
        <v>600</v>
      </c>
      <c r="T13">
        <f t="shared" si="6"/>
        <v>45.865998870108143</v>
      </c>
      <c r="U13">
        <f t="shared" si="7"/>
        <v>0.4417875</v>
      </c>
      <c r="V13" t="s">
        <v>169</v>
      </c>
      <c r="W13" t="s">
        <v>601</v>
      </c>
      <c r="X13" t="s">
        <v>171</v>
      </c>
      <c r="Y13" t="s">
        <v>171</v>
      </c>
      <c r="Z13" t="s">
        <v>171</v>
      </c>
      <c r="AA13" t="s">
        <v>602</v>
      </c>
      <c r="AB13" t="s">
        <v>603</v>
      </c>
      <c r="AC13" t="s">
        <v>604</v>
      </c>
      <c r="AD13" t="s">
        <v>175</v>
      </c>
      <c r="AE13" t="s">
        <v>176</v>
      </c>
      <c r="AF13">
        <f t="shared" si="8"/>
        <v>243.24917189999999</v>
      </c>
      <c r="AG13" t="s">
        <v>177</v>
      </c>
      <c r="AH13" t="s">
        <v>605</v>
      </c>
      <c r="AI13" t="s">
        <v>606</v>
      </c>
      <c r="AJ13" t="s">
        <v>607</v>
      </c>
      <c r="AK13" t="s">
        <v>608</v>
      </c>
      <c r="AL13">
        <f t="shared" si="9"/>
        <v>31.35</v>
      </c>
      <c r="AM13" t="s">
        <v>353</v>
      </c>
      <c r="AN13" t="s">
        <v>183</v>
      </c>
      <c r="AO13" t="s">
        <v>609</v>
      </c>
      <c r="AP13" t="s">
        <v>610</v>
      </c>
      <c r="AQ13" t="s">
        <v>611</v>
      </c>
      <c r="AR13" t="s">
        <v>612</v>
      </c>
      <c r="AS13" t="s">
        <v>218</v>
      </c>
      <c r="AT13" t="s">
        <v>613</v>
      </c>
      <c r="AU13" t="s">
        <v>614</v>
      </c>
      <c r="AV13" t="s">
        <v>615</v>
      </c>
      <c r="AW13" t="s">
        <v>616</v>
      </c>
      <c r="AX13" t="s">
        <v>617</v>
      </c>
      <c r="AY13" t="s">
        <v>618</v>
      </c>
      <c r="AZ13" t="s">
        <v>195</v>
      </c>
      <c r="BA13" t="s">
        <v>579</v>
      </c>
      <c r="BB13" t="s">
        <v>580</v>
      </c>
      <c r="BC13" t="s">
        <v>619</v>
      </c>
      <c r="BD13" t="s">
        <v>161</v>
      </c>
      <c r="BE13" t="s">
        <v>620</v>
      </c>
      <c r="BF13" t="s">
        <v>621</v>
      </c>
      <c r="BG13" t="s">
        <v>622</v>
      </c>
      <c r="BH13" t="s">
        <v>457</v>
      </c>
      <c r="BI13" t="s">
        <v>458</v>
      </c>
      <c r="BJ13" t="s">
        <v>203</v>
      </c>
      <c r="BK13" t="s">
        <v>161</v>
      </c>
      <c r="BL13" t="s">
        <v>204</v>
      </c>
      <c r="BM13" t="s">
        <v>159</v>
      </c>
      <c r="BN13" t="s">
        <v>212</v>
      </c>
      <c r="BO13" t="s">
        <v>325</v>
      </c>
      <c r="BP13" t="s">
        <v>205</v>
      </c>
      <c r="BQ13" t="s">
        <v>623</v>
      </c>
      <c r="BR13" t="s">
        <v>624</v>
      </c>
      <c r="BS13" t="s">
        <v>625</v>
      </c>
      <c r="BT13" t="s">
        <v>159</v>
      </c>
      <c r="BU13" t="s">
        <v>211</v>
      </c>
      <c r="BV13" t="s">
        <v>212</v>
      </c>
      <c r="BW13" t="s">
        <v>213</v>
      </c>
      <c r="BX13" t="s">
        <v>214</v>
      </c>
      <c r="BY13" t="s">
        <v>171</v>
      </c>
      <c r="BZ13" t="s">
        <v>215</v>
      </c>
      <c r="CA13" t="s">
        <v>171</v>
      </c>
      <c r="CB13" t="s">
        <v>171</v>
      </c>
      <c r="CC13" t="s">
        <v>216</v>
      </c>
      <c r="CD13" t="s">
        <v>217</v>
      </c>
      <c r="CE13" t="s">
        <v>218</v>
      </c>
      <c r="CF13" t="s">
        <v>219</v>
      </c>
      <c r="CG13" t="s">
        <v>220</v>
      </c>
      <c r="CH13" t="s">
        <v>221</v>
      </c>
      <c r="CI13" t="s">
        <v>177</v>
      </c>
      <c r="CJ13" t="s">
        <v>213</v>
      </c>
      <c r="CK13" t="s">
        <v>222</v>
      </c>
      <c r="CL13" t="s">
        <v>222</v>
      </c>
      <c r="CM13" t="s">
        <v>222</v>
      </c>
      <c r="CN13" t="s">
        <v>171</v>
      </c>
      <c r="CO13" t="s">
        <v>223</v>
      </c>
      <c r="CP13" t="s">
        <v>171</v>
      </c>
      <c r="CQ13" t="s">
        <v>171</v>
      </c>
      <c r="CR13" t="s">
        <v>171</v>
      </c>
      <c r="CS13" t="s">
        <v>171</v>
      </c>
      <c r="CT13" t="s">
        <v>626</v>
      </c>
      <c r="CU13" t="s">
        <v>627</v>
      </c>
      <c r="CV13" t="s">
        <v>628</v>
      </c>
      <c r="CW13" t="s">
        <v>629</v>
      </c>
      <c r="CX13" t="s">
        <v>630</v>
      </c>
      <c r="CY13" t="s">
        <v>631</v>
      </c>
      <c r="CZ13" t="s">
        <v>632</v>
      </c>
      <c r="DA13" t="s">
        <v>633</v>
      </c>
      <c r="DB13" t="s">
        <v>602</v>
      </c>
      <c r="DC13" t="s">
        <v>426</v>
      </c>
      <c r="DD13" t="s">
        <v>233</v>
      </c>
      <c r="DE13" t="s">
        <v>234</v>
      </c>
      <c r="DF13" t="s">
        <v>177</v>
      </c>
      <c r="DG13" t="s">
        <v>235</v>
      </c>
      <c r="DH13" t="s">
        <v>236</v>
      </c>
      <c r="DI13" t="s">
        <v>177</v>
      </c>
      <c r="DJ13" t="s">
        <v>237</v>
      </c>
      <c r="DK13" t="s">
        <v>238</v>
      </c>
      <c r="DL13" t="s">
        <v>239</v>
      </c>
      <c r="DM13" t="s">
        <v>171</v>
      </c>
      <c r="DN13" t="s">
        <v>601</v>
      </c>
      <c r="DO13" t="s">
        <v>240</v>
      </c>
      <c r="DP13" t="s">
        <v>241</v>
      </c>
      <c r="DQ13" t="s">
        <v>242</v>
      </c>
      <c r="DR13" t="s">
        <v>243</v>
      </c>
      <c r="DS13" t="s">
        <v>244</v>
      </c>
      <c r="DT13" t="s">
        <v>245</v>
      </c>
    </row>
    <row r="14" spans="1:124" ht="17.25" customHeight="1" x14ac:dyDescent="0.45">
      <c r="A14" t="s">
        <v>372</v>
      </c>
      <c r="B14" t="s">
        <v>634</v>
      </c>
      <c r="C14" t="s">
        <v>161</v>
      </c>
      <c r="D14" t="s">
        <v>162</v>
      </c>
      <c r="E14" t="s">
        <v>163</v>
      </c>
      <c r="I14" t="s">
        <v>635</v>
      </c>
      <c r="J14">
        <f t="shared" si="0"/>
        <v>0.42385606628151518</v>
      </c>
      <c r="K14">
        <f t="shared" si="1"/>
        <v>2.9058327199999998</v>
      </c>
      <c r="L14">
        <f t="shared" si="2"/>
        <v>0.36990088414442668</v>
      </c>
      <c r="M14">
        <f t="shared" si="3"/>
        <v>8.6020934602348813</v>
      </c>
      <c r="N14" t="s">
        <v>636</v>
      </c>
      <c r="O14" t="s">
        <v>637</v>
      </c>
      <c r="P14">
        <f t="shared" si="4"/>
        <v>4.813052132030621</v>
      </c>
      <c r="Q14">
        <f t="shared" si="5"/>
        <v>2.247842132030621</v>
      </c>
      <c r="R14" t="s">
        <v>638</v>
      </c>
      <c r="S14" t="s">
        <v>639</v>
      </c>
      <c r="T14">
        <f t="shared" si="6"/>
        <v>47.962652038172607</v>
      </c>
      <c r="U14">
        <f t="shared" si="7"/>
        <v>0.4417875</v>
      </c>
      <c r="V14" t="s">
        <v>169</v>
      </c>
      <c r="W14" t="s">
        <v>640</v>
      </c>
      <c r="X14" t="s">
        <v>171</v>
      </c>
      <c r="Y14" t="s">
        <v>171</v>
      </c>
      <c r="Z14" t="s">
        <v>171</v>
      </c>
      <c r="AA14" t="s">
        <v>641</v>
      </c>
      <c r="AB14" t="s">
        <v>642</v>
      </c>
      <c r="AC14" t="s">
        <v>643</v>
      </c>
      <c r="AD14" t="s">
        <v>175</v>
      </c>
      <c r="AE14" t="s">
        <v>176</v>
      </c>
      <c r="AF14">
        <f t="shared" si="8"/>
        <v>192.59403155999999</v>
      </c>
      <c r="AG14" t="s">
        <v>177</v>
      </c>
      <c r="AH14" t="s">
        <v>644</v>
      </c>
      <c r="AI14" t="s">
        <v>645</v>
      </c>
      <c r="AJ14" t="s">
        <v>646</v>
      </c>
      <c r="AK14" t="s">
        <v>647</v>
      </c>
      <c r="AL14">
        <f t="shared" si="9"/>
        <v>32.14</v>
      </c>
      <c r="AM14" t="s">
        <v>401</v>
      </c>
      <c r="AN14" t="s">
        <v>354</v>
      </c>
      <c r="AO14" t="s">
        <v>184</v>
      </c>
      <c r="AP14" t="s">
        <v>185</v>
      </c>
      <c r="AQ14" t="s">
        <v>648</v>
      </c>
      <c r="AR14" t="s">
        <v>649</v>
      </c>
      <c r="AS14" t="s">
        <v>218</v>
      </c>
      <c r="AT14" t="s">
        <v>457</v>
      </c>
      <c r="AU14" t="s">
        <v>457</v>
      </c>
      <c r="AV14" t="s">
        <v>650</v>
      </c>
      <c r="AW14" t="s">
        <v>651</v>
      </c>
      <c r="AX14" t="s">
        <v>652</v>
      </c>
      <c r="AY14" t="s">
        <v>653</v>
      </c>
      <c r="AZ14" t="s">
        <v>195</v>
      </c>
      <c r="BA14" t="s">
        <v>654</v>
      </c>
      <c r="BB14" t="s">
        <v>655</v>
      </c>
      <c r="BC14" t="s">
        <v>656</v>
      </c>
      <c r="BD14" t="s">
        <v>161</v>
      </c>
      <c r="BE14" t="s">
        <v>582</v>
      </c>
      <c r="BF14" t="s">
        <v>412</v>
      </c>
      <c r="BG14" t="s">
        <v>657</v>
      </c>
      <c r="BH14" t="s">
        <v>372</v>
      </c>
      <c r="BI14" t="s">
        <v>542</v>
      </c>
      <c r="BJ14" t="s">
        <v>203</v>
      </c>
      <c r="BK14" t="s">
        <v>161</v>
      </c>
      <c r="BL14" t="s">
        <v>204</v>
      </c>
      <c r="BM14" t="s">
        <v>159</v>
      </c>
      <c r="BN14" t="s">
        <v>206</v>
      </c>
      <c r="BO14" t="s">
        <v>658</v>
      </c>
      <c r="BP14" t="s">
        <v>659</v>
      </c>
      <c r="BQ14" t="s">
        <v>660</v>
      </c>
      <c r="BR14" t="s">
        <v>661</v>
      </c>
      <c r="BS14" t="s">
        <v>662</v>
      </c>
      <c r="BT14" t="s">
        <v>159</v>
      </c>
      <c r="BU14" t="s">
        <v>211</v>
      </c>
      <c r="BV14" t="s">
        <v>212</v>
      </c>
      <c r="BW14" t="s">
        <v>213</v>
      </c>
      <c r="BX14" t="s">
        <v>214</v>
      </c>
      <c r="BY14" t="s">
        <v>171</v>
      </c>
      <c r="BZ14" t="s">
        <v>215</v>
      </c>
      <c r="CA14" t="s">
        <v>171</v>
      </c>
      <c r="CB14" t="s">
        <v>171</v>
      </c>
      <c r="CC14" t="s">
        <v>216</v>
      </c>
      <c r="CD14" t="s">
        <v>217</v>
      </c>
      <c r="CE14" t="s">
        <v>218</v>
      </c>
      <c r="CF14" t="s">
        <v>219</v>
      </c>
      <c r="CG14" t="s">
        <v>220</v>
      </c>
      <c r="CH14" t="s">
        <v>221</v>
      </c>
      <c r="CI14" t="s">
        <v>177</v>
      </c>
      <c r="CJ14" t="s">
        <v>213</v>
      </c>
      <c r="CK14" t="s">
        <v>222</v>
      </c>
      <c r="CL14" t="s">
        <v>222</v>
      </c>
      <c r="CM14" t="s">
        <v>222</v>
      </c>
      <c r="CN14" t="s">
        <v>171</v>
      </c>
      <c r="CO14" t="s">
        <v>223</v>
      </c>
      <c r="CP14" t="s">
        <v>171</v>
      </c>
      <c r="CQ14" t="s">
        <v>171</v>
      </c>
      <c r="CR14" t="s">
        <v>171</v>
      </c>
      <c r="CS14" t="s">
        <v>171</v>
      </c>
      <c r="CT14" t="s">
        <v>663</v>
      </c>
      <c r="CU14" t="s">
        <v>664</v>
      </c>
      <c r="CV14" t="s">
        <v>665</v>
      </c>
      <c r="CW14" t="s">
        <v>666</v>
      </c>
      <c r="CX14" t="s">
        <v>667</v>
      </c>
      <c r="CY14" t="s">
        <v>668</v>
      </c>
      <c r="CZ14" t="s">
        <v>669</v>
      </c>
      <c r="DA14" t="s">
        <v>670</v>
      </c>
      <c r="DB14" t="s">
        <v>641</v>
      </c>
      <c r="DC14" t="s">
        <v>671</v>
      </c>
      <c r="DD14" t="s">
        <v>233</v>
      </c>
      <c r="DE14" t="s">
        <v>234</v>
      </c>
      <c r="DF14" t="s">
        <v>177</v>
      </c>
      <c r="DG14" t="s">
        <v>235</v>
      </c>
      <c r="DH14" t="s">
        <v>236</v>
      </c>
      <c r="DI14" t="s">
        <v>177</v>
      </c>
      <c r="DJ14" t="s">
        <v>237</v>
      </c>
      <c r="DK14" t="s">
        <v>238</v>
      </c>
      <c r="DL14" t="s">
        <v>239</v>
      </c>
      <c r="DM14" t="s">
        <v>171</v>
      </c>
      <c r="DN14" t="s">
        <v>640</v>
      </c>
      <c r="DO14" t="s">
        <v>240</v>
      </c>
      <c r="DP14" t="s">
        <v>241</v>
      </c>
      <c r="DQ14" t="s">
        <v>242</v>
      </c>
      <c r="DR14" t="s">
        <v>243</v>
      </c>
      <c r="DS14" t="s">
        <v>244</v>
      </c>
      <c r="DT14" t="s">
        <v>245</v>
      </c>
    </row>
    <row r="15" spans="1:124" ht="17.25" customHeight="1" x14ac:dyDescent="0.45">
      <c r="A15" t="s">
        <v>457</v>
      </c>
      <c r="B15" t="s">
        <v>672</v>
      </c>
      <c r="C15" t="s">
        <v>161</v>
      </c>
      <c r="D15" t="s">
        <v>162</v>
      </c>
      <c r="E15" t="s">
        <v>163</v>
      </c>
      <c r="I15" t="s">
        <v>673</v>
      </c>
      <c r="J15">
        <f t="shared" si="0"/>
        <v>0.57271957314439037</v>
      </c>
      <c r="K15">
        <f t="shared" si="1"/>
        <v>2.9050319999999994</v>
      </c>
      <c r="L15">
        <f t="shared" si="2"/>
        <v>0.47840354666463619</v>
      </c>
      <c r="M15">
        <f t="shared" si="3"/>
        <v>8.6030965814784022</v>
      </c>
      <c r="N15" t="s">
        <v>674</v>
      </c>
      <c r="O15" t="s">
        <v>675</v>
      </c>
      <c r="P15">
        <f t="shared" si="4"/>
        <v>4.4601875380357718</v>
      </c>
      <c r="Q15">
        <f t="shared" si="5"/>
        <v>1.7399635380357719</v>
      </c>
      <c r="R15" t="s">
        <v>676</v>
      </c>
      <c r="S15" t="s">
        <v>677</v>
      </c>
      <c r="T15">
        <f t="shared" si="6"/>
        <v>44.4463132838642</v>
      </c>
      <c r="U15">
        <f t="shared" si="7"/>
        <v>0.4417875</v>
      </c>
      <c r="V15" t="s">
        <v>169</v>
      </c>
      <c r="W15" t="s">
        <v>678</v>
      </c>
      <c r="X15" t="s">
        <v>171</v>
      </c>
      <c r="Y15" t="s">
        <v>171</v>
      </c>
      <c r="Z15" t="s">
        <v>171</v>
      </c>
      <c r="AA15" t="s">
        <v>679</v>
      </c>
      <c r="AB15" t="s">
        <v>680</v>
      </c>
      <c r="AC15" t="s">
        <v>681</v>
      </c>
      <c r="AD15" t="s">
        <v>175</v>
      </c>
      <c r="AE15" t="s">
        <v>176</v>
      </c>
      <c r="AF15">
        <f t="shared" si="8"/>
        <v>237.05683722000001</v>
      </c>
      <c r="AG15" t="s">
        <v>177</v>
      </c>
      <c r="AH15" t="s">
        <v>682</v>
      </c>
      <c r="AI15" t="s">
        <v>683</v>
      </c>
      <c r="AJ15" t="s">
        <v>684</v>
      </c>
      <c r="AK15" t="s">
        <v>685</v>
      </c>
      <c r="AL15">
        <f t="shared" si="9"/>
        <v>30.8</v>
      </c>
      <c r="AM15" t="s">
        <v>401</v>
      </c>
      <c r="AN15" t="s">
        <v>306</v>
      </c>
      <c r="AO15" t="s">
        <v>686</v>
      </c>
      <c r="AP15" t="s">
        <v>687</v>
      </c>
      <c r="AQ15" t="s">
        <v>688</v>
      </c>
      <c r="AR15" t="s">
        <v>689</v>
      </c>
      <c r="AS15" t="s">
        <v>690</v>
      </c>
      <c r="AT15" t="s">
        <v>359</v>
      </c>
      <c r="AU15" t="s">
        <v>691</v>
      </c>
      <c r="AV15" t="s">
        <v>692</v>
      </c>
      <c r="AW15" t="s">
        <v>693</v>
      </c>
      <c r="AX15" t="s">
        <v>694</v>
      </c>
      <c r="AY15" t="s">
        <v>695</v>
      </c>
      <c r="AZ15" t="s">
        <v>195</v>
      </c>
      <c r="BA15" t="s">
        <v>696</v>
      </c>
      <c r="BB15" t="s">
        <v>697</v>
      </c>
      <c r="BC15" t="s">
        <v>698</v>
      </c>
      <c r="BD15" t="s">
        <v>161</v>
      </c>
      <c r="BE15" t="s">
        <v>582</v>
      </c>
      <c r="BF15" t="s">
        <v>699</v>
      </c>
      <c r="BG15" t="s">
        <v>700</v>
      </c>
      <c r="BH15" t="s">
        <v>701</v>
      </c>
      <c r="BI15" t="s">
        <v>702</v>
      </c>
      <c r="BJ15" t="s">
        <v>203</v>
      </c>
      <c r="BK15" t="s">
        <v>161</v>
      </c>
      <c r="BL15" t="s">
        <v>204</v>
      </c>
      <c r="BM15" t="s">
        <v>159</v>
      </c>
      <c r="BN15" t="s">
        <v>205</v>
      </c>
      <c r="BO15" t="s">
        <v>325</v>
      </c>
      <c r="BP15" t="s">
        <v>206</v>
      </c>
      <c r="BQ15" t="s">
        <v>703</v>
      </c>
      <c r="BR15" t="s">
        <v>704</v>
      </c>
      <c r="BS15" t="s">
        <v>705</v>
      </c>
      <c r="BT15" t="s">
        <v>159</v>
      </c>
      <c r="BU15" t="s">
        <v>211</v>
      </c>
      <c r="BV15" t="s">
        <v>212</v>
      </c>
      <c r="BW15" t="s">
        <v>213</v>
      </c>
      <c r="BX15" t="s">
        <v>214</v>
      </c>
      <c r="BY15" t="s">
        <v>171</v>
      </c>
      <c r="BZ15" t="s">
        <v>215</v>
      </c>
      <c r="CA15" t="s">
        <v>171</v>
      </c>
      <c r="CB15" t="s">
        <v>171</v>
      </c>
      <c r="CC15" t="s">
        <v>216</v>
      </c>
      <c r="CD15" t="s">
        <v>217</v>
      </c>
      <c r="CE15" t="s">
        <v>218</v>
      </c>
      <c r="CF15" t="s">
        <v>219</v>
      </c>
      <c r="CG15" t="s">
        <v>220</v>
      </c>
      <c r="CH15" t="s">
        <v>221</v>
      </c>
      <c r="CI15" t="s">
        <v>177</v>
      </c>
      <c r="CJ15" t="s">
        <v>213</v>
      </c>
      <c r="CK15" t="s">
        <v>222</v>
      </c>
      <c r="CL15" t="s">
        <v>222</v>
      </c>
      <c r="CM15" t="s">
        <v>222</v>
      </c>
      <c r="CN15" t="s">
        <v>171</v>
      </c>
      <c r="CO15" t="s">
        <v>223</v>
      </c>
      <c r="CP15" t="s">
        <v>171</v>
      </c>
      <c r="CQ15" t="s">
        <v>171</v>
      </c>
      <c r="CR15" t="s">
        <v>171</v>
      </c>
      <c r="CS15" t="s">
        <v>171</v>
      </c>
      <c r="CT15" t="s">
        <v>706</v>
      </c>
      <c r="CU15" t="s">
        <v>707</v>
      </c>
      <c r="CV15" t="s">
        <v>708</v>
      </c>
      <c r="CW15" t="s">
        <v>709</v>
      </c>
      <c r="CX15" t="s">
        <v>710</v>
      </c>
      <c r="CY15" t="s">
        <v>711</v>
      </c>
      <c r="CZ15" t="s">
        <v>712</v>
      </c>
      <c r="DA15" t="s">
        <v>713</v>
      </c>
      <c r="DB15" t="s">
        <v>679</v>
      </c>
      <c r="DC15" t="s">
        <v>714</v>
      </c>
      <c r="DD15" t="s">
        <v>233</v>
      </c>
      <c r="DE15" t="s">
        <v>234</v>
      </c>
      <c r="DF15" t="s">
        <v>177</v>
      </c>
      <c r="DG15" t="s">
        <v>235</v>
      </c>
      <c r="DH15" t="s">
        <v>236</v>
      </c>
      <c r="DI15" t="s">
        <v>177</v>
      </c>
      <c r="DJ15" t="s">
        <v>237</v>
      </c>
      <c r="DK15" t="s">
        <v>238</v>
      </c>
      <c r="DL15" t="s">
        <v>239</v>
      </c>
      <c r="DM15" t="s">
        <v>171</v>
      </c>
      <c r="DN15" t="s">
        <v>678</v>
      </c>
      <c r="DO15" t="s">
        <v>240</v>
      </c>
      <c r="DP15" t="s">
        <v>241</v>
      </c>
      <c r="DQ15" t="s">
        <v>242</v>
      </c>
      <c r="DR15" t="s">
        <v>243</v>
      </c>
      <c r="DS15" t="s">
        <v>244</v>
      </c>
      <c r="DT15" t="s">
        <v>245</v>
      </c>
    </row>
    <row r="16" spans="1:124" ht="17.25" customHeight="1" x14ac:dyDescent="0.45">
      <c r="A16" t="s">
        <v>701</v>
      </c>
      <c r="B16" t="s">
        <v>715</v>
      </c>
      <c r="C16" t="s">
        <v>161</v>
      </c>
      <c r="D16" t="s">
        <v>162</v>
      </c>
      <c r="E16" t="s">
        <v>163</v>
      </c>
      <c r="I16" t="s">
        <v>716</v>
      </c>
      <c r="J16">
        <f t="shared" si="0"/>
        <v>0.55092821864552444</v>
      </c>
      <c r="K16">
        <f t="shared" si="1"/>
        <v>2.9050319999999994</v>
      </c>
      <c r="L16">
        <f t="shared" si="2"/>
        <v>0.46310258325123493</v>
      </c>
      <c r="M16">
        <f t="shared" si="3"/>
        <v>7.999028768631816</v>
      </c>
      <c r="N16" t="s">
        <v>717</v>
      </c>
      <c r="O16" t="s">
        <v>718</v>
      </c>
      <c r="P16">
        <f t="shared" si="4"/>
        <v>4.2899041311284485</v>
      </c>
      <c r="Q16">
        <f t="shared" si="5"/>
        <v>1.6737561311284486</v>
      </c>
      <c r="R16" t="s">
        <v>719</v>
      </c>
      <c r="S16" t="s">
        <v>720</v>
      </c>
      <c r="T16">
        <f t="shared" si="6"/>
        <v>42.749418347069742</v>
      </c>
      <c r="U16">
        <f t="shared" si="7"/>
        <v>0.4417875</v>
      </c>
      <c r="V16" t="s">
        <v>169</v>
      </c>
      <c r="W16" t="s">
        <v>721</v>
      </c>
      <c r="X16" t="s">
        <v>171</v>
      </c>
      <c r="Y16" t="s">
        <v>171</v>
      </c>
      <c r="Z16" t="s">
        <v>171</v>
      </c>
      <c r="AA16" t="s">
        <v>722</v>
      </c>
      <c r="AB16" t="s">
        <v>723</v>
      </c>
      <c r="AC16" t="s">
        <v>724</v>
      </c>
      <c r="AD16" t="s">
        <v>175</v>
      </c>
      <c r="AE16" t="s">
        <v>176</v>
      </c>
      <c r="AF16">
        <f t="shared" si="8"/>
        <v>115.02386909999998</v>
      </c>
      <c r="AG16" t="s">
        <v>177</v>
      </c>
      <c r="AH16" t="s">
        <v>725</v>
      </c>
      <c r="AI16" t="s">
        <v>726</v>
      </c>
      <c r="AJ16" t="s">
        <v>727</v>
      </c>
      <c r="AK16" t="s">
        <v>728</v>
      </c>
      <c r="AL16">
        <f t="shared" si="9"/>
        <v>30.12</v>
      </c>
      <c r="AM16" t="s">
        <v>401</v>
      </c>
      <c r="AN16" t="s">
        <v>306</v>
      </c>
      <c r="AO16" t="s">
        <v>729</v>
      </c>
      <c r="AP16" t="s">
        <v>730</v>
      </c>
      <c r="AQ16" t="s">
        <v>731</v>
      </c>
      <c r="AR16" t="s">
        <v>732</v>
      </c>
      <c r="AS16" t="s">
        <v>733</v>
      </c>
      <c r="AT16" t="s">
        <v>734</v>
      </c>
      <c r="AU16" t="s">
        <v>735</v>
      </c>
      <c r="AV16" t="s">
        <v>736</v>
      </c>
      <c r="AW16" t="s">
        <v>737</v>
      </c>
      <c r="AX16" t="s">
        <v>738</v>
      </c>
      <c r="AY16" t="s">
        <v>739</v>
      </c>
      <c r="AZ16" t="s">
        <v>195</v>
      </c>
      <c r="BA16" t="s">
        <v>740</v>
      </c>
      <c r="BB16" t="s">
        <v>741</v>
      </c>
      <c r="BC16" t="s">
        <v>742</v>
      </c>
      <c r="BD16" t="s">
        <v>161</v>
      </c>
      <c r="BE16" t="s">
        <v>620</v>
      </c>
      <c r="BF16" t="s">
        <v>540</v>
      </c>
      <c r="BG16" t="s">
        <v>743</v>
      </c>
      <c r="BH16" t="s">
        <v>457</v>
      </c>
      <c r="BI16" t="s">
        <v>744</v>
      </c>
      <c r="BJ16" t="s">
        <v>203</v>
      </c>
      <c r="BK16" t="s">
        <v>161</v>
      </c>
      <c r="BL16" t="s">
        <v>204</v>
      </c>
      <c r="BM16" t="s">
        <v>159</v>
      </c>
      <c r="BN16" t="s">
        <v>212</v>
      </c>
      <c r="BO16" t="s">
        <v>206</v>
      </c>
      <c r="BP16" t="s">
        <v>207</v>
      </c>
      <c r="BQ16" t="s">
        <v>745</v>
      </c>
      <c r="BR16" t="s">
        <v>746</v>
      </c>
      <c r="BS16" t="s">
        <v>747</v>
      </c>
      <c r="BT16" t="s">
        <v>159</v>
      </c>
      <c r="BU16" t="s">
        <v>211</v>
      </c>
      <c r="BV16" t="s">
        <v>212</v>
      </c>
      <c r="BW16" t="s">
        <v>213</v>
      </c>
      <c r="BX16" t="s">
        <v>214</v>
      </c>
      <c r="BY16" t="s">
        <v>171</v>
      </c>
      <c r="BZ16" t="s">
        <v>215</v>
      </c>
      <c r="CA16" t="s">
        <v>171</v>
      </c>
      <c r="CB16" t="s">
        <v>171</v>
      </c>
      <c r="CC16" t="s">
        <v>216</v>
      </c>
      <c r="CD16" t="s">
        <v>217</v>
      </c>
      <c r="CE16" t="s">
        <v>218</v>
      </c>
      <c r="CF16" t="s">
        <v>219</v>
      </c>
      <c r="CG16" t="s">
        <v>220</v>
      </c>
      <c r="CH16" t="s">
        <v>221</v>
      </c>
      <c r="CI16" t="s">
        <v>177</v>
      </c>
      <c r="CJ16" t="s">
        <v>213</v>
      </c>
      <c r="CK16" t="s">
        <v>222</v>
      </c>
      <c r="CL16" t="s">
        <v>222</v>
      </c>
      <c r="CM16" t="s">
        <v>222</v>
      </c>
      <c r="CN16" t="s">
        <v>171</v>
      </c>
      <c r="CO16" t="s">
        <v>223</v>
      </c>
      <c r="CP16" t="s">
        <v>171</v>
      </c>
      <c r="CQ16" t="s">
        <v>171</v>
      </c>
      <c r="CR16" t="s">
        <v>171</v>
      </c>
      <c r="CS16" t="s">
        <v>171</v>
      </c>
      <c r="CT16" t="s">
        <v>748</v>
      </c>
      <c r="CU16" t="s">
        <v>749</v>
      </c>
      <c r="CV16" t="s">
        <v>750</v>
      </c>
      <c r="CW16" t="s">
        <v>751</v>
      </c>
      <c r="CX16" t="s">
        <v>752</v>
      </c>
      <c r="CY16" t="s">
        <v>753</v>
      </c>
      <c r="CZ16" t="s">
        <v>754</v>
      </c>
      <c r="DA16" t="s">
        <v>755</v>
      </c>
      <c r="DB16" t="s">
        <v>722</v>
      </c>
      <c r="DC16" t="s">
        <v>756</v>
      </c>
      <c r="DD16" t="s">
        <v>233</v>
      </c>
      <c r="DE16" t="s">
        <v>234</v>
      </c>
      <c r="DF16" t="s">
        <v>177</v>
      </c>
      <c r="DG16" t="s">
        <v>235</v>
      </c>
      <c r="DH16" t="s">
        <v>236</v>
      </c>
      <c r="DI16" t="s">
        <v>177</v>
      </c>
      <c r="DJ16" t="s">
        <v>237</v>
      </c>
      <c r="DK16" t="s">
        <v>238</v>
      </c>
      <c r="DL16" t="s">
        <v>239</v>
      </c>
      <c r="DM16" t="s">
        <v>171</v>
      </c>
      <c r="DN16" t="s">
        <v>721</v>
      </c>
      <c r="DO16" t="s">
        <v>240</v>
      </c>
      <c r="DP16" t="s">
        <v>241</v>
      </c>
      <c r="DQ16" t="s">
        <v>242</v>
      </c>
      <c r="DR16" t="s">
        <v>243</v>
      </c>
      <c r="DS16" t="s">
        <v>244</v>
      </c>
      <c r="DT16" t="s">
        <v>245</v>
      </c>
    </row>
    <row r="17" spans="1:124" ht="17.25" customHeight="1" x14ac:dyDescent="0.45">
      <c r="A17" t="s">
        <v>757</v>
      </c>
      <c r="B17" t="s">
        <v>758</v>
      </c>
      <c r="C17" t="s">
        <v>161</v>
      </c>
      <c r="D17" t="s">
        <v>162</v>
      </c>
      <c r="E17" t="s">
        <v>163</v>
      </c>
      <c r="I17" t="s">
        <v>759</v>
      </c>
      <c r="J17">
        <f t="shared" si="0"/>
        <v>0.70337583497104628</v>
      </c>
      <c r="K17">
        <f t="shared" si="1"/>
        <v>2.9074300800000006</v>
      </c>
      <c r="L17">
        <f t="shared" si="2"/>
        <v>0.566360006130746</v>
      </c>
      <c r="M17">
        <f t="shared" si="3"/>
        <v>9.2234427425101249</v>
      </c>
      <c r="N17" t="s">
        <v>760</v>
      </c>
      <c r="O17" t="s">
        <v>761</v>
      </c>
      <c r="P17">
        <f t="shared" si="4"/>
        <v>4.3643176591291812</v>
      </c>
      <c r="Q17">
        <f t="shared" si="5"/>
        <v>1.5761026591291811</v>
      </c>
      <c r="R17" t="s">
        <v>762</v>
      </c>
      <c r="S17" t="s">
        <v>763</v>
      </c>
      <c r="T17">
        <f t="shared" si="6"/>
        <v>43.490958237460703</v>
      </c>
      <c r="U17">
        <f t="shared" si="7"/>
        <v>0.4417875</v>
      </c>
      <c r="V17" t="s">
        <v>169</v>
      </c>
      <c r="W17" t="s">
        <v>764</v>
      </c>
      <c r="X17" t="s">
        <v>171</v>
      </c>
      <c r="Y17" t="s">
        <v>171</v>
      </c>
      <c r="Z17" t="s">
        <v>171</v>
      </c>
      <c r="AA17" t="s">
        <v>765</v>
      </c>
      <c r="AB17" t="s">
        <v>766</v>
      </c>
      <c r="AC17" t="s">
        <v>767</v>
      </c>
      <c r="AD17" t="s">
        <v>175</v>
      </c>
      <c r="AE17" t="s">
        <v>176</v>
      </c>
      <c r="AF17">
        <f t="shared" si="8"/>
        <v>125.49545316</v>
      </c>
      <c r="AG17" t="s">
        <v>177</v>
      </c>
      <c r="AH17" t="s">
        <v>349</v>
      </c>
      <c r="AI17" t="s">
        <v>768</v>
      </c>
      <c r="AJ17" t="s">
        <v>769</v>
      </c>
      <c r="AK17" t="s">
        <v>486</v>
      </c>
      <c r="AL17">
        <f t="shared" si="9"/>
        <v>30.42</v>
      </c>
      <c r="AM17" t="s">
        <v>401</v>
      </c>
      <c r="AN17" t="s">
        <v>770</v>
      </c>
      <c r="AO17" t="s">
        <v>771</v>
      </c>
      <c r="AP17" t="s">
        <v>772</v>
      </c>
      <c r="AQ17" t="s">
        <v>773</v>
      </c>
      <c r="AR17" t="s">
        <v>774</v>
      </c>
      <c r="AS17" t="s">
        <v>775</v>
      </c>
      <c r="AT17" t="s">
        <v>776</v>
      </c>
      <c r="AU17" t="s">
        <v>777</v>
      </c>
      <c r="AV17" t="s">
        <v>778</v>
      </c>
      <c r="AW17" t="s">
        <v>779</v>
      </c>
      <c r="AX17" t="s">
        <v>780</v>
      </c>
      <c r="AY17" t="s">
        <v>781</v>
      </c>
      <c r="AZ17" t="s">
        <v>195</v>
      </c>
      <c r="BA17" t="s">
        <v>782</v>
      </c>
      <c r="BB17" t="s">
        <v>783</v>
      </c>
      <c r="BC17" t="s">
        <v>784</v>
      </c>
      <c r="BD17" t="s">
        <v>161</v>
      </c>
      <c r="BE17" t="s">
        <v>785</v>
      </c>
      <c r="BF17" t="s">
        <v>455</v>
      </c>
      <c r="BG17" t="s">
        <v>786</v>
      </c>
      <c r="BH17" t="s">
        <v>701</v>
      </c>
      <c r="BI17" t="s">
        <v>787</v>
      </c>
      <c r="BJ17" t="s">
        <v>788</v>
      </c>
      <c r="BK17" t="s">
        <v>161</v>
      </c>
      <c r="BL17" t="s">
        <v>789</v>
      </c>
      <c r="BM17" t="s">
        <v>159</v>
      </c>
      <c r="BN17" t="s">
        <v>277</v>
      </c>
      <c r="BO17" t="s">
        <v>325</v>
      </c>
      <c r="BP17" t="s">
        <v>790</v>
      </c>
      <c r="BQ17" t="s">
        <v>791</v>
      </c>
      <c r="BR17" t="s">
        <v>792</v>
      </c>
      <c r="BS17" t="s">
        <v>793</v>
      </c>
      <c r="BT17" t="s">
        <v>159</v>
      </c>
      <c r="BU17" t="s">
        <v>211</v>
      </c>
      <c r="BV17" t="s">
        <v>212</v>
      </c>
      <c r="BW17" t="s">
        <v>213</v>
      </c>
      <c r="BX17" t="s">
        <v>214</v>
      </c>
      <c r="BY17" t="s">
        <v>171</v>
      </c>
      <c r="BZ17" t="s">
        <v>215</v>
      </c>
      <c r="CA17" t="s">
        <v>171</v>
      </c>
      <c r="CB17" t="s">
        <v>171</v>
      </c>
      <c r="CC17" t="s">
        <v>216</v>
      </c>
      <c r="CD17" t="s">
        <v>217</v>
      </c>
      <c r="CE17" t="s">
        <v>218</v>
      </c>
      <c r="CF17" t="s">
        <v>219</v>
      </c>
      <c r="CG17" t="s">
        <v>220</v>
      </c>
      <c r="CH17" t="s">
        <v>221</v>
      </c>
      <c r="CI17" t="s">
        <v>177</v>
      </c>
      <c r="CJ17" t="s">
        <v>213</v>
      </c>
      <c r="CK17" t="s">
        <v>222</v>
      </c>
      <c r="CL17" t="s">
        <v>222</v>
      </c>
      <c r="CM17" t="s">
        <v>222</v>
      </c>
      <c r="CN17" t="s">
        <v>171</v>
      </c>
      <c r="CO17" t="s">
        <v>223</v>
      </c>
      <c r="CP17" t="s">
        <v>171</v>
      </c>
      <c r="CQ17" t="s">
        <v>171</v>
      </c>
      <c r="CR17" t="s">
        <v>171</v>
      </c>
      <c r="CS17" t="s">
        <v>171</v>
      </c>
      <c r="CT17" t="s">
        <v>794</v>
      </c>
      <c r="CU17" t="s">
        <v>795</v>
      </c>
      <c r="CV17" t="s">
        <v>796</v>
      </c>
      <c r="CW17" t="s">
        <v>797</v>
      </c>
      <c r="CX17" t="s">
        <v>798</v>
      </c>
      <c r="CY17" t="s">
        <v>799</v>
      </c>
      <c r="CZ17" t="s">
        <v>800</v>
      </c>
      <c r="DA17" t="s">
        <v>801</v>
      </c>
      <c r="DB17" t="s">
        <v>765</v>
      </c>
      <c r="DC17" t="s">
        <v>802</v>
      </c>
      <c r="DD17" t="s">
        <v>233</v>
      </c>
      <c r="DE17" t="s">
        <v>234</v>
      </c>
      <c r="DF17" t="s">
        <v>177</v>
      </c>
      <c r="DG17" t="s">
        <v>235</v>
      </c>
      <c r="DH17" t="s">
        <v>236</v>
      </c>
      <c r="DI17" t="s">
        <v>177</v>
      </c>
      <c r="DJ17" t="s">
        <v>237</v>
      </c>
      <c r="DK17" t="s">
        <v>238</v>
      </c>
      <c r="DL17" t="s">
        <v>239</v>
      </c>
      <c r="DM17" t="s">
        <v>171</v>
      </c>
      <c r="DN17" t="s">
        <v>764</v>
      </c>
      <c r="DO17" t="s">
        <v>240</v>
      </c>
      <c r="DP17" t="s">
        <v>241</v>
      </c>
      <c r="DQ17" t="s">
        <v>242</v>
      </c>
      <c r="DR17" t="s">
        <v>243</v>
      </c>
      <c r="DS17" t="s">
        <v>244</v>
      </c>
      <c r="DT17" t="s">
        <v>245</v>
      </c>
    </row>
    <row r="18" spans="1:124" ht="17.25" customHeight="1" x14ac:dyDescent="0.45">
      <c r="A18" t="s">
        <v>803</v>
      </c>
      <c r="B18" t="s">
        <v>804</v>
      </c>
      <c r="C18" t="s">
        <v>161</v>
      </c>
      <c r="D18" t="s">
        <v>162</v>
      </c>
      <c r="E18" t="s">
        <v>163</v>
      </c>
      <c r="I18" t="s">
        <v>805</v>
      </c>
      <c r="J18">
        <f t="shared" si="0"/>
        <v>0.45604478568205886</v>
      </c>
      <c r="K18">
        <f t="shared" si="1"/>
        <v>2.9058327199999998</v>
      </c>
      <c r="L18">
        <f t="shared" si="2"/>
        <v>0.3941814827519895</v>
      </c>
      <c r="M18">
        <f t="shared" si="3"/>
        <v>7.5749454973590913</v>
      </c>
      <c r="N18" t="s">
        <v>806</v>
      </c>
      <c r="O18" t="s">
        <v>807</v>
      </c>
      <c r="P18">
        <f t="shared" si="4"/>
        <v>4.6100521170315893</v>
      </c>
      <c r="Q18">
        <f t="shared" si="5"/>
        <v>1.8574391170315891</v>
      </c>
      <c r="R18" t="s">
        <v>808</v>
      </c>
      <c r="S18" t="s">
        <v>809</v>
      </c>
      <c r="T18">
        <f t="shared" si="6"/>
        <v>45.944310514566361</v>
      </c>
      <c r="U18">
        <f t="shared" si="7"/>
        <v>0.4417875</v>
      </c>
      <c r="V18" t="s">
        <v>169</v>
      </c>
      <c r="W18" t="s">
        <v>810</v>
      </c>
      <c r="X18" t="s">
        <v>171</v>
      </c>
      <c r="Y18" t="s">
        <v>171</v>
      </c>
      <c r="Z18" t="s">
        <v>171</v>
      </c>
      <c r="AA18" t="s">
        <v>811</v>
      </c>
      <c r="AB18" t="s">
        <v>812</v>
      </c>
      <c r="AC18" t="s">
        <v>813</v>
      </c>
      <c r="AD18" t="s">
        <v>175</v>
      </c>
      <c r="AE18" t="s">
        <v>176</v>
      </c>
      <c r="AF18">
        <f t="shared" si="8"/>
        <v>161.35511448000003</v>
      </c>
      <c r="AG18" t="s">
        <v>177</v>
      </c>
      <c r="AH18" t="s">
        <v>814</v>
      </c>
      <c r="AI18" t="s">
        <v>815</v>
      </c>
      <c r="AJ18" t="s">
        <v>816</v>
      </c>
      <c r="AK18" t="s">
        <v>817</v>
      </c>
      <c r="AL18">
        <f t="shared" si="9"/>
        <v>31.38</v>
      </c>
      <c r="AM18" t="s">
        <v>353</v>
      </c>
      <c r="AN18" t="s">
        <v>354</v>
      </c>
      <c r="AO18" t="s">
        <v>818</v>
      </c>
      <c r="AP18" t="s">
        <v>263</v>
      </c>
      <c r="AQ18" t="s">
        <v>819</v>
      </c>
      <c r="AR18" t="s">
        <v>820</v>
      </c>
      <c r="AS18" t="s">
        <v>821</v>
      </c>
      <c r="AT18" t="s">
        <v>822</v>
      </c>
      <c r="AU18" t="s">
        <v>823</v>
      </c>
      <c r="AV18" t="s">
        <v>824</v>
      </c>
      <c r="AW18" t="s">
        <v>825</v>
      </c>
      <c r="AX18" t="s">
        <v>826</v>
      </c>
      <c r="AY18" t="s">
        <v>827</v>
      </c>
      <c r="AZ18" t="s">
        <v>195</v>
      </c>
      <c r="BA18" t="s">
        <v>828</v>
      </c>
      <c r="BB18" t="s">
        <v>829</v>
      </c>
      <c r="BC18" t="s">
        <v>830</v>
      </c>
      <c r="BD18" t="s">
        <v>161</v>
      </c>
      <c r="BE18" t="s">
        <v>274</v>
      </c>
      <c r="BF18" t="s">
        <v>831</v>
      </c>
      <c r="BG18" t="s">
        <v>832</v>
      </c>
      <c r="BH18" t="s">
        <v>701</v>
      </c>
      <c r="BI18" t="s">
        <v>833</v>
      </c>
      <c r="BJ18" t="s">
        <v>788</v>
      </c>
      <c r="BK18" t="s">
        <v>161</v>
      </c>
      <c r="BL18" t="s">
        <v>789</v>
      </c>
      <c r="BM18" t="s">
        <v>159</v>
      </c>
      <c r="BN18" t="s">
        <v>206</v>
      </c>
      <c r="BO18" t="s">
        <v>658</v>
      </c>
      <c r="BP18" t="s">
        <v>207</v>
      </c>
      <c r="BQ18" t="s">
        <v>834</v>
      </c>
      <c r="BR18" t="s">
        <v>835</v>
      </c>
      <c r="BS18" t="s">
        <v>836</v>
      </c>
      <c r="BT18" t="s">
        <v>159</v>
      </c>
      <c r="BU18" t="s">
        <v>211</v>
      </c>
      <c r="BV18" t="s">
        <v>212</v>
      </c>
      <c r="BW18" t="s">
        <v>213</v>
      </c>
      <c r="BX18" t="s">
        <v>214</v>
      </c>
      <c r="BY18" t="s">
        <v>171</v>
      </c>
      <c r="BZ18" t="s">
        <v>215</v>
      </c>
      <c r="CA18" t="s">
        <v>171</v>
      </c>
      <c r="CB18" t="s">
        <v>171</v>
      </c>
      <c r="CC18" t="s">
        <v>216</v>
      </c>
      <c r="CD18" t="s">
        <v>217</v>
      </c>
      <c r="CE18" t="s">
        <v>218</v>
      </c>
      <c r="CF18" t="s">
        <v>219</v>
      </c>
      <c r="CG18" t="s">
        <v>220</v>
      </c>
      <c r="CH18" t="s">
        <v>221</v>
      </c>
      <c r="CI18" t="s">
        <v>177</v>
      </c>
      <c r="CJ18" t="s">
        <v>213</v>
      </c>
      <c r="CK18" t="s">
        <v>222</v>
      </c>
      <c r="CL18" t="s">
        <v>222</v>
      </c>
      <c r="CM18" t="s">
        <v>222</v>
      </c>
      <c r="CN18" t="s">
        <v>171</v>
      </c>
      <c r="CO18" t="s">
        <v>223</v>
      </c>
      <c r="CP18" t="s">
        <v>171</v>
      </c>
      <c r="CQ18" t="s">
        <v>171</v>
      </c>
      <c r="CR18" t="s">
        <v>171</v>
      </c>
      <c r="CS18" t="s">
        <v>171</v>
      </c>
      <c r="CT18" t="s">
        <v>837</v>
      </c>
      <c r="CU18" t="s">
        <v>838</v>
      </c>
      <c r="CV18" t="s">
        <v>839</v>
      </c>
      <c r="CW18" t="s">
        <v>840</v>
      </c>
      <c r="CX18" t="s">
        <v>841</v>
      </c>
      <c r="CY18" t="s">
        <v>842</v>
      </c>
      <c r="CZ18" t="s">
        <v>843</v>
      </c>
      <c r="DA18" t="s">
        <v>844</v>
      </c>
      <c r="DB18" t="s">
        <v>811</v>
      </c>
      <c r="DC18" t="s">
        <v>802</v>
      </c>
      <c r="DD18" t="s">
        <v>233</v>
      </c>
      <c r="DE18" t="s">
        <v>234</v>
      </c>
      <c r="DF18" t="s">
        <v>177</v>
      </c>
      <c r="DG18" t="s">
        <v>235</v>
      </c>
      <c r="DH18" t="s">
        <v>236</v>
      </c>
      <c r="DI18" t="s">
        <v>177</v>
      </c>
      <c r="DJ18" t="s">
        <v>237</v>
      </c>
      <c r="DK18" t="s">
        <v>238</v>
      </c>
      <c r="DL18" t="s">
        <v>239</v>
      </c>
      <c r="DM18" t="s">
        <v>171</v>
      </c>
      <c r="DN18" t="s">
        <v>810</v>
      </c>
      <c r="DO18" t="s">
        <v>240</v>
      </c>
      <c r="DP18" t="s">
        <v>241</v>
      </c>
      <c r="DQ18" t="s">
        <v>242</v>
      </c>
      <c r="DR18" t="s">
        <v>243</v>
      </c>
      <c r="DS18" t="s">
        <v>244</v>
      </c>
      <c r="DT18" t="s">
        <v>245</v>
      </c>
    </row>
    <row r="19" spans="1:124" ht="17.25" customHeight="1" x14ac:dyDescent="0.45">
      <c r="A19" t="s">
        <v>690</v>
      </c>
      <c r="B19" t="s">
        <v>845</v>
      </c>
      <c r="C19" t="s">
        <v>161</v>
      </c>
      <c r="D19" t="s">
        <v>162</v>
      </c>
      <c r="E19" t="s">
        <v>163</v>
      </c>
      <c r="I19" t="s">
        <v>846</v>
      </c>
      <c r="J19">
        <f t="shared" si="0"/>
        <v>0.43806499219141709</v>
      </c>
      <c r="K19">
        <f t="shared" si="1"/>
        <v>2.9066320800000001</v>
      </c>
      <c r="L19">
        <f t="shared" si="2"/>
        <v>0.38069030825391642</v>
      </c>
      <c r="M19">
        <f t="shared" si="3"/>
        <v>7.3355731365106092</v>
      </c>
      <c r="N19" t="s">
        <v>847</v>
      </c>
      <c r="O19" t="s">
        <v>848</v>
      </c>
      <c r="P19">
        <f t="shared" si="4"/>
        <v>4.6866151582146349</v>
      </c>
      <c r="Q19">
        <f t="shared" si="5"/>
        <v>1.861375158214635</v>
      </c>
      <c r="R19" t="s">
        <v>849</v>
      </c>
      <c r="S19" t="s">
        <v>850</v>
      </c>
      <c r="T19">
        <f t="shared" si="6"/>
        <v>46.702692159587791</v>
      </c>
      <c r="U19">
        <f t="shared" si="7"/>
        <v>0.4417875</v>
      </c>
      <c r="V19" t="s">
        <v>169</v>
      </c>
      <c r="W19" t="s">
        <v>851</v>
      </c>
      <c r="X19" t="s">
        <v>171</v>
      </c>
      <c r="Y19" t="s">
        <v>171</v>
      </c>
      <c r="Z19" t="s">
        <v>171</v>
      </c>
      <c r="AA19" t="s">
        <v>852</v>
      </c>
      <c r="AB19" t="s">
        <v>853</v>
      </c>
      <c r="AC19" t="s">
        <v>854</v>
      </c>
      <c r="AD19" t="s">
        <v>175</v>
      </c>
      <c r="AE19" t="s">
        <v>176</v>
      </c>
      <c r="AF19">
        <f t="shared" si="8"/>
        <v>150.41441394</v>
      </c>
      <c r="AG19" t="s">
        <v>177</v>
      </c>
      <c r="AH19" t="s">
        <v>855</v>
      </c>
      <c r="AI19" t="s">
        <v>856</v>
      </c>
      <c r="AJ19" t="s">
        <v>857</v>
      </c>
      <c r="AK19" t="s">
        <v>858</v>
      </c>
      <c r="AL19">
        <f t="shared" si="9"/>
        <v>31.67</v>
      </c>
      <c r="AM19" t="s">
        <v>401</v>
      </c>
      <c r="AN19" t="s">
        <v>183</v>
      </c>
      <c r="AO19" t="s">
        <v>609</v>
      </c>
      <c r="AP19" t="s">
        <v>610</v>
      </c>
      <c r="AQ19" t="s">
        <v>859</v>
      </c>
      <c r="AR19" t="s">
        <v>860</v>
      </c>
      <c r="AS19" t="s">
        <v>861</v>
      </c>
      <c r="AT19" t="s">
        <v>690</v>
      </c>
      <c r="AU19" t="s">
        <v>862</v>
      </c>
      <c r="AV19" t="s">
        <v>863</v>
      </c>
      <c r="AW19" t="s">
        <v>864</v>
      </c>
      <c r="AX19" t="s">
        <v>865</v>
      </c>
      <c r="AY19" t="s">
        <v>866</v>
      </c>
      <c r="AZ19" t="s">
        <v>195</v>
      </c>
      <c r="BA19" t="s">
        <v>828</v>
      </c>
      <c r="BB19" t="s">
        <v>829</v>
      </c>
      <c r="BC19" t="s">
        <v>867</v>
      </c>
      <c r="BD19" t="s">
        <v>161</v>
      </c>
      <c r="BE19" t="s">
        <v>868</v>
      </c>
      <c r="BF19" t="s">
        <v>455</v>
      </c>
      <c r="BG19" t="s">
        <v>869</v>
      </c>
      <c r="BH19" t="s">
        <v>701</v>
      </c>
      <c r="BI19" t="s">
        <v>833</v>
      </c>
      <c r="BJ19" t="s">
        <v>788</v>
      </c>
      <c r="BK19" t="s">
        <v>161</v>
      </c>
      <c r="BL19" t="s">
        <v>789</v>
      </c>
      <c r="BM19" t="s">
        <v>159</v>
      </c>
      <c r="BN19" t="s">
        <v>658</v>
      </c>
      <c r="BO19" t="s">
        <v>212</v>
      </c>
      <c r="BP19" t="s">
        <v>459</v>
      </c>
      <c r="BQ19" t="s">
        <v>870</v>
      </c>
      <c r="BR19" t="s">
        <v>871</v>
      </c>
      <c r="BS19" t="s">
        <v>872</v>
      </c>
      <c r="BT19" t="s">
        <v>159</v>
      </c>
      <c r="BU19" t="s">
        <v>211</v>
      </c>
      <c r="BV19" t="s">
        <v>212</v>
      </c>
      <c r="BW19" t="s">
        <v>213</v>
      </c>
      <c r="BX19" t="s">
        <v>214</v>
      </c>
      <c r="BY19" t="s">
        <v>171</v>
      </c>
      <c r="BZ19" t="s">
        <v>215</v>
      </c>
      <c r="CA19" t="s">
        <v>171</v>
      </c>
      <c r="CB19" t="s">
        <v>171</v>
      </c>
      <c r="CC19" t="s">
        <v>216</v>
      </c>
      <c r="CD19" t="s">
        <v>217</v>
      </c>
      <c r="CE19" t="s">
        <v>218</v>
      </c>
      <c r="CF19" t="s">
        <v>219</v>
      </c>
      <c r="CG19" t="s">
        <v>220</v>
      </c>
      <c r="CH19" t="s">
        <v>221</v>
      </c>
      <c r="CI19" t="s">
        <v>177</v>
      </c>
      <c r="CJ19" t="s">
        <v>213</v>
      </c>
      <c r="CK19" t="s">
        <v>222</v>
      </c>
      <c r="CL19" t="s">
        <v>222</v>
      </c>
      <c r="CM19" t="s">
        <v>222</v>
      </c>
      <c r="CN19" t="s">
        <v>171</v>
      </c>
      <c r="CO19" t="s">
        <v>223</v>
      </c>
      <c r="CP19" t="s">
        <v>171</v>
      </c>
      <c r="CQ19" t="s">
        <v>171</v>
      </c>
      <c r="CR19" t="s">
        <v>171</v>
      </c>
      <c r="CS19" t="s">
        <v>171</v>
      </c>
      <c r="CT19" t="s">
        <v>873</v>
      </c>
      <c r="CU19" t="s">
        <v>874</v>
      </c>
      <c r="CV19" t="s">
        <v>875</v>
      </c>
      <c r="CW19" t="s">
        <v>876</v>
      </c>
      <c r="CX19" t="s">
        <v>877</v>
      </c>
      <c r="CY19" t="s">
        <v>878</v>
      </c>
      <c r="CZ19" t="s">
        <v>879</v>
      </c>
      <c r="DA19" t="s">
        <v>880</v>
      </c>
      <c r="DB19" t="s">
        <v>852</v>
      </c>
      <c r="DC19" t="s">
        <v>756</v>
      </c>
      <c r="DD19" t="s">
        <v>233</v>
      </c>
      <c r="DE19" t="s">
        <v>234</v>
      </c>
      <c r="DF19" t="s">
        <v>177</v>
      </c>
      <c r="DG19" t="s">
        <v>235</v>
      </c>
      <c r="DH19" t="s">
        <v>236</v>
      </c>
      <c r="DI19" t="s">
        <v>177</v>
      </c>
      <c r="DJ19" t="s">
        <v>237</v>
      </c>
      <c r="DK19" t="s">
        <v>238</v>
      </c>
      <c r="DL19" t="s">
        <v>239</v>
      </c>
      <c r="DM19" t="s">
        <v>171</v>
      </c>
      <c r="DN19" t="s">
        <v>851</v>
      </c>
      <c r="DO19" t="s">
        <v>240</v>
      </c>
      <c r="DP19" t="s">
        <v>241</v>
      </c>
      <c r="DQ19" t="s">
        <v>242</v>
      </c>
      <c r="DR19" t="s">
        <v>243</v>
      </c>
      <c r="DS19" t="s">
        <v>244</v>
      </c>
      <c r="DT19" t="s">
        <v>245</v>
      </c>
    </row>
    <row r="20" spans="1:124" ht="17.25" customHeight="1" x14ac:dyDescent="0.45">
      <c r="A20" t="s">
        <v>360</v>
      </c>
      <c r="B20" t="s">
        <v>881</v>
      </c>
      <c r="C20" t="s">
        <v>161</v>
      </c>
      <c r="D20" t="s">
        <v>162</v>
      </c>
      <c r="E20" t="s">
        <v>163</v>
      </c>
      <c r="I20" t="s">
        <v>882</v>
      </c>
      <c r="J20">
        <f t="shared" si="0"/>
        <v>0.54641144931836927</v>
      </c>
      <c r="K20">
        <f t="shared" si="1"/>
        <v>2.9066320800000001</v>
      </c>
      <c r="L20">
        <f t="shared" si="2"/>
        <v>0.45994701021958451</v>
      </c>
      <c r="M20">
        <f t="shared" si="3"/>
        <v>8.4325521087980597</v>
      </c>
      <c r="N20" t="s">
        <v>883</v>
      </c>
      <c r="O20" t="s">
        <v>884</v>
      </c>
      <c r="P20">
        <f t="shared" si="4"/>
        <v>4.5475156401384567</v>
      </c>
      <c r="Q20">
        <f t="shared" si="5"/>
        <v>1.7723866401384565</v>
      </c>
      <c r="R20" t="s">
        <v>885</v>
      </c>
      <c r="S20" t="s">
        <v>886</v>
      </c>
      <c r="T20">
        <f t="shared" si="6"/>
        <v>45.321064781128726</v>
      </c>
      <c r="U20">
        <f t="shared" si="7"/>
        <v>0.4417875</v>
      </c>
      <c r="V20" t="s">
        <v>169</v>
      </c>
      <c r="W20" t="s">
        <v>887</v>
      </c>
      <c r="X20" t="s">
        <v>171</v>
      </c>
      <c r="Y20" t="s">
        <v>171</v>
      </c>
      <c r="Z20" t="s">
        <v>171</v>
      </c>
      <c r="AA20" t="s">
        <v>888</v>
      </c>
      <c r="AB20" t="s">
        <v>889</v>
      </c>
      <c r="AC20" t="s">
        <v>890</v>
      </c>
      <c r="AD20" t="s">
        <v>175</v>
      </c>
      <c r="AE20" t="s">
        <v>176</v>
      </c>
      <c r="AF20">
        <f t="shared" si="8"/>
        <v>129.10635360000001</v>
      </c>
      <c r="AG20" t="s">
        <v>177</v>
      </c>
      <c r="AH20" t="s">
        <v>891</v>
      </c>
      <c r="AI20" t="s">
        <v>892</v>
      </c>
      <c r="AJ20" t="s">
        <v>893</v>
      </c>
      <c r="AK20" t="s">
        <v>894</v>
      </c>
      <c r="AL20">
        <f t="shared" si="9"/>
        <v>31.14</v>
      </c>
      <c r="AM20" t="s">
        <v>353</v>
      </c>
      <c r="AN20" t="s">
        <v>183</v>
      </c>
      <c r="AO20" t="s">
        <v>895</v>
      </c>
      <c r="AP20" t="s">
        <v>896</v>
      </c>
      <c r="AQ20" t="s">
        <v>897</v>
      </c>
      <c r="AR20" t="s">
        <v>898</v>
      </c>
      <c r="AS20" t="s">
        <v>218</v>
      </c>
      <c r="AT20" t="s">
        <v>188</v>
      </c>
      <c r="AU20" t="s">
        <v>899</v>
      </c>
      <c r="AV20" t="s">
        <v>900</v>
      </c>
      <c r="AW20" t="s">
        <v>901</v>
      </c>
      <c r="AX20" t="s">
        <v>902</v>
      </c>
      <c r="AY20" t="s">
        <v>903</v>
      </c>
      <c r="AZ20" t="s">
        <v>195</v>
      </c>
      <c r="BA20" t="s">
        <v>904</v>
      </c>
      <c r="BB20" t="s">
        <v>905</v>
      </c>
      <c r="BC20" t="s">
        <v>906</v>
      </c>
      <c r="BD20" t="s">
        <v>161</v>
      </c>
      <c r="BE20" t="s">
        <v>907</v>
      </c>
      <c r="BF20" t="s">
        <v>412</v>
      </c>
      <c r="BG20" t="s">
        <v>869</v>
      </c>
      <c r="BH20" t="s">
        <v>803</v>
      </c>
      <c r="BI20" t="s">
        <v>908</v>
      </c>
      <c r="BJ20" t="s">
        <v>788</v>
      </c>
      <c r="BK20" t="s">
        <v>161</v>
      </c>
      <c r="BL20" t="s">
        <v>789</v>
      </c>
      <c r="BM20" t="s">
        <v>159</v>
      </c>
      <c r="BN20" t="s">
        <v>658</v>
      </c>
      <c r="BO20" t="s">
        <v>325</v>
      </c>
      <c r="BP20" t="s">
        <v>909</v>
      </c>
      <c r="BQ20" t="s">
        <v>910</v>
      </c>
      <c r="BR20" t="s">
        <v>911</v>
      </c>
      <c r="BS20" t="s">
        <v>912</v>
      </c>
      <c r="BT20" t="s">
        <v>159</v>
      </c>
      <c r="BU20" t="s">
        <v>211</v>
      </c>
      <c r="BV20" t="s">
        <v>212</v>
      </c>
      <c r="BW20" t="s">
        <v>213</v>
      </c>
      <c r="BX20" t="s">
        <v>214</v>
      </c>
      <c r="BY20" t="s">
        <v>171</v>
      </c>
      <c r="BZ20" t="s">
        <v>215</v>
      </c>
      <c r="CA20" t="s">
        <v>171</v>
      </c>
      <c r="CB20" t="s">
        <v>171</v>
      </c>
      <c r="CC20" t="s">
        <v>216</v>
      </c>
      <c r="CD20" t="s">
        <v>217</v>
      </c>
      <c r="CE20" t="s">
        <v>218</v>
      </c>
      <c r="CF20" t="s">
        <v>219</v>
      </c>
      <c r="CG20" t="s">
        <v>220</v>
      </c>
      <c r="CH20" t="s">
        <v>221</v>
      </c>
      <c r="CI20" t="s">
        <v>177</v>
      </c>
      <c r="CJ20" t="s">
        <v>213</v>
      </c>
      <c r="CK20" t="s">
        <v>222</v>
      </c>
      <c r="CL20" t="s">
        <v>222</v>
      </c>
      <c r="CM20" t="s">
        <v>222</v>
      </c>
      <c r="CN20" t="s">
        <v>171</v>
      </c>
      <c r="CO20" t="s">
        <v>223</v>
      </c>
      <c r="CP20" t="s">
        <v>171</v>
      </c>
      <c r="CQ20" t="s">
        <v>171</v>
      </c>
      <c r="CR20" t="s">
        <v>171</v>
      </c>
      <c r="CS20" t="s">
        <v>171</v>
      </c>
      <c r="CT20" t="s">
        <v>913</v>
      </c>
      <c r="CU20" t="s">
        <v>914</v>
      </c>
      <c r="CV20" t="s">
        <v>915</v>
      </c>
      <c r="CW20" t="s">
        <v>916</v>
      </c>
      <c r="CX20" t="s">
        <v>917</v>
      </c>
      <c r="CY20" t="s">
        <v>918</v>
      </c>
      <c r="CZ20" t="s">
        <v>919</v>
      </c>
      <c r="DA20" t="s">
        <v>920</v>
      </c>
      <c r="DB20" t="s">
        <v>888</v>
      </c>
      <c r="DC20" t="s">
        <v>671</v>
      </c>
      <c r="DD20" t="s">
        <v>233</v>
      </c>
      <c r="DE20" t="s">
        <v>234</v>
      </c>
      <c r="DF20" t="s">
        <v>177</v>
      </c>
      <c r="DG20" t="s">
        <v>235</v>
      </c>
      <c r="DH20" t="s">
        <v>236</v>
      </c>
      <c r="DI20" t="s">
        <v>177</v>
      </c>
      <c r="DJ20" t="s">
        <v>237</v>
      </c>
      <c r="DK20" t="s">
        <v>238</v>
      </c>
      <c r="DL20" t="s">
        <v>239</v>
      </c>
      <c r="DM20" t="s">
        <v>171</v>
      </c>
      <c r="DN20" t="s">
        <v>887</v>
      </c>
      <c r="DO20" t="s">
        <v>240</v>
      </c>
      <c r="DP20" t="s">
        <v>241</v>
      </c>
      <c r="DQ20" t="s">
        <v>242</v>
      </c>
      <c r="DR20" t="s">
        <v>243</v>
      </c>
      <c r="DS20" t="s">
        <v>244</v>
      </c>
      <c r="DT20" t="s">
        <v>245</v>
      </c>
    </row>
    <row r="21" spans="1:124" ht="17.25" customHeight="1" x14ac:dyDescent="0.45">
      <c r="A21" t="s">
        <v>921</v>
      </c>
      <c r="B21" t="s">
        <v>922</v>
      </c>
      <c r="C21" t="s">
        <v>161</v>
      </c>
      <c r="D21" t="s">
        <v>162</v>
      </c>
      <c r="E21" t="s">
        <v>163</v>
      </c>
      <c r="I21" t="s">
        <v>923</v>
      </c>
      <c r="J21">
        <f t="shared" si="0"/>
        <v>0.34923509956184046</v>
      </c>
      <c r="K21">
        <f t="shared" si="1"/>
        <v>2.9050319999999994</v>
      </c>
      <c r="L21">
        <f t="shared" si="2"/>
        <v>0.31175656721199424</v>
      </c>
      <c r="M21">
        <f t="shared" si="3"/>
        <v>6.6062155293674554</v>
      </c>
      <c r="N21" t="s">
        <v>924</v>
      </c>
      <c r="O21" t="s">
        <v>925</v>
      </c>
      <c r="P21">
        <f t="shared" si="4"/>
        <v>4.911895649475901</v>
      </c>
      <c r="Q21">
        <f t="shared" si="5"/>
        <v>2.0436836494759008</v>
      </c>
      <c r="R21" t="s">
        <v>926</v>
      </c>
      <c r="S21" t="s">
        <v>927</v>
      </c>
      <c r="T21">
        <f t="shared" si="6"/>
        <v>48.952517933784144</v>
      </c>
      <c r="U21">
        <f t="shared" si="7"/>
        <v>0.4417875</v>
      </c>
      <c r="V21" t="s">
        <v>169</v>
      </c>
      <c r="W21" t="s">
        <v>928</v>
      </c>
      <c r="X21" t="s">
        <v>171</v>
      </c>
      <c r="Y21" t="s">
        <v>171</v>
      </c>
      <c r="Z21" t="s">
        <v>171</v>
      </c>
      <c r="AA21" t="s">
        <v>929</v>
      </c>
      <c r="AB21" t="s">
        <v>930</v>
      </c>
      <c r="AC21" t="s">
        <v>931</v>
      </c>
      <c r="AD21" t="s">
        <v>175</v>
      </c>
      <c r="AE21" t="s">
        <v>176</v>
      </c>
      <c r="AF21">
        <f t="shared" si="8"/>
        <v>171.92499869999997</v>
      </c>
      <c r="AG21" t="s">
        <v>177</v>
      </c>
      <c r="AH21" t="s">
        <v>932</v>
      </c>
      <c r="AI21" t="s">
        <v>933</v>
      </c>
      <c r="AJ21" t="s">
        <v>934</v>
      </c>
      <c r="AK21" t="s">
        <v>935</v>
      </c>
      <c r="AL21">
        <f t="shared" si="9"/>
        <v>32.5</v>
      </c>
      <c r="AM21" t="s">
        <v>353</v>
      </c>
      <c r="AN21" t="s">
        <v>306</v>
      </c>
      <c r="AO21" t="s">
        <v>936</v>
      </c>
      <c r="AP21" t="s">
        <v>730</v>
      </c>
      <c r="AQ21" t="s">
        <v>937</v>
      </c>
      <c r="AR21" t="s">
        <v>898</v>
      </c>
      <c r="AS21" t="s">
        <v>457</v>
      </c>
      <c r="AT21" t="s">
        <v>188</v>
      </c>
      <c r="AU21" t="s">
        <v>938</v>
      </c>
      <c r="AV21" t="s">
        <v>939</v>
      </c>
      <c r="AW21" t="s">
        <v>940</v>
      </c>
      <c r="AX21" t="s">
        <v>941</v>
      </c>
      <c r="AY21" t="s">
        <v>942</v>
      </c>
      <c r="AZ21" t="s">
        <v>195</v>
      </c>
      <c r="BA21" t="s">
        <v>904</v>
      </c>
      <c r="BB21" t="s">
        <v>905</v>
      </c>
      <c r="BC21" t="s">
        <v>943</v>
      </c>
      <c r="BD21" t="s">
        <v>161</v>
      </c>
      <c r="BE21" t="s">
        <v>944</v>
      </c>
      <c r="BF21" t="s">
        <v>500</v>
      </c>
      <c r="BG21" t="s">
        <v>945</v>
      </c>
      <c r="BH21" t="s">
        <v>757</v>
      </c>
      <c r="BI21" t="s">
        <v>702</v>
      </c>
      <c r="BJ21" t="s">
        <v>788</v>
      </c>
      <c r="BK21" t="s">
        <v>161</v>
      </c>
      <c r="BL21" t="s">
        <v>789</v>
      </c>
      <c r="BM21" t="s">
        <v>159</v>
      </c>
      <c r="BN21" t="s">
        <v>324</v>
      </c>
      <c r="BO21" t="s">
        <v>212</v>
      </c>
      <c r="BP21" t="s">
        <v>325</v>
      </c>
      <c r="BQ21" t="s">
        <v>946</v>
      </c>
      <c r="BR21" t="s">
        <v>947</v>
      </c>
      <c r="BS21" t="s">
        <v>948</v>
      </c>
      <c r="BT21" t="s">
        <v>159</v>
      </c>
      <c r="BU21" t="s">
        <v>211</v>
      </c>
      <c r="BV21" t="s">
        <v>212</v>
      </c>
      <c r="BW21" t="s">
        <v>213</v>
      </c>
      <c r="BX21" t="s">
        <v>214</v>
      </c>
      <c r="BY21" t="s">
        <v>171</v>
      </c>
      <c r="BZ21" t="s">
        <v>215</v>
      </c>
      <c r="CA21" t="s">
        <v>171</v>
      </c>
      <c r="CB21" t="s">
        <v>171</v>
      </c>
      <c r="CC21" t="s">
        <v>216</v>
      </c>
      <c r="CD21" t="s">
        <v>217</v>
      </c>
      <c r="CE21" t="s">
        <v>218</v>
      </c>
      <c r="CF21" t="s">
        <v>219</v>
      </c>
      <c r="CG21" t="s">
        <v>220</v>
      </c>
      <c r="CH21" t="s">
        <v>221</v>
      </c>
      <c r="CI21" t="s">
        <v>177</v>
      </c>
      <c r="CJ21" t="s">
        <v>213</v>
      </c>
      <c r="CK21" t="s">
        <v>222</v>
      </c>
      <c r="CL21" t="s">
        <v>222</v>
      </c>
      <c r="CM21" t="s">
        <v>222</v>
      </c>
      <c r="CN21" t="s">
        <v>171</v>
      </c>
      <c r="CO21" t="s">
        <v>223</v>
      </c>
      <c r="CP21" t="s">
        <v>171</v>
      </c>
      <c r="CQ21" t="s">
        <v>171</v>
      </c>
      <c r="CR21" t="s">
        <v>171</v>
      </c>
      <c r="CS21" t="s">
        <v>171</v>
      </c>
      <c r="CT21" t="s">
        <v>949</v>
      </c>
      <c r="CU21" t="s">
        <v>950</v>
      </c>
      <c r="CV21" t="s">
        <v>951</v>
      </c>
      <c r="CW21" t="s">
        <v>952</v>
      </c>
      <c r="CX21" t="s">
        <v>953</v>
      </c>
      <c r="CY21" t="s">
        <v>954</v>
      </c>
      <c r="CZ21" t="s">
        <v>955</v>
      </c>
      <c r="DA21" t="s">
        <v>956</v>
      </c>
      <c r="DB21" t="s">
        <v>929</v>
      </c>
      <c r="DC21" t="s">
        <v>957</v>
      </c>
      <c r="DD21" t="s">
        <v>233</v>
      </c>
      <c r="DE21" t="s">
        <v>234</v>
      </c>
      <c r="DF21" t="s">
        <v>177</v>
      </c>
      <c r="DG21" t="s">
        <v>235</v>
      </c>
      <c r="DH21" t="s">
        <v>236</v>
      </c>
      <c r="DI21" t="s">
        <v>177</v>
      </c>
      <c r="DJ21" t="s">
        <v>237</v>
      </c>
      <c r="DK21" t="s">
        <v>238</v>
      </c>
      <c r="DL21" t="s">
        <v>239</v>
      </c>
      <c r="DM21" t="s">
        <v>171</v>
      </c>
      <c r="DN21" t="s">
        <v>928</v>
      </c>
      <c r="DO21" t="s">
        <v>240</v>
      </c>
      <c r="DP21" t="s">
        <v>241</v>
      </c>
      <c r="DQ21" t="s">
        <v>242</v>
      </c>
      <c r="DR21" t="s">
        <v>243</v>
      </c>
      <c r="DS21" t="s">
        <v>244</v>
      </c>
      <c r="DT21" t="s">
        <v>245</v>
      </c>
    </row>
    <row r="22" spans="1:124" ht="17.25" customHeight="1" x14ac:dyDescent="0.45">
      <c r="A22" t="s">
        <v>958</v>
      </c>
      <c r="B22" t="s">
        <v>959</v>
      </c>
      <c r="C22" t="s">
        <v>161</v>
      </c>
      <c r="D22" t="s">
        <v>162</v>
      </c>
      <c r="E22" t="s">
        <v>163</v>
      </c>
      <c r="I22" t="s">
        <v>960</v>
      </c>
      <c r="J22">
        <f t="shared" si="0"/>
        <v>0.86180943171020774</v>
      </c>
      <c r="K22">
        <f t="shared" si="1"/>
        <v>2.9058327199999998</v>
      </c>
      <c r="L22">
        <f t="shared" si="2"/>
        <v>0.66467937883415695</v>
      </c>
      <c r="M22">
        <f t="shared" si="3"/>
        <v>11.913964264026559</v>
      </c>
      <c r="N22" t="s">
        <v>961</v>
      </c>
      <c r="O22" t="s">
        <v>962</v>
      </c>
      <c r="P22">
        <f t="shared" si="4"/>
        <v>4.5708796840731996</v>
      </c>
      <c r="Q22">
        <f t="shared" si="5"/>
        <v>1.7322596840731994</v>
      </c>
      <c r="R22" t="s">
        <v>963</v>
      </c>
      <c r="S22" t="s">
        <v>964</v>
      </c>
      <c r="T22">
        <f t="shared" si="6"/>
        <v>45.553913534713971</v>
      </c>
      <c r="U22">
        <f t="shared" si="7"/>
        <v>0.4417875</v>
      </c>
      <c r="V22" t="s">
        <v>169</v>
      </c>
      <c r="W22" t="s">
        <v>965</v>
      </c>
      <c r="X22" t="s">
        <v>171</v>
      </c>
      <c r="Y22" t="s">
        <v>171</v>
      </c>
      <c r="Z22" t="s">
        <v>171</v>
      </c>
      <c r="AA22" t="s">
        <v>966</v>
      </c>
      <c r="AB22" t="s">
        <v>967</v>
      </c>
      <c r="AC22" t="s">
        <v>968</v>
      </c>
      <c r="AD22" t="s">
        <v>175</v>
      </c>
      <c r="AE22" t="s">
        <v>176</v>
      </c>
      <c r="AF22">
        <f t="shared" si="8"/>
        <v>201.91390464000003</v>
      </c>
      <c r="AG22" t="s">
        <v>177</v>
      </c>
      <c r="AH22" t="s">
        <v>969</v>
      </c>
      <c r="AI22" t="s">
        <v>970</v>
      </c>
      <c r="AJ22" t="s">
        <v>971</v>
      </c>
      <c r="AK22" t="s">
        <v>527</v>
      </c>
      <c r="AL22">
        <f t="shared" si="9"/>
        <v>31.23</v>
      </c>
      <c r="AM22" t="s">
        <v>353</v>
      </c>
      <c r="AN22" t="s">
        <v>354</v>
      </c>
      <c r="AO22" t="s">
        <v>686</v>
      </c>
      <c r="AP22" t="s">
        <v>687</v>
      </c>
      <c r="AQ22" t="s">
        <v>972</v>
      </c>
      <c r="AR22" t="s">
        <v>973</v>
      </c>
      <c r="AS22" t="s">
        <v>861</v>
      </c>
      <c r="AT22" t="s">
        <v>457</v>
      </c>
      <c r="AU22" t="s">
        <v>974</v>
      </c>
      <c r="AV22" t="s">
        <v>975</v>
      </c>
      <c r="AW22" t="s">
        <v>976</v>
      </c>
      <c r="AX22" t="s">
        <v>195</v>
      </c>
      <c r="AY22" t="s">
        <v>977</v>
      </c>
      <c r="AZ22" t="s">
        <v>195</v>
      </c>
      <c r="BA22" t="s">
        <v>978</v>
      </c>
      <c r="BB22" t="s">
        <v>979</v>
      </c>
      <c r="BC22" t="s">
        <v>980</v>
      </c>
      <c r="BD22" t="s">
        <v>161</v>
      </c>
      <c r="BE22" t="s">
        <v>981</v>
      </c>
      <c r="BF22" t="s">
        <v>831</v>
      </c>
      <c r="BG22" t="s">
        <v>869</v>
      </c>
      <c r="BH22" t="s">
        <v>757</v>
      </c>
      <c r="BI22" t="s">
        <v>982</v>
      </c>
      <c r="BJ22" t="s">
        <v>788</v>
      </c>
      <c r="BK22" t="s">
        <v>161</v>
      </c>
      <c r="BL22" t="s">
        <v>789</v>
      </c>
      <c r="BM22" t="s">
        <v>159</v>
      </c>
      <c r="BN22" t="s">
        <v>325</v>
      </c>
      <c r="BO22" t="s">
        <v>212</v>
      </c>
      <c r="BP22" t="s">
        <v>909</v>
      </c>
      <c r="BQ22" t="s">
        <v>983</v>
      </c>
      <c r="BR22" t="s">
        <v>984</v>
      </c>
      <c r="BS22" t="s">
        <v>985</v>
      </c>
      <c r="BT22" t="s">
        <v>159</v>
      </c>
      <c r="BU22" t="s">
        <v>211</v>
      </c>
      <c r="BV22" t="s">
        <v>212</v>
      </c>
      <c r="BW22" t="s">
        <v>213</v>
      </c>
      <c r="BX22" t="s">
        <v>214</v>
      </c>
      <c r="BY22" t="s">
        <v>171</v>
      </c>
      <c r="BZ22" t="s">
        <v>215</v>
      </c>
      <c r="CA22" t="s">
        <v>171</v>
      </c>
      <c r="CB22" t="s">
        <v>171</v>
      </c>
      <c r="CC22" t="s">
        <v>216</v>
      </c>
      <c r="CD22" t="s">
        <v>217</v>
      </c>
      <c r="CE22" t="s">
        <v>218</v>
      </c>
      <c r="CF22" t="s">
        <v>219</v>
      </c>
      <c r="CG22" t="s">
        <v>220</v>
      </c>
      <c r="CH22" t="s">
        <v>221</v>
      </c>
      <c r="CI22" t="s">
        <v>177</v>
      </c>
      <c r="CJ22" t="s">
        <v>213</v>
      </c>
      <c r="CK22" t="s">
        <v>222</v>
      </c>
      <c r="CL22" t="s">
        <v>222</v>
      </c>
      <c r="CM22" t="s">
        <v>222</v>
      </c>
      <c r="CN22" t="s">
        <v>171</v>
      </c>
      <c r="CO22" t="s">
        <v>223</v>
      </c>
      <c r="CP22" t="s">
        <v>171</v>
      </c>
      <c r="CQ22" t="s">
        <v>171</v>
      </c>
      <c r="CR22" t="s">
        <v>171</v>
      </c>
      <c r="CS22" t="s">
        <v>171</v>
      </c>
      <c r="CT22" t="s">
        <v>986</v>
      </c>
      <c r="CU22" t="s">
        <v>987</v>
      </c>
      <c r="CV22" t="s">
        <v>988</v>
      </c>
      <c r="CW22" t="s">
        <v>989</v>
      </c>
      <c r="CX22" t="s">
        <v>990</v>
      </c>
      <c r="CY22" t="s">
        <v>991</v>
      </c>
      <c r="CZ22" t="s">
        <v>992</v>
      </c>
      <c r="DA22" t="s">
        <v>993</v>
      </c>
      <c r="DB22" t="s">
        <v>966</v>
      </c>
      <c r="DC22" t="s">
        <v>994</v>
      </c>
      <c r="DD22" t="s">
        <v>233</v>
      </c>
      <c r="DE22" t="s">
        <v>234</v>
      </c>
      <c r="DF22" t="s">
        <v>177</v>
      </c>
      <c r="DG22" t="s">
        <v>235</v>
      </c>
      <c r="DH22" t="s">
        <v>236</v>
      </c>
      <c r="DI22" t="s">
        <v>177</v>
      </c>
      <c r="DJ22" t="s">
        <v>237</v>
      </c>
      <c r="DK22" t="s">
        <v>238</v>
      </c>
      <c r="DL22" t="s">
        <v>239</v>
      </c>
      <c r="DM22" t="s">
        <v>171</v>
      </c>
      <c r="DN22" t="s">
        <v>965</v>
      </c>
      <c r="DO22" t="s">
        <v>240</v>
      </c>
      <c r="DP22" t="s">
        <v>241</v>
      </c>
      <c r="DQ22" t="s">
        <v>242</v>
      </c>
      <c r="DR22" t="s">
        <v>243</v>
      </c>
      <c r="DS22" t="s">
        <v>244</v>
      </c>
      <c r="DT22" t="s">
        <v>245</v>
      </c>
    </row>
    <row r="23" spans="1:124" ht="17.25" customHeight="1" x14ac:dyDescent="0.45">
      <c r="A23" t="s">
        <v>406</v>
      </c>
      <c r="B23" t="s">
        <v>995</v>
      </c>
      <c r="C23" t="s">
        <v>161</v>
      </c>
      <c r="D23" t="s">
        <v>162</v>
      </c>
      <c r="E23" t="s">
        <v>163</v>
      </c>
      <c r="I23" t="s">
        <v>996</v>
      </c>
      <c r="J23">
        <f t="shared" si="0"/>
        <v>0.89637446723893532</v>
      </c>
      <c r="K23">
        <f t="shared" si="1"/>
        <v>2.9050319999999994</v>
      </c>
      <c r="L23">
        <f t="shared" si="2"/>
        <v>0.68500870237204914</v>
      </c>
      <c r="M23">
        <f t="shared" si="3"/>
        <v>11.742516018624528</v>
      </c>
      <c r="N23" t="s">
        <v>997</v>
      </c>
      <c r="O23" t="s">
        <v>998</v>
      </c>
      <c r="P23">
        <f t="shared" si="4"/>
        <v>4.4550964017579293</v>
      </c>
      <c r="Q23">
        <f t="shared" si="5"/>
        <v>1.6577844017579295</v>
      </c>
      <c r="R23" t="s">
        <v>999</v>
      </c>
      <c r="S23" t="s">
        <v>1000</v>
      </c>
      <c r="T23">
        <f t="shared" si="6"/>
        <v>44.400004003965805</v>
      </c>
      <c r="U23">
        <f t="shared" si="7"/>
        <v>0.4417875</v>
      </c>
      <c r="V23" t="s">
        <v>169</v>
      </c>
      <c r="W23" t="s">
        <v>1001</v>
      </c>
      <c r="X23" t="s">
        <v>171</v>
      </c>
      <c r="Y23" t="s">
        <v>171</v>
      </c>
      <c r="Z23" t="s">
        <v>171</v>
      </c>
      <c r="AA23" t="s">
        <v>1002</v>
      </c>
      <c r="AB23" t="s">
        <v>1003</v>
      </c>
      <c r="AC23" t="s">
        <v>1004</v>
      </c>
      <c r="AD23" t="s">
        <v>175</v>
      </c>
      <c r="AE23" t="s">
        <v>176</v>
      </c>
      <c r="AF23">
        <f t="shared" si="8"/>
        <v>210.45571008000002</v>
      </c>
      <c r="AG23" t="s">
        <v>177</v>
      </c>
      <c r="AH23" t="s">
        <v>1005</v>
      </c>
      <c r="AI23" t="s">
        <v>1006</v>
      </c>
      <c r="AJ23" t="s">
        <v>1007</v>
      </c>
      <c r="AK23" t="s">
        <v>1008</v>
      </c>
      <c r="AL23">
        <f t="shared" si="9"/>
        <v>30.78</v>
      </c>
      <c r="AM23" t="s">
        <v>353</v>
      </c>
      <c r="AN23" t="s">
        <v>306</v>
      </c>
      <c r="AO23" t="s">
        <v>1009</v>
      </c>
      <c r="AP23" t="s">
        <v>1010</v>
      </c>
      <c r="AQ23" t="s">
        <v>1011</v>
      </c>
      <c r="AR23" t="s">
        <v>973</v>
      </c>
      <c r="AS23" t="s">
        <v>1012</v>
      </c>
      <c r="AT23" t="s">
        <v>246</v>
      </c>
      <c r="AU23" t="s">
        <v>1013</v>
      </c>
      <c r="AV23" t="s">
        <v>1014</v>
      </c>
      <c r="AW23" t="s">
        <v>1015</v>
      </c>
      <c r="AX23" t="s">
        <v>1016</v>
      </c>
      <c r="AY23" t="s">
        <v>1017</v>
      </c>
      <c r="AZ23" t="s">
        <v>195</v>
      </c>
      <c r="BA23" t="s">
        <v>1018</v>
      </c>
      <c r="BB23" t="s">
        <v>1019</v>
      </c>
      <c r="BC23" t="s">
        <v>1020</v>
      </c>
      <c r="BD23" t="s">
        <v>161</v>
      </c>
      <c r="BE23" t="s">
        <v>981</v>
      </c>
      <c r="BF23" t="s">
        <v>455</v>
      </c>
      <c r="BG23" t="s">
        <v>945</v>
      </c>
      <c r="BH23" t="s">
        <v>803</v>
      </c>
      <c r="BI23" t="s">
        <v>908</v>
      </c>
      <c r="BJ23" t="s">
        <v>788</v>
      </c>
      <c r="BK23" t="s">
        <v>161</v>
      </c>
      <c r="BL23" t="s">
        <v>789</v>
      </c>
      <c r="BM23" t="s">
        <v>159</v>
      </c>
      <c r="BN23" t="s">
        <v>205</v>
      </c>
      <c r="BO23" t="s">
        <v>325</v>
      </c>
      <c r="BP23" t="s">
        <v>205</v>
      </c>
      <c r="BQ23" t="s">
        <v>1021</v>
      </c>
      <c r="BR23" t="s">
        <v>1022</v>
      </c>
      <c r="BS23" t="s">
        <v>1023</v>
      </c>
      <c r="BT23" t="s">
        <v>159</v>
      </c>
      <c r="BU23" t="s">
        <v>211</v>
      </c>
      <c r="BV23" t="s">
        <v>212</v>
      </c>
      <c r="BW23" t="s">
        <v>213</v>
      </c>
      <c r="BX23" t="s">
        <v>214</v>
      </c>
      <c r="BY23" t="s">
        <v>171</v>
      </c>
      <c r="BZ23" t="s">
        <v>215</v>
      </c>
      <c r="CA23" t="s">
        <v>171</v>
      </c>
      <c r="CB23" t="s">
        <v>171</v>
      </c>
      <c r="CC23" t="s">
        <v>216</v>
      </c>
      <c r="CD23" t="s">
        <v>217</v>
      </c>
      <c r="CE23" t="s">
        <v>218</v>
      </c>
      <c r="CF23" t="s">
        <v>219</v>
      </c>
      <c r="CG23" t="s">
        <v>220</v>
      </c>
      <c r="CH23" t="s">
        <v>221</v>
      </c>
      <c r="CI23" t="s">
        <v>177</v>
      </c>
      <c r="CJ23" t="s">
        <v>213</v>
      </c>
      <c r="CK23" t="s">
        <v>222</v>
      </c>
      <c r="CL23" t="s">
        <v>222</v>
      </c>
      <c r="CM23" t="s">
        <v>222</v>
      </c>
      <c r="CN23" t="s">
        <v>171</v>
      </c>
      <c r="CO23" t="s">
        <v>223</v>
      </c>
      <c r="CP23" t="s">
        <v>171</v>
      </c>
      <c r="CQ23" t="s">
        <v>171</v>
      </c>
      <c r="CR23" t="s">
        <v>171</v>
      </c>
      <c r="CS23" t="s">
        <v>171</v>
      </c>
      <c r="CT23" t="s">
        <v>1024</v>
      </c>
      <c r="CU23" t="s">
        <v>1025</v>
      </c>
      <c r="CV23" t="s">
        <v>1026</v>
      </c>
      <c r="CW23" t="s">
        <v>1027</v>
      </c>
      <c r="CX23" t="s">
        <v>1028</v>
      </c>
      <c r="CY23" t="s">
        <v>1029</v>
      </c>
      <c r="CZ23" t="s">
        <v>1030</v>
      </c>
      <c r="DA23" t="s">
        <v>1031</v>
      </c>
      <c r="DB23" t="s">
        <v>1002</v>
      </c>
      <c r="DC23" t="s">
        <v>426</v>
      </c>
      <c r="DD23" t="s">
        <v>233</v>
      </c>
      <c r="DE23" t="s">
        <v>234</v>
      </c>
      <c r="DF23" t="s">
        <v>177</v>
      </c>
      <c r="DG23" t="s">
        <v>235</v>
      </c>
      <c r="DH23" t="s">
        <v>236</v>
      </c>
      <c r="DI23" t="s">
        <v>177</v>
      </c>
      <c r="DJ23" t="s">
        <v>237</v>
      </c>
      <c r="DK23" t="s">
        <v>238</v>
      </c>
      <c r="DL23" t="s">
        <v>239</v>
      </c>
      <c r="DM23" t="s">
        <v>171</v>
      </c>
      <c r="DN23" t="s">
        <v>1001</v>
      </c>
      <c r="DO23" t="s">
        <v>240</v>
      </c>
      <c r="DP23" t="s">
        <v>241</v>
      </c>
      <c r="DQ23" t="s">
        <v>242</v>
      </c>
      <c r="DR23" t="s">
        <v>243</v>
      </c>
      <c r="DS23" t="s">
        <v>244</v>
      </c>
      <c r="DT23" t="s">
        <v>245</v>
      </c>
    </row>
    <row r="24" spans="1:124" ht="17.25" customHeight="1" x14ac:dyDescent="0.45">
      <c r="A24" t="s">
        <v>613</v>
      </c>
      <c r="B24" t="s">
        <v>1032</v>
      </c>
      <c r="C24" t="s">
        <v>161</v>
      </c>
      <c r="D24" t="s">
        <v>162</v>
      </c>
      <c r="E24" t="s">
        <v>163</v>
      </c>
      <c r="I24" t="s">
        <v>1033</v>
      </c>
      <c r="J24">
        <f t="shared" si="0"/>
        <v>0.65065515749793601</v>
      </c>
      <c r="K24">
        <f t="shared" si="1"/>
        <v>2.9050319999999994</v>
      </c>
      <c r="L24">
        <f t="shared" si="2"/>
        <v>0.53159177671486169</v>
      </c>
      <c r="M24">
        <f t="shared" si="3"/>
        <v>9.8767787973250663</v>
      </c>
      <c r="N24" t="s">
        <v>1034</v>
      </c>
      <c r="O24" t="s">
        <v>1035</v>
      </c>
      <c r="P24">
        <f t="shared" si="4"/>
        <v>4.5839048267622289</v>
      </c>
      <c r="Q24">
        <f t="shared" si="5"/>
        <v>1.7957958267622289</v>
      </c>
      <c r="R24" t="s">
        <v>1036</v>
      </c>
      <c r="S24" t="s">
        <v>1037</v>
      </c>
      <c r="T24">
        <f t="shared" si="6"/>
        <v>45.683723607357273</v>
      </c>
      <c r="U24">
        <f t="shared" si="7"/>
        <v>0.4417875</v>
      </c>
      <c r="V24" t="s">
        <v>169</v>
      </c>
      <c r="W24" t="s">
        <v>1038</v>
      </c>
      <c r="X24" t="s">
        <v>171</v>
      </c>
      <c r="Y24" t="s">
        <v>171</v>
      </c>
      <c r="Z24" t="s">
        <v>171</v>
      </c>
      <c r="AA24" t="s">
        <v>1039</v>
      </c>
      <c r="AB24" t="s">
        <v>1040</v>
      </c>
      <c r="AC24" t="s">
        <v>1041</v>
      </c>
      <c r="AD24" t="s">
        <v>175</v>
      </c>
      <c r="AE24" t="s">
        <v>176</v>
      </c>
      <c r="AF24">
        <f t="shared" si="8"/>
        <v>213.98436444000001</v>
      </c>
      <c r="AG24" t="s">
        <v>177</v>
      </c>
      <c r="AH24" t="s">
        <v>1042</v>
      </c>
      <c r="AI24" t="s">
        <v>1043</v>
      </c>
      <c r="AJ24" t="s">
        <v>1044</v>
      </c>
      <c r="AK24" t="s">
        <v>1045</v>
      </c>
      <c r="AL24">
        <f t="shared" si="9"/>
        <v>31.28</v>
      </c>
      <c r="AM24" t="s">
        <v>353</v>
      </c>
      <c r="AN24" t="s">
        <v>306</v>
      </c>
      <c r="AO24" t="s">
        <v>936</v>
      </c>
      <c r="AP24" t="s">
        <v>730</v>
      </c>
      <c r="AQ24" t="s">
        <v>1046</v>
      </c>
      <c r="AR24" t="s">
        <v>1047</v>
      </c>
      <c r="AS24" t="s">
        <v>189</v>
      </c>
      <c r="AT24" t="s">
        <v>1048</v>
      </c>
      <c r="AU24" t="s">
        <v>1049</v>
      </c>
      <c r="AV24" t="s">
        <v>1050</v>
      </c>
      <c r="AW24" t="s">
        <v>1051</v>
      </c>
      <c r="AX24" t="s">
        <v>1052</v>
      </c>
      <c r="AY24" t="s">
        <v>1053</v>
      </c>
      <c r="AZ24" t="s">
        <v>195</v>
      </c>
      <c r="BA24" t="s">
        <v>1018</v>
      </c>
      <c r="BB24" t="s">
        <v>1019</v>
      </c>
      <c r="BC24" t="s">
        <v>1054</v>
      </c>
      <c r="BD24" t="s">
        <v>161</v>
      </c>
      <c r="BE24" t="s">
        <v>1055</v>
      </c>
      <c r="BF24" t="s">
        <v>699</v>
      </c>
      <c r="BG24" t="s">
        <v>945</v>
      </c>
      <c r="BH24" t="s">
        <v>803</v>
      </c>
      <c r="BI24" t="s">
        <v>908</v>
      </c>
      <c r="BJ24" t="s">
        <v>788</v>
      </c>
      <c r="BK24" t="s">
        <v>161</v>
      </c>
      <c r="BL24" t="s">
        <v>789</v>
      </c>
      <c r="BM24" t="s">
        <v>159</v>
      </c>
      <c r="BN24" t="s">
        <v>205</v>
      </c>
      <c r="BO24" t="s">
        <v>206</v>
      </c>
      <c r="BP24" t="s">
        <v>659</v>
      </c>
      <c r="BQ24" t="s">
        <v>1056</v>
      </c>
      <c r="BR24" t="s">
        <v>1057</v>
      </c>
      <c r="BS24" t="s">
        <v>1058</v>
      </c>
      <c r="BT24" t="s">
        <v>159</v>
      </c>
      <c r="BU24" t="s">
        <v>211</v>
      </c>
      <c r="BV24" t="s">
        <v>212</v>
      </c>
      <c r="BW24" t="s">
        <v>213</v>
      </c>
      <c r="BX24" t="s">
        <v>214</v>
      </c>
      <c r="BY24" t="s">
        <v>171</v>
      </c>
      <c r="BZ24" t="s">
        <v>215</v>
      </c>
      <c r="CA24" t="s">
        <v>171</v>
      </c>
      <c r="CB24" t="s">
        <v>171</v>
      </c>
      <c r="CC24" t="s">
        <v>216</v>
      </c>
      <c r="CD24" t="s">
        <v>217</v>
      </c>
      <c r="CE24" t="s">
        <v>218</v>
      </c>
      <c r="CF24" t="s">
        <v>219</v>
      </c>
      <c r="CG24" t="s">
        <v>220</v>
      </c>
      <c r="CH24" t="s">
        <v>221</v>
      </c>
      <c r="CI24" t="s">
        <v>177</v>
      </c>
      <c r="CJ24" t="s">
        <v>213</v>
      </c>
      <c r="CK24" t="s">
        <v>222</v>
      </c>
      <c r="CL24" t="s">
        <v>222</v>
      </c>
      <c r="CM24" t="s">
        <v>222</v>
      </c>
      <c r="CN24" t="s">
        <v>171</v>
      </c>
      <c r="CO24" t="s">
        <v>223</v>
      </c>
      <c r="CP24" t="s">
        <v>171</v>
      </c>
      <c r="CQ24" t="s">
        <v>171</v>
      </c>
      <c r="CR24" t="s">
        <v>171</v>
      </c>
      <c r="CS24" t="s">
        <v>171</v>
      </c>
      <c r="CT24" t="s">
        <v>1059</v>
      </c>
      <c r="CU24" t="s">
        <v>1060</v>
      </c>
      <c r="CV24" t="s">
        <v>1061</v>
      </c>
      <c r="CW24" t="s">
        <v>1062</v>
      </c>
      <c r="CX24" t="s">
        <v>1063</v>
      </c>
      <c r="CY24" t="s">
        <v>1064</v>
      </c>
      <c r="CZ24" t="s">
        <v>1065</v>
      </c>
      <c r="DA24" t="s">
        <v>1066</v>
      </c>
      <c r="DB24" t="s">
        <v>1039</v>
      </c>
      <c r="DC24" t="s">
        <v>802</v>
      </c>
      <c r="DD24" t="s">
        <v>233</v>
      </c>
      <c r="DE24" t="s">
        <v>234</v>
      </c>
      <c r="DF24" t="s">
        <v>177</v>
      </c>
      <c r="DG24" t="s">
        <v>235</v>
      </c>
      <c r="DH24" t="s">
        <v>236</v>
      </c>
      <c r="DI24" t="s">
        <v>177</v>
      </c>
      <c r="DJ24" t="s">
        <v>237</v>
      </c>
      <c r="DK24" t="s">
        <v>238</v>
      </c>
      <c r="DL24" t="s">
        <v>239</v>
      </c>
      <c r="DM24" t="s">
        <v>171</v>
      </c>
      <c r="DN24" t="s">
        <v>1038</v>
      </c>
      <c r="DO24" t="s">
        <v>240</v>
      </c>
      <c r="DP24" t="s">
        <v>241</v>
      </c>
      <c r="DQ24" t="s">
        <v>242</v>
      </c>
      <c r="DR24" t="s">
        <v>243</v>
      </c>
      <c r="DS24" t="s">
        <v>244</v>
      </c>
      <c r="DT24" t="s">
        <v>245</v>
      </c>
    </row>
    <row r="25" spans="1:124" ht="17.25" customHeight="1" x14ac:dyDescent="0.45">
      <c r="A25" t="s">
        <v>1067</v>
      </c>
      <c r="B25" t="s">
        <v>1068</v>
      </c>
      <c r="C25" t="s">
        <v>161</v>
      </c>
      <c r="D25" t="s">
        <v>162</v>
      </c>
      <c r="E25" t="s">
        <v>163</v>
      </c>
      <c r="I25" t="s">
        <v>1069</v>
      </c>
      <c r="J25">
        <f t="shared" si="0"/>
        <v>0.73409837601827721</v>
      </c>
      <c r="K25">
        <f t="shared" si="1"/>
        <v>2.9050319999999994</v>
      </c>
      <c r="L25">
        <f t="shared" si="2"/>
        <v>0.58601342989378435</v>
      </c>
      <c r="M25">
        <f t="shared" si="3"/>
        <v>10.200946179986438</v>
      </c>
      <c r="N25" t="s">
        <v>1070</v>
      </c>
      <c r="O25" t="s">
        <v>1071</v>
      </c>
      <c r="P25">
        <f t="shared" si="4"/>
        <v>4.6310633717579064</v>
      </c>
      <c r="Q25">
        <f t="shared" si="5"/>
        <v>1.6805943717579064</v>
      </c>
      <c r="R25" t="s">
        <v>1072</v>
      </c>
      <c r="S25" t="s">
        <v>1073</v>
      </c>
      <c r="T25">
        <f t="shared" si="6"/>
        <v>46.153711099839612</v>
      </c>
      <c r="U25">
        <f t="shared" si="7"/>
        <v>0.4417875</v>
      </c>
      <c r="V25" t="s">
        <v>169</v>
      </c>
      <c r="W25" t="s">
        <v>1074</v>
      </c>
      <c r="X25" t="s">
        <v>171</v>
      </c>
      <c r="Y25" t="s">
        <v>171</v>
      </c>
      <c r="Z25" t="s">
        <v>171</v>
      </c>
      <c r="AA25" t="s">
        <v>1075</v>
      </c>
      <c r="AB25" t="s">
        <v>1076</v>
      </c>
      <c r="AC25" t="s">
        <v>1077</v>
      </c>
      <c r="AD25" t="s">
        <v>175</v>
      </c>
      <c r="AE25" t="s">
        <v>176</v>
      </c>
      <c r="AF25">
        <f t="shared" si="8"/>
        <v>170.48389176000001</v>
      </c>
      <c r="AG25" t="s">
        <v>177</v>
      </c>
      <c r="AH25" t="s">
        <v>349</v>
      </c>
      <c r="AI25" t="s">
        <v>1078</v>
      </c>
      <c r="AJ25" t="s">
        <v>1079</v>
      </c>
      <c r="AK25" t="s">
        <v>1080</v>
      </c>
      <c r="AL25">
        <f t="shared" si="9"/>
        <v>31.46</v>
      </c>
      <c r="AM25" t="s">
        <v>353</v>
      </c>
      <c r="AN25" t="s">
        <v>306</v>
      </c>
      <c r="AO25" t="s">
        <v>1081</v>
      </c>
      <c r="AP25" t="s">
        <v>1082</v>
      </c>
      <c r="AQ25" t="s">
        <v>1083</v>
      </c>
      <c r="AR25" t="s">
        <v>1084</v>
      </c>
      <c r="AS25" t="s">
        <v>921</v>
      </c>
      <c r="AT25" t="s">
        <v>372</v>
      </c>
      <c r="AU25" t="s">
        <v>1085</v>
      </c>
      <c r="AV25" t="s">
        <v>1086</v>
      </c>
      <c r="AW25" t="s">
        <v>1087</v>
      </c>
      <c r="AX25" t="s">
        <v>617</v>
      </c>
      <c r="AY25" t="s">
        <v>1088</v>
      </c>
      <c r="AZ25" t="s">
        <v>195</v>
      </c>
      <c r="BA25" t="s">
        <v>1089</v>
      </c>
      <c r="BB25" t="s">
        <v>1090</v>
      </c>
      <c r="BC25" t="s">
        <v>1091</v>
      </c>
      <c r="BD25" t="s">
        <v>161</v>
      </c>
      <c r="BE25" t="s">
        <v>944</v>
      </c>
      <c r="BF25" t="s">
        <v>500</v>
      </c>
      <c r="BG25" t="s">
        <v>743</v>
      </c>
      <c r="BH25" t="s">
        <v>701</v>
      </c>
      <c r="BI25" t="s">
        <v>1092</v>
      </c>
      <c r="BJ25" t="s">
        <v>788</v>
      </c>
      <c r="BK25" t="s">
        <v>161</v>
      </c>
      <c r="BL25" t="s">
        <v>789</v>
      </c>
      <c r="BM25" t="s">
        <v>159</v>
      </c>
      <c r="BN25" t="s">
        <v>325</v>
      </c>
      <c r="BO25" t="s">
        <v>212</v>
      </c>
      <c r="BP25" t="s">
        <v>1093</v>
      </c>
      <c r="BQ25" t="s">
        <v>1094</v>
      </c>
      <c r="BR25" t="s">
        <v>1095</v>
      </c>
      <c r="BS25" t="s">
        <v>1096</v>
      </c>
      <c r="BT25" t="s">
        <v>159</v>
      </c>
      <c r="BU25" t="s">
        <v>211</v>
      </c>
      <c r="BV25" t="s">
        <v>212</v>
      </c>
      <c r="BW25" t="s">
        <v>213</v>
      </c>
      <c r="BX25" t="s">
        <v>214</v>
      </c>
      <c r="BY25" t="s">
        <v>171</v>
      </c>
      <c r="BZ25" t="s">
        <v>215</v>
      </c>
      <c r="CA25" t="s">
        <v>171</v>
      </c>
      <c r="CB25" t="s">
        <v>171</v>
      </c>
      <c r="CC25" t="s">
        <v>216</v>
      </c>
      <c r="CD25" t="s">
        <v>217</v>
      </c>
      <c r="CE25" t="s">
        <v>218</v>
      </c>
      <c r="CF25" t="s">
        <v>219</v>
      </c>
      <c r="CG25" t="s">
        <v>220</v>
      </c>
      <c r="CH25" t="s">
        <v>221</v>
      </c>
      <c r="CI25" t="s">
        <v>177</v>
      </c>
      <c r="CJ25" t="s">
        <v>213</v>
      </c>
      <c r="CK25" t="s">
        <v>222</v>
      </c>
      <c r="CL25" t="s">
        <v>222</v>
      </c>
      <c r="CM25" t="s">
        <v>222</v>
      </c>
      <c r="CN25" t="s">
        <v>171</v>
      </c>
      <c r="CO25" t="s">
        <v>223</v>
      </c>
      <c r="CP25" t="s">
        <v>171</v>
      </c>
      <c r="CQ25" t="s">
        <v>171</v>
      </c>
      <c r="CR25" t="s">
        <v>171</v>
      </c>
      <c r="CS25" t="s">
        <v>171</v>
      </c>
      <c r="CT25" t="s">
        <v>1097</v>
      </c>
      <c r="CU25" t="s">
        <v>1098</v>
      </c>
      <c r="CV25" t="s">
        <v>1099</v>
      </c>
      <c r="CW25" t="s">
        <v>1100</v>
      </c>
      <c r="CX25" t="s">
        <v>1101</v>
      </c>
      <c r="CY25" t="s">
        <v>1102</v>
      </c>
      <c r="CZ25" t="s">
        <v>1103</v>
      </c>
      <c r="DA25" t="s">
        <v>1104</v>
      </c>
      <c r="DB25" t="s">
        <v>1075</v>
      </c>
      <c r="DC25" t="s">
        <v>1105</v>
      </c>
      <c r="DD25" t="s">
        <v>233</v>
      </c>
      <c r="DE25" t="s">
        <v>234</v>
      </c>
      <c r="DF25" t="s">
        <v>177</v>
      </c>
      <c r="DG25" t="s">
        <v>235</v>
      </c>
      <c r="DH25" t="s">
        <v>236</v>
      </c>
      <c r="DI25" t="s">
        <v>177</v>
      </c>
      <c r="DJ25" t="s">
        <v>237</v>
      </c>
      <c r="DK25" t="s">
        <v>238</v>
      </c>
      <c r="DL25" t="s">
        <v>239</v>
      </c>
      <c r="DM25" t="s">
        <v>171</v>
      </c>
      <c r="DN25" t="s">
        <v>1074</v>
      </c>
      <c r="DO25" t="s">
        <v>240</v>
      </c>
      <c r="DP25" t="s">
        <v>241</v>
      </c>
      <c r="DQ25" t="s">
        <v>242</v>
      </c>
      <c r="DR25" t="s">
        <v>243</v>
      </c>
      <c r="DS25" t="s">
        <v>244</v>
      </c>
      <c r="DT25" t="s">
        <v>245</v>
      </c>
    </row>
    <row r="26" spans="1:124" ht="17.25" customHeight="1" x14ac:dyDescent="0.45">
      <c r="A26" t="s">
        <v>1106</v>
      </c>
      <c r="B26" t="s">
        <v>1107</v>
      </c>
      <c r="C26" t="s">
        <v>161</v>
      </c>
      <c r="D26" t="s">
        <v>162</v>
      </c>
      <c r="E26" t="s">
        <v>163</v>
      </c>
      <c r="I26" t="s">
        <v>1108</v>
      </c>
      <c r="J26">
        <f t="shared" si="0"/>
        <v>0.61693367452560754</v>
      </c>
      <c r="K26">
        <f t="shared" si="1"/>
        <v>2.9058327199999998</v>
      </c>
      <c r="L26">
        <f t="shared" si="2"/>
        <v>0.50889155190426849</v>
      </c>
      <c r="M26">
        <f t="shared" si="3"/>
        <v>9.4806084418806016</v>
      </c>
      <c r="N26" t="s">
        <v>1109</v>
      </c>
      <c r="O26" t="s">
        <v>1110</v>
      </c>
      <c r="P26">
        <f t="shared" si="4"/>
        <v>4.5501064979545855</v>
      </c>
      <c r="Q26">
        <f t="shared" si="5"/>
        <v>1.8013924979545854</v>
      </c>
      <c r="R26" t="s">
        <v>1111</v>
      </c>
      <c r="S26" t="s">
        <v>1112</v>
      </c>
      <c r="T26">
        <f t="shared" si="6"/>
        <v>45.346885568612571</v>
      </c>
      <c r="U26">
        <f t="shared" si="7"/>
        <v>0.4417875</v>
      </c>
      <c r="V26" t="s">
        <v>169</v>
      </c>
      <c r="W26" t="s">
        <v>1113</v>
      </c>
      <c r="X26" t="s">
        <v>171</v>
      </c>
      <c r="Y26" t="s">
        <v>171</v>
      </c>
      <c r="Z26" t="s">
        <v>171</v>
      </c>
      <c r="AA26" t="s">
        <v>1114</v>
      </c>
      <c r="AB26" t="s">
        <v>1115</v>
      </c>
      <c r="AC26" t="s">
        <v>1116</v>
      </c>
      <c r="AD26" t="s">
        <v>175</v>
      </c>
      <c r="AE26" t="s">
        <v>176</v>
      </c>
      <c r="AF26">
        <f t="shared" si="8"/>
        <v>128.11176</v>
      </c>
      <c r="AG26" t="s">
        <v>177</v>
      </c>
      <c r="AH26" t="s">
        <v>683</v>
      </c>
      <c r="AI26" t="s">
        <v>1117</v>
      </c>
      <c r="AJ26" t="s">
        <v>1118</v>
      </c>
      <c r="AK26" t="s">
        <v>1119</v>
      </c>
      <c r="AL26">
        <f t="shared" si="9"/>
        <v>31.15</v>
      </c>
      <c r="AM26" t="s">
        <v>353</v>
      </c>
      <c r="AN26" t="s">
        <v>354</v>
      </c>
      <c r="AO26" t="s">
        <v>1120</v>
      </c>
      <c r="AP26" t="s">
        <v>1121</v>
      </c>
      <c r="AQ26" t="s">
        <v>1122</v>
      </c>
      <c r="AR26" t="s">
        <v>1123</v>
      </c>
      <c r="AS26" t="s">
        <v>202</v>
      </c>
      <c r="AT26" t="s">
        <v>899</v>
      </c>
      <c r="AU26" t="s">
        <v>514</v>
      </c>
      <c r="AV26" t="s">
        <v>1124</v>
      </c>
      <c r="AW26" t="s">
        <v>1125</v>
      </c>
      <c r="AX26" t="s">
        <v>1126</v>
      </c>
      <c r="AY26" t="s">
        <v>1127</v>
      </c>
      <c r="AZ26" t="s">
        <v>195</v>
      </c>
      <c r="BA26" t="s">
        <v>1089</v>
      </c>
      <c r="BB26" t="s">
        <v>1090</v>
      </c>
      <c r="BC26" t="s">
        <v>1128</v>
      </c>
      <c r="BD26" t="s">
        <v>161</v>
      </c>
      <c r="BE26" t="s">
        <v>1129</v>
      </c>
      <c r="BF26" t="s">
        <v>1130</v>
      </c>
      <c r="BG26" t="s">
        <v>743</v>
      </c>
      <c r="BH26" t="s">
        <v>701</v>
      </c>
      <c r="BI26" t="s">
        <v>982</v>
      </c>
      <c r="BJ26" t="s">
        <v>788</v>
      </c>
      <c r="BK26" t="s">
        <v>161</v>
      </c>
      <c r="BL26" t="s">
        <v>789</v>
      </c>
      <c r="BM26" t="s">
        <v>159</v>
      </c>
      <c r="BN26" t="s">
        <v>324</v>
      </c>
      <c r="BO26" t="s">
        <v>325</v>
      </c>
      <c r="BP26" t="s">
        <v>205</v>
      </c>
      <c r="BQ26" t="s">
        <v>1131</v>
      </c>
      <c r="BR26" t="s">
        <v>1132</v>
      </c>
      <c r="BS26" t="s">
        <v>793</v>
      </c>
      <c r="BT26" t="s">
        <v>159</v>
      </c>
      <c r="BU26" t="s">
        <v>211</v>
      </c>
      <c r="BV26" t="s">
        <v>212</v>
      </c>
      <c r="BW26" t="s">
        <v>213</v>
      </c>
      <c r="BX26" t="s">
        <v>214</v>
      </c>
      <c r="BY26" t="s">
        <v>171</v>
      </c>
      <c r="BZ26" t="s">
        <v>215</v>
      </c>
      <c r="CA26" t="s">
        <v>171</v>
      </c>
      <c r="CB26" t="s">
        <v>171</v>
      </c>
      <c r="CC26" t="s">
        <v>216</v>
      </c>
      <c r="CD26" t="s">
        <v>217</v>
      </c>
      <c r="CE26" t="s">
        <v>218</v>
      </c>
      <c r="CF26" t="s">
        <v>219</v>
      </c>
      <c r="CG26" t="s">
        <v>220</v>
      </c>
      <c r="CH26" t="s">
        <v>221</v>
      </c>
      <c r="CI26" t="s">
        <v>177</v>
      </c>
      <c r="CJ26" t="s">
        <v>213</v>
      </c>
      <c r="CK26" t="s">
        <v>222</v>
      </c>
      <c r="CL26" t="s">
        <v>222</v>
      </c>
      <c r="CM26" t="s">
        <v>222</v>
      </c>
      <c r="CN26" t="s">
        <v>171</v>
      </c>
      <c r="CO26" t="s">
        <v>223</v>
      </c>
      <c r="CP26" t="s">
        <v>171</v>
      </c>
      <c r="CQ26" t="s">
        <v>171</v>
      </c>
      <c r="CR26" t="s">
        <v>171</v>
      </c>
      <c r="CS26" t="s">
        <v>171</v>
      </c>
      <c r="CT26" t="s">
        <v>1133</v>
      </c>
      <c r="CU26" t="s">
        <v>1134</v>
      </c>
      <c r="CV26" t="s">
        <v>1135</v>
      </c>
      <c r="CW26" t="s">
        <v>1136</v>
      </c>
      <c r="CX26" t="s">
        <v>1137</v>
      </c>
      <c r="CY26" t="s">
        <v>1138</v>
      </c>
      <c r="CZ26" t="s">
        <v>1139</v>
      </c>
      <c r="DA26" t="s">
        <v>1140</v>
      </c>
      <c r="DB26" t="s">
        <v>1114</v>
      </c>
      <c r="DC26" t="s">
        <v>426</v>
      </c>
      <c r="DD26" t="s">
        <v>233</v>
      </c>
      <c r="DE26" t="s">
        <v>234</v>
      </c>
      <c r="DF26" t="s">
        <v>177</v>
      </c>
      <c r="DG26" t="s">
        <v>235</v>
      </c>
      <c r="DH26" t="s">
        <v>236</v>
      </c>
      <c r="DI26" t="s">
        <v>177</v>
      </c>
      <c r="DJ26" t="s">
        <v>237</v>
      </c>
      <c r="DK26" t="s">
        <v>238</v>
      </c>
      <c r="DL26" t="s">
        <v>239</v>
      </c>
      <c r="DM26" t="s">
        <v>171</v>
      </c>
      <c r="DN26" t="s">
        <v>1113</v>
      </c>
      <c r="DO26" t="s">
        <v>240</v>
      </c>
      <c r="DP26" t="s">
        <v>241</v>
      </c>
      <c r="DQ26" t="s">
        <v>242</v>
      </c>
      <c r="DR26" t="s">
        <v>243</v>
      </c>
      <c r="DS26" t="s">
        <v>244</v>
      </c>
      <c r="DT26" t="s">
        <v>245</v>
      </c>
    </row>
    <row r="27" spans="1:124" ht="17.25" customHeight="1" x14ac:dyDescent="0.45">
      <c r="A27" t="s">
        <v>1141</v>
      </c>
      <c r="B27" t="s">
        <v>1142</v>
      </c>
      <c r="C27" t="s">
        <v>161</v>
      </c>
      <c r="D27" t="s">
        <v>162</v>
      </c>
      <c r="E27" t="s">
        <v>163</v>
      </c>
      <c r="I27" t="s">
        <v>1143</v>
      </c>
      <c r="J27">
        <f t="shared" si="0"/>
        <v>0.25547287065213142</v>
      </c>
      <c r="K27">
        <f t="shared" si="1"/>
        <v>2.9058327199999998</v>
      </c>
      <c r="L27">
        <f t="shared" si="2"/>
        <v>0.23482748039557694</v>
      </c>
      <c r="M27">
        <f t="shared" si="3"/>
        <v>5.3131360263978209</v>
      </c>
      <c r="N27" t="s">
        <v>1144</v>
      </c>
      <c r="O27" t="s">
        <v>1145</v>
      </c>
      <c r="P27">
        <f t="shared" si="4"/>
        <v>4.8595103272644238</v>
      </c>
      <c r="Q27">
        <f t="shared" si="5"/>
        <v>2.1849323272644239</v>
      </c>
      <c r="R27" t="s">
        <v>1146</v>
      </c>
      <c r="S27" t="s">
        <v>1147</v>
      </c>
      <c r="T27">
        <f t="shared" si="6"/>
        <v>48.43043977740107</v>
      </c>
      <c r="U27">
        <f t="shared" si="7"/>
        <v>0.4417875</v>
      </c>
      <c r="V27" t="s">
        <v>169</v>
      </c>
      <c r="W27" t="s">
        <v>1148</v>
      </c>
      <c r="X27" t="s">
        <v>171</v>
      </c>
      <c r="Y27" t="s">
        <v>171</v>
      </c>
      <c r="Z27" t="s">
        <v>171</v>
      </c>
      <c r="AA27" t="s">
        <v>1149</v>
      </c>
      <c r="AB27" t="s">
        <v>1150</v>
      </c>
      <c r="AC27" t="s">
        <v>1151</v>
      </c>
      <c r="AD27" t="s">
        <v>175</v>
      </c>
      <c r="AE27" t="s">
        <v>176</v>
      </c>
      <c r="AF27">
        <f t="shared" si="8"/>
        <v>136.6519203</v>
      </c>
      <c r="AG27" t="s">
        <v>177</v>
      </c>
      <c r="AH27" t="s">
        <v>1152</v>
      </c>
      <c r="AI27" t="s">
        <v>1153</v>
      </c>
      <c r="AJ27" t="s">
        <v>1154</v>
      </c>
      <c r="AK27" t="s">
        <v>1155</v>
      </c>
      <c r="AL27">
        <f t="shared" si="9"/>
        <v>32.31</v>
      </c>
      <c r="AM27" t="s">
        <v>353</v>
      </c>
      <c r="AN27" t="s">
        <v>354</v>
      </c>
      <c r="AO27" t="s">
        <v>1156</v>
      </c>
      <c r="AP27" t="s">
        <v>308</v>
      </c>
      <c r="AQ27" t="s">
        <v>1157</v>
      </c>
      <c r="AR27" t="s">
        <v>1158</v>
      </c>
      <c r="AS27" t="s">
        <v>861</v>
      </c>
      <c r="AT27" t="s">
        <v>1159</v>
      </c>
      <c r="AU27" t="s">
        <v>1160</v>
      </c>
      <c r="AV27" t="s">
        <v>1161</v>
      </c>
      <c r="AW27" t="s">
        <v>1162</v>
      </c>
      <c r="AX27" t="s">
        <v>1163</v>
      </c>
      <c r="AY27" t="s">
        <v>1164</v>
      </c>
      <c r="AZ27" t="s">
        <v>195</v>
      </c>
      <c r="BA27" t="s">
        <v>1165</v>
      </c>
      <c r="BB27" t="s">
        <v>1166</v>
      </c>
      <c r="BC27" t="s">
        <v>1167</v>
      </c>
      <c r="BD27" t="s">
        <v>161</v>
      </c>
      <c r="BE27" t="s">
        <v>981</v>
      </c>
      <c r="BF27" t="s">
        <v>412</v>
      </c>
      <c r="BG27" t="s">
        <v>1168</v>
      </c>
      <c r="BH27" t="s">
        <v>757</v>
      </c>
      <c r="BI27" t="s">
        <v>1169</v>
      </c>
      <c r="BJ27" t="s">
        <v>788</v>
      </c>
      <c r="BK27" t="s">
        <v>161</v>
      </c>
      <c r="BL27" t="s">
        <v>789</v>
      </c>
      <c r="BM27" t="s">
        <v>159</v>
      </c>
      <c r="BN27" t="s">
        <v>206</v>
      </c>
      <c r="BO27" t="s">
        <v>212</v>
      </c>
      <c r="BP27" t="s">
        <v>324</v>
      </c>
      <c r="BQ27" t="s">
        <v>1170</v>
      </c>
      <c r="BR27" t="s">
        <v>1171</v>
      </c>
      <c r="BS27" t="s">
        <v>1172</v>
      </c>
      <c r="BT27" t="s">
        <v>159</v>
      </c>
      <c r="BU27" t="s">
        <v>211</v>
      </c>
      <c r="BV27" t="s">
        <v>212</v>
      </c>
      <c r="BW27" t="s">
        <v>213</v>
      </c>
      <c r="BX27" t="s">
        <v>214</v>
      </c>
      <c r="BY27" t="s">
        <v>171</v>
      </c>
      <c r="BZ27" t="s">
        <v>215</v>
      </c>
      <c r="CA27" t="s">
        <v>171</v>
      </c>
      <c r="CB27" t="s">
        <v>171</v>
      </c>
      <c r="CC27" t="s">
        <v>216</v>
      </c>
      <c r="CD27" t="s">
        <v>217</v>
      </c>
      <c r="CE27" t="s">
        <v>218</v>
      </c>
      <c r="CF27" t="s">
        <v>219</v>
      </c>
      <c r="CG27" t="s">
        <v>220</v>
      </c>
      <c r="CH27" t="s">
        <v>221</v>
      </c>
      <c r="CI27" t="s">
        <v>177</v>
      </c>
      <c r="CJ27" t="s">
        <v>213</v>
      </c>
      <c r="CK27" t="s">
        <v>222</v>
      </c>
      <c r="CL27" t="s">
        <v>222</v>
      </c>
      <c r="CM27" t="s">
        <v>222</v>
      </c>
      <c r="CN27" t="s">
        <v>171</v>
      </c>
      <c r="CO27" t="s">
        <v>223</v>
      </c>
      <c r="CP27" t="s">
        <v>171</v>
      </c>
      <c r="CQ27" t="s">
        <v>171</v>
      </c>
      <c r="CR27" t="s">
        <v>171</v>
      </c>
      <c r="CS27" t="s">
        <v>171</v>
      </c>
      <c r="CT27" t="s">
        <v>1173</v>
      </c>
      <c r="CU27" t="s">
        <v>1174</v>
      </c>
      <c r="CV27" t="s">
        <v>1175</v>
      </c>
      <c r="CW27" t="s">
        <v>1176</v>
      </c>
      <c r="CX27" t="s">
        <v>1177</v>
      </c>
      <c r="CY27" t="s">
        <v>1178</v>
      </c>
      <c r="CZ27" t="s">
        <v>1179</v>
      </c>
      <c r="DA27" t="s">
        <v>1180</v>
      </c>
      <c r="DB27" t="s">
        <v>1149</v>
      </c>
      <c r="DC27" t="s">
        <v>1181</v>
      </c>
      <c r="DD27" t="s">
        <v>233</v>
      </c>
      <c r="DE27" t="s">
        <v>234</v>
      </c>
      <c r="DF27" t="s">
        <v>177</v>
      </c>
      <c r="DG27" t="s">
        <v>235</v>
      </c>
      <c r="DH27" t="s">
        <v>236</v>
      </c>
      <c r="DI27" t="s">
        <v>177</v>
      </c>
      <c r="DJ27" t="s">
        <v>237</v>
      </c>
      <c r="DK27" t="s">
        <v>238</v>
      </c>
      <c r="DL27" t="s">
        <v>239</v>
      </c>
      <c r="DM27" t="s">
        <v>171</v>
      </c>
      <c r="DN27" t="s">
        <v>1148</v>
      </c>
      <c r="DO27" t="s">
        <v>240</v>
      </c>
      <c r="DP27" t="s">
        <v>241</v>
      </c>
      <c r="DQ27" t="s">
        <v>242</v>
      </c>
      <c r="DR27" t="s">
        <v>243</v>
      </c>
      <c r="DS27" t="s">
        <v>244</v>
      </c>
      <c r="DT27" t="s">
        <v>245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5"/>
  <sheetViews>
    <sheetView workbookViewId="0">
      <selection activeCell="J25" sqref="J25"/>
    </sheetView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0.51</v>
      </c>
      <c r="K2">
        <v>2.91</v>
      </c>
      <c r="L2">
        <v>0.43</v>
      </c>
      <c r="M2">
        <v>7.68</v>
      </c>
      <c r="N2">
        <v>2.57</v>
      </c>
      <c r="O2">
        <v>2.36</v>
      </c>
      <c r="P2">
        <v>4.29</v>
      </c>
      <c r="Q2">
        <v>1.72</v>
      </c>
      <c r="R2">
        <v>23.54</v>
      </c>
      <c r="S2">
        <v>25.66</v>
      </c>
      <c r="T2">
        <v>42.81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222.22</v>
      </c>
      <c r="AB2">
        <v>344.46</v>
      </c>
      <c r="AC2">
        <v>0.35</v>
      </c>
      <c r="AD2">
        <v>0.5</v>
      </c>
      <c r="AE2">
        <v>0.84</v>
      </c>
      <c r="AF2">
        <v>213.73</v>
      </c>
      <c r="AG2">
        <v>1</v>
      </c>
      <c r="AH2">
        <v>64.33</v>
      </c>
      <c r="AI2">
        <v>59.02</v>
      </c>
      <c r="AJ2">
        <v>28.91</v>
      </c>
      <c r="AK2">
        <v>30.14</v>
      </c>
      <c r="AL2">
        <v>30.14</v>
      </c>
      <c r="AM2">
        <v>100.33</v>
      </c>
      <c r="AN2">
        <v>156.19999999999999</v>
      </c>
      <c r="AO2">
        <v>154.69999999999999</v>
      </c>
      <c r="AP2">
        <v>0.9</v>
      </c>
      <c r="AQ2">
        <v>1434</v>
      </c>
      <c r="AR2">
        <v>3.93</v>
      </c>
      <c r="AS2">
        <v>-2</v>
      </c>
      <c r="AT2">
        <v>-38</v>
      </c>
      <c r="AU2">
        <v>204</v>
      </c>
      <c r="AV2">
        <v>0.64</v>
      </c>
      <c r="AW2">
        <v>99.99</v>
      </c>
      <c r="AX2">
        <v>38.04</v>
      </c>
      <c r="AY2">
        <v>-63.44</v>
      </c>
      <c r="AZ2">
        <v>14.39</v>
      </c>
      <c r="BA2">
        <v>115.8</v>
      </c>
      <c r="BB2">
        <v>37.6</v>
      </c>
      <c r="BC2" t="s">
        <v>198</v>
      </c>
      <c r="BD2" t="s">
        <v>161</v>
      </c>
      <c r="BE2">
        <v>35.85</v>
      </c>
      <c r="BF2">
        <v>127.13</v>
      </c>
      <c r="BG2">
        <v>48.3</v>
      </c>
      <c r="BH2">
        <v>9</v>
      </c>
      <c r="BI2">
        <v>1</v>
      </c>
      <c r="BJ2" t="s">
        <v>203</v>
      </c>
      <c r="BK2" t="s">
        <v>161</v>
      </c>
      <c r="BL2">
        <v>-1.38</v>
      </c>
      <c r="BM2" t="s">
        <v>159</v>
      </c>
      <c r="BN2">
        <v>0</v>
      </c>
      <c r="BO2">
        <v>0</v>
      </c>
      <c r="BP2">
        <v>0.01</v>
      </c>
      <c r="BQ2">
        <v>-0.25</v>
      </c>
      <c r="BR2">
        <v>-0.51</v>
      </c>
      <c r="BS2">
        <v>-1.3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217</v>
      </c>
      <c r="CE2" t="s">
        <v>218</v>
      </c>
      <c r="CF2" t="s">
        <v>219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2.52</v>
      </c>
      <c r="CU2">
        <v>2.46</v>
      </c>
      <c r="CV2">
        <v>1.67</v>
      </c>
      <c r="CW2">
        <v>0.94</v>
      </c>
      <c r="CX2">
        <v>0.23</v>
      </c>
      <c r="CY2">
        <v>0.02</v>
      </c>
      <c r="CZ2">
        <v>0.09</v>
      </c>
      <c r="DA2">
        <v>1.36</v>
      </c>
      <c r="DB2">
        <v>222.22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240</v>
      </c>
      <c r="DP2" t="s">
        <v>241</v>
      </c>
      <c r="DQ2" t="s">
        <v>242</v>
      </c>
      <c r="DR2" t="s">
        <v>243</v>
      </c>
      <c r="DS2" t="s">
        <v>244</v>
      </c>
      <c r="DT2" t="s">
        <v>245</v>
      </c>
    </row>
    <row r="3" spans="1:124" x14ac:dyDescent="0.45">
      <c r="A3" t="s">
        <v>246</v>
      </c>
      <c r="B3" t="s">
        <v>247</v>
      </c>
      <c r="C3" t="s">
        <v>161</v>
      </c>
      <c r="D3" t="s">
        <v>162</v>
      </c>
      <c r="E3" t="s">
        <v>163</v>
      </c>
      <c r="I3" t="s">
        <v>248</v>
      </c>
      <c r="J3">
        <v>0.65</v>
      </c>
      <c r="K3">
        <v>2.9</v>
      </c>
      <c r="L3">
        <v>0.53</v>
      </c>
      <c r="M3">
        <v>8.9700000000000006</v>
      </c>
      <c r="N3">
        <v>2.4900000000000002</v>
      </c>
      <c r="O3">
        <v>2.25</v>
      </c>
      <c r="P3">
        <v>4.1399999999999997</v>
      </c>
      <c r="Q3">
        <v>1.65</v>
      </c>
      <c r="R3">
        <v>22.38</v>
      </c>
      <c r="S3">
        <v>24.86</v>
      </c>
      <c r="T3">
        <v>41.28</v>
      </c>
      <c r="U3">
        <v>0.44</v>
      </c>
      <c r="V3">
        <v>7.5</v>
      </c>
      <c r="W3" t="s">
        <v>253</v>
      </c>
      <c r="X3">
        <v>0</v>
      </c>
      <c r="Y3">
        <v>0</v>
      </c>
      <c r="Z3">
        <v>0</v>
      </c>
      <c r="AA3">
        <v>183.77</v>
      </c>
      <c r="AB3">
        <v>323.08</v>
      </c>
      <c r="AC3">
        <v>0.43</v>
      </c>
      <c r="AD3">
        <v>0.5</v>
      </c>
      <c r="AE3">
        <v>0.84</v>
      </c>
      <c r="AF3">
        <v>258.79000000000002</v>
      </c>
      <c r="AG3">
        <v>1</v>
      </c>
      <c r="AH3">
        <v>61.18</v>
      </c>
      <c r="AI3">
        <v>55.08</v>
      </c>
      <c r="AJ3">
        <v>29.23</v>
      </c>
      <c r="AK3">
        <v>29.51</v>
      </c>
      <c r="AL3">
        <v>29.51</v>
      </c>
      <c r="AM3">
        <v>100.33</v>
      </c>
      <c r="AN3">
        <v>155.9</v>
      </c>
      <c r="AO3">
        <v>148.6</v>
      </c>
      <c r="AP3">
        <v>4.7</v>
      </c>
      <c r="AQ3">
        <v>1429</v>
      </c>
      <c r="AR3">
        <v>3.93</v>
      </c>
      <c r="AS3">
        <v>-13</v>
      </c>
      <c r="AT3">
        <v>2</v>
      </c>
      <c r="AU3">
        <v>173</v>
      </c>
      <c r="AV3">
        <v>33.880000000000003</v>
      </c>
      <c r="AW3">
        <v>83.02</v>
      </c>
      <c r="AX3">
        <v>13.15</v>
      </c>
      <c r="AY3">
        <v>1.82</v>
      </c>
      <c r="AZ3">
        <v>14.39</v>
      </c>
      <c r="BA3">
        <v>116.07</v>
      </c>
      <c r="BB3">
        <v>37.42</v>
      </c>
      <c r="BC3" t="s">
        <v>273</v>
      </c>
      <c r="BD3" t="s">
        <v>161</v>
      </c>
      <c r="BE3">
        <v>35.85</v>
      </c>
      <c r="BF3">
        <v>127.13</v>
      </c>
      <c r="BG3">
        <v>48.7</v>
      </c>
      <c r="BH3">
        <v>9</v>
      </c>
      <c r="BI3">
        <v>1</v>
      </c>
      <c r="BJ3" t="s">
        <v>203</v>
      </c>
      <c r="BK3" t="s">
        <v>161</v>
      </c>
      <c r="BL3">
        <v>-1.38</v>
      </c>
      <c r="BM3" t="s">
        <v>159</v>
      </c>
      <c r="BN3">
        <v>0</v>
      </c>
      <c r="BO3">
        <v>0</v>
      </c>
      <c r="BP3">
        <v>-0.01</v>
      </c>
      <c r="BQ3">
        <v>0.3</v>
      </c>
      <c r="BR3">
        <v>-0.09</v>
      </c>
      <c r="BS3">
        <v>-0.12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217</v>
      </c>
      <c r="CE3" t="s">
        <v>218</v>
      </c>
      <c r="CF3" t="s">
        <v>219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2.5099999999999998</v>
      </c>
      <c r="CU3">
        <v>2.46</v>
      </c>
      <c r="CV3">
        <v>1.67</v>
      </c>
      <c r="CW3">
        <v>0.93</v>
      </c>
      <c r="CX3">
        <v>0.23</v>
      </c>
      <c r="CY3">
        <v>0</v>
      </c>
      <c r="CZ3">
        <v>0.09</v>
      </c>
      <c r="DA3">
        <v>1.35</v>
      </c>
      <c r="DB3">
        <v>183.77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253</v>
      </c>
      <c r="DO3" t="s">
        <v>240</v>
      </c>
      <c r="DP3" t="s">
        <v>241</v>
      </c>
      <c r="DQ3" t="s">
        <v>242</v>
      </c>
      <c r="DR3" t="s">
        <v>243</v>
      </c>
      <c r="DS3" t="s">
        <v>244</v>
      </c>
      <c r="DT3" t="s">
        <v>245</v>
      </c>
    </row>
    <row r="4" spans="1:124" x14ac:dyDescent="0.45">
      <c r="A4" t="s">
        <v>291</v>
      </c>
      <c r="B4" t="s">
        <v>292</v>
      </c>
      <c r="C4" t="s">
        <v>161</v>
      </c>
      <c r="D4" t="s">
        <v>162</v>
      </c>
      <c r="E4" t="s">
        <v>163</v>
      </c>
      <c r="I4" t="s">
        <v>293</v>
      </c>
      <c r="J4">
        <v>0.96</v>
      </c>
      <c r="K4">
        <v>2.91</v>
      </c>
      <c r="L4">
        <v>0.72</v>
      </c>
      <c r="M4">
        <v>11.22</v>
      </c>
      <c r="N4">
        <v>2.48</v>
      </c>
      <c r="O4">
        <v>2.16</v>
      </c>
      <c r="P4">
        <v>3.98</v>
      </c>
      <c r="Q4">
        <v>1.51</v>
      </c>
      <c r="R4">
        <v>21.58</v>
      </c>
      <c r="S4">
        <v>24.68</v>
      </c>
      <c r="T4">
        <v>39.69</v>
      </c>
      <c r="U4">
        <v>0.44</v>
      </c>
      <c r="V4">
        <v>7.5</v>
      </c>
      <c r="W4" t="s">
        <v>298</v>
      </c>
      <c r="X4">
        <v>0</v>
      </c>
      <c r="Y4">
        <v>0</v>
      </c>
      <c r="Z4">
        <v>0</v>
      </c>
      <c r="AA4">
        <v>206.66</v>
      </c>
      <c r="AB4">
        <v>354.64</v>
      </c>
      <c r="AC4">
        <v>0.42</v>
      </c>
      <c r="AD4">
        <v>0.5</v>
      </c>
      <c r="AE4">
        <v>0.84</v>
      </c>
      <c r="AF4">
        <v>226.43</v>
      </c>
      <c r="AG4">
        <v>1</v>
      </c>
      <c r="AH4">
        <v>58.46</v>
      </c>
      <c r="AI4">
        <v>51.12</v>
      </c>
      <c r="AJ4">
        <v>29.9</v>
      </c>
      <c r="AK4">
        <v>28.83</v>
      </c>
      <c r="AL4">
        <v>28.83</v>
      </c>
      <c r="AM4">
        <v>100.33</v>
      </c>
      <c r="AN4">
        <v>156</v>
      </c>
      <c r="AO4">
        <v>153.30000000000001</v>
      </c>
      <c r="AP4">
        <v>1.8</v>
      </c>
      <c r="AQ4">
        <v>1292</v>
      </c>
      <c r="AR4">
        <v>3.92</v>
      </c>
      <c r="AS4">
        <v>-10</v>
      </c>
      <c r="AT4">
        <v>1</v>
      </c>
      <c r="AU4">
        <v>154</v>
      </c>
      <c r="AV4">
        <v>30.61</v>
      </c>
      <c r="AW4">
        <v>86.07</v>
      </c>
      <c r="AX4">
        <v>10.050000000000001</v>
      </c>
      <c r="AY4">
        <v>-20.260000000000002</v>
      </c>
      <c r="AZ4">
        <v>14.39</v>
      </c>
      <c r="BA4">
        <v>116.33</v>
      </c>
      <c r="BB4">
        <v>37.229999999999997</v>
      </c>
      <c r="BC4" t="s">
        <v>319</v>
      </c>
      <c r="BD4" t="s">
        <v>161</v>
      </c>
      <c r="BE4">
        <v>35.85</v>
      </c>
      <c r="BF4">
        <v>127.13</v>
      </c>
      <c r="BG4">
        <v>48.8</v>
      </c>
      <c r="BH4">
        <v>9</v>
      </c>
      <c r="BI4">
        <v>0.93</v>
      </c>
      <c r="BJ4" t="s">
        <v>203</v>
      </c>
      <c r="BK4" t="s">
        <v>161</v>
      </c>
      <c r="BL4">
        <v>-1.38</v>
      </c>
      <c r="BM4" t="s">
        <v>159</v>
      </c>
      <c r="BN4">
        <v>0</v>
      </c>
      <c r="BO4">
        <v>0</v>
      </c>
      <c r="BP4">
        <v>-0.01</v>
      </c>
      <c r="BQ4">
        <v>-0.41</v>
      </c>
      <c r="BR4">
        <v>-0.61</v>
      </c>
      <c r="BS4">
        <v>-1.34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217</v>
      </c>
      <c r="CE4" t="s">
        <v>218</v>
      </c>
      <c r="CF4" t="s">
        <v>219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2.5099999999999998</v>
      </c>
      <c r="CU4">
        <v>2.46</v>
      </c>
      <c r="CV4">
        <v>1.67</v>
      </c>
      <c r="CW4">
        <v>0.94</v>
      </c>
      <c r="CX4">
        <v>0.22</v>
      </c>
      <c r="CY4">
        <v>-0.01</v>
      </c>
      <c r="CZ4">
        <v>0.1</v>
      </c>
      <c r="DA4">
        <v>1.23</v>
      </c>
      <c r="DB4">
        <v>206.66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298</v>
      </c>
      <c r="DO4" t="s">
        <v>240</v>
      </c>
      <c r="DP4" t="s">
        <v>241</v>
      </c>
      <c r="DQ4" t="s">
        <v>242</v>
      </c>
      <c r="DR4" t="s">
        <v>243</v>
      </c>
      <c r="DS4" t="s">
        <v>244</v>
      </c>
      <c r="DT4" t="s">
        <v>245</v>
      </c>
    </row>
    <row r="5" spans="1:124" x14ac:dyDescent="0.45">
      <c r="A5" t="s">
        <v>338</v>
      </c>
      <c r="B5" t="s">
        <v>339</v>
      </c>
      <c r="C5" t="s">
        <v>161</v>
      </c>
      <c r="D5" t="s">
        <v>162</v>
      </c>
      <c r="E5" t="s">
        <v>163</v>
      </c>
      <c r="I5" t="s">
        <v>340</v>
      </c>
      <c r="J5">
        <v>0.17</v>
      </c>
      <c r="K5">
        <v>2.91</v>
      </c>
      <c r="L5">
        <v>0.16</v>
      </c>
      <c r="M5">
        <v>4.05</v>
      </c>
      <c r="N5">
        <v>2.34</v>
      </c>
      <c r="O5">
        <v>2.23</v>
      </c>
      <c r="P5">
        <v>4.7699999999999996</v>
      </c>
      <c r="Q5">
        <v>2.4300000000000002</v>
      </c>
      <c r="R5">
        <v>22.19</v>
      </c>
      <c r="S5">
        <v>23.31</v>
      </c>
      <c r="T5">
        <v>47.51</v>
      </c>
      <c r="U5">
        <v>0.44</v>
      </c>
      <c r="V5">
        <v>7.5</v>
      </c>
      <c r="W5" t="s">
        <v>345</v>
      </c>
      <c r="X5">
        <v>0</v>
      </c>
      <c r="Y5">
        <v>0</v>
      </c>
      <c r="Z5">
        <v>0</v>
      </c>
      <c r="AA5">
        <v>166.98</v>
      </c>
      <c r="AB5">
        <v>253.96</v>
      </c>
      <c r="AC5">
        <v>0.34</v>
      </c>
      <c r="AD5">
        <v>0.5</v>
      </c>
      <c r="AE5">
        <v>0.84</v>
      </c>
      <c r="AF5">
        <v>205.42</v>
      </c>
      <c r="AG5">
        <v>1</v>
      </c>
      <c r="AH5">
        <v>54.4</v>
      </c>
      <c r="AI5">
        <v>51.79</v>
      </c>
      <c r="AJ5">
        <v>30.16</v>
      </c>
      <c r="AK5">
        <v>31.97</v>
      </c>
      <c r="AL5">
        <v>31.97</v>
      </c>
      <c r="AM5">
        <v>100.34</v>
      </c>
      <c r="AN5">
        <v>156.1</v>
      </c>
      <c r="AO5">
        <v>155.4</v>
      </c>
      <c r="AP5">
        <v>0.4</v>
      </c>
      <c r="AQ5">
        <v>1428</v>
      </c>
      <c r="AR5">
        <v>3.92</v>
      </c>
      <c r="AS5">
        <v>-5</v>
      </c>
      <c r="AT5">
        <v>17</v>
      </c>
      <c r="AU5">
        <v>10</v>
      </c>
      <c r="AV5">
        <v>23.82</v>
      </c>
      <c r="AW5">
        <v>91.48</v>
      </c>
      <c r="AX5">
        <v>17.7</v>
      </c>
      <c r="AY5">
        <v>-95.91</v>
      </c>
      <c r="AZ5">
        <v>14.39</v>
      </c>
      <c r="BA5">
        <v>116.6</v>
      </c>
      <c r="BB5">
        <v>37.049999999999997</v>
      </c>
      <c r="BC5" t="s">
        <v>368</v>
      </c>
      <c r="BD5" t="s">
        <v>161</v>
      </c>
      <c r="BE5">
        <v>35.85</v>
      </c>
      <c r="BF5">
        <v>127.13</v>
      </c>
      <c r="BG5">
        <v>49</v>
      </c>
      <c r="BH5">
        <v>11</v>
      </c>
      <c r="BI5">
        <v>0.8</v>
      </c>
      <c r="BJ5" t="s">
        <v>203</v>
      </c>
      <c r="BK5" t="s">
        <v>161</v>
      </c>
      <c r="BL5">
        <v>-1.38</v>
      </c>
      <c r="BM5" t="s">
        <v>159</v>
      </c>
      <c r="BN5">
        <v>0</v>
      </c>
      <c r="BO5">
        <v>0</v>
      </c>
      <c r="BP5">
        <v>0</v>
      </c>
      <c r="BQ5">
        <v>1.54</v>
      </c>
      <c r="BR5">
        <v>0.26</v>
      </c>
      <c r="BS5">
        <v>1.22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217</v>
      </c>
      <c r="CE5" t="s">
        <v>218</v>
      </c>
      <c r="CF5" t="s">
        <v>219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2.5099999999999998</v>
      </c>
      <c r="CU5">
        <v>2.4500000000000002</v>
      </c>
      <c r="CV5">
        <v>1.67</v>
      </c>
      <c r="CW5">
        <v>0.94</v>
      </c>
      <c r="CX5">
        <v>0.22</v>
      </c>
      <c r="CY5">
        <v>0.02</v>
      </c>
      <c r="CZ5">
        <v>0.11</v>
      </c>
      <c r="DA5">
        <v>1.35</v>
      </c>
      <c r="DB5">
        <v>166.98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345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</row>
    <row r="6" spans="1:124" x14ac:dyDescent="0.45">
      <c r="A6" t="s">
        <v>386</v>
      </c>
      <c r="B6" t="s">
        <v>387</v>
      </c>
      <c r="C6" t="s">
        <v>161</v>
      </c>
      <c r="D6" t="s">
        <v>162</v>
      </c>
      <c r="E6" t="s">
        <v>163</v>
      </c>
      <c r="I6" t="s">
        <v>388</v>
      </c>
      <c r="J6">
        <v>0.24</v>
      </c>
      <c r="K6">
        <v>2.91</v>
      </c>
      <c r="L6">
        <v>0.23</v>
      </c>
      <c r="M6">
        <v>5.23</v>
      </c>
      <c r="N6">
        <v>2.3199999999999998</v>
      </c>
      <c r="O6">
        <v>2.1800000000000002</v>
      </c>
      <c r="P6">
        <v>4.57</v>
      </c>
      <c r="Q6">
        <v>2.25</v>
      </c>
      <c r="R6">
        <v>21.71</v>
      </c>
      <c r="S6">
        <v>23.15</v>
      </c>
      <c r="T6">
        <v>45.58</v>
      </c>
      <c r="U6">
        <v>0.44</v>
      </c>
      <c r="V6">
        <v>7.5</v>
      </c>
      <c r="W6" t="s">
        <v>393</v>
      </c>
      <c r="X6">
        <v>0</v>
      </c>
      <c r="Y6">
        <v>0</v>
      </c>
      <c r="Z6">
        <v>0</v>
      </c>
      <c r="AA6">
        <v>150.72</v>
      </c>
      <c r="AB6">
        <v>242.27</v>
      </c>
      <c r="AC6">
        <v>0.38</v>
      </c>
      <c r="AD6">
        <v>0.5</v>
      </c>
      <c r="AE6">
        <v>0.84</v>
      </c>
      <c r="AF6">
        <v>212.37</v>
      </c>
      <c r="AG6">
        <v>1</v>
      </c>
      <c r="AH6">
        <v>53.42</v>
      </c>
      <c r="AI6">
        <v>50.08</v>
      </c>
      <c r="AJ6">
        <v>30.36</v>
      </c>
      <c r="AK6">
        <v>31.24</v>
      </c>
      <c r="AL6">
        <v>31.24</v>
      </c>
      <c r="AM6">
        <v>100.35</v>
      </c>
      <c r="AN6">
        <v>156.1</v>
      </c>
      <c r="AO6">
        <v>155</v>
      </c>
      <c r="AP6">
        <v>0.7</v>
      </c>
      <c r="AQ6">
        <v>1338</v>
      </c>
      <c r="AR6">
        <v>3.92</v>
      </c>
      <c r="AS6">
        <v>11</v>
      </c>
      <c r="AT6">
        <v>20</v>
      </c>
      <c r="AU6">
        <v>2</v>
      </c>
      <c r="AV6">
        <v>14.41</v>
      </c>
      <c r="AW6">
        <v>96.85</v>
      </c>
      <c r="AX6">
        <v>22.72</v>
      </c>
      <c r="AY6">
        <v>-60.33</v>
      </c>
      <c r="AZ6">
        <v>14.39</v>
      </c>
      <c r="BA6">
        <v>116.6</v>
      </c>
      <c r="BB6">
        <v>37.049999999999997</v>
      </c>
      <c r="BC6" t="s">
        <v>411</v>
      </c>
      <c r="BD6" t="s">
        <v>161</v>
      </c>
      <c r="BE6">
        <v>35.85</v>
      </c>
      <c r="BF6">
        <v>127.13</v>
      </c>
      <c r="BG6">
        <v>49.1</v>
      </c>
      <c r="BH6">
        <v>11</v>
      </c>
      <c r="BI6">
        <v>0.82</v>
      </c>
      <c r="BJ6" t="s">
        <v>203</v>
      </c>
      <c r="BK6" t="s">
        <v>161</v>
      </c>
      <c r="BL6">
        <v>-1.38</v>
      </c>
      <c r="BM6" t="s">
        <v>159</v>
      </c>
      <c r="BN6">
        <v>0</v>
      </c>
      <c r="BO6">
        <v>0</v>
      </c>
      <c r="BP6">
        <v>0</v>
      </c>
      <c r="BQ6">
        <v>0.27</v>
      </c>
      <c r="BR6">
        <v>0.23</v>
      </c>
      <c r="BS6">
        <v>0.22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217</v>
      </c>
      <c r="CE6" t="s">
        <v>218</v>
      </c>
      <c r="CF6" t="s">
        <v>219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</v>
      </c>
      <c r="CU6">
        <v>2.4500000000000002</v>
      </c>
      <c r="CV6">
        <v>1.67</v>
      </c>
      <c r="CW6">
        <v>0.94</v>
      </c>
      <c r="CX6">
        <v>0.22</v>
      </c>
      <c r="CY6">
        <v>0.01</v>
      </c>
      <c r="CZ6">
        <v>0.11</v>
      </c>
      <c r="DA6">
        <v>1.27</v>
      </c>
      <c r="DB6">
        <v>150.72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393</v>
      </c>
      <c r="DO6" t="s">
        <v>240</v>
      </c>
      <c r="DP6" t="s">
        <v>241</v>
      </c>
      <c r="DQ6" t="s">
        <v>242</v>
      </c>
      <c r="DR6" t="s">
        <v>243</v>
      </c>
      <c r="DS6" t="s">
        <v>244</v>
      </c>
      <c r="DT6" t="s">
        <v>245</v>
      </c>
    </row>
    <row r="7" spans="1:124" x14ac:dyDescent="0.45">
      <c r="A7" t="s">
        <v>427</v>
      </c>
      <c r="B7" t="s">
        <v>428</v>
      </c>
      <c r="C7" t="s">
        <v>161</v>
      </c>
      <c r="D7" t="s">
        <v>162</v>
      </c>
      <c r="E7" t="s">
        <v>163</v>
      </c>
      <c r="I7" t="s">
        <v>429</v>
      </c>
      <c r="J7">
        <v>0.28999999999999998</v>
      </c>
      <c r="K7">
        <v>2.91</v>
      </c>
      <c r="L7">
        <v>0.27</v>
      </c>
      <c r="M7">
        <v>5.91</v>
      </c>
      <c r="N7">
        <v>2.38</v>
      </c>
      <c r="O7">
        <v>2.2200000000000002</v>
      </c>
      <c r="P7">
        <v>4.5199999999999996</v>
      </c>
      <c r="Q7">
        <v>2.14</v>
      </c>
      <c r="R7">
        <v>22.1</v>
      </c>
      <c r="S7">
        <v>23.73</v>
      </c>
      <c r="T7">
        <v>45.04</v>
      </c>
      <c r="U7">
        <v>0.44</v>
      </c>
      <c r="V7">
        <v>7.5</v>
      </c>
      <c r="W7" t="s">
        <v>434</v>
      </c>
      <c r="X7">
        <v>0</v>
      </c>
      <c r="Y7">
        <v>0</v>
      </c>
      <c r="Z7">
        <v>0</v>
      </c>
      <c r="AA7">
        <v>163.02000000000001</v>
      </c>
      <c r="AB7">
        <v>241.44</v>
      </c>
      <c r="AC7">
        <v>0.32</v>
      </c>
      <c r="AD7">
        <v>0.5</v>
      </c>
      <c r="AE7">
        <v>0.84</v>
      </c>
      <c r="AF7">
        <v>138.07</v>
      </c>
      <c r="AG7">
        <v>1</v>
      </c>
      <c r="AH7">
        <v>53.95</v>
      </c>
      <c r="AI7">
        <v>50.24</v>
      </c>
      <c r="AJ7">
        <v>30.62</v>
      </c>
      <c r="AK7">
        <v>31.03</v>
      </c>
      <c r="AL7">
        <v>31.03</v>
      </c>
      <c r="AM7">
        <v>100.33</v>
      </c>
      <c r="AN7">
        <v>156</v>
      </c>
      <c r="AO7">
        <v>155.6</v>
      </c>
      <c r="AP7">
        <v>0.3</v>
      </c>
      <c r="AQ7">
        <v>1012</v>
      </c>
      <c r="AR7">
        <v>3.92</v>
      </c>
      <c r="AS7">
        <v>0</v>
      </c>
      <c r="AT7">
        <v>27</v>
      </c>
      <c r="AU7">
        <v>359</v>
      </c>
      <c r="AV7">
        <v>17.52</v>
      </c>
      <c r="AW7">
        <v>95.36</v>
      </c>
      <c r="AX7">
        <v>27</v>
      </c>
      <c r="AY7">
        <v>-91</v>
      </c>
      <c r="AZ7">
        <v>14.39</v>
      </c>
      <c r="BA7">
        <v>116.86</v>
      </c>
      <c r="BB7">
        <v>36.869999999999997</v>
      </c>
      <c r="BC7" t="s">
        <v>453</v>
      </c>
      <c r="BD7" t="s">
        <v>161</v>
      </c>
      <c r="BE7">
        <v>35.85</v>
      </c>
      <c r="BF7">
        <v>127.13</v>
      </c>
      <c r="BG7">
        <v>48.9</v>
      </c>
      <c r="BH7">
        <v>12</v>
      </c>
      <c r="BI7">
        <v>0.77</v>
      </c>
      <c r="BJ7" t="s">
        <v>203</v>
      </c>
      <c r="BK7" t="s">
        <v>161</v>
      </c>
      <c r="BL7">
        <v>-1.38</v>
      </c>
      <c r="BM7" t="s">
        <v>159</v>
      </c>
      <c r="BN7">
        <v>0</v>
      </c>
      <c r="BO7">
        <v>0</v>
      </c>
      <c r="BP7">
        <v>0</v>
      </c>
      <c r="BQ7">
        <v>-0.09</v>
      </c>
      <c r="BR7">
        <v>0.54</v>
      </c>
      <c r="BS7">
        <v>2.77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217</v>
      </c>
      <c r="CE7" t="s">
        <v>218</v>
      </c>
      <c r="CF7" t="s">
        <v>219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</v>
      </c>
      <c r="CU7">
        <v>2.4500000000000002</v>
      </c>
      <c r="CV7">
        <v>1.67</v>
      </c>
      <c r="CW7">
        <v>0.94</v>
      </c>
      <c r="CX7">
        <v>0.22</v>
      </c>
      <c r="CY7">
        <v>0.01</v>
      </c>
      <c r="CZ7">
        <v>0.12</v>
      </c>
      <c r="DA7">
        <v>0.99</v>
      </c>
      <c r="DB7">
        <v>163.02000000000001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434</v>
      </c>
      <c r="DO7" t="s">
        <v>240</v>
      </c>
      <c r="DP7" t="s">
        <v>241</v>
      </c>
      <c r="DQ7" t="s">
        <v>242</v>
      </c>
      <c r="DR7" t="s">
        <v>243</v>
      </c>
      <c r="DS7" t="s">
        <v>244</v>
      </c>
      <c r="DT7" t="s">
        <v>245</v>
      </c>
    </row>
    <row r="8" spans="1:124" x14ac:dyDescent="0.45">
      <c r="A8" t="s">
        <v>472</v>
      </c>
      <c r="B8" t="s">
        <v>473</v>
      </c>
      <c r="C8" t="s">
        <v>161</v>
      </c>
      <c r="D8" t="s">
        <v>162</v>
      </c>
      <c r="E8" t="s">
        <v>163</v>
      </c>
      <c r="I8" t="s">
        <v>474</v>
      </c>
      <c r="J8">
        <v>0.59</v>
      </c>
      <c r="K8">
        <v>2.91</v>
      </c>
      <c r="L8">
        <v>0.49</v>
      </c>
      <c r="M8">
        <v>8.99</v>
      </c>
      <c r="N8">
        <v>2.58</v>
      </c>
      <c r="O8">
        <v>2.33</v>
      </c>
      <c r="P8">
        <v>4.3600000000000003</v>
      </c>
      <c r="Q8">
        <v>1.78</v>
      </c>
      <c r="R8">
        <v>23.24</v>
      </c>
      <c r="S8">
        <v>25.72</v>
      </c>
      <c r="T8">
        <v>43.5</v>
      </c>
      <c r="U8">
        <v>0.44</v>
      </c>
      <c r="V8">
        <v>7.5</v>
      </c>
      <c r="W8" t="s">
        <v>479</v>
      </c>
      <c r="X8">
        <v>0</v>
      </c>
      <c r="Y8">
        <v>0</v>
      </c>
      <c r="Z8">
        <v>0</v>
      </c>
      <c r="AA8">
        <v>165.62</v>
      </c>
      <c r="AB8">
        <v>344.84</v>
      </c>
      <c r="AC8">
        <v>0.52</v>
      </c>
      <c r="AD8">
        <v>0.5</v>
      </c>
      <c r="AE8">
        <v>0.84</v>
      </c>
      <c r="AF8">
        <v>286.17</v>
      </c>
      <c r="AG8">
        <v>1</v>
      </c>
      <c r="AH8">
        <v>57.22</v>
      </c>
      <c r="AI8">
        <v>51.7</v>
      </c>
      <c r="AJ8">
        <v>30.99</v>
      </c>
      <c r="AK8">
        <v>30.42</v>
      </c>
      <c r="AL8">
        <v>30.42</v>
      </c>
      <c r="AM8">
        <v>100.34</v>
      </c>
      <c r="AN8">
        <v>156</v>
      </c>
      <c r="AO8">
        <v>150.80000000000001</v>
      </c>
      <c r="AP8">
        <v>3.3</v>
      </c>
      <c r="AQ8">
        <v>1311</v>
      </c>
      <c r="AR8">
        <v>3.92</v>
      </c>
      <c r="AS8">
        <v>-4</v>
      </c>
      <c r="AT8">
        <v>-12</v>
      </c>
      <c r="AU8">
        <v>150</v>
      </c>
      <c r="AV8">
        <v>27.86</v>
      </c>
      <c r="AW8">
        <v>88.41</v>
      </c>
      <c r="AX8">
        <v>12.64</v>
      </c>
      <c r="AY8">
        <v>-101.83</v>
      </c>
      <c r="AZ8">
        <v>14.39</v>
      </c>
      <c r="BA8">
        <v>117.13</v>
      </c>
      <c r="BB8">
        <v>36.69</v>
      </c>
      <c r="BC8" t="s">
        <v>499</v>
      </c>
      <c r="BD8" t="s">
        <v>161</v>
      </c>
      <c r="BE8">
        <v>35.85</v>
      </c>
      <c r="BF8">
        <v>127.13</v>
      </c>
      <c r="BG8">
        <v>47.9</v>
      </c>
      <c r="BH8">
        <v>11</v>
      </c>
      <c r="BI8">
        <v>0.79</v>
      </c>
      <c r="BJ8" t="s">
        <v>203</v>
      </c>
      <c r="BK8" t="s">
        <v>161</v>
      </c>
      <c r="BL8">
        <v>-1.38</v>
      </c>
      <c r="BM8" t="s">
        <v>159</v>
      </c>
      <c r="BN8">
        <v>0</v>
      </c>
      <c r="BO8">
        <v>0</v>
      </c>
      <c r="BP8">
        <v>-0.01</v>
      </c>
      <c r="BQ8">
        <v>-0.15</v>
      </c>
      <c r="BR8">
        <v>0.09</v>
      </c>
      <c r="BS8">
        <v>0.13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217</v>
      </c>
      <c r="CE8" t="s">
        <v>218</v>
      </c>
      <c r="CF8" t="s">
        <v>219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2.5099999999999998</v>
      </c>
      <c r="CU8">
        <v>2.4500000000000002</v>
      </c>
      <c r="CV8">
        <v>1.67</v>
      </c>
      <c r="CW8">
        <v>0.93</v>
      </c>
      <c r="CX8">
        <v>0.22</v>
      </c>
      <c r="CY8">
        <v>-0.01</v>
      </c>
      <c r="CZ8">
        <v>0.13</v>
      </c>
      <c r="DA8">
        <v>1.25</v>
      </c>
      <c r="DB8">
        <v>165.62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479</v>
      </c>
      <c r="DO8" t="s">
        <v>240</v>
      </c>
      <c r="DP8" t="s">
        <v>241</v>
      </c>
      <c r="DQ8" t="s">
        <v>242</v>
      </c>
      <c r="DR8" t="s">
        <v>243</v>
      </c>
      <c r="DS8" t="s">
        <v>244</v>
      </c>
      <c r="DT8" t="s">
        <v>245</v>
      </c>
    </row>
    <row r="9" spans="1:124" x14ac:dyDescent="0.45">
      <c r="A9" t="s">
        <v>514</v>
      </c>
      <c r="B9" t="s">
        <v>515</v>
      </c>
      <c r="C9" t="s">
        <v>161</v>
      </c>
      <c r="D9" t="s">
        <v>162</v>
      </c>
      <c r="E9" t="s">
        <v>163</v>
      </c>
      <c r="I9" t="s">
        <v>516</v>
      </c>
      <c r="J9">
        <v>0.56000000000000005</v>
      </c>
      <c r="K9">
        <v>2.91</v>
      </c>
      <c r="L9">
        <v>0.47</v>
      </c>
      <c r="M9">
        <v>9.81</v>
      </c>
      <c r="N9">
        <v>2.63</v>
      </c>
      <c r="O9">
        <v>2.36</v>
      </c>
      <c r="P9">
        <v>4.6399999999999997</v>
      </c>
      <c r="Q9">
        <v>2.0099999999999998</v>
      </c>
      <c r="R9">
        <v>23.52</v>
      </c>
      <c r="S9">
        <v>26.22</v>
      </c>
      <c r="T9">
        <v>46.23</v>
      </c>
      <c r="U9">
        <v>0.44</v>
      </c>
      <c r="V9">
        <v>7.5</v>
      </c>
      <c r="W9" t="s">
        <v>521</v>
      </c>
      <c r="X9">
        <v>0</v>
      </c>
      <c r="Y9">
        <v>0</v>
      </c>
      <c r="Z9">
        <v>0</v>
      </c>
      <c r="AA9">
        <v>137.44999999999999</v>
      </c>
      <c r="AB9">
        <v>202.34</v>
      </c>
      <c r="AC9">
        <v>0.32</v>
      </c>
      <c r="AD9">
        <v>0.5</v>
      </c>
      <c r="AE9">
        <v>0.84</v>
      </c>
      <c r="AF9">
        <v>212.42</v>
      </c>
      <c r="AG9">
        <v>1</v>
      </c>
      <c r="AH9">
        <v>57.58</v>
      </c>
      <c r="AI9">
        <v>51.64</v>
      </c>
      <c r="AJ9">
        <v>31.23</v>
      </c>
      <c r="AK9">
        <v>31.49</v>
      </c>
      <c r="AL9">
        <v>31.49</v>
      </c>
      <c r="AM9">
        <v>100.35</v>
      </c>
      <c r="AN9">
        <v>156.19999999999999</v>
      </c>
      <c r="AO9">
        <v>150.1</v>
      </c>
      <c r="AP9">
        <v>3.9</v>
      </c>
      <c r="AQ9">
        <v>1577</v>
      </c>
      <c r="AR9">
        <v>3.92</v>
      </c>
      <c r="AS9">
        <v>-21</v>
      </c>
      <c r="AT9">
        <v>2</v>
      </c>
      <c r="AU9">
        <v>115</v>
      </c>
      <c r="AV9">
        <v>15.68</v>
      </c>
      <c r="AW9">
        <v>96.28</v>
      </c>
      <c r="AX9">
        <v>21.09</v>
      </c>
      <c r="AY9">
        <v>-59.43</v>
      </c>
      <c r="AZ9">
        <v>14.39</v>
      </c>
      <c r="BA9">
        <v>117.13</v>
      </c>
      <c r="BB9">
        <v>36.69</v>
      </c>
      <c r="BC9" t="s">
        <v>539</v>
      </c>
      <c r="BD9" t="s">
        <v>161</v>
      </c>
      <c r="BE9">
        <v>35.85</v>
      </c>
      <c r="BF9">
        <v>127.13</v>
      </c>
      <c r="BG9">
        <v>47.6</v>
      </c>
      <c r="BH9">
        <v>11</v>
      </c>
      <c r="BI9">
        <v>0.83</v>
      </c>
      <c r="BJ9" t="s">
        <v>203</v>
      </c>
      <c r="BK9" t="s">
        <v>161</v>
      </c>
      <c r="BL9">
        <v>-1.38</v>
      </c>
      <c r="BM9" t="s">
        <v>159</v>
      </c>
      <c r="BN9">
        <v>0</v>
      </c>
      <c r="BO9">
        <v>0</v>
      </c>
      <c r="BP9">
        <v>0.01</v>
      </c>
      <c r="BQ9">
        <v>-0.36</v>
      </c>
      <c r="BR9">
        <v>-0.65</v>
      </c>
      <c r="BS9">
        <v>-2.2000000000000002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217</v>
      </c>
      <c r="CE9" t="s">
        <v>218</v>
      </c>
      <c r="CF9" t="s">
        <v>219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2.5099999999999998</v>
      </c>
      <c r="CU9">
        <v>2.4500000000000002</v>
      </c>
      <c r="CV9">
        <v>1.67</v>
      </c>
      <c r="CW9">
        <v>0.93</v>
      </c>
      <c r="CX9">
        <v>0.21</v>
      </c>
      <c r="CY9">
        <v>0</v>
      </c>
      <c r="CZ9">
        <v>0.13</v>
      </c>
      <c r="DA9">
        <v>1.48</v>
      </c>
      <c r="DB9">
        <v>137.44999999999999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521</v>
      </c>
      <c r="DO9" t="s">
        <v>240</v>
      </c>
      <c r="DP9" t="s">
        <v>241</v>
      </c>
      <c r="DQ9" t="s">
        <v>242</v>
      </c>
      <c r="DR9" t="s">
        <v>243</v>
      </c>
      <c r="DS9" t="s">
        <v>244</v>
      </c>
      <c r="DT9" t="s">
        <v>245</v>
      </c>
    </row>
    <row r="10" spans="1:124" x14ac:dyDescent="0.45">
      <c r="A10" t="s">
        <v>202</v>
      </c>
      <c r="B10" t="s">
        <v>556</v>
      </c>
      <c r="C10" t="s">
        <v>161</v>
      </c>
      <c r="D10" t="s">
        <v>162</v>
      </c>
      <c r="E10" t="s">
        <v>163</v>
      </c>
      <c r="I10" t="s">
        <v>557</v>
      </c>
      <c r="J10">
        <v>0.72</v>
      </c>
      <c r="K10">
        <v>2.91</v>
      </c>
      <c r="L10">
        <v>0.57999999999999996</v>
      </c>
      <c r="M10">
        <v>9.89</v>
      </c>
      <c r="N10">
        <v>2.64</v>
      </c>
      <c r="O10">
        <v>2.37</v>
      </c>
      <c r="P10">
        <v>4.3</v>
      </c>
      <c r="Q10">
        <v>1.66</v>
      </c>
      <c r="R10">
        <v>23.59</v>
      </c>
      <c r="S10">
        <v>26.32</v>
      </c>
      <c r="T10">
        <v>42.85</v>
      </c>
      <c r="U10">
        <v>0.44</v>
      </c>
      <c r="V10">
        <v>7.5</v>
      </c>
      <c r="W10" t="s">
        <v>562</v>
      </c>
      <c r="X10">
        <v>0</v>
      </c>
      <c r="Y10">
        <v>0</v>
      </c>
      <c r="Z10">
        <v>0</v>
      </c>
      <c r="AA10">
        <v>211.1</v>
      </c>
      <c r="AB10">
        <v>410.28</v>
      </c>
      <c r="AC10">
        <v>0.49</v>
      </c>
      <c r="AD10">
        <v>0.5</v>
      </c>
      <c r="AE10">
        <v>0.84</v>
      </c>
      <c r="AF10">
        <v>237.74</v>
      </c>
      <c r="AG10">
        <v>1</v>
      </c>
      <c r="AH10">
        <v>57.25</v>
      </c>
      <c r="AI10">
        <v>51.32</v>
      </c>
      <c r="AJ10">
        <v>31.39</v>
      </c>
      <c r="AK10">
        <v>30.16</v>
      </c>
      <c r="AL10">
        <v>30.16</v>
      </c>
      <c r="AM10">
        <v>100.34</v>
      </c>
      <c r="AN10">
        <v>156</v>
      </c>
      <c r="AO10">
        <v>135.80000000000001</v>
      </c>
      <c r="AP10">
        <v>12.9</v>
      </c>
      <c r="AQ10">
        <v>1166</v>
      </c>
      <c r="AR10">
        <v>3.91</v>
      </c>
      <c r="AS10">
        <v>-4</v>
      </c>
      <c r="AT10">
        <v>-57</v>
      </c>
      <c r="AU10">
        <v>142</v>
      </c>
      <c r="AV10">
        <v>48.32</v>
      </c>
      <c r="AW10">
        <v>66.489999999999995</v>
      </c>
      <c r="AX10">
        <v>57.09</v>
      </c>
      <c r="AY10">
        <v>-125.41</v>
      </c>
      <c r="AZ10">
        <v>14.39</v>
      </c>
      <c r="BA10">
        <v>117.4</v>
      </c>
      <c r="BB10">
        <v>36.51</v>
      </c>
      <c r="BC10" t="s">
        <v>581</v>
      </c>
      <c r="BD10" t="s">
        <v>161</v>
      </c>
      <c r="BE10">
        <v>35.85</v>
      </c>
      <c r="BF10">
        <v>127.13</v>
      </c>
      <c r="BG10">
        <v>47.4</v>
      </c>
      <c r="BH10">
        <v>12</v>
      </c>
      <c r="BI10">
        <v>0.77</v>
      </c>
      <c r="BJ10" t="s">
        <v>203</v>
      </c>
      <c r="BK10" t="s">
        <v>161</v>
      </c>
      <c r="BL10">
        <v>-1.38</v>
      </c>
      <c r="BM10" t="s">
        <v>159</v>
      </c>
      <c r="BN10">
        <v>0</v>
      </c>
      <c r="BO10">
        <v>0</v>
      </c>
      <c r="BP10">
        <v>0</v>
      </c>
      <c r="BQ10">
        <v>0.45</v>
      </c>
      <c r="BR10">
        <v>-0.4</v>
      </c>
      <c r="BS10">
        <v>-1.22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217</v>
      </c>
      <c r="CE10" t="s">
        <v>218</v>
      </c>
      <c r="CF10" t="s">
        <v>219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2.5099999999999998</v>
      </c>
      <c r="CU10">
        <v>2.4500000000000002</v>
      </c>
      <c r="CV10">
        <v>1.67</v>
      </c>
      <c r="CW10">
        <v>0.89</v>
      </c>
      <c r="CX10">
        <v>0.21</v>
      </c>
      <c r="CY10">
        <v>-0.01</v>
      </c>
      <c r="CZ10">
        <v>0.13</v>
      </c>
      <c r="DA10">
        <v>1.1200000000000001</v>
      </c>
      <c r="DB10">
        <v>211.1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562</v>
      </c>
      <c r="DO10" t="s">
        <v>240</v>
      </c>
      <c r="DP10" t="s">
        <v>241</v>
      </c>
      <c r="DQ10" t="s">
        <v>242</v>
      </c>
      <c r="DR10" t="s">
        <v>243</v>
      </c>
      <c r="DS10" t="s">
        <v>244</v>
      </c>
      <c r="DT10" t="s">
        <v>245</v>
      </c>
    </row>
    <row r="11" spans="1:124" x14ac:dyDescent="0.45">
      <c r="A11" t="s">
        <v>361</v>
      </c>
      <c r="B11" t="s">
        <v>595</v>
      </c>
      <c r="C11" t="s">
        <v>161</v>
      </c>
      <c r="D11" t="s">
        <v>162</v>
      </c>
      <c r="E11" t="s">
        <v>163</v>
      </c>
      <c r="I11" t="s">
        <v>596</v>
      </c>
      <c r="J11">
        <v>0.53</v>
      </c>
      <c r="K11">
        <v>2.91</v>
      </c>
      <c r="L11">
        <v>0.45</v>
      </c>
      <c r="M11">
        <v>9.5</v>
      </c>
      <c r="N11">
        <v>2.5499999999999998</v>
      </c>
      <c r="O11">
        <v>2.29</v>
      </c>
      <c r="P11">
        <v>4.5999999999999996</v>
      </c>
      <c r="Q11">
        <v>2.0499999999999998</v>
      </c>
      <c r="R11">
        <v>22.84</v>
      </c>
      <c r="S11">
        <v>25.46</v>
      </c>
      <c r="T11">
        <v>45.87</v>
      </c>
      <c r="U11">
        <v>0.44</v>
      </c>
      <c r="V11">
        <v>7.5</v>
      </c>
      <c r="W11" t="s">
        <v>601</v>
      </c>
      <c r="X11">
        <v>0</v>
      </c>
      <c r="Y11">
        <v>0</v>
      </c>
      <c r="Z11">
        <v>0</v>
      </c>
      <c r="AA11">
        <v>151.35</v>
      </c>
      <c r="AB11">
        <v>232.23</v>
      </c>
      <c r="AC11">
        <v>0.35</v>
      </c>
      <c r="AD11">
        <v>0.5</v>
      </c>
      <c r="AE11">
        <v>0.84</v>
      </c>
      <c r="AF11">
        <v>243.25</v>
      </c>
      <c r="AG11">
        <v>1</v>
      </c>
      <c r="AH11">
        <v>54.56</v>
      </c>
      <c r="AI11">
        <v>48.95</v>
      </c>
      <c r="AJ11">
        <v>31.66</v>
      </c>
      <c r="AK11">
        <v>31.35</v>
      </c>
      <c r="AL11">
        <v>31.35</v>
      </c>
      <c r="AM11">
        <v>100.34</v>
      </c>
      <c r="AN11">
        <v>156.19999999999999</v>
      </c>
      <c r="AO11">
        <v>154.30000000000001</v>
      </c>
      <c r="AP11">
        <v>1.2</v>
      </c>
      <c r="AQ11">
        <v>1663</v>
      </c>
      <c r="AR11">
        <v>3.92</v>
      </c>
      <c r="AS11">
        <v>0</v>
      </c>
      <c r="AT11">
        <v>21</v>
      </c>
      <c r="AU11">
        <v>355</v>
      </c>
      <c r="AV11">
        <v>21.51</v>
      </c>
      <c r="AW11">
        <v>93.04</v>
      </c>
      <c r="AX11">
        <v>21</v>
      </c>
      <c r="AY11">
        <v>-95</v>
      </c>
      <c r="AZ11">
        <v>14.39</v>
      </c>
      <c r="BA11">
        <v>117.4</v>
      </c>
      <c r="BB11">
        <v>36.51</v>
      </c>
      <c r="BC11" t="s">
        <v>619</v>
      </c>
      <c r="BD11" t="s">
        <v>161</v>
      </c>
      <c r="BE11">
        <v>35.85</v>
      </c>
      <c r="BF11">
        <v>127.13</v>
      </c>
      <c r="BG11">
        <v>46.8</v>
      </c>
      <c r="BH11">
        <v>12</v>
      </c>
      <c r="BI11">
        <v>0.77</v>
      </c>
      <c r="BJ11" t="s">
        <v>203</v>
      </c>
      <c r="BK11" t="s">
        <v>161</v>
      </c>
      <c r="BL11">
        <v>-1.38</v>
      </c>
      <c r="BM11" t="s">
        <v>159</v>
      </c>
      <c r="BN11">
        <v>0</v>
      </c>
      <c r="BO11">
        <v>0</v>
      </c>
      <c r="BP11">
        <v>0</v>
      </c>
      <c r="BQ11">
        <v>0.51</v>
      </c>
      <c r="BR11">
        <v>0.12</v>
      </c>
      <c r="BS11">
        <v>-1.45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217</v>
      </c>
      <c r="CE11" t="s">
        <v>218</v>
      </c>
      <c r="CF11" t="s">
        <v>219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</v>
      </c>
      <c r="CU11">
        <v>2.4500000000000002</v>
      </c>
      <c r="CV11">
        <v>1.67</v>
      </c>
      <c r="CW11">
        <v>0.94</v>
      </c>
      <c r="CX11">
        <v>0.21</v>
      </c>
      <c r="CY11">
        <v>0</v>
      </c>
      <c r="CZ11">
        <v>0.14000000000000001</v>
      </c>
      <c r="DA11">
        <v>1.56</v>
      </c>
      <c r="DB11">
        <v>151.35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601</v>
      </c>
      <c r="DO11" t="s">
        <v>240</v>
      </c>
      <c r="DP11" t="s">
        <v>241</v>
      </c>
      <c r="DQ11" t="s">
        <v>242</v>
      </c>
      <c r="DR11" t="s">
        <v>243</v>
      </c>
      <c r="DS11" t="s">
        <v>244</v>
      </c>
      <c r="DT11" t="s">
        <v>245</v>
      </c>
    </row>
    <row r="12" spans="1:124" x14ac:dyDescent="0.45">
      <c r="A12" t="s">
        <v>372</v>
      </c>
      <c r="B12" t="s">
        <v>634</v>
      </c>
      <c r="C12" t="s">
        <v>161</v>
      </c>
      <c r="D12" t="s">
        <v>162</v>
      </c>
      <c r="E12" t="s">
        <v>163</v>
      </c>
      <c r="I12" t="s">
        <v>635</v>
      </c>
      <c r="J12">
        <v>0.42</v>
      </c>
      <c r="K12">
        <v>2.91</v>
      </c>
      <c r="L12">
        <v>0.37</v>
      </c>
      <c r="M12">
        <v>8.6</v>
      </c>
      <c r="N12">
        <v>2.57</v>
      </c>
      <c r="O12">
        <v>2.33</v>
      </c>
      <c r="P12">
        <v>4.8099999999999996</v>
      </c>
      <c r="Q12">
        <v>2.25</v>
      </c>
      <c r="R12">
        <v>23.19</v>
      </c>
      <c r="S12">
        <v>25.56</v>
      </c>
      <c r="T12">
        <v>47.96</v>
      </c>
      <c r="U12">
        <v>0.44</v>
      </c>
      <c r="V12">
        <v>7.5</v>
      </c>
      <c r="W12" t="s">
        <v>640</v>
      </c>
      <c r="X12">
        <v>0</v>
      </c>
      <c r="Y12">
        <v>0</v>
      </c>
      <c r="Z12">
        <v>0</v>
      </c>
      <c r="AA12">
        <v>152.65</v>
      </c>
      <c r="AB12">
        <v>211.44</v>
      </c>
      <c r="AC12">
        <v>0.28000000000000003</v>
      </c>
      <c r="AD12">
        <v>0.5</v>
      </c>
      <c r="AE12">
        <v>0.84</v>
      </c>
      <c r="AF12">
        <v>192.59</v>
      </c>
      <c r="AG12">
        <v>1</v>
      </c>
      <c r="AH12">
        <v>53.57</v>
      </c>
      <c r="AI12">
        <v>48.6</v>
      </c>
      <c r="AJ12">
        <v>32.049999999999997</v>
      </c>
      <c r="AK12">
        <v>32.14</v>
      </c>
      <c r="AL12">
        <v>32.14</v>
      </c>
      <c r="AM12">
        <v>100.35</v>
      </c>
      <c r="AN12">
        <v>156.1</v>
      </c>
      <c r="AO12">
        <v>154.69999999999999</v>
      </c>
      <c r="AP12">
        <v>0.9</v>
      </c>
      <c r="AQ12">
        <v>1649</v>
      </c>
      <c r="AR12">
        <v>3.91</v>
      </c>
      <c r="AS12">
        <v>0</v>
      </c>
      <c r="AT12">
        <v>12</v>
      </c>
      <c r="AU12">
        <v>12</v>
      </c>
      <c r="AV12">
        <v>24.96</v>
      </c>
      <c r="AW12">
        <v>90.66</v>
      </c>
      <c r="AX12">
        <v>12</v>
      </c>
      <c r="AY12">
        <v>-78</v>
      </c>
      <c r="AZ12">
        <v>14.39</v>
      </c>
      <c r="BA12">
        <v>117.68</v>
      </c>
      <c r="BB12">
        <v>36.33</v>
      </c>
      <c r="BC12" t="s">
        <v>656</v>
      </c>
      <c r="BD12" t="s">
        <v>161</v>
      </c>
      <c r="BE12">
        <v>35.85</v>
      </c>
      <c r="BF12">
        <v>127.13</v>
      </c>
      <c r="BG12">
        <v>46</v>
      </c>
      <c r="BH12">
        <v>11</v>
      </c>
      <c r="BI12">
        <v>0.83</v>
      </c>
      <c r="BJ12" t="s">
        <v>203</v>
      </c>
      <c r="BK12" t="s">
        <v>161</v>
      </c>
      <c r="BL12">
        <v>-1.38</v>
      </c>
      <c r="BM12" t="s">
        <v>159</v>
      </c>
      <c r="BN12">
        <v>0</v>
      </c>
      <c r="BO12">
        <v>0</v>
      </c>
      <c r="BP12">
        <v>0</v>
      </c>
      <c r="BQ12">
        <v>-0.2</v>
      </c>
      <c r="BR12">
        <v>-0.76</v>
      </c>
      <c r="BS12">
        <v>-0.71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217</v>
      </c>
      <c r="CE12" t="s">
        <v>218</v>
      </c>
      <c r="CF12" t="s">
        <v>219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</v>
      </c>
      <c r="CU12">
        <v>2.4500000000000002</v>
      </c>
      <c r="CV12">
        <v>1.67</v>
      </c>
      <c r="CW12">
        <v>0.94</v>
      </c>
      <c r="CX12">
        <v>0.21</v>
      </c>
      <c r="CY12">
        <v>0</v>
      </c>
      <c r="CZ12">
        <v>0.15</v>
      </c>
      <c r="DA12">
        <v>1.55</v>
      </c>
      <c r="DB12">
        <v>152.65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640</v>
      </c>
      <c r="DO12" t="s">
        <v>240</v>
      </c>
      <c r="DP12" t="s">
        <v>241</v>
      </c>
      <c r="DQ12" t="s">
        <v>242</v>
      </c>
      <c r="DR12" t="s">
        <v>243</v>
      </c>
      <c r="DS12" t="s">
        <v>244</v>
      </c>
      <c r="DT12" t="s">
        <v>245</v>
      </c>
    </row>
    <row r="13" spans="1:124" x14ac:dyDescent="0.45">
      <c r="A13" t="s">
        <v>457</v>
      </c>
      <c r="B13" t="s">
        <v>672</v>
      </c>
      <c r="C13" t="s">
        <v>161</v>
      </c>
      <c r="D13" t="s">
        <v>162</v>
      </c>
      <c r="E13" t="s">
        <v>163</v>
      </c>
      <c r="I13" t="s">
        <v>673</v>
      </c>
      <c r="J13">
        <v>0.56999999999999995</v>
      </c>
      <c r="K13">
        <v>2.91</v>
      </c>
      <c r="L13">
        <v>0.48</v>
      </c>
      <c r="M13">
        <v>8.6</v>
      </c>
      <c r="N13">
        <v>2.72</v>
      </c>
      <c r="O13">
        <v>2.48</v>
      </c>
      <c r="P13">
        <v>4.46</v>
      </c>
      <c r="Q13">
        <v>1.74</v>
      </c>
      <c r="R13">
        <v>24.74</v>
      </c>
      <c r="S13">
        <v>27.11</v>
      </c>
      <c r="T13">
        <v>44.45</v>
      </c>
      <c r="U13">
        <v>0.44</v>
      </c>
      <c r="V13">
        <v>7.5</v>
      </c>
      <c r="W13" t="s">
        <v>678</v>
      </c>
      <c r="X13">
        <v>0</v>
      </c>
      <c r="Y13">
        <v>0</v>
      </c>
      <c r="Z13">
        <v>0</v>
      </c>
      <c r="AA13">
        <v>154.55000000000001</v>
      </c>
      <c r="AB13">
        <v>373.4</v>
      </c>
      <c r="AC13">
        <v>0.59</v>
      </c>
      <c r="AD13">
        <v>0.5</v>
      </c>
      <c r="AE13">
        <v>0.84</v>
      </c>
      <c r="AF13">
        <v>237.06</v>
      </c>
      <c r="AG13">
        <v>1</v>
      </c>
      <c r="AH13">
        <v>55.28</v>
      </c>
      <c r="AI13">
        <v>50.45</v>
      </c>
      <c r="AJ13">
        <v>32.53</v>
      </c>
      <c r="AK13">
        <v>30.8</v>
      </c>
      <c r="AL13">
        <v>30.8</v>
      </c>
      <c r="AM13">
        <v>100.35</v>
      </c>
      <c r="AN13">
        <v>156</v>
      </c>
      <c r="AO13">
        <v>152.9</v>
      </c>
      <c r="AP13">
        <v>2</v>
      </c>
      <c r="AQ13">
        <v>963</v>
      </c>
      <c r="AR13">
        <v>3.91</v>
      </c>
      <c r="AS13">
        <v>16</v>
      </c>
      <c r="AT13">
        <v>-5</v>
      </c>
      <c r="AU13">
        <v>331</v>
      </c>
      <c r="AV13">
        <v>28.01</v>
      </c>
      <c r="AW13">
        <v>88.29</v>
      </c>
      <c r="AX13">
        <v>16.739999999999998</v>
      </c>
      <c r="AY13">
        <v>-11.39</v>
      </c>
      <c r="AZ13">
        <v>14.39</v>
      </c>
      <c r="BA13">
        <v>118.23</v>
      </c>
      <c r="BB13">
        <v>35.97</v>
      </c>
      <c r="BC13" t="s">
        <v>698</v>
      </c>
      <c r="BD13" t="s">
        <v>161</v>
      </c>
      <c r="BE13">
        <v>35.85</v>
      </c>
      <c r="BF13">
        <v>127.13</v>
      </c>
      <c r="BG13">
        <v>44.4</v>
      </c>
      <c r="BH13">
        <v>13</v>
      </c>
      <c r="BI13">
        <v>0.71</v>
      </c>
      <c r="BJ13" t="s">
        <v>203</v>
      </c>
      <c r="BK13" t="s">
        <v>161</v>
      </c>
      <c r="BL13">
        <v>-1.38</v>
      </c>
      <c r="BM13" t="s">
        <v>159</v>
      </c>
      <c r="BN13">
        <v>0</v>
      </c>
      <c r="BO13">
        <v>0</v>
      </c>
      <c r="BP13">
        <v>0</v>
      </c>
      <c r="BQ13">
        <v>0.46</v>
      </c>
      <c r="BR13">
        <v>0.33</v>
      </c>
      <c r="BS13">
        <v>-6.07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217</v>
      </c>
      <c r="CE13" t="s">
        <v>218</v>
      </c>
      <c r="CF13" t="s">
        <v>219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</v>
      </c>
      <c r="CU13">
        <v>2.4500000000000002</v>
      </c>
      <c r="CV13">
        <v>1.67</v>
      </c>
      <c r="CW13">
        <v>0.94</v>
      </c>
      <c r="CX13">
        <v>0.2</v>
      </c>
      <c r="CY13">
        <v>-0.02</v>
      </c>
      <c r="CZ13">
        <v>0.16</v>
      </c>
      <c r="DA13">
        <v>0.95</v>
      </c>
      <c r="DB13">
        <v>154.55000000000001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678</v>
      </c>
      <c r="DO13" t="s">
        <v>240</v>
      </c>
      <c r="DP13" t="s">
        <v>241</v>
      </c>
      <c r="DQ13" t="s">
        <v>242</v>
      </c>
      <c r="DR13" t="s">
        <v>243</v>
      </c>
      <c r="DS13" t="s">
        <v>244</v>
      </c>
      <c r="DT13" t="s">
        <v>245</v>
      </c>
    </row>
    <row r="14" spans="1:124" x14ac:dyDescent="0.45">
      <c r="A14" t="s">
        <v>701</v>
      </c>
      <c r="B14" t="s">
        <v>715</v>
      </c>
      <c r="C14" t="s">
        <v>161</v>
      </c>
      <c r="D14" t="s">
        <v>162</v>
      </c>
      <c r="E14" t="s">
        <v>163</v>
      </c>
      <c r="I14" t="s">
        <v>716</v>
      </c>
      <c r="J14">
        <v>0.55000000000000004</v>
      </c>
      <c r="K14">
        <v>2.91</v>
      </c>
      <c r="L14">
        <v>0.46</v>
      </c>
      <c r="M14">
        <v>8</v>
      </c>
      <c r="N14">
        <v>2.62</v>
      </c>
      <c r="O14">
        <v>2.39</v>
      </c>
      <c r="P14">
        <v>4.29</v>
      </c>
      <c r="Q14">
        <v>1.67</v>
      </c>
      <c r="R14">
        <v>23.86</v>
      </c>
      <c r="S14">
        <v>26.07</v>
      </c>
      <c r="T14">
        <v>42.75</v>
      </c>
      <c r="U14">
        <v>0.44</v>
      </c>
      <c r="V14">
        <v>7.5</v>
      </c>
      <c r="W14" t="s">
        <v>721</v>
      </c>
      <c r="X14">
        <v>0</v>
      </c>
      <c r="Y14">
        <v>0</v>
      </c>
      <c r="Z14">
        <v>0</v>
      </c>
      <c r="AA14">
        <v>139.66999999999999</v>
      </c>
      <c r="AB14">
        <v>477.79</v>
      </c>
      <c r="AC14">
        <v>0.71</v>
      </c>
      <c r="AD14">
        <v>0.5</v>
      </c>
      <c r="AE14">
        <v>0.84</v>
      </c>
      <c r="AF14">
        <v>115.02</v>
      </c>
      <c r="AG14">
        <v>1</v>
      </c>
      <c r="AH14">
        <v>52.23</v>
      </c>
      <c r="AI14">
        <v>47.81</v>
      </c>
      <c r="AJ14">
        <v>32.85</v>
      </c>
      <c r="AK14">
        <v>30.12</v>
      </c>
      <c r="AL14">
        <v>30.12</v>
      </c>
      <c r="AM14">
        <v>100.35</v>
      </c>
      <c r="AN14">
        <v>156</v>
      </c>
      <c r="AO14">
        <v>153.4</v>
      </c>
      <c r="AP14">
        <v>1.6</v>
      </c>
      <c r="AQ14">
        <v>387</v>
      </c>
      <c r="AR14">
        <v>3.91</v>
      </c>
      <c r="AS14">
        <v>-9</v>
      </c>
      <c r="AT14">
        <v>-22</v>
      </c>
      <c r="AU14">
        <v>156</v>
      </c>
      <c r="AV14">
        <v>19.36</v>
      </c>
      <c r="AW14">
        <v>94.34</v>
      </c>
      <c r="AX14">
        <v>23.68</v>
      </c>
      <c r="AY14">
        <v>-92.83</v>
      </c>
      <c r="AZ14">
        <v>14.39</v>
      </c>
      <c r="BA14">
        <v>118.51</v>
      </c>
      <c r="BB14">
        <v>35.799999999999997</v>
      </c>
      <c r="BC14" t="s">
        <v>742</v>
      </c>
      <c r="BD14" t="s">
        <v>161</v>
      </c>
      <c r="BE14">
        <v>35.85</v>
      </c>
      <c r="BF14">
        <v>127.13</v>
      </c>
      <c r="BG14">
        <v>43.1</v>
      </c>
      <c r="BH14">
        <v>12</v>
      </c>
      <c r="BI14">
        <v>0.75</v>
      </c>
      <c r="BJ14" t="s">
        <v>203</v>
      </c>
      <c r="BK14" t="s">
        <v>161</v>
      </c>
      <c r="BL14">
        <v>-1.38</v>
      </c>
      <c r="BM14" t="s">
        <v>159</v>
      </c>
      <c r="BN14">
        <v>0</v>
      </c>
      <c r="BO14">
        <v>0</v>
      </c>
      <c r="BP14">
        <v>0.01</v>
      </c>
      <c r="BQ14">
        <v>0.16</v>
      </c>
      <c r="BR14">
        <v>0.28000000000000003</v>
      </c>
      <c r="BS14">
        <v>0.68</v>
      </c>
      <c r="BT14" t="s">
        <v>159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217</v>
      </c>
      <c r="CE14" t="s">
        <v>218</v>
      </c>
      <c r="CF14" t="s">
        <v>219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</v>
      </c>
      <c r="CU14">
        <v>2.4500000000000002</v>
      </c>
      <c r="CV14">
        <v>1.67</v>
      </c>
      <c r="CW14">
        <v>0.94</v>
      </c>
      <c r="CX14">
        <v>0.2</v>
      </c>
      <c r="CY14">
        <v>-0.03</v>
      </c>
      <c r="CZ14">
        <v>0.16</v>
      </c>
      <c r="DA14">
        <v>0.44</v>
      </c>
      <c r="DB14">
        <v>139.66999999999999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721</v>
      </c>
      <c r="DO14" t="s">
        <v>240</v>
      </c>
      <c r="DP14" t="s">
        <v>241</v>
      </c>
      <c r="DQ14" t="s">
        <v>242</v>
      </c>
      <c r="DR14" t="s">
        <v>243</v>
      </c>
      <c r="DS14" t="s">
        <v>244</v>
      </c>
      <c r="DT14" t="s">
        <v>245</v>
      </c>
    </row>
    <row r="15" spans="1:124" x14ac:dyDescent="0.45">
      <c r="A15" t="s">
        <v>757</v>
      </c>
      <c r="B15" t="s">
        <v>758</v>
      </c>
      <c r="C15" t="s">
        <v>161</v>
      </c>
      <c r="D15" t="s">
        <v>162</v>
      </c>
      <c r="E15" t="s">
        <v>163</v>
      </c>
      <c r="I15" t="s">
        <v>759</v>
      </c>
      <c r="J15">
        <v>0.7</v>
      </c>
      <c r="K15">
        <v>2.91</v>
      </c>
      <c r="L15">
        <v>0.56999999999999995</v>
      </c>
      <c r="M15">
        <v>9.2200000000000006</v>
      </c>
      <c r="N15">
        <v>2.79</v>
      </c>
      <c r="O15">
        <v>2.5299999999999998</v>
      </c>
      <c r="P15">
        <v>4.3600000000000003</v>
      </c>
      <c r="Q15">
        <v>1.58</v>
      </c>
      <c r="R15">
        <v>25.25</v>
      </c>
      <c r="S15">
        <v>27.79</v>
      </c>
      <c r="T15">
        <v>43.49</v>
      </c>
      <c r="U15">
        <v>0.44</v>
      </c>
      <c r="V15">
        <v>7.5</v>
      </c>
      <c r="W15" t="s">
        <v>764</v>
      </c>
      <c r="X15">
        <v>0</v>
      </c>
      <c r="Y15">
        <v>0</v>
      </c>
      <c r="Z15">
        <v>0</v>
      </c>
      <c r="AA15">
        <v>144.30000000000001</v>
      </c>
      <c r="AB15">
        <v>390.39</v>
      </c>
      <c r="AC15">
        <v>0.63</v>
      </c>
      <c r="AD15">
        <v>0.5</v>
      </c>
      <c r="AE15">
        <v>0.84</v>
      </c>
      <c r="AF15">
        <v>125.5</v>
      </c>
      <c r="AG15">
        <v>1</v>
      </c>
      <c r="AH15">
        <v>54.4</v>
      </c>
      <c r="AI15">
        <v>49.44</v>
      </c>
      <c r="AJ15">
        <v>33.26</v>
      </c>
      <c r="AK15">
        <v>30.42</v>
      </c>
      <c r="AL15">
        <v>30.42</v>
      </c>
      <c r="AM15">
        <v>100.35</v>
      </c>
      <c r="AN15">
        <v>156.30000000000001</v>
      </c>
      <c r="AO15">
        <v>150.9</v>
      </c>
      <c r="AP15">
        <v>3.5</v>
      </c>
      <c r="AQ15">
        <v>474</v>
      </c>
      <c r="AR15">
        <v>3.91</v>
      </c>
      <c r="AS15">
        <v>-31</v>
      </c>
      <c r="AT15">
        <v>-30</v>
      </c>
      <c r="AU15">
        <v>107</v>
      </c>
      <c r="AV15">
        <v>37.04</v>
      </c>
      <c r="AW15">
        <v>79.819999999999993</v>
      </c>
      <c r="AX15">
        <v>42.07</v>
      </c>
      <c r="AY15">
        <v>-121.26</v>
      </c>
      <c r="AZ15">
        <v>14.39</v>
      </c>
      <c r="BA15">
        <v>118.79</v>
      </c>
      <c r="BB15">
        <v>35.619999999999997</v>
      </c>
      <c r="BC15" t="s">
        <v>784</v>
      </c>
      <c r="BD15" t="s">
        <v>161</v>
      </c>
      <c r="BE15">
        <v>35.85</v>
      </c>
      <c r="BF15">
        <v>127.13</v>
      </c>
      <c r="BG15">
        <v>42.7</v>
      </c>
      <c r="BH15">
        <v>13</v>
      </c>
      <c r="BI15">
        <v>0.76</v>
      </c>
      <c r="BJ15" t="s">
        <v>788</v>
      </c>
      <c r="BK15" t="s">
        <v>161</v>
      </c>
      <c r="BL15">
        <v>-0.81</v>
      </c>
      <c r="BM15" t="s">
        <v>159</v>
      </c>
      <c r="BN15">
        <v>0</v>
      </c>
      <c r="BO15">
        <v>0</v>
      </c>
      <c r="BP15">
        <v>0.01</v>
      </c>
      <c r="BQ15">
        <v>-0.05</v>
      </c>
      <c r="BR15">
        <v>-0.06</v>
      </c>
      <c r="BS15">
        <v>-0.37</v>
      </c>
      <c r="BT15" t="s">
        <v>159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217</v>
      </c>
      <c r="CE15" t="s">
        <v>218</v>
      </c>
      <c r="CF15" t="s">
        <v>219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</v>
      </c>
      <c r="CU15">
        <v>2.4500000000000002</v>
      </c>
      <c r="CV15">
        <v>1.67</v>
      </c>
      <c r="CW15">
        <v>0.93</v>
      </c>
      <c r="CX15">
        <v>0.2</v>
      </c>
      <c r="CY15">
        <v>-0.03</v>
      </c>
      <c r="CZ15">
        <v>0.18</v>
      </c>
      <c r="DA15">
        <v>0.52</v>
      </c>
      <c r="DB15">
        <v>144.30000000000001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764</v>
      </c>
      <c r="DO15" t="s">
        <v>240</v>
      </c>
      <c r="DP15" t="s">
        <v>241</v>
      </c>
      <c r="DQ15" t="s">
        <v>242</v>
      </c>
      <c r="DR15" t="s">
        <v>243</v>
      </c>
      <c r="DS15" t="s">
        <v>244</v>
      </c>
      <c r="DT15" t="s">
        <v>245</v>
      </c>
    </row>
    <row r="16" spans="1:124" x14ac:dyDescent="0.45">
      <c r="A16" t="s">
        <v>803</v>
      </c>
      <c r="B16" t="s">
        <v>804</v>
      </c>
      <c r="C16" t="s">
        <v>161</v>
      </c>
      <c r="D16" t="s">
        <v>162</v>
      </c>
      <c r="E16" t="s">
        <v>163</v>
      </c>
      <c r="I16" t="s">
        <v>805</v>
      </c>
      <c r="J16">
        <v>0.46</v>
      </c>
      <c r="K16">
        <v>2.91</v>
      </c>
      <c r="L16">
        <v>0.39</v>
      </c>
      <c r="M16">
        <v>7.57</v>
      </c>
      <c r="N16">
        <v>2.75</v>
      </c>
      <c r="O16">
        <v>2.54</v>
      </c>
      <c r="P16">
        <v>4.6100000000000003</v>
      </c>
      <c r="Q16">
        <v>1.86</v>
      </c>
      <c r="R16">
        <v>25.35</v>
      </c>
      <c r="S16">
        <v>27.43</v>
      </c>
      <c r="T16">
        <v>45.94</v>
      </c>
      <c r="U16">
        <v>0.44</v>
      </c>
      <c r="V16">
        <v>7.5</v>
      </c>
      <c r="W16" t="s">
        <v>810</v>
      </c>
      <c r="X16">
        <v>0</v>
      </c>
      <c r="Y16">
        <v>0</v>
      </c>
      <c r="Z16">
        <v>0</v>
      </c>
      <c r="AA16">
        <v>144.07</v>
      </c>
      <c r="AB16">
        <v>357.11</v>
      </c>
      <c r="AC16">
        <v>0.6</v>
      </c>
      <c r="AD16">
        <v>0.5</v>
      </c>
      <c r="AE16">
        <v>0.84</v>
      </c>
      <c r="AF16">
        <v>161.36000000000001</v>
      </c>
      <c r="AG16">
        <v>1</v>
      </c>
      <c r="AH16">
        <v>53.32</v>
      </c>
      <c r="AI16">
        <v>49.27</v>
      </c>
      <c r="AJ16">
        <v>33.380000000000003</v>
      </c>
      <c r="AK16">
        <v>31.38</v>
      </c>
      <c r="AL16">
        <v>31.38</v>
      </c>
      <c r="AM16">
        <v>100.34</v>
      </c>
      <c r="AN16">
        <v>156.1</v>
      </c>
      <c r="AO16">
        <v>148.80000000000001</v>
      </c>
      <c r="AP16">
        <v>4.7</v>
      </c>
      <c r="AQ16">
        <v>644</v>
      </c>
      <c r="AR16">
        <v>3.91</v>
      </c>
      <c r="AS16">
        <v>-40</v>
      </c>
      <c r="AT16">
        <v>-16</v>
      </c>
      <c r="AU16">
        <v>127</v>
      </c>
      <c r="AV16">
        <v>12.36</v>
      </c>
      <c r="AW16">
        <v>97.68</v>
      </c>
      <c r="AX16">
        <v>42.58</v>
      </c>
      <c r="AY16">
        <v>-77.040000000000006</v>
      </c>
      <c r="AZ16">
        <v>14.39</v>
      </c>
      <c r="BA16">
        <v>119.08</v>
      </c>
      <c r="BB16">
        <v>35.44</v>
      </c>
      <c r="BC16" t="s">
        <v>830</v>
      </c>
      <c r="BD16" t="s">
        <v>161</v>
      </c>
      <c r="BE16">
        <v>35.85</v>
      </c>
      <c r="BF16">
        <v>127.13</v>
      </c>
      <c r="BG16">
        <v>42.4</v>
      </c>
      <c r="BH16">
        <v>13</v>
      </c>
      <c r="BI16">
        <v>0.74</v>
      </c>
      <c r="BJ16" t="s">
        <v>788</v>
      </c>
      <c r="BK16" t="s">
        <v>161</v>
      </c>
      <c r="BL16">
        <v>-0.81</v>
      </c>
      <c r="BM16" t="s">
        <v>159</v>
      </c>
      <c r="BN16">
        <v>0</v>
      </c>
      <c r="BO16">
        <v>0</v>
      </c>
      <c r="BP16">
        <v>0.01</v>
      </c>
      <c r="BQ16">
        <v>0.09</v>
      </c>
      <c r="BR16">
        <v>0.45</v>
      </c>
      <c r="BS16">
        <v>0.95</v>
      </c>
      <c r="BT16" t="s">
        <v>159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217</v>
      </c>
      <c r="CE16" t="s">
        <v>218</v>
      </c>
      <c r="CF16" t="s">
        <v>219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</v>
      </c>
      <c r="CU16">
        <v>2.4500000000000002</v>
      </c>
      <c r="CV16">
        <v>1.67</v>
      </c>
      <c r="CW16">
        <v>0.93</v>
      </c>
      <c r="CX16">
        <v>0.2</v>
      </c>
      <c r="CY16">
        <v>-0.02</v>
      </c>
      <c r="CZ16">
        <v>0.18</v>
      </c>
      <c r="DA16">
        <v>0.67</v>
      </c>
      <c r="DB16">
        <v>144.07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810</v>
      </c>
      <c r="DO16" t="s">
        <v>240</v>
      </c>
      <c r="DP16" t="s">
        <v>241</v>
      </c>
      <c r="DQ16" t="s">
        <v>242</v>
      </c>
      <c r="DR16" t="s">
        <v>243</v>
      </c>
      <c r="DS16" t="s">
        <v>244</v>
      </c>
      <c r="DT16" t="s">
        <v>245</v>
      </c>
    </row>
    <row r="17" spans="1:124" x14ac:dyDescent="0.45">
      <c r="A17" t="s">
        <v>690</v>
      </c>
      <c r="B17" t="s">
        <v>845</v>
      </c>
      <c r="C17" t="s">
        <v>161</v>
      </c>
      <c r="D17" t="s">
        <v>162</v>
      </c>
      <c r="E17" t="s">
        <v>163</v>
      </c>
      <c r="I17" t="s">
        <v>846</v>
      </c>
      <c r="J17">
        <v>0.44</v>
      </c>
      <c r="K17">
        <v>2.91</v>
      </c>
      <c r="L17">
        <v>0.38</v>
      </c>
      <c r="M17">
        <v>7.34</v>
      </c>
      <c r="N17">
        <v>2.83</v>
      </c>
      <c r="O17">
        <v>2.62</v>
      </c>
      <c r="P17">
        <v>4.6900000000000004</v>
      </c>
      <c r="Q17">
        <v>1.86</v>
      </c>
      <c r="R17">
        <v>26.14</v>
      </c>
      <c r="S17">
        <v>28.15</v>
      </c>
      <c r="T17">
        <v>46.7</v>
      </c>
      <c r="U17">
        <v>0.44</v>
      </c>
      <c r="V17">
        <v>7.5</v>
      </c>
      <c r="W17" t="s">
        <v>851</v>
      </c>
      <c r="X17">
        <v>0</v>
      </c>
      <c r="Y17">
        <v>0</v>
      </c>
      <c r="Z17">
        <v>0</v>
      </c>
      <c r="AA17">
        <v>124.25</v>
      </c>
      <c r="AB17">
        <v>367.59</v>
      </c>
      <c r="AC17">
        <v>0.66</v>
      </c>
      <c r="AD17">
        <v>0.5</v>
      </c>
      <c r="AE17">
        <v>0.84</v>
      </c>
      <c r="AF17">
        <v>150.41</v>
      </c>
      <c r="AG17">
        <v>1</v>
      </c>
      <c r="AH17">
        <v>54.21</v>
      </c>
      <c r="AI17">
        <v>50.33</v>
      </c>
      <c r="AJ17">
        <v>33.549999999999997</v>
      </c>
      <c r="AK17">
        <v>31.67</v>
      </c>
      <c r="AL17">
        <v>31.67</v>
      </c>
      <c r="AM17">
        <v>100.35</v>
      </c>
      <c r="AN17">
        <v>156.19999999999999</v>
      </c>
      <c r="AO17">
        <v>154.30000000000001</v>
      </c>
      <c r="AP17">
        <v>1.2</v>
      </c>
      <c r="AQ17">
        <v>541</v>
      </c>
      <c r="AR17">
        <v>3.91</v>
      </c>
      <c r="AS17">
        <v>-8</v>
      </c>
      <c r="AT17">
        <v>16</v>
      </c>
      <c r="AU17">
        <v>38</v>
      </c>
      <c r="AV17">
        <v>19.010000000000002</v>
      </c>
      <c r="AW17">
        <v>94.55</v>
      </c>
      <c r="AX17">
        <v>17.84</v>
      </c>
      <c r="AY17">
        <v>-77.89</v>
      </c>
      <c r="AZ17">
        <v>14.39</v>
      </c>
      <c r="BA17">
        <v>119.08</v>
      </c>
      <c r="BB17">
        <v>35.44</v>
      </c>
      <c r="BC17" t="s">
        <v>867</v>
      </c>
      <c r="BD17" t="s">
        <v>161</v>
      </c>
      <c r="BE17">
        <v>35.85</v>
      </c>
      <c r="BF17">
        <v>127.13</v>
      </c>
      <c r="BG17">
        <v>42.3</v>
      </c>
      <c r="BH17">
        <v>13</v>
      </c>
      <c r="BI17">
        <v>0.74</v>
      </c>
      <c r="BJ17" t="s">
        <v>788</v>
      </c>
      <c r="BK17" t="s">
        <v>161</v>
      </c>
      <c r="BL17">
        <v>-0.81</v>
      </c>
      <c r="BM17" t="s">
        <v>159</v>
      </c>
      <c r="BN17">
        <v>0</v>
      </c>
      <c r="BO17">
        <v>0</v>
      </c>
      <c r="BP17">
        <v>0</v>
      </c>
      <c r="BQ17">
        <v>0.1</v>
      </c>
      <c r="BR17">
        <v>-0.06</v>
      </c>
      <c r="BS17">
        <v>-0.39</v>
      </c>
      <c r="BT17" t="s">
        <v>159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217</v>
      </c>
      <c r="CE17" t="s">
        <v>218</v>
      </c>
      <c r="CF17" t="s">
        <v>219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</v>
      </c>
      <c r="CU17">
        <v>2.4500000000000002</v>
      </c>
      <c r="CV17">
        <v>1.67</v>
      </c>
      <c r="CW17">
        <v>0.94</v>
      </c>
      <c r="CX17">
        <v>0.19</v>
      </c>
      <c r="CY17">
        <v>-0.02</v>
      </c>
      <c r="CZ17">
        <v>0.18</v>
      </c>
      <c r="DA17">
        <v>0.57999999999999996</v>
      </c>
      <c r="DB17">
        <v>124.25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851</v>
      </c>
      <c r="DO17" t="s">
        <v>240</v>
      </c>
      <c r="DP17" t="s">
        <v>241</v>
      </c>
      <c r="DQ17" t="s">
        <v>242</v>
      </c>
      <c r="DR17" t="s">
        <v>243</v>
      </c>
      <c r="DS17" t="s">
        <v>244</v>
      </c>
      <c r="DT17" t="s">
        <v>245</v>
      </c>
    </row>
    <row r="18" spans="1:124" x14ac:dyDescent="0.45">
      <c r="A18" t="s">
        <v>360</v>
      </c>
      <c r="B18" t="s">
        <v>881</v>
      </c>
      <c r="C18" t="s">
        <v>161</v>
      </c>
      <c r="D18" t="s">
        <v>162</v>
      </c>
      <c r="E18" t="s">
        <v>163</v>
      </c>
      <c r="I18" t="s">
        <v>882</v>
      </c>
      <c r="J18">
        <v>0.55000000000000004</v>
      </c>
      <c r="K18">
        <v>2.91</v>
      </c>
      <c r="L18">
        <v>0.46</v>
      </c>
      <c r="M18">
        <v>8.43</v>
      </c>
      <c r="N18">
        <v>2.78</v>
      </c>
      <c r="O18">
        <v>2.54</v>
      </c>
      <c r="P18">
        <v>4.55</v>
      </c>
      <c r="Q18">
        <v>1.77</v>
      </c>
      <c r="R18">
        <v>25.34</v>
      </c>
      <c r="S18">
        <v>27.66</v>
      </c>
      <c r="T18">
        <v>45.32</v>
      </c>
      <c r="U18">
        <v>0.44</v>
      </c>
      <c r="V18">
        <v>7.5</v>
      </c>
      <c r="W18" t="s">
        <v>887</v>
      </c>
      <c r="X18">
        <v>0</v>
      </c>
      <c r="Y18">
        <v>0</v>
      </c>
      <c r="Z18">
        <v>0</v>
      </c>
      <c r="AA18">
        <v>137.65</v>
      </c>
      <c r="AB18">
        <v>477.24</v>
      </c>
      <c r="AC18">
        <v>0.71</v>
      </c>
      <c r="AD18">
        <v>0.5</v>
      </c>
      <c r="AE18">
        <v>0.84</v>
      </c>
      <c r="AF18">
        <v>129.11000000000001</v>
      </c>
      <c r="AG18">
        <v>1</v>
      </c>
      <c r="AH18">
        <v>52.81</v>
      </c>
      <c r="AI18">
        <v>48.38</v>
      </c>
      <c r="AJ18">
        <v>33.700000000000003</v>
      </c>
      <c r="AK18">
        <v>31.14</v>
      </c>
      <c r="AL18">
        <v>31.14</v>
      </c>
      <c r="AM18">
        <v>100.34</v>
      </c>
      <c r="AN18">
        <v>156.19999999999999</v>
      </c>
      <c r="AO18">
        <v>154.6</v>
      </c>
      <c r="AP18">
        <v>1</v>
      </c>
      <c r="AQ18">
        <v>432</v>
      </c>
      <c r="AR18">
        <v>3.91</v>
      </c>
      <c r="AS18">
        <v>0</v>
      </c>
      <c r="AT18">
        <v>-2</v>
      </c>
      <c r="AU18">
        <v>28</v>
      </c>
      <c r="AV18">
        <v>37.26</v>
      </c>
      <c r="AW18">
        <v>79.59</v>
      </c>
      <c r="AX18">
        <v>2</v>
      </c>
      <c r="AY18">
        <v>118</v>
      </c>
      <c r="AZ18">
        <v>14.39</v>
      </c>
      <c r="BA18">
        <v>119.36</v>
      </c>
      <c r="BB18">
        <v>35.26</v>
      </c>
      <c r="BC18" t="s">
        <v>906</v>
      </c>
      <c r="BD18" t="s">
        <v>161</v>
      </c>
      <c r="BE18">
        <v>35.85</v>
      </c>
      <c r="BF18">
        <v>127.13</v>
      </c>
      <c r="BG18">
        <v>42.3</v>
      </c>
      <c r="BH18">
        <v>15</v>
      </c>
      <c r="BI18">
        <v>0.68</v>
      </c>
      <c r="BJ18" t="s">
        <v>788</v>
      </c>
      <c r="BK18" t="s">
        <v>161</v>
      </c>
      <c r="BL18">
        <v>-0.81</v>
      </c>
      <c r="BM18" t="s">
        <v>159</v>
      </c>
      <c r="BN18">
        <v>0</v>
      </c>
      <c r="BO18">
        <v>0</v>
      </c>
      <c r="BP18">
        <v>0.01</v>
      </c>
      <c r="BQ18">
        <v>-0.11</v>
      </c>
      <c r="BR18">
        <v>-0.28000000000000003</v>
      </c>
      <c r="BS18">
        <v>-0.3</v>
      </c>
      <c r="BT18" t="s">
        <v>159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217</v>
      </c>
      <c r="CE18" t="s">
        <v>218</v>
      </c>
      <c r="CF18" t="s">
        <v>219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</v>
      </c>
      <c r="CU18">
        <v>2.4500000000000002</v>
      </c>
      <c r="CV18">
        <v>1.67</v>
      </c>
      <c r="CW18">
        <v>0.94</v>
      </c>
      <c r="CX18">
        <v>0.19</v>
      </c>
      <c r="CY18">
        <v>-0.03</v>
      </c>
      <c r="CZ18">
        <v>0.19</v>
      </c>
      <c r="DA18">
        <v>0.48</v>
      </c>
      <c r="DB18">
        <v>137.65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887</v>
      </c>
      <c r="DO18" t="s">
        <v>240</v>
      </c>
      <c r="DP18" t="s">
        <v>241</v>
      </c>
      <c r="DQ18" t="s">
        <v>242</v>
      </c>
      <c r="DR18" t="s">
        <v>243</v>
      </c>
      <c r="DS18" t="s">
        <v>244</v>
      </c>
      <c r="DT18" t="s">
        <v>245</v>
      </c>
    </row>
    <row r="19" spans="1:124" x14ac:dyDescent="0.45">
      <c r="A19" t="s">
        <v>921</v>
      </c>
      <c r="B19" t="s">
        <v>922</v>
      </c>
      <c r="C19" t="s">
        <v>161</v>
      </c>
      <c r="D19" t="s">
        <v>162</v>
      </c>
      <c r="E19" t="s">
        <v>163</v>
      </c>
      <c r="I19" t="s">
        <v>923</v>
      </c>
      <c r="J19">
        <v>0.35</v>
      </c>
      <c r="K19">
        <v>2.91</v>
      </c>
      <c r="L19">
        <v>0.31</v>
      </c>
      <c r="M19">
        <v>6.61</v>
      </c>
      <c r="N19">
        <v>2.87</v>
      </c>
      <c r="O19">
        <v>2.69</v>
      </c>
      <c r="P19">
        <v>4.91</v>
      </c>
      <c r="Q19">
        <v>2.04</v>
      </c>
      <c r="R19">
        <v>26.77</v>
      </c>
      <c r="S19">
        <v>28.58</v>
      </c>
      <c r="T19">
        <v>48.95</v>
      </c>
      <c r="U19">
        <v>0.44</v>
      </c>
      <c r="V19">
        <v>7.5</v>
      </c>
      <c r="W19" t="s">
        <v>928</v>
      </c>
      <c r="X19">
        <v>0</v>
      </c>
      <c r="Y19">
        <v>0</v>
      </c>
      <c r="Z19">
        <v>0</v>
      </c>
      <c r="AA19">
        <v>151.4</v>
      </c>
      <c r="AB19">
        <v>373.02</v>
      </c>
      <c r="AC19">
        <v>0.59</v>
      </c>
      <c r="AD19">
        <v>0.5</v>
      </c>
      <c r="AE19">
        <v>0.84</v>
      </c>
      <c r="AF19">
        <v>171.92</v>
      </c>
      <c r="AG19">
        <v>1</v>
      </c>
      <c r="AH19">
        <v>54.2</v>
      </c>
      <c r="AI19">
        <v>50.75</v>
      </c>
      <c r="AJ19">
        <v>33.83</v>
      </c>
      <c r="AK19">
        <v>32.5</v>
      </c>
      <c r="AL19">
        <v>32.5</v>
      </c>
      <c r="AM19">
        <v>100.34</v>
      </c>
      <c r="AN19">
        <v>156</v>
      </c>
      <c r="AO19">
        <v>153.6</v>
      </c>
      <c r="AP19">
        <v>1.6</v>
      </c>
      <c r="AQ19">
        <v>689</v>
      </c>
      <c r="AR19">
        <v>3.91</v>
      </c>
      <c r="AS19">
        <v>12</v>
      </c>
      <c r="AT19">
        <v>-2</v>
      </c>
      <c r="AU19">
        <v>352</v>
      </c>
      <c r="AV19">
        <v>31.25</v>
      </c>
      <c r="AW19">
        <v>85.5</v>
      </c>
      <c r="AX19">
        <v>12.16</v>
      </c>
      <c r="AY19">
        <v>1.53</v>
      </c>
      <c r="AZ19">
        <v>14.39</v>
      </c>
      <c r="BA19">
        <v>119.36</v>
      </c>
      <c r="BB19">
        <v>35.26</v>
      </c>
      <c r="BC19" t="s">
        <v>943</v>
      </c>
      <c r="BD19" t="s">
        <v>161</v>
      </c>
      <c r="BE19">
        <v>35.85</v>
      </c>
      <c r="BF19">
        <v>127.13</v>
      </c>
      <c r="BG19">
        <v>42.2</v>
      </c>
      <c r="BH19">
        <v>14</v>
      </c>
      <c r="BI19">
        <v>0.71</v>
      </c>
      <c r="BJ19" t="s">
        <v>788</v>
      </c>
      <c r="BK19" t="s">
        <v>161</v>
      </c>
      <c r="BL19">
        <v>-0.81</v>
      </c>
      <c r="BM19" t="s">
        <v>159</v>
      </c>
      <c r="BN19">
        <v>0</v>
      </c>
      <c r="BO19">
        <v>0</v>
      </c>
      <c r="BP19">
        <v>0</v>
      </c>
      <c r="BQ19">
        <v>-7.0000000000000007E-2</v>
      </c>
      <c r="BR19">
        <v>-0.06</v>
      </c>
      <c r="BS19">
        <v>1.0900000000000001</v>
      </c>
      <c r="BT19" t="s">
        <v>159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217</v>
      </c>
      <c r="CE19" t="s">
        <v>218</v>
      </c>
      <c r="CF19" t="s">
        <v>219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</v>
      </c>
      <c r="CU19">
        <v>2.4500000000000002</v>
      </c>
      <c r="CV19">
        <v>1.67</v>
      </c>
      <c r="CW19">
        <v>0.94</v>
      </c>
      <c r="CX19">
        <v>0.19</v>
      </c>
      <c r="CY19">
        <v>-0.02</v>
      </c>
      <c r="CZ19">
        <v>0.19</v>
      </c>
      <c r="DA19">
        <v>0.71</v>
      </c>
      <c r="DB19">
        <v>151.4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928</v>
      </c>
      <c r="DO19" t="s">
        <v>240</v>
      </c>
      <c r="DP19" t="s">
        <v>241</v>
      </c>
      <c r="DQ19" t="s">
        <v>242</v>
      </c>
      <c r="DR19" t="s">
        <v>243</v>
      </c>
      <c r="DS19" t="s">
        <v>244</v>
      </c>
      <c r="DT19" t="s">
        <v>245</v>
      </c>
    </row>
    <row r="20" spans="1:124" x14ac:dyDescent="0.45">
      <c r="A20" t="s">
        <v>958</v>
      </c>
      <c r="B20" t="s">
        <v>959</v>
      </c>
      <c r="C20" t="s">
        <v>161</v>
      </c>
      <c r="D20" t="s">
        <v>162</v>
      </c>
      <c r="E20" t="s">
        <v>163</v>
      </c>
      <c r="I20" t="s">
        <v>960</v>
      </c>
      <c r="J20">
        <v>0.86</v>
      </c>
      <c r="K20">
        <v>2.91</v>
      </c>
      <c r="L20">
        <v>0.66</v>
      </c>
      <c r="M20">
        <v>11.91</v>
      </c>
      <c r="N20">
        <v>2.84</v>
      </c>
      <c r="O20">
        <v>2.5099999999999998</v>
      </c>
      <c r="P20">
        <v>4.57</v>
      </c>
      <c r="Q20">
        <v>1.73</v>
      </c>
      <c r="R20">
        <v>25.01</v>
      </c>
      <c r="S20">
        <v>28.29</v>
      </c>
      <c r="T20">
        <v>45.55</v>
      </c>
      <c r="U20">
        <v>0.44</v>
      </c>
      <c r="V20">
        <v>7.5</v>
      </c>
      <c r="W20" t="s">
        <v>965</v>
      </c>
      <c r="X20">
        <v>0</v>
      </c>
      <c r="Y20">
        <v>0</v>
      </c>
      <c r="Z20">
        <v>0</v>
      </c>
      <c r="AA20">
        <v>150.93</v>
      </c>
      <c r="AB20">
        <v>302.97000000000003</v>
      </c>
      <c r="AC20">
        <v>0.5</v>
      </c>
      <c r="AD20">
        <v>0.5</v>
      </c>
      <c r="AE20">
        <v>0.84</v>
      </c>
      <c r="AF20">
        <v>201.91</v>
      </c>
      <c r="AG20">
        <v>1</v>
      </c>
      <c r="AH20">
        <v>53.08</v>
      </c>
      <c r="AI20">
        <v>46.93</v>
      </c>
      <c r="AJ20">
        <v>34.020000000000003</v>
      </c>
      <c r="AK20">
        <v>31.23</v>
      </c>
      <c r="AL20">
        <v>31.23</v>
      </c>
      <c r="AM20">
        <v>100.34</v>
      </c>
      <c r="AN20">
        <v>156.1</v>
      </c>
      <c r="AO20">
        <v>152.9</v>
      </c>
      <c r="AP20">
        <v>2</v>
      </c>
      <c r="AQ20">
        <v>958</v>
      </c>
      <c r="AR20">
        <v>3.9</v>
      </c>
      <c r="AS20">
        <v>-8</v>
      </c>
      <c r="AT20">
        <v>12</v>
      </c>
      <c r="AU20">
        <v>100</v>
      </c>
      <c r="AV20">
        <v>24.98</v>
      </c>
      <c r="AW20">
        <v>90.65</v>
      </c>
      <c r="AX20">
        <v>14.39</v>
      </c>
      <c r="AY20">
        <v>-23.22</v>
      </c>
      <c r="AZ20">
        <v>14.39</v>
      </c>
      <c r="BA20">
        <v>119.65</v>
      </c>
      <c r="BB20">
        <v>35.090000000000003</v>
      </c>
      <c r="BC20" t="s">
        <v>980</v>
      </c>
      <c r="BD20" t="s">
        <v>161</v>
      </c>
      <c r="BE20">
        <v>35.85</v>
      </c>
      <c r="BF20">
        <v>127.13</v>
      </c>
      <c r="BG20">
        <v>42.3</v>
      </c>
      <c r="BH20">
        <v>14</v>
      </c>
      <c r="BI20">
        <v>0.73</v>
      </c>
      <c r="BJ20" t="s">
        <v>788</v>
      </c>
      <c r="BK20" t="s">
        <v>161</v>
      </c>
      <c r="BL20">
        <v>-0.81</v>
      </c>
      <c r="BM20" t="s">
        <v>159</v>
      </c>
      <c r="BN20">
        <v>0</v>
      </c>
      <c r="BO20">
        <v>0</v>
      </c>
      <c r="BP20">
        <v>0.01</v>
      </c>
      <c r="BQ20">
        <v>-7.0000000000000007E-2</v>
      </c>
      <c r="BR20">
        <v>-0.77</v>
      </c>
      <c r="BS20">
        <v>-2.5499999999999998</v>
      </c>
      <c r="BT20" t="s">
        <v>159</v>
      </c>
      <c r="BU20">
        <v>150</v>
      </c>
      <c r="BV20">
        <v>0</v>
      </c>
      <c r="BW20">
        <v>2</v>
      </c>
      <c r="BX20">
        <v>0.06</v>
      </c>
      <c r="BY20">
        <v>0</v>
      </c>
      <c r="BZ20">
        <v>0.03</v>
      </c>
      <c r="CA20">
        <v>0</v>
      </c>
      <c r="CB20">
        <v>0</v>
      </c>
      <c r="CC20">
        <v>0</v>
      </c>
      <c r="CD20" t="s">
        <v>217</v>
      </c>
      <c r="CE20" t="s">
        <v>218</v>
      </c>
      <c r="CF20" t="s">
        <v>219</v>
      </c>
      <c r="CG20">
        <v>6000</v>
      </c>
      <c r="CH20">
        <v>500</v>
      </c>
      <c r="CI20">
        <v>1</v>
      </c>
      <c r="CJ20">
        <v>2</v>
      </c>
      <c r="CK20">
        <v>55537</v>
      </c>
      <c r="CL20">
        <v>55537</v>
      </c>
      <c r="CM20">
        <v>55537</v>
      </c>
      <c r="CN20">
        <v>0</v>
      </c>
      <c r="CO20">
        <v>-9999</v>
      </c>
      <c r="CP20">
        <v>0</v>
      </c>
      <c r="CQ20">
        <v>0</v>
      </c>
      <c r="CR20">
        <v>0</v>
      </c>
      <c r="CS20">
        <v>0</v>
      </c>
      <c r="CT20">
        <v>2.5</v>
      </c>
      <c r="CU20">
        <v>2.4500000000000002</v>
      </c>
      <c r="CV20">
        <v>1.67</v>
      </c>
      <c r="CW20">
        <v>0.94</v>
      </c>
      <c r="CX20">
        <v>0.19</v>
      </c>
      <c r="CY20">
        <v>-0.03</v>
      </c>
      <c r="CZ20">
        <v>0.2</v>
      </c>
      <c r="DA20">
        <v>0.94</v>
      </c>
      <c r="DB20">
        <v>150.93</v>
      </c>
      <c r="DC20">
        <v>0</v>
      </c>
      <c r="DD20">
        <v>2.42</v>
      </c>
      <c r="DE20">
        <v>0</v>
      </c>
      <c r="DF20">
        <v>1</v>
      </c>
      <c r="DG20">
        <v>2.37</v>
      </c>
      <c r="DH20">
        <v>0</v>
      </c>
      <c r="DI20">
        <v>1</v>
      </c>
      <c r="DJ20">
        <v>0.6</v>
      </c>
      <c r="DK20">
        <v>0.6</v>
      </c>
      <c r="DL20">
        <v>0.11</v>
      </c>
      <c r="DM20">
        <v>0</v>
      </c>
      <c r="DN20" t="s">
        <v>965</v>
      </c>
      <c r="DO20" t="s">
        <v>240</v>
      </c>
      <c r="DP20" t="s">
        <v>241</v>
      </c>
      <c r="DQ20" t="s">
        <v>242</v>
      </c>
      <c r="DR20" t="s">
        <v>243</v>
      </c>
      <c r="DS20" t="s">
        <v>244</v>
      </c>
      <c r="DT20" t="s">
        <v>245</v>
      </c>
    </row>
    <row r="21" spans="1:124" x14ac:dyDescent="0.45">
      <c r="A21" t="s">
        <v>406</v>
      </c>
      <c r="B21" t="s">
        <v>995</v>
      </c>
      <c r="C21" t="s">
        <v>161</v>
      </c>
      <c r="D21" t="s">
        <v>162</v>
      </c>
      <c r="E21" t="s">
        <v>163</v>
      </c>
      <c r="I21" t="s">
        <v>996</v>
      </c>
      <c r="J21">
        <v>0.9</v>
      </c>
      <c r="K21">
        <v>2.91</v>
      </c>
      <c r="L21">
        <v>0.69</v>
      </c>
      <c r="M21">
        <v>11.74</v>
      </c>
      <c r="N21">
        <v>2.8</v>
      </c>
      <c r="O21">
        <v>2.4700000000000002</v>
      </c>
      <c r="P21">
        <v>4.46</v>
      </c>
      <c r="Q21">
        <v>1.66</v>
      </c>
      <c r="R21">
        <v>24.64</v>
      </c>
      <c r="S21">
        <v>27.88</v>
      </c>
      <c r="T21">
        <v>44.4</v>
      </c>
      <c r="U21">
        <v>0.44</v>
      </c>
      <c r="V21">
        <v>7.5</v>
      </c>
      <c r="W21" t="s">
        <v>1001</v>
      </c>
      <c r="X21">
        <v>0</v>
      </c>
      <c r="Y21">
        <v>0</v>
      </c>
      <c r="Z21">
        <v>0</v>
      </c>
      <c r="AA21">
        <v>154.61000000000001</v>
      </c>
      <c r="AB21">
        <v>385.92</v>
      </c>
      <c r="AC21">
        <v>0.6</v>
      </c>
      <c r="AD21">
        <v>0.5</v>
      </c>
      <c r="AE21">
        <v>0.84</v>
      </c>
      <c r="AF21">
        <v>210.46</v>
      </c>
      <c r="AG21">
        <v>1</v>
      </c>
      <c r="AH21">
        <v>52.07</v>
      </c>
      <c r="AI21">
        <v>46.03</v>
      </c>
      <c r="AJ21">
        <v>34.1</v>
      </c>
      <c r="AK21">
        <v>30.78</v>
      </c>
      <c r="AL21">
        <v>30.78</v>
      </c>
      <c r="AM21">
        <v>100.34</v>
      </c>
      <c r="AN21">
        <v>156</v>
      </c>
      <c r="AO21">
        <v>150.69999999999999</v>
      </c>
      <c r="AP21">
        <v>3.4</v>
      </c>
      <c r="AQ21">
        <v>836</v>
      </c>
      <c r="AR21">
        <v>3.9</v>
      </c>
      <c r="AS21">
        <v>-15</v>
      </c>
      <c r="AT21">
        <v>2</v>
      </c>
      <c r="AU21">
        <v>119</v>
      </c>
      <c r="AV21">
        <v>19.96</v>
      </c>
      <c r="AW21">
        <v>93.99</v>
      </c>
      <c r="AX21">
        <v>15.13</v>
      </c>
      <c r="AY21">
        <v>-53.32</v>
      </c>
      <c r="AZ21">
        <v>14.39</v>
      </c>
      <c r="BA21">
        <v>119.94</v>
      </c>
      <c r="BB21">
        <v>34.909999999999997</v>
      </c>
      <c r="BC21" t="s">
        <v>1020</v>
      </c>
      <c r="BD21" t="s">
        <v>161</v>
      </c>
      <c r="BE21">
        <v>35.85</v>
      </c>
      <c r="BF21">
        <v>127.13</v>
      </c>
      <c r="BG21">
        <v>42.2</v>
      </c>
      <c r="BH21">
        <v>15</v>
      </c>
      <c r="BI21">
        <v>0.68</v>
      </c>
      <c r="BJ21" t="s">
        <v>788</v>
      </c>
      <c r="BK21" t="s">
        <v>161</v>
      </c>
      <c r="BL21">
        <v>-0.81</v>
      </c>
      <c r="BM21" t="s">
        <v>159</v>
      </c>
      <c r="BN21">
        <v>0</v>
      </c>
      <c r="BO21">
        <v>0</v>
      </c>
      <c r="BP21">
        <v>0</v>
      </c>
      <c r="BQ21">
        <v>0.17</v>
      </c>
      <c r="BR21">
        <v>0.52</v>
      </c>
      <c r="BS21">
        <v>2.5</v>
      </c>
      <c r="BT21" t="s">
        <v>159</v>
      </c>
      <c r="BU21">
        <v>150</v>
      </c>
      <c r="BV21">
        <v>0</v>
      </c>
      <c r="BW21">
        <v>2</v>
      </c>
      <c r="BX21">
        <v>0.06</v>
      </c>
      <c r="BY21">
        <v>0</v>
      </c>
      <c r="BZ21">
        <v>0.03</v>
      </c>
      <c r="CA21">
        <v>0</v>
      </c>
      <c r="CB21">
        <v>0</v>
      </c>
      <c r="CC21">
        <v>0</v>
      </c>
      <c r="CD21" t="s">
        <v>217</v>
      </c>
      <c r="CE21" t="s">
        <v>218</v>
      </c>
      <c r="CF21" t="s">
        <v>219</v>
      </c>
      <c r="CG21">
        <v>6000</v>
      </c>
      <c r="CH21">
        <v>500</v>
      </c>
      <c r="CI21">
        <v>1</v>
      </c>
      <c r="CJ21">
        <v>2</v>
      </c>
      <c r="CK21">
        <v>55537</v>
      </c>
      <c r="CL21">
        <v>55537</v>
      </c>
      <c r="CM21">
        <v>55537</v>
      </c>
      <c r="CN21">
        <v>0</v>
      </c>
      <c r="CO21">
        <v>-9999</v>
      </c>
      <c r="CP21">
        <v>0</v>
      </c>
      <c r="CQ21">
        <v>0</v>
      </c>
      <c r="CR21">
        <v>0</v>
      </c>
      <c r="CS21">
        <v>0</v>
      </c>
      <c r="CT21">
        <v>2.5</v>
      </c>
      <c r="CU21">
        <v>2.4500000000000002</v>
      </c>
      <c r="CV21">
        <v>1.67</v>
      </c>
      <c r="CW21">
        <v>0.93</v>
      </c>
      <c r="CX21">
        <v>0.19</v>
      </c>
      <c r="CY21">
        <v>-0.04</v>
      </c>
      <c r="CZ21">
        <v>0.2</v>
      </c>
      <c r="DA21">
        <v>0.84</v>
      </c>
      <c r="DB21">
        <v>154.61000000000001</v>
      </c>
      <c r="DC21">
        <v>0</v>
      </c>
      <c r="DD21">
        <v>2.42</v>
      </c>
      <c r="DE21">
        <v>0</v>
      </c>
      <c r="DF21">
        <v>1</v>
      </c>
      <c r="DG21">
        <v>2.37</v>
      </c>
      <c r="DH21">
        <v>0</v>
      </c>
      <c r="DI21">
        <v>1</v>
      </c>
      <c r="DJ21">
        <v>0.6</v>
      </c>
      <c r="DK21">
        <v>0.6</v>
      </c>
      <c r="DL21">
        <v>0.11</v>
      </c>
      <c r="DM21">
        <v>0</v>
      </c>
      <c r="DN21" t="s">
        <v>1001</v>
      </c>
      <c r="DO21" t="s">
        <v>240</v>
      </c>
      <c r="DP21" t="s">
        <v>241</v>
      </c>
      <c r="DQ21" t="s">
        <v>242</v>
      </c>
      <c r="DR21" t="s">
        <v>243</v>
      </c>
      <c r="DS21" t="s">
        <v>244</v>
      </c>
      <c r="DT21" t="s">
        <v>245</v>
      </c>
    </row>
    <row r="22" spans="1:124" x14ac:dyDescent="0.45">
      <c r="A22" t="s">
        <v>613</v>
      </c>
      <c r="B22" t="s">
        <v>1032</v>
      </c>
      <c r="C22" t="s">
        <v>161</v>
      </c>
      <c r="D22" t="s">
        <v>162</v>
      </c>
      <c r="E22" t="s">
        <v>163</v>
      </c>
      <c r="I22" t="s">
        <v>1033</v>
      </c>
      <c r="J22">
        <v>0.65</v>
      </c>
      <c r="K22">
        <v>2.91</v>
      </c>
      <c r="L22">
        <v>0.53</v>
      </c>
      <c r="M22">
        <v>9.8800000000000008</v>
      </c>
      <c r="N22">
        <v>2.79</v>
      </c>
      <c r="O22">
        <v>2.52</v>
      </c>
      <c r="P22">
        <v>4.58</v>
      </c>
      <c r="Q22">
        <v>1.8</v>
      </c>
      <c r="R22">
        <v>25.07</v>
      </c>
      <c r="S22">
        <v>27.79</v>
      </c>
      <c r="T22">
        <v>45.68</v>
      </c>
      <c r="U22">
        <v>0.44</v>
      </c>
      <c r="V22">
        <v>7.5</v>
      </c>
      <c r="W22" t="s">
        <v>1038</v>
      </c>
      <c r="X22">
        <v>0</v>
      </c>
      <c r="Y22">
        <v>0</v>
      </c>
      <c r="Z22">
        <v>0</v>
      </c>
      <c r="AA22">
        <v>157.66999999999999</v>
      </c>
      <c r="AB22">
        <v>410.66</v>
      </c>
      <c r="AC22">
        <v>0.62</v>
      </c>
      <c r="AD22">
        <v>0.5</v>
      </c>
      <c r="AE22">
        <v>0.84</v>
      </c>
      <c r="AF22">
        <v>213.98</v>
      </c>
      <c r="AG22">
        <v>1</v>
      </c>
      <c r="AH22">
        <v>51.69</v>
      </c>
      <c r="AI22">
        <v>46.64</v>
      </c>
      <c r="AJ22">
        <v>34.17</v>
      </c>
      <c r="AK22">
        <v>31.28</v>
      </c>
      <c r="AL22">
        <v>31.28</v>
      </c>
      <c r="AM22">
        <v>100.34</v>
      </c>
      <c r="AN22">
        <v>156</v>
      </c>
      <c r="AO22">
        <v>153.6</v>
      </c>
      <c r="AP22">
        <v>1.6</v>
      </c>
      <c r="AQ22">
        <v>827</v>
      </c>
      <c r="AR22">
        <v>3.9</v>
      </c>
      <c r="AS22">
        <v>-38</v>
      </c>
      <c r="AT22">
        <v>-7</v>
      </c>
      <c r="AU22">
        <v>80</v>
      </c>
      <c r="AV22">
        <v>30.15</v>
      </c>
      <c r="AW22">
        <v>86.47</v>
      </c>
      <c r="AX22">
        <v>38.54</v>
      </c>
      <c r="AY22">
        <v>-111.28</v>
      </c>
      <c r="AZ22">
        <v>14.39</v>
      </c>
      <c r="BA22">
        <v>119.94</v>
      </c>
      <c r="BB22">
        <v>34.909999999999997</v>
      </c>
      <c r="BC22" t="s">
        <v>1054</v>
      </c>
      <c r="BD22" t="s">
        <v>161</v>
      </c>
      <c r="BE22">
        <v>35.85</v>
      </c>
      <c r="BF22">
        <v>127.13</v>
      </c>
      <c r="BG22">
        <v>42.2</v>
      </c>
      <c r="BH22">
        <v>15</v>
      </c>
      <c r="BI22">
        <v>0.68</v>
      </c>
      <c r="BJ22" t="s">
        <v>788</v>
      </c>
      <c r="BK22" t="s">
        <v>161</v>
      </c>
      <c r="BL22">
        <v>-0.81</v>
      </c>
      <c r="BM22" t="s">
        <v>159</v>
      </c>
      <c r="BN22">
        <v>0</v>
      </c>
      <c r="BO22">
        <v>0</v>
      </c>
      <c r="BP22">
        <v>0</v>
      </c>
      <c r="BQ22">
        <v>0.97</v>
      </c>
      <c r="BR22">
        <v>0.86</v>
      </c>
      <c r="BS22">
        <v>0.47</v>
      </c>
      <c r="BT22" t="s">
        <v>159</v>
      </c>
      <c r="BU22">
        <v>150</v>
      </c>
      <c r="BV22">
        <v>0</v>
      </c>
      <c r="BW22">
        <v>2</v>
      </c>
      <c r="BX22">
        <v>0.06</v>
      </c>
      <c r="BY22">
        <v>0</v>
      </c>
      <c r="BZ22">
        <v>0.03</v>
      </c>
      <c r="CA22">
        <v>0</v>
      </c>
      <c r="CB22">
        <v>0</v>
      </c>
      <c r="CC22">
        <v>0</v>
      </c>
      <c r="CD22" t="s">
        <v>217</v>
      </c>
      <c r="CE22" t="s">
        <v>218</v>
      </c>
      <c r="CF22" t="s">
        <v>219</v>
      </c>
      <c r="CG22">
        <v>6000</v>
      </c>
      <c r="CH22">
        <v>500</v>
      </c>
      <c r="CI22">
        <v>1</v>
      </c>
      <c r="CJ22">
        <v>2</v>
      </c>
      <c r="CK22">
        <v>55537</v>
      </c>
      <c r="CL22">
        <v>55537</v>
      </c>
      <c r="CM22">
        <v>55537</v>
      </c>
      <c r="CN22">
        <v>0</v>
      </c>
      <c r="CO22">
        <v>-9999</v>
      </c>
      <c r="CP22">
        <v>0</v>
      </c>
      <c r="CQ22">
        <v>0</v>
      </c>
      <c r="CR22">
        <v>0</v>
      </c>
      <c r="CS22">
        <v>0</v>
      </c>
      <c r="CT22">
        <v>2.5</v>
      </c>
      <c r="CU22">
        <v>2.44</v>
      </c>
      <c r="CV22">
        <v>1.67</v>
      </c>
      <c r="CW22">
        <v>0.94</v>
      </c>
      <c r="CX22">
        <v>0.19</v>
      </c>
      <c r="CY22">
        <v>-0.04</v>
      </c>
      <c r="CZ22">
        <v>0.2</v>
      </c>
      <c r="DA22">
        <v>0.83</v>
      </c>
      <c r="DB22">
        <v>157.66999999999999</v>
      </c>
      <c r="DC22">
        <v>0</v>
      </c>
      <c r="DD22">
        <v>2.42</v>
      </c>
      <c r="DE22">
        <v>0</v>
      </c>
      <c r="DF22">
        <v>1</v>
      </c>
      <c r="DG22">
        <v>2.37</v>
      </c>
      <c r="DH22">
        <v>0</v>
      </c>
      <c r="DI22">
        <v>1</v>
      </c>
      <c r="DJ22">
        <v>0.6</v>
      </c>
      <c r="DK22">
        <v>0.6</v>
      </c>
      <c r="DL22">
        <v>0.11</v>
      </c>
      <c r="DM22">
        <v>0</v>
      </c>
      <c r="DN22" t="s">
        <v>1038</v>
      </c>
      <c r="DO22" t="s">
        <v>240</v>
      </c>
      <c r="DP22" t="s">
        <v>241</v>
      </c>
      <c r="DQ22" t="s">
        <v>242</v>
      </c>
      <c r="DR22" t="s">
        <v>243</v>
      </c>
      <c r="DS22" t="s">
        <v>244</v>
      </c>
      <c r="DT22" t="s">
        <v>245</v>
      </c>
    </row>
    <row r="23" spans="1:124" x14ac:dyDescent="0.45">
      <c r="A23" t="s">
        <v>1067</v>
      </c>
      <c r="B23" t="s">
        <v>1068</v>
      </c>
      <c r="C23" t="s">
        <v>161</v>
      </c>
      <c r="D23" t="s">
        <v>162</v>
      </c>
      <c r="E23" t="s">
        <v>163</v>
      </c>
      <c r="I23" t="s">
        <v>1069</v>
      </c>
      <c r="J23">
        <v>0.73</v>
      </c>
      <c r="K23">
        <v>2.91</v>
      </c>
      <c r="L23">
        <v>0.59</v>
      </c>
      <c r="M23">
        <v>10.199999999999999</v>
      </c>
      <c r="N23">
        <v>2.95</v>
      </c>
      <c r="O23">
        <v>2.67</v>
      </c>
      <c r="P23">
        <v>4.63</v>
      </c>
      <c r="Q23">
        <v>1.68</v>
      </c>
      <c r="R23">
        <v>26.6</v>
      </c>
      <c r="S23">
        <v>29.4</v>
      </c>
      <c r="T23">
        <v>46.15</v>
      </c>
      <c r="U23">
        <v>0.44</v>
      </c>
      <c r="V23">
        <v>7.5</v>
      </c>
      <c r="W23" t="s">
        <v>1074</v>
      </c>
      <c r="X23">
        <v>0</v>
      </c>
      <c r="Y23">
        <v>0</v>
      </c>
      <c r="Z23">
        <v>0</v>
      </c>
      <c r="AA23">
        <v>132.86000000000001</v>
      </c>
      <c r="AB23">
        <v>413.63</v>
      </c>
      <c r="AC23">
        <v>0.68</v>
      </c>
      <c r="AD23">
        <v>0.5</v>
      </c>
      <c r="AE23">
        <v>0.84</v>
      </c>
      <c r="AF23">
        <v>170.48</v>
      </c>
      <c r="AG23">
        <v>1</v>
      </c>
      <c r="AH23">
        <v>54.4</v>
      </c>
      <c r="AI23">
        <v>49.21</v>
      </c>
      <c r="AJ23">
        <v>34.270000000000003</v>
      </c>
      <c r="AK23">
        <v>31.46</v>
      </c>
      <c r="AL23">
        <v>31.46</v>
      </c>
      <c r="AM23">
        <v>100.34</v>
      </c>
      <c r="AN23">
        <v>156</v>
      </c>
      <c r="AO23">
        <v>139.69999999999999</v>
      </c>
      <c r="AP23">
        <v>10.4</v>
      </c>
      <c r="AQ23">
        <v>598</v>
      </c>
      <c r="AR23">
        <v>3.9</v>
      </c>
      <c r="AS23">
        <v>18</v>
      </c>
      <c r="AT23">
        <v>11</v>
      </c>
      <c r="AU23">
        <v>348</v>
      </c>
      <c r="AV23">
        <v>15.45</v>
      </c>
      <c r="AW23">
        <v>96.39</v>
      </c>
      <c r="AX23">
        <v>21</v>
      </c>
      <c r="AY23">
        <v>-44.17</v>
      </c>
      <c r="AZ23">
        <v>14.39</v>
      </c>
      <c r="BA23">
        <v>120.23</v>
      </c>
      <c r="BB23">
        <v>34.74</v>
      </c>
      <c r="BC23" t="s">
        <v>1091</v>
      </c>
      <c r="BD23" t="s">
        <v>161</v>
      </c>
      <c r="BE23">
        <v>35.85</v>
      </c>
      <c r="BF23">
        <v>127.13</v>
      </c>
      <c r="BG23">
        <v>43.1</v>
      </c>
      <c r="BH23">
        <v>13</v>
      </c>
      <c r="BI23">
        <v>0.7</v>
      </c>
      <c r="BJ23" t="s">
        <v>788</v>
      </c>
      <c r="BK23" t="s">
        <v>161</v>
      </c>
      <c r="BL23">
        <v>-0.81</v>
      </c>
      <c r="BM23" t="s">
        <v>159</v>
      </c>
      <c r="BN23">
        <v>0</v>
      </c>
      <c r="BO23">
        <v>0</v>
      </c>
      <c r="BP23">
        <v>0.01</v>
      </c>
      <c r="BQ23">
        <v>0.04</v>
      </c>
      <c r="BR23">
        <v>0.96</v>
      </c>
      <c r="BS23">
        <v>1.32</v>
      </c>
      <c r="BT23" t="s">
        <v>159</v>
      </c>
      <c r="BU23">
        <v>150</v>
      </c>
      <c r="BV23">
        <v>0</v>
      </c>
      <c r="BW23">
        <v>2</v>
      </c>
      <c r="BX23">
        <v>0.06</v>
      </c>
      <c r="BY23">
        <v>0</v>
      </c>
      <c r="BZ23">
        <v>0.03</v>
      </c>
      <c r="CA23">
        <v>0</v>
      </c>
      <c r="CB23">
        <v>0</v>
      </c>
      <c r="CC23">
        <v>0</v>
      </c>
      <c r="CD23" t="s">
        <v>217</v>
      </c>
      <c r="CE23" t="s">
        <v>218</v>
      </c>
      <c r="CF23" t="s">
        <v>219</v>
      </c>
      <c r="CG23">
        <v>6000</v>
      </c>
      <c r="CH23">
        <v>500</v>
      </c>
      <c r="CI23">
        <v>1</v>
      </c>
      <c r="CJ23">
        <v>2</v>
      </c>
      <c r="CK23">
        <v>55537</v>
      </c>
      <c r="CL23">
        <v>55537</v>
      </c>
      <c r="CM23">
        <v>55537</v>
      </c>
      <c r="CN23">
        <v>0</v>
      </c>
      <c r="CO23">
        <v>-9999</v>
      </c>
      <c r="CP23">
        <v>0</v>
      </c>
      <c r="CQ23">
        <v>0</v>
      </c>
      <c r="CR23">
        <v>0</v>
      </c>
      <c r="CS23">
        <v>0</v>
      </c>
      <c r="CT23">
        <v>2.5</v>
      </c>
      <c r="CU23">
        <v>2.4500000000000002</v>
      </c>
      <c r="CV23">
        <v>1.67</v>
      </c>
      <c r="CW23">
        <v>0.9</v>
      </c>
      <c r="CX23">
        <v>0.19</v>
      </c>
      <c r="CY23">
        <v>-0.03</v>
      </c>
      <c r="CZ23">
        <v>0.21</v>
      </c>
      <c r="DA23">
        <v>0.63</v>
      </c>
      <c r="DB23">
        <v>132.86000000000001</v>
      </c>
      <c r="DC23">
        <v>0</v>
      </c>
      <c r="DD23">
        <v>2.42</v>
      </c>
      <c r="DE23">
        <v>0</v>
      </c>
      <c r="DF23">
        <v>1</v>
      </c>
      <c r="DG23">
        <v>2.37</v>
      </c>
      <c r="DH23">
        <v>0</v>
      </c>
      <c r="DI23">
        <v>1</v>
      </c>
      <c r="DJ23">
        <v>0.6</v>
      </c>
      <c r="DK23">
        <v>0.6</v>
      </c>
      <c r="DL23">
        <v>0.11</v>
      </c>
      <c r="DM23">
        <v>0</v>
      </c>
      <c r="DN23" t="s">
        <v>1074</v>
      </c>
      <c r="DO23" t="s">
        <v>240</v>
      </c>
      <c r="DP23" t="s">
        <v>241</v>
      </c>
      <c r="DQ23" t="s">
        <v>242</v>
      </c>
      <c r="DR23" t="s">
        <v>243</v>
      </c>
      <c r="DS23" t="s">
        <v>244</v>
      </c>
      <c r="DT23" t="s">
        <v>245</v>
      </c>
    </row>
    <row r="24" spans="1:124" x14ac:dyDescent="0.45">
      <c r="A24" t="s">
        <v>1106</v>
      </c>
      <c r="B24" t="s">
        <v>1107</v>
      </c>
      <c r="C24" t="s">
        <v>161</v>
      </c>
      <c r="D24" t="s">
        <v>162</v>
      </c>
      <c r="E24" t="s">
        <v>163</v>
      </c>
      <c r="I24" t="s">
        <v>1108</v>
      </c>
      <c r="J24">
        <v>0.62</v>
      </c>
      <c r="K24">
        <v>2.91</v>
      </c>
      <c r="L24">
        <v>0.51</v>
      </c>
      <c r="M24">
        <v>9.48</v>
      </c>
      <c r="N24">
        <v>2.75</v>
      </c>
      <c r="O24">
        <v>2.4900000000000002</v>
      </c>
      <c r="P24">
        <v>4.55</v>
      </c>
      <c r="Q24">
        <v>1.8</v>
      </c>
      <c r="R24">
        <v>24.78</v>
      </c>
      <c r="S24">
        <v>27.39</v>
      </c>
      <c r="T24">
        <v>45.35</v>
      </c>
      <c r="U24">
        <v>0.44</v>
      </c>
      <c r="V24">
        <v>7.5</v>
      </c>
      <c r="W24" t="s">
        <v>1113</v>
      </c>
      <c r="X24">
        <v>0</v>
      </c>
      <c r="Y24">
        <v>0</v>
      </c>
      <c r="Z24">
        <v>0</v>
      </c>
      <c r="AA24">
        <v>150.12</v>
      </c>
      <c r="AB24">
        <v>449.46</v>
      </c>
      <c r="AC24">
        <v>0.67</v>
      </c>
      <c r="AD24">
        <v>0.5</v>
      </c>
      <c r="AE24">
        <v>0.84</v>
      </c>
      <c r="AF24">
        <v>128.11000000000001</v>
      </c>
      <c r="AG24">
        <v>1</v>
      </c>
      <c r="AH24">
        <v>50.45</v>
      </c>
      <c r="AI24">
        <v>45.64</v>
      </c>
      <c r="AJ24">
        <v>34.35</v>
      </c>
      <c r="AK24">
        <v>31.15</v>
      </c>
      <c r="AL24">
        <v>31.15</v>
      </c>
      <c r="AM24">
        <v>100.34</v>
      </c>
      <c r="AN24">
        <v>156.1</v>
      </c>
      <c r="AO24">
        <v>154.4</v>
      </c>
      <c r="AP24">
        <v>1.1000000000000001</v>
      </c>
      <c r="AQ24">
        <v>458</v>
      </c>
      <c r="AR24">
        <v>3.9</v>
      </c>
      <c r="AS24">
        <v>9</v>
      </c>
      <c r="AT24">
        <v>28</v>
      </c>
      <c r="AU24">
        <v>8</v>
      </c>
      <c r="AV24">
        <v>6.25</v>
      </c>
      <c r="AW24">
        <v>99.41</v>
      </c>
      <c r="AX24">
        <v>29.3</v>
      </c>
      <c r="AY24">
        <v>-65.61</v>
      </c>
      <c r="AZ24">
        <v>14.39</v>
      </c>
      <c r="BA24">
        <v>120.23</v>
      </c>
      <c r="BB24">
        <v>34.74</v>
      </c>
      <c r="BC24" t="s">
        <v>1128</v>
      </c>
      <c r="BD24" t="s">
        <v>161</v>
      </c>
      <c r="BE24">
        <v>35.85</v>
      </c>
      <c r="BF24">
        <v>127.13</v>
      </c>
      <c r="BG24">
        <v>43.1</v>
      </c>
      <c r="BH24">
        <v>13</v>
      </c>
      <c r="BI24">
        <v>0.73</v>
      </c>
      <c r="BJ24" t="s">
        <v>788</v>
      </c>
      <c r="BK24" t="s">
        <v>161</v>
      </c>
      <c r="BL24">
        <v>-0.81</v>
      </c>
      <c r="BM24" t="s">
        <v>159</v>
      </c>
      <c r="BN24">
        <v>0</v>
      </c>
      <c r="BO24">
        <v>0</v>
      </c>
      <c r="BP24">
        <v>0</v>
      </c>
      <c r="BQ24">
        <v>-0.09</v>
      </c>
      <c r="BR24">
        <v>-0.6</v>
      </c>
      <c r="BS24">
        <v>-0.37</v>
      </c>
      <c r="BT24" t="s">
        <v>159</v>
      </c>
      <c r="BU24">
        <v>150</v>
      </c>
      <c r="BV24">
        <v>0</v>
      </c>
      <c r="BW24">
        <v>2</v>
      </c>
      <c r="BX24">
        <v>0.06</v>
      </c>
      <c r="BY24">
        <v>0</v>
      </c>
      <c r="BZ24">
        <v>0.03</v>
      </c>
      <c r="CA24">
        <v>0</v>
      </c>
      <c r="CB24">
        <v>0</v>
      </c>
      <c r="CC24">
        <v>0</v>
      </c>
      <c r="CD24" t="s">
        <v>217</v>
      </c>
      <c r="CE24" t="s">
        <v>218</v>
      </c>
      <c r="CF24" t="s">
        <v>219</v>
      </c>
      <c r="CG24">
        <v>6000</v>
      </c>
      <c r="CH24">
        <v>500</v>
      </c>
      <c r="CI24">
        <v>1</v>
      </c>
      <c r="CJ24">
        <v>2</v>
      </c>
      <c r="CK24">
        <v>55537</v>
      </c>
      <c r="CL24">
        <v>55537</v>
      </c>
      <c r="CM24">
        <v>55537</v>
      </c>
      <c r="CN24">
        <v>0</v>
      </c>
      <c r="CO24">
        <v>-9999</v>
      </c>
      <c r="CP24">
        <v>0</v>
      </c>
      <c r="CQ24">
        <v>0</v>
      </c>
      <c r="CR24">
        <v>0</v>
      </c>
      <c r="CS24">
        <v>0</v>
      </c>
      <c r="CT24">
        <v>2.5</v>
      </c>
      <c r="CU24">
        <v>2.44</v>
      </c>
      <c r="CV24">
        <v>1.67</v>
      </c>
      <c r="CW24">
        <v>0.94</v>
      </c>
      <c r="CX24">
        <v>0.19</v>
      </c>
      <c r="CY24">
        <v>-0.04</v>
      </c>
      <c r="CZ24">
        <v>0.21</v>
      </c>
      <c r="DA24">
        <v>0.51</v>
      </c>
      <c r="DB24">
        <v>150.12</v>
      </c>
      <c r="DC24">
        <v>0</v>
      </c>
      <c r="DD24">
        <v>2.42</v>
      </c>
      <c r="DE24">
        <v>0</v>
      </c>
      <c r="DF24">
        <v>1</v>
      </c>
      <c r="DG24">
        <v>2.37</v>
      </c>
      <c r="DH24">
        <v>0</v>
      </c>
      <c r="DI24">
        <v>1</v>
      </c>
      <c r="DJ24">
        <v>0.6</v>
      </c>
      <c r="DK24">
        <v>0.6</v>
      </c>
      <c r="DL24">
        <v>0.11</v>
      </c>
      <c r="DM24">
        <v>0</v>
      </c>
      <c r="DN24" t="s">
        <v>1113</v>
      </c>
      <c r="DO24" t="s">
        <v>240</v>
      </c>
      <c r="DP24" t="s">
        <v>241</v>
      </c>
      <c r="DQ24" t="s">
        <v>242</v>
      </c>
      <c r="DR24" t="s">
        <v>243</v>
      </c>
      <c r="DS24" t="s">
        <v>244</v>
      </c>
      <c r="DT24" t="s">
        <v>245</v>
      </c>
    </row>
    <row r="25" spans="1:124" x14ac:dyDescent="0.45">
      <c r="A25" t="s">
        <v>1141</v>
      </c>
      <c r="B25" t="s">
        <v>1142</v>
      </c>
      <c r="C25" t="s">
        <v>161</v>
      </c>
      <c r="D25" t="s">
        <v>162</v>
      </c>
      <c r="E25" t="s">
        <v>163</v>
      </c>
      <c r="I25" t="s">
        <v>1143</v>
      </c>
      <c r="J25">
        <v>0.26</v>
      </c>
      <c r="K25">
        <v>2.91</v>
      </c>
      <c r="L25">
        <v>0.23</v>
      </c>
      <c r="M25">
        <v>5.31</v>
      </c>
      <c r="N25">
        <v>2.67</v>
      </c>
      <c r="O25">
        <v>2.5299999999999998</v>
      </c>
      <c r="P25">
        <v>4.8600000000000003</v>
      </c>
      <c r="Q25">
        <v>2.1800000000000002</v>
      </c>
      <c r="R25">
        <v>25.19</v>
      </c>
      <c r="S25">
        <v>26.65</v>
      </c>
      <c r="T25">
        <v>48.43</v>
      </c>
      <c r="U25">
        <v>0.44</v>
      </c>
      <c r="V25">
        <v>7.5</v>
      </c>
      <c r="W25" t="s">
        <v>1148</v>
      </c>
      <c r="X25">
        <v>0</v>
      </c>
      <c r="Y25">
        <v>0</v>
      </c>
      <c r="Z25">
        <v>0</v>
      </c>
      <c r="AA25">
        <v>144.97999999999999</v>
      </c>
      <c r="AB25">
        <v>473.39</v>
      </c>
      <c r="AC25">
        <v>0.69</v>
      </c>
      <c r="AD25">
        <v>0.5</v>
      </c>
      <c r="AE25">
        <v>0.84</v>
      </c>
      <c r="AF25">
        <v>136.65</v>
      </c>
      <c r="AG25">
        <v>1</v>
      </c>
      <c r="AH25">
        <v>48.81</v>
      </c>
      <c r="AI25">
        <v>46.13</v>
      </c>
      <c r="AJ25">
        <v>34.450000000000003</v>
      </c>
      <c r="AK25">
        <v>32.31</v>
      </c>
      <c r="AL25">
        <v>32.31</v>
      </c>
      <c r="AM25">
        <v>100.34</v>
      </c>
      <c r="AN25">
        <v>156.1</v>
      </c>
      <c r="AO25">
        <v>153.19999999999999</v>
      </c>
      <c r="AP25">
        <v>1.8</v>
      </c>
      <c r="AQ25">
        <v>469</v>
      </c>
      <c r="AR25">
        <v>3.9</v>
      </c>
      <c r="AS25">
        <v>-8</v>
      </c>
      <c r="AT25">
        <v>56</v>
      </c>
      <c r="AU25">
        <v>340</v>
      </c>
      <c r="AV25">
        <v>43.87</v>
      </c>
      <c r="AW25">
        <v>72.09</v>
      </c>
      <c r="AX25">
        <v>56.38</v>
      </c>
      <c r="AY25">
        <v>-115.36</v>
      </c>
      <c r="AZ25">
        <v>14.39</v>
      </c>
      <c r="BA25">
        <v>120.53</v>
      </c>
      <c r="BB25">
        <v>34.56</v>
      </c>
      <c r="BC25" t="s">
        <v>1167</v>
      </c>
      <c r="BD25" t="s">
        <v>161</v>
      </c>
      <c r="BE25">
        <v>35.85</v>
      </c>
      <c r="BF25">
        <v>127.13</v>
      </c>
      <c r="BG25">
        <v>43</v>
      </c>
      <c r="BH25">
        <v>14</v>
      </c>
      <c r="BI25">
        <v>0.72</v>
      </c>
      <c r="BJ25" t="s">
        <v>788</v>
      </c>
      <c r="BK25" t="s">
        <v>161</v>
      </c>
      <c r="BL25">
        <v>-0.81</v>
      </c>
      <c r="BM25" t="s">
        <v>159</v>
      </c>
      <c r="BN25">
        <v>0</v>
      </c>
      <c r="BO25">
        <v>0</v>
      </c>
      <c r="BP25">
        <v>0</v>
      </c>
      <c r="BQ25">
        <v>0.23</v>
      </c>
      <c r="BR25">
        <v>-0.31</v>
      </c>
      <c r="BS25">
        <v>-0.33</v>
      </c>
      <c r="BT25" t="s">
        <v>159</v>
      </c>
      <c r="BU25">
        <v>150</v>
      </c>
      <c r="BV25">
        <v>0</v>
      </c>
      <c r="BW25">
        <v>2</v>
      </c>
      <c r="BX25">
        <v>0.06</v>
      </c>
      <c r="BY25">
        <v>0</v>
      </c>
      <c r="BZ25">
        <v>0.03</v>
      </c>
      <c r="CA25">
        <v>0</v>
      </c>
      <c r="CB25">
        <v>0</v>
      </c>
      <c r="CC25">
        <v>0</v>
      </c>
      <c r="CD25" t="s">
        <v>217</v>
      </c>
      <c r="CE25" t="s">
        <v>218</v>
      </c>
      <c r="CF25" t="s">
        <v>219</v>
      </c>
      <c r="CG25">
        <v>6000</v>
      </c>
      <c r="CH25">
        <v>500</v>
      </c>
      <c r="CI25">
        <v>1</v>
      </c>
      <c r="CJ25">
        <v>2</v>
      </c>
      <c r="CK25">
        <v>55537</v>
      </c>
      <c r="CL25">
        <v>55537</v>
      </c>
      <c r="CM25">
        <v>55537</v>
      </c>
      <c r="CN25">
        <v>0</v>
      </c>
      <c r="CO25">
        <v>-9999</v>
      </c>
      <c r="CP25">
        <v>0</v>
      </c>
      <c r="CQ25">
        <v>0</v>
      </c>
      <c r="CR25">
        <v>0</v>
      </c>
      <c r="CS25">
        <v>0</v>
      </c>
      <c r="CT25">
        <v>2.5</v>
      </c>
      <c r="CU25">
        <v>2.44</v>
      </c>
      <c r="CV25">
        <v>1.67</v>
      </c>
      <c r="CW25">
        <v>0.94</v>
      </c>
      <c r="CX25">
        <v>0.19</v>
      </c>
      <c r="CY25">
        <v>-0.03</v>
      </c>
      <c r="CZ25">
        <v>0.22</v>
      </c>
      <c r="DA25">
        <v>0.52</v>
      </c>
      <c r="DB25">
        <v>144.97999999999999</v>
      </c>
      <c r="DC25">
        <v>0</v>
      </c>
      <c r="DD25">
        <v>2.42</v>
      </c>
      <c r="DE25">
        <v>0</v>
      </c>
      <c r="DF25">
        <v>1</v>
      </c>
      <c r="DG25">
        <v>2.37</v>
      </c>
      <c r="DH25">
        <v>0</v>
      </c>
      <c r="DI25">
        <v>1</v>
      </c>
      <c r="DJ25">
        <v>0.6</v>
      </c>
      <c r="DK25">
        <v>0.6</v>
      </c>
      <c r="DL25">
        <v>0.11</v>
      </c>
      <c r="DM25">
        <v>0</v>
      </c>
      <c r="DN25" t="s">
        <v>1148</v>
      </c>
      <c r="DO25" t="s">
        <v>240</v>
      </c>
      <c r="DP25" t="s">
        <v>241</v>
      </c>
      <c r="DQ25" t="s">
        <v>242</v>
      </c>
      <c r="DR25" t="s">
        <v>243</v>
      </c>
      <c r="DS25" t="s">
        <v>244</v>
      </c>
      <c r="DT25" t="s">
        <v>245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selection activeCell="D5" sqref="D5"/>
    </sheetView>
  </sheetViews>
  <sheetFormatPr defaultRowHeight="19.2" x14ac:dyDescent="0.45"/>
  <sheetData>
    <row r="1" spans="1:10" x14ac:dyDescent="0.45">
      <c r="A1" t="s">
        <v>15</v>
      </c>
      <c r="B1" t="s">
        <v>23</v>
      </c>
      <c r="C1" t="s">
        <v>1184</v>
      </c>
      <c r="D1" t="s">
        <v>30</v>
      </c>
      <c r="E1" t="s">
        <v>40</v>
      </c>
      <c r="F1" t="s">
        <v>41</v>
      </c>
      <c r="G1" t="s">
        <v>42</v>
      </c>
      <c r="H1" t="s">
        <v>45</v>
      </c>
      <c r="I1" t="s">
        <v>56</v>
      </c>
      <c r="J1" t="s">
        <v>51</v>
      </c>
    </row>
    <row r="2" spans="1:10" x14ac:dyDescent="0.45">
      <c r="A2" t="s">
        <v>160</v>
      </c>
      <c r="B2">
        <v>0.51</v>
      </c>
      <c r="C2" s="6">
        <v>0.41277961528010998</v>
      </c>
      <c r="D2">
        <v>1.72</v>
      </c>
      <c r="E2">
        <v>222.22</v>
      </c>
      <c r="F2">
        <v>344.46</v>
      </c>
      <c r="G2">
        <v>0.35</v>
      </c>
      <c r="H2">
        <v>213.73</v>
      </c>
      <c r="I2">
        <v>1434</v>
      </c>
      <c r="J2">
        <v>30.14</v>
      </c>
    </row>
    <row r="3" spans="1:10" x14ac:dyDescent="0.45">
      <c r="A3" t="s">
        <v>247</v>
      </c>
      <c r="B3">
        <v>0.65</v>
      </c>
      <c r="C3" s="6">
        <v>0.49929959301308302</v>
      </c>
      <c r="D3">
        <v>1.65</v>
      </c>
      <c r="E3">
        <v>183.77</v>
      </c>
      <c r="F3">
        <v>323.08</v>
      </c>
      <c r="G3">
        <v>0.43</v>
      </c>
      <c r="H3">
        <v>258.79000000000002</v>
      </c>
      <c r="I3">
        <v>1429</v>
      </c>
      <c r="J3">
        <v>29.51</v>
      </c>
    </row>
    <row r="4" spans="1:10" x14ac:dyDescent="0.45">
      <c r="A4" t="s">
        <v>292</v>
      </c>
      <c r="B4">
        <v>0.96</v>
      </c>
      <c r="C4" s="6">
        <v>0.66974552623848804</v>
      </c>
      <c r="D4">
        <v>1.51</v>
      </c>
      <c r="E4">
        <v>206.66</v>
      </c>
      <c r="F4">
        <v>354.64</v>
      </c>
      <c r="G4">
        <v>0.42</v>
      </c>
      <c r="H4">
        <v>226.43</v>
      </c>
      <c r="I4">
        <v>1292</v>
      </c>
      <c r="J4">
        <v>28.83</v>
      </c>
    </row>
    <row r="5" spans="1:10" x14ac:dyDescent="0.45">
      <c r="A5" t="s">
        <v>339</v>
      </c>
      <c r="B5">
        <v>0.17</v>
      </c>
      <c r="C5" s="6">
        <v>0.162654199102336</v>
      </c>
      <c r="D5">
        <v>2.4300000000000002</v>
      </c>
      <c r="E5">
        <v>166.98</v>
      </c>
      <c r="F5">
        <v>253.96</v>
      </c>
      <c r="G5">
        <v>0.34</v>
      </c>
      <c r="H5">
        <v>205.42</v>
      </c>
      <c r="I5">
        <v>1428</v>
      </c>
      <c r="J5">
        <v>31.97</v>
      </c>
    </row>
    <row r="6" spans="1:10" x14ac:dyDescent="0.45">
      <c r="A6" t="s">
        <v>387</v>
      </c>
      <c r="B6">
        <v>0.24</v>
      </c>
      <c r="C6" s="6">
        <v>0.225170331347707</v>
      </c>
      <c r="D6">
        <v>2.25</v>
      </c>
      <c r="E6">
        <v>150.72</v>
      </c>
      <c r="F6">
        <v>242.27</v>
      </c>
      <c r="G6">
        <v>0.38</v>
      </c>
      <c r="H6">
        <v>212.37</v>
      </c>
      <c r="I6">
        <v>1338</v>
      </c>
      <c r="J6">
        <v>31.24</v>
      </c>
    </row>
    <row r="7" spans="1:10" x14ac:dyDescent="0.45">
      <c r="A7" t="s">
        <v>428</v>
      </c>
      <c r="B7">
        <v>0.28999999999999998</v>
      </c>
      <c r="C7" s="6">
        <v>0.265061019090362</v>
      </c>
      <c r="D7">
        <v>2.14</v>
      </c>
      <c r="E7">
        <v>163.02000000000001</v>
      </c>
      <c r="F7">
        <v>241.44</v>
      </c>
      <c r="G7">
        <v>0.32</v>
      </c>
      <c r="H7">
        <v>138.07</v>
      </c>
      <c r="I7">
        <v>1012</v>
      </c>
      <c r="J7">
        <v>31.03</v>
      </c>
    </row>
    <row r="8" spans="1:10" x14ac:dyDescent="0.45">
      <c r="A8" t="s">
        <v>473</v>
      </c>
      <c r="B8">
        <v>0.59</v>
      </c>
      <c r="C8" s="6">
        <v>0.46345047982820398</v>
      </c>
      <c r="D8">
        <v>1.78</v>
      </c>
      <c r="E8">
        <v>165.62</v>
      </c>
      <c r="F8">
        <v>344.84</v>
      </c>
      <c r="G8">
        <v>0.52</v>
      </c>
      <c r="H8">
        <v>286.17</v>
      </c>
      <c r="I8">
        <v>1311</v>
      </c>
      <c r="J8">
        <v>30.42</v>
      </c>
    </row>
    <row r="9" spans="1:10" x14ac:dyDescent="0.45">
      <c r="A9" t="s">
        <v>515</v>
      </c>
      <c r="B9">
        <v>0.56000000000000005</v>
      </c>
      <c r="C9" s="6">
        <v>0.450725754045117</v>
      </c>
      <c r="D9">
        <v>2.0099999999999998</v>
      </c>
      <c r="E9">
        <v>137.44999999999999</v>
      </c>
      <c r="F9">
        <v>202.34</v>
      </c>
      <c r="G9">
        <v>0.32</v>
      </c>
      <c r="H9">
        <v>212.42</v>
      </c>
      <c r="I9">
        <v>1577</v>
      </c>
      <c r="J9">
        <v>31.49</v>
      </c>
    </row>
    <row r="10" spans="1:10" x14ac:dyDescent="0.45">
      <c r="A10" t="s">
        <v>556</v>
      </c>
      <c r="B10">
        <v>0.72</v>
      </c>
      <c r="C10" s="6">
        <v>0.53879165118801198</v>
      </c>
      <c r="D10">
        <v>1.66</v>
      </c>
      <c r="E10">
        <v>211.1</v>
      </c>
      <c r="F10">
        <v>410.28</v>
      </c>
      <c r="G10">
        <v>0.49</v>
      </c>
      <c r="H10">
        <v>237.74</v>
      </c>
      <c r="I10">
        <v>1166</v>
      </c>
      <c r="J10">
        <v>30.16</v>
      </c>
    </row>
    <row r="11" spans="1:10" x14ac:dyDescent="0.45">
      <c r="A11" t="s">
        <v>595</v>
      </c>
      <c r="B11">
        <v>0.53</v>
      </c>
      <c r="C11" s="6">
        <v>0.43133700412340598</v>
      </c>
      <c r="D11">
        <v>2.0499999999999998</v>
      </c>
      <c r="E11">
        <v>151.35</v>
      </c>
      <c r="F11">
        <v>232.23</v>
      </c>
      <c r="G11">
        <v>0.35</v>
      </c>
      <c r="H11">
        <v>243.25</v>
      </c>
      <c r="I11">
        <v>1663</v>
      </c>
      <c r="J11">
        <v>31.35</v>
      </c>
    </row>
    <row r="12" spans="1:10" x14ac:dyDescent="0.45">
      <c r="A12" t="s">
        <v>634</v>
      </c>
      <c r="B12">
        <v>0.42</v>
      </c>
      <c r="C12" s="6">
        <v>0.35954828515637399</v>
      </c>
      <c r="D12">
        <v>2.25</v>
      </c>
      <c r="E12">
        <v>152.65</v>
      </c>
      <c r="F12">
        <v>211.44</v>
      </c>
      <c r="G12">
        <v>0.28000000000000003</v>
      </c>
      <c r="H12">
        <v>192.59</v>
      </c>
      <c r="I12">
        <v>1649</v>
      </c>
      <c r="J12">
        <v>32.14</v>
      </c>
    </row>
    <row r="13" spans="1:10" x14ac:dyDescent="0.45">
      <c r="A13" t="s">
        <v>672</v>
      </c>
      <c r="B13">
        <v>0.56999999999999995</v>
      </c>
      <c r="C13" s="6">
        <v>0.45105031943864698</v>
      </c>
      <c r="D13">
        <v>1.74</v>
      </c>
      <c r="E13">
        <v>154.55000000000001</v>
      </c>
      <c r="F13">
        <v>373.4</v>
      </c>
      <c r="G13">
        <v>0.59</v>
      </c>
      <c r="H13">
        <v>237.06</v>
      </c>
      <c r="I13">
        <v>963</v>
      </c>
      <c r="J13">
        <v>30.8</v>
      </c>
    </row>
    <row r="14" spans="1:10" x14ac:dyDescent="0.45">
      <c r="A14" t="s">
        <v>715</v>
      </c>
      <c r="B14">
        <v>0.55000000000000004</v>
      </c>
      <c r="C14" s="6">
        <v>0.44053357224782602</v>
      </c>
      <c r="D14">
        <v>1.67</v>
      </c>
      <c r="E14">
        <v>139.66999999999999</v>
      </c>
      <c r="F14">
        <v>477.79</v>
      </c>
      <c r="G14">
        <v>0.71</v>
      </c>
      <c r="H14">
        <v>115.02</v>
      </c>
      <c r="I14">
        <v>387</v>
      </c>
      <c r="J14">
        <v>30.12</v>
      </c>
    </row>
    <row r="15" spans="1:10" x14ac:dyDescent="0.45">
      <c r="A15" t="s">
        <v>758</v>
      </c>
      <c r="B15">
        <v>0.7</v>
      </c>
      <c r="C15" s="6">
        <v>0.524236998238225</v>
      </c>
      <c r="D15">
        <v>1.58</v>
      </c>
      <c r="E15">
        <v>144.30000000000001</v>
      </c>
      <c r="F15">
        <v>390.39</v>
      </c>
      <c r="G15">
        <v>0.63</v>
      </c>
      <c r="H15">
        <v>125.5</v>
      </c>
      <c r="I15">
        <v>474</v>
      </c>
      <c r="J15">
        <v>30.42</v>
      </c>
    </row>
    <row r="16" spans="1:10" x14ac:dyDescent="0.45">
      <c r="A16" t="s">
        <v>804</v>
      </c>
      <c r="B16">
        <v>0.46</v>
      </c>
      <c r="C16" s="6">
        <v>0.37673480484463601</v>
      </c>
      <c r="D16">
        <v>1.86</v>
      </c>
      <c r="E16">
        <v>144.07</v>
      </c>
      <c r="F16">
        <v>357.11</v>
      </c>
      <c r="G16">
        <v>0.6</v>
      </c>
      <c r="H16">
        <v>161.36000000000001</v>
      </c>
      <c r="I16">
        <v>644</v>
      </c>
      <c r="J16">
        <v>31.38</v>
      </c>
    </row>
    <row r="17" spans="1:10" x14ac:dyDescent="0.45">
      <c r="A17" t="s">
        <v>845</v>
      </c>
      <c r="B17">
        <v>0.44</v>
      </c>
      <c r="C17" s="6">
        <v>0.36349640741728501</v>
      </c>
      <c r="D17">
        <v>1.86</v>
      </c>
      <c r="E17">
        <v>124.25</v>
      </c>
      <c r="F17">
        <v>367.59</v>
      </c>
      <c r="G17">
        <v>0.66</v>
      </c>
      <c r="H17">
        <v>150.41</v>
      </c>
      <c r="I17">
        <v>541</v>
      </c>
      <c r="J17">
        <v>31.67</v>
      </c>
    </row>
    <row r="18" spans="1:10" x14ac:dyDescent="0.45">
      <c r="A18" t="s">
        <v>881</v>
      </c>
      <c r="B18">
        <v>0.55000000000000004</v>
      </c>
      <c r="C18" s="6">
        <v>0.43476048975398002</v>
      </c>
      <c r="D18">
        <v>1.77</v>
      </c>
      <c r="E18">
        <v>137.65</v>
      </c>
      <c r="F18">
        <v>477.24</v>
      </c>
      <c r="G18">
        <v>0.71</v>
      </c>
      <c r="H18">
        <v>129.11000000000001</v>
      </c>
      <c r="I18">
        <v>432</v>
      </c>
      <c r="J18">
        <v>31.14</v>
      </c>
    </row>
    <row r="19" spans="1:10" x14ac:dyDescent="0.45">
      <c r="A19" t="s">
        <v>922</v>
      </c>
      <c r="B19">
        <v>0.35</v>
      </c>
      <c r="C19" s="6">
        <v>0.30231849832562502</v>
      </c>
      <c r="D19">
        <v>2.04</v>
      </c>
      <c r="E19">
        <v>151.4</v>
      </c>
      <c r="F19">
        <v>373.02</v>
      </c>
      <c r="G19">
        <v>0.59</v>
      </c>
      <c r="H19">
        <v>171.92</v>
      </c>
      <c r="I19">
        <v>689</v>
      </c>
      <c r="J19">
        <v>32.5</v>
      </c>
    </row>
    <row r="20" spans="1:10" x14ac:dyDescent="0.45">
      <c r="A20" t="s">
        <v>959</v>
      </c>
      <c r="B20">
        <v>0.86</v>
      </c>
      <c r="C20" s="6">
        <v>0.607940200865282</v>
      </c>
      <c r="D20">
        <v>1.73</v>
      </c>
      <c r="E20">
        <v>150.93</v>
      </c>
      <c r="F20">
        <v>302.97000000000003</v>
      </c>
      <c r="G20">
        <v>0.5</v>
      </c>
      <c r="H20">
        <v>201.91</v>
      </c>
      <c r="I20">
        <v>958</v>
      </c>
      <c r="J20">
        <v>31.23</v>
      </c>
    </row>
    <row r="21" spans="1:10" x14ac:dyDescent="0.45">
      <c r="A21" t="s">
        <v>995</v>
      </c>
      <c r="B21">
        <v>0.9</v>
      </c>
      <c r="C21" s="6">
        <v>0.62584411664350503</v>
      </c>
      <c r="D21">
        <v>1.66</v>
      </c>
      <c r="E21">
        <v>154.61000000000001</v>
      </c>
      <c r="F21">
        <v>385.92</v>
      </c>
      <c r="G21">
        <v>0.6</v>
      </c>
      <c r="H21">
        <v>210.46</v>
      </c>
      <c r="I21">
        <v>836</v>
      </c>
      <c r="J21">
        <v>30.78</v>
      </c>
    </row>
    <row r="22" spans="1:10" x14ac:dyDescent="0.45">
      <c r="A22" t="s">
        <v>1032</v>
      </c>
      <c r="B22">
        <v>0.65</v>
      </c>
      <c r="C22" s="6">
        <v>0.496365784335636</v>
      </c>
      <c r="D22">
        <v>1.8</v>
      </c>
      <c r="E22">
        <v>157.66999999999999</v>
      </c>
      <c r="F22">
        <v>410.66</v>
      </c>
      <c r="G22">
        <v>0.62</v>
      </c>
      <c r="H22">
        <v>213.98</v>
      </c>
      <c r="I22">
        <v>827</v>
      </c>
      <c r="J22">
        <v>31.28</v>
      </c>
    </row>
    <row r="23" spans="1:10" x14ac:dyDescent="0.45">
      <c r="A23" t="s">
        <v>1068</v>
      </c>
      <c r="B23">
        <v>0.73</v>
      </c>
      <c r="C23" s="6">
        <v>0.53682423062414997</v>
      </c>
      <c r="D23">
        <v>1.68</v>
      </c>
      <c r="E23">
        <v>132.86000000000001</v>
      </c>
      <c r="F23">
        <v>413.63</v>
      </c>
      <c r="G23">
        <v>0.68</v>
      </c>
      <c r="H23">
        <v>170.48</v>
      </c>
      <c r="I23">
        <v>598</v>
      </c>
      <c r="J23">
        <v>31.46</v>
      </c>
    </row>
    <row r="24" spans="1:10" x14ac:dyDescent="0.45">
      <c r="A24" t="s">
        <v>1107</v>
      </c>
      <c r="B24">
        <v>0.62</v>
      </c>
      <c r="C24" s="6">
        <v>0.47913848572316298</v>
      </c>
      <c r="D24">
        <v>1.8</v>
      </c>
      <c r="E24">
        <v>150.12</v>
      </c>
      <c r="F24">
        <v>449.46</v>
      </c>
      <c r="G24">
        <v>0.67</v>
      </c>
      <c r="H24">
        <v>128.11000000000001</v>
      </c>
      <c r="I24">
        <v>458</v>
      </c>
      <c r="J24">
        <v>31.15</v>
      </c>
    </row>
    <row r="25" spans="1:10" x14ac:dyDescent="0.45">
      <c r="A25" t="s">
        <v>1142</v>
      </c>
      <c r="B25">
        <v>0.26</v>
      </c>
      <c r="C25" s="6">
        <v>0.23233051593305901</v>
      </c>
      <c r="D25">
        <v>144.97999999999999</v>
      </c>
      <c r="E25">
        <v>473.39</v>
      </c>
      <c r="F25">
        <v>0.69</v>
      </c>
      <c r="G25">
        <v>136.65</v>
      </c>
      <c r="H25">
        <v>469</v>
      </c>
      <c r="I25">
        <v>32.31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8A94-E563-4B52-8457-4C0580729EA7}">
  <dimension ref="A1:U25"/>
  <sheetViews>
    <sheetView tabSelected="1" workbookViewId="0">
      <selection activeCell="V1" sqref="V1"/>
    </sheetView>
  </sheetViews>
  <sheetFormatPr defaultRowHeight="19.2" x14ac:dyDescent="0.45"/>
  <sheetData>
    <row r="1" spans="1:21" ht="19.8" thickBot="1" x14ac:dyDescent="0.5">
      <c r="A1" s="1" t="s">
        <v>1182</v>
      </c>
      <c r="B1" s="2" t="s">
        <v>1183</v>
      </c>
      <c r="C1" s="2" t="s">
        <v>15</v>
      </c>
      <c r="D1" s="2" t="s">
        <v>23</v>
      </c>
      <c r="E1" s="2" t="s">
        <v>1184</v>
      </c>
      <c r="F1" s="2" t="s">
        <v>30</v>
      </c>
      <c r="G1" s="2" t="s">
        <v>40</v>
      </c>
      <c r="H1" s="2" t="s">
        <v>41</v>
      </c>
      <c r="I1" s="2" t="s">
        <v>42</v>
      </c>
      <c r="J1" s="2" t="s">
        <v>45</v>
      </c>
      <c r="K1" s="2" t="s">
        <v>56</v>
      </c>
      <c r="L1" s="3" t="s">
        <v>51</v>
      </c>
      <c r="M1" t="s">
        <v>1185</v>
      </c>
      <c r="N1" s="4" t="s">
        <v>1184</v>
      </c>
      <c r="O1" s="2" t="s">
        <v>30</v>
      </c>
      <c r="P1" s="2" t="s">
        <v>40</v>
      </c>
      <c r="Q1" s="2" t="s">
        <v>41</v>
      </c>
      <c r="R1" s="2" t="s">
        <v>42</v>
      </c>
      <c r="S1" s="2" t="s">
        <v>45</v>
      </c>
      <c r="T1" s="2" t="s">
        <v>56</v>
      </c>
      <c r="U1" s="3" t="s">
        <v>51</v>
      </c>
    </row>
    <row r="2" spans="1:21" ht="19.8" thickTop="1" x14ac:dyDescent="0.45">
      <c r="A2" s="5" t="s">
        <v>1186</v>
      </c>
      <c r="B2">
        <v>1</v>
      </c>
      <c r="C2" t="s">
        <v>160</v>
      </c>
      <c r="D2">
        <v>0.51</v>
      </c>
      <c r="E2" s="6">
        <v>0.41277961528010998</v>
      </c>
      <c r="F2">
        <v>1.72</v>
      </c>
      <c r="G2">
        <v>222.22</v>
      </c>
      <c r="H2">
        <v>344.46</v>
      </c>
      <c r="I2">
        <v>0.35</v>
      </c>
      <c r="J2">
        <v>213.73</v>
      </c>
      <c r="K2">
        <v>1434</v>
      </c>
      <c r="L2">
        <v>30.14</v>
      </c>
      <c r="M2" s="7">
        <f>AVERAGE(D2:D13)</f>
        <v>0.6758333333333334</v>
      </c>
      <c r="N2" s="7">
        <f>AVERAGE(E2:E13)</f>
        <v>0.50887067473067704</v>
      </c>
      <c r="O2" s="7">
        <f t="shared" ref="O2:U2" si="0">AVERAGE(F2:F13)</f>
        <v>1.7191666666666665</v>
      </c>
      <c r="P2" s="7">
        <f t="shared" si="0"/>
        <v>168.17250000000001</v>
      </c>
      <c r="Q2" s="7">
        <f t="shared" si="0"/>
        <v>358.70666666666665</v>
      </c>
      <c r="R2" s="7">
        <f t="shared" si="0"/>
        <v>0.51583333333333325</v>
      </c>
      <c r="S2" s="7">
        <f t="shared" si="0"/>
        <v>205.29250000000002</v>
      </c>
      <c r="T2" s="7">
        <f t="shared" si="0"/>
        <v>1027.9166666666667</v>
      </c>
      <c r="U2" s="7">
        <f t="shared" si="0"/>
        <v>30.48</v>
      </c>
    </row>
    <row r="3" spans="1:21" x14ac:dyDescent="0.45">
      <c r="A3" s="5" t="s">
        <v>1186</v>
      </c>
      <c r="B3">
        <v>1</v>
      </c>
      <c r="C3" t="s">
        <v>247</v>
      </c>
      <c r="D3">
        <v>0.65</v>
      </c>
      <c r="E3" s="6">
        <v>0.49929959301308302</v>
      </c>
      <c r="F3">
        <v>1.65</v>
      </c>
      <c r="G3">
        <v>183.77</v>
      </c>
      <c r="H3">
        <v>323.08</v>
      </c>
      <c r="I3">
        <v>0.43</v>
      </c>
      <c r="J3">
        <v>258.79000000000002</v>
      </c>
      <c r="K3">
        <v>1429</v>
      </c>
      <c r="L3">
        <v>29.51</v>
      </c>
      <c r="M3" s="7">
        <f>AVERAGE(D14:D25)</f>
        <v>0.43083333333333335</v>
      </c>
      <c r="N3" s="7">
        <f>AVERAGE(E14:E25)</f>
        <v>0.3536408155030078</v>
      </c>
      <c r="O3" s="7">
        <f t="shared" ref="O3:U3" si="1">AVERAGE(F14:F25)</f>
        <v>2.0158333333333336</v>
      </c>
      <c r="P3" s="7">
        <f t="shared" si="1"/>
        <v>148.37750000000003</v>
      </c>
      <c r="Q3" s="7">
        <f t="shared" si="1"/>
        <v>342.42250000000007</v>
      </c>
      <c r="R3" s="7">
        <f t="shared" si="1"/>
        <v>0.52166666666666661</v>
      </c>
      <c r="S3" s="7">
        <f t="shared" si="1"/>
        <v>176.28666666666672</v>
      </c>
      <c r="T3" s="7">
        <f t="shared" si="1"/>
        <v>936.66666666666663</v>
      </c>
      <c r="U3" s="7">
        <f t="shared" si="1"/>
        <v>31.563333333333333</v>
      </c>
    </row>
    <row r="4" spans="1:21" x14ac:dyDescent="0.45">
      <c r="A4" s="5" t="s">
        <v>1186</v>
      </c>
      <c r="B4">
        <v>1</v>
      </c>
      <c r="C4" t="s">
        <v>292</v>
      </c>
      <c r="D4">
        <v>0.96</v>
      </c>
      <c r="E4" s="6">
        <v>0.66974552623848804</v>
      </c>
      <c r="F4">
        <v>1.51</v>
      </c>
      <c r="G4">
        <v>206.66</v>
      </c>
      <c r="H4">
        <v>354.64</v>
      </c>
      <c r="I4">
        <v>0.42</v>
      </c>
      <c r="J4">
        <v>226.43</v>
      </c>
      <c r="K4">
        <v>1292</v>
      </c>
      <c r="L4">
        <v>28.83</v>
      </c>
    </row>
    <row r="5" spans="1:21" x14ac:dyDescent="0.45">
      <c r="A5" s="5" t="s">
        <v>1186</v>
      </c>
      <c r="B5">
        <v>1</v>
      </c>
      <c r="C5" t="s">
        <v>473</v>
      </c>
      <c r="D5">
        <v>0.59</v>
      </c>
      <c r="E5" s="6">
        <v>0.46345047982820398</v>
      </c>
      <c r="F5">
        <v>1.78</v>
      </c>
      <c r="G5">
        <v>165.62</v>
      </c>
      <c r="H5">
        <v>344.84</v>
      </c>
      <c r="I5">
        <v>0.52</v>
      </c>
      <c r="J5">
        <v>286.17</v>
      </c>
      <c r="K5">
        <v>1311</v>
      </c>
      <c r="L5">
        <v>30.42</v>
      </c>
    </row>
    <row r="6" spans="1:21" x14ac:dyDescent="0.45">
      <c r="A6" s="5" t="s">
        <v>1186</v>
      </c>
      <c r="B6">
        <v>1</v>
      </c>
      <c r="C6" t="s">
        <v>515</v>
      </c>
      <c r="D6">
        <v>0.56000000000000005</v>
      </c>
      <c r="E6" s="6">
        <v>0.450725754045117</v>
      </c>
      <c r="F6">
        <v>2.0099999999999998</v>
      </c>
      <c r="G6">
        <v>137.44999999999999</v>
      </c>
      <c r="H6">
        <v>202.34</v>
      </c>
      <c r="I6">
        <v>0.32</v>
      </c>
      <c r="J6">
        <v>212.42</v>
      </c>
      <c r="K6">
        <v>1577</v>
      </c>
      <c r="L6">
        <v>31.49</v>
      </c>
    </row>
    <row r="7" spans="1:21" x14ac:dyDescent="0.45">
      <c r="A7" s="5" t="s">
        <v>1186</v>
      </c>
      <c r="B7">
        <v>1</v>
      </c>
      <c r="C7" t="s">
        <v>556</v>
      </c>
      <c r="D7">
        <v>0.72</v>
      </c>
      <c r="E7" s="6">
        <v>0.53879165118801198</v>
      </c>
      <c r="F7">
        <v>1.66</v>
      </c>
      <c r="G7">
        <v>211.1</v>
      </c>
      <c r="H7">
        <v>410.28</v>
      </c>
      <c r="I7">
        <v>0.49</v>
      </c>
      <c r="J7">
        <v>237.74</v>
      </c>
      <c r="K7">
        <v>1166</v>
      </c>
      <c r="L7">
        <v>30.16</v>
      </c>
    </row>
    <row r="8" spans="1:21" x14ac:dyDescent="0.45">
      <c r="A8" s="5" t="s">
        <v>1186</v>
      </c>
      <c r="B8">
        <v>1</v>
      </c>
      <c r="C8" t="s">
        <v>715</v>
      </c>
      <c r="D8">
        <v>0.55000000000000004</v>
      </c>
      <c r="E8" s="6">
        <v>0.44053357224782602</v>
      </c>
      <c r="F8">
        <v>1.67</v>
      </c>
      <c r="G8">
        <v>139.66999999999999</v>
      </c>
      <c r="H8">
        <v>477.79</v>
      </c>
      <c r="I8">
        <v>0.71</v>
      </c>
      <c r="J8">
        <v>115.02</v>
      </c>
      <c r="K8">
        <v>387</v>
      </c>
      <c r="L8">
        <v>30.12</v>
      </c>
    </row>
    <row r="9" spans="1:21" x14ac:dyDescent="0.45">
      <c r="A9" s="5" t="s">
        <v>1186</v>
      </c>
      <c r="B9">
        <v>1</v>
      </c>
      <c r="C9" t="s">
        <v>758</v>
      </c>
      <c r="D9">
        <v>0.7</v>
      </c>
      <c r="E9" s="6">
        <v>0.524236998238225</v>
      </c>
      <c r="F9">
        <v>1.58</v>
      </c>
      <c r="G9">
        <v>144.30000000000001</v>
      </c>
      <c r="H9">
        <v>390.39</v>
      </c>
      <c r="I9">
        <v>0.63</v>
      </c>
      <c r="J9">
        <v>125.5</v>
      </c>
      <c r="K9">
        <v>474</v>
      </c>
      <c r="L9">
        <v>30.42</v>
      </c>
    </row>
    <row r="10" spans="1:21" x14ac:dyDescent="0.45">
      <c r="A10" s="5" t="s">
        <v>1186</v>
      </c>
      <c r="B10">
        <v>1</v>
      </c>
      <c r="C10" t="s">
        <v>804</v>
      </c>
      <c r="D10">
        <v>0.46</v>
      </c>
      <c r="E10" s="6">
        <v>0.37673480484463601</v>
      </c>
      <c r="F10">
        <v>1.86</v>
      </c>
      <c r="G10">
        <v>144.07</v>
      </c>
      <c r="H10">
        <v>357.11</v>
      </c>
      <c r="I10">
        <v>0.6</v>
      </c>
      <c r="J10">
        <v>161.36000000000001</v>
      </c>
      <c r="K10">
        <v>644</v>
      </c>
      <c r="L10">
        <v>31.38</v>
      </c>
    </row>
    <row r="11" spans="1:21" x14ac:dyDescent="0.45">
      <c r="A11" s="5" t="s">
        <v>1186</v>
      </c>
      <c r="B11">
        <v>1</v>
      </c>
      <c r="C11" t="s">
        <v>959</v>
      </c>
      <c r="D11">
        <v>0.86</v>
      </c>
      <c r="E11" s="6">
        <v>0.607940200865282</v>
      </c>
      <c r="F11">
        <v>1.73</v>
      </c>
      <c r="G11">
        <v>150.93</v>
      </c>
      <c r="H11">
        <v>302.97000000000003</v>
      </c>
      <c r="I11">
        <v>0.5</v>
      </c>
      <c r="J11">
        <v>201.91</v>
      </c>
      <c r="K11">
        <v>958</v>
      </c>
      <c r="L11">
        <v>31.23</v>
      </c>
    </row>
    <row r="12" spans="1:21" x14ac:dyDescent="0.45">
      <c r="A12" s="5" t="s">
        <v>1186</v>
      </c>
      <c r="B12">
        <v>1</v>
      </c>
      <c r="C12" t="s">
        <v>995</v>
      </c>
      <c r="D12">
        <v>0.9</v>
      </c>
      <c r="E12" s="6">
        <v>0.62584411664350503</v>
      </c>
      <c r="F12">
        <v>1.66</v>
      </c>
      <c r="G12">
        <v>154.61000000000001</v>
      </c>
      <c r="H12">
        <v>385.92</v>
      </c>
      <c r="I12">
        <v>0.6</v>
      </c>
      <c r="J12">
        <v>210.46</v>
      </c>
      <c r="K12">
        <v>836</v>
      </c>
      <c r="L12">
        <v>30.78</v>
      </c>
    </row>
    <row r="13" spans="1:21" ht="19.8" thickBot="1" x14ac:dyDescent="0.5">
      <c r="A13" s="8" t="s">
        <v>1186</v>
      </c>
      <c r="B13" s="9">
        <v>1</v>
      </c>
      <c r="C13" t="s">
        <v>1032</v>
      </c>
      <c r="D13">
        <v>0.65</v>
      </c>
      <c r="E13" s="6">
        <v>0.496365784335636</v>
      </c>
      <c r="F13">
        <v>1.8</v>
      </c>
      <c r="G13">
        <v>157.66999999999999</v>
      </c>
      <c r="H13">
        <v>410.66</v>
      </c>
      <c r="I13">
        <v>0.62</v>
      </c>
      <c r="J13">
        <v>213.98</v>
      </c>
      <c r="K13">
        <v>827</v>
      </c>
      <c r="L13">
        <v>31.28</v>
      </c>
    </row>
    <row r="14" spans="1:21" x14ac:dyDescent="0.45">
      <c r="A14" s="5" t="s">
        <v>1187</v>
      </c>
      <c r="B14">
        <v>2</v>
      </c>
      <c r="C14" t="s">
        <v>339</v>
      </c>
      <c r="D14">
        <v>0.17</v>
      </c>
      <c r="E14" s="6">
        <v>0.162654199102336</v>
      </c>
      <c r="F14">
        <v>2.4300000000000002</v>
      </c>
      <c r="G14">
        <v>166.98</v>
      </c>
      <c r="H14">
        <v>253.96</v>
      </c>
      <c r="I14">
        <v>0.34</v>
      </c>
      <c r="J14">
        <v>205.42</v>
      </c>
      <c r="K14">
        <v>1428</v>
      </c>
      <c r="L14">
        <v>31.97</v>
      </c>
    </row>
    <row r="15" spans="1:21" x14ac:dyDescent="0.45">
      <c r="A15" s="5" t="s">
        <v>1187</v>
      </c>
      <c r="B15">
        <v>2</v>
      </c>
      <c r="C15" t="s">
        <v>387</v>
      </c>
      <c r="D15">
        <v>0.24</v>
      </c>
      <c r="E15" s="6">
        <v>0.225170331347707</v>
      </c>
      <c r="F15">
        <v>2.25</v>
      </c>
      <c r="G15">
        <v>150.72</v>
      </c>
      <c r="H15">
        <v>242.27</v>
      </c>
      <c r="I15">
        <v>0.38</v>
      </c>
      <c r="J15">
        <v>212.37</v>
      </c>
      <c r="K15">
        <v>1338</v>
      </c>
      <c r="L15">
        <v>31.24</v>
      </c>
    </row>
    <row r="16" spans="1:21" x14ac:dyDescent="0.45">
      <c r="A16" s="5" t="s">
        <v>1187</v>
      </c>
      <c r="B16">
        <v>2</v>
      </c>
      <c r="C16" t="s">
        <v>428</v>
      </c>
      <c r="D16">
        <v>0.28999999999999998</v>
      </c>
      <c r="E16" s="6">
        <v>0.265061019090362</v>
      </c>
      <c r="F16">
        <v>2.14</v>
      </c>
      <c r="G16">
        <v>163.02000000000001</v>
      </c>
      <c r="H16">
        <v>241.44</v>
      </c>
      <c r="I16">
        <v>0.32</v>
      </c>
      <c r="J16">
        <v>138.07</v>
      </c>
      <c r="K16">
        <v>1012</v>
      </c>
      <c r="L16">
        <v>31.03</v>
      </c>
    </row>
    <row r="17" spans="1:12" x14ac:dyDescent="0.45">
      <c r="A17" s="5" t="s">
        <v>1187</v>
      </c>
      <c r="B17">
        <v>2</v>
      </c>
      <c r="C17" t="s">
        <v>595</v>
      </c>
      <c r="D17">
        <v>0.53</v>
      </c>
      <c r="E17" s="6">
        <v>0.43133700412340598</v>
      </c>
      <c r="F17">
        <v>2.0499999999999998</v>
      </c>
      <c r="G17">
        <v>151.35</v>
      </c>
      <c r="H17">
        <v>232.23</v>
      </c>
      <c r="I17">
        <v>0.35</v>
      </c>
      <c r="J17">
        <v>243.25</v>
      </c>
      <c r="K17">
        <v>1663</v>
      </c>
      <c r="L17">
        <v>31.35</v>
      </c>
    </row>
    <row r="18" spans="1:12" x14ac:dyDescent="0.45">
      <c r="A18" s="5" t="s">
        <v>1187</v>
      </c>
      <c r="B18">
        <v>2</v>
      </c>
      <c r="C18" t="s">
        <v>634</v>
      </c>
      <c r="D18">
        <v>0.42</v>
      </c>
      <c r="E18" s="6">
        <v>0.35954828515637399</v>
      </c>
      <c r="F18">
        <v>2.25</v>
      </c>
      <c r="G18">
        <v>152.65</v>
      </c>
      <c r="H18">
        <v>211.44</v>
      </c>
      <c r="I18">
        <v>0.28000000000000003</v>
      </c>
      <c r="J18">
        <v>192.59</v>
      </c>
      <c r="K18">
        <v>1649</v>
      </c>
      <c r="L18">
        <v>32.14</v>
      </c>
    </row>
    <row r="19" spans="1:12" x14ac:dyDescent="0.45">
      <c r="A19" s="5" t="s">
        <v>1187</v>
      </c>
      <c r="B19">
        <v>2</v>
      </c>
      <c r="C19" t="s">
        <v>672</v>
      </c>
      <c r="D19">
        <v>0.56999999999999995</v>
      </c>
      <c r="E19" s="6">
        <v>0.45105031943864698</v>
      </c>
      <c r="F19">
        <v>1.74</v>
      </c>
      <c r="G19">
        <v>154.55000000000001</v>
      </c>
      <c r="H19">
        <v>373.4</v>
      </c>
      <c r="I19">
        <v>0.59</v>
      </c>
      <c r="J19">
        <v>237.06</v>
      </c>
      <c r="K19">
        <v>963</v>
      </c>
      <c r="L19">
        <v>30.8</v>
      </c>
    </row>
    <row r="20" spans="1:12" x14ac:dyDescent="0.45">
      <c r="A20" s="5" t="s">
        <v>1187</v>
      </c>
      <c r="B20">
        <v>2</v>
      </c>
      <c r="C20" t="s">
        <v>845</v>
      </c>
      <c r="D20">
        <v>0.44</v>
      </c>
      <c r="E20" s="6">
        <v>0.36349640741728501</v>
      </c>
      <c r="F20">
        <v>1.86</v>
      </c>
      <c r="G20">
        <v>124.25</v>
      </c>
      <c r="H20">
        <v>367.59</v>
      </c>
      <c r="I20">
        <v>0.66</v>
      </c>
      <c r="J20">
        <v>150.41</v>
      </c>
      <c r="K20">
        <v>541</v>
      </c>
      <c r="L20">
        <v>31.67</v>
      </c>
    </row>
    <row r="21" spans="1:12" x14ac:dyDescent="0.45">
      <c r="A21" s="5" t="s">
        <v>1187</v>
      </c>
      <c r="B21">
        <v>2</v>
      </c>
      <c r="C21" t="s">
        <v>881</v>
      </c>
      <c r="D21">
        <v>0.55000000000000004</v>
      </c>
      <c r="E21" s="6">
        <v>0.43476048975398002</v>
      </c>
      <c r="F21">
        <v>1.77</v>
      </c>
      <c r="G21">
        <v>137.65</v>
      </c>
      <c r="H21">
        <v>477.24</v>
      </c>
      <c r="I21">
        <v>0.71</v>
      </c>
      <c r="J21">
        <v>129.11000000000001</v>
      </c>
      <c r="K21">
        <v>432</v>
      </c>
      <c r="L21">
        <v>31.14</v>
      </c>
    </row>
    <row r="22" spans="1:12" x14ac:dyDescent="0.45">
      <c r="A22" s="5" t="s">
        <v>1187</v>
      </c>
      <c r="B22">
        <v>2</v>
      </c>
      <c r="C22" t="s">
        <v>922</v>
      </c>
      <c r="D22">
        <v>0.35</v>
      </c>
      <c r="E22" s="6">
        <v>0.30231849832562502</v>
      </c>
      <c r="F22">
        <v>2.04</v>
      </c>
      <c r="G22">
        <v>151.4</v>
      </c>
      <c r="H22">
        <v>373.02</v>
      </c>
      <c r="I22">
        <v>0.59</v>
      </c>
      <c r="J22">
        <v>171.92</v>
      </c>
      <c r="K22">
        <v>689</v>
      </c>
      <c r="L22">
        <v>32.5</v>
      </c>
    </row>
    <row r="23" spans="1:12" x14ac:dyDescent="0.45">
      <c r="A23" s="5" t="s">
        <v>1187</v>
      </c>
      <c r="B23">
        <v>2</v>
      </c>
      <c r="C23" t="s">
        <v>1068</v>
      </c>
      <c r="D23">
        <v>0.73</v>
      </c>
      <c r="E23" s="6">
        <v>0.53682423062414997</v>
      </c>
      <c r="F23">
        <v>1.68</v>
      </c>
      <c r="G23">
        <v>132.86000000000001</v>
      </c>
      <c r="H23">
        <v>413.63</v>
      </c>
      <c r="I23">
        <v>0.68</v>
      </c>
      <c r="J23">
        <v>170.48</v>
      </c>
      <c r="K23">
        <v>598</v>
      </c>
      <c r="L23">
        <v>31.46</v>
      </c>
    </row>
    <row r="24" spans="1:12" x14ac:dyDescent="0.45">
      <c r="A24" s="5" t="s">
        <v>1187</v>
      </c>
      <c r="B24">
        <v>2</v>
      </c>
      <c r="C24" t="s">
        <v>1107</v>
      </c>
      <c r="D24">
        <v>0.62</v>
      </c>
      <c r="E24" s="6">
        <v>0.47913848572316298</v>
      </c>
      <c r="F24">
        <v>1.8</v>
      </c>
      <c r="G24">
        <v>150.12</v>
      </c>
      <c r="H24">
        <v>449.46</v>
      </c>
      <c r="I24">
        <v>0.67</v>
      </c>
      <c r="J24">
        <v>128.11000000000001</v>
      </c>
      <c r="K24">
        <v>458</v>
      </c>
      <c r="L24">
        <v>31.15</v>
      </c>
    </row>
    <row r="25" spans="1:12" ht="19.8" thickBot="1" x14ac:dyDescent="0.5">
      <c r="A25" s="8" t="s">
        <v>1187</v>
      </c>
      <c r="B25" s="9">
        <v>2</v>
      </c>
      <c r="C25" t="s">
        <v>1142</v>
      </c>
      <c r="D25">
        <v>0.26</v>
      </c>
      <c r="E25" s="6">
        <v>0.23233051593305901</v>
      </c>
      <c r="F25">
        <v>2.1800000000000002</v>
      </c>
      <c r="G25">
        <v>144.97999999999999</v>
      </c>
      <c r="H25">
        <v>473.39</v>
      </c>
      <c r="I25">
        <v>0.69</v>
      </c>
      <c r="J25">
        <v>136.65</v>
      </c>
      <c r="K25">
        <v>469</v>
      </c>
      <c r="L25">
        <v>32.31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박은빈</dc:creator>
  <cp:lastModifiedBy>윤정민</cp:lastModifiedBy>
  <dcterms:created xsi:type="dcterms:W3CDTF">2026-08-14T01:54:24Z</dcterms:created>
  <dcterms:modified xsi:type="dcterms:W3CDTF">2026-10-26T04:31:08Z</dcterms:modified>
</cp:coreProperties>
</file>