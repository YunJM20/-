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28" documentId="11_C205767E41C9F4F6940483E043CC83F897B88409" xr6:coauthVersionLast="47" xr6:coauthVersionMax="47" xr10:uidLastSave="{CD5E5155-B158-476C-AD31-BB92F62ECE59}"/>
  <bookViews>
    <workbookView xWindow="28680" yWindow="-120" windowWidth="29040" windowHeight="15720" activeTab="3" xr2:uid="{00000000-000D-0000-FFFF-FFFF00000000}"/>
  </bookViews>
  <sheets>
    <sheet name="lightfluoromete" sheetId="1" r:id="rId1"/>
    <sheet name="Clean_Data" sheetId="2" r:id="rId2"/>
    <sheet name="Selected_Data" sheetId="3" r:id="rId3"/>
    <sheet name="처리별 분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O2" i="4"/>
  <c r="P2" i="4"/>
  <c r="Q2" i="4"/>
  <c r="R2" i="4"/>
  <c r="S2" i="4"/>
  <c r="T2" i="4"/>
  <c r="U2" i="4"/>
  <c r="M2" i="4"/>
  <c r="U3" i="4"/>
  <c r="T3" i="4"/>
  <c r="S3" i="4"/>
  <c r="R3" i="4"/>
  <c r="Q3" i="4"/>
  <c r="P3" i="4"/>
  <c r="O3" i="4"/>
  <c r="N3" i="4"/>
  <c r="M3" i="4"/>
  <c r="AL21" i="1" l="1"/>
  <c r="P21" i="1" s="1"/>
  <c r="AF21" i="1"/>
  <c r="U21" i="1"/>
  <c r="M21" i="1" s="1"/>
  <c r="K21" i="1"/>
  <c r="AL20" i="1"/>
  <c r="AF20" i="1"/>
  <c r="U20" i="1"/>
  <c r="P20" i="1"/>
  <c r="T20" i="1" s="1"/>
  <c r="L20" i="1" s="1"/>
  <c r="J20" i="1" s="1"/>
  <c r="M20" i="1"/>
  <c r="K20" i="1"/>
  <c r="AL19" i="1"/>
  <c r="P19" i="1" s="1"/>
  <c r="AF19" i="1"/>
  <c r="U19" i="1"/>
  <c r="M19" i="1"/>
  <c r="K19" i="1"/>
  <c r="AL18" i="1"/>
  <c r="AF18" i="1"/>
  <c r="U18" i="1"/>
  <c r="P18" i="1"/>
  <c r="T18" i="1" s="1"/>
  <c r="L18" i="1" s="1"/>
  <c r="J18" i="1" s="1"/>
  <c r="M18" i="1"/>
  <c r="K18" i="1"/>
  <c r="AL17" i="1"/>
  <c r="AF17" i="1"/>
  <c r="U17" i="1"/>
  <c r="P17" i="1"/>
  <c r="T17" i="1" s="1"/>
  <c r="L17" i="1" s="1"/>
  <c r="J17" i="1" s="1"/>
  <c r="M17" i="1"/>
  <c r="K17" i="1"/>
  <c r="AL16" i="1"/>
  <c r="AF16" i="1"/>
  <c r="U16" i="1"/>
  <c r="P16" i="1"/>
  <c r="T16" i="1" s="1"/>
  <c r="M16" i="1"/>
  <c r="K16" i="1"/>
  <c r="AL15" i="1"/>
  <c r="AF15" i="1"/>
  <c r="U15" i="1"/>
  <c r="P15" i="1"/>
  <c r="T15" i="1" s="1"/>
  <c r="L15" i="1" s="1"/>
  <c r="J15" i="1" s="1"/>
  <c r="M15" i="1"/>
  <c r="K15" i="1"/>
  <c r="AL14" i="1"/>
  <c r="P14" i="1" s="1"/>
  <c r="AF14" i="1"/>
  <c r="U14" i="1"/>
  <c r="M14" i="1" s="1"/>
  <c r="K14" i="1"/>
  <c r="AL13" i="1"/>
  <c r="AF13" i="1"/>
  <c r="U13" i="1"/>
  <c r="P13" i="1"/>
  <c r="T13" i="1" s="1"/>
  <c r="L13" i="1" s="1"/>
  <c r="J13" i="1" s="1"/>
  <c r="M13" i="1"/>
  <c r="K13" i="1"/>
  <c r="AL12" i="1"/>
  <c r="P12" i="1" s="1"/>
  <c r="AF12" i="1"/>
  <c r="U12" i="1"/>
  <c r="M12" i="1" s="1"/>
  <c r="K12" i="1"/>
  <c r="AL11" i="1"/>
  <c r="AF11" i="1"/>
  <c r="U11" i="1"/>
  <c r="P11" i="1"/>
  <c r="T11" i="1" s="1"/>
  <c r="L11" i="1" s="1"/>
  <c r="J11" i="1" s="1"/>
  <c r="M11" i="1"/>
  <c r="K11" i="1"/>
  <c r="AL10" i="1"/>
  <c r="P10" i="1" s="1"/>
  <c r="AF10" i="1"/>
  <c r="U10" i="1"/>
  <c r="M10" i="1"/>
  <c r="K10" i="1"/>
  <c r="AL9" i="1"/>
  <c r="AF9" i="1"/>
  <c r="U9" i="1"/>
  <c r="P9" i="1"/>
  <c r="T9" i="1" s="1"/>
  <c r="L9" i="1" s="1"/>
  <c r="J9" i="1" s="1"/>
  <c r="M9" i="1"/>
  <c r="K9" i="1"/>
  <c r="AL8" i="1"/>
  <c r="AF8" i="1"/>
  <c r="U8" i="1"/>
  <c r="P8" i="1"/>
  <c r="T8" i="1" s="1"/>
  <c r="L8" i="1" s="1"/>
  <c r="J8" i="1" s="1"/>
  <c r="M8" i="1"/>
  <c r="K8" i="1"/>
  <c r="AL7" i="1"/>
  <c r="AF7" i="1"/>
  <c r="U7" i="1"/>
  <c r="P7" i="1"/>
  <c r="T7" i="1" s="1"/>
  <c r="M7" i="1"/>
  <c r="L7" i="1" s="1"/>
  <c r="J7" i="1" s="1"/>
  <c r="K7" i="1"/>
  <c r="AL6" i="1"/>
  <c r="AF6" i="1"/>
  <c r="U6" i="1"/>
  <c r="P6" i="1"/>
  <c r="T6" i="1" s="1"/>
  <c r="L6" i="1" s="1"/>
  <c r="J6" i="1" s="1"/>
  <c r="M6" i="1"/>
  <c r="K6" i="1"/>
  <c r="AL5" i="1"/>
  <c r="P5" i="1" s="1"/>
  <c r="AF5" i="1"/>
  <c r="U5" i="1"/>
  <c r="M5" i="1" s="1"/>
  <c r="K5" i="1"/>
  <c r="AL4" i="1"/>
  <c r="AF4" i="1"/>
  <c r="U4" i="1"/>
  <c r="P4" i="1"/>
  <c r="T4" i="1" s="1"/>
  <c r="L4" i="1" s="1"/>
  <c r="J4" i="1" s="1"/>
  <c r="M4" i="1"/>
  <c r="K4" i="1"/>
  <c r="T5" i="1" l="1"/>
  <c r="L5" i="1" s="1"/>
  <c r="J5" i="1" s="1"/>
  <c r="Q5" i="1"/>
  <c r="L16" i="1"/>
  <c r="J16" i="1" s="1"/>
  <c r="T12" i="1"/>
  <c r="L12" i="1" s="1"/>
  <c r="J12" i="1" s="1"/>
  <c r="Q12" i="1"/>
  <c r="T19" i="1"/>
  <c r="L19" i="1" s="1"/>
  <c r="J19" i="1" s="1"/>
  <c r="Q19" i="1"/>
  <c r="T10" i="1"/>
  <c r="L10" i="1" s="1"/>
  <c r="J10" i="1" s="1"/>
  <c r="Q10" i="1"/>
  <c r="T14" i="1"/>
  <c r="L14" i="1" s="1"/>
  <c r="J14" i="1" s="1"/>
  <c r="Q14" i="1"/>
  <c r="T21" i="1"/>
  <c r="L21" i="1" s="1"/>
  <c r="J21" i="1" s="1"/>
  <c r="Q21" i="1"/>
  <c r="Q7" i="1"/>
  <c r="Q16" i="1"/>
  <c r="Q9" i="1"/>
  <c r="Q18" i="1"/>
  <c r="Q11" i="1"/>
  <c r="Q20" i="1"/>
  <c r="Q4" i="1"/>
  <c r="Q13" i="1"/>
  <c r="Q6" i="1"/>
  <c r="Q15" i="1"/>
  <c r="Q8" i="1"/>
  <c r="Q17" i="1"/>
</calcChain>
</file>

<file path=xl/sharedStrings.xml><?xml version="1.0" encoding="utf-8"?>
<sst xmlns="http://schemas.openxmlformats.org/spreadsheetml/2006/main" count="2926" uniqueCount="961">
  <si>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</si>
  <si>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</si>
  <si>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</si>
  <si>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</si>
  <si>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</si>
  <si>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</si>
  <si>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</si>
  <si>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</si>
  <si>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</si>
  <si>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</si>
  <si>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</si>
  <si>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</si>
  <si>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</si>
  <si>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</si>
  <si>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</si>
  <si>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</si>
  <si>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</si>
  <si>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</si>
  <si>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</si>
  <si>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</si>
  <si>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</si>
  <si>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</si>
  <si>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</si>
  <si>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</si>
  <si>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</si>
  <si>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</si>
  <si>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</si>
  <si>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</si>
  <si>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</si>
  <si>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</si>
  <si>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</si>
  <si>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</si>
  <si>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</si>
  <si>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</si>
  <si>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</si>
  <si>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</si>
  <si>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</si>
  <si>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</si>
  <si>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</si>
  <si>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</si>
  <si>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</si>
  <si>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</si>
  <si>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</si>
  <si>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</si>
  <si>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</si>
  <si>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</si>
  <si>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</si>
  <si>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</si>
  <si>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</si>
  <si>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</si>
  <si>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</si>
  <si>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</si>
  <si>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</si>
  <si>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</si>
  <si>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</si>
  <si>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</si>
  <si>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</si>
  <si>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</si>
  <si>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</si>
  <si>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</si>
  <si>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</si>
  <si>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</si>
  <si>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</si>
  <si>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</si>
  <si>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</si>
  <si>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</si>
  <si>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</si>
  <si>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</si>
  <si>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</si>
  <si>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</si>
  <si>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</si>
  <si>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</si>
  <si>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</si>
  <si>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</si>
  <si>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</si>
  <si>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</si>
  <si>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</si>
  <si>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</si>
  <si>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</si>
  <si>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</si>
  <si>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</si>
  <si>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</si>
  <si>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</si>
  <si>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</si>
  <si>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</si>
  <si>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</si>
  <si>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</si>
  <si>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</si>
  <si>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</si>
  <si>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</si>
  <si>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</si>
  <si>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</si>
  <si>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</si>
  <si>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</si>
  <si>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</si>
  <si>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</si>
  <si>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</si>
  <si>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</si>
  <si>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</si>
  <si>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</si>
  <si>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</si>
  <si>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</si>
  <si>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</si>
  <si>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</si>
  <si>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</si>
  <si>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</si>
  <si>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</si>
  <si>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</si>
  <si>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</si>
  <si>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</si>
  <si>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</si>
  <si>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</si>
  <si>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</si>
  <si>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</si>
  <si>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</si>
  <si>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</si>
  <si>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</si>
  <si>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</si>
  <si>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</si>
  <si>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</si>
  <si>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</si>
  <si>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</si>
  <si>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</si>
  <si>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</si>
  <si>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</si>
  <si>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</si>
  <si>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</si>
  <si>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</si>
  <si>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</si>
  <si>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</si>
  <si>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</si>
  <si>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</si>
  <si>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</si>
  <si>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</si>
  <si>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</si>
  <si>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</si>
  <si>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</si>
  <si>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</si>
  <si>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</si>
  <si>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</si>
  <si>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</si>
  <si>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</si>
  <si>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</si>
  <si>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</si>
  <si>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</si>
  <si>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</si>
  <si>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</si>
  <si>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</si>
  <si>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</si>
  <si>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</si>
  <si>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</si>
  <si>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</si>
  <si>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</si>
  <si>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</si>
  <si>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</si>
  <si>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</si>
  <si>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</si>
  <si>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</si>
  <si>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</si>
  <si>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</si>
  <si>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08:54:27</t>
  </si>
  <si>
    <t>2026-08-18</t>
  </si>
  <si>
    <t>lightfluoromete</t>
  </si>
  <si>
    <t>yun</t>
  </si>
  <si>
    <t>001</t>
  </si>
  <si>
    <t>2.597823</t>
  </si>
  <si>
    <t>2.473402</t>
  </si>
  <si>
    <t>24.520683</t>
  </si>
  <si>
    <t>25.754173</t>
  </si>
  <si>
    <t>7.500000</t>
  </si>
  <si>
    <t>PSF-01106_20260818085427_663</t>
  </si>
  <si>
    <t>0.000000</t>
  </si>
  <si>
    <t>126.087067</t>
  </si>
  <si>
    <t>473.468170</t>
  </si>
  <si>
    <t>0.733695</t>
  </si>
  <si>
    <t>0.5</t>
  </si>
  <si>
    <t>0.84</t>
  </si>
  <si>
    <t>1.000000</t>
  </si>
  <si>
    <t>64.13</t>
  </si>
  <si>
    <t>61.06</t>
  </si>
  <si>
    <t>29.12</t>
  </si>
  <si>
    <t>27.76</t>
  </si>
  <si>
    <t>100.87</t>
  </si>
  <si>
    <t>156.2</t>
  </si>
  <si>
    <t>143.6</t>
  </si>
  <si>
    <t>8.1</t>
  </si>
  <si>
    <t>118</t>
  </si>
  <si>
    <t>3.830</t>
  </si>
  <si>
    <t>-18</t>
  </si>
  <si>
    <t>-48</t>
  </si>
  <si>
    <t>186</t>
  </si>
  <si>
    <t>50.48</t>
  </si>
  <si>
    <t>-68.45</t>
  </si>
  <si>
    <t>00:00:00</t>
  </si>
  <si>
    <t>0000-00-00</t>
  </si>
  <si>
    <t>nan</t>
  </si>
  <si>
    <t>0</t>
  </si>
  <si>
    <t>08:53:57</t>
  </si>
  <si>
    <t>-2.12</t>
  </si>
  <si>
    <t>-0.003</t>
  </si>
  <si>
    <t>0.001</t>
  </si>
  <si>
    <t>0.000</t>
  </si>
  <si>
    <t>-0.570</t>
  </si>
  <si>
    <t>-0.863</t>
  </si>
  <si>
    <t>-1.669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</si>
  <si>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</si>
  <si>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</si>
  <si>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</si>
  <si>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</si>
  <si>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</si>
  <si>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</si>
  <si>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</si>
  <si>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</si>
  <si>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</si>
  <si>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</si>
  <si>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</si>
  <si>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2.519535</t>
  </si>
  <si>
    <t>2.463272</t>
  </si>
  <si>
    <t>1.671590</t>
  </si>
  <si>
    <t>0.912352</t>
  </si>
  <si>
    <t>0.231518</t>
  </si>
  <si>
    <t>-0.015601</t>
  </si>
  <si>
    <t>0.081664</t>
  </si>
  <si>
    <t>0.209585</t>
  </si>
  <si>
    <t>0.000340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</si>
  <si>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</si>
  <si>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</si>
  <si>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</si>
  <si>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</si>
  <si>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</si>
  <si>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</si>
  <si>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</si>
  <si>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</si>
  <si>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</si>
  <si>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</si>
  <si>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</si>
  <si>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</si>
  <si>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</si>
  <si>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</si>
  <si>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08:54:48</t>
  </si>
  <si>
    <t>002</t>
  </si>
  <si>
    <t>2.656987</t>
  </si>
  <si>
    <t>2.539919</t>
  </si>
  <si>
    <t>25.179247</t>
  </si>
  <si>
    <t>26.339798</t>
  </si>
  <si>
    <t>PSF-01106_20260818085448_cef</t>
  </si>
  <si>
    <t>131.519791</t>
  </si>
  <si>
    <t>458.275085</t>
  </si>
  <si>
    <t>0.713011</t>
  </si>
  <si>
    <t>65.56</t>
  </si>
  <si>
    <t>62.67</t>
  </si>
  <si>
    <t>29.13</t>
  </si>
  <si>
    <t>27.77</t>
  </si>
  <si>
    <t>152.1</t>
  </si>
  <si>
    <t>2.6</t>
  </si>
  <si>
    <t>308</t>
  </si>
  <si>
    <t>3.829</t>
  </si>
  <si>
    <t>-25</t>
  </si>
  <si>
    <t>-24</t>
  </si>
  <si>
    <t>211</t>
  </si>
  <si>
    <t>34.11</t>
  </si>
  <si>
    <t>-15.49</t>
  </si>
  <si>
    <t>-0.004</t>
  </si>
  <si>
    <t>-0.001</t>
  </si>
  <si>
    <t>-0.002</t>
  </si>
  <si>
    <t>-0.086</t>
  </si>
  <si>
    <t>-0.521</t>
  </si>
  <si>
    <t>-0.988</t>
  </si>
  <si>
    <t>2.521752</t>
  </si>
  <si>
    <t>2.465074</t>
  </si>
  <si>
    <t>1.671809</t>
  </si>
  <si>
    <t>0.934026</t>
  </si>
  <si>
    <t>0.231438</t>
  </si>
  <si>
    <t>-0.015646</t>
  </si>
  <si>
    <t>0.084786</t>
  </si>
  <si>
    <t>0.376036</t>
  </si>
  <si>
    <t>0.000341</t>
  </si>
  <si>
    <t>3</t>
  </si>
  <si>
    <t>08:55:59</t>
  </si>
  <si>
    <t>003</t>
  </si>
  <si>
    <t>2.743917</t>
  </si>
  <si>
    <t>2.657224</t>
  </si>
  <si>
    <t>26.341232</t>
  </si>
  <si>
    <t>27.200617</t>
  </si>
  <si>
    <t>PSF-01106_20260818085559_d70</t>
  </si>
  <si>
    <t>156.753296</t>
  </si>
  <si>
    <t>500.738037</t>
  </si>
  <si>
    <t>0.686956</t>
  </si>
  <si>
    <t>67.45</t>
  </si>
  <si>
    <t>65.32</t>
  </si>
  <si>
    <t>29.20</t>
  </si>
  <si>
    <t>28.28</t>
  </si>
  <si>
    <t>100.88</t>
  </si>
  <si>
    <t>156.1</t>
  </si>
  <si>
    <t>152.5</t>
  </si>
  <si>
    <t>2.3</t>
  </si>
  <si>
    <t>360</t>
  </si>
  <si>
    <t>3.828</t>
  </si>
  <si>
    <t>-19</t>
  </si>
  <si>
    <t>-11</t>
  </si>
  <si>
    <t>132</t>
  </si>
  <si>
    <t>21.85</t>
  </si>
  <si>
    <t>-78.84</t>
  </si>
  <si>
    <t>35.850220</t>
  </si>
  <si>
    <t>127.129593</t>
  </si>
  <si>
    <t>67.099998</t>
  </si>
  <si>
    <t>4</t>
  </si>
  <si>
    <t>1.840000</t>
  </si>
  <si>
    <t>0.002</t>
  </si>
  <si>
    <t>-0.349</t>
  </si>
  <si>
    <t>0.636</t>
  </si>
  <si>
    <t>0.366</t>
  </si>
  <si>
    <t>2.525386</t>
  </si>
  <si>
    <t>2.467457</t>
  </si>
  <si>
    <t>1.670770</t>
  </si>
  <si>
    <t>0.935158</t>
  </si>
  <si>
    <t>0.230856</t>
  </si>
  <si>
    <t>-0.010283</t>
  </si>
  <si>
    <t>0.095111</t>
  </si>
  <si>
    <t>0.421344</t>
  </si>
  <si>
    <t>0.000339</t>
  </si>
  <si>
    <t>08:56:12</t>
  </si>
  <si>
    <t>004</t>
  </si>
  <si>
    <t>2.772123</t>
  </si>
  <si>
    <t>2.647164</t>
  </si>
  <si>
    <t>26.242287</t>
  </si>
  <si>
    <t>27.481049</t>
  </si>
  <si>
    <t>PSF-01106_20260818085612_e47</t>
  </si>
  <si>
    <t>116.883514</t>
  </si>
  <si>
    <t>450.445892</t>
  </si>
  <si>
    <t>0.740516</t>
  </si>
  <si>
    <t>68.09</t>
  </si>
  <si>
    <t>65.02</t>
  </si>
  <si>
    <t>29.21</t>
  </si>
  <si>
    <t>27.99</t>
  </si>
  <si>
    <t>145.9</t>
  </si>
  <si>
    <t>6.5</t>
  </si>
  <si>
    <t>352</t>
  </si>
  <si>
    <t>3.827</t>
  </si>
  <si>
    <t>-9</t>
  </si>
  <si>
    <t>-40</t>
  </si>
  <si>
    <t>146</t>
  </si>
  <si>
    <t>88.48</t>
  </si>
  <si>
    <t>40.83</t>
  </si>
  <si>
    <t>-113.44</t>
  </si>
  <si>
    <t>13.15</t>
  </si>
  <si>
    <t>100.06</t>
  </si>
  <si>
    <t>54.19</t>
  </si>
  <si>
    <t>23:55:44</t>
  </si>
  <si>
    <t>2026-08-17</t>
  </si>
  <si>
    <t>35.850166</t>
  </si>
  <si>
    <t>127.129616</t>
  </si>
  <si>
    <t>89.099998</t>
  </si>
  <si>
    <t>-9999.000</t>
  </si>
  <si>
    <t>-0.032</t>
  </si>
  <si>
    <t>0.060</t>
  </si>
  <si>
    <t>2.524974</t>
  </si>
  <si>
    <t>2.468264</t>
  </si>
  <si>
    <t>1.670542</t>
  </si>
  <si>
    <t>0.918183</t>
  </si>
  <si>
    <t>0.230733</t>
  </si>
  <si>
    <t>-0.013929</t>
  </si>
  <si>
    <t>0.096929</t>
  </si>
  <si>
    <t>0.414097</t>
  </si>
  <si>
    <t>5</t>
  </si>
  <si>
    <t>08:57:10</t>
  </si>
  <si>
    <t>005</t>
  </si>
  <si>
    <t>2.776987</t>
  </si>
  <si>
    <t>2.686851</t>
  </si>
  <si>
    <t>26.633934</t>
  </si>
  <si>
    <t>27.527418</t>
  </si>
  <si>
    <t>PSF-01106_20260818085710_1fa</t>
  </si>
  <si>
    <t>115.701912</t>
  </si>
  <si>
    <t>486.969360</t>
  </si>
  <si>
    <t>0.762404</t>
  </si>
  <si>
    <t>67.99</t>
  </si>
  <si>
    <t>65.78</t>
  </si>
  <si>
    <t>29.27</t>
  </si>
  <si>
    <t>27.89</t>
  </si>
  <si>
    <t>156.0</t>
  </si>
  <si>
    <t>152.8</t>
  </si>
  <si>
    <t>2.1</t>
  </si>
  <si>
    <t>222</t>
  </si>
  <si>
    <t>3.826</t>
  </si>
  <si>
    <t>-14</t>
  </si>
  <si>
    <t>8</t>
  </si>
  <si>
    <t>154</t>
  </si>
  <si>
    <t>53.94</t>
  </si>
  <si>
    <t>58.86</t>
  </si>
  <si>
    <t>16.08</t>
  </si>
  <si>
    <t>4.15</t>
  </si>
  <si>
    <t>100.24</t>
  </si>
  <si>
    <t>53.99</t>
  </si>
  <si>
    <t>23:56:41</t>
  </si>
  <si>
    <t>35.850670</t>
  </si>
  <si>
    <t>127.129936</t>
  </si>
  <si>
    <t>-36.200001</t>
  </si>
  <si>
    <t>6</t>
  </si>
  <si>
    <t>1.480000</t>
  </si>
  <si>
    <t>0.897</t>
  </si>
  <si>
    <t>-0.053</t>
  </si>
  <si>
    <t>-0.097</t>
  </si>
  <si>
    <t>2.526002</t>
  </si>
  <si>
    <t>2.468122</t>
  </si>
  <si>
    <t>1.670162</t>
  </si>
  <si>
    <t>0.935796</t>
  </si>
  <si>
    <t>0.230215</t>
  </si>
  <si>
    <t>-0.015785</t>
  </si>
  <si>
    <t>0.105088</t>
  </si>
  <si>
    <t>0.300736</t>
  </si>
  <si>
    <t>0.000348</t>
  </si>
  <si>
    <t>08:57:31</t>
  </si>
  <si>
    <t>006</t>
  </si>
  <si>
    <t>2.801634</t>
  </si>
  <si>
    <t>2.711331</t>
  </si>
  <si>
    <t>26.876532</t>
  </si>
  <si>
    <t>27.771669</t>
  </si>
  <si>
    <t>PSF-01106_20260818085731_298</t>
  </si>
  <si>
    <t>113.717079</t>
  </si>
  <si>
    <t>450.703369</t>
  </si>
  <si>
    <t>0.747690</t>
  </si>
  <si>
    <t>68.49</t>
  </si>
  <si>
    <t>66.28</t>
  </si>
  <si>
    <t>29.29</t>
  </si>
  <si>
    <t>28.20</t>
  </si>
  <si>
    <t>153.1</t>
  </si>
  <si>
    <t>1.9</t>
  </si>
  <si>
    <t>281</t>
  </si>
  <si>
    <t>3.825</t>
  </si>
  <si>
    <t>44.92</t>
  </si>
  <si>
    <t>70.81</t>
  </si>
  <si>
    <t>14.55</t>
  </si>
  <si>
    <t>-31.88</t>
  </si>
  <si>
    <t>100.41</t>
  </si>
  <si>
    <t>53.79</t>
  </si>
  <si>
    <t>23:57:03</t>
  </si>
  <si>
    <t>35.850666</t>
  </si>
  <si>
    <t>127.129890</t>
  </si>
  <si>
    <t>-35.299999</t>
  </si>
  <si>
    <t>2.820000</t>
  </si>
  <si>
    <t>0.004</t>
  </si>
  <si>
    <t>0.008</t>
  </si>
  <si>
    <t>-0.201</t>
  </si>
  <si>
    <t>-0.273</t>
  </si>
  <si>
    <t>-0.260</t>
  </si>
  <si>
    <t>2.526685</t>
  </si>
  <si>
    <t>2.468751</t>
  </si>
  <si>
    <t>1.670929</t>
  </si>
  <si>
    <t>0.936694</t>
  </si>
  <si>
    <t>0.229982</t>
  </si>
  <si>
    <t>-0.012457</t>
  </si>
  <si>
    <t>0.107888</t>
  </si>
  <si>
    <t>0.351841</t>
  </si>
  <si>
    <t>7</t>
  </si>
  <si>
    <t>08:57:49</t>
  </si>
  <si>
    <t>007</t>
  </si>
  <si>
    <t>2.811172</t>
  </si>
  <si>
    <t>2.711616</t>
  </si>
  <si>
    <t>26.877617</t>
  </si>
  <si>
    <t>27.864422</t>
  </si>
  <si>
    <t>PSF-01106_20260818085749_1e6</t>
  </si>
  <si>
    <t>120.086433</t>
  </si>
  <si>
    <t>455.123291</t>
  </si>
  <si>
    <t>0.736145</t>
  </si>
  <si>
    <t>68.64</t>
  </si>
  <si>
    <t>66.20</t>
  </si>
  <si>
    <t>29.32</t>
  </si>
  <si>
    <t>28.11</t>
  </si>
  <si>
    <t>100.89</t>
  </si>
  <si>
    <t>153.9</t>
  </si>
  <si>
    <t>1.5</t>
  </si>
  <si>
    <t>314</t>
  </si>
  <si>
    <t>3.824</t>
  </si>
  <si>
    <t>-16</t>
  </si>
  <si>
    <t>-4</t>
  </si>
  <si>
    <t>170</t>
  </si>
  <si>
    <t>45.85</t>
  </si>
  <si>
    <t>69.66</t>
  </si>
  <si>
    <t>16.48</t>
  </si>
  <si>
    <t>-24.24</t>
  </si>
  <si>
    <t>23:57:20</t>
  </si>
  <si>
    <t>35.850655</t>
  </si>
  <si>
    <t>127.129883</t>
  </si>
  <si>
    <t>-35.200001</t>
  </si>
  <si>
    <t>1.290000</t>
  </si>
  <si>
    <t>-0.012</t>
  </si>
  <si>
    <t>0.175</t>
  </si>
  <si>
    <t>-0.091</t>
  </si>
  <si>
    <t>-0.391</t>
  </si>
  <si>
    <t>2.526573</t>
  </si>
  <si>
    <t>2.468930</t>
  </si>
  <si>
    <t>1.672176</t>
  </si>
  <si>
    <t>0.938745</t>
  </si>
  <si>
    <t>0.229780</t>
  </si>
  <si>
    <t>-0.013725</t>
  </si>
  <si>
    <t>0.110344</t>
  </si>
  <si>
    <t>0.380691</t>
  </si>
  <si>
    <t>08:58:18</t>
  </si>
  <si>
    <t>008</t>
  </si>
  <si>
    <t>2.863326</t>
  </si>
  <si>
    <t>2.752492</t>
  </si>
  <si>
    <t>27.283533</t>
  </si>
  <si>
    <t>28.382145</t>
  </si>
  <si>
    <t>PSF-01106_20260818085818_ce0</t>
  </si>
  <si>
    <t>116.482971</t>
  </si>
  <si>
    <t>458.810089</t>
  </si>
  <si>
    <t>0.746119</t>
  </si>
  <si>
    <t>69.72</t>
  </si>
  <si>
    <t>67.03</t>
  </si>
  <si>
    <t>29.36</t>
  </si>
  <si>
    <t>28.06</t>
  </si>
  <si>
    <t>155.9</t>
  </si>
  <si>
    <t>154.5</t>
  </si>
  <si>
    <t>0.9</t>
  </si>
  <si>
    <t>320</t>
  </si>
  <si>
    <t>-22</t>
  </si>
  <si>
    <t>151</t>
  </si>
  <si>
    <t>26.36</t>
  </si>
  <si>
    <t>89.60</t>
  </si>
  <si>
    <t>28.14</t>
  </si>
  <si>
    <t>-69.94</t>
  </si>
  <si>
    <t>23:57:50</t>
  </si>
  <si>
    <t>35.850643</t>
  </si>
  <si>
    <t>127.129852</t>
  </si>
  <si>
    <t>-34.799999</t>
  </si>
  <si>
    <t>1.230000</t>
  </si>
  <si>
    <t>-0.000</t>
  </si>
  <si>
    <t>-0.009</t>
  </si>
  <si>
    <t>0.688</t>
  </si>
  <si>
    <t>0.384</t>
  </si>
  <si>
    <t>0.701</t>
  </si>
  <si>
    <t>2.527689</t>
  </si>
  <si>
    <t>2.470299</t>
  </si>
  <si>
    <t>1.669299</t>
  </si>
  <si>
    <t>0.940155</t>
  </si>
  <si>
    <t>0.229366</t>
  </si>
  <si>
    <t>-0.014935</t>
  </si>
  <si>
    <t>0.114213</t>
  </si>
  <si>
    <t>0.386350</t>
  </si>
  <si>
    <t>9</t>
  </si>
  <si>
    <t>08:58:47</t>
  </si>
  <si>
    <t>009</t>
  </si>
  <si>
    <t>2.820961</t>
  </si>
  <si>
    <t>2.722793</t>
  </si>
  <si>
    <t>26.990276</t>
  </si>
  <si>
    <t>27.963392</t>
  </si>
  <si>
    <t>PSF-01106_20260818085847_f7b</t>
  </si>
  <si>
    <t>120.829582</t>
  </si>
  <si>
    <t>468.224640</t>
  </si>
  <si>
    <t>0.741941</t>
  </si>
  <si>
    <t>68.51</t>
  </si>
  <si>
    <t>66.12</t>
  </si>
  <si>
    <t>29.41</t>
  </si>
  <si>
    <t>28.37</t>
  </si>
  <si>
    <t>368</t>
  </si>
  <si>
    <t>3.821</t>
  </si>
  <si>
    <t>-33</t>
  </si>
  <si>
    <t>-10</t>
  </si>
  <si>
    <t>138</t>
  </si>
  <si>
    <t>23.37</t>
  </si>
  <si>
    <t>91.80</t>
  </si>
  <si>
    <t>34.32</t>
  </si>
  <si>
    <t>-59.94</t>
  </si>
  <si>
    <t>100.58</t>
  </si>
  <si>
    <t>53.59</t>
  </si>
  <si>
    <t>23:58:19</t>
  </si>
  <si>
    <t>35.850632</t>
  </si>
  <si>
    <t>127.129982</t>
  </si>
  <si>
    <t>-33.000000</t>
  </si>
  <si>
    <t>1.130000</t>
  </si>
  <si>
    <t>0.084</t>
  </si>
  <si>
    <t>0.125</t>
  </si>
  <si>
    <t>0.249</t>
  </si>
  <si>
    <t>2.526442</t>
  </si>
  <si>
    <t>2.468752</t>
  </si>
  <si>
    <t>1.671030</t>
  </si>
  <si>
    <t>0.935713</t>
  </si>
  <si>
    <t>0.228940</t>
  </si>
  <si>
    <t>-0.011809</t>
  </si>
  <si>
    <t>0.118064</t>
  </si>
  <si>
    <t>0.428019</t>
  </si>
  <si>
    <t>0.000337</t>
  </si>
  <si>
    <t>10</t>
  </si>
  <si>
    <t>08:59:14</t>
  </si>
  <si>
    <t>010</t>
  </si>
  <si>
    <t>2.764379</t>
  </si>
  <si>
    <t>2.714102</t>
  </si>
  <si>
    <t>26.901999</t>
  </si>
  <si>
    <t>27.400341</t>
  </si>
  <si>
    <t>PSF-01106_20260818085914_988</t>
  </si>
  <si>
    <t>166.849854</t>
  </si>
  <si>
    <t>521.772644</t>
  </si>
  <si>
    <t>0.680225</t>
  </si>
  <si>
    <t>66.93</t>
  </si>
  <si>
    <t>65.71</t>
  </si>
  <si>
    <t>29.46</t>
  </si>
  <si>
    <t>28.80</t>
  </si>
  <si>
    <t>153.3</t>
  </si>
  <si>
    <t>1.8</t>
  </si>
  <si>
    <t>350</t>
  </si>
  <si>
    <t>124</t>
  </si>
  <si>
    <t>46.84</t>
  </si>
  <si>
    <t>68.40</t>
  </si>
  <si>
    <t>9.48</t>
  </si>
  <si>
    <t>-37.48</t>
  </si>
  <si>
    <t>23:58:46</t>
  </si>
  <si>
    <t>35.850590</t>
  </si>
  <si>
    <t>127.129906</t>
  </si>
  <si>
    <t>-33.900002</t>
  </si>
  <si>
    <t>0.990000</t>
  </si>
  <si>
    <t>-0.008</t>
  </si>
  <si>
    <t>0.343</t>
  </si>
  <si>
    <t>0.834</t>
  </si>
  <si>
    <t>0.260</t>
  </si>
  <si>
    <t>2.525863</t>
  </si>
  <si>
    <t>2.466745</t>
  </si>
  <si>
    <t>1.670720</t>
  </si>
  <si>
    <t>0.937171</t>
  </si>
  <si>
    <t>0.228458</t>
  </si>
  <si>
    <t>-0.007182</t>
  </si>
  <si>
    <t>0.121632</t>
  </si>
  <si>
    <t>0.412404</t>
  </si>
  <si>
    <t>11</t>
  </si>
  <si>
    <t>08:59:38</t>
  </si>
  <si>
    <t>011</t>
  </si>
  <si>
    <t>2.830247</t>
  </si>
  <si>
    <t>2.740836</t>
  </si>
  <si>
    <t>27.166176</t>
  </si>
  <si>
    <t>28.052383</t>
  </si>
  <si>
    <t>PSF-01106_20260818085938_9f6</t>
  </si>
  <si>
    <t>126.021263</t>
  </si>
  <si>
    <t>470.075714</t>
  </si>
  <si>
    <t>0.731913</t>
  </si>
  <si>
    <t>68.37</t>
  </si>
  <si>
    <t>66.21</t>
  </si>
  <si>
    <t>29.50</t>
  </si>
  <si>
    <t>28.24</t>
  </si>
  <si>
    <t>152.2</t>
  </si>
  <si>
    <t>2.4</t>
  </si>
  <si>
    <t>366</t>
  </si>
  <si>
    <t>87</t>
  </si>
  <si>
    <t>39.99</t>
  </si>
  <si>
    <t>76.62</t>
  </si>
  <si>
    <t>-123.84</t>
  </si>
  <si>
    <t>100.76</t>
  </si>
  <si>
    <t>53.40</t>
  </si>
  <si>
    <t>23:59:09</t>
  </si>
  <si>
    <t>35.850594</t>
  </si>
  <si>
    <t>-33.799999</t>
  </si>
  <si>
    <t>0.005</t>
  </si>
  <si>
    <t>0.033</t>
  </si>
  <si>
    <t>0.276</t>
  </si>
  <si>
    <t>0.540</t>
  </si>
  <si>
    <t>2.526536</t>
  </si>
  <si>
    <t>2.468556</t>
  </si>
  <si>
    <t>1.670356</t>
  </si>
  <si>
    <t>0.934340</t>
  </si>
  <si>
    <t>0.228103</t>
  </si>
  <si>
    <t>-0.014478</t>
  </si>
  <si>
    <t>0.124644</t>
  </si>
  <si>
    <t>0.426429</t>
  </si>
  <si>
    <t>12</t>
  </si>
  <si>
    <t>09:01:44</t>
  </si>
  <si>
    <t>012</t>
  </si>
  <si>
    <t>2.997309</t>
  </si>
  <si>
    <t>2.928424</t>
  </si>
  <si>
    <t>29.025618</t>
  </si>
  <si>
    <t>29.708393</t>
  </si>
  <si>
    <t>PSF-01106_20260818090144_d8a</t>
  </si>
  <si>
    <t>161.854141</t>
  </si>
  <si>
    <t>399.537201</t>
  </si>
  <si>
    <t>0.594896</t>
  </si>
  <si>
    <t>71.17</t>
  </si>
  <si>
    <t>69.54</t>
  </si>
  <si>
    <t>29.80</t>
  </si>
  <si>
    <t>29.77</t>
  </si>
  <si>
    <t>154.9</t>
  </si>
  <si>
    <t>0.7</t>
  </si>
  <si>
    <t>743</t>
  </si>
  <si>
    <t>3.818</t>
  </si>
  <si>
    <t>-15</t>
  </si>
  <si>
    <t>35.03</t>
  </si>
  <si>
    <t>81.89</t>
  </si>
  <si>
    <t>18.53</t>
  </si>
  <si>
    <t>-66.91</t>
  </si>
  <si>
    <t>101.11</t>
  </si>
  <si>
    <t>53.00</t>
  </si>
  <si>
    <t>00:01:15</t>
  </si>
  <si>
    <t>127.129684</t>
  </si>
  <si>
    <t>-32.000000</t>
  </si>
  <si>
    <t>0.910000</t>
  </si>
  <si>
    <t>-0.005</t>
  </si>
  <si>
    <t>-0.107</t>
  </si>
  <si>
    <t>-0.484</t>
  </si>
  <si>
    <t>-1.156</t>
  </si>
  <si>
    <t>2.531039</t>
  </si>
  <si>
    <t>2.472055</t>
  </si>
  <si>
    <t>1.669599</t>
  </si>
  <si>
    <t>0.941283</t>
  </si>
  <si>
    <t>0.225444</t>
  </si>
  <si>
    <t>0.000534</t>
  </si>
  <si>
    <t>0.141534</t>
  </si>
  <si>
    <t>0.755002</t>
  </si>
  <si>
    <t>13</t>
  </si>
  <si>
    <t>09:02:37</t>
  </si>
  <si>
    <t>013</t>
  </si>
  <si>
    <t>3.015271</t>
  </si>
  <si>
    <t>2.921720</t>
  </si>
  <si>
    <t>28.959530</t>
  </si>
  <si>
    <t>29.886795</t>
  </si>
  <si>
    <t>PSF-01106_20260818090237_7a0</t>
  </si>
  <si>
    <t>181.933167</t>
  </si>
  <si>
    <t>455.714813</t>
  </si>
  <si>
    <t>0.600774</t>
  </si>
  <si>
    <t>70.89</t>
  </si>
  <si>
    <t>68.69</t>
  </si>
  <si>
    <t>29.97</t>
  </si>
  <si>
    <t>155.8</t>
  </si>
  <si>
    <t>151.4</t>
  </si>
  <si>
    <t>2.8</t>
  </si>
  <si>
    <t>3.816</t>
  </si>
  <si>
    <t>-23</t>
  </si>
  <si>
    <t>-1</t>
  </si>
  <si>
    <t>143</t>
  </si>
  <si>
    <t>37.06</t>
  </si>
  <si>
    <t>79.80</t>
  </si>
  <si>
    <t>23.02</t>
  </si>
  <si>
    <t>-39.56</t>
  </si>
  <si>
    <t>101.29</t>
  </si>
  <si>
    <t>52.80</t>
  </si>
  <si>
    <t>00:02:08</t>
  </si>
  <si>
    <t>35.850521</t>
  </si>
  <si>
    <t>127.129700</t>
  </si>
  <si>
    <t>-31.600000</t>
  </si>
  <si>
    <t>0.860000</t>
  </si>
  <si>
    <t>1.878</t>
  </si>
  <si>
    <t>-0.048</t>
  </si>
  <si>
    <t>1.437</t>
  </si>
  <si>
    <t>2.529839</t>
  </si>
  <si>
    <t>2.471662</t>
  </si>
  <si>
    <t>1.668271</t>
  </si>
  <si>
    <t>0.932269</t>
  </si>
  <si>
    <t>0.223900</t>
  </si>
  <si>
    <t>-0.006103</t>
  </si>
  <si>
    <t>0.148482</t>
  </si>
  <si>
    <t>0.412088</t>
  </si>
  <si>
    <t>0.000352</t>
  </si>
  <si>
    <t>14</t>
  </si>
  <si>
    <t>09:03:08</t>
  </si>
  <si>
    <t>014</t>
  </si>
  <si>
    <t>3.008280</t>
  </si>
  <si>
    <t>2.908256</t>
  </si>
  <si>
    <t>28.825438</t>
  </si>
  <si>
    <t>29.816833</t>
  </si>
  <si>
    <t>PSF-01106_20260818090308_470</t>
  </si>
  <si>
    <t>149.137619</t>
  </si>
  <si>
    <t>464.497101</t>
  </si>
  <si>
    <t>0.678927</t>
  </si>
  <si>
    <t>70.28</t>
  </si>
  <si>
    <t>67.95</t>
  </si>
  <si>
    <t>30.08</t>
  </si>
  <si>
    <t>154.3</t>
  </si>
  <si>
    <t>1.1</t>
  </si>
  <si>
    <t>794</t>
  </si>
  <si>
    <t>131</t>
  </si>
  <si>
    <t>28.55</t>
  </si>
  <si>
    <t>87.84</t>
  </si>
  <si>
    <t>24.61</t>
  </si>
  <si>
    <t>-71.07</t>
  </si>
  <si>
    <t>00:02:39</t>
  </si>
  <si>
    <t>35.850498</t>
  </si>
  <si>
    <t>-30.900000</t>
  </si>
  <si>
    <t>0.820000</t>
  </si>
  <si>
    <t>0.534</t>
  </si>
  <si>
    <t>-0.079</t>
  </si>
  <si>
    <t>1.871</t>
  </si>
  <si>
    <t>2.528800</t>
  </si>
  <si>
    <t>2.470879</t>
  </si>
  <si>
    <t>1.670719</t>
  </si>
  <si>
    <t>0.939775</t>
  </si>
  <si>
    <t>0.222944</t>
  </si>
  <si>
    <t>-0.010870</t>
  </si>
  <si>
    <t>0.152456</t>
  </si>
  <si>
    <t>0.799510</t>
  </si>
  <si>
    <t>0.000345</t>
  </si>
  <si>
    <t>15</t>
  </si>
  <si>
    <t>09:03:32</t>
  </si>
  <si>
    <t>015</t>
  </si>
  <si>
    <t>3.051577</t>
  </si>
  <si>
    <t>2.976973</t>
  </si>
  <si>
    <t>29.503830</t>
  </si>
  <si>
    <t>30.243202</t>
  </si>
  <si>
    <t>PSF-01106_20260818090332_4f8</t>
  </si>
  <si>
    <t>150.745865</t>
  </si>
  <si>
    <t>494.481689</t>
  </si>
  <si>
    <t>0.695144</t>
  </si>
  <si>
    <t>69.15</t>
  </si>
  <si>
    <t>30.18</t>
  </si>
  <si>
    <t>100.90</t>
  </si>
  <si>
    <t>153.6</t>
  </si>
  <si>
    <t>1.6</t>
  </si>
  <si>
    <t>677</t>
  </si>
  <si>
    <t>3.815</t>
  </si>
  <si>
    <t>-20</t>
  </si>
  <si>
    <t>-8</t>
  </si>
  <si>
    <t>74.03</t>
  </si>
  <si>
    <t>27.51</t>
  </si>
  <si>
    <t>21.48</t>
  </si>
  <si>
    <t>105.66</t>
  </si>
  <si>
    <t>101.46</t>
  </si>
  <si>
    <t>52.60</t>
  </si>
  <si>
    <t>00:03:02</t>
  </si>
  <si>
    <t>35.850494</t>
  </si>
  <si>
    <t>127.129730</t>
  </si>
  <si>
    <t>1.050000</t>
  </si>
  <si>
    <t>-0.316</t>
  </si>
  <si>
    <t>-0.630</t>
  </si>
  <si>
    <t>-1.843</t>
  </si>
  <si>
    <t>2.530435</t>
  </si>
  <si>
    <t>2.471627</t>
  </si>
  <si>
    <t>1.670494</t>
  </si>
  <si>
    <t>0.937794</t>
  </si>
  <si>
    <t>0.222069</t>
  </si>
  <si>
    <t>-0.003865</t>
  </si>
  <si>
    <t>0.155501</t>
  </si>
  <si>
    <t>0.697322</t>
  </si>
  <si>
    <t>0.000347</t>
  </si>
  <si>
    <t>16</t>
  </si>
  <si>
    <t>09:04:00</t>
  </si>
  <si>
    <t>016</t>
  </si>
  <si>
    <t>3.195085</t>
  </si>
  <si>
    <t>3.122201</t>
  </si>
  <si>
    <t>30.942219</t>
  </si>
  <si>
    <t>31.664520</t>
  </si>
  <si>
    <t>PSF-01106_20260818090400_3ed</t>
  </si>
  <si>
    <t>122.821930</t>
  </si>
  <si>
    <t>486.188293</t>
  </si>
  <si>
    <t>0.747378</t>
  </si>
  <si>
    <t>73.69</t>
  </si>
  <si>
    <t>72.01</t>
  </si>
  <si>
    <t>30.31</t>
  </si>
  <si>
    <t>29.44</t>
  </si>
  <si>
    <t>154.0</t>
  </si>
  <si>
    <t>1.3</t>
  </si>
  <si>
    <t>376</t>
  </si>
  <si>
    <t>3.814</t>
  </si>
  <si>
    <t>-3</t>
  </si>
  <si>
    <t>348</t>
  </si>
  <si>
    <t>61.71</t>
  </si>
  <si>
    <t>47.40</t>
  </si>
  <si>
    <t>14.31</t>
  </si>
  <si>
    <t>155.78</t>
  </si>
  <si>
    <t>00:03:31</t>
  </si>
  <si>
    <t>35.850471</t>
  </si>
  <si>
    <t>127.129707</t>
  </si>
  <si>
    <t>-30.700001</t>
  </si>
  <si>
    <t>-0.160</t>
  </si>
  <si>
    <t>-0.124</t>
  </si>
  <si>
    <t>-0.207</t>
  </si>
  <si>
    <t>2.534313</t>
  </si>
  <si>
    <t>2.475156</t>
  </si>
  <si>
    <t>1.670360</t>
  </si>
  <si>
    <t>0.938812</t>
  </si>
  <si>
    <t>0.220968</t>
  </si>
  <si>
    <t>-0.009795</t>
  </si>
  <si>
    <t>0.159151</t>
  </si>
  <si>
    <t>0.435331</t>
  </si>
  <si>
    <t>0.000357</t>
  </si>
  <si>
    <t>18</t>
  </si>
  <si>
    <t>09:05:06</t>
  </si>
  <si>
    <t>018</t>
  </si>
  <si>
    <t>3.036400</t>
  </si>
  <si>
    <t>2.951384</t>
  </si>
  <si>
    <t>29.248772</t>
  </si>
  <si>
    <t>30.091299</t>
  </si>
  <si>
    <t>PSF-01106_20260818090506_811</t>
  </si>
  <si>
    <t>140.421875</t>
  </si>
  <si>
    <t>433.602325</t>
  </si>
  <si>
    <t>0.676151</t>
  </si>
  <si>
    <t>68.86</t>
  </si>
  <si>
    <t>30.60</t>
  </si>
  <si>
    <t>29.67</t>
  </si>
  <si>
    <t>100.91</t>
  </si>
  <si>
    <t>155.1</t>
  </si>
  <si>
    <t>0.6</t>
  </si>
  <si>
    <t>663</t>
  </si>
  <si>
    <t>3.809</t>
  </si>
  <si>
    <t>295</t>
  </si>
  <si>
    <t>72.71</t>
  </si>
  <si>
    <t>29.72</t>
  </si>
  <si>
    <t>20.56</t>
  </si>
  <si>
    <t>91.65</t>
  </si>
  <si>
    <t>101.64</t>
  </si>
  <si>
    <t>52.40</t>
  </si>
  <si>
    <t>00:04:36</t>
  </si>
  <si>
    <t>35.850441</t>
  </si>
  <si>
    <t>-29.200001</t>
  </si>
  <si>
    <t>09:04:19</t>
  </si>
  <si>
    <t>-2.02</t>
  </si>
  <si>
    <t>0.139</t>
  </si>
  <si>
    <t>0.519</t>
  </si>
  <si>
    <t>0.725</t>
  </si>
  <si>
    <t>2.527304</t>
  </si>
  <si>
    <t>2.468859</t>
  </si>
  <si>
    <t>1.670575</t>
  </si>
  <si>
    <t>0.941766</t>
  </si>
  <si>
    <t>0.218429</t>
  </si>
  <si>
    <t>-0.010640</t>
  </si>
  <si>
    <t>0.167507</t>
  </si>
  <si>
    <t>0.685092</t>
  </si>
  <si>
    <t>19</t>
  </si>
  <si>
    <t>09:05:37</t>
  </si>
  <si>
    <t>019</t>
  </si>
  <si>
    <t>2.976892</t>
  </si>
  <si>
    <t>2.891828</t>
  </si>
  <si>
    <t>28.659983</t>
  </si>
  <si>
    <t>29.503021</t>
  </si>
  <si>
    <t>PSF-01106_20260818090537_719</t>
  </si>
  <si>
    <t>168.724182</t>
  </si>
  <si>
    <t>513.891235</t>
  </si>
  <si>
    <t>0.671673</t>
  </si>
  <si>
    <t>67.11</t>
  </si>
  <si>
    <t>65.19</t>
  </si>
  <si>
    <t>30.70</t>
  </si>
  <si>
    <t>29.54</t>
  </si>
  <si>
    <t>134.2</t>
  </si>
  <si>
    <t>14.0</t>
  </si>
  <si>
    <t>449</t>
  </si>
  <si>
    <t>3.811</t>
  </si>
  <si>
    <t>-13</t>
  </si>
  <si>
    <t>-7</t>
  </si>
  <si>
    <t>325</t>
  </si>
  <si>
    <t>66.54</t>
  </si>
  <si>
    <t>39.81</t>
  </si>
  <si>
    <t>14.74</t>
  </si>
  <si>
    <t>116.37</t>
  </si>
  <si>
    <t>101.82</t>
  </si>
  <si>
    <t>52.20</t>
  </si>
  <si>
    <t>00:05:09</t>
  </si>
  <si>
    <t>35.850445</t>
  </si>
  <si>
    <t>127.129662</t>
  </si>
  <si>
    <t>-28.000000</t>
  </si>
  <si>
    <t>-0.252</t>
  </si>
  <si>
    <t>-0.169</t>
  </si>
  <si>
    <t>-0.251</t>
  </si>
  <si>
    <t>2.524898</t>
  </si>
  <si>
    <t>2.466627</t>
  </si>
  <si>
    <t>1.670221</t>
  </si>
  <si>
    <t>0.888828</t>
  </si>
  <si>
    <t>0.217540</t>
  </si>
  <si>
    <t>-0.013417</t>
  </si>
  <si>
    <t>0.171468</t>
  </si>
  <si>
    <t>0.498958</t>
  </si>
  <si>
    <t>0.000346</t>
  </si>
  <si>
    <t>처리</t>
    <phoneticPr fontId="1" type="noConversion"/>
  </si>
  <si>
    <t>처리_</t>
    <phoneticPr fontId="1" type="noConversion"/>
  </si>
  <si>
    <t>보정gsw</t>
    <phoneticPr fontId="1" type="noConversion"/>
  </si>
  <si>
    <t>평균gsw</t>
    <phoneticPr fontId="1" type="noConversion"/>
  </si>
  <si>
    <t>ETc</t>
    <phoneticPr fontId="1" type="noConversion"/>
  </si>
  <si>
    <t>ETc_침수</t>
    <phoneticPr fontId="1" type="noConversion"/>
  </si>
  <si>
    <t>gsw_corrected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</si>
</sst>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4" xfId="0" applyBorder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'처리별 분류'!$E$1</c:f>
              <c:strCache>
                <c:ptCount val="1"/>
                <c:pt idx="0">
                  <c:v>보정gsw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'처리별 분류'!$B$2:$B$25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xVal>
          <c:yVal>
            <c:numRef>
              <c:f>'처리별 분류'!$E$2:$E$25</c:f>
              <c:numCache>
                <c:formatCode>0.00</c:formatCode>
                <c:ptCount val="24"/>
                <c:pt idx="0">
                  <c:v>0.36425425513274012</c:v>
                </c:pt>
                <c:pt idx="1">
                  <c:v>0.36016701168596738</c:v>
                </c:pt>
                <c:pt idx="2">
                  <c:v>0.26492205246836442</c:v>
                </c:pt>
                <c:pt idx="3">
                  <c:v>0.40263255938908382</c:v>
                </c:pt>
                <c:pt idx="4">
                  <c:v>0.30553135444125629</c:v>
                </c:pt>
                <c:pt idx="5">
                  <c:v>0.29345081015008517</c:v>
                </c:pt>
                <c:pt idx="6">
                  <c:v>0.33147002691894162</c:v>
                </c:pt>
                <c:pt idx="7">
                  <c:v>0.38328773328193111</c:v>
                </c:pt>
                <c:pt idx="8">
                  <c:v>0.31248441932924381</c:v>
                </c:pt>
                <c:pt idx="12">
                  <c:v>0.14566066679524109</c:v>
                </c:pt>
                <c:pt idx="13">
                  <c:v>0.29540853553853702</c:v>
                </c:pt>
                <c:pt idx="14">
                  <c:v>0.19545931241146239</c:v>
                </c:pt>
                <c:pt idx="15">
                  <c:v>0.28389927709943302</c:v>
                </c:pt>
                <c:pt idx="16">
                  <c:v>0.31802351924366268</c:v>
                </c:pt>
                <c:pt idx="17">
                  <c:v>0.220172920391214</c:v>
                </c:pt>
                <c:pt idx="18">
                  <c:v>0.26248518152569478</c:v>
                </c:pt>
                <c:pt idx="19">
                  <c:v>0.25176896659102033</c:v>
                </c:pt>
                <c:pt idx="20">
                  <c:v>0.24640507407747281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B9-4B4F-983E-CD8D2C854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188112"/>
        <c:axId val="1128189072"/>
      </c:scatterChart>
      <c:valAx>
        <c:axId val="112818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8189072"/>
        <c:crosses val="autoZero"/>
        <c:crossBetween val="midCat"/>
      </c:valAx>
      <c:valAx>
        <c:axId val="11281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81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428625</xdr:colOff>
      <xdr:row>5</xdr:row>
      <xdr:rowOff>220027</xdr:rowOff>
    </xdr:from>
    <xdr:to>
      <xdr:col>18</xdr:col>
      <xdr:colOff>601980</xdr:colOff>
      <xdr:row>16</xdr:row>
      <xdr:rowOff>244792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6FEC46D-9317-0290-7B61-28271D697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1"/>
  <sheetViews>
    <sheetView workbookViewId="0">
      <selection activeCell="G10" sqref="G10"/>
    </sheetView>
  </sheetViews>
  <sheetFormatPr defaultRowHeight="19.2" x14ac:dyDescent="0.45"/>
  <sheetData>
    <row r="1" spans="1:124" ht="19.2" customHeight="1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ht="19.2" customHeight="1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ht="19.2" customHeight="1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ht="19.2" customHeight="1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f t="shared" ref="J4:J21" si="0">1/((1/L4)-(1/K4))</f>
        <v>0.44008834516538886</v>
      </c>
      <c r="K4">
        <f t="shared" ref="K4:K21" si="1">BY4+(BZ4*AN4)+(CA4*AN4*POWER(V4,2))+(CB4*AN4*V4)+(CC4*POWER(AN4,2))</f>
        <v>2.9066320800000001</v>
      </c>
      <c r="L4">
        <f t="shared" ref="L4:L21" si="2">((M4/1000)*(1000-((T4+S4)/2)))/(T4-S4)</f>
        <v>0.38221743665027463</v>
      </c>
      <c r="M4">
        <f t="shared" ref="M4:M21" si="3">(AN4*(S4-R4))/(100*U4*(1000-S4))*1000</f>
        <v>4.4764597567878663</v>
      </c>
      <c r="N4" t="s">
        <v>165</v>
      </c>
      <c r="O4" t="s">
        <v>166</v>
      </c>
      <c r="P4">
        <f t="shared" ref="P4:P21" si="4">0.61365*EXP((17.502*AL4)/(240.97+AL4))</f>
        <v>3.7420683511202926</v>
      </c>
      <c r="Q4">
        <f t="shared" ref="Q4:Q21" si="5">P4-N4</f>
        <v>1.1442453511202926</v>
      </c>
      <c r="R4" t="s">
        <v>167</v>
      </c>
      <c r="S4" t="s">
        <v>168</v>
      </c>
      <c r="T4">
        <f t="shared" ref="T4:T21" si="6">(P4/AM4)*1000</f>
        <v>37.097931507091232</v>
      </c>
      <c r="U4">
        <f t="shared" ref="U4:U21" si="7">V4*BX4</f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f t="shared" ref="AF4:AF21" si="8">AC4*AD4*AE4*AQ4</f>
        <v>36.361924199999997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f t="shared" ref="AL4:AL21" si="9">(AK4-AJ4)*(AJ4*0+0)+AK4</f>
        <v>27.76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X4" t="s">
        <v>191</v>
      </c>
      <c r="AY4" t="s">
        <v>192</v>
      </c>
      <c r="BC4" t="s">
        <v>193</v>
      </c>
      <c r="BD4" t="s">
        <v>194</v>
      </c>
      <c r="BE4" t="s">
        <v>195</v>
      </c>
      <c r="BF4" t="s">
        <v>195</v>
      </c>
      <c r="BG4" t="s">
        <v>195</v>
      </c>
      <c r="BH4" t="s">
        <v>196</v>
      </c>
      <c r="BI4" t="s">
        <v>195</v>
      </c>
      <c r="BJ4" t="s">
        <v>197</v>
      </c>
      <c r="BK4" t="s">
        <v>161</v>
      </c>
      <c r="BL4" t="s">
        <v>198</v>
      </c>
      <c r="BM4" t="s">
        <v>159</v>
      </c>
      <c r="BN4" t="s">
        <v>199</v>
      </c>
      <c r="BO4" t="s">
        <v>200</v>
      </c>
      <c r="BP4" t="s">
        <v>201</v>
      </c>
      <c r="BQ4" t="s">
        <v>202</v>
      </c>
      <c r="BR4" t="s">
        <v>203</v>
      </c>
      <c r="BS4" t="s">
        <v>204</v>
      </c>
      <c r="BT4" t="s">
        <v>159</v>
      </c>
      <c r="BU4" t="s">
        <v>205</v>
      </c>
      <c r="BV4" t="s">
        <v>200</v>
      </c>
      <c r="BW4" t="s">
        <v>206</v>
      </c>
      <c r="BX4" t="s">
        <v>207</v>
      </c>
      <c r="BY4" t="s">
        <v>171</v>
      </c>
      <c r="BZ4" t="s">
        <v>208</v>
      </c>
      <c r="CA4" t="s">
        <v>171</v>
      </c>
      <c r="CB4" t="s">
        <v>171</v>
      </c>
      <c r="CC4" t="s">
        <v>209</v>
      </c>
      <c r="CD4" t="s">
        <v>210</v>
      </c>
      <c r="CE4" t="s">
        <v>196</v>
      </c>
      <c r="CF4" t="s">
        <v>211</v>
      </c>
      <c r="CG4" t="s">
        <v>212</v>
      </c>
      <c r="CH4" t="s">
        <v>213</v>
      </c>
      <c r="CI4" t="s">
        <v>177</v>
      </c>
      <c r="CJ4" t="s">
        <v>206</v>
      </c>
      <c r="CK4" t="s">
        <v>214</v>
      </c>
      <c r="CL4" t="s">
        <v>214</v>
      </c>
      <c r="CM4" t="s">
        <v>214</v>
      </c>
      <c r="CN4" t="s">
        <v>171</v>
      </c>
      <c r="CO4" t="s">
        <v>215</v>
      </c>
      <c r="CP4" t="s">
        <v>171</v>
      </c>
      <c r="CQ4" t="s">
        <v>171</v>
      </c>
      <c r="CR4" t="s">
        <v>171</v>
      </c>
      <c r="CS4" t="s">
        <v>171</v>
      </c>
      <c r="CT4" t="s">
        <v>216</v>
      </c>
      <c r="CU4" t="s">
        <v>217</v>
      </c>
      <c r="CV4" t="s">
        <v>218</v>
      </c>
      <c r="CW4" t="s">
        <v>219</v>
      </c>
      <c r="CX4" t="s">
        <v>220</v>
      </c>
      <c r="CY4" t="s">
        <v>221</v>
      </c>
      <c r="CZ4" t="s">
        <v>222</v>
      </c>
      <c r="DA4" t="s">
        <v>223</v>
      </c>
      <c r="DB4" t="s">
        <v>172</v>
      </c>
      <c r="DC4" t="s">
        <v>224</v>
      </c>
      <c r="DD4" t="s">
        <v>225</v>
      </c>
      <c r="DE4" t="s">
        <v>226</v>
      </c>
      <c r="DF4" t="s">
        <v>177</v>
      </c>
      <c r="DG4" t="s">
        <v>227</v>
      </c>
      <c r="DH4" t="s">
        <v>228</v>
      </c>
      <c r="DI4" t="s">
        <v>177</v>
      </c>
      <c r="DJ4" t="s">
        <v>229</v>
      </c>
      <c r="DK4" t="s">
        <v>230</v>
      </c>
      <c r="DL4" t="s">
        <v>231</v>
      </c>
      <c r="DM4" t="s">
        <v>171</v>
      </c>
      <c r="DN4" t="s">
        <v>170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ht="19.2" customHeight="1" x14ac:dyDescent="0.45">
      <c r="A5" t="s">
        <v>238</v>
      </c>
      <c r="B5" t="s">
        <v>239</v>
      </c>
      <c r="C5" t="s">
        <v>161</v>
      </c>
      <c r="D5" t="s">
        <v>162</v>
      </c>
      <c r="E5" t="s">
        <v>163</v>
      </c>
      <c r="I5" t="s">
        <v>240</v>
      </c>
      <c r="J5">
        <f t="shared" si="0"/>
        <v>0.43521822477372402</v>
      </c>
      <c r="K5">
        <f t="shared" si="1"/>
        <v>2.9066320800000001</v>
      </c>
      <c r="L5">
        <f t="shared" si="2"/>
        <v>0.37853857550738229</v>
      </c>
      <c r="M5">
        <f t="shared" si="3"/>
        <v>4.2142899960100619</v>
      </c>
      <c r="N5" t="s">
        <v>241</v>
      </c>
      <c r="O5" t="s">
        <v>242</v>
      </c>
      <c r="P5">
        <f t="shared" si="4"/>
        <v>3.744254303642891</v>
      </c>
      <c r="Q5">
        <f t="shared" si="5"/>
        <v>1.087267303642891</v>
      </c>
      <c r="R5" t="s">
        <v>243</v>
      </c>
      <c r="S5" t="s">
        <v>244</v>
      </c>
      <c r="T5">
        <f t="shared" si="6"/>
        <v>37.119602494724802</v>
      </c>
      <c r="U5">
        <f t="shared" si="7"/>
        <v>0.4417875</v>
      </c>
      <c r="V5" t="s">
        <v>169</v>
      </c>
      <c r="W5" t="s">
        <v>245</v>
      </c>
      <c r="X5" t="s">
        <v>171</v>
      </c>
      <c r="Y5" t="s">
        <v>171</v>
      </c>
      <c r="Z5" t="s">
        <v>171</v>
      </c>
      <c r="AA5" t="s">
        <v>246</v>
      </c>
      <c r="AB5" t="s">
        <v>247</v>
      </c>
      <c r="AC5" t="s">
        <v>248</v>
      </c>
      <c r="AD5" t="s">
        <v>175</v>
      </c>
      <c r="AE5" t="s">
        <v>176</v>
      </c>
      <c r="AF5">
        <f t="shared" si="8"/>
        <v>92.235102959999992</v>
      </c>
      <c r="AG5" t="s">
        <v>177</v>
      </c>
      <c r="AH5" t="s">
        <v>249</v>
      </c>
      <c r="AI5" t="s">
        <v>250</v>
      </c>
      <c r="AJ5" t="s">
        <v>251</v>
      </c>
      <c r="AK5" t="s">
        <v>252</v>
      </c>
      <c r="AL5">
        <f t="shared" si="9"/>
        <v>27.77</v>
      </c>
      <c r="AM5" t="s">
        <v>182</v>
      </c>
      <c r="AN5" t="s">
        <v>183</v>
      </c>
      <c r="AO5" t="s">
        <v>253</v>
      </c>
      <c r="AP5" t="s">
        <v>254</v>
      </c>
      <c r="AQ5" t="s">
        <v>255</v>
      </c>
      <c r="AR5" t="s">
        <v>256</v>
      </c>
      <c r="AS5" t="s">
        <v>257</v>
      </c>
      <c r="AT5" t="s">
        <v>258</v>
      </c>
      <c r="AU5" t="s">
        <v>259</v>
      </c>
      <c r="AX5" t="s">
        <v>260</v>
      </c>
      <c r="AY5" t="s">
        <v>261</v>
      </c>
      <c r="BC5" t="s">
        <v>193</v>
      </c>
      <c r="BD5" t="s">
        <v>194</v>
      </c>
      <c r="BE5" t="s">
        <v>195</v>
      </c>
      <c r="BF5" t="s">
        <v>195</v>
      </c>
      <c r="BG5" t="s">
        <v>195</v>
      </c>
      <c r="BH5" t="s">
        <v>196</v>
      </c>
      <c r="BI5" t="s">
        <v>195</v>
      </c>
      <c r="BJ5" t="s">
        <v>197</v>
      </c>
      <c r="BK5" t="s">
        <v>161</v>
      </c>
      <c r="BL5" t="s">
        <v>198</v>
      </c>
      <c r="BM5" t="s">
        <v>159</v>
      </c>
      <c r="BN5" t="s">
        <v>262</v>
      </c>
      <c r="BO5" t="s">
        <v>263</v>
      </c>
      <c r="BP5" t="s">
        <v>264</v>
      </c>
      <c r="BQ5" t="s">
        <v>265</v>
      </c>
      <c r="BR5" t="s">
        <v>266</v>
      </c>
      <c r="BS5" t="s">
        <v>267</v>
      </c>
      <c r="BT5" t="s">
        <v>159</v>
      </c>
      <c r="BU5" t="s">
        <v>205</v>
      </c>
      <c r="BV5" t="s">
        <v>200</v>
      </c>
      <c r="BW5" t="s">
        <v>206</v>
      </c>
      <c r="BX5" t="s">
        <v>207</v>
      </c>
      <c r="BY5" t="s">
        <v>171</v>
      </c>
      <c r="BZ5" t="s">
        <v>208</v>
      </c>
      <c r="CA5" t="s">
        <v>171</v>
      </c>
      <c r="CB5" t="s">
        <v>171</v>
      </c>
      <c r="CC5" t="s">
        <v>209</v>
      </c>
      <c r="CD5" t="s">
        <v>210</v>
      </c>
      <c r="CE5" t="s">
        <v>196</v>
      </c>
      <c r="CF5" t="s">
        <v>211</v>
      </c>
      <c r="CG5" t="s">
        <v>212</v>
      </c>
      <c r="CH5" t="s">
        <v>213</v>
      </c>
      <c r="CI5" t="s">
        <v>177</v>
      </c>
      <c r="CJ5" t="s">
        <v>206</v>
      </c>
      <c r="CK5" t="s">
        <v>214</v>
      </c>
      <c r="CL5" t="s">
        <v>214</v>
      </c>
      <c r="CM5" t="s">
        <v>214</v>
      </c>
      <c r="CN5" t="s">
        <v>171</v>
      </c>
      <c r="CO5" t="s">
        <v>215</v>
      </c>
      <c r="CP5" t="s">
        <v>171</v>
      </c>
      <c r="CQ5" t="s">
        <v>171</v>
      </c>
      <c r="CR5" t="s">
        <v>171</v>
      </c>
      <c r="CS5" t="s">
        <v>171</v>
      </c>
      <c r="CT5" t="s">
        <v>268</v>
      </c>
      <c r="CU5" t="s">
        <v>269</v>
      </c>
      <c r="CV5" t="s">
        <v>270</v>
      </c>
      <c r="CW5" t="s">
        <v>271</v>
      </c>
      <c r="CX5" t="s">
        <v>272</v>
      </c>
      <c r="CY5" t="s">
        <v>273</v>
      </c>
      <c r="CZ5" t="s">
        <v>274</v>
      </c>
      <c r="DA5" t="s">
        <v>275</v>
      </c>
      <c r="DB5" t="s">
        <v>246</v>
      </c>
      <c r="DC5" t="s">
        <v>276</v>
      </c>
      <c r="DD5" t="s">
        <v>225</v>
      </c>
      <c r="DE5" t="s">
        <v>226</v>
      </c>
      <c r="DF5" t="s">
        <v>177</v>
      </c>
      <c r="DG5" t="s">
        <v>227</v>
      </c>
      <c r="DH5" t="s">
        <v>228</v>
      </c>
      <c r="DI5" t="s">
        <v>177</v>
      </c>
      <c r="DJ5" t="s">
        <v>229</v>
      </c>
      <c r="DK5" t="s">
        <v>230</v>
      </c>
      <c r="DL5" t="s">
        <v>231</v>
      </c>
      <c r="DM5" t="s">
        <v>171</v>
      </c>
      <c r="DN5" t="s">
        <v>245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ht="19.2" customHeight="1" x14ac:dyDescent="0.45">
      <c r="A6" t="s">
        <v>277</v>
      </c>
      <c r="B6" t="s">
        <v>278</v>
      </c>
      <c r="C6" t="s">
        <v>161</v>
      </c>
      <c r="D6" t="s">
        <v>162</v>
      </c>
      <c r="E6" t="s">
        <v>163</v>
      </c>
      <c r="I6" t="s">
        <v>279</v>
      </c>
      <c r="J6">
        <f t="shared" si="0"/>
        <v>0.30204779161369005</v>
      </c>
      <c r="K6">
        <f t="shared" si="1"/>
        <v>2.9058327199999998</v>
      </c>
      <c r="L6">
        <f t="shared" si="2"/>
        <v>0.27360755885302107</v>
      </c>
      <c r="M6">
        <f t="shared" si="3"/>
        <v>3.1214326011318185</v>
      </c>
      <c r="N6" t="s">
        <v>280</v>
      </c>
      <c r="O6" t="s">
        <v>281</v>
      </c>
      <c r="P6">
        <f t="shared" si="4"/>
        <v>3.8572258309084173</v>
      </c>
      <c r="Q6">
        <f t="shared" si="5"/>
        <v>1.1133088309084171</v>
      </c>
      <c r="R6" t="s">
        <v>282</v>
      </c>
      <c r="S6" t="s">
        <v>283</v>
      </c>
      <c r="T6">
        <f t="shared" si="6"/>
        <v>38.235783415031896</v>
      </c>
      <c r="U6">
        <f t="shared" si="7"/>
        <v>0.4417875</v>
      </c>
      <c r="V6" t="s">
        <v>169</v>
      </c>
      <c r="W6" t="s">
        <v>284</v>
      </c>
      <c r="X6" t="s">
        <v>171</v>
      </c>
      <c r="Y6" t="s">
        <v>171</v>
      </c>
      <c r="Z6" t="s">
        <v>171</v>
      </c>
      <c r="AA6" t="s">
        <v>285</v>
      </c>
      <c r="AB6" t="s">
        <v>286</v>
      </c>
      <c r="AC6" t="s">
        <v>287</v>
      </c>
      <c r="AD6" t="s">
        <v>175</v>
      </c>
      <c r="AE6" t="s">
        <v>176</v>
      </c>
      <c r="AF6">
        <f t="shared" si="8"/>
        <v>103.8677472</v>
      </c>
      <c r="AG6" t="s">
        <v>177</v>
      </c>
      <c r="AH6" t="s">
        <v>288</v>
      </c>
      <c r="AI6" t="s">
        <v>289</v>
      </c>
      <c r="AJ6" t="s">
        <v>290</v>
      </c>
      <c r="AK6" t="s">
        <v>291</v>
      </c>
      <c r="AL6">
        <f t="shared" si="9"/>
        <v>28.28</v>
      </c>
      <c r="AM6" t="s">
        <v>292</v>
      </c>
      <c r="AN6" t="s">
        <v>293</v>
      </c>
      <c r="AO6" t="s">
        <v>294</v>
      </c>
      <c r="AP6" t="s">
        <v>295</v>
      </c>
      <c r="AQ6" t="s">
        <v>296</v>
      </c>
      <c r="AR6" t="s">
        <v>297</v>
      </c>
      <c r="AS6" t="s">
        <v>298</v>
      </c>
      <c r="AT6" t="s">
        <v>299</v>
      </c>
      <c r="AU6" t="s">
        <v>300</v>
      </c>
      <c r="AX6" t="s">
        <v>301</v>
      </c>
      <c r="AY6" t="s">
        <v>302</v>
      </c>
      <c r="BC6" t="s">
        <v>193</v>
      </c>
      <c r="BD6" t="s">
        <v>194</v>
      </c>
      <c r="BE6" t="s">
        <v>303</v>
      </c>
      <c r="BF6" t="s">
        <v>304</v>
      </c>
      <c r="BG6" t="s">
        <v>305</v>
      </c>
      <c r="BH6" t="s">
        <v>306</v>
      </c>
      <c r="BI6" t="s">
        <v>307</v>
      </c>
      <c r="BJ6" t="s">
        <v>197</v>
      </c>
      <c r="BK6" t="s">
        <v>161</v>
      </c>
      <c r="BL6" t="s">
        <v>198</v>
      </c>
      <c r="BM6" t="s">
        <v>159</v>
      </c>
      <c r="BN6" t="s">
        <v>308</v>
      </c>
      <c r="BO6" t="s">
        <v>263</v>
      </c>
      <c r="BP6" t="s">
        <v>308</v>
      </c>
      <c r="BQ6" t="s">
        <v>309</v>
      </c>
      <c r="BR6" t="s">
        <v>310</v>
      </c>
      <c r="BS6" t="s">
        <v>311</v>
      </c>
      <c r="BT6" t="s">
        <v>159</v>
      </c>
      <c r="BU6" t="s">
        <v>205</v>
      </c>
      <c r="BV6" t="s">
        <v>200</v>
      </c>
      <c r="BW6" t="s">
        <v>206</v>
      </c>
      <c r="BX6" t="s">
        <v>207</v>
      </c>
      <c r="BY6" t="s">
        <v>171</v>
      </c>
      <c r="BZ6" t="s">
        <v>208</v>
      </c>
      <c r="CA6" t="s">
        <v>171</v>
      </c>
      <c r="CB6" t="s">
        <v>171</v>
      </c>
      <c r="CC6" t="s">
        <v>209</v>
      </c>
      <c r="CD6" t="s">
        <v>210</v>
      </c>
      <c r="CE6" t="s">
        <v>196</v>
      </c>
      <c r="CF6" t="s">
        <v>211</v>
      </c>
      <c r="CG6" t="s">
        <v>212</v>
      </c>
      <c r="CH6" t="s">
        <v>213</v>
      </c>
      <c r="CI6" t="s">
        <v>177</v>
      </c>
      <c r="CJ6" t="s">
        <v>206</v>
      </c>
      <c r="CK6" t="s">
        <v>214</v>
      </c>
      <c r="CL6" t="s">
        <v>214</v>
      </c>
      <c r="CM6" t="s">
        <v>214</v>
      </c>
      <c r="CN6" t="s">
        <v>171</v>
      </c>
      <c r="CO6" t="s">
        <v>215</v>
      </c>
      <c r="CP6" t="s">
        <v>171</v>
      </c>
      <c r="CQ6" t="s">
        <v>171</v>
      </c>
      <c r="CR6" t="s">
        <v>171</v>
      </c>
      <c r="CS6" t="s">
        <v>171</v>
      </c>
      <c r="CT6" t="s">
        <v>312</v>
      </c>
      <c r="CU6" t="s">
        <v>313</v>
      </c>
      <c r="CV6" t="s">
        <v>314</v>
      </c>
      <c r="CW6" t="s">
        <v>315</v>
      </c>
      <c r="CX6" t="s">
        <v>316</v>
      </c>
      <c r="CY6" t="s">
        <v>317</v>
      </c>
      <c r="CZ6" t="s">
        <v>318</v>
      </c>
      <c r="DA6" t="s">
        <v>319</v>
      </c>
      <c r="DB6" t="s">
        <v>285</v>
      </c>
      <c r="DC6" t="s">
        <v>320</v>
      </c>
      <c r="DD6" t="s">
        <v>225</v>
      </c>
      <c r="DE6" t="s">
        <v>226</v>
      </c>
      <c r="DF6" t="s">
        <v>177</v>
      </c>
      <c r="DG6" t="s">
        <v>227</v>
      </c>
      <c r="DH6" t="s">
        <v>228</v>
      </c>
      <c r="DI6" t="s">
        <v>177</v>
      </c>
      <c r="DJ6" t="s">
        <v>229</v>
      </c>
      <c r="DK6" t="s">
        <v>230</v>
      </c>
      <c r="DL6" t="s">
        <v>231</v>
      </c>
      <c r="DM6" t="s">
        <v>171</v>
      </c>
      <c r="DN6" t="s">
        <v>284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ht="19.2" customHeight="1" x14ac:dyDescent="0.45">
      <c r="A7" t="s">
        <v>306</v>
      </c>
      <c r="B7" t="s">
        <v>321</v>
      </c>
      <c r="C7" t="s">
        <v>161</v>
      </c>
      <c r="D7" t="s">
        <v>162</v>
      </c>
      <c r="E7" t="s">
        <v>163</v>
      </c>
      <c r="I7" t="s">
        <v>322</v>
      </c>
      <c r="J7">
        <f t="shared" si="0"/>
        <v>0.5051514478621647</v>
      </c>
      <c r="K7">
        <f t="shared" si="1"/>
        <v>2.9058327199999998</v>
      </c>
      <c r="L7">
        <f t="shared" si="2"/>
        <v>0.43034078539076009</v>
      </c>
      <c r="M7">
        <f t="shared" si="3"/>
        <v>4.500691870080173</v>
      </c>
      <c r="N7" t="s">
        <v>323</v>
      </c>
      <c r="O7" t="s">
        <v>324</v>
      </c>
      <c r="P7">
        <f t="shared" si="4"/>
        <v>3.7926279808294892</v>
      </c>
      <c r="Q7">
        <f t="shared" si="5"/>
        <v>1.020504980829489</v>
      </c>
      <c r="R7" t="s">
        <v>325</v>
      </c>
      <c r="S7" t="s">
        <v>326</v>
      </c>
      <c r="T7">
        <f t="shared" si="6"/>
        <v>37.59916705491711</v>
      </c>
      <c r="U7">
        <f t="shared" si="7"/>
        <v>0.4417875</v>
      </c>
      <c r="V7" t="s">
        <v>169</v>
      </c>
      <c r="W7" t="s">
        <v>327</v>
      </c>
      <c r="X7" t="s">
        <v>171</v>
      </c>
      <c r="Y7" t="s">
        <v>171</v>
      </c>
      <c r="Z7" t="s">
        <v>171</v>
      </c>
      <c r="AA7" t="s">
        <v>328</v>
      </c>
      <c r="AB7" t="s">
        <v>329</v>
      </c>
      <c r="AC7" t="s">
        <v>330</v>
      </c>
      <c r="AD7" t="s">
        <v>175</v>
      </c>
      <c r="AE7" t="s">
        <v>176</v>
      </c>
      <c r="AF7">
        <f t="shared" si="8"/>
        <v>109.47788543999999</v>
      </c>
      <c r="AG7" t="s">
        <v>177</v>
      </c>
      <c r="AH7" t="s">
        <v>331</v>
      </c>
      <c r="AI7" t="s">
        <v>332</v>
      </c>
      <c r="AJ7" t="s">
        <v>333</v>
      </c>
      <c r="AK7" t="s">
        <v>334</v>
      </c>
      <c r="AL7">
        <f t="shared" si="9"/>
        <v>27.99</v>
      </c>
      <c r="AM7" t="s">
        <v>182</v>
      </c>
      <c r="AN7" t="s">
        <v>293</v>
      </c>
      <c r="AO7" t="s">
        <v>335</v>
      </c>
      <c r="AP7" t="s">
        <v>336</v>
      </c>
      <c r="AQ7" t="s">
        <v>337</v>
      </c>
      <c r="AR7" t="s">
        <v>338</v>
      </c>
      <c r="AS7" t="s">
        <v>339</v>
      </c>
      <c r="AT7" t="s">
        <v>340</v>
      </c>
      <c r="AU7" t="s">
        <v>341</v>
      </c>
      <c r="AV7" t="s">
        <v>252</v>
      </c>
      <c r="AW7" t="s">
        <v>342</v>
      </c>
      <c r="AX7" t="s">
        <v>343</v>
      </c>
      <c r="AY7" t="s">
        <v>344</v>
      </c>
      <c r="AZ7" t="s">
        <v>345</v>
      </c>
      <c r="BA7" t="s">
        <v>346</v>
      </c>
      <c r="BB7" t="s">
        <v>347</v>
      </c>
      <c r="BC7" t="s">
        <v>348</v>
      </c>
      <c r="BD7" t="s">
        <v>349</v>
      </c>
      <c r="BE7" t="s">
        <v>350</v>
      </c>
      <c r="BF7" t="s">
        <v>351</v>
      </c>
      <c r="BG7" t="s">
        <v>352</v>
      </c>
      <c r="BH7" t="s">
        <v>306</v>
      </c>
      <c r="BI7" t="s">
        <v>307</v>
      </c>
      <c r="BJ7" t="s">
        <v>197</v>
      </c>
      <c r="BK7" t="s">
        <v>161</v>
      </c>
      <c r="BL7" t="s">
        <v>198</v>
      </c>
      <c r="BM7" t="s">
        <v>159</v>
      </c>
      <c r="BN7" t="s">
        <v>263</v>
      </c>
      <c r="BO7" t="s">
        <v>200</v>
      </c>
      <c r="BP7" t="s">
        <v>353</v>
      </c>
      <c r="BQ7" t="s">
        <v>354</v>
      </c>
      <c r="BR7" t="s">
        <v>355</v>
      </c>
      <c r="BS7" t="s">
        <v>353</v>
      </c>
      <c r="BT7" t="s">
        <v>159</v>
      </c>
      <c r="BU7" t="s">
        <v>205</v>
      </c>
      <c r="BV7" t="s">
        <v>200</v>
      </c>
      <c r="BW7" t="s">
        <v>206</v>
      </c>
      <c r="BX7" t="s">
        <v>207</v>
      </c>
      <c r="BY7" t="s">
        <v>171</v>
      </c>
      <c r="BZ7" t="s">
        <v>208</v>
      </c>
      <c r="CA7" t="s">
        <v>171</v>
      </c>
      <c r="CB7" t="s">
        <v>171</v>
      </c>
      <c r="CC7" t="s">
        <v>209</v>
      </c>
      <c r="CD7" t="s">
        <v>210</v>
      </c>
      <c r="CE7" t="s">
        <v>196</v>
      </c>
      <c r="CF7" t="s">
        <v>211</v>
      </c>
      <c r="CG7" t="s">
        <v>212</v>
      </c>
      <c r="CH7" t="s">
        <v>213</v>
      </c>
      <c r="CI7" t="s">
        <v>177</v>
      </c>
      <c r="CJ7" t="s">
        <v>206</v>
      </c>
      <c r="CK7" t="s">
        <v>214</v>
      </c>
      <c r="CL7" t="s">
        <v>214</v>
      </c>
      <c r="CM7" t="s">
        <v>214</v>
      </c>
      <c r="CN7" t="s">
        <v>171</v>
      </c>
      <c r="CO7" t="s">
        <v>215</v>
      </c>
      <c r="CP7" t="s">
        <v>171</v>
      </c>
      <c r="CQ7" t="s">
        <v>171</v>
      </c>
      <c r="CR7" t="s">
        <v>171</v>
      </c>
      <c r="CS7" t="s">
        <v>171</v>
      </c>
      <c r="CT7" t="s">
        <v>356</v>
      </c>
      <c r="CU7" t="s">
        <v>357</v>
      </c>
      <c r="CV7" t="s">
        <v>358</v>
      </c>
      <c r="CW7" t="s">
        <v>359</v>
      </c>
      <c r="CX7" t="s">
        <v>360</v>
      </c>
      <c r="CY7" t="s">
        <v>361</v>
      </c>
      <c r="CZ7" t="s">
        <v>362</v>
      </c>
      <c r="DA7" t="s">
        <v>363</v>
      </c>
      <c r="DB7" t="s">
        <v>328</v>
      </c>
      <c r="DC7" t="s">
        <v>224</v>
      </c>
      <c r="DD7" t="s">
        <v>225</v>
      </c>
      <c r="DE7" t="s">
        <v>226</v>
      </c>
      <c r="DF7" t="s">
        <v>177</v>
      </c>
      <c r="DG7" t="s">
        <v>227</v>
      </c>
      <c r="DH7" t="s">
        <v>228</v>
      </c>
      <c r="DI7" t="s">
        <v>177</v>
      </c>
      <c r="DJ7" t="s">
        <v>229</v>
      </c>
      <c r="DK7" t="s">
        <v>230</v>
      </c>
      <c r="DL7" t="s">
        <v>231</v>
      </c>
      <c r="DM7" t="s">
        <v>171</v>
      </c>
      <c r="DN7" t="s">
        <v>327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ht="19.2" customHeight="1" x14ac:dyDescent="0.45">
      <c r="A8" t="s">
        <v>364</v>
      </c>
      <c r="B8" t="s">
        <v>365</v>
      </c>
      <c r="C8" t="s">
        <v>161</v>
      </c>
      <c r="D8" t="s">
        <v>162</v>
      </c>
      <c r="E8" t="s">
        <v>163</v>
      </c>
      <c r="I8" t="s">
        <v>366</v>
      </c>
      <c r="J8">
        <f t="shared" si="0"/>
        <v>0.3579730954896394</v>
      </c>
      <c r="K8">
        <f t="shared" si="1"/>
        <v>2.9050319999999994</v>
      </c>
      <c r="L8">
        <f t="shared" si="2"/>
        <v>0.31870109518796491</v>
      </c>
      <c r="M8">
        <f t="shared" si="3"/>
        <v>3.244296879495983</v>
      </c>
      <c r="N8" t="s">
        <v>367</v>
      </c>
      <c r="O8" t="s">
        <v>368</v>
      </c>
      <c r="P8">
        <f t="shared" si="4"/>
        <v>3.770572772303975</v>
      </c>
      <c r="Q8">
        <f t="shared" si="5"/>
        <v>0.99358577230397493</v>
      </c>
      <c r="R8" t="s">
        <v>369</v>
      </c>
      <c r="S8" t="s">
        <v>370</v>
      </c>
      <c r="T8">
        <f t="shared" si="6"/>
        <v>37.376811779381192</v>
      </c>
      <c r="U8">
        <f t="shared" si="7"/>
        <v>0.4417875</v>
      </c>
      <c r="V8" t="s">
        <v>169</v>
      </c>
      <c r="W8" t="s">
        <v>371</v>
      </c>
      <c r="X8" t="s">
        <v>171</v>
      </c>
      <c r="Y8" t="s">
        <v>171</v>
      </c>
      <c r="Z8" t="s">
        <v>171</v>
      </c>
      <c r="AA8" t="s">
        <v>372</v>
      </c>
      <c r="AB8" t="s">
        <v>373</v>
      </c>
      <c r="AC8" t="s">
        <v>374</v>
      </c>
      <c r="AD8" t="s">
        <v>175</v>
      </c>
      <c r="AE8" t="s">
        <v>176</v>
      </c>
      <c r="AF8">
        <f t="shared" si="8"/>
        <v>71.086548960000002</v>
      </c>
      <c r="AG8" t="s">
        <v>177</v>
      </c>
      <c r="AH8" t="s">
        <v>375</v>
      </c>
      <c r="AI8" t="s">
        <v>376</v>
      </c>
      <c r="AJ8" t="s">
        <v>377</v>
      </c>
      <c r="AK8" t="s">
        <v>378</v>
      </c>
      <c r="AL8">
        <f t="shared" si="9"/>
        <v>27.89</v>
      </c>
      <c r="AM8" t="s">
        <v>292</v>
      </c>
      <c r="AN8" t="s">
        <v>379</v>
      </c>
      <c r="AO8" t="s">
        <v>380</v>
      </c>
      <c r="AP8" t="s">
        <v>381</v>
      </c>
      <c r="AQ8" t="s">
        <v>382</v>
      </c>
      <c r="AR8" t="s">
        <v>383</v>
      </c>
      <c r="AS8" t="s">
        <v>384</v>
      </c>
      <c r="AT8" t="s">
        <v>385</v>
      </c>
      <c r="AU8" t="s">
        <v>386</v>
      </c>
      <c r="AV8" t="s">
        <v>387</v>
      </c>
      <c r="AW8" t="s">
        <v>388</v>
      </c>
      <c r="AX8" t="s">
        <v>389</v>
      </c>
      <c r="AY8" t="s">
        <v>390</v>
      </c>
      <c r="AZ8" t="s">
        <v>345</v>
      </c>
      <c r="BA8" t="s">
        <v>391</v>
      </c>
      <c r="BB8" t="s">
        <v>392</v>
      </c>
      <c r="BC8" t="s">
        <v>393</v>
      </c>
      <c r="BD8" t="s">
        <v>349</v>
      </c>
      <c r="BE8" t="s">
        <v>394</v>
      </c>
      <c r="BF8" t="s">
        <v>395</v>
      </c>
      <c r="BG8" t="s">
        <v>396</v>
      </c>
      <c r="BH8" t="s">
        <v>397</v>
      </c>
      <c r="BI8" t="s">
        <v>398</v>
      </c>
      <c r="BJ8" t="s">
        <v>197</v>
      </c>
      <c r="BK8" t="s">
        <v>161</v>
      </c>
      <c r="BL8" t="s">
        <v>198</v>
      </c>
      <c r="BM8" t="s">
        <v>159</v>
      </c>
      <c r="BN8" t="s">
        <v>308</v>
      </c>
      <c r="BO8" t="s">
        <v>200</v>
      </c>
      <c r="BP8" t="s">
        <v>264</v>
      </c>
      <c r="BQ8" t="s">
        <v>399</v>
      </c>
      <c r="BR8" t="s">
        <v>400</v>
      </c>
      <c r="BS8" t="s">
        <v>401</v>
      </c>
      <c r="BT8" t="s">
        <v>159</v>
      </c>
      <c r="BU8" t="s">
        <v>205</v>
      </c>
      <c r="BV8" t="s">
        <v>200</v>
      </c>
      <c r="BW8" t="s">
        <v>206</v>
      </c>
      <c r="BX8" t="s">
        <v>207</v>
      </c>
      <c r="BY8" t="s">
        <v>171</v>
      </c>
      <c r="BZ8" t="s">
        <v>208</v>
      </c>
      <c r="CA8" t="s">
        <v>171</v>
      </c>
      <c r="CB8" t="s">
        <v>171</v>
      </c>
      <c r="CC8" t="s">
        <v>209</v>
      </c>
      <c r="CD8" t="s">
        <v>210</v>
      </c>
      <c r="CE8" t="s">
        <v>196</v>
      </c>
      <c r="CF8" t="s">
        <v>211</v>
      </c>
      <c r="CG8" t="s">
        <v>212</v>
      </c>
      <c r="CH8" t="s">
        <v>213</v>
      </c>
      <c r="CI8" t="s">
        <v>177</v>
      </c>
      <c r="CJ8" t="s">
        <v>206</v>
      </c>
      <c r="CK8" t="s">
        <v>214</v>
      </c>
      <c r="CL8" t="s">
        <v>214</v>
      </c>
      <c r="CM8" t="s">
        <v>214</v>
      </c>
      <c r="CN8" t="s">
        <v>171</v>
      </c>
      <c r="CO8" t="s">
        <v>215</v>
      </c>
      <c r="CP8" t="s">
        <v>171</v>
      </c>
      <c r="CQ8" t="s">
        <v>171</v>
      </c>
      <c r="CR8" t="s">
        <v>171</v>
      </c>
      <c r="CS8" t="s">
        <v>171</v>
      </c>
      <c r="CT8" t="s">
        <v>402</v>
      </c>
      <c r="CU8" t="s">
        <v>403</v>
      </c>
      <c r="CV8" t="s">
        <v>404</v>
      </c>
      <c r="CW8" t="s">
        <v>405</v>
      </c>
      <c r="CX8" t="s">
        <v>406</v>
      </c>
      <c r="CY8" t="s">
        <v>407</v>
      </c>
      <c r="CZ8" t="s">
        <v>408</v>
      </c>
      <c r="DA8" t="s">
        <v>409</v>
      </c>
      <c r="DB8" t="s">
        <v>372</v>
      </c>
      <c r="DC8" t="s">
        <v>410</v>
      </c>
      <c r="DD8" t="s">
        <v>225</v>
      </c>
      <c r="DE8" t="s">
        <v>226</v>
      </c>
      <c r="DF8" t="s">
        <v>177</v>
      </c>
      <c r="DG8" t="s">
        <v>227</v>
      </c>
      <c r="DH8" t="s">
        <v>228</v>
      </c>
      <c r="DI8" t="s">
        <v>177</v>
      </c>
      <c r="DJ8" t="s">
        <v>229</v>
      </c>
      <c r="DK8" t="s">
        <v>230</v>
      </c>
      <c r="DL8" t="s">
        <v>231</v>
      </c>
      <c r="DM8" t="s">
        <v>171</v>
      </c>
      <c r="DN8" t="s">
        <v>371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ht="19.2" customHeight="1" x14ac:dyDescent="0.45">
      <c r="A9" t="s">
        <v>397</v>
      </c>
      <c r="B9" t="s">
        <v>411</v>
      </c>
      <c r="C9" t="s">
        <v>161</v>
      </c>
      <c r="D9" t="s">
        <v>162</v>
      </c>
      <c r="E9" t="s">
        <v>163</v>
      </c>
      <c r="I9" t="s">
        <v>412</v>
      </c>
      <c r="J9">
        <f t="shared" si="0"/>
        <v>0.34182723336876208</v>
      </c>
      <c r="K9">
        <f t="shared" si="1"/>
        <v>2.9058327199999998</v>
      </c>
      <c r="L9">
        <f t="shared" si="2"/>
        <v>0.30584875681941176</v>
      </c>
      <c r="M9">
        <f t="shared" si="3"/>
        <v>3.2531996416299407</v>
      </c>
      <c r="N9" t="s">
        <v>413</v>
      </c>
      <c r="O9" t="s">
        <v>414</v>
      </c>
      <c r="P9">
        <f t="shared" si="4"/>
        <v>3.8393105828414447</v>
      </c>
      <c r="Q9">
        <f t="shared" si="5"/>
        <v>1.0376765828414447</v>
      </c>
      <c r="R9" t="s">
        <v>415</v>
      </c>
      <c r="S9" t="s">
        <v>416</v>
      </c>
      <c r="T9">
        <f t="shared" si="6"/>
        <v>38.058193723646362</v>
      </c>
      <c r="U9">
        <f t="shared" si="7"/>
        <v>0.4417875</v>
      </c>
      <c r="V9" t="s">
        <v>169</v>
      </c>
      <c r="W9" t="s">
        <v>417</v>
      </c>
      <c r="X9" t="s">
        <v>171</v>
      </c>
      <c r="Y9" t="s">
        <v>171</v>
      </c>
      <c r="Z9" t="s">
        <v>171</v>
      </c>
      <c r="AA9" t="s">
        <v>418</v>
      </c>
      <c r="AB9" t="s">
        <v>419</v>
      </c>
      <c r="AC9" t="s">
        <v>420</v>
      </c>
      <c r="AD9" t="s">
        <v>175</v>
      </c>
      <c r="AE9" t="s">
        <v>176</v>
      </c>
      <c r="AF9">
        <f t="shared" si="8"/>
        <v>88.242373799999996</v>
      </c>
      <c r="AG9" t="s">
        <v>177</v>
      </c>
      <c r="AH9" t="s">
        <v>421</v>
      </c>
      <c r="AI9" t="s">
        <v>422</v>
      </c>
      <c r="AJ9" t="s">
        <v>423</v>
      </c>
      <c r="AK9" t="s">
        <v>424</v>
      </c>
      <c r="AL9">
        <f t="shared" si="9"/>
        <v>28.2</v>
      </c>
      <c r="AM9" t="s">
        <v>292</v>
      </c>
      <c r="AN9" t="s">
        <v>293</v>
      </c>
      <c r="AO9" t="s">
        <v>425</v>
      </c>
      <c r="AP9" t="s">
        <v>426</v>
      </c>
      <c r="AQ9" t="s">
        <v>427</v>
      </c>
      <c r="AR9" t="s">
        <v>428</v>
      </c>
      <c r="AS9" t="s">
        <v>384</v>
      </c>
      <c r="AT9" t="s">
        <v>306</v>
      </c>
      <c r="AU9" t="s">
        <v>300</v>
      </c>
      <c r="AV9" t="s">
        <v>429</v>
      </c>
      <c r="AW9" t="s">
        <v>430</v>
      </c>
      <c r="AX9" t="s">
        <v>431</v>
      </c>
      <c r="AY9" t="s">
        <v>432</v>
      </c>
      <c r="AZ9" t="s">
        <v>345</v>
      </c>
      <c r="BA9" t="s">
        <v>433</v>
      </c>
      <c r="BB9" t="s">
        <v>434</v>
      </c>
      <c r="BC9" t="s">
        <v>435</v>
      </c>
      <c r="BD9" t="s">
        <v>349</v>
      </c>
      <c r="BE9" t="s">
        <v>436</v>
      </c>
      <c r="BF9" t="s">
        <v>437</v>
      </c>
      <c r="BG9" t="s">
        <v>438</v>
      </c>
      <c r="BH9" t="s">
        <v>364</v>
      </c>
      <c r="BI9" t="s">
        <v>439</v>
      </c>
      <c r="BJ9" t="s">
        <v>197</v>
      </c>
      <c r="BK9" t="s">
        <v>161</v>
      </c>
      <c r="BL9" t="s">
        <v>198</v>
      </c>
      <c r="BM9" t="s">
        <v>159</v>
      </c>
      <c r="BN9" t="s">
        <v>440</v>
      </c>
      <c r="BO9" t="s">
        <v>263</v>
      </c>
      <c r="BP9" t="s">
        <v>441</v>
      </c>
      <c r="BQ9" t="s">
        <v>442</v>
      </c>
      <c r="BR9" t="s">
        <v>443</v>
      </c>
      <c r="BS9" t="s">
        <v>444</v>
      </c>
      <c r="BT9" t="s">
        <v>159</v>
      </c>
      <c r="BU9" t="s">
        <v>205</v>
      </c>
      <c r="BV9" t="s">
        <v>200</v>
      </c>
      <c r="BW9" t="s">
        <v>206</v>
      </c>
      <c r="BX9" t="s">
        <v>207</v>
      </c>
      <c r="BY9" t="s">
        <v>171</v>
      </c>
      <c r="BZ9" t="s">
        <v>208</v>
      </c>
      <c r="CA9" t="s">
        <v>171</v>
      </c>
      <c r="CB9" t="s">
        <v>171</v>
      </c>
      <c r="CC9" t="s">
        <v>209</v>
      </c>
      <c r="CD9" t="s">
        <v>210</v>
      </c>
      <c r="CE9" t="s">
        <v>196</v>
      </c>
      <c r="CF9" t="s">
        <v>211</v>
      </c>
      <c r="CG9" t="s">
        <v>212</v>
      </c>
      <c r="CH9" t="s">
        <v>213</v>
      </c>
      <c r="CI9" t="s">
        <v>177</v>
      </c>
      <c r="CJ9" t="s">
        <v>206</v>
      </c>
      <c r="CK9" t="s">
        <v>214</v>
      </c>
      <c r="CL9" t="s">
        <v>214</v>
      </c>
      <c r="CM9" t="s">
        <v>214</v>
      </c>
      <c r="CN9" t="s">
        <v>171</v>
      </c>
      <c r="CO9" t="s">
        <v>215</v>
      </c>
      <c r="CP9" t="s">
        <v>171</v>
      </c>
      <c r="CQ9" t="s">
        <v>171</v>
      </c>
      <c r="CR9" t="s">
        <v>171</v>
      </c>
      <c r="CS9" t="s">
        <v>171</v>
      </c>
      <c r="CT9" t="s">
        <v>445</v>
      </c>
      <c r="CU9" t="s">
        <v>446</v>
      </c>
      <c r="CV9" t="s">
        <v>447</v>
      </c>
      <c r="CW9" t="s">
        <v>448</v>
      </c>
      <c r="CX9" t="s">
        <v>449</v>
      </c>
      <c r="CY9" t="s">
        <v>450</v>
      </c>
      <c r="CZ9" t="s">
        <v>451</v>
      </c>
      <c r="DA9" t="s">
        <v>452</v>
      </c>
      <c r="DB9" t="s">
        <v>418</v>
      </c>
      <c r="DC9" t="s">
        <v>276</v>
      </c>
      <c r="DD9" t="s">
        <v>225</v>
      </c>
      <c r="DE9" t="s">
        <v>226</v>
      </c>
      <c r="DF9" t="s">
        <v>177</v>
      </c>
      <c r="DG9" t="s">
        <v>227</v>
      </c>
      <c r="DH9" t="s">
        <v>228</v>
      </c>
      <c r="DI9" t="s">
        <v>177</v>
      </c>
      <c r="DJ9" t="s">
        <v>229</v>
      </c>
      <c r="DK9" t="s">
        <v>230</v>
      </c>
      <c r="DL9" t="s">
        <v>231</v>
      </c>
      <c r="DM9" t="s">
        <v>171</v>
      </c>
      <c r="DN9" t="s">
        <v>417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ht="19.2" customHeight="1" x14ac:dyDescent="0.45">
      <c r="A10" t="s">
        <v>453</v>
      </c>
      <c r="B10" t="s">
        <v>454</v>
      </c>
      <c r="C10" t="s">
        <v>161</v>
      </c>
      <c r="D10" t="s">
        <v>162</v>
      </c>
      <c r="E10" t="s">
        <v>163</v>
      </c>
      <c r="I10" t="s">
        <v>455</v>
      </c>
      <c r="J10">
        <f t="shared" si="0"/>
        <v>0.39457673763971163</v>
      </c>
      <c r="K10">
        <f t="shared" si="1"/>
        <v>2.9066320800000001</v>
      </c>
      <c r="L10">
        <f t="shared" si="2"/>
        <v>0.34741498251096059</v>
      </c>
      <c r="M10">
        <f t="shared" si="3"/>
        <v>3.5889888534677223</v>
      </c>
      <c r="N10" t="s">
        <v>456</v>
      </c>
      <c r="O10" t="s">
        <v>457</v>
      </c>
      <c r="P10">
        <f t="shared" si="4"/>
        <v>3.8192427329631986</v>
      </c>
      <c r="Q10">
        <f t="shared" si="5"/>
        <v>1.0080707329631986</v>
      </c>
      <c r="R10" t="s">
        <v>458</v>
      </c>
      <c r="S10" t="s">
        <v>459</v>
      </c>
      <c r="T10">
        <f t="shared" si="6"/>
        <v>37.855513261603711</v>
      </c>
      <c r="U10">
        <f t="shared" si="7"/>
        <v>0.4417875</v>
      </c>
      <c r="V10" t="s">
        <v>169</v>
      </c>
      <c r="W10" t="s">
        <v>460</v>
      </c>
      <c r="X10" t="s">
        <v>171</v>
      </c>
      <c r="Y10" t="s">
        <v>171</v>
      </c>
      <c r="Z10" t="s">
        <v>171</v>
      </c>
      <c r="AA10" t="s">
        <v>461</v>
      </c>
      <c r="AB10" t="s">
        <v>462</v>
      </c>
      <c r="AC10" t="s">
        <v>463</v>
      </c>
      <c r="AD10" t="s">
        <v>175</v>
      </c>
      <c r="AE10" t="s">
        <v>176</v>
      </c>
      <c r="AF10">
        <f t="shared" si="8"/>
        <v>97.082802600000008</v>
      </c>
      <c r="AG10" t="s">
        <v>177</v>
      </c>
      <c r="AH10" t="s">
        <v>464</v>
      </c>
      <c r="AI10" t="s">
        <v>465</v>
      </c>
      <c r="AJ10" t="s">
        <v>466</v>
      </c>
      <c r="AK10" t="s">
        <v>467</v>
      </c>
      <c r="AL10">
        <f t="shared" si="9"/>
        <v>28.11</v>
      </c>
      <c r="AM10" t="s">
        <v>468</v>
      </c>
      <c r="AN10" t="s">
        <v>183</v>
      </c>
      <c r="AO10" t="s">
        <v>469</v>
      </c>
      <c r="AP10" t="s">
        <v>470</v>
      </c>
      <c r="AQ10" t="s">
        <v>471</v>
      </c>
      <c r="AR10" t="s">
        <v>472</v>
      </c>
      <c r="AS10" t="s">
        <v>473</v>
      </c>
      <c r="AT10" t="s">
        <v>474</v>
      </c>
      <c r="AU10" t="s">
        <v>475</v>
      </c>
      <c r="AV10" t="s">
        <v>476</v>
      </c>
      <c r="AW10" t="s">
        <v>477</v>
      </c>
      <c r="AX10" t="s">
        <v>478</v>
      </c>
      <c r="AY10" t="s">
        <v>479</v>
      </c>
      <c r="AZ10" t="s">
        <v>345</v>
      </c>
      <c r="BA10" t="s">
        <v>433</v>
      </c>
      <c r="BB10" t="s">
        <v>434</v>
      </c>
      <c r="BC10" t="s">
        <v>480</v>
      </c>
      <c r="BD10" t="s">
        <v>349</v>
      </c>
      <c r="BE10" t="s">
        <v>481</v>
      </c>
      <c r="BF10" t="s">
        <v>482</v>
      </c>
      <c r="BG10" t="s">
        <v>483</v>
      </c>
      <c r="BH10" t="s">
        <v>453</v>
      </c>
      <c r="BI10" t="s">
        <v>484</v>
      </c>
      <c r="BJ10" t="s">
        <v>197</v>
      </c>
      <c r="BK10" t="s">
        <v>161</v>
      </c>
      <c r="BL10" t="s">
        <v>198</v>
      </c>
      <c r="BM10" t="s">
        <v>159</v>
      </c>
      <c r="BN10" t="s">
        <v>264</v>
      </c>
      <c r="BO10" t="s">
        <v>263</v>
      </c>
      <c r="BP10" t="s">
        <v>485</v>
      </c>
      <c r="BQ10" t="s">
        <v>486</v>
      </c>
      <c r="BR10" t="s">
        <v>487</v>
      </c>
      <c r="BS10" t="s">
        <v>488</v>
      </c>
      <c r="BT10" t="s">
        <v>159</v>
      </c>
      <c r="BU10" t="s">
        <v>205</v>
      </c>
      <c r="BV10" t="s">
        <v>200</v>
      </c>
      <c r="BW10" t="s">
        <v>206</v>
      </c>
      <c r="BX10" t="s">
        <v>207</v>
      </c>
      <c r="BY10" t="s">
        <v>171</v>
      </c>
      <c r="BZ10" t="s">
        <v>208</v>
      </c>
      <c r="CA10" t="s">
        <v>171</v>
      </c>
      <c r="CB10" t="s">
        <v>171</v>
      </c>
      <c r="CC10" t="s">
        <v>209</v>
      </c>
      <c r="CD10" t="s">
        <v>210</v>
      </c>
      <c r="CE10" t="s">
        <v>196</v>
      </c>
      <c r="CF10" t="s">
        <v>211</v>
      </c>
      <c r="CG10" t="s">
        <v>212</v>
      </c>
      <c r="CH10" t="s">
        <v>213</v>
      </c>
      <c r="CI10" t="s">
        <v>177</v>
      </c>
      <c r="CJ10" t="s">
        <v>206</v>
      </c>
      <c r="CK10" t="s">
        <v>214</v>
      </c>
      <c r="CL10" t="s">
        <v>214</v>
      </c>
      <c r="CM10" t="s">
        <v>214</v>
      </c>
      <c r="CN10" t="s">
        <v>171</v>
      </c>
      <c r="CO10" t="s">
        <v>215</v>
      </c>
      <c r="CP10" t="s">
        <v>171</v>
      </c>
      <c r="CQ10" t="s">
        <v>171</v>
      </c>
      <c r="CR10" t="s">
        <v>171</v>
      </c>
      <c r="CS10" t="s">
        <v>171</v>
      </c>
      <c r="CT10" t="s">
        <v>489</v>
      </c>
      <c r="CU10" t="s">
        <v>490</v>
      </c>
      <c r="CV10" t="s">
        <v>491</v>
      </c>
      <c r="CW10" t="s">
        <v>492</v>
      </c>
      <c r="CX10" t="s">
        <v>493</v>
      </c>
      <c r="CY10" t="s">
        <v>494</v>
      </c>
      <c r="CZ10" t="s">
        <v>495</v>
      </c>
      <c r="DA10" t="s">
        <v>496</v>
      </c>
      <c r="DB10" t="s">
        <v>461</v>
      </c>
      <c r="DC10" t="s">
        <v>410</v>
      </c>
      <c r="DD10" t="s">
        <v>225</v>
      </c>
      <c r="DE10" t="s">
        <v>226</v>
      </c>
      <c r="DF10" t="s">
        <v>177</v>
      </c>
      <c r="DG10" t="s">
        <v>227</v>
      </c>
      <c r="DH10" t="s">
        <v>228</v>
      </c>
      <c r="DI10" t="s">
        <v>177</v>
      </c>
      <c r="DJ10" t="s">
        <v>229</v>
      </c>
      <c r="DK10" t="s">
        <v>230</v>
      </c>
      <c r="DL10" t="s">
        <v>231</v>
      </c>
      <c r="DM10" t="s">
        <v>171</v>
      </c>
      <c r="DN10" t="s">
        <v>460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ht="19.2" customHeight="1" x14ac:dyDescent="0.45">
      <c r="A11" t="s">
        <v>385</v>
      </c>
      <c r="B11" t="s">
        <v>497</v>
      </c>
      <c r="C11" t="s">
        <v>161</v>
      </c>
      <c r="D11" t="s">
        <v>162</v>
      </c>
      <c r="E11" t="s">
        <v>163</v>
      </c>
      <c r="I11" t="s">
        <v>498</v>
      </c>
      <c r="J11">
        <f t="shared" si="0"/>
        <v>0.47995588878009598</v>
      </c>
      <c r="K11">
        <f t="shared" si="1"/>
        <v>2.9042299199999997</v>
      </c>
      <c r="L11">
        <f t="shared" si="2"/>
        <v>0.41188703317026493</v>
      </c>
      <c r="M11">
        <f t="shared" si="3"/>
        <v>3.9900794452587065</v>
      </c>
      <c r="N11" t="s">
        <v>499</v>
      </c>
      <c r="O11" t="s">
        <v>500</v>
      </c>
      <c r="P11">
        <f t="shared" si="4"/>
        <v>3.8081335172877639</v>
      </c>
      <c r="Q11">
        <f t="shared" si="5"/>
        <v>0.94480751728776413</v>
      </c>
      <c r="R11" t="s">
        <v>501</v>
      </c>
      <c r="S11" t="s">
        <v>502</v>
      </c>
      <c r="T11">
        <f t="shared" si="6"/>
        <v>37.749142716968315</v>
      </c>
      <c r="U11">
        <f t="shared" si="7"/>
        <v>0.4417875</v>
      </c>
      <c r="V11" t="s">
        <v>169</v>
      </c>
      <c r="W11" t="s">
        <v>503</v>
      </c>
      <c r="X11" t="s">
        <v>171</v>
      </c>
      <c r="Y11" t="s">
        <v>171</v>
      </c>
      <c r="Z11" t="s">
        <v>171</v>
      </c>
      <c r="AA11" t="s">
        <v>504</v>
      </c>
      <c r="AB11" t="s">
        <v>505</v>
      </c>
      <c r="AC11" t="s">
        <v>506</v>
      </c>
      <c r="AD11" t="s">
        <v>175</v>
      </c>
      <c r="AE11" t="s">
        <v>176</v>
      </c>
      <c r="AF11">
        <f t="shared" si="8"/>
        <v>100.2783936</v>
      </c>
      <c r="AG11" t="s">
        <v>177</v>
      </c>
      <c r="AH11" t="s">
        <v>507</v>
      </c>
      <c r="AI11" t="s">
        <v>508</v>
      </c>
      <c r="AJ11" t="s">
        <v>509</v>
      </c>
      <c r="AK11" t="s">
        <v>510</v>
      </c>
      <c r="AL11">
        <f t="shared" si="9"/>
        <v>28.06</v>
      </c>
      <c r="AM11" t="s">
        <v>292</v>
      </c>
      <c r="AN11" t="s">
        <v>511</v>
      </c>
      <c r="AO11" t="s">
        <v>512</v>
      </c>
      <c r="AP11" t="s">
        <v>513</v>
      </c>
      <c r="AQ11" t="s">
        <v>514</v>
      </c>
      <c r="AR11" t="s">
        <v>472</v>
      </c>
      <c r="AS11" t="s">
        <v>515</v>
      </c>
      <c r="AT11" t="s">
        <v>188</v>
      </c>
      <c r="AU11" t="s">
        <v>516</v>
      </c>
      <c r="AV11" t="s">
        <v>517</v>
      </c>
      <c r="AW11" t="s">
        <v>518</v>
      </c>
      <c r="AX11" t="s">
        <v>519</v>
      </c>
      <c r="AY11" t="s">
        <v>520</v>
      </c>
      <c r="AZ11" t="s">
        <v>345</v>
      </c>
      <c r="BA11" t="s">
        <v>433</v>
      </c>
      <c r="BB11" t="s">
        <v>434</v>
      </c>
      <c r="BC11" t="s">
        <v>521</v>
      </c>
      <c r="BD11" t="s">
        <v>349</v>
      </c>
      <c r="BE11" t="s">
        <v>522</v>
      </c>
      <c r="BF11" t="s">
        <v>523</v>
      </c>
      <c r="BG11" t="s">
        <v>524</v>
      </c>
      <c r="BH11" t="s">
        <v>453</v>
      </c>
      <c r="BI11" t="s">
        <v>525</v>
      </c>
      <c r="BJ11" t="s">
        <v>197</v>
      </c>
      <c r="BK11" t="s">
        <v>161</v>
      </c>
      <c r="BL11" t="s">
        <v>198</v>
      </c>
      <c r="BM11" t="s">
        <v>159</v>
      </c>
      <c r="BN11" t="s">
        <v>262</v>
      </c>
      <c r="BO11" t="s">
        <v>526</v>
      </c>
      <c r="BP11" t="s">
        <v>527</v>
      </c>
      <c r="BQ11" t="s">
        <v>528</v>
      </c>
      <c r="BR11" t="s">
        <v>529</v>
      </c>
      <c r="BS11" t="s">
        <v>530</v>
      </c>
      <c r="BT11" t="s">
        <v>159</v>
      </c>
      <c r="BU11" t="s">
        <v>205</v>
      </c>
      <c r="BV11" t="s">
        <v>200</v>
      </c>
      <c r="BW11" t="s">
        <v>206</v>
      </c>
      <c r="BX11" t="s">
        <v>207</v>
      </c>
      <c r="BY11" t="s">
        <v>171</v>
      </c>
      <c r="BZ11" t="s">
        <v>208</v>
      </c>
      <c r="CA11" t="s">
        <v>171</v>
      </c>
      <c r="CB11" t="s">
        <v>171</v>
      </c>
      <c r="CC11" t="s">
        <v>209</v>
      </c>
      <c r="CD11" t="s">
        <v>210</v>
      </c>
      <c r="CE11" t="s">
        <v>196</v>
      </c>
      <c r="CF11" t="s">
        <v>211</v>
      </c>
      <c r="CG11" t="s">
        <v>212</v>
      </c>
      <c r="CH11" t="s">
        <v>213</v>
      </c>
      <c r="CI11" t="s">
        <v>177</v>
      </c>
      <c r="CJ11" t="s">
        <v>206</v>
      </c>
      <c r="CK11" t="s">
        <v>214</v>
      </c>
      <c r="CL11" t="s">
        <v>214</v>
      </c>
      <c r="CM11" t="s">
        <v>214</v>
      </c>
      <c r="CN11" t="s">
        <v>171</v>
      </c>
      <c r="CO11" t="s">
        <v>215</v>
      </c>
      <c r="CP11" t="s">
        <v>171</v>
      </c>
      <c r="CQ11" t="s">
        <v>171</v>
      </c>
      <c r="CR11" t="s">
        <v>171</v>
      </c>
      <c r="CS11" t="s">
        <v>171</v>
      </c>
      <c r="CT11" t="s">
        <v>531</v>
      </c>
      <c r="CU11" t="s">
        <v>532</v>
      </c>
      <c r="CV11" t="s">
        <v>533</v>
      </c>
      <c r="CW11" t="s">
        <v>534</v>
      </c>
      <c r="CX11" t="s">
        <v>535</v>
      </c>
      <c r="CY11" t="s">
        <v>536</v>
      </c>
      <c r="CZ11" t="s">
        <v>537</v>
      </c>
      <c r="DA11" t="s">
        <v>538</v>
      </c>
      <c r="DB11" t="s">
        <v>504</v>
      </c>
      <c r="DC11" t="s">
        <v>410</v>
      </c>
      <c r="DD11" t="s">
        <v>225</v>
      </c>
      <c r="DE11" t="s">
        <v>226</v>
      </c>
      <c r="DF11" t="s">
        <v>177</v>
      </c>
      <c r="DG11" t="s">
        <v>227</v>
      </c>
      <c r="DH11" t="s">
        <v>228</v>
      </c>
      <c r="DI11" t="s">
        <v>177</v>
      </c>
      <c r="DJ11" t="s">
        <v>229</v>
      </c>
      <c r="DK11" t="s">
        <v>230</v>
      </c>
      <c r="DL11" t="s">
        <v>231</v>
      </c>
      <c r="DM11" t="s">
        <v>171</v>
      </c>
      <c r="DN11" t="s">
        <v>503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ht="19.2" customHeight="1" x14ac:dyDescent="0.45">
      <c r="A12" t="s">
        <v>539</v>
      </c>
      <c r="B12" t="s">
        <v>540</v>
      </c>
      <c r="C12" t="s">
        <v>161</v>
      </c>
      <c r="D12" t="s">
        <v>162</v>
      </c>
      <c r="E12" t="s">
        <v>163</v>
      </c>
      <c r="I12" t="s">
        <v>541</v>
      </c>
      <c r="J12">
        <f t="shared" si="0"/>
        <v>0.36787906810725735</v>
      </c>
      <c r="K12">
        <f t="shared" si="1"/>
        <v>2.9058327199999998</v>
      </c>
      <c r="L12">
        <f t="shared" si="2"/>
        <v>0.32653914037045739</v>
      </c>
      <c r="M12">
        <f t="shared" si="3"/>
        <v>3.537296557127775</v>
      </c>
      <c r="N12" t="s">
        <v>542</v>
      </c>
      <c r="O12" t="s">
        <v>543</v>
      </c>
      <c r="P12">
        <f t="shared" si="4"/>
        <v>3.8774676116945894</v>
      </c>
      <c r="Q12">
        <f t="shared" si="5"/>
        <v>1.0565066116945894</v>
      </c>
      <c r="R12" t="s">
        <v>544</v>
      </c>
      <c r="S12" t="s">
        <v>545</v>
      </c>
      <c r="T12">
        <f t="shared" si="6"/>
        <v>38.4364354846807</v>
      </c>
      <c r="U12">
        <f t="shared" si="7"/>
        <v>0.4417875</v>
      </c>
      <c r="V12" t="s">
        <v>169</v>
      </c>
      <c r="W12" t="s">
        <v>546</v>
      </c>
      <c r="X12" t="s">
        <v>171</v>
      </c>
      <c r="Y12" t="s">
        <v>171</v>
      </c>
      <c r="Z12" t="s">
        <v>171</v>
      </c>
      <c r="AA12" t="s">
        <v>547</v>
      </c>
      <c r="AB12" t="s">
        <v>548</v>
      </c>
      <c r="AC12" t="s">
        <v>549</v>
      </c>
      <c r="AD12" t="s">
        <v>175</v>
      </c>
      <c r="AE12" t="s">
        <v>176</v>
      </c>
      <c r="AF12">
        <f t="shared" si="8"/>
        <v>114.67440095999999</v>
      </c>
      <c r="AG12" t="s">
        <v>177</v>
      </c>
      <c r="AH12" t="s">
        <v>550</v>
      </c>
      <c r="AI12" t="s">
        <v>551</v>
      </c>
      <c r="AJ12" t="s">
        <v>552</v>
      </c>
      <c r="AK12" t="s">
        <v>553</v>
      </c>
      <c r="AL12">
        <f t="shared" si="9"/>
        <v>28.37</v>
      </c>
      <c r="AM12" t="s">
        <v>292</v>
      </c>
      <c r="AN12" t="s">
        <v>293</v>
      </c>
      <c r="AO12" t="s">
        <v>380</v>
      </c>
      <c r="AP12" t="s">
        <v>381</v>
      </c>
      <c r="AQ12" t="s">
        <v>554</v>
      </c>
      <c r="AR12" t="s">
        <v>555</v>
      </c>
      <c r="AS12" t="s">
        <v>556</v>
      </c>
      <c r="AT12" t="s">
        <v>557</v>
      </c>
      <c r="AU12" t="s">
        <v>558</v>
      </c>
      <c r="AV12" t="s">
        <v>559</v>
      </c>
      <c r="AW12" t="s">
        <v>560</v>
      </c>
      <c r="AX12" t="s">
        <v>561</v>
      </c>
      <c r="AY12" t="s">
        <v>562</v>
      </c>
      <c r="AZ12" t="s">
        <v>345</v>
      </c>
      <c r="BA12" t="s">
        <v>563</v>
      </c>
      <c r="BB12" t="s">
        <v>564</v>
      </c>
      <c r="BC12" t="s">
        <v>565</v>
      </c>
      <c r="BD12" t="s">
        <v>349</v>
      </c>
      <c r="BE12" t="s">
        <v>566</v>
      </c>
      <c r="BF12" t="s">
        <v>567</v>
      </c>
      <c r="BG12" t="s">
        <v>568</v>
      </c>
      <c r="BH12" t="s">
        <v>385</v>
      </c>
      <c r="BI12" t="s">
        <v>569</v>
      </c>
      <c r="BJ12" t="s">
        <v>197</v>
      </c>
      <c r="BK12" t="s">
        <v>161</v>
      </c>
      <c r="BL12" t="s">
        <v>198</v>
      </c>
      <c r="BM12" t="s">
        <v>159</v>
      </c>
      <c r="BN12" t="s">
        <v>264</v>
      </c>
      <c r="BO12" t="s">
        <v>263</v>
      </c>
      <c r="BP12" t="s">
        <v>264</v>
      </c>
      <c r="BQ12" t="s">
        <v>570</v>
      </c>
      <c r="BR12" t="s">
        <v>571</v>
      </c>
      <c r="BS12" t="s">
        <v>572</v>
      </c>
      <c r="BT12" t="s">
        <v>159</v>
      </c>
      <c r="BU12" t="s">
        <v>205</v>
      </c>
      <c r="BV12" t="s">
        <v>200</v>
      </c>
      <c r="BW12" t="s">
        <v>206</v>
      </c>
      <c r="BX12" t="s">
        <v>207</v>
      </c>
      <c r="BY12" t="s">
        <v>171</v>
      </c>
      <c r="BZ12" t="s">
        <v>208</v>
      </c>
      <c r="CA12" t="s">
        <v>171</v>
      </c>
      <c r="CB12" t="s">
        <v>171</v>
      </c>
      <c r="CC12" t="s">
        <v>209</v>
      </c>
      <c r="CD12" t="s">
        <v>210</v>
      </c>
      <c r="CE12" t="s">
        <v>196</v>
      </c>
      <c r="CF12" t="s">
        <v>211</v>
      </c>
      <c r="CG12" t="s">
        <v>212</v>
      </c>
      <c r="CH12" t="s">
        <v>213</v>
      </c>
      <c r="CI12" t="s">
        <v>177</v>
      </c>
      <c r="CJ12" t="s">
        <v>206</v>
      </c>
      <c r="CK12" t="s">
        <v>214</v>
      </c>
      <c r="CL12" t="s">
        <v>214</v>
      </c>
      <c r="CM12" t="s">
        <v>214</v>
      </c>
      <c r="CN12" t="s">
        <v>171</v>
      </c>
      <c r="CO12" t="s">
        <v>215</v>
      </c>
      <c r="CP12" t="s">
        <v>171</v>
      </c>
      <c r="CQ12" t="s">
        <v>171</v>
      </c>
      <c r="CR12" t="s">
        <v>171</v>
      </c>
      <c r="CS12" t="s">
        <v>171</v>
      </c>
      <c r="CT12" t="s">
        <v>573</v>
      </c>
      <c r="CU12" t="s">
        <v>574</v>
      </c>
      <c r="CV12" t="s">
        <v>575</v>
      </c>
      <c r="CW12" t="s">
        <v>576</v>
      </c>
      <c r="CX12" t="s">
        <v>577</v>
      </c>
      <c r="CY12" t="s">
        <v>578</v>
      </c>
      <c r="CZ12" t="s">
        <v>579</v>
      </c>
      <c r="DA12" t="s">
        <v>580</v>
      </c>
      <c r="DB12" t="s">
        <v>547</v>
      </c>
      <c r="DC12" t="s">
        <v>581</v>
      </c>
      <c r="DD12" t="s">
        <v>225</v>
      </c>
      <c r="DE12" t="s">
        <v>226</v>
      </c>
      <c r="DF12" t="s">
        <v>177</v>
      </c>
      <c r="DG12" t="s">
        <v>227</v>
      </c>
      <c r="DH12" t="s">
        <v>228</v>
      </c>
      <c r="DI12" t="s">
        <v>177</v>
      </c>
      <c r="DJ12" t="s">
        <v>229</v>
      </c>
      <c r="DK12" t="s">
        <v>230</v>
      </c>
      <c r="DL12" t="s">
        <v>231</v>
      </c>
      <c r="DM12" t="s">
        <v>171</v>
      </c>
      <c r="DN12" t="s">
        <v>546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ht="19.2" customHeight="1" x14ac:dyDescent="0.45">
      <c r="A13" t="s">
        <v>582</v>
      </c>
      <c r="B13" t="s">
        <v>583</v>
      </c>
      <c r="C13" t="s">
        <v>161</v>
      </c>
      <c r="D13" t="s">
        <v>162</v>
      </c>
      <c r="E13" t="s">
        <v>163</v>
      </c>
      <c r="I13" t="s">
        <v>584</v>
      </c>
      <c r="J13">
        <f t="shared" si="0"/>
        <v>0.15348707394462346</v>
      </c>
      <c r="K13">
        <f t="shared" si="1"/>
        <v>2.9058327199999998</v>
      </c>
      <c r="L13">
        <f t="shared" si="2"/>
        <v>0.14578657728039382</v>
      </c>
      <c r="M13">
        <f t="shared" si="3"/>
        <v>1.8104346674727658</v>
      </c>
      <c r="N13" t="s">
        <v>585</v>
      </c>
      <c r="O13" t="s">
        <v>586</v>
      </c>
      <c r="P13">
        <f t="shared" si="4"/>
        <v>3.9754625857380574</v>
      </c>
      <c r="Q13">
        <f t="shared" si="5"/>
        <v>1.2110835857380575</v>
      </c>
      <c r="R13" t="s">
        <v>587</v>
      </c>
      <c r="S13" t="s">
        <v>588</v>
      </c>
      <c r="T13">
        <f t="shared" si="6"/>
        <v>39.403930872614303</v>
      </c>
      <c r="U13">
        <f t="shared" si="7"/>
        <v>0.4417875</v>
      </c>
      <c r="V13" t="s">
        <v>169</v>
      </c>
      <c r="W13" t="s">
        <v>589</v>
      </c>
      <c r="X13" t="s">
        <v>171</v>
      </c>
      <c r="Y13" t="s">
        <v>171</v>
      </c>
      <c r="Z13" t="s">
        <v>171</v>
      </c>
      <c r="AA13" t="s">
        <v>590</v>
      </c>
      <c r="AB13" t="s">
        <v>591</v>
      </c>
      <c r="AC13" t="s">
        <v>592</v>
      </c>
      <c r="AD13" t="s">
        <v>175</v>
      </c>
      <c r="AE13" t="s">
        <v>176</v>
      </c>
      <c r="AF13">
        <f t="shared" si="8"/>
        <v>99.99307499999999</v>
      </c>
      <c r="AG13" t="s">
        <v>177</v>
      </c>
      <c r="AH13" t="s">
        <v>593</v>
      </c>
      <c r="AI13" t="s">
        <v>594</v>
      </c>
      <c r="AJ13" t="s">
        <v>595</v>
      </c>
      <c r="AK13" t="s">
        <v>596</v>
      </c>
      <c r="AL13">
        <f t="shared" si="9"/>
        <v>28.8</v>
      </c>
      <c r="AM13" t="s">
        <v>468</v>
      </c>
      <c r="AN13" t="s">
        <v>293</v>
      </c>
      <c r="AO13" t="s">
        <v>597</v>
      </c>
      <c r="AP13" t="s">
        <v>598</v>
      </c>
      <c r="AQ13" t="s">
        <v>599</v>
      </c>
      <c r="AR13" t="s">
        <v>555</v>
      </c>
      <c r="AS13" t="s">
        <v>339</v>
      </c>
      <c r="AT13" t="s">
        <v>277</v>
      </c>
      <c r="AU13" t="s">
        <v>600</v>
      </c>
      <c r="AV13" t="s">
        <v>601</v>
      </c>
      <c r="AW13" t="s">
        <v>602</v>
      </c>
      <c r="AX13" t="s">
        <v>603</v>
      </c>
      <c r="AY13" t="s">
        <v>604</v>
      </c>
      <c r="AZ13" t="s">
        <v>345</v>
      </c>
      <c r="BA13" t="s">
        <v>563</v>
      </c>
      <c r="BB13" t="s">
        <v>564</v>
      </c>
      <c r="BC13" t="s">
        <v>605</v>
      </c>
      <c r="BD13" t="s">
        <v>349</v>
      </c>
      <c r="BE13" t="s">
        <v>606</v>
      </c>
      <c r="BF13" t="s">
        <v>607</v>
      </c>
      <c r="BG13" t="s">
        <v>608</v>
      </c>
      <c r="BH13" t="s">
        <v>539</v>
      </c>
      <c r="BI13" t="s">
        <v>609</v>
      </c>
      <c r="BJ13" t="s">
        <v>197</v>
      </c>
      <c r="BK13" t="s">
        <v>161</v>
      </c>
      <c r="BL13" t="s">
        <v>198</v>
      </c>
      <c r="BM13" t="s">
        <v>159</v>
      </c>
      <c r="BN13" t="s">
        <v>264</v>
      </c>
      <c r="BO13" t="s">
        <v>263</v>
      </c>
      <c r="BP13" t="s">
        <v>610</v>
      </c>
      <c r="BQ13" t="s">
        <v>611</v>
      </c>
      <c r="BR13" t="s">
        <v>612</v>
      </c>
      <c r="BS13" t="s">
        <v>613</v>
      </c>
      <c r="BT13" t="s">
        <v>159</v>
      </c>
      <c r="BU13" t="s">
        <v>205</v>
      </c>
      <c r="BV13" t="s">
        <v>200</v>
      </c>
      <c r="BW13" t="s">
        <v>206</v>
      </c>
      <c r="BX13" t="s">
        <v>207</v>
      </c>
      <c r="BY13" t="s">
        <v>171</v>
      </c>
      <c r="BZ13" t="s">
        <v>208</v>
      </c>
      <c r="CA13" t="s">
        <v>171</v>
      </c>
      <c r="CB13" t="s">
        <v>171</v>
      </c>
      <c r="CC13" t="s">
        <v>209</v>
      </c>
      <c r="CD13" t="s">
        <v>210</v>
      </c>
      <c r="CE13" t="s">
        <v>196</v>
      </c>
      <c r="CF13" t="s">
        <v>211</v>
      </c>
      <c r="CG13" t="s">
        <v>212</v>
      </c>
      <c r="CH13" t="s">
        <v>213</v>
      </c>
      <c r="CI13" t="s">
        <v>177</v>
      </c>
      <c r="CJ13" t="s">
        <v>206</v>
      </c>
      <c r="CK13" t="s">
        <v>214</v>
      </c>
      <c r="CL13" t="s">
        <v>214</v>
      </c>
      <c r="CM13" t="s">
        <v>214</v>
      </c>
      <c r="CN13" t="s">
        <v>171</v>
      </c>
      <c r="CO13" t="s">
        <v>215</v>
      </c>
      <c r="CP13" t="s">
        <v>171</v>
      </c>
      <c r="CQ13" t="s">
        <v>171</v>
      </c>
      <c r="CR13" t="s">
        <v>171</v>
      </c>
      <c r="CS13" t="s">
        <v>171</v>
      </c>
      <c r="CT13" t="s">
        <v>614</v>
      </c>
      <c r="CU13" t="s">
        <v>615</v>
      </c>
      <c r="CV13" t="s">
        <v>616</v>
      </c>
      <c r="CW13" t="s">
        <v>617</v>
      </c>
      <c r="CX13" t="s">
        <v>618</v>
      </c>
      <c r="CY13" t="s">
        <v>619</v>
      </c>
      <c r="CZ13" t="s">
        <v>620</v>
      </c>
      <c r="DA13" t="s">
        <v>621</v>
      </c>
      <c r="DB13" t="s">
        <v>590</v>
      </c>
      <c r="DC13" t="s">
        <v>410</v>
      </c>
      <c r="DD13" t="s">
        <v>225</v>
      </c>
      <c r="DE13" t="s">
        <v>226</v>
      </c>
      <c r="DF13" t="s">
        <v>177</v>
      </c>
      <c r="DG13" t="s">
        <v>227</v>
      </c>
      <c r="DH13" t="s">
        <v>228</v>
      </c>
      <c r="DI13" t="s">
        <v>177</v>
      </c>
      <c r="DJ13" t="s">
        <v>229</v>
      </c>
      <c r="DK13" t="s">
        <v>230</v>
      </c>
      <c r="DL13" t="s">
        <v>231</v>
      </c>
      <c r="DM13" t="s">
        <v>171</v>
      </c>
      <c r="DN13" t="s">
        <v>589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ht="19.2" customHeight="1" x14ac:dyDescent="0.45">
      <c r="A14" t="s">
        <v>622</v>
      </c>
      <c r="B14" t="s">
        <v>623</v>
      </c>
      <c r="C14" t="s">
        <v>161</v>
      </c>
      <c r="D14" t="s">
        <v>162</v>
      </c>
      <c r="E14" t="s">
        <v>163</v>
      </c>
      <c r="I14" t="s">
        <v>624</v>
      </c>
      <c r="J14">
        <f t="shared" si="0"/>
        <v>0.34516082153539723</v>
      </c>
      <c r="K14">
        <f t="shared" si="1"/>
        <v>2.9050319999999994</v>
      </c>
      <c r="L14">
        <f t="shared" si="2"/>
        <v>0.30850576773870886</v>
      </c>
      <c r="M14">
        <f t="shared" si="3"/>
        <v>3.2196116593557416</v>
      </c>
      <c r="N14" t="s">
        <v>625</v>
      </c>
      <c r="O14" t="s">
        <v>626</v>
      </c>
      <c r="P14">
        <f t="shared" si="4"/>
        <v>3.8482591124669923</v>
      </c>
      <c r="Q14">
        <f t="shared" si="5"/>
        <v>1.0180121124669923</v>
      </c>
      <c r="R14" t="s">
        <v>627</v>
      </c>
      <c r="S14" t="s">
        <v>628</v>
      </c>
      <c r="T14">
        <f t="shared" si="6"/>
        <v>38.143117379988034</v>
      </c>
      <c r="U14">
        <f t="shared" si="7"/>
        <v>0.4417875</v>
      </c>
      <c r="V14" t="s">
        <v>169</v>
      </c>
      <c r="W14" t="s">
        <v>629</v>
      </c>
      <c r="X14" t="s">
        <v>171</v>
      </c>
      <c r="Y14" t="s">
        <v>171</v>
      </c>
      <c r="Z14" t="s">
        <v>171</v>
      </c>
      <c r="AA14" t="s">
        <v>630</v>
      </c>
      <c r="AB14" t="s">
        <v>631</v>
      </c>
      <c r="AC14" t="s">
        <v>632</v>
      </c>
      <c r="AD14" t="s">
        <v>175</v>
      </c>
      <c r="AE14" t="s">
        <v>176</v>
      </c>
      <c r="AF14">
        <f t="shared" si="8"/>
        <v>112.50966636000001</v>
      </c>
      <c r="AG14" t="s">
        <v>177</v>
      </c>
      <c r="AH14" t="s">
        <v>633</v>
      </c>
      <c r="AI14" t="s">
        <v>634</v>
      </c>
      <c r="AJ14" t="s">
        <v>635</v>
      </c>
      <c r="AK14" t="s">
        <v>636</v>
      </c>
      <c r="AL14">
        <f t="shared" si="9"/>
        <v>28.24</v>
      </c>
      <c r="AM14" t="s">
        <v>468</v>
      </c>
      <c r="AN14" t="s">
        <v>379</v>
      </c>
      <c r="AO14" t="s">
        <v>637</v>
      </c>
      <c r="AP14" t="s">
        <v>638</v>
      </c>
      <c r="AQ14" t="s">
        <v>639</v>
      </c>
      <c r="AR14" t="s">
        <v>555</v>
      </c>
      <c r="AS14" t="s">
        <v>298</v>
      </c>
      <c r="AT14" t="s">
        <v>299</v>
      </c>
      <c r="AU14" t="s">
        <v>640</v>
      </c>
      <c r="AV14" t="s">
        <v>641</v>
      </c>
      <c r="AW14" t="s">
        <v>642</v>
      </c>
      <c r="AX14" t="s">
        <v>301</v>
      </c>
      <c r="AY14" t="s">
        <v>643</v>
      </c>
      <c r="AZ14" t="s">
        <v>345</v>
      </c>
      <c r="BA14" t="s">
        <v>644</v>
      </c>
      <c r="BB14" t="s">
        <v>645</v>
      </c>
      <c r="BC14" t="s">
        <v>646</v>
      </c>
      <c r="BD14" t="s">
        <v>349</v>
      </c>
      <c r="BE14" t="s">
        <v>647</v>
      </c>
      <c r="BF14" t="s">
        <v>437</v>
      </c>
      <c r="BG14" t="s">
        <v>648</v>
      </c>
      <c r="BH14" t="s">
        <v>539</v>
      </c>
      <c r="BI14" t="s">
        <v>609</v>
      </c>
      <c r="BJ14" t="s">
        <v>197</v>
      </c>
      <c r="BK14" t="s">
        <v>161</v>
      </c>
      <c r="BL14" t="s">
        <v>198</v>
      </c>
      <c r="BM14" t="s">
        <v>159</v>
      </c>
      <c r="BN14" t="s">
        <v>200</v>
      </c>
      <c r="BO14" t="s">
        <v>526</v>
      </c>
      <c r="BP14" t="s">
        <v>649</v>
      </c>
      <c r="BQ14" t="s">
        <v>650</v>
      </c>
      <c r="BR14" t="s">
        <v>651</v>
      </c>
      <c r="BS14" t="s">
        <v>652</v>
      </c>
      <c r="BT14" t="s">
        <v>159</v>
      </c>
      <c r="BU14" t="s">
        <v>205</v>
      </c>
      <c r="BV14" t="s">
        <v>200</v>
      </c>
      <c r="BW14" t="s">
        <v>206</v>
      </c>
      <c r="BX14" t="s">
        <v>207</v>
      </c>
      <c r="BY14" t="s">
        <v>171</v>
      </c>
      <c r="BZ14" t="s">
        <v>208</v>
      </c>
      <c r="CA14" t="s">
        <v>171</v>
      </c>
      <c r="CB14" t="s">
        <v>171</v>
      </c>
      <c r="CC14" t="s">
        <v>209</v>
      </c>
      <c r="CD14" t="s">
        <v>210</v>
      </c>
      <c r="CE14" t="s">
        <v>196</v>
      </c>
      <c r="CF14" t="s">
        <v>211</v>
      </c>
      <c r="CG14" t="s">
        <v>212</v>
      </c>
      <c r="CH14" t="s">
        <v>213</v>
      </c>
      <c r="CI14" t="s">
        <v>177</v>
      </c>
      <c r="CJ14" t="s">
        <v>206</v>
      </c>
      <c r="CK14" t="s">
        <v>214</v>
      </c>
      <c r="CL14" t="s">
        <v>214</v>
      </c>
      <c r="CM14" t="s">
        <v>214</v>
      </c>
      <c r="CN14" t="s">
        <v>171</v>
      </c>
      <c r="CO14" t="s">
        <v>215</v>
      </c>
      <c r="CP14" t="s">
        <v>171</v>
      </c>
      <c r="CQ14" t="s">
        <v>171</v>
      </c>
      <c r="CR14" t="s">
        <v>171</v>
      </c>
      <c r="CS14" t="s">
        <v>171</v>
      </c>
      <c r="CT14" t="s">
        <v>653</v>
      </c>
      <c r="CU14" t="s">
        <v>654</v>
      </c>
      <c r="CV14" t="s">
        <v>655</v>
      </c>
      <c r="CW14" t="s">
        <v>656</v>
      </c>
      <c r="CX14" t="s">
        <v>657</v>
      </c>
      <c r="CY14" t="s">
        <v>658</v>
      </c>
      <c r="CZ14" t="s">
        <v>659</v>
      </c>
      <c r="DA14" t="s">
        <v>660</v>
      </c>
      <c r="DB14" t="s">
        <v>630</v>
      </c>
      <c r="DC14" t="s">
        <v>410</v>
      </c>
      <c r="DD14" t="s">
        <v>225</v>
      </c>
      <c r="DE14" t="s">
        <v>226</v>
      </c>
      <c r="DF14" t="s">
        <v>177</v>
      </c>
      <c r="DG14" t="s">
        <v>227</v>
      </c>
      <c r="DH14" t="s">
        <v>228</v>
      </c>
      <c r="DI14" t="s">
        <v>177</v>
      </c>
      <c r="DJ14" t="s">
        <v>229</v>
      </c>
      <c r="DK14" t="s">
        <v>230</v>
      </c>
      <c r="DL14" t="s">
        <v>231</v>
      </c>
      <c r="DM14" t="s">
        <v>171</v>
      </c>
      <c r="DN14" t="s">
        <v>629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ht="19.2" customHeight="1" x14ac:dyDescent="0.45">
      <c r="A15" t="s">
        <v>661</v>
      </c>
      <c r="B15" t="s">
        <v>662</v>
      </c>
      <c r="C15" t="s">
        <v>161</v>
      </c>
      <c r="D15" t="s">
        <v>162</v>
      </c>
      <c r="E15" t="s">
        <v>163</v>
      </c>
      <c r="I15" t="s">
        <v>663</v>
      </c>
      <c r="J15">
        <f t="shared" si="0"/>
        <v>0.21492986424267543</v>
      </c>
      <c r="K15">
        <f t="shared" si="1"/>
        <v>2.9042299199999997</v>
      </c>
      <c r="L15">
        <f t="shared" si="2"/>
        <v>0.20011983534427102</v>
      </c>
      <c r="M15">
        <f t="shared" si="3"/>
        <v>2.4831790046980764</v>
      </c>
      <c r="N15" t="s">
        <v>664</v>
      </c>
      <c r="O15" t="s">
        <v>665</v>
      </c>
      <c r="P15">
        <f t="shared" si="4"/>
        <v>4.2044878920488893</v>
      </c>
      <c r="Q15">
        <f t="shared" si="5"/>
        <v>1.2071788920488893</v>
      </c>
      <c r="R15" t="s">
        <v>666</v>
      </c>
      <c r="S15" t="s">
        <v>667</v>
      </c>
      <c r="T15">
        <f t="shared" si="6"/>
        <v>41.673980494091474</v>
      </c>
      <c r="U15">
        <f t="shared" si="7"/>
        <v>0.4417875</v>
      </c>
      <c r="V15" t="s">
        <v>169</v>
      </c>
      <c r="W15" t="s">
        <v>668</v>
      </c>
      <c r="X15" t="s">
        <v>171</v>
      </c>
      <c r="Y15" t="s">
        <v>171</v>
      </c>
      <c r="Z15" t="s">
        <v>171</v>
      </c>
      <c r="AA15" t="s">
        <v>669</v>
      </c>
      <c r="AB15" t="s">
        <v>670</v>
      </c>
      <c r="AC15" t="s">
        <v>671</v>
      </c>
      <c r="AD15" t="s">
        <v>175</v>
      </c>
      <c r="AE15" t="s">
        <v>176</v>
      </c>
      <c r="AF15">
        <f t="shared" si="8"/>
        <v>185.64324575999999</v>
      </c>
      <c r="AG15" t="s">
        <v>177</v>
      </c>
      <c r="AH15" t="s">
        <v>672</v>
      </c>
      <c r="AI15" t="s">
        <v>673</v>
      </c>
      <c r="AJ15" t="s">
        <v>674</v>
      </c>
      <c r="AK15" t="s">
        <v>675</v>
      </c>
      <c r="AL15">
        <f t="shared" si="9"/>
        <v>29.77</v>
      </c>
      <c r="AM15" t="s">
        <v>468</v>
      </c>
      <c r="AN15" t="s">
        <v>511</v>
      </c>
      <c r="AO15" t="s">
        <v>676</v>
      </c>
      <c r="AP15" t="s">
        <v>677</v>
      </c>
      <c r="AQ15" t="s">
        <v>678</v>
      </c>
      <c r="AR15" t="s">
        <v>679</v>
      </c>
      <c r="AS15" t="s">
        <v>680</v>
      </c>
      <c r="AT15" t="s">
        <v>299</v>
      </c>
      <c r="AU15" t="s">
        <v>205</v>
      </c>
      <c r="AV15" t="s">
        <v>681</v>
      </c>
      <c r="AW15" t="s">
        <v>682</v>
      </c>
      <c r="AX15" t="s">
        <v>683</v>
      </c>
      <c r="AY15" t="s">
        <v>684</v>
      </c>
      <c r="AZ15" t="s">
        <v>345</v>
      </c>
      <c r="BA15" t="s">
        <v>685</v>
      </c>
      <c r="BB15" t="s">
        <v>686</v>
      </c>
      <c r="BC15" t="s">
        <v>687</v>
      </c>
      <c r="BD15" t="s">
        <v>161</v>
      </c>
      <c r="BE15" t="s">
        <v>606</v>
      </c>
      <c r="BF15" t="s">
        <v>688</v>
      </c>
      <c r="BG15" t="s">
        <v>689</v>
      </c>
      <c r="BH15" t="s">
        <v>582</v>
      </c>
      <c r="BI15" t="s">
        <v>690</v>
      </c>
      <c r="BJ15" t="s">
        <v>197</v>
      </c>
      <c r="BK15" t="s">
        <v>161</v>
      </c>
      <c r="BL15" t="s">
        <v>198</v>
      </c>
      <c r="BM15" t="s">
        <v>159</v>
      </c>
      <c r="BN15" t="s">
        <v>200</v>
      </c>
      <c r="BO15" t="s">
        <v>263</v>
      </c>
      <c r="BP15" t="s">
        <v>691</v>
      </c>
      <c r="BQ15" t="s">
        <v>692</v>
      </c>
      <c r="BR15" t="s">
        <v>693</v>
      </c>
      <c r="BS15" t="s">
        <v>694</v>
      </c>
      <c r="BT15" t="s">
        <v>159</v>
      </c>
      <c r="BU15" t="s">
        <v>205</v>
      </c>
      <c r="BV15" t="s">
        <v>200</v>
      </c>
      <c r="BW15" t="s">
        <v>206</v>
      </c>
      <c r="BX15" t="s">
        <v>207</v>
      </c>
      <c r="BY15" t="s">
        <v>171</v>
      </c>
      <c r="BZ15" t="s">
        <v>208</v>
      </c>
      <c r="CA15" t="s">
        <v>171</v>
      </c>
      <c r="CB15" t="s">
        <v>171</v>
      </c>
      <c r="CC15" t="s">
        <v>209</v>
      </c>
      <c r="CD15" t="s">
        <v>210</v>
      </c>
      <c r="CE15" t="s">
        <v>196</v>
      </c>
      <c r="CF15" t="s">
        <v>211</v>
      </c>
      <c r="CG15" t="s">
        <v>212</v>
      </c>
      <c r="CH15" t="s">
        <v>213</v>
      </c>
      <c r="CI15" t="s">
        <v>177</v>
      </c>
      <c r="CJ15" t="s">
        <v>206</v>
      </c>
      <c r="CK15" t="s">
        <v>214</v>
      </c>
      <c r="CL15" t="s">
        <v>214</v>
      </c>
      <c r="CM15" t="s">
        <v>214</v>
      </c>
      <c r="CN15" t="s">
        <v>171</v>
      </c>
      <c r="CO15" t="s">
        <v>215</v>
      </c>
      <c r="CP15" t="s">
        <v>171</v>
      </c>
      <c r="CQ15" t="s">
        <v>171</v>
      </c>
      <c r="CR15" t="s">
        <v>171</v>
      </c>
      <c r="CS15" t="s">
        <v>171</v>
      </c>
      <c r="CT15" t="s">
        <v>695</v>
      </c>
      <c r="CU15" t="s">
        <v>696</v>
      </c>
      <c r="CV15" t="s">
        <v>697</v>
      </c>
      <c r="CW15" t="s">
        <v>698</v>
      </c>
      <c r="CX15" t="s">
        <v>699</v>
      </c>
      <c r="CY15" t="s">
        <v>700</v>
      </c>
      <c r="CZ15" t="s">
        <v>701</v>
      </c>
      <c r="DA15" t="s">
        <v>702</v>
      </c>
      <c r="DB15" t="s">
        <v>669</v>
      </c>
      <c r="DC15" t="s">
        <v>276</v>
      </c>
      <c r="DD15" t="s">
        <v>225</v>
      </c>
      <c r="DE15" t="s">
        <v>226</v>
      </c>
      <c r="DF15" t="s">
        <v>177</v>
      </c>
      <c r="DG15" t="s">
        <v>227</v>
      </c>
      <c r="DH15" t="s">
        <v>228</v>
      </c>
      <c r="DI15" t="s">
        <v>177</v>
      </c>
      <c r="DJ15" t="s">
        <v>229</v>
      </c>
      <c r="DK15" t="s">
        <v>230</v>
      </c>
      <c r="DL15" t="s">
        <v>231</v>
      </c>
      <c r="DM15" t="s">
        <v>171</v>
      </c>
      <c r="DN15" t="s">
        <v>668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ht="19.2" customHeight="1" x14ac:dyDescent="0.45">
      <c r="A16" t="s">
        <v>703</v>
      </c>
      <c r="B16" t="s">
        <v>704</v>
      </c>
      <c r="C16" t="s">
        <v>161</v>
      </c>
      <c r="D16" t="s">
        <v>162</v>
      </c>
      <c r="E16" t="s">
        <v>163</v>
      </c>
      <c r="I16" t="s">
        <v>705</v>
      </c>
      <c r="J16">
        <f t="shared" si="0"/>
        <v>0.33140223321193057</v>
      </c>
      <c r="K16">
        <f t="shared" si="1"/>
        <v>2.9034264800000003</v>
      </c>
      <c r="L16">
        <f t="shared" si="2"/>
        <v>0.29745068587673801</v>
      </c>
      <c r="M16">
        <f t="shared" si="3"/>
        <v>3.3708193703809828</v>
      </c>
      <c r="N16" t="s">
        <v>706</v>
      </c>
      <c r="O16" t="s">
        <v>707</v>
      </c>
      <c r="P16">
        <f t="shared" si="4"/>
        <v>4.1181814435574653</v>
      </c>
      <c r="Q16">
        <f t="shared" si="5"/>
        <v>1.1029104435574655</v>
      </c>
      <c r="R16" t="s">
        <v>708</v>
      </c>
      <c r="S16" t="s">
        <v>709</v>
      </c>
      <c r="T16">
        <f t="shared" si="6"/>
        <v>40.818529522821542</v>
      </c>
      <c r="U16">
        <f t="shared" si="7"/>
        <v>0.4417875</v>
      </c>
      <c r="V16" t="s">
        <v>169</v>
      </c>
      <c r="W16" t="s">
        <v>710</v>
      </c>
      <c r="X16" t="s">
        <v>171</v>
      </c>
      <c r="Y16" t="s">
        <v>171</v>
      </c>
      <c r="Z16" t="s">
        <v>171</v>
      </c>
      <c r="AA16" t="s">
        <v>711</v>
      </c>
      <c r="AB16" t="s">
        <v>712</v>
      </c>
      <c r="AC16" t="s">
        <v>713</v>
      </c>
      <c r="AD16" t="s">
        <v>175</v>
      </c>
      <c r="AE16" t="s">
        <v>176</v>
      </c>
      <c r="AF16">
        <f t="shared" si="8"/>
        <v>88.313777999999999</v>
      </c>
      <c r="AG16" t="s">
        <v>177</v>
      </c>
      <c r="AH16" t="s">
        <v>714</v>
      </c>
      <c r="AI16" t="s">
        <v>715</v>
      </c>
      <c r="AJ16" t="s">
        <v>716</v>
      </c>
      <c r="AK16" t="s">
        <v>552</v>
      </c>
      <c r="AL16">
        <f t="shared" si="9"/>
        <v>29.41</v>
      </c>
      <c r="AM16" t="s">
        <v>468</v>
      </c>
      <c r="AN16" t="s">
        <v>717</v>
      </c>
      <c r="AO16" t="s">
        <v>718</v>
      </c>
      <c r="AP16" t="s">
        <v>719</v>
      </c>
      <c r="AQ16" t="s">
        <v>599</v>
      </c>
      <c r="AR16" t="s">
        <v>720</v>
      </c>
      <c r="AS16" t="s">
        <v>721</v>
      </c>
      <c r="AT16" t="s">
        <v>722</v>
      </c>
      <c r="AU16" t="s">
        <v>723</v>
      </c>
      <c r="AV16" t="s">
        <v>724</v>
      </c>
      <c r="AW16" t="s">
        <v>725</v>
      </c>
      <c r="AX16" t="s">
        <v>726</v>
      </c>
      <c r="AY16" t="s">
        <v>727</v>
      </c>
      <c r="AZ16" t="s">
        <v>345</v>
      </c>
      <c r="BA16" t="s">
        <v>728</v>
      </c>
      <c r="BB16" t="s">
        <v>729</v>
      </c>
      <c r="BC16" t="s">
        <v>730</v>
      </c>
      <c r="BD16" t="s">
        <v>161</v>
      </c>
      <c r="BE16" t="s">
        <v>731</v>
      </c>
      <c r="BF16" t="s">
        <v>732</v>
      </c>
      <c r="BG16" t="s">
        <v>733</v>
      </c>
      <c r="BH16" t="s">
        <v>703</v>
      </c>
      <c r="BI16" t="s">
        <v>734</v>
      </c>
      <c r="BJ16" t="s">
        <v>197</v>
      </c>
      <c r="BK16" t="s">
        <v>161</v>
      </c>
      <c r="BL16" t="s">
        <v>198</v>
      </c>
      <c r="BM16" t="s">
        <v>159</v>
      </c>
      <c r="BN16" t="s">
        <v>264</v>
      </c>
      <c r="BO16" t="s">
        <v>201</v>
      </c>
      <c r="BP16" t="s">
        <v>263</v>
      </c>
      <c r="BQ16" t="s">
        <v>735</v>
      </c>
      <c r="BR16" t="s">
        <v>736</v>
      </c>
      <c r="BS16" t="s">
        <v>737</v>
      </c>
      <c r="BT16" t="s">
        <v>159</v>
      </c>
      <c r="BU16" t="s">
        <v>205</v>
      </c>
      <c r="BV16" t="s">
        <v>200</v>
      </c>
      <c r="BW16" t="s">
        <v>206</v>
      </c>
      <c r="BX16" t="s">
        <v>207</v>
      </c>
      <c r="BY16" t="s">
        <v>171</v>
      </c>
      <c r="BZ16" t="s">
        <v>208</v>
      </c>
      <c r="CA16" t="s">
        <v>171</v>
      </c>
      <c r="CB16" t="s">
        <v>171</v>
      </c>
      <c r="CC16" t="s">
        <v>209</v>
      </c>
      <c r="CD16" t="s">
        <v>210</v>
      </c>
      <c r="CE16" t="s">
        <v>196</v>
      </c>
      <c r="CF16" t="s">
        <v>211</v>
      </c>
      <c r="CG16" t="s">
        <v>212</v>
      </c>
      <c r="CH16" t="s">
        <v>213</v>
      </c>
      <c r="CI16" t="s">
        <v>177</v>
      </c>
      <c r="CJ16" t="s">
        <v>206</v>
      </c>
      <c r="CK16" t="s">
        <v>214</v>
      </c>
      <c r="CL16" t="s">
        <v>214</v>
      </c>
      <c r="CM16" t="s">
        <v>214</v>
      </c>
      <c r="CN16" t="s">
        <v>171</v>
      </c>
      <c r="CO16" t="s">
        <v>215</v>
      </c>
      <c r="CP16" t="s">
        <v>171</v>
      </c>
      <c r="CQ16" t="s">
        <v>171</v>
      </c>
      <c r="CR16" t="s">
        <v>171</v>
      </c>
      <c r="CS16" t="s">
        <v>171</v>
      </c>
      <c r="CT16" t="s">
        <v>738</v>
      </c>
      <c r="CU16" t="s">
        <v>739</v>
      </c>
      <c r="CV16" t="s">
        <v>740</v>
      </c>
      <c r="CW16" t="s">
        <v>741</v>
      </c>
      <c r="CX16" t="s">
        <v>742</v>
      </c>
      <c r="CY16" t="s">
        <v>743</v>
      </c>
      <c r="CZ16" t="s">
        <v>744</v>
      </c>
      <c r="DA16" t="s">
        <v>745</v>
      </c>
      <c r="DB16" t="s">
        <v>711</v>
      </c>
      <c r="DC16" t="s">
        <v>746</v>
      </c>
      <c r="DD16" t="s">
        <v>225</v>
      </c>
      <c r="DE16" t="s">
        <v>226</v>
      </c>
      <c r="DF16" t="s">
        <v>177</v>
      </c>
      <c r="DG16" t="s">
        <v>227</v>
      </c>
      <c r="DH16" t="s">
        <v>228</v>
      </c>
      <c r="DI16" t="s">
        <v>177</v>
      </c>
      <c r="DJ16" t="s">
        <v>229</v>
      </c>
      <c r="DK16" t="s">
        <v>230</v>
      </c>
      <c r="DL16" t="s">
        <v>231</v>
      </c>
      <c r="DM16" t="s">
        <v>171</v>
      </c>
      <c r="DN16" t="s">
        <v>710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ht="19.2" customHeight="1" x14ac:dyDescent="0.45">
      <c r="A17" t="s">
        <v>747</v>
      </c>
      <c r="B17" t="s">
        <v>748</v>
      </c>
      <c r="C17" t="s">
        <v>161</v>
      </c>
      <c r="D17" t="s">
        <v>162</v>
      </c>
      <c r="E17" t="s">
        <v>163</v>
      </c>
      <c r="I17" t="s">
        <v>749</v>
      </c>
      <c r="J17">
        <f t="shared" si="0"/>
        <v>0.38185805826278646</v>
      </c>
      <c r="K17">
        <f t="shared" si="1"/>
        <v>2.9058327199999998</v>
      </c>
      <c r="L17">
        <f t="shared" si="2"/>
        <v>0.33750608403689086</v>
      </c>
      <c r="M17">
        <f t="shared" si="3"/>
        <v>3.6106256942971093</v>
      </c>
      <c r="N17" t="s">
        <v>750</v>
      </c>
      <c r="O17" t="s">
        <v>751</v>
      </c>
      <c r="P17">
        <f t="shared" si="4"/>
        <v>4.0497840841219466</v>
      </c>
      <c r="Q17">
        <f t="shared" si="5"/>
        <v>1.0415040841219465</v>
      </c>
      <c r="R17" t="s">
        <v>752</v>
      </c>
      <c r="S17" t="s">
        <v>753</v>
      </c>
      <c r="T17">
        <f t="shared" si="6"/>
        <v>40.140589593834342</v>
      </c>
      <c r="U17">
        <f t="shared" si="7"/>
        <v>0.4417875</v>
      </c>
      <c r="V17" t="s">
        <v>169</v>
      </c>
      <c r="W17" t="s">
        <v>754</v>
      </c>
      <c r="X17" t="s">
        <v>171</v>
      </c>
      <c r="Y17" t="s">
        <v>171</v>
      </c>
      <c r="Z17" t="s">
        <v>171</v>
      </c>
      <c r="AA17" t="s">
        <v>755</v>
      </c>
      <c r="AB17" t="s">
        <v>756</v>
      </c>
      <c r="AC17" t="s">
        <v>757</v>
      </c>
      <c r="AD17" t="s">
        <v>175</v>
      </c>
      <c r="AE17" t="s">
        <v>176</v>
      </c>
      <c r="AF17">
        <f t="shared" si="8"/>
        <v>226.40857595999998</v>
      </c>
      <c r="AG17" t="s">
        <v>177</v>
      </c>
      <c r="AH17" t="s">
        <v>758</v>
      </c>
      <c r="AI17" t="s">
        <v>759</v>
      </c>
      <c r="AJ17" t="s">
        <v>760</v>
      </c>
      <c r="AK17" t="s">
        <v>180</v>
      </c>
      <c r="AL17">
        <f t="shared" si="9"/>
        <v>29.12</v>
      </c>
      <c r="AM17" t="s">
        <v>468</v>
      </c>
      <c r="AN17" t="s">
        <v>293</v>
      </c>
      <c r="AO17" t="s">
        <v>761</v>
      </c>
      <c r="AP17" t="s">
        <v>762</v>
      </c>
      <c r="AQ17" t="s">
        <v>763</v>
      </c>
      <c r="AR17" t="s">
        <v>720</v>
      </c>
      <c r="AS17" t="s">
        <v>721</v>
      </c>
      <c r="AT17" t="s">
        <v>339</v>
      </c>
      <c r="AU17" t="s">
        <v>764</v>
      </c>
      <c r="AV17" t="s">
        <v>765</v>
      </c>
      <c r="AW17" t="s">
        <v>766</v>
      </c>
      <c r="AX17" t="s">
        <v>767</v>
      </c>
      <c r="AY17" t="s">
        <v>768</v>
      </c>
      <c r="AZ17" t="s">
        <v>345</v>
      </c>
      <c r="BA17" t="s">
        <v>728</v>
      </c>
      <c r="BB17" t="s">
        <v>729</v>
      </c>
      <c r="BC17" t="s">
        <v>769</v>
      </c>
      <c r="BD17" t="s">
        <v>161</v>
      </c>
      <c r="BE17" t="s">
        <v>770</v>
      </c>
      <c r="BF17" t="s">
        <v>732</v>
      </c>
      <c r="BG17" t="s">
        <v>771</v>
      </c>
      <c r="BH17" t="s">
        <v>747</v>
      </c>
      <c r="BI17" t="s">
        <v>772</v>
      </c>
      <c r="BJ17" t="s">
        <v>197</v>
      </c>
      <c r="BK17" t="s">
        <v>161</v>
      </c>
      <c r="BL17" t="s">
        <v>198</v>
      </c>
      <c r="BM17" t="s">
        <v>159</v>
      </c>
      <c r="BN17" t="s">
        <v>263</v>
      </c>
      <c r="BO17" t="s">
        <v>526</v>
      </c>
      <c r="BP17" t="s">
        <v>263</v>
      </c>
      <c r="BQ17" t="s">
        <v>773</v>
      </c>
      <c r="BR17" t="s">
        <v>774</v>
      </c>
      <c r="BS17" t="s">
        <v>775</v>
      </c>
      <c r="BT17" t="s">
        <v>159</v>
      </c>
      <c r="BU17" t="s">
        <v>205</v>
      </c>
      <c r="BV17" t="s">
        <v>200</v>
      </c>
      <c r="BW17" t="s">
        <v>206</v>
      </c>
      <c r="BX17" t="s">
        <v>207</v>
      </c>
      <c r="BY17" t="s">
        <v>171</v>
      </c>
      <c r="BZ17" t="s">
        <v>208</v>
      </c>
      <c r="CA17" t="s">
        <v>171</v>
      </c>
      <c r="CB17" t="s">
        <v>171</v>
      </c>
      <c r="CC17" t="s">
        <v>209</v>
      </c>
      <c r="CD17" t="s">
        <v>210</v>
      </c>
      <c r="CE17" t="s">
        <v>196</v>
      </c>
      <c r="CF17" t="s">
        <v>211</v>
      </c>
      <c r="CG17" t="s">
        <v>212</v>
      </c>
      <c r="CH17" t="s">
        <v>213</v>
      </c>
      <c r="CI17" t="s">
        <v>177</v>
      </c>
      <c r="CJ17" t="s">
        <v>206</v>
      </c>
      <c r="CK17" t="s">
        <v>214</v>
      </c>
      <c r="CL17" t="s">
        <v>214</v>
      </c>
      <c r="CM17" t="s">
        <v>214</v>
      </c>
      <c r="CN17" t="s">
        <v>171</v>
      </c>
      <c r="CO17" t="s">
        <v>215</v>
      </c>
      <c r="CP17" t="s">
        <v>171</v>
      </c>
      <c r="CQ17" t="s">
        <v>171</v>
      </c>
      <c r="CR17" t="s">
        <v>171</v>
      </c>
      <c r="CS17" t="s">
        <v>171</v>
      </c>
      <c r="CT17" t="s">
        <v>776</v>
      </c>
      <c r="CU17" t="s">
        <v>777</v>
      </c>
      <c r="CV17" t="s">
        <v>778</v>
      </c>
      <c r="CW17" t="s">
        <v>779</v>
      </c>
      <c r="CX17" t="s">
        <v>780</v>
      </c>
      <c r="CY17" t="s">
        <v>781</v>
      </c>
      <c r="CZ17" t="s">
        <v>782</v>
      </c>
      <c r="DA17" t="s">
        <v>783</v>
      </c>
      <c r="DB17" t="s">
        <v>755</v>
      </c>
      <c r="DC17" t="s">
        <v>784</v>
      </c>
      <c r="DD17" t="s">
        <v>225</v>
      </c>
      <c r="DE17" t="s">
        <v>226</v>
      </c>
      <c r="DF17" t="s">
        <v>177</v>
      </c>
      <c r="DG17" t="s">
        <v>227</v>
      </c>
      <c r="DH17" t="s">
        <v>228</v>
      </c>
      <c r="DI17" t="s">
        <v>177</v>
      </c>
      <c r="DJ17" t="s">
        <v>229</v>
      </c>
      <c r="DK17" t="s">
        <v>230</v>
      </c>
      <c r="DL17" t="s">
        <v>231</v>
      </c>
      <c r="DM17" t="s">
        <v>171</v>
      </c>
      <c r="DN17" t="s">
        <v>754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ht="19.2" customHeight="1" x14ac:dyDescent="0.45">
      <c r="A18" t="s">
        <v>785</v>
      </c>
      <c r="B18" t="s">
        <v>786</v>
      </c>
      <c r="C18" t="s">
        <v>161</v>
      </c>
      <c r="D18" t="s">
        <v>162</v>
      </c>
      <c r="E18" t="s">
        <v>163</v>
      </c>
      <c r="I18" t="s">
        <v>787</v>
      </c>
      <c r="J18">
        <f t="shared" si="0"/>
        <v>0.24472101689369696</v>
      </c>
      <c r="K18">
        <f t="shared" si="1"/>
        <v>2.9050319999999994</v>
      </c>
      <c r="L18">
        <f t="shared" si="2"/>
        <v>0.22570734319030694</v>
      </c>
      <c r="M18">
        <f t="shared" si="3"/>
        <v>2.6922249316889926</v>
      </c>
      <c r="N18" t="s">
        <v>788</v>
      </c>
      <c r="O18" t="s">
        <v>789</v>
      </c>
      <c r="P18">
        <f t="shared" si="4"/>
        <v>4.2117507387866757</v>
      </c>
      <c r="Q18">
        <f t="shared" si="5"/>
        <v>1.1601737387866757</v>
      </c>
      <c r="R18" t="s">
        <v>790</v>
      </c>
      <c r="S18" t="s">
        <v>791</v>
      </c>
      <c r="T18">
        <f t="shared" si="6"/>
        <v>41.741830909679635</v>
      </c>
      <c r="U18">
        <f t="shared" si="7"/>
        <v>0.4417875</v>
      </c>
      <c r="V18" t="s">
        <v>169</v>
      </c>
      <c r="W18" t="s">
        <v>792</v>
      </c>
      <c r="X18" t="s">
        <v>171</v>
      </c>
      <c r="Y18" t="s">
        <v>171</v>
      </c>
      <c r="Z18" t="s">
        <v>171</v>
      </c>
      <c r="AA18" t="s">
        <v>793</v>
      </c>
      <c r="AB18" t="s">
        <v>794</v>
      </c>
      <c r="AC18" t="s">
        <v>795</v>
      </c>
      <c r="AD18" t="s">
        <v>175</v>
      </c>
      <c r="AE18" t="s">
        <v>176</v>
      </c>
      <c r="AF18">
        <f t="shared" si="8"/>
        <v>197.65724495999999</v>
      </c>
      <c r="AG18" t="s">
        <v>177</v>
      </c>
      <c r="AH18" t="s">
        <v>714</v>
      </c>
      <c r="AI18" t="s">
        <v>796</v>
      </c>
      <c r="AJ18" t="s">
        <v>797</v>
      </c>
      <c r="AK18" t="s">
        <v>674</v>
      </c>
      <c r="AL18">
        <f t="shared" si="9"/>
        <v>29.8</v>
      </c>
      <c r="AM18" t="s">
        <v>798</v>
      </c>
      <c r="AN18" t="s">
        <v>379</v>
      </c>
      <c r="AO18" t="s">
        <v>799</v>
      </c>
      <c r="AP18" t="s">
        <v>800</v>
      </c>
      <c r="AQ18" t="s">
        <v>801</v>
      </c>
      <c r="AR18" t="s">
        <v>802</v>
      </c>
      <c r="AS18" t="s">
        <v>803</v>
      </c>
      <c r="AT18" t="s">
        <v>804</v>
      </c>
      <c r="AU18" t="s">
        <v>255</v>
      </c>
      <c r="AV18" t="s">
        <v>805</v>
      </c>
      <c r="AW18" t="s">
        <v>806</v>
      </c>
      <c r="AX18" t="s">
        <v>807</v>
      </c>
      <c r="AY18" t="s">
        <v>808</v>
      </c>
      <c r="AZ18" t="s">
        <v>345</v>
      </c>
      <c r="BA18" t="s">
        <v>809</v>
      </c>
      <c r="BB18" t="s">
        <v>810</v>
      </c>
      <c r="BC18" t="s">
        <v>811</v>
      </c>
      <c r="BD18" t="s">
        <v>161</v>
      </c>
      <c r="BE18" t="s">
        <v>812</v>
      </c>
      <c r="BF18" t="s">
        <v>813</v>
      </c>
      <c r="BG18" t="s">
        <v>771</v>
      </c>
      <c r="BH18" t="s">
        <v>661</v>
      </c>
      <c r="BI18" t="s">
        <v>814</v>
      </c>
      <c r="BJ18" t="s">
        <v>197</v>
      </c>
      <c r="BK18" t="s">
        <v>161</v>
      </c>
      <c r="BL18" t="s">
        <v>198</v>
      </c>
      <c r="BM18" t="s">
        <v>159</v>
      </c>
      <c r="BN18" t="s">
        <v>199</v>
      </c>
      <c r="BO18" t="s">
        <v>200</v>
      </c>
      <c r="BP18" t="s">
        <v>263</v>
      </c>
      <c r="BQ18" t="s">
        <v>815</v>
      </c>
      <c r="BR18" t="s">
        <v>816</v>
      </c>
      <c r="BS18" t="s">
        <v>817</v>
      </c>
      <c r="BT18" t="s">
        <v>159</v>
      </c>
      <c r="BU18" t="s">
        <v>205</v>
      </c>
      <c r="BV18" t="s">
        <v>200</v>
      </c>
      <c r="BW18" t="s">
        <v>206</v>
      </c>
      <c r="BX18" t="s">
        <v>207</v>
      </c>
      <c r="BY18" t="s">
        <v>171</v>
      </c>
      <c r="BZ18" t="s">
        <v>208</v>
      </c>
      <c r="CA18" t="s">
        <v>171</v>
      </c>
      <c r="CB18" t="s">
        <v>171</v>
      </c>
      <c r="CC18" t="s">
        <v>209</v>
      </c>
      <c r="CD18" t="s">
        <v>210</v>
      </c>
      <c r="CE18" t="s">
        <v>196</v>
      </c>
      <c r="CF18" t="s">
        <v>211</v>
      </c>
      <c r="CG18" t="s">
        <v>212</v>
      </c>
      <c r="CH18" t="s">
        <v>213</v>
      </c>
      <c r="CI18" t="s">
        <v>177</v>
      </c>
      <c r="CJ18" t="s">
        <v>206</v>
      </c>
      <c r="CK18" t="s">
        <v>214</v>
      </c>
      <c r="CL18" t="s">
        <v>214</v>
      </c>
      <c r="CM18" t="s">
        <v>214</v>
      </c>
      <c r="CN18" t="s">
        <v>171</v>
      </c>
      <c r="CO18" t="s">
        <v>215</v>
      </c>
      <c r="CP18" t="s">
        <v>171</v>
      </c>
      <c r="CQ18" t="s">
        <v>171</v>
      </c>
      <c r="CR18" t="s">
        <v>171</v>
      </c>
      <c r="CS18" t="s">
        <v>171</v>
      </c>
      <c r="CT18" t="s">
        <v>818</v>
      </c>
      <c r="CU18" t="s">
        <v>819</v>
      </c>
      <c r="CV18" t="s">
        <v>820</v>
      </c>
      <c r="CW18" t="s">
        <v>821</v>
      </c>
      <c r="CX18" t="s">
        <v>822</v>
      </c>
      <c r="CY18" t="s">
        <v>823</v>
      </c>
      <c r="CZ18" t="s">
        <v>824</v>
      </c>
      <c r="DA18" t="s">
        <v>825</v>
      </c>
      <c r="DB18" t="s">
        <v>793</v>
      </c>
      <c r="DC18" t="s">
        <v>826</v>
      </c>
      <c r="DD18" t="s">
        <v>225</v>
      </c>
      <c r="DE18" t="s">
        <v>226</v>
      </c>
      <c r="DF18" t="s">
        <v>177</v>
      </c>
      <c r="DG18" t="s">
        <v>227</v>
      </c>
      <c r="DH18" t="s">
        <v>228</v>
      </c>
      <c r="DI18" t="s">
        <v>177</v>
      </c>
      <c r="DJ18" t="s">
        <v>229</v>
      </c>
      <c r="DK18" t="s">
        <v>230</v>
      </c>
      <c r="DL18" t="s">
        <v>231</v>
      </c>
      <c r="DM18" t="s">
        <v>171</v>
      </c>
      <c r="DN18" t="s">
        <v>792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ht="19.2" customHeight="1" x14ac:dyDescent="0.45">
      <c r="A19" t="s">
        <v>827</v>
      </c>
      <c r="B19" t="s">
        <v>828</v>
      </c>
      <c r="C19" t="s">
        <v>161</v>
      </c>
      <c r="D19" t="s">
        <v>162</v>
      </c>
      <c r="E19" t="s">
        <v>163</v>
      </c>
      <c r="I19" t="s">
        <v>829</v>
      </c>
      <c r="J19">
        <f t="shared" si="0"/>
        <v>0.30411175686742581</v>
      </c>
      <c r="K19">
        <f t="shared" si="1"/>
        <v>2.9050319999999994</v>
      </c>
      <c r="L19">
        <f t="shared" si="2"/>
        <v>0.27529286694793226</v>
      </c>
      <c r="M19">
        <f t="shared" si="3"/>
        <v>2.6339258584775451</v>
      </c>
      <c r="N19" t="s">
        <v>830</v>
      </c>
      <c r="O19" t="s">
        <v>831</v>
      </c>
      <c r="P19">
        <f t="shared" si="4"/>
        <v>4.1253141755735099</v>
      </c>
      <c r="Q19">
        <f t="shared" si="5"/>
        <v>0.9302291755735097</v>
      </c>
      <c r="R19" t="s">
        <v>832</v>
      </c>
      <c r="S19" t="s">
        <v>833</v>
      </c>
      <c r="T19">
        <f t="shared" si="6"/>
        <v>40.885175179122989</v>
      </c>
      <c r="U19">
        <f t="shared" si="7"/>
        <v>0.4417875</v>
      </c>
      <c r="V19" t="s">
        <v>169</v>
      </c>
      <c r="W19" t="s">
        <v>834</v>
      </c>
      <c r="X19" t="s">
        <v>171</v>
      </c>
      <c r="Y19" t="s">
        <v>171</v>
      </c>
      <c r="Z19" t="s">
        <v>171</v>
      </c>
      <c r="AA19" t="s">
        <v>835</v>
      </c>
      <c r="AB19" t="s">
        <v>836</v>
      </c>
      <c r="AC19" t="s">
        <v>837</v>
      </c>
      <c r="AD19" t="s">
        <v>175</v>
      </c>
      <c r="AE19" t="s">
        <v>176</v>
      </c>
      <c r="AF19">
        <f t="shared" si="8"/>
        <v>118.02593376</v>
      </c>
      <c r="AG19" t="s">
        <v>177</v>
      </c>
      <c r="AH19" t="s">
        <v>838</v>
      </c>
      <c r="AI19" t="s">
        <v>839</v>
      </c>
      <c r="AJ19" t="s">
        <v>840</v>
      </c>
      <c r="AK19" t="s">
        <v>841</v>
      </c>
      <c r="AL19">
        <f t="shared" si="9"/>
        <v>29.44</v>
      </c>
      <c r="AM19" t="s">
        <v>798</v>
      </c>
      <c r="AN19" t="s">
        <v>379</v>
      </c>
      <c r="AO19" t="s">
        <v>842</v>
      </c>
      <c r="AP19" t="s">
        <v>843</v>
      </c>
      <c r="AQ19" t="s">
        <v>844</v>
      </c>
      <c r="AR19" t="s">
        <v>845</v>
      </c>
      <c r="AS19" t="s">
        <v>384</v>
      </c>
      <c r="AT19" t="s">
        <v>846</v>
      </c>
      <c r="AU19" t="s">
        <v>847</v>
      </c>
      <c r="AV19" t="s">
        <v>848</v>
      </c>
      <c r="AW19" t="s">
        <v>849</v>
      </c>
      <c r="AX19" t="s">
        <v>850</v>
      </c>
      <c r="AY19" t="s">
        <v>851</v>
      </c>
      <c r="AZ19" t="s">
        <v>345</v>
      </c>
      <c r="BA19" t="s">
        <v>809</v>
      </c>
      <c r="BB19" t="s">
        <v>810</v>
      </c>
      <c r="BC19" t="s">
        <v>852</v>
      </c>
      <c r="BD19" t="s">
        <v>161</v>
      </c>
      <c r="BE19" t="s">
        <v>853</v>
      </c>
      <c r="BF19" t="s">
        <v>854</v>
      </c>
      <c r="BG19" t="s">
        <v>855</v>
      </c>
      <c r="BH19" t="s">
        <v>747</v>
      </c>
      <c r="BI19" t="s">
        <v>772</v>
      </c>
      <c r="BJ19" t="s">
        <v>197</v>
      </c>
      <c r="BK19" t="s">
        <v>161</v>
      </c>
      <c r="BL19" t="s">
        <v>198</v>
      </c>
      <c r="BM19" t="s">
        <v>159</v>
      </c>
      <c r="BN19" t="s">
        <v>200</v>
      </c>
      <c r="BO19" t="s">
        <v>200</v>
      </c>
      <c r="BP19" t="s">
        <v>199</v>
      </c>
      <c r="BQ19" t="s">
        <v>856</v>
      </c>
      <c r="BR19" t="s">
        <v>857</v>
      </c>
      <c r="BS19" t="s">
        <v>858</v>
      </c>
      <c r="BT19" t="s">
        <v>159</v>
      </c>
      <c r="BU19" t="s">
        <v>205</v>
      </c>
      <c r="BV19" t="s">
        <v>200</v>
      </c>
      <c r="BW19" t="s">
        <v>206</v>
      </c>
      <c r="BX19" t="s">
        <v>207</v>
      </c>
      <c r="BY19" t="s">
        <v>171</v>
      </c>
      <c r="BZ19" t="s">
        <v>208</v>
      </c>
      <c r="CA19" t="s">
        <v>171</v>
      </c>
      <c r="CB19" t="s">
        <v>171</v>
      </c>
      <c r="CC19" t="s">
        <v>209</v>
      </c>
      <c r="CD19" t="s">
        <v>210</v>
      </c>
      <c r="CE19" t="s">
        <v>196</v>
      </c>
      <c r="CF19" t="s">
        <v>211</v>
      </c>
      <c r="CG19" t="s">
        <v>212</v>
      </c>
      <c r="CH19" t="s">
        <v>213</v>
      </c>
      <c r="CI19" t="s">
        <v>177</v>
      </c>
      <c r="CJ19" t="s">
        <v>206</v>
      </c>
      <c r="CK19" t="s">
        <v>214</v>
      </c>
      <c r="CL19" t="s">
        <v>214</v>
      </c>
      <c r="CM19" t="s">
        <v>214</v>
      </c>
      <c r="CN19" t="s">
        <v>171</v>
      </c>
      <c r="CO19" t="s">
        <v>215</v>
      </c>
      <c r="CP19" t="s">
        <v>171</v>
      </c>
      <c r="CQ19" t="s">
        <v>171</v>
      </c>
      <c r="CR19" t="s">
        <v>171</v>
      </c>
      <c r="CS19" t="s">
        <v>171</v>
      </c>
      <c r="CT19" t="s">
        <v>859</v>
      </c>
      <c r="CU19" t="s">
        <v>860</v>
      </c>
      <c r="CV19" t="s">
        <v>861</v>
      </c>
      <c r="CW19" t="s">
        <v>862</v>
      </c>
      <c r="CX19" t="s">
        <v>863</v>
      </c>
      <c r="CY19" t="s">
        <v>864</v>
      </c>
      <c r="CZ19" t="s">
        <v>865</v>
      </c>
      <c r="DA19" t="s">
        <v>866</v>
      </c>
      <c r="DB19" t="s">
        <v>835</v>
      </c>
      <c r="DC19" t="s">
        <v>867</v>
      </c>
      <c r="DD19" t="s">
        <v>225</v>
      </c>
      <c r="DE19" t="s">
        <v>226</v>
      </c>
      <c r="DF19" t="s">
        <v>177</v>
      </c>
      <c r="DG19" t="s">
        <v>227</v>
      </c>
      <c r="DH19" t="s">
        <v>228</v>
      </c>
      <c r="DI19" t="s">
        <v>177</v>
      </c>
      <c r="DJ19" t="s">
        <v>229</v>
      </c>
      <c r="DK19" t="s">
        <v>230</v>
      </c>
      <c r="DL19" t="s">
        <v>231</v>
      </c>
      <c r="DM19" t="s">
        <v>171</v>
      </c>
      <c r="DN19" t="s">
        <v>834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  <row r="20" spans="1:124" ht="19.2" customHeight="1" x14ac:dyDescent="0.45">
      <c r="A20" t="s">
        <v>868</v>
      </c>
      <c r="B20" t="s">
        <v>869</v>
      </c>
      <c r="C20" t="s">
        <v>161</v>
      </c>
      <c r="D20" t="s">
        <v>162</v>
      </c>
      <c r="E20" t="s">
        <v>163</v>
      </c>
      <c r="I20" t="s">
        <v>870</v>
      </c>
      <c r="J20">
        <f t="shared" si="0"/>
        <v>0.28686865097176328</v>
      </c>
      <c r="K20">
        <f t="shared" si="1"/>
        <v>2.9058327199999998</v>
      </c>
      <c r="L20">
        <f t="shared" si="2"/>
        <v>0.26109310438961875</v>
      </c>
      <c r="M20">
        <f t="shared" si="3"/>
        <v>3.0693219931717999</v>
      </c>
      <c r="N20" t="s">
        <v>871</v>
      </c>
      <c r="O20" t="s">
        <v>872</v>
      </c>
      <c r="P20">
        <f t="shared" si="4"/>
        <v>4.1803571823051895</v>
      </c>
      <c r="Q20">
        <f t="shared" si="5"/>
        <v>1.1439571823051895</v>
      </c>
      <c r="R20" t="s">
        <v>873</v>
      </c>
      <c r="S20" t="s">
        <v>874</v>
      </c>
      <c r="T20">
        <f t="shared" si="6"/>
        <v>41.42658985536805</v>
      </c>
      <c r="U20">
        <f t="shared" si="7"/>
        <v>0.4417875</v>
      </c>
      <c r="V20" t="s">
        <v>169</v>
      </c>
      <c r="W20" t="s">
        <v>875</v>
      </c>
      <c r="X20" t="s">
        <v>171</v>
      </c>
      <c r="Y20" t="s">
        <v>171</v>
      </c>
      <c r="Z20" t="s">
        <v>171</v>
      </c>
      <c r="AA20" t="s">
        <v>876</v>
      </c>
      <c r="AB20" t="s">
        <v>877</v>
      </c>
      <c r="AC20" t="s">
        <v>878</v>
      </c>
      <c r="AD20" t="s">
        <v>175</v>
      </c>
      <c r="AE20" t="s">
        <v>176</v>
      </c>
      <c r="AF20">
        <f t="shared" si="8"/>
        <v>188.28100745999998</v>
      </c>
      <c r="AG20" t="s">
        <v>177</v>
      </c>
      <c r="AH20" t="s">
        <v>879</v>
      </c>
      <c r="AI20" t="s">
        <v>593</v>
      </c>
      <c r="AJ20" t="s">
        <v>880</v>
      </c>
      <c r="AK20" t="s">
        <v>881</v>
      </c>
      <c r="AL20">
        <f t="shared" si="9"/>
        <v>29.67</v>
      </c>
      <c r="AM20" t="s">
        <v>882</v>
      </c>
      <c r="AN20" t="s">
        <v>293</v>
      </c>
      <c r="AO20" t="s">
        <v>883</v>
      </c>
      <c r="AP20" t="s">
        <v>884</v>
      </c>
      <c r="AQ20" t="s">
        <v>885</v>
      </c>
      <c r="AR20" t="s">
        <v>886</v>
      </c>
      <c r="AS20" t="s">
        <v>298</v>
      </c>
      <c r="AT20" t="s">
        <v>804</v>
      </c>
      <c r="AU20" t="s">
        <v>887</v>
      </c>
      <c r="AV20" t="s">
        <v>888</v>
      </c>
      <c r="AW20" t="s">
        <v>889</v>
      </c>
      <c r="AX20" t="s">
        <v>890</v>
      </c>
      <c r="AY20" t="s">
        <v>891</v>
      </c>
      <c r="AZ20" t="s">
        <v>345</v>
      </c>
      <c r="BA20" t="s">
        <v>892</v>
      </c>
      <c r="BB20" t="s">
        <v>893</v>
      </c>
      <c r="BC20" t="s">
        <v>894</v>
      </c>
      <c r="BD20" t="s">
        <v>161</v>
      </c>
      <c r="BE20" t="s">
        <v>895</v>
      </c>
      <c r="BF20" t="s">
        <v>732</v>
      </c>
      <c r="BG20" t="s">
        <v>896</v>
      </c>
      <c r="BH20" t="s">
        <v>747</v>
      </c>
      <c r="BI20" t="s">
        <v>772</v>
      </c>
      <c r="BJ20" t="s">
        <v>897</v>
      </c>
      <c r="BK20" t="s">
        <v>161</v>
      </c>
      <c r="BL20" t="s">
        <v>898</v>
      </c>
      <c r="BM20" t="s">
        <v>159</v>
      </c>
      <c r="BN20" t="s">
        <v>526</v>
      </c>
      <c r="BO20" t="s">
        <v>200</v>
      </c>
      <c r="BP20" t="s">
        <v>263</v>
      </c>
      <c r="BQ20" t="s">
        <v>899</v>
      </c>
      <c r="BR20" t="s">
        <v>900</v>
      </c>
      <c r="BS20" t="s">
        <v>901</v>
      </c>
      <c r="BT20" t="s">
        <v>159</v>
      </c>
      <c r="BU20" t="s">
        <v>205</v>
      </c>
      <c r="BV20" t="s">
        <v>200</v>
      </c>
      <c r="BW20" t="s">
        <v>206</v>
      </c>
      <c r="BX20" t="s">
        <v>207</v>
      </c>
      <c r="BY20" t="s">
        <v>171</v>
      </c>
      <c r="BZ20" t="s">
        <v>208</v>
      </c>
      <c r="CA20" t="s">
        <v>171</v>
      </c>
      <c r="CB20" t="s">
        <v>171</v>
      </c>
      <c r="CC20" t="s">
        <v>209</v>
      </c>
      <c r="CD20" t="s">
        <v>210</v>
      </c>
      <c r="CE20" t="s">
        <v>196</v>
      </c>
      <c r="CF20" t="s">
        <v>211</v>
      </c>
      <c r="CG20" t="s">
        <v>212</v>
      </c>
      <c r="CH20" t="s">
        <v>213</v>
      </c>
      <c r="CI20" t="s">
        <v>177</v>
      </c>
      <c r="CJ20" t="s">
        <v>206</v>
      </c>
      <c r="CK20" t="s">
        <v>214</v>
      </c>
      <c r="CL20" t="s">
        <v>214</v>
      </c>
      <c r="CM20" t="s">
        <v>214</v>
      </c>
      <c r="CN20" t="s">
        <v>171</v>
      </c>
      <c r="CO20" t="s">
        <v>215</v>
      </c>
      <c r="CP20" t="s">
        <v>171</v>
      </c>
      <c r="CQ20" t="s">
        <v>171</v>
      </c>
      <c r="CR20" t="s">
        <v>171</v>
      </c>
      <c r="CS20" t="s">
        <v>171</v>
      </c>
      <c r="CT20" t="s">
        <v>902</v>
      </c>
      <c r="CU20" t="s">
        <v>903</v>
      </c>
      <c r="CV20" t="s">
        <v>904</v>
      </c>
      <c r="CW20" t="s">
        <v>905</v>
      </c>
      <c r="CX20" t="s">
        <v>906</v>
      </c>
      <c r="CY20" t="s">
        <v>907</v>
      </c>
      <c r="CZ20" t="s">
        <v>908</v>
      </c>
      <c r="DA20" t="s">
        <v>909</v>
      </c>
      <c r="DB20" t="s">
        <v>876</v>
      </c>
      <c r="DC20" t="s">
        <v>746</v>
      </c>
      <c r="DD20" t="s">
        <v>225</v>
      </c>
      <c r="DE20" t="s">
        <v>226</v>
      </c>
      <c r="DF20" t="s">
        <v>177</v>
      </c>
      <c r="DG20" t="s">
        <v>227</v>
      </c>
      <c r="DH20" t="s">
        <v>228</v>
      </c>
      <c r="DI20" t="s">
        <v>177</v>
      </c>
      <c r="DJ20" t="s">
        <v>229</v>
      </c>
      <c r="DK20" t="s">
        <v>230</v>
      </c>
      <c r="DL20" t="s">
        <v>231</v>
      </c>
      <c r="DM20" t="s">
        <v>171</v>
      </c>
      <c r="DN20" t="s">
        <v>875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ht="19.2" customHeight="1" x14ac:dyDescent="0.45">
      <c r="A21" t="s">
        <v>910</v>
      </c>
      <c r="B21" t="s">
        <v>911</v>
      </c>
      <c r="C21" t="s">
        <v>161</v>
      </c>
      <c r="D21" t="s">
        <v>162</v>
      </c>
      <c r="E21" t="s">
        <v>163</v>
      </c>
      <c r="I21" t="s">
        <v>912</v>
      </c>
      <c r="J21">
        <f t="shared" si="0"/>
        <v>0.27915549812326274</v>
      </c>
      <c r="K21">
        <f t="shared" si="1"/>
        <v>2.9050319999999994</v>
      </c>
      <c r="L21">
        <f t="shared" si="2"/>
        <v>0.25468213021437641</v>
      </c>
      <c r="M21">
        <f t="shared" si="3"/>
        <v>3.0673556766491243</v>
      </c>
      <c r="N21" t="s">
        <v>913</v>
      </c>
      <c r="O21" t="s">
        <v>914</v>
      </c>
      <c r="P21">
        <f t="shared" si="4"/>
        <v>4.1491677902557775</v>
      </c>
      <c r="Q21">
        <f t="shared" si="5"/>
        <v>1.1722757902557777</v>
      </c>
      <c r="R21" t="s">
        <v>915</v>
      </c>
      <c r="S21" t="s">
        <v>916</v>
      </c>
      <c r="T21">
        <f t="shared" si="6"/>
        <v>41.121583649710381</v>
      </c>
      <c r="U21">
        <f t="shared" si="7"/>
        <v>0.4417875</v>
      </c>
      <c r="V21" t="s">
        <v>169</v>
      </c>
      <c r="W21" t="s">
        <v>917</v>
      </c>
      <c r="X21" t="s">
        <v>171</v>
      </c>
      <c r="Y21" t="s">
        <v>171</v>
      </c>
      <c r="Z21" t="s">
        <v>171</v>
      </c>
      <c r="AA21" t="s">
        <v>918</v>
      </c>
      <c r="AB21" t="s">
        <v>919</v>
      </c>
      <c r="AC21" t="s">
        <v>920</v>
      </c>
      <c r="AD21" t="s">
        <v>175</v>
      </c>
      <c r="AE21" t="s">
        <v>176</v>
      </c>
      <c r="AF21">
        <f t="shared" si="8"/>
        <v>126.66409433999998</v>
      </c>
      <c r="AG21" t="s">
        <v>177</v>
      </c>
      <c r="AH21" t="s">
        <v>921</v>
      </c>
      <c r="AI21" t="s">
        <v>922</v>
      </c>
      <c r="AJ21" t="s">
        <v>923</v>
      </c>
      <c r="AK21" t="s">
        <v>924</v>
      </c>
      <c r="AL21">
        <f t="shared" si="9"/>
        <v>29.54</v>
      </c>
      <c r="AM21" t="s">
        <v>798</v>
      </c>
      <c r="AN21" t="s">
        <v>379</v>
      </c>
      <c r="AO21" t="s">
        <v>925</v>
      </c>
      <c r="AP21" t="s">
        <v>926</v>
      </c>
      <c r="AQ21" t="s">
        <v>927</v>
      </c>
      <c r="AR21" t="s">
        <v>928</v>
      </c>
      <c r="AS21" t="s">
        <v>929</v>
      </c>
      <c r="AT21" t="s">
        <v>930</v>
      </c>
      <c r="AU21" t="s">
        <v>931</v>
      </c>
      <c r="AV21" t="s">
        <v>932</v>
      </c>
      <c r="AW21" t="s">
        <v>933</v>
      </c>
      <c r="AX21" t="s">
        <v>934</v>
      </c>
      <c r="AY21" t="s">
        <v>935</v>
      </c>
      <c r="AZ21" t="s">
        <v>345</v>
      </c>
      <c r="BA21" t="s">
        <v>936</v>
      </c>
      <c r="BB21" t="s">
        <v>937</v>
      </c>
      <c r="BC21" t="s">
        <v>938</v>
      </c>
      <c r="BD21" t="s">
        <v>161</v>
      </c>
      <c r="BE21" t="s">
        <v>939</v>
      </c>
      <c r="BF21" t="s">
        <v>940</v>
      </c>
      <c r="BG21" t="s">
        <v>941</v>
      </c>
      <c r="BH21" t="s">
        <v>747</v>
      </c>
      <c r="BI21" t="s">
        <v>772</v>
      </c>
      <c r="BJ21" t="s">
        <v>897</v>
      </c>
      <c r="BK21" t="s">
        <v>161</v>
      </c>
      <c r="BL21" t="s">
        <v>898</v>
      </c>
      <c r="BM21" t="s">
        <v>159</v>
      </c>
      <c r="BN21" t="s">
        <v>264</v>
      </c>
      <c r="BO21" t="s">
        <v>526</v>
      </c>
      <c r="BP21" t="s">
        <v>199</v>
      </c>
      <c r="BQ21" t="s">
        <v>942</v>
      </c>
      <c r="BR21" t="s">
        <v>943</v>
      </c>
      <c r="BS21" t="s">
        <v>944</v>
      </c>
      <c r="BT21" t="s">
        <v>159</v>
      </c>
      <c r="BU21" t="s">
        <v>205</v>
      </c>
      <c r="BV21" t="s">
        <v>200</v>
      </c>
      <c r="BW21" t="s">
        <v>206</v>
      </c>
      <c r="BX21" t="s">
        <v>207</v>
      </c>
      <c r="BY21" t="s">
        <v>171</v>
      </c>
      <c r="BZ21" t="s">
        <v>208</v>
      </c>
      <c r="CA21" t="s">
        <v>171</v>
      </c>
      <c r="CB21" t="s">
        <v>171</v>
      </c>
      <c r="CC21" t="s">
        <v>209</v>
      </c>
      <c r="CD21" t="s">
        <v>210</v>
      </c>
      <c r="CE21" t="s">
        <v>196</v>
      </c>
      <c r="CF21" t="s">
        <v>211</v>
      </c>
      <c r="CG21" t="s">
        <v>212</v>
      </c>
      <c r="CH21" t="s">
        <v>213</v>
      </c>
      <c r="CI21" t="s">
        <v>177</v>
      </c>
      <c r="CJ21" t="s">
        <v>206</v>
      </c>
      <c r="CK21" t="s">
        <v>214</v>
      </c>
      <c r="CL21" t="s">
        <v>214</v>
      </c>
      <c r="CM21" t="s">
        <v>214</v>
      </c>
      <c r="CN21" t="s">
        <v>171</v>
      </c>
      <c r="CO21" t="s">
        <v>215</v>
      </c>
      <c r="CP21" t="s">
        <v>171</v>
      </c>
      <c r="CQ21" t="s">
        <v>171</v>
      </c>
      <c r="CR21" t="s">
        <v>171</v>
      </c>
      <c r="CS21" t="s">
        <v>171</v>
      </c>
      <c r="CT21" t="s">
        <v>945</v>
      </c>
      <c r="CU21" t="s">
        <v>946</v>
      </c>
      <c r="CV21" t="s">
        <v>947</v>
      </c>
      <c r="CW21" t="s">
        <v>948</v>
      </c>
      <c r="CX21" t="s">
        <v>949</v>
      </c>
      <c r="CY21" t="s">
        <v>950</v>
      </c>
      <c r="CZ21" t="s">
        <v>951</v>
      </c>
      <c r="DA21" t="s">
        <v>952</v>
      </c>
      <c r="DB21" t="s">
        <v>918</v>
      </c>
      <c r="DC21" t="s">
        <v>953</v>
      </c>
      <c r="DD21" t="s">
        <v>225</v>
      </c>
      <c r="DE21" t="s">
        <v>226</v>
      </c>
      <c r="DF21" t="s">
        <v>177</v>
      </c>
      <c r="DG21" t="s">
        <v>227</v>
      </c>
      <c r="DH21" t="s">
        <v>228</v>
      </c>
      <c r="DI21" t="s">
        <v>177</v>
      </c>
      <c r="DJ21" t="s">
        <v>229</v>
      </c>
      <c r="DK21" t="s">
        <v>230</v>
      </c>
      <c r="DL21" t="s">
        <v>231</v>
      </c>
      <c r="DM21" t="s">
        <v>171</v>
      </c>
      <c r="DN21" t="s">
        <v>917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19"/>
  <sheetViews>
    <sheetView workbookViewId="0"/>
  </sheetViews>
  <sheetFormatPr defaultRowHeight="19.2" x14ac:dyDescent="0.45"/>
  <sheetData>
    <row r="1" spans="1:124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I2" t="s">
        <v>164</v>
      </c>
      <c r="J2">
        <v>0.44</v>
      </c>
      <c r="K2">
        <v>2.91</v>
      </c>
      <c r="L2">
        <v>0.38</v>
      </c>
      <c r="M2">
        <v>4.4800000000000004</v>
      </c>
      <c r="N2">
        <v>2.6</v>
      </c>
      <c r="O2">
        <v>2.4700000000000002</v>
      </c>
      <c r="P2">
        <v>3.74</v>
      </c>
      <c r="Q2">
        <v>1.1399999999999999</v>
      </c>
      <c r="R2">
        <v>24.52</v>
      </c>
      <c r="S2">
        <v>25.75</v>
      </c>
      <c r="T2">
        <v>37.1</v>
      </c>
      <c r="U2">
        <v>0.44</v>
      </c>
      <c r="V2">
        <v>7.5</v>
      </c>
      <c r="W2" t="s">
        <v>170</v>
      </c>
      <c r="X2">
        <v>0</v>
      </c>
      <c r="Y2">
        <v>0</v>
      </c>
      <c r="Z2">
        <v>0</v>
      </c>
      <c r="AA2">
        <v>126.09</v>
      </c>
      <c r="AB2">
        <v>473.47</v>
      </c>
      <c r="AC2">
        <v>0.73</v>
      </c>
      <c r="AD2">
        <v>0.5</v>
      </c>
      <c r="AE2">
        <v>0.84</v>
      </c>
      <c r="AF2">
        <v>36.36</v>
      </c>
      <c r="AG2">
        <v>1</v>
      </c>
      <c r="AH2">
        <v>64.13</v>
      </c>
      <c r="AI2">
        <v>61.06</v>
      </c>
      <c r="AJ2">
        <v>29.12</v>
      </c>
      <c r="AK2">
        <v>27.76</v>
      </c>
      <c r="AL2">
        <v>27.76</v>
      </c>
      <c r="AM2">
        <v>100.87</v>
      </c>
      <c r="AN2">
        <v>156.19999999999999</v>
      </c>
      <c r="AO2">
        <v>143.6</v>
      </c>
      <c r="AP2">
        <v>8.1</v>
      </c>
      <c r="AQ2">
        <v>118</v>
      </c>
      <c r="AR2">
        <v>3.83</v>
      </c>
      <c r="AS2">
        <v>-18</v>
      </c>
      <c r="AT2">
        <v>-48</v>
      </c>
      <c r="AU2">
        <v>186</v>
      </c>
      <c r="AX2">
        <v>50.48</v>
      </c>
      <c r="AY2">
        <v>-68.45</v>
      </c>
      <c r="BC2" t="s">
        <v>193</v>
      </c>
      <c r="BD2" t="s">
        <v>194</v>
      </c>
      <c r="BH2">
        <v>0</v>
      </c>
      <c r="BJ2" t="s">
        <v>197</v>
      </c>
      <c r="BK2" t="s">
        <v>161</v>
      </c>
      <c r="BL2">
        <v>-2.12</v>
      </c>
      <c r="BM2" t="s">
        <v>159</v>
      </c>
      <c r="BN2">
        <v>0</v>
      </c>
      <c r="BO2">
        <v>0</v>
      </c>
      <c r="BP2">
        <v>0</v>
      </c>
      <c r="BQ2">
        <v>-0.56999999999999995</v>
      </c>
      <c r="BR2">
        <v>-0.86</v>
      </c>
      <c r="BS2">
        <v>-1.67</v>
      </c>
      <c r="BT2" t="s">
        <v>159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210</v>
      </c>
      <c r="CE2" t="s">
        <v>196</v>
      </c>
      <c r="CF2" t="s">
        <v>211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2.52</v>
      </c>
      <c r="CU2">
        <v>2.46</v>
      </c>
      <c r="CV2">
        <v>1.67</v>
      </c>
      <c r="CW2">
        <v>0.91</v>
      </c>
      <c r="CX2">
        <v>0.23</v>
      </c>
      <c r="CY2">
        <v>-0.02</v>
      </c>
      <c r="CZ2">
        <v>0.08</v>
      </c>
      <c r="DA2">
        <v>0.21</v>
      </c>
      <c r="DB2">
        <v>126.09</v>
      </c>
      <c r="DC2">
        <v>0</v>
      </c>
      <c r="DD2">
        <v>2.42</v>
      </c>
      <c r="DE2">
        <v>0</v>
      </c>
      <c r="DF2">
        <v>1</v>
      </c>
      <c r="DG2">
        <v>2.37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170</v>
      </c>
      <c r="DO2" t="s">
        <v>232</v>
      </c>
      <c r="DP2" t="s">
        <v>233</v>
      </c>
      <c r="DQ2" t="s">
        <v>234</v>
      </c>
      <c r="DR2" t="s">
        <v>235</v>
      </c>
      <c r="DS2" t="s">
        <v>236</v>
      </c>
      <c r="DT2" t="s">
        <v>237</v>
      </c>
    </row>
    <row r="3" spans="1:124" x14ac:dyDescent="0.45">
      <c r="A3" t="s">
        <v>238</v>
      </c>
      <c r="B3" t="s">
        <v>239</v>
      </c>
      <c r="C3" t="s">
        <v>161</v>
      </c>
      <c r="D3" t="s">
        <v>162</v>
      </c>
      <c r="E3" t="s">
        <v>163</v>
      </c>
      <c r="I3" t="s">
        <v>240</v>
      </c>
      <c r="J3">
        <v>0.44</v>
      </c>
      <c r="K3">
        <v>2.91</v>
      </c>
      <c r="L3">
        <v>0.38</v>
      </c>
      <c r="M3">
        <v>4.21</v>
      </c>
      <c r="N3">
        <v>2.66</v>
      </c>
      <c r="O3">
        <v>2.54</v>
      </c>
      <c r="P3">
        <v>3.74</v>
      </c>
      <c r="Q3">
        <v>1.0900000000000001</v>
      </c>
      <c r="R3">
        <v>25.18</v>
      </c>
      <c r="S3">
        <v>26.34</v>
      </c>
      <c r="T3">
        <v>37.119999999999997</v>
      </c>
      <c r="U3">
        <v>0.44</v>
      </c>
      <c r="V3">
        <v>7.5</v>
      </c>
      <c r="W3" t="s">
        <v>245</v>
      </c>
      <c r="X3">
        <v>0</v>
      </c>
      <c r="Y3">
        <v>0</v>
      </c>
      <c r="Z3">
        <v>0</v>
      </c>
      <c r="AA3">
        <v>131.52000000000001</v>
      </c>
      <c r="AB3">
        <v>458.28</v>
      </c>
      <c r="AC3">
        <v>0.71</v>
      </c>
      <c r="AD3">
        <v>0.5</v>
      </c>
      <c r="AE3">
        <v>0.84</v>
      </c>
      <c r="AF3">
        <v>92.24</v>
      </c>
      <c r="AG3">
        <v>1</v>
      </c>
      <c r="AH3">
        <v>65.56</v>
      </c>
      <c r="AI3">
        <v>62.67</v>
      </c>
      <c r="AJ3">
        <v>29.13</v>
      </c>
      <c r="AK3">
        <v>27.77</v>
      </c>
      <c r="AL3">
        <v>27.77</v>
      </c>
      <c r="AM3">
        <v>100.87</v>
      </c>
      <c r="AN3">
        <v>156.19999999999999</v>
      </c>
      <c r="AO3">
        <v>152.1</v>
      </c>
      <c r="AP3">
        <v>2.6</v>
      </c>
      <c r="AQ3">
        <v>308</v>
      </c>
      <c r="AR3">
        <v>3.83</v>
      </c>
      <c r="AS3">
        <v>-25</v>
      </c>
      <c r="AT3">
        <v>-24</v>
      </c>
      <c r="AU3">
        <v>211</v>
      </c>
      <c r="AX3">
        <v>34.11</v>
      </c>
      <c r="AY3">
        <v>-15.49</v>
      </c>
      <c r="BC3" t="s">
        <v>193</v>
      </c>
      <c r="BD3" t="s">
        <v>194</v>
      </c>
      <c r="BH3">
        <v>0</v>
      </c>
      <c r="BJ3" t="s">
        <v>197</v>
      </c>
      <c r="BK3" t="s">
        <v>161</v>
      </c>
      <c r="BL3">
        <v>-2.12</v>
      </c>
      <c r="BM3" t="s">
        <v>159</v>
      </c>
      <c r="BN3">
        <v>0</v>
      </c>
      <c r="BO3">
        <v>0</v>
      </c>
      <c r="BP3">
        <v>0</v>
      </c>
      <c r="BQ3">
        <v>-0.09</v>
      </c>
      <c r="BR3">
        <v>-0.52</v>
      </c>
      <c r="BS3">
        <v>-0.99</v>
      </c>
      <c r="BT3" t="s">
        <v>159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210</v>
      </c>
      <c r="CE3" t="s">
        <v>196</v>
      </c>
      <c r="CF3" t="s">
        <v>211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2.52</v>
      </c>
      <c r="CU3">
        <v>2.4700000000000002</v>
      </c>
      <c r="CV3">
        <v>1.67</v>
      </c>
      <c r="CW3">
        <v>0.93</v>
      </c>
      <c r="CX3">
        <v>0.23</v>
      </c>
      <c r="CY3">
        <v>-0.02</v>
      </c>
      <c r="CZ3">
        <v>0.08</v>
      </c>
      <c r="DA3">
        <v>0.38</v>
      </c>
      <c r="DB3">
        <v>131.52000000000001</v>
      </c>
      <c r="DC3">
        <v>0</v>
      </c>
      <c r="DD3">
        <v>2.42</v>
      </c>
      <c r="DE3">
        <v>0</v>
      </c>
      <c r="DF3">
        <v>1</v>
      </c>
      <c r="DG3">
        <v>2.37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245</v>
      </c>
      <c r="DO3" t="s">
        <v>232</v>
      </c>
      <c r="DP3" t="s">
        <v>233</v>
      </c>
      <c r="DQ3" t="s">
        <v>234</v>
      </c>
      <c r="DR3" t="s">
        <v>235</v>
      </c>
      <c r="DS3" t="s">
        <v>236</v>
      </c>
      <c r="DT3" t="s">
        <v>237</v>
      </c>
    </row>
    <row r="4" spans="1:124" x14ac:dyDescent="0.45">
      <c r="A4" t="s">
        <v>277</v>
      </c>
      <c r="B4" t="s">
        <v>278</v>
      </c>
      <c r="C4" t="s">
        <v>161</v>
      </c>
      <c r="D4" t="s">
        <v>162</v>
      </c>
      <c r="E4" t="s">
        <v>163</v>
      </c>
      <c r="I4" t="s">
        <v>279</v>
      </c>
      <c r="J4">
        <v>0.3</v>
      </c>
      <c r="K4">
        <v>2.91</v>
      </c>
      <c r="L4">
        <v>0.27</v>
      </c>
      <c r="M4">
        <v>3.12</v>
      </c>
      <c r="N4">
        <v>2.74</v>
      </c>
      <c r="O4">
        <v>2.66</v>
      </c>
      <c r="P4">
        <v>3.86</v>
      </c>
      <c r="Q4">
        <v>1.1100000000000001</v>
      </c>
      <c r="R4">
        <v>26.34</v>
      </c>
      <c r="S4">
        <v>27.2</v>
      </c>
      <c r="T4">
        <v>38.24</v>
      </c>
      <c r="U4">
        <v>0.44</v>
      </c>
      <c r="V4">
        <v>7.5</v>
      </c>
      <c r="W4" t="s">
        <v>284</v>
      </c>
      <c r="X4">
        <v>0</v>
      </c>
      <c r="Y4">
        <v>0</v>
      </c>
      <c r="Z4">
        <v>0</v>
      </c>
      <c r="AA4">
        <v>156.75</v>
      </c>
      <c r="AB4">
        <v>500.74</v>
      </c>
      <c r="AC4">
        <v>0.69</v>
      </c>
      <c r="AD4">
        <v>0.5</v>
      </c>
      <c r="AE4">
        <v>0.84</v>
      </c>
      <c r="AF4">
        <v>103.87</v>
      </c>
      <c r="AG4">
        <v>1</v>
      </c>
      <c r="AH4">
        <v>67.45</v>
      </c>
      <c r="AI4">
        <v>65.319999999999993</v>
      </c>
      <c r="AJ4">
        <v>29.2</v>
      </c>
      <c r="AK4">
        <v>28.28</v>
      </c>
      <c r="AL4">
        <v>28.28</v>
      </c>
      <c r="AM4">
        <v>100.88</v>
      </c>
      <c r="AN4">
        <v>156.1</v>
      </c>
      <c r="AO4">
        <v>152.5</v>
      </c>
      <c r="AP4">
        <v>2.2999999999999998</v>
      </c>
      <c r="AQ4">
        <v>360</v>
      </c>
      <c r="AR4">
        <v>3.83</v>
      </c>
      <c r="AS4">
        <v>-19</v>
      </c>
      <c r="AT4">
        <v>-11</v>
      </c>
      <c r="AU4">
        <v>132</v>
      </c>
      <c r="AX4">
        <v>21.85</v>
      </c>
      <c r="AY4">
        <v>-78.84</v>
      </c>
      <c r="BC4" t="s">
        <v>193</v>
      </c>
      <c r="BD4" t="s">
        <v>194</v>
      </c>
      <c r="BE4">
        <v>35.85</v>
      </c>
      <c r="BF4">
        <v>127.13</v>
      </c>
      <c r="BG4">
        <v>67.099999999999994</v>
      </c>
      <c r="BH4">
        <v>4</v>
      </c>
      <c r="BI4">
        <v>1.84</v>
      </c>
      <c r="BJ4" t="s">
        <v>197</v>
      </c>
      <c r="BK4" t="s">
        <v>161</v>
      </c>
      <c r="BL4">
        <v>-2.12</v>
      </c>
      <c r="BM4" t="s">
        <v>159</v>
      </c>
      <c r="BN4">
        <v>0</v>
      </c>
      <c r="BO4">
        <v>0</v>
      </c>
      <c r="BP4">
        <v>0</v>
      </c>
      <c r="BQ4">
        <v>-0.35</v>
      </c>
      <c r="BR4">
        <v>0.64</v>
      </c>
      <c r="BS4">
        <v>0.37</v>
      </c>
      <c r="BT4" t="s">
        <v>159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210</v>
      </c>
      <c r="CE4" t="s">
        <v>196</v>
      </c>
      <c r="CF4" t="s">
        <v>211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2.5299999999999998</v>
      </c>
      <c r="CU4">
        <v>2.4700000000000002</v>
      </c>
      <c r="CV4">
        <v>1.67</v>
      </c>
      <c r="CW4">
        <v>0.94</v>
      </c>
      <c r="CX4">
        <v>0.23</v>
      </c>
      <c r="CY4">
        <v>-0.01</v>
      </c>
      <c r="CZ4">
        <v>0.1</v>
      </c>
      <c r="DA4">
        <v>0.42</v>
      </c>
      <c r="DB4">
        <v>156.75</v>
      </c>
      <c r="DC4">
        <v>0</v>
      </c>
      <c r="DD4">
        <v>2.42</v>
      </c>
      <c r="DE4">
        <v>0</v>
      </c>
      <c r="DF4">
        <v>1</v>
      </c>
      <c r="DG4">
        <v>2.37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284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45">
      <c r="A5" t="s">
        <v>306</v>
      </c>
      <c r="B5" t="s">
        <v>321</v>
      </c>
      <c r="C5" t="s">
        <v>161</v>
      </c>
      <c r="D5" t="s">
        <v>162</v>
      </c>
      <c r="E5" t="s">
        <v>163</v>
      </c>
      <c r="I5" t="s">
        <v>322</v>
      </c>
      <c r="J5">
        <v>0.51</v>
      </c>
      <c r="K5">
        <v>2.91</v>
      </c>
      <c r="L5">
        <v>0.43</v>
      </c>
      <c r="M5">
        <v>4.5</v>
      </c>
      <c r="N5">
        <v>2.77</v>
      </c>
      <c r="O5">
        <v>2.65</v>
      </c>
      <c r="P5">
        <v>3.79</v>
      </c>
      <c r="Q5">
        <v>1.02</v>
      </c>
      <c r="R5">
        <v>26.24</v>
      </c>
      <c r="S5">
        <v>27.48</v>
      </c>
      <c r="T5">
        <v>37.6</v>
      </c>
      <c r="U5">
        <v>0.44</v>
      </c>
      <c r="V5">
        <v>7.5</v>
      </c>
      <c r="W5" t="s">
        <v>327</v>
      </c>
      <c r="X5">
        <v>0</v>
      </c>
      <c r="Y5">
        <v>0</v>
      </c>
      <c r="Z5">
        <v>0</v>
      </c>
      <c r="AA5">
        <v>116.88</v>
      </c>
      <c r="AB5">
        <v>450.45</v>
      </c>
      <c r="AC5">
        <v>0.74</v>
      </c>
      <c r="AD5">
        <v>0.5</v>
      </c>
      <c r="AE5">
        <v>0.84</v>
      </c>
      <c r="AF5">
        <v>109.48</v>
      </c>
      <c r="AG5">
        <v>1</v>
      </c>
      <c r="AH5">
        <v>68.09</v>
      </c>
      <c r="AI5">
        <v>65.02</v>
      </c>
      <c r="AJ5">
        <v>29.21</v>
      </c>
      <c r="AK5">
        <v>27.99</v>
      </c>
      <c r="AL5">
        <v>27.99</v>
      </c>
      <c r="AM5">
        <v>100.87</v>
      </c>
      <c r="AN5">
        <v>156.1</v>
      </c>
      <c r="AO5">
        <v>145.9</v>
      </c>
      <c r="AP5">
        <v>6.5</v>
      </c>
      <c r="AQ5">
        <v>352</v>
      </c>
      <c r="AR5">
        <v>3.83</v>
      </c>
      <c r="AS5">
        <v>-9</v>
      </c>
      <c r="AT5">
        <v>-40</v>
      </c>
      <c r="AU5">
        <v>146</v>
      </c>
      <c r="AV5">
        <v>27.77</v>
      </c>
      <c r="AW5">
        <v>88.48</v>
      </c>
      <c r="AX5">
        <v>40.83</v>
      </c>
      <c r="AY5">
        <v>-113.44</v>
      </c>
      <c r="AZ5">
        <v>13.15</v>
      </c>
      <c r="BA5">
        <v>100.06</v>
      </c>
      <c r="BB5">
        <v>54.19</v>
      </c>
      <c r="BC5" t="s">
        <v>348</v>
      </c>
      <c r="BD5" t="s">
        <v>349</v>
      </c>
      <c r="BE5">
        <v>35.85</v>
      </c>
      <c r="BF5">
        <v>127.13</v>
      </c>
      <c r="BG5">
        <v>89.1</v>
      </c>
      <c r="BH5">
        <v>4</v>
      </c>
      <c r="BI5">
        <v>1.84</v>
      </c>
      <c r="BJ5" t="s">
        <v>197</v>
      </c>
      <c r="BK5" t="s">
        <v>161</v>
      </c>
      <c r="BL5">
        <v>-2.12</v>
      </c>
      <c r="BM5" t="s">
        <v>159</v>
      </c>
      <c r="BN5">
        <v>0</v>
      </c>
      <c r="BO5">
        <v>0</v>
      </c>
      <c r="BP5">
        <v>-9999</v>
      </c>
      <c r="BQ5">
        <v>-0.03</v>
      </c>
      <c r="BR5">
        <v>0.06</v>
      </c>
      <c r="BS5">
        <v>-9999</v>
      </c>
      <c r="BT5" t="s">
        <v>159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210</v>
      </c>
      <c r="CE5" t="s">
        <v>196</v>
      </c>
      <c r="CF5" t="s">
        <v>211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2.52</v>
      </c>
      <c r="CU5">
        <v>2.4700000000000002</v>
      </c>
      <c r="CV5">
        <v>1.67</v>
      </c>
      <c r="CW5">
        <v>0.92</v>
      </c>
      <c r="CX5">
        <v>0.23</v>
      </c>
      <c r="CY5">
        <v>-0.01</v>
      </c>
      <c r="CZ5">
        <v>0.1</v>
      </c>
      <c r="DA5">
        <v>0.41</v>
      </c>
      <c r="DB5">
        <v>116.88</v>
      </c>
      <c r="DC5">
        <v>0</v>
      </c>
      <c r="DD5">
        <v>2.42</v>
      </c>
      <c r="DE5">
        <v>0</v>
      </c>
      <c r="DF5">
        <v>1</v>
      </c>
      <c r="DG5">
        <v>2.37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327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45">
      <c r="A6" t="s">
        <v>364</v>
      </c>
      <c r="B6" t="s">
        <v>365</v>
      </c>
      <c r="C6" t="s">
        <v>161</v>
      </c>
      <c r="D6" t="s">
        <v>162</v>
      </c>
      <c r="E6" t="s">
        <v>163</v>
      </c>
      <c r="I6" t="s">
        <v>366</v>
      </c>
      <c r="J6">
        <v>0.36</v>
      </c>
      <c r="K6">
        <v>2.91</v>
      </c>
      <c r="L6">
        <v>0.32</v>
      </c>
      <c r="M6">
        <v>3.24</v>
      </c>
      <c r="N6">
        <v>2.78</v>
      </c>
      <c r="O6">
        <v>2.69</v>
      </c>
      <c r="P6">
        <v>3.77</v>
      </c>
      <c r="Q6">
        <v>0.99</v>
      </c>
      <c r="R6">
        <v>26.63</v>
      </c>
      <c r="S6">
        <v>27.53</v>
      </c>
      <c r="T6">
        <v>37.380000000000003</v>
      </c>
      <c r="U6">
        <v>0.44</v>
      </c>
      <c r="V6">
        <v>7.5</v>
      </c>
      <c r="W6" t="s">
        <v>371</v>
      </c>
      <c r="X6">
        <v>0</v>
      </c>
      <c r="Y6">
        <v>0</v>
      </c>
      <c r="Z6">
        <v>0</v>
      </c>
      <c r="AA6">
        <v>115.7</v>
      </c>
      <c r="AB6">
        <v>486.97</v>
      </c>
      <c r="AC6">
        <v>0.76</v>
      </c>
      <c r="AD6">
        <v>0.5</v>
      </c>
      <c r="AE6">
        <v>0.84</v>
      </c>
      <c r="AF6">
        <v>71.09</v>
      </c>
      <c r="AG6">
        <v>1</v>
      </c>
      <c r="AH6">
        <v>67.989999999999995</v>
      </c>
      <c r="AI6">
        <v>65.78</v>
      </c>
      <c r="AJ6">
        <v>29.27</v>
      </c>
      <c r="AK6">
        <v>27.89</v>
      </c>
      <c r="AL6">
        <v>27.89</v>
      </c>
      <c r="AM6">
        <v>100.88</v>
      </c>
      <c r="AN6">
        <v>156</v>
      </c>
      <c r="AO6">
        <v>152.80000000000001</v>
      </c>
      <c r="AP6">
        <v>2.1</v>
      </c>
      <c r="AQ6">
        <v>222</v>
      </c>
      <c r="AR6">
        <v>3.83</v>
      </c>
      <c r="AS6">
        <v>-14</v>
      </c>
      <c r="AT6">
        <v>8</v>
      </c>
      <c r="AU6">
        <v>154</v>
      </c>
      <c r="AV6">
        <v>53.94</v>
      </c>
      <c r="AW6">
        <v>58.86</v>
      </c>
      <c r="AX6">
        <v>16.079999999999998</v>
      </c>
      <c r="AY6">
        <v>4.1500000000000004</v>
      </c>
      <c r="AZ6">
        <v>13.15</v>
      </c>
      <c r="BA6">
        <v>100.24</v>
      </c>
      <c r="BB6">
        <v>53.99</v>
      </c>
      <c r="BC6" t="s">
        <v>393</v>
      </c>
      <c r="BD6" t="s">
        <v>349</v>
      </c>
      <c r="BE6">
        <v>35.85</v>
      </c>
      <c r="BF6">
        <v>127.13</v>
      </c>
      <c r="BG6">
        <v>-36.200000000000003</v>
      </c>
      <c r="BH6">
        <v>6</v>
      </c>
      <c r="BI6">
        <v>1.48</v>
      </c>
      <c r="BJ6" t="s">
        <v>197</v>
      </c>
      <c r="BK6" t="s">
        <v>161</v>
      </c>
      <c r="BL6">
        <v>-2.12</v>
      </c>
      <c r="BM6" t="s">
        <v>159</v>
      </c>
      <c r="BN6">
        <v>0</v>
      </c>
      <c r="BO6">
        <v>0</v>
      </c>
      <c r="BP6">
        <v>0</v>
      </c>
      <c r="BQ6">
        <v>0.9</v>
      </c>
      <c r="BR6">
        <v>-0.05</v>
      </c>
      <c r="BS6">
        <v>-0.1</v>
      </c>
      <c r="BT6" t="s">
        <v>159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210</v>
      </c>
      <c r="CE6" t="s">
        <v>196</v>
      </c>
      <c r="CF6" t="s">
        <v>211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2.5299999999999998</v>
      </c>
      <c r="CU6">
        <v>2.4700000000000002</v>
      </c>
      <c r="CV6">
        <v>1.67</v>
      </c>
      <c r="CW6">
        <v>0.94</v>
      </c>
      <c r="CX6">
        <v>0.23</v>
      </c>
      <c r="CY6">
        <v>-0.02</v>
      </c>
      <c r="CZ6">
        <v>0.11</v>
      </c>
      <c r="DA6">
        <v>0.3</v>
      </c>
      <c r="DB6">
        <v>115.7</v>
      </c>
      <c r="DC6">
        <v>0</v>
      </c>
      <c r="DD6">
        <v>2.42</v>
      </c>
      <c r="DE6">
        <v>0</v>
      </c>
      <c r="DF6">
        <v>1</v>
      </c>
      <c r="DG6">
        <v>2.37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371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45">
      <c r="A7" t="s">
        <v>397</v>
      </c>
      <c r="B7" t="s">
        <v>411</v>
      </c>
      <c r="C7" t="s">
        <v>161</v>
      </c>
      <c r="D7" t="s">
        <v>162</v>
      </c>
      <c r="E7" t="s">
        <v>163</v>
      </c>
      <c r="I7" t="s">
        <v>412</v>
      </c>
      <c r="J7">
        <v>0.34</v>
      </c>
      <c r="K7">
        <v>2.91</v>
      </c>
      <c r="L7">
        <v>0.31</v>
      </c>
      <c r="M7">
        <v>3.25</v>
      </c>
      <c r="N7">
        <v>2.8</v>
      </c>
      <c r="O7">
        <v>2.71</v>
      </c>
      <c r="P7">
        <v>3.84</v>
      </c>
      <c r="Q7">
        <v>1.04</v>
      </c>
      <c r="R7">
        <v>26.88</v>
      </c>
      <c r="S7">
        <v>27.77</v>
      </c>
      <c r="T7">
        <v>38.06</v>
      </c>
      <c r="U7">
        <v>0.44</v>
      </c>
      <c r="V7">
        <v>7.5</v>
      </c>
      <c r="W7" t="s">
        <v>417</v>
      </c>
      <c r="X7">
        <v>0</v>
      </c>
      <c r="Y7">
        <v>0</v>
      </c>
      <c r="Z7">
        <v>0</v>
      </c>
      <c r="AA7">
        <v>113.72</v>
      </c>
      <c r="AB7">
        <v>450.7</v>
      </c>
      <c r="AC7">
        <v>0.75</v>
      </c>
      <c r="AD7">
        <v>0.5</v>
      </c>
      <c r="AE7">
        <v>0.84</v>
      </c>
      <c r="AF7">
        <v>88.24</v>
      </c>
      <c r="AG7">
        <v>1</v>
      </c>
      <c r="AH7">
        <v>68.489999999999995</v>
      </c>
      <c r="AI7">
        <v>66.28</v>
      </c>
      <c r="AJ7">
        <v>29.29</v>
      </c>
      <c r="AK7">
        <v>28.2</v>
      </c>
      <c r="AL7">
        <v>28.2</v>
      </c>
      <c r="AM7">
        <v>100.88</v>
      </c>
      <c r="AN7">
        <v>156.1</v>
      </c>
      <c r="AO7">
        <v>153.1</v>
      </c>
      <c r="AP7">
        <v>1.9</v>
      </c>
      <c r="AQ7">
        <v>281</v>
      </c>
      <c r="AR7">
        <v>3.83</v>
      </c>
      <c r="AS7">
        <v>-14</v>
      </c>
      <c r="AT7">
        <v>4</v>
      </c>
      <c r="AU7">
        <v>132</v>
      </c>
      <c r="AV7">
        <v>44.92</v>
      </c>
      <c r="AW7">
        <v>70.81</v>
      </c>
      <c r="AX7">
        <v>14.55</v>
      </c>
      <c r="AY7">
        <v>-31.88</v>
      </c>
      <c r="AZ7">
        <v>13.15</v>
      </c>
      <c r="BA7">
        <v>100.41</v>
      </c>
      <c r="BB7">
        <v>53.79</v>
      </c>
      <c r="BC7" t="s">
        <v>435</v>
      </c>
      <c r="BD7" t="s">
        <v>349</v>
      </c>
      <c r="BE7">
        <v>35.85</v>
      </c>
      <c r="BF7">
        <v>127.13</v>
      </c>
      <c r="BG7">
        <v>-35.299999999999997</v>
      </c>
      <c r="BH7">
        <v>5</v>
      </c>
      <c r="BI7">
        <v>2.82</v>
      </c>
      <c r="BJ7" t="s">
        <v>197</v>
      </c>
      <c r="BK7" t="s">
        <v>161</v>
      </c>
      <c r="BL7">
        <v>-2.12</v>
      </c>
      <c r="BM7" t="s">
        <v>159</v>
      </c>
      <c r="BN7">
        <v>0</v>
      </c>
      <c r="BO7">
        <v>0</v>
      </c>
      <c r="BP7">
        <v>0.01</v>
      </c>
      <c r="BQ7">
        <v>-0.2</v>
      </c>
      <c r="BR7">
        <v>-0.27</v>
      </c>
      <c r="BS7">
        <v>-0.26</v>
      </c>
      <c r="BT7" t="s">
        <v>159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210</v>
      </c>
      <c r="CE7" t="s">
        <v>196</v>
      </c>
      <c r="CF7" t="s">
        <v>211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2.5299999999999998</v>
      </c>
      <c r="CU7">
        <v>2.4700000000000002</v>
      </c>
      <c r="CV7">
        <v>1.67</v>
      </c>
      <c r="CW7">
        <v>0.94</v>
      </c>
      <c r="CX7">
        <v>0.23</v>
      </c>
      <c r="CY7">
        <v>-0.01</v>
      </c>
      <c r="CZ7">
        <v>0.11</v>
      </c>
      <c r="DA7">
        <v>0.35</v>
      </c>
      <c r="DB7">
        <v>113.72</v>
      </c>
      <c r="DC7">
        <v>0</v>
      </c>
      <c r="DD7">
        <v>2.42</v>
      </c>
      <c r="DE7">
        <v>0</v>
      </c>
      <c r="DF7">
        <v>1</v>
      </c>
      <c r="DG7">
        <v>2.37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417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45">
      <c r="A8" t="s">
        <v>453</v>
      </c>
      <c r="B8" t="s">
        <v>454</v>
      </c>
      <c r="C8" t="s">
        <v>161</v>
      </c>
      <c r="D8" t="s">
        <v>162</v>
      </c>
      <c r="E8" t="s">
        <v>163</v>
      </c>
      <c r="I8" t="s">
        <v>455</v>
      </c>
      <c r="J8">
        <v>0.39</v>
      </c>
      <c r="K8">
        <v>2.91</v>
      </c>
      <c r="L8">
        <v>0.35</v>
      </c>
      <c r="M8">
        <v>3.59</v>
      </c>
      <c r="N8">
        <v>2.81</v>
      </c>
      <c r="O8">
        <v>2.71</v>
      </c>
      <c r="P8">
        <v>3.82</v>
      </c>
      <c r="Q8">
        <v>1.01</v>
      </c>
      <c r="R8">
        <v>26.88</v>
      </c>
      <c r="S8">
        <v>27.86</v>
      </c>
      <c r="T8">
        <v>37.86</v>
      </c>
      <c r="U8">
        <v>0.44</v>
      </c>
      <c r="V8">
        <v>7.5</v>
      </c>
      <c r="W8" t="s">
        <v>460</v>
      </c>
      <c r="X8">
        <v>0</v>
      </c>
      <c r="Y8">
        <v>0</v>
      </c>
      <c r="Z8">
        <v>0</v>
      </c>
      <c r="AA8">
        <v>120.09</v>
      </c>
      <c r="AB8">
        <v>455.12</v>
      </c>
      <c r="AC8">
        <v>0.74</v>
      </c>
      <c r="AD8">
        <v>0.5</v>
      </c>
      <c r="AE8">
        <v>0.84</v>
      </c>
      <c r="AF8">
        <v>97.08</v>
      </c>
      <c r="AG8">
        <v>1</v>
      </c>
      <c r="AH8">
        <v>68.64</v>
      </c>
      <c r="AI8">
        <v>66.2</v>
      </c>
      <c r="AJ8">
        <v>29.32</v>
      </c>
      <c r="AK8">
        <v>28.11</v>
      </c>
      <c r="AL8">
        <v>28.11</v>
      </c>
      <c r="AM8">
        <v>100.89</v>
      </c>
      <c r="AN8">
        <v>156.19999999999999</v>
      </c>
      <c r="AO8">
        <v>153.9</v>
      </c>
      <c r="AP8">
        <v>1.5</v>
      </c>
      <c r="AQ8">
        <v>314</v>
      </c>
      <c r="AR8">
        <v>3.82</v>
      </c>
      <c r="AS8">
        <v>-16</v>
      </c>
      <c r="AT8">
        <v>-4</v>
      </c>
      <c r="AU8">
        <v>170</v>
      </c>
      <c r="AV8">
        <v>45.85</v>
      </c>
      <c r="AW8">
        <v>69.66</v>
      </c>
      <c r="AX8">
        <v>16.48</v>
      </c>
      <c r="AY8">
        <v>-24.24</v>
      </c>
      <c r="AZ8">
        <v>13.15</v>
      </c>
      <c r="BA8">
        <v>100.41</v>
      </c>
      <c r="BB8">
        <v>53.79</v>
      </c>
      <c r="BC8" t="s">
        <v>480</v>
      </c>
      <c r="BD8" t="s">
        <v>349</v>
      </c>
      <c r="BE8">
        <v>35.85</v>
      </c>
      <c r="BF8">
        <v>127.13</v>
      </c>
      <c r="BG8">
        <v>-35.200000000000003</v>
      </c>
      <c r="BH8">
        <v>7</v>
      </c>
      <c r="BI8">
        <v>1.29</v>
      </c>
      <c r="BJ8" t="s">
        <v>197</v>
      </c>
      <c r="BK8" t="s">
        <v>161</v>
      </c>
      <c r="BL8">
        <v>-2.12</v>
      </c>
      <c r="BM8" t="s">
        <v>159</v>
      </c>
      <c r="BN8">
        <v>0</v>
      </c>
      <c r="BO8">
        <v>0</v>
      </c>
      <c r="BP8">
        <v>-0.01</v>
      </c>
      <c r="BQ8">
        <v>0.17</v>
      </c>
      <c r="BR8">
        <v>-0.09</v>
      </c>
      <c r="BS8">
        <v>-0.39</v>
      </c>
      <c r="BT8" t="s">
        <v>159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210</v>
      </c>
      <c r="CE8" t="s">
        <v>196</v>
      </c>
      <c r="CF8" t="s">
        <v>211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2.5299999999999998</v>
      </c>
      <c r="CU8">
        <v>2.4700000000000002</v>
      </c>
      <c r="CV8">
        <v>1.67</v>
      </c>
      <c r="CW8">
        <v>0.94</v>
      </c>
      <c r="CX8">
        <v>0.23</v>
      </c>
      <c r="CY8">
        <v>-0.01</v>
      </c>
      <c r="CZ8">
        <v>0.11</v>
      </c>
      <c r="DA8">
        <v>0.38</v>
      </c>
      <c r="DB8">
        <v>120.09</v>
      </c>
      <c r="DC8">
        <v>0</v>
      </c>
      <c r="DD8">
        <v>2.42</v>
      </c>
      <c r="DE8">
        <v>0</v>
      </c>
      <c r="DF8">
        <v>1</v>
      </c>
      <c r="DG8">
        <v>2.37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460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x14ac:dyDescent="0.45">
      <c r="A9" t="s">
        <v>385</v>
      </c>
      <c r="B9" t="s">
        <v>497</v>
      </c>
      <c r="C9" t="s">
        <v>161</v>
      </c>
      <c r="D9" t="s">
        <v>162</v>
      </c>
      <c r="E9" t="s">
        <v>163</v>
      </c>
      <c r="I9" t="s">
        <v>498</v>
      </c>
      <c r="J9">
        <v>0.48</v>
      </c>
      <c r="K9">
        <v>2.9</v>
      </c>
      <c r="L9">
        <v>0.41</v>
      </c>
      <c r="M9">
        <v>3.99</v>
      </c>
      <c r="N9">
        <v>2.86</v>
      </c>
      <c r="O9">
        <v>2.75</v>
      </c>
      <c r="P9">
        <v>3.81</v>
      </c>
      <c r="Q9">
        <v>0.94</v>
      </c>
      <c r="R9">
        <v>27.28</v>
      </c>
      <c r="S9">
        <v>28.38</v>
      </c>
      <c r="T9">
        <v>37.75</v>
      </c>
      <c r="U9">
        <v>0.44</v>
      </c>
      <c r="V9">
        <v>7.5</v>
      </c>
      <c r="W9" t="s">
        <v>503</v>
      </c>
      <c r="X9">
        <v>0</v>
      </c>
      <c r="Y9">
        <v>0</v>
      </c>
      <c r="Z9">
        <v>0</v>
      </c>
      <c r="AA9">
        <v>116.48</v>
      </c>
      <c r="AB9">
        <v>458.81</v>
      </c>
      <c r="AC9">
        <v>0.75</v>
      </c>
      <c r="AD9">
        <v>0.5</v>
      </c>
      <c r="AE9">
        <v>0.84</v>
      </c>
      <c r="AF9">
        <v>100.28</v>
      </c>
      <c r="AG9">
        <v>1</v>
      </c>
      <c r="AH9">
        <v>69.72</v>
      </c>
      <c r="AI9">
        <v>67.03</v>
      </c>
      <c r="AJ9">
        <v>29.36</v>
      </c>
      <c r="AK9">
        <v>28.06</v>
      </c>
      <c r="AL9">
        <v>28.06</v>
      </c>
      <c r="AM9">
        <v>100.88</v>
      </c>
      <c r="AN9">
        <v>155.9</v>
      </c>
      <c r="AO9">
        <v>154.5</v>
      </c>
      <c r="AP9">
        <v>0.9</v>
      </c>
      <c r="AQ9">
        <v>320</v>
      </c>
      <c r="AR9">
        <v>3.82</v>
      </c>
      <c r="AS9">
        <v>-22</v>
      </c>
      <c r="AT9">
        <v>-18</v>
      </c>
      <c r="AU9">
        <v>151</v>
      </c>
      <c r="AV9">
        <v>26.36</v>
      </c>
      <c r="AW9">
        <v>89.6</v>
      </c>
      <c r="AX9">
        <v>28.14</v>
      </c>
      <c r="AY9">
        <v>-69.94</v>
      </c>
      <c r="AZ9">
        <v>13.15</v>
      </c>
      <c r="BA9">
        <v>100.41</v>
      </c>
      <c r="BB9">
        <v>53.79</v>
      </c>
      <c r="BC9" t="s">
        <v>521</v>
      </c>
      <c r="BD9" t="s">
        <v>349</v>
      </c>
      <c r="BE9">
        <v>35.85</v>
      </c>
      <c r="BF9">
        <v>127.13</v>
      </c>
      <c r="BG9">
        <v>-34.799999999999997</v>
      </c>
      <c r="BH9">
        <v>7</v>
      </c>
      <c r="BI9">
        <v>1.23</v>
      </c>
      <c r="BJ9" t="s">
        <v>197</v>
      </c>
      <c r="BK9" t="s">
        <v>161</v>
      </c>
      <c r="BL9">
        <v>-2.12</v>
      </c>
      <c r="BM9" t="s">
        <v>159</v>
      </c>
      <c r="BN9">
        <v>0</v>
      </c>
      <c r="BO9">
        <v>0</v>
      </c>
      <c r="BP9">
        <v>-0.01</v>
      </c>
      <c r="BQ9">
        <v>0.69</v>
      </c>
      <c r="BR9">
        <v>0.38</v>
      </c>
      <c r="BS9">
        <v>0.7</v>
      </c>
      <c r="BT9" t="s">
        <v>159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210</v>
      </c>
      <c r="CE9" t="s">
        <v>196</v>
      </c>
      <c r="CF9" t="s">
        <v>211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2.5299999999999998</v>
      </c>
      <c r="CU9">
        <v>2.4700000000000002</v>
      </c>
      <c r="CV9">
        <v>1.67</v>
      </c>
      <c r="CW9">
        <v>0.94</v>
      </c>
      <c r="CX9">
        <v>0.23</v>
      </c>
      <c r="CY9">
        <v>-0.01</v>
      </c>
      <c r="CZ9">
        <v>0.11</v>
      </c>
      <c r="DA9">
        <v>0.39</v>
      </c>
      <c r="DB9">
        <v>116.48</v>
      </c>
      <c r="DC9">
        <v>0</v>
      </c>
      <c r="DD9">
        <v>2.42</v>
      </c>
      <c r="DE9">
        <v>0</v>
      </c>
      <c r="DF9">
        <v>1</v>
      </c>
      <c r="DG9">
        <v>2.37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503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x14ac:dyDescent="0.45">
      <c r="A10" t="s">
        <v>539</v>
      </c>
      <c r="B10" t="s">
        <v>540</v>
      </c>
      <c r="C10" t="s">
        <v>161</v>
      </c>
      <c r="D10" t="s">
        <v>162</v>
      </c>
      <c r="E10" t="s">
        <v>163</v>
      </c>
      <c r="I10" t="s">
        <v>541</v>
      </c>
      <c r="J10">
        <v>0.37</v>
      </c>
      <c r="K10">
        <v>2.91</v>
      </c>
      <c r="L10">
        <v>0.33</v>
      </c>
      <c r="M10">
        <v>3.54</v>
      </c>
      <c r="N10">
        <v>2.82</v>
      </c>
      <c r="O10">
        <v>2.72</v>
      </c>
      <c r="P10">
        <v>3.88</v>
      </c>
      <c r="Q10">
        <v>1.06</v>
      </c>
      <c r="R10">
        <v>26.99</v>
      </c>
      <c r="S10">
        <v>27.96</v>
      </c>
      <c r="T10">
        <v>38.44</v>
      </c>
      <c r="U10">
        <v>0.44</v>
      </c>
      <c r="V10">
        <v>7.5</v>
      </c>
      <c r="W10" t="s">
        <v>546</v>
      </c>
      <c r="X10">
        <v>0</v>
      </c>
      <c r="Y10">
        <v>0</v>
      </c>
      <c r="Z10">
        <v>0</v>
      </c>
      <c r="AA10">
        <v>120.83</v>
      </c>
      <c r="AB10">
        <v>468.22</v>
      </c>
      <c r="AC10">
        <v>0.74</v>
      </c>
      <c r="AD10">
        <v>0.5</v>
      </c>
      <c r="AE10">
        <v>0.84</v>
      </c>
      <c r="AF10">
        <v>114.67</v>
      </c>
      <c r="AG10">
        <v>1</v>
      </c>
      <c r="AH10">
        <v>68.510000000000005</v>
      </c>
      <c r="AI10">
        <v>66.12</v>
      </c>
      <c r="AJ10">
        <v>29.41</v>
      </c>
      <c r="AK10">
        <v>28.37</v>
      </c>
      <c r="AL10">
        <v>28.37</v>
      </c>
      <c r="AM10">
        <v>100.88</v>
      </c>
      <c r="AN10">
        <v>156.1</v>
      </c>
      <c r="AO10">
        <v>152.80000000000001</v>
      </c>
      <c r="AP10">
        <v>2.1</v>
      </c>
      <c r="AQ10">
        <v>368</v>
      </c>
      <c r="AR10">
        <v>3.82</v>
      </c>
      <c r="AS10">
        <v>-33</v>
      </c>
      <c r="AT10">
        <v>-10</v>
      </c>
      <c r="AU10">
        <v>138</v>
      </c>
      <c r="AV10">
        <v>23.37</v>
      </c>
      <c r="AW10">
        <v>91.8</v>
      </c>
      <c r="AX10">
        <v>34.32</v>
      </c>
      <c r="AY10">
        <v>-59.94</v>
      </c>
      <c r="AZ10">
        <v>13.15</v>
      </c>
      <c r="BA10">
        <v>100.58</v>
      </c>
      <c r="BB10">
        <v>53.59</v>
      </c>
      <c r="BC10" t="s">
        <v>565</v>
      </c>
      <c r="BD10" t="s">
        <v>349</v>
      </c>
      <c r="BE10">
        <v>35.85</v>
      </c>
      <c r="BF10">
        <v>127.13</v>
      </c>
      <c r="BG10">
        <v>-33</v>
      </c>
      <c r="BH10">
        <v>8</v>
      </c>
      <c r="BI10">
        <v>1.1299999999999999</v>
      </c>
      <c r="BJ10" t="s">
        <v>197</v>
      </c>
      <c r="BK10" t="s">
        <v>161</v>
      </c>
      <c r="BL10">
        <v>-2.12</v>
      </c>
      <c r="BM10" t="s">
        <v>159</v>
      </c>
      <c r="BN10">
        <v>0</v>
      </c>
      <c r="BO10">
        <v>0</v>
      </c>
      <c r="BP10">
        <v>0</v>
      </c>
      <c r="BQ10">
        <v>0.08</v>
      </c>
      <c r="BR10">
        <v>0.12</v>
      </c>
      <c r="BS10">
        <v>0.25</v>
      </c>
      <c r="BT10" t="s">
        <v>159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210</v>
      </c>
      <c r="CE10" t="s">
        <v>196</v>
      </c>
      <c r="CF10" t="s">
        <v>211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2.5299999999999998</v>
      </c>
      <c r="CU10">
        <v>2.4700000000000002</v>
      </c>
      <c r="CV10">
        <v>1.67</v>
      </c>
      <c r="CW10">
        <v>0.94</v>
      </c>
      <c r="CX10">
        <v>0.23</v>
      </c>
      <c r="CY10">
        <v>-0.01</v>
      </c>
      <c r="CZ10">
        <v>0.12</v>
      </c>
      <c r="DA10">
        <v>0.43</v>
      </c>
      <c r="DB10">
        <v>120.83</v>
      </c>
      <c r="DC10">
        <v>0</v>
      </c>
      <c r="DD10">
        <v>2.42</v>
      </c>
      <c r="DE10">
        <v>0</v>
      </c>
      <c r="DF10">
        <v>1</v>
      </c>
      <c r="DG10">
        <v>2.37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546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x14ac:dyDescent="0.45">
      <c r="A11" t="s">
        <v>582</v>
      </c>
      <c r="B11" t="s">
        <v>583</v>
      </c>
      <c r="C11" t="s">
        <v>161</v>
      </c>
      <c r="D11" t="s">
        <v>162</v>
      </c>
      <c r="E11" t="s">
        <v>163</v>
      </c>
      <c r="I11" t="s">
        <v>584</v>
      </c>
      <c r="J11">
        <v>0.15</v>
      </c>
      <c r="K11">
        <v>2.91</v>
      </c>
      <c r="L11">
        <v>0.15</v>
      </c>
      <c r="M11">
        <v>1.81</v>
      </c>
      <c r="N11">
        <v>2.76</v>
      </c>
      <c r="O11">
        <v>2.71</v>
      </c>
      <c r="P11">
        <v>3.98</v>
      </c>
      <c r="Q11">
        <v>1.21</v>
      </c>
      <c r="R11">
        <v>26.9</v>
      </c>
      <c r="S11">
        <v>27.4</v>
      </c>
      <c r="T11">
        <v>39.4</v>
      </c>
      <c r="U11">
        <v>0.44</v>
      </c>
      <c r="V11">
        <v>7.5</v>
      </c>
      <c r="W11" t="s">
        <v>589</v>
      </c>
      <c r="X11">
        <v>0</v>
      </c>
      <c r="Y11">
        <v>0</v>
      </c>
      <c r="Z11">
        <v>0</v>
      </c>
      <c r="AA11">
        <v>166.85</v>
      </c>
      <c r="AB11">
        <v>521.77</v>
      </c>
      <c r="AC11">
        <v>0.68</v>
      </c>
      <c r="AD11">
        <v>0.5</v>
      </c>
      <c r="AE11">
        <v>0.84</v>
      </c>
      <c r="AF11">
        <v>99.99</v>
      </c>
      <c r="AG11">
        <v>1</v>
      </c>
      <c r="AH11">
        <v>66.930000000000007</v>
      </c>
      <c r="AI11">
        <v>65.709999999999994</v>
      </c>
      <c r="AJ11">
        <v>29.46</v>
      </c>
      <c r="AK11">
        <v>28.8</v>
      </c>
      <c r="AL11">
        <v>28.8</v>
      </c>
      <c r="AM11">
        <v>100.89</v>
      </c>
      <c r="AN11">
        <v>156.1</v>
      </c>
      <c r="AO11">
        <v>153.30000000000001</v>
      </c>
      <c r="AP11">
        <v>1.8</v>
      </c>
      <c r="AQ11">
        <v>350</v>
      </c>
      <c r="AR11">
        <v>3.82</v>
      </c>
      <c r="AS11">
        <v>-9</v>
      </c>
      <c r="AT11">
        <v>3</v>
      </c>
      <c r="AU11">
        <v>124</v>
      </c>
      <c r="AV11">
        <v>46.84</v>
      </c>
      <c r="AW11">
        <v>68.400000000000006</v>
      </c>
      <c r="AX11">
        <v>9.48</v>
      </c>
      <c r="AY11">
        <v>-37.479999999999997</v>
      </c>
      <c r="AZ11">
        <v>13.15</v>
      </c>
      <c r="BA11">
        <v>100.58</v>
      </c>
      <c r="BB11">
        <v>53.59</v>
      </c>
      <c r="BC11" t="s">
        <v>605</v>
      </c>
      <c r="BD11" t="s">
        <v>349</v>
      </c>
      <c r="BE11">
        <v>35.85</v>
      </c>
      <c r="BF11">
        <v>127.13</v>
      </c>
      <c r="BG11">
        <v>-33.9</v>
      </c>
      <c r="BH11">
        <v>9</v>
      </c>
      <c r="BI11">
        <v>0.99</v>
      </c>
      <c r="BJ11" t="s">
        <v>197</v>
      </c>
      <c r="BK11" t="s">
        <v>161</v>
      </c>
      <c r="BL11">
        <v>-2.12</v>
      </c>
      <c r="BM11" t="s">
        <v>159</v>
      </c>
      <c r="BN11">
        <v>0</v>
      </c>
      <c r="BO11">
        <v>0</v>
      </c>
      <c r="BP11">
        <v>-0.01</v>
      </c>
      <c r="BQ11">
        <v>0.34</v>
      </c>
      <c r="BR11">
        <v>0.83</v>
      </c>
      <c r="BS11">
        <v>0.26</v>
      </c>
      <c r="BT11" t="s">
        <v>159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210</v>
      </c>
      <c r="CE11" t="s">
        <v>196</v>
      </c>
      <c r="CF11" t="s">
        <v>211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2.5299999999999998</v>
      </c>
      <c r="CU11">
        <v>2.4700000000000002</v>
      </c>
      <c r="CV11">
        <v>1.67</v>
      </c>
      <c r="CW11">
        <v>0.94</v>
      </c>
      <c r="CX11">
        <v>0.23</v>
      </c>
      <c r="CY11">
        <v>-0.01</v>
      </c>
      <c r="CZ11">
        <v>0.12</v>
      </c>
      <c r="DA11">
        <v>0.41</v>
      </c>
      <c r="DB11">
        <v>166.85</v>
      </c>
      <c r="DC11">
        <v>0</v>
      </c>
      <c r="DD11">
        <v>2.42</v>
      </c>
      <c r="DE11">
        <v>0</v>
      </c>
      <c r="DF11">
        <v>1</v>
      </c>
      <c r="DG11">
        <v>2.37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589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45">
      <c r="A12" t="s">
        <v>622</v>
      </c>
      <c r="B12" t="s">
        <v>623</v>
      </c>
      <c r="C12" t="s">
        <v>161</v>
      </c>
      <c r="D12" t="s">
        <v>162</v>
      </c>
      <c r="E12" t="s">
        <v>163</v>
      </c>
      <c r="I12" t="s">
        <v>624</v>
      </c>
      <c r="J12">
        <v>0.35</v>
      </c>
      <c r="K12">
        <v>2.91</v>
      </c>
      <c r="L12">
        <v>0.31</v>
      </c>
      <c r="M12">
        <v>3.22</v>
      </c>
      <c r="N12">
        <v>2.83</v>
      </c>
      <c r="O12">
        <v>2.74</v>
      </c>
      <c r="P12">
        <v>3.85</v>
      </c>
      <c r="Q12">
        <v>1.02</v>
      </c>
      <c r="R12">
        <v>27.17</v>
      </c>
      <c r="S12">
        <v>28.05</v>
      </c>
      <c r="T12">
        <v>38.14</v>
      </c>
      <c r="U12">
        <v>0.44</v>
      </c>
      <c r="V12">
        <v>7.5</v>
      </c>
      <c r="W12" t="s">
        <v>629</v>
      </c>
      <c r="X12">
        <v>0</v>
      </c>
      <c r="Y12">
        <v>0</v>
      </c>
      <c r="Z12">
        <v>0</v>
      </c>
      <c r="AA12">
        <v>126.02</v>
      </c>
      <c r="AB12">
        <v>470.08</v>
      </c>
      <c r="AC12">
        <v>0.73</v>
      </c>
      <c r="AD12">
        <v>0.5</v>
      </c>
      <c r="AE12">
        <v>0.84</v>
      </c>
      <c r="AF12">
        <v>112.51</v>
      </c>
      <c r="AG12">
        <v>1</v>
      </c>
      <c r="AH12">
        <v>68.37</v>
      </c>
      <c r="AI12">
        <v>66.209999999999994</v>
      </c>
      <c r="AJ12">
        <v>29.5</v>
      </c>
      <c r="AK12">
        <v>28.24</v>
      </c>
      <c r="AL12">
        <v>28.24</v>
      </c>
      <c r="AM12">
        <v>100.89</v>
      </c>
      <c r="AN12">
        <v>156</v>
      </c>
      <c r="AO12">
        <v>152.19999999999999</v>
      </c>
      <c r="AP12">
        <v>2.4</v>
      </c>
      <c r="AQ12">
        <v>366</v>
      </c>
      <c r="AR12">
        <v>3.82</v>
      </c>
      <c r="AS12">
        <v>-19</v>
      </c>
      <c r="AT12">
        <v>-11</v>
      </c>
      <c r="AU12">
        <v>87</v>
      </c>
      <c r="AV12">
        <v>39.99</v>
      </c>
      <c r="AW12">
        <v>76.62</v>
      </c>
      <c r="AX12">
        <v>21.85</v>
      </c>
      <c r="AY12">
        <v>-123.84</v>
      </c>
      <c r="AZ12">
        <v>13.15</v>
      </c>
      <c r="BA12">
        <v>100.76</v>
      </c>
      <c r="BB12">
        <v>53.4</v>
      </c>
      <c r="BC12" t="s">
        <v>646</v>
      </c>
      <c r="BD12" t="s">
        <v>349</v>
      </c>
      <c r="BE12">
        <v>35.85</v>
      </c>
      <c r="BF12">
        <v>127.13</v>
      </c>
      <c r="BG12">
        <v>-33.799999999999997</v>
      </c>
      <c r="BH12">
        <v>9</v>
      </c>
      <c r="BI12">
        <v>0.99</v>
      </c>
      <c r="BJ12" t="s">
        <v>197</v>
      </c>
      <c r="BK12" t="s">
        <v>161</v>
      </c>
      <c r="BL12">
        <v>-2.12</v>
      </c>
      <c r="BM12" t="s">
        <v>159</v>
      </c>
      <c r="BN12">
        <v>0</v>
      </c>
      <c r="BO12">
        <v>0</v>
      </c>
      <c r="BP12">
        <v>0.01</v>
      </c>
      <c r="BQ12">
        <v>0.03</v>
      </c>
      <c r="BR12">
        <v>0.28000000000000003</v>
      </c>
      <c r="BS12">
        <v>0.54</v>
      </c>
      <c r="BT12" t="s">
        <v>159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210</v>
      </c>
      <c r="CE12" t="s">
        <v>196</v>
      </c>
      <c r="CF12" t="s">
        <v>211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2.5299999999999998</v>
      </c>
      <c r="CU12">
        <v>2.4700000000000002</v>
      </c>
      <c r="CV12">
        <v>1.67</v>
      </c>
      <c r="CW12">
        <v>0.93</v>
      </c>
      <c r="CX12">
        <v>0.23</v>
      </c>
      <c r="CY12">
        <v>-0.01</v>
      </c>
      <c r="CZ12">
        <v>0.12</v>
      </c>
      <c r="DA12">
        <v>0.43</v>
      </c>
      <c r="DB12">
        <v>126.02</v>
      </c>
      <c r="DC12">
        <v>0</v>
      </c>
      <c r="DD12">
        <v>2.42</v>
      </c>
      <c r="DE12">
        <v>0</v>
      </c>
      <c r="DF12">
        <v>1</v>
      </c>
      <c r="DG12">
        <v>2.37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629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45">
      <c r="A13" t="s">
        <v>661</v>
      </c>
      <c r="B13" t="s">
        <v>662</v>
      </c>
      <c r="C13" t="s">
        <v>161</v>
      </c>
      <c r="D13" t="s">
        <v>162</v>
      </c>
      <c r="E13" t="s">
        <v>163</v>
      </c>
      <c r="I13" t="s">
        <v>663</v>
      </c>
      <c r="J13">
        <v>0.21</v>
      </c>
      <c r="K13">
        <v>2.9</v>
      </c>
      <c r="L13">
        <v>0.2</v>
      </c>
      <c r="M13">
        <v>2.48</v>
      </c>
      <c r="N13">
        <v>3</v>
      </c>
      <c r="O13">
        <v>2.93</v>
      </c>
      <c r="P13">
        <v>4.2</v>
      </c>
      <c r="Q13">
        <v>1.21</v>
      </c>
      <c r="R13">
        <v>29.03</v>
      </c>
      <c r="S13">
        <v>29.71</v>
      </c>
      <c r="T13">
        <v>41.67</v>
      </c>
      <c r="U13">
        <v>0.44</v>
      </c>
      <c r="V13">
        <v>7.5</v>
      </c>
      <c r="W13" t="s">
        <v>668</v>
      </c>
      <c r="X13">
        <v>0</v>
      </c>
      <c r="Y13">
        <v>0</v>
      </c>
      <c r="Z13">
        <v>0</v>
      </c>
      <c r="AA13">
        <v>161.85</v>
      </c>
      <c r="AB13">
        <v>399.54</v>
      </c>
      <c r="AC13">
        <v>0.59</v>
      </c>
      <c r="AD13">
        <v>0.5</v>
      </c>
      <c r="AE13">
        <v>0.84</v>
      </c>
      <c r="AF13">
        <v>185.64</v>
      </c>
      <c r="AG13">
        <v>1</v>
      </c>
      <c r="AH13">
        <v>71.17</v>
      </c>
      <c r="AI13">
        <v>69.540000000000006</v>
      </c>
      <c r="AJ13">
        <v>29.8</v>
      </c>
      <c r="AK13">
        <v>29.77</v>
      </c>
      <c r="AL13">
        <v>29.77</v>
      </c>
      <c r="AM13">
        <v>100.89</v>
      </c>
      <c r="AN13">
        <v>155.9</v>
      </c>
      <c r="AO13">
        <v>154.9</v>
      </c>
      <c r="AP13">
        <v>0.7</v>
      </c>
      <c r="AQ13">
        <v>743</v>
      </c>
      <c r="AR13">
        <v>3.82</v>
      </c>
      <c r="AS13">
        <v>-15</v>
      </c>
      <c r="AT13">
        <v>-11</v>
      </c>
      <c r="AU13">
        <v>150</v>
      </c>
      <c r="AV13">
        <v>35.03</v>
      </c>
      <c r="AW13">
        <v>81.89</v>
      </c>
      <c r="AX13">
        <v>18.53</v>
      </c>
      <c r="AY13">
        <v>-66.91</v>
      </c>
      <c r="AZ13">
        <v>13.15</v>
      </c>
      <c r="BA13">
        <v>101.11</v>
      </c>
      <c r="BB13">
        <v>53</v>
      </c>
      <c r="BC13" t="s">
        <v>687</v>
      </c>
      <c r="BD13" t="s">
        <v>161</v>
      </c>
      <c r="BE13">
        <v>35.85</v>
      </c>
      <c r="BF13">
        <v>127.13</v>
      </c>
      <c r="BG13">
        <v>-32</v>
      </c>
      <c r="BH13">
        <v>10</v>
      </c>
      <c r="BI13">
        <v>0.91</v>
      </c>
      <c r="BJ13" t="s">
        <v>197</v>
      </c>
      <c r="BK13" t="s">
        <v>161</v>
      </c>
      <c r="BL13">
        <v>-2.12</v>
      </c>
      <c r="BM13" t="s">
        <v>159</v>
      </c>
      <c r="BN13">
        <v>0</v>
      </c>
      <c r="BO13">
        <v>0</v>
      </c>
      <c r="BP13">
        <v>-0.01</v>
      </c>
      <c r="BQ13">
        <v>-0.11</v>
      </c>
      <c r="BR13">
        <v>-0.48</v>
      </c>
      <c r="BS13">
        <v>-1.1599999999999999</v>
      </c>
      <c r="BT13" t="s">
        <v>159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210</v>
      </c>
      <c r="CE13" t="s">
        <v>196</v>
      </c>
      <c r="CF13" t="s">
        <v>211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2.5299999999999998</v>
      </c>
      <c r="CU13">
        <v>2.4700000000000002</v>
      </c>
      <c r="CV13">
        <v>1.67</v>
      </c>
      <c r="CW13">
        <v>0.94</v>
      </c>
      <c r="CX13">
        <v>0.23</v>
      </c>
      <c r="CY13">
        <v>0</v>
      </c>
      <c r="CZ13">
        <v>0.14000000000000001</v>
      </c>
      <c r="DA13">
        <v>0.76</v>
      </c>
      <c r="DB13">
        <v>161.85</v>
      </c>
      <c r="DC13">
        <v>0</v>
      </c>
      <c r="DD13">
        <v>2.42</v>
      </c>
      <c r="DE13">
        <v>0</v>
      </c>
      <c r="DF13">
        <v>1</v>
      </c>
      <c r="DG13">
        <v>2.37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668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45">
      <c r="A14" t="s">
        <v>703</v>
      </c>
      <c r="B14" t="s">
        <v>704</v>
      </c>
      <c r="C14" t="s">
        <v>161</v>
      </c>
      <c r="D14" t="s">
        <v>162</v>
      </c>
      <c r="E14" t="s">
        <v>163</v>
      </c>
      <c r="I14" t="s">
        <v>705</v>
      </c>
      <c r="J14">
        <v>0.33</v>
      </c>
      <c r="K14">
        <v>2.9</v>
      </c>
      <c r="L14">
        <v>0.3</v>
      </c>
      <c r="M14">
        <v>3.37</v>
      </c>
      <c r="N14">
        <v>3.02</v>
      </c>
      <c r="O14">
        <v>2.92</v>
      </c>
      <c r="P14">
        <v>4.12</v>
      </c>
      <c r="Q14">
        <v>1.1000000000000001</v>
      </c>
      <c r="R14">
        <v>28.96</v>
      </c>
      <c r="S14">
        <v>29.89</v>
      </c>
      <c r="T14">
        <v>40.82</v>
      </c>
      <c r="U14">
        <v>0.44</v>
      </c>
      <c r="V14">
        <v>7.5</v>
      </c>
      <c r="W14" t="s">
        <v>710</v>
      </c>
      <c r="X14">
        <v>0</v>
      </c>
      <c r="Y14">
        <v>0</v>
      </c>
      <c r="Z14">
        <v>0</v>
      </c>
      <c r="AA14">
        <v>181.93</v>
      </c>
      <c r="AB14">
        <v>455.71</v>
      </c>
      <c r="AC14">
        <v>0.6</v>
      </c>
      <c r="AD14">
        <v>0.5</v>
      </c>
      <c r="AE14">
        <v>0.84</v>
      </c>
      <c r="AF14">
        <v>88.31</v>
      </c>
      <c r="AG14">
        <v>1</v>
      </c>
      <c r="AH14">
        <v>70.89</v>
      </c>
      <c r="AI14">
        <v>68.69</v>
      </c>
      <c r="AJ14">
        <v>29.97</v>
      </c>
      <c r="AK14">
        <v>29.41</v>
      </c>
      <c r="AL14">
        <v>29.41</v>
      </c>
      <c r="AM14">
        <v>100.89</v>
      </c>
      <c r="AN14">
        <v>155.80000000000001</v>
      </c>
      <c r="AO14">
        <v>151.4</v>
      </c>
      <c r="AP14">
        <v>2.8</v>
      </c>
      <c r="AQ14">
        <v>350</v>
      </c>
      <c r="AR14">
        <v>3.82</v>
      </c>
      <c r="AS14">
        <v>-23</v>
      </c>
      <c r="AT14">
        <v>-1</v>
      </c>
      <c r="AU14">
        <v>143</v>
      </c>
      <c r="AV14">
        <v>37.06</v>
      </c>
      <c r="AW14">
        <v>79.8</v>
      </c>
      <c r="AX14">
        <v>23.02</v>
      </c>
      <c r="AY14">
        <v>-39.56</v>
      </c>
      <c r="AZ14">
        <v>13.15</v>
      </c>
      <c r="BA14">
        <v>101.29</v>
      </c>
      <c r="BB14">
        <v>52.8</v>
      </c>
      <c r="BC14" t="s">
        <v>730</v>
      </c>
      <c r="BD14" t="s">
        <v>161</v>
      </c>
      <c r="BE14">
        <v>35.85</v>
      </c>
      <c r="BF14">
        <v>127.13</v>
      </c>
      <c r="BG14">
        <v>-31.6</v>
      </c>
      <c r="BH14">
        <v>13</v>
      </c>
      <c r="BI14">
        <v>0.86</v>
      </c>
      <c r="BJ14" t="s">
        <v>197</v>
      </c>
      <c r="BK14" t="s">
        <v>161</v>
      </c>
      <c r="BL14">
        <v>-2.12</v>
      </c>
      <c r="BM14" t="s">
        <v>159</v>
      </c>
      <c r="BN14">
        <v>0</v>
      </c>
      <c r="BO14">
        <v>0</v>
      </c>
      <c r="BP14">
        <v>0</v>
      </c>
      <c r="BQ14">
        <v>1.88</v>
      </c>
      <c r="BR14">
        <v>-0.05</v>
      </c>
      <c r="BS14">
        <v>1.44</v>
      </c>
      <c r="BT14" t="s">
        <v>159</v>
      </c>
      <c r="BU14">
        <v>150</v>
      </c>
      <c r="BV14">
        <v>0</v>
      </c>
      <c r="BW14">
        <v>2</v>
      </c>
      <c r="BX14">
        <v>0.06</v>
      </c>
      <c r="BY14">
        <v>0</v>
      </c>
      <c r="BZ14">
        <v>0.03</v>
      </c>
      <c r="CA14">
        <v>0</v>
      </c>
      <c r="CB14">
        <v>0</v>
      </c>
      <c r="CC14">
        <v>0</v>
      </c>
      <c r="CD14" t="s">
        <v>210</v>
      </c>
      <c r="CE14" t="s">
        <v>196</v>
      </c>
      <c r="CF14" t="s">
        <v>211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2.5299999999999998</v>
      </c>
      <c r="CU14">
        <v>2.4700000000000002</v>
      </c>
      <c r="CV14">
        <v>1.67</v>
      </c>
      <c r="CW14">
        <v>0.93</v>
      </c>
      <c r="CX14">
        <v>0.22</v>
      </c>
      <c r="CY14">
        <v>-0.01</v>
      </c>
      <c r="CZ14">
        <v>0.15</v>
      </c>
      <c r="DA14">
        <v>0.41</v>
      </c>
      <c r="DB14">
        <v>181.93</v>
      </c>
      <c r="DC14">
        <v>0</v>
      </c>
      <c r="DD14">
        <v>2.42</v>
      </c>
      <c r="DE14">
        <v>0</v>
      </c>
      <c r="DF14">
        <v>1</v>
      </c>
      <c r="DG14">
        <v>2.37</v>
      </c>
      <c r="DH14">
        <v>0</v>
      </c>
      <c r="DI14">
        <v>1</v>
      </c>
      <c r="DJ14">
        <v>0.6</v>
      </c>
      <c r="DK14">
        <v>0.6</v>
      </c>
      <c r="DL14">
        <v>0.11</v>
      </c>
      <c r="DM14">
        <v>0</v>
      </c>
      <c r="DN14" t="s">
        <v>710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45">
      <c r="A15" t="s">
        <v>747</v>
      </c>
      <c r="B15" t="s">
        <v>748</v>
      </c>
      <c r="C15" t="s">
        <v>161</v>
      </c>
      <c r="D15" t="s">
        <v>162</v>
      </c>
      <c r="E15" t="s">
        <v>163</v>
      </c>
      <c r="I15" t="s">
        <v>749</v>
      </c>
      <c r="J15">
        <v>0.38</v>
      </c>
      <c r="K15">
        <v>2.91</v>
      </c>
      <c r="L15">
        <v>0.34</v>
      </c>
      <c r="M15">
        <v>3.61</v>
      </c>
      <c r="N15">
        <v>3.01</v>
      </c>
      <c r="O15">
        <v>2.91</v>
      </c>
      <c r="P15">
        <v>4.05</v>
      </c>
      <c r="Q15">
        <v>1.04</v>
      </c>
      <c r="R15">
        <v>28.83</v>
      </c>
      <c r="S15">
        <v>29.82</v>
      </c>
      <c r="T15">
        <v>40.14</v>
      </c>
      <c r="U15">
        <v>0.44</v>
      </c>
      <c r="V15">
        <v>7.5</v>
      </c>
      <c r="W15" t="s">
        <v>754</v>
      </c>
      <c r="X15">
        <v>0</v>
      </c>
      <c r="Y15">
        <v>0</v>
      </c>
      <c r="Z15">
        <v>0</v>
      </c>
      <c r="AA15">
        <v>149.13999999999999</v>
      </c>
      <c r="AB15">
        <v>464.5</v>
      </c>
      <c r="AC15">
        <v>0.68</v>
      </c>
      <c r="AD15">
        <v>0.5</v>
      </c>
      <c r="AE15">
        <v>0.84</v>
      </c>
      <c r="AF15">
        <v>226.41</v>
      </c>
      <c r="AG15">
        <v>1</v>
      </c>
      <c r="AH15">
        <v>70.28</v>
      </c>
      <c r="AI15">
        <v>67.95</v>
      </c>
      <c r="AJ15">
        <v>30.08</v>
      </c>
      <c r="AK15">
        <v>29.12</v>
      </c>
      <c r="AL15">
        <v>29.12</v>
      </c>
      <c r="AM15">
        <v>100.89</v>
      </c>
      <c r="AN15">
        <v>156.1</v>
      </c>
      <c r="AO15">
        <v>154.30000000000001</v>
      </c>
      <c r="AP15">
        <v>1.1000000000000001</v>
      </c>
      <c r="AQ15">
        <v>794</v>
      </c>
      <c r="AR15">
        <v>3.82</v>
      </c>
      <c r="AS15">
        <v>-23</v>
      </c>
      <c r="AT15">
        <v>-9</v>
      </c>
      <c r="AU15">
        <v>131</v>
      </c>
      <c r="AV15">
        <v>28.55</v>
      </c>
      <c r="AW15">
        <v>87.84</v>
      </c>
      <c r="AX15">
        <v>24.61</v>
      </c>
      <c r="AY15">
        <v>-71.069999999999993</v>
      </c>
      <c r="AZ15">
        <v>13.15</v>
      </c>
      <c r="BA15">
        <v>101.29</v>
      </c>
      <c r="BB15">
        <v>52.8</v>
      </c>
      <c r="BC15" t="s">
        <v>769</v>
      </c>
      <c r="BD15" t="s">
        <v>161</v>
      </c>
      <c r="BE15">
        <v>35.85</v>
      </c>
      <c r="BF15">
        <v>127.13</v>
      </c>
      <c r="BG15">
        <v>-30.9</v>
      </c>
      <c r="BH15">
        <v>14</v>
      </c>
      <c r="BI15">
        <v>0.82</v>
      </c>
      <c r="BJ15" t="s">
        <v>197</v>
      </c>
      <c r="BK15" t="s">
        <v>161</v>
      </c>
      <c r="BL15">
        <v>-2.12</v>
      </c>
      <c r="BM15" t="s">
        <v>159</v>
      </c>
      <c r="BN15">
        <v>0</v>
      </c>
      <c r="BO15">
        <v>0</v>
      </c>
      <c r="BP15">
        <v>0</v>
      </c>
      <c r="BQ15">
        <v>0.53</v>
      </c>
      <c r="BR15">
        <v>-0.08</v>
      </c>
      <c r="BS15">
        <v>1.87</v>
      </c>
      <c r="BT15" t="s">
        <v>159</v>
      </c>
      <c r="BU15">
        <v>150</v>
      </c>
      <c r="BV15">
        <v>0</v>
      </c>
      <c r="BW15">
        <v>2</v>
      </c>
      <c r="BX15">
        <v>0.06</v>
      </c>
      <c r="BY15">
        <v>0</v>
      </c>
      <c r="BZ15">
        <v>0.03</v>
      </c>
      <c r="CA15">
        <v>0</v>
      </c>
      <c r="CB15">
        <v>0</v>
      </c>
      <c r="CC15">
        <v>0</v>
      </c>
      <c r="CD15" t="s">
        <v>210</v>
      </c>
      <c r="CE15" t="s">
        <v>196</v>
      </c>
      <c r="CF15" t="s">
        <v>211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2.5299999999999998</v>
      </c>
      <c r="CU15">
        <v>2.4700000000000002</v>
      </c>
      <c r="CV15">
        <v>1.67</v>
      </c>
      <c r="CW15">
        <v>0.94</v>
      </c>
      <c r="CX15">
        <v>0.22</v>
      </c>
      <c r="CY15">
        <v>-0.01</v>
      </c>
      <c r="CZ15">
        <v>0.15</v>
      </c>
      <c r="DA15">
        <v>0.8</v>
      </c>
      <c r="DB15">
        <v>149.13999999999999</v>
      </c>
      <c r="DC15">
        <v>0</v>
      </c>
      <c r="DD15">
        <v>2.42</v>
      </c>
      <c r="DE15">
        <v>0</v>
      </c>
      <c r="DF15">
        <v>1</v>
      </c>
      <c r="DG15">
        <v>2.37</v>
      </c>
      <c r="DH15">
        <v>0</v>
      </c>
      <c r="DI15">
        <v>1</v>
      </c>
      <c r="DJ15">
        <v>0.6</v>
      </c>
      <c r="DK15">
        <v>0.6</v>
      </c>
      <c r="DL15">
        <v>0.11</v>
      </c>
      <c r="DM15">
        <v>0</v>
      </c>
      <c r="DN15" t="s">
        <v>754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45">
      <c r="A16" t="s">
        <v>785</v>
      </c>
      <c r="B16" t="s">
        <v>786</v>
      </c>
      <c r="C16" t="s">
        <v>161</v>
      </c>
      <c r="D16" t="s">
        <v>162</v>
      </c>
      <c r="E16" t="s">
        <v>163</v>
      </c>
      <c r="I16" t="s">
        <v>787</v>
      </c>
      <c r="J16">
        <v>0.24</v>
      </c>
      <c r="K16">
        <v>2.91</v>
      </c>
      <c r="L16">
        <v>0.23</v>
      </c>
      <c r="M16">
        <v>2.69</v>
      </c>
      <c r="N16">
        <v>3.05</v>
      </c>
      <c r="O16">
        <v>2.98</v>
      </c>
      <c r="P16">
        <v>4.21</v>
      </c>
      <c r="Q16">
        <v>1.1599999999999999</v>
      </c>
      <c r="R16">
        <v>29.5</v>
      </c>
      <c r="S16">
        <v>30.24</v>
      </c>
      <c r="T16">
        <v>41.74</v>
      </c>
      <c r="U16">
        <v>0.44</v>
      </c>
      <c r="V16">
        <v>7.5</v>
      </c>
      <c r="W16" t="s">
        <v>792</v>
      </c>
      <c r="X16">
        <v>0</v>
      </c>
      <c r="Y16">
        <v>0</v>
      </c>
      <c r="Z16">
        <v>0</v>
      </c>
      <c r="AA16">
        <v>150.75</v>
      </c>
      <c r="AB16">
        <v>494.48</v>
      </c>
      <c r="AC16">
        <v>0.7</v>
      </c>
      <c r="AD16">
        <v>0.5</v>
      </c>
      <c r="AE16">
        <v>0.84</v>
      </c>
      <c r="AF16">
        <v>197.66</v>
      </c>
      <c r="AG16">
        <v>1</v>
      </c>
      <c r="AH16">
        <v>70.89</v>
      </c>
      <c r="AI16">
        <v>69.150000000000006</v>
      </c>
      <c r="AJ16">
        <v>30.18</v>
      </c>
      <c r="AK16">
        <v>29.8</v>
      </c>
      <c r="AL16">
        <v>29.8</v>
      </c>
      <c r="AM16">
        <v>100.9</v>
      </c>
      <c r="AN16">
        <v>156</v>
      </c>
      <c r="AO16">
        <v>153.6</v>
      </c>
      <c r="AP16">
        <v>1.6</v>
      </c>
      <c r="AQ16">
        <v>677</v>
      </c>
      <c r="AR16">
        <v>3.81</v>
      </c>
      <c r="AS16">
        <v>-20</v>
      </c>
      <c r="AT16">
        <v>-8</v>
      </c>
      <c r="AU16">
        <v>308</v>
      </c>
      <c r="AV16">
        <v>74.03</v>
      </c>
      <c r="AW16">
        <v>27.51</v>
      </c>
      <c r="AX16">
        <v>21.48</v>
      </c>
      <c r="AY16">
        <v>105.66</v>
      </c>
      <c r="AZ16">
        <v>13.15</v>
      </c>
      <c r="BA16">
        <v>101.46</v>
      </c>
      <c r="BB16">
        <v>52.6</v>
      </c>
      <c r="BC16" t="s">
        <v>811</v>
      </c>
      <c r="BD16" t="s">
        <v>161</v>
      </c>
      <c r="BE16">
        <v>35.85</v>
      </c>
      <c r="BF16">
        <v>127.13</v>
      </c>
      <c r="BG16">
        <v>-30.9</v>
      </c>
      <c r="BH16">
        <v>12</v>
      </c>
      <c r="BI16">
        <v>1.05</v>
      </c>
      <c r="BJ16" t="s">
        <v>197</v>
      </c>
      <c r="BK16" t="s">
        <v>161</v>
      </c>
      <c r="BL16">
        <v>-2.12</v>
      </c>
      <c r="BM16" t="s">
        <v>159</v>
      </c>
      <c r="BN16">
        <v>0</v>
      </c>
      <c r="BO16">
        <v>0</v>
      </c>
      <c r="BP16">
        <v>0</v>
      </c>
      <c r="BQ16">
        <v>-0.32</v>
      </c>
      <c r="BR16">
        <v>-0.63</v>
      </c>
      <c r="BS16">
        <v>-1.84</v>
      </c>
      <c r="BT16" t="s">
        <v>159</v>
      </c>
      <c r="BU16">
        <v>150</v>
      </c>
      <c r="BV16">
        <v>0</v>
      </c>
      <c r="BW16">
        <v>2</v>
      </c>
      <c r="BX16">
        <v>0.06</v>
      </c>
      <c r="BY16">
        <v>0</v>
      </c>
      <c r="BZ16">
        <v>0.03</v>
      </c>
      <c r="CA16">
        <v>0</v>
      </c>
      <c r="CB16">
        <v>0</v>
      </c>
      <c r="CC16">
        <v>0</v>
      </c>
      <c r="CD16" t="s">
        <v>210</v>
      </c>
      <c r="CE16" t="s">
        <v>196</v>
      </c>
      <c r="CF16" t="s">
        <v>211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2.5299999999999998</v>
      </c>
      <c r="CU16">
        <v>2.4700000000000002</v>
      </c>
      <c r="CV16">
        <v>1.67</v>
      </c>
      <c r="CW16">
        <v>0.94</v>
      </c>
      <c r="CX16">
        <v>0.22</v>
      </c>
      <c r="CY16">
        <v>0</v>
      </c>
      <c r="CZ16">
        <v>0.16</v>
      </c>
      <c r="DA16">
        <v>0.7</v>
      </c>
      <c r="DB16">
        <v>150.75</v>
      </c>
      <c r="DC16">
        <v>0</v>
      </c>
      <c r="DD16">
        <v>2.42</v>
      </c>
      <c r="DE16">
        <v>0</v>
      </c>
      <c r="DF16">
        <v>1</v>
      </c>
      <c r="DG16">
        <v>2.37</v>
      </c>
      <c r="DH16">
        <v>0</v>
      </c>
      <c r="DI16">
        <v>1</v>
      </c>
      <c r="DJ16">
        <v>0.6</v>
      </c>
      <c r="DK16">
        <v>0.6</v>
      </c>
      <c r="DL16">
        <v>0.11</v>
      </c>
      <c r="DM16">
        <v>0</v>
      </c>
      <c r="DN16" t="s">
        <v>792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x14ac:dyDescent="0.45">
      <c r="A17" t="s">
        <v>827</v>
      </c>
      <c r="B17" t="s">
        <v>828</v>
      </c>
      <c r="C17" t="s">
        <v>161</v>
      </c>
      <c r="D17" t="s">
        <v>162</v>
      </c>
      <c r="E17" t="s">
        <v>163</v>
      </c>
      <c r="I17" t="s">
        <v>829</v>
      </c>
      <c r="J17">
        <v>0.3</v>
      </c>
      <c r="K17">
        <v>2.91</v>
      </c>
      <c r="L17">
        <v>0.28000000000000003</v>
      </c>
      <c r="M17">
        <v>2.63</v>
      </c>
      <c r="N17">
        <v>3.2</v>
      </c>
      <c r="O17">
        <v>3.12</v>
      </c>
      <c r="P17">
        <v>4.13</v>
      </c>
      <c r="Q17">
        <v>0.93</v>
      </c>
      <c r="R17">
        <v>30.94</v>
      </c>
      <c r="S17">
        <v>31.66</v>
      </c>
      <c r="T17">
        <v>40.89</v>
      </c>
      <c r="U17">
        <v>0.44</v>
      </c>
      <c r="V17">
        <v>7.5</v>
      </c>
      <c r="W17" t="s">
        <v>834</v>
      </c>
      <c r="X17">
        <v>0</v>
      </c>
      <c r="Y17">
        <v>0</v>
      </c>
      <c r="Z17">
        <v>0</v>
      </c>
      <c r="AA17">
        <v>122.82</v>
      </c>
      <c r="AB17">
        <v>486.19</v>
      </c>
      <c r="AC17">
        <v>0.75</v>
      </c>
      <c r="AD17">
        <v>0.5</v>
      </c>
      <c r="AE17">
        <v>0.84</v>
      </c>
      <c r="AF17">
        <v>118.03</v>
      </c>
      <c r="AG17">
        <v>1</v>
      </c>
      <c r="AH17">
        <v>73.69</v>
      </c>
      <c r="AI17">
        <v>72.010000000000005</v>
      </c>
      <c r="AJ17">
        <v>30.31</v>
      </c>
      <c r="AK17">
        <v>29.44</v>
      </c>
      <c r="AL17">
        <v>29.44</v>
      </c>
      <c r="AM17">
        <v>100.9</v>
      </c>
      <c r="AN17">
        <v>156</v>
      </c>
      <c r="AO17">
        <v>154</v>
      </c>
      <c r="AP17">
        <v>1.3</v>
      </c>
      <c r="AQ17">
        <v>376</v>
      </c>
      <c r="AR17">
        <v>3.81</v>
      </c>
      <c r="AS17">
        <v>-14</v>
      </c>
      <c r="AT17">
        <v>-3</v>
      </c>
      <c r="AU17">
        <v>348</v>
      </c>
      <c r="AV17">
        <v>61.71</v>
      </c>
      <c r="AW17">
        <v>47.4</v>
      </c>
      <c r="AX17">
        <v>14.31</v>
      </c>
      <c r="AY17">
        <v>155.78</v>
      </c>
      <c r="AZ17">
        <v>13.15</v>
      </c>
      <c r="BA17">
        <v>101.46</v>
      </c>
      <c r="BB17">
        <v>52.6</v>
      </c>
      <c r="BC17" t="s">
        <v>852</v>
      </c>
      <c r="BD17" t="s">
        <v>161</v>
      </c>
      <c r="BE17">
        <v>35.85</v>
      </c>
      <c r="BF17">
        <v>127.13</v>
      </c>
      <c r="BG17">
        <v>-30.7</v>
      </c>
      <c r="BH17">
        <v>14</v>
      </c>
      <c r="BI17">
        <v>0.82</v>
      </c>
      <c r="BJ17" t="s">
        <v>197</v>
      </c>
      <c r="BK17" t="s">
        <v>161</v>
      </c>
      <c r="BL17">
        <v>-2.12</v>
      </c>
      <c r="BM17" t="s">
        <v>159</v>
      </c>
      <c r="BN17">
        <v>0</v>
      </c>
      <c r="BO17">
        <v>0</v>
      </c>
      <c r="BP17">
        <v>0</v>
      </c>
      <c r="BQ17">
        <v>-0.16</v>
      </c>
      <c r="BR17">
        <v>-0.12</v>
      </c>
      <c r="BS17">
        <v>-0.21</v>
      </c>
      <c r="BT17" t="s">
        <v>159</v>
      </c>
      <c r="BU17">
        <v>150</v>
      </c>
      <c r="BV17">
        <v>0</v>
      </c>
      <c r="BW17">
        <v>2</v>
      </c>
      <c r="BX17">
        <v>0.06</v>
      </c>
      <c r="BY17">
        <v>0</v>
      </c>
      <c r="BZ17">
        <v>0.03</v>
      </c>
      <c r="CA17">
        <v>0</v>
      </c>
      <c r="CB17">
        <v>0</v>
      </c>
      <c r="CC17">
        <v>0</v>
      </c>
      <c r="CD17" t="s">
        <v>210</v>
      </c>
      <c r="CE17" t="s">
        <v>196</v>
      </c>
      <c r="CF17" t="s">
        <v>211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2.5299999999999998</v>
      </c>
      <c r="CU17">
        <v>2.48</v>
      </c>
      <c r="CV17">
        <v>1.67</v>
      </c>
      <c r="CW17">
        <v>0.94</v>
      </c>
      <c r="CX17">
        <v>0.22</v>
      </c>
      <c r="CY17">
        <v>-0.01</v>
      </c>
      <c r="CZ17">
        <v>0.16</v>
      </c>
      <c r="DA17">
        <v>0.44</v>
      </c>
      <c r="DB17">
        <v>122.82</v>
      </c>
      <c r="DC17">
        <v>0</v>
      </c>
      <c r="DD17">
        <v>2.42</v>
      </c>
      <c r="DE17">
        <v>0</v>
      </c>
      <c r="DF17">
        <v>1</v>
      </c>
      <c r="DG17">
        <v>2.37</v>
      </c>
      <c r="DH17">
        <v>0</v>
      </c>
      <c r="DI17">
        <v>1</v>
      </c>
      <c r="DJ17">
        <v>0.6</v>
      </c>
      <c r="DK17">
        <v>0.6</v>
      </c>
      <c r="DL17">
        <v>0.11</v>
      </c>
      <c r="DM17">
        <v>0</v>
      </c>
      <c r="DN17" t="s">
        <v>834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x14ac:dyDescent="0.45">
      <c r="A18" t="s">
        <v>868</v>
      </c>
      <c r="B18" t="s">
        <v>869</v>
      </c>
      <c r="C18" t="s">
        <v>161</v>
      </c>
      <c r="D18" t="s">
        <v>162</v>
      </c>
      <c r="E18" t="s">
        <v>163</v>
      </c>
      <c r="I18" t="s">
        <v>870</v>
      </c>
      <c r="J18">
        <v>0.28999999999999998</v>
      </c>
      <c r="K18">
        <v>2.91</v>
      </c>
      <c r="L18">
        <v>0.26</v>
      </c>
      <c r="M18">
        <v>3.07</v>
      </c>
      <c r="N18">
        <v>3.04</v>
      </c>
      <c r="O18">
        <v>2.95</v>
      </c>
      <c r="P18">
        <v>4.18</v>
      </c>
      <c r="Q18">
        <v>1.1399999999999999</v>
      </c>
      <c r="R18">
        <v>29.25</v>
      </c>
      <c r="S18">
        <v>30.09</v>
      </c>
      <c r="T18">
        <v>41.43</v>
      </c>
      <c r="U18">
        <v>0.44</v>
      </c>
      <c r="V18">
        <v>7.5</v>
      </c>
      <c r="W18" t="s">
        <v>875</v>
      </c>
      <c r="X18">
        <v>0</v>
      </c>
      <c r="Y18">
        <v>0</v>
      </c>
      <c r="Z18">
        <v>0</v>
      </c>
      <c r="AA18">
        <v>140.41999999999999</v>
      </c>
      <c r="AB18">
        <v>433.6</v>
      </c>
      <c r="AC18">
        <v>0.68</v>
      </c>
      <c r="AD18">
        <v>0.5</v>
      </c>
      <c r="AE18">
        <v>0.84</v>
      </c>
      <c r="AF18">
        <v>188.28</v>
      </c>
      <c r="AG18">
        <v>1</v>
      </c>
      <c r="AH18">
        <v>68.86</v>
      </c>
      <c r="AI18">
        <v>66.930000000000007</v>
      </c>
      <c r="AJ18">
        <v>30.6</v>
      </c>
      <c r="AK18">
        <v>29.67</v>
      </c>
      <c r="AL18">
        <v>29.67</v>
      </c>
      <c r="AM18">
        <v>100.91</v>
      </c>
      <c r="AN18">
        <v>156.1</v>
      </c>
      <c r="AO18">
        <v>155.1</v>
      </c>
      <c r="AP18">
        <v>0.6</v>
      </c>
      <c r="AQ18">
        <v>663</v>
      </c>
      <c r="AR18">
        <v>3.81</v>
      </c>
      <c r="AS18">
        <v>-19</v>
      </c>
      <c r="AT18">
        <v>-8</v>
      </c>
      <c r="AU18">
        <v>295</v>
      </c>
      <c r="AV18">
        <v>72.709999999999994</v>
      </c>
      <c r="AW18">
        <v>29.72</v>
      </c>
      <c r="AX18">
        <v>20.56</v>
      </c>
      <c r="AY18">
        <v>91.65</v>
      </c>
      <c r="AZ18">
        <v>13.15</v>
      </c>
      <c r="BA18">
        <v>101.64</v>
      </c>
      <c r="BB18">
        <v>52.4</v>
      </c>
      <c r="BC18" t="s">
        <v>894</v>
      </c>
      <c r="BD18" t="s">
        <v>161</v>
      </c>
      <c r="BE18">
        <v>35.85</v>
      </c>
      <c r="BF18">
        <v>127.13</v>
      </c>
      <c r="BG18">
        <v>-29.2</v>
      </c>
      <c r="BH18">
        <v>14</v>
      </c>
      <c r="BI18">
        <v>0.82</v>
      </c>
      <c r="BJ18" t="s">
        <v>897</v>
      </c>
      <c r="BK18" t="s">
        <v>161</v>
      </c>
      <c r="BL18">
        <v>-2.02</v>
      </c>
      <c r="BM18" t="s">
        <v>159</v>
      </c>
      <c r="BN18">
        <v>0</v>
      </c>
      <c r="BO18">
        <v>0</v>
      </c>
      <c r="BP18">
        <v>0</v>
      </c>
      <c r="BQ18">
        <v>0.14000000000000001</v>
      </c>
      <c r="BR18">
        <v>0.52</v>
      </c>
      <c r="BS18">
        <v>0.72</v>
      </c>
      <c r="BT18" t="s">
        <v>159</v>
      </c>
      <c r="BU18">
        <v>150</v>
      </c>
      <c r="BV18">
        <v>0</v>
      </c>
      <c r="BW18">
        <v>2</v>
      </c>
      <c r="BX18">
        <v>0.06</v>
      </c>
      <c r="BY18">
        <v>0</v>
      </c>
      <c r="BZ18">
        <v>0.03</v>
      </c>
      <c r="CA18">
        <v>0</v>
      </c>
      <c r="CB18">
        <v>0</v>
      </c>
      <c r="CC18">
        <v>0</v>
      </c>
      <c r="CD18" t="s">
        <v>210</v>
      </c>
      <c r="CE18" t="s">
        <v>196</v>
      </c>
      <c r="CF18" t="s">
        <v>211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2.5299999999999998</v>
      </c>
      <c r="CU18">
        <v>2.4700000000000002</v>
      </c>
      <c r="CV18">
        <v>1.67</v>
      </c>
      <c r="CW18">
        <v>0.94</v>
      </c>
      <c r="CX18">
        <v>0.22</v>
      </c>
      <c r="CY18">
        <v>-0.01</v>
      </c>
      <c r="CZ18">
        <v>0.17</v>
      </c>
      <c r="DA18">
        <v>0.69</v>
      </c>
      <c r="DB18">
        <v>140.41999999999999</v>
      </c>
      <c r="DC18">
        <v>0</v>
      </c>
      <c r="DD18">
        <v>2.42</v>
      </c>
      <c r="DE18">
        <v>0</v>
      </c>
      <c r="DF18">
        <v>1</v>
      </c>
      <c r="DG18">
        <v>2.37</v>
      </c>
      <c r="DH18">
        <v>0</v>
      </c>
      <c r="DI18">
        <v>1</v>
      </c>
      <c r="DJ18">
        <v>0.6</v>
      </c>
      <c r="DK18">
        <v>0.6</v>
      </c>
      <c r="DL18">
        <v>0.11</v>
      </c>
      <c r="DM18">
        <v>0</v>
      </c>
      <c r="DN18" t="s">
        <v>875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x14ac:dyDescent="0.45">
      <c r="A19" t="s">
        <v>910</v>
      </c>
      <c r="B19" t="s">
        <v>911</v>
      </c>
      <c r="C19" t="s">
        <v>161</v>
      </c>
      <c r="D19" t="s">
        <v>162</v>
      </c>
      <c r="E19" t="s">
        <v>163</v>
      </c>
      <c r="I19" t="s">
        <v>912</v>
      </c>
      <c r="J19">
        <v>0.28000000000000003</v>
      </c>
      <c r="K19">
        <v>2.91</v>
      </c>
      <c r="L19">
        <v>0.25</v>
      </c>
      <c r="M19">
        <v>3.07</v>
      </c>
      <c r="N19">
        <v>2.98</v>
      </c>
      <c r="O19">
        <v>2.89</v>
      </c>
      <c r="P19">
        <v>4.1500000000000004</v>
      </c>
      <c r="Q19">
        <v>1.17</v>
      </c>
      <c r="R19">
        <v>28.66</v>
      </c>
      <c r="S19">
        <v>29.5</v>
      </c>
      <c r="T19">
        <v>41.12</v>
      </c>
      <c r="U19">
        <v>0.44</v>
      </c>
      <c r="V19">
        <v>7.5</v>
      </c>
      <c r="W19" t="s">
        <v>917</v>
      </c>
      <c r="X19">
        <v>0</v>
      </c>
      <c r="Y19">
        <v>0</v>
      </c>
      <c r="Z19">
        <v>0</v>
      </c>
      <c r="AA19">
        <v>168.72</v>
      </c>
      <c r="AB19">
        <v>513.89</v>
      </c>
      <c r="AC19">
        <v>0.67</v>
      </c>
      <c r="AD19">
        <v>0.5</v>
      </c>
      <c r="AE19">
        <v>0.84</v>
      </c>
      <c r="AF19">
        <v>126.66</v>
      </c>
      <c r="AG19">
        <v>1</v>
      </c>
      <c r="AH19">
        <v>67.11</v>
      </c>
      <c r="AI19">
        <v>65.19</v>
      </c>
      <c r="AJ19">
        <v>30.7</v>
      </c>
      <c r="AK19">
        <v>29.54</v>
      </c>
      <c r="AL19">
        <v>29.54</v>
      </c>
      <c r="AM19">
        <v>100.9</v>
      </c>
      <c r="AN19">
        <v>156</v>
      </c>
      <c r="AO19">
        <v>134.19999999999999</v>
      </c>
      <c r="AP19">
        <v>14</v>
      </c>
      <c r="AQ19">
        <v>449</v>
      </c>
      <c r="AR19">
        <v>3.81</v>
      </c>
      <c r="AS19">
        <v>-13</v>
      </c>
      <c r="AT19">
        <v>-7</v>
      </c>
      <c r="AU19">
        <v>325</v>
      </c>
      <c r="AV19">
        <v>66.540000000000006</v>
      </c>
      <c r="AW19">
        <v>39.81</v>
      </c>
      <c r="AX19">
        <v>14.74</v>
      </c>
      <c r="AY19">
        <v>116.37</v>
      </c>
      <c r="AZ19">
        <v>13.15</v>
      </c>
      <c r="BA19">
        <v>101.82</v>
      </c>
      <c r="BB19">
        <v>52.2</v>
      </c>
      <c r="BC19" t="s">
        <v>938</v>
      </c>
      <c r="BD19" t="s">
        <v>161</v>
      </c>
      <c r="BE19">
        <v>35.85</v>
      </c>
      <c r="BF19">
        <v>127.13</v>
      </c>
      <c r="BG19">
        <v>-28</v>
      </c>
      <c r="BH19">
        <v>14</v>
      </c>
      <c r="BI19">
        <v>0.82</v>
      </c>
      <c r="BJ19" t="s">
        <v>897</v>
      </c>
      <c r="BK19" t="s">
        <v>161</v>
      </c>
      <c r="BL19">
        <v>-2.02</v>
      </c>
      <c r="BM19" t="s">
        <v>159</v>
      </c>
      <c r="BN19">
        <v>0</v>
      </c>
      <c r="BO19">
        <v>0</v>
      </c>
      <c r="BP19">
        <v>0</v>
      </c>
      <c r="BQ19">
        <v>-0.25</v>
      </c>
      <c r="BR19">
        <v>-0.17</v>
      </c>
      <c r="BS19">
        <v>-0.25</v>
      </c>
      <c r="BT19" t="s">
        <v>159</v>
      </c>
      <c r="BU19">
        <v>150</v>
      </c>
      <c r="BV19">
        <v>0</v>
      </c>
      <c r="BW19">
        <v>2</v>
      </c>
      <c r="BX19">
        <v>0.06</v>
      </c>
      <c r="BY19">
        <v>0</v>
      </c>
      <c r="BZ19">
        <v>0.03</v>
      </c>
      <c r="CA19">
        <v>0</v>
      </c>
      <c r="CB19">
        <v>0</v>
      </c>
      <c r="CC19">
        <v>0</v>
      </c>
      <c r="CD19" t="s">
        <v>210</v>
      </c>
      <c r="CE19" t="s">
        <v>196</v>
      </c>
      <c r="CF19" t="s">
        <v>211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2.52</v>
      </c>
      <c r="CU19">
        <v>2.4700000000000002</v>
      </c>
      <c r="CV19">
        <v>1.67</v>
      </c>
      <c r="CW19">
        <v>0.89</v>
      </c>
      <c r="CX19">
        <v>0.22</v>
      </c>
      <c r="CY19">
        <v>-0.01</v>
      </c>
      <c r="CZ19">
        <v>0.17</v>
      </c>
      <c r="DA19">
        <v>0.5</v>
      </c>
      <c r="DB19">
        <v>168.72</v>
      </c>
      <c r="DC19">
        <v>0</v>
      </c>
      <c r="DD19">
        <v>2.42</v>
      </c>
      <c r="DE19">
        <v>0</v>
      </c>
      <c r="DF19">
        <v>1</v>
      </c>
      <c r="DG19">
        <v>2.37</v>
      </c>
      <c r="DH19">
        <v>0</v>
      </c>
      <c r="DI19">
        <v>1</v>
      </c>
      <c r="DJ19">
        <v>0.6</v>
      </c>
      <c r="DK19">
        <v>0.6</v>
      </c>
      <c r="DL19">
        <v>0.11</v>
      </c>
      <c r="DM19">
        <v>0</v>
      </c>
      <c r="DN19" t="s">
        <v>917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A2" sqref="A2:J19"/>
    </sheetView>
  </sheetViews>
  <sheetFormatPr defaultRowHeight="19.2" x14ac:dyDescent="0.45"/>
  <cols>
    <col min="3" max="3" width="8.7265625" customWidth="1"/>
  </cols>
  <sheetData>
    <row r="1" spans="1:10" x14ac:dyDescent="0.45">
      <c r="A1" t="s">
        <v>15</v>
      </c>
      <c r="B1" t="s">
        <v>23</v>
      </c>
      <c r="C1" s="9" t="s">
        <v>960</v>
      </c>
      <c r="D1" t="s">
        <v>30</v>
      </c>
      <c r="E1" t="s">
        <v>40</v>
      </c>
      <c r="F1" t="s">
        <v>41</v>
      </c>
      <c r="G1" t="s">
        <v>42</v>
      </c>
      <c r="H1" t="s">
        <v>45</v>
      </c>
      <c r="I1" t="s">
        <v>56</v>
      </c>
      <c r="J1" t="s">
        <v>51</v>
      </c>
    </row>
    <row r="2" spans="1:10" x14ac:dyDescent="0.45">
      <c r="A2" t="s">
        <v>160</v>
      </c>
      <c r="B2">
        <v>0.44</v>
      </c>
      <c r="C2" s="6">
        <v>0.36425425513274012</v>
      </c>
      <c r="D2">
        <v>1.1399999999999999</v>
      </c>
      <c r="E2">
        <v>126.09</v>
      </c>
      <c r="F2">
        <v>473.47</v>
      </c>
      <c r="G2">
        <v>0.73</v>
      </c>
      <c r="H2">
        <v>36.36</v>
      </c>
      <c r="I2">
        <v>118</v>
      </c>
      <c r="J2">
        <v>27.76</v>
      </c>
    </row>
    <row r="3" spans="1:10" x14ac:dyDescent="0.45">
      <c r="A3" t="s">
        <v>239</v>
      </c>
      <c r="B3">
        <v>0.44</v>
      </c>
      <c r="C3" s="6">
        <v>0.36016701168596738</v>
      </c>
      <c r="D3">
        <v>1.0900000000000001</v>
      </c>
      <c r="E3">
        <v>131.52000000000001</v>
      </c>
      <c r="F3">
        <v>458.28</v>
      </c>
      <c r="G3">
        <v>0.71</v>
      </c>
      <c r="H3">
        <v>92.24</v>
      </c>
      <c r="I3">
        <v>308</v>
      </c>
      <c r="J3">
        <v>27.77</v>
      </c>
    </row>
    <row r="4" spans="1:10" x14ac:dyDescent="0.45">
      <c r="A4" t="s">
        <v>278</v>
      </c>
      <c r="B4">
        <v>0.3</v>
      </c>
      <c r="C4" s="6">
        <v>0.26492205246836442</v>
      </c>
      <c r="D4">
        <v>1.1100000000000001</v>
      </c>
      <c r="E4">
        <v>156.75</v>
      </c>
      <c r="F4">
        <v>500.74</v>
      </c>
      <c r="G4">
        <v>0.69</v>
      </c>
      <c r="H4">
        <v>103.87</v>
      </c>
      <c r="I4">
        <v>360</v>
      </c>
      <c r="J4">
        <v>28.28</v>
      </c>
    </row>
    <row r="5" spans="1:10" x14ac:dyDescent="0.45">
      <c r="A5" t="s">
        <v>321</v>
      </c>
      <c r="B5">
        <v>0.51</v>
      </c>
      <c r="C5" s="6">
        <v>0.40263255938908382</v>
      </c>
      <c r="D5">
        <v>1.02</v>
      </c>
      <c r="E5">
        <v>116.88</v>
      </c>
      <c r="F5">
        <v>450.45</v>
      </c>
      <c r="G5">
        <v>0.74</v>
      </c>
      <c r="H5">
        <v>109.48</v>
      </c>
      <c r="I5">
        <v>352</v>
      </c>
      <c r="J5">
        <v>27.99</v>
      </c>
    </row>
    <row r="6" spans="1:10" x14ac:dyDescent="0.45">
      <c r="A6" t="s">
        <v>365</v>
      </c>
      <c r="B6">
        <v>0.36</v>
      </c>
      <c r="C6" s="6">
        <v>0.30553135444125629</v>
      </c>
      <c r="D6">
        <v>0.99</v>
      </c>
      <c r="E6">
        <v>115.7</v>
      </c>
      <c r="F6">
        <v>486.97</v>
      </c>
      <c r="G6">
        <v>0.76</v>
      </c>
      <c r="H6">
        <v>71.09</v>
      </c>
      <c r="I6">
        <v>222</v>
      </c>
      <c r="J6">
        <v>27.89</v>
      </c>
    </row>
    <row r="7" spans="1:10" x14ac:dyDescent="0.45">
      <c r="A7" t="s">
        <v>411</v>
      </c>
      <c r="B7">
        <v>0.34</v>
      </c>
      <c r="C7" s="6">
        <v>0.29345081015008517</v>
      </c>
      <c r="D7">
        <v>1.04</v>
      </c>
      <c r="E7">
        <v>113.72</v>
      </c>
      <c r="F7">
        <v>450.7</v>
      </c>
      <c r="G7">
        <v>0.75</v>
      </c>
      <c r="H7">
        <v>88.24</v>
      </c>
      <c r="I7">
        <v>281</v>
      </c>
      <c r="J7">
        <v>28.2</v>
      </c>
    </row>
    <row r="8" spans="1:10" x14ac:dyDescent="0.45">
      <c r="A8" t="s">
        <v>454</v>
      </c>
      <c r="B8">
        <v>0.39</v>
      </c>
      <c r="C8" s="6">
        <v>0.33147002691894162</v>
      </c>
      <c r="D8">
        <v>1.01</v>
      </c>
      <c r="E8">
        <v>120.09</v>
      </c>
      <c r="F8">
        <v>455.12</v>
      </c>
      <c r="G8">
        <v>0.74</v>
      </c>
      <c r="H8">
        <v>97.08</v>
      </c>
      <c r="I8">
        <v>314</v>
      </c>
      <c r="J8">
        <v>28.11</v>
      </c>
    </row>
    <row r="9" spans="1:10" x14ac:dyDescent="0.45">
      <c r="A9" t="s">
        <v>497</v>
      </c>
      <c r="B9">
        <v>0.48</v>
      </c>
      <c r="C9" s="6">
        <v>0.38328773328193111</v>
      </c>
      <c r="D9">
        <v>0.94</v>
      </c>
      <c r="E9">
        <v>116.48</v>
      </c>
      <c r="F9">
        <v>458.81</v>
      </c>
      <c r="G9">
        <v>0.75</v>
      </c>
      <c r="H9">
        <v>100.28</v>
      </c>
      <c r="I9">
        <v>320</v>
      </c>
      <c r="J9">
        <v>28.06</v>
      </c>
    </row>
    <row r="10" spans="1:10" x14ac:dyDescent="0.45">
      <c r="A10" t="s">
        <v>540</v>
      </c>
      <c r="B10">
        <v>0.37</v>
      </c>
      <c r="C10" s="6">
        <v>0.31248441932924381</v>
      </c>
      <c r="D10">
        <v>1.06</v>
      </c>
      <c r="E10">
        <v>120.83</v>
      </c>
      <c r="F10">
        <v>468.22</v>
      </c>
      <c r="G10">
        <v>0.74</v>
      </c>
      <c r="H10">
        <v>114.67</v>
      </c>
      <c r="I10">
        <v>368</v>
      </c>
      <c r="J10">
        <v>28.37</v>
      </c>
    </row>
    <row r="11" spans="1:10" x14ac:dyDescent="0.45">
      <c r="A11" t="s">
        <v>583</v>
      </c>
      <c r="B11">
        <v>0.15</v>
      </c>
      <c r="C11" s="6">
        <v>0.14566066679524109</v>
      </c>
      <c r="D11">
        <v>1.21</v>
      </c>
      <c r="E11">
        <v>166.85</v>
      </c>
      <c r="F11">
        <v>521.77</v>
      </c>
      <c r="G11">
        <v>0.68</v>
      </c>
      <c r="H11">
        <v>99.99</v>
      </c>
      <c r="I11">
        <v>350</v>
      </c>
      <c r="J11">
        <v>28.8</v>
      </c>
    </row>
    <row r="12" spans="1:10" x14ac:dyDescent="0.45">
      <c r="A12" t="s">
        <v>623</v>
      </c>
      <c r="B12">
        <v>0.35</v>
      </c>
      <c r="C12" s="6">
        <v>0.29540853553853702</v>
      </c>
      <c r="D12">
        <v>1.02</v>
      </c>
      <c r="E12">
        <v>126.02</v>
      </c>
      <c r="F12">
        <v>470.08</v>
      </c>
      <c r="G12">
        <v>0.73</v>
      </c>
      <c r="H12">
        <v>112.51</v>
      </c>
      <c r="I12">
        <v>366</v>
      </c>
      <c r="J12">
        <v>28.24</v>
      </c>
    </row>
    <row r="13" spans="1:10" x14ac:dyDescent="0.45">
      <c r="A13" t="s">
        <v>662</v>
      </c>
      <c r="B13">
        <v>0.21</v>
      </c>
      <c r="C13" s="6">
        <v>0.19545931241146239</v>
      </c>
      <c r="D13">
        <v>1.21</v>
      </c>
      <c r="E13">
        <v>161.85</v>
      </c>
      <c r="F13">
        <v>399.54</v>
      </c>
      <c r="G13">
        <v>0.59</v>
      </c>
      <c r="H13">
        <v>185.64</v>
      </c>
      <c r="I13">
        <v>743</v>
      </c>
      <c r="J13">
        <v>29.77</v>
      </c>
    </row>
    <row r="14" spans="1:10" x14ac:dyDescent="0.45">
      <c r="A14" t="s">
        <v>704</v>
      </c>
      <c r="B14">
        <v>0.33</v>
      </c>
      <c r="C14" s="6">
        <v>0.28389927709943302</v>
      </c>
      <c r="D14">
        <v>1.1000000000000001</v>
      </c>
      <c r="E14">
        <v>181.93</v>
      </c>
      <c r="F14">
        <v>455.71</v>
      </c>
      <c r="G14">
        <v>0.6</v>
      </c>
      <c r="H14">
        <v>88.31</v>
      </c>
      <c r="I14">
        <v>350</v>
      </c>
      <c r="J14">
        <v>29.41</v>
      </c>
    </row>
    <row r="15" spans="1:10" x14ac:dyDescent="0.45">
      <c r="A15" t="s">
        <v>748</v>
      </c>
      <c r="B15">
        <v>0.38</v>
      </c>
      <c r="C15" s="6">
        <v>0.31802351924366268</v>
      </c>
      <c r="D15">
        <v>1.04</v>
      </c>
      <c r="E15">
        <v>149.13999999999999</v>
      </c>
      <c r="F15">
        <v>464.5</v>
      </c>
      <c r="G15">
        <v>0.68</v>
      </c>
      <c r="H15">
        <v>226.41</v>
      </c>
      <c r="I15">
        <v>794</v>
      </c>
      <c r="J15">
        <v>29.12</v>
      </c>
    </row>
    <row r="16" spans="1:10" x14ac:dyDescent="0.45">
      <c r="A16" t="s">
        <v>786</v>
      </c>
      <c r="B16">
        <v>0.24</v>
      </c>
      <c r="C16" s="6">
        <v>0.220172920391214</v>
      </c>
      <c r="D16">
        <v>1.1599999999999999</v>
      </c>
      <c r="E16">
        <v>150.75</v>
      </c>
      <c r="F16">
        <v>494.48</v>
      </c>
      <c r="G16">
        <v>0.7</v>
      </c>
      <c r="H16">
        <v>197.66</v>
      </c>
      <c r="I16">
        <v>677</v>
      </c>
      <c r="J16">
        <v>29.8</v>
      </c>
    </row>
    <row r="17" spans="1:10" x14ac:dyDescent="0.45">
      <c r="A17" t="s">
        <v>828</v>
      </c>
      <c r="B17">
        <v>0.3</v>
      </c>
      <c r="C17" s="6">
        <v>0.26248518152569478</v>
      </c>
      <c r="D17">
        <v>0.93</v>
      </c>
      <c r="E17">
        <v>122.82</v>
      </c>
      <c r="F17">
        <v>486.19</v>
      </c>
      <c r="G17">
        <v>0.75</v>
      </c>
      <c r="H17">
        <v>118.03</v>
      </c>
      <c r="I17">
        <v>376</v>
      </c>
      <c r="J17">
        <v>29.44</v>
      </c>
    </row>
    <row r="18" spans="1:10" x14ac:dyDescent="0.45">
      <c r="A18" t="s">
        <v>869</v>
      </c>
      <c r="B18">
        <v>0.28999999999999998</v>
      </c>
      <c r="C18" s="6">
        <v>0.25176896659102033</v>
      </c>
      <c r="D18">
        <v>1.1399999999999999</v>
      </c>
      <c r="E18">
        <v>140.41999999999999</v>
      </c>
      <c r="F18">
        <v>433.6</v>
      </c>
      <c r="G18">
        <v>0.68</v>
      </c>
      <c r="H18">
        <v>188.28</v>
      </c>
      <c r="I18">
        <v>663</v>
      </c>
      <c r="J18">
        <v>29.67</v>
      </c>
    </row>
    <row r="19" spans="1:10" x14ac:dyDescent="0.45">
      <c r="A19" t="s">
        <v>911</v>
      </c>
      <c r="B19">
        <v>0.28000000000000003</v>
      </c>
      <c r="C19" s="6">
        <v>0.24640507407747281</v>
      </c>
      <c r="D19">
        <v>1.17</v>
      </c>
      <c r="E19">
        <v>168.72</v>
      </c>
      <c r="F19">
        <v>513.89</v>
      </c>
      <c r="G19">
        <v>0.67</v>
      </c>
      <c r="H19">
        <v>126.66</v>
      </c>
      <c r="I19">
        <v>449</v>
      </c>
      <c r="J19">
        <v>29.54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92CE-42D1-4FEE-8F76-215B12D6AD53}">
  <dimension ref="A1:U25"/>
  <sheetViews>
    <sheetView tabSelected="1" workbookViewId="0">
      <selection activeCell="E14" sqref="D14:E14"/>
    </sheetView>
  </sheetViews>
  <sheetFormatPr defaultRowHeight="19.2" x14ac:dyDescent="0.45"/>
  <sheetData>
    <row r="1" spans="1:21" ht="19.8" thickBot="1" x14ac:dyDescent="0.5">
      <c r="A1" s="1" t="s">
        <v>954</v>
      </c>
      <c r="B1" s="2" t="s">
        <v>955</v>
      </c>
      <c r="C1" s="2" t="s">
        <v>15</v>
      </c>
      <c r="D1" s="2" t="s">
        <v>23</v>
      </c>
      <c r="E1" s="2" t="s">
        <v>956</v>
      </c>
      <c r="F1" s="2" t="s">
        <v>30</v>
      </c>
      <c r="G1" s="2" t="s">
        <v>40</v>
      </c>
      <c r="H1" s="2" t="s">
        <v>41</v>
      </c>
      <c r="I1" s="2" t="s">
        <v>42</v>
      </c>
      <c r="J1" s="2" t="s">
        <v>45</v>
      </c>
      <c r="K1" s="2" t="s">
        <v>56</v>
      </c>
      <c r="L1" s="3" t="s">
        <v>51</v>
      </c>
      <c r="M1" t="s">
        <v>957</v>
      </c>
      <c r="N1" s="4" t="s">
        <v>956</v>
      </c>
      <c r="O1" s="2" t="s">
        <v>30</v>
      </c>
      <c r="P1" s="2" t="s">
        <v>40</v>
      </c>
      <c r="Q1" s="2" t="s">
        <v>41</v>
      </c>
      <c r="R1" s="2" t="s">
        <v>42</v>
      </c>
      <c r="S1" s="2" t="s">
        <v>45</v>
      </c>
      <c r="T1" s="2" t="s">
        <v>56</v>
      </c>
      <c r="U1" s="3" t="s">
        <v>51</v>
      </c>
    </row>
    <row r="2" spans="1:21" ht="19.8" thickTop="1" x14ac:dyDescent="0.45">
      <c r="A2" s="5" t="s">
        <v>958</v>
      </c>
      <c r="B2">
        <v>1</v>
      </c>
      <c r="C2" t="s">
        <v>160</v>
      </c>
      <c r="D2">
        <v>0.44</v>
      </c>
      <c r="E2" s="6">
        <v>0.36425425513274012</v>
      </c>
      <c r="F2">
        <v>1.1399999999999999</v>
      </c>
      <c r="G2">
        <v>126.09</v>
      </c>
      <c r="H2">
        <v>473.47</v>
      </c>
      <c r="I2">
        <v>0.73</v>
      </c>
      <c r="J2">
        <v>36.36</v>
      </c>
      <c r="K2">
        <v>118</v>
      </c>
      <c r="L2">
        <v>27.76</v>
      </c>
      <c r="M2" s="6">
        <f>AVERAGE(D2:D10)</f>
        <v>0.40333333333333332</v>
      </c>
      <c r="N2" s="6">
        <f t="shared" ref="N2:U2" si="0">AVERAGE(E2:E10)</f>
        <v>0.33535558031084595</v>
      </c>
      <c r="O2" s="6">
        <f t="shared" si="0"/>
        <v>1.0444444444444445</v>
      </c>
      <c r="P2" s="6">
        <f t="shared" si="0"/>
        <v>124.2288888888889</v>
      </c>
      <c r="Q2" s="6">
        <f t="shared" si="0"/>
        <v>466.97333333333324</v>
      </c>
      <c r="R2" s="6">
        <f t="shared" si="0"/>
        <v>0.73444444444444446</v>
      </c>
      <c r="S2" s="6">
        <f t="shared" si="0"/>
        <v>90.367777777777775</v>
      </c>
      <c r="T2" s="6">
        <f t="shared" si="0"/>
        <v>293.66666666666669</v>
      </c>
      <c r="U2" s="6">
        <f t="shared" si="0"/>
        <v>28.047777777777778</v>
      </c>
    </row>
    <row r="3" spans="1:21" x14ac:dyDescent="0.45">
      <c r="A3" s="5" t="s">
        <v>958</v>
      </c>
      <c r="B3">
        <v>1</v>
      </c>
      <c r="C3" t="s">
        <v>239</v>
      </c>
      <c r="D3">
        <v>0.44</v>
      </c>
      <c r="E3" s="6">
        <v>0.36016701168596738</v>
      </c>
      <c r="F3">
        <v>1.0900000000000001</v>
      </c>
      <c r="G3">
        <v>131.52000000000001</v>
      </c>
      <c r="H3">
        <v>458.28</v>
      </c>
      <c r="I3">
        <v>0.71</v>
      </c>
      <c r="J3">
        <v>92.24</v>
      </c>
      <c r="K3">
        <v>308</v>
      </c>
      <c r="L3">
        <v>27.77</v>
      </c>
      <c r="M3" s="6">
        <f>AVERAGE(D14:D25)</f>
        <v>0.28111111111111114</v>
      </c>
      <c r="N3" s="6">
        <f t="shared" ref="N3:U3" si="1">AVERAGE(E14:E25)</f>
        <v>0.24658705040819312</v>
      </c>
      <c r="O3" s="6">
        <f t="shared" si="1"/>
        <v>1.108888888888889</v>
      </c>
      <c r="P3" s="6">
        <f t="shared" si="1"/>
        <v>152.05555555555557</v>
      </c>
      <c r="Q3" s="6">
        <f t="shared" si="1"/>
        <v>471.08444444444444</v>
      </c>
      <c r="R3" s="6">
        <f t="shared" si="1"/>
        <v>0.67555555555555558</v>
      </c>
      <c r="S3" s="6">
        <f t="shared" si="1"/>
        <v>149.27666666666667</v>
      </c>
      <c r="T3" s="6">
        <f t="shared" si="1"/>
        <v>529.77777777777783</v>
      </c>
      <c r="U3" s="6">
        <f t="shared" si="1"/>
        <v>29.310000000000002</v>
      </c>
    </row>
    <row r="4" spans="1:21" x14ac:dyDescent="0.45">
      <c r="A4" s="5" t="s">
        <v>958</v>
      </c>
      <c r="B4">
        <v>1</v>
      </c>
      <c r="C4" t="s">
        <v>278</v>
      </c>
      <c r="D4">
        <v>0.3</v>
      </c>
      <c r="E4" s="6">
        <v>0.26492205246836442</v>
      </c>
      <c r="F4">
        <v>1.1100000000000001</v>
      </c>
      <c r="G4">
        <v>156.75</v>
      </c>
      <c r="H4">
        <v>500.74</v>
      </c>
      <c r="I4">
        <v>0.69</v>
      </c>
      <c r="J4">
        <v>103.87</v>
      </c>
      <c r="K4">
        <v>360</v>
      </c>
      <c r="L4">
        <v>28.28</v>
      </c>
    </row>
    <row r="5" spans="1:21" x14ac:dyDescent="0.45">
      <c r="A5" s="5" t="s">
        <v>958</v>
      </c>
      <c r="B5">
        <v>1</v>
      </c>
      <c r="C5" t="s">
        <v>321</v>
      </c>
      <c r="D5">
        <v>0.51</v>
      </c>
      <c r="E5" s="6">
        <v>0.40263255938908382</v>
      </c>
      <c r="F5">
        <v>1.02</v>
      </c>
      <c r="G5">
        <v>116.88</v>
      </c>
      <c r="H5">
        <v>450.45</v>
      </c>
      <c r="I5">
        <v>0.74</v>
      </c>
      <c r="J5">
        <v>109.48</v>
      </c>
      <c r="K5">
        <v>352</v>
      </c>
      <c r="L5">
        <v>27.99</v>
      </c>
    </row>
    <row r="6" spans="1:21" x14ac:dyDescent="0.45">
      <c r="A6" s="5" t="s">
        <v>958</v>
      </c>
      <c r="B6">
        <v>1</v>
      </c>
      <c r="C6" t="s">
        <v>365</v>
      </c>
      <c r="D6">
        <v>0.36</v>
      </c>
      <c r="E6" s="6">
        <v>0.30553135444125629</v>
      </c>
      <c r="F6">
        <v>0.99</v>
      </c>
      <c r="G6">
        <v>115.7</v>
      </c>
      <c r="H6">
        <v>486.97</v>
      </c>
      <c r="I6">
        <v>0.76</v>
      </c>
      <c r="J6">
        <v>71.09</v>
      </c>
      <c r="K6">
        <v>222</v>
      </c>
      <c r="L6">
        <v>27.89</v>
      </c>
    </row>
    <row r="7" spans="1:21" x14ac:dyDescent="0.45">
      <c r="A7" s="5" t="s">
        <v>958</v>
      </c>
      <c r="B7">
        <v>1</v>
      </c>
      <c r="C7" t="s">
        <v>411</v>
      </c>
      <c r="D7">
        <v>0.34</v>
      </c>
      <c r="E7" s="6">
        <v>0.29345081015008517</v>
      </c>
      <c r="F7">
        <v>1.04</v>
      </c>
      <c r="G7">
        <v>113.72</v>
      </c>
      <c r="H7">
        <v>450.7</v>
      </c>
      <c r="I7">
        <v>0.75</v>
      </c>
      <c r="J7">
        <v>88.24</v>
      </c>
      <c r="K7">
        <v>281</v>
      </c>
      <c r="L7">
        <v>28.2</v>
      </c>
    </row>
    <row r="8" spans="1:21" x14ac:dyDescent="0.45">
      <c r="A8" s="5" t="s">
        <v>958</v>
      </c>
      <c r="B8">
        <v>1</v>
      </c>
      <c r="C8" t="s">
        <v>454</v>
      </c>
      <c r="D8">
        <v>0.39</v>
      </c>
      <c r="E8" s="6">
        <v>0.33147002691894162</v>
      </c>
      <c r="F8">
        <v>1.01</v>
      </c>
      <c r="G8">
        <v>120.09</v>
      </c>
      <c r="H8">
        <v>455.12</v>
      </c>
      <c r="I8">
        <v>0.74</v>
      </c>
      <c r="J8">
        <v>97.08</v>
      </c>
      <c r="K8">
        <v>314</v>
      </c>
      <c r="L8">
        <v>28.11</v>
      </c>
    </row>
    <row r="9" spans="1:21" x14ac:dyDescent="0.45">
      <c r="A9" s="5" t="s">
        <v>958</v>
      </c>
      <c r="B9">
        <v>1</v>
      </c>
      <c r="C9" t="s">
        <v>497</v>
      </c>
      <c r="D9">
        <v>0.48</v>
      </c>
      <c r="E9" s="6">
        <v>0.38328773328193111</v>
      </c>
      <c r="F9">
        <v>0.94</v>
      </c>
      <c r="G9">
        <v>116.48</v>
      </c>
      <c r="H9">
        <v>458.81</v>
      </c>
      <c r="I9">
        <v>0.75</v>
      </c>
      <c r="J9">
        <v>100.28</v>
      </c>
      <c r="K9">
        <v>320</v>
      </c>
      <c r="L9">
        <v>28.06</v>
      </c>
    </row>
    <row r="10" spans="1:21" x14ac:dyDescent="0.45">
      <c r="A10" s="5" t="s">
        <v>958</v>
      </c>
      <c r="B10">
        <v>1</v>
      </c>
      <c r="C10" t="s">
        <v>540</v>
      </c>
      <c r="D10">
        <v>0.37</v>
      </c>
      <c r="E10" s="6">
        <v>0.31248441932924381</v>
      </c>
      <c r="F10">
        <v>1.06</v>
      </c>
      <c r="G10">
        <v>120.83</v>
      </c>
      <c r="H10">
        <v>468.22</v>
      </c>
      <c r="I10">
        <v>0.74</v>
      </c>
      <c r="J10">
        <v>114.67</v>
      </c>
      <c r="K10">
        <v>368</v>
      </c>
      <c r="L10">
        <v>28.37</v>
      </c>
    </row>
    <row r="11" spans="1:21" x14ac:dyDescent="0.45">
      <c r="A11" s="5" t="s">
        <v>958</v>
      </c>
      <c r="B11">
        <v>1</v>
      </c>
    </row>
    <row r="12" spans="1:21" x14ac:dyDescent="0.45">
      <c r="A12" s="5" t="s">
        <v>958</v>
      </c>
      <c r="B12">
        <v>1</v>
      </c>
    </row>
    <row r="13" spans="1:21" ht="19.8" thickBot="1" x14ac:dyDescent="0.5">
      <c r="A13" s="7" t="s">
        <v>958</v>
      </c>
      <c r="B13" s="8">
        <v>1</v>
      </c>
    </row>
    <row r="14" spans="1:21" x14ac:dyDescent="0.45">
      <c r="A14" s="5" t="s">
        <v>959</v>
      </c>
      <c r="B14">
        <v>2</v>
      </c>
      <c r="C14" t="s">
        <v>583</v>
      </c>
      <c r="D14">
        <v>0.15</v>
      </c>
      <c r="E14" s="6">
        <v>0.14566066679524109</v>
      </c>
      <c r="F14">
        <v>1.21</v>
      </c>
      <c r="G14">
        <v>166.85</v>
      </c>
      <c r="H14">
        <v>521.77</v>
      </c>
      <c r="I14">
        <v>0.68</v>
      </c>
      <c r="J14">
        <v>99.99</v>
      </c>
      <c r="K14">
        <v>350</v>
      </c>
      <c r="L14">
        <v>28.8</v>
      </c>
    </row>
    <row r="15" spans="1:21" x14ac:dyDescent="0.45">
      <c r="A15" s="5" t="s">
        <v>959</v>
      </c>
      <c r="B15">
        <v>2</v>
      </c>
      <c r="C15" t="s">
        <v>623</v>
      </c>
      <c r="D15">
        <v>0.35</v>
      </c>
      <c r="E15" s="6">
        <v>0.29540853553853702</v>
      </c>
      <c r="F15">
        <v>1.02</v>
      </c>
      <c r="G15">
        <v>126.02</v>
      </c>
      <c r="H15">
        <v>470.08</v>
      </c>
      <c r="I15">
        <v>0.73</v>
      </c>
      <c r="J15">
        <v>112.51</v>
      </c>
      <c r="K15">
        <v>366</v>
      </c>
      <c r="L15">
        <v>28.24</v>
      </c>
    </row>
    <row r="16" spans="1:21" x14ac:dyDescent="0.45">
      <c r="A16" s="5" t="s">
        <v>959</v>
      </c>
      <c r="B16">
        <v>2</v>
      </c>
      <c r="C16" t="s">
        <v>662</v>
      </c>
      <c r="D16">
        <v>0.21</v>
      </c>
      <c r="E16" s="6">
        <v>0.19545931241146239</v>
      </c>
      <c r="F16">
        <v>1.21</v>
      </c>
      <c r="G16">
        <v>161.85</v>
      </c>
      <c r="H16">
        <v>399.54</v>
      </c>
      <c r="I16">
        <v>0.59</v>
      </c>
      <c r="J16">
        <v>185.64</v>
      </c>
      <c r="K16">
        <v>743</v>
      </c>
      <c r="L16">
        <v>29.77</v>
      </c>
    </row>
    <row r="17" spans="1:12" x14ac:dyDescent="0.45">
      <c r="A17" s="5" t="s">
        <v>959</v>
      </c>
      <c r="B17">
        <v>2</v>
      </c>
      <c r="C17" t="s">
        <v>704</v>
      </c>
      <c r="D17">
        <v>0.33</v>
      </c>
      <c r="E17" s="6">
        <v>0.28389927709943302</v>
      </c>
      <c r="F17">
        <v>1.1000000000000001</v>
      </c>
      <c r="G17">
        <v>181.93</v>
      </c>
      <c r="H17">
        <v>455.71</v>
      </c>
      <c r="I17">
        <v>0.6</v>
      </c>
      <c r="J17">
        <v>88.31</v>
      </c>
      <c r="K17">
        <v>350</v>
      </c>
      <c r="L17">
        <v>29.41</v>
      </c>
    </row>
    <row r="18" spans="1:12" x14ac:dyDescent="0.45">
      <c r="A18" s="5" t="s">
        <v>959</v>
      </c>
      <c r="B18">
        <v>2</v>
      </c>
      <c r="C18" t="s">
        <v>748</v>
      </c>
      <c r="D18">
        <v>0.38</v>
      </c>
      <c r="E18" s="6">
        <v>0.31802351924366268</v>
      </c>
      <c r="F18">
        <v>1.04</v>
      </c>
      <c r="G18">
        <v>149.13999999999999</v>
      </c>
      <c r="H18">
        <v>464.5</v>
      </c>
      <c r="I18">
        <v>0.68</v>
      </c>
      <c r="J18">
        <v>226.41</v>
      </c>
      <c r="K18">
        <v>794</v>
      </c>
      <c r="L18">
        <v>29.12</v>
      </c>
    </row>
    <row r="19" spans="1:12" x14ac:dyDescent="0.45">
      <c r="A19" s="5" t="s">
        <v>959</v>
      </c>
      <c r="B19">
        <v>2</v>
      </c>
      <c r="C19" t="s">
        <v>786</v>
      </c>
      <c r="D19">
        <v>0.24</v>
      </c>
      <c r="E19" s="6">
        <v>0.220172920391214</v>
      </c>
      <c r="F19">
        <v>1.1599999999999999</v>
      </c>
      <c r="G19">
        <v>150.75</v>
      </c>
      <c r="H19">
        <v>494.48</v>
      </c>
      <c r="I19">
        <v>0.7</v>
      </c>
      <c r="J19">
        <v>197.66</v>
      </c>
      <c r="K19">
        <v>677</v>
      </c>
      <c r="L19">
        <v>29.8</v>
      </c>
    </row>
    <row r="20" spans="1:12" x14ac:dyDescent="0.45">
      <c r="A20" s="5" t="s">
        <v>959</v>
      </c>
      <c r="B20">
        <v>2</v>
      </c>
      <c r="C20" t="s">
        <v>828</v>
      </c>
      <c r="D20">
        <v>0.3</v>
      </c>
      <c r="E20" s="6">
        <v>0.26248518152569478</v>
      </c>
      <c r="F20">
        <v>0.93</v>
      </c>
      <c r="G20">
        <v>122.82</v>
      </c>
      <c r="H20">
        <v>486.19</v>
      </c>
      <c r="I20">
        <v>0.75</v>
      </c>
      <c r="J20">
        <v>118.03</v>
      </c>
      <c r="K20">
        <v>376</v>
      </c>
      <c r="L20">
        <v>29.44</v>
      </c>
    </row>
    <row r="21" spans="1:12" x14ac:dyDescent="0.45">
      <c r="A21" s="5" t="s">
        <v>959</v>
      </c>
      <c r="B21">
        <v>2</v>
      </c>
      <c r="C21" t="s">
        <v>869</v>
      </c>
      <c r="D21">
        <v>0.28999999999999998</v>
      </c>
      <c r="E21" s="6">
        <v>0.25176896659102033</v>
      </c>
      <c r="F21">
        <v>1.1399999999999999</v>
      </c>
      <c r="G21">
        <v>140.41999999999999</v>
      </c>
      <c r="H21">
        <v>433.6</v>
      </c>
      <c r="I21">
        <v>0.68</v>
      </c>
      <c r="J21">
        <v>188.28</v>
      </c>
      <c r="K21">
        <v>663</v>
      </c>
      <c r="L21">
        <v>29.67</v>
      </c>
    </row>
    <row r="22" spans="1:12" x14ac:dyDescent="0.45">
      <c r="A22" s="5" t="s">
        <v>959</v>
      </c>
      <c r="B22">
        <v>2</v>
      </c>
      <c r="C22" t="s">
        <v>911</v>
      </c>
      <c r="D22">
        <v>0.28000000000000003</v>
      </c>
      <c r="E22" s="6">
        <v>0.24640507407747281</v>
      </c>
      <c r="F22">
        <v>1.17</v>
      </c>
      <c r="G22">
        <v>168.72</v>
      </c>
      <c r="H22">
        <v>513.89</v>
      </c>
      <c r="I22">
        <v>0.67</v>
      </c>
      <c r="J22">
        <v>126.66</v>
      </c>
      <c r="K22">
        <v>449</v>
      </c>
      <c r="L22">
        <v>29.54</v>
      </c>
    </row>
    <row r="23" spans="1:12" x14ac:dyDescent="0.45">
      <c r="A23" s="5" t="s">
        <v>959</v>
      </c>
      <c r="B23">
        <v>2</v>
      </c>
      <c r="E23" s="6"/>
    </row>
    <row r="24" spans="1:12" x14ac:dyDescent="0.45">
      <c r="A24" s="5" t="s">
        <v>959</v>
      </c>
      <c r="B24">
        <v>2</v>
      </c>
    </row>
    <row r="25" spans="1:12" ht="19.8" thickBot="1" x14ac:dyDescent="0.5">
      <c r="A25" s="7" t="s">
        <v>959</v>
      </c>
      <c r="B25" s="8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처리별 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2026-08-18T01:44:51Z</dcterms:created>
  <dcterms:modified xsi:type="dcterms:W3CDTF">2026-10-26T04:29:28Z</dcterms:modified>
</cp:coreProperties>
</file>