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jbnuackr-my.sharepoint.com/personal/yunjm9802_jbnu_ac_kr/Documents/바탕 화면/연구 과제/밭콩 과제/1차 년도(2026)/gsw, 형광/"/>
    </mc:Choice>
  </mc:AlternateContent>
  <xr:revisionPtr revIDLastSave="15" documentId="11_C205767EB8E975D4DC9401794F84ACC493925097" xr6:coauthVersionLast="47" xr6:coauthVersionMax="47" xr10:uidLastSave="{7305A188-4436-40F4-AA77-93FD90FBCC0F}"/>
  <bookViews>
    <workbookView xWindow="28680" yWindow="-120" windowWidth="29040" windowHeight="15720" activeTab="3" xr2:uid="{00000000-000D-0000-FFFF-FFFF00000000}"/>
  </bookViews>
  <sheets>
    <sheet name="lightfluoromete" sheetId="1" r:id="rId1"/>
    <sheet name="Clean_Data" sheetId="2" r:id="rId2"/>
    <sheet name="Selected_Data" sheetId="3" r:id="rId3"/>
    <sheet name="처리별 분류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4" l="1"/>
  <c r="T3" i="4"/>
  <c r="S3" i="4"/>
  <c r="R3" i="4"/>
  <c r="Q3" i="4"/>
  <c r="P3" i="4"/>
  <c r="O3" i="4"/>
  <c r="N3" i="4"/>
  <c r="M3" i="4"/>
  <c r="U2" i="4"/>
  <c r="T2" i="4"/>
  <c r="S2" i="4"/>
  <c r="R2" i="4"/>
  <c r="Q2" i="4"/>
  <c r="P2" i="4"/>
  <c r="O2" i="4"/>
  <c r="N2" i="4"/>
  <c r="M2" i="4"/>
  <c r="AL21" i="1"/>
  <c r="P21" i="1" s="1"/>
  <c r="AF21" i="1"/>
  <c r="U21" i="1"/>
  <c r="M21" i="1" s="1"/>
  <c r="K21" i="1"/>
  <c r="AL20" i="1"/>
  <c r="P20" i="1" s="1"/>
  <c r="AF20" i="1"/>
  <c r="U20" i="1"/>
  <c r="M20" i="1" s="1"/>
  <c r="K20" i="1"/>
  <c r="AL19" i="1"/>
  <c r="AF19" i="1"/>
  <c r="U19" i="1"/>
  <c r="M19" i="1" s="1"/>
  <c r="P19" i="1"/>
  <c r="T19" i="1" s="1"/>
  <c r="K19" i="1"/>
  <c r="AL18" i="1"/>
  <c r="AF18" i="1"/>
  <c r="U18" i="1"/>
  <c r="M18" i="1" s="1"/>
  <c r="L18" i="1" s="1"/>
  <c r="J18" i="1" s="1"/>
  <c r="T18" i="1"/>
  <c r="Q18" i="1"/>
  <c r="P18" i="1"/>
  <c r="K18" i="1"/>
  <c r="AL17" i="1"/>
  <c r="P17" i="1" s="1"/>
  <c r="AF17" i="1"/>
  <c r="U17" i="1"/>
  <c r="M17" i="1" s="1"/>
  <c r="K17" i="1"/>
  <c r="AL16" i="1"/>
  <c r="P16" i="1" s="1"/>
  <c r="AF16" i="1"/>
  <c r="U16" i="1"/>
  <c r="M16" i="1" s="1"/>
  <c r="K16" i="1"/>
  <c r="AL15" i="1"/>
  <c r="P15" i="1" s="1"/>
  <c r="AF15" i="1"/>
  <c r="U15" i="1"/>
  <c r="M15" i="1" s="1"/>
  <c r="K15" i="1"/>
  <c r="AL14" i="1"/>
  <c r="P14" i="1" s="1"/>
  <c r="AF14" i="1"/>
  <c r="U14" i="1"/>
  <c r="M14" i="1"/>
  <c r="K14" i="1"/>
  <c r="AL13" i="1"/>
  <c r="AF13" i="1"/>
  <c r="U13" i="1"/>
  <c r="P13" i="1"/>
  <c r="T13" i="1" s="1"/>
  <c r="L13" i="1" s="1"/>
  <c r="J13" i="1" s="1"/>
  <c r="M13" i="1"/>
  <c r="K13" i="1"/>
  <c r="AL12" i="1"/>
  <c r="AF12" i="1"/>
  <c r="U12" i="1"/>
  <c r="P12" i="1"/>
  <c r="Q12" i="1" s="1"/>
  <c r="M12" i="1"/>
  <c r="K12" i="1"/>
  <c r="AL11" i="1"/>
  <c r="AF11" i="1"/>
  <c r="U11" i="1"/>
  <c r="P11" i="1"/>
  <c r="Q11" i="1" s="1"/>
  <c r="M11" i="1"/>
  <c r="K11" i="1"/>
  <c r="AL10" i="1"/>
  <c r="AF10" i="1"/>
  <c r="U10" i="1"/>
  <c r="M10" i="1" s="1"/>
  <c r="P10" i="1"/>
  <c r="Q10" i="1" s="1"/>
  <c r="K10" i="1"/>
  <c r="AL9" i="1"/>
  <c r="P9" i="1" s="1"/>
  <c r="AF9" i="1"/>
  <c r="U9" i="1"/>
  <c r="M9" i="1" s="1"/>
  <c r="K9" i="1"/>
  <c r="AL8" i="1"/>
  <c r="P8" i="1" s="1"/>
  <c r="AF8" i="1"/>
  <c r="U8" i="1"/>
  <c r="M8" i="1" s="1"/>
  <c r="K8" i="1"/>
  <c r="AL7" i="1"/>
  <c r="P7" i="1" s="1"/>
  <c r="AF7" i="1"/>
  <c r="U7" i="1"/>
  <c r="M7" i="1" s="1"/>
  <c r="K7" i="1"/>
  <c r="AL6" i="1"/>
  <c r="P6" i="1" s="1"/>
  <c r="AF6" i="1"/>
  <c r="U6" i="1"/>
  <c r="M6" i="1" s="1"/>
  <c r="K6" i="1"/>
  <c r="AL5" i="1"/>
  <c r="P5" i="1" s="1"/>
  <c r="AF5" i="1"/>
  <c r="U5" i="1"/>
  <c r="M5" i="1"/>
  <c r="K5" i="1"/>
  <c r="AL4" i="1"/>
  <c r="AF4" i="1"/>
  <c r="U4" i="1"/>
  <c r="P4" i="1"/>
  <c r="T4" i="1" s="1"/>
  <c r="L4" i="1" s="1"/>
  <c r="J4" i="1" s="1"/>
  <c r="M4" i="1"/>
  <c r="K4" i="1"/>
  <c r="T7" i="1" l="1"/>
  <c r="L7" i="1" s="1"/>
  <c r="J7" i="1" s="1"/>
  <c r="Q7" i="1"/>
  <c r="Q14" i="1"/>
  <c r="T14" i="1"/>
  <c r="L14" i="1" s="1"/>
  <c r="J14" i="1" s="1"/>
  <c r="Q9" i="1"/>
  <c r="T9" i="1"/>
  <c r="L9" i="1" s="1"/>
  <c r="J9" i="1" s="1"/>
  <c r="T20" i="1"/>
  <c r="Q20" i="1"/>
  <c r="T15" i="1"/>
  <c r="L15" i="1" s="1"/>
  <c r="J15" i="1" s="1"/>
  <c r="Q15" i="1"/>
  <c r="L16" i="1"/>
  <c r="J16" i="1" s="1"/>
  <c r="L20" i="1"/>
  <c r="J20" i="1" s="1"/>
  <c r="L10" i="1"/>
  <c r="J10" i="1" s="1"/>
  <c r="T17" i="1"/>
  <c r="Q17" i="1"/>
  <c r="Q8" i="1"/>
  <c r="T8" i="1"/>
  <c r="L8" i="1" s="1"/>
  <c r="J8" i="1" s="1"/>
  <c r="L19" i="1"/>
  <c r="J19" i="1" s="1"/>
  <c r="Q16" i="1"/>
  <c r="T16" i="1"/>
  <c r="Q5" i="1"/>
  <c r="T5" i="1"/>
  <c r="L5" i="1" s="1"/>
  <c r="J5" i="1" s="1"/>
  <c r="L17" i="1"/>
  <c r="J17" i="1" s="1"/>
  <c r="T6" i="1"/>
  <c r="L6" i="1" s="1"/>
  <c r="J6" i="1" s="1"/>
  <c r="Q6" i="1"/>
  <c r="T21" i="1"/>
  <c r="L21" i="1" s="1"/>
  <c r="J21" i="1" s="1"/>
  <c r="Q21" i="1"/>
  <c r="T11" i="1"/>
  <c r="L11" i="1" s="1"/>
  <c r="J11" i="1" s="1"/>
  <c r="Q4" i="1"/>
  <c r="Q13" i="1"/>
  <c r="Q19" i="1"/>
  <c r="T10" i="1"/>
  <c r="T12" i="1"/>
  <c r="L12" i="1" s="1"/>
  <c r="J12" i="1" s="1"/>
</calcChain>
</file>

<file path=xl/sharedStrings.xml><?xml version="1.0" encoding="utf-8"?>
<sst xmlns="http://schemas.openxmlformats.org/spreadsheetml/2006/main" count="2627" uniqueCount="796">
  <si>
    <t>SYS</t>
  </si>
  <si>
    <t>USERDEF</t>
  </si>
  <si>
    <t>PORO</t>
  </si>
  <si>
    <t>FLUORO</t>
  </si>
  <si>
    <t>SENSOR</t>
  </si>
  <si>
    <t>LEAF_ANGLE</t>
  </si>
  <si>
    <t>MATCH</t>
  </si>
  <si>
    <t>STABILITY</t>
  </si>
  <si>
    <t>P_CONFIG</t>
  </si>
  <si>
    <t>FL_CONFIG</t>
  </si>
  <si>
    <t>SENSOR_V</t>
  </si>
  <si>
    <t>USERCAL</t>
  </si>
  <si>
    <t>META</t>
  </si>
  <si>
    <t>Obs#</t>
  </si>
  <si>
    <t>Time</t>
  </si>
  <si>
    <t>Date</t>
  </si>
  <si>
    <t>configName</t>
  </si>
  <si>
    <t>configAuthor</t>
  </si>
  <si>
    <t>remark</t>
  </si>
  <si>
    <t>Species</t>
  </si>
  <si>
    <t>Treatment</t>
  </si>
  <si>
    <t>Number</t>
  </si>
  <si>
    <t>gsw</t>
  </si>
  <si>
    <t>gbw</t>
  </si>
  <si>
    <t>gtw</t>
  </si>
  <si>
    <t>E_apparent</t>
  </si>
  <si>
    <t>VPcham</t>
  </si>
  <si>
    <t>VPref</t>
  </si>
  <si>
    <t>VPleaf</t>
  </si>
  <si>
    <t>VPDleaf</t>
  </si>
  <si>
    <t>H2O_r</t>
  </si>
  <si>
    <t>H2O_s</t>
  </si>
  <si>
    <t>H2O_leaf</t>
  </si>
  <si>
    <t>leaf_area</t>
  </si>
  <si>
    <t>leaf_width</t>
  </si>
  <si>
    <t>flashID</t>
  </si>
  <si>
    <t>Fo</t>
  </si>
  <si>
    <t>Fm</t>
  </si>
  <si>
    <t>Fv/Fm</t>
  </si>
  <si>
    <t>Fs</t>
  </si>
  <si>
    <t>Fm'</t>
  </si>
  <si>
    <t>PhiPS2</t>
  </si>
  <si>
    <t>PS2/1</t>
  </si>
  <si>
    <t>abs</t>
  </si>
  <si>
    <t>ETR</t>
  </si>
  <si>
    <t>TRANS</t>
  </si>
  <si>
    <t>rh_s</t>
  </si>
  <si>
    <t>rh_r</t>
  </si>
  <si>
    <t>Tref</t>
  </si>
  <si>
    <t>Tmeas</t>
  </si>
  <si>
    <t>Tleaf</t>
  </si>
  <si>
    <t>P_atm</t>
  </si>
  <si>
    <t>flow</t>
  </si>
  <si>
    <t>flow_s</t>
  </si>
  <si>
    <t>leak_pct</t>
  </si>
  <si>
    <t>Qamb</t>
  </si>
  <si>
    <t>batt</t>
  </si>
  <si>
    <t>pitch</t>
  </si>
  <si>
    <t>roll</t>
  </si>
  <si>
    <t>heading</t>
  </si>
  <si>
    <t>angle_inc_leaf</t>
  </si>
  <si>
    <t>direct_pct</t>
  </si>
  <si>
    <t>slope_leaf</t>
  </si>
  <si>
    <t>az_leaf</t>
  </si>
  <si>
    <t>dec_solar</t>
  </si>
  <si>
    <t>az_solar</t>
  </si>
  <si>
    <t>zenith_solar</t>
  </si>
  <si>
    <t>match_time</t>
  </si>
  <si>
    <t>match_date</t>
  </si>
  <si>
    <t>rh_adj</t>
  </si>
  <si>
    <t>type</t>
  </si>
  <si>
    <t>gsw1sec</t>
  </si>
  <si>
    <t>gsw2sec</t>
  </si>
  <si>
    <t>gsw4sec</t>
  </si>
  <si>
    <t>flr1sec</t>
  </si>
  <si>
    <t>flr2sec</t>
  </si>
  <si>
    <t>flr4sec</t>
  </si>
  <si>
    <t>auto</t>
  </si>
  <si>
    <t>flow_set</t>
  </si>
  <si>
    <t>gsw_limit</t>
  </si>
  <si>
    <t>gsw_period</t>
  </si>
  <si>
    <t>aw</t>
  </si>
  <si>
    <t>Bla</t>
  </si>
  <si>
    <t>Blb</t>
  </si>
  <si>
    <t>Blc</t>
  </si>
  <si>
    <t>Bld</t>
  </si>
  <si>
    <t>Ble</t>
  </si>
  <si>
    <t>chamber</t>
  </si>
  <si>
    <t>dark</t>
  </si>
  <si>
    <t>flash_type</t>
  </si>
  <si>
    <t>flash_intensity</t>
  </si>
  <si>
    <t>modrate</t>
  </si>
  <si>
    <t>flr_limit</t>
  </si>
  <si>
    <t>flr_period</t>
  </si>
  <si>
    <t>P1_dur</t>
  </si>
  <si>
    <t>P2_dur</t>
  </si>
  <si>
    <t>P3_dur</t>
  </si>
  <si>
    <t>P1_Fmax</t>
  </si>
  <si>
    <t>P2_ramp</t>
  </si>
  <si>
    <t>P2_slp</t>
  </si>
  <si>
    <t>P3_Fmax</t>
  </si>
  <si>
    <t>P3_Pred</t>
  </si>
  <si>
    <t>P3_DeltaF</t>
  </si>
  <si>
    <t>v_humA</t>
  </si>
  <si>
    <t>v_humB</t>
  </si>
  <si>
    <t>v_flowIn</t>
  </si>
  <si>
    <t>v_flowOut</t>
  </si>
  <si>
    <t>v_temp</t>
  </si>
  <si>
    <t>v_irt</t>
  </si>
  <si>
    <t>v_pres</t>
  </si>
  <si>
    <t>v_par</t>
  </si>
  <si>
    <t>v_F</t>
  </si>
  <si>
    <t>i_LED</t>
  </si>
  <si>
    <t>b_rhr</t>
  </si>
  <si>
    <t>m_rhr</t>
  </si>
  <si>
    <t>span_rhr</t>
  </si>
  <si>
    <t>b_rhs</t>
  </si>
  <si>
    <t>m_rhs</t>
  </si>
  <si>
    <t>span_rhs</t>
  </si>
  <si>
    <t>z_flowIn</t>
  </si>
  <si>
    <t>z_flowOut</t>
  </si>
  <si>
    <t>z_quantum</t>
  </si>
  <si>
    <t>z_flr</t>
  </si>
  <si>
    <t>flashId</t>
  </si>
  <si>
    <t>lciSerNum</t>
  </si>
  <si>
    <t>lcpSerNum</t>
  </si>
  <si>
    <t>lcfSerNum</t>
  </si>
  <si>
    <t>lcrhSerNum</t>
  </si>
  <si>
    <t>version</t>
  </si>
  <si>
    <t>configUpdatedAt</t>
  </si>
  <si>
    <t>HHMMSS</t>
  </si>
  <si>
    <t>YYYYMMDD</t>
  </si>
  <si>
    <t>mol+1m-2s-1</t>
  </si>
  <si>
    <t>mmol+1m-2s-1</t>
  </si>
  <si>
    <t>kPa</t>
  </si>
  <si>
    <t>mmol+1mol-1</t>
  </si>
  <si>
    <t>cm+2</t>
  </si>
  <si>
    <t>mm</t>
  </si>
  <si>
    <t>umol+1m-2s-1</t>
  </si>
  <si>
    <t>%</t>
  </si>
  <si>
    <t>C</t>
  </si>
  <si>
    <t>umol+1sec-1</t>
  </si>
  <si>
    <t>V</t>
  </si>
  <si>
    <t>degrees</t>
  </si>
  <si>
    <t>(umol+1m-2s-1)s-1</t>
  </si>
  <si>
    <t>s</t>
  </si>
  <si>
    <t>Hz</t>
  </si>
  <si>
    <t>s-1</t>
  </si>
  <si>
    <t>ms</t>
  </si>
  <si>
    <t>A</t>
  </si>
  <si>
    <t>1</t>
  </si>
  <si>
    <t>08:37:17</t>
  </si>
  <si>
    <t>2026-08-17</t>
  </si>
  <si>
    <t>lightfluoromete</t>
  </si>
  <si>
    <t>yun</t>
  </si>
  <si>
    <t>001</t>
  </si>
  <si>
    <t>2.368947</t>
  </si>
  <si>
    <t>2.241820</t>
  </si>
  <si>
    <t>22.344851</t>
  </si>
  <si>
    <t>23.611967</t>
  </si>
  <si>
    <t>7.500000</t>
  </si>
  <si>
    <t>PSF-01106_20260817083717_279</t>
  </si>
  <si>
    <t>0.000000</t>
  </si>
  <si>
    <t>125.102165</t>
  </si>
  <si>
    <t>414.278992</t>
  </si>
  <si>
    <t>0.698024</t>
  </si>
  <si>
    <t>0.5</t>
  </si>
  <si>
    <t>0.84</t>
  </si>
  <si>
    <t>1.000000</t>
  </si>
  <si>
    <t>67.53</t>
  </si>
  <si>
    <t>63.90</t>
  </si>
  <si>
    <t>26.66</t>
  </si>
  <si>
    <t>25.59</t>
  </si>
  <si>
    <t>100.33</t>
  </si>
  <si>
    <t>156.0</t>
  </si>
  <si>
    <t>148.2</t>
  </si>
  <si>
    <t>5.0</t>
  </si>
  <si>
    <t>487</t>
  </si>
  <si>
    <t>3.894</t>
  </si>
  <si>
    <t>-19</t>
  </si>
  <si>
    <t>-3</t>
  </si>
  <si>
    <t>209</t>
  </si>
  <si>
    <t>08:36:13</t>
  </si>
  <si>
    <t>-2.38</t>
  </si>
  <si>
    <t>-0.004</t>
  </si>
  <si>
    <t>-0.001</t>
  </si>
  <si>
    <t>0.004</t>
  </si>
  <si>
    <t>-0.069</t>
  </si>
  <si>
    <t>-0.456</t>
  </si>
  <si>
    <t>-0.457</t>
  </si>
  <si>
    <t>150</t>
  </si>
  <si>
    <t>0.001</t>
  </si>
  <si>
    <t>2.000000</t>
  </si>
  <si>
    <t>0.058905</t>
  </si>
  <si>
    <t>0.029230</t>
  </si>
  <si>
    <t>-0.000068</t>
  </si>
  <si>
    <t>standard</t>
  </si>
  <si>
    <t>0</t>
  </si>
  <si>
    <t>rectangular</t>
  </si>
  <si>
    <t>6000</t>
  </si>
  <si>
    <t>500</t>
  </si>
  <si>
    <t>55537</t>
  </si>
  <si>
    <t>-9999</t>
  </si>
  <si>
    <t>2.523965</t>
  </si>
  <si>
    <t>2.468334</t>
  </si>
  <si>
    <t>1.669870</t>
  </si>
  <si>
    <t>0.923988</t>
  </si>
  <si>
    <t>0.255292</t>
  </si>
  <si>
    <t>-0.011713</t>
  </si>
  <si>
    <t>0.084565</t>
  </si>
  <si>
    <t>0.531541</t>
  </si>
  <si>
    <t>0.000338</t>
  </si>
  <si>
    <t>2.422871</t>
  </si>
  <si>
    <t>-0.000027</t>
  </si>
  <si>
    <t>2.366660</t>
  </si>
  <si>
    <t>-0.000011</t>
  </si>
  <si>
    <t>0.600352</t>
  </si>
  <si>
    <t>0.601307</t>
  </si>
  <si>
    <t>0.107059</t>
  </si>
  <si>
    <t>PFA-01006</t>
  </si>
  <si>
    <t>PSA-01011</t>
  </si>
  <si>
    <t>PSF-01106</t>
  </si>
  <si>
    <t>RHS-01988</t>
  </si>
  <si>
    <t>3.0.0</t>
  </si>
  <si>
    <t>2026-02-03T01:17:36.552Z</t>
  </si>
  <si>
    <t>2</t>
  </si>
  <si>
    <t>08:37:56</t>
  </si>
  <si>
    <t>002</t>
  </si>
  <si>
    <t>2.434028</t>
  </si>
  <si>
    <t>2.314363</t>
  </si>
  <si>
    <t>23.068996</t>
  </si>
  <si>
    <t>24.261795</t>
  </si>
  <si>
    <t>PSF-01106_20260817083756_474</t>
  </si>
  <si>
    <t>161.379929</t>
  </si>
  <si>
    <t>461.819183</t>
  </si>
  <si>
    <t>0.650556</t>
  </si>
  <si>
    <t>68.58</t>
  </si>
  <si>
    <t>65.21</t>
  </si>
  <si>
    <t>26.86</t>
  </si>
  <si>
    <t>26.47</t>
  </si>
  <si>
    <t>100.32</t>
  </si>
  <si>
    <t>156.2</t>
  </si>
  <si>
    <t>154.9</t>
  </si>
  <si>
    <t>0.9</t>
  </si>
  <si>
    <t>541</t>
  </si>
  <si>
    <t>-26</t>
  </si>
  <si>
    <t>-15</t>
  </si>
  <si>
    <t>183</t>
  </si>
  <si>
    <t>-0.003</t>
  </si>
  <si>
    <t>-0.060</t>
  </si>
  <si>
    <t>-0.168</t>
  </si>
  <si>
    <t>-0.497</t>
  </si>
  <si>
    <t>2.525722</t>
  </si>
  <si>
    <t>2.469628</t>
  </si>
  <si>
    <t>1.671925</t>
  </si>
  <si>
    <t>0.941142</t>
  </si>
  <si>
    <t>0.253302</t>
  </si>
  <si>
    <t>-0.003652</t>
  </si>
  <si>
    <t>0.091301</t>
  </si>
  <si>
    <t>0.578507</t>
  </si>
  <si>
    <t>0.000339</t>
  </si>
  <si>
    <t>3</t>
  </si>
  <si>
    <t>08:38:30</t>
  </si>
  <si>
    <t>003</t>
  </si>
  <si>
    <t>2.542451</t>
  </si>
  <si>
    <t>2.368055</t>
  </si>
  <si>
    <t>23.603426</t>
  </si>
  <si>
    <t>25.341705</t>
  </si>
  <si>
    <t>PSF-01106_20260817083830_3b9</t>
  </si>
  <si>
    <t>170.271988</t>
  </si>
  <si>
    <t>352.973328</t>
  </si>
  <si>
    <t>0.517607</t>
  </si>
  <si>
    <t>70.85</t>
  </si>
  <si>
    <t>65.99</t>
  </si>
  <si>
    <t>27.04</t>
  </si>
  <si>
    <t>28.08</t>
  </si>
  <si>
    <t>156.1</t>
  </si>
  <si>
    <t>154.8</t>
  </si>
  <si>
    <t>898</t>
  </si>
  <si>
    <t>3.892</t>
  </si>
  <si>
    <t>-36</t>
  </si>
  <si>
    <t>-22</t>
  </si>
  <si>
    <t>133</t>
  </si>
  <si>
    <t>-0.002</t>
  </si>
  <si>
    <t>-0.005</t>
  </si>
  <si>
    <t>0.524</t>
  </si>
  <si>
    <t>-0.201</t>
  </si>
  <si>
    <t>-0.101</t>
  </si>
  <si>
    <t>2.526749</t>
  </si>
  <si>
    <t>2.472447</t>
  </si>
  <si>
    <t>1.671261</t>
  </si>
  <si>
    <t>0.940874</t>
  </si>
  <si>
    <t>0.251411</t>
  </si>
  <si>
    <t>0.013323</t>
  </si>
  <si>
    <t>0.096759</t>
  </si>
  <si>
    <t>0.890234</t>
  </si>
  <si>
    <t>0.000334</t>
  </si>
  <si>
    <t>4</t>
  </si>
  <si>
    <t>08:39:41</t>
  </si>
  <si>
    <t>004</t>
  </si>
  <si>
    <t>2.599848</t>
  </si>
  <si>
    <t>2.497798</t>
  </si>
  <si>
    <t>24.894955</t>
  </si>
  <si>
    <t>25.912058</t>
  </si>
  <si>
    <t>PSF-01106_20260817083941_2cf</t>
  </si>
  <si>
    <t>168.407684</t>
  </si>
  <si>
    <t>393.416412</t>
  </si>
  <si>
    <t>0.571935</t>
  </si>
  <si>
    <t>70.84</t>
  </si>
  <si>
    <t>68.06</t>
  </si>
  <si>
    <t>27.43</t>
  </si>
  <si>
    <t>27.07</t>
  </si>
  <si>
    <t>147.1</t>
  </si>
  <si>
    <t>5.7</t>
  </si>
  <si>
    <t>502</t>
  </si>
  <si>
    <t>3.889</t>
  </si>
  <si>
    <t>-28</t>
  </si>
  <si>
    <t>-1</t>
  </si>
  <si>
    <t>145</t>
  </si>
  <si>
    <t>0.000</t>
  </si>
  <si>
    <t>0.068</t>
  </si>
  <si>
    <t>0.153</t>
  </si>
  <si>
    <t>0.705</t>
  </si>
  <si>
    <t>2.529507</t>
  </si>
  <si>
    <t>2.472372</t>
  </si>
  <si>
    <t>1.670625</t>
  </si>
  <si>
    <t>0.921327</t>
  </si>
  <si>
    <t>0.247619</t>
  </si>
  <si>
    <t>-0.003395</t>
  </si>
  <si>
    <t>0.107998</t>
  </si>
  <si>
    <t>0.544866</t>
  </si>
  <si>
    <t>5</t>
  </si>
  <si>
    <t>08:40:08</t>
  </si>
  <si>
    <t>005</t>
  </si>
  <si>
    <t>2.682595</t>
  </si>
  <si>
    <t>2.592426</t>
  </si>
  <si>
    <t>25.835705</t>
  </si>
  <si>
    <t>26.734322</t>
  </si>
  <si>
    <t>PSF-01106_20260817084008_0e0</t>
  </si>
  <si>
    <t>162.085892</t>
  </si>
  <si>
    <t>487.148895</t>
  </si>
  <si>
    <t>0.667276</t>
  </si>
  <si>
    <t>72.39</t>
  </si>
  <si>
    <t>69.96</t>
  </si>
  <si>
    <t>27.59</t>
  </si>
  <si>
    <t>27.29</t>
  </si>
  <si>
    <t>100.34</t>
  </si>
  <si>
    <t>151.8</t>
  </si>
  <si>
    <t>2.8</t>
  </si>
  <si>
    <t>448</t>
  </si>
  <si>
    <t>6</t>
  </si>
  <si>
    <t>146</t>
  </si>
  <si>
    <t>-0.007</t>
  </si>
  <si>
    <t>0.073</t>
  </si>
  <si>
    <t>-0.223</t>
  </si>
  <si>
    <t>-0.440</t>
  </si>
  <si>
    <t>2.532070</t>
  </si>
  <si>
    <t>2.474299</t>
  </si>
  <si>
    <t>1.671433</t>
  </si>
  <si>
    <t>0.933244</t>
  </si>
  <si>
    <t>0.246000</t>
  </si>
  <si>
    <t>-0.002791</t>
  </si>
  <si>
    <t>0.112014</t>
  </si>
  <si>
    <t>0.498029</t>
  </si>
  <si>
    <t>0.000337</t>
  </si>
  <si>
    <t>08:41:24</t>
  </si>
  <si>
    <t>006</t>
  </si>
  <si>
    <t>2.757473</t>
  </si>
  <si>
    <t>2.675160</t>
  </si>
  <si>
    <t>26.657036</t>
  </si>
  <si>
    <t>27.477259</t>
  </si>
  <si>
    <t>PSF-01106_20260817084124_b06</t>
  </si>
  <si>
    <t>123.594048</t>
  </si>
  <si>
    <t>444.423065</t>
  </si>
  <si>
    <t>0.721900</t>
  </si>
  <si>
    <t>72.48</t>
  </si>
  <si>
    <t>70.32</t>
  </si>
  <si>
    <t>28.04</t>
  </si>
  <si>
    <t>27.40</t>
  </si>
  <si>
    <t>100.35</t>
  </si>
  <si>
    <t>155.9</t>
  </si>
  <si>
    <t>149.1</t>
  </si>
  <si>
    <t>4.4</t>
  </si>
  <si>
    <t>376</t>
  </si>
  <si>
    <t>3.887</t>
  </si>
  <si>
    <t>-20</t>
  </si>
  <si>
    <t>7</t>
  </si>
  <si>
    <t>156</t>
  </si>
  <si>
    <t>-0.000</t>
  </si>
  <si>
    <t>-0.006</t>
  </si>
  <si>
    <t>0.163</t>
  </si>
  <si>
    <t>0.223</t>
  </si>
  <si>
    <t>0.779</t>
  </si>
  <si>
    <t>2.532468</t>
  </si>
  <si>
    <t>2.474337</t>
  </si>
  <si>
    <t>1.669484</t>
  </si>
  <si>
    <t>0.926390</t>
  </si>
  <si>
    <t>0.241645</t>
  </si>
  <si>
    <t>-0.006895</t>
  </si>
  <si>
    <t>0.123213</t>
  </si>
  <si>
    <t>0.434529</t>
  </si>
  <si>
    <t>0.000344</t>
  </si>
  <si>
    <t>08:41:41</t>
  </si>
  <si>
    <t>007</t>
  </si>
  <si>
    <t>2.707857</t>
  </si>
  <si>
    <t>2.630883</t>
  </si>
  <si>
    <t>26.216806</t>
  </si>
  <si>
    <t>26.983856</t>
  </si>
  <si>
    <t>PSF-01106_20260817084141_f5a</t>
  </si>
  <si>
    <t>125.960831</t>
  </si>
  <si>
    <t>485.413666</t>
  </si>
  <si>
    <t>0.740508</t>
  </si>
  <si>
    <t>70.80</t>
  </si>
  <si>
    <t>68.79</t>
  </si>
  <si>
    <t>28.13</t>
  </si>
  <si>
    <t>27.71</t>
  </si>
  <si>
    <t>0.6</t>
  </si>
  <si>
    <t>529</t>
  </si>
  <si>
    <t>3.885</t>
  </si>
  <si>
    <t>-14</t>
  </si>
  <si>
    <t>16</t>
  </si>
  <si>
    <t>143</t>
  </si>
  <si>
    <t>0.278</t>
  </si>
  <si>
    <t>2.530360</t>
  </si>
  <si>
    <t>2.472202</t>
  </si>
  <si>
    <t>1.669355</t>
  </si>
  <si>
    <t>0.941233</t>
  </si>
  <si>
    <t>0.240780</t>
  </si>
  <si>
    <t>-0.004190</t>
  </si>
  <si>
    <t>0.125487</t>
  </si>
  <si>
    <t>0.568194</t>
  </si>
  <si>
    <t>0.000349</t>
  </si>
  <si>
    <t>8</t>
  </si>
  <si>
    <t>08:43:03</t>
  </si>
  <si>
    <t>008</t>
  </si>
  <si>
    <t>2.858378</t>
  </si>
  <si>
    <t>2.792842</t>
  </si>
  <si>
    <t>27.829344</t>
  </si>
  <si>
    <t>28.482388</t>
  </si>
  <si>
    <t>PSF-01106_20260817084303_c25</t>
  </si>
  <si>
    <t>125.554207</t>
  </si>
  <si>
    <t>487.134216</t>
  </si>
  <si>
    <t>0.742260</t>
  </si>
  <si>
    <t>72.85</t>
  </si>
  <si>
    <t>71.18</t>
  </si>
  <si>
    <t>28.57</t>
  </si>
  <si>
    <t>27.70</t>
  </si>
  <si>
    <t>100.36</t>
  </si>
  <si>
    <t>154.6</t>
  </si>
  <si>
    <t>1.0</t>
  </si>
  <si>
    <t>510</t>
  </si>
  <si>
    <t>148</t>
  </si>
  <si>
    <t>0.002</t>
  </si>
  <si>
    <t>0.208</t>
  </si>
  <si>
    <t>0.797</t>
  </si>
  <si>
    <t>-0.059</t>
  </si>
  <si>
    <t>2.533532</t>
  </si>
  <si>
    <t>2.474708</t>
  </si>
  <si>
    <t>1.670945</t>
  </si>
  <si>
    <t>0.940422</t>
  </si>
  <si>
    <t>0.236610</t>
  </si>
  <si>
    <t>-0.009700</t>
  </si>
  <si>
    <t>0.137031</t>
  </si>
  <si>
    <t>0.551432</t>
  </si>
  <si>
    <t>0.000343</t>
  </si>
  <si>
    <t>9</t>
  </si>
  <si>
    <t>08:43:34</t>
  </si>
  <si>
    <t>009</t>
  </si>
  <si>
    <t>2.810376</t>
  </si>
  <si>
    <t>2.698723</t>
  </si>
  <si>
    <t>26.894918</t>
  </si>
  <si>
    <t>28.007626</t>
  </si>
  <si>
    <t>PSF-01106_20260817084334_dfc</t>
  </si>
  <si>
    <t>134.596832</t>
  </si>
  <si>
    <t>466.677917</t>
  </si>
  <si>
    <t>0.711585</t>
  </si>
  <si>
    <t>70.98</t>
  </si>
  <si>
    <t>68.16</t>
  </si>
  <si>
    <t>28.73</t>
  </si>
  <si>
    <t>27.87</t>
  </si>
  <si>
    <t>130.3</t>
  </si>
  <si>
    <t>16.5</t>
  </si>
  <si>
    <t>515</t>
  </si>
  <si>
    <t>3.884</t>
  </si>
  <si>
    <t>-37</t>
  </si>
  <si>
    <t>-17</t>
  </si>
  <si>
    <t>0.008</t>
  </si>
  <si>
    <t>-0.216</t>
  </si>
  <si>
    <t>-0.076</t>
  </si>
  <si>
    <t>2.529378</t>
  </si>
  <si>
    <t>2.472328</t>
  </si>
  <si>
    <t>1.671389</t>
  </si>
  <si>
    <t>0.879397</t>
  </si>
  <si>
    <t>0.235167</t>
  </si>
  <si>
    <t>-0.009512</t>
  </si>
  <si>
    <t>0.141205</t>
  </si>
  <si>
    <t>0.556530</t>
  </si>
  <si>
    <t>0.000347</t>
  </si>
  <si>
    <t>10</t>
  </si>
  <si>
    <t>08:44:23</t>
  </si>
  <si>
    <t>010</t>
  </si>
  <si>
    <t>2.782165</t>
  </si>
  <si>
    <t>2.683149</t>
  </si>
  <si>
    <t>26.738440</t>
  </si>
  <si>
    <t>27.725168</t>
  </si>
  <si>
    <t>PSF-01106_20260817084423_111</t>
  </si>
  <si>
    <t>137.651688</t>
  </si>
  <si>
    <t>475.405457</t>
  </si>
  <si>
    <t>0.710454</t>
  </si>
  <si>
    <t>69.33</t>
  </si>
  <si>
    <t>66.86</t>
  </si>
  <si>
    <t>28.96</t>
  </si>
  <si>
    <t>27.89</t>
  </si>
  <si>
    <t>155.7</t>
  </si>
  <si>
    <t>152.1</t>
  </si>
  <si>
    <t>2.3</t>
  </si>
  <si>
    <t>435</t>
  </si>
  <si>
    <t>3.883</t>
  </si>
  <si>
    <t>-24</t>
  </si>
  <si>
    <t>151</t>
  </si>
  <si>
    <t>0.005</t>
  </si>
  <si>
    <t>-0.244</t>
  </si>
  <si>
    <t>-0.618</t>
  </si>
  <si>
    <t>-0.910</t>
  </si>
  <si>
    <t>2.527546</t>
  </si>
  <si>
    <t>2.470197</t>
  </si>
  <si>
    <t>1.667930</t>
  </si>
  <si>
    <t>0.934091</t>
  </si>
  <si>
    <t>0.233011</t>
  </si>
  <si>
    <t>-0.012050</t>
  </si>
  <si>
    <t>0.147657</t>
  </si>
  <si>
    <t>0.486517</t>
  </si>
  <si>
    <t>0.000345</t>
  </si>
  <si>
    <t>11</t>
  </si>
  <si>
    <t>08:44:44</t>
  </si>
  <si>
    <t>011</t>
  </si>
  <si>
    <t>2.765628</t>
  </si>
  <si>
    <t>2.690198</t>
  </si>
  <si>
    <t>26.809155</t>
  </si>
  <si>
    <t>27.560848</t>
  </si>
  <si>
    <t>PSF-01106_20260817084444_48f</t>
  </si>
  <si>
    <t>190.945023</t>
  </si>
  <si>
    <t>457.364563</t>
  </si>
  <si>
    <t>0.582510</t>
  </si>
  <si>
    <t>68.52</t>
  </si>
  <si>
    <t>66.65</t>
  </si>
  <si>
    <t>29.06</t>
  </si>
  <si>
    <t>28.86</t>
  </si>
  <si>
    <t>155.2</t>
  </si>
  <si>
    <t>641</t>
  </si>
  <si>
    <t>3.882</t>
  </si>
  <si>
    <t>-40</t>
  </si>
  <si>
    <t>-12</t>
  </si>
  <si>
    <t>113</t>
  </si>
  <si>
    <t>-0.434</t>
  </si>
  <si>
    <t>-0.162</t>
  </si>
  <si>
    <t>-1.192</t>
  </si>
  <si>
    <t>2.527241</t>
  </si>
  <si>
    <t>2.469161</t>
  </si>
  <si>
    <t>1.669459</t>
  </si>
  <si>
    <t>0.941950</t>
  </si>
  <si>
    <t>0.232099</t>
  </si>
  <si>
    <t>-0.001624</t>
  </si>
  <si>
    <t>0.150418</t>
  </si>
  <si>
    <t>0.666483</t>
  </si>
  <si>
    <t>0.000350</t>
  </si>
  <si>
    <t>12</t>
  </si>
  <si>
    <t>08:45:30</t>
  </si>
  <si>
    <t>012</t>
  </si>
  <si>
    <t>2.851070</t>
  </si>
  <si>
    <t>2.754486</t>
  </si>
  <si>
    <t>27.448244</t>
  </si>
  <si>
    <t>28.410698</t>
  </si>
  <si>
    <t>PSF-01106_20260817084530_723</t>
  </si>
  <si>
    <t>200.402496</t>
  </si>
  <si>
    <t>464.676605</t>
  </si>
  <si>
    <t>0.568727</t>
  </si>
  <si>
    <t>69.73</t>
  </si>
  <si>
    <t>67.37</t>
  </si>
  <si>
    <t>29.28</t>
  </si>
  <si>
    <t>29.04</t>
  </si>
  <si>
    <t>146.6</t>
  </si>
  <si>
    <t>6.1</t>
  </si>
  <si>
    <t>744</t>
  </si>
  <si>
    <t>3.881</t>
  </si>
  <si>
    <t>-32</t>
  </si>
  <si>
    <t>120</t>
  </si>
  <si>
    <t>0.532</t>
  </si>
  <si>
    <t>0.651</t>
  </si>
  <si>
    <t>-1.005</t>
  </si>
  <si>
    <t>2.528179</t>
  </si>
  <si>
    <t>2.470653</t>
  </si>
  <si>
    <t>1.670392</t>
  </si>
  <si>
    <t>0.919889</t>
  </si>
  <si>
    <t>0.230061</t>
  </si>
  <si>
    <t>-0.002074</t>
  </si>
  <si>
    <t>0.156468</t>
  </si>
  <si>
    <t>0.755830</t>
  </si>
  <si>
    <t>13</t>
  </si>
  <si>
    <t>08:46:39</t>
  </si>
  <si>
    <t>013</t>
  </si>
  <si>
    <t>2.831995</t>
  </si>
  <si>
    <t>2.731920</t>
  </si>
  <si>
    <t>27.222897</t>
  </si>
  <si>
    <t>28.220127</t>
  </si>
  <si>
    <t>PSF-01106_20260817084639_913</t>
  </si>
  <si>
    <t>187.405945</t>
  </si>
  <si>
    <t>414.007904</t>
  </si>
  <si>
    <t>0.547337</t>
  </si>
  <si>
    <t>65.65</t>
  </si>
  <si>
    <t>29.59</t>
  </si>
  <si>
    <t>28.97</t>
  </si>
  <si>
    <t>155.6</t>
  </si>
  <si>
    <t>0.3</t>
  </si>
  <si>
    <t>655</t>
  </si>
  <si>
    <t>3.854</t>
  </si>
  <si>
    <t>-11</t>
  </si>
  <si>
    <t>147</t>
  </si>
  <si>
    <t>-0.417</t>
  </si>
  <si>
    <t>-0.029</t>
  </si>
  <si>
    <t>-0.877</t>
  </si>
  <si>
    <t>2.525760</t>
  </si>
  <si>
    <t>2.468481</t>
  </si>
  <si>
    <t>1.670870</t>
  </si>
  <si>
    <t>0.942995</t>
  </si>
  <si>
    <t>0.227304</t>
  </si>
  <si>
    <t>-0.006744</t>
  </si>
  <si>
    <t>0.165521</t>
  </si>
  <si>
    <t>0.678268</t>
  </si>
  <si>
    <t>0.000342</t>
  </si>
  <si>
    <t>14</t>
  </si>
  <si>
    <t>08:48:36</t>
  </si>
  <si>
    <t>014</t>
  </si>
  <si>
    <t>2.962406</t>
  </si>
  <si>
    <t>2.866497</t>
  </si>
  <si>
    <t>28.562218</t>
  </si>
  <si>
    <t>29.517866</t>
  </si>
  <si>
    <t>PSF-01106_20260817084836_522</t>
  </si>
  <si>
    <t>163.884399</t>
  </si>
  <si>
    <t>415.444489</t>
  </si>
  <si>
    <t>0.605520</t>
  </si>
  <si>
    <t>69.29</t>
  </si>
  <si>
    <t>67.04</t>
  </si>
  <si>
    <t>30.06</t>
  </si>
  <si>
    <t>29.05</t>
  </si>
  <si>
    <t>0.8</t>
  </si>
  <si>
    <t>384</t>
  </si>
  <si>
    <t>3.876</t>
  </si>
  <si>
    <t>08:47:00</t>
  </si>
  <si>
    <t>-1.67</t>
  </si>
  <si>
    <t>-0.864</t>
  </si>
  <si>
    <t>-0.732</t>
  </si>
  <si>
    <t>1.501</t>
  </si>
  <si>
    <t>2.527569</t>
  </si>
  <si>
    <t>2.469052</t>
  </si>
  <si>
    <t>1.670786</t>
  </si>
  <si>
    <t>0.941011</t>
  </si>
  <si>
    <t>0.223113</t>
  </si>
  <si>
    <t>-0.011504</t>
  </si>
  <si>
    <t>0.180511</t>
  </si>
  <si>
    <t>0.442097</t>
  </si>
  <si>
    <t>0.000353</t>
  </si>
  <si>
    <t>15</t>
  </si>
  <si>
    <t>08:49:26</t>
  </si>
  <si>
    <t>015</t>
  </si>
  <si>
    <t>2.900088</t>
  </si>
  <si>
    <t>2.812528</t>
  </si>
  <si>
    <t>28.022717</t>
  </si>
  <si>
    <t>28.895121</t>
  </si>
  <si>
    <t>PSF-01106_20260817084926_bfb</t>
  </si>
  <si>
    <t>127.967476</t>
  </si>
  <si>
    <t>429.116241</t>
  </si>
  <si>
    <t>0.701788</t>
  </si>
  <si>
    <t>67.17</t>
  </si>
  <si>
    <t>65.14</t>
  </si>
  <si>
    <t>30.23</t>
  </si>
  <si>
    <t>29.25</t>
  </si>
  <si>
    <t>100.37</t>
  </si>
  <si>
    <t>154.2</t>
  </si>
  <si>
    <t>1.3</t>
  </si>
  <si>
    <t>400</t>
  </si>
  <si>
    <t>3.875</t>
  </si>
  <si>
    <t>-10</t>
  </si>
  <si>
    <t>356</t>
  </si>
  <si>
    <t>0.265</t>
  </si>
  <si>
    <t>0.701</t>
  </si>
  <si>
    <t>0.393</t>
  </si>
  <si>
    <t>2.524924</t>
  </si>
  <si>
    <t>2.466343</t>
  </si>
  <si>
    <t>1.671397</t>
  </si>
  <si>
    <t>0.939342</t>
  </si>
  <si>
    <t>0.221619</t>
  </si>
  <si>
    <t>-0.011142</t>
  </si>
  <si>
    <t>0.186779</t>
  </si>
  <si>
    <t>0.455744</t>
  </si>
  <si>
    <t>08:50:19</t>
  </si>
  <si>
    <t>016</t>
  </si>
  <si>
    <t>2.931997</t>
  </si>
  <si>
    <t>2.796414</t>
  </si>
  <si>
    <t>27.862930</t>
  </si>
  <si>
    <t>29.213846</t>
  </si>
  <si>
    <t>PSF-01106_20260817085019_317</t>
  </si>
  <si>
    <t>116.015915</t>
  </si>
  <si>
    <t>494.187347</t>
  </si>
  <si>
    <t>0.765239</t>
  </si>
  <si>
    <t>67.24</t>
  </si>
  <si>
    <t>64.13</t>
  </si>
  <si>
    <t>30.40</t>
  </si>
  <si>
    <t>28.61</t>
  </si>
  <si>
    <t>150.1</t>
  </si>
  <si>
    <t>3.8</t>
  </si>
  <si>
    <t>215</t>
  </si>
  <si>
    <t>3.872</t>
  </si>
  <si>
    <t>-35</t>
  </si>
  <si>
    <t>301</t>
  </si>
  <si>
    <t>-0.087</t>
  </si>
  <si>
    <t>-0.089</t>
  </si>
  <si>
    <t>-0.102</t>
  </si>
  <si>
    <t>2.523506</t>
  </si>
  <si>
    <t>2.466407</t>
  </si>
  <si>
    <t>1.670626</t>
  </si>
  <si>
    <t>0.928786</t>
  </si>
  <si>
    <t>0.220127</t>
  </si>
  <si>
    <t>-0.021035</t>
  </si>
  <si>
    <t>0.193306</t>
  </si>
  <si>
    <t>0.294934</t>
  </si>
  <si>
    <t>0.000354</t>
  </si>
  <si>
    <t>17</t>
  </si>
  <si>
    <t>08:50:45</t>
  </si>
  <si>
    <t>017</t>
  </si>
  <si>
    <t>2.870731</t>
  </si>
  <si>
    <t>2.782421</t>
  </si>
  <si>
    <t>27.721773</t>
  </si>
  <si>
    <t>28.601625</t>
  </si>
  <si>
    <t>PSF-01106_20260817085045_02f</t>
  </si>
  <si>
    <t>141.100998</t>
  </si>
  <si>
    <t>504.181274</t>
  </si>
  <si>
    <t>0.720138</t>
  </si>
  <si>
    <t>65.58</t>
  </si>
  <si>
    <t>63.57</t>
  </si>
  <si>
    <t>30.47</t>
  </si>
  <si>
    <t>29.29</t>
  </si>
  <si>
    <t>152.6</t>
  </si>
  <si>
    <t>223</t>
  </si>
  <si>
    <t>3.871</t>
  </si>
  <si>
    <t>-23</t>
  </si>
  <si>
    <t>317</t>
  </si>
  <si>
    <t>-0.303</t>
  </si>
  <si>
    <t>-0.489</t>
  </si>
  <si>
    <t>-1.050</t>
  </si>
  <si>
    <t>2.522711</t>
  </si>
  <si>
    <t>2.464295</t>
  </si>
  <si>
    <t>1.671132</t>
  </si>
  <si>
    <t>0.935254</t>
  </si>
  <si>
    <t>0.219540</t>
  </si>
  <si>
    <t>-0.013646</t>
  </si>
  <si>
    <t>0.196370</t>
  </si>
  <si>
    <t>0.301475</t>
  </si>
  <si>
    <t>18</t>
  </si>
  <si>
    <t>08:51:40</t>
  </si>
  <si>
    <t>018</t>
  </si>
  <si>
    <t>2.889978</t>
  </si>
  <si>
    <t>2.781799</t>
  </si>
  <si>
    <t>27.714821</t>
  </si>
  <si>
    <t>28.792595</t>
  </si>
  <si>
    <t>PSF-01106_20260817085140_908</t>
  </si>
  <si>
    <t>137.159943</t>
  </si>
  <si>
    <t>397.300598</t>
  </si>
  <si>
    <t>0.654770</t>
  </si>
  <si>
    <t>65.55</t>
  </si>
  <si>
    <t>63.09</t>
  </si>
  <si>
    <t>30.60</t>
  </si>
  <si>
    <t>28.84</t>
  </si>
  <si>
    <t>144.7</t>
  </si>
  <si>
    <t>7.4</t>
  </si>
  <si>
    <t>218</t>
  </si>
  <si>
    <t>359</t>
  </si>
  <si>
    <t>-0.157</t>
  </si>
  <si>
    <t>-0.180</t>
  </si>
  <si>
    <t>-0.673</t>
  </si>
  <si>
    <t>2.522034</t>
  </si>
  <si>
    <t>2.464224</t>
  </si>
  <si>
    <t>1.671725</t>
  </si>
  <si>
    <t>0.915056</t>
  </si>
  <si>
    <t>0.218446</t>
  </si>
  <si>
    <t>-0.020720</t>
  </si>
  <si>
    <t>0.203048</t>
  </si>
  <si>
    <t>0.297480</t>
  </si>
  <si>
    <t>0.000357</t>
  </si>
  <si>
    <t>처리</t>
    <phoneticPr fontId="1" type="noConversion"/>
  </si>
  <si>
    <t>처리_</t>
    <phoneticPr fontId="1" type="noConversion"/>
  </si>
  <si>
    <t>보정gsw</t>
    <phoneticPr fontId="1" type="noConversion"/>
  </si>
  <si>
    <t>평균gsw</t>
    <phoneticPr fontId="1" type="noConversion"/>
  </si>
  <si>
    <t>ETc</t>
    <phoneticPr fontId="1" type="noConversion"/>
  </si>
  <si>
    <t>ETc_침수</t>
    <phoneticPr fontId="1" type="noConversion"/>
  </si>
  <si>
    <t>gsw_corrected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</si>
</sst>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0" fillId="0" borderId="4" xfId="0" applyBorder="1"/>
    <xf numFmtId="2" fontId="0" fillId="0" borderId="0" xfId="0" applyNumberFormat="1"/>
    <xf numFmtId="0" fontId="0" fillId="0" borderId="5" xfId="0" applyBorder="1"/>
    <xf numFmtId="0" fontId="0" fillId="0" borderId="6" xfId="0" applyBorder="1"/>
    <xf numFmtId="0" fontId="2" fillId="0" borderId="7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'처리별 분류'!$E$1</c:f>
              <c:strCache>
                <c:ptCount val="1"/>
                <c:pt idx="0">
                  <c:v>보정gsw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'처리별 분류'!$B$2:$B$25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xVal>
          <c:yVal>
            <c:numRef>
              <c:f>'처리별 분류'!$E$2:$E$25</c:f>
              <c:numCache>
                <c:formatCode>0.00</c:formatCode>
                <c:ptCount val="24"/>
                <c:pt idx="0">
                  <c:v>0.45764709642932511</c:v>
                </c:pt>
                <c:pt idx="1">
                  <c:v>0.38800421387568862</c:v>
                </c:pt>
                <c:pt idx="2">
                  <c:v>0.45302232566703282</c:v>
                </c:pt>
                <c:pt idx="3">
                  <c:v>0.34435051602185718</c:v>
                </c:pt>
                <c:pt idx="4">
                  <c:v>0.31593130246440421</c:v>
                </c:pt>
                <c:pt idx="5">
                  <c:v>0.3038894447618809</c:v>
                </c:pt>
                <c:pt idx="6">
                  <c:v>0.25549851277191449</c:v>
                </c:pt>
                <c:pt idx="7">
                  <c:v>0.25493583417270782</c:v>
                </c:pt>
                <c:pt idx="8">
                  <c:v>0.38439521852079028</c:v>
                </c:pt>
                <c:pt idx="12">
                  <c:v>0.33355990898679733</c:v>
                </c:pt>
                <c:pt idx="13">
                  <c:v>0.21201089528892689</c:v>
                </c:pt>
                <c:pt idx="14">
                  <c:v>0.2758789640116508</c:v>
                </c:pt>
                <c:pt idx="15">
                  <c:v>0.28611591979397272</c:v>
                </c:pt>
                <c:pt idx="16">
                  <c:v>0.3002499828130874</c:v>
                </c:pt>
                <c:pt idx="17">
                  <c:v>0.25233839781835748</c:v>
                </c:pt>
                <c:pt idx="19">
                  <c:v>0.2458074598721732</c:v>
                </c:pt>
                <c:pt idx="20">
                  <c:v>0.33035422069237053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9F-4458-A500-196B2A6CF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4710320"/>
        <c:axId val="1314710800"/>
      </c:scatterChart>
      <c:valAx>
        <c:axId val="1314710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14710800"/>
        <c:crosses val="autoZero"/>
        <c:crossBetween val="midCat"/>
      </c:valAx>
      <c:valAx>
        <c:axId val="131471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14710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590550</xdr:colOff>
      <xdr:row>6</xdr:row>
      <xdr:rowOff>143827</xdr:rowOff>
    </xdr:from>
    <xdr:to>
      <xdr:col>19</xdr:col>
      <xdr:colOff>30480</xdr:colOff>
      <xdr:row>17</xdr:row>
      <xdr:rowOff>168592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8E708909-8EDC-D52E-1822-D49959D392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M21"/>
  <sheetViews>
    <sheetView workbookViewId="0">
      <selection activeCell="G8" sqref="G8"/>
    </sheetView>
  </sheetViews>
  <sheetFormatPr defaultRowHeight="19.2" x14ac:dyDescent="0.45"/>
  <sheetData>
    <row r="1" spans="1:117" ht="19.2" customHeight="1" x14ac:dyDescent="0.4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1</v>
      </c>
      <c r="I1" t="s">
        <v>1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4</v>
      </c>
      <c r="AI1" t="s">
        <v>4</v>
      </c>
      <c r="AJ1" t="s">
        <v>4</v>
      </c>
      <c r="AK1" t="s">
        <v>4</v>
      </c>
      <c r="AL1" t="s">
        <v>4</v>
      </c>
      <c r="AM1" t="s">
        <v>4</v>
      </c>
      <c r="AN1" t="s">
        <v>4</v>
      </c>
      <c r="AO1" t="s">
        <v>4</v>
      </c>
      <c r="AP1" t="s">
        <v>4</v>
      </c>
      <c r="AQ1" t="s">
        <v>4</v>
      </c>
      <c r="AR1" t="s">
        <v>4</v>
      </c>
      <c r="AS1" t="s">
        <v>5</v>
      </c>
      <c r="AT1" t="s">
        <v>5</v>
      </c>
      <c r="AU1" t="s">
        <v>5</v>
      </c>
      <c r="AV1" t="s">
        <v>5</v>
      </c>
      <c r="AW1" t="s">
        <v>5</v>
      </c>
      <c r="AX1" t="s">
        <v>5</v>
      </c>
      <c r="AY1" t="s">
        <v>5</v>
      </c>
      <c r="AZ1" t="s">
        <v>5</v>
      </c>
      <c r="BA1" t="s">
        <v>5</v>
      </c>
      <c r="BB1" t="s">
        <v>5</v>
      </c>
      <c r="BC1" t="s">
        <v>6</v>
      </c>
      <c r="BD1" t="s">
        <v>6</v>
      </c>
      <c r="BE1" t="s">
        <v>6</v>
      </c>
      <c r="BF1" t="s">
        <v>6</v>
      </c>
      <c r="BG1" t="s">
        <v>7</v>
      </c>
      <c r="BH1" t="s">
        <v>7</v>
      </c>
      <c r="BI1" t="s">
        <v>7</v>
      </c>
      <c r="BJ1" t="s">
        <v>7</v>
      </c>
      <c r="BK1" t="s">
        <v>7</v>
      </c>
      <c r="BL1" t="s">
        <v>7</v>
      </c>
      <c r="BM1" t="s">
        <v>8</v>
      </c>
      <c r="BN1" t="s">
        <v>8</v>
      </c>
      <c r="BO1" t="s">
        <v>8</v>
      </c>
      <c r="BP1" t="s">
        <v>8</v>
      </c>
      <c r="BQ1" t="s">
        <v>8</v>
      </c>
      <c r="BR1" t="s">
        <v>8</v>
      </c>
      <c r="BS1" t="s">
        <v>8</v>
      </c>
      <c r="BT1" t="s">
        <v>8</v>
      </c>
      <c r="BU1" t="s">
        <v>8</v>
      </c>
      <c r="BV1" t="s">
        <v>8</v>
      </c>
      <c r="BW1" t="s">
        <v>8</v>
      </c>
      <c r="BX1" t="s">
        <v>9</v>
      </c>
      <c r="BY1" t="s">
        <v>9</v>
      </c>
      <c r="BZ1" t="s">
        <v>9</v>
      </c>
      <c r="CA1" t="s">
        <v>9</v>
      </c>
      <c r="CB1" t="s">
        <v>9</v>
      </c>
      <c r="CC1" t="s">
        <v>9</v>
      </c>
      <c r="CD1" t="s">
        <v>9</v>
      </c>
      <c r="CE1" t="s">
        <v>9</v>
      </c>
      <c r="CF1" t="s">
        <v>9</v>
      </c>
      <c r="CG1" t="s">
        <v>9</v>
      </c>
      <c r="CH1" t="s">
        <v>9</v>
      </c>
      <c r="CI1" t="s">
        <v>9</v>
      </c>
      <c r="CJ1" t="s">
        <v>9</v>
      </c>
      <c r="CK1" t="s">
        <v>9</v>
      </c>
      <c r="CL1" t="s">
        <v>9</v>
      </c>
      <c r="CM1" t="s">
        <v>10</v>
      </c>
      <c r="CN1" t="s">
        <v>10</v>
      </c>
      <c r="CO1" t="s">
        <v>10</v>
      </c>
      <c r="CP1" t="s">
        <v>10</v>
      </c>
      <c r="CQ1" t="s">
        <v>10</v>
      </c>
      <c r="CR1" t="s">
        <v>10</v>
      </c>
      <c r="CS1" t="s">
        <v>10</v>
      </c>
      <c r="CT1" t="s">
        <v>10</v>
      </c>
      <c r="CU1" t="s">
        <v>10</v>
      </c>
      <c r="CV1" t="s">
        <v>10</v>
      </c>
      <c r="CW1" t="s">
        <v>11</v>
      </c>
      <c r="CX1" t="s">
        <v>11</v>
      </c>
      <c r="CY1" t="s">
        <v>11</v>
      </c>
      <c r="CZ1" t="s">
        <v>11</v>
      </c>
      <c r="DA1" t="s">
        <v>11</v>
      </c>
      <c r="DB1" t="s">
        <v>11</v>
      </c>
      <c r="DC1" t="s">
        <v>11</v>
      </c>
      <c r="DD1" t="s">
        <v>11</v>
      </c>
      <c r="DE1" t="s">
        <v>11</v>
      </c>
      <c r="DF1" t="s">
        <v>11</v>
      </c>
      <c r="DG1" t="s">
        <v>12</v>
      </c>
      <c r="DH1" t="s">
        <v>12</v>
      </c>
      <c r="DI1" t="s">
        <v>12</v>
      </c>
      <c r="DJ1" t="s">
        <v>12</v>
      </c>
      <c r="DK1" t="s">
        <v>12</v>
      </c>
      <c r="DL1" t="s">
        <v>12</v>
      </c>
      <c r="DM1" t="s">
        <v>12</v>
      </c>
    </row>
    <row r="2" spans="1:117" ht="19.2" customHeight="1" x14ac:dyDescent="0.4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 t="s">
        <v>32</v>
      </c>
      <c r="U2" t="s">
        <v>33</v>
      </c>
      <c r="V2" t="s">
        <v>34</v>
      </c>
      <c r="W2" t="s">
        <v>35</v>
      </c>
      <c r="X2" t="s">
        <v>36</v>
      </c>
      <c r="Y2" t="s">
        <v>37</v>
      </c>
      <c r="Z2" t="s">
        <v>38</v>
      </c>
      <c r="AA2" t="s">
        <v>39</v>
      </c>
      <c r="AB2" t="s">
        <v>40</v>
      </c>
      <c r="AC2" t="s">
        <v>41</v>
      </c>
      <c r="AD2" t="s">
        <v>42</v>
      </c>
      <c r="AE2" t="s">
        <v>43</v>
      </c>
      <c r="AF2" t="s">
        <v>44</v>
      </c>
      <c r="AG2" t="s">
        <v>45</v>
      </c>
      <c r="AH2" t="s">
        <v>46</v>
      </c>
      <c r="AI2" t="s">
        <v>47</v>
      </c>
      <c r="AJ2" t="s">
        <v>48</v>
      </c>
      <c r="AK2" t="s">
        <v>49</v>
      </c>
      <c r="AL2" t="s">
        <v>50</v>
      </c>
      <c r="AM2" t="s">
        <v>51</v>
      </c>
      <c r="AN2" t="s">
        <v>52</v>
      </c>
      <c r="AO2" t="s">
        <v>53</v>
      </c>
      <c r="AP2" t="s">
        <v>54</v>
      </c>
      <c r="AQ2" t="s">
        <v>55</v>
      </c>
      <c r="AR2" t="s">
        <v>56</v>
      </c>
      <c r="AS2" t="s">
        <v>57</v>
      </c>
      <c r="AT2" t="s">
        <v>58</v>
      </c>
      <c r="AU2" t="s">
        <v>59</v>
      </c>
      <c r="AV2" t="s">
        <v>60</v>
      </c>
      <c r="AW2" t="s">
        <v>61</v>
      </c>
      <c r="AX2" t="s">
        <v>62</v>
      </c>
      <c r="AY2" t="s">
        <v>63</v>
      </c>
      <c r="AZ2" t="s">
        <v>64</v>
      </c>
      <c r="BA2" t="s">
        <v>65</v>
      </c>
      <c r="BB2" t="s">
        <v>66</v>
      </c>
      <c r="BC2" t="s">
        <v>67</v>
      </c>
      <c r="BD2" t="s">
        <v>68</v>
      </c>
      <c r="BE2" t="s">
        <v>69</v>
      </c>
      <c r="BF2" t="s">
        <v>70</v>
      </c>
      <c r="BG2" t="s">
        <v>71</v>
      </c>
      <c r="BH2" t="s">
        <v>72</v>
      </c>
      <c r="BI2" t="s">
        <v>73</v>
      </c>
      <c r="BJ2" t="s">
        <v>74</v>
      </c>
      <c r="BK2" t="s">
        <v>75</v>
      </c>
      <c r="BL2" t="s">
        <v>76</v>
      </c>
      <c r="BM2" t="s">
        <v>77</v>
      </c>
      <c r="BN2" t="s">
        <v>78</v>
      </c>
      <c r="BO2" t="s">
        <v>79</v>
      </c>
      <c r="BP2" t="s">
        <v>80</v>
      </c>
      <c r="BQ2" t="s">
        <v>81</v>
      </c>
      <c r="BR2" t="s">
        <v>82</v>
      </c>
      <c r="BS2" t="s">
        <v>83</v>
      </c>
      <c r="BT2" t="s">
        <v>84</v>
      </c>
      <c r="BU2" t="s">
        <v>85</v>
      </c>
      <c r="BV2" t="s">
        <v>86</v>
      </c>
      <c r="BW2" t="s">
        <v>87</v>
      </c>
      <c r="BX2" t="s">
        <v>88</v>
      </c>
      <c r="BY2" t="s">
        <v>89</v>
      </c>
      <c r="BZ2" t="s">
        <v>90</v>
      </c>
      <c r="CA2" t="s">
        <v>91</v>
      </c>
      <c r="CB2" t="s">
        <v>92</v>
      </c>
      <c r="CC2" t="s">
        <v>93</v>
      </c>
      <c r="CD2" t="s">
        <v>94</v>
      </c>
      <c r="CE2" t="s">
        <v>95</v>
      </c>
      <c r="CF2" t="s">
        <v>96</v>
      </c>
      <c r="CG2" t="s">
        <v>97</v>
      </c>
      <c r="CH2" t="s">
        <v>98</v>
      </c>
      <c r="CI2" t="s">
        <v>99</v>
      </c>
      <c r="CJ2" t="s">
        <v>100</v>
      </c>
      <c r="CK2" t="s">
        <v>101</v>
      </c>
      <c r="CL2" t="s">
        <v>102</v>
      </c>
      <c r="CM2" t="s">
        <v>103</v>
      </c>
      <c r="CN2" t="s">
        <v>104</v>
      </c>
      <c r="CO2" t="s">
        <v>105</v>
      </c>
      <c r="CP2" t="s">
        <v>106</v>
      </c>
      <c r="CQ2" t="s">
        <v>107</v>
      </c>
      <c r="CR2" t="s">
        <v>108</v>
      </c>
      <c r="CS2" t="s">
        <v>109</v>
      </c>
      <c r="CT2" t="s">
        <v>110</v>
      </c>
      <c r="CU2" t="s">
        <v>111</v>
      </c>
      <c r="CV2" t="s">
        <v>112</v>
      </c>
      <c r="CW2" t="s">
        <v>113</v>
      </c>
      <c r="CX2" t="s">
        <v>114</v>
      </c>
      <c r="CY2" t="s">
        <v>115</v>
      </c>
      <c r="CZ2" t="s">
        <v>116</v>
      </c>
      <c r="DA2" t="s">
        <v>117</v>
      </c>
      <c r="DB2" t="s">
        <v>118</v>
      </c>
      <c r="DC2" t="s">
        <v>119</v>
      </c>
      <c r="DD2" t="s">
        <v>120</v>
      </c>
      <c r="DE2" t="s">
        <v>121</v>
      </c>
      <c r="DF2" t="s">
        <v>122</v>
      </c>
      <c r="DG2" t="s">
        <v>123</v>
      </c>
      <c r="DH2" t="s">
        <v>124</v>
      </c>
      <c r="DI2" t="s">
        <v>125</v>
      </c>
      <c r="DJ2" t="s">
        <v>126</v>
      </c>
      <c r="DK2" t="s">
        <v>127</v>
      </c>
      <c r="DL2" t="s">
        <v>128</v>
      </c>
      <c r="DM2" t="s">
        <v>129</v>
      </c>
    </row>
    <row r="3" spans="1:117" ht="19.2" customHeight="1" x14ac:dyDescent="0.45">
      <c r="B3" t="s">
        <v>130</v>
      </c>
      <c r="C3" t="s">
        <v>131</v>
      </c>
      <c r="J3" t="s">
        <v>132</v>
      </c>
      <c r="K3" t="s">
        <v>132</v>
      </c>
      <c r="L3" t="s">
        <v>132</v>
      </c>
      <c r="M3" t="s">
        <v>133</v>
      </c>
      <c r="N3" t="s">
        <v>134</v>
      </c>
      <c r="O3" t="s">
        <v>134</v>
      </c>
      <c r="P3" t="s">
        <v>134</v>
      </c>
      <c r="Q3" t="s">
        <v>134</v>
      </c>
      <c r="R3" t="s">
        <v>135</v>
      </c>
      <c r="S3" t="s">
        <v>135</v>
      </c>
      <c r="T3" t="s">
        <v>135</v>
      </c>
      <c r="U3" t="s">
        <v>136</v>
      </c>
      <c r="V3" t="s">
        <v>137</v>
      </c>
      <c r="AF3" t="s">
        <v>138</v>
      </c>
      <c r="AH3" t="s">
        <v>139</v>
      </c>
      <c r="AI3" t="s">
        <v>139</v>
      </c>
      <c r="AJ3" t="s">
        <v>140</v>
      </c>
      <c r="AK3" t="s">
        <v>140</v>
      </c>
      <c r="AL3" t="s">
        <v>140</v>
      </c>
      <c r="AM3" t="s">
        <v>134</v>
      </c>
      <c r="AN3" t="s">
        <v>141</v>
      </c>
      <c r="AO3" t="s">
        <v>141</v>
      </c>
      <c r="AP3" t="s">
        <v>139</v>
      </c>
      <c r="AQ3" t="s">
        <v>138</v>
      </c>
      <c r="AR3" t="s">
        <v>142</v>
      </c>
      <c r="AS3" t="s">
        <v>143</v>
      </c>
      <c r="AT3" t="s">
        <v>143</v>
      </c>
      <c r="AU3" t="s">
        <v>143</v>
      </c>
      <c r="AV3" t="s">
        <v>143</v>
      </c>
      <c r="AW3" t="s">
        <v>139</v>
      </c>
      <c r="AX3" t="s">
        <v>143</v>
      </c>
      <c r="AY3" t="s">
        <v>143</v>
      </c>
      <c r="AZ3" t="s">
        <v>143</v>
      </c>
      <c r="BA3" t="s">
        <v>143</v>
      </c>
      <c r="BB3" t="s">
        <v>143</v>
      </c>
      <c r="BC3" t="s">
        <v>130</v>
      </c>
      <c r="BD3" t="s">
        <v>131</v>
      </c>
      <c r="BE3" t="s">
        <v>139</v>
      </c>
      <c r="BN3" t="s">
        <v>141</v>
      </c>
      <c r="BO3" t="s">
        <v>144</v>
      </c>
      <c r="BP3" t="s">
        <v>145</v>
      </c>
      <c r="BZ3" t="s">
        <v>138</v>
      </c>
      <c r="CA3" t="s">
        <v>146</v>
      </c>
      <c r="CB3" t="s">
        <v>147</v>
      </c>
      <c r="CC3" t="s">
        <v>145</v>
      </c>
      <c r="CD3" t="s">
        <v>148</v>
      </c>
      <c r="CE3" t="s">
        <v>148</v>
      </c>
      <c r="CF3" t="s">
        <v>148</v>
      </c>
      <c r="CH3" t="s">
        <v>139</v>
      </c>
      <c r="CM3" t="s">
        <v>142</v>
      </c>
      <c r="CN3" t="s">
        <v>142</v>
      </c>
      <c r="CO3" t="s">
        <v>142</v>
      </c>
      <c r="CP3" t="s">
        <v>142</v>
      </c>
      <c r="CQ3" t="s">
        <v>142</v>
      </c>
      <c r="CR3" t="s">
        <v>142</v>
      </c>
      <c r="CS3" t="s">
        <v>142</v>
      </c>
      <c r="CT3" t="s">
        <v>142</v>
      </c>
      <c r="CU3" t="s">
        <v>142</v>
      </c>
      <c r="CV3" t="s">
        <v>149</v>
      </c>
    </row>
    <row r="4" spans="1:117" ht="19.2" customHeight="1" x14ac:dyDescent="0.45">
      <c r="A4" t="s">
        <v>150</v>
      </c>
      <c r="B4" t="s">
        <v>151</v>
      </c>
      <c r="C4" t="s">
        <v>152</v>
      </c>
      <c r="D4" t="s">
        <v>153</v>
      </c>
      <c r="E4" t="s">
        <v>154</v>
      </c>
      <c r="I4" t="s">
        <v>155</v>
      </c>
      <c r="J4">
        <f t="shared" ref="J4:J21" si="0">1/((1/L4)-(1/K4))</f>
        <v>0.57989463766652938</v>
      </c>
      <c r="K4">
        <f t="shared" ref="K4:K21" si="1">BR4+(BS4*AN4)+(BT4*AN4*POWER(V4,2))+(BU4*AN4*V4)+(BV4*POWER(AN4,2))</f>
        <v>2.9050319999999994</v>
      </c>
      <c r="L4">
        <f t="shared" ref="L4:L21" si="2">((M4/1000)*(1000-((T4+S4)/2)))/(T4-S4)</f>
        <v>0.48339969652206854</v>
      </c>
      <c r="M4">
        <f t="shared" ref="M4:M21" si="3">(AN4*(S4-R4))/(100*U4*(1000-S4))*1000</f>
        <v>4.5825277290640152</v>
      </c>
      <c r="N4" t="s">
        <v>156</v>
      </c>
      <c r="O4" t="s">
        <v>157</v>
      </c>
      <c r="P4">
        <f t="shared" ref="P4:P21" si="4">0.61365*EXP((17.502*AL4)/(240.97+AL4))</f>
        <v>3.2932575515521725</v>
      </c>
      <c r="Q4">
        <f t="shared" ref="Q4:Q21" si="5">P4-N4</f>
        <v>0.92431055155217257</v>
      </c>
      <c r="R4" t="s">
        <v>158</v>
      </c>
      <c r="S4" t="s">
        <v>159</v>
      </c>
      <c r="T4">
        <f t="shared" ref="T4:T21" si="6">(P4/AM4)*1000</f>
        <v>32.824255472462603</v>
      </c>
      <c r="U4">
        <f t="shared" ref="U4:U21" si="7">V4*BQ4</f>
        <v>0.4417875</v>
      </c>
      <c r="V4" t="s">
        <v>160</v>
      </c>
      <c r="W4" t="s">
        <v>161</v>
      </c>
      <c r="X4" t="s">
        <v>162</v>
      </c>
      <c r="Y4" t="s">
        <v>162</v>
      </c>
      <c r="Z4" t="s">
        <v>162</v>
      </c>
      <c r="AA4" t="s">
        <v>163</v>
      </c>
      <c r="AB4" t="s">
        <v>164</v>
      </c>
      <c r="AC4" t="s">
        <v>165</v>
      </c>
      <c r="AD4" t="s">
        <v>166</v>
      </c>
      <c r="AE4" t="s">
        <v>167</v>
      </c>
      <c r="AF4">
        <f t="shared" ref="AF4:AF21" si="8">AC4*AD4*AE4*AQ4</f>
        <v>142.77382896</v>
      </c>
      <c r="AG4" t="s">
        <v>168</v>
      </c>
      <c r="AH4" t="s">
        <v>169</v>
      </c>
      <c r="AI4" t="s">
        <v>170</v>
      </c>
      <c r="AJ4" t="s">
        <v>171</v>
      </c>
      <c r="AK4" t="s">
        <v>172</v>
      </c>
      <c r="AL4">
        <f t="shared" ref="AL4:AL21" si="9">(AK4-AJ4)*(AJ4*0+0)+AK4</f>
        <v>25.59</v>
      </c>
      <c r="AM4" t="s">
        <v>173</v>
      </c>
      <c r="AN4" t="s">
        <v>174</v>
      </c>
      <c r="AO4" t="s">
        <v>175</v>
      </c>
      <c r="AP4" t="s">
        <v>176</v>
      </c>
      <c r="AQ4" t="s">
        <v>177</v>
      </c>
      <c r="AR4" t="s">
        <v>178</v>
      </c>
      <c r="AS4" t="s">
        <v>179</v>
      </c>
      <c r="AT4" t="s">
        <v>180</v>
      </c>
      <c r="AU4" t="s">
        <v>181</v>
      </c>
      <c r="BC4" t="s">
        <v>182</v>
      </c>
      <c r="BD4" t="s">
        <v>152</v>
      </c>
      <c r="BE4" t="s">
        <v>183</v>
      </c>
      <c r="BF4" t="s">
        <v>150</v>
      </c>
      <c r="BG4" t="s">
        <v>184</v>
      </c>
      <c r="BH4" t="s">
        <v>185</v>
      </c>
      <c r="BI4" t="s">
        <v>186</v>
      </c>
      <c r="BJ4" t="s">
        <v>187</v>
      </c>
      <c r="BK4" t="s">
        <v>188</v>
      </c>
      <c r="BL4" t="s">
        <v>189</v>
      </c>
      <c r="BM4" t="s">
        <v>150</v>
      </c>
      <c r="BN4" t="s">
        <v>190</v>
      </c>
      <c r="BO4" t="s">
        <v>191</v>
      </c>
      <c r="BP4" t="s">
        <v>192</v>
      </c>
      <c r="BQ4" t="s">
        <v>193</v>
      </c>
      <c r="BR4" t="s">
        <v>162</v>
      </c>
      <c r="BS4" t="s">
        <v>194</v>
      </c>
      <c r="BT4" t="s">
        <v>162</v>
      </c>
      <c r="BU4" t="s">
        <v>162</v>
      </c>
      <c r="BV4" t="s">
        <v>195</v>
      </c>
      <c r="BW4" t="s">
        <v>196</v>
      </c>
      <c r="BX4" t="s">
        <v>197</v>
      </c>
      <c r="BY4" t="s">
        <v>198</v>
      </c>
      <c r="BZ4" t="s">
        <v>199</v>
      </c>
      <c r="CA4" t="s">
        <v>200</v>
      </c>
      <c r="CB4" t="s">
        <v>168</v>
      </c>
      <c r="CC4" t="s">
        <v>192</v>
      </c>
      <c r="CD4" t="s">
        <v>201</v>
      </c>
      <c r="CE4" t="s">
        <v>201</v>
      </c>
      <c r="CF4" t="s">
        <v>201</v>
      </c>
      <c r="CG4" t="s">
        <v>162</v>
      </c>
      <c r="CH4" t="s">
        <v>202</v>
      </c>
      <c r="CI4" t="s">
        <v>162</v>
      </c>
      <c r="CJ4" t="s">
        <v>162</v>
      </c>
      <c r="CK4" t="s">
        <v>162</v>
      </c>
      <c r="CL4" t="s">
        <v>162</v>
      </c>
      <c r="CM4" t="s">
        <v>203</v>
      </c>
      <c r="CN4" t="s">
        <v>204</v>
      </c>
      <c r="CO4" t="s">
        <v>205</v>
      </c>
      <c r="CP4" t="s">
        <v>206</v>
      </c>
      <c r="CQ4" t="s">
        <v>207</v>
      </c>
      <c r="CR4" t="s">
        <v>208</v>
      </c>
      <c r="CS4" t="s">
        <v>209</v>
      </c>
      <c r="CT4" t="s">
        <v>210</v>
      </c>
      <c r="CU4" t="s">
        <v>163</v>
      </c>
      <c r="CV4" t="s">
        <v>211</v>
      </c>
      <c r="CW4" t="s">
        <v>212</v>
      </c>
      <c r="CX4" t="s">
        <v>213</v>
      </c>
      <c r="CY4" t="s">
        <v>168</v>
      </c>
      <c r="CZ4" t="s">
        <v>214</v>
      </c>
      <c r="DA4" t="s">
        <v>215</v>
      </c>
      <c r="DB4" t="s">
        <v>168</v>
      </c>
      <c r="DC4" t="s">
        <v>216</v>
      </c>
      <c r="DD4" t="s">
        <v>217</v>
      </c>
      <c r="DE4" t="s">
        <v>218</v>
      </c>
      <c r="DF4" t="s">
        <v>162</v>
      </c>
      <c r="DG4" t="s">
        <v>161</v>
      </c>
      <c r="DH4" t="s">
        <v>219</v>
      </c>
      <c r="DI4" t="s">
        <v>220</v>
      </c>
      <c r="DJ4" t="s">
        <v>221</v>
      </c>
      <c r="DK4" t="s">
        <v>222</v>
      </c>
      <c r="DL4" t="s">
        <v>223</v>
      </c>
      <c r="DM4" t="s">
        <v>224</v>
      </c>
    </row>
    <row r="5" spans="1:117" ht="19.2" customHeight="1" x14ac:dyDescent="0.45">
      <c r="A5" t="s">
        <v>225</v>
      </c>
      <c r="B5" t="s">
        <v>226</v>
      </c>
      <c r="C5" t="s">
        <v>152</v>
      </c>
      <c r="D5" t="s">
        <v>153</v>
      </c>
      <c r="E5" t="s">
        <v>154</v>
      </c>
      <c r="I5" t="s">
        <v>227</v>
      </c>
      <c r="J5">
        <f t="shared" si="0"/>
        <v>0.47258131201520093</v>
      </c>
      <c r="K5">
        <f t="shared" si="1"/>
        <v>2.9066320800000001</v>
      </c>
      <c r="L5">
        <f t="shared" si="2"/>
        <v>0.40649105059704776</v>
      </c>
      <c r="M5">
        <f t="shared" si="3"/>
        <v>4.3221671881813934</v>
      </c>
      <c r="N5" t="s">
        <v>228</v>
      </c>
      <c r="O5" t="s">
        <v>229</v>
      </c>
      <c r="P5">
        <f t="shared" si="4"/>
        <v>3.4692490201959192</v>
      </c>
      <c r="Q5">
        <f t="shared" si="5"/>
        <v>1.0352210201959191</v>
      </c>
      <c r="R5" t="s">
        <v>230</v>
      </c>
      <c r="S5" t="s">
        <v>231</v>
      </c>
      <c r="T5">
        <f t="shared" si="6"/>
        <v>34.581828351235245</v>
      </c>
      <c r="U5">
        <f t="shared" si="7"/>
        <v>0.4417875</v>
      </c>
      <c r="V5" t="s">
        <v>160</v>
      </c>
      <c r="W5" t="s">
        <v>232</v>
      </c>
      <c r="X5" t="s">
        <v>162</v>
      </c>
      <c r="Y5" t="s">
        <v>162</v>
      </c>
      <c r="Z5" t="s">
        <v>162</v>
      </c>
      <c r="AA5" t="s">
        <v>233</v>
      </c>
      <c r="AB5" t="s">
        <v>234</v>
      </c>
      <c r="AC5" t="s">
        <v>235</v>
      </c>
      <c r="AD5" t="s">
        <v>166</v>
      </c>
      <c r="AE5" t="s">
        <v>167</v>
      </c>
      <c r="AF5">
        <f t="shared" si="8"/>
        <v>147.81933432</v>
      </c>
      <c r="AG5" t="s">
        <v>168</v>
      </c>
      <c r="AH5" t="s">
        <v>236</v>
      </c>
      <c r="AI5" t="s">
        <v>237</v>
      </c>
      <c r="AJ5" t="s">
        <v>238</v>
      </c>
      <c r="AK5" t="s">
        <v>239</v>
      </c>
      <c r="AL5">
        <f t="shared" si="9"/>
        <v>26.47</v>
      </c>
      <c r="AM5" t="s">
        <v>240</v>
      </c>
      <c r="AN5" t="s">
        <v>241</v>
      </c>
      <c r="AO5" t="s">
        <v>242</v>
      </c>
      <c r="AP5" t="s">
        <v>243</v>
      </c>
      <c r="AQ5" t="s">
        <v>244</v>
      </c>
      <c r="AR5" t="s">
        <v>178</v>
      </c>
      <c r="AS5" t="s">
        <v>245</v>
      </c>
      <c r="AT5" t="s">
        <v>246</v>
      </c>
      <c r="AU5" t="s">
        <v>247</v>
      </c>
      <c r="BC5" t="s">
        <v>182</v>
      </c>
      <c r="BD5" t="s">
        <v>152</v>
      </c>
      <c r="BE5" t="s">
        <v>183</v>
      </c>
      <c r="BF5" t="s">
        <v>150</v>
      </c>
      <c r="BG5" t="s">
        <v>185</v>
      </c>
      <c r="BH5" t="s">
        <v>191</v>
      </c>
      <c r="BI5" t="s">
        <v>248</v>
      </c>
      <c r="BJ5" t="s">
        <v>249</v>
      </c>
      <c r="BK5" t="s">
        <v>250</v>
      </c>
      <c r="BL5" t="s">
        <v>251</v>
      </c>
      <c r="BM5" t="s">
        <v>150</v>
      </c>
      <c r="BN5" t="s">
        <v>190</v>
      </c>
      <c r="BO5" t="s">
        <v>191</v>
      </c>
      <c r="BP5" t="s">
        <v>192</v>
      </c>
      <c r="BQ5" t="s">
        <v>193</v>
      </c>
      <c r="BR5" t="s">
        <v>162</v>
      </c>
      <c r="BS5" t="s">
        <v>194</v>
      </c>
      <c r="BT5" t="s">
        <v>162</v>
      </c>
      <c r="BU5" t="s">
        <v>162</v>
      </c>
      <c r="BV5" t="s">
        <v>195</v>
      </c>
      <c r="BW5" t="s">
        <v>196</v>
      </c>
      <c r="BX5" t="s">
        <v>197</v>
      </c>
      <c r="BY5" t="s">
        <v>198</v>
      </c>
      <c r="BZ5" t="s">
        <v>199</v>
      </c>
      <c r="CA5" t="s">
        <v>200</v>
      </c>
      <c r="CB5" t="s">
        <v>168</v>
      </c>
      <c r="CC5" t="s">
        <v>192</v>
      </c>
      <c r="CD5" t="s">
        <v>201</v>
      </c>
      <c r="CE5" t="s">
        <v>201</v>
      </c>
      <c r="CF5" t="s">
        <v>201</v>
      </c>
      <c r="CG5" t="s">
        <v>162</v>
      </c>
      <c r="CH5" t="s">
        <v>202</v>
      </c>
      <c r="CI5" t="s">
        <v>162</v>
      </c>
      <c r="CJ5" t="s">
        <v>162</v>
      </c>
      <c r="CK5" t="s">
        <v>162</v>
      </c>
      <c r="CL5" t="s">
        <v>162</v>
      </c>
      <c r="CM5" t="s">
        <v>252</v>
      </c>
      <c r="CN5" t="s">
        <v>253</v>
      </c>
      <c r="CO5" t="s">
        <v>254</v>
      </c>
      <c r="CP5" t="s">
        <v>255</v>
      </c>
      <c r="CQ5" t="s">
        <v>256</v>
      </c>
      <c r="CR5" t="s">
        <v>257</v>
      </c>
      <c r="CS5" t="s">
        <v>258</v>
      </c>
      <c r="CT5" t="s">
        <v>259</v>
      </c>
      <c r="CU5" t="s">
        <v>233</v>
      </c>
      <c r="CV5" t="s">
        <v>260</v>
      </c>
      <c r="CW5" t="s">
        <v>212</v>
      </c>
      <c r="CX5" t="s">
        <v>213</v>
      </c>
      <c r="CY5" t="s">
        <v>168</v>
      </c>
      <c r="CZ5" t="s">
        <v>214</v>
      </c>
      <c r="DA5" t="s">
        <v>215</v>
      </c>
      <c r="DB5" t="s">
        <v>168</v>
      </c>
      <c r="DC5" t="s">
        <v>216</v>
      </c>
      <c r="DD5" t="s">
        <v>217</v>
      </c>
      <c r="DE5" t="s">
        <v>218</v>
      </c>
      <c r="DF5" t="s">
        <v>162</v>
      </c>
      <c r="DG5" t="s">
        <v>232</v>
      </c>
      <c r="DH5" t="s">
        <v>219</v>
      </c>
      <c r="DI5" t="s">
        <v>220</v>
      </c>
      <c r="DJ5" t="s">
        <v>221</v>
      </c>
      <c r="DK5" t="s">
        <v>222</v>
      </c>
      <c r="DL5" t="s">
        <v>223</v>
      </c>
      <c r="DM5" t="s">
        <v>224</v>
      </c>
    </row>
    <row r="6" spans="1:117" ht="19.2" customHeight="1" x14ac:dyDescent="0.45">
      <c r="A6" t="s">
        <v>261</v>
      </c>
      <c r="B6" t="s">
        <v>262</v>
      </c>
      <c r="C6" t="s">
        <v>152</v>
      </c>
      <c r="D6" t="s">
        <v>153</v>
      </c>
      <c r="E6" t="s">
        <v>154</v>
      </c>
      <c r="I6" t="s">
        <v>263</v>
      </c>
      <c r="J6">
        <f t="shared" si="0"/>
        <v>0.57792274284719247</v>
      </c>
      <c r="K6">
        <f t="shared" si="1"/>
        <v>2.9058327199999998</v>
      </c>
      <c r="L6">
        <f t="shared" si="2"/>
        <v>0.48205071616164091</v>
      </c>
      <c r="M6">
        <f t="shared" si="3"/>
        <v>6.3016833912042358</v>
      </c>
      <c r="N6" t="s">
        <v>264</v>
      </c>
      <c r="O6" t="s">
        <v>265</v>
      </c>
      <c r="P6">
        <f t="shared" si="4"/>
        <v>3.8125738159575437</v>
      </c>
      <c r="Q6">
        <f t="shared" si="5"/>
        <v>1.2701228159575439</v>
      </c>
      <c r="R6" t="s">
        <v>266</v>
      </c>
      <c r="S6" t="s">
        <v>267</v>
      </c>
      <c r="T6">
        <f t="shared" si="6"/>
        <v>38.000337047319285</v>
      </c>
      <c r="U6">
        <f t="shared" si="7"/>
        <v>0.4417875</v>
      </c>
      <c r="V6" t="s">
        <v>160</v>
      </c>
      <c r="W6" t="s">
        <v>268</v>
      </c>
      <c r="X6" t="s">
        <v>162</v>
      </c>
      <c r="Y6" t="s">
        <v>162</v>
      </c>
      <c r="Z6" t="s">
        <v>162</v>
      </c>
      <c r="AA6" t="s">
        <v>269</v>
      </c>
      <c r="AB6" t="s">
        <v>270</v>
      </c>
      <c r="AC6" t="s">
        <v>271</v>
      </c>
      <c r="AD6" t="s">
        <v>166</v>
      </c>
      <c r="AE6" t="s">
        <v>167</v>
      </c>
      <c r="AF6">
        <f t="shared" si="8"/>
        <v>195.22065612</v>
      </c>
      <c r="AG6" t="s">
        <v>168</v>
      </c>
      <c r="AH6" t="s">
        <v>272</v>
      </c>
      <c r="AI6" t="s">
        <v>273</v>
      </c>
      <c r="AJ6" t="s">
        <v>274</v>
      </c>
      <c r="AK6" t="s">
        <v>275</v>
      </c>
      <c r="AL6">
        <f t="shared" si="9"/>
        <v>28.08</v>
      </c>
      <c r="AM6" t="s">
        <v>173</v>
      </c>
      <c r="AN6" t="s">
        <v>276</v>
      </c>
      <c r="AO6" t="s">
        <v>277</v>
      </c>
      <c r="AP6" t="s">
        <v>243</v>
      </c>
      <c r="AQ6" t="s">
        <v>278</v>
      </c>
      <c r="AR6" t="s">
        <v>279</v>
      </c>
      <c r="AS6" t="s">
        <v>280</v>
      </c>
      <c r="AT6" t="s">
        <v>281</v>
      </c>
      <c r="AU6" t="s">
        <v>282</v>
      </c>
      <c r="BC6" t="s">
        <v>182</v>
      </c>
      <c r="BD6" t="s">
        <v>152</v>
      </c>
      <c r="BE6" t="s">
        <v>183</v>
      </c>
      <c r="BF6" t="s">
        <v>150</v>
      </c>
      <c r="BG6" t="s">
        <v>283</v>
      </c>
      <c r="BH6" t="s">
        <v>191</v>
      </c>
      <c r="BI6" t="s">
        <v>284</v>
      </c>
      <c r="BJ6" t="s">
        <v>285</v>
      </c>
      <c r="BK6" t="s">
        <v>286</v>
      </c>
      <c r="BL6" t="s">
        <v>287</v>
      </c>
      <c r="BM6" t="s">
        <v>150</v>
      </c>
      <c r="BN6" t="s">
        <v>190</v>
      </c>
      <c r="BO6" t="s">
        <v>191</v>
      </c>
      <c r="BP6" t="s">
        <v>192</v>
      </c>
      <c r="BQ6" t="s">
        <v>193</v>
      </c>
      <c r="BR6" t="s">
        <v>162</v>
      </c>
      <c r="BS6" t="s">
        <v>194</v>
      </c>
      <c r="BT6" t="s">
        <v>162</v>
      </c>
      <c r="BU6" t="s">
        <v>162</v>
      </c>
      <c r="BV6" t="s">
        <v>195</v>
      </c>
      <c r="BW6" t="s">
        <v>196</v>
      </c>
      <c r="BX6" t="s">
        <v>197</v>
      </c>
      <c r="BY6" t="s">
        <v>198</v>
      </c>
      <c r="BZ6" t="s">
        <v>199</v>
      </c>
      <c r="CA6" t="s">
        <v>200</v>
      </c>
      <c r="CB6" t="s">
        <v>168</v>
      </c>
      <c r="CC6" t="s">
        <v>192</v>
      </c>
      <c r="CD6" t="s">
        <v>201</v>
      </c>
      <c r="CE6" t="s">
        <v>201</v>
      </c>
      <c r="CF6" t="s">
        <v>201</v>
      </c>
      <c r="CG6" t="s">
        <v>162</v>
      </c>
      <c r="CH6" t="s">
        <v>202</v>
      </c>
      <c r="CI6" t="s">
        <v>162</v>
      </c>
      <c r="CJ6" t="s">
        <v>162</v>
      </c>
      <c r="CK6" t="s">
        <v>162</v>
      </c>
      <c r="CL6" t="s">
        <v>162</v>
      </c>
      <c r="CM6" t="s">
        <v>288</v>
      </c>
      <c r="CN6" t="s">
        <v>289</v>
      </c>
      <c r="CO6" t="s">
        <v>290</v>
      </c>
      <c r="CP6" t="s">
        <v>291</v>
      </c>
      <c r="CQ6" t="s">
        <v>292</v>
      </c>
      <c r="CR6" t="s">
        <v>293</v>
      </c>
      <c r="CS6" t="s">
        <v>294</v>
      </c>
      <c r="CT6" t="s">
        <v>295</v>
      </c>
      <c r="CU6" t="s">
        <v>269</v>
      </c>
      <c r="CV6" t="s">
        <v>296</v>
      </c>
      <c r="CW6" t="s">
        <v>212</v>
      </c>
      <c r="CX6" t="s">
        <v>213</v>
      </c>
      <c r="CY6" t="s">
        <v>168</v>
      </c>
      <c r="CZ6" t="s">
        <v>214</v>
      </c>
      <c r="DA6" t="s">
        <v>215</v>
      </c>
      <c r="DB6" t="s">
        <v>168</v>
      </c>
      <c r="DC6" t="s">
        <v>216</v>
      </c>
      <c r="DD6" t="s">
        <v>217</v>
      </c>
      <c r="DE6" t="s">
        <v>218</v>
      </c>
      <c r="DF6" t="s">
        <v>162</v>
      </c>
      <c r="DG6" t="s">
        <v>268</v>
      </c>
      <c r="DH6" t="s">
        <v>219</v>
      </c>
      <c r="DI6" t="s">
        <v>220</v>
      </c>
      <c r="DJ6" t="s">
        <v>221</v>
      </c>
      <c r="DK6" t="s">
        <v>222</v>
      </c>
      <c r="DL6" t="s">
        <v>223</v>
      </c>
      <c r="DM6" t="s">
        <v>224</v>
      </c>
    </row>
    <row r="7" spans="1:117" ht="19.2" customHeight="1" x14ac:dyDescent="0.45">
      <c r="A7" t="s">
        <v>297</v>
      </c>
      <c r="B7" t="s">
        <v>298</v>
      </c>
      <c r="C7" t="s">
        <v>152</v>
      </c>
      <c r="D7" t="s">
        <v>153</v>
      </c>
      <c r="E7" t="s">
        <v>154</v>
      </c>
      <c r="I7" t="s">
        <v>299</v>
      </c>
      <c r="J7">
        <f t="shared" si="0"/>
        <v>0.41200861437994785</v>
      </c>
      <c r="K7">
        <f t="shared" si="1"/>
        <v>2.9058327199999998</v>
      </c>
      <c r="L7">
        <f t="shared" si="2"/>
        <v>0.36084549920493947</v>
      </c>
      <c r="M7">
        <f t="shared" si="3"/>
        <v>3.6894042803153146</v>
      </c>
      <c r="N7" t="s">
        <v>300</v>
      </c>
      <c r="O7" t="s">
        <v>301</v>
      </c>
      <c r="P7">
        <f t="shared" si="4"/>
        <v>3.5939010276421017</v>
      </c>
      <c r="Q7">
        <f t="shared" si="5"/>
        <v>0.99405302764210157</v>
      </c>
      <c r="R7" t="s">
        <v>302</v>
      </c>
      <c r="S7" t="s">
        <v>303</v>
      </c>
      <c r="T7">
        <f t="shared" si="6"/>
        <v>35.820801631038591</v>
      </c>
      <c r="U7">
        <f t="shared" si="7"/>
        <v>0.4417875</v>
      </c>
      <c r="V7" t="s">
        <v>160</v>
      </c>
      <c r="W7" t="s">
        <v>304</v>
      </c>
      <c r="X7" t="s">
        <v>162</v>
      </c>
      <c r="Y7" t="s">
        <v>162</v>
      </c>
      <c r="Z7" t="s">
        <v>162</v>
      </c>
      <c r="AA7" t="s">
        <v>305</v>
      </c>
      <c r="AB7" t="s">
        <v>306</v>
      </c>
      <c r="AC7" t="s">
        <v>307</v>
      </c>
      <c r="AD7" t="s">
        <v>166</v>
      </c>
      <c r="AE7" t="s">
        <v>167</v>
      </c>
      <c r="AF7">
        <f t="shared" si="8"/>
        <v>120.58677539999999</v>
      </c>
      <c r="AG7" t="s">
        <v>168</v>
      </c>
      <c r="AH7" t="s">
        <v>308</v>
      </c>
      <c r="AI7" t="s">
        <v>309</v>
      </c>
      <c r="AJ7" t="s">
        <v>310</v>
      </c>
      <c r="AK7" t="s">
        <v>311</v>
      </c>
      <c r="AL7">
        <f t="shared" si="9"/>
        <v>27.07</v>
      </c>
      <c r="AM7" t="s">
        <v>173</v>
      </c>
      <c r="AN7" t="s">
        <v>276</v>
      </c>
      <c r="AO7" t="s">
        <v>312</v>
      </c>
      <c r="AP7" t="s">
        <v>313</v>
      </c>
      <c r="AQ7" t="s">
        <v>314</v>
      </c>
      <c r="AR7" t="s">
        <v>315</v>
      </c>
      <c r="AS7" t="s">
        <v>316</v>
      </c>
      <c r="AT7" t="s">
        <v>317</v>
      </c>
      <c r="AU7" t="s">
        <v>318</v>
      </c>
      <c r="BC7" t="s">
        <v>182</v>
      </c>
      <c r="BD7" t="s">
        <v>152</v>
      </c>
      <c r="BE7" t="s">
        <v>183</v>
      </c>
      <c r="BF7" t="s">
        <v>150</v>
      </c>
      <c r="BG7" t="s">
        <v>185</v>
      </c>
      <c r="BH7" t="s">
        <v>319</v>
      </c>
      <c r="BI7" t="s">
        <v>185</v>
      </c>
      <c r="BJ7" t="s">
        <v>320</v>
      </c>
      <c r="BK7" t="s">
        <v>321</v>
      </c>
      <c r="BL7" t="s">
        <v>322</v>
      </c>
      <c r="BM7" t="s">
        <v>150</v>
      </c>
      <c r="BN7" t="s">
        <v>190</v>
      </c>
      <c r="BO7" t="s">
        <v>191</v>
      </c>
      <c r="BP7" t="s">
        <v>192</v>
      </c>
      <c r="BQ7" t="s">
        <v>193</v>
      </c>
      <c r="BR7" t="s">
        <v>162</v>
      </c>
      <c r="BS7" t="s">
        <v>194</v>
      </c>
      <c r="BT7" t="s">
        <v>162</v>
      </c>
      <c r="BU7" t="s">
        <v>162</v>
      </c>
      <c r="BV7" t="s">
        <v>195</v>
      </c>
      <c r="BW7" t="s">
        <v>196</v>
      </c>
      <c r="BX7" t="s">
        <v>197</v>
      </c>
      <c r="BY7" t="s">
        <v>198</v>
      </c>
      <c r="BZ7" t="s">
        <v>199</v>
      </c>
      <c r="CA7" t="s">
        <v>200</v>
      </c>
      <c r="CB7" t="s">
        <v>168</v>
      </c>
      <c r="CC7" t="s">
        <v>192</v>
      </c>
      <c r="CD7" t="s">
        <v>201</v>
      </c>
      <c r="CE7" t="s">
        <v>201</v>
      </c>
      <c r="CF7" t="s">
        <v>201</v>
      </c>
      <c r="CG7" t="s">
        <v>162</v>
      </c>
      <c r="CH7" t="s">
        <v>202</v>
      </c>
      <c r="CI7" t="s">
        <v>162</v>
      </c>
      <c r="CJ7" t="s">
        <v>162</v>
      </c>
      <c r="CK7" t="s">
        <v>162</v>
      </c>
      <c r="CL7" t="s">
        <v>162</v>
      </c>
      <c r="CM7" t="s">
        <v>323</v>
      </c>
      <c r="CN7" t="s">
        <v>324</v>
      </c>
      <c r="CO7" t="s">
        <v>325</v>
      </c>
      <c r="CP7" t="s">
        <v>326</v>
      </c>
      <c r="CQ7" t="s">
        <v>327</v>
      </c>
      <c r="CR7" t="s">
        <v>328</v>
      </c>
      <c r="CS7" t="s">
        <v>329</v>
      </c>
      <c r="CT7" t="s">
        <v>330</v>
      </c>
      <c r="CU7" t="s">
        <v>305</v>
      </c>
      <c r="CV7" t="s">
        <v>211</v>
      </c>
      <c r="CW7" t="s">
        <v>212</v>
      </c>
      <c r="CX7" t="s">
        <v>213</v>
      </c>
      <c r="CY7" t="s">
        <v>168</v>
      </c>
      <c r="CZ7" t="s">
        <v>214</v>
      </c>
      <c r="DA7" t="s">
        <v>215</v>
      </c>
      <c r="DB7" t="s">
        <v>168</v>
      </c>
      <c r="DC7" t="s">
        <v>216</v>
      </c>
      <c r="DD7" t="s">
        <v>217</v>
      </c>
      <c r="DE7" t="s">
        <v>218</v>
      </c>
      <c r="DF7" t="s">
        <v>162</v>
      </c>
      <c r="DG7" t="s">
        <v>304</v>
      </c>
      <c r="DH7" t="s">
        <v>219</v>
      </c>
      <c r="DI7" t="s">
        <v>220</v>
      </c>
      <c r="DJ7" t="s">
        <v>221</v>
      </c>
      <c r="DK7" t="s">
        <v>222</v>
      </c>
      <c r="DL7" t="s">
        <v>223</v>
      </c>
      <c r="DM7" t="s">
        <v>224</v>
      </c>
    </row>
    <row r="8" spans="1:117" ht="19.2" customHeight="1" x14ac:dyDescent="0.45">
      <c r="A8" t="s">
        <v>331</v>
      </c>
      <c r="B8" t="s">
        <v>332</v>
      </c>
      <c r="C8" t="s">
        <v>152</v>
      </c>
      <c r="D8" t="s">
        <v>153</v>
      </c>
      <c r="E8" t="s">
        <v>154</v>
      </c>
      <c r="I8" t="s">
        <v>333</v>
      </c>
      <c r="J8">
        <f t="shared" si="0"/>
        <v>0.37369530383168714</v>
      </c>
      <c r="K8">
        <f t="shared" si="1"/>
        <v>2.9066320800000001</v>
      </c>
      <c r="L8">
        <f t="shared" si="2"/>
        <v>0.3311238883095155</v>
      </c>
      <c r="M8">
        <f t="shared" si="3"/>
        <v>3.2644560634390447</v>
      </c>
      <c r="N8" t="s">
        <v>334</v>
      </c>
      <c r="O8" t="s">
        <v>335</v>
      </c>
      <c r="P8">
        <f t="shared" si="4"/>
        <v>3.6405765256306926</v>
      </c>
      <c r="Q8">
        <f t="shared" si="5"/>
        <v>0.9579815256306925</v>
      </c>
      <c r="R8" t="s">
        <v>336</v>
      </c>
      <c r="S8" t="s">
        <v>337</v>
      </c>
      <c r="T8">
        <f t="shared" si="6"/>
        <v>36.282405079038199</v>
      </c>
      <c r="U8">
        <f t="shared" si="7"/>
        <v>0.4417875</v>
      </c>
      <c r="V8" t="s">
        <v>160</v>
      </c>
      <c r="W8" t="s">
        <v>338</v>
      </c>
      <c r="X8" t="s">
        <v>162</v>
      </c>
      <c r="Y8" t="s">
        <v>162</v>
      </c>
      <c r="Z8" t="s">
        <v>162</v>
      </c>
      <c r="AA8" t="s">
        <v>339</v>
      </c>
      <c r="AB8" t="s">
        <v>340</v>
      </c>
      <c r="AC8" t="s">
        <v>341</v>
      </c>
      <c r="AD8" t="s">
        <v>166</v>
      </c>
      <c r="AE8" t="s">
        <v>167</v>
      </c>
      <c r="AF8">
        <f t="shared" si="8"/>
        <v>125.55465215999999</v>
      </c>
      <c r="AG8" t="s">
        <v>168</v>
      </c>
      <c r="AH8" t="s">
        <v>342</v>
      </c>
      <c r="AI8" t="s">
        <v>343</v>
      </c>
      <c r="AJ8" t="s">
        <v>344</v>
      </c>
      <c r="AK8" t="s">
        <v>345</v>
      </c>
      <c r="AL8">
        <f t="shared" si="9"/>
        <v>27.29</v>
      </c>
      <c r="AM8" t="s">
        <v>346</v>
      </c>
      <c r="AN8" t="s">
        <v>241</v>
      </c>
      <c r="AO8" t="s">
        <v>347</v>
      </c>
      <c r="AP8" t="s">
        <v>348</v>
      </c>
      <c r="AQ8" t="s">
        <v>349</v>
      </c>
      <c r="AR8" t="s">
        <v>315</v>
      </c>
      <c r="AS8" t="s">
        <v>281</v>
      </c>
      <c r="AT8" t="s">
        <v>350</v>
      </c>
      <c r="AU8" t="s">
        <v>351</v>
      </c>
      <c r="BC8" t="s">
        <v>182</v>
      </c>
      <c r="BD8" t="s">
        <v>152</v>
      </c>
      <c r="BE8" t="s">
        <v>183</v>
      </c>
      <c r="BF8" t="s">
        <v>150</v>
      </c>
      <c r="BG8" t="s">
        <v>283</v>
      </c>
      <c r="BH8" t="s">
        <v>319</v>
      </c>
      <c r="BI8" t="s">
        <v>352</v>
      </c>
      <c r="BJ8" t="s">
        <v>353</v>
      </c>
      <c r="BK8" t="s">
        <v>354</v>
      </c>
      <c r="BL8" t="s">
        <v>355</v>
      </c>
      <c r="BM8" t="s">
        <v>150</v>
      </c>
      <c r="BN8" t="s">
        <v>190</v>
      </c>
      <c r="BO8" t="s">
        <v>191</v>
      </c>
      <c r="BP8" t="s">
        <v>192</v>
      </c>
      <c r="BQ8" t="s">
        <v>193</v>
      </c>
      <c r="BR8" t="s">
        <v>162</v>
      </c>
      <c r="BS8" t="s">
        <v>194</v>
      </c>
      <c r="BT8" t="s">
        <v>162</v>
      </c>
      <c r="BU8" t="s">
        <v>162</v>
      </c>
      <c r="BV8" t="s">
        <v>195</v>
      </c>
      <c r="BW8" t="s">
        <v>196</v>
      </c>
      <c r="BX8" t="s">
        <v>197</v>
      </c>
      <c r="BY8" t="s">
        <v>198</v>
      </c>
      <c r="BZ8" t="s">
        <v>199</v>
      </c>
      <c r="CA8" t="s">
        <v>200</v>
      </c>
      <c r="CB8" t="s">
        <v>168</v>
      </c>
      <c r="CC8" t="s">
        <v>192</v>
      </c>
      <c r="CD8" t="s">
        <v>201</v>
      </c>
      <c r="CE8" t="s">
        <v>201</v>
      </c>
      <c r="CF8" t="s">
        <v>201</v>
      </c>
      <c r="CG8" t="s">
        <v>162</v>
      </c>
      <c r="CH8" t="s">
        <v>202</v>
      </c>
      <c r="CI8" t="s">
        <v>162</v>
      </c>
      <c r="CJ8" t="s">
        <v>162</v>
      </c>
      <c r="CK8" t="s">
        <v>162</v>
      </c>
      <c r="CL8" t="s">
        <v>162</v>
      </c>
      <c r="CM8" t="s">
        <v>356</v>
      </c>
      <c r="CN8" t="s">
        <v>357</v>
      </c>
      <c r="CO8" t="s">
        <v>358</v>
      </c>
      <c r="CP8" t="s">
        <v>359</v>
      </c>
      <c r="CQ8" t="s">
        <v>360</v>
      </c>
      <c r="CR8" t="s">
        <v>361</v>
      </c>
      <c r="CS8" t="s">
        <v>362</v>
      </c>
      <c r="CT8" t="s">
        <v>363</v>
      </c>
      <c r="CU8" t="s">
        <v>339</v>
      </c>
      <c r="CV8" t="s">
        <v>364</v>
      </c>
      <c r="CW8" t="s">
        <v>212</v>
      </c>
      <c r="CX8" t="s">
        <v>213</v>
      </c>
      <c r="CY8" t="s">
        <v>168</v>
      </c>
      <c r="CZ8" t="s">
        <v>214</v>
      </c>
      <c r="DA8" t="s">
        <v>215</v>
      </c>
      <c r="DB8" t="s">
        <v>168</v>
      </c>
      <c r="DC8" t="s">
        <v>216</v>
      </c>
      <c r="DD8" t="s">
        <v>217</v>
      </c>
      <c r="DE8" t="s">
        <v>218</v>
      </c>
      <c r="DF8" t="s">
        <v>162</v>
      </c>
      <c r="DG8" t="s">
        <v>338</v>
      </c>
      <c r="DH8" t="s">
        <v>219</v>
      </c>
      <c r="DI8" t="s">
        <v>220</v>
      </c>
      <c r="DJ8" t="s">
        <v>221</v>
      </c>
      <c r="DK8" t="s">
        <v>222</v>
      </c>
      <c r="DL8" t="s">
        <v>223</v>
      </c>
      <c r="DM8" t="s">
        <v>224</v>
      </c>
    </row>
    <row r="9" spans="1:117" ht="19.2" customHeight="1" x14ac:dyDescent="0.45">
      <c r="A9" t="s">
        <v>350</v>
      </c>
      <c r="B9" t="s">
        <v>365</v>
      </c>
      <c r="C9" t="s">
        <v>152</v>
      </c>
      <c r="D9" t="s">
        <v>153</v>
      </c>
      <c r="E9" t="s">
        <v>154</v>
      </c>
      <c r="I9" t="s">
        <v>366</v>
      </c>
      <c r="J9">
        <f t="shared" si="0"/>
        <v>0.35815147236383554</v>
      </c>
      <c r="K9">
        <f t="shared" si="1"/>
        <v>2.9042299199999997</v>
      </c>
      <c r="L9">
        <f t="shared" si="2"/>
        <v>0.31883280856302215</v>
      </c>
      <c r="M9">
        <f t="shared" si="3"/>
        <v>2.9762188930623896</v>
      </c>
      <c r="N9" t="s">
        <v>367</v>
      </c>
      <c r="O9" t="s">
        <v>368</v>
      </c>
      <c r="P9">
        <f t="shared" si="4"/>
        <v>3.6641120382445984</v>
      </c>
      <c r="Q9">
        <f t="shared" si="5"/>
        <v>0.90663903824459835</v>
      </c>
      <c r="R9" t="s">
        <v>369</v>
      </c>
      <c r="S9" t="s">
        <v>370</v>
      </c>
      <c r="T9">
        <f t="shared" si="6"/>
        <v>36.513323749323355</v>
      </c>
      <c r="U9">
        <f t="shared" si="7"/>
        <v>0.4417875</v>
      </c>
      <c r="V9" t="s">
        <v>160</v>
      </c>
      <c r="W9" t="s">
        <v>371</v>
      </c>
      <c r="X9" t="s">
        <v>162</v>
      </c>
      <c r="Y9" t="s">
        <v>162</v>
      </c>
      <c r="Z9" t="s">
        <v>162</v>
      </c>
      <c r="AA9" t="s">
        <v>372</v>
      </c>
      <c r="AB9" t="s">
        <v>373</v>
      </c>
      <c r="AC9" t="s">
        <v>374</v>
      </c>
      <c r="AD9" t="s">
        <v>166</v>
      </c>
      <c r="AE9" t="s">
        <v>167</v>
      </c>
      <c r="AF9">
        <f t="shared" si="8"/>
        <v>114.00244799999999</v>
      </c>
      <c r="AG9" t="s">
        <v>168</v>
      </c>
      <c r="AH9" t="s">
        <v>375</v>
      </c>
      <c r="AI9" t="s">
        <v>376</v>
      </c>
      <c r="AJ9" t="s">
        <v>377</v>
      </c>
      <c r="AK9" t="s">
        <v>378</v>
      </c>
      <c r="AL9">
        <f t="shared" si="9"/>
        <v>27.4</v>
      </c>
      <c r="AM9" t="s">
        <v>379</v>
      </c>
      <c r="AN9" t="s">
        <v>380</v>
      </c>
      <c r="AO9" t="s">
        <v>381</v>
      </c>
      <c r="AP9" t="s">
        <v>382</v>
      </c>
      <c r="AQ9" t="s">
        <v>383</v>
      </c>
      <c r="AR9" t="s">
        <v>384</v>
      </c>
      <c r="AS9" t="s">
        <v>385</v>
      </c>
      <c r="AT9" t="s">
        <v>386</v>
      </c>
      <c r="AU9" t="s">
        <v>387</v>
      </c>
      <c r="BC9" t="s">
        <v>182</v>
      </c>
      <c r="BD9" t="s">
        <v>152</v>
      </c>
      <c r="BE9" t="s">
        <v>183</v>
      </c>
      <c r="BF9" t="s">
        <v>150</v>
      </c>
      <c r="BG9" t="s">
        <v>191</v>
      </c>
      <c r="BH9" t="s">
        <v>388</v>
      </c>
      <c r="BI9" t="s">
        <v>389</v>
      </c>
      <c r="BJ9" t="s">
        <v>390</v>
      </c>
      <c r="BK9" t="s">
        <v>391</v>
      </c>
      <c r="BL9" t="s">
        <v>392</v>
      </c>
      <c r="BM9" t="s">
        <v>150</v>
      </c>
      <c r="BN9" t="s">
        <v>190</v>
      </c>
      <c r="BO9" t="s">
        <v>191</v>
      </c>
      <c r="BP9" t="s">
        <v>192</v>
      </c>
      <c r="BQ9" t="s">
        <v>193</v>
      </c>
      <c r="BR9" t="s">
        <v>162</v>
      </c>
      <c r="BS9" t="s">
        <v>194</v>
      </c>
      <c r="BT9" t="s">
        <v>162</v>
      </c>
      <c r="BU9" t="s">
        <v>162</v>
      </c>
      <c r="BV9" t="s">
        <v>195</v>
      </c>
      <c r="BW9" t="s">
        <v>196</v>
      </c>
      <c r="BX9" t="s">
        <v>197</v>
      </c>
      <c r="BY9" t="s">
        <v>198</v>
      </c>
      <c r="BZ9" t="s">
        <v>199</v>
      </c>
      <c r="CA9" t="s">
        <v>200</v>
      </c>
      <c r="CB9" t="s">
        <v>168</v>
      </c>
      <c r="CC9" t="s">
        <v>192</v>
      </c>
      <c r="CD9" t="s">
        <v>201</v>
      </c>
      <c r="CE9" t="s">
        <v>201</v>
      </c>
      <c r="CF9" t="s">
        <v>201</v>
      </c>
      <c r="CG9" t="s">
        <v>162</v>
      </c>
      <c r="CH9" t="s">
        <v>202</v>
      </c>
      <c r="CI9" t="s">
        <v>162</v>
      </c>
      <c r="CJ9" t="s">
        <v>162</v>
      </c>
      <c r="CK9" t="s">
        <v>162</v>
      </c>
      <c r="CL9" t="s">
        <v>162</v>
      </c>
      <c r="CM9" t="s">
        <v>393</v>
      </c>
      <c r="CN9" t="s">
        <v>394</v>
      </c>
      <c r="CO9" t="s">
        <v>395</v>
      </c>
      <c r="CP9" t="s">
        <v>396</v>
      </c>
      <c r="CQ9" t="s">
        <v>397</v>
      </c>
      <c r="CR9" t="s">
        <v>398</v>
      </c>
      <c r="CS9" t="s">
        <v>399</v>
      </c>
      <c r="CT9" t="s">
        <v>400</v>
      </c>
      <c r="CU9" t="s">
        <v>372</v>
      </c>
      <c r="CV9" t="s">
        <v>401</v>
      </c>
      <c r="CW9" t="s">
        <v>212</v>
      </c>
      <c r="CX9" t="s">
        <v>213</v>
      </c>
      <c r="CY9" t="s">
        <v>168</v>
      </c>
      <c r="CZ9" t="s">
        <v>214</v>
      </c>
      <c r="DA9" t="s">
        <v>215</v>
      </c>
      <c r="DB9" t="s">
        <v>168</v>
      </c>
      <c r="DC9" t="s">
        <v>216</v>
      </c>
      <c r="DD9" t="s">
        <v>217</v>
      </c>
      <c r="DE9" t="s">
        <v>218</v>
      </c>
      <c r="DF9" t="s">
        <v>162</v>
      </c>
      <c r="DG9" t="s">
        <v>371</v>
      </c>
      <c r="DH9" t="s">
        <v>219</v>
      </c>
      <c r="DI9" t="s">
        <v>220</v>
      </c>
      <c r="DJ9" t="s">
        <v>221</v>
      </c>
      <c r="DK9" t="s">
        <v>222</v>
      </c>
      <c r="DL9" t="s">
        <v>223</v>
      </c>
      <c r="DM9" t="s">
        <v>224</v>
      </c>
    </row>
    <row r="10" spans="1:117" ht="19.2" customHeight="1" x14ac:dyDescent="0.45">
      <c r="A10" t="s">
        <v>386</v>
      </c>
      <c r="B10" t="s">
        <v>402</v>
      </c>
      <c r="C10" t="s">
        <v>152</v>
      </c>
      <c r="D10" t="s">
        <v>153</v>
      </c>
      <c r="E10" t="s">
        <v>154</v>
      </c>
      <c r="I10" t="s">
        <v>403</v>
      </c>
      <c r="J10">
        <f t="shared" si="0"/>
        <v>0.29045237412463015</v>
      </c>
      <c r="K10">
        <f t="shared" si="1"/>
        <v>2.9042299199999997</v>
      </c>
      <c r="L10">
        <f t="shared" si="2"/>
        <v>0.26404518434247681</v>
      </c>
      <c r="M10">
        <f t="shared" si="3"/>
        <v>2.7818667247362416</v>
      </c>
      <c r="N10" t="s">
        <v>404</v>
      </c>
      <c r="O10" t="s">
        <v>405</v>
      </c>
      <c r="P10">
        <f t="shared" si="4"/>
        <v>3.7311552835558142</v>
      </c>
      <c r="Q10">
        <f t="shared" si="5"/>
        <v>1.023298283555814</v>
      </c>
      <c r="R10" t="s">
        <v>406</v>
      </c>
      <c r="S10" t="s">
        <v>407</v>
      </c>
      <c r="T10">
        <f t="shared" si="6"/>
        <v>37.181417873002637</v>
      </c>
      <c r="U10">
        <f t="shared" si="7"/>
        <v>0.4417875</v>
      </c>
      <c r="V10" t="s">
        <v>160</v>
      </c>
      <c r="W10" t="s">
        <v>408</v>
      </c>
      <c r="X10" t="s">
        <v>162</v>
      </c>
      <c r="Y10" t="s">
        <v>162</v>
      </c>
      <c r="Z10" t="s">
        <v>162</v>
      </c>
      <c r="AA10" t="s">
        <v>409</v>
      </c>
      <c r="AB10" t="s">
        <v>410</v>
      </c>
      <c r="AC10" t="s">
        <v>411</v>
      </c>
      <c r="AD10" t="s">
        <v>166</v>
      </c>
      <c r="AE10" t="s">
        <v>167</v>
      </c>
      <c r="AF10">
        <f t="shared" si="8"/>
        <v>164.52606744000002</v>
      </c>
      <c r="AG10" t="s">
        <v>168</v>
      </c>
      <c r="AH10" t="s">
        <v>412</v>
      </c>
      <c r="AI10" t="s">
        <v>413</v>
      </c>
      <c r="AJ10" t="s">
        <v>414</v>
      </c>
      <c r="AK10" t="s">
        <v>415</v>
      </c>
      <c r="AL10">
        <f t="shared" si="9"/>
        <v>27.71</v>
      </c>
      <c r="AM10" t="s">
        <v>379</v>
      </c>
      <c r="AN10" t="s">
        <v>380</v>
      </c>
      <c r="AO10" t="s">
        <v>242</v>
      </c>
      <c r="AP10" t="s">
        <v>416</v>
      </c>
      <c r="AQ10" t="s">
        <v>417</v>
      </c>
      <c r="AR10" t="s">
        <v>418</v>
      </c>
      <c r="AS10" t="s">
        <v>419</v>
      </c>
      <c r="AT10" t="s">
        <v>420</v>
      </c>
      <c r="AU10" t="s">
        <v>421</v>
      </c>
      <c r="BC10" t="s">
        <v>182</v>
      </c>
      <c r="BD10" t="s">
        <v>152</v>
      </c>
      <c r="BE10" t="s">
        <v>183</v>
      </c>
      <c r="BF10" t="s">
        <v>150</v>
      </c>
      <c r="BG10" t="s">
        <v>248</v>
      </c>
      <c r="BH10" t="s">
        <v>185</v>
      </c>
      <c r="BI10" t="s">
        <v>284</v>
      </c>
      <c r="BJ10" t="s">
        <v>250</v>
      </c>
      <c r="BK10" t="s">
        <v>191</v>
      </c>
      <c r="BL10" t="s">
        <v>422</v>
      </c>
      <c r="BM10" t="s">
        <v>150</v>
      </c>
      <c r="BN10" t="s">
        <v>190</v>
      </c>
      <c r="BO10" t="s">
        <v>191</v>
      </c>
      <c r="BP10" t="s">
        <v>192</v>
      </c>
      <c r="BQ10" t="s">
        <v>193</v>
      </c>
      <c r="BR10" t="s">
        <v>162</v>
      </c>
      <c r="BS10" t="s">
        <v>194</v>
      </c>
      <c r="BT10" t="s">
        <v>162</v>
      </c>
      <c r="BU10" t="s">
        <v>162</v>
      </c>
      <c r="BV10" t="s">
        <v>195</v>
      </c>
      <c r="BW10" t="s">
        <v>196</v>
      </c>
      <c r="BX10" t="s">
        <v>197</v>
      </c>
      <c r="BY10" t="s">
        <v>198</v>
      </c>
      <c r="BZ10" t="s">
        <v>199</v>
      </c>
      <c r="CA10" t="s">
        <v>200</v>
      </c>
      <c r="CB10" t="s">
        <v>168</v>
      </c>
      <c r="CC10" t="s">
        <v>192</v>
      </c>
      <c r="CD10" t="s">
        <v>201</v>
      </c>
      <c r="CE10" t="s">
        <v>201</v>
      </c>
      <c r="CF10" t="s">
        <v>201</v>
      </c>
      <c r="CG10" t="s">
        <v>162</v>
      </c>
      <c r="CH10" t="s">
        <v>202</v>
      </c>
      <c r="CI10" t="s">
        <v>162</v>
      </c>
      <c r="CJ10" t="s">
        <v>162</v>
      </c>
      <c r="CK10" t="s">
        <v>162</v>
      </c>
      <c r="CL10" t="s">
        <v>162</v>
      </c>
      <c r="CM10" t="s">
        <v>423</v>
      </c>
      <c r="CN10" t="s">
        <v>424</v>
      </c>
      <c r="CO10" t="s">
        <v>425</v>
      </c>
      <c r="CP10" t="s">
        <v>426</v>
      </c>
      <c r="CQ10" t="s">
        <v>427</v>
      </c>
      <c r="CR10" t="s">
        <v>428</v>
      </c>
      <c r="CS10" t="s">
        <v>429</v>
      </c>
      <c r="CT10" t="s">
        <v>430</v>
      </c>
      <c r="CU10" t="s">
        <v>409</v>
      </c>
      <c r="CV10" t="s">
        <v>431</v>
      </c>
      <c r="CW10" t="s">
        <v>212</v>
      </c>
      <c r="CX10" t="s">
        <v>213</v>
      </c>
      <c r="CY10" t="s">
        <v>168</v>
      </c>
      <c r="CZ10" t="s">
        <v>214</v>
      </c>
      <c r="DA10" t="s">
        <v>215</v>
      </c>
      <c r="DB10" t="s">
        <v>168</v>
      </c>
      <c r="DC10" t="s">
        <v>216</v>
      </c>
      <c r="DD10" t="s">
        <v>217</v>
      </c>
      <c r="DE10" t="s">
        <v>218</v>
      </c>
      <c r="DF10" t="s">
        <v>162</v>
      </c>
      <c r="DG10" t="s">
        <v>408</v>
      </c>
      <c r="DH10" t="s">
        <v>219</v>
      </c>
      <c r="DI10" t="s">
        <v>220</v>
      </c>
      <c r="DJ10" t="s">
        <v>221</v>
      </c>
      <c r="DK10" t="s">
        <v>222</v>
      </c>
      <c r="DL10" t="s">
        <v>223</v>
      </c>
      <c r="DM10" t="s">
        <v>224</v>
      </c>
    </row>
    <row r="11" spans="1:117" ht="19.2" customHeight="1" x14ac:dyDescent="0.45">
      <c r="A11" t="s">
        <v>432</v>
      </c>
      <c r="B11" t="s">
        <v>433</v>
      </c>
      <c r="C11" t="s">
        <v>152</v>
      </c>
      <c r="D11" t="s">
        <v>153</v>
      </c>
      <c r="E11" t="s">
        <v>154</v>
      </c>
      <c r="I11" t="s">
        <v>434</v>
      </c>
      <c r="J11">
        <f t="shared" si="0"/>
        <v>0.29140228301871707</v>
      </c>
      <c r="K11">
        <f t="shared" si="1"/>
        <v>2.9058327199999998</v>
      </c>
      <c r="L11">
        <f t="shared" si="2"/>
        <v>0.26484330613139206</v>
      </c>
      <c r="M11">
        <f t="shared" si="3"/>
        <v>2.3750964193374573</v>
      </c>
      <c r="N11" t="s">
        <v>435</v>
      </c>
      <c r="O11" t="s">
        <v>436</v>
      </c>
      <c r="P11">
        <f t="shared" si="4"/>
        <v>3.7289760057055688</v>
      </c>
      <c r="Q11">
        <f t="shared" si="5"/>
        <v>0.87059800570556867</v>
      </c>
      <c r="R11" t="s">
        <v>437</v>
      </c>
      <c r="S11" t="s">
        <v>438</v>
      </c>
      <c r="T11">
        <f t="shared" si="6"/>
        <v>37.155998462590361</v>
      </c>
      <c r="U11">
        <f t="shared" si="7"/>
        <v>0.4417875</v>
      </c>
      <c r="V11" t="s">
        <v>160</v>
      </c>
      <c r="W11" t="s">
        <v>439</v>
      </c>
      <c r="X11" t="s">
        <v>162</v>
      </c>
      <c r="Y11" t="s">
        <v>162</v>
      </c>
      <c r="Z11" t="s">
        <v>162</v>
      </c>
      <c r="AA11" t="s">
        <v>440</v>
      </c>
      <c r="AB11" t="s">
        <v>441</v>
      </c>
      <c r="AC11" t="s">
        <v>442</v>
      </c>
      <c r="AD11" t="s">
        <v>166</v>
      </c>
      <c r="AE11" t="s">
        <v>167</v>
      </c>
      <c r="AF11">
        <f t="shared" si="8"/>
        <v>158.99209200000001</v>
      </c>
      <c r="AG11" t="s">
        <v>168</v>
      </c>
      <c r="AH11" t="s">
        <v>443</v>
      </c>
      <c r="AI11" t="s">
        <v>444</v>
      </c>
      <c r="AJ11" t="s">
        <v>445</v>
      </c>
      <c r="AK11" t="s">
        <v>446</v>
      </c>
      <c r="AL11">
        <f t="shared" si="9"/>
        <v>27.7</v>
      </c>
      <c r="AM11" t="s">
        <v>447</v>
      </c>
      <c r="AN11" t="s">
        <v>276</v>
      </c>
      <c r="AO11" t="s">
        <v>448</v>
      </c>
      <c r="AP11" t="s">
        <v>449</v>
      </c>
      <c r="AQ11" t="s">
        <v>450</v>
      </c>
      <c r="AR11" t="s">
        <v>418</v>
      </c>
      <c r="AS11" t="s">
        <v>245</v>
      </c>
      <c r="AT11" t="s">
        <v>197</v>
      </c>
      <c r="AU11" t="s">
        <v>451</v>
      </c>
      <c r="BC11" t="s">
        <v>182</v>
      </c>
      <c r="BD11" t="s">
        <v>152</v>
      </c>
      <c r="BE11" t="s">
        <v>183</v>
      </c>
      <c r="BF11" t="s">
        <v>150</v>
      </c>
      <c r="BG11" t="s">
        <v>452</v>
      </c>
      <c r="BH11" t="s">
        <v>319</v>
      </c>
      <c r="BI11" t="s">
        <v>388</v>
      </c>
      <c r="BJ11" t="s">
        <v>453</v>
      </c>
      <c r="BK11" t="s">
        <v>454</v>
      </c>
      <c r="BL11" t="s">
        <v>455</v>
      </c>
      <c r="BM11" t="s">
        <v>150</v>
      </c>
      <c r="BN11" t="s">
        <v>190</v>
      </c>
      <c r="BO11" t="s">
        <v>191</v>
      </c>
      <c r="BP11" t="s">
        <v>192</v>
      </c>
      <c r="BQ11" t="s">
        <v>193</v>
      </c>
      <c r="BR11" t="s">
        <v>162</v>
      </c>
      <c r="BS11" t="s">
        <v>194</v>
      </c>
      <c r="BT11" t="s">
        <v>162</v>
      </c>
      <c r="BU11" t="s">
        <v>162</v>
      </c>
      <c r="BV11" t="s">
        <v>195</v>
      </c>
      <c r="BW11" t="s">
        <v>196</v>
      </c>
      <c r="BX11" t="s">
        <v>197</v>
      </c>
      <c r="BY11" t="s">
        <v>198</v>
      </c>
      <c r="BZ11" t="s">
        <v>199</v>
      </c>
      <c r="CA11" t="s">
        <v>200</v>
      </c>
      <c r="CB11" t="s">
        <v>168</v>
      </c>
      <c r="CC11" t="s">
        <v>192</v>
      </c>
      <c r="CD11" t="s">
        <v>201</v>
      </c>
      <c r="CE11" t="s">
        <v>201</v>
      </c>
      <c r="CF11" t="s">
        <v>201</v>
      </c>
      <c r="CG11" t="s">
        <v>162</v>
      </c>
      <c r="CH11" t="s">
        <v>202</v>
      </c>
      <c r="CI11" t="s">
        <v>162</v>
      </c>
      <c r="CJ11" t="s">
        <v>162</v>
      </c>
      <c r="CK11" t="s">
        <v>162</v>
      </c>
      <c r="CL11" t="s">
        <v>162</v>
      </c>
      <c r="CM11" t="s">
        <v>456</v>
      </c>
      <c r="CN11" t="s">
        <v>457</v>
      </c>
      <c r="CO11" t="s">
        <v>458</v>
      </c>
      <c r="CP11" t="s">
        <v>459</v>
      </c>
      <c r="CQ11" t="s">
        <v>460</v>
      </c>
      <c r="CR11" t="s">
        <v>461</v>
      </c>
      <c r="CS11" t="s">
        <v>462</v>
      </c>
      <c r="CT11" t="s">
        <v>463</v>
      </c>
      <c r="CU11" t="s">
        <v>440</v>
      </c>
      <c r="CV11" t="s">
        <v>464</v>
      </c>
      <c r="CW11" t="s">
        <v>212</v>
      </c>
      <c r="CX11" t="s">
        <v>213</v>
      </c>
      <c r="CY11" t="s">
        <v>168</v>
      </c>
      <c r="CZ11" t="s">
        <v>214</v>
      </c>
      <c r="DA11" t="s">
        <v>215</v>
      </c>
      <c r="DB11" t="s">
        <v>168</v>
      </c>
      <c r="DC11" t="s">
        <v>216</v>
      </c>
      <c r="DD11" t="s">
        <v>217</v>
      </c>
      <c r="DE11" t="s">
        <v>218</v>
      </c>
      <c r="DF11" t="s">
        <v>162</v>
      </c>
      <c r="DG11" t="s">
        <v>439</v>
      </c>
      <c r="DH11" t="s">
        <v>219</v>
      </c>
      <c r="DI11" t="s">
        <v>220</v>
      </c>
      <c r="DJ11" t="s">
        <v>221</v>
      </c>
      <c r="DK11" t="s">
        <v>222</v>
      </c>
      <c r="DL11" t="s">
        <v>223</v>
      </c>
      <c r="DM11" t="s">
        <v>224</v>
      </c>
    </row>
    <row r="12" spans="1:117" ht="19.2" customHeight="1" x14ac:dyDescent="0.45">
      <c r="A12" t="s">
        <v>465</v>
      </c>
      <c r="B12" t="s">
        <v>466</v>
      </c>
      <c r="C12" t="s">
        <v>152</v>
      </c>
      <c r="D12" t="s">
        <v>153</v>
      </c>
      <c r="E12" t="s">
        <v>154</v>
      </c>
      <c r="I12" t="s">
        <v>467</v>
      </c>
      <c r="J12">
        <f t="shared" si="0"/>
        <v>0.47860923439010122</v>
      </c>
      <c r="K12">
        <f t="shared" si="1"/>
        <v>2.9066320800000001</v>
      </c>
      <c r="L12">
        <f t="shared" si="2"/>
        <v>0.410942921129137</v>
      </c>
      <c r="M12">
        <f t="shared" si="3"/>
        <v>4.0474916244986643</v>
      </c>
      <c r="N12" t="s">
        <v>468</v>
      </c>
      <c r="O12" t="s">
        <v>469</v>
      </c>
      <c r="P12">
        <f t="shared" si="4"/>
        <v>3.7661751845079028</v>
      </c>
      <c r="Q12">
        <f t="shared" si="5"/>
        <v>0.95579918450790258</v>
      </c>
      <c r="R12" t="s">
        <v>470</v>
      </c>
      <c r="S12" t="s">
        <v>471</v>
      </c>
      <c r="T12">
        <f t="shared" si="6"/>
        <v>37.534135783415415</v>
      </c>
      <c r="U12">
        <f t="shared" si="7"/>
        <v>0.4417875</v>
      </c>
      <c r="V12" t="s">
        <v>160</v>
      </c>
      <c r="W12" t="s">
        <v>472</v>
      </c>
      <c r="X12" t="s">
        <v>162</v>
      </c>
      <c r="Y12" t="s">
        <v>162</v>
      </c>
      <c r="Z12" t="s">
        <v>162</v>
      </c>
      <c r="AA12" t="s">
        <v>473</v>
      </c>
      <c r="AB12" t="s">
        <v>474</v>
      </c>
      <c r="AC12" t="s">
        <v>475</v>
      </c>
      <c r="AD12" t="s">
        <v>166</v>
      </c>
      <c r="AE12" t="s">
        <v>167</v>
      </c>
      <c r="AF12">
        <f t="shared" si="8"/>
        <v>153.91583550000001</v>
      </c>
      <c r="AG12" t="s">
        <v>168</v>
      </c>
      <c r="AH12" t="s">
        <v>476</v>
      </c>
      <c r="AI12" t="s">
        <v>477</v>
      </c>
      <c r="AJ12" t="s">
        <v>478</v>
      </c>
      <c r="AK12" t="s">
        <v>479</v>
      </c>
      <c r="AL12">
        <f t="shared" si="9"/>
        <v>27.87</v>
      </c>
      <c r="AM12" t="s">
        <v>346</v>
      </c>
      <c r="AN12" t="s">
        <v>241</v>
      </c>
      <c r="AO12" t="s">
        <v>480</v>
      </c>
      <c r="AP12" t="s">
        <v>481</v>
      </c>
      <c r="AQ12" t="s">
        <v>482</v>
      </c>
      <c r="AR12" t="s">
        <v>483</v>
      </c>
      <c r="AS12" t="s">
        <v>484</v>
      </c>
      <c r="AT12" t="s">
        <v>485</v>
      </c>
      <c r="AU12" t="s">
        <v>421</v>
      </c>
      <c r="BC12" t="s">
        <v>182</v>
      </c>
      <c r="BD12" t="s">
        <v>152</v>
      </c>
      <c r="BE12" t="s">
        <v>183</v>
      </c>
      <c r="BF12" t="s">
        <v>150</v>
      </c>
      <c r="BG12" t="s">
        <v>191</v>
      </c>
      <c r="BH12" t="s">
        <v>191</v>
      </c>
      <c r="BI12" t="s">
        <v>486</v>
      </c>
      <c r="BJ12" t="s">
        <v>487</v>
      </c>
      <c r="BK12" t="s">
        <v>250</v>
      </c>
      <c r="BL12" t="s">
        <v>488</v>
      </c>
      <c r="BM12" t="s">
        <v>150</v>
      </c>
      <c r="BN12" t="s">
        <v>190</v>
      </c>
      <c r="BO12" t="s">
        <v>191</v>
      </c>
      <c r="BP12" t="s">
        <v>192</v>
      </c>
      <c r="BQ12" t="s">
        <v>193</v>
      </c>
      <c r="BR12" t="s">
        <v>162</v>
      </c>
      <c r="BS12" t="s">
        <v>194</v>
      </c>
      <c r="BT12" t="s">
        <v>162</v>
      </c>
      <c r="BU12" t="s">
        <v>162</v>
      </c>
      <c r="BV12" t="s">
        <v>195</v>
      </c>
      <c r="BW12" t="s">
        <v>196</v>
      </c>
      <c r="BX12" t="s">
        <v>197</v>
      </c>
      <c r="BY12" t="s">
        <v>198</v>
      </c>
      <c r="BZ12" t="s">
        <v>199</v>
      </c>
      <c r="CA12" t="s">
        <v>200</v>
      </c>
      <c r="CB12" t="s">
        <v>168</v>
      </c>
      <c r="CC12" t="s">
        <v>192</v>
      </c>
      <c r="CD12" t="s">
        <v>201</v>
      </c>
      <c r="CE12" t="s">
        <v>201</v>
      </c>
      <c r="CF12" t="s">
        <v>201</v>
      </c>
      <c r="CG12" t="s">
        <v>162</v>
      </c>
      <c r="CH12" t="s">
        <v>202</v>
      </c>
      <c r="CI12" t="s">
        <v>162</v>
      </c>
      <c r="CJ12" t="s">
        <v>162</v>
      </c>
      <c r="CK12" t="s">
        <v>162</v>
      </c>
      <c r="CL12" t="s">
        <v>162</v>
      </c>
      <c r="CM12" t="s">
        <v>489</v>
      </c>
      <c r="CN12" t="s">
        <v>490</v>
      </c>
      <c r="CO12" t="s">
        <v>491</v>
      </c>
      <c r="CP12" t="s">
        <v>492</v>
      </c>
      <c r="CQ12" t="s">
        <v>493</v>
      </c>
      <c r="CR12" t="s">
        <v>494</v>
      </c>
      <c r="CS12" t="s">
        <v>495</v>
      </c>
      <c r="CT12" t="s">
        <v>496</v>
      </c>
      <c r="CU12" t="s">
        <v>473</v>
      </c>
      <c r="CV12" t="s">
        <v>497</v>
      </c>
      <c r="CW12" t="s">
        <v>212</v>
      </c>
      <c r="CX12" t="s">
        <v>213</v>
      </c>
      <c r="CY12" t="s">
        <v>168</v>
      </c>
      <c r="CZ12" t="s">
        <v>214</v>
      </c>
      <c r="DA12" t="s">
        <v>215</v>
      </c>
      <c r="DB12" t="s">
        <v>168</v>
      </c>
      <c r="DC12" t="s">
        <v>216</v>
      </c>
      <c r="DD12" t="s">
        <v>217</v>
      </c>
      <c r="DE12" t="s">
        <v>218</v>
      </c>
      <c r="DF12" t="s">
        <v>162</v>
      </c>
      <c r="DG12" t="s">
        <v>472</v>
      </c>
      <c r="DH12" t="s">
        <v>219</v>
      </c>
      <c r="DI12" t="s">
        <v>220</v>
      </c>
      <c r="DJ12" t="s">
        <v>221</v>
      </c>
      <c r="DK12" t="s">
        <v>222</v>
      </c>
      <c r="DL12" t="s">
        <v>223</v>
      </c>
      <c r="DM12" t="s">
        <v>224</v>
      </c>
    </row>
    <row r="13" spans="1:117" ht="19.2" customHeight="1" x14ac:dyDescent="0.45">
      <c r="A13" t="s">
        <v>498</v>
      </c>
      <c r="B13" t="s">
        <v>499</v>
      </c>
      <c r="C13" t="s">
        <v>152</v>
      </c>
      <c r="D13" t="s">
        <v>153</v>
      </c>
      <c r="E13" t="s">
        <v>154</v>
      </c>
      <c r="I13" t="s">
        <v>500</v>
      </c>
      <c r="J13">
        <f t="shared" si="0"/>
        <v>0.39966631005389397</v>
      </c>
      <c r="K13">
        <f t="shared" si="1"/>
        <v>2.9026216799999998</v>
      </c>
      <c r="L13">
        <f t="shared" si="2"/>
        <v>0.35129585905955518</v>
      </c>
      <c r="M13">
        <f t="shared" si="3"/>
        <v>3.5767089146232007</v>
      </c>
      <c r="N13" t="s">
        <v>501</v>
      </c>
      <c r="O13" t="s">
        <v>502</v>
      </c>
      <c r="P13">
        <f t="shared" si="4"/>
        <v>3.770572772303975</v>
      </c>
      <c r="Q13">
        <f t="shared" si="5"/>
        <v>0.98840777230397503</v>
      </c>
      <c r="R13" t="s">
        <v>503</v>
      </c>
      <c r="S13" t="s">
        <v>504</v>
      </c>
      <c r="T13">
        <f t="shared" si="6"/>
        <v>37.574217960179126</v>
      </c>
      <c r="U13">
        <f t="shared" si="7"/>
        <v>0.4417875</v>
      </c>
      <c r="V13" t="s">
        <v>160</v>
      </c>
      <c r="W13" t="s">
        <v>505</v>
      </c>
      <c r="X13" t="s">
        <v>162</v>
      </c>
      <c r="Y13" t="s">
        <v>162</v>
      </c>
      <c r="Z13" t="s">
        <v>162</v>
      </c>
      <c r="AA13" t="s">
        <v>506</v>
      </c>
      <c r="AB13" t="s">
        <v>507</v>
      </c>
      <c r="AC13" t="s">
        <v>508</v>
      </c>
      <c r="AD13" t="s">
        <v>166</v>
      </c>
      <c r="AE13" t="s">
        <v>167</v>
      </c>
      <c r="AF13">
        <f t="shared" si="8"/>
        <v>129.79994580000002</v>
      </c>
      <c r="AG13" t="s">
        <v>168</v>
      </c>
      <c r="AH13" t="s">
        <v>509</v>
      </c>
      <c r="AI13" t="s">
        <v>510</v>
      </c>
      <c r="AJ13" t="s">
        <v>511</v>
      </c>
      <c r="AK13" t="s">
        <v>512</v>
      </c>
      <c r="AL13">
        <f t="shared" si="9"/>
        <v>27.89</v>
      </c>
      <c r="AM13" t="s">
        <v>379</v>
      </c>
      <c r="AN13" t="s">
        <v>513</v>
      </c>
      <c r="AO13" t="s">
        <v>514</v>
      </c>
      <c r="AP13" t="s">
        <v>515</v>
      </c>
      <c r="AQ13" t="s">
        <v>516</v>
      </c>
      <c r="AR13" t="s">
        <v>517</v>
      </c>
      <c r="AS13" t="s">
        <v>518</v>
      </c>
      <c r="AT13" t="s">
        <v>180</v>
      </c>
      <c r="AU13" t="s">
        <v>519</v>
      </c>
      <c r="BC13" t="s">
        <v>182</v>
      </c>
      <c r="BD13" t="s">
        <v>152</v>
      </c>
      <c r="BE13" t="s">
        <v>183</v>
      </c>
      <c r="BF13" t="s">
        <v>150</v>
      </c>
      <c r="BG13" t="s">
        <v>185</v>
      </c>
      <c r="BH13" t="s">
        <v>191</v>
      </c>
      <c r="BI13" t="s">
        <v>520</v>
      </c>
      <c r="BJ13" t="s">
        <v>521</v>
      </c>
      <c r="BK13" t="s">
        <v>522</v>
      </c>
      <c r="BL13" t="s">
        <v>523</v>
      </c>
      <c r="BM13" t="s">
        <v>150</v>
      </c>
      <c r="BN13" t="s">
        <v>190</v>
      </c>
      <c r="BO13" t="s">
        <v>191</v>
      </c>
      <c r="BP13" t="s">
        <v>192</v>
      </c>
      <c r="BQ13" t="s">
        <v>193</v>
      </c>
      <c r="BR13" t="s">
        <v>162</v>
      </c>
      <c r="BS13" t="s">
        <v>194</v>
      </c>
      <c r="BT13" t="s">
        <v>162</v>
      </c>
      <c r="BU13" t="s">
        <v>162</v>
      </c>
      <c r="BV13" t="s">
        <v>195</v>
      </c>
      <c r="BW13" t="s">
        <v>196</v>
      </c>
      <c r="BX13" t="s">
        <v>197</v>
      </c>
      <c r="BY13" t="s">
        <v>198</v>
      </c>
      <c r="BZ13" t="s">
        <v>199</v>
      </c>
      <c r="CA13" t="s">
        <v>200</v>
      </c>
      <c r="CB13" t="s">
        <v>168</v>
      </c>
      <c r="CC13" t="s">
        <v>192</v>
      </c>
      <c r="CD13" t="s">
        <v>201</v>
      </c>
      <c r="CE13" t="s">
        <v>201</v>
      </c>
      <c r="CF13" t="s">
        <v>201</v>
      </c>
      <c r="CG13" t="s">
        <v>162</v>
      </c>
      <c r="CH13" t="s">
        <v>202</v>
      </c>
      <c r="CI13" t="s">
        <v>162</v>
      </c>
      <c r="CJ13" t="s">
        <v>162</v>
      </c>
      <c r="CK13" t="s">
        <v>162</v>
      </c>
      <c r="CL13" t="s">
        <v>162</v>
      </c>
      <c r="CM13" t="s">
        <v>524</v>
      </c>
      <c r="CN13" t="s">
        <v>525</v>
      </c>
      <c r="CO13" t="s">
        <v>526</v>
      </c>
      <c r="CP13" t="s">
        <v>527</v>
      </c>
      <c r="CQ13" t="s">
        <v>528</v>
      </c>
      <c r="CR13" t="s">
        <v>529</v>
      </c>
      <c r="CS13" t="s">
        <v>530</v>
      </c>
      <c r="CT13" t="s">
        <v>531</v>
      </c>
      <c r="CU13" t="s">
        <v>506</v>
      </c>
      <c r="CV13" t="s">
        <v>532</v>
      </c>
      <c r="CW13" t="s">
        <v>212</v>
      </c>
      <c r="CX13" t="s">
        <v>213</v>
      </c>
      <c r="CY13" t="s">
        <v>168</v>
      </c>
      <c r="CZ13" t="s">
        <v>214</v>
      </c>
      <c r="DA13" t="s">
        <v>215</v>
      </c>
      <c r="DB13" t="s">
        <v>168</v>
      </c>
      <c r="DC13" t="s">
        <v>216</v>
      </c>
      <c r="DD13" t="s">
        <v>217</v>
      </c>
      <c r="DE13" t="s">
        <v>218</v>
      </c>
      <c r="DF13" t="s">
        <v>162</v>
      </c>
      <c r="DG13" t="s">
        <v>505</v>
      </c>
      <c r="DH13" t="s">
        <v>219</v>
      </c>
      <c r="DI13" t="s">
        <v>220</v>
      </c>
      <c r="DJ13" t="s">
        <v>221</v>
      </c>
      <c r="DK13" t="s">
        <v>222</v>
      </c>
      <c r="DL13" t="s">
        <v>223</v>
      </c>
      <c r="DM13" t="s">
        <v>224</v>
      </c>
    </row>
    <row r="14" spans="1:117" ht="19.2" customHeight="1" x14ac:dyDescent="0.45">
      <c r="A14" t="s">
        <v>533</v>
      </c>
      <c r="B14" t="s">
        <v>534</v>
      </c>
      <c r="C14" t="s">
        <v>152</v>
      </c>
      <c r="D14" t="s">
        <v>153</v>
      </c>
      <c r="E14" t="s">
        <v>154</v>
      </c>
      <c r="I14" t="s">
        <v>535</v>
      </c>
      <c r="J14">
        <f t="shared" si="0"/>
        <v>0.2335733129920903</v>
      </c>
      <c r="K14">
        <f t="shared" si="1"/>
        <v>2.9042299199999997</v>
      </c>
      <c r="L14">
        <f t="shared" si="2"/>
        <v>0.21618646987571108</v>
      </c>
      <c r="M14">
        <f t="shared" si="3"/>
        <v>2.7277889233095762</v>
      </c>
      <c r="N14" t="s">
        <v>536</v>
      </c>
      <c r="O14" t="s">
        <v>537</v>
      </c>
      <c r="P14">
        <f t="shared" si="4"/>
        <v>3.9893065599539916</v>
      </c>
      <c r="Q14">
        <f t="shared" si="5"/>
        <v>1.2236785599539917</v>
      </c>
      <c r="R14" t="s">
        <v>538</v>
      </c>
      <c r="S14" t="s">
        <v>539</v>
      </c>
      <c r="T14">
        <f t="shared" si="6"/>
        <v>39.753926855545508</v>
      </c>
      <c r="U14">
        <f t="shared" si="7"/>
        <v>0.4417875</v>
      </c>
      <c r="V14" t="s">
        <v>160</v>
      </c>
      <c r="W14" t="s">
        <v>540</v>
      </c>
      <c r="X14" t="s">
        <v>162</v>
      </c>
      <c r="Y14" t="s">
        <v>162</v>
      </c>
      <c r="Z14" t="s">
        <v>162</v>
      </c>
      <c r="AA14" t="s">
        <v>541</v>
      </c>
      <c r="AB14" t="s">
        <v>542</v>
      </c>
      <c r="AC14" t="s">
        <v>543</v>
      </c>
      <c r="AD14" t="s">
        <v>166</v>
      </c>
      <c r="AE14" t="s">
        <v>167</v>
      </c>
      <c r="AF14">
        <f t="shared" si="8"/>
        <v>156.82334219999998</v>
      </c>
      <c r="AG14" t="s">
        <v>168</v>
      </c>
      <c r="AH14" t="s">
        <v>544</v>
      </c>
      <c r="AI14" t="s">
        <v>545</v>
      </c>
      <c r="AJ14" t="s">
        <v>546</v>
      </c>
      <c r="AK14" t="s">
        <v>547</v>
      </c>
      <c r="AL14">
        <f t="shared" si="9"/>
        <v>28.86</v>
      </c>
      <c r="AM14" t="s">
        <v>379</v>
      </c>
      <c r="AN14" t="s">
        <v>380</v>
      </c>
      <c r="AO14" t="s">
        <v>548</v>
      </c>
      <c r="AP14" t="s">
        <v>166</v>
      </c>
      <c r="AQ14" t="s">
        <v>549</v>
      </c>
      <c r="AR14" t="s">
        <v>550</v>
      </c>
      <c r="AS14" t="s">
        <v>551</v>
      </c>
      <c r="AT14" t="s">
        <v>552</v>
      </c>
      <c r="AU14" t="s">
        <v>553</v>
      </c>
      <c r="BC14" t="s">
        <v>182</v>
      </c>
      <c r="BD14" t="s">
        <v>152</v>
      </c>
      <c r="BE14" t="s">
        <v>183</v>
      </c>
      <c r="BF14" t="s">
        <v>150</v>
      </c>
      <c r="BG14" t="s">
        <v>388</v>
      </c>
      <c r="BH14" t="s">
        <v>191</v>
      </c>
      <c r="BI14" t="s">
        <v>185</v>
      </c>
      <c r="BJ14" t="s">
        <v>554</v>
      </c>
      <c r="BK14" t="s">
        <v>555</v>
      </c>
      <c r="BL14" t="s">
        <v>556</v>
      </c>
      <c r="BM14" t="s">
        <v>150</v>
      </c>
      <c r="BN14" t="s">
        <v>190</v>
      </c>
      <c r="BO14" t="s">
        <v>191</v>
      </c>
      <c r="BP14" t="s">
        <v>192</v>
      </c>
      <c r="BQ14" t="s">
        <v>193</v>
      </c>
      <c r="BR14" t="s">
        <v>162</v>
      </c>
      <c r="BS14" t="s">
        <v>194</v>
      </c>
      <c r="BT14" t="s">
        <v>162</v>
      </c>
      <c r="BU14" t="s">
        <v>162</v>
      </c>
      <c r="BV14" t="s">
        <v>195</v>
      </c>
      <c r="BW14" t="s">
        <v>196</v>
      </c>
      <c r="BX14" t="s">
        <v>197</v>
      </c>
      <c r="BY14" t="s">
        <v>198</v>
      </c>
      <c r="BZ14" t="s">
        <v>199</v>
      </c>
      <c r="CA14" t="s">
        <v>200</v>
      </c>
      <c r="CB14" t="s">
        <v>168</v>
      </c>
      <c r="CC14" t="s">
        <v>192</v>
      </c>
      <c r="CD14" t="s">
        <v>201</v>
      </c>
      <c r="CE14" t="s">
        <v>201</v>
      </c>
      <c r="CF14" t="s">
        <v>201</v>
      </c>
      <c r="CG14" t="s">
        <v>162</v>
      </c>
      <c r="CH14" t="s">
        <v>202</v>
      </c>
      <c r="CI14" t="s">
        <v>162</v>
      </c>
      <c r="CJ14" t="s">
        <v>162</v>
      </c>
      <c r="CK14" t="s">
        <v>162</v>
      </c>
      <c r="CL14" t="s">
        <v>162</v>
      </c>
      <c r="CM14" t="s">
        <v>557</v>
      </c>
      <c r="CN14" t="s">
        <v>558</v>
      </c>
      <c r="CO14" t="s">
        <v>559</v>
      </c>
      <c r="CP14" t="s">
        <v>560</v>
      </c>
      <c r="CQ14" t="s">
        <v>561</v>
      </c>
      <c r="CR14" t="s">
        <v>562</v>
      </c>
      <c r="CS14" t="s">
        <v>563</v>
      </c>
      <c r="CT14" t="s">
        <v>564</v>
      </c>
      <c r="CU14" t="s">
        <v>541</v>
      </c>
      <c r="CV14" t="s">
        <v>565</v>
      </c>
      <c r="CW14" t="s">
        <v>212</v>
      </c>
      <c r="CX14" t="s">
        <v>213</v>
      </c>
      <c r="CY14" t="s">
        <v>168</v>
      </c>
      <c r="CZ14" t="s">
        <v>214</v>
      </c>
      <c r="DA14" t="s">
        <v>215</v>
      </c>
      <c r="DB14" t="s">
        <v>168</v>
      </c>
      <c r="DC14" t="s">
        <v>216</v>
      </c>
      <c r="DD14" t="s">
        <v>217</v>
      </c>
      <c r="DE14" t="s">
        <v>218</v>
      </c>
      <c r="DF14" t="s">
        <v>162</v>
      </c>
      <c r="DG14" t="s">
        <v>540</v>
      </c>
      <c r="DH14" t="s">
        <v>219</v>
      </c>
      <c r="DI14" t="s">
        <v>220</v>
      </c>
      <c r="DJ14" t="s">
        <v>221</v>
      </c>
      <c r="DK14" t="s">
        <v>222</v>
      </c>
      <c r="DL14" t="s">
        <v>223</v>
      </c>
      <c r="DM14" t="s">
        <v>224</v>
      </c>
    </row>
    <row r="15" spans="1:117" ht="19.2" customHeight="1" x14ac:dyDescent="0.45">
      <c r="A15" t="s">
        <v>566</v>
      </c>
      <c r="B15" t="s">
        <v>567</v>
      </c>
      <c r="C15" t="s">
        <v>152</v>
      </c>
      <c r="D15" t="s">
        <v>153</v>
      </c>
      <c r="E15" t="s">
        <v>154</v>
      </c>
      <c r="I15" t="s">
        <v>568</v>
      </c>
      <c r="J15">
        <f t="shared" si="0"/>
        <v>0.31877144749208747</v>
      </c>
      <c r="K15">
        <f t="shared" si="1"/>
        <v>2.9050319999999994</v>
      </c>
      <c r="L15">
        <f t="shared" si="2"/>
        <v>0.28725115247681576</v>
      </c>
      <c r="M15">
        <f t="shared" si="3"/>
        <v>3.4979083985678767</v>
      </c>
      <c r="N15" t="s">
        <v>569</v>
      </c>
      <c r="O15" t="s">
        <v>570</v>
      </c>
      <c r="P15">
        <f t="shared" si="4"/>
        <v>4.0310910449546142</v>
      </c>
      <c r="Q15">
        <f t="shared" si="5"/>
        <v>1.1800210449546142</v>
      </c>
      <c r="R15" t="s">
        <v>571</v>
      </c>
      <c r="S15" t="s">
        <v>572</v>
      </c>
      <c r="T15">
        <f t="shared" si="6"/>
        <v>40.170314349323512</v>
      </c>
      <c r="U15">
        <f t="shared" si="7"/>
        <v>0.4417875</v>
      </c>
      <c r="V15" t="s">
        <v>160</v>
      </c>
      <c r="W15" t="s">
        <v>573</v>
      </c>
      <c r="X15" t="s">
        <v>162</v>
      </c>
      <c r="Y15" t="s">
        <v>162</v>
      </c>
      <c r="Z15" t="s">
        <v>162</v>
      </c>
      <c r="AA15" t="s">
        <v>574</v>
      </c>
      <c r="AB15" t="s">
        <v>575</v>
      </c>
      <c r="AC15" t="s">
        <v>576</v>
      </c>
      <c r="AD15" t="s">
        <v>166</v>
      </c>
      <c r="AE15" t="s">
        <v>167</v>
      </c>
      <c r="AF15">
        <f t="shared" si="8"/>
        <v>177.71581295999999</v>
      </c>
      <c r="AG15" t="s">
        <v>168</v>
      </c>
      <c r="AH15" t="s">
        <v>577</v>
      </c>
      <c r="AI15" t="s">
        <v>578</v>
      </c>
      <c r="AJ15" t="s">
        <v>579</v>
      </c>
      <c r="AK15" t="s">
        <v>580</v>
      </c>
      <c r="AL15">
        <f t="shared" si="9"/>
        <v>29.04</v>
      </c>
      <c r="AM15" t="s">
        <v>379</v>
      </c>
      <c r="AN15" t="s">
        <v>174</v>
      </c>
      <c r="AO15" t="s">
        <v>581</v>
      </c>
      <c r="AP15" t="s">
        <v>582</v>
      </c>
      <c r="AQ15" t="s">
        <v>583</v>
      </c>
      <c r="AR15" t="s">
        <v>584</v>
      </c>
      <c r="AS15" t="s">
        <v>585</v>
      </c>
      <c r="AT15" t="s">
        <v>180</v>
      </c>
      <c r="AU15" t="s">
        <v>586</v>
      </c>
      <c r="BC15" t="s">
        <v>182</v>
      </c>
      <c r="BD15" t="s">
        <v>152</v>
      </c>
      <c r="BE15" t="s">
        <v>183</v>
      </c>
      <c r="BF15" t="s">
        <v>150</v>
      </c>
      <c r="BG15" t="s">
        <v>388</v>
      </c>
      <c r="BH15" t="s">
        <v>185</v>
      </c>
      <c r="BI15" t="s">
        <v>452</v>
      </c>
      <c r="BJ15" t="s">
        <v>587</v>
      </c>
      <c r="BK15" t="s">
        <v>588</v>
      </c>
      <c r="BL15" t="s">
        <v>589</v>
      </c>
      <c r="BM15" t="s">
        <v>150</v>
      </c>
      <c r="BN15" t="s">
        <v>190</v>
      </c>
      <c r="BO15" t="s">
        <v>191</v>
      </c>
      <c r="BP15" t="s">
        <v>192</v>
      </c>
      <c r="BQ15" t="s">
        <v>193</v>
      </c>
      <c r="BR15" t="s">
        <v>162</v>
      </c>
      <c r="BS15" t="s">
        <v>194</v>
      </c>
      <c r="BT15" t="s">
        <v>162</v>
      </c>
      <c r="BU15" t="s">
        <v>162</v>
      </c>
      <c r="BV15" t="s">
        <v>195</v>
      </c>
      <c r="BW15" t="s">
        <v>196</v>
      </c>
      <c r="BX15" t="s">
        <v>197</v>
      </c>
      <c r="BY15" t="s">
        <v>198</v>
      </c>
      <c r="BZ15" t="s">
        <v>199</v>
      </c>
      <c r="CA15" t="s">
        <v>200</v>
      </c>
      <c r="CB15" t="s">
        <v>168</v>
      </c>
      <c r="CC15" t="s">
        <v>192</v>
      </c>
      <c r="CD15" t="s">
        <v>201</v>
      </c>
      <c r="CE15" t="s">
        <v>201</v>
      </c>
      <c r="CF15" t="s">
        <v>201</v>
      </c>
      <c r="CG15" t="s">
        <v>162</v>
      </c>
      <c r="CH15" t="s">
        <v>202</v>
      </c>
      <c r="CI15" t="s">
        <v>162</v>
      </c>
      <c r="CJ15" t="s">
        <v>162</v>
      </c>
      <c r="CK15" t="s">
        <v>162</v>
      </c>
      <c r="CL15" t="s">
        <v>162</v>
      </c>
      <c r="CM15" t="s">
        <v>590</v>
      </c>
      <c r="CN15" t="s">
        <v>591</v>
      </c>
      <c r="CO15" t="s">
        <v>592</v>
      </c>
      <c r="CP15" t="s">
        <v>593</v>
      </c>
      <c r="CQ15" t="s">
        <v>594</v>
      </c>
      <c r="CR15" t="s">
        <v>595</v>
      </c>
      <c r="CS15" t="s">
        <v>596</v>
      </c>
      <c r="CT15" t="s">
        <v>597</v>
      </c>
      <c r="CU15" t="s">
        <v>574</v>
      </c>
      <c r="CV15" t="s">
        <v>532</v>
      </c>
      <c r="CW15" t="s">
        <v>212</v>
      </c>
      <c r="CX15" t="s">
        <v>213</v>
      </c>
      <c r="CY15" t="s">
        <v>168</v>
      </c>
      <c r="CZ15" t="s">
        <v>214</v>
      </c>
      <c r="DA15" t="s">
        <v>215</v>
      </c>
      <c r="DB15" t="s">
        <v>168</v>
      </c>
      <c r="DC15" t="s">
        <v>216</v>
      </c>
      <c r="DD15" t="s">
        <v>217</v>
      </c>
      <c r="DE15" t="s">
        <v>218</v>
      </c>
      <c r="DF15" t="s">
        <v>162</v>
      </c>
      <c r="DG15" t="s">
        <v>573</v>
      </c>
      <c r="DH15" t="s">
        <v>219</v>
      </c>
      <c r="DI15" t="s">
        <v>220</v>
      </c>
      <c r="DJ15" t="s">
        <v>221</v>
      </c>
      <c r="DK15" t="s">
        <v>222</v>
      </c>
      <c r="DL15" t="s">
        <v>223</v>
      </c>
      <c r="DM15" t="s">
        <v>224</v>
      </c>
    </row>
    <row r="16" spans="1:117" ht="19.2" customHeight="1" x14ac:dyDescent="0.45">
      <c r="A16" t="s">
        <v>598</v>
      </c>
      <c r="B16" t="s">
        <v>599</v>
      </c>
      <c r="C16" t="s">
        <v>152</v>
      </c>
      <c r="D16" t="s">
        <v>153</v>
      </c>
      <c r="E16" t="s">
        <v>154</v>
      </c>
      <c r="I16" t="s">
        <v>600</v>
      </c>
      <c r="J16">
        <f t="shared" si="0"/>
        <v>0.33094170339749363</v>
      </c>
      <c r="K16">
        <f t="shared" si="1"/>
        <v>2.9058327199999998</v>
      </c>
      <c r="L16">
        <f t="shared" si="2"/>
        <v>0.297104803842203</v>
      </c>
      <c r="M16">
        <f t="shared" si="3"/>
        <v>3.6259091178765606</v>
      </c>
      <c r="N16" t="s">
        <v>601</v>
      </c>
      <c r="O16" t="s">
        <v>602</v>
      </c>
      <c r="P16">
        <f t="shared" si="4"/>
        <v>4.0147963975207013</v>
      </c>
      <c r="Q16">
        <f t="shared" si="5"/>
        <v>1.1828013975207012</v>
      </c>
      <c r="R16" t="s">
        <v>603</v>
      </c>
      <c r="S16" t="s">
        <v>604</v>
      </c>
      <c r="T16">
        <f t="shared" si="6"/>
        <v>40.007936198512219</v>
      </c>
      <c r="U16">
        <f t="shared" si="7"/>
        <v>0.4417875</v>
      </c>
      <c r="V16" t="s">
        <v>160</v>
      </c>
      <c r="W16" t="s">
        <v>605</v>
      </c>
      <c r="X16" t="s">
        <v>162</v>
      </c>
      <c r="Y16" t="s">
        <v>162</v>
      </c>
      <c r="Z16" t="s">
        <v>162</v>
      </c>
      <c r="AA16" t="s">
        <v>606</v>
      </c>
      <c r="AB16" t="s">
        <v>607</v>
      </c>
      <c r="AC16" t="s">
        <v>608</v>
      </c>
      <c r="AD16" t="s">
        <v>166</v>
      </c>
      <c r="AE16" t="s">
        <v>167</v>
      </c>
      <c r="AF16">
        <f t="shared" si="8"/>
        <v>150.57240869999998</v>
      </c>
      <c r="AG16" t="s">
        <v>168</v>
      </c>
      <c r="AH16" t="s">
        <v>309</v>
      </c>
      <c r="AI16" t="s">
        <v>609</v>
      </c>
      <c r="AJ16" t="s">
        <v>610</v>
      </c>
      <c r="AK16" t="s">
        <v>611</v>
      </c>
      <c r="AL16">
        <f t="shared" si="9"/>
        <v>28.97</v>
      </c>
      <c r="AM16" t="s">
        <v>379</v>
      </c>
      <c r="AN16" t="s">
        <v>276</v>
      </c>
      <c r="AO16" t="s">
        <v>612</v>
      </c>
      <c r="AP16" t="s">
        <v>613</v>
      </c>
      <c r="AQ16" t="s">
        <v>614</v>
      </c>
      <c r="AR16" t="s">
        <v>615</v>
      </c>
      <c r="AS16" t="s">
        <v>316</v>
      </c>
      <c r="AT16" t="s">
        <v>616</v>
      </c>
      <c r="AU16" t="s">
        <v>617</v>
      </c>
      <c r="BC16" t="s">
        <v>182</v>
      </c>
      <c r="BD16" t="s">
        <v>152</v>
      </c>
      <c r="BE16" t="s">
        <v>183</v>
      </c>
      <c r="BF16" t="s">
        <v>150</v>
      </c>
      <c r="BG16" t="s">
        <v>191</v>
      </c>
      <c r="BH16" t="s">
        <v>191</v>
      </c>
      <c r="BI16" t="s">
        <v>284</v>
      </c>
      <c r="BJ16" t="s">
        <v>618</v>
      </c>
      <c r="BK16" t="s">
        <v>619</v>
      </c>
      <c r="BL16" t="s">
        <v>620</v>
      </c>
      <c r="BM16" t="s">
        <v>150</v>
      </c>
      <c r="BN16" t="s">
        <v>190</v>
      </c>
      <c r="BO16" t="s">
        <v>191</v>
      </c>
      <c r="BP16" t="s">
        <v>192</v>
      </c>
      <c r="BQ16" t="s">
        <v>193</v>
      </c>
      <c r="BR16" t="s">
        <v>162</v>
      </c>
      <c r="BS16" t="s">
        <v>194</v>
      </c>
      <c r="BT16" t="s">
        <v>162</v>
      </c>
      <c r="BU16" t="s">
        <v>162</v>
      </c>
      <c r="BV16" t="s">
        <v>195</v>
      </c>
      <c r="BW16" t="s">
        <v>196</v>
      </c>
      <c r="BX16" t="s">
        <v>197</v>
      </c>
      <c r="BY16" t="s">
        <v>198</v>
      </c>
      <c r="BZ16" t="s">
        <v>199</v>
      </c>
      <c r="CA16" t="s">
        <v>200</v>
      </c>
      <c r="CB16" t="s">
        <v>168</v>
      </c>
      <c r="CC16" t="s">
        <v>192</v>
      </c>
      <c r="CD16" t="s">
        <v>201</v>
      </c>
      <c r="CE16" t="s">
        <v>201</v>
      </c>
      <c r="CF16" t="s">
        <v>201</v>
      </c>
      <c r="CG16" t="s">
        <v>162</v>
      </c>
      <c r="CH16" t="s">
        <v>202</v>
      </c>
      <c r="CI16" t="s">
        <v>162</v>
      </c>
      <c r="CJ16" t="s">
        <v>162</v>
      </c>
      <c r="CK16" t="s">
        <v>162</v>
      </c>
      <c r="CL16" t="s">
        <v>162</v>
      </c>
      <c r="CM16" t="s">
        <v>621</v>
      </c>
      <c r="CN16" t="s">
        <v>622</v>
      </c>
      <c r="CO16" t="s">
        <v>623</v>
      </c>
      <c r="CP16" t="s">
        <v>624</v>
      </c>
      <c r="CQ16" t="s">
        <v>625</v>
      </c>
      <c r="CR16" t="s">
        <v>626</v>
      </c>
      <c r="CS16" t="s">
        <v>627</v>
      </c>
      <c r="CT16" t="s">
        <v>628</v>
      </c>
      <c r="CU16" t="s">
        <v>606</v>
      </c>
      <c r="CV16" t="s">
        <v>629</v>
      </c>
      <c r="CW16" t="s">
        <v>212</v>
      </c>
      <c r="CX16" t="s">
        <v>213</v>
      </c>
      <c r="CY16" t="s">
        <v>168</v>
      </c>
      <c r="CZ16" t="s">
        <v>214</v>
      </c>
      <c r="DA16" t="s">
        <v>215</v>
      </c>
      <c r="DB16" t="s">
        <v>168</v>
      </c>
      <c r="DC16" t="s">
        <v>216</v>
      </c>
      <c r="DD16" t="s">
        <v>217</v>
      </c>
      <c r="DE16" t="s">
        <v>218</v>
      </c>
      <c r="DF16" t="s">
        <v>162</v>
      </c>
      <c r="DG16" t="s">
        <v>605</v>
      </c>
      <c r="DH16" t="s">
        <v>219</v>
      </c>
      <c r="DI16" t="s">
        <v>220</v>
      </c>
      <c r="DJ16" t="s">
        <v>221</v>
      </c>
      <c r="DK16" t="s">
        <v>222</v>
      </c>
      <c r="DL16" t="s">
        <v>223</v>
      </c>
      <c r="DM16" t="s">
        <v>224</v>
      </c>
    </row>
    <row r="17" spans="1:117" ht="19.2" customHeight="1" x14ac:dyDescent="0.45">
      <c r="A17" t="s">
        <v>630</v>
      </c>
      <c r="B17" t="s">
        <v>631</v>
      </c>
      <c r="C17" t="s">
        <v>152</v>
      </c>
      <c r="D17" t="s">
        <v>153</v>
      </c>
      <c r="E17" t="s">
        <v>154</v>
      </c>
      <c r="I17" t="s">
        <v>632</v>
      </c>
      <c r="J17">
        <f t="shared" si="0"/>
        <v>0.35288762930133805</v>
      </c>
      <c r="K17">
        <f t="shared" si="1"/>
        <v>2.9058327199999998</v>
      </c>
      <c r="L17">
        <f t="shared" si="2"/>
        <v>0.31467334100236893</v>
      </c>
      <c r="M17">
        <f t="shared" si="3"/>
        <v>3.4793641943282867</v>
      </c>
      <c r="N17" t="s">
        <v>633</v>
      </c>
      <c r="O17" t="s">
        <v>634</v>
      </c>
      <c r="P17">
        <f t="shared" si="4"/>
        <v>4.0334235527291975</v>
      </c>
      <c r="Q17">
        <f t="shared" si="5"/>
        <v>1.0710175527291974</v>
      </c>
      <c r="R17" t="s">
        <v>635</v>
      </c>
      <c r="S17" t="s">
        <v>636</v>
      </c>
      <c r="T17">
        <f t="shared" si="6"/>
        <v>40.189553136002367</v>
      </c>
      <c r="U17">
        <f t="shared" si="7"/>
        <v>0.4417875</v>
      </c>
      <c r="V17" t="s">
        <v>160</v>
      </c>
      <c r="W17" t="s">
        <v>637</v>
      </c>
      <c r="X17" t="s">
        <v>162</v>
      </c>
      <c r="Y17" t="s">
        <v>162</v>
      </c>
      <c r="Z17" t="s">
        <v>162</v>
      </c>
      <c r="AA17" t="s">
        <v>638</v>
      </c>
      <c r="AB17" t="s">
        <v>639</v>
      </c>
      <c r="AC17" t="s">
        <v>640</v>
      </c>
      <c r="AD17" t="s">
        <v>166</v>
      </c>
      <c r="AE17" t="s">
        <v>167</v>
      </c>
      <c r="AF17">
        <f t="shared" si="8"/>
        <v>97.658265599999979</v>
      </c>
      <c r="AG17" t="s">
        <v>168</v>
      </c>
      <c r="AH17" t="s">
        <v>641</v>
      </c>
      <c r="AI17" t="s">
        <v>642</v>
      </c>
      <c r="AJ17" t="s">
        <v>643</v>
      </c>
      <c r="AK17" t="s">
        <v>644</v>
      </c>
      <c r="AL17">
        <f t="shared" si="9"/>
        <v>29.05</v>
      </c>
      <c r="AM17" t="s">
        <v>447</v>
      </c>
      <c r="AN17" t="s">
        <v>276</v>
      </c>
      <c r="AO17" t="s">
        <v>277</v>
      </c>
      <c r="AP17" t="s">
        <v>645</v>
      </c>
      <c r="AQ17" t="s">
        <v>646</v>
      </c>
      <c r="AR17" t="s">
        <v>647</v>
      </c>
      <c r="AS17" t="s">
        <v>179</v>
      </c>
      <c r="AT17" t="s">
        <v>150</v>
      </c>
      <c r="AU17" t="s">
        <v>421</v>
      </c>
      <c r="BC17" t="s">
        <v>648</v>
      </c>
      <c r="BD17" t="s">
        <v>152</v>
      </c>
      <c r="BE17" t="s">
        <v>649</v>
      </c>
      <c r="BF17" t="s">
        <v>150</v>
      </c>
      <c r="BG17" t="s">
        <v>388</v>
      </c>
      <c r="BH17" t="s">
        <v>388</v>
      </c>
      <c r="BI17" t="s">
        <v>284</v>
      </c>
      <c r="BJ17" t="s">
        <v>650</v>
      </c>
      <c r="BK17" t="s">
        <v>651</v>
      </c>
      <c r="BL17" t="s">
        <v>652</v>
      </c>
      <c r="BM17" t="s">
        <v>150</v>
      </c>
      <c r="BN17" t="s">
        <v>190</v>
      </c>
      <c r="BO17" t="s">
        <v>191</v>
      </c>
      <c r="BP17" t="s">
        <v>192</v>
      </c>
      <c r="BQ17" t="s">
        <v>193</v>
      </c>
      <c r="BR17" t="s">
        <v>162</v>
      </c>
      <c r="BS17" t="s">
        <v>194</v>
      </c>
      <c r="BT17" t="s">
        <v>162</v>
      </c>
      <c r="BU17" t="s">
        <v>162</v>
      </c>
      <c r="BV17" t="s">
        <v>195</v>
      </c>
      <c r="BW17" t="s">
        <v>196</v>
      </c>
      <c r="BX17" t="s">
        <v>197</v>
      </c>
      <c r="BY17" t="s">
        <v>198</v>
      </c>
      <c r="BZ17" t="s">
        <v>199</v>
      </c>
      <c r="CA17" t="s">
        <v>200</v>
      </c>
      <c r="CB17" t="s">
        <v>168</v>
      </c>
      <c r="CC17" t="s">
        <v>192</v>
      </c>
      <c r="CD17" t="s">
        <v>201</v>
      </c>
      <c r="CE17" t="s">
        <v>201</v>
      </c>
      <c r="CF17" t="s">
        <v>201</v>
      </c>
      <c r="CG17" t="s">
        <v>162</v>
      </c>
      <c r="CH17" t="s">
        <v>202</v>
      </c>
      <c r="CI17" t="s">
        <v>162</v>
      </c>
      <c r="CJ17" t="s">
        <v>162</v>
      </c>
      <c r="CK17" t="s">
        <v>162</v>
      </c>
      <c r="CL17" t="s">
        <v>162</v>
      </c>
      <c r="CM17" t="s">
        <v>653</v>
      </c>
      <c r="CN17" t="s">
        <v>654</v>
      </c>
      <c r="CO17" t="s">
        <v>655</v>
      </c>
      <c r="CP17" t="s">
        <v>656</v>
      </c>
      <c r="CQ17" t="s">
        <v>657</v>
      </c>
      <c r="CR17" t="s">
        <v>658</v>
      </c>
      <c r="CS17" t="s">
        <v>659</v>
      </c>
      <c r="CT17" t="s">
        <v>660</v>
      </c>
      <c r="CU17" t="s">
        <v>638</v>
      </c>
      <c r="CV17" t="s">
        <v>661</v>
      </c>
      <c r="CW17" t="s">
        <v>212</v>
      </c>
      <c r="CX17" t="s">
        <v>213</v>
      </c>
      <c r="CY17" t="s">
        <v>168</v>
      </c>
      <c r="CZ17" t="s">
        <v>214</v>
      </c>
      <c r="DA17" t="s">
        <v>215</v>
      </c>
      <c r="DB17" t="s">
        <v>168</v>
      </c>
      <c r="DC17" t="s">
        <v>216</v>
      </c>
      <c r="DD17" t="s">
        <v>217</v>
      </c>
      <c r="DE17" t="s">
        <v>218</v>
      </c>
      <c r="DF17" t="s">
        <v>162</v>
      </c>
      <c r="DG17" t="s">
        <v>637</v>
      </c>
      <c r="DH17" t="s">
        <v>219</v>
      </c>
      <c r="DI17" t="s">
        <v>220</v>
      </c>
      <c r="DJ17" t="s">
        <v>221</v>
      </c>
      <c r="DK17" t="s">
        <v>222</v>
      </c>
      <c r="DL17" t="s">
        <v>223</v>
      </c>
      <c r="DM17" t="s">
        <v>224</v>
      </c>
    </row>
    <row r="18" spans="1:117" ht="19.2" customHeight="1" x14ac:dyDescent="0.45">
      <c r="A18" t="s">
        <v>662</v>
      </c>
      <c r="B18" t="s">
        <v>663</v>
      </c>
      <c r="C18" t="s">
        <v>152</v>
      </c>
      <c r="D18" t="s">
        <v>153</v>
      </c>
      <c r="E18" t="s">
        <v>154</v>
      </c>
      <c r="I18" t="s">
        <v>664</v>
      </c>
      <c r="J18">
        <f t="shared" si="0"/>
        <v>0.2864483756534752</v>
      </c>
      <c r="K18">
        <f t="shared" si="1"/>
        <v>2.9066320800000001</v>
      </c>
      <c r="L18">
        <f t="shared" si="2"/>
        <v>0.26075134952021978</v>
      </c>
      <c r="M18">
        <f t="shared" si="3"/>
        <v>3.1762824712546012</v>
      </c>
      <c r="N18" t="s">
        <v>665</v>
      </c>
      <c r="O18" t="s">
        <v>666</v>
      </c>
      <c r="P18">
        <f t="shared" si="4"/>
        <v>4.0803214914607944</v>
      </c>
      <c r="Q18">
        <f t="shared" si="5"/>
        <v>1.1802334914607941</v>
      </c>
      <c r="R18" t="s">
        <v>667</v>
      </c>
      <c r="S18" t="s">
        <v>668</v>
      </c>
      <c r="T18">
        <f t="shared" si="6"/>
        <v>40.652799556249818</v>
      </c>
      <c r="U18">
        <f t="shared" si="7"/>
        <v>0.4417875</v>
      </c>
      <c r="V18" t="s">
        <v>160</v>
      </c>
      <c r="W18" t="s">
        <v>669</v>
      </c>
      <c r="X18" t="s">
        <v>162</v>
      </c>
      <c r="Y18" t="s">
        <v>162</v>
      </c>
      <c r="Z18" t="s">
        <v>162</v>
      </c>
      <c r="AA18" t="s">
        <v>670</v>
      </c>
      <c r="AB18" t="s">
        <v>671</v>
      </c>
      <c r="AC18" t="s">
        <v>672</v>
      </c>
      <c r="AD18" t="s">
        <v>166</v>
      </c>
      <c r="AE18" t="s">
        <v>167</v>
      </c>
      <c r="AF18">
        <f t="shared" si="8"/>
        <v>117.90038399999997</v>
      </c>
      <c r="AG18" t="s">
        <v>168</v>
      </c>
      <c r="AH18" t="s">
        <v>673</v>
      </c>
      <c r="AI18" t="s">
        <v>674</v>
      </c>
      <c r="AJ18" t="s">
        <v>675</v>
      </c>
      <c r="AK18" t="s">
        <v>676</v>
      </c>
      <c r="AL18">
        <f t="shared" si="9"/>
        <v>29.25</v>
      </c>
      <c r="AM18" t="s">
        <v>677</v>
      </c>
      <c r="AN18" t="s">
        <v>241</v>
      </c>
      <c r="AO18" t="s">
        <v>678</v>
      </c>
      <c r="AP18" t="s">
        <v>679</v>
      </c>
      <c r="AQ18" t="s">
        <v>680</v>
      </c>
      <c r="AR18" t="s">
        <v>681</v>
      </c>
      <c r="AS18" t="s">
        <v>682</v>
      </c>
      <c r="AT18" t="s">
        <v>498</v>
      </c>
      <c r="AU18" t="s">
        <v>683</v>
      </c>
      <c r="BC18" t="s">
        <v>648</v>
      </c>
      <c r="BD18" t="s">
        <v>152</v>
      </c>
      <c r="BE18" t="s">
        <v>649</v>
      </c>
      <c r="BF18" t="s">
        <v>150</v>
      </c>
      <c r="BG18" t="s">
        <v>185</v>
      </c>
      <c r="BH18" t="s">
        <v>319</v>
      </c>
      <c r="BI18" t="s">
        <v>520</v>
      </c>
      <c r="BJ18" t="s">
        <v>684</v>
      </c>
      <c r="BK18" t="s">
        <v>685</v>
      </c>
      <c r="BL18" t="s">
        <v>686</v>
      </c>
      <c r="BM18" t="s">
        <v>150</v>
      </c>
      <c r="BN18" t="s">
        <v>190</v>
      </c>
      <c r="BO18" t="s">
        <v>191</v>
      </c>
      <c r="BP18" t="s">
        <v>192</v>
      </c>
      <c r="BQ18" t="s">
        <v>193</v>
      </c>
      <c r="BR18" t="s">
        <v>162</v>
      </c>
      <c r="BS18" t="s">
        <v>194</v>
      </c>
      <c r="BT18" t="s">
        <v>162</v>
      </c>
      <c r="BU18" t="s">
        <v>162</v>
      </c>
      <c r="BV18" t="s">
        <v>195</v>
      </c>
      <c r="BW18" t="s">
        <v>196</v>
      </c>
      <c r="BX18" t="s">
        <v>197</v>
      </c>
      <c r="BY18" t="s">
        <v>198</v>
      </c>
      <c r="BZ18" t="s">
        <v>199</v>
      </c>
      <c r="CA18" t="s">
        <v>200</v>
      </c>
      <c r="CB18" t="s">
        <v>168</v>
      </c>
      <c r="CC18" t="s">
        <v>192</v>
      </c>
      <c r="CD18" t="s">
        <v>201</v>
      </c>
      <c r="CE18" t="s">
        <v>201</v>
      </c>
      <c r="CF18" t="s">
        <v>201</v>
      </c>
      <c r="CG18" t="s">
        <v>162</v>
      </c>
      <c r="CH18" t="s">
        <v>202</v>
      </c>
      <c r="CI18" t="s">
        <v>162</v>
      </c>
      <c r="CJ18" t="s">
        <v>162</v>
      </c>
      <c r="CK18" t="s">
        <v>162</v>
      </c>
      <c r="CL18" t="s">
        <v>162</v>
      </c>
      <c r="CM18" t="s">
        <v>687</v>
      </c>
      <c r="CN18" t="s">
        <v>688</v>
      </c>
      <c r="CO18" t="s">
        <v>689</v>
      </c>
      <c r="CP18" t="s">
        <v>690</v>
      </c>
      <c r="CQ18" t="s">
        <v>691</v>
      </c>
      <c r="CR18" t="s">
        <v>692</v>
      </c>
      <c r="CS18" t="s">
        <v>693</v>
      </c>
      <c r="CT18" t="s">
        <v>694</v>
      </c>
      <c r="CU18" t="s">
        <v>670</v>
      </c>
      <c r="CV18" t="s">
        <v>532</v>
      </c>
      <c r="CW18" t="s">
        <v>212</v>
      </c>
      <c r="CX18" t="s">
        <v>213</v>
      </c>
      <c r="CY18" t="s">
        <v>168</v>
      </c>
      <c r="CZ18" t="s">
        <v>214</v>
      </c>
      <c r="DA18" t="s">
        <v>215</v>
      </c>
      <c r="DB18" t="s">
        <v>168</v>
      </c>
      <c r="DC18" t="s">
        <v>216</v>
      </c>
      <c r="DD18" t="s">
        <v>217</v>
      </c>
      <c r="DE18" t="s">
        <v>218</v>
      </c>
      <c r="DF18" t="s">
        <v>162</v>
      </c>
      <c r="DG18" t="s">
        <v>669</v>
      </c>
      <c r="DH18" t="s">
        <v>219</v>
      </c>
      <c r="DI18" t="s">
        <v>220</v>
      </c>
      <c r="DJ18" t="s">
        <v>221</v>
      </c>
      <c r="DK18" t="s">
        <v>222</v>
      </c>
      <c r="DL18" t="s">
        <v>223</v>
      </c>
      <c r="DM18" t="s">
        <v>224</v>
      </c>
    </row>
    <row r="19" spans="1:117" ht="19.2" customHeight="1" x14ac:dyDescent="0.45">
      <c r="A19" t="s">
        <v>420</v>
      </c>
      <c r="B19" t="s">
        <v>695</v>
      </c>
      <c r="C19" t="s">
        <v>152</v>
      </c>
      <c r="D19" t="s">
        <v>153</v>
      </c>
      <c r="E19" t="s">
        <v>154</v>
      </c>
      <c r="I19" t="s">
        <v>696</v>
      </c>
      <c r="J19">
        <f t="shared" si="0"/>
        <v>0.57009157079137385</v>
      </c>
      <c r="K19">
        <f t="shared" si="1"/>
        <v>2.9058327199999998</v>
      </c>
      <c r="L19">
        <f t="shared" si="2"/>
        <v>0.47658999483691561</v>
      </c>
      <c r="M19">
        <f t="shared" si="3"/>
        <v>4.9169325560380628</v>
      </c>
      <c r="N19" t="s">
        <v>697</v>
      </c>
      <c r="O19" t="s">
        <v>698</v>
      </c>
      <c r="P19">
        <f t="shared" si="4"/>
        <v>3.9318993464916954</v>
      </c>
      <c r="Q19">
        <f t="shared" si="5"/>
        <v>0.9999023464916954</v>
      </c>
      <c r="R19" t="s">
        <v>699</v>
      </c>
      <c r="S19" t="s">
        <v>700</v>
      </c>
      <c r="T19">
        <f t="shared" si="6"/>
        <v>39.177952834711988</v>
      </c>
      <c r="U19">
        <f t="shared" si="7"/>
        <v>0.4417875</v>
      </c>
      <c r="V19" t="s">
        <v>160</v>
      </c>
      <c r="W19" t="s">
        <v>701</v>
      </c>
      <c r="X19" t="s">
        <v>162</v>
      </c>
      <c r="Y19" t="s">
        <v>162</v>
      </c>
      <c r="Z19" t="s">
        <v>162</v>
      </c>
      <c r="AA19" t="s">
        <v>702</v>
      </c>
      <c r="AB19" t="s">
        <v>703</v>
      </c>
      <c r="AC19" t="s">
        <v>704</v>
      </c>
      <c r="AD19" t="s">
        <v>166</v>
      </c>
      <c r="AE19" t="s">
        <v>167</v>
      </c>
      <c r="AF19">
        <f t="shared" si="8"/>
        <v>69.101081699999995</v>
      </c>
      <c r="AG19" t="s">
        <v>168</v>
      </c>
      <c r="AH19" t="s">
        <v>705</v>
      </c>
      <c r="AI19" t="s">
        <v>706</v>
      </c>
      <c r="AJ19" t="s">
        <v>707</v>
      </c>
      <c r="AK19" t="s">
        <v>708</v>
      </c>
      <c r="AL19">
        <f t="shared" si="9"/>
        <v>28.61</v>
      </c>
      <c r="AM19" t="s">
        <v>447</v>
      </c>
      <c r="AN19" t="s">
        <v>276</v>
      </c>
      <c r="AO19" t="s">
        <v>709</v>
      </c>
      <c r="AP19" t="s">
        <v>710</v>
      </c>
      <c r="AQ19" t="s">
        <v>711</v>
      </c>
      <c r="AR19" t="s">
        <v>712</v>
      </c>
      <c r="AS19" t="s">
        <v>713</v>
      </c>
      <c r="AT19" t="s">
        <v>150</v>
      </c>
      <c r="AU19" t="s">
        <v>714</v>
      </c>
      <c r="BC19" t="s">
        <v>648</v>
      </c>
      <c r="BD19" t="s">
        <v>152</v>
      </c>
      <c r="BE19" t="s">
        <v>649</v>
      </c>
      <c r="BF19" t="s">
        <v>150</v>
      </c>
      <c r="BG19" t="s">
        <v>520</v>
      </c>
      <c r="BH19" t="s">
        <v>319</v>
      </c>
      <c r="BI19" t="s">
        <v>284</v>
      </c>
      <c r="BJ19" t="s">
        <v>715</v>
      </c>
      <c r="BK19" t="s">
        <v>716</v>
      </c>
      <c r="BL19" t="s">
        <v>717</v>
      </c>
      <c r="BM19" t="s">
        <v>150</v>
      </c>
      <c r="BN19" t="s">
        <v>190</v>
      </c>
      <c r="BO19" t="s">
        <v>191</v>
      </c>
      <c r="BP19" t="s">
        <v>192</v>
      </c>
      <c r="BQ19" t="s">
        <v>193</v>
      </c>
      <c r="BR19" t="s">
        <v>162</v>
      </c>
      <c r="BS19" t="s">
        <v>194</v>
      </c>
      <c r="BT19" t="s">
        <v>162</v>
      </c>
      <c r="BU19" t="s">
        <v>162</v>
      </c>
      <c r="BV19" t="s">
        <v>195</v>
      </c>
      <c r="BW19" t="s">
        <v>196</v>
      </c>
      <c r="BX19" t="s">
        <v>197</v>
      </c>
      <c r="BY19" t="s">
        <v>198</v>
      </c>
      <c r="BZ19" t="s">
        <v>199</v>
      </c>
      <c r="CA19" t="s">
        <v>200</v>
      </c>
      <c r="CB19" t="s">
        <v>168</v>
      </c>
      <c r="CC19" t="s">
        <v>192</v>
      </c>
      <c r="CD19" t="s">
        <v>201</v>
      </c>
      <c r="CE19" t="s">
        <v>201</v>
      </c>
      <c r="CF19" t="s">
        <v>201</v>
      </c>
      <c r="CG19" t="s">
        <v>162</v>
      </c>
      <c r="CH19" t="s">
        <v>202</v>
      </c>
      <c r="CI19" t="s">
        <v>162</v>
      </c>
      <c r="CJ19" t="s">
        <v>162</v>
      </c>
      <c r="CK19" t="s">
        <v>162</v>
      </c>
      <c r="CL19" t="s">
        <v>162</v>
      </c>
      <c r="CM19" t="s">
        <v>718</v>
      </c>
      <c r="CN19" t="s">
        <v>719</v>
      </c>
      <c r="CO19" t="s">
        <v>720</v>
      </c>
      <c r="CP19" t="s">
        <v>721</v>
      </c>
      <c r="CQ19" t="s">
        <v>722</v>
      </c>
      <c r="CR19" t="s">
        <v>723</v>
      </c>
      <c r="CS19" t="s">
        <v>724</v>
      </c>
      <c r="CT19" t="s">
        <v>725</v>
      </c>
      <c r="CU19" t="s">
        <v>702</v>
      </c>
      <c r="CV19" t="s">
        <v>726</v>
      </c>
      <c r="CW19" t="s">
        <v>212</v>
      </c>
      <c r="CX19" t="s">
        <v>213</v>
      </c>
      <c r="CY19" t="s">
        <v>168</v>
      </c>
      <c r="CZ19" t="s">
        <v>214</v>
      </c>
      <c r="DA19" t="s">
        <v>215</v>
      </c>
      <c r="DB19" t="s">
        <v>168</v>
      </c>
      <c r="DC19" t="s">
        <v>216</v>
      </c>
      <c r="DD19" t="s">
        <v>217</v>
      </c>
      <c r="DE19" t="s">
        <v>218</v>
      </c>
      <c r="DF19" t="s">
        <v>162</v>
      </c>
      <c r="DG19" t="s">
        <v>701</v>
      </c>
      <c r="DH19" t="s">
        <v>219</v>
      </c>
      <c r="DI19" t="s">
        <v>220</v>
      </c>
      <c r="DJ19" t="s">
        <v>221</v>
      </c>
      <c r="DK19" t="s">
        <v>222</v>
      </c>
      <c r="DL19" t="s">
        <v>223</v>
      </c>
      <c r="DM19" t="s">
        <v>224</v>
      </c>
    </row>
    <row r="20" spans="1:117" ht="19.2" customHeight="1" x14ac:dyDescent="0.45">
      <c r="A20" t="s">
        <v>727</v>
      </c>
      <c r="B20" t="s">
        <v>728</v>
      </c>
      <c r="C20" t="s">
        <v>152</v>
      </c>
      <c r="D20" t="s">
        <v>153</v>
      </c>
      <c r="E20" t="s">
        <v>154</v>
      </c>
      <c r="I20" t="s">
        <v>729</v>
      </c>
      <c r="J20">
        <f t="shared" si="0"/>
        <v>0.27877696914081929</v>
      </c>
      <c r="K20">
        <f t="shared" si="1"/>
        <v>2.9058327199999998</v>
      </c>
      <c r="L20">
        <f t="shared" si="2"/>
        <v>0.25437316267488197</v>
      </c>
      <c r="M20">
        <f t="shared" si="3"/>
        <v>3.2003813600421669</v>
      </c>
      <c r="N20" t="s">
        <v>730</v>
      </c>
      <c r="O20" t="s">
        <v>731</v>
      </c>
      <c r="P20">
        <f t="shared" si="4"/>
        <v>4.0897579160851754</v>
      </c>
      <c r="Q20">
        <f t="shared" si="5"/>
        <v>1.2190269160851752</v>
      </c>
      <c r="R20" t="s">
        <v>732</v>
      </c>
      <c r="S20" t="s">
        <v>733</v>
      </c>
      <c r="T20">
        <f t="shared" si="6"/>
        <v>40.746815941866849</v>
      </c>
      <c r="U20">
        <f t="shared" si="7"/>
        <v>0.4417875</v>
      </c>
      <c r="V20" t="s">
        <v>160</v>
      </c>
      <c r="W20" t="s">
        <v>734</v>
      </c>
      <c r="X20" t="s">
        <v>162</v>
      </c>
      <c r="Y20" t="s">
        <v>162</v>
      </c>
      <c r="Z20" t="s">
        <v>162</v>
      </c>
      <c r="AA20" t="s">
        <v>735</v>
      </c>
      <c r="AB20" t="s">
        <v>736</v>
      </c>
      <c r="AC20" t="s">
        <v>737</v>
      </c>
      <c r="AD20" t="s">
        <v>166</v>
      </c>
      <c r="AE20" t="s">
        <v>167</v>
      </c>
      <c r="AF20">
        <f t="shared" si="8"/>
        <v>67.448125079999997</v>
      </c>
      <c r="AG20" t="s">
        <v>168</v>
      </c>
      <c r="AH20" t="s">
        <v>738</v>
      </c>
      <c r="AI20" t="s">
        <v>739</v>
      </c>
      <c r="AJ20" t="s">
        <v>740</v>
      </c>
      <c r="AK20" t="s">
        <v>741</v>
      </c>
      <c r="AL20">
        <f t="shared" si="9"/>
        <v>29.29</v>
      </c>
      <c r="AM20" t="s">
        <v>677</v>
      </c>
      <c r="AN20" t="s">
        <v>276</v>
      </c>
      <c r="AO20" t="s">
        <v>742</v>
      </c>
      <c r="AP20" t="s">
        <v>515</v>
      </c>
      <c r="AQ20" t="s">
        <v>743</v>
      </c>
      <c r="AR20" t="s">
        <v>744</v>
      </c>
      <c r="AS20" t="s">
        <v>745</v>
      </c>
      <c r="AT20" t="s">
        <v>317</v>
      </c>
      <c r="AU20" t="s">
        <v>746</v>
      </c>
      <c r="BC20" t="s">
        <v>648</v>
      </c>
      <c r="BD20" t="s">
        <v>152</v>
      </c>
      <c r="BE20" t="s">
        <v>649</v>
      </c>
      <c r="BF20" t="s">
        <v>150</v>
      </c>
      <c r="BG20" t="s">
        <v>185</v>
      </c>
      <c r="BH20" t="s">
        <v>319</v>
      </c>
      <c r="BI20" t="s">
        <v>185</v>
      </c>
      <c r="BJ20" t="s">
        <v>747</v>
      </c>
      <c r="BK20" t="s">
        <v>748</v>
      </c>
      <c r="BL20" t="s">
        <v>749</v>
      </c>
      <c r="BM20" t="s">
        <v>150</v>
      </c>
      <c r="BN20" t="s">
        <v>190</v>
      </c>
      <c r="BO20" t="s">
        <v>191</v>
      </c>
      <c r="BP20" t="s">
        <v>192</v>
      </c>
      <c r="BQ20" t="s">
        <v>193</v>
      </c>
      <c r="BR20" t="s">
        <v>162</v>
      </c>
      <c r="BS20" t="s">
        <v>194</v>
      </c>
      <c r="BT20" t="s">
        <v>162</v>
      </c>
      <c r="BU20" t="s">
        <v>162</v>
      </c>
      <c r="BV20" t="s">
        <v>195</v>
      </c>
      <c r="BW20" t="s">
        <v>196</v>
      </c>
      <c r="BX20" t="s">
        <v>197</v>
      </c>
      <c r="BY20" t="s">
        <v>198</v>
      </c>
      <c r="BZ20" t="s">
        <v>199</v>
      </c>
      <c r="CA20" t="s">
        <v>200</v>
      </c>
      <c r="CB20" t="s">
        <v>168</v>
      </c>
      <c r="CC20" t="s">
        <v>192</v>
      </c>
      <c r="CD20" t="s">
        <v>201</v>
      </c>
      <c r="CE20" t="s">
        <v>201</v>
      </c>
      <c r="CF20" t="s">
        <v>201</v>
      </c>
      <c r="CG20" t="s">
        <v>162</v>
      </c>
      <c r="CH20" t="s">
        <v>202</v>
      </c>
      <c r="CI20" t="s">
        <v>162</v>
      </c>
      <c r="CJ20" t="s">
        <v>162</v>
      </c>
      <c r="CK20" t="s">
        <v>162</v>
      </c>
      <c r="CL20" t="s">
        <v>162</v>
      </c>
      <c r="CM20" t="s">
        <v>750</v>
      </c>
      <c r="CN20" t="s">
        <v>751</v>
      </c>
      <c r="CO20" t="s">
        <v>752</v>
      </c>
      <c r="CP20" t="s">
        <v>753</v>
      </c>
      <c r="CQ20" t="s">
        <v>754</v>
      </c>
      <c r="CR20" t="s">
        <v>755</v>
      </c>
      <c r="CS20" t="s">
        <v>756</v>
      </c>
      <c r="CT20" t="s">
        <v>757</v>
      </c>
      <c r="CU20" t="s">
        <v>735</v>
      </c>
      <c r="CV20" t="s">
        <v>565</v>
      </c>
      <c r="CW20" t="s">
        <v>212</v>
      </c>
      <c r="CX20" t="s">
        <v>213</v>
      </c>
      <c r="CY20" t="s">
        <v>168</v>
      </c>
      <c r="CZ20" t="s">
        <v>214</v>
      </c>
      <c r="DA20" t="s">
        <v>215</v>
      </c>
      <c r="DB20" t="s">
        <v>168</v>
      </c>
      <c r="DC20" t="s">
        <v>216</v>
      </c>
      <c r="DD20" t="s">
        <v>217</v>
      </c>
      <c r="DE20" t="s">
        <v>218</v>
      </c>
      <c r="DF20" t="s">
        <v>162</v>
      </c>
      <c r="DG20" t="s">
        <v>734</v>
      </c>
      <c r="DH20" t="s">
        <v>219</v>
      </c>
      <c r="DI20" t="s">
        <v>220</v>
      </c>
      <c r="DJ20" t="s">
        <v>221</v>
      </c>
      <c r="DK20" t="s">
        <v>222</v>
      </c>
      <c r="DL20" t="s">
        <v>223</v>
      </c>
      <c r="DM20" t="s">
        <v>224</v>
      </c>
    </row>
    <row r="21" spans="1:117" ht="19.2" customHeight="1" x14ac:dyDescent="0.45">
      <c r="A21" t="s">
        <v>758</v>
      </c>
      <c r="B21" t="s">
        <v>759</v>
      </c>
      <c r="C21" t="s">
        <v>152</v>
      </c>
      <c r="D21" t="s">
        <v>153</v>
      </c>
      <c r="E21" t="s">
        <v>154</v>
      </c>
      <c r="I21" t="s">
        <v>760</v>
      </c>
      <c r="J21">
        <f t="shared" si="0"/>
        <v>0.39455653932016732</v>
      </c>
      <c r="K21">
        <f t="shared" si="1"/>
        <v>2.9066320800000001</v>
      </c>
      <c r="L21">
        <f t="shared" si="2"/>
        <v>0.34739932394349315</v>
      </c>
      <c r="M21">
        <f t="shared" si="3"/>
        <v>3.9235873290737424</v>
      </c>
      <c r="N21" t="s">
        <v>761</v>
      </c>
      <c r="O21" t="s">
        <v>762</v>
      </c>
      <c r="P21">
        <f t="shared" si="4"/>
        <v>3.9846872380596943</v>
      </c>
      <c r="Q21">
        <f t="shared" si="5"/>
        <v>1.0947092380596941</v>
      </c>
      <c r="R21" t="s">
        <v>763</v>
      </c>
      <c r="S21" t="s">
        <v>764</v>
      </c>
      <c r="T21">
        <f t="shared" si="6"/>
        <v>39.699982445548414</v>
      </c>
      <c r="U21">
        <f t="shared" si="7"/>
        <v>0.4417875</v>
      </c>
      <c r="V21" t="s">
        <v>160</v>
      </c>
      <c r="W21" t="s">
        <v>765</v>
      </c>
      <c r="X21" t="s">
        <v>162</v>
      </c>
      <c r="Y21" t="s">
        <v>162</v>
      </c>
      <c r="Z21" t="s">
        <v>162</v>
      </c>
      <c r="AA21" t="s">
        <v>766</v>
      </c>
      <c r="AB21" t="s">
        <v>767</v>
      </c>
      <c r="AC21" t="s">
        <v>768</v>
      </c>
      <c r="AD21" t="s">
        <v>166</v>
      </c>
      <c r="AE21" t="s">
        <v>167</v>
      </c>
      <c r="AF21">
        <f t="shared" si="8"/>
        <v>59.950741199999989</v>
      </c>
      <c r="AG21" t="s">
        <v>168</v>
      </c>
      <c r="AH21" t="s">
        <v>769</v>
      </c>
      <c r="AI21" t="s">
        <v>770</v>
      </c>
      <c r="AJ21" t="s">
        <v>771</v>
      </c>
      <c r="AK21" t="s">
        <v>772</v>
      </c>
      <c r="AL21">
        <f t="shared" si="9"/>
        <v>28.84</v>
      </c>
      <c r="AM21" t="s">
        <v>677</v>
      </c>
      <c r="AN21" t="s">
        <v>241</v>
      </c>
      <c r="AO21" t="s">
        <v>773</v>
      </c>
      <c r="AP21" t="s">
        <v>774</v>
      </c>
      <c r="AQ21" t="s">
        <v>775</v>
      </c>
      <c r="AR21" t="s">
        <v>712</v>
      </c>
      <c r="AS21" t="s">
        <v>281</v>
      </c>
      <c r="AT21" t="s">
        <v>297</v>
      </c>
      <c r="AU21" t="s">
        <v>776</v>
      </c>
      <c r="BC21" t="s">
        <v>648</v>
      </c>
      <c r="BD21" t="s">
        <v>152</v>
      </c>
      <c r="BE21" t="s">
        <v>649</v>
      </c>
      <c r="BF21" t="s">
        <v>150</v>
      </c>
      <c r="BG21" t="s">
        <v>452</v>
      </c>
      <c r="BH21" t="s">
        <v>185</v>
      </c>
      <c r="BI21" t="s">
        <v>486</v>
      </c>
      <c r="BJ21" t="s">
        <v>777</v>
      </c>
      <c r="BK21" t="s">
        <v>778</v>
      </c>
      <c r="BL21" t="s">
        <v>779</v>
      </c>
      <c r="BM21" t="s">
        <v>150</v>
      </c>
      <c r="BN21" t="s">
        <v>190</v>
      </c>
      <c r="BO21" t="s">
        <v>191</v>
      </c>
      <c r="BP21" t="s">
        <v>192</v>
      </c>
      <c r="BQ21" t="s">
        <v>193</v>
      </c>
      <c r="BR21" t="s">
        <v>162</v>
      </c>
      <c r="BS21" t="s">
        <v>194</v>
      </c>
      <c r="BT21" t="s">
        <v>162</v>
      </c>
      <c r="BU21" t="s">
        <v>162</v>
      </c>
      <c r="BV21" t="s">
        <v>195</v>
      </c>
      <c r="BW21" t="s">
        <v>196</v>
      </c>
      <c r="BX21" t="s">
        <v>197</v>
      </c>
      <c r="BY21" t="s">
        <v>198</v>
      </c>
      <c r="BZ21" t="s">
        <v>199</v>
      </c>
      <c r="CA21" t="s">
        <v>200</v>
      </c>
      <c r="CB21" t="s">
        <v>168</v>
      </c>
      <c r="CC21" t="s">
        <v>192</v>
      </c>
      <c r="CD21" t="s">
        <v>201</v>
      </c>
      <c r="CE21" t="s">
        <v>201</v>
      </c>
      <c r="CF21" t="s">
        <v>201</v>
      </c>
      <c r="CG21" t="s">
        <v>162</v>
      </c>
      <c r="CH21" t="s">
        <v>202</v>
      </c>
      <c r="CI21" t="s">
        <v>162</v>
      </c>
      <c r="CJ21" t="s">
        <v>162</v>
      </c>
      <c r="CK21" t="s">
        <v>162</v>
      </c>
      <c r="CL21" t="s">
        <v>162</v>
      </c>
      <c r="CM21" t="s">
        <v>780</v>
      </c>
      <c r="CN21" t="s">
        <v>781</v>
      </c>
      <c r="CO21" t="s">
        <v>782</v>
      </c>
      <c r="CP21" t="s">
        <v>783</v>
      </c>
      <c r="CQ21" t="s">
        <v>784</v>
      </c>
      <c r="CR21" t="s">
        <v>785</v>
      </c>
      <c r="CS21" t="s">
        <v>786</v>
      </c>
      <c r="CT21" t="s">
        <v>787</v>
      </c>
      <c r="CU21" t="s">
        <v>766</v>
      </c>
      <c r="CV21" t="s">
        <v>788</v>
      </c>
      <c r="CW21" t="s">
        <v>212</v>
      </c>
      <c r="CX21" t="s">
        <v>213</v>
      </c>
      <c r="CY21" t="s">
        <v>168</v>
      </c>
      <c r="CZ21" t="s">
        <v>214</v>
      </c>
      <c r="DA21" t="s">
        <v>215</v>
      </c>
      <c r="DB21" t="s">
        <v>168</v>
      </c>
      <c r="DC21" t="s">
        <v>216</v>
      </c>
      <c r="DD21" t="s">
        <v>217</v>
      </c>
      <c r="DE21" t="s">
        <v>218</v>
      </c>
      <c r="DF21" t="s">
        <v>162</v>
      </c>
      <c r="DG21" t="s">
        <v>765</v>
      </c>
      <c r="DH21" t="s">
        <v>219</v>
      </c>
      <c r="DI21" t="s">
        <v>220</v>
      </c>
      <c r="DJ21" t="s">
        <v>221</v>
      </c>
      <c r="DK21" t="s">
        <v>222</v>
      </c>
      <c r="DL21" t="s">
        <v>223</v>
      </c>
      <c r="DM21" t="s">
        <v>224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M19"/>
  <sheetViews>
    <sheetView workbookViewId="0"/>
  </sheetViews>
  <sheetFormatPr defaultRowHeight="19.2" x14ac:dyDescent="0.45"/>
  <sheetData>
    <row r="1" spans="1:117" x14ac:dyDescent="0.4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  <c r="AL1" t="s">
        <v>50</v>
      </c>
      <c r="AM1" t="s">
        <v>51</v>
      </c>
      <c r="AN1" t="s">
        <v>52</v>
      </c>
      <c r="AO1" t="s">
        <v>53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59</v>
      </c>
      <c r="AV1" t="s">
        <v>60</v>
      </c>
      <c r="AW1" t="s">
        <v>61</v>
      </c>
      <c r="AX1" t="s">
        <v>62</v>
      </c>
      <c r="AY1" t="s">
        <v>63</v>
      </c>
      <c r="AZ1" t="s">
        <v>64</v>
      </c>
      <c r="BA1" t="s">
        <v>65</v>
      </c>
      <c r="BB1" t="s">
        <v>66</v>
      </c>
      <c r="BC1" t="s">
        <v>67</v>
      </c>
      <c r="BD1" t="s">
        <v>68</v>
      </c>
      <c r="BE1" t="s">
        <v>69</v>
      </c>
      <c r="BF1" t="s">
        <v>70</v>
      </c>
      <c r="BG1" t="s">
        <v>71</v>
      </c>
      <c r="BH1" t="s">
        <v>72</v>
      </c>
      <c r="BI1" t="s">
        <v>73</v>
      </c>
      <c r="BJ1" t="s">
        <v>74</v>
      </c>
      <c r="BK1" t="s">
        <v>75</v>
      </c>
      <c r="BL1" t="s">
        <v>76</v>
      </c>
      <c r="BM1" t="s">
        <v>77</v>
      </c>
      <c r="BN1" t="s">
        <v>78</v>
      </c>
      <c r="BO1" t="s">
        <v>79</v>
      </c>
      <c r="BP1" t="s">
        <v>80</v>
      </c>
      <c r="BQ1" t="s">
        <v>81</v>
      </c>
      <c r="BR1" t="s">
        <v>82</v>
      </c>
      <c r="BS1" t="s">
        <v>83</v>
      </c>
      <c r="BT1" t="s">
        <v>84</v>
      </c>
      <c r="BU1" t="s">
        <v>85</v>
      </c>
      <c r="BV1" t="s">
        <v>86</v>
      </c>
      <c r="BW1" t="s">
        <v>87</v>
      </c>
      <c r="BX1" t="s">
        <v>88</v>
      </c>
      <c r="BY1" t="s">
        <v>89</v>
      </c>
      <c r="BZ1" t="s">
        <v>90</v>
      </c>
      <c r="CA1" t="s">
        <v>91</v>
      </c>
      <c r="CB1" t="s">
        <v>92</v>
      </c>
      <c r="CC1" t="s">
        <v>93</v>
      </c>
      <c r="CD1" t="s">
        <v>94</v>
      </c>
      <c r="CE1" t="s">
        <v>95</v>
      </c>
      <c r="CF1" t="s">
        <v>96</v>
      </c>
      <c r="CG1" t="s">
        <v>97</v>
      </c>
      <c r="CH1" t="s">
        <v>98</v>
      </c>
      <c r="CI1" t="s">
        <v>99</v>
      </c>
      <c r="CJ1" t="s">
        <v>100</v>
      </c>
      <c r="CK1" t="s">
        <v>101</v>
      </c>
      <c r="CL1" t="s">
        <v>102</v>
      </c>
      <c r="CM1" t="s">
        <v>103</v>
      </c>
      <c r="CN1" t="s">
        <v>104</v>
      </c>
      <c r="CO1" t="s">
        <v>105</v>
      </c>
      <c r="CP1" t="s">
        <v>106</v>
      </c>
      <c r="CQ1" t="s">
        <v>107</v>
      </c>
      <c r="CR1" t="s">
        <v>108</v>
      </c>
      <c r="CS1" t="s">
        <v>109</v>
      </c>
      <c r="CT1" t="s">
        <v>110</v>
      </c>
      <c r="CU1" t="s">
        <v>111</v>
      </c>
      <c r="CV1" t="s">
        <v>112</v>
      </c>
      <c r="CW1" t="s">
        <v>113</v>
      </c>
      <c r="CX1" t="s">
        <v>114</v>
      </c>
      <c r="CY1" t="s">
        <v>115</v>
      </c>
      <c r="CZ1" t="s">
        <v>116</v>
      </c>
      <c r="DA1" t="s">
        <v>117</v>
      </c>
      <c r="DB1" t="s">
        <v>118</v>
      </c>
      <c r="DC1" t="s">
        <v>119</v>
      </c>
      <c r="DD1" t="s">
        <v>120</v>
      </c>
      <c r="DE1" t="s">
        <v>121</v>
      </c>
      <c r="DF1" t="s">
        <v>122</v>
      </c>
      <c r="DG1" t="s">
        <v>123</v>
      </c>
      <c r="DH1" t="s">
        <v>124</v>
      </c>
      <c r="DI1" t="s">
        <v>125</v>
      </c>
      <c r="DJ1" t="s">
        <v>126</v>
      </c>
      <c r="DK1" t="s">
        <v>127</v>
      </c>
      <c r="DL1" t="s">
        <v>128</v>
      </c>
      <c r="DM1" t="s">
        <v>129</v>
      </c>
    </row>
    <row r="2" spans="1:117" x14ac:dyDescent="0.45">
      <c r="A2" t="s">
        <v>150</v>
      </c>
      <c r="B2" t="s">
        <v>151</v>
      </c>
      <c r="C2" t="s">
        <v>152</v>
      </c>
      <c r="D2" t="s">
        <v>153</v>
      </c>
      <c r="E2" t="s">
        <v>154</v>
      </c>
      <c r="I2" t="s">
        <v>155</v>
      </c>
      <c r="J2">
        <v>0.57999999999999996</v>
      </c>
      <c r="K2">
        <v>2.91</v>
      </c>
      <c r="L2">
        <v>0.48</v>
      </c>
      <c r="M2">
        <v>4.58</v>
      </c>
      <c r="N2">
        <v>2.37</v>
      </c>
      <c r="O2">
        <v>2.2400000000000002</v>
      </c>
      <c r="P2">
        <v>3.29</v>
      </c>
      <c r="Q2">
        <v>0.92</v>
      </c>
      <c r="R2">
        <v>22.34</v>
      </c>
      <c r="S2">
        <v>23.61</v>
      </c>
      <c r="T2">
        <v>32.82</v>
      </c>
      <c r="U2">
        <v>0.44</v>
      </c>
      <c r="V2">
        <v>7.5</v>
      </c>
      <c r="W2" t="s">
        <v>161</v>
      </c>
      <c r="X2">
        <v>0</v>
      </c>
      <c r="Y2">
        <v>0</v>
      </c>
      <c r="Z2">
        <v>0</v>
      </c>
      <c r="AA2">
        <v>125.1</v>
      </c>
      <c r="AB2">
        <v>414.28</v>
      </c>
      <c r="AC2">
        <v>0.7</v>
      </c>
      <c r="AD2">
        <v>0.5</v>
      </c>
      <c r="AE2">
        <v>0.84</v>
      </c>
      <c r="AF2">
        <v>142.77000000000001</v>
      </c>
      <c r="AG2">
        <v>1</v>
      </c>
      <c r="AH2">
        <v>67.53</v>
      </c>
      <c r="AI2">
        <v>63.9</v>
      </c>
      <c r="AJ2">
        <v>26.66</v>
      </c>
      <c r="AK2">
        <v>25.59</v>
      </c>
      <c r="AL2">
        <v>25.59</v>
      </c>
      <c r="AM2">
        <v>100.33</v>
      </c>
      <c r="AN2">
        <v>156</v>
      </c>
      <c r="AO2">
        <v>148.19999999999999</v>
      </c>
      <c r="AP2">
        <v>5</v>
      </c>
      <c r="AQ2">
        <v>487</v>
      </c>
      <c r="AR2">
        <v>3.89</v>
      </c>
      <c r="AS2">
        <v>-19</v>
      </c>
      <c r="AT2">
        <v>-3</v>
      </c>
      <c r="AU2">
        <v>209</v>
      </c>
      <c r="BC2" t="s">
        <v>182</v>
      </c>
      <c r="BD2" t="s">
        <v>152</v>
      </c>
      <c r="BE2">
        <v>-2.38</v>
      </c>
      <c r="BF2" t="s">
        <v>150</v>
      </c>
      <c r="BG2">
        <v>0</v>
      </c>
      <c r="BH2">
        <v>0</v>
      </c>
      <c r="BI2">
        <v>0</v>
      </c>
      <c r="BJ2">
        <v>-7.0000000000000007E-2</v>
      </c>
      <c r="BK2">
        <v>-0.46</v>
      </c>
      <c r="BL2">
        <v>-0.46</v>
      </c>
      <c r="BM2" t="s">
        <v>150</v>
      </c>
      <c r="BN2">
        <v>150</v>
      </c>
      <c r="BO2">
        <v>0</v>
      </c>
      <c r="BP2">
        <v>2</v>
      </c>
      <c r="BQ2">
        <v>0.06</v>
      </c>
      <c r="BR2">
        <v>0</v>
      </c>
      <c r="BS2">
        <v>0.03</v>
      </c>
      <c r="BT2">
        <v>0</v>
      </c>
      <c r="BU2">
        <v>0</v>
      </c>
      <c r="BV2">
        <v>0</v>
      </c>
      <c r="BW2" t="s">
        <v>196</v>
      </c>
      <c r="BX2" t="s">
        <v>197</v>
      </c>
      <c r="BY2" t="s">
        <v>198</v>
      </c>
      <c r="BZ2">
        <v>6000</v>
      </c>
      <c r="CA2">
        <v>500</v>
      </c>
      <c r="CB2">
        <v>1</v>
      </c>
      <c r="CC2">
        <v>2</v>
      </c>
      <c r="CD2">
        <v>55537</v>
      </c>
      <c r="CE2">
        <v>55537</v>
      </c>
      <c r="CF2">
        <v>55537</v>
      </c>
      <c r="CG2">
        <v>0</v>
      </c>
      <c r="CH2">
        <v>-9999</v>
      </c>
      <c r="CI2">
        <v>0</v>
      </c>
      <c r="CJ2">
        <v>0</v>
      </c>
      <c r="CK2">
        <v>0</v>
      </c>
      <c r="CL2">
        <v>0</v>
      </c>
      <c r="CM2">
        <v>2.52</v>
      </c>
      <c r="CN2">
        <v>2.4700000000000002</v>
      </c>
      <c r="CO2">
        <v>1.67</v>
      </c>
      <c r="CP2">
        <v>0.92</v>
      </c>
      <c r="CQ2">
        <v>0.26</v>
      </c>
      <c r="CR2">
        <v>-0.01</v>
      </c>
      <c r="CS2">
        <v>0.08</v>
      </c>
      <c r="CT2">
        <v>0.53</v>
      </c>
      <c r="CU2">
        <v>125.1</v>
      </c>
      <c r="CV2">
        <v>0</v>
      </c>
      <c r="CW2">
        <v>2.42</v>
      </c>
      <c r="CX2">
        <v>0</v>
      </c>
      <c r="CY2">
        <v>1</v>
      </c>
      <c r="CZ2">
        <v>2.37</v>
      </c>
      <c r="DA2">
        <v>0</v>
      </c>
      <c r="DB2">
        <v>1</v>
      </c>
      <c r="DC2">
        <v>0.6</v>
      </c>
      <c r="DD2">
        <v>0.6</v>
      </c>
      <c r="DE2">
        <v>0.11</v>
      </c>
      <c r="DF2">
        <v>0</v>
      </c>
      <c r="DG2" t="s">
        <v>161</v>
      </c>
      <c r="DH2" t="s">
        <v>219</v>
      </c>
      <c r="DI2" t="s">
        <v>220</v>
      </c>
      <c r="DJ2" t="s">
        <v>221</v>
      </c>
      <c r="DK2" t="s">
        <v>222</v>
      </c>
      <c r="DL2" t="s">
        <v>223</v>
      </c>
      <c r="DM2" t="s">
        <v>224</v>
      </c>
    </row>
    <row r="3" spans="1:117" x14ac:dyDescent="0.45">
      <c r="A3" t="s">
        <v>225</v>
      </c>
      <c r="B3" t="s">
        <v>226</v>
      </c>
      <c r="C3" t="s">
        <v>152</v>
      </c>
      <c r="D3" t="s">
        <v>153</v>
      </c>
      <c r="E3" t="s">
        <v>154</v>
      </c>
      <c r="I3" t="s">
        <v>227</v>
      </c>
      <c r="J3">
        <v>0.47</v>
      </c>
      <c r="K3">
        <v>2.91</v>
      </c>
      <c r="L3">
        <v>0.41</v>
      </c>
      <c r="M3">
        <v>4.32</v>
      </c>
      <c r="N3">
        <v>2.4300000000000002</v>
      </c>
      <c r="O3">
        <v>2.31</v>
      </c>
      <c r="P3">
        <v>3.47</v>
      </c>
      <c r="Q3">
        <v>1.04</v>
      </c>
      <c r="R3">
        <v>23.07</v>
      </c>
      <c r="S3">
        <v>24.26</v>
      </c>
      <c r="T3">
        <v>34.58</v>
      </c>
      <c r="U3">
        <v>0.44</v>
      </c>
      <c r="V3">
        <v>7.5</v>
      </c>
      <c r="W3" t="s">
        <v>232</v>
      </c>
      <c r="X3">
        <v>0</v>
      </c>
      <c r="Y3">
        <v>0</v>
      </c>
      <c r="Z3">
        <v>0</v>
      </c>
      <c r="AA3">
        <v>161.38</v>
      </c>
      <c r="AB3">
        <v>461.82</v>
      </c>
      <c r="AC3">
        <v>0.65</v>
      </c>
      <c r="AD3">
        <v>0.5</v>
      </c>
      <c r="AE3">
        <v>0.84</v>
      </c>
      <c r="AF3">
        <v>147.82</v>
      </c>
      <c r="AG3">
        <v>1</v>
      </c>
      <c r="AH3">
        <v>68.58</v>
      </c>
      <c r="AI3">
        <v>65.209999999999994</v>
      </c>
      <c r="AJ3">
        <v>26.86</v>
      </c>
      <c r="AK3">
        <v>26.47</v>
      </c>
      <c r="AL3">
        <v>26.47</v>
      </c>
      <c r="AM3">
        <v>100.32</v>
      </c>
      <c r="AN3">
        <v>156.19999999999999</v>
      </c>
      <c r="AO3">
        <v>154.9</v>
      </c>
      <c r="AP3">
        <v>0.9</v>
      </c>
      <c r="AQ3">
        <v>541</v>
      </c>
      <c r="AR3">
        <v>3.89</v>
      </c>
      <c r="AS3">
        <v>-26</v>
      </c>
      <c r="AT3">
        <v>-15</v>
      </c>
      <c r="AU3">
        <v>183</v>
      </c>
      <c r="BC3" t="s">
        <v>182</v>
      </c>
      <c r="BD3" t="s">
        <v>152</v>
      </c>
      <c r="BE3">
        <v>-2.38</v>
      </c>
      <c r="BF3" t="s">
        <v>150</v>
      </c>
      <c r="BG3">
        <v>0</v>
      </c>
      <c r="BH3">
        <v>0</v>
      </c>
      <c r="BI3">
        <v>0</v>
      </c>
      <c r="BJ3">
        <v>-0.06</v>
      </c>
      <c r="BK3">
        <v>-0.17</v>
      </c>
      <c r="BL3">
        <v>-0.5</v>
      </c>
      <c r="BM3" t="s">
        <v>150</v>
      </c>
      <c r="BN3">
        <v>150</v>
      </c>
      <c r="BO3">
        <v>0</v>
      </c>
      <c r="BP3">
        <v>2</v>
      </c>
      <c r="BQ3">
        <v>0.06</v>
      </c>
      <c r="BR3">
        <v>0</v>
      </c>
      <c r="BS3">
        <v>0.03</v>
      </c>
      <c r="BT3">
        <v>0</v>
      </c>
      <c r="BU3">
        <v>0</v>
      </c>
      <c r="BV3">
        <v>0</v>
      </c>
      <c r="BW3" t="s">
        <v>196</v>
      </c>
      <c r="BX3" t="s">
        <v>197</v>
      </c>
      <c r="BY3" t="s">
        <v>198</v>
      </c>
      <c r="BZ3">
        <v>6000</v>
      </c>
      <c r="CA3">
        <v>500</v>
      </c>
      <c r="CB3">
        <v>1</v>
      </c>
      <c r="CC3">
        <v>2</v>
      </c>
      <c r="CD3">
        <v>55537</v>
      </c>
      <c r="CE3">
        <v>55537</v>
      </c>
      <c r="CF3">
        <v>55537</v>
      </c>
      <c r="CG3">
        <v>0</v>
      </c>
      <c r="CH3">
        <v>-9999</v>
      </c>
      <c r="CI3">
        <v>0</v>
      </c>
      <c r="CJ3">
        <v>0</v>
      </c>
      <c r="CK3">
        <v>0</v>
      </c>
      <c r="CL3">
        <v>0</v>
      </c>
      <c r="CM3">
        <v>2.5299999999999998</v>
      </c>
      <c r="CN3">
        <v>2.4700000000000002</v>
      </c>
      <c r="CO3">
        <v>1.67</v>
      </c>
      <c r="CP3">
        <v>0.94</v>
      </c>
      <c r="CQ3">
        <v>0.25</v>
      </c>
      <c r="CR3">
        <v>0</v>
      </c>
      <c r="CS3">
        <v>0.09</v>
      </c>
      <c r="CT3">
        <v>0.57999999999999996</v>
      </c>
      <c r="CU3">
        <v>161.38</v>
      </c>
      <c r="CV3">
        <v>0</v>
      </c>
      <c r="CW3">
        <v>2.42</v>
      </c>
      <c r="CX3">
        <v>0</v>
      </c>
      <c r="CY3">
        <v>1</v>
      </c>
      <c r="CZ3">
        <v>2.37</v>
      </c>
      <c r="DA3">
        <v>0</v>
      </c>
      <c r="DB3">
        <v>1</v>
      </c>
      <c r="DC3">
        <v>0.6</v>
      </c>
      <c r="DD3">
        <v>0.6</v>
      </c>
      <c r="DE3">
        <v>0.11</v>
      </c>
      <c r="DF3">
        <v>0</v>
      </c>
      <c r="DG3" t="s">
        <v>232</v>
      </c>
      <c r="DH3" t="s">
        <v>219</v>
      </c>
      <c r="DI3" t="s">
        <v>220</v>
      </c>
      <c r="DJ3" t="s">
        <v>221</v>
      </c>
      <c r="DK3" t="s">
        <v>222</v>
      </c>
      <c r="DL3" t="s">
        <v>223</v>
      </c>
      <c r="DM3" t="s">
        <v>224</v>
      </c>
    </row>
    <row r="4" spans="1:117" x14ac:dyDescent="0.45">
      <c r="A4" t="s">
        <v>261</v>
      </c>
      <c r="B4" t="s">
        <v>262</v>
      </c>
      <c r="C4" t="s">
        <v>152</v>
      </c>
      <c r="D4" t="s">
        <v>153</v>
      </c>
      <c r="E4" t="s">
        <v>154</v>
      </c>
      <c r="I4" t="s">
        <v>263</v>
      </c>
      <c r="J4">
        <v>0.57999999999999996</v>
      </c>
      <c r="K4">
        <v>2.91</v>
      </c>
      <c r="L4">
        <v>0.48</v>
      </c>
      <c r="M4">
        <v>6.3</v>
      </c>
      <c r="N4">
        <v>2.54</v>
      </c>
      <c r="O4">
        <v>2.37</v>
      </c>
      <c r="P4">
        <v>3.81</v>
      </c>
      <c r="Q4">
        <v>1.27</v>
      </c>
      <c r="R4">
        <v>23.6</v>
      </c>
      <c r="S4">
        <v>25.34</v>
      </c>
      <c r="T4">
        <v>38</v>
      </c>
      <c r="U4">
        <v>0.44</v>
      </c>
      <c r="V4">
        <v>7.5</v>
      </c>
      <c r="W4" t="s">
        <v>268</v>
      </c>
      <c r="X4">
        <v>0</v>
      </c>
      <c r="Y4">
        <v>0</v>
      </c>
      <c r="Z4">
        <v>0</v>
      </c>
      <c r="AA4">
        <v>170.27</v>
      </c>
      <c r="AB4">
        <v>352.97</v>
      </c>
      <c r="AC4">
        <v>0.52</v>
      </c>
      <c r="AD4">
        <v>0.5</v>
      </c>
      <c r="AE4">
        <v>0.84</v>
      </c>
      <c r="AF4">
        <v>195.22</v>
      </c>
      <c r="AG4">
        <v>1</v>
      </c>
      <c r="AH4">
        <v>70.849999999999994</v>
      </c>
      <c r="AI4">
        <v>65.989999999999995</v>
      </c>
      <c r="AJ4">
        <v>27.04</v>
      </c>
      <c r="AK4">
        <v>28.08</v>
      </c>
      <c r="AL4">
        <v>28.08</v>
      </c>
      <c r="AM4">
        <v>100.33</v>
      </c>
      <c r="AN4">
        <v>156.1</v>
      </c>
      <c r="AO4">
        <v>154.80000000000001</v>
      </c>
      <c r="AP4">
        <v>0.9</v>
      </c>
      <c r="AQ4">
        <v>898</v>
      </c>
      <c r="AR4">
        <v>3.89</v>
      </c>
      <c r="AS4">
        <v>-36</v>
      </c>
      <c r="AT4">
        <v>-22</v>
      </c>
      <c r="AU4">
        <v>133</v>
      </c>
      <c r="BC4" t="s">
        <v>182</v>
      </c>
      <c r="BD4" t="s">
        <v>152</v>
      </c>
      <c r="BE4">
        <v>-2.38</v>
      </c>
      <c r="BF4" t="s">
        <v>150</v>
      </c>
      <c r="BG4">
        <v>0</v>
      </c>
      <c r="BH4">
        <v>0</v>
      </c>
      <c r="BI4">
        <v>-0.01</v>
      </c>
      <c r="BJ4">
        <v>0.52</v>
      </c>
      <c r="BK4">
        <v>-0.2</v>
      </c>
      <c r="BL4">
        <v>-0.1</v>
      </c>
      <c r="BM4" t="s">
        <v>150</v>
      </c>
      <c r="BN4">
        <v>150</v>
      </c>
      <c r="BO4">
        <v>0</v>
      </c>
      <c r="BP4">
        <v>2</v>
      </c>
      <c r="BQ4">
        <v>0.06</v>
      </c>
      <c r="BR4">
        <v>0</v>
      </c>
      <c r="BS4">
        <v>0.03</v>
      </c>
      <c r="BT4">
        <v>0</v>
      </c>
      <c r="BU4">
        <v>0</v>
      </c>
      <c r="BV4">
        <v>0</v>
      </c>
      <c r="BW4" t="s">
        <v>196</v>
      </c>
      <c r="BX4" t="s">
        <v>197</v>
      </c>
      <c r="BY4" t="s">
        <v>198</v>
      </c>
      <c r="BZ4">
        <v>6000</v>
      </c>
      <c r="CA4">
        <v>500</v>
      </c>
      <c r="CB4">
        <v>1</v>
      </c>
      <c r="CC4">
        <v>2</v>
      </c>
      <c r="CD4">
        <v>55537</v>
      </c>
      <c r="CE4">
        <v>55537</v>
      </c>
      <c r="CF4">
        <v>55537</v>
      </c>
      <c r="CG4">
        <v>0</v>
      </c>
      <c r="CH4">
        <v>-9999</v>
      </c>
      <c r="CI4">
        <v>0</v>
      </c>
      <c r="CJ4">
        <v>0</v>
      </c>
      <c r="CK4">
        <v>0</v>
      </c>
      <c r="CL4">
        <v>0</v>
      </c>
      <c r="CM4">
        <v>2.5299999999999998</v>
      </c>
      <c r="CN4">
        <v>2.4700000000000002</v>
      </c>
      <c r="CO4">
        <v>1.67</v>
      </c>
      <c r="CP4">
        <v>0.94</v>
      </c>
      <c r="CQ4">
        <v>0.25</v>
      </c>
      <c r="CR4">
        <v>0.01</v>
      </c>
      <c r="CS4">
        <v>0.1</v>
      </c>
      <c r="CT4">
        <v>0.89</v>
      </c>
      <c r="CU4">
        <v>170.27</v>
      </c>
      <c r="CV4">
        <v>0</v>
      </c>
      <c r="CW4">
        <v>2.42</v>
      </c>
      <c r="CX4">
        <v>0</v>
      </c>
      <c r="CY4">
        <v>1</v>
      </c>
      <c r="CZ4">
        <v>2.37</v>
      </c>
      <c r="DA4">
        <v>0</v>
      </c>
      <c r="DB4">
        <v>1</v>
      </c>
      <c r="DC4">
        <v>0.6</v>
      </c>
      <c r="DD4">
        <v>0.6</v>
      </c>
      <c r="DE4">
        <v>0.11</v>
      </c>
      <c r="DF4">
        <v>0</v>
      </c>
      <c r="DG4" t="s">
        <v>268</v>
      </c>
      <c r="DH4" t="s">
        <v>219</v>
      </c>
      <c r="DI4" t="s">
        <v>220</v>
      </c>
      <c r="DJ4" t="s">
        <v>221</v>
      </c>
      <c r="DK4" t="s">
        <v>222</v>
      </c>
      <c r="DL4" t="s">
        <v>223</v>
      </c>
      <c r="DM4" t="s">
        <v>224</v>
      </c>
    </row>
    <row r="5" spans="1:117" x14ac:dyDescent="0.45">
      <c r="A5" t="s">
        <v>297</v>
      </c>
      <c r="B5" t="s">
        <v>298</v>
      </c>
      <c r="C5" t="s">
        <v>152</v>
      </c>
      <c r="D5" t="s">
        <v>153</v>
      </c>
      <c r="E5" t="s">
        <v>154</v>
      </c>
      <c r="I5" t="s">
        <v>299</v>
      </c>
      <c r="J5">
        <v>0.41</v>
      </c>
      <c r="K5">
        <v>2.91</v>
      </c>
      <c r="L5">
        <v>0.36</v>
      </c>
      <c r="M5">
        <v>3.69</v>
      </c>
      <c r="N5">
        <v>2.6</v>
      </c>
      <c r="O5">
        <v>2.5</v>
      </c>
      <c r="P5">
        <v>3.59</v>
      </c>
      <c r="Q5">
        <v>0.99</v>
      </c>
      <c r="R5">
        <v>24.89</v>
      </c>
      <c r="S5">
        <v>25.91</v>
      </c>
      <c r="T5">
        <v>35.82</v>
      </c>
      <c r="U5">
        <v>0.44</v>
      </c>
      <c r="V5">
        <v>7.5</v>
      </c>
      <c r="W5" t="s">
        <v>304</v>
      </c>
      <c r="X5">
        <v>0</v>
      </c>
      <c r="Y5">
        <v>0</v>
      </c>
      <c r="Z5">
        <v>0</v>
      </c>
      <c r="AA5">
        <v>168.41</v>
      </c>
      <c r="AB5">
        <v>393.42</v>
      </c>
      <c r="AC5">
        <v>0.56999999999999995</v>
      </c>
      <c r="AD5">
        <v>0.5</v>
      </c>
      <c r="AE5">
        <v>0.84</v>
      </c>
      <c r="AF5">
        <v>120.59</v>
      </c>
      <c r="AG5">
        <v>1</v>
      </c>
      <c r="AH5">
        <v>70.84</v>
      </c>
      <c r="AI5">
        <v>68.06</v>
      </c>
      <c r="AJ5">
        <v>27.43</v>
      </c>
      <c r="AK5">
        <v>27.07</v>
      </c>
      <c r="AL5">
        <v>27.07</v>
      </c>
      <c r="AM5">
        <v>100.33</v>
      </c>
      <c r="AN5">
        <v>156.1</v>
      </c>
      <c r="AO5">
        <v>147.1</v>
      </c>
      <c r="AP5">
        <v>5.7</v>
      </c>
      <c r="AQ5">
        <v>502</v>
      </c>
      <c r="AR5">
        <v>3.89</v>
      </c>
      <c r="AS5">
        <v>-28</v>
      </c>
      <c r="AT5">
        <v>-1</v>
      </c>
      <c r="AU5">
        <v>145</v>
      </c>
      <c r="BC5" t="s">
        <v>182</v>
      </c>
      <c r="BD5" t="s">
        <v>152</v>
      </c>
      <c r="BE5">
        <v>-2.38</v>
      </c>
      <c r="BF5" t="s">
        <v>150</v>
      </c>
      <c r="BG5">
        <v>0</v>
      </c>
      <c r="BH5">
        <v>0</v>
      </c>
      <c r="BI5">
        <v>0</v>
      </c>
      <c r="BJ5">
        <v>7.0000000000000007E-2</v>
      </c>
      <c r="BK5">
        <v>0.15</v>
      </c>
      <c r="BL5">
        <v>0.7</v>
      </c>
      <c r="BM5" t="s">
        <v>150</v>
      </c>
      <c r="BN5">
        <v>150</v>
      </c>
      <c r="BO5">
        <v>0</v>
      </c>
      <c r="BP5">
        <v>2</v>
      </c>
      <c r="BQ5">
        <v>0.06</v>
      </c>
      <c r="BR5">
        <v>0</v>
      </c>
      <c r="BS5">
        <v>0.03</v>
      </c>
      <c r="BT5">
        <v>0</v>
      </c>
      <c r="BU5">
        <v>0</v>
      </c>
      <c r="BV5">
        <v>0</v>
      </c>
      <c r="BW5" t="s">
        <v>196</v>
      </c>
      <c r="BX5" t="s">
        <v>197</v>
      </c>
      <c r="BY5" t="s">
        <v>198</v>
      </c>
      <c r="BZ5">
        <v>6000</v>
      </c>
      <c r="CA5">
        <v>500</v>
      </c>
      <c r="CB5">
        <v>1</v>
      </c>
      <c r="CC5">
        <v>2</v>
      </c>
      <c r="CD5">
        <v>55537</v>
      </c>
      <c r="CE5">
        <v>55537</v>
      </c>
      <c r="CF5">
        <v>55537</v>
      </c>
      <c r="CG5">
        <v>0</v>
      </c>
      <c r="CH5">
        <v>-9999</v>
      </c>
      <c r="CI5">
        <v>0</v>
      </c>
      <c r="CJ5">
        <v>0</v>
      </c>
      <c r="CK5">
        <v>0</v>
      </c>
      <c r="CL5">
        <v>0</v>
      </c>
      <c r="CM5">
        <v>2.5299999999999998</v>
      </c>
      <c r="CN5">
        <v>2.4700000000000002</v>
      </c>
      <c r="CO5">
        <v>1.67</v>
      </c>
      <c r="CP5">
        <v>0.92</v>
      </c>
      <c r="CQ5">
        <v>0.25</v>
      </c>
      <c r="CR5">
        <v>0</v>
      </c>
      <c r="CS5">
        <v>0.11</v>
      </c>
      <c r="CT5">
        <v>0.54</v>
      </c>
      <c r="CU5">
        <v>168.41</v>
      </c>
      <c r="CV5">
        <v>0</v>
      </c>
      <c r="CW5">
        <v>2.42</v>
      </c>
      <c r="CX5">
        <v>0</v>
      </c>
      <c r="CY5">
        <v>1</v>
      </c>
      <c r="CZ5">
        <v>2.37</v>
      </c>
      <c r="DA5">
        <v>0</v>
      </c>
      <c r="DB5">
        <v>1</v>
      </c>
      <c r="DC5">
        <v>0.6</v>
      </c>
      <c r="DD5">
        <v>0.6</v>
      </c>
      <c r="DE5">
        <v>0.11</v>
      </c>
      <c r="DF5">
        <v>0</v>
      </c>
      <c r="DG5" t="s">
        <v>304</v>
      </c>
      <c r="DH5" t="s">
        <v>219</v>
      </c>
      <c r="DI5" t="s">
        <v>220</v>
      </c>
      <c r="DJ5" t="s">
        <v>221</v>
      </c>
      <c r="DK5" t="s">
        <v>222</v>
      </c>
      <c r="DL5" t="s">
        <v>223</v>
      </c>
      <c r="DM5" t="s">
        <v>224</v>
      </c>
    </row>
    <row r="6" spans="1:117" x14ac:dyDescent="0.45">
      <c r="A6" t="s">
        <v>331</v>
      </c>
      <c r="B6" t="s">
        <v>332</v>
      </c>
      <c r="C6" t="s">
        <v>152</v>
      </c>
      <c r="D6" t="s">
        <v>153</v>
      </c>
      <c r="E6" t="s">
        <v>154</v>
      </c>
      <c r="I6" t="s">
        <v>333</v>
      </c>
      <c r="J6">
        <v>0.37</v>
      </c>
      <c r="K6">
        <v>2.91</v>
      </c>
      <c r="L6">
        <v>0.33</v>
      </c>
      <c r="M6">
        <v>3.26</v>
      </c>
      <c r="N6">
        <v>2.68</v>
      </c>
      <c r="O6">
        <v>2.59</v>
      </c>
      <c r="P6">
        <v>3.64</v>
      </c>
      <c r="Q6">
        <v>0.96</v>
      </c>
      <c r="R6">
        <v>25.84</v>
      </c>
      <c r="S6">
        <v>26.73</v>
      </c>
      <c r="T6">
        <v>36.28</v>
      </c>
      <c r="U6">
        <v>0.44</v>
      </c>
      <c r="V6">
        <v>7.5</v>
      </c>
      <c r="W6" t="s">
        <v>338</v>
      </c>
      <c r="X6">
        <v>0</v>
      </c>
      <c r="Y6">
        <v>0</v>
      </c>
      <c r="Z6">
        <v>0</v>
      </c>
      <c r="AA6">
        <v>162.09</v>
      </c>
      <c r="AB6">
        <v>487.15</v>
      </c>
      <c r="AC6">
        <v>0.67</v>
      </c>
      <c r="AD6">
        <v>0.5</v>
      </c>
      <c r="AE6">
        <v>0.84</v>
      </c>
      <c r="AF6">
        <v>125.55</v>
      </c>
      <c r="AG6">
        <v>1</v>
      </c>
      <c r="AH6">
        <v>72.39</v>
      </c>
      <c r="AI6">
        <v>69.959999999999994</v>
      </c>
      <c r="AJ6">
        <v>27.59</v>
      </c>
      <c r="AK6">
        <v>27.29</v>
      </c>
      <c r="AL6">
        <v>27.29</v>
      </c>
      <c r="AM6">
        <v>100.34</v>
      </c>
      <c r="AN6">
        <v>156.19999999999999</v>
      </c>
      <c r="AO6">
        <v>151.80000000000001</v>
      </c>
      <c r="AP6">
        <v>2.8</v>
      </c>
      <c r="AQ6">
        <v>448</v>
      </c>
      <c r="AR6">
        <v>3.89</v>
      </c>
      <c r="AS6">
        <v>-22</v>
      </c>
      <c r="AT6">
        <v>6</v>
      </c>
      <c r="AU6">
        <v>146</v>
      </c>
      <c r="BC6" t="s">
        <v>182</v>
      </c>
      <c r="BD6" t="s">
        <v>152</v>
      </c>
      <c r="BE6">
        <v>-2.38</v>
      </c>
      <c r="BF6" t="s">
        <v>150</v>
      </c>
      <c r="BG6">
        <v>0</v>
      </c>
      <c r="BH6">
        <v>0</v>
      </c>
      <c r="BI6">
        <v>-0.01</v>
      </c>
      <c r="BJ6">
        <v>7.0000000000000007E-2</v>
      </c>
      <c r="BK6">
        <v>-0.22</v>
      </c>
      <c r="BL6">
        <v>-0.44</v>
      </c>
      <c r="BM6" t="s">
        <v>150</v>
      </c>
      <c r="BN6">
        <v>150</v>
      </c>
      <c r="BO6">
        <v>0</v>
      </c>
      <c r="BP6">
        <v>2</v>
      </c>
      <c r="BQ6">
        <v>0.06</v>
      </c>
      <c r="BR6">
        <v>0</v>
      </c>
      <c r="BS6">
        <v>0.03</v>
      </c>
      <c r="BT6">
        <v>0</v>
      </c>
      <c r="BU6">
        <v>0</v>
      </c>
      <c r="BV6">
        <v>0</v>
      </c>
      <c r="BW6" t="s">
        <v>196</v>
      </c>
      <c r="BX6" t="s">
        <v>197</v>
      </c>
      <c r="BY6" t="s">
        <v>198</v>
      </c>
      <c r="BZ6">
        <v>6000</v>
      </c>
      <c r="CA6">
        <v>500</v>
      </c>
      <c r="CB6">
        <v>1</v>
      </c>
      <c r="CC6">
        <v>2</v>
      </c>
      <c r="CD6">
        <v>55537</v>
      </c>
      <c r="CE6">
        <v>55537</v>
      </c>
      <c r="CF6">
        <v>55537</v>
      </c>
      <c r="CG6">
        <v>0</v>
      </c>
      <c r="CH6">
        <v>-9999</v>
      </c>
      <c r="CI6">
        <v>0</v>
      </c>
      <c r="CJ6">
        <v>0</v>
      </c>
      <c r="CK6">
        <v>0</v>
      </c>
      <c r="CL6">
        <v>0</v>
      </c>
      <c r="CM6">
        <v>2.5299999999999998</v>
      </c>
      <c r="CN6">
        <v>2.4700000000000002</v>
      </c>
      <c r="CO6">
        <v>1.67</v>
      </c>
      <c r="CP6">
        <v>0.93</v>
      </c>
      <c r="CQ6">
        <v>0.25</v>
      </c>
      <c r="CR6">
        <v>0</v>
      </c>
      <c r="CS6">
        <v>0.11</v>
      </c>
      <c r="CT6">
        <v>0.5</v>
      </c>
      <c r="CU6">
        <v>162.09</v>
      </c>
      <c r="CV6">
        <v>0</v>
      </c>
      <c r="CW6">
        <v>2.42</v>
      </c>
      <c r="CX6">
        <v>0</v>
      </c>
      <c r="CY6">
        <v>1</v>
      </c>
      <c r="CZ6">
        <v>2.37</v>
      </c>
      <c r="DA6">
        <v>0</v>
      </c>
      <c r="DB6">
        <v>1</v>
      </c>
      <c r="DC6">
        <v>0.6</v>
      </c>
      <c r="DD6">
        <v>0.6</v>
      </c>
      <c r="DE6">
        <v>0.11</v>
      </c>
      <c r="DF6">
        <v>0</v>
      </c>
      <c r="DG6" t="s">
        <v>338</v>
      </c>
      <c r="DH6" t="s">
        <v>219</v>
      </c>
      <c r="DI6" t="s">
        <v>220</v>
      </c>
      <c r="DJ6" t="s">
        <v>221</v>
      </c>
      <c r="DK6" t="s">
        <v>222</v>
      </c>
      <c r="DL6" t="s">
        <v>223</v>
      </c>
      <c r="DM6" t="s">
        <v>224</v>
      </c>
    </row>
    <row r="7" spans="1:117" x14ac:dyDescent="0.45">
      <c r="A7" t="s">
        <v>350</v>
      </c>
      <c r="B7" t="s">
        <v>365</v>
      </c>
      <c r="C7" t="s">
        <v>152</v>
      </c>
      <c r="D7" t="s">
        <v>153</v>
      </c>
      <c r="E7" t="s">
        <v>154</v>
      </c>
      <c r="I7" t="s">
        <v>366</v>
      </c>
      <c r="J7">
        <v>0.36</v>
      </c>
      <c r="K7">
        <v>2.9</v>
      </c>
      <c r="L7">
        <v>0.32</v>
      </c>
      <c r="M7">
        <v>2.98</v>
      </c>
      <c r="N7">
        <v>2.76</v>
      </c>
      <c r="O7">
        <v>2.68</v>
      </c>
      <c r="P7">
        <v>3.66</v>
      </c>
      <c r="Q7">
        <v>0.91</v>
      </c>
      <c r="R7">
        <v>26.66</v>
      </c>
      <c r="S7">
        <v>27.48</v>
      </c>
      <c r="T7">
        <v>36.51</v>
      </c>
      <c r="U7">
        <v>0.44</v>
      </c>
      <c r="V7">
        <v>7.5</v>
      </c>
      <c r="W7" t="s">
        <v>371</v>
      </c>
      <c r="X7">
        <v>0</v>
      </c>
      <c r="Y7">
        <v>0</v>
      </c>
      <c r="Z7">
        <v>0</v>
      </c>
      <c r="AA7">
        <v>123.59</v>
      </c>
      <c r="AB7">
        <v>444.42</v>
      </c>
      <c r="AC7">
        <v>0.72</v>
      </c>
      <c r="AD7">
        <v>0.5</v>
      </c>
      <c r="AE7">
        <v>0.84</v>
      </c>
      <c r="AF7">
        <v>114</v>
      </c>
      <c r="AG7">
        <v>1</v>
      </c>
      <c r="AH7">
        <v>72.48</v>
      </c>
      <c r="AI7">
        <v>70.319999999999993</v>
      </c>
      <c r="AJ7">
        <v>28.04</v>
      </c>
      <c r="AK7">
        <v>27.4</v>
      </c>
      <c r="AL7">
        <v>27.4</v>
      </c>
      <c r="AM7">
        <v>100.35</v>
      </c>
      <c r="AN7">
        <v>155.9</v>
      </c>
      <c r="AO7">
        <v>149.1</v>
      </c>
      <c r="AP7">
        <v>4.4000000000000004</v>
      </c>
      <c r="AQ7">
        <v>376</v>
      </c>
      <c r="AR7">
        <v>3.89</v>
      </c>
      <c r="AS7">
        <v>-20</v>
      </c>
      <c r="AT7">
        <v>7</v>
      </c>
      <c r="AU7">
        <v>156</v>
      </c>
      <c r="BC7" t="s">
        <v>182</v>
      </c>
      <c r="BD7" t="s">
        <v>152</v>
      </c>
      <c r="BE7">
        <v>-2.38</v>
      </c>
      <c r="BF7" t="s">
        <v>150</v>
      </c>
      <c r="BG7">
        <v>0</v>
      </c>
      <c r="BH7">
        <v>0</v>
      </c>
      <c r="BI7">
        <v>-0.01</v>
      </c>
      <c r="BJ7">
        <v>0.16</v>
      </c>
      <c r="BK7">
        <v>0.22</v>
      </c>
      <c r="BL7">
        <v>0.78</v>
      </c>
      <c r="BM7" t="s">
        <v>150</v>
      </c>
      <c r="BN7">
        <v>150</v>
      </c>
      <c r="BO7">
        <v>0</v>
      </c>
      <c r="BP7">
        <v>2</v>
      </c>
      <c r="BQ7">
        <v>0.06</v>
      </c>
      <c r="BR7">
        <v>0</v>
      </c>
      <c r="BS7">
        <v>0.03</v>
      </c>
      <c r="BT7">
        <v>0</v>
      </c>
      <c r="BU7">
        <v>0</v>
      </c>
      <c r="BV7">
        <v>0</v>
      </c>
      <c r="BW7" t="s">
        <v>196</v>
      </c>
      <c r="BX7" t="s">
        <v>197</v>
      </c>
      <c r="BY7" t="s">
        <v>198</v>
      </c>
      <c r="BZ7">
        <v>6000</v>
      </c>
      <c r="CA7">
        <v>500</v>
      </c>
      <c r="CB7">
        <v>1</v>
      </c>
      <c r="CC7">
        <v>2</v>
      </c>
      <c r="CD7">
        <v>55537</v>
      </c>
      <c r="CE7">
        <v>55537</v>
      </c>
      <c r="CF7">
        <v>55537</v>
      </c>
      <c r="CG7">
        <v>0</v>
      </c>
      <c r="CH7">
        <v>-9999</v>
      </c>
      <c r="CI7">
        <v>0</v>
      </c>
      <c r="CJ7">
        <v>0</v>
      </c>
      <c r="CK7">
        <v>0</v>
      </c>
      <c r="CL7">
        <v>0</v>
      </c>
      <c r="CM7">
        <v>2.5299999999999998</v>
      </c>
      <c r="CN7">
        <v>2.4700000000000002</v>
      </c>
      <c r="CO7">
        <v>1.67</v>
      </c>
      <c r="CP7">
        <v>0.93</v>
      </c>
      <c r="CQ7">
        <v>0.24</v>
      </c>
      <c r="CR7">
        <v>-0.01</v>
      </c>
      <c r="CS7">
        <v>0.12</v>
      </c>
      <c r="CT7">
        <v>0.43</v>
      </c>
      <c r="CU7">
        <v>123.59</v>
      </c>
      <c r="CV7">
        <v>0</v>
      </c>
      <c r="CW7">
        <v>2.42</v>
      </c>
      <c r="CX7">
        <v>0</v>
      </c>
      <c r="CY7">
        <v>1</v>
      </c>
      <c r="CZ7">
        <v>2.37</v>
      </c>
      <c r="DA7">
        <v>0</v>
      </c>
      <c r="DB7">
        <v>1</v>
      </c>
      <c r="DC7">
        <v>0.6</v>
      </c>
      <c r="DD7">
        <v>0.6</v>
      </c>
      <c r="DE7">
        <v>0.11</v>
      </c>
      <c r="DF7">
        <v>0</v>
      </c>
      <c r="DG7" t="s">
        <v>371</v>
      </c>
      <c r="DH7" t="s">
        <v>219</v>
      </c>
      <c r="DI7" t="s">
        <v>220</v>
      </c>
      <c r="DJ7" t="s">
        <v>221</v>
      </c>
      <c r="DK7" t="s">
        <v>222</v>
      </c>
      <c r="DL7" t="s">
        <v>223</v>
      </c>
      <c r="DM7" t="s">
        <v>224</v>
      </c>
    </row>
    <row r="8" spans="1:117" x14ac:dyDescent="0.45">
      <c r="A8" t="s">
        <v>386</v>
      </c>
      <c r="B8" t="s">
        <v>402</v>
      </c>
      <c r="C8" t="s">
        <v>152</v>
      </c>
      <c r="D8" t="s">
        <v>153</v>
      </c>
      <c r="E8" t="s">
        <v>154</v>
      </c>
      <c r="I8" t="s">
        <v>403</v>
      </c>
      <c r="J8">
        <v>0.28999999999999998</v>
      </c>
      <c r="K8">
        <v>2.9</v>
      </c>
      <c r="L8">
        <v>0.26</v>
      </c>
      <c r="M8">
        <v>2.78</v>
      </c>
      <c r="N8">
        <v>2.71</v>
      </c>
      <c r="O8">
        <v>2.63</v>
      </c>
      <c r="P8">
        <v>3.73</v>
      </c>
      <c r="Q8">
        <v>1.02</v>
      </c>
      <c r="R8">
        <v>26.22</v>
      </c>
      <c r="S8">
        <v>26.98</v>
      </c>
      <c r="T8">
        <v>37.18</v>
      </c>
      <c r="U8">
        <v>0.44</v>
      </c>
      <c r="V8">
        <v>7.5</v>
      </c>
      <c r="W8" t="s">
        <v>408</v>
      </c>
      <c r="X8">
        <v>0</v>
      </c>
      <c r="Y8">
        <v>0</v>
      </c>
      <c r="Z8">
        <v>0</v>
      </c>
      <c r="AA8">
        <v>125.96</v>
      </c>
      <c r="AB8">
        <v>485.41</v>
      </c>
      <c r="AC8">
        <v>0.74</v>
      </c>
      <c r="AD8">
        <v>0.5</v>
      </c>
      <c r="AE8">
        <v>0.84</v>
      </c>
      <c r="AF8">
        <v>164.53</v>
      </c>
      <c r="AG8">
        <v>1</v>
      </c>
      <c r="AH8">
        <v>70.8</v>
      </c>
      <c r="AI8">
        <v>68.790000000000006</v>
      </c>
      <c r="AJ8">
        <v>28.13</v>
      </c>
      <c r="AK8">
        <v>27.71</v>
      </c>
      <c r="AL8">
        <v>27.71</v>
      </c>
      <c r="AM8">
        <v>100.35</v>
      </c>
      <c r="AN8">
        <v>155.9</v>
      </c>
      <c r="AO8">
        <v>154.9</v>
      </c>
      <c r="AP8">
        <v>0.6</v>
      </c>
      <c r="AQ8">
        <v>529</v>
      </c>
      <c r="AR8">
        <v>3.88</v>
      </c>
      <c r="AS8">
        <v>-14</v>
      </c>
      <c r="AT8">
        <v>16</v>
      </c>
      <c r="AU8">
        <v>143</v>
      </c>
      <c r="BC8" t="s">
        <v>182</v>
      </c>
      <c r="BD8" t="s">
        <v>152</v>
      </c>
      <c r="BE8">
        <v>-2.38</v>
      </c>
      <c r="BF8" t="s">
        <v>150</v>
      </c>
      <c r="BG8">
        <v>0</v>
      </c>
      <c r="BH8">
        <v>0</v>
      </c>
      <c r="BI8">
        <v>-0.01</v>
      </c>
      <c r="BJ8">
        <v>-0.17</v>
      </c>
      <c r="BK8">
        <v>0</v>
      </c>
      <c r="BL8">
        <v>0.28000000000000003</v>
      </c>
      <c r="BM8" t="s">
        <v>150</v>
      </c>
      <c r="BN8">
        <v>150</v>
      </c>
      <c r="BO8">
        <v>0</v>
      </c>
      <c r="BP8">
        <v>2</v>
      </c>
      <c r="BQ8">
        <v>0.06</v>
      </c>
      <c r="BR8">
        <v>0</v>
      </c>
      <c r="BS8">
        <v>0.03</v>
      </c>
      <c r="BT8">
        <v>0</v>
      </c>
      <c r="BU8">
        <v>0</v>
      </c>
      <c r="BV8">
        <v>0</v>
      </c>
      <c r="BW8" t="s">
        <v>196</v>
      </c>
      <c r="BX8" t="s">
        <v>197</v>
      </c>
      <c r="BY8" t="s">
        <v>198</v>
      </c>
      <c r="BZ8">
        <v>6000</v>
      </c>
      <c r="CA8">
        <v>500</v>
      </c>
      <c r="CB8">
        <v>1</v>
      </c>
      <c r="CC8">
        <v>2</v>
      </c>
      <c r="CD8">
        <v>55537</v>
      </c>
      <c r="CE8">
        <v>55537</v>
      </c>
      <c r="CF8">
        <v>55537</v>
      </c>
      <c r="CG8">
        <v>0</v>
      </c>
      <c r="CH8">
        <v>-9999</v>
      </c>
      <c r="CI8">
        <v>0</v>
      </c>
      <c r="CJ8">
        <v>0</v>
      </c>
      <c r="CK8">
        <v>0</v>
      </c>
      <c r="CL8">
        <v>0</v>
      </c>
      <c r="CM8">
        <v>2.5299999999999998</v>
      </c>
      <c r="CN8">
        <v>2.4700000000000002</v>
      </c>
      <c r="CO8">
        <v>1.67</v>
      </c>
      <c r="CP8">
        <v>0.94</v>
      </c>
      <c r="CQ8">
        <v>0.24</v>
      </c>
      <c r="CR8">
        <v>0</v>
      </c>
      <c r="CS8">
        <v>0.13</v>
      </c>
      <c r="CT8">
        <v>0.56999999999999995</v>
      </c>
      <c r="CU8">
        <v>125.96</v>
      </c>
      <c r="CV8">
        <v>0</v>
      </c>
      <c r="CW8">
        <v>2.42</v>
      </c>
      <c r="CX8">
        <v>0</v>
      </c>
      <c r="CY8">
        <v>1</v>
      </c>
      <c r="CZ8">
        <v>2.37</v>
      </c>
      <c r="DA8">
        <v>0</v>
      </c>
      <c r="DB8">
        <v>1</v>
      </c>
      <c r="DC8">
        <v>0.6</v>
      </c>
      <c r="DD8">
        <v>0.6</v>
      </c>
      <c r="DE8">
        <v>0.11</v>
      </c>
      <c r="DF8">
        <v>0</v>
      </c>
      <c r="DG8" t="s">
        <v>408</v>
      </c>
      <c r="DH8" t="s">
        <v>219</v>
      </c>
      <c r="DI8" t="s">
        <v>220</v>
      </c>
      <c r="DJ8" t="s">
        <v>221</v>
      </c>
      <c r="DK8" t="s">
        <v>222</v>
      </c>
      <c r="DL8" t="s">
        <v>223</v>
      </c>
      <c r="DM8" t="s">
        <v>224</v>
      </c>
    </row>
    <row r="9" spans="1:117" x14ac:dyDescent="0.45">
      <c r="A9" t="s">
        <v>432</v>
      </c>
      <c r="B9" t="s">
        <v>433</v>
      </c>
      <c r="C9" t="s">
        <v>152</v>
      </c>
      <c r="D9" t="s">
        <v>153</v>
      </c>
      <c r="E9" t="s">
        <v>154</v>
      </c>
      <c r="I9" t="s">
        <v>434</v>
      </c>
      <c r="J9">
        <v>0.28999999999999998</v>
      </c>
      <c r="K9">
        <v>2.91</v>
      </c>
      <c r="L9">
        <v>0.26</v>
      </c>
      <c r="M9">
        <v>2.38</v>
      </c>
      <c r="N9">
        <v>2.86</v>
      </c>
      <c r="O9">
        <v>2.79</v>
      </c>
      <c r="P9">
        <v>3.73</v>
      </c>
      <c r="Q9">
        <v>0.87</v>
      </c>
      <c r="R9">
        <v>27.83</v>
      </c>
      <c r="S9">
        <v>28.48</v>
      </c>
      <c r="T9">
        <v>37.159999999999997</v>
      </c>
      <c r="U9">
        <v>0.44</v>
      </c>
      <c r="V9">
        <v>7.5</v>
      </c>
      <c r="W9" t="s">
        <v>439</v>
      </c>
      <c r="X9">
        <v>0</v>
      </c>
      <c r="Y9">
        <v>0</v>
      </c>
      <c r="Z9">
        <v>0</v>
      </c>
      <c r="AA9">
        <v>125.55</v>
      </c>
      <c r="AB9">
        <v>487.13</v>
      </c>
      <c r="AC9">
        <v>0.74</v>
      </c>
      <c r="AD9">
        <v>0.5</v>
      </c>
      <c r="AE9">
        <v>0.84</v>
      </c>
      <c r="AF9">
        <v>158.99</v>
      </c>
      <c r="AG9">
        <v>1</v>
      </c>
      <c r="AH9">
        <v>72.849999999999994</v>
      </c>
      <c r="AI9">
        <v>71.180000000000007</v>
      </c>
      <c r="AJ9">
        <v>28.57</v>
      </c>
      <c r="AK9">
        <v>27.7</v>
      </c>
      <c r="AL9">
        <v>27.7</v>
      </c>
      <c r="AM9">
        <v>100.36</v>
      </c>
      <c r="AN9">
        <v>156.1</v>
      </c>
      <c r="AO9">
        <v>154.6</v>
      </c>
      <c r="AP9">
        <v>1</v>
      </c>
      <c r="AQ9">
        <v>510</v>
      </c>
      <c r="AR9">
        <v>3.88</v>
      </c>
      <c r="AS9">
        <v>-26</v>
      </c>
      <c r="AT9">
        <v>0</v>
      </c>
      <c r="AU9">
        <v>148</v>
      </c>
      <c r="BC9" t="s">
        <v>182</v>
      </c>
      <c r="BD9" t="s">
        <v>152</v>
      </c>
      <c r="BE9">
        <v>-2.38</v>
      </c>
      <c r="BF9" t="s">
        <v>150</v>
      </c>
      <c r="BG9">
        <v>0</v>
      </c>
      <c r="BH9">
        <v>0</v>
      </c>
      <c r="BI9">
        <v>0</v>
      </c>
      <c r="BJ9">
        <v>0.21</v>
      </c>
      <c r="BK9">
        <v>0.8</v>
      </c>
      <c r="BL9">
        <v>-0.06</v>
      </c>
      <c r="BM9" t="s">
        <v>150</v>
      </c>
      <c r="BN9">
        <v>150</v>
      </c>
      <c r="BO9">
        <v>0</v>
      </c>
      <c r="BP9">
        <v>2</v>
      </c>
      <c r="BQ9">
        <v>0.06</v>
      </c>
      <c r="BR9">
        <v>0</v>
      </c>
      <c r="BS9">
        <v>0.03</v>
      </c>
      <c r="BT9">
        <v>0</v>
      </c>
      <c r="BU9">
        <v>0</v>
      </c>
      <c r="BV9">
        <v>0</v>
      </c>
      <c r="BW9" t="s">
        <v>196</v>
      </c>
      <c r="BX9" t="s">
        <v>197</v>
      </c>
      <c r="BY9" t="s">
        <v>198</v>
      </c>
      <c r="BZ9">
        <v>6000</v>
      </c>
      <c r="CA9">
        <v>500</v>
      </c>
      <c r="CB9">
        <v>1</v>
      </c>
      <c r="CC9">
        <v>2</v>
      </c>
      <c r="CD9">
        <v>55537</v>
      </c>
      <c r="CE9">
        <v>55537</v>
      </c>
      <c r="CF9">
        <v>55537</v>
      </c>
      <c r="CG9">
        <v>0</v>
      </c>
      <c r="CH9">
        <v>-9999</v>
      </c>
      <c r="CI9">
        <v>0</v>
      </c>
      <c r="CJ9">
        <v>0</v>
      </c>
      <c r="CK9">
        <v>0</v>
      </c>
      <c r="CL9">
        <v>0</v>
      </c>
      <c r="CM9">
        <v>2.5299999999999998</v>
      </c>
      <c r="CN9">
        <v>2.4700000000000002</v>
      </c>
      <c r="CO9">
        <v>1.67</v>
      </c>
      <c r="CP9">
        <v>0.94</v>
      </c>
      <c r="CQ9">
        <v>0.24</v>
      </c>
      <c r="CR9">
        <v>-0.01</v>
      </c>
      <c r="CS9">
        <v>0.14000000000000001</v>
      </c>
      <c r="CT9">
        <v>0.55000000000000004</v>
      </c>
      <c r="CU9">
        <v>125.55</v>
      </c>
      <c r="CV9">
        <v>0</v>
      </c>
      <c r="CW9">
        <v>2.42</v>
      </c>
      <c r="CX9">
        <v>0</v>
      </c>
      <c r="CY9">
        <v>1</v>
      </c>
      <c r="CZ9">
        <v>2.37</v>
      </c>
      <c r="DA9">
        <v>0</v>
      </c>
      <c r="DB9">
        <v>1</v>
      </c>
      <c r="DC9">
        <v>0.6</v>
      </c>
      <c r="DD9">
        <v>0.6</v>
      </c>
      <c r="DE9">
        <v>0.11</v>
      </c>
      <c r="DF9">
        <v>0</v>
      </c>
      <c r="DG9" t="s">
        <v>439</v>
      </c>
      <c r="DH9" t="s">
        <v>219</v>
      </c>
      <c r="DI9" t="s">
        <v>220</v>
      </c>
      <c r="DJ9" t="s">
        <v>221</v>
      </c>
      <c r="DK9" t="s">
        <v>222</v>
      </c>
      <c r="DL9" t="s">
        <v>223</v>
      </c>
      <c r="DM9" t="s">
        <v>224</v>
      </c>
    </row>
    <row r="10" spans="1:117" x14ac:dyDescent="0.45">
      <c r="A10" t="s">
        <v>465</v>
      </c>
      <c r="B10" t="s">
        <v>466</v>
      </c>
      <c r="C10" t="s">
        <v>152</v>
      </c>
      <c r="D10" t="s">
        <v>153</v>
      </c>
      <c r="E10" t="s">
        <v>154</v>
      </c>
      <c r="I10" t="s">
        <v>467</v>
      </c>
      <c r="J10">
        <v>0.48</v>
      </c>
      <c r="K10">
        <v>2.91</v>
      </c>
      <c r="L10">
        <v>0.41</v>
      </c>
      <c r="M10">
        <v>4.05</v>
      </c>
      <c r="N10">
        <v>2.81</v>
      </c>
      <c r="O10">
        <v>2.7</v>
      </c>
      <c r="P10">
        <v>3.77</v>
      </c>
      <c r="Q10">
        <v>0.96</v>
      </c>
      <c r="R10">
        <v>26.89</v>
      </c>
      <c r="S10">
        <v>28.01</v>
      </c>
      <c r="T10">
        <v>37.53</v>
      </c>
      <c r="U10">
        <v>0.44</v>
      </c>
      <c r="V10">
        <v>7.5</v>
      </c>
      <c r="W10" t="s">
        <v>472</v>
      </c>
      <c r="X10">
        <v>0</v>
      </c>
      <c r="Y10">
        <v>0</v>
      </c>
      <c r="Z10">
        <v>0</v>
      </c>
      <c r="AA10">
        <v>134.6</v>
      </c>
      <c r="AB10">
        <v>466.68</v>
      </c>
      <c r="AC10">
        <v>0.71</v>
      </c>
      <c r="AD10">
        <v>0.5</v>
      </c>
      <c r="AE10">
        <v>0.84</v>
      </c>
      <c r="AF10">
        <v>153.91999999999999</v>
      </c>
      <c r="AG10">
        <v>1</v>
      </c>
      <c r="AH10">
        <v>70.98</v>
      </c>
      <c r="AI10">
        <v>68.16</v>
      </c>
      <c r="AJ10">
        <v>28.73</v>
      </c>
      <c r="AK10">
        <v>27.87</v>
      </c>
      <c r="AL10">
        <v>27.87</v>
      </c>
      <c r="AM10">
        <v>100.34</v>
      </c>
      <c r="AN10">
        <v>156.19999999999999</v>
      </c>
      <c r="AO10">
        <v>130.30000000000001</v>
      </c>
      <c r="AP10">
        <v>16.5</v>
      </c>
      <c r="AQ10">
        <v>515</v>
      </c>
      <c r="AR10">
        <v>3.88</v>
      </c>
      <c r="AS10">
        <v>-37</v>
      </c>
      <c r="AT10">
        <v>-17</v>
      </c>
      <c r="AU10">
        <v>143</v>
      </c>
      <c r="BC10" t="s">
        <v>182</v>
      </c>
      <c r="BD10" t="s">
        <v>152</v>
      </c>
      <c r="BE10">
        <v>-2.38</v>
      </c>
      <c r="BF10" t="s">
        <v>150</v>
      </c>
      <c r="BG10">
        <v>0</v>
      </c>
      <c r="BH10">
        <v>0</v>
      </c>
      <c r="BI10">
        <v>0.01</v>
      </c>
      <c r="BJ10">
        <v>-0.22</v>
      </c>
      <c r="BK10">
        <v>-0.17</v>
      </c>
      <c r="BL10">
        <v>-0.08</v>
      </c>
      <c r="BM10" t="s">
        <v>150</v>
      </c>
      <c r="BN10">
        <v>150</v>
      </c>
      <c r="BO10">
        <v>0</v>
      </c>
      <c r="BP10">
        <v>2</v>
      </c>
      <c r="BQ10">
        <v>0.06</v>
      </c>
      <c r="BR10">
        <v>0</v>
      </c>
      <c r="BS10">
        <v>0.03</v>
      </c>
      <c r="BT10">
        <v>0</v>
      </c>
      <c r="BU10">
        <v>0</v>
      </c>
      <c r="BV10">
        <v>0</v>
      </c>
      <c r="BW10" t="s">
        <v>196</v>
      </c>
      <c r="BX10" t="s">
        <v>197</v>
      </c>
      <c r="BY10" t="s">
        <v>198</v>
      </c>
      <c r="BZ10">
        <v>6000</v>
      </c>
      <c r="CA10">
        <v>500</v>
      </c>
      <c r="CB10">
        <v>1</v>
      </c>
      <c r="CC10">
        <v>2</v>
      </c>
      <c r="CD10">
        <v>55537</v>
      </c>
      <c r="CE10">
        <v>55537</v>
      </c>
      <c r="CF10">
        <v>55537</v>
      </c>
      <c r="CG10">
        <v>0</v>
      </c>
      <c r="CH10">
        <v>-9999</v>
      </c>
      <c r="CI10">
        <v>0</v>
      </c>
      <c r="CJ10">
        <v>0</v>
      </c>
      <c r="CK10">
        <v>0</v>
      </c>
      <c r="CL10">
        <v>0</v>
      </c>
      <c r="CM10">
        <v>2.5299999999999998</v>
      </c>
      <c r="CN10">
        <v>2.4700000000000002</v>
      </c>
      <c r="CO10">
        <v>1.67</v>
      </c>
      <c r="CP10">
        <v>0.88</v>
      </c>
      <c r="CQ10">
        <v>0.24</v>
      </c>
      <c r="CR10">
        <v>-0.01</v>
      </c>
      <c r="CS10">
        <v>0.14000000000000001</v>
      </c>
      <c r="CT10">
        <v>0.56000000000000005</v>
      </c>
      <c r="CU10">
        <v>134.6</v>
      </c>
      <c r="CV10">
        <v>0</v>
      </c>
      <c r="CW10">
        <v>2.42</v>
      </c>
      <c r="CX10">
        <v>0</v>
      </c>
      <c r="CY10">
        <v>1</v>
      </c>
      <c r="CZ10">
        <v>2.37</v>
      </c>
      <c r="DA10">
        <v>0</v>
      </c>
      <c r="DB10">
        <v>1</v>
      </c>
      <c r="DC10">
        <v>0.6</v>
      </c>
      <c r="DD10">
        <v>0.6</v>
      </c>
      <c r="DE10">
        <v>0.11</v>
      </c>
      <c r="DF10">
        <v>0</v>
      </c>
      <c r="DG10" t="s">
        <v>472</v>
      </c>
      <c r="DH10" t="s">
        <v>219</v>
      </c>
      <c r="DI10" t="s">
        <v>220</v>
      </c>
      <c r="DJ10" t="s">
        <v>221</v>
      </c>
      <c r="DK10" t="s">
        <v>222</v>
      </c>
      <c r="DL10" t="s">
        <v>223</v>
      </c>
      <c r="DM10" t="s">
        <v>224</v>
      </c>
    </row>
    <row r="11" spans="1:117" x14ac:dyDescent="0.45">
      <c r="A11" t="s">
        <v>498</v>
      </c>
      <c r="B11" t="s">
        <v>499</v>
      </c>
      <c r="C11" t="s">
        <v>152</v>
      </c>
      <c r="D11" t="s">
        <v>153</v>
      </c>
      <c r="E11" t="s">
        <v>154</v>
      </c>
      <c r="I11" t="s">
        <v>500</v>
      </c>
      <c r="J11">
        <v>0.4</v>
      </c>
      <c r="K11">
        <v>2.9</v>
      </c>
      <c r="L11">
        <v>0.35</v>
      </c>
      <c r="M11">
        <v>3.58</v>
      </c>
      <c r="N11">
        <v>2.78</v>
      </c>
      <c r="O11">
        <v>2.68</v>
      </c>
      <c r="P11">
        <v>3.77</v>
      </c>
      <c r="Q11">
        <v>0.99</v>
      </c>
      <c r="R11">
        <v>26.74</v>
      </c>
      <c r="S11">
        <v>27.73</v>
      </c>
      <c r="T11">
        <v>37.57</v>
      </c>
      <c r="U11">
        <v>0.44</v>
      </c>
      <c r="V11">
        <v>7.5</v>
      </c>
      <c r="W11" t="s">
        <v>505</v>
      </c>
      <c r="X11">
        <v>0</v>
      </c>
      <c r="Y11">
        <v>0</v>
      </c>
      <c r="Z11">
        <v>0</v>
      </c>
      <c r="AA11">
        <v>137.65</v>
      </c>
      <c r="AB11">
        <v>475.41</v>
      </c>
      <c r="AC11">
        <v>0.71</v>
      </c>
      <c r="AD11">
        <v>0.5</v>
      </c>
      <c r="AE11">
        <v>0.84</v>
      </c>
      <c r="AF11">
        <v>129.80000000000001</v>
      </c>
      <c r="AG11">
        <v>1</v>
      </c>
      <c r="AH11">
        <v>69.33</v>
      </c>
      <c r="AI11">
        <v>66.86</v>
      </c>
      <c r="AJ11">
        <v>28.96</v>
      </c>
      <c r="AK11">
        <v>27.89</v>
      </c>
      <c r="AL11">
        <v>27.89</v>
      </c>
      <c r="AM11">
        <v>100.35</v>
      </c>
      <c r="AN11">
        <v>155.69999999999999</v>
      </c>
      <c r="AO11">
        <v>152.1</v>
      </c>
      <c r="AP11">
        <v>2.2999999999999998</v>
      </c>
      <c r="AQ11">
        <v>435</v>
      </c>
      <c r="AR11">
        <v>3.88</v>
      </c>
      <c r="AS11">
        <v>-24</v>
      </c>
      <c r="AT11">
        <v>-3</v>
      </c>
      <c r="AU11">
        <v>151</v>
      </c>
      <c r="BC11" t="s">
        <v>182</v>
      </c>
      <c r="BD11" t="s">
        <v>152</v>
      </c>
      <c r="BE11">
        <v>-2.38</v>
      </c>
      <c r="BF11" t="s">
        <v>150</v>
      </c>
      <c r="BG11">
        <v>0</v>
      </c>
      <c r="BH11">
        <v>0</v>
      </c>
      <c r="BI11">
        <v>0.01</v>
      </c>
      <c r="BJ11">
        <v>-0.24</v>
      </c>
      <c r="BK11">
        <v>-0.62</v>
      </c>
      <c r="BL11">
        <v>-0.91</v>
      </c>
      <c r="BM11" t="s">
        <v>150</v>
      </c>
      <c r="BN11">
        <v>150</v>
      </c>
      <c r="BO11">
        <v>0</v>
      </c>
      <c r="BP11">
        <v>2</v>
      </c>
      <c r="BQ11">
        <v>0.06</v>
      </c>
      <c r="BR11">
        <v>0</v>
      </c>
      <c r="BS11">
        <v>0.03</v>
      </c>
      <c r="BT11">
        <v>0</v>
      </c>
      <c r="BU11">
        <v>0</v>
      </c>
      <c r="BV11">
        <v>0</v>
      </c>
      <c r="BW11" t="s">
        <v>196</v>
      </c>
      <c r="BX11" t="s">
        <v>197</v>
      </c>
      <c r="BY11" t="s">
        <v>198</v>
      </c>
      <c r="BZ11">
        <v>6000</v>
      </c>
      <c r="CA11">
        <v>500</v>
      </c>
      <c r="CB11">
        <v>1</v>
      </c>
      <c r="CC11">
        <v>2</v>
      </c>
      <c r="CD11">
        <v>55537</v>
      </c>
      <c r="CE11">
        <v>55537</v>
      </c>
      <c r="CF11">
        <v>55537</v>
      </c>
      <c r="CG11">
        <v>0</v>
      </c>
      <c r="CH11">
        <v>-9999</v>
      </c>
      <c r="CI11">
        <v>0</v>
      </c>
      <c r="CJ11">
        <v>0</v>
      </c>
      <c r="CK11">
        <v>0</v>
      </c>
      <c r="CL11">
        <v>0</v>
      </c>
      <c r="CM11">
        <v>2.5299999999999998</v>
      </c>
      <c r="CN11">
        <v>2.4700000000000002</v>
      </c>
      <c r="CO11">
        <v>1.67</v>
      </c>
      <c r="CP11">
        <v>0.93</v>
      </c>
      <c r="CQ11">
        <v>0.23</v>
      </c>
      <c r="CR11">
        <v>-0.01</v>
      </c>
      <c r="CS11">
        <v>0.15</v>
      </c>
      <c r="CT11">
        <v>0.49</v>
      </c>
      <c r="CU11">
        <v>137.65</v>
      </c>
      <c r="CV11">
        <v>0</v>
      </c>
      <c r="CW11">
        <v>2.42</v>
      </c>
      <c r="CX11">
        <v>0</v>
      </c>
      <c r="CY11">
        <v>1</v>
      </c>
      <c r="CZ11">
        <v>2.37</v>
      </c>
      <c r="DA11">
        <v>0</v>
      </c>
      <c r="DB11">
        <v>1</v>
      </c>
      <c r="DC11">
        <v>0.6</v>
      </c>
      <c r="DD11">
        <v>0.6</v>
      </c>
      <c r="DE11">
        <v>0.11</v>
      </c>
      <c r="DF11">
        <v>0</v>
      </c>
      <c r="DG11" t="s">
        <v>505</v>
      </c>
      <c r="DH11" t="s">
        <v>219</v>
      </c>
      <c r="DI11" t="s">
        <v>220</v>
      </c>
      <c r="DJ11" t="s">
        <v>221</v>
      </c>
      <c r="DK11" t="s">
        <v>222</v>
      </c>
      <c r="DL11" t="s">
        <v>223</v>
      </c>
      <c r="DM11" t="s">
        <v>224</v>
      </c>
    </row>
    <row r="12" spans="1:117" x14ac:dyDescent="0.45">
      <c r="A12" t="s">
        <v>533</v>
      </c>
      <c r="B12" t="s">
        <v>534</v>
      </c>
      <c r="C12" t="s">
        <v>152</v>
      </c>
      <c r="D12" t="s">
        <v>153</v>
      </c>
      <c r="E12" t="s">
        <v>154</v>
      </c>
      <c r="I12" t="s">
        <v>535</v>
      </c>
      <c r="J12">
        <v>0.23</v>
      </c>
      <c r="K12">
        <v>2.9</v>
      </c>
      <c r="L12">
        <v>0.22</v>
      </c>
      <c r="M12">
        <v>2.73</v>
      </c>
      <c r="N12">
        <v>2.77</v>
      </c>
      <c r="O12">
        <v>2.69</v>
      </c>
      <c r="P12">
        <v>3.99</v>
      </c>
      <c r="Q12">
        <v>1.22</v>
      </c>
      <c r="R12">
        <v>26.81</v>
      </c>
      <c r="S12">
        <v>27.56</v>
      </c>
      <c r="T12">
        <v>39.75</v>
      </c>
      <c r="U12">
        <v>0.44</v>
      </c>
      <c r="V12">
        <v>7.5</v>
      </c>
      <c r="W12" t="s">
        <v>540</v>
      </c>
      <c r="X12">
        <v>0</v>
      </c>
      <c r="Y12">
        <v>0</v>
      </c>
      <c r="Z12">
        <v>0</v>
      </c>
      <c r="AA12">
        <v>190.95</v>
      </c>
      <c r="AB12">
        <v>457.36</v>
      </c>
      <c r="AC12">
        <v>0.57999999999999996</v>
      </c>
      <c r="AD12">
        <v>0.5</v>
      </c>
      <c r="AE12">
        <v>0.84</v>
      </c>
      <c r="AF12">
        <v>156.82</v>
      </c>
      <c r="AG12">
        <v>1</v>
      </c>
      <c r="AH12">
        <v>68.52</v>
      </c>
      <c r="AI12">
        <v>66.650000000000006</v>
      </c>
      <c r="AJ12">
        <v>29.06</v>
      </c>
      <c r="AK12">
        <v>28.86</v>
      </c>
      <c r="AL12">
        <v>28.86</v>
      </c>
      <c r="AM12">
        <v>100.35</v>
      </c>
      <c r="AN12">
        <v>155.9</v>
      </c>
      <c r="AO12">
        <v>155.19999999999999</v>
      </c>
      <c r="AP12">
        <v>0.5</v>
      </c>
      <c r="AQ12">
        <v>641</v>
      </c>
      <c r="AR12">
        <v>3.88</v>
      </c>
      <c r="AS12">
        <v>-40</v>
      </c>
      <c r="AT12">
        <v>-12</v>
      </c>
      <c r="AU12">
        <v>113</v>
      </c>
      <c r="BC12" t="s">
        <v>182</v>
      </c>
      <c r="BD12" t="s">
        <v>152</v>
      </c>
      <c r="BE12">
        <v>-2.38</v>
      </c>
      <c r="BF12" t="s">
        <v>150</v>
      </c>
      <c r="BG12">
        <v>0</v>
      </c>
      <c r="BH12">
        <v>0</v>
      </c>
      <c r="BI12">
        <v>0</v>
      </c>
      <c r="BJ12">
        <v>-0.43</v>
      </c>
      <c r="BK12">
        <v>-0.16</v>
      </c>
      <c r="BL12">
        <v>-1.19</v>
      </c>
      <c r="BM12" t="s">
        <v>150</v>
      </c>
      <c r="BN12">
        <v>150</v>
      </c>
      <c r="BO12">
        <v>0</v>
      </c>
      <c r="BP12">
        <v>2</v>
      </c>
      <c r="BQ12">
        <v>0.06</v>
      </c>
      <c r="BR12">
        <v>0</v>
      </c>
      <c r="BS12">
        <v>0.03</v>
      </c>
      <c r="BT12">
        <v>0</v>
      </c>
      <c r="BU12">
        <v>0</v>
      </c>
      <c r="BV12">
        <v>0</v>
      </c>
      <c r="BW12" t="s">
        <v>196</v>
      </c>
      <c r="BX12" t="s">
        <v>197</v>
      </c>
      <c r="BY12" t="s">
        <v>198</v>
      </c>
      <c r="BZ12">
        <v>6000</v>
      </c>
      <c r="CA12">
        <v>500</v>
      </c>
      <c r="CB12">
        <v>1</v>
      </c>
      <c r="CC12">
        <v>2</v>
      </c>
      <c r="CD12">
        <v>55537</v>
      </c>
      <c r="CE12">
        <v>55537</v>
      </c>
      <c r="CF12">
        <v>55537</v>
      </c>
      <c r="CG12">
        <v>0</v>
      </c>
      <c r="CH12">
        <v>-9999</v>
      </c>
      <c r="CI12">
        <v>0</v>
      </c>
      <c r="CJ12">
        <v>0</v>
      </c>
      <c r="CK12">
        <v>0</v>
      </c>
      <c r="CL12">
        <v>0</v>
      </c>
      <c r="CM12">
        <v>2.5299999999999998</v>
      </c>
      <c r="CN12">
        <v>2.4700000000000002</v>
      </c>
      <c r="CO12">
        <v>1.67</v>
      </c>
      <c r="CP12">
        <v>0.94</v>
      </c>
      <c r="CQ12">
        <v>0.23</v>
      </c>
      <c r="CR12">
        <v>0</v>
      </c>
      <c r="CS12">
        <v>0.15</v>
      </c>
      <c r="CT12">
        <v>0.67</v>
      </c>
      <c r="CU12">
        <v>190.95</v>
      </c>
      <c r="CV12">
        <v>0</v>
      </c>
      <c r="CW12">
        <v>2.42</v>
      </c>
      <c r="CX12">
        <v>0</v>
      </c>
      <c r="CY12">
        <v>1</v>
      </c>
      <c r="CZ12">
        <v>2.37</v>
      </c>
      <c r="DA12">
        <v>0</v>
      </c>
      <c r="DB12">
        <v>1</v>
      </c>
      <c r="DC12">
        <v>0.6</v>
      </c>
      <c r="DD12">
        <v>0.6</v>
      </c>
      <c r="DE12">
        <v>0.11</v>
      </c>
      <c r="DF12">
        <v>0</v>
      </c>
      <c r="DG12" t="s">
        <v>540</v>
      </c>
      <c r="DH12" t="s">
        <v>219</v>
      </c>
      <c r="DI12" t="s">
        <v>220</v>
      </c>
      <c r="DJ12" t="s">
        <v>221</v>
      </c>
      <c r="DK12" t="s">
        <v>222</v>
      </c>
      <c r="DL12" t="s">
        <v>223</v>
      </c>
      <c r="DM12" t="s">
        <v>224</v>
      </c>
    </row>
    <row r="13" spans="1:117" x14ac:dyDescent="0.45">
      <c r="A13" t="s">
        <v>566</v>
      </c>
      <c r="B13" t="s">
        <v>567</v>
      </c>
      <c r="C13" t="s">
        <v>152</v>
      </c>
      <c r="D13" t="s">
        <v>153</v>
      </c>
      <c r="E13" t="s">
        <v>154</v>
      </c>
      <c r="I13" t="s">
        <v>568</v>
      </c>
      <c r="J13">
        <v>0.32</v>
      </c>
      <c r="K13">
        <v>2.91</v>
      </c>
      <c r="L13">
        <v>0.28999999999999998</v>
      </c>
      <c r="M13">
        <v>3.5</v>
      </c>
      <c r="N13">
        <v>2.85</v>
      </c>
      <c r="O13">
        <v>2.75</v>
      </c>
      <c r="P13">
        <v>4.03</v>
      </c>
      <c r="Q13">
        <v>1.18</v>
      </c>
      <c r="R13">
        <v>27.45</v>
      </c>
      <c r="S13">
        <v>28.41</v>
      </c>
      <c r="T13">
        <v>40.17</v>
      </c>
      <c r="U13">
        <v>0.44</v>
      </c>
      <c r="V13">
        <v>7.5</v>
      </c>
      <c r="W13" t="s">
        <v>573</v>
      </c>
      <c r="X13">
        <v>0</v>
      </c>
      <c r="Y13">
        <v>0</v>
      </c>
      <c r="Z13">
        <v>0</v>
      </c>
      <c r="AA13">
        <v>200.4</v>
      </c>
      <c r="AB13">
        <v>464.68</v>
      </c>
      <c r="AC13">
        <v>0.56999999999999995</v>
      </c>
      <c r="AD13">
        <v>0.5</v>
      </c>
      <c r="AE13">
        <v>0.84</v>
      </c>
      <c r="AF13">
        <v>177.72</v>
      </c>
      <c r="AG13">
        <v>1</v>
      </c>
      <c r="AH13">
        <v>69.73</v>
      </c>
      <c r="AI13">
        <v>67.37</v>
      </c>
      <c r="AJ13">
        <v>29.28</v>
      </c>
      <c r="AK13">
        <v>29.04</v>
      </c>
      <c r="AL13">
        <v>29.04</v>
      </c>
      <c r="AM13">
        <v>100.35</v>
      </c>
      <c r="AN13">
        <v>156</v>
      </c>
      <c r="AO13">
        <v>146.6</v>
      </c>
      <c r="AP13">
        <v>6.1</v>
      </c>
      <c r="AQ13">
        <v>744</v>
      </c>
      <c r="AR13">
        <v>3.88</v>
      </c>
      <c r="AS13">
        <v>-32</v>
      </c>
      <c r="AT13">
        <v>-3</v>
      </c>
      <c r="AU13">
        <v>120</v>
      </c>
      <c r="BC13" t="s">
        <v>182</v>
      </c>
      <c r="BD13" t="s">
        <v>152</v>
      </c>
      <c r="BE13">
        <v>-2.38</v>
      </c>
      <c r="BF13" t="s">
        <v>150</v>
      </c>
      <c r="BG13">
        <v>0</v>
      </c>
      <c r="BH13">
        <v>0</v>
      </c>
      <c r="BI13">
        <v>0</v>
      </c>
      <c r="BJ13">
        <v>0.53</v>
      </c>
      <c r="BK13">
        <v>0.65</v>
      </c>
      <c r="BL13">
        <v>-1</v>
      </c>
      <c r="BM13" t="s">
        <v>150</v>
      </c>
      <c r="BN13">
        <v>150</v>
      </c>
      <c r="BO13">
        <v>0</v>
      </c>
      <c r="BP13">
        <v>2</v>
      </c>
      <c r="BQ13">
        <v>0.06</v>
      </c>
      <c r="BR13">
        <v>0</v>
      </c>
      <c r="BS13">
        <v>0.03</v>
      </c>
      <c r="BT13">
        <v>0</v>
      </c>
      <c r="BU13">
        <v>0</v>
      </c>
      <c r="BV13">
        <v>0</v>
      </c>
      <c r="BW13" t="s">
        <v>196</v>
      </c>
      <c r="BX13" t="s">
        <v>197</v>
      </c>
      <c r="BY13" t="s">
        <v>198</v>
      </c>
      <c r="BZ13">
        <v>6000</v>
      </c>
      <c r="CA13">
        <v>500</v>
      </c>
      <c r="CB13">
        <v>1</v>
      </c>
      <c r="CC13">
        <v>2</v>
      </c>
      <c r="CD13">
        <v>55537</v>
      </c>
      <c r="CE13">
        <v>55537</v>
      </c>
      <c r="CF13">
        <v>55537</v>
      </c>
      <c r="CG13">
        <v>0</v>
      </c>
      <c r="CH13">
        <v>-9999</v>
      </c>
      <c r="CI13">
        <v>0</v>
      </c>
      <c r="CJ13">
        <v>0</v>
      </c>
      <c r="CK13">
        <v>0</v>
      </c>
      <c r="CL13">
        <v>0</v>
      </c>
      <c r="CM13">
        <v>2.5299999999999998</v>
      </c>
      <c r="CN13">
        <v>2.4700000000000002</v>
      </c>
      <c r="CO13">
        <v>1.67</v>
      </c>
      <c r="CP13">
        <v>0.92</v>
      </c>
      <c r="CQ13">
        <v>0.23</v>
      </c>
      <c r="CR13">
        <v>0</v>
      </c>
      <c r="CS13">
        <v>0.16</v>
      </c>
      <c r="CT13">
        <v>0.76</v>
      </c>
      <c r="CU13">
        <v>200.4</v>
      </c>
      <c r="CV13">
        <v>0</v>
      </c>
      <c r="CW13">
        <v>2.42</v>
      </c>
      <c r="CX13">
        <v>0</v>
      </c>
      <c r="CY13">
        <v>1</v>
      </c>
      <c r="CZ13">
        <v>2.37</v>
      </c>
      <c r="DA13">
        <v>0</v>
      </c>
      <c r="DB13">
        <v>1</v>
      </c>
      <c r="DC13">
        <v>0.6</v>
      </c>
      <c r="DD13">
        <v>0.6</v>
      </c>
      <c r="DE13">
        <v>0.11</v>
      </c>
      <c r="DF13">
        <v>0</v>
      </c>
      <c r="DG13" t="s">
        <v>573</v>
      </c>
      <c r="DH13" t="s">
        <v>219</v>
      </c>
      <c r="DI13" t="s">
        <v>220</v>
      </c>
      <c r="DJ13" t="s">
        <v>221</v>
      </c>
      <c r="DK13" t="s">
        <v>222</v>
      </c>
      <c r="DL13" t="s">
        <v>223</v>
      </c>
      <c r="DM13" t="s">
        <v>224</v>
      </c>
    </row>
    <row r="14" spans="1:117" x14ac:dyDescent="0.45">
      <c r="A14" t="s">
        <v>598</v>
      </c>
      <c r="B14" t="s">
        <v>599</v>
      </c>
      <c r="C14" t="s">
        <v>152</v>
      </c>
      <c r="D14" t="s">
        <v>153</v>
      </c>
      <c r="E14" t="s">
        <v>154</v>
      </c>
      <c r="I14" t="s">
        <v>600</v>
      </c>
      <c r="J14">
        <v>0.33</v>
      </c>
      <c r="K14">
        <v>2.91</v>
      </c>
      <c r="L14">
        <v>0.3</v>
      </c>
      <c r="M14">
        <v>3.63</v>
      </c>
      <c r="N14">
        <v>2.83</v>
      </c>
      <c r="O14">
        <v>2.73</v>
      </c>
      <c r="P14">
        <v>4.01</v>
      </c>
      <c r="Q14">
        <v>1.18</v>
      </c>
      <c r="R14">
        <v>27.22</v>
      </c>
      <c r="S14">
        <v>28.22</v>
      </c>
      <c r="T14">
        <v>40.01</v>
      </c>
      <c r="U14">
        <v>0.44</v>
      </c>
      <c r="V14">
        <v>7.5</v>
      </c>
      <c r="W14" t="s">
        <v>605</v>
      </c>
      <c r="X14">
        <v>0</v>
      </c>
      <c r="Y14">
        <v>0</v>
      </c>
      <c r="Z14">
        <v>0</v>
      </c>
      <c r="AA14">
        <v>187.41</v>
      </c>
      <c r="AB14">
        <v>414.01</v>
      </c>
      <c r="AC14">
        <v>0.55000000000000004</v>
      </c>
      <c r="AD14">
        <v>0.5</v>
      </c>
      <c r="AE14">
        <v>0.84</v>
      </c>
      <c r="AF14">
        <v>150.57</v>
      </c>
      <c r="AG14">
        <v>1</v>
      </c>
      <c r="AH14">
        <v>68.06</v>
      </c>
      <c r="AI14">
        <v>65.650000000000006</v>
      </c>
      <c r="AJ14">
        <v>29.59</v>
      </c>
      <c r="AK14">
        <v>28.97</v>
      </c>
      <c r="AL14">
        <v>28.97</v>
      </c>
      <c r="AM14">
        <v>100.35</v>
      </c>
      <c r="AN14">
        <v>156.1</v>
      </c>
      <c r="AO14">
        <v>155.6</v>
      </c>
      <c r="AP14">
        <v>0.3</v>
      </c>
      <c r="AQ14">
        <v>655</v>
      </c>
      <c r="AR14">
        <v>3.85</v>
      </c>
      <c r="AS14">
        <v>-28</v>
      </c>
      <c r="AT14">
        <v>-11</v>
      </c>
      <c r="AU14">
        <v>147</v>
      </c>
      <c r="BC14" t="s">
        <v>182</v>
      </c>
      <c r="BD14" t="s">
        <v>152</v>
      </c>
      <c r="BE14">
        <v>-2.38</v>
      </c>
      <c r="BF14" t="s">
        <v>150</v>
      </c>
      <c r="BG14">
        <v>0</v>
      </c>
      <c r="BH14">
        <v>0</v>
      </c>
      <c r="BI14">
        <v>-0.01</v>
      </c>
      <c r="BJ14">
        <v>-0.42</v>
      </c>
      <c r="BK14">
        <v>-0.03</v>
      </c>
      <c r="BL14">
        <v>-0.88</v>
      </c>
      <c r="BM14" t="s">
        <v>150</v>
      </c>
      <c r="BN14">
        <v>150</v>
      </c>
      <c r="BO14">
        <v>0</v>
      </c>
      <c r="BP14">
        <v>2</v>
      </c>
      <c r="BQ14">
        <v>0.06</v>
      </c>
      <c r="BR14">
        <v>0</v>
      </c>
      <c r="BS14">
        <v>0.03</v>
      </c>
      <c r="BT14">
        <v>0</v>
      </c>
      <c r="BU14">
        <v>0</v>
      </c>
      <c r="BV14">
        <v>0</v>
      </c>
      <c r="BW14" t="s">
        <v>196</v>
      </c>
      <c r="BX14" t="s">
        <v>197</v>
      </c>
      <c r="BY14" t="s">
        <v>198</v>
      </c>
      <c r="BZ14">
        <v>6000</v>
      </c>
      <c r="CA14">
        <v>500</v>
      </c>
      <c r="CB14">
        <v>1</v>
      </c>
      <c r="CC14">
        <v>2</v>
      </c>
      <c r="CD14">
        <v>55537</v>
      </c>
      <c r="CE14">
        <v>55537</v>
      </c>
      <c r="CF14">
        <v>55537</v>
      </c>
      <c r="CG14">
        <v>0</v>
      </c>
      <c r="CH14">
        <v>-9999</v>
      </c>
      <c r="CI14">
        <v>0</v>
      </c>
      <c r="CJ14">
        <v>0</v>
      </c>
      <c r="CK14">
        <v>0</v>
      </c>
      <c r="CL14">
        <v>0</v>
      </c>
      <c r="CM14">
        <v>2.5299999999999998</v>
      </c>
      <c r="CN14">
        <v>2.4700000000000002</v>
      </c>
      <c r="CO14">
        <v>1.67</v>
      </c>
      <c r="CP14">
        <v>0.94</v>
      </c>
      <c r="CQ14">
        <v>0.23</v>
      </c>
      <c r="CR14">
        <v>-0.01</v>
      </c>
      <c r="CS14">
        <v>0.17</v>
      </c>
      <c r="CT14">
        <v>0.68</v>
      </c>
      <c r="CU14">
        <v>187.41</v>
      </c>
      <c r="CV14">
        <v>0</v>
      </c>
      <c r="CW14">
        <v>2.42</v>
      </c>
      <c r="CX14">
        <v>0</v>
      </c>
      <c r="CY14">
        <v>1</v>
      </c>
      <c r="CZ14">
        <v>2.37</v>
      </c>
      <c r="DA14">
        <v>0</v>
      </c>
      <c r="DB14">
        <v>1</v>
      </c>
      <c r="DC14">
        <v>0.6</v>
      </c>
      <c r="DD14">
        <v>0.6</v>
      </c>
      <c r="DE14">
        <v>0.11</v>
      </c>
      <c r="DF14">
        <v>0</v>
      </c>
      <c r="DG14" t="s">
        <v>605</v>
      </c>
      <c r="DH14" t="s">
        <v>219</v>
      </c>
      <c r="DI14" t="s">
        <v>220</v>
      </c>
      <c r="DJ14" t="s">
        <v>221</v>
      </c>
      <c r="DK14" t="s">
        <v>222</v>
      </c>
      <c r="DL14" t="s">
        <v>223</v>
      </c>
      <c r="DM14" t="s">
        <v>224</v>
      </c>
    </row>
    <row r="15" spans="1:117" x14ac:dyDescent="0.45">
      <c r="A15" t="s">
        <v>630</v>
      </c>
      <c r="B15" t="s">
        <v>631</v>
      </c>
      <c r="C15" t="s">
        <v>152</v>
      </c>
      <c r="D15" t="s">
        <v>153</v>
      </c>
      <c r="E15" t="s">
        <v>154</v>
      </c>
      <c r="I15" t="s">
        <v>632</v>
      </c>
      <c r="J15">
        <v>0.35</v>
      </c>
      <c r="K15">
        <v>2.91</v>
      </c>
      <c r="L15">
        <v>0.31</v>
      </c>
      <c r="M15">
        <v>3.48</v>
      </c>
      <c r="N15">
        <v>2.96</v>
      </c>
      <c r="O15">
        <v>2.87</v>
      </c>
      <c r="P15">
        <v>4.03</v>
      </c>
      <c r="Q15">
        <v>1.07</v>
      </c>
      <c r="R15">
        <v>28.56</v>
      </c>
      <c r="S15">
        <v>29.52</v>
      </c>
      <c r="T15">
        <v>40.19</v>
      </c>
      <c r="U15">
        <v>0.44</v>
      </c>
      <c r="V15">
        <v>7.5</v>
      </c>
      <c r="W15" t="s">
        <v>637</v>
      </c>
      <c r="X15">
        <v>0</v>
      </c>
      <c r="Y15">
        <v>0</v>
      </c>
      <c r="Z15">
        <v>0</v>
      </c>
      <c r="AA15">
        <v>163.88</v>
      </c>
      <c r="AB15">
        <v>415.44</v>
      </c>
      <c r="AC15">
        <v>0.61</v>
      </c>
      <c r="AD15">
        <v>0.5</v>
      </c>
      <c r="AE15">
        <v>0.84</v>
      </c>
      <c r="AF15">
        <v>97.66</v>
      </c>
      <c r="AG15">
        <v>1</v>
      </c>
      <c r="AH15">
        <v>69.290000000000006</v>
      </c>
      <c r="AI15">
        <v>67.040000000000006</v>
      </c>
      <c r="AJ15">
        <v>30.06</v>
      </c>
      <c r="AK15">
        <v>29.05</v>
      </c>
      <c r="AL15">
        <v>29.05</v>
      </c>
      <c r="AM15">
        <v>100.36</v>
      </c>
      <c r="AN15">
        <v>156.1</v>
      </c>
      <c r="AO15">
        <v>154.80000000000001</v>
      </c>
      <c r="AP15">
        <v>0.8</v>
      </c>
      <c r="AQ15">
        <v>384</v>
      </c>
      <c r="AR15">
        <v>3.88</v>
      </c>
      <c r="AS15">
        <v>-19</v>
      </c>
      <c r="AT15">
        <v>1</v>
      </c>
      <c r="AU15">
        <v>143</v>
      </c>
      <c r="BC15" t="s">
        <v>648</v>
      </c>
      <c r="BD15" t="s">
        <v>152</v>
      </c>
      <c r="BE15">
        <v>-1.67</v>
      </c>
      <c r="BF15" t="s">
        <v>150</v>
      </c>
      <c r="BG15">
        <v>0</v>
      </c>
      <c r="BH15">
        <v>0</v>
      </c>
      <c r="BI15">
        <v>-0.01</v>
      </c>
      <c r="BJ15">
        <v>-0.86</v>
      </c>
      <c r="BK15">
        <v>-0.73</v>
      </c>
      <c r="BL15">
        <v>1.5</v>
      </c>
      <c r="BM15" t="s">
        <v>150</v>
      </c>
      <c r="BN15">
        <v>150</v>
      </c>
      <c r="BO15">
        <v>0</v>
      </c>
      <c r="BP15">
        <v>2</v>
      </c>
      <c r="BQ15">
        <v>0.06</v>
      </c>
      <c r="BR15">
        <v>0</v>
      </c>
      <c r="BS15">
        <v>0.03</v>
      </c>
      <c r="BT15">
        <v>0</v>
      </c>
      <c r="BU15">
        <v>0</v>
      </c>
      <c r="BV15">
        <v>0</v>
      </c>
      <c r="BW15" t="s">
        <v>196</v>
      </c>
      <c r="BX15" t="s">
        <v>197</v>
      </c>
      <c r="BY15" t="s">
        <v>198</v>
      </c>
      <c r="BZ15">
        <v>6000</v>
      </c>
      <c r="CA15">
        <v>500</v>
      </c>
      <c r="CB15">
        <v>1</v>
      </c>
      <c r="CC15">
        <v>2</v>
      </c>
      <c r="CD15">
        <v>55537</v>
      </c>
      <c r="CE15">
        <v>55537</v>
      </c>
      <c r="CF15">
        <v>55537</v>
      </c>
      <c r="CG15">
        <v>0</v>
      </c>
      <c r="CH15">
        <v>-9999</v>
      </c>
      <c r="CI15">
        <v>0</v>
      </c>
      <c r="CJ15">
        <v>0</v>
      </c>
      <c r="CK15">
        <v>0</v>
      </c>
      <c r="CL15">
        <v>0</v>
      </c>
      <c r="CM15">
        <v>2.5299999999999998</v>
      </c>
      <c r="CN15">
        <v>2.4700000000000002</v>
      </c>
      <c r="CO15">
        <v>1.67</v>
      </c>
      <c r="CP15">
        <v>0.94</v>
      </c>
      <c r="CQ15">
        <v>0.22</v>
      </c>
      <c r="CR15">
        <v>-0.01</v>
      </c>
      <c r="CS15">
        <v>0.18</v>
      </c>
      <c r="CT15">
        <v>0.44</v>
      </c>
      <c r="CU15">
        <v>163.88</v>
      </c>
      <c r="CV15">
        <v>0</v>
      </c>
      <c r="CW15">
        <v>2.42</v>
      </c>
      <c r="CX15">
        <v>0</v>
      </c>
      <c r="CY15">
        <v>1</v>
      </c>
      <c r="CZ15">
        <v>2.37</v>
      </c>
      <c r="DA15">
        <v>0</v>
      </c>
      <c r="DB15">
        <v>1</v>
      </c>
      <c r="DC15">
        <v>0.6</v>
      </c>
      <c r="DD15">
        <v>0.6</v>
      </c>
      <c r="DE15">
        <v>0.11</v>
      </c>
      <c r="DF15">
        <v>0</v>
      </c>
      <c r="DG15" t="s">
        <v>637</v>
      </c>
      <c r="DH15" t="s">
        <v>219</v>
      </c>
      <c r="DI15" t="s">
        <v>220</v>
      </c>
      <c r="DJ15" t="s">
        <v>221</v>
      </c>
      <c r="DK15" t="s">
        <v>222</v>
      </c>
      <c r="DL15" t="s">
        <v>223</v>
      </c>
      <c r="DM15" t="s">
        <v>224</v>
      </c>
    </row>
    <row r="16" spans="1:117" x14ac:dyDescent="0.45">
      <c r="A16" t="s">
        <v>662</v>
      </c>
      <c r="B16" t="s">
        <v>663</v>
      </c>
      <c r="C16" t="s">
        <v>152</v>
      </c>
      <c r="D16" t="s">
        <v>153</v>
      </c>
      <c r="E16" t="s">
        <v>154</v>
      </c>
      <c r="I16" t="s">
        <v>664</v>
      </c>
      <c r="J16">
        <v>0.28999999999999998</v>
      </c>
      <c r="K16">
        <v>2.91</v>
      </c>
      <c r="L16">
        <v>0.26</v>
      </c>
      <c r="M16">
        <v>3.18</v>
      </c>
      <c r="N16">
        <v>2.9</v>
      </c>
      <c r="O16">
        <v>2.81</v>
      </c>
      <c r="P16">
        <v>4.08</v>
      </c>
      <c r="Q16">
        <v>1.18</v>
      </c>
      <c r="R16">
        <v>28.02</v>
      </c>
      <c r="S16">
        <v>28.9</v>
      </c>
      <c r="T16">
        <v>40.65</v>
      </c>
      <c r="U16">
        <v>0.44</v>
      </c>
      <c r="V16">
        <v>7.5</v>
      </c>
      <c r="W16" t="s">
        <v>669</v>
      </c>
      <c r="X16">
        <v>0</v>
      </c>
      <c r="Y16">
        <v>0</v>
      </c>
      <c r="Z16">
        <v>0</v>
      </c>
      <c r="AA16">
        <v>127.97</v>
      </c>
      <c r="AB16">
        <v>429.12</v>
      </c>
      <c r="AC16">
        <v>0.7</v>
      </c>
      <c r="AD16">
        <v>0.5</v>
      </c>
      <c r="AE16">
        <v>0.84</v>
      </c>
      <c r="AF16">
        <v>117.9</v>
      </c>
      <c r="AG16">
        <v>1</v>
      </c>
      <c r="AH16">
        <v>67.17</v>
      </c>
      <c r="AI16">
        <v>65.14</v>
      </c>
      <c r="AJ16">
        <v>30.23</v>
      </c>
      <c r="AK16">
        <v>29.25</v>
      </c>
      <c r="AL16">
        <v>29.25</v>
      </c>
      <c r="AM16">
        <v>100.37</v>
      </c>
      <c r="AN16">
        <v>156.19999999999999</v>
      </c>
      <c r="AO16">
        <v>154.19999999999999</v>
      </c>
      <c r="AP16">
        <v>1.3</v>
      </c>
      <c r="AQ16">
        <v>400</v>
      </c>
      <c r="AR16">
        <v>3.88</v>
      </c>
      <c r="AS16">
        <v>-10</v>
      </c>
      <c r="AT16">
        <v>10</v>
      </c>
      <c r="AU16">
        <v>356</v>
      </c>
      <c r="BC16" t="s">
        <v>648</v>
      </c>
      <c r="BD16" t="s">
        <v>152</v>
      </c>
      <c r="BE16">
        <v>-1.67</v>
      </c>
      <c r="BF16" t="s">
        <v>150</v>
      </c>
      <c r="BG16">
        <v>0</v>
      </c>
      <c r="BH16">
        <v>0</v>
      </c>
      <c r="BI16">
        <v>0.01</v>
      </c>
      <c r="BJ16">
        <v>0.27</v>
      </c>
      <c r="BK16">
        <v>0.7</v>
      </c>
      <c r="BL16">
        <v>0.39</v>
      </c>
      <c r="BM16" t="s">
        <v>150</v>
      </c>
      <c r="BN16">
        <v>150</v>
      </c>
      <c r="BO16">
        <v>0</v>
      </c>
      <c r="BP16">
        <v>2</v>
      </c>
      <c r="BQ16">
        <v>0.06</v>
      </c>
      <c r="BR16">
        <v>0</v>
      </c>
      <c r="BS16">
        <v>0.03</v>
      </c>
      <c r="BT16">
        <v>0</v>
      </c>
      <c r="BU16">
        <v>0</v>
      </c>
      <c r="BV16">
        <v>0</v>
      </c>
      <c r="BW16" t="s">
        <v>196</v>
      </c>
      <c r="BX16" t="s">
        <v>197</v>
      </c>
      <c r="BY16" t="s">
        <v>198</v>
      </c>
      <c r="BZ16">
        <v>6000</v>
      </c>
      <c r="CA16">
        <v>500</v>
      </c>
      <c r="CB16">
        <v>1</v>
      </c>
      <c r="CC16">
        <v>2</v>
      </c>
      <c r="CD16">
        <v>55537</v>
      </c>
      <c r="CE16">
        <v>55537</v>
      </c>
      <c r="CF16">
        <v>55537</v>
      </c>
      <c r="CG16">
        <v>0</v>
      </c>
      <c r="CH16">
        <v>-9999</v>
      </c>
      <c r="CI16">
        <v>0</v>
      </c>
      <c r="CJ16">
        <v>0</v>
      </c>
      <c r="CK16">
        <v>0</v>
      </c>
      <c r="CL16">
        <v>0</v>
      </c>
      <c r="CM16">
        <v>2.52</v>
      </c>
      <c r="CN16">
        <v>2.4700000000000002</v>
      </c>
      <c r="CO16">
        <v>1.67</v>
      </c>
      <c r="CP16">
        <v>0.94</v>
      </c>
      <c r="CQ16">
        <v>0.22</v>
      </c>
      <c r="CR16">
        <v>-0.01</v>
      </c>
      <c r="CS16">
        <v>0.19</v>
      </c>
      <c r="CT16">
        <v>0.46</v>
      </c>
      <c r="CU16">
        <v>127.97</v>
      </c>
      <c r="CV16">
        <v>0</v>
      </c>
      <c r="CW16">
        <v>2.42</v>
      </c>
      <c r="CX16">
        <v>0</v>
      </c>
      <c r="CY16">
        <v>1</v>
      </c>
      <c r="CZ16">
        <v>2.37</v>
      </c>
      <c r="DA16">
        <v>0</v>
      </c>
      <c r="DB16">
        <v>1</v>
      </c>
      <c r="DC16">
        <v>0.6</v>
      </c>
      <c r="DD16">
        <v>0.6</v>
      </c>
      <c r="DE16">
        <v>0.11</v>
      </c>
      <c r="DF16">
        <v>0</v>
      </c>
      <c r="DG16" t="s">
        <v>669</v>
      </c>
      <c r="DH16" t="s">
        <v>219</v>
      </c>
      <c r="DI16" t="s">
        <v>220</v>
      </c>
      <c r="DJ16" t="s">
        <v>221</v>
      </c>
      <c r="DK16" t="s">
        <v>222</v>
      </c>
      <c r="DL16" t="s">
        <v>223</v>
      </c>
      <c r="DM16" t="s">
        <v>224</v>
      </c>
    </row>
    <row r="17" spans="1:117" x14ac:dyDescent="0.45">
      <c r="A17" t="s">
        <v>420</v>
      </c>
      <c r="B17" t="s">
        <v>695</v>
      </c>
      <c r="C17" t="s">
        <v>152</v>
      </c>
      <c r="D17" t="s">
        <v>153</v>
      </c>
      <c r="E17" t="s">
        <v>154</v>
      </c>
      <c r="I17" t="s">
        <v>696</v>
      </c>
      <c r="J17">
        <v>0.56999999999999995</v>
      </c>
      <c r="K17">
        <v>2.91</v>
      </c>
      <c r="L17">
        <v>0.48</v>
      </c>
      <c r="M17">
        <v>4.92</v>
      </c>
      <c r="N17">
        <v>2.93</v>
      </c>
      <c r="O17">
        <v>2.8</v>
      </c>
      <c r="P17">
        <v>3.93</v>
      </c>
      <c r="Q17">
        <v>1</v>
      </c>
      <c r="R17">
        <v>27.86</v>
      </c>
      <c r="S17">
        <v>29.21</v>
      </c>
      <c r="T17">
        <v>39.18</v>
      </c>
      <c r="U17">
        <v>0.44</v>
      </c>
      <c r="V17">
        <v>7.5</v>
      </c>
      <c r="W17" t="s">
        <v>701</v>
      </c>
      <c r="X17">
        <v>0</v>
      </c>
      <c r="Y17">
        <v>0</v>
      </c>
      <c r="Z17">
        <v>0</v>
      </c>
      <c r="AA17">
        <v>116.02</v>
      </c>
      <c r="AB17">
        <v>494.19</v>
      </c>
      <c r="AC17">
        <v>0.77</v>
      </c>
      <c r="AD17">
        <v>0.5</v>
      </c>
      <c r="AE17">
        <v>0.84</v>
      </c>
      <c r="AF17">
        <v>69.099999999999994</v>
      </c>
      <c r="AG17">
        <v>1</v>
      </c>
      <c r="AH17">
        <v>67.239999999999995</v>
      </c>
      <c r="AI17">
        <v>64.13</v>
      </c>
      <c r="AJ17">
        <v>30.4</v>
      </c>
      <c r="AK17">
        <v>28.61</v>
      </c>
      <c r="AL17">
        <v>28.61</v>
      </c>
      <c r="AM17">
        <v>100.36</v>
      </c>
      <c r="AN17">
        <v>156.1</v>
      </c>
      <c r="AO17">
        <v>150.1</v>
      </c>
      <c r="AP17">
        <v>3.8</v>
      </c>
      <c r="AQ17">
        <v>215</v>
      </c>
      <c r="AR17">
        <v>3.87</v>
      </c>
      <c r="AS17">
        <v>-35</v>
      </c>
      <c r="AT17">
        <v>1</v>
      </c>
      <c r="AU17">
        <v>301</v>
      </c>
      <c r="BC17" t="s">
        <v>648</v>
      </c>
      <c r="BD17" t="s">
        <v>152</v>
      </c>
      <c r="BE17">
        <v>-1.67</v>
      </c>
      <c r="BF17" t="s">
        <v>150</v>
      </c>
      <c r="BG17">
        <v>0.01</v>
      </c>
      <c r="BH17">
        <v>0</v>
      </c>
      <c r="BI17">
        <v>-0.01</v>
      </c>
      <c r="BJ17">
        <v>-0.09</v>
      </c>
      <c r="BK17">
        <v>-0.09</v>
      </c>
      <c r="BL17">
        <v>-0.1</v>
      </c>
      <c r="BM17" t="s">
        <v>150</v>
      </c>
      <c r="BN17">
        <v>150</v>
      </c>
      <c r="BO17">
        <v>0</v>
      </c>
      <c r="BP17">
        <v>2</v>
      </c>
      <c r="BQ17">
        <v>0.06</v>
      </c>
      <c r="BR17">
        <v>0</v>
      </c>
      <c r="BS17">
        <v>0.03</v>
      </c>
      <c r="BT17">
        <v>0</v>
      </c>
      <c r="BU17">
        <v>0</v>
      </c>
      <c r="BV17">
        <v>0</v>
      </c>
      <c r="BW17" t="s">
        <v>196</v>
      </c>
      <c r="BX17" t="s">
        <v>197</v>
      </c>
      <c r="BY17" t="s">
        <v>198</v>
      </c>
      <c r="BZ17">
        <v>6000</v>
      </c>
      <c r="CA17">
        <v>500</v>
      </c>
      <c r="CB17">
        <v>1</v>
      </c>
      <c r="CC17">
        <v>2</v>
      </c>
      <c r="CD17">
        <v>55537</v>
      </c>
      <c r="CE17">
        <v>55537</v>
      </c>
      <c r="CF17">
        <v>55537</v>
      </c>
      <c r="CG17">
        <v>0</v>
      </c>
      <c r="CH17">
        <v>-9999</v>
      </c>
      <c r="CI17">
        <v>0</v>
      </c>
      <c r="CJ17">
        <v>0</v>
      </c>
      <c r="CK17">
        <v>0</v>
      </c>
      <c r="CL17">
        <v>0</v>
      </c>
      <c r="CM17">
        <v>2.52</v>
      </c>
      <c r="CN17">
        <v>2.4700000000000002</v>
      </c>
      <c r="CO17">
        <v>1.67</v>
      </c>
      <c r="CP17">
        <v>0.93</v>
      </c>
      <c r="CQ17">
        <v>0.22</v>
      </c>
      <c r="CR17">
        <v>-0.02</v>
      </c>
      <c r="CS17">
        <v>0.19</v>
      </c>
      <c r="CT17">
        <v>0.28999999999999998</v>
      </c>
      <c r="CU17">
        <v>116.02</v>
      </c>
      <c r="CV17">
        <v>0</v>
      </c>
      <c r="CW17">
        <v>2.42</v>
      </c>
      <c r="CX17">
        <v>0</v>
      </c>
      <c r="CY17">
        <v>1</v>
      </c>
      <c r="CZ17">
        <v>2.37</v>
      </c>
      <c r="DA17">
        <v>0</v>
      </c>
      <c r="DB17">
        <v>1</v>
      </c>
      <c r="DC17">
        <v>0.6</v>
      </c>
      <c r="DD17">
        <v>0.6</v>
      </c>
      <c r="DE17">
        <v>0.11</v>
      </c>
      <c r="DF17">
        <v>0</v>
      </c>
      <c r="DG17" t="s">
        <v>701</v>
      </c>
      <c r="DH17" t="s">
        <v>219</v>
      </c>
      <c r="DI17" t="s">
        <v>220</v>
      </c>
      <c r="DJ17" t="s">
        <v>221</v>
      </c>
      <c r="DK17" t="s">
        <v>222</v>
      </c>
      <c r="DL17" t="s">
        <v>223</v>
      </c>
      <c r="DM17" t="s">
        <v>224</v>
      </c>
    </row>
    <row r="18" spans="1:117" x14ac:dyDescent="0.45">
      <c r="A18" t="s">
        <v>727</v>
      </c>
      <c r="B18" t="s">
        <v>728</v>
      </c>
      <c r="C18" t="s">
        <v>152</v>
      </c>
      <c r="D18" t="s">
        <v>153</v>
      </c>
      <c r="E18" t="s">
        <v>154</v>
      </c>
      <c r="I18" t="s">
        <v>729</v>
      </c>
      <c r="J18">
        <v>0.28000000000000003</v>
      </c>
      <c r="K18">
        <v>2.91</v>
      </c>
      <c r="L18">
        <v>0.25</v>
      </c>
      <c r="M18">
        <v>3.2</v>
      </c>
      <c r="N18">
        <v>2.87</v>
      </c>
      <c r="O18">
        <v>2.78</v>
      </c>
      <c r="P18">
        <v>4.09</v>
      </c>
      <c r="Q18">
        <v>1.22</v>
      </c>
      <c r="R18">
        <v>27.72</v>
      </c>
      <c r="S18">
        <v>28.6</v>
      </c>
      <c r="T18">
        <v>40.75</v>
      </c>
      <c r="U18">
        <v>0.44</v>
      </c>
      <c r="V18">
        <v>7.5</v>
      </c>
      <c r="W18" t="s">
        <v>734</v>
      </c>
      <c r="X18">
        <v>0</v>
      </c>
      <c r="Y18">
        <v>0</v>
      </c>
      <c r="Z18">
        <v>0</v>
      </c>
      <c r="AA18">
        <v>141.1</v>
      </c>
      <c r="AB18">
        <v>504.18</v>
      </c>
      <c r="AC18">
        <v>0.72</v>
      </c>
      <c r="AD18">
        <v>0.5</v>
      </c>
      <c r="AE18">
        <v>0.84</v>
      </c>
      <c r="AF18">
        <v>67.45</v>
      </c>
      <c r="AG18">
        <v>1</v>
      </c>
      <c r="AH18">
        <v>65.58</v>
      </c>
      <c r="AI18">
        <v>63.57</v>
      </c>
      <c r="AJ18">
        <v>30.47</v>
      </c>
      <c r="AK18">
        <v>29.29</v>
      </c>
      <c r="AL18">
        <v>29.29</v>
      </c>
      <c r="AM18">
        <v>100.37</v>
      </c>
      <c r="AN18">
        <v>156.1</v>
      </c>
      <c r="AO18">
        <v>152.6</v>
      </c>
      <c r="AP18">
        <v>2.2999999999999998</v>
      </c>
      <c r="AQ18">
        <v>223</v>
      </c>
      <c r="AR18">
        <v>3.87</v>
      </c>
      <c r="AS18">
        <v>-23</v>
      </c>
      <c r="AT18">
        <v>-1</v>
      </c>
      <c r="AU18">
        <v>317</v>
      </c>
      <c r="BC18" t="s">
        <v>648</v>
      </c>
      <c r="BD18" t="s">
        <v>152</v>
      </c>
      <c r="BE18">
        <v>-1.67</v>
      </c>
      <c r="BF18" t="s">
        <v>150</v>
      </c>
      <c r="BG18">
        <v>0</v>
      </c>
      <c r="BH18">
        <v>0</v>
      </c>
      <c r="BI18">
        <v>0</v>
      </c>
      <c r="BJ18">
        <v>-0.3</v>
      </c>
      <c r="BK18">
        <v>-0.49</v>
      </c>
      <c r="BL18">
        <v>-1.05</v>
      </c>
      <c r="BM18" t="s">
        <v>150</v>
      </c>
      <c r="BN18">
        <v>150</v>
      </c>
      <c r="BO18">
        <v>0</v>
      </c>
      <c r="BP18">
        <v>2</v>
      </c>
      <c r="BQ18">
        <v>0.06</v>
      </c>
      <c r="BR18">
        <v>0</v>
      </c>
      <c r="BS18">
        <v>0.03</v>
      </c>
      <c r="BT18">
        <v>0</v>
      </c>
      <c r="BU18">
        <v>0</v>
      </c>
      <c r="BV18">
        <v>0</v>
      </c>
      <c r="BW18" t="s">
        <v>196</v>
      </c>
      <c r="BX18" t="s">
        <v>197</v>
      </c>
      <c r="BY18" t="s">
        <v>198</v>
      </c>
      <c r="BZ18">
        <v>6000</v>
      </c>
      <c r="CA18">
        <v>500</v>
      </c>
      <c r="CB18">
        <v>1</v>
      </c>
      <c r="CC18">
        <v>2</v>
      </c>
      <c r="CD18">
        <v>55537</v>
      </c>
      <c r="CE18">
        <v>55537</v>
      </c>
      <c r="CF18">
        <v>55537</v>
      </c>
      <c r="CG18">
        <v>0</v>
      </c>
      <c r="CH18">
        <v>-9999</v>
      </c>
      <c r="CI18">
        <v>0</v>
      </c>
      <c r="CJ18">
        <v>0</v>
      </c>
      <c r="CK18">
        <v>0</v>
      </c>
      <c r="CL18">
        <v>0</v>
      </c>
      <c r="CM18">
        <v>2.52</v>
      </c>
      <c r="CN18">
        <v>2.46</v>
      </c>
      <c r="CO18">
        <v>1.67</v>
      </c>
      <c r="CP18">
        <v>0.94</v>
      </c>
      <c r="CQ18">
        <v>0.22</v>
      </c>
      <c r="CR18">
        <v>-0.01</v>
      </c>
      <c r="CS18">
        <v>0.2</v>
      </c>
      <c r="CT18">
        <v>0.3</v>
      </c>
      <c r="CU18">
        <v>141.1</v>
      </c>
      <c r="CV18">
        <v>0</v>
      </c>
      <c r="CW18">
        <v>2.42</v>
      </c>
      <c r="CX18">
        <v>0</v>
      </c>
      <c r="CY18">
        <v>1</v>
      </c>
      <c r="CZ18">
        <v>2.37</v>
      </c>
      <c r="DA18">
        <v>0</v>
      </c>
      <c r="DB18">
        <v>1</v>
      </c>
      <c r="DC18">
        <v>0.6</v>
      </c>
      <c r="DD18">
        <v>0.6</v>
      </c>
      <c r="DE18">
        <v>0.11</v>
      </c>
      <c r="DF18">
        <v>0</v>
      </c>
      <c r="DG18" t="s">
        <v>734</v>
      </c>
      <c r="DH18" t="s">
        <v>219</v>
      </c>
      <c r="DI18" t="s">
        <v>220</v>
      </c>
      <c r="DJ18" t="s">
        <v>221</v>
      </c>
      <c r="DK18" t="s">
        <v>222</v>
      </c>
      <c r="DL18" t="s">
        <v>223</v>
      </c>
      <c r="DM18" t="s">
        <v>224</v>
      </c>
    </row>
    <row r="19" spans="1:117" x14ac:dyDescent="0.45">
      <c r="A19" t="s">
        <v>758</v>
      </c>
      <c r="B19" t="s">
        <v>759</v>
      </c>
      <c r="C19" t="s">
        <v>152</v>
      </c>
      <c r="D19" t="s">
        <v>153</v>
      </c>
      <c r="E19" t="s">
        <v>154</v>
      </c>
      <c r="I19" t="s">
        <v>760</v>
      </c>
      <c r="J19">
        <v>0.39</v>
      </c>
      <c r="K19">
        <v>2.91</v>
      </c>
      <c r="L19">
        <v>0.35</v>
      </c>
      <c r="M19">
        <v>3.92</v>
      </c>
      <c r="N19">
        <v>2.89</v>
      </c>
      <c r="O19">
        <v>2.78</v>
      </c>
      <c r="P19">
        <v>3.98</v>
      </c>
      <c r="Q19">
        <v>1.0900000000000001</v>
      </c>
      <c r="R19">
        <v>27.71</v>
      </c>
      <c r="S19">
        <v>28.79</v>
      </c>
      <c r="T19">
        <v>39.700000000000003</v>
      </c>
      <c r="U19">
        <v>0.44</v>
      </c>
      <c r="V19">
        <v>7.5</v>
      </c>
      <c r="W19" t="s">
        <v>765</v>
      </c>
      <c r="X19">
        <v>0</v>
      </c>
      <c r="Y19">
        <v>0</v>
      </c>
      <c r="Z19">
        <v>0</v>
      </c>
      <c r="AA19">
        <v>137.16</v>
      </c>
      <c r="AB19">
        <v>397.3</v>
      </c>
      <c r="AC19">
        <v>0.65</v>
      </c>
      <c r="AD19">
        <v>0.5</v>
      </c>
      <c r="AE19">
        <v>0.84</v>
      </c>
      <c r="AF19">
        <v>59.95</v>
      </c>
      <c r="AG19">
        <v>1</v>
      </c>
      <c r="AH19">
        <v>65.55</v>
      </c>
      <c r="AI19">
        <v>63.09</v>
      </c>
      <c r="AJ19">
        <v>30.6</v>
      </c>
      <c r="AK19">
        <v>28.84</v>
      </c>
      <c r="AL19">
        <v>28.84</v>
      </c>
      <c r="AM19">
        <v>100.37</v>
      </c>
      <c r="AN19">
        <v>156.19999999999999</v>
      </c>
      <c r="AO19">
        <v>144.69999999999999</v>
      </c>
      <c r="AP19">
        <v>7.4</v>
      </c>
      <c r="AQ19">
        <v>218</v>
      </c>
      <c r="AR19">
        <v>3.87</v>
      </c>
      <c r="AS19">
        <v>-22</v>
      </c>
      <c r="AT19">
        <v>4</v>
      </c>
      <c r="AU19">
        <v>359</v>
      </c>
      <c r="BC19" t="s">
        <v>648</v>
      </c>
      <c r="BD19" t="s">
        <v>152</v>
      </c>
      <c r="BE19">
        <v>-1.67</v>
      </c>
      <c r="BF19" t="s">
        <v>150</v>
      </c>
      <c r="BG19">
        <v>0</v>
      </c>
      <c r="BH19">
        <v>0</v>
      </c>
      <c r="BI19">
        <v>0.01</v>
      </c>
      <c r="BJ19">
        <v>-0.16</v>
      </c>
      <c r="BK19">
        <v>-0.18</v>
      </c>
      <c r="BL19">
        <v>-0.67</v>
      </c>
      <c r="BM19" t="s">
        <v>150</v>
      </c>
      <c r="BN19">
        <v>150</v>
      </c>
      <c r="BO19">
        <v>0</v>
      </c>
      <c r="BP19">
        <v>2</v>
      </c>
      <c r="BQ19">
        <v>0.06</v>
      </c>
      <c r="BR19">
        <v>0</v>
      </c>
      <c r="BS19">
        <v>0.03</v>
      </c>
      <c r="BT19">
        <v>0</v>
      </c>
      <c r="BU19">
        <v>0</v>
      </c>
      <c r="BV19">
        <v>0</v>
      </c>
      <c r="BW19" t="s">
        <v>196</v>
      </c>
      <c r="BX19" t="s">
        <v>197</v>
      </c>
      <c r="BY19" t="s">
        <v>198</v>
      </c>
      <c r="BZ19">
        <v>6000</v>
      </c>
      <c r="CA19">
        <v>500</v>
      </c>
      <c r="CB19">
        <v>1</v>
      </c>
      <c r="CC19">
        <v>2</v>
      </c>
      <c r="CD19">
        <v>55537</v>
      </c>
      <c r="CE19">
        <v>55537</v>
      </c>
      <c r="CF19">
        <v>55537</v>
      </c>
      <c r="CG19">
        <v>0</v>
      </c>
      <c r="CH19">
        <v>-9999</v>
      </c>
      <c r="CI19">
        <v>0</v>
      </c>
      <c r="CJ19">
        <v>0</v>
      </c>
      <c r="CK19">
        <v>0</v>
      </c>
      <c r="CL19">
        <v>0</v>
      </c>
      <c r="CM19">
        <v>2.52</v>
      </c>
      <c r="CN19">
        <v>2.46</v>
      </c>
      <c r="CO19">
        <v>1.67</v>
      </c>
      <c r="CP19">
        <v>0.92</v>
      </c>
      <c r="CQ19">
        <v>0.22</v>
      </c>
      <c r="CR19">
        <v>-0.02</v>
      </c>
      <c r="CS19">
        <v>0.2</v>
      </c>
      <c r="CT19">
        <v>0.3</v>
      </c>
      <c r="CU19">
        <v>137.16</v>
      </c>
      <c r="CV19">
        <v>0</v>
      </c>
      <c r="CW19">
        <v>2.42</v>
      </c>
      <c r="CX19">
        <v>0</v>
      </c>
      <c r="CY19">
        <v>1</v>
      </c>
      <c r="CZ19">
        <v>2.37</v>
      </c>
      <c r="DA19">
        <v>0</v>
      </c>
      <c r="DB19">
        <v>1</v>
      </c>
      <c r="DC19">
        <v>0.6</v>
      </c>
      <c r="DD19">
        <v>0.6</v>
      </c>
      <c r="DE19">
        <v>0.11</v>
      </c>
      <c r="DF19">
        <v>0</v>
      </c>
      <c r="DG19" t="s">
        <v>765</v>
      </c>
      <c r="DH19" t="s">
        <v>219</v>
      </c>
      <c r="DI19" t="s">
        <v>220</v>
      </c>
      <c r="DJ19" t="s">
        <v>221</v>
      </c>
      <c r="DK19" t="s">
        <v>222</v>
      </c>
      <c r="DL19" t="s">
        <v>223</v>
      </c>
      <c r="DM19" t="s">
        <v>224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9"/>
  <sheetViews>
    <sheetView workbookViewId="0">
      <selection activeCell="A2" sqref="A2:J19"/>
    </sheetView>
  </sheetViews>
  <sheetFormatPr defaultRowHeight="19.2" x14ac:dyDescent="0.45"/>
  <sheetData>
    <row r="1" spans="1:10" x14ac:dyDescent="0.45">
      <c r="A1" t="s">
        <v>14</v>
      </c>
      <c r="B1" t="s">
        <v>22</v>
      </c>
      <c r="C1" s="9" t="s">
        <v>795</v>
      </c>
      <c r="D1" t="s">
        <v>29</v>
      </c>
      <c r="E1" t="s">
        <v>39</v>
      </c>
      <c r="F1" t="s">
        <v>40</v>
      </c>
      <c r="G1" t="s">
        <v>41</v>
      </c>
      <c r="H1" t="s">
        <v>44</v>
      </c>
      <c r="I1" t="s">
        <v>55</v>
      </c>
      <c r="J1" t="s">
        <v>50</v>
      </c>
    </row>
    <row r="2" spans="1:10" x14ac:dyDescent="0.45">
      <c r="A2" t="s">
        <v>151</v>
      </c>
      <c r="B2">
        <v>0.57999999999999996</v>
      </c>
      <c r="C2">
        <v>0.45764709642932511</v>
      </c>
      <c r="D2">
        <v>0.92</v>
      </c>
      <c r="E2">
        <v>125.1</v>
      </c>
      <c r="F2">
        <v>414.28</v>
      </c>
      <c r="G2">
        <v>0.7</v>
      </c>
      <c r="H2">
        <v>142.77000000000001</v>
      </c>
      <c r="I2">
        <v>487</v>
      </c>
      <c r="J2">
        <v>25.59</v>
      </c>
    </row>
    <row r="3" spans="1:10" x14ac:dyDescent="0.45">
      <c r="A3" t="s">
        <v>226</v>
      </c>
      <c r="B3">
        <v>0.47</v>
      </c>
      <c r="C3">
        <v>0.38800421387568862</v>
      </c>
      <c r="D3">
        <v>1.04</v>
      </c>
      <c r="E3">
        <v>161.38</v>
      </c>
      <c r="F3">
        <v>461.82</v>
      </c>
      <c r="G3">
        <v>0.65</v>
      </c>
      <c r="H3">
        <v>147.82</v>
      </c>
      <c r="I3">
        <v>541</v>
      </c>
      <c r="J3">
        <v>26.47</v>
      </c>
    </row>
    <row r="4" spans="1:10" x14ac:dyDescent="0.45">
      <c r="A4" t="s">
        <v>262</v>
      </c>
      <c r="B4">
        <v>0.57999999999999996</v>
      </c>
      <c r="C4">
        <v>0.45302232566703282</v>
      </c>
      <c r="D4">
        <v>1.27</v>
      </c>
      <c r="E4">
        <v>170.27</v>
      </c>
      <c r="F4">
        <v>352.97</v>
      </c>
      <c r="G4">
        <v>0.52</v>
      </c>
      <c r="H4">
        <v>195.22</v>
      </c>
      <c r="I4">
        <v>898</v>
      </c>
      <c r="J4">
        <v>28.08</v>
      </c>
    </row>
    <row r="5" spans="1:10" x14ac:dyDescent="0.45">
      <c r="A5" t="s">
        <v>298</v>
      </c>
      <c r="B5">
        <v>0.41</v>
      </c>
      <c r="C5">
        <v>0.34435051602185718</v>
      </c>
      <c r="D5">
        <v>0.99</v>
      </c>
      <c r="E5">
        <v>168.41</v>
      </c>
      <c r="F5">
        <v>393.42</v>
      </c>
      <c r="G5">
        <v>0.56999999999999995</v>
      </c>
      <c r="H5">
        <v>120.59</v>
      </c>
      <c r="I5">
        <v>502</v>
      </c>
      <c r="J5">
        <v>27.07</v>
      </c>
    </row>
    <row r="6" spans="1:10" x14ac:dyDescent="0.45">
      <c r="A6" t="s">
        <v>332</v>
      </c>
      <c r="B6">
        <v>0.37</v>
      </c>
      <c r="C6">
        <v>0.31593130246440421</v>
      </c>
      <c r="D6">
        <v>0.96</v>
      </c>
      <c r="E6">
        <v>162.09</v>
      </c>
      <c r="F6">
        <v>487.15</v>
      </c>
      <c r="G6">
        <v>0.67</v>
      </c>
      <c r="H6">
        <v>125.55</v>
      </c>
      <c r="I6">
        <v>448</v>
      </c>
      <c r="J6">
        <v>27.29</v>
      </c>
    </row>
    <row r="7" spans="1:10" x14ac:dyDescent="0.45">
      <c r="A7" t="s">
        <v>365</v>
      </c>
      <c r="B7">
        <v>0.36</v>
      </c>
      <c r="C7">
        <v>0.3038894447618809</v>
      </c>
      <c r="D7">
        <v>0.91</v>
      </c>
      <c r="E7">
        <v>123.59</v>
      </c>
      <c r="F7">
        <v>444.42</v>
      </c>
      <c r="G7">
        <v>0.72</v>
      </c>
      <c r="H7">
        <v>114</v>
      </c>
      <c r="I7">
        <v>376</v>
      </c>
      <c r="J7">
        <v>27.4</v>
      </c>
    </row>
    <row r="8" spans="1:10" x14ac:dyDescent="0.45">
      <c r="A8" t="s">
        <v>402</v>
      </c>
      <c r="B8">
        <v>0.28999999999999998</v>
      </c>
      <c r="C8">
        <v>0.25549851277191449</v>
      </c>
      <c r="D8">
        <v>1.02</v>
      </c>
      <c r="E8">
        <v>125.96</v>
      </c>
      <c r="F8">
        <v>485.41</v>
      </c>
      <c r="G8">
        <v>0.74</v>
      </c>
      <c r="H8">
        <v>164.53</v>
      </c>
      <c r="I8">
        <v>529</v>
      </c>
      <c r="J8">
        <v>27.71</v>
      </c>
    </row>
    <row r="9" spans="1:10" x14ac:dyDescent="0.45">
      <c r="A9" t="s">
        <v>433</v>
      </c>
      <c r="B9">
        <v>0.28999999999999998</v>
      </c>
      <c r="C9">
        <v>0.25493583417270782</v>
      </c>
      <c r="D9">
        <v>0.87</v>
      </c>
      <c r="E9">
        <v>125.55</v>
      </c>
      <c r="F9">
        <v>487.13</v>
      </c>
      <c r="G9">
        <v>0.74</v>
      </c>
      <c r="H9">
        <v>158.99</v>
      </c>
      <c r="I9">
        <v>510</v>
      </c>
      <c r="J9">
        <v>27.7</v>
      </c>
    </row>
    <row r="10" spans="1:10" x14ac:dyDescent="0.45">
      <c r="A10" t="s">
        <v>466</v>
      </c>
      <c r="B10">
        <v>0.48</v>
      </c>
      <c r="C10">
        <v>0.38439521852079028</v>
      </c>
      <c r="D10">
        <v>0.96</v>
      </c>
      <c r="E10">
        <v>134.6</v>
      </c>
      <c r="F10">
        <v>466.68</v>
      </c>
      <c r="G10">
        <v>0.71</v>
      </c>
      <c r="H10">
        <v>153.91999999999999</v>
      </c>
      <c r="I10">
        <v>515</v>
      </c>
      <c r="J10">
        <v>27.87</v>
      </c>
    </row>
    <row r="11" spans="1:10" x14ac:dyDescent="0.45">
      <c r="A11" t="s">
        <v>499</v>
      </c>
      <c r="B11">
        <v>0.4</v>
      </c>
      <c r="C11">
        <v>0.33355990898679733</v>
      </c>
      <c r="D11">
        <v>0.99</v>
      </c>
      <c r="E11">
        <v>137.65</v>
      </c>
      <c r="F11">
        <v>475.41</v>
      </c>
      <c r="G11">
        <v>0.71</v>
      </c>
      <c r="H11">
        <v>129.80000000000001</v>
      </c>
      <c r="I11">
        <v>435</v>
      </c>
      <c r="J11">
        <v>27.89</v>
      </c>
    </row>
    <row r="12" spans="1:10" x14ac:dyDescent="0.45">
      <c r="A12" t="s">
        <v>534</v>
      </c>
      <c r="B12">
        <v>0.23</v>
      </c>
      <c r="C12">
        <v>0.21201089528892689</v>
      </c>
      <c r="D12">
        <v>1.22</v>
      </c>
      <c r="E12">
        <v>190.95</v>
      </c>
      <c r="F12">
        <v>457.36</v>
      </c>
      <c r="G12">
        <v>0.57999999999999996</v>
      </c>
      <c r="H12">
        <v>156.82</v>
      </c>
      <c r="I12">
        <v>641</v>
      </c>
      <c r="J12">
        <v>28.86</v>
      </c>
    </row>
    <row r="13" spans="1:10" x14ac:dyDescent="0.45">
      <c r="A13" t="s">
        <v>567</v>
      </c>
      <c r="B13">
        <v>0.32</v>
      </c>
      <c r="C13">
        <v>0.2758789640116508</v>
      </c>
      <c r="D13">
        <v>1.18</v>
      </c>
      <c r="E13">
        <v>200.4</v>
      </c>
      <c r="F13">
        <v>464.68</v>
      </c>
      <c r="G13">
        <v>0.56999999999999995</v>
      </c>
      <c r="H13">
        <v>177.72</v>
      </c>
      <c r="I13">
        <v>744</v>
      </c>
      <c r="J13">
        <v>29.04</v>
      </c>
    </row>
    <row r="14" spans="1:10" x14ac:dyDescent="0.45">
      <c r="A14" t="s">
        <v>599</v>
      </c>
      <c r="B14">
        <v>0.33</v>
      </c>
      <c r="C14">
        <v>0.28611591979397272</v>
      </c>
      <c r="D14">
        <v>1.18</v>
      </c>
      <c r="E14">
        <v>187.41</v>
      </c>
      <c r="F14">
        <v>414.01</v>
      </c>
      <c r="G14">
        <v>0.55000000000000004</v>
      </c>
      <c r="H14">
        <v>150.57</v>
      </c>
      <c r="I14">
        <v>655</v>
      </c>
      <c r="J14">
        <v>28.97</v>
      </c>
    </row>
    <row r="15" spans="1:10" x14ac:dyDescent="0.45">
      <c r="A15" t="s">
        <v>631</v>
      </c>
      <c r="B15">
        <v>0.35</v>
      </c>
      <c r="C15">
        <v>0.3002499828130874</v>
      </c>
      <c r="D15">
        <v>1.07</v>
      </c>
      <c r="E15">
        <v>163.88</v>
      </c>
      <c r="F15">
        <v>415.44</v>
      </c>
      <c r="G15">
        <v>0.61</v>
      </c>
      <c r="H15">
        <v>97.66</v>
      </c>
      <c r="I15">
        <v>384</v>
      </c>
      <c r="J15">
        <v>29.05</v>
      </c>
    </row>
    <row r="16" spans="1:10" x14ac:dyDescent="0.45">
      <c r="A16" t="s">
        <v>663</v>
      </c>
      <c r="B16">
        <v>0.28999999999999998</v>
      </c>
      <c r="C16">
        <v>0.25233839781835748</v>
      </c>
      <c r="D16">
        <v>1.18</v>
      </c>
      <c r="E16">
        <v>127.97</v>
      </c>
      <c r="F16">
        <v>429.12</v>
      </c>
      <c r="G16">
        <v>0.7</v>
      </c>
      <c r="H16">
        <v>117.9</v>
      </c>
      <c r="I16">
        <v>400</v>
      </c>
      <c r="J16">
        <v>29.25</v>
      </c>
    </row>
    <row r="17" spans="1:10" x14ac:dyDescent="0.45">
      <c r="A17" t="s">
        <v>695</v>
      </c>
      <c r="B17">
        <v>0.56999999999999995</v>
      </c>
      <c r="C17">
        <v>0.43748716357617701</v>
      </c>
      <c r="D17">
        <v>1</v>
      </c>
      <c r="E17">
        <v>116.02</v>
      </c>
      <c r="F17">
        <v>494.19</v>
      </c>
      <c r="G17">
        <v>0.77</v>
      </c>
      <c r="H17">
        <v>69.099999999999994</v>
      </c>
      <c r="I17">
        <v>215</v>
      </c>
      <c r="J17">
        <v>28.61</v>
      </c>
    </row>
    <row r="18" spans="1:10" x14ac:dyDescent="0.45">
      <c r="A18" t="s">
        <v>728</v>
      </c>
      <c r="B18">
        <v>0.28000000000000003</v>
      </c>
      <c r="C18">
        <v>0.2458074598721732</v>
      </c>
      <c r="D18">
        <v>1.22</v>
      </c>
      <c r="E18">
        <v>141.1</v>
      </c>
      <c r="F18">
        <v>504.18</v>
      </c>
      <c r="G18">
        <v>0.72</v>
      </c>
      <c r="H18">
        <v>67.45</v>
      </c>
      <c r="I18">
        <v>223</v>
      </c>
      <c r="J18">
        <v>29.29</v>
      </c>
    </row>
    <row r="19" spans="1:10" x14ac:dyDescent="0.45">
      <c r="A19" t="s">
        <v>759</v>
      </c>
      <c r="B19">
        <v>0.39</v>
      </c>
      <c r="C19">
        <v>0.33035422069237053</v>
      </c>
      <c r="D19">
        <v>1.0900000000000001</v>
      </c>
      <c r="E19">
        <v>137.16</v>
      </c>
      <c r="F19">
        <v>397.3</v>
      </c>
      <c r="G19">
        <v>0.65</v>
      </c>
      <c r="H19">
        <v>59.95</v>
      </c>
      <c r="I19">
        <v>218</v>
      </c>
      <c r="J19">
        <v>28.84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8C193-4ECF-474E-AA97-0A53CAB97C56}">
  <dimension ref="A1:U25"/>
  <sheetViews>
    <sheetView tabSelected="1" workbookViewId="0">
      <selection activeCell="L9" sqref="L9"/>
    </sheetView>
  </sheetViews>
  <sheetFormatPr defaultRowHeight="19.2" x14ac:dyDescent="0.45"/>
  <sheetData>
    <row r="1" spans="1:21" ht="19.8" thickBot="1" x14ac:dyDescent="0.5">
      <c r="A1" s="1" t="s">
        <v>789</v>
      </c>
      <c r="B1" s="2" t="s">
        <v>790</v>
      </c>
      <c r="C1" s="2" t="s">
        <v>14</v>
      </c>
      <c r="D1" s="2" t="s">
        <v>22</v>
      </c>
      <c r="E1" s="2" t="s">
        <v>791</v>
      </c>
      <c r="F1" s="2" t="s">
        <v>29</v>
      </c>
      <c r="G1" s="2" t="s">
        <v>39</v>
      </c>
      <c r="H1" s="2" t="s">
        <v>40</v>
      </c>
      <c r="I1" s="2" t="s">
        <v>41</v>
      </c>
      <c r="J1" s="2" t="s">
        <v>44</v>
      </c>
      <c r="K1" s="2" t="s">
        <v>55</v>
      </c>
      <c r="L1" s="3" t="s">
        <v>50</v>
      </c>
      <c r="M1" t="s">
        <v>792</v>
      </c>
      <c r="N1" s="4" t="s">
        <v>791</v>
      </c>
      <c r="O1" s="2" t="s">
        <v>29</v>
      </c>
      <c r="P1" s="2" t="s">
        <v>39</v>
      </c>
      <c r="Q1" s="2" t="s">
        <v>40</v>
      </c>
      <c r="R1" s="2" t="s">
        <v>41</v>
      </c>
      <c r="S1" s="2" t="s">
        <v>44</v>
      </c>
      <c r="T1" s="2" t="s">
        <v>55</v>
      </c>
      <c r="U1" s="3" t="s">
        <v>50</v>
      </c>
    </row>
    <row r="2" spans="1:21" ht="19.8" thickTop="1" x14ac:dyDescent="0.45">
      <c r="A2" s="5" t="s">
        <v>793</v>
      </c>
      <c r="B2">
        <v>1</v>
      </c>
      <c r="C2" t="s">
        <v>151</v>
      </c>
      <c r="D2">
        <v>0.57999999999999996</v>
      </c>
      <c r="E2" s="6">
        <v>0.45764709642932511</v>
      </c>
      <c r="F2">
        <v>0.92</v>
      </c>
      <c r="G2">
        <v>125.1</v>
      </c>
      <c r="H2">
        <v>414.28</v>
      </c>
      <c r="I2">
        <v>0.7</v>
      </c>
      <c r="J2">
        <v>142.77000000000001</v>
      </c>
      <c r="K2">
        <v>487</v>
      </c>
      <c r="L2">
        <v>25.59</v>
      </c>
      <c r="M2" s="6">
        <f t="shared" ref="M2:U2" si="0">AVERAGE(D2:D10)</f>
        <v>0.42555555555555558</v>
      </c>
      <c r="N2" s="6">
        <f t="shared" si="0"/>
        <v>0.3508527182984002</v>
      </c>
      <c r="O2" s="6">
        <f t="shared" si="0"/>
        <v>0.99333333333333329</v>
      </c>
      <c r="P2" s="6">
        <f t="shared" si="0"/>
        <v>144.10555555555553</v>
      </c>
      <c r="Q2" s="6">
        <f t="shared" si="0"/>
        <v>443.69777777777773</v>
      </c>
      <c r="R2" s="6">
        <f t="shared" si="0"/>
        <v>0.66888888888888898</v>
      </c>
      <c r="S2" s="6">
        <f t="shared" si="0"/>
        <v>147.04333333333335</v>
      </c>
      <c r="T2" s="6">
        <f t="shared" si="0"/>
        <v>534</v>
      </c>
      <c r="U2" s="6">
        <f t="shared" si="0"/>
        <v>27.242222222222225</v>
      </c>
    </row>
    <row r="3" spans="1:21" x14ac:dyDescent="0.45">
      <c r="A3" s="5" t="s">
        <v>793</v>
      </c>
      <c r="B3">
        <v>1</v>
      </c>
      <c r="C3" t="s">
        <v>226</v>
      </c>
      <c r="D3">
        <v>0.47</v>
      </c>
      <c r="E3" s="6">
        <v>0.38800421387568862</v>
      </c>
      <c r="F3">
        <v>1.04</v>
      </c>
      <c r="G3">
        <v>161.38</v>
      </c>
      <c r="H3">
        <v>461.82</v>
      </c>
      <c r="I3">
        <v>0.65</v>
      </c>
      <c r="J3">
        <v>147.82</v>
      </c>
      <c r="K3">
        <v>541</v>
      </c>
      <c r="L3">
        <v>26.47</v>
      </c>
      <c r="M3" s="6">
        <f>AVERAGE(D14:D25)</f>
        <v>0.32375000000000004</v>
      </c>
      <c r="N3" s="6">
        <f t="shared" ref="N3:U3" si="1">AVERAGE(E14:E25)</f>
        <v>0.27953946865966706</v>
      </c>
      <c r="O3" s="6">
        <f t="shared" si="1"/>
        <v>1.1255555555555554</v>
      </c>
      <c r="P3" s="6">
        <f t="shared" si="1"/>
        <v>155.83777777777777</v>
      </c>
      <c r="Q3" s="6">
        <f t="shared" si="1"/>
        <v>450.1877777777778</v>
      </c>
      <c r="R3" s="6">
        <f t="shared" si="1"/>
        <v>0.6511111111111112</v>
      </c>
      <c r="S3" s="6">
        <f t="shared" si="1"/>
        <v>114.10777777777778</v>
      </c>
      <c r="T3" s="6">
        <f t="shared" si="1"/>
        <v>435</v>
      </c>
      <c r="U3" s="6">
        <f t="shared" si="1"/>
        <v>28.866666666666667</v>
      </c>
    </row>
    <row r="4" spans="1:21" x14ac:dyDescent="0.45">
      <c r="A4" s="5" t="s">
        <v>793</v>
      </c>
      <c r="B4">
        <v>1</v>
      </c>
      <c r="C4" t="s">
        <v>262</v>
      </c>
      <c r="D4">
        <v>0.57999999999999996</v>
      </c>
      <c r="E4" s="6">
        <v>0.45302232566703282</v>
      </c>
      <c r="F4">
        <v>1.27</v>
      </c>
      <c r="G4">
        <v>170.27</v>
      </c>
      <c r="H4">
        <v>352.97</v>
      </c>
      <c r="I4">
        <v>0.52</v>
      </c>
      <c r="J4">
        <v>195.22</v>
      </c>
      <c r="K4">
        <v>898</v>
      </c>
      <c r="L4">
        <v>28.08</v>
      </c>
    </row>
    <row r="5" spans="1:21" x14ac:dyDescent="0.45">
      <c r="A5" s="5" t="s">
        <v>793</v>
      </c>
      <c r="B5">
        <v>1</v>
      </c>
      <c r="C5" t="s">
        <v>298</v>
      </c>
      <c r="D5">
        <v>0.41</v>
      </c>
      <c r="E5" s="6">
        <v>0.34435051602185718</v>
      </c>
      <c r="F5">
        <v>0.99</v>
      </c>
      <c r="G5">
        <v>168.41</v>
      </c>
      <c r="H5">
        <v>393.42</v>
      </c>
      <c r="I5">
        <v>0.56999999999999995</v>
      </c>
      <c r="J5">
        <v>120.59</v>
      </c>
      <c r="K5">
        <v>502</v>
      </c>
      <c r="L5">
        <v>27.07</v>
      </c>
    </row>
    <row r="6" spans="1:21" x14ac:dyDescent="0.45">
      <c r="A6" s="5" t="s">
        <v>793</v>
      </c>
      <c r="B6">
        <v>1</v>
      </c>
      <c r="C6" t="s">
        <v>332</v>
      </c>
      <c r="D6">
        <v>0.37</v>
      </c>
      <c r="E6" s="6">
        <v>0.31593130246440421</v>
      </c>
      <c r="F6">
        <v>0.96</v>
      </c>
      <c r="G6">
        <v>162.09</v>
      </c>
      <c r="H6">
        <v>487.15</v>
      </c>
      <c r="I6">
        <v>0.67</v>
      </c>
      <c r="J6">
        <v>125.55</v>
      </c>
      <c r="K6">
        <v>448</v>
      </c>
      <c r="L6">
        <v>27.29</v>
      </c>
    </row>
    <row r="7" spans="1:21" x14ac:dyDescent="0.45">
      <c r="A7" s="5" t="s">
        <v>793</v>
      </c>
      <c r="B7">
        <v>1</v>
      </c>
      <c r="C7" t="s">
        <v>365</v>
      </c>
      <c r="D7">
        <v>0.36</v>
      </c>
      <c r="E7" s="6">
        <v>0.3038894447618809</v>
      </c>
      <c r="F7">
        <v>0.91</v>
      </c>
      <c r="G7">
        <v>123.59</v>
      </c>
      <c r="H7">
        <v>444.42</v>
      </c>
      <c r="I7">
        <v>0.72</v>
      </c>
      <c r="J7">
        <v>114</v>
      </c>
      <c r="K7">
        <v>376</v>
      </c>
      <c r="L7">
        <v>27.4</v>
      </c>
    </row>
    <row r="8" spans="1:21" x14ac:dyDescent="0.45">
      <c r="A8" s="5" t="s">
        <v>793</v>
      </c>
      <c r="B8">
        <v>1</v>
      </c>
      <c r="C8" t="s">
        <v>402</v>
      </c>
      <c r="D8">
        <v>0.28999999999999998</v>
      </c>
      <c r="E8" s="6">
        <v>0.25549851277191449</v>
      </c>
      <c r="F8">
        <v>1.02</v>
      </c>
      <c r="G8">
        <v>125.96</v>
      </c>
      <c r="H8">
        <v>485.41</v>
      </c>
      <c r="I8">
        <v>0.74</v>
      </c>
      <c r="J8">
        <v>164.53</v>
      </c>
      <c r="K8">
        <v>529</v>
      </c>
      <c r="L8">
        <v>27.71</v>
      </c>
    </row>
    <row r="9" spans="1:21" x14ac:dyDescent="0.45">
      <c r="A9" s="5" t="s">
        <v>793</v>
      </c>
      <c r="B9">
        <v>1</v>
      </c>
      <c r="C9" t="s">
        <v>433</v>
      </c>
      <c r="D9">
        <v>0.28999999999999998</v>
      </c>
      <c r="E9" s="6">
        <v>0.25493583417270782</v>
      </c>
      <c r="F9">
        <v>0.87</v>
      </c>
      <c r="G9">
        <v>125.55</v>
      </c>
      <c r="H9">
        <v>487.13</v>
      </c>
      <c r="I9">
        <v>0.74</v>
      </c>
      <c r="J9">
        <v>158.99</v>
      </c>
      <c r="K9">
        <v>510</v>
      </c>
      <c r="L9">
        <v>27.7</v>
      </c>
    </row>
    <row r="10" spans="1:21" x14ac:dyDescent="0.45">
      <c r="A10" s="5" t="s">
        <v>793</v>
      </c>
      <c r="B10">
        <v>1</v>
      </c>
      <c r="C10" t="s">
        <v>466</v>
      </c>
      <c r="D10">
        <v>0.48</v>
      </c>
      <c r="E10" s="6">
        <v>0.38439521852079028</v>
      </c>
      <c r="F10">
        <v>0.96</v>
      </c>
      <c r="G10">
        <v>134.6</v>
      </c>
      <c r="H10">
        <v>466.68</v>
      </c>
      <c r="I10">
        <v>0.71</v>
      </c>
      <c r="J10">
        <v>153.91999999999999</v>
      </c>
      <c r="K10">
        <v>515</v>
      </c>
      <c r="L10">
        <v>27.87</v>
      </c>
    </row>
    <row r="11" spans="1:21" x14ac:dyDescent="0.45">
      <c r="A11" s="5" t="s">
        <v>793</v>
      </c>
      <c r="B11">
        <v>1</v>
      </c>
      <c r="E11" s="6"/>
    </row>
    <row r="12" spans="1:21" x14ac:dyDescent="0.45">
      <c r="A12" s="5" t="s">
        <v>793</v>
      </c>
      <c r="B12">
        <v>1</v>
      </c>
      <c r="E12" s="6"/>
    </row>
    <row r="13" spans="1:21" ht="19.8" thickBot="1" x14ac:dyDescent="0.5">
      <c r="A13" s="7" t="s">
        <v>793</v>
      </c>
      <c r="B13" s="8">
        <v>1</v>
      </c>
      <c r="E13" s="6"/>
    </row>
    <row r="14" spans="1:21" x14ac:dyDescent="0.45">
      <c r="A14" s="5" t="s">
        <v>794</v>
      </c>
      <c r="B14">
        <v>2</v>
      </c>
      <c r="C14" t="s">
        <v>499</v>
      </c>
      <c r="D14">
        <v>0.4</v>
      </c>
      <c r="E14" s="6">
        <v>0.33355990898679733</v>
      </c>
      <c r="F14">
        <v>0.99</v>
      </c>
      <c r="G14">
        <v>137.65</v>
      </c>
      <c r="H14">
        <v>475.41</v>
      </c>
      <c r="I14">
        <v>0.71</v>
      </c>
      <c r="J14">
        <v>129.80000000000001</v>
      </c>
      <c r="K14">
        <v>435</v>
      </c>
      <c r="L14">
        <v>27.89</v>
      </c>
    </row>
    <row r="15" spans="1:21" x14ac:dyDescent="0.45">
      <c r="A15" s="5" t="s">
        <v>794</v>
      </c>
      <c r="B15">
        <v>2</v>
      </c>
      <c r="C15" t="s">
        <v>534</v>
      </c>
      <c r="D15">
        <v>0.23</v>
      </c>
      <c r="E15" s="6">
        <v>0.21201089528892689</v>
      </c>
      <c r="F15">
        <v>1.22</v>
      </c>
      <c r="G15">
        <v>190.95</v>
      </c>
      <c r="H15">
        <v>457.36</v>
      </c>
      <c r="I15">
        <v>0.57999999999999996</v>
      </c>
      <c r="J15">
        <v>156.82</v>
      </c>
      <c r="K15">
        <v>641</v>
      </c>
      <c r="L15">
        <v>28.86</v>
      </c>
    </row>
    <row r="16" spans="1:21" x14ac:dyDescent="0.45">
      <c r="A16" s="5" t="s">
        <v>794</v>
      </c>
      <c r="B16">
        <v>2</v>
      </c>
      <c r="C16" t="s">
        <v>567</v>
      </c>
      <c r="D16">
        <v>0.32</v>
      </c>
      <c r="E16" s="6">
        <v>0.2758789640116508</v>
      </c>
      <c r="F16">
        <v>1.18</v>
      </c>
      <c r="G16">
        <v>200.4</v>
      </c>
      <c r="H16">
        <v>464.68</v>
      </c>
      <c r="I16">
        <v>0.56999999999999995</v>
      </c>
      <c r="J16">
        <v>177.72</v>
      </c>
      <c r="K16">
        <v>744</v>
      </c>
      <c r="L16">
        <v>29.04</v>
      </c>
    </row>
    <row r="17" spans="1:12" x14ac:dyDescent="0.45">
      <c r="A17" s="5" t="s">
        <v>794</v>
      </c>
      <c r="B17">
        <v>2</v>
      </c>
      <c r="C17" t="s">
        <v>599</v>
      </c>
      <c r="D17">
        <v>0.33</v>
      </c>
      <c r="E17" s="6">
        <v>0.28611591979397272</v>
      </c>
      <c r="F17">
        <v>1.18</v>
      </c>
      <c r="G17">
        <v>187.41</v>
      </c>
      <c r="H17">
        <v>414.01</v>
      </c>
      <c r="I17">
        <v>0.55000000000000004</v>
      </c>
      <c r="J17">
        <v>150.57</v>
      </c>
      <c r="K17">
        <v>655</v>
      </c>
      <c r="L17">
        <v>28.97</v>
      </c>
    </row>
    <row r="18" spans="1:12" x14ac:dyDescent="0.45">
      <c r="A18" s="5" t="s">
        <v>794</v>
      </c>
      <c r="B18">
        <v>2</v>
      </c>
      <c r="C18" t="s">
        <v>631</v>
      </c>
      <c r="D18">
        <v>0.35</v>
      </c>
      <c r="E18" s="6">
        <v>0.3002499828130874</v>
      </c>
      <c r="F18">
        <v>1.07</v>
      </c>
      <c r="G18">
        <v>163.88</v>
      </c>
      <c r="H18">
        <v>415.44</v>
      </c>
      <c r="I18">
        <v>0.61</v>
      </c>
      <c r="J18">
        <v>97.66</v>
      </c>
      <c r="K18">
        <v>384</v>
      </c>
      <c r="L18">
        <v>29.05</v>
      </c>
    </row>
    <row r="19" spans="1:12" x14ac:dyDescent="0.45">
      <c r="A19" s="5" t="s">
        <v>794</v>
      </c>
      <c r="B19">
        <v>2</v>
      </c>
      <c r="C19" t="s">
        <v>663</v>
      </c>
      <c r="D19">
        <v>0.28999999999999998</v>
      </c>
      <c r="E19" s="6">
        <v>0.25233839781835748</v>
      </c>
      <c r="F19">
        <v>1.18</v>
      </c>
      <c r="G19">
        <v>127.97</v>
      </c>
      <c r="H19">
        <v>429.12</v>
      </c>
      <c r="I19">
        <v>0.7</v>
      </c>
      <c r="J19">
        <v>117.9</v>
      </c>
      <c r="K19">
        <v>400</v>
      </c>
      <c r="L19">
        <v>29.25</v>
      </c>
    </row>
    <row r="20" spans="1:12" x14ac:dyDescent="0.45">
      <c r="A20" s="5" t="s">
        <v>794</v>
      </c>
      <c r="B20">
        <v>2</v>
      </c>
      <c r="C20" t="s">
        <v>695</v>
      </c>
      <c r="E20" s="6"/>
      <c r="F20">
        <v>1</v>
      </c>
      <c r="G20">
        <v>116.02</v>
      </c>
      <c r="H20">
        <v>494.19</v>
      </c>
      <c r="I20">
        <v>0.77</v>
      </c>
      <c r="J20">
        <v>69.099999999999994</v>
      </c>
      <c r="K20">
        <v>215</v>
      </c>
      <c r="L20">
        <v>28.61</v>
      </c>
    </row>
    <row r="21" spans="1:12" x14ac:dyDescent="0.45">
      <c r="A21" s="5" t="s">
        <v>794</v>
      </c>
      <c r="B21">
        <v>2</v>
      </c>
      <c r="C21" t="s">
        <v>728</v>
      </c>
      <c r="D21">
        <v>0.28000000000000003</v>
      </c>
      <c r="E21" s="6">
        <v>0.2458074598721732</v>
      </c>
      <c r="F21">
        <v>1.22</v>
      </c>
      <c r="G21">
        <v>141.1</v>
      </c>
      <c r="H21">
        <v>504.18</v>
      </c>
      <c r="I21">
        <v>0.72</v>
      </c>
      <c r="J21">
        <v>67.45</v>
      </c>
      <c r="K21">
        <v>223</v>
      </c>
      <c r="L21">
        <v>29.29</v>
      </c>
    </row>
    <row r="22" spans="1:12" x14ac:dyDescent="0.45">
      <c r="A22" s="5" t="s">
        <v>794</v>
      </c>
      <c r="B22">
        <v>2</v>
      </c>
      <c r="C22" t="s">
        <v>759</v>
      </c>
      <c r="D22">
        <v>0.39</v>
      </c>
      <c r="E22" s="6">
        <v>0.33035422069237053</v>
      </c>
      <c r="F22">
        <v>1.0900000000000001</v>
      </c>
      <c r="G22">
        <v>137.16</v>
      </c>
      <c r="H22">
        <v>397.3</v>
      </c>
      <c r="I22">
        <v>0.65</v>
      </c>
      <c r="J22">
        <v>59.95</v>
      </c>
      <c r="K22">
        <v>218</v>
      </c>
      <c r="L22">
        <v>28.84</v>
      </c>
    </row>
    <row r="23" spans="1:12" x14ac:dyDescent="0.45">
      <c r="A23" s="5" t="s">
        <v>794</v>
      </c>
      <c r="B23">
        <v>2</v>
      </c>
      <c r="E23" s="6"/>
    </row>
    <row r="24" spans="1:12" x14ac:dyDescent="0.45">
      <c r="A24" s="5" t="s">
        <v>794</v>
      </c>
      <c r="B24">
        <v>2</v>
      </c>
    </row>
    <row r="25" spans="1:12" ht="19.8" thickBot="1" x14ac:dyDescent="0.5">
      <c r="A25" s="7" t="s">
        <v>794</v>
      </c>
      <c r="B25" s="8">
        <v>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lightfluoromete</vt:lpstr>
      <vt:lpstr>Clean_Data</vt:lpstr>
      <vt:lpstr>Selected_Data</vt:lpstr>
      <vt:lpstr>처리별 분류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윤정민</cp:lastModifiedBy>
  <dcterms:created xsi:type="dcterms:W3CDTF">2026-08-17T12:03:59Z</dcterms:created>
  <dcterms:modified xsi:type="dcterms:W3CDTF">2026-10-26T04:29:09Z</dcterms:modified>
</cp:coreProperties>
</file>