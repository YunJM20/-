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39" documentId="11_34151D62329290BB8F58BDA1FD757694D3571746" xr6:coauthVersionLast="47" xr6:coauthVersionMax="47" xr10:uidLastSave="{25095312-D668-4051-8CF9-5C5B57ED887B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N3" i="4"/>
  <c r="O2" i="4"/>
  <c r="P2" i="4"/>
  <c r="Q2" i="4"/>
  <c r="R2" i="4"/>
  <c r="S2" i="4"/>
  <c r="T2" i="4"/>
  <c r="U2" i="4"/>
  <c r="O3" i="4"/>
  <c r="P3" i="4"/>
  <c r="Q3" i="4"/>
  <c r="R3" i="4"/>
  <c r="S3" i="4"/>
  <c r="T3" i="4"/>
  <c r="U3" i="4"/>
  <c r="M3" i="4"/>
  <c r="M2" i="4"/>
  <c r="AL27" i="1"/>
  <c r="AF27" i="1"/>
  <c r="U27" i="1"/>
  <c r="Q27" i="1"/>
  <c r="P27" i="1"/>
  <c r="T27" i="1" s="1"/>
  <c r="M27" i="1"/>
  <c r="K27" i="1"/>
  <c r="AL26" i="1"/>
  <c r="P26" i="1" s="1"/>
  <c r="AF26" i="1"/>
  <c r="U26" i="1"/>
  <c r="M26" i="1"/>
  <c r="K26" i="1"/>
  <c r="AL25" i="1"/>
  <c r="P25" i="1" s="1"/>
  <c r="AF25" i="1"/>
  <c r="U25" i="1"/>
  <c r="M25" i="1"/>
  <c r="K25" i="1"/>
  <c r="AL24" i="1"/>
  <c r="AF24" i="1"/>
  <c r="U24" i="1"/>
  <c r="P24" i="1"/>
  <c r="T24" i="1" s="1"/>
  <c r="L24" i="1" s="1"/>
  <c r="J24" i="1" s="1"/>
  <c r="M24" i="1"/>
  <c r="K24" i="1"/>
  <c r="AL23" i="1"/>
  <c r="P23" i="1" s="1"/>
  <c r="AF23" i="1"/>
  <c r="U23" i="1"/>
  <c r="M23" i="1"/>
  <c r="K23" i="1"/>
  <c r="AL22" i="1"/>
  <c r="AF22" i="1"/>
  <c r="U22" i="1"/>
  <c r="T22" i="1"/>
  <c r="P22" i="1"/>
  <c r="Q22" i="1" s="1"/>
  <c r="M22" i="1"/>
  <c r="L22" i="1" s="1"/>
  <c r="J22" i="1" s="1"/>
  <c r="K22" i="1"/>
  <c r="AL21" i="1"/>
  <c r="P21" i="1" s="1"/>
  <c r="AF21" i="1"/>
  <c r="U21" i="1"/>
  <c r="M21" i="1" s="1"/>
  <c r="K21" i="1"/>
  <c r="AL20" i="1"/>
  <c r="P20" i="1" s="1"/>
  <c r="AF20" i="1"/>
  <c r="U20" i="1"/>
  <c r="M20" i="1"/>
  <c r="K20" i="1"/>
  <c r="AL19" i="1"/>
  <c r="P19" i="1" s="1"/>
  <c r="AF19" i="1"/>
  <c r="U19" i="1"/>
  <c r="M19" i="1" s="1"/>
  <c r="K19" i="1"/>
  <c r="AL18" i="1"/>
  <c r="AF18" i="1"/>
  <c r="U18" i="1"/>
  <c r="P18" i="1"/>
  <c r="T18" i="1" s="1"/>
  <c r="M18" i="1"/>
  <c r="L18" i="1" s="1"/>
  <c r="J18" i="1" s="1"/>
  <c r="K18" i="1"/>
  <c r="AL17" i="1"/>
  <c r="P17" i="1" s="1"/>
  <c r="AF17" i="1"/>
  <c r="U17" i="1"/>
  <c r="M17" i="1"/>
  <c r="K17" i="1"/>
  <c r="AL16" i="1"/>
  <c r="P16" i="1" s="1"/>
  <c r="AF16" i="1"/>
  <c r="U16" i="1"/>
  <c r="M16" i="1"/>
  <c r="K16" i="1"/>
  <c r="AL15" i="1"/>
  <c r="AF15" i="1"/>
  <c r="U15" i="1"/>
  <c r="P15" i="1"/>
  <c r="T15" i="1" s="1"/>
  <c r="L15" i="1" s="1"/>
  <c r="J15" i="1" s="1"/>
  <c r="M15" i="1"/>
  <c r="K15" i="1"/>
  <c r="AL14" i="1"/>
  <c r="AF14" i="1"/>
  <c r="U14" i="1"/>
  <c r="Q14" i="1"/>
  <c r="P14" i="1"/>
  <c r="T14" i="1" s="1"/>
  <c r="M14" i="1"/>
  <c r="K14" i="1"/>
  <c r="AL13" i="1"/>
  <c r="AF13" i="1"/>
  <c r="U13" i="1"/>
  <c r="T13" i="1"/>
  <c r="P13" i="1"/>
  <c r="Q13" i="1" s="1"/>
  <c r="M13" i="1"/>
  <c r="L13" i="1" s="1"/>
  <c r="J13" i="1" s="1"/>
  <c r="K13" i="1"/>
  <c r="AL12" i="1"/>
  <c r="P12" i="1" s="1"/>
  <c r="AF12" i="1"/>
  <c r="U12" i="1"/>
  <c r="M12" i="1" s="1"/>
  <c r="K12" i="1"/>
  <c r="AL11" i="1"/>
  <c r="P11" i="1" s="1"/>
  <c r="AF11" i="1"/>
  <c r="U11" i="1"/>
  <c r="M11" i="1"/>
  <c r="K11" i="1"/>
  <c r="AL10" i="1"/>
  <c r="P10" i="1" s="1"/>
  <c r="AF10" i="1"/>
  <c r="U10" i="1"/>
  <c r="M10" i="1" s="1"/>
  <c r="K10" i="1"/>
  <c r="AL9" i="1"/>
  <c r="AF9" i="1"/>
  <c r="U9" i="1"/>
  <c r="P9" i="1"/>
  <c r="T9" i="1" s="1"/>
  <c r="M9" i="1"/>
  <c r="L9" i="1" s="1"/>
  <c r="J9" i="1" s="1"/>
  <c r="K9" i="1"/>
  <c r="AL8" i="1"/>
  <c r="P8" i="1" s="1"/>
  <c r="AF8" i="1"/>
  <c r="U8" i="1"/>
  <c r="M8" i="1"/>
  <c r="K8" i="1"/>
  <c r="AL7" i="1"/>
  <c r="P7" i="1" s="1"/>
  <c r="AF7" i="1"/>
  <c r="U7" i="1"/>
  <c r="M7" i="1"/>
  <c r="K7" i="1"/>
  <c r="AL6" i="1"/>
  <c r="AF6" i="1"/>
  <c r="U6" i="1"/>
  <c r="P6" i="1"/>
  <c r="T6" i="1" s="1"/>
  <c r="L6" i="1" s="1"/>
  <c r="J6" i="1" s="1"/>
  <c r="M6" i="1"/>
  <c r="K6" i="1"/>
  <c r="AL5" i="1"/>
  <c r="AF5" i="1"/>
  <c r="U5" i="1"/>
  <c r="Q5" i="1"/>
  <c r="P5" i="1"/>
  <c r="T5" i="1" s="1"/>
  <c r="M5" i="1"/>
  <c r="L5" i="1" s="1"/>
  <c r="J5" i="1" s="1"/>
  <c r="K5" i="1"/>
  <c r="AL4" i="1"/>
  <c r="AF4" i="1"/>
  <c r="U4" i="1"/>
  <c r="T4" i="1"/>
  <c r="P4" i="1"/>
  <c r="Q4" i="1" s="1"/>
  <c r="M4" i="1"/>
  <c r="L4" i="1" s="1"/>
  <c r="J4" i="1" s="1"/>
  <c r="K4" i="1"/>
  <c r="T8" i="1" l="1"/>
  <c r="L8" i="1" s="1"/>
  <c r="J8" i="1" s="1"/>
  <c r="Q8" i="1"/>
  <c r="T11" i="1"/>
  <c r="L11" i="1" s="1"/>
  <c r="J11" i="1" s="1"/>
  <c r="Q11" i="1"/>
  <c r="Q12" i="1"/>
  <c r="T12" i="1"/>
  <c r="L12" i="1" s="1"/>
  <c r="J12" i="1" s="1"/>
  <c r="T25" i="1"/>
  <c r="L25" i="1" s="1"/>
  <c r="J25" i="1" s="1"/>
  <c r="Q25" i="1"/>
  <c r="L16" i="1"/>
  <c r="J16" i="1" s="1"/>
  <c r="T19" i="1"/>
  <c r="Q19" i="1"/>
  <c r="L23" i="1"/>
  <c r="J23" i="1" s="1"/>
  <c r="L19" i="1"/>
  <c r="J19" i="1" s="1"/>
  <c r="T26" i="1"/>
  <c r="L26" i="1" s="1"/>
  <c r="J26" i="1" s="1"/>
  <c r="Q26" i="1"/>
  <c r="L10" i="1"/>
  <c r="J10" i="1" s="1"/>
  <c r="Q16" i="1"/>
  <c r="T16" i="1"/>
  <c r="T23" i="1"/>
  <c r="Q23" i="1"/>
  <c r="L27" i="1"/>
  <c r="J27" i="1" s="1"/>
  <c r="T10" i="1"/>
  <c r="Q10" i="1"/>
  <c r="L14" i="1"/>
  <c r="J14" i="1" s="1"/>
  <c r="T20" i="1"/>
  <c r="L20" i="1" s="1"/>
  <c r="J20" i="1" s="1"/>
  <c r="Q20" i="1"/>
  <c r="Q21" i="1"/>
  <c r="T21" i="1"/>
  <c r="L21" i="1" s="1"/>
  <c r="J21" i="1" s="1"/>
  <c r="Q7" i="1"/>
  <c r="T7" i="1"/>
  <c r="L7" i="1" s="1"/>
  <c r="J7" i="1" s="1"/>
  <c r="T17" i="1"/>
  <c r="L17" i="1" s="1"/>
  <c r="J17" i="1" s="1"/>
  <c r="Q17" i="1"/>
  <c r="Q6" i="1"/>
  <c r="Q15" i="1"/>
  <c r="Q24" i="1"/>
  <c r="Q9" i="1"/>
  <c r="Q18" i="1"/>
</calcChain>
</file>

<file path=xl/sharedStrings.xml><?xml version="1.0" encoding="utf-8"?>
<sst xmlns="http://schemas.openxmlformats.org/spreadsheetml/2006/main" count="3743" uniqueCount="1204">
  <si>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</si>
  <si>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</si>
  <si>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</si>
  <si>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</si>
  <si>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</si>
  <si>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</si>
  <si>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</si>
  <si>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</si>
  <si>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</si>
  <si>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</si>
  <si>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</si>
  <si>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</si>
  <si>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</si>
  <si>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</si>
  <si>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</si>
  <si>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</si>
  <si>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</si>
  <si>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</si>
  <si>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</si>
  <si>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</si>
  <si>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</si>
  <si>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</si>
  <si>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</si>
  <si>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</si>
  <si>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</si>
  <si>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</si>
  <si>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</si>
  <si>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</si>
  <si>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</si>
  <si>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</si>
  <si>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</si>
  <si>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</si>
  <si>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</si>
  <si>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</si>
  <si>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</si>
  <si>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</si>
  <si>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</si>
  <si>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</si>
  <si>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</si>
  <si>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</si>
  <si>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</si>
  <si>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</si>
  <si>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</si>
  <si>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</si>
  <si>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</si>
  <si>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</si>
  <si>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</si>
  <si>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</si>
  <si>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</si>
  <si>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</si>
  <si>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</si>
  <si>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</si>
  <si>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</si>
  <si>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</si>
  <si>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</si>
  <si>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</si>
  <si>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</si>
  <si>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</si>
  <si>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</si>
  <si>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</si>
  <si>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</si>
  <si>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</si>
  <si>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</si>
  <si>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</si>
  <si>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</si>
  <si>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</si>
  <si>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</si>
  <si>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</si>
  <si>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</si>
  <si>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</si>
  <si>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</si>
  <si>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</si>
  <si>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</si>
  <si>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</si>
  <si>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</si>
  <si>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</si>
  <si>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</si>
  <si>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</si>
  <si>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</si>
  <si>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</si>
  <si>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</si>
  <si>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</si>
  <si>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</si>
  <si>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</si>
  <si>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</si>
  <si>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</si>
  <si>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</si>
  <si>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</si>
  <si>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</si>
  <si>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</si>
  <si>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</si>
  <si>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</si>
  <si>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</si>
  <si>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</si>
  <si>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</si>
  <si>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</si>
  <si>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</si>
  <si>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</si>
  <si>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</si>
  <si>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</si>
  <si>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</si>
  <si>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</si>
  <si>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</si>
  <si>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</si>
  <si>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</si>
  <si>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</si>
  <si>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</si>
  <si>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</si>
  <si>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</si>
  <si>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</si>
  <si>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</si>
  <si>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</si>
  <si>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</si>
  <si>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</si>
  <si>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</si>
  <si>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</si>
  <si>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</si>
  <si>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</si>
  <si>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</si>
  <si>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</si>
  <si>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</si>
  <si>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</si>
  <si>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</si>
  <si>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</si>
  <si>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</si>
  <si>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</si>
  <si>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</si>
  <si>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</si>
  <si>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</si>
  <si>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</si>
  <si>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</si>
  <si>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</si>
  <si>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</si>
  <si>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</si>
  <si>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</si>
  <si>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</si>
  <si>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</si>
  <si>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</si>
  <si>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</si>
  <si>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</si>
  <si>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</si>
  <si>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</si>
  <si>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</si>
  <si>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</si>
  <si>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</si>
  <si>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</si>
  <si>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</si>
  <si>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</si>
  <si>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</si>
  <si>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</si>
  <si>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</si>
  <si>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</si>
  <si>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</si>
  <si>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</si>
  <si>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</si>
  <si>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</si>
  <si>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</si>
  <si>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</si>
  <si>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</si>
  <si>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</si>
  <si>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10:31:50</t>
  </si>
  <si>
    <t>2026-08-13</t>
  </si>
  <si>
    <t>lightfluoromete</t>
  </si>
  <si>
    <t>yun</t>
  </si>
  <si>
    <t>001</t>
  </si>
  <si>
    <t>2.634016</t>
  </si>
  <si>
    <t>2.352695</t>
  </si>
  <si>
    <t>23.478472</t>
  </si>
  <si>
    <t>26.285879</t>
  </si>
  <si>
    <t>7.500000</t>
  </si>
  <si>
    <t>PSF-01106_20260813103150_97f</t>
  </si>
  <si>
    <t>0.000000</t>
  </si>
  <si>
    <t>145.825272</t>
  </si>
  <si>
    <t>367.317078</t>
  </si>
  <si>
    <t>0.602999</t>
  </si>
  <si>
    <t>0.5</t>
  </si>
  <si>
    <t>0.84</t>
  </si>
  <si>
    <t>1.000000</t>
  </si>
  <si>
    <t>60.62</t>
  </si>
  <si>
    <t>54.15</t>
  </si>
  <si>
    <t>30.34</t>
  </si>
  <si>
    <t>28.53</t>
  </si>
  <si>
    <t>100.21</t>
  </si>
  <si>
    <t>156.2</t>
  </si>
  <si>
    <t>152.5</t>
  </si>
  <si>
    <t>2.3</t>
  </si>
  <si>
    <t>1023</t>
  </si>
  <si>
    <t>3.950</t>
  </si>
  <si>
    <t>-9</t>
  </si>
  <si>
    <t>6</t>
  </si>
  <si>
    <t>95</t>
  </si>
  <si>
    <t>24.51</t>
  </si>
  <si>
    <t>90.99</t>
  </si>
  <si>
    <t>10.80</t>
  </si>
  <si>
    <t>-51.10</t>
  </si>
  <si>
    <t>14.70</t>
  </si>
  <si>
    <t>118.92</t>
  </si>
  <si>
    <t>35.09</t>
  </si>
  <si>
    <t>01:31:32</t>
  </si>
  <si>
    <t>35.850189</t>
  </si>
  <si>
    <t>127.129776</t>
  </si>
  <si>
    <t>38.000000</t>
  </si>
  <si>
    <t>10</t>
  </si>
  <si>
    <t>10:27:23</t>
  </si>
  <si>
    <t>-0.09</t>
  </si>
  <si>
    <t>-0.001</t>
  </si>
  <si>
    <t>0.001</t>
  </si>
  <si>
    <t>-0.009</t>
  </si>
  <si>
    <t>0.111</t>
  </si>
  <si>
    <t>-0.402</t>
  </si>
  <si>
    <t>-0.714</t>
  </si>
  <si>
    <t>150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</si>
  <si>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</si>
  <si>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</si>
  <si>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</si>
  <si>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</si>
  <si>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</si>
  <si>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</si>
  <si>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</si>
  <si>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</si>
  <si>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</si>
  <si>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</si>
  <si>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</si>
  <si>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2.502465</t>
  </si>
  <si>
    <t>2.450783</t>
  </si>
  <si>
    <t>1.671369</t>
  </si>
  <si>
    <t>0.935053</t>
  </si>
  <si>
    <t>0.220656</t>
  </si>
  <si>
    <t>-0.021243</t>
  </si>
  <si>
    <t>0.116184</t>
  </si>
  <si>
    <t>0.999215</t>
  </si>
  <si>
    <t>0.000345</t>
  </si>
  <si>
    <t>2.415626</t>
  </si>
  <si>
    <t>-0.000027</t>
  </si>
  <si>
    <t>2.361415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</si>
  <si>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</si>
  <si>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</si>
  <si>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</si>
  <si>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</si>
  <si>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</si>
  <si>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</si>
  <si>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</si>
  <si>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</si>
  <si>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</si>
  <si>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</si>
  <si>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</si>
  <si>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10:32:20</t>
  </si>
  <si>
    <t>002</t>
  </si>
  <si>
    <t>2.512877</t>
  </si>
  <si>
    <t>2.327097</t>
  </si>
  <si>
    <t>23.221800</t>
  </si>
  <si>
    <t>25.075670</t>
  </si>
  <si>
    <t>PSF-01106_20260813103220_583</t>
  </si>
  <si>
    <t>136.365646</t>
  </si>
  <si>
    <t>278.193359</t>
  </si>
  <si>
    <t>0.509817</t>
  </si>
  <si>
    <t>57.28</t>
  </si>
  <si>
    <t>53.05</t>
  </si>
  <si>
    <t>30.51</t>
  </si>
  <si>
    <t>30.54</t>
  </si>
  <si>
    <t>156.1</t>
  </si>
  <si>
    <t>155.2</t>
  </si>
  <si>
    <t>0.6</t>
  </si>
  <si>
    <t>1250</t>
  </si>
  <si>
    <t>3.948</t>
  </si>
  <si>
    <t>-17</t>
  </si>
  <si>
    <t>159</t>
  </si>
  <si>
    <t>18.66</t>
  </si>
  <si>
    <t>94.74</t>
  </si>
  <si>
    <t>19.17</t>
  </si>
  <si>
    <t>-83.90</t>
  </si>
  <si>
    <t>119.21</t>
  </si>
  <si>
    <t>34.91</t>
  </si>
  <si>
    <t>01:32:02</t>
  </si>
  <si>
    <t>35.850204</t>
  </si>
  <si>
    <t>127.129791</t>
  </si>
  <si>
    <t>38.900002</t>
  </si>
  <si>
    <t>11</t>
  </si>
  <si>
    <t>0.960000</t>
  </si>
  <si>
    <t>-0.000</t>
  </si>
  <si>
    <t>0.000</t>
  </si>
  <si>
    <t>0.003</t>
  </si>
  <si>
    <t>0.210</t>
  </si>
  <si>
    <t>0.261</t>
  </si>
  <si>
    <t>1.021</t>
  </si>
  <si>
    <t>2.500895</t>
  </si>
  <si>
    <t>2.446507</t>
  </si>
  <si>
    <t>1.671150</t>
  </si>
  <si>
    <t>0.941951</t>
  </si>
  <si>
    <t>0.219203</t>
  </si>
  <si>
    <t>0.001248</t>
  </si>
  <si>
    <t>0.120398</t>
  </si>
  <si>
    <t>1.196944</t>
  </si>
  <si>
    <t>0.000339</t>
  </si>
  <si>
    <t>3</t>
  </si>
  <si>
    <t>10:33:39</t>
  </si>
  <si>
    <t>003</t>
  </si>
  <si>
    <t>2.617099</t>
  </si>
  <si>
    <t>2.375983</t>
  </si>
  <si>
    <t>23.710869</t>
  </si>
  <si>
    <t>26.117054</t>
  </si>
  <si>
    <t>PSF-01106_20260813103339_e6f</t>
  </si>
  <si>
    <t>136.642105</t>
  </si>
  <si>
    <t>287.133698</t>
  </si>
  <si>
    <t>0.524117</t>
  </si>
  <si>
    <t>58.17</t>
  </si>
  <si>
    <t>52.81</t>
  </si>
  <si>
    <t>30.95</t>
  </si>
  <si>
    <t>29.92</t>
  </si>
  <si>
    <t>155.9</t>
  </si>
  <si>
    <t>154.3</t>
  </si>
  <si>
    <t>1.0</t>
  </si>
  <si>
    <t>1085</t>
  </si>
  <si>
    <t>3.945</t>
  </si>
  <si>
    <t>-7</t>
  </si>
  <si>
    <t>162</t>
  </si>
  <si>
    <t>38.97</t>
  </si>
  <si>
    <t>77.75</t>
  </si>
  <si>
    <t>13.02</t>
  </si>
  <si>
    <t>39.91</t>
  </si>
  <si>
    <t>119.50</t>
  </si>
  <si>
    <t>34.74</t>
  </si>
  <si>
    <t>01:33:21</t>
  </si>
  <si>
    <t>35.850235</t>
  </si>
  <si>
    <t>33.599998</t>
  </si>
  <si>
    <t>13</t>
  </si>
  <si>
    <t>0.830000</t>
  </si>
  <si>
    <t>0.005</t>
  </si>
  <si>
    <t>0.007</t>
  </si>
  <si>
    <t>0.334</t>
  </si>
  <si>
    <t>0.199</t>
  </si>
  <si>
    <t>1.187</t>
  </si>
  <si>
    <t>2.500483</t>
  </si>
  <si>
    <t>2.447560</t>
  </si>
  <si>
    <t>1.669000</t>
  </si>
  <si>
    <t>0.939792</t>
  </si>
  <si>
    <t>0.215431</t>
  </si>
  <si>
    <t>-0.011895</t>
  </si>
  <si>
    <t>0.132025</t>
  </si>
  <si>
    <t>1.053305</t>
  </si>
  <si>
    <t>4</t>
  </si>
  <si>
    <t>10:34:50</t>
  </si>
  <si>
    <t>004</t>
  </si>
  <si>
    <t>2.569243</t>
  </si>
  <si>
    <t>2.332601</t>
  </si>
  <si>
    <t>23.274340</t>
  </si>
  <si>
    <t>25.635523</t>
  </si>
  <si>
    <t>PSF-01106_20260813103450_469</t>
  </si>
  <si>
    <t>119.077560</t>
  </si>
  <si>
    <t>395.180573</t>
  </si>
  <si>
    <t>0.698676</t>
  </si>
  <si>
    <t>56.00</t>
  </si>
  <si>
    <t>50.84</t>
  </si>
  <si>
    <t>31.30</t>
  </si>
  <si>
    <t>28.70</t>
  </si>
  <si>
    <t>100.22</t>
  </si>
  <si>
    <t>156.0</t>
  </si>
  <si>
    <t>154.4</t>
  </si>
  <si>
    <t>887</t>
  </si>
  <si>
    <t>3.944</t>
  </si>
  <si>
    <t>-28</t>
  </si>
  <si>
    <t>-1</t>
  </si>
  <si>
    <t>257</t>
  </si>
  <si>
    <t>57.43</t>
  </si>
  <si>
    <t>53.84</t>
  </si>
  <si>
    <t>28.02</t>
  </si>
  <si>
    <t>74.87</t>
  </si>
  <si>
    <t>119.79</t>
  </si>
  <si>
    <t>34.56</t>
  </si>
  <si>
    <t>01:34:32</t>
  </si>
  <si>
    <t>35.850227</t>
  </si>
  <si>
    <t>33.400002</t>
  </si>
  <si>
    <t>14</t>
  </si>
  <si>
    <t>0.770000</t>
  </si>
  <si>
    <t>-0.140</t>
  </si>
  <si>
    <t>-0.021</t>
  </si>
  <si>
    <t>0.050</t>
  </si>
  <si>
    <t>2.497658</t>
  </si>
  <si>
    <t>2.444731</t>
  </si>
  <si>
    <t>1.670243</t>
  </si>
  <si>
    <t>0.939973</t>
  </si>
  <si>
    <t>0.212535</t>
  </si>
  <si>
    <t>-0.031045</t>
  </si>
  <si>
    <t>0.141951</t>
  </si>
  <si>
    <t>0.880992</t>
  </si>
  <si>
    <t>0.000357</t>
  </si>
  <si>
    <t>5</t>
  </si>
  <si>
    <t>10:35:13</t>
  </si>
  <si>
    <t>005</t>
  </si>
  <si>
    <t>2.294700</t>
  </si>
  <si>
    <t>2.294478</t>
  </si>
  <si>
    <t>22.894409</t>
  </si>
  <si>
    <t>22.896624</t>
  </si>
  <si>
    <t>PSF-01106_20260813103513_315</t>
  </si>
  <si>
    <t>130.531311</t>
  </si>
  <si>
    <t>219.787354</t>
  </si>
  <si>
    <t>0.406102</t>
  </si>
  <si>
    <t>49.65</t>
  </si>
  <si>
    <t>49.64</t>
  </si>
  <si>
    <t>31.43</t>
  </si>
  <si>
    <t>32.63</t>
  </si>
  <si>
    <t>155.0</t>
  </si>
  <si>
    <t>628</t>
  </si>
  <si>
    <t>-15</t>
  </si>
  <si>
    <t>320</t>
  </si>
  <si>
    <t>48.88</t>
  </si>
  <si>
    <t>65.77</t>
  </si>
  <si>
    <t>15.00</t>
  </si>
  <si>
    <t>140.00</t>
  </si>
  <si>
    <t>01:34:55</t>
  </si>
  <si>
    <t>127.129753</t>
  </si>
  <si>
    <t>33.200001</t>
  </si>
  <si>
    <t>0.780000</t>
  </si>
  <si>
    <t>-0.003</t>
  </si>
  <si>
    <t>0.146</t>
  </si>
  <si>
    <t>0.488</t>
  </si>
  <si>
    <t>2.711</t>
  </si>
  <si>
    <t>2.495952</t>
  </si>
  <si>
    <t>2.436571</t>
  </si>
  <si>
    <t>1.668986</t>
  </si>
  <si>
    <t>0.941549</t>
  </si>
  <si>
    <t>0.211457</t>
  </si>
  <si>
    <t>0.015851</t>
  </si>
  <si>
    <t>0.145120</t>
  </si>
  <si>
    <t>0.654610</t>
  </si>
  <si>
    <t>0.000355</t>
  </si>
  <si>
    <t>10:36:13</t>
  </si>
  <si>
    <t>006</t>
  </si>
  <si>
    <t>2.837774</t>
  </si>
  <si>
    <t>2.552688</t>
  </si>
  <si>
    <t>25.468815</t>
  </si>
  <si>
    <t>28.313185</t>
  </si>
  <si>
    <t>PSF-01106_20260813103613_66d</t>
  </si>
  <si>
    <t>147.455688</t>
  </si>
  <si>
    <t>263.791321</t>
  </si>
  <si>
    <t>0.441014</t>
  </si>
  <si>
    <t>60.13</t>
  </si>
  <si>
    <t>54.09</t>
  </si>
  <si>
    <t>31.79</t>
  </si>
  <si>
    <t>30.75</t>
  </si>
  <si>
    <t>100.23</t>
  </si>
  <si>
    <t>155.3</t>
  </si>
  <si>
    <t>1355</t>
  </si>
  <si>
    <t>3.943</t>
  </si>
  <si>
    <t>26</t>
  </si>
  <si>
    <t>353</t>
  </si>
  <si>
    <t>19.18</t>
  </si>
  <si>
    <t>94.45</t>
  </si>
  <si>
    <t>26.02</t>
  </si>
  <si>
    <t>-94.95</t>
  </si>
  <si>
    <t>120.09</t>
  </si>
  <si>
    <t>34.38</t>
  </si>
  <si>
    <t>01:35:55</t>
  </si>
  <si>
    <t>35.850231</t>
  </si>
  <si>
    <t>127.129723</t>
  </si>
  <si>
    <t>33.000000</t>
  </si>
  <si>
    <t>15</t>
  </si>
  <si>
    <t>0.740000</t>
  </si>
  <si>
    <t>-0.006</t>
  </si>
  <si>
    <t>0.384</t>
  </si>
  <si>
    <t>0.251</t>
  </si>
  <si>
    <t>0.352</t>
  </si>
  <si>
    <t>2.502101</t>
  </si>
  <si>
    <t>2.449893</t>
  </si>
  <si>
    <t>1.670845</t>
  </si>
  <si>
    <t>0.942320</t>
  </si>
  <si>
    <t>0.208431</t>
  </si>
  <si>
    <t>-0.012184</t>
  </si>
  <si>
    <t>0.153302</t>
  </si>
  <si>
    <t>1.288812</t>
  </si>
  <si>
    <t>0.000347</t>
  </si>
  <si>
    <t>7</t>
  </si>
  <si>
    <t>10:38:12</t>
  </si>
  <si>
    <t>007</t>
  </si>
  <si>
    <t>2.874185</t>
  </si>
  <si>
    <t>2.422791</t>
  </si>
  <si>
    <t>24.175331</t>
  </si>
  <si>
    <t>28.679476</t>
  </si>
  <si>
    <t>PSF-01106_20260813103812_84c</t>
  </si>
  <si>
    <t>146.225098</t>
  </si>
  <si>
    <t>252.759583</t>
  </si>
  <si>
    <t>0.421485</t>
  </si>
  <si>
    <t>58.44</t>
  </si>
  <si>
    <t>49.26</t>
  </si>
  <si>
    <t>32.52</t>
  </si>
  <si>
    <t>30.57</t>
  </si>
  <si>
    <t>156.4</t>
  </si>
  <si>
    <t>151.4</t>
  </si>
  <si>
    <t>3.2</t>
  </si>
  <si>
    <t>1726</t>
  </si>
  <si>
    <t>3.939</t>
  </si>
  <si>
    <t>-19</t>
  </si>
  <si>
    <t>-11</t>
  </si>
  <si>
    <t>120</t>
  </si>
  <si>
    <t>18.78</t>
  </si>
  <si>
    <t>94.67</t>
  </si>
  <si>
    <t>21.85</t>
  </si>
  <si>
    <t>-90.84</t>
  </si>
  <si>
    <t>120.68</t>
  </si>
  <si>
    <t>34.03</t>
  </si>
  <si>
    <t>01:37:54</t>
  </si>
  <si>
    <t>35.850224</t>
  </si>
  <si>
    <t>127.129707</t>
  </si>
  <si>
    <t>30.400000</t>
  </si>
  <si>
    <t>16</t>
  </si>
  <si>
    <t>0.710000</t>
  </si>
  <si>
    <t>0.008</t>
  </si>
  <si>
    <t>0.012</t>
  </si>
  <si>
    <t>-0.256</t>
  </si>
  <si>
    <t>-0.244</t>
  </si>
  <si>
    <t>-0.421</t>
  </si>
  <si>
    <t>2.495210</t>
  </si>
  <si>
    <t>2.447612</t>
  </si>
  <si>
    <t>1.673447</t>
  </si>
  <si>
    <t>0.932141</t>
  </si>
  <si>
    <t>0.202549</t>
  </si>
  <si>
    <t>-0.023500</t>
  </si>
  <si>
    <t>0.169545</t>
  </si>
  <si>
    <t>1.611980</t>
  </si>
  <si>
    <t>0.000348</t>
  </si>
  <si>
    <t>8</t>
  </si>
  <si>
    <t>10:41:21</t>
  </si>
  <si>
    <t>008</t>
  </si>
  <si>
    <t>2.701007</t>
  </si>
  <si>
    <t>2.564875</t>
  </si>
  <si>
    <t>25.594038</t>
  </si>
  <si>
    <t>26.952461</t>
  </si>
  <si>
    <t>PSF-01106_20260813104121_aa8</t>
  </si>
  <si>
    <t>132.298706</t>
  </si>
  <si>
    <t>331.691986</t>
  </si>
  <si>
    <t>0.601140</t>
  </si>
  <si>
    <t>52.22</t>
  </si>
  <si>
    <t>49.59</t>
  </si>
  <si>
    <t>33.42</t>
  </si>
  <si>
    <t>32.16</t>
  </si>
  <si>
    <t>154.9</t>
  </si>
  <si>
    <t>1155</t>
  </si>
  <si>
    <t>3.933</t>
  </si>
  <si>
    <t>-21</t>
  </si>
  <si>
    <t>237</t>
  </si>
  <si>
    <t>28.91</t>
  </si>
  <si>
    <t>87.54</t>
  </si>
  <si>
    <t>25.61</t>
  </si>
  <si>
    <t>0.99</t>
  </si>
  <si>
    <t>14.69</t>
  </si>
  <si>
    <t>121.90</t>
  </si>
  <si>
    <t>33.34</t>
  </si>
  <si>
    <t>01:41:03</t>
  </si>
  <si>
    <t>35.850258</t>
  </si>
  <si>
    <t>127.129768</t>
  </si>
  <si>
    <t>29.600000</t>
  </si>
  <si>
    <t>10:38:28</t>
  </si>
  <si>
    <t>-0.10</t>
  </si>
  <si>
    <t>1.034</t>
  </si>
  <si>
    <t>0.798</t>
  </si>
  <si>
    <t>1.285</t>
  </si>
  <si>
    <t>2.495504</t>
  </si>
  <si>
    <t>2.439543</t>
  </si>
  <si>
    <t>1.669408</t>
  </si>
  <si>
    <t>0.941324</t>
  </si>
  <si>
    <t>0.195578</t>
  </si>
  <si>
    <t>-0.015088</t>
  </si>
  <si>
    <t>0.193996</t>
  </si>
  <si>
    <t>1.114420</t>
  </si>
  <si>
    <t>9</t>
  </si>
  <si>
    <t>10:41:57</t>
  </si>
  <si>
    <t>009</t>
  </si>
  <si>
    <t>2.789688</t>
  </si>
  <si>
    <t>2.493662</t>
  </si>
  <si>
    <t>24.883739</t>
  </si>
  <si>
    <t>27.837721</t>
  </si>
  <si>
    <t>PSF-01106_20260813104157_df5</t>
  </si>
  <si>
    <t>128.284332</t>
  </si>
  <si>
    <t>284.539459</t>
  </si>
  <si>
    <t>0.549151</t>
  </si>
  <si>
    <t>53.44</t>
  </si>
  <si>
    <t>47.77</t>
  </si>
  <si>
    <t>33.58</t>
  </si>
  <si>
    <t>32.24</t>
  </si>
  <si>
    <t>0.8</t>
  </si>
  <si>
    <t>1215</t>
  </si>
  <si>
    <t>3.908</t>
  </si>
  <si>
    <t>111</t>
  </si>
  <si>
    <t>23.73</t>
  </si>
  <si>
    <t>91.54</t>
  </si>
  <si>
    <t>-35.10</t>
  </si>
  <si>
    <t>01:41:39</t>
  </si>
  <si>
    <t>35.850262</t>
  </si>
  <si>
    <t>127.129784</t>
  </si>
  <si>
    <t>29.299999</t>
  </si>
  <si>
    <t>0.002</t>
  </si>
  <si>
    <t>0.218</t>
  </si>
  <si>
    <t>0.299</t>
  </si>
  <si>
    <t>0.472</t>
  </si>
  <si>
    <t>2.492912</t>
  </si>
  <si>
    <t>2.441067</t>
  </si>
  <si>
    <t>1.671690</t>
  </si>
  <si>
    <t>0.941187</t>
  </si>
  <si>
    <t>0.194315</t>
  </si>
  <si>
    <t>-0.016133</t>
  </si>
  <si>
    <t>0.198340</t>
  </si>
  <si>
    <t>1.166713</t>
  </si>
  <si>
    <t>0.000349</t>
  </si>
  <si>
    <t>10:42:43</t>
  </si>
  <si>
    <t>010</t>
  </si>
  <si>
    <t>2.813600</t>
  </si>
  <si>
    <t>2.540904</t>
  </si>
  <si>
    <t>25.355478</t>
  </si>
  <si>
    <t>28.076689</t>
  </si>
  <si>
    <t>PSF-01106_20260813104243_11f</t>
  </si>
  <si>
    <t>119.096161</t>
  </si>
  <si>
    <t>399.766449</t>
  </si>
  <si>
    <t>0.702086</t>
  </si>
  <si>
    <t>53.32</t>
  </si>
  <si>
    <t>48.15</t>
  </si>
  <si>
    <t>33.78</t>
  </si>
  <si>
    <t>30.43</t>
  </si>
  <si>
    <t>153.8</t>
  </si>
  <si>
    <t>1.5</t>
  </si>
  <si>
    <t>658</t>
  </si>
  <si>
    <t>3.931</t>
  </si>
  <si>
    <t>-5</t>
  </si>
  <si>
    <t>-4</t>
  </si>
  <si>
    <t>334</t>
  </si>
  <si>
    <t>39.53</t>
  </si>
  <si>
    <t>77.13</t>
  </si>
  <si>
    <t>6.40</t>
  </si>
  <si>
    <t>115.26</t>
  </si>
  <si>
    <t>122.21</t>
  </si>
  <si>
    <t>33.17</t>
  </si>
  <si>
    <t>01:42:25</t>
  </si>
  <si>
    <t>35.850266</t>
  </si>
  <si>
    <t>30.100000</t>
  </si>
  <si>
    <t>0.750000</t>
  </si>
  <si>
    <t>0.011</t>
  </si>
  <si>
    <t>-0.119</t>
  </si>
  <si>
    <t>-0.473</t>
  </si>
  <si>
    <t>-1.150</t>
  </si>
  <si>
    <t>2.493414</t>
  </si>
  <si>
    <t>2.440878</t>
  </si>
  <si>
    <t>1.670556</t>
  </si>
  <si>
    <t>0.938281</t>
  </si>
  <si>
    <t>0.192855</t>
  </si>
  <si>
    <t>-0.041026</t>
  </si>
  <si>
    <t>0.203839</t>
  </si>
  <si>
    <t>0.680810</t>
  </si>
  <si>
    <t>0.000350</t>
  </si>
  <si>
    <t>10:45:02</t>
  </si>
  <si>
    <t>011</t>
  </si>
  <si>
    <t>2.804303</t>
  </si>
  <si>
    <t>2.507238</t>
  </si>
  <si>
    <t>25.019091</t>
  </si>
  <si>
    <t>27.983425</t>
  </si>
  <si>
    <t>PSF-01106_20260813104502_eb8</t>
  </si>
  <si>
    <t>124.276039</t>
  </si>
  <si>
    <t>385.405548</t>
  </si>
  <si>
    <t>0.677545</t>
  </si>
  <si>
    <t>51.88</t>
  </si>
  <si>
    <t>46.39</t>
  </si>
  <si>
    <t>34.21</t>
  </si>
  <si>
    <t>30.37</t>
  </si>
  <si>
    <t>504</t>
  </si>
  <si>
    <t>3.928</t>
  </si>
  <si>
    <t>39</t>
  </si>
  <si>
    <t>333</t>
  </si>
  <si>
    <t>18.56</t>
  </si>
  <si>
    <t>94.80</t>
  </si>
  <si>
    <t>39.00</t>
  </si>
  <si>
    <t>-27.00</t>
  </si>
  <si>
    <t>122.84</t>
  </si>
  <si>
    <t>32.83</t>
  </si>
  <si>
    <t>01:44:44</t>
  </si>
  <si>
    <t>35.850269</t>
  </si>
  <si>
    <t>30.799999</t>
  </si>
  <si>
    <t>0.890000</t>
  </si>
  <si>
    <t>-0.005</t>
  </si>
  <si>
    <t>0.030</t>
  </si>
  <si>
    <t>-0.376</t>
  </si>
  <si>
    <t>2.490850</t>
  </si>
  <si>
    <t>2.438967</t>
  </si>
  <si>
    <t>1.671171</t>
  </si>
  <si>
    <t>0.941285</t>
  </si>
  <si>
    <t>0.189649</t>
  </si>
  <si>
    <t>-0.047212</t>
  </si>
  <si>
    <t>0.220429</t>
  </si>
  <si>
    <t>0.546144</t>
  </si>
  <si>
    <t>0.000358</t>
  </si>
  <si>
    <t>12</t>
  </si>
  <si>
    <t>10:46:30</t>
  </si>
  <si>
    <t>012</t>
  </si>
  <si>
    <t>2.829764</t>
  </si>
  <si>
    <t>2.576611</t>
  </si>
  <si>
    <t>25.713329</t>
  </si>
  <si>
    <t>28.239681</t>
  </si>
  <si>
    <t>PSF-01106_20260813104630_cb3</t>
  </si>
  <si>
    <t>124.373314</t>
  </si>
  <si>
    <t>375.977753</t>
  </si>
  <si>
    <t>0.669200</t>
  </si>
  <si>
    <t>51.85</t>
  </si>
  <si>
    <t>47.21</t>
  </si>
  <si>
    <t>31.24</t>
  </si>
  <si>
    <t>155.4</t>
  </si>
  <si>
    <t>0.4</t>
  </si>
  <si>
    <t>498</t>
  </si>
  <si>
    <t>3.925</t>
  </si>
  <si>
    <t>-2</t>
  </si>
  <si>
    <t>275</t>
  </si>
  <si>
    <t>31.58</t>
  </si>
  <si>
    <t>85.19</t>
  </si>
  <si>
    <t>2.00</t>
  </si>
  <si>
    <t>5.00</t>
  </si>
  <si>
    <t>123.48</t>
  </si>
  <si>
    <t>32.49</t>
  </si>
  <si>
    <t>01:46:12</t>
  </si>
  <si>
    <t>35.850201</t>
  </si>
  <si>
    <t>127.129700</t>
  </si>
  <si>
    <t>32.299999</t>
  </si>
  <si>
    <t>0.176</t>
  </si>
  <si>
    <t>-0.175</t>
  </si>
  <si>
    <t>2.491986</t>
  </si>
  <si>
    <t>2.438899</t>
  </si>
  <si>
    <t>1.670796</t>
  </si>
  <si>
    <t>0.942543</t>
  </si>
  <si>
    <t>0.188378</t>
  </si>
  <si>
    <t>-0.038773</t>
  </si>
  <si>
    <t>0.230209</t>
  </si>
  <si>
    <t>0.541000</t>
  </si>
  <si>
    <t>10:47:49</t>
  </si>
  <si>
    <t>013</t>
  </si>
  <si>
    <t>2.859880</t>
  </si>
  <si>
    <t>2.570446</t>
  </si>
  <si>
    <t>25.652195</t>
  </si>
  <si>
    <t>28.540651</t>
  </si>
  <si>
    <t>PSF-01106_20260813104749_78e</t>
  </si>
  <si>
    <t>117.084503</t>
  </si>
  <si>
    <t>356.333252</t>
  </si>
  <si>
    <t>0.671419</t>
  </si>
  <si>
    <t>52.09</t>
  </si>
  <si>
    <t>46.82</t>
  </si>
  <si>
    <t>34.49</t>
  </si>
  <si>
    <t>30.65</t>
  </si>
  <si>
    <t>100.20</t>
  </si>
  <si>
    <t>154.1</t>
  </si>
  <si>
    <t>1.3</t>
  </si>
  <si>
    <t>580</t>
  </si>
  <si>
    <t>3.922</t>
  </si>
  <si>
    <t>-37</t>
  </si>
  <si>
    <t>122</t>
  </si>
  <si>
    <t>5.08</t>
  </si>
  <si>
    <t>99.61</t>
  </si>
  <si>
    <t>37.01</t>
  </si>
  <si>
    <t>-59.66</t>
  </si>
  <si>
    <t>123.80</t>
  </si>
  <si>
    <t>32.32</t>
  </si>
  <si>
    <t>01:47:31</t>
  </si>
  <si>
    <t>0.730000</t>
  </si>
  <si>
    <t>-0.242</t>
  </si>
  <si>
    <t>-0.278</t>
  </si>
  <si>
    <t>-0.040</t>
  </si>
  <si>
    <t>2.491410</t>
  </si>
  <si>
    <t>2.439184</t>
  </si>
  <si>
    <t>1.670249</t>
  </si>
  <si>
    <t>0.939072</t>
  </si>
  <si>
    <t>0.187588</t>
  </si>
  <si>
    <t>-0.047455</t>
  </si>
  <si>
    <t>0.239189</t>
  </si>
  <si>
    <t>0.612637</t>
  </si>
  <si>
    <t>0.000352</t>
  </si>
  <si>
    <t>10:49:29</t>
  </si>
  <si>
    <t>014</t>
  </si>
  <si>
    <t>2.805550</t>
  </si>
  <si>
    <t>2.534157</t>
  </si>
  <si>
    <t>25.290737</t>
  </si>
  <si>
    <t>27.999226</t>
  </si>
  <si>
    <t>PSF-01106_20260813104929_865</t>
  </si>
  <si>
    <t>131.236908</t>
  </si>
  <si>
    <t>382.451538</t>
  </si>
  <si>
    <t>0.656853</t>
  </si>
  <si>
    <t>50.79</t>
  </si>
  <si>
    <t>45.88</t>
  </si>
  <si>
    <t>34.60</t>
  </si>
  <si>
    <t>31.05</t>
  </si>
  <si>
    <t>152.7</t>
  </si>
  <si>
    <t>2.1</t>
  </si>
  <si>
    <t>780</t>
  </si>
  <si>
    <t>3.921</t>
  </si>
  <si>
    <t>138</t>
  </si>
  <si>
    <t>15.91</t>
  </si>
  <si>
    <t>96.17</t>
  </si>
  <si>
    <t>17.00</t>
  </si>
  <si>
    <t>-42.00</t>
  </si>
  <si>
    <t>124.46</t>
  </si>
  <si>
    <t>31.99</t>
  </si>
  <si>
    <t>01:49:11</t>
  </si>
  <si>
    <t>35.850285</t>
  </si>
  <si>
    <t>32.599998</t>
  </si>
  <si>
    <t>0.004</t>
  </si>
  <si>
    <t>-0.316</t>
  </si>
  <si>
    <t>0.088</t>
  </si>
  <si>
    <t>0.186</t>
  </si>
  <si>
    <t>2.490058</t>
  </si>
  <si>
    <t>2.437498</t>
  </si>
  <si>
    <t>1.670140</t>
  </si>
  <si>
    <t>0.935627</t>
  </si>
  <si>
    <t>0.186782</t>
  </si>
  <si>
    <t>-0.043873</t>
  </si>
  <si>
    <t>0.250597</t>
  </si>
  <si>
    <t>0.786926</t>
  </si>
  <si>
    <t>0.000353</t>
  </si>
  <si>
    <t>10:51:51</t>
  </si>
  <si>
    <t>015</t>
  </si>
  <si>
    <t>2.861657</t>
  </si>
  <si>
    <t>2.489569</t>
  </si>
  <si>
    <t>24.845497</t>
  </si>
  <si>
    <t>28.558884</t>
  </si>
  <si>
    <t>PSF-01106_20260813105151_168</t>
  </si>
  <si>
    <t>133.380173</t>
  </si>
  <si>
    <t>366.293182</t>
  </si>
  <si>
    <t>0.635865</t>
  </si>
  <si>
    <t>51.74</t>
  </si>
  <si>
    <t>45.01</t>
  </si>
  <si>
    <t>34.62</t>
  </si>
  <si>
    <t>30.55</t>
  </si>
  <si>
    <t>153.3</t>
  </si>
  <si>
    <t>1.7</t>
  </si>
  <si>
    <t>735</t>
  </si>
  <si>
    <t>3.916</t>
  </si>
  <si>
    <t>-27</t>
  </si>
  <si>
    <t>117</t>
  </si>
  <si>
    <t>4.56</t>
  </si>
  <si>
    <t>99.68</t>
  </si>
  <si>
    <t>27.15</t>
  </si>
  <si>
    <t>-56.42</t>
  </si>
  <si>
    <t>125.12</t>
  </si>
  <si>
    <t>31.65</t>
  </si>
  <si>
    <t>01:51:33</t>
  </si>
  <si>
    <t>35.850239</t>
  </si>
  <si>
    <t>127.129745</t>
  </si>
  <si>
    <t>32.700001</t>
  </si>
  <si>
    <t>10:49:44</t>
  </si>
  <si>
    <t>0.25</t>
  </si>
  <si>
    <t>-0.002</t>
  </si>
  <si>
    <t>-0.008</t>
  </si>
  <si>
    <t>-0.517</t>
  </si>
  <si>
    <t>-0.939</t>
  </si>
  <si>
    <t>-0.836</t>
  </si>
  <si>
    <t>2.488831</t>
  </si>
  <si>
    <t>2.438266</t>
  </si>
  <si>
    <t>1.670500</t>
  </si>
  <si>
    <t>0.937193</t>
  </si>
  <si>
    <t>0.186615</t>
  </si>
  <si>
    <t>-0.050368</t>
  </si>
  <si>
    <t>0.266410</t>
  </si>
  <si>
    <t>0.747908</t>
  </si>
  <si>
    <t>0.000354</t>
  </si>
  <si>
    <t>10:53:13</t>
  </si>
  <si>
    <t>016</t>
  </si>
  <si>
    <t>2.770836</t>
  </si>
  <si>
    <t>2.473642</t>
  </si>
  <si>
    <t>24.687969</t>
  </si>
  <si>
    <t>27.654087</t>
  </si>
  <si>
    <t>PSF-01106_20260813105313_1f8</t>
  </si>
  <si>
    <t>115.582108</t>
  </si>
  <si>
    <t>420.220612</t>
  </si>
  <si>
    <t>0.724949</t>
  </si>
  <si>
    <t>50.13</t>
  </si>
  <si>
    <t>44.76</t>
  </si>
  <si>
    <t>34.61</t>
  </si>
  <si>
    <t>519</t>
  </si>
  <si>
    <t>-3</t>
  </si>
  <si>
    <t>311</t>
  </si>
  <si>
    <t>35.23</t>
  </si>
  <si>
    <t>81.68</t>
  </si>
  <si>
    <t>12.36</t>
  </si>
  <si>
    <t>-152.83</t>
  </si>
  <si>
    <t>125.46</t>
  </si>
  <si>
    <t>31.49</t>
  </si>
  <si>
    <t>01:52:56</t>
  </si>
  <si>
    <t>33.700001</t>
  </si>
  <si>
    <t>0.578</t>
  </si>
  <si>
    <t>0.508</t>
  </si>
  <si>
    <t>1.900</t>
  </si>
  <si>
    <t>2.488474</t>
  </si>
  <si>
    <t>2.436213</t>
  </si>
  <si>
    <t>1.671177</t>
  </si>
  <si>
    <t>0.942318</t>
  </si>
  <si>
    <t>0.186714</t>
  </si>
  <si>
    <t>-0.050157</t>
  </si>
  <si>
    <t>0.275368</t>
  </si>
  <si>
    <t>0.559824</t>
  </si>
  <si>
    <t>17</t>
  </si>
  <si>
    <t>10:53:58</t>
  </si>
  <si>
    <t>017</t>
  </si>
  <si>
    <t>2.779248</t>
  </si>
  <si>
    <t>2.517411</t>
  </si>
  <si>
    <t>25.124117</t>
  </si>
  <si>
    <t>27.737288</t>
  </si>
  <si>
    <t>PSF-01106_20260813105358_275</t>
  </si>
  <si>
    <t>118.148087</t>
  </si>
  <si>
    <t>415.246002</t>
  </si>
  <si>
    <t>0.715474</t>
  </si>
  <si>
    <t>50.31</t>
  </si>
  <si>
    <t>45.57</t>
  </si>
  <si>
    <t>31.07</t>
  </si>
  <si>
    <t>0.7</t>
  </si>
  <si>
    <t>677</t>
  </si>
  <si>
    <t>3.914</t>
  </si>
  <si>
    <t>-22</t>
  </si>
  <si>
    <t>343</t>
  </si>
  <si>
    <t>46.50</t>
  </si>
  <si>
    <t>68.83</t>
  </si>
  <si>
    <t>24.92</t>
  </si>
  <si>
    <t>-167.43</t>
  </si>
  <si>
    <t>125.80</t>
  </si>
  <si>
    <t>31.32</t>
  </si>
  <si>
    <t>01:53:40</t>
  </si>
  <si>
    <t>127.129738</t>
  </si>
  <si>
    <t>34.200001</t>
  </si>
  <si>
    <t>-0.101</t>
  </si>
  <si>
    <t>0.035</t>
  </si>
  <si>
    <t>-0.028</t>
  </si>
  <si>
    <t>2.489626</t>
  </si>
  <si>
    <t>2.436440</t>
  </si>
  <si>
    <t>1.670312</t>
  </si>
  <si>
    <t>0.941355</t>
  </si>
  <si>
    <t>0.186775</t>
  </si>
  <si>
    <t>-0.043691</t>
  </si>
  <si>
    <t>0.280152</t>
  </si>
  <si>
    <t>0.697767</t>
  </si>
  <si>
    <t>0.000362</t>
  </si>
  <si>
    <t>18</t>
  </si>
  <si>
    <t>10:54:35</t>
  </si>
  <si>
    <t>018</t>
  </si>
  <si>
    <t>2.514572</t>
  </si>
  <si>
    <t>2.400996</t>
  </si>
  <si>
    <t>23.962994</t>
  </si>
  <si>
    <t>25.096531</t>
  </si>
  <si>
    <t>PSF-01106_20260813105435_3bf</t>
  </si>
  <si>
    <t>118.344070</t>
  </si>
  <si>
    <t>391.523132</t>
  </si>
  <si>
    <t>0.697734</t>
  </si>
  <si>
    <t>45.49</t>
  </si>
  <si>
    <t>43.43</t>
  </si>
  <si>
    <t>33.35</t>
  </si>
  <si>
    <t>154.6</t>
  </si>
  <si>
    <t>0.9</t>
  </si>
  <si>
    <t>632</t>
  </si>
  <si>
    <t>-18</t>
  </si>
  <si>
    <t>351</t>
  </si>
  <si>
    <t>59.15</t>
  </si>
  <si>
    <t>51.28</t>
  </si>
  <si>
    <t>28.14</t>
  </si>
  <si>
    <t>118.41</t>
  </si>
  <si>
    <t>126.14</t>
  </si>
  <si>
    <t>31.16</t>
  </si>
  <si>
    <t>01:54:17</t>
  </si>
  <si>
    <t>35.850243</t>
  </si>
  <si>
    <t>-0.093</t>
  </si>
  <si>
    <t>-0.174</t>
  </si>
  <si>
    <t>-0.271</t>
  </si>
  <si>
    <t>2.486590</t>
  </si>
  <si>
    <t>2.430216</t>
  </si>
  <si>
    <t>1.670081</t>
  </si>
  <si>
    <t>0.940530</t>
  </si>
  <si>
    <t>0.186680</t>
  </si>
  <si>
    <t>-0.015275</t>
  </si>
  <si>
    <t>0.284103</t>
  </si>
  <si>
    <t>0.658280</t>
  </si>
  <si>
    <t>19</t>
  </si>
  <si>
    <t>10:55:43</t>
  </si>
  <si>
    <t>019</t>
  </si>
  <si>
    <t>2.709541</t>
  </si>
  <si>
    <t>2.487443</t>
  </si>
  <si>
    <t>24.826389</t>
  </si>
  <si>
    <t>27.043083</t>
  </si>
  <si>
    <t>PSF-01106_20260813105543_a3b</t>
  </si>
  <si>
    <t>139.634735</t>
  </si>
  <si>
    <t>355.887665</t>
  </si>
  <si>
    <t>0.607644</t>
  </si>
  <si>
    <t>48.84</t>
  </si>
  <si>
    <t>44.84</t>
  </si>
  <si>
    <t>34.68</t>
  </si>
  <si>
    <t>32.29</t>
  </si>
  <si>
    <t>100.19</t>
  </si>
  <si>
    <t>791</t>
  </si>
  <si>
    <t>3.912</t>
  </si>
  <si>
    <t>212</t>
  </si>
  <si>
    <t>41.10</t>
  </si>
  <si>
    <t>75.36</t>
  </si>
  <si>
    <t>12.19</t>
  </si>
  <si>
    <t>87.35</t>
  </si>
  <si>
    <t>126.49</t>
  </si>
  <si>
    <t>31.00</t>
  </si>
  <si>
    <t>01:55:25</t>
  </si>
  <si>
    <t>-0.289</t>
  </si>
  <si>
    <t>-0.656</t>
  </si>
  <si>
    <t>-1.292</t>
  </si>
  <si>
    <t>2.488574</t>
  </si>
  <si>
    <t>2.434538</t>
  </si>
  <si>
    <t>1.670504</t>
  </si>
  <si>
    <t>0.942316</t>
  </si>
  <si>
    <t>0.186219</t>
  </si>
  <si>
    <t>-0.029485</t>
  </si>
  <si>
    <t>0.291653</t>
  </si>
  <si>
    <t>0.796607</t>
  </si>
  <si>
    <t>0.000359</t>
  </si>
  <si>
    <t>20</t>
  </si>
  <si>
    <t>10:56:11</t>
  </si>
  <si>
    <t>020</t>
  </si>
  <si>
    <t>2.887367</t>
  </si>
  <si>
    <t>2.747035</t>
  </si>
  <si>
    <t>27.415657</t>
  </si>
  <si>
    <t>28.816179</t>
  </si>
  <si>
    <t>PSF-01106_20260813105611_a88</t>
  </si>
  <si>
    <t>131.392120</t>
  </si>
  <si>
    <t>315.587280</t>
  </si>
  <si>
    <t>0.583658</t>
  </si>
  <si>
    <t>51.93</t>
  </si>
  <si>
    <t>49.40</t>
  </si>
  <si>
    <t>34.72</t>
  </si>
  <si>
    <t>34.02</t>
  </si>
  <si>
    <t>824</t>
  </si>
  <si>
    <t>3.910</t>
  </si>
  <si>
    <t>-16</t>
  </si>
  <si>
    <t>118</t>
  </si>
  <si>
    <t>19.84</t>
  </si>
  <si>
    <t>94.07</t>
  </si>
  <si>
    <t>23.91</t>
  </si>
  <si>
    <t>-12.31</t>
  </si>
  <si>
    <t>01:55:53</t>
  </si>
  <si>
    <t>34.000000</t>
  </si>
  <si>
    <t>-0.215</t>
  </si>
  <si>
    <t>-0.373</t>
  </si>
  <si>
    <t>2.494999</t>
  </si>
  <si>
    <t>2.438492</t>
  </si>
  <si>
    <t>1.671676</t>
  </si>
  <si>
    <t>0.941989</t>
  </si>
  <si>
    <t>0.185926</t>
  </si>
  <si>
    <t>-0.008145</t>
  </si>
  <si>
    <t>0.294730</t>
  </si>
  <si>
    <t>0.825681</t>
  </si>
  <si>
    <t>0.000351</t>
  </si>
  <si>
    <t>21</t>
  </si>
  <si>
    <t>10:57:22</t>
  </si>
  <si>
    <t>021</t>
  </si>
  <si>
    <t>3.025447</t>
  </si>
  <si>
    <t>2.777740</t>
  </si>
  <si>
    <t>27.720919</t>
  </si>
  <si>
    <t>30.192953</t>
  </si>
  <si>
    <t>PSF-01106_20260813105722_b57</t>
  </si>
  <si>
    <t>144.812103</t>
  </si>
  <si>
    <t>444.347260</t>
  </si>
  <si>
    <t>0.674102</t>
  </si>
  <si>
    <t>54.19</t>
  </si>
  <si>
    <t>49.76</t>
  </si>
  <si>
    <t>34.79</t>
  </si>
  <si>
    <t>31.55</t>
  </si>
  <si>
    <t>476</t>
  </si>
  <si>
    <t>-20</t>
  </si>
  <si>
    <t>34</t>
  </si>
  <si>
    <t>168</t>
  </si>
  <si>
    <t>53.62</t>
  </si>
  <si>
    <t>59.31</t>
  </si>
  <si>
    <t>38.83</t>
  </si>
  <si>
    <t>51.11</t>
  </si>
  <si>
    <t>127.19</t>
  </si>
  <si>
    <t>30.67</t>
  </si>
  <si>
    <t>01:57:03</t>
  </si>
  <si>
    <t>33.799999</t>
  </si>
  <si>
    <t>0.009</t>
  </si>
  <si>
    <t>0.013</t>
  </si>
  <si>
    <t>0.581</t>
  </si>
  <si>
    <t>0.238</t>
  </si>
  <si>
    <t>2.495476</t>
  </si>
  <si>
    <t>2.441370</t>
  </si>
  <si>
    <t>1.670300</t>
  </si>
  <si>
    <t>0.185401</t>
  </si>
  <si>
    <t>-0.040096</t>
  </si>
  <si>
    <t>0.302468</t>
  </si>
  <si>
    <t>0.521847</t>
  </si>
  <si>
    <t>22</t>
  </si>
  <si>
    <t>10:58:43</t>
  </si>
  <si>
    <t>022</t>
  </si>
  <si>
    <t>2.766478</t>
  </si>
  <si>
    <t>2.428367</t>
  </si>
  <si>
    <t>24.236467</t>
  </si>
  <si>
    <t>27.611012</t>
  </si>
  <si>
    <t>PSF-01106_20260813105843_ac4</t>
  </si>
  <si>
    <t>110.476257</t>
  </si>
  <si>
    <t>404.359467</t>
  </si>
  <si>
    <t>0.726787</t>
  </si>
  <si>
    <t>49.51</t>
  </si>
  <si>
    <t>43.46</t>
  </si>
  <si>
    <t>34.81</t>
  </si>
  <si>
    <t>30.87</t>
  </si>
  <si>
    <t>1.1</t>
  </si>
  <si>
    <t>488</t>
  </si>
  <si>
    <t>28</t>
  </si>
  <si>
    <t>39.27</t>
  </si>
  <si>
    <t>77.41</t>
  </si>
  <si>
    <t>21.00</t>
  </si>
  <si>
    <t>-152.00</t>
  </si>
  <si>
    <t>127.54</t>
  </si>
  <si>
    <t>01:58:25</t>
  </si>
  <si>
    <t>32.799999</t>
  </si>
  <si>
    <t>0.006</t>
  </si>
  <si>
    <t>-0.202</t>
  </si>
  <si>
    <t>0.075</t>
  </si>
  <si>
    <t>-0.068</t>
  </si>
  <si>
    <t>2.486592</t>
  </si>
  <si>
    <t>2.435374</t>
  </si>
  <si>
    <t>1.670628</t>
  </si>
  <si>
    <t>0.939739</t>
  </si>
  <si>
    <t>0.185278</t>
  </si>
  <si>
    <t>-0.048825</t>
  </si>
  <si>
    <t>0.310859</t>
  </si>
  <si>
    <t>0.532763</t>
  </si>
  <si>
    <t>0.000360</t>
  </si>
  <si>
    <t>23</t>
  </si>
  <si>
    <t>11:00:18</t>
  </si>
  <si>
    <t>023</t>
  </si>
  <si>
    <t>2.613770</t>
  </si>
  <si>
    <t>2.327032</t>
  </si>
  <si>
    <t>23.223581</t>
  </si>
  <si>
    <t>26.085209</t>
  </si>
  <si>
    <t>PSF-01106_20260813110018_fc3</t>
  </si>
  <si>
    <t>111.637474</t>
  </si>
  <si>
    <t>399.937744</t>
  </si>
  <si>
    <t>0.720863</t>
  </si>
  <si>
    <t>46.83</t>
  </si>
  <si>
    <t>41.69</t>
  </si>
  <si>
    <t>30.44</t>
  </si>
  <si>
    <t>250</t>
  </si>
  <si>
    <t>3.904</t>
  </si>
  <si>
    <t>-12</t>
  </si>
  <si>
    <t>81</t>
  </si>
  <si>
    <t>359</t>
  </si>
  <si>
    <t>59.57</t>
  </si>
  <si>
    <t>50.65</t>
  </si>
  <si>
    <t>81.20</t>
  </si>
  <si>
    <t>-92.89</t>
  </si>
  <si>
    <t>128.26</t>
  </si>
  <si>
    <t>30.19</t>
  </si>
  <si>
    <t>02:00:00</t>
  </si>
  <si>
    <t>35.850220</t>
  </si>
  <si>
    <t>33.099998</t>
  </si>
  <si>
    <t>0.800000</t>
  </si>
  <si>
    <t>0.023</t>
  </si>
  <si>
    <t>-0.052</t>
  </si>
  <si>
    <t>-0.126</t>
  </si>
  <si>
    <t>2.484079</t>
  </si>
  <si>
    <t>2.431928</t>
  </si>
  <si>
    <t>1.671816</t>
  </si>
  <si>
    <t>0.941442</t>
  </si>
  <si>
    <t>0.185431</t>
  </si>
  <si>
    <t>-0.053812</t>
  </si>
  <si>
    <t>0.320541</t>
  </si>
  <si>
    <t>0.324796</t>
  </si>
  <si>
    <t>24</t>
  </si>
  <si>
    <t>11:01:06</t>
  </si>
  <si>
    <t>024</t>
  </si>
  <si>
    <t>2.559345</t>
  </si>
  <si>
    <t>2.309742</t>
  </si>
  <si>
    <t>23.053215</t>
  </si>
  <si>
    <t>25.544468</t>
  </si>
  <si>
    <t>PSF-01106_20260813110106_bf1</t>
  </si>
  <si>
    <t>133.024338</t>
  </si>
  <si>
    <t>404.189240</t>
  </si>
  <si>
    <t>0.670886</t>
  </si>
  <si>
    <t>45.90</t>
  </si>
  <si>
    <t>41.43</t>
  </si>
  <si>
    <t>34.77</t>
  </si>
  <si>
    <t>30.90</t>
  </si>
  <si>
    <t>156.3</t>
  </si>
  <si>
    <t>154.8</t>
  </si>
  <si>
    <t>480</t>
  </si>
  <si>
    <t>301</t>
  </si>
  <si>
    <t>49.07</t>
  </si>
  <si>
    <t>65.51</t>
  </si>
  <si>
    <t>19.27</t>
  </si>
  <si>
    <t>142.67</t>
  </si>
  <si>
    <t>02:00:48</t>
  </si>
  <si>
    <t>35.850193</t>
  </si>
  <si>
    <t>11:00:33</t>
  </si>
  <si>
    <t>0.37</t>
  </si>
  <si>
    <t>0.083</t>
  </si>
  <si>
    <t>0.025</t>
  </si>
  <si>
    <t>0.070</t>
  </si>
  <si>
    <t>2.483704</t>
  </si>
  <si>
    <t>2.430577</t>
  </si>
  <si>
    <t>1.672337</t>
  </si>
  <si>
    <t>0.940884</t>
  </si>
  <si>
    <t>0.185575</t>
  </si>
  <si>
    <t>-0.047818</t>
  </si>
  <si>
    <t>0.325299</t>
  </si>
  <si>
    <t>0.525994</t>
  </si>
  <si>
    <t>처리</t>
    <phoneticPr fontId="1" type="noConversion"/>
  </si>
  <si>
    <t>ETc</t>
    <phoneticPr fontId="1" type="noConversion"/>
  </si>
  <si>
    <t>ETc_침수</t>
    <phoneticPr fontId="1" type="noConversion"/>
  </si>
  <si>
    <t>처리_</t>
    <phoneticPr fontId="1" type="noConversion"/>
  </si>
  <si>
    <t>평균gsw</t>
    <phoneticPr fontId="1" type="noConversion"/>
  </si>
  <si>
    <t>보정gsw</t>
  </si>
  <si>
    <t>보정gsw</t>
    <phoneticPr fontId="1" type="noConversion"/>
  </si>
  <si>
    <t>gsw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</si>
</sst>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2" fillId="3" borderId="0" xfId="1" applyAlignment="1"/>
    <xf numFmtId="0" fontId="0" fillId="2" borderId="0" xfId="0" applyFill="1"/>
    <xf numFmtId="2" fontId="0" fillId="0" borderId="0" xfId="0" applyNumberFormat="1" applyAlignment="1">
      <alignment vertical="center"/>
    </xf>
    <xf numFmtId="2" fontId="0" fillId="0" borderId="0" xfId="0" applyNumberFormat="1"/>
    <xf numFmtId="2" fontId="0" fillId="0" borderId="1" xfId="0" applyNumberFormat="1" applyBorder="1" applyAlignment="1">
      <alignment vertic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보정 </a:t>
            </a:r>
            <a:r>
              <a:rPr lang="en-US" altLang="ko-KR"/>
              <a:t>gsw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'처리별 분류'!$E$2:$E$25</c:f>
              <c:numCache>
                <c:formatCode>0.00</c:formatCode>
                <c:ptCount val="24"/>
                <c:pt idx="0">
                  <c:v>0.69534772721186699</c:v>
                </c:pt>
                <c:pt idx="1">
                  <c:v>0.33559693962700998</c:v>
                </c:pt>
                <c:pt idx="2">
                  <c:v>0.48870126244150203</c:v>
                </c:pt>
                <c:pt idx="5">
                  <c:v>0.47549926372914397</c:v>
                </c:pt>
                <c:pt idx="6">
                  <c:v>0.59100800073870696</c:v>
                </c:pt>
                <c:pt idx="7">
                  <c:v>0.51396693466181897</c:v>
                </c:pt>
                <c:pt idx="8">
                  <c:v>0.75360472329751604</c:v>
                </c:pt>
                <c:pt idx="9">
                  <c:v>0.35019624162632201</c:v>
                </c:pt>
                <c:pt idx="11">
                  <c:v>0.488226537768499</c:v>
                </c:pt>
                <c:pt idx="12">
                  <c:v>0.55836791667692698</c:v>
                </c:pt>
                <c:pt idx="14">
                  <c:v>0.56672353618270299</c:v>
                </c:pt>
                <c:pt idx="15">
                  <c:v>0.56499972785817398</c:v>
                </c:pt>
                <c:pt idx="16">
                  <c:v>0.61273465066899102</c:v>
                </c:pt>
                <c:pt idx="17">
                  <c:v>0.47548574780667202</c:v>
                </c:pt>
                <c:pt idx="18">
                  <c:v>0.58847082607560697</c:v>
                </c:pt>
                <c:pt idx="19">
                  <c:v>0.49027206656401401</c:v>
                </c:pt>
                <c:pt idx="21">
                  <c:v>0.63451536172284395</c:v>
                </c:pt>
                <c:pt idx="22">
                  <c:v>0.53935573398982595</c:v>
                </c:pt>
                <c:pt idx="23">
                  <c:v>0.435572453334438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A-4C4D-B114-13E7BE0FF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40623"/>
        <c:axId val="806092847"/>
      </c:scatterChart>
      <c:valAx>
        <c:axId val="109094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092847"/>
        <c:crosses val="autoZero"/>
        <c:crossBetween val="midCat"/>
      </c:valAx>
      <c:valAx>
        <c:axId val="8060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094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3</xdr:row>
      <xdr:rowOff>243840</xdr:rowOff>
    </xdr:from>
    <xdr:to>
      <xdr:col>19</xdr:col>
      <xdr:colOff>276225</xdr:colOff>
      <xdr:row>15</xdr:row>
      <xdr:rowOff>43815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CF42D2D-4FB3-3AA3-3BA1-6AF757147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7"/>
  <sheetViews>
    <sheetView workbookViewId="0">
      <selection activeCell="J8" sqref="J8"/>
    </sheetView>
  </sheetViews>
  <sheetFormatPr defaultRowHeight="19.2" x14ac:dyDescent="0.45"/>
  <sheetData>
    <row r="1" spans="1:124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27" si="0">1/((1/L4)-(1/K4))</f>
        <v>1.0516735885005821</v>
      </c>
      <c r="K4">
        <f t="shared" ref="K4:K27" si="1">BY4+(BZ4*AN4)+(CA4*AN4*POWER(V4,2))+(CB4*AN4*V4)+(CC4*POWER(AN4,2))</f>
        <v>2.9066320800000001</v>
      </c>
      <c r="L4">
        <f t="shared" ref="L4:L27" si="2">((M4/1000)*(1000-((T4+S4)/2)))/(T4-S4)</f>
        <v>0.77225672952701674</v>
      </c>
      <c r="M4">
        <f t="shared" ref="M4:M27" si="3">(AN4*(S4-R4))/(100*U4*(1000-S4))*1000</f>
        <v>10.193926924122332</v>
      </c>
      <c r="N4" t="s">
        <v>165</v>
      </c>
      <c r="O4" t="s">
        <v>166</v>
      </c>
      <c r="P4">
        <f t="shared" ref="P4:P27" si="4">0.61365*EXP((17.502*AL4)/(240.97+AL4))</f>
        <v>3.9136818560131954</v>
      </c>
      <c r="Q4">
        <f t="shared" ref="Q4:Q27" si="5">P4-N4</f>
        <v>1.2796658560131955</v>
      </c>
      <c r="R4" t="s">
        <v>167</v>
      </c>
      <c r="S4" t="s">
        <v>168</v>
      </c>
      <c r="T4">
        <f t="shared" ref="T4:T27" si="6">(P4/AM4)*1000</f>
        <v>39.054803472838998</v>
      </c>
      <c r="U4">
        <f t="shared" ref="U4:U27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27" si="8">AC4*AD4*AE4*AQ4</f>
        <v>259.08455033999996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27" si="9">(AK4-AJ4)*(AJ4*0+0)+AK4</f>
        <v>28.53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V4" t="s">
        <v>191</v>
      </c>
      <c r="AW4" t="s">
        <v>192</v>
      </c>
      <c r="AX4" t="s">
        <v>193</v>
      </c>
      <c r="AY4" t="s">
        <v>194</v>
      </c>
      <c r="AZ4" t="s">
        <v>195</v>
      </c>
      <c r="BA4" t="s">
        <v>196</v>
      </c>
      <c r="BB4" t="s">
        <v>197</v>
      </c>
      <c r="BC4" t="s">
        <v>198</v>
      </c>
      <c r="BD4" t="s">
        <v>161</v>
      </c>
      <c r="BE4" t="s">
        <v>199</v>
      </c>
      <c r="BF4" t="s">
        <v>200</v>
      </c>
      <c r="BG4" t="s">
        <v>201</v>
      </c>
      <c r="BH4" t="s">
        <v>202</v>
      </c>
      <c r="BI4" t="s">
        <v>177</v>
      </c>
      <c r="BJ4" t="s">
        <v>203</v>
      </c>
      <c r="BK4" t="s">
        <v>161</v>
      </c>
      <c r="BL4" t="s">
        <v>204</v>
      </c>
      <c r="BM4" t="s">
        <v>159</v>
      </c>
      <c r="BN4" t="s">
        <v>205</v>
      </c>
      <c r="BO4" t="s">
        <v>206</v>
      </c>
      <c r="BP4" t="s">
        <v>207</v>
      </c>
      <c r="BQ4" t="s">
        <v>208</v>
      </c>
      <c r="BR4" t="s">
        <v>209</v>
      </c>
      <c r="BS4" t="s">
        <v>210</v>
      </c>
      <c r="BT4" t="s">
        <v>159</v>
      </c>
      <c r="BU4" t="s">
        <v>211</v>
      </c>
      <c r="BV4" t="s">
        <v>206</v>
      </c>
      <c r="BW4" t="s">
        <v>212</v>
      </c>
      <c r="BX4" t="s">
        <v>213</v>
      </c>
      <c r="BY4" t="s">
        <v>171</v>
      </c>
      <c r="BZ4" t="s">
        <v>214</v>
      </c>
      <c r="CA4" t="s">
        <v>171</v>
      </c>
      <c r="CB4" t="s">
        <v>171</v>
      </c>
      <c r="CC4" t="s">
        <v>215</v>
      </c>
      <c r="CD4" t="s">
        <v>216</v>
      </c>
      <c r="CE4" t="s">
        <v>217</v>
      </c>
      <c r="CF4" t="s">
        <v>218</v>
      </c>
      <c r="CG4" t="s">
        <v>219</v>
      </c>
      <c r="CH4" t="s">
        <v>220</v>
      </c>
      <c r="CI4" t="s">
        <v>177</v>
      </c>
      <c r="CJ4" t="s">
        <v>212</v>
      </c>
      <c r="CK4" t="s">
        <v>221</v>
      </c>
      <c r="CL4" t="s">
        <v>221</v>
      </c>
      <c r="CM4" t="s">
        <v>221</v>
      </c>
      <c r="CN4" t="s">
        <v>171</v>
      </c>
      <c r="CO4" t="s">
        <v>222</v>
      </c>
      <c r="CP4" t="s">
        <v>171</v>
      </c>
      <c r="CQ4" t="s">
        <v>171</v>
      </c>
      <c r="CR4" t="s">
        <v>171</v>
      </c>
      <c r="CS4" t="s">
        <v>171</v>
      </c>
      <c r="CT4" t="s">
        <v>223</v>
      </c>
      <c r="CU4" t="s">
        <v>224</v>
      </c>
      <c r="CV4" t="s">
        <v>225</v>
      </c>
      <c r="CW4" t="s">
        <v>226</v>
      </c>
      <c r="CX4" t="s">
        <v>227</v>
      </c>
      <c r="CY4" t="s">
        <v>228</v>
      </c>
      <c r="CZ4" t="s">
        <v>229</v>
      </c>
      <c r="DA4" t="s">
        <v>230</v>
      </c>
      <c r="DB4" t="s">
        <v>172</v>
      </c>
      <c r="DC4" t="s">
        <v>231</v>
      </c>
      <c r="DD4" t="s">
        <v>232</v>
      </c>
      <c r="DE4" t="s">
        <v>233</v>
      </c>
      <c r="DF4" t="s">
        <v>177</v>
      </c>
      <c r="DG4" t="s">
        <v>234</v>
      </c>
      <c r="DH4" t="s">
        <v>235</v>
      </c>
      <c r="DI4" t="s">
        <v>177</v>
      </c>
      <c r="DJ4" t="s">
        <v>236</v>
      </c>
      <c r="DK4" t="s">
        <v>237</v>
      </c>
      <c r="DL4" t="s">
        <v>238</v>
      </c>
      <c r="DM4" t="s">
        <v>171</v>
      </c>
      <c r="DN4" t="s">
        <v>170</v>
      </c>
      <c r="DO4" t="s">
        <v>239</v>
      </c>
      <c r="DP4" t="s">
        <v>240</v>
      </c>
      <c r="DQ4" t="s">
        <v>241</v>
      </c>
      <c r="DR4" t="s">
        <v>242</v>
      </c>
      <c r="DS4" t="s">
        <v>243</v>
      </c>
      <c r="DT4" t="s">
        <v>244</v>
      </c>
    </row>
    <row r="5" spans="1:124" x14ac:dyDescent="0.45">
      <c r="A5" t="s">
        <v>245</v>
      </c>
      <c r="B5" t="s">
        <v>246</v>
      </c>
      <c r="C5" t="s">
        <v>161</v>
      </c>
      <c r="D5" t="s">
        <v>162</v>
      </c>
      <c r="E5" t="s">
        <v>163</v>
      </c>
      <c r="I5" t="s">
        <v>247</v>
      </c>
      <c r="J5">
        <f t="shared" si="0"/>
        <v>0.39213373437448901</v>
      </c>
      <c r="K5">
        <f t="shared" si="1"/>
        <v>2.9058327199999998</v>
      </c>
      <c r="L5">
        <f t="shared" si="2"/>
        <v>0.34550837666943407</v>
      </c>
      <c r="M5">
        <f t="shared" si="3"/>
        <v>6.7188948929014058</v>
      </c>
      <c r="N5" t="s">
        <v>248</v>
      </c>
      <c r="O5" t="s">
        <v>249</v>
      </c>
      <c r="P5">
        <f t="shared" si="4"/>
        <v>4.3943964851791693</v>
      </c>
      <c r="Q5">
        <f t="shared" si="5"/>
        <v>1.8815194851791692</v>
      </c>
      <c r="R5" t="s">
        <v>250</v>
      </c>
      <c r="S5" t="s">
        <v>251</v>
      </c>
      <c r="T5">
        <f t="shared" si="6"/>
        <v>43.851875912375711</v>
      </c>
      <c r="U5">
        <f t="shared" si="7"/>
        <v>0.4417875</v>
      </c>
      <c r="V5" t="s">
        <v>169</v>
      </c>
      <c r="W5" t="s">
        <v>252</v>
      </c>
      <c r="X5" t="s">
        <v>171</v>
      </c>
      <c r="Y5" t="s">
        <v>171</v>
      </c>
      <c r="Z5" t="s">
        <v>171</v>
      </c>
      <c r="AA5" t="s">
        <v>253</v>
      </c>
      <c r="AB5" t="s">
        <v>254</v>
      </c>
      <c r="AC5" t="s">
        <v>255</v>
      </c>
      <c r="AD5" t="s">
        <v>175</v>
      </c>
      <c r="AE5" t="s">
        <v>176</v>
      </c>
      <c r="AF5">
        <f t="shared" si="8"/>
        <v>267.65392500000002</v>
      </c>
      <c r="AG5" t="s">
        <v>177</v>
      </c>
      <c r="AH5" t="s">
        <v>256</v>
      </c>
      <c r="AI5" t="s">
        <v>257</v>
      </c>
      <c r="AJ5" t="s">
        <v>258</v>
      </c>
      <c r="AK5" t="s">
        <v>259</v>
      </c>
      <c r="AL5">
        <f t="shared" si="9"/>
        <v>30.54</v>
      </c>
      <c r="AM5" t="s">
        <v>182</v>
      </c>
      <c r="AN5" t="s">
        <v>260</v>
      </c>
      <c r="AO5" t="s">
        <v>261</v>
      </c>
      <c r="AP5" t="s">
        <v>262</v>
      </c>
      <c r="AQ5" t="s">
        <v>263</v>
      </c>
      <c r="AR5" t="s">
        <v>264</v>
      </c>
      <c r="AS5" t="s">
        <v>188</v>
      </c>
      <c r="AT5" t="s">
        <v>265</v>
      </c>
      <c r="AU5" t="s">
        <v>266</v>
      </c>
      <c r="AV5" t="s">
        <v>267</v>
      </c>
      <c r="AW5" t="s">
        <v>268</v>
      </c>
      <c r="AX5" t="s">
        <v>269</v>
      </c>
      <c r="AY5" t="s">
        <v>270</v>
      </c>
      <c r="AZ5" t="s">
        <v>195</v>
      </c>
      <c r="BA5" t="s">
        <v>271</v>
      </c>
      <c r="BB5" t="s">
        <v>272</v>
      </c>
      <c r="BC5" t="s">
        <v>273</v>
      </c>
      <c r="BD5" t="s">
        <v>161</v>
      </c>
      <c r="BE5" t="s">
        <v>274</v>
      </c>
      <c r="BF5" t="s">
        <v>275</v>
      </c>
      <c r="BG5" t="s">
        <v>276</v>
      </c>
      <c r="BH5" t="s">
        <v>277</v>
      </c>
      <c r="BI5" t="s">
        <v>278</v>
      </c>
      <c r="BJ5" t="s">
        <v>203</v>
      </c>
      <c r="BK5" t="s">
        <v>161</v>
      </c>
      <c r="BL5" t="s">
        <v>204</v>
      </c>
      <c r="BM5" t="s">
        <v>159</v>
      </c>
      <c r="BN5" t="s">
        <v>279</v>
      </c>
      <c r="BO5" t="s">
        <v>280</v>
      </c>
      <c r="BP5" t="s">
        <v>281</v>
      </c>
      <c r="BQ5" t="s">
        <v>282</v>
      </c>
      <c r="BR5" t="s">
        <v>283</v>
      </c>
      <c r="BS5" t="s">
        <v>284</v>
      </c>
      <c r="BT5" t="s">
        <v>159</v>
      </c>
      <c r="BU5" t="s">
        <v>211</v>
      </c>
      <c r="BV5" t="s">
        <v>206</v>
      </c>
      <c r="BW5" t="s">
        <v>212</v>
      </c>
      <c r="BX5" t="s">
        <v>213</v>
      </c>
      <c r="BY5" t="s">
        <v>171</v>
      </c>
      <c r="BZ5" t="s">
        <v>214</v>
      </c>
      <c r="CA5" t="s">
        <v>171</v>
      </c>
      <c r="CB5" t="s">
        <v>171</v>
      </c>
      <c r="CC5" t="s">
        <v>215</v>
      </c>
      <c r="CD5" t="s">
        <v>216</v>
      </c>
      <c r="CE5" t="s">
        <v>217</v>
      </c>
      <c r="CF5" t="s">
        <v>218</v>
      </c>
      <c r="CG5" t="s">
        <v>219</v>
      </c>
      <c r="CH5" t="s">
        <v>220</v>
      </c>
      <c r="CI5" t="s">
        <v>177</v>
      </c>
      <c r="CJ5" t="s">
        <v>212</v>
      </c>
      <c r="CK5" t="s">
        <v>221</v>
      </c>
      <c r="CL5" t="s">
        <v>221</v>
      </c>
      <c r="CM5" t="s">
        <v>221</v>
      </c>
      <c r="CN5" t="s">
        <v>171</v>
      </c>
      <c r="CO5" t="s">
        <v>222</v>
      </c>
      <c r="CP5" t="s">
        <v>171</v>
      </c>
      <c r="CQ5" t="s">
        <v>171</v>
      </c>
      <c r="CR5" t="s">
        <v>171</v>
      </c>
      <c r="CS5" t="s">
        <v>171</v>
      </c>
      <c r="CT5" t="s">
        <v>285</v>
      </c>
      <c r="CU5" t="s">
        <v>286</v>
      </c>
      <c r="CV5" t="s">
        <v>287</v>
      </c>
      <c r="CW5" t="s">
        <v>288</v>
      </c>
      <c r="CX5" t="s">
        <v>289</v>
      </c>
      <c r="CY5" t="s">
        <v>290</v>
      </c>
      <c r="CZ5" t="s">
        <v>291</v>
      </c>
      <c r="DA5" t="s">
        <v>292</v>
      </c>
      <c r="DB5" t="s">
        <v>253</v>
      </c>
      <c r="DC5" t="s">
        <v>293</v>
      </c>
      <c r="DD5" t="s">
        <v>232</v>
      </c>
      <c r="DE5" t="s">
        <v>233</v>
      </c>
      <c r="DF5" t="s">
        <v>177</v>
      </c>
      <c r="DG5" t="s">
        <v>234</v>
      </c>
      <c r="DH5" t="s">
        <v>235</v>
      </c>
      <c r="DI5" t="s">
        <v>177</v>
      </c>
      <c r="DJ5" t="s">
        <v>236</v>
      </c>
      <c r="DK5" t="s">
        <v>237</v>
      </c>
      <c r="DL5" t="s">
        <v>238</v>
      </c>
      <c r="DM5" t="s">
        <v>171</v>
      </c>
      <c r="DN5" t="s">
        <v>252</v>
      </c>
      <c r="DO5" t="s">
        <v>239</v>
      </c>
      <c r="DP5" t="s">
        <v>240</v>
      </c>
      <c r="DQ5" t="s">
        <v>241</v>
      </c>
      <c r="DR5" t="s">
        <v>242</v>
      </c>
      <c r="DS5" t="s">
        <v>243</v>
      </c>
      <c r="DT5" t="s">
        <v>244</v>
      </c>
    </row>
    <row r="6" spans="1:124" x14ac:dyDescent="0.45">
      <c r="A6" t="s">
        <v>294</v>
      </c>
      <c r="B6" t="s">
        <v>295</v>
      </c>
      <c r="C6" t="s">
        <v>161</v>
      </c>
      <c r="D6" t="s">
        <v>162</v>
      </c>
      <c r="E6" t="s">
        <v>163</v>
      </c>
      <c r="I6" t="s">
        <v>296</v>
      </c>
      <c r="J6">
        <f t="shared" si="0"/>
        <v>0.63293225741853509</v>
      </c>
      <c r="K6">
        <f t="shared" si="1"/>
        <v>2.9042299199999997</v>
      </c>
      <c r="L6">
        <f t="shared" si="2"/>
        <v>0.51967670893438611</v>
      </c>
      <c r="M6">
        <f t="shared" si="3"/>
        <v>8.7187644705586571</v>
      </c>
      <c r="N6" t="s">
        <v>297</v>
      </c>
      <c r="O6" t="s">
        <v>298</v>
      </c>
      <c r="P6">
        <f t="shared" si="4"/>
        <v>4.2409115892801372</v>
      </c>
      <c r="Q6">
        <f t="shared" si="5"/>
        <v>1.6238125892801372</v>
      </c>
      <c r="R6" t="s">
        <v>299</v>
      </c>
      <c r="S6" t="s">
        <v>300</v>
      </c>
      <c r="T6">
        <f t="shared" si="6"/>
        <v>42.320243381699804</v>
      </c>
      <c r="U6">
        <f t="shared" si="7"/>
        <v>0.4417875</v>
      </c>
      <c r="V6" t="s">
        <v>169</v>
      </c>
      <c r="W6" t="s">
        <v>301</v>
      </c>
      <c r="X6" t="s">
        <v>171</v>
      </c>
      <c r="Y6" t="s">
        <v>171</v>
      </c>
      <c r="Z6" t="s">
        <v>171</v>
      </c>
      <c r="AA6" t="s">
        <v>302</v>
      </c>
      <c r="AB6" t="s">
        <v>303</v>
      </c>
      <c r="AC6" t="s">
        <v>304</v>
      </c>
      <c r="AD6" t="s">
        <v>175</v>
      </c>
      <c r="AE6" t="s">
        <v>176</v>
      </c>
      <c r="AF6">
        <f t="shared" si="8"/>
        <v>238.84011690000003</v>
      </c>
      <c r="AG6" t="s">
        <v>177</v>
      </c>
      <c r="AH6" t="s">
        <v>305</v>
      </c>
      <c r="AI6" t="s">
        <v>306</v>
      </c>
      <c r="AJ6" t="s">
        <v>307</v>
      </c>
      <c r="AK6" t="s">
        <v>308</v>
      </c>
      <c r="AL6">
        <f t="shared" si="9"/>
        <v>29.92</v>
      </c>
      <c r="AM6" t="s">
        <v>182</v>
      </c>
      <c r="AN6" t="s">
        <v>309</v>
      </c>
      <c r="AO6" t="s">
        <v>310</v>
      </c>
      <c r="AP6" t="s">
        <v>311</v>
      </c>
      <c r="AQ6" t="s">
        <v>312</v>
      </c>
      <c r="AR6" t="s">
        <v>313</v>
      </c>
      <c r="AS6" t="s">
        <v>314</v>
      </c>
      <c r="AT6" t="s">
        <v>277</v>
      </c>
      <c r="AU6" t="s">
        <v>315</v>
      </c>
      <c r="AV6" t="s">
        <v>316</v>
      </c>
      <c r="AW6" t="s">
        <v>317</v>
      </c>
      <c r="AX6" t="s">
        <v>318</v>
      </c>
      <c r="AY6" t="s">
        <v>319</v>
      </c>
      <c r="AZ6" t="s">
        <v>195</v>
      </c>
      <c r="BA6" t="s">
        <v>320</v>
      </c>
      <c r="BB6" t="s">
        <v>321</v>
      </c>
      <c r="BC6" t="s">
        <v>322</v>
      </c>
      <c r="BD6" t="s">
        <v>161</v>
      </c>
      <c r="BE6" t="s">
        <v>323</v>
      </c>
      <c r="BF6" t="s">
        <v>200</v>
      </c>
      <c r="BG6" t="s">
        <v>324</v>
      </c>
      <c r="BH6" t="s">
        <v>325</v>
      </c>
      <c r="BI6" t="s">
        <v>326</v>
      </c>
      <c r="BJ6" t="s">
        <v>203</v>
      </c>
      <c r="BK6" t="s">
        <v>161</v>
      </c>
      <c r="BL6" t="s">
        <v>204</v>
      </c>
      <c r="BM6" t="s">
        <v>159</v>
      </c>
      <c r="BN6" t="s">
        <v>327</v>
      </c>
      <c r="BO6" t="s">
        <v>205</v>
      </c>
      <c r="BP6" t="s">
        <v>328</v>
      </c>
      <c r="BQ6" t="s">
        <v>329</v>
      </c>
      <c r="BR6" t="s">
        <v>330</v>
      </c>
      <c r="BS6" t="s">
        <v>331</v>
      </c>
      <c r="BT6" t="s">
        <v>159</v>
      </c>
      <c r="BU6" t="s">
        <v>211</v>
      </c>
      <c r="BV6" t="s">
        <v>206</v>
      </c>
      <c r="BW6" t="s">
        <v>212</v>
      </c>
      <c r="BX6" t="s">
        <v>213</v>
      </c>
      <c r="BY6" t="s">
        <v>171</v>
      </c>
      <c r="BZ6" t="s">
        <v>214</v>
      </c>
      <c r="CA6" t="s">
        <v>171</v>
      </c>
      <c r="CB6" t="s">
        <v>171</v>
      </c>
      <c r="CC6" t="s">
        <v>215</v>
      </c>
      <c r="CD6" t="s">
        <v>216</v>
      </c>
      <c r="CE6" t="s">
        <v>217</v>
      </c>
      <c r="CF6" t="s">
        <v>218</v>
      </c>
      <c r="CG6" t="s">
        <v>219</v>
      </c>
      <c r="CH6" t="s">
        <v>220</v>
      </c>
      <c r="CI6" t="s">
        <v>177</v>
      </c>
      <c r="CJ6" t="s">
        <v>212</v>
      </c>
      <c r="CK6" t="s">
        <v>221</v>
      </c>
      <c r="CL6" t="s">
        <v>221</v>
      </c>
      <c r="CM6" t="s">
        <v>221</v>
      </c>
      <c r="CN6" t="s">
        <v>171</v>
      </c>
      <c r="CO6" t="s">
        <v>222</v>
      </c>
      <c r="CP6" t="s">
        <v>171</v>
      </c>
      <c r="CQ6" t="s">
        <v>171</v>
      </c>
      <c r="CR6" t="s">
        <v>171</v>
      </c>
      <c r="CS6" t="s">
        <v>171</v>
      </c>
      <c r="CT6" t="s">
        <v>332</v>
      </c>
      <c r="CU6" t="s">
        <v>333</v>
      </c>
      <c r="CV6" t="s">
        <v>334</v>
      </c>
      <c r="CW6" t="s">
        <v>335</v>
      </c>
      <c r="CX6" t="s">
        <v>336</v>
      </c>
      <c r="CY6" t="s">
        <v>337</v>
      </c>
      <c r="CZ6" t="s">
        <v>338</v>
      </c>
      <c r="DA6" t="s">
        <v>339</v>
      </c>
      <c r="DB6" t="s">
        <v>302</v>
      </c>
      <c r="DC6" t="s">
        <v>293</v>
      </c>
      <c r="DD6" t="s">
        <v>232</v>
      </c>
      <c r="DE6" t="s">
        <v>233</v>
      </c>
      <c r="DF6" t="s">
        <v>177</v>
      </c>
      <c r="DG6" t="s">
        <v>234</v>
      </c>
      <c r="DH6" t="s">
        <v>235</v>
      </c>
      <c r="DI6" t="s">
        <v>177</v>
      </c>
      <c r="DJ6" t="s">
        <v>236</v>
      </c>
      <c r="DK6" t="s">
        <v>237</v>
      </c>
      <c r="DL6" t="s">
        <v>238</v>
      </c>
      <c r="DM6" t="s">
        <v>171</v>
      </c>
      <c r="DN6" t="s">
        <v>301</v>
      </c>
      <c r="DO6" t="s">
        <v>239</v>
      </c>
      <c r="DP6" t="s">
        <v>240</v>
      </c>
      <c r="DQ6" t="s">
        <v>241</v>
      </c>
      <c r="DR6" t="s">
        <v>242</v>
      </c>
      <c r="DS6" t="s">
        <v>243</v>
      </c>
      <c r="DT6" t="s">
        <v>244</v>
      </c>
    </row>
    <row r="7" spans="1:124" x14ac:dyDescent="0.45">
      <c r="A7" t="s">
        <v>340</v>
      </c>
      <c r="B7" t="s">
        <v>341</v>
      </c>
      <c r="C7" t="s">
        <v>161</v>
      </c>
      <c r="D7" t="s">
        <v>162</v>
      </c>
      <c r="E7" t="s">
        <v>163</v>
      </c>
      <c r="I7" t="s">
        <v>342</v>
      </c>
      <c r="J7">
        <f t="shared" si="0"/>
        <v>0.75583707468933226</v>
      </c>
      <c r="K7">
        <f t="shared" si="1"/>
        <v>2.9050319999999994</v>
      </c>
      <c r="L7">
        <f t="shared" si="2"/>
        <v>0.59978405235517296</v>
      </c>
      <c r="M7">
        <f t="shared" si="3"/>
        <v>8.5569576016134707</v>
      </c>
      <c r="N7" t="s">
        <v>343</v>
      </c>
      <c r="O7" t="s">
        <v>344</v>
      </c>
      <c r="P7">
        <f t="shared" si="4"/>
        <v>3.9524823867404479</v>
      </c>
      <c r="Q7">
        <f t="shared" si="5"/>
        <v>1.3832393867404478</v>
      </c>
      <c r="R7" t="s">
        <v>345</v>
      </c>
      <c r="S7" t="s">
        <v>346</v>
      </c>
      <c r="T7">
        <f t="shared" si="6"/>
        <v>39.438060135107243</v>
      </c>
      <c r="U7">
        <f t="shared" si="7"/>
        <v>0.4417875</v>
      </c>
      <c r="V7" t="s">
        <v>169</v>
      </c>
      <c r="W7" t="s">
        <v>347</v>
      </c>
      <c r="X7" t="s">
        <v>171</v>
      </c>
      <c r="Y7" t="s">
        <v>171</v>
      </c>
      <c r="Z7" t="s">
        <v>171</v>
      </c>
      <c r="AA7" t="s">
        <v>348</v>
      </c>
      <c r="AB7" t="s">
        <v>349</v>
      </c>
      <c r="AC7" t="s">
        <v>350</v>
      </c>
      <c r="AD7" t="s">
        <v>175</v>
      </c>
      <c r="AE7" t="s">
        <v>176</v>
      </c>
      <c r="AF7">
        <f t="shared" si="8"/>
        <v>260.28475703999999</v>
      </c>
      <c r="AG7" t="s">
        <v>177</v>
      </c>
      <c r="AH7" t="s">
        <v>351</v>
      </c>
      <c r="AI7" t="s">
        <v>352</v>
      </c>
      <c r="AJ7" t="s">
        <v>353</v>
      </c>
      <c r="AK7" t="s">
        <v>354</v>
      </c>
      <c r="AL7">
        <f t="shared" si="9"/>
        <v>28.7</v>
      </c>
      <c r="AM7" t="s">
        <v>355</v>
      </c>
      <c r="AN7" t="s">
        <v>356</v>
      </c>
      <c r="AO7" t="s">
        <v>357</v>
      </c>
      <c r="AP7" t="s">
        <v>311</v>
      </c>
      <c r="AQ7" t="s">
        <v>358</v>
      </c>
      <c r="AR7" t="s">
        <v>359</v>
      </c>
      <c r="AS7" t="s">
        <v>360</v>
      </c>
      <c r="AT7" t="s">
        <v>361</v>
      </c>
      <c r="AU7" t="s">
        <v>362</v>
      </c>
      <c r="AV7" t="s">
        <v>363</v>
      </c>
      <c r="AW7" t="s">
        <v>364</v>
      </c>
      <c r="AX7" t="s">
        <v>365</v>
      </c>
      <c r="AY7" t="s">
        <v>366</v>
      </c>
      <c r="AZ7" t="s">
        <v>195</v>
      </c>
      <c r="BA7" t="s">
        <v>367</v>
      </c>
      <c r="BB7" t="s">
        <v>368</v>
      </c>
      <c r="BC7" t="s">
        <v>369</v>
      </c>
      <c r="BD7" t="s">
        <v>161</v>
      </c>
      <c r="BE7" t="s">
        <v>370</v>
      </c>
      <c r="BF7" t="s">
        <v>200</v>
      </c>
      <c r="BG7" t="s">
        <v>371</v>
      </c>
      <c r="BH7" t="s">
        <v>372</v>
      </c>
      <c r="BI7" t="s">
        <v>373</v>
      </c>
      <c r="BJ7" t="s">
        <v>203</v>
      </c>
      <c r="BK7" t="s">
        <v>161</v>
      </c>
      <c r="BL7" t="s">
        <v>204</v>
      </c>
      <c r="BM7" t="s">
        <v>159</v>
      </c>
      <c r="BN7" t="s">
        <v>205</v>
      </c>
      <c r="BO7" t="s">
        <v>280</v>
      </c>
      <c r="BP7" t="s">
        <v>328</v>
      </c>
      <c r="BQ7" t="s">
        <v>374</v>
      </c>
      <c r="BR7" t="s">
        <v>375</v>
      </c>
      <c r="BS7" t="s">
        <v>376</v>
      </c>
      <c r="BT7" t="s">
        <v>159</v>
      </c>
      <c r="BU7" t="s">
        <v>211</v>
      </c>
      <c r="BV7" t="s">
        <v>206</v>
      </c>
      <c r="BW7" t="s">
        <v>212</v>
      </c>
      <c r="BX7" t="s">
        <v>213</v>
      </c>
      <c r="BY7" t="s">
        <v>171</v>
      </c>
      <c r="BZ7" t="s">
        <v>214</v>
      </c>
      <c r="CA7" t="s">
        <v>171</v>
      </c>
      <c r="CB7" t="s">
        <v>171</v>
      </c>
      <c r="CC7" t="s">
        <v>215</v>
      </c>
      <c r="CD7" t="s">
        <v>216</v>
      </c>
      <c r="CE7" t="s">
        <v>217</v>
      </c>
      <c r="CF7" t="s">
        <v>218</v>
      </c>
      <c r="CG7" t="s">
        <v>219</v>
      </c>
      <c r="CH7" t="s">
        <v>220</v>
      </c>
      <c r="CI7" t="s">
        <v>177</v>
      </c>
      <c r="CJ7" t="s">
        <v>212</v>
      </c>
      <c r="CK7" t="s">
        <v>221</v>
      </c>
      <c r="CL7" t="s">
        <v>221</v>
      </c>
      <c r="CM7" t="s">
        <v>221</v>
      </c>
      <c r="CN7" t="s">
        <v>171</v>
      </c>
      <c r="CO7" t="s">
        <v>222</v>
      </c>
      <c r="CP7" t="s">
        <v>171</v>
      </c>
      <c r="CQ7" t="s">
        <v>171</v>
      </c>
      <c r="CR7" t="s">
        <v>171</v>
      </c>
      <c r="CS7" t="s">
        <v>171</v>
      </c>
      <c r="CT7" t="s">
        <v>377</v>
      </c>
      <c r="CU7" t="s">
        <v>378</v>
      </c>
      <c r="CV7" t="s">
        <v>379</v>
      </c>
      <c r="CW7" t="s">
        <v>380</v>
      </c>
      <c r="CX7" t="s">
        <v>381</v>
      </c>
      <c r="CY7" t="s">
        <v>382</v>
      </c>
      <c r="CZ7" t="s">
        <v>383</v>
      </c>
      <c r="DA7" t="s">
        <v>384</v>
      </c>
      <c r="DB7" t="s">
        <v>348</v>
      </c>
      <c r="DC7" t="s">
        <v>385</v>
      </c>
      <c r="DD7" t="s">
        <v>232</v>
      </c>
      <c r="DE7" t="s">
        <v>233</v>
      </c>
      <c r="DF7" t="s">
        <v>177</v>
      </c>
      <c r="DG7" t="s">
        <v>234</v>
      </c>
      <c r="DH7" t="s">
        <v>235</v>
      </c>
      <c r="DI7" t="s">
        <v>177</v>
      </c>
      <c r="DJ7" t="s">
        <v>236</v>
      </c>
      <c r="DK7" t="s">
        <v>237</v>
      </c>
      <c r="DL7" t="s">
        <v>238</v>
      </c>
      <c r="DM7" t="s">
        <v>171</v>
      </c>
      <c r="DN7" t="s">
        <v>347</v>
      </c>
      <c r="DO7" t="s">
        <v>239</v>
      </c>
      <c r="DP7" t="s">
        <v>240</v>
      </c>
      <c r="DQ7" t="s">
        <v>241</v>
      </c>
      <c r="DR7" t="s">
        <v>242</v>
      </c>
      <c r="DS7" t="s">
        <v>243</v>
      </c>
      <c r="DT7" t="s">
        <v>244</v>
      </c>
    </row>
    <row r="8" spans="1:124" x14ac:dyDescent="0.45">
      <c r="A8" t="s">
        <v>386</v>
      </c>
      <c r="B8" t="s">
        <v>387</v>
      </c>
      <c r="C8" t="s">
        <v>161</v>
      </c>
      <c r="D8" t="s">
        <v>162</v>
      </c>
      <c r="E8" t="s">
        <v>163</v>
      </c>
      <c r="I8" t="s">
        <v>388</v>
      </c>
      <c r="J8" s="10">
        <f t="shared" si="0"/>
        <v>2.9126658038066403E-4</v>
      </c>
      <c r="K8">
        <f t="shared" si="1"/>
        <v>2.9042299199999997</v>
      </c>
      <c r="L8">
        <f t="shared" si="2"/>
        <v>2.9123737204806907E-4</v>
      </c>
      <c r="M8">
        <f t="shared" si="3"/>
        <v>7.999556464695955E-3</v>
      </c>
      <c r="N8" t="s">
        <v>389</v>
      </c>
      <c r="O8" t="s">
        <v>390</v>
      </c>
      <c r="P8">
        <f t="shared" si="4"/>
        <v>4.9480207880044436</v>
      </c>
      <c r="Q8">
        <f t="shared" si="5"/>
        <v>2.6533207880044434</v>
      </c>
      <c r="R8" t="s">
        <v>391</v>
      </c>
      <c r="S8" t="s">
        <v>392</v>
      </c>
      <c r="T8">
        <f t="shared" si="6"/>
        <v>49.371590381205785</v>
      </c>
      <c r="U8">
        <f t="shared" si="7"/>
        <v>0.4417875</v>
      </c>
      <c r="V8" t="s">
        <v>169</v>
      </c>
      <c r="W8" t="s">
        <v>393</v>
      </c>
      <c r="X8" t="s">
        <v>171</v>
      </c>
      <c r="Y8" t="s">
        <v>171</v>
      </c>
      <c r="Z8" t="s">
        <v>171</v>
      </c>
      <c r="AA8" t="s">
        <v>394</v>
      </c>
      <c r="AB8" t="s">
        <v>395</v>
      </c>
      <c r="AC8" t="s">
        <v>396</v>
      </c>
      <c r="AD8" t="s">
        <v>175</v>
      </c>
      <c r="AE8" t="s">
        <v>176</v>
      </c>
      <c r="AF8">
        <f t="shared" si="8"/>
        <v>107.11346352</v>
      </c>
      <c r="AG8" t="s">
        <v>177</v>
      </c>
      <c r="AH8" t="s">
        <v>397</v>
      </c>
      <c r="AI8" t="s">
        <v>398</v>
      </c>
      <c r="AJ8" t="s">
        <v>399</v>
      </c>
      <c r="AK8" t="s">
        <v>400</v>
      </c>
      <c r="AL8">
        <f t="shared" si="9"/>
        <v>32.630000000000003</v>
      </c>
      <c r="AM8" t="s">
        <v>355</v>
      </c>
      <c r="AN8" t="s">
        <v>309</v>
      </c>
      <c r="AO8" t="s">
        <v>401</v>
      </c>
      <c r="AP8" t="s">
        <v>175</v>
      </c>
      <c r="AQ8" t="s">
        <v>402</v>
      </c>
      <c r="AR8" t="s">
        <v>359</v>
      </c>
      <c r="AS8" t="s">
        <v>403</v>
      </c>
      <c r="AT8" t="s">
        <v>217</v>
      </c>
      <c r="AU8" t="s">
        <v>404</v>
      </c>
      <c r="AV8" t="s">
        <v>405</v>
      </c>
      <c r="AW8" t="s">
        <v>406</v>
      </c>
      <c r="AX8" t="s">
        <v>407</v>
      </c>
      <c r="AY8" t="s">
        <v>408</v>
      </c>
      <c r="AZ8" t="s">
        <v>195</v>
      </c>
      <c r="BA8" t="s">
        <v>367</v>
      </c>
      <c r="BB8" t="s">
        <v>368</v>
      </c>
      <c r="BC8" t="s">
        <v>409</v>
      </c>
      <c r="BD8" t="s">
        <v>161</v>
      </c>
      <c r="BE8" t="s">
        <v>323</v>
      </c>
      <c r="BF8" t="s">
        <v>410</v>
      </c>
      <c r="BG8" t="s">
        <v>411</v>
      </c>
      <c r="BH8" t="s">
        <v>372</v>
      </c>
      <c r="BI8" t="s">
        <v>412</v>
      </c>
      <c r="BJ8" t="s">
        <v>203</v>
      </c>
      <c r="BK8" t="s">
        <v>161</v>
      </c>
      <c r="BL8" t="s">
        <v>204</v>
      </c>
      <c r="BM8" t="s">
        <v>159</v>
      </c>
      <c r="BN8" t="s">
        <v>280</v>
      </c>
      <c r="BO8" t="s">
        <v>279</v>
      </c>
      <c r="BP8" t="s">
        <v>413</v>
      </c>
      <c r="BQ8" t="s">
        <v>414</v>
      </c>
      <c r="BR8" t="s">
        <v>415</v>
      </c>
      <c r="BS8" t="s">
        <v>416</v>
      </c>
      <c r="BT8" t="s">
        <v>159</v>
      </c>
      <c r="BU8" t="s">
        <v>211</v>
      </c>
      <c r="BV8" t="s">
        <v>206</v>
      </c>
      <c r="BW8" t="s">
        <v>212</v>
      </c>
      <c r="BX8" t="s">
        <v>213</v>
      </c>
      <c r="BY8" t="s">
        <v>171</v>
      </c>
      <c r="BZ8" t="s">
        <v>214</v>
      </c>
      <c r="CA8" t="s">
        <v>171</v>
      </c>
      <c r="CB8" t="s">
        <v>171</v>
      </c>
      <c r="CC8" t="s">
        <v>215</v>
      </c>
      <c r="CD8" t="s">
        <v>216</v>
      </c>
      <c r="CE8" t="s">
        <v>217</v>
      </c>
      <c r="CF8" t="s">
        <v>218</v>
      </c>
      <c r="CG8" t="s">
        <v>219</v>
      </c>
      <c r="CH8" t="s">
        <v>220</v>
      </c>
      <c r="CI8" t="s">
        <v>177</v>
      </c>
      <c r="CJ8" t="s">
        <v>212</v>
      </c>
      <c r="CK8" t="s">
        <v>221</v>
      </c>
      <c r="CL8" t="s">
        <v>221</v>
      </c>
      <c r="CM8" t="s">
        <v>221</v>
      </c>
      <c r="CN8" t="s">
        <v>171</v>
      </c>
      <c r="CO8" t="s">
        <v>222</v>
      </c>
      <c r="CP8" t="s">
        <v>171</v>
      </c>
      <c r="CQ8" t="s">
        <v>171</v>
      </c>
      <c r="CR8" t="s">
        <v>171</v>
      </c>
      <c r="CS8" t="s">
        <v>171</v>
      </c>
      <c r="CT8" t="s">
        <v>417</v>
      </c>
      <c r="CU8" t="s">
        <v>418</v>
      </c>
      <c r="CV8" t="s">
        <v>419</v>
      </c>
      <c r="CW8" t="s">
        <v>420</v>
      </c>
      <c r="CX8" t="s">
        <v>421</v>
      </c>
      <c r="CY8" t="s">
        <v>422</v>
      </c>
      <c r="CZ8" t="s">
        <v>423</v>
      </c>
      <c r="DA8" t="s">
        <v>424</v>
      </c>
      <c r="DB8" t="s">
        <v>394</v>
      </c>
      <c r="DC8" t="s">
        <v>425</v>
      </c>
      <c r="DD8" t="s">
        <v>232</v>
      </c>
      <c r="DE8" t="s">
        <v>233</v>
      </c>
      <c r="DF8" t="s">
        <v>177</v>
      </c>
      <c r="DG8" t="s">
        <v>234</v>
      </c>
      <c r="DH8" t="s">
        <v>235</v>
      </c>
      <c r="DI8" t="s">
        <v>177</v>
      </c>
      <c r="DJ8" t="s">
        <v>236</v>
      </c>
      <c r="DK8" t="s">
        <v>237</v>
      </c>
      <c r="DL8" t="s">
        <v>238</v>
      </c>
      <c r="DM8" t="s">
        <v>171</v>
      </c>
      <c r="DN8" t="s">
        <v>393</v>
      </c>
      <c r="DO8" t="s">
        <v>239</v>
      </c>
      <c r="DP8" t="s">
        <v>240</v>
      </c>
      <c r="DQ8" t="s">
        <v>241</v>
      </c>
      <c r="DR8" t="s">
        <v>242</v>
      </c>
      <c r="DS8" t="s">
        <v>243</v>
      </c>
      <c r="DT8" t="s">
        <v>244</v>
      </c>
    </row>
    <row r="9" spans="1:124" x14ac:dyDescent="0.45">
      <c r="A9" t="s">
        <v>189</v>
      </c>
      <c r="B9" t="s">
        <v>426</v>
      </c>
      <c r="C9" t="s">
        <v>161</v>
      </c>
      <c r="D9" t="s">
        <v>162</v>
      </c>
      <c r="E9" t="s">
        <v>163</v>
      </c>
      <c r="I9" t="s">
        <v>427</v>
      </c>
      <c r="J9">
        <f t="shared" si="0"/>
        <v>0.78920397263792519</v>
      </c>
      <c r="K9">
        <f t="shared" si="1"/>
        <v>2.9058327199999998</v>
      </c>
      <c r="L9">
        <f t="shared" si="2"/>
        <v>0.62064193598252493</v>
      </c>
      <c r="M9">
        <f t="shared" si="3"/>
        <v>10.343065120175767</v>
      </c>
      <c r="N9" t="s">
        <v>428</v>
      </c>
      <c r="O9" t="s">
        <v>429</v>
      </c>
      <c r="P9">
        <f t="shared" si="4"/>
        <v>4.4474691894854219</v>
      </c>
      <c r="Q9">
        <f t="shared" si="5"/>
        <v>1.6096951894854219</v>
      </c>
      <c r="R9" t="s">
        <v>430</v>
      </c>
      <c r="S9" t="s">
        <v>431</v>
      </c>
      <c r="T9">
        <f t="shared" si="6"/>
        <v>44.372634834734335</v>
      </c>
      <c r="U9">
        <f t="shared" si="7"/>
        <v>0.4417875</v>
      </c>
      <c r="V9" t="s">
        <v>169</v>
      </c>
      <c r="W9" t="s">
        <v>432</v>
      </c>
      <c r="X9" t="s">
        <v>171</v>
      </c>
      <c r="Y9" t="s">
        <v>171</v>
      </c>
      <c r="Z9" t="s">
        <v>171</v>
      </c>
      <c r="AA9" t="s">
        <v>433</v>
      </c>
      <c r="AB9" t="s">
        <v>434</v>
      </c>
      <c r="AC9" t="s">
        <v>435</v>
      </c>
      <c r="AD9" t="s">
        <v>175</v>
      </c>
      <c r="AE9" t="s">
        <v>176</v>
      </c>
      <c r="AF9">
        <f t="shared" si="8"/>
        <v>250.9810674</v>
      </c>
      <c r="AG9" t="s">
        <v>177</v>
      </c>
      <c r="AH9" t="s">
        <v>436</v>
      </c>
      <c r="AI9" t="s">
        <v>437</v>
      </c>
      <c r="AJ9" t="s">
        <v>438</v>
      </c>
      <c r="AK9" t="s">
        <v>439</v>
      </c>
      <c r="AL9">
        <f t="shared" si="9"/>
        <v>30.75</v>
      </c>
      <c r="AM9" t="s">
        <v>440</v>
      </c>
      <c r="AN9" t="s">
        <v>260</v>
      </c>
      <c r="AO9" t="s">
        <v>441</v>
      </c>
      <c r="AP9" t="s">
        <v>175</v>
      </c>
      <c r="AQ9" t="s">
        <v>442</v>
      </c>
      <c r="AR9" t="s">
        <v>443</v>
      </c>
      <c r="AS9" t="s">
        <v>159</v>
      </c>
      <c r="AT9" t="s">
        <v>444</v>
      </c>
      <c r="AU9" t="s">
        <v>445</v>
      </c>
      <c r="AV9" t="s">
        <v>446</v>
      </c>
      <c r="AW9" t="s">
        <v>447</v>
      </c>
      <c r="AX9" t="s">
        <v>448</v>
      </c>
      <c r="AY9" t="s">
        <v>449</v>
      </c>
      <c r="AZ9" t="s">
        <v>195</v>
      </c>
      <c r="BA9" t="s">
        <v>450</v>
      </c>
      <c r="BB9" t="s">
        <v>451</v>
      </c>
      <c r="BC9" t="s">
        <v>452</v>
      </c>
      <c r="BD9" t="s">
        <v>161</v>
      </c>
      <c r="BE9" t="s">
        <v>453</v>
      </c>
      <c r="BF9" t="s">
        <v>454</v>
      </c>
      <c r="BG9" t="s">
        <v>455</v>
      </c>
      <c r="BH9" t="s">
        <v>456</v>
      </c>
      <c r="BI9" t="s">
        <v>457</v>
      </c>
      <c r="BJ9" t="s">
        <v>203</v>
      </c>
      <c r="BK9" t="s">
        <v>161</v>
      </c>
      <c r="BL9" t="s">
        <v>204</v>
      </c>
      <c r="BM9" t="s">
        <v>159</v>
      </c>
      <c r="BN9" t="s">
        <v>279</v>
      </c>
      <c r="BO9" t="s">
        <v>205</v>
      </c>
      <c r="BP9" t="s">
        <v>458</v>
      </c>
      <c r="BQ9" t="s">
        <v>459</v>
      </c>
      <c r="BR9" t="s">
        <v>460</v>
      </c>
      <c r="BS9" t="s">
        <v>461</v>
      </c>
      <c r="BT9" t="s">
        <v>159</v>
      </c>
      <c r="BU9" t="s">
        <v>211</v>
      </c>
      <c r="BV9" t="s">
        <v>206</v>
      </c>
      <c r="BW9" t="s">
        <v>212</v>
      </c>
      <c r="BX9" t="s">
        <v>213</v>
      </c>
      <c r="BY9" t="s">
        <v>171</v>
      </c>
      <c r="BZ9" t="s">
        <v>214</v>
      </c>
      <c r="CA9" t="s">
        <v>171</v>
      </c>
      <c r="CB9" t="s">
        <v>171</v>
      </c>
      <c r="CC9" t="s">
        <v>215</v>
      </c>
      <c r="CD9" t="s">
        <v>216</v>
      </c>
      <c r="CE9" t="s">
        <v>217</v>
      </c>
      <c r="CF9" t="s">
        <v>218</v>
      </c>
      <c r="CG9" t="s">
        <v>219</v>
      </c>
      <c r="CH9" t="s">
        <v>220</v>
      </c>
      <c r="CI9" t="s">
        <v>177</v>
      </c>
      <c r="CJ9" t="s">
        <v>212</v>
      </c>
      <c r="CK9" t="s">
        <v>221</v>
      </c>
      <c r="CL9" t="s">
        <v>221</v>
      </c>
      <c r="CM9" t="s">
        <v>221</v>
      </c>
      <c r="CN9" t="s">
        <v>171</v>
      </c>
      <c r="CO9" t="s">
        <v>222</v>
      </c>
      <c r="CP9" t="s">
        <v>171</v>
      </c>
      <c r="CQ9" t="s">
        <v>171</v>
      </c>
      <c r="CR9" t="s">
        <v>171</v>
      </c>
      <c r="CS9" t="s">
        <v>171</v>
      </c>
      <c r="CT9" t="s">
        <v>462</v>
      </c>
      <c r="CU9" t="s">
        <v>463</v>
      </c>
      <c r="CV9" t="s">
        <v>464</v>
      </c>
      <c r="CW9" t="s">
        <v>465</v>
      </c>
      <c r="CX9" t="s">
        <v>466</v>
      </c>
      <c r="CY9" t="s">
        <v>467</v>
      </c>
      <c r="CZ9" t="s">
        <v>468</v>
      </c>
      <c r="DA9" t="s">
        <v>469</v>
      </c>
      <c r="DB9" t="s">
        <v>433</v>
      </c>
      <c r="DC9" t="s">
        <v>470</v>
      </c>
      <c r="DD9" t="s">
        <v>232</v>
      </c>
      <c r="DE9" t="s">
        <v>233</v>
      </c>
      <c r="DF9" t="s">
        <v>177</v>
      </c>
      <c r="DG9" t="s">
        <v>234</v>
      </c>
      <c r="DH9" t="s">
        <v>235</v>
      </c>
      <c r="DI9" t="s">
        <v>177</v>
      </c>
      <c r="DJ9" t="s">
        <v>236</v>
      </c>
      <c r="DK9" t="s">
        <v>237</v>
      </c>
      <c r="DL9" t="s">
        <v>238</v>
      </c>
      <c r="DM9" t="s">
        <v>171</v>
      </c>
      <c r="DN9" t="s">
        <v>432</v>
      </c>
      <c r="DO9" t="s">
        <v>239</v>
      </c>
      <c r="DP9" t="s">
        <v>240</v>
      </c>
      <c r="DQ9" t="s">
        <v>241</v>
      </c>
      <c r="DR9" t="s">
        <v>242</v>
      </c>
      <c r="DS9" t="s">
        <v>243</v>
      </c>
      <c r="DT9" t="s">
        <v>244</v>
      </c>
    </row>
    <row r="10" spans="1:124" x14ac:dyDescent="0.45">
      <c r="A10" t="s">
        <v>471</v>
      </c>
      <c r="B10" t="s">
        <v>472</v>
      </c>
      <c r="C10" t="s">
        <v>161</v>
      </c>
      <c r="D10" t="s">
        <v>162</v>
      </c>
      <c r="E10" t="s">
        <v>163</v>
      </c>
      <c r="I10" t="s">
        <v>473</v>
      </c>
      <c r="J10">
        <f t="shared" si="0"/>
        <v>1.6137396691018502</v>
      </c>
      <c r="K10">
        <f t="shared" si="1"/>
        <v>2.9082267199999996</v>
      </c>
      <c r="L10">
        <f t="shared" si="2"/>
        <v>1.0378495594563903</v>
      </c>
      <c r="M10">
        <f t="shared" si="3"/>
        <v>16.416218451706385</v>
      </c>
      <c r="N10" t="s">
        <v>474</v>
      </c>
      <c r="O10" t="s">
        <v>475</v>
      </c>
      <c r="P10">
        <f t="shared" si="4"/>
        <v>4.4019443517652341</v>
      </c>
      <c r="Q10">
        <f t="shared" si="5"/>
        <v>1.5277593517652339</v>
      </c>
      <c r="R10" t="s">
        <v>476</v>
      </c>
      <c r="S10" t="s">
        <v>477</v>
      </c>
      <c r="T10">
        <f t="shared" si="6"/>
        <v>43.922813328330015</v>
      </c>
      <c r="U10">
        <f t="shared" si="7"/>
        <v>0.4417875</v>
      </c>
      <c r="V10" t="s">
        <v>169</v>
      </c>
      <c r="W10" t="s">
        <v>478</v>
      </c>
      <c r="X10" t="s">
        <v>171</v>
      </c>
      <c r="Y10" t="s">
        <v>171</v>
      </c>
      <c r="Z10" t="s">
        <v>171</v>
      </c>
      <c r="AA10" t="s">
        <v>479</v>
      </c>
      <c r="AB10" t="s">
        <v>480</v>
      </c>
      <c r="AC10" t="s">
        <v>481</v>
      </c>
      <c r="AD10" t="s">
        <v>175</v>
      </c>
      <c r="AE10" t="s">
        <v>176</v>
      </c>
      <c r="AF10">
        <f t="shared" si="8"/>
        <v>305.5429062</v>
      </c>
      <c r="AG10" t="s">
        <v>177</v>
      </c>
      <c r="AH10" t="s">
        <v>482</v>
      </c>
      <c r="AI10" t="s">
        <v>483</v>
      </c>
      <c r="AJ10" t="s">
        <v>484</v>
      </c>
      <c r="AK10" t="s">
        <v>485</v>
      </c>
      <c r="AL10">
        <f t="shared" si="9"/>
        <v>30.57</v>
      </c>
      <c r="AM10" t="s">
        <v>355</v>
      </c>
      <c r="AN10" t="s">
        <v>486</v>
      </c>
      <c r="AO10" t="s">
        <v>487</v>
      </c>
      <c r="AP10" t="s">
        <v>488</v>
      </c>
      <c r="AQ10" t="s">
        <v>489</v>
      </c>
      <c r="AR10" t="s">
        <v>490</v>
      </c>
      <c r="AS10" t="s">
        <v>491</v>
      </c>
      <c r="AT10" t="s">
        <v>492</v>
      </c>
      <c r="AU10" t="s">
        <v>493</v>
      </c>
      <c r="AV10" t="s">
        <v>494</v>
      </c>
      <c r="AW10" t="s">
        <v>495</v>
      </c>
      <c r="AX10" t="s">
        <v>496</v>
      </c>
      <c r="AY10" t="s">
        <v>497</v>
      </c>
      <c r="AZ10" t="s">
        <v>195</v>
      </c>
      <c r="BA10" t="s">
        <v>498</v>
      </c>
      <c r="BB10" t="s">
        <v>499</v>
      </c>
      <c r="BC10" t="s">
        <v>500</v>
      </c>
      <c r="BD10" t="s">
        <v>161</v>
      </c>
      <c r="BE10" t="s">
        <v>501</v>
      </c>
      <c r="BF10" t="s">
        <v>502</v>
      </c>
      <c r="BG10" t="s">
        <v>503</v>
      </c>
      <c r="BH10" t="s">
        <v>504</v>
      </c>
      <c r="BI10" t="s">
        <v>505</v>
      </c>
      <c r="BJ10" t="s">
        <v>203</v>
      </c>
      <c r="BK10" t="s">
        <v>161</v>
      </c>
      <c r="BL10" t="s">
        <v>204</v>
      </c>
      <c r="BM10" t="s">
        <v>159</v>
      </c>
      <c r="BN10" t="s">
        <v>506</v>
      </c>
      <c r="BO10" t="s">
        <v>279</v>
      </c>
      <c r="BP10" t="s">
        <v>507</v>
      </c>
      <c r="BQ10" t="s">
        <v>508</v>
      </c>
      <c r="BR10" t="s">
        <v>509</v>
      </c>
      <c r="BS10" t="s">
        <v>510</v>
      </c>
      <c r="BT10" t="s">
        <v>159</v>
      </c>
      <c r="BU10" t="s">
        <v>211</v>
      </c>
      <c r="BV10" t="s">
        <v>206</v>
      </c>
      <c r="BW10" t="s">
        <v>212</v>
      </c>
      <c r="BX10" t="s">
        <v>213</v>
      </c>
      <c r="BY10" t="s">
        <v>171</v>
      </c>
      <c r="BZ10" t="s">
        <v>214</v>
      </c>
      <c r="CA10" t="s">
        <v>171</v>
      </c>
      <c r="CB10" t="s">
        <v>171</v>
      </c>
      <c r="CC10" t="s">
        <v>215</v>
      </c>
      <c r="CD10" t="s">
        <v>216</v>
      </c>
      <c r="CE10" t="s">
        <v>217</v>
      </c>
      <c r="CF10" t="s">
        <v>218</v>
      </c>
      <c r="CG10" t="s">
        <v>219</v>
      </c>
      <c r="CH10" t="s">
        <v>220</v>
      </c>
      <c r="CI10" t="s">
        <v>177</v>
      </c>
      <c r="CJ10" t="s">
        <v>212</v>
      </c>
      <c r="CK10" t="s">
        <v>221</v>
      </c>
      <c r="CL10" t="s">
        <v>221</v>
      </c>
      <c r="CM10" t="s">
        <v>221</v>
      </c>
      <c r="CN10" t="s">
        <v>171</v>
      </c>
      <c r="CO10" t="s">
        <v>222</v>
      </c>
      <c r="CP10" t="s">
        <v>171</v>
      </c>
      <c r="CQ10" t="s">
        <v>171</v>
      </c>
      <c r="CR10" t="s">
        <v>171</v>
      </c>
      <c r="CS10" t="s">
        <v>171</v>
      </c>
      <c r="CT10" t="s">
        <v>511</v>
      </c>
      <c r="CU10" t="s">
        <v>512</v>
      </c>
      <c r="CV10" t="s">
        <v>513</v>
      </c>
      <c r="CW10" t="s">
        <v>514</v>
      </c>
      <c r="CX10" t="s">
        <v>515</v>
      </c>
      <c r="CY10" t="s">
        <v>516</v>
      </c>
      <c r="CZ10" t="s">
        <v>517</v>
      </c>
      <c r="DA10" t="s">
        <v>518</v>
      </c>
      <c r="DB10" t="s">
        <v>479</v>
      </c>
      <c r="DC10" t="s">
        <v>519</v>
      </c>
      <c r="DD10" t="s">
        <v>232</v>
      </c>
      <c r="DE10" t="s">
        <v>233</v>
      </c>
      <c r="DF10" t="s">
        <v>177</v>
      </c>
      <c r="DG10" t="s">
        <v>234</v>
      </c>
      <c r="DH10" t="s">
        <v>235</v>
      </c>
      <c r="DI10" t="s">
        <v>177</v>
      </c>
      <c r="DJ10" t="s">
        <v>236</v>
      </c>
      <c r="DK10" t="s">
        <v>237</v>
      </c>
      <c r="DL10" t="s">
        <v>238</v>
      </c>
      <c r="DM10" t="s">
        <v>171</v>
      </c>
      <c r="DN10" t="s">
        <v>478</v>
      </c>
      <c r="DO10" t="s">
        <v>239</v>
      </c>
      <c r="DP10" t="s">
        <v>240</v>
      </c>
      <c r="DQ10" t="s">
        <v>241</v>
      </c>
      <c r="DR10" t="s">
        <v>242</v>
      </c>
      <c r="DS10" t="s">
        <v>243</v>
      </c>
      <c r="DT10" t="s">
        <v>244</v>
      </c>
    </row>
    <row r="11" spans="1:124" x14ac:dyDescent="0.45">
      <c r="A11" t="s">
        <v>520</v>
      </c>
      <c r="B11" t="s">
        <v>521</v>
      </c>
      <c r="C11" t="s">
        <v>161</v>
      </c>
      <c r="D11" t="s">
        <v>162</v>
      </c>
      <c r="E11" t="s">
        <v>163</v>
      </c>
      <c r="I11" t="s">
        <v>522</v>
      </c>
      <c r="J11">
        <f t="shared" si="0"/>
        <v>0.24317362833110262</v>
      </c>
      <c r="K11">
        <f t="shared" si="1"/>
        <v>2.9042299199999997</v>
      </c>
      <c r="L11">
        <f t="shared" si="2"/>
        <v>0.22438562971329953</v>
      </c>
      <c r="M11">
        <f t="shared" si="3"/>
        <v>4.9264452322661034</v>
      </c>
      <c r="N11" t="s">
        <v>523</v>
      </c>
      <c r="O11" t="s">
        <v>524</v>
      </c>
      <c r="P11">
        <f t="shared" si="4"/>
        <v>4.8184976573033387</v>
      </c>
      <c r="Q11">
        <f t="shared" si="5"/>
        <v>2.1174906573033385</v>
      </c>
      <c r="R11" t="s">
        <v>525</v>
      </c>
      <c r="S11" t="s">
        <v>526</v>
      </c>
      <c r="T11">
        <f t="shared" si="6"/>
        <v>48.084000172670784</v>
      </c>
      <c r="U11">
        <f t="shared" si="7"/>
        <v>0.4417875</v>
      </c>
      <c r="V11" t="s">
        <v>169</v>
      </c>
      <c r="W11" t="s">
        <v>527</v>
      </c>
      <c r="X11" t="s">
        <v>171</v>
      </c>
      <c r="Y11" t="s">
        <v>171</v>
      </c>
      <c r="Z11" t="s">
        <v>171</v>
      </c>
      <c r="AA11" t="s">
        <v>528</v>
      </c>
      <c r="AB11" t="s">
        <v>529</v>
      </c>
      <c r="AC11" t="s">
        <v>530</v>
      </c>
      <c r="AD11" t="s">
        <v>175</v>
      </c>
      <c r="AE11" t="s">
        <v>176</v>
      </c>
      <c r="AF11">
        <f t="shared" si="8"/>
        <v>291.61301400000002</v>
      </c>
      <c r="AG11" t="s">
        <v>177</v>
      </c>
      <c r="AH11" t="s">
        <v>531</v>
      </c>
      <c r="AI11" t="s">
        <v>532</v>
      </c>
      <c r="AJ11" t="s">
        <v>533</v>
      </c>
      <c r="AK11" t="s">
        <v>534</v>
      </c>
      <c r="AL11">
        <f t="shared" si="9"/>
        <v>32.159999999999997</v>
      </c>
      <c r="AM11" t="s">
        <v>182</v>
      </c>
      <c r="AN11" t="s">
        <v>309</v>
      </c>
      <c r="AO11" t="s">
        <v>535</v>
      </c>
      <c r="AP11" t="s">
        <v>262</v>
      </c>
      <c r="AQ11" t="s">
        <v>536</v>
      </c>
      <c r="AR11" t="s">
        <v>537</v>
      </c>
      <c r="AS11" t="s">
        <v>403</v>
      </c>
      <c r="AT11" t="s">
        <v>538</v>
      </c>
      <c r="AU11" t="s">
        <v>539</v>
      </c>
      <c r="AV11" t="s">
        <v>540</v>
      </c>
      <c r="AW11" t="s">
        <v>541</v>
      </c>
      <c r="AX11" t="s">
        <v>542</v>
      </c>
      <c r="AY11" t="s">
        <v>543</v>
      </c>
      <c r="AZ11" t="s">
        <v>544</v>
      </c>
      <c r="BA11" t="s">
        <v>545</v>
      </c>
      <c r="BB11" t="s">
        <v>546</v>
      </c>
      <c r="BC11" t="s">
        <v>547</v>
      </c>
      <c r="BD11" t="s">
        <v>161</v>
      </c>
      <c r="BE11" t="s">
        <v>548</v>
      </c>
      <c r="BF11" t="s">
        <v>549</v>
      </c>
      <c r="BG11" t="s">
        <v>550</v>
      </c>
      <c r="BH11" t="s">
        <v>456</v>
      </c>
      <c r="BI11" t="s">
        <v>457</v>
      </c>
      <c r="BJ11" t="s">
        <v>551</v>
      </c>
      <c r="BK11" t="s">
        <v>161</v>
      </c>
      <c r="BL11" t="s">
        <v>552</v>
      </c>
      <c r="BM11" t="s">
        <v>159</v>
      </c>
      <c r="BN11" t="s">
        <v>280</v>
      </c>
      <c r="BO11" t="s">
        <v>206</v>
      </c>
      <c r="BP11" t="s">
        <v>281</v>
      </c>
      <c r="BQ11" t="s">
        <v>553</v>
      </c>
      <c r="BR11" t="s">
        <v>554</v>
      </c>
      <c r="BS11" t="s">
        <v>555</v>
      </c>
      <c r="BT11" t="s">
        <v>159</v>
      </c>
      <c r="BU11" t="s">
        <v>211</v>
      </c>
      <c r="BV11" t="s">
        <v>206</v>
      </c>
      <c r="BW11" t="s">
        <v>212</v>
      </c>
      <c r="BX11" t="s">
        <v>213</v>
      </c>
      <c r="BY11" t="s">
        <v>171</v>
      </c>
      <c r="BZ11" t="s">
        <v>214</v>
      </c>
      <c r="CA11" t="s">
        <v>171</v>
      </c>
      <c r="CB11" t="s">
        <v>171</v>
      </c>
      <c r="CC11" t="s">
        <v>215</v>
      </c>
      <c r="CD11" t="s">
        <v>216</v>
      </c>
      <c r="CE11" t="s">
        <v>217</v>
      </c>
      <c r="CF11" t="s">
        <v>218</v>
      </c>
      <c r="CG11" t="s">
        <v>219</v>
      </c>
      <c r="CH11" t="s">
        <v>220</v>
      </c>
      <c r="CI11" t="s">
        <v>177</v>
      </c>
      <c r="CJ11" t="s">
        <v>212</v>
      </c>
      <c r="CK11" t="s">
        <v>221</v>
      </c>
      <c r="CL11" t="s">
        <v>221</v>
      </c>
      <c r="CM11" t="s">
        <v>221</v>
      </c>
      <c r="CN11" t="s">
        <v>171</v>
      </c>
      <c r="CO11" t="s">
        <v>222</v>
      </c>
      <c r="CP11" t="s">
        <v>171</v>
      </c>
      <c r="CQ11" t="s">
        <v>171</v>
      </c>
      <c r="CR11" t="s">
        <v>171</v>
      </c>
      <c r="CS11" t="s">
        <v>171</v>
      </c>
      <c r="CT11" t="s">
        <v>556</v>
      </c>
      <c r="CU11" t="s">
        <v>557</v>
      </c>
      <c r="CV11" t="s">
        <v>558</v>
      </c>
      <c r="CW11" t="s">
        <v>559</v>
      </c>
      <c r="CX11" t="s">
        <v>560</v>
      </c>
      <c r="CY11" t="s">
        <v>561</v>
      </c>
      <c r="CZ11" t="s">
        <v>562</v>
      </c>
      <c r="DA11" t="s">
        <v>563</v>
      </c>
      <c r="DB11" t="s">
        <v>528</v>
      </c>
      <c r="DC11" t="s">
        <v>519</v>
      </c>
      <c r="DD11" t="s">
        <v>232</v>
      </c>
      <c r="DE11" t="s">
        <v>233</v>
      </c>
      <c r="DF11" t="s">
        <v>177</v>
      </c>
      <c r="DG11" t="s">
        <v>234</v>
      </c>
      <c r="DH11" t="s">
        <v>235</v>
      </c>
      <c r="DI11" t="s">
        <v>177</v>
      </c>
      <c r="DJ11" t="s">
        <v>236</v>
      </c>
      <c r="DK11" t="s">
        <v>237</v>
      </c>
      <c r="DL11" t="s">
        <v>238</v>
      </c>
      <c r="DM11" t="s">
        <v>171</v>
      </c>
      <c r="DN11" t="s">
        <v>527</v>
      </c>
      <c r="DO11" t="s">
        <v>239</v>
      </c>
      <c r="DP11" t="s">
        <v>240</v>
      </c>
      <c r="DQ11" t="s">
        <v>241</v>
      </c>
      <c r="DR11" t="s">
        <v>242</v>
      </c>
      <c r="DS11" t="s">
        <v>243</v>
      </c>
      <c r="DT11" t="s">
        <v>244</v>
      </c>
    </row>
    <row r="12" spans="1:124" x14ac:dyDescent="0.45">
      <c r="A12" t="s">
        <v>564</v>
      </c>
      <c r="B12" t="s">
        <v>565</v>
      </c>
      <c r="C12" t="s">
        <v>161</v>
      </c>
      <c r="D12" t="s">
        <v>162</v>
      </c>
      <c r="E12" t="s">
        <v>163</v>
      </c>
      <c r="I12" t="s">
        <v>566</v>
      </c>
      <c r="J12">
        <f t="shared" si="0"/>
        <v>0.61117888798575493</v>
      </c>
      <c r="K12">
        <f t="shared" si="1"/>
        <v>2.9066320800000001</v>
      </c>
      <c r="L12">
        <f t="shared" si="2"/>
        <v>0.50499363911395811</v>
      </c>
      <c r="M12">
        <f t="shared" si="3"/>
        <v>10.743274797487654</v>
      </c>
      <c r="N12" t="s">
        <v>567</v>
      </c>
      <c r="O12" t="s">
        <v>568</v>
      </c>
      <c r="P12">
        <f t="shared" si="4"/>
        <v>4.8403334259211803</v>
      </c>
      <c r="Q12">
        <f t="shared" si="5"/>
        <v>2.0506454259211804</v>
      </c>
      <c r="R12" t="s">
        <v>569</v>
      </c>
      <c r="S12" t="s">
        <v>570</v>
      </c>
      <c r="T12">
        <f t="shared" si="6"/>
        <v>48.30190026864765</v>
      </c>
      <c r="U12">
        <f t="shared" si="7"/>
        <v>0.4417875</v>
      </c>
      <c r="V12" t="s">
        <v>169</v>
      </c>
      <c r="W12" t="s">
        <v>571</v>
      </c>
      <c r="X12" t="s">
        <v>171</v>
      </c>
      <c r="Y12" t="s">
        <v>171</v>
      </c>
      <c r="Z12" t="s">
        <v>171</v>
      </c>
      <c r="AA12" t="s">
        <v>572</v>
      </c>
      <c r="AB12" t="s">
        <v>573</v>
      </c>
      <c r="AC12" t="s">
        <v>574</v>
      </c>
      <c r="AD12" t="s">
        <v>175</v>
      </c>
      <c r="AE12" t="s">
        <v>176</v>
      </c>
      <c r="AF12">
        <f t="shared" si="8"/>
        <v>280.23175529999997</v>
      </c>
      <c r="AG12" t="s">
        <v>177</v>
      </c>
      <c r="AH12" t="s">
        <v>575</v>
      </c>
      <c r="AI12" t="s">
        <v>576</v>
      </c>
      <c r="AJ12" t="s">
        <v>577</v>
      </c>
      <c r="AK12" t="s">
        <v>578</v>
      </c>
      <c r="AL12">
        <f t="shared" si="9"/>
        <v>32.24</v>
      </c>
      <c r="AM12" t="s">
        <v>182</v>
      </c>
      <c r="AN12" t="s">
        <v>183</v>
      </c>
      <c r="AO12" t="s">
        <v>535</v>
      </c>
      <c r="AP12" t="s">
        <v>579</v>
      </c>
      <c r="AQ12" t="s">
        <v>580</v>
      </c>
      <c r="AR12" t="s">
        <v>581</v>
      </c>
      <c r="AS12" t="s">
        <v>188</v>
      </c>
      <c r="AT12" t="s">
        <v>189</v>
      </c>
      <c r="AU12" t="s">
        <v>582</v>
      </c>
      <c r="AV12" t="s">
        <v>583</v>
      </c>
      <c r="AW12" t="s">
        <v>584</v>
      </c>
      <c r="AX12" t="s">
        <v>193</v>
      </c>
      <c r="AY12" t="s">
        <v>585</v>
      </c>
      <c r="AZ12" t="s">
        <v>544</v>
      </c>
      <c r="BA12" t="s">
        <v>545</v>
      </c>
      <c r="BB12" t="s">
        <v>546</v>
      </c>
      <c r="BC12" t="s">
        <v>586</v>
      </c>
      <c r="BD12" t="s">
        <v>161</v>
      </c>
      <c r="BE12" t="s">
        <v>587</v>
      </c>
      <c r="BF12" t="s">
        <v>588</v>
      </c>
      <c r="BG12" t="s">
        <v>589</v>
      </c>
      <c r="BH12" t="s">
        <v>456</v>
      </c>
      <c r="BI12" t="s">
        <v>373</v>
      </c>
      <c r="BJ12" t="s">
        <v>551</v>
      </c>
      <c r="BK12" t="s">
        <v>161</v>
      </c>
      <c r="BL12" t="s">
        <v>552</v>
      </c>
      <c r="BM12" t="s">
        <v>159</v>
      </c>
      <c r="BN12" t="s">
        <v>590</v>
      </c>
      <c r="BO12" t="s">
        <v>279</v>
      </c>
      <c r="BP12" t="s">
        <v>206</v>
      </c>
      <c r="BQ12" t="s">
        <v>591</v>
      </c>
      <c r="BR12" t="s">
        <v>592</v>
      </c>
      <c r="BS12" t="s">
        <v>593</v>
      </c>
      <c r="BT12" t="s">
        <v>159</v>
      </c>
      <c r="BU12" t="s">
        <v>211</v>
      </c>
      <c r="BV12" t="s">
        <v>206</v>
      </c>
      <c r="BW12" t="s">
        <v>212</v>
      </c>
      <c r="BX12" t="s">
        <v>213</v>
      </c>
      <c r="BY12" t="s">
        <v>171</v>
      </c>
      <c r="BZ12" t="s">
        <v>214</v>
      </c>
      <c r="CA12" t="s">
        <v>171</v>
      </c>
      <c r="CB12" t="s">
        <v>171</v>
      </c>
      <c r="CC12" t="s">
        <v>215</v>
      </c>
      <c r="CD12" t="s">
        <v>216</v>
      </c>
      <c r="CE12" t="s">
        <v>217</v>
      </c>
      <c r="CF12" t="s">
        <v>218</v>
      </c>
      <c r="CG12" t="s">
        <v>219</v>
      </c>
      <c r="CH12" t="s">
        <v>220</v>
      </c>
      <c r="CI12" t="s">
        <v>177</v>
      </c>
      <c r="CJ12" t="s">
        <v>212</v>
      </c>
      <c r="CK12" t="s">
        <v>221</v>
      </c>
      <c r="CL12" t="s">
        <v>221</v>
      </c>
      <c r="CM12" t="s">
        <v>221</v>
      </c>
      <c r="CN12" t="s">
        <v>171</v>
      </c>
      <c r="CO12" t="s">
        <v>222</v>
      </c>
      <c r="CP12" t="s">
        <v>171</v>
      </c>
      <c r="CQ12" t="s">
        <v>171</v>
      </c>
      <c r="CR12" t="s">
        <v>171</v>
      </c>
      <c r="CS12" t="s">
        <v>171</v>
      </c>
      <c r="CT12" t="s">
        <v>594</v>
      </c>
      <c r="CU12" t="s">
        <v>595</v>
      </c>
      <c r="CV12" t="s">
        <v>596</v>
      </c>
      <c r="CW12" t="s">
        <v>597</v>
      </c>
      <c r="CX12" t="s">
        <v>598</v>
      </c>
      <c r="CY12" t="s">
        <v>599</v>
      </c>
      <c r="CZ12" t="s">
        <v>600</v>
      </c>
      <c r="DA12" t="s">
        <v>601</v>
      </c>
      <c r="DB12" t="s">
        <v>572</v>
      </c>
      <c r="DC12" t="s">
        <v>602</v>
      </c>
      <c r="DD12" t="s">
        <v>232</v>
      </c>
      <c r="DE12" t="s">
        <v>233</v>
      </c>
      <c r="DF12" t="s">
        <v>177</v>
      </c>
      <c r="DG12" t="s">
        <v>234</v>
      </c>
      <c r="DH12" t="s">
        <v>235</v>
      </c>
      <c r="DI12" t="s">
        <v>177</v>
      </c>
      <c r="DJ12" t="s">
        <v>236</v>
      </c>
      <c r="DK12" t="s">
        <v>237</v>
      </c>
      <c r="DL12" t="s">
        <v>238</v>
      </c>
      <c r="DM12" t="s">
        <v>171</v>
      </c>
      <c r="DN12" t="s">
        <v>571</v>
      </c>
      <c r="DO12" t="s">
        <v>239</v>
      </c>
      <c r="DP12" t="s">
        <v>240</v>
      </c>
      <c r="DQ12" t="s">
        <v>241</v>
      </c>
      <c r="DR12" t="s">
        <v>242</v>
      </c>
      <c r="DS12" t="s">
        <v>243</v>
      </c>
      <c r="DT12" t="s">
        <v>244</v>
      </c>
    </row>
    <row r="13" spans="1:124" x14ac:dyDescent="0.45">
      <c r="A13" t="s">
        <v>202</v>
      </c>
      <c r="B13" t="s">
        <v>603</v>
      </c>
      <c r="C13" t="s">
        <v>161</v>
      </c>
      <c r="D13" t="s">
        <v>162</v>
      </c>
      <c r="E13" t="s">
        <v>163</v>
      </c>
      <c r="I13" t="s">
        <v>604</v>
      </c>
      <c r="J13">
        <f t="shared" si="0"/>
        <v>0.7807163202401608</v>
      </c>
      <c r="K13">
        <f t="shared" si="1"/>
        <v>2.9058327199999998</v>
      </c>
      <c r="L13">
        <f t="shared" si="2"/>
        <v>0.61538067271826313</v>
      </c>
      <c r="M13">
        <f t="shared" si="3"/>
        <v>9.892810694619671</v>
      </c>
      <c r="N13" t="s">
        <v>605</v>
      </c>
      <c r="O13" t="s">
        <v>606</v>
      </c>
      <c r="P13">
        <f t="shared" si="4"/>
        <v>4.3668173578584044</v>
      </c>
      <c r="Q13">
        <f t="shared" si="5"/>
        <v>1.5532173578584043</v>
      </c>
      <c r="R13" t="s">
        <v>607</v>
      </c>
      <c r="S13" t="s">
        <v>608</v>
      </c>
      <c r="T13">
        <f t="shared" si="6"/>
        <v>43.576662587151034</v>
      </c>
      <c r="U13">
        <f t="shared" si="7"/>
        <v>0.4417875</v>
      </c>
      <c r="V13" t="s">
        <v>169</v>
      </c>
      <c r="W13" t="s">
        <v>609</v>
      </c>
      <c r="X13" t="s">
        <v>171</v>
      </c>
      <c r="Y13" t="s">
        <v>171</v>
      </c>
      <c r="Z13" t="s">
        <v>171</v>
      </c>
      <c r="AA13" t="s">
        <v>610</v>
      </c>
      <c r="AB13" t="s">
        <v>611</v>
      </c>
      <c r="AC13" t="s">
        <v>612</v>
      </c>
      <c r="AD13" t="s">
        <v>175</v>
      </c>
      <c r="AE13" t="s">
        <v>176</v>
      </c>
      <c r="AF13">
        <f t="shared" si="8"/>
        <v>194.02848695999998</v>
      </c>
      <c r="AG13" t="s">
        <v>177</v>
      </c>
      <c r="AH13" t="s">
        <v>613</v>
      </c>
      <c r="AI13" t="s">
        <v>614</v>
      </c>
      <c r="AJ13" t="s">
        <v>615</v>
      </c>
      <c r="AK13" t="s">
        <v>616</v>
      </c>
      <c r="AL13">
        <f t="shared" si="9"/>
        <v>30.43</v>
      </c>
      <c r="AM13" t="s">
        <v>182</v>
      </c>
      <c r="AN13" t="s">
        <v>260</v>
      </c>
      <c r="AO13" t="s">
        <v>617</v>
      </c>
      <c r="AP13" t="s">
        <v>618</v>
      </c>
      <c r="AQ13" t="s">
        <v>619</v>
      </c>
      <c r="AR13" t="s">
        <v>620</v>
      </c>
      <c r="AS13" t="s">
        <v>621</v>
      </c>
      <c r="AT13" t="s">
        <v>622</v>
      </c>
      <c r="AU13" t="s">
        <v>623</v>
      </c>
      <c r="AV13" t="s">
        <v>624</v>
      </c>
      <c r="AW13" t="s">
        <v>625</v>
      </c>
      <c r="AX13" t="s">
        <v>626</v>
      </c>
      <c r="AY13" t="s">
        <v>627</v>
      </c>
      <c r="AZ13" t="s">
        <v>544</v>
      </c>
      <c r="BA13" t="s">
        <v>628</v>
      </c>
      <c r="BB13" t="s">
        <v>629</v>
      </c>
      <c r="BC13" t="s">
        <v>630</v>
      </c>
      <c r="BD13" t="s">
        <v>161</v>
      </c>
      <c r="BE13" t="s">
        <v>631</v>
      </c>
      <c r="BF13" t="s">
        <v>549</v>
      </c>
      <c r="BG13" t="s">
        <v>632</v>
      </c>
      <c r="BH13" t="s">
        <v>456</v>
      </c>
      <c r="BI13" t="s">
        <v>633</v>
      </c>
      <c r="BJ13" t="s">
        <v>551</v>
      </c>
      <c r="BK13" t="s">
        <v>161</v>
      </c>
      <c r="BL13" t="s">
        <v>552</v>
      </c>
      <c r="BM13" t="s">
        <v>159</v>
      </c>
      <c r="BN13" t="s">
        <v>205</v>
      </c>
      <c r="BO13" t="s">
        <v>205</v>
      </c>
      <c r="BP13" t="s">
        <v>634</v>
      </c>
      <c r="BQ13" t="s">
        <v>635</v>
      </c>
      <c r="BR13" t="s">
        <v>636</v>
      </c>
      <c r="BS13" t="s">
        <v>637</v>
      </c>
      <c r="BT13" t="s">
        <v>159</v>
      </c>
      <c r="BU13" t="s">
        <v>211</v>
      </c>
      <c r="BV13" t="s">
        <v>206</v>
      </c>
      <c r="BW13" t="s">
        <v>212</v>
      </c>
      <c r="BX13" t="s">
        <v>213</v>
      </c>
      <c r="BY13" t="s">
        <v>171</v>
      </c>
      <c r="BZ13" t="s">
        <v>214</v>
      </c>
      <c r="CA13" t="s">
        <v>171</v>
      </c>
      <c r="CB13" t="s">
        <v>171</v>
      </c>
      <c r="CC13" t="s">
        <v>215</v>
      </c>
      <c r="CD13" t="s">
        <v>216</v>
      </c>
      <c r="CE13" t="s">
        <v>217</v>
      </c>
      <c r="CF13" t="s">
        <v>218</v>
      </c>
      <c r="CG13" t="s">
        <v>219</v>
      </c>
      <c r="CH13" t="s">
        <v>220</v>
      </c>
      <c r="CI13" t="s">
        <v>177</v>
      </c>
      <c r="CJ13" t="s">
        <v>212</v>
      </c>
      <c r="CK13" t="s">
        <v>221</v>
      </c>
      <c r="CL13" t="s">
        <v>221</v>
      </c>
      <c r="CM13" t="s">
        <v>221</v>
      </c>
      <c r="CN13" t="s">
        <v>171</v>
      </c>
      <c r="CO13" t="s">
        <v>222</v>
      </c>
      <c r="CP13" t="s">
        <v>171</v>
      </c>
      <c r="CQ13" t="s">
        <v>171</v>
      </c>
      <c r="CR13" t="s">
        <v>171</v>
      </c>
      <c r="CS13" t="s">
        <v>171</v>
      </c>
      <c r="CT13" t="s">
        <v>638</v>
      </c>
      <c r="CU13" t="s">
        <v>639</v>
      </c>
      <c r="CV13" t="s">
        <v>640</v>
      </c>
      <c r="CW13" t="s">
        <v>641</v>
      </c>
      <c r="CX13" t="s">
        <v>642</v>
      </c>
      <c r="CY13" t="s">
        <v>643</v>
      </c>
      <c r="CZ13" t="s">
        <v>644</v>
      </c>
      <c r="DA13" t="s">
        <v>645</v>
      </c>
      <c r="DB13" t="s">
        <v>610</v>
      </c>
      <c r="DC13" t="s">
        <v>646</v>
      </c>
      <c r="DD13" t="s">
        <v>232</v>
      </c>
      <c r="DE13" t="s">
        <v>233</v>
      </c>
      <c r="DF13" t="s">
        <v>177</v>
      </c>
      <c r="DG13" t="s">
        <v>234</v>
      </c>
      <c r="DH13" t="s">
        <v>235</v>
      </c>
      <c r="DI13" t="s">
        <v>177</v>
      </c>
      <c r="DJ13" t="s">
        <v>236</v>
      </c>
      <c r="DK13" t="s">
        <v>237</v>
      </c>
      <c r="DL13" t="s">
        <v>238</v>
      </c>
      <c r="DM13" t="s">
        <v>171</v>
      </c>
      <c r="DN13" t="s">
        <v>609</v>
      </c>
      <c r="DO13" t="s">
        <v>239</v>
      </c>
      <c r="DP13" t="s">
        <v>240</v>
      </c>
      <c r="DQ13" t="s">
        <v>241</v>
      </c>
      <c r="DR13" t="s">
        <v>242</v>
      </c>
      <c r="DS13" t="s">
        <v>243</v>
      </c>
      <c r="DT13" t="s">
        <v>244</v>
      </c>
    </row>
    <row r="14" spans="1:124" x14ac:dyDescent="0.45">
      <c r="A14" t="s">
        <v>277</v>
      </c>
      <c r="B14" t="s">
        <v>647</v>
      </c>
      <c r="C14" t="s">
        <v>161</v>
      </c>
      <c r="D14" t="s">
        <v>162</v>
      </c>
      <c r="E14" t="s">
        <v>163</v>
      </c>
      <c r="I14" t="s">
        <v>648</v>
      </c>
      <c r="J14">
        <f t="shared" si="0"/>
        <v>0.8755469832718602</v>
      </c>
      <c r="K14">
        <f t="shared" si="1"/>
        <v>2.9058327199999998</v>
      </c>
      <c r="L14">
        <f t="shared" si="2"/>
        <v>0.672821369852725</v>
      </c>
      <c r="M14">
        <f t="shared" si="3"/>
        <v>10.77563677960088</v>
      </c>
      <c r="N14" t="s">
        <v>649</v>
      </c>
      <c r="O14" t="s">
        <v>650</v>
      </c>
      <c r="P14">
        <f t="shared" si="4"/>
        <v>4.3518378576231838</v>
      </c>
      <c r="Q14">
        <f t="shared" si="5"/>
        <v>1.5475348576231838</v>
      </c>
      <c r="R14" t="s">
        <v>651</v>
      </c>
      <c r="S14" t="s">
        <v>652</v>
      </c>
      <c r="T14">
        <f t="shared" si="6"/>
        <v>43.42718149509215</v>
      </c>
      <c r="U14">
        <f t="shared" si="7"/>
        <v>0.4417875</v>
      </c>
      <c r="V14" t="s">
        <v>169</v>
      </c>
      <c r="W14" t="s">
        <v>653</v>
      </c>
      <c r="X14" t="s">
        <v>171</v>
      </c>
      <c r="Y14" t="s">
        <v>171</v>
      </c>
      <c r="Z14" t="s">
        <v>171</v>
      </c>
      <c r="AA14" t="s">
        <v>654</v>
      </c>
      <c r="AB14" t="s">
        <v>655</v>
      </c>
      <c r="AC14" t="s">
        <v>656</v>
      </c>
      <c r="AD14" t="s">
        <v>175</v>
      </c>
      <c r="AE14" t="s">
        <v>176</v>
      </c>
      <c r="AF14">
        <f t="shared" si="8"/>
        <v>143.42272559999998</v>
      </c>
      <c r="AG14" t="s">
        <v>177</v>
      </c>
      <c r="AH14" t="s">
        <v>657</v>
      </c>
      <c r="AI14" t="s">
        <v>658</v>
      </c>
      <c r="AJ14" t="s">
        <v>659</v>
      </c>
      <c r="AK14" t="s">
        <v>660</v>
      </c>
      <c r="AL14">
        <f t="shared" si="9"/>
        <v>30.37</v>
      </c>
      <c r="AM14" t="s">
        <v>182</v>
      </c>
      <c r="AN14" t="s">
        <v>260</v>
      </c>
      <c r="AO14" t="s">
        <v>535</v>
      </c>
      <c r="AP14" t="s">
        <v>579</v>
      </c>
      <c r="AQ14" t="s">
        <v>661</v>
      </c>
      <c r="AR14" t="s">
        <v>662</v>
      </c>
      <c r="AS14" t="s">
        <v>663</v>
      </c>
      <c r="AT14" t="s">
        <v>217</v>
      </c>
      <c r="AU14" t="s">
        <v>664</v>
      </c>
      <c r="AV14" t="s">
        <v>665</v>
      </c>
      <c r="AW14" t="s">
        <v>666</v>
      </c>
      <c r="AX14" t="s">
        <v>667</v>
      </c>
      <c r="AY14" t="s">
        <v>668</v>
      </c>
      <c r="AZ14" t="s">
        <v>544</v>
      </c>
      <c r="BA14" t="s">
        <v>669</v>
      </c>
      <c r="BB14" t="s">
        <v>670</v>
      </c>
      <c r="BC14" t="s">
        <v>671</v>
      </c>
      <c r="BD14" t="s">
        <v>161</v>
      </c>
      <c r="BE14" t="s">
        <v>672</v>
      </c>
      <c r="BF14" t="s">
        <v>410</v>
      </c>
      <c r="BG14" t="s">
        <v>673</v>
      </c>
      <c r="BH14" t="s">
        <v>277</v>
      </c>
      <c r="BI14" t="s">
        <v>674</v>
      </c>
      <c r="BJ14" t="s">
        <v>551</v>
      </c>
      <c r="BK14" t="s">
        <v>161</v>
      </c>
      <c r="BL14" t="s">
        <v>552</v>
      </c>
      <c r="BM14" t="s">
        <v>159</v>
      </c>
      <c r="BN14" t="s">
        <v>675</v>
      </c>
      <c r="BO14" t="s">
        <v>279</v>
      </c>
      <c r="BP14" t="s">
        <v>506</v>
      </c>
      <c r="BQ14" t="s">
        <v>208</v>
      </c>
      <c r="BR14" t="s">
        <v>676</v>
      </c>
      <c r="BS14" t="s">
        <v>677</v>
      </c>
      <c r="BT14" t="s">
        <v>159</v>
      </c>
      <c r="BU14" t="s">
        <v>211</v>
      </c>
      <c r="BV14" t="s">
        <v>206</v>
      </c>
      <c r="BW14" t="s">
        <v>212</v>
      </c>
      <c r="BX14" t="s">
        <v>213</v>
      </c>
      <c r="BY14" t="s">
        <v>171</v>
      </c>
      <c r="BZ14" t="s">
        <v>214</v>
      </c>
      <c r="CA14" t="s">
        <v>171</v>
      </c>
      <c r="CB14" t="s">
        <v>171</v>
      </c>
      <c r="CC14" t="s">
        <v>215</v>
      </c>
      <c r="CD14" t="s">
        <v>216</v>
      </c>
      <c r="CE14" t="s">
        <v>217</v>
      </c>
      <c r="CF14" t="s">
        <v>218</v>
      </c>
      <c r="CG14" t="s">
        <v>219</v>
      </c>
      <c r="CH14" t="s">
        <v>220</v>
      </c>
      <c r="CI14" t="s">
        <v>177</v>
      </c>
      <c r="CJ14" t="s">
        <v>212</v>
      </c>
      <c r="CK14" t="s">
        <v>221</v>
      </c>
      <c r="CL14" t="s">
        <v>221</v>
      </c>
      <c r="CM14" t="s">
        <v>221</v>
      </c>
      <c r="CN14" t="s">
        <v>171</v>
      </c>
      <c r="CO14" t="s">
        <v>222</v>
      </c>
      <c r="CP14" t="s">
        <v>171</v>
      </c>
      <c r="CQ14" t="s">
        <v>171</v>
      </c>
      <c r="CR14" t="s">
        <v>171</v>
      </c>
      <c r="CS14" t="s">
        <v>171</v>
      </c>
      <c r="CT14" t="s">
        <v>678</v>
      </c>
      <c r="CU14" t="s">
        <v>679</v>
      </c>
      <c r="CV14" t="s">
        <v>680</v>
      </c>
      <c r="CW14" t="s">
        <v>681</v>
      </c>
      <c r="CX14" t="s">
        <v>682</v>
      </c>
      <c r="CY14" t="s">
        <v>683</v>
      </c>
      <c r="CZ14" t="s">
        <v>684</v>
      </c>
      <c r="DA14" t="s">
        <v>685</v>
      </c>
      <c r="DB14" t="s">
        <v>654</v>
      </c>
      <c r="DC14" t="s">
        <v>686</v>
      </c>
      <c r="DD14" t="s">
        <v>232</v>
      </c>
      <c r="DE14" t="s">
        <v>233</v>
      </c>
      <c r="DF14" t="s">
        <v>177</v>
      </c>
      <c r="DG14" t="s">
        <v>234</v>
      </c>
      <c r="DH14" t="s">
        <v>235</v>
      </c>
      <c r="DI14" t="s">
        <v>177</v>
      </c>
      <c r="DJ14" t="s">
        <v>236</v>
      </c>
      <c r="DK14" t="s">
        <v>237</v>
      </c>
      <c r="DL14" t="s">
        <v>238</v>
      </c>
      <c r="DM14" t="s">
        <v>171</v>
      </c>
      <c r="DN14" t="s">
        <v>653</v>
      </c>
      <c r="DO14" t="s">
        <v>239</v>
      </c>
      <c r="DP14" t="s">
        <v>240</v>
      </c>
      <c r="DQ14" t="s">
        <v>241</v>
      </c>
      <c r="DR14" t="s">
        <v>242</v>
      </c>
      <c r="DS14" t="s">
        <v>243</v>
      </c>
      <c r="DT14" t="s">
        <v>244</v>
      </c>
    </row>
    <row r="15" spans="1:124" x14ac:dyDescent="0.45">
      <c r="A15" t="s">
        <v>687</v>
      </c>
      <c r="B15" t="s">
        <v>688</v>
      </c>
      <c r="C15" t="s">
        <v>161</v>
      </c>
      <c r="D15" t="s">
        <v>162</v>
      </c>
      <c r="E15" t="s">
        <v>163</v>
      </c>
      <c r="I15" t="s">
        <v>689</v>
      </c>
      <c r="J15">
        <f t="shared" si="0"/>
        <v>0.6162811288526896</v>
      </c>
      <c r="K15">
        <f t="shared" si="1"/>
        <v>2.9058327199999998</v>
      </c>
      <c r="L15">
        <f t="shared" si="2"/>
        <v>0.50844746813679198</v>
      </c>
      <c r="M15">
        <f t="shared" si="3"/>
        <v>9.1859521655302263</v>
      </c>
      <c r="N15" t="s">
        <v>690</v>
      </c>
      <c r="O15" t="s">
        <v>691</v>
      </c>
      <c r="P15">
        <f t="shared" si="4"/>
        <v>4.5734821308403193</v>
      </c>
      <c r="Q15">
        <f t="shared" si="5"/>
        <v>1.7437181308403193</v>
      </c>
      <c r="R15" t="s">
        <v>692</v>
      </c>
      <c r="S15" t="s">
        <v>693</v>
      </c>
      <c r="T15">
        <f t="shared" si="6"/>
        <v>45.638979451554931</v>
      </c>
      <c r="U15">
        <f t="shared" si="7"/>
        <v>0.4417875</v>
      </c>
      <c r="V15" t="s">
        <v>169</v>
      </c>
      <c r="W15" t="s">
        <v>694</v>
      </c>
      <c r="X15" t="s">
        <v>171</v>
      </c>
      <c r="Y15" t="s">
        <v>171</v>
      </c>
      <c r="Z15" t="s">
        <v>171</v>
      </c>
      <c r="AA15" t="s">
        <v>695</v>
      </c>
      <c r="AB15" t="s">
        <v>696</v>
      </c>
      <c r="AC15" t="s">
        <v>697</v>
      </c>
      <c r="AD15" t="s">
        <v>175</v>
      </c>
      <c r="AE15" t="s">
        <v>176</v>
      </c>
      <c r="AF15">
        <f t="shared" si="8"/>
        <v>139.96987199999998</v>
      </c>
      <c r="AG15" t="s">
        <v>177</v>
      </c>
      <c r="AH15" t="s">
        <v>698</v>
      </c>
      <c r="AI15" t="s">
        <v>699</v>
      </c>
      <c r="AJ15" t="s">
        <v>451</v>
      </c>
      <c r="AK15" t="s">
        <v>700</v>
      </c>
      <c r="AL15">
        <f t="shared" si="9"/>
        <v>31.24</v>
      </c>
      <c r="AM15" t="s">
        <v>182</v>
      </c>
      <c r="AN15" t="s">
        <v>260</v>
      </c>
      <c r="AO15" t="s">
        <v>701</v>
      </c>
      <c r="AP15" t="s">
        <v>702</v>
      </c>
      <c r="AQ15" t="s">
        <v>703</v>
      </c>
      <c r="AR15" t="s">
        <v>704</v>
      </c>
      <c r="AS15" t="s">
        <v>217</v>
      </c>
      <c r="AT15" t="s">
        <v>705</v>
      </c>
      <c r="AU15" t="s">
        <v>706</v>
      </c>
      <c r="AV15" t="s">
        <v>707</v>
      </c>
      <c r="AW15" t="s">
        <v>708</v>
      </c>
      <c r="AX15" t="s">
        <v>709</v>
      </c>
      <c r="AY15" t="s">
        <v>710</v>
      </c>
      <c r="AZ15" t="s">
        <v>544</v>
      </c>
      <c r="BA15" t="s">
        <v>711</v>
      </c>
      <c r="BB15" t="s">
        <v>712</v>
      </c>
      <c r="BC15" t="s">
        <v>713</v>
      </c>
      <c r="BD15" t="s">
        <v>161</v>
      </c>
      <c r="BE15" t="s">
        <v>714</v>
      </c>
      <c r="BF15" t="s">
        <v>715</v>
      </c>
      <c r="BG15" t="s">
        <v>716</v>
      </c>
      <c r="BH15" t="s">
        <v>456</v>
      </c>
      <c r="BI15" t="s">
        <v>457</v>
      </c>
      <c r="BJ15" t="s">
        <v>551</v>
      </c>
      <c r="BK15" t="s">
        <v>161</v>
      </c>
      <c r="BL15" t="s">
        <v>552</v>
      </c>
      <c r="BM15" t="s">
        <v>159</v>
      </c>
      <c r="BN15" t="s">
        <v>590</v>
      </c>
      <c r="BO15" t="s">
        <v>205</v>
      </c>
      <c r="BP15" t="s">
        <v>506</v>
      </c>
      <c r="BQ15" t="s">
        <v>461</v>
      </c>
      <c r="BR15" t="s">
        <v>717</v>
      </c>
      <c r="BS15" t="s">
        <v>718</v>
      </c>
      <c r="BT15" t="s">
        <v>159</v>
      </c>
      <c r="BU15" t="s">
        <v>211</v>
      </c>
      <c r="BV15" t="s">
        <v>206</v>
      </c>
      <c r="BW15" t="s">
        <v>212</v>
      </c>
      <c r="BX15" t="s">
        <v>213</v>
      </c>
      <c r="BY15" t="s">
        <v>171</v>
      </c>
      <c r="BZ15" t="s">
        <v>214</v>
      </c>
      <c r="CA15" t="s">
        <v>171</v>
      </c>
      <c r="CB15" t="s">
        <v>171</v>
      </c>
      <c r="CC15" t="s">
        <v>215</v>
      </c>
      <c r="CD15" t="s">
        <v>216</v>
      </c>
      <c r="CE15" t="s">
        <v>217</v>
      </c>
      <c r="CF15" t="s">
        <v>218</v>
      </c>
      <c r="CG15" t="s">
        <v>219</v>
      </c>
      <c r="CH15" t="s">
        <v>220</v>
      </c>
      <c r="CI15" t="s">
        <v>177</v>
      </c>
      <c r="CJ15" t="s">
        <v>212</v>
      </c>
      <c r="CK15" t="s">
        <v>221</v>
      </c>
      <c r="CL15" t="s">
        <v>221</v>
      </c>
      <c r="CM15" t="s">
        <v>221</v>
      </c>
      <c r="CN15" t="s">
        <v>171</v>
      </c>
      <c r="CO15" t="s">
        <v>222</v>
      </c>
      <c r="CP15" t="s">
        <v>171</v>
      </c>
      <c r="CQ15" t="s">
        <v>171</v>
      </c>
      <c r="CR15" t="s">
        <v>171</v>
      </c>
      <c r="CS15" t="s">
        <v>171</v>
      </c>
      <c r="CT15" t="s">
        <v>719</v>
      </c>
      <c r="CU15" t="s">
        <v>720</v>
      </c>
      <c r="CV15" t="s">
        <v>721</v>
      </c>
      <c r="CW15" t="s">
        <v>722</v>
      </c>
      <c r="CX15" t="s">
        <v>723</v>
      </c>
      <c r="CY15" t="s">
        <v>724</v>
      </c>
      <c r="CZ15" t="s">
        <v>725</v>
      </c>
      <c r="DA15" t="s">
        <v>726</v>
      </c>
      <c r="DB15" t="s">
        <v>695</v>
      </c>
      <c r="DC15" t="s">
        <v>686</v>
      </c>
      <c r="DD15" t="s">
        <v>232</v>
      </c>
      <c r="DE15" t="s">
        <v>233</v>
      </c>
      <c r="DF15" t="s">
        <v>177</v>
      </c>
      <c r="DG15" t="s">
        <v>234</v>
      </c>
      <c r="DH15" t="s">
        <v>235</v>
      </c>
      <c r="DI15" t="s">
        <v>177</v>
      </c>
      <c r="DJ15" t="s">
        <v>236</v>
      </c>
      <c r="DK15" t="s">
        <v>237</v>
      </c>
      <c r="DL15" t="s">
        <v>238</v>
      </c>
      <c r="DM15" t="s">
        <v>171</v>
      </c>
      <c r="DN15" t="s">
        <v>694</v>
      </c>
      <c r="DO15" t="s">
        <v>239</v>
      </c>
      <c r="DP15" t="s">
        <v>240</v>
      </c>
      <c r="DQ15" t="s">
        <v>241</v>
      </c>
      <c r="DR15" t="s">
        <v>242</v>
      </c>
      <c r="DS15" t="s">
        <v>243</v>
      </c>
      <c r="DT15" t="s">
        <v>244</v>
      </c>
    </row>
    <row r="16" spans="1:124" x14ac:dyDescent="0.45">
      <c r="A16" t="s">
        <v>325</v>
      </c>
      <c r="B16" t="s">
        <v>727</v>
      </c>
      <c r="C16" t="s">
        <v>161</v>
      </c>
      <c r="D16" t="s">
        <v>162</v>
      </c>
      <c r="E16" t="s">
        <v>163</v>
      </c>
      <c r="I16" t="s">
        <v>728</v>
      </c>
      <c r="J16">
        <f t="shared" si="0"/>
        <v>0.8355045447419297</v>
      </c>
      <c r="K16">
        <f t="shared" si="1"/>
        <v>2.9050319999999994</v>
      </c>
      <c r="L16">
        <f t="shared" si="2"/>
        <v>0.64888216157989564</v>
      </c>
      <c r="M16">
        <f t="shared" si="3"/>
        <v>10.499105477209037</v>
      </c>
      <c r="N16" t="s">
        <v>729</v>
      </c>
      <c r="O16" t="s">
        <v>730</v>
      </c>
      <c r="P16">
        <f t="shared" si="4"/>
        <v>4.4221272418783988</v>
      </c>
      <c r="Q16">
        <f t="shared" si="5"/>
        <v>1.5622472418783988</v>
      </c>
      <c r="R16" t="s">
        <v>731</v>
      </c>
      <c r="S16" t="s">
        <v>732</v>
      </c>
      <c r="T16">
        <f t="shared" si="6"/>
        <v>44.13300640597204</v>
      </c>
      <c r="U16">
        <f t="shared" si="7"/>
        <v>0.4417875</v>
      </c>
      <c r="V16" t="s">
        <v>169</v>
      </c>
      <c r="W16" t="s">
        <v>733</v>
      </c>
      <c r="X16" t="s">
        <v>171</v>
      </c>
      <c r="Y16" t="s">
        <v>171</v>
      </c>
      <c r="Z16" t="s">
        <v>171</v>
      </c>
      <c r="AA16" t="s">
        <v>734</v>
      </c>
      <c r="AB16" t="s">
        <v>735</v>
      </c>
      <c r="AC16" t="s">
        <v>736</v>
      </c>
      <c r="AD16" t="s">
        <v>175</v>
      </c>
      <c r="AE16" t="s">
        <v>176</v>
      </c>
      <c r="AF16">
        <f t="shared" si="8"/>
        <v>163.55766839999998</v>
      </c>
      <c r="AG16" t="s">
        <v>177</v>
      </c>
      <c r="AH16" t="s">
        <v>737</v>
      </c>
      <c r="AI16" t="s">
        <v>738</v>
      </c>
      <c r="AJ16" t="s">
        <v>739</v>
      </c>
      <c r="AK16" t="s">
        <v>740</v>
      </c>
      <c r="AL16">
        <f t="shared" si="9"/>
        <v>30.65</v>
      </c>
      <c r="AM16" t="s">
        <v>741</v>
      </c>
      <c r="AN16" t="s">
        <v>356</v>
      </c>
      <c r="AO16" t="s">
        <v>742</v>
      </c>
      <c r="AP16" t="s">
        <v>743</v>
      </c>
      <c r="AQ16" t="s">
        <v>744</v>
      </c>
      <c r="AR16" t="s">
        <v>745</v>
      </c>
      <c r="AS16" t="s">
        <v>746</v>
      </c>
      <c r="AT16" t="s">
        <v>361</v>
      </c>
      <c r="AU16" t="s">
        <v>747</v>
      </c>
      <c r="AV16" t="s">
        <v>748</v>
      </c>
      <c r="AW16" t="s">
        <v>749</v>
      </c>
      <c r="AX16" t="s">
        <v>750</v>
      </c>
      <c r="AY16" t="s">
        <v>751</v>
      </c>
      <c r="AZ16" t="s">
        <v>544</v>
      </c>
      <c r="BA16" t="s">
        <v>752</v>
      </c>
      <c r="BB16" t="s">
        <v>753</v>
      </c>
      <c r="BC16" t="s">
        <v>754</v>
      </c>
      <c r="BD16" t="s">
        <v>161</v>
      </c>
      <c r="BE16" t="s">
        <v>323</v>
      </c>
      <c r="BF16" t="s">
        <v>410</v>
      </c>
      <c r="BG16" t="s">
        <v>411</v>
      </c>
      <c r="BH16" t="s">
        <v>504</v>
      </c>
      <c r="BI16" t="s">
        <v>755</v>
      </c>
      <c r="BJ16" t="s">
        <v>551</v>
      </c>
      <c r="BK16" t="s">
        <v>161</v>
      </c>
      <c r="BL16" t="s">
        <v>552</v>
      </c>
      <c r="BM16" t="s">
        <v>159</v>
      </c>
      <c r="BN16" t="s">
        <v>413</v>
      </c>
      <c r="BO16" t="s">
        <v>279</v>
      </c>
      <c r="BP16" t="s">
        <v>279</v>
      </c>
      <c r="BQ16" t="s">
        <v>756</v>
      </c>
      <c r="BR16" t="s">
        <v>757</v>
      </c>
      <c r="BS16" t="s">
        <v>758</v>
      </c>
      <c r="BT16" t="s">
        <v>159</v>
      </c>
      <c r="BU16" t="s">
        <v>211</v>
      </c>
      <c r="BV16" t="s">
        <v>206</v>
      </c>
      <c r="BW16" t="s">
        <v>212</v>
      </c>
      <c r="BX16" t="s">
        <v>213</v>
      </c>
      <c r="BY16" t="s">
        <v>171</v>
      </c>
      <c r="BZ16" t="s">
        <v>214</v>
      </c>
      <c r="CA16" t="s">
        <v>171</v>
      </c>
      <c r="CB16" t="s">
        <v>171</v>
      </c>
      <c r="CC16" t="s">
        <v>215</v>
      </c>
      <c r="CD16" t="s">
        <v>216</v>
      </c>
      <c r="CE16" t="s">
        <v>217</v>
      </c>
      <c r="CF16" t="s">
        <v>218</v>
      </c>
      <c r="CG16" t="s">
        <v>219</v>
      </c>
      <c r="CH16" t="s">
        <v>220</v>
      </c>
      <c r="CI16" t="s">
        <v>177</v>
      </c>
      <c r="CJ16" t="s">
        <v>212</v>
      </c>
      <c r="CK16" t="s">
        <v>221</v>
      </c>
      <c r="CL16" t="s">
        <v>221</v>
      </c>
      <c r="CM16" t="s">
        <v>221</v>
      </c>
      <c r="CN16" t="s">
        <v>171</v>
      </c>
      <c r="CO16" t="s">
        <v>222</v>
      </c>
      <c r="CP16" t="s">
        <v>171</v>
      </c>
      <c r="CQ16" t="s">
        <v>171</v>
      </c>
      <c r="CR16" t="s">
        <v>171</v>
      </c>
      <c r="CS16" t="s">
        <v>171</v>
      </c>
      <c r="CT16" t="s">
        <v>759</v>
      </c>
      <c r="CU16" t="s">
        <v>760</v>
      </c>
      <c r="CV16" t="s">
        <v>761</v>
      </c>
      <c r="CW16" t="s">
        <v>762</v>
      </c>
      <c r="CX16" t="s">
        <v>763</v>
      </c>
      <c r="CY16" t="s">
        <v>764</v>
      </c>
      <c r="CZ16" t="s">
        <v>765</v>
      </c>
      <c r="DA16" t="s">
        <v>766</v>
      </c>
      <c r="DB16" t="s">
        <v>734</v>
      </c>
      <c r="DC16" t="s">
        <v>767</v>
      </c>
      <c r="DD16" t="s">
        <v>232</v>
      </c>
      <c r="DE16" t="s">
        <v>233</v>
      </c>
      <c r="DF16" t="s">
        <v>177</v>
      </c>
      <c r="DG16" t="s">
        <v>234</v>
      </c>
      <c r="DH16" t="s">
        <v>235</v>
      </c>
      <c r="DI16" t="s">
        <v>177</v>
      </c>
      <c r="DJ16" t="s">
        <v>236</v>
      </c>
      <c r="DK16" t="s">
        <v>237</v>
      </c>
      <c r="DL16" t="s">
        <v>238</v>
      </c>
      <c r="DM16" t="s">
        <v>171</v>
      </c>
      <c r="DN16" t="s">
        <v>733</v>
      </c>
      <c r="DO16" t="s">
        <v>239</v>
      </c>
      <c r="DP16" t="s">
        <v>240</v>
      </c>
      <c r="DQ16" t="s">
        <v>241</v>
      </c>
      <c r="DR16" t="s">
        <v>242</v>
      </c>
      <c r="DS16" t="s">
        <v>243</v>
      </c>
      <c r="DT16" t="s">
        <v>244</v>
      </c>
    </row>
    <row r="17" spans="1:124" x14ac:dyDescent="0.45">
      <c r="A17" t="s">
        <v>372</v>
      </c>
      <c r="B17" t="s">
        <v>768</v>
      </c>
      <c r="C17" t="s">
        <v>161</v>
      </c>
      <c r="D17" t="s">
        <v>162</v>
      </c>
      <c r="E17" t="s">
        <v>163</v>
      </c>
      <c r="I17" t="s">
        <v>769</v>
      </c>
      <c r="J17">
        <f t="shared" si="0"/>
        <v>0.68248189802641068</v>
      </c>
      <c r="K17">
        <f t="shared" si="1"/>
        <v>2.9050319999999994</v>
      </c>
      <c r="L17">
        <f t="shared" si="2"/>
        <v>0.5526478250796909</v>
      </c>
      <c r="M17">
        <f t="shared" si="3"/>
        <v>9.8394685065952832</v>
      </c>
      <c r="N17" t="s">
        <v>770</v>
      </c>
      <c r="O17" t="s">
        <v>771</v>
      </c>
      <c r="P17">
        <f t="shared" si="4"/>
        <v>4.524255679542347</v>
      </c>
      <c r="Q17">
        <f t="shared" si="5"/>
        <v>1.7187056795423468</v>
      </c>
      <c r="R17" t="s">
        <v>772</v>
      </c>
      <c r="S17" t="s">
        <v>773</v>
      </c>
      <c r="T17">
        <f t="shared" si="6"/>
        <v>45.152252290841787</v>
      </c>
      <c r="U17">
        <f t="shared" si="7"/>
        <v>0.4417875</v>
      </c>
      <c r="V17" t="s">
        <v>169</v>
      </c>
      <c r="W17" t="s">
        <v>774</v>
      </c>
      <c r="X17" t="s">
        <v>171</v>
      </c>
      <c r="Y17" t="s">
        <v>171</v>
      </c>
      <c r="Z17" t="s">
        <v>171</v>
      </c>
      <c r="AA17" t="s">
        <v>775</v>
      </c>
      <c r="AB17" t="s">
        <v>776</v>
      </c>
      <c r="AC17" t="s">
        <v>777</v>
      </c>
      <c r="AD17" t="s">
        <v>175</v>
      </c>
      <c r="AE17" t="s">
        <v>176</v>
      </c>
      <c r="AF17">
        <f t="shared" si="8"/>
        <v>215.18504279999999</v>
      </c>
      <c r="AG17" t="s">
        <v>177</v>
      </c>
      <c r="AH17" t="s">
        <v>778</v>
      </c>
      <c r="AI17" t="s">
        <v>779</v>
      </c>
      <c r="AJ17" t="s">
        <v>780</v>
      </c>
      <c r="AK17" t="s">
        <v>781</v>
      </c>
      <c r="AL17">
        <f t="shared" si="9"/>
        <v>31.05</v>
      </c>
      <c r="AM17" t="s">
        <v>741</v>
      </c>
      <c r="AN17" t="s">
        <v>356</v>
      </c>
      <c r="AO17" t="s">
        <v>782</v>
      </c>
      <c r="AP17" t="s">
        <v>783</v>
      </c>
      <c r="AQ17" t="s">
        <v>784</v>
      </c>
      <c r="AR17" t="s">
        <v>785</v>
      </c>
      <c r="AS17" t="s">
        <v>265</v>
      </c>
      <c r="AT17" t="s">
        <v>217</v>
      </c>
      <c r="AU17" t="s">
        <v>786</v>
      </c>
      <c r="AV17" t="s">
        <v>787</v>
      </c>
      <c r="AW17" t="s">
        <v>788</v>
      </c>
      <c r="AX17" t="s">
        <v>789</v>
      </c>
      <c r="AY17" t="s">
        <v>790</v>
      </c>
      <c r="AZ17" t="s">
        <v>544</v>
      </c>
      <c r="BA17" t="s">
        <v>791</v>
      </c>
      <c r="BB17" t="s">
        <v>792</v>
      </c>
      <c r="BC17" t="s">
        <v>793</v>
      </c>
      <c r="BD17" t="s">
        <v>161</v>
      </c>
      <c r="BE17" t="s">
        <v>794</v>
      </c>
      <c r="BF17" t="s">
        <v>410</v>
      </c>
      <c r="BG17" t="s">
        <v>795</v>
      </c>
      <c r="BH17" t="s">
        <v>456</v>
      </c>
      <c r="BI17" t="s">
        <v>412</v>
      </c>
      <c r="BJ17" t="s">
        <v>551</v>
      </c>
      <c r="BK17" t="s">
        <v>161</v>
      </c>
      <c r="BL17" t="s">
        <v>552</v>
      </c>
      <c r="BM17" t="s">
        <v>159</v>
      </c>
      <c r="BN17" t="s">
        <v>796</v>
      </c>
      <c r="BO17" t="s">
        <v>206</v>
      </c>
      <c r="BP17" t="s">
        <v>796</v>
      </c>
      <c r="BQ17" t="s">
        <v>797</v>
      </c>
      <c r="BR17" t="s">
        <v>798</v>
      </c>
      <c r="BS17" t="s">
        <v>799</v>
      </c>
      <c r="BT17" t="s">
        <v>159</v>
      </c>
      <c r="BU17" t="s">
        <v>211</v>
      </c>
      <c r="BV17" t="s">
        <v>206</v>
      </c>
      <c r="BW17" t="s">
        <v>212</v>
      </c>
      <c r="BX17" t="s">
        <v>213</v>
      </c>
      <c r="BY17" t="s">
        <v>171</v>
      </c>
      <c r="BZ17" t="s">
        <v>214</v>
      </c>
      <c r="CA17" t="s">
        <v>171</v>
      </c>
      <c r="CB17" t="s">
        <v>171</v>
      </c>
      <c r="CC17" t="s">
        <v>215</v>
      </c>
      <c r="CD17" t="s">
        <v>216</v>
      </c>
      <c r="CE17" t="s">
        <v>217</v>
      </c>
      <c r="CF17" t="s">
        <v>218</v>
      </c>
      <c r="CG17" t="s">
        <v>219</v>
      </c>
      <c r="CH17" t="s">
        <v>220</v>
      </c>
      <c r="CI17" t="s">
        <v>177</v>
      </c>
      <c r="CJ17" t="s">
        <v>212</v>
      </c>
      <c r="CK17" t="s">
        <v>221</v>
      </c>
      <c r="CL17" t="s">
        <v>221</v>
      </c>
      <c r="CM17" t="s">
        <v>221</v>
      </c>
      <c r="CN17" t="s">
        <v>171</v>
      </c>
      <c r="CO17" t="s">
        <v>222</v>
      </c>
      <c r="CP17" t="s">
        <v>171</v>
      </c>
      <c r="CQ17" t="s">
        <v>171</v>
      </c>
      <c r="CR17" t="s">
        <v>171</v>
      </c>
      <c r="CS17" t="s">
        <v>171</v>
      </c>
      <c r="CT17" t="s">
        <v>800</v>
      </c>
      <c r="CU17" t="s">
        <v>801</v>
      </c>
      <c r="CV17" t="s">
        <v>802</v>
      </c>
      <c r="CW17" t="s">
        <v>803</v>
      </c>
      <c r="CX17" t="s">
        <v>804</v>
      </c>
      <c r="CY17" t="s">
        <v>805</v>
      </c>
      <c r="CZ17" t="s">
        <v>806</v>
      </c>
      <c r="DA17" t="s">
        <v>807</v>
      </c>
      <c r="DB17" t="s">
        <v>775</v>
      </c>
      <c r="DC17" t="s">
        <v>808</v>
      </c>
      <c r="DD17" t="s">
        <v>232</v>
      </c>
      <c r="DE17" t="s">
        <v>233</v>
      </c>
      <c r="DF17" t="s">
        <v>177</v>
      </c>
      <c r="DG17" t="s">
        <v>234</v>
      </c>
      <c r="DH17" t="s">
        <v>235</v>
      </c>
      <c r="DI17" t="s">
        <v>177</v>
      </c>
      <c r="DJ17" t="s">
        <v>236</v>
      </c>
      <c r="DK17" t="s">
        <v>237</v>
      </c>
      <c r="DL17" t="s">
        <v>238</v>
      </c>
      <c r="DM17" t="s">
        <v>171</v>
      </c>
      <c r="DN17" t="s">
        <v>774</v>
      </c>
      <c r="DO17" t="s">
        <v>239</v>
      </c>
      <c r="DP17" t="s">
        <v>240</v>
      </c>
      <c r="DQ17" t="s">
        <v>241</v>
      </c>
      <c r="DR17" t="s">
        <v>242</v>
      </c>
      <c r="DS17" t="s">
        <v>243</v>
      </c>
      <c r="DT17" t="s">
        <v>244</v>
      </c>
    </row>
    <row r="18" spans="1:124" x14ac:dyDescent="0.45">
      <c r="A18" t="s">
        <v>456</v>
      </c>
      <c r="B18" t="s">
        <v>809</v>
      </c>
      <c r="C18" t="s">
        <v>161</v>
      </c>
      <c r="D18" t="s">
        <v>162</v>
      </c>
      <c r="E18" t="s">
        <v>163</v>
      </c>
      <c r="I18" t="s">
        <v>810</v>
      </c>
      <c r="J18">
        <f t="shared" si="0"/>
        <v>1.1996037842524045</v>
      </c>
      <c r="K18">
        <f t="shared" si="1"/>
        <v>2.9050319999999994</v>
      </c>
      <c r="L18">
        <f t="shared" si="2"/>
        <v>0.84901257108955619</v>
      </c>
      <c r="M18">
        <f t="shared" si="3"/>
        <v>13.497859598037357</v>
      </c>
      <c r="N18" t="s">
        <v>811</v>
      </c>
      <c r="O18" t="s">
        <v>812</v>
      </c>
      <c r="P18">
        <f t="shared" si="4"/>
        <v>4.396911186873413</v>
      </c>
      <c r="Q18">
        <f t="shared" si="5"/>
        <v>1.5352541868734129</v>
      </c>
      <c r="R18" t="s">
        <v>813</v>
      </c>
      <c r="S18" t="s">
        <v>814</v>
      </c>
      <c r="T18">
        <f t="shared" si="6"/>
        <v>43.881349170393342</v>
      </c>
      <c r="U18">
        <f t="shared" si="7"/>
        <v>0.4417875</v>
      </c>
      <c r="V18" t="s">
        <v>169</v>
      </c>
      <c r="W18" t="s">
        <v>815</v>
      </c>
      <c r="X18" t="s">
        <v>171</v>
      </c>
      <c r="Y18" t="s">
        <v>171</v>
      </c>
      <c r="Z18" t="s">
        <v>171</v>
      </c>
      <c r="AA18" t="s">
        <v>816</v>
      </c>
      <c r="AB18" t="s">
        <v>817</v>
      </c>
      <c r="AC18" t="s">
        <v>818</v>
      </c>
      <c r="AD18" t="s">
        <v>175</v>
      </c>
      <c r="AE18" t="s">
        <v>176</v>
      </c>
      <c r="AF18">
        <f t="shared" si="8"/>
        <v>196.29152550000001</v>
      </c>
      <c r="AG18" t="s">
        <v>177</v>
      </c>
      <c r="AH18" t="s">
        <v>819</v>
      </c>
      <c r="AI18" t="s">
        <v>820</v>
      </c>
      <c r="AJ18" t="s">
        <v>821</v>
      </c>
      <c r="AK18" t="s">
        <v>822</v>
      </c>
      <c r="AL18">
        <f t="shared" si="9"/>
        <v>30.55</v>
      </c>
      <c r="AM18" t="s">
        <v>741</v>
      </c>
      <c r="AN18" t="s">
        <v>356</v>
      </c>
      <c r="AO18" t="s">
        <v>823</v>
      </c>
      <c r="AP18" t="s">
        <v>824</v>
      </c>
      <c r="AQ18" t="s">
        <v>825</v>
      </c>
      <c r="AR18" t="s">
        <v>826</v>
      </c>
      <c r="AS18" t="s">
        <v>827</v>
      </c>
      <c r="AT18" t="s">
        <v>294</v>
      </c>
      <c r="AU18" t="s">
        <v>828</v>
      </c>
      <c r="AV18" t="s">
        <v>829</v>
      </c>
      <c r="AW18" t="s">
        <v>830</v>
      </c>
      <c r="AX18" t="s">
        <v>831</v>
      </c>
      <c r="AY18" t="s">
        <v>832</v>
      </c>
      <c r="AZ18" t="s">
        <v>544</v>
      </c>
      <c r="BA18" t="s">
        <v>833</v>
      </c>
      <c r="BB18" t="s">
        <v>834</v>
      </c>
      <c r="BC18" t="s">
        <v>835</v>
      </c>
      <c r="BD18" t="s">
        <v>161</v>
      </c>
      <c r="BE18" t="s">
        <v>836</v>
      </c>
      <c r="BF18" t="s">
        <v>837</v>
      </c>
      <c r="BG18" t="s">
        <v>838</v>
      </c>
      <c r="BH18" t="s">
        <v>504</v>
      </c>
      <c r="BI18" t="s">
        <v>755</v>
      </c>
      <c r="BJ18" t="s">
        <v>839</v>
      </c>
      <c r="BK18" t="s">
        <v>161</v>
      </c>
      <c r="BL18" t="s">
        <v>840</v>
      </c>
      <c r="BM18" t="s">
        <v>159</v>
      </c>
      <c r="BN18" t="s">
        <v>841</v>
      </c>
      <c r="BO18" t="s">
        <v>280</v>
      </c>
      <c r="BP18" t="s">
        <v>842</v>
      </c>
      <c r="BQ18" t="s">
        <v>843</v>
      </c>
      <c r="BR18" t="s">
        <v>844</v>
      </c>
      <c r="BS18" t="s">
        <v>845</v>
      </c>
      <c r="BT18" t="s">
        <v>159</v>
      </c>
      <c r="BU18" t="s">
        <v>211</v>
      </c>
      <c r="BV18" t="s">
        <v>206</v>
      </c>
      <c r="BW18" t="s">
        <v>212</v>
      </c>
      <c r="BX18" t="s">
        <v>213</v>
      </c>
      <c r="BY18" t="s">
        <v>171</v>
      </c>
      <c r="BZ18" t="s">
        <v>214</v>
      </c>
      <c r="CA18" t="s">
        <v>171</v>
      </c>
      <c r="CB18" t="s">
        <v>171</v>
      </c>
      <c r="CC18" t="s">
        <v>215</v>
      </c>
      <c r="CD18" t="s">
        <v>216</v>
      </c>
      <c r="CE18" t="s">
        <v>217</v>
      </c>
      <c r="CF18" t="s">
        <v>218</v>
      </c>
      <c r="CG18" t="s">
        <v>219</v>
      </c>
      <c r="CH18" t="s">
        <v>220</v>
      </c>
      <c r="CI18" t="s">
        <v>177</v>
      </c>
      <c r="CJ18" t="s">
        <v>212</v>
      </c>
      <c r="CK18" t="s">
        <v>221</v>
      </c>
      <c r="CL18" t="s">
        <v>221</v>
      </c>
      <c r="CM18" t="s">
        <v>221</v>
      </c>
      <c r="CN18" t="s">
        <v>171</v>
      </c>
      <c r="CO18" t="s">
        <v>222</v>
      </c>
      <c r="CP18" t="s">
        <v>171</v>
      </c>
      <c r="CQ18" t="s">
        <v>171</v>
      </c>
      <c r="CR18" t="s">
        <v>171</v>
      </c>
      <c r="CS18" t="s">
        <v>171</v>
      </c>
      <c r="CT18" t="s">
        <v>846</v>
      </c>
      <c r="CU18" t="s">
        <v>847</v>
      </c>
      <c r="CV18" t="s">
        <v>848</v>
      </c>
      <c r="CW18" t="s">
        <v>849</v>
      </c>
      <c r="CX18" t="s">
        <v>850</v>
      </c>
      <c r="CY18" t="s">
        <v>851</v>
      </c>
      <c r="CZ18" t="s">
        <v>852</v>
      </c>
      <c r="DA18" t="s">
        <v>853</v>
      </c>
      <c r="DB18" t="s">
        <v>816</v>
      </c>
      <c r="DC18" t="s">
        <v>854</v>
      </c>
      <c r="DD18" t="s">
        <v>232</v>
      </c>
      <c r="DE18" t="s">
        <v>233</v>
      </c>
      <c r="DF18" t="s">
        <v>177</v>
      </c>
      <c r="DG18" t="s">
        <v>234</v>
      </c>
      <c r="DH18" t="s">
        <v>235</v>
      </c>
      <c r="DI18" t="s">
        <v>177</v>
      </c>
      <c r="DJ18" t="s">
        <v>236</v>
      </c>
      <c r="DK18" t="s">
        <v>237</v>
      </c>
      <c r="DL18" t="s">
        <v>238</v>
      </c>
      <c r="DM18" t="s">
        <v>171</v>
      </c>
      <c r="DN18" t="s">
        <v>815</v>
      </c>
      <c r="DO18" t="s">
        <v>239</v>
      </c>
      <c r="DP18" t="s">
        <v>240</v>
      </c>
      <c r="DQ18" t="s">
        <v>241</v>
      </c>
      <c r="DR18" t="s">
        <v>242</v>
      </c>
      <c r="DS18" t="s">
        <v>243</v>
      </c>
      <c r="DT18" t="s">
        <v>244</v>
      </c>
    </row>
    <row r="19" spans="1:124" x14ac:dyDescent="0.45">
      <c r="A19" t="s">
        <v>504</v>
      </c>
      <c r="B19" t="s">
        <v>855</v>
      </c>
      <c r="C19" t="s">
        <v>161</v>
      </c>
      <c r="D19" t="s">
        <v>162</v>
      </c>
      <c r="E19" t="s">
        <v>163</v>
      </c>
      <c r="I19" t="s">
        <v>856</v>
      </c>
      <c r="J19">
        <f t="shared" si="0"/>
        <v>0.82153277943391878</v>
      </c>
      <c r="K19">
        <f t="shared" si="1"/>
        <v>2.9058327199999998</v>
      </c>
      <c r="L19">
        <f t="shared" si="2"/>
        <v>0.6404622330152967</v>
      </c>
      <c r="M19">
        <f t="shared" si="3"/>
        <v>10.778469835853368</v>
      </c>
      <c r="N19" t="s">
        <v>857</v>
      </c>
      <c r="O19" t="s">
        <v>858</v>
      </c>
      <c r="P19">
        <f t="shared" si="4"/>
        <v>4.396911186873413</v>
      </c>
      <c r="Q19">
        <f t="shared" si="5"/>
        <v>1.6260751868734129</v>
      </c>
      <c r="R19" t="s">
        <v>859</v>
      </c>
      <c r="S19" t="s">
        <v>860</v>
      </c>
      <c r="T19">
        <f t="shared" si="6"/>
        <v>43.881349170393342</v>
      </c>
      <c r="U19">
        <f t="shared" si="7"/>
        <v>0.4417875</v>
      </c>
      <c r="V19" t="s">
        <v>169</v>
      </c>
      <c r="W19" t="s">
        <v>861</v>
      </c>
      <c r="X19" t="s">
        <v>171</v>
      </c>
      <c r="Y19" t="s">
        <v>171</v>
      </c>
      <c r="Z19" t="s">
        <v>171</v>
      </c>
      <c r="AA19" t="s">
        <v>862</v>
      </c>
      <c r="AB19" t="s">
        <v>863</v>
      </c>
      <c r="AC19" t="s">
        <v>864</v>
      </c>
      <c r="AD19" t="s">
        <v>175</v>
      </c>
      <c r="AE19" t="s">
        <v>176</v>
      </c>
      <c r="AF19">
        <f t="shared" si="8"/>
        <v>158.02438301999996</v>
      </c>
      <c r="AG19" t="s">
        <v>177</v>
      </c>
      <c r="AH19" t="s">
        <v>865</v>
      </c>
      <c r="AI19" t="s">
        <v>866</v>
      </c>
      <c r="AJ19" t="s">
        <v>867</v>
      </c>
      <c r="AK19" t="s">
        <v>822</v>
      </c>
      <c r="AL19">
        <f t="shared" si="9"/>
        <v>30.55</v>
      </c>
      <c r="AM19" t="s">
        <v>741</v>
      </c>
      <c r="AN19" t="s">
        <v>260</v>
      </c>
      <c r="AO19" t="s">
        <v>441</v>
      </c>
      <c r="AP19" t="s">
        <v>175</v>
      </c>
      <c r="AQ19" t="s">
        <v>868</v>
      </c>
      <c r="AR19" t="s">
        <v>826</v>
      </c>
      <c r="AS19" t="s">
        <v>869</v>
      </c>
      <c r="AT19" t="s">
        <v>687</v>
      </c>
      <c r="AU19" t="s">
        <v>870</v>
      </c>
      <c r="AV19" t="s">
        <v>871</v>
      </c>
      <c r="AW19" t="s">
        <v>872</v>
      </c>
      <c r="AX19" t="s">
        <v>873</v>
      </c>
      <c r="AY19" t="s">
        <v>874</v>
      </c>
      <c r="AZ19" t="s">
        <v>544</v>
      </c>
      <c r="BA19" t="s">
        <v>875</v>
      </c>
      <c r="BB19" t="s">
        <v>876</v>
      </c>
      <c r="BC19" t="s">
        <v>877</v>
      </c>
      <c r="BD19" t="s">
        <v>161</v>
      </c>
      <c r="BE19" t="s">
        <v>323</v>
      </c>
      <c r="BF19" t="s">
        <v>454</v>
      </c>
      <c r="BG19" t="s">
        <v>878</v>
      </c>
      <c r="BH19" t="s">
        <v>504</v>
      </c>
      <c r="BI19" t="s">
        <v>755</v>
      </c>
      <c r="BJ19" t="s">
        <v>839</v>
      </c>
      <c r="BK19" t="s">
        <v>161</v>
      </c>
      <c r="BL19" t="s">
        <v>840</v>
      </c>
      <c r="BM19" t="s">
        <v>159</v>
      </c>
      <c r="BN19" t="s">
        <v>796</v>
      </c>
      <c r="BO19" t="s">
        <v>279</v>
      </c>
      <c r="BP19" t="s">
        <v>590</v>
      </c>
      <c r="BQ19" t="s">
        <v>879</v>
      </c>
      <c r="BR19" t="s">
        <v>880</v>
      </c>
      <c r="BS19" t="s">
        <v>881</v>
      </c>
      <c r="BT19" t="s">
        <v>159</v>
      </c>
      <c r="BU19" t="s">
        <v>211</v>
      </c>
      <c r="BV19" t="s">
        <v>206</v>
      </c>
      <c r="BW19" t="s">
        <v>212</v>
      </c>
      <c r="BX19" t="s">
        <v>213</v>
      </c>
      <c r="BY19" t="s">
        <v>171</v>
      </c>
      <c r="BZ19" t="s">
        <v>214</v>
      </c>
      <c r="CA19" t="s">
        <v>171</v>
      </c>
      <c r="CB19" t="s">
        <v>171</v>
      </c>
      <c r="CC19" t="s">
        <v>215</v>
      </c>
      <c r="CD19" t="s">
        <v>216</v>
      </c>
      <c r="CE19" t="s">
        <v>217</v>
      </c>
      <c r="CF19" t="s">
        <v>218</v>
      </c>
      <c r="CG19" t="s">
        <v>219</v>
      </c>
      <c r="CH19" t="s">
        <v>220</v>
      </c>
      <c r="CI19" t="s">
        <v>177</v>
      </c>
      <c r="CJ19" t="s">
        <v>212</v>
      </c>
      <c r="CK19" t="s">
        <v>221</v>
      </c>
      <c r="CL19" t="s">
        <v>221</v>
      </c>
      <c r="CM19" t="s">
        <v>221</v>
      </c>
      <c r="CN19" t="s">
        <v>171</v>
      </c>
      <c r="CO19" t="s">
        <v>222</v>
      </c>
      <c r="CP19" t="s">
        <v>171</v>
      </c>
      <c r="CQ19" t="s">
        <v>171</v>
      </c>
      <c r="CR19" t="s">
        <v>171</v>
      </c>
      <c r="CS19" t="s">
        <v>171</v>
      </c>
      <c r="CT19" t="s">
        <v>882</v>
      </c>
      <c r="CU19" t="s">
        <v>883</v>
      </c>
      <c r="CV19" t="s">
        <v>884</v>
      </c>
      <c r="CW19" t="s">
        <v>885</v>
      </c>
      <c r="CX19" t="s">
        <v>886</v>
      </c>
      <c r="CY19" t="s">
        <v>887</v>
      </c>
      <c r="CZ19" t="s">
        <v>888</v>
      </c>
      <c r="DA19" t="s">
        <v>889</v>
      </c>
      <c r="DB19" t="s">
        <v>862</v>
      </c>
      <c r="DC19" t="s">
        <v>767</v>
      </c>
      <c r="DD19" t="s">
        <v>232</v>
      </c>
      <c r="DE19" t="s">
        <v>233</v>
      </c>
      <c r="DF19" t="s">
        <v>177</v>
      </c>
      <c r="DG19" t="s">
        <v>234</v>
      </c>
      <c r="DH19" t="s">
        <v>235</v>
      </c>
      <c r="DI19" t="s">
        <v>177</v>
      </c>
      <c r="DJ19" t="s">
        <v>236</v>
      </c>
      <c r="DK19" t="s">
        <v>237</v>
      </c>
      <c r="DL19" t="s">
        <v>238</v>
      </c>
      <c r="DM19" t="s">
        <v>171</v>
      </c>
      <c r="DN19" t="s">
        <v>861</v>
      </c>
      <c r="DO19" t="s">
        <v>239</v>
      </c>
      <c r="DP19" t="s">
        <v>240</v>
      </c>
      <c r="DQ19" t="s">
        <v>241</v>
      </c>
      <c r="DR19" t="s">
        <v>242</v>
      </c>
      <c r="DS19" t="s">
        <v>243</v>
      </c>
      <c r="DT19" t="s">
        <v>244</v>
      </c>
    </row>
    <row r="20" spans="1:124" x14ac:dyDescent="0.45">
      <c r="A20" t="s">
        <v>890</v>
      </c>
      <c r="B20" t="s">
        <v>891</v>
      </c>
      <c r="C20" t="s">
        <v>161</v>
      </c>
      <c r="D20" t="s">
        <v>162</v>
      </c>
      <c r="E20" t="s">
        <v>163</v>
      </c>
      <c r="I20" t="s">
        <v>892</v>
      </c>
      <c r="J20">
        <f t="shared" si="0"/>
        <v>0.63864351552698728</v>
      </c>
      <c r="K20">
        <f t="shared" si="1"/>
        <v>2.9050319999999994</v>
      </c>
      <c r="L20">
        <f t="shared" si="2"/>
        <v>0.52354676410672785</v>
      </c>
      <c r="M20">
        <f t="shared" si="3"/>
        <v>9.4906372559589016</v>
      </c>
      <c r="N20" t="s">
        <v>893</v>
      </c>
      <c r="O20" t="s">
        <v>894</v>
      </c>
      <c r="P20">
        <f t="shared" si="4"/>
        <v>4.5294155848183495</v>
      </c>
      <c r="Q20">
        <f t="shared" si="5"/>
        <v>1.7501675848183496</v>
      </c>
      <c r="R20" t="s">
        <v>895</v>
      </c>
      <c r="S20" t="s">
        <v>896</v>
      </c>
      <c r="T20">
        <f t="shared" si="6"/>
        <v>45.203748351480534</v>
      </c>
      <c r="U20">
        <f t="shared" si="7"/>
        <v>0.4417875</v>
      </c>
      <c r="V20" t="s">
        <v>169</v>
      </c>
      <c r="W20" t="s">
        <v>897</v>
      </c>
      <c r="X20" t="s">
        <v>171</v>
      </c>
      <c r="Y20" t="s">
        <v>171</v>
      </c>
      <c r="Z20" t="s">
        <v>171</v>
      </c>
      <c r="AA20" t="s">
        <v>898</v>
      </c>
      <c r="AB20" t="s">
        <v>899</v>
      </c>
      <c r="AC20" t="s">
        <v>900</v>
      </c>
      <c r="AD20" t="s">
        <v>175</v>
      </c>
      <c r="AE20" t="s">
        <v>176</v>
      </c>
      <c r="AF20">
        <f t="shared" si="8"/>
        <v>203.43787716000003</v>
      </c>
      <c r="AG20" t="s">
        <v>177</v>
      </c>
      <c r="AH20" t="s">
        <v>901</v>
      </c>
      <c r="AI20" t="s">
        <v>902</v>
      </c>
      <c r="AJ20" t="s">
        <v>780</v>
      </c>
      <c r="AK20" t="s">
        <v>903</v>
      </c>
      <c r="AL20">
        <f t="shared" si="9"/>
        <v>31.07</v>
      </c>
      <c r="AM20" t="s">
        <v>741</v>
      </c>
      <c r="AN20" t="s">
        <v>356</v>
      </c>
      <c r="AO20" t="s">
        <v>401</v>
      </c>
      <c r="AP20" t="s">
        <v>904</v>
      </c>
      <c r="AQ20" t="s">
        <v>905</v>
      </c>
      <c r="AR20" t="s">
        <v>906</v>
      </c>
      <c r="AS20" t="s">
        <v>907</v>
      </c>
      <c r="AT20" t="s">
        <v>687</v>
      </c>
      <c r="AU20" t="s">
        <v>908</v>
      </c>
      <c r="AV20" t="s">
        <v>909</v>
      </c>
      <c r="AW20" t="s">
        <v>910</v>
      </c>
      <c r="AX20" t="s">
        <v>911</v>
      </c>
      <c r="AY20" t="s">
        <v>912</v>
      </c>
      <c r="AZ20" t="s">
        <v>544</v>
      </c>
      <c r="BA20" t="s">
        <v>913</v>
      </c>
      <c r="BB20" t="s">
        <v>914</v>
      </c>
      <c r="BC20" t="s">
        <v>915</v>
      </c>
      <c r="BD20" t="s">
        <v>161</v>
      </c>
      <c r="BE20" t="s">
        <v>714</v>
      </c>
      <c r="BF20" t="s">
        <v>916</v>
      </c>
      <c r="BG20" t="s">
        <v>917</v>
      </c>
      <c r="BH20" t="s">
        <v>456</v>
      </c>
      <c r="BI20" t="s">
        <v>412</v>
      </c>
      <c r="BJ20" t="s">
        <v>839</v>
      </c>
      <c r="BK20" t="s">
        <v>161</v>
      </c>
      <c r="BL20" t="s">
        <v>840</v>
      </c>
      <c r="BM20" t="s">
        <v>159</v>
      </c>
      <c r="BN20" t="s">
        <v>281</v>
      </c>
      <c r="BO20" t="s">
        <v>280</v>
      </c>
      <c r="BP20" t="s">
        <v>206</v>
      </c>
      <c r="BQ20" t="s">
        <v>918</v>
      </c>
      <c r="BR20" t="s">
        <v>919</v>
      </c>
      <c r="BS20" t="s">
        <v>920</v>
      </c>
      <c r="BT20" t="s">
        <v>159</v>
      </c>
      <c r="BU20" t="s">
        <v>211</v>
      </c>
      <c r="BV20" t="s">
        <v>206</v>
      </c>
      <c r="BW20" t="s">
        <v>212</v>
      </c>
      <c r="BX20" t="s">
        <v>213</v>
      </c>
      <c r="BY20" t="s">
        <v>171</v>
      </c>
      <c r="BZ20" t="s">
        <v>214</v>
      </c>
      <c r="CA20" t="s">
        <v>171</v>
      </c>
      <c r="CB20" t="s">
        <v>171</v>
      </c>
      <c r="CC20" t="s">
        <v>215</v>
      </c>
      <c r="CD20" t="s">
        <v>216</v>
      </c>
      <c r="CE20" t="s">
        <v>217</v>
      </c>
      <c r="CF20" t="s">
        <v>218</v>
      </c>
      <c r="CG20" t="s">
        <v>219</v>
      </c>
      <c r="CH20" t="s">
        <v>220</v>
      </c>
      <c r="CI20" t="s">
        <v>177</v>
      </c>
      <c r="CJ20" t="s">
        <v>212</v>
      </c>
      <c r="CK20" t="s">
        <v>221</v>
      </c>
      <c r="CL20" t="s">
        <v>221</v>
      </c>
      <c r="CM20" t="s">
        <v>221</v>
      </c>
      <c r="CN20" t="s">
        <v>171</v>
      </c>
      <c r="CO20" t="s">
        <v>222</v>
      </c>
      <c r="CP20" t="s">
        <v>171</v>
      </c>
      <c r="CQ20" t="s">
        <v>171</v>
      </c>
      <c r="CR20" t="s">
        <v>171</v>
      </c>
      <c r="CS20" t="s">
        <v>171</v>
      </c>
      <c r="CT20" t="s">
        <v>921</v>
      </c>
      <c r="CU20" t="s">
        <v>922</v>
      </c>
      <c r="CV20" t="s">
        <v>923</v>
      </c>
      <c r="CW20" t="s">
        <v>924</v>
      </c>
      <c r="CX20" t="s">
        <v>925</v>
      </c>
      <c r="CY20" t="s">
        <v>926</v>
      </c>
      <c r="CZ20" t="s">
        <v>927</v>
      </c>
      <c r="DA20" t="s">
        <v>928</v>
      </c>
      <c r="DB20" t="s">
        <v>898</v>
      </c>
      <c r="DC20" t="s">
        <v>929</v>
      </c>
      <c r="DD20" t="s">
        <v>232</v>
      </c>
      <c r="DE20" t="s">
        <v>233</v>
      </c>
      <c r="DF20" t="s">
        <v>177</v>
      </c>
      <c r="DG20" t="s">
        <v>234</v>
      </c>
      <c r="DH20" t="s">
        <v>235</v>
      </c>
      <c r="DI20" t="s">
        <v>177</v>
      </c>
      <c r="DJ20" t="s">
        <v>236</v>
      </c>
      <c r="DK20" t="s">
        <v>237</v>
      </c>
      <c r="DL20" t="s">
        <v>238</v>
      </c>
      <c r="DM20" t="s">
        <v>171</v>
      </c>
      <c r="DN20" t="s">
        <v>897</v>
      </c>
      <c r="DO20" t="s">
        <v>239</v>
      </c>
      <c r="DP20" t="s">
        <v>240</v>
      </c>
      <c r="DQ20" t="s">
        <v>241</v>
      </c>
      <c r="DR20" t="s">
        <v>242</v>
      </c>
      <c r="DS20" t="s">
        <v>243</v>
      </c>
      <c r="DT20" t="s">
        <v>244</v>
      </c>
    </row>
    <row r="21" spans="1:124" x14ac:dyDescent="0.45">
      <c r="A21" t="s">
        <v>930</v>
      </c>
      <c r="B21" t="s">
        <v>931</v>
      </c>
      <c r="C21" t="s">
        <v>161</v>
      </c>
      <c r="D21" t="s">
        <v>162</v>
      </c>
      <c r="E21" t="s">
        <v>163</v>
      </c>
      <c r="I21" t="s">
        <v>932</v>
      </c>
      <c r="J21">
        <f t="shared" si="0"/>
        <v>0.15816847131670031</v>
      </c>
      <c r="K21">
        <f t="shared" si="1"/>
        <v>2.9050319999999994</v>
      </c>
      <c r="L21">
        <f t="shared" si="2"/>
        <v>0.15000143636325233</v>
      </c>
      <c r="M21">
        <f t="shared" si="3"/>
        <v>4.1056815351304063</v>
      </c>
      <c r="N21" t="s">
        <v>933</v>
      </c>
      <c r="O21" t="s">
        <v>934</v>
      </c>
      <c r="P21">
        <f t="shared" si="4"/>
        <v>5.1523150514639635</v>
      </c>
      <c r="Q21">
        <f t="shared" si="5"/>
        <v>2.6377430514639637</v>
      </c>
      <c r="R21" t="s">
        <v>935</v>
      </c>
      <c r="S21" t="s">
        <v>936</v>
      </c>
      <c r="T21">
        <f t="shared" si="6"/>
        <v>51.420309894849936</v>
      </c>
      <c r="U21">
        <f t="shared" si="7"/>
        <v>0.4417875</v>
      </c>
      <c r="V21" t="s">
        <v>169</v>
      </c>
      <c r="W21" t="s">
        <v>937</v>
      </c>
      <c r="X21" t="s">
        <v>171</v>
      </c>
      <c r="Y21" t="s">
        <v>171</v>
      </c>
      <c r="Z21" t="s">
        <v>171</v>
      </c>
      <c r="AA21" t="s">
        <v>938</v>
      </c>
      <c r="AB21" t="s">
        <v>939</v>
      </c>
      <c r="AC21" t="s">
        <v>940</v>
      </c>
      <c r="AD21" t="s">
        <v>175</v>
      </c>
      <c r="AE21" t="s">
        <v>176</v>
      </c>
      <c r="AF21">
        <f t="shared" si="8"/>
        <v>185.20651296</v>
      </c>
      <c r="AG21" t="s">
        <v>177</v>
      </c>
      <c r="AH21" t="s">
        <v>941</v>
      </c>
      <c r="AI21" t="s">
        <v>942</v>
      </c>
      <c r="AJ21" t="s">
        <v>867</v>
      </c>
      <c r="AK21" t="s">
        <v>943</v>
      </c>
      <c r="AL21">
        <f t="shared" si="9"/>
        <v>33.35</v>
      </c>
      <c r="AM21" t="s">
        <v>741</v>
      </c>
      <c r="AN21" t="s">
        <v>356</v>
      </c>
      <c r="AO21" t="s">
        <v>944</v>
      </c>
      <c r="AP21" t="s">
        <v>945</v>
      </c>
      <c r="AQ21" t="s">
        <v>946</v>
      </c>
      <c r="AR21" t="s">
        <v>906</v>
      </c>
      <c r="AS21" t="s">
        <v>947</v>
      </c>
      <c r="AT21" t="s">
        <v>907</v>
      </c>
      <c r="AU21" t="s">
        <v>948</v>
      </c>
      <c r="AV21" t="s">
        <v>949</v>
      </c>
      <c r="AW21" t="s">
        <v>950</v>
      </c>
      <c r="AX21" t="s">
        <v>951</v>
      </c>
      <c r="AY21" t="s">
        <v>952</v>
      </c>
      <c r="AZ21" t="s">
        <v>544</v>
      </c>
      <c r="BA21" t="s">
        <v>953</v>
      </c>
      <c r="BB21" t="s">
        <v>954</v>
      </c>
      <c r="BC21" t="s">
        <v>955</v>
      </c>
      <c r="BD21" t="s">
        <v>161</v>
      </c>
      <c r="BE21" t="s">
        <v>956</v>
      </c>
      <c r="BF21" t="s">
        <v>410</v>
      </c>
      <c r="BG21" t="s">
        <v>917</v>
      </c>
      <c r="BH21" t="s">
        <v>504</v>
      </c>
      <c r="BI21" t="s">
        <v>755</v>
      </c>
      <c r="BJ21" t="s">
        <v>839</v>
      </c>
      <c r="BK21" t="s">
        <v>161</v>
      </c>
      <c r="BL21" t="s">
        <v>840</v>
      </c>
      <c r="BM21" t="s">
        <v>159</v>
      </c>
      <c r="BN21" t="s">
        <v>590</v>
      </c>
      <c r="BO21" t="s">
        <v>280</v>
      </c>
      <c r="BP21" t="s">
        <v>281</v>
      </c>
      <c r="BQ21" t="s">
        <v>957</v>
      </c>
      <c r="BR21" t="s">
        <v>958</v>
      </c>
      <c r="BS21" t="s">
        <v>959</v>
      </c>
      <c r="BT21" t="s">
        <v>159</v>
      </c>
      <c r="BU21" t="s">
        <v>211</v>
      </c>
      <c r="BV21" t="s">
        <v>206</v>
      </c>
      <c r="BW21" t="s">
        <v>212</v>
      </c>
      <c r="BX21" t="s">
        <v>213</v>
      </c>
      <c r="BY21" t="s">
        <v>171</v>
      </c>
      <c r="BZ21" t="s">
        <v>214</v>
      </c>
      <c r="CA21" t="s">
        <v>171</v>
      </c>
      <c r="CB21" t="s">
        <v>171</v>
      </c>
      <c r="CC21" t="s">
        <v>215</v>
      </c>
      <c r="CD21" t="s">
        <v>216</v>
      </c>
      <c r="CE21" t="s">
        <v>217</v>
      </c>
      <c r="CF21" t="s">
        <v>218</v>
      </c>
      <c r="CG21" t="s">
        <v>219</v>
      </c>
      <c r="CH21" t="s">
        <v>220</v>
      </c>
      <c r="CI21" t="s">
        <v>177</v>
      </c>
      <c r="CJ21" t="s">
        <v>212</v>
      </c>
      <c r="CK21" t="s">
        <v>221</v>
      </c>
      <c r="CL21" t="s">
        <v>221</v>
      </c>
      <c r="CM21" t="s">
        <v>221</v>
      </c>
      <c r="CN21" t="s">
        <v>171</v>
      </c>
      <c r="CO21" t="s">
        <v>222</v>
      </c>
      <c r="CP21" t="s">
        <v>171</v>
      </c>
      <c r="CQ21" t="s">
        <v>171</v>
      </c>
      <c r="CR21" t="s">
        <v>171</v>
      </c>
      <c r="CS21" t="s">
        <v>171</v>
      </c>
      <c r="CT21" t="s">
        <v>960</v>
      </c>
      <c r="CU21" t="s">
        <v>961</v>
      </c>
      <c r="CV21" t="s">
        <v>962</v>
      </c>
      <c r="CW21" t="s">
        <v>963</v>
      </c>
      <c r="CX21" t="s">
        <v>964</v>
      </c>
      <c r="CY21" t="s">
        <v>965</v>
      </c>
      <c r="CZ21" t="s">
        <v>966</v>
      </c>
      <c r="DA21" t="s">
        <v>967</v>
      </c>
      <c r="DB21" t="s">
        <v>938</v>
      </c>
      <c r="DC21" t="s">
        <v>385</v>
      </c>
      <c r="DD21" t="s">
        <v>232</v>
      </c>
      <c r="DE21" t="s">
        <v>233</v>
      </c>
      <c r="DF21" t="s">
        <v>177</v>
      </c>
      <c r="DG21" t="s">
        <v>234</v>
      </c>
      <c r="DH21" t="s">
        <v>235</v>
      </c>
      <c r="DI21" t="s">
        <v>177</v>
      </c>
      <c r="DJ21" t="s">
        <v>236</v>
      </c>
      <c r="DK21" t="s">
        <v>237</v>
      </c>
      <c r="DL21" t="s">
        <v>238</v>
      </c>
      <c r="DM21" t="s">
        <v>171</v>
      </c>
      <c r="DN21" t="s">
        <v>937</v>
      </c>
      <c r="DO21" t="s">
        <v>239</v>
      </c>
      <c r="DP21" t="s">
        <v>240</v>
      </c>
      <c r="DQ21" t="s">
        <v>241</v>
      </c>
      <c r="DR21" t="s">
        <v>242</v>
      </c>
      <c r="DS21" t="s">
        <v>243</v>
      </c>
      <c r="DT21" t="s">
        <v>244</v>
      </c>
    </row>
    <row r="22" spans="1:124" x14ac:dyDescent="0.45">
      <c r="A22" t="s">
        <v>968</v>
      </c>
      <c r="B22" t="s">
        <v>969</v>
      </c>
      <c r="C22" t="s">
        <v>161</v>
      </c>
      <c r="D22" t="s">
        <v>162</v>
      </c>
      <c r="E22" t="s">
        <v>163</v>
      </c>
      <c r="I22" t="s">
        <v>970</v>
      </c>
      <c r="J22">
        <f t="shared" si="0"/>
        <v>0.41336809607919389</v>
      </c>
      <c r="K22">
        <f t="shared" si="1"/>
        <v>2.9058327199999998</v>
      </c>
      <c r="L22">
        <f t="shared" si="2"/>
        <v>0.3618878777000053</v>
      </c>
      <c r="M22">
        <f t="shared" si="3"/>
        <v>8.0501063000808717</v>
      </c>
      <c r="N22" t="s">
        <v>971</v>
      </c>
      <c r="O22" t="s">
        <v>972</v>
      </c>
      <c r="P22">
        <f t="shared" si="4"/>
        <v>4.8540244763790881</v>
      </c>
      <c r="Q22">
        <f t="shared" si="5"/>
        <v>2.1444834763790879</v>
      </c>
      <c r="R22" t="s">
        <v>973</v>
      </c>
      <c r="S22" t="s">
        <v>974</v>
      </c>
      <c r="T22">
        <f t="shared" si="6"/>
        <v>48.448193196717121</v>
      </c>
      <c r="U22">
        <f t="shared" si="7"/>
        <v>0.4417875</v>
      </c>
      <c r="V22" t="s">
        <v>169</v>
      </c>
      <c r="W22" t="s">
        <v>975</v>
      </c>
      <c r="X22" t="s">
        <v>171</v>
      </c>
      <c r="Y22" t="s">
        <v>171</v>
      </c>
      <c r="Z22" t="s">
        <v>171</v>
      </c>
      <c r="AA22" t="s">
        <v>976</v>
      </c>
      <c r="AB22" t="s">
        <v>977</v>
      </c>
      <c r="AC22" t="s">
        <v>978</v>
      </c>
      <c r="AD22" t="s">
        <v>175</v>
      </c>
      <c r="AE22" t="s">
        <v>176</v>
      </c>
      <c r="AF22">
        <f t="shared" si="8"/>
        <v>201.87148967999997</v>
      </c>
      <c r="AG22" t="s">
        <v>177</v>
      </c>
      <c r="AH22" t="s">
        <v>979</v>
      </c>
      <c r="AI22" t="s">
        <v>980</v>
      </c>
      <c r="AJ22" t="s">
        <v>981</v>
      </c>
      <c r="AK22" t="s">
        <v>982</v>
      </c>
      <c r="AL22">
        <f t="shared" si="9"/>
        <v>32.29</v>
      </c>
      <c r="AM22" t="s">
        <v>983</v>
      </c>
      <c r="AN22" t="s">
        <v>260</v>
      </c>
      <c r="AO22" t="s">
        <v>441</v>
      </c>
      <c r="AP22" t="s">
        <v>175</v>
      </c>
      <c r="AQ22" t="s">
        <v>984</v>
      </c>
      <c r="AR22" t="s">
        <v>985</v>
      </c>
      <c r="AS22" t="s">
        <v>314</v>
      </c>
      <c r="AT22" t="s">
        <v>202</v>
      </c>
      <c r="AU22" t="s">
        <v>986</v>
      </c>
      <c r="AV22" t="s">
        <v>987</v>
      </c>
      <c r="AW22" t="s">
        <v>988</v>
      </c>
      <c r="AX22" t="s">
        <v>989</v>
      </c>
      <c r="AY22" t="s">
        <v>990</v>
      </c>
      <c r="AZ22" t="s">
        <v>544</v>
      </c>
      <c r="BA22" t="s">
        <v>991</v>
      </c>
      <c r="BB22" t="s">
        <v>992</v>
      </c>
      <c r="BC22" t="s">
        <v>993</v>
      </c>
      <c r="BD22" t="s">
        <v>161</v>
      </c>
      <c r="BE22" t="s">
        <v>587</v>
      </c>
      <c r="BF22" t="s">
        <v>837</v>
      </c>
      <c r="BG22" t="s">
        <v>917</v>
      </c>
      <c r="BH22" t="s">
        <v>504</v>
      </c>
      <c r="BI22" t="s">
        <v>755</v>
      </c>
      <c r="BJ22" t="s">
        <v>839</v>
      </c>
      <c r="BK22" t="s">
        <v>161</v>
      </c>
      <c r="BL22" t="s">
        <v>840</v>
      </c>
      <c r="BM22" t="s">
        <v>159</v>
      </c>
      <c r="BN22" t="s">
        <v>279</v>
      </c>
      <c r="BO22" t="s">
        <v>279</v>
      </c>
      <c r="BP22" t="s">
        <v>279</v>
      </c>
      <c r="BQ22" t="s">
        <v>994</v>
      </c>
      <c r="BR22" t="s">
        <v>995</v>
      </c>
      <c r="BS22" t="s">
        <v>996</v>
      </c>
      <c r="BT22" t="s">
        <v>159</v>
      </c>
      <c r="BU22" t="s">
        <v>211</v>
      </c>
      <c r="BV22" t="s">
        <v>206</v>
      </c>
      <c r="BW22" t="s">
        <v>212</v>
      </c>
      <c r="BX22" t="s">
        <v>213</v>
      </c>
      <c r="BY22" t="s">
        <v>171</v>
      </c>
      <c r="BZ22" t="s">
        <v>214</v>
      </c>
      <c r="CA22" t="s">
        <v>171</v>
      </c>
      <c r="CB22" t="s">
        <v>171</v>
      </c>
      <c r="CC22" t="s">
        <v>215</v>
      </c>
      <c r="CD22" t="s">
        <v>216</v>
      </c>
      <c r="CE22" t="s">
        <v>217</v>
      </c>
      <c r="CF22" t="s">
        <v>218</v>
      </c>
      <c r="CG22" t="s">
        <v>219</v>
      </c>
      <c r="CH22" t="s">
        <v>220</v>
      </c>
      <c r="CI22" t="s">
        <v>177</v>
      </c>
      <c r="CJ22" t="s">
        <v>212</v>
      </c>
      <c r="CK22" t="s">
        <v>221</v>
      </c>
      <c r="CL22" t="s">
        <v>221</v>
      </c>
      <c r="CM22" t="s">
        <v>221</v>
      </c>
      <c r="CN22" t="s">
        <v>171</v>
      </c>
      <c r="CO22" t="s">
        <v>222</v>
      </c>
      <c r="CP22" t="s">
        <v>171</v>
      </c>
      <c r="CQ22" t="s">
        <v>171</v>
      </c>
      <c r="CR22" t="s">
        <v>171</v>
      </c>
      <c r="CS22" t="s">
        <v>171</v>
      </c>
      <c r="CT22" t="s">
        <v>997</v>
      </c>
      <c r="CU22" t="s">
        <v>998</v>
      </c>
      <c r="CV22" t="s">
        <v>999</v>
      </c>
      <c r="CW22" t="s">
        <v>1000</v>
      </c>
      <c r="CX22" t="s">
        <v>1001</v>
      </c>
      <c r="CY22" t="s">
        <v>1002</v>
      </c>
      <c r="CZ22" t="s">
        <v>1003</v>
      </c>
      <c r="DA22" t="s">
        <v>1004</v>
      </c>
      <c r="DB22" t="s">
        <v>976</v>
      </c>
      <c r="DC22" t="s">
        <v>1005</v>
      </c>
      <c r="DD22" t="s">
        <v>232</v>
      </c>
      <c r="DE22" t="s">
        <v>233</v>
      </c>
      <c r="DF22" t="s">
        <v>177</v>
      </c>
      <c r="DG22" t="s">
        <v>234</v>
      </c>
      <c r="DH22" t="s">
        <v>235</v>
      </c>
      <c r="DI22" t="s">
        <v>177</v>
      </c>
      <c r="DJ22" t="s">
        <v>236</v>
      </c>
      <c r="DK22" t="s">
        <v>237</v>
      </c>
      <c r="DL22" t="s">
        <v>238</v>
      </c>
      <c r="DM22" t="s">
        <v>171</v>
      </c>
      <c r="DN22" t="s">
        <v>975</v>
      </c>
      <c r="DO22" t="s">
        <v>239</v>
      </c>
      <c r="DP22" t="s">
        <v>240</v>
      </c>
      <c r="DQ22" t="s">
        <v>241</v>
      </c>
      <c r="DR22" t="s">
        <v>242</v>
      </c>
      <c r="DS22" t="s">
        <v>243</v>
      </c>
      <c r="DT22" t="s">
        <v>244</v>
      </c>
    </row>
    <row r="23" spans="1:124" x14ac:dyDescent="0.45">
      <c r="A23" t="s">
        <v>1006</v>
      </c>
      <c r="B23" t="s">
        <v>1007</v>
      </c>
      <c r="C23" t="s">
        <v>161</v>
      </c>
      <c r="D23" t="s">
        <v>162</v>
      </c>
      <c r="E23" t="s">
        <v>163</v>
      </c>
      <c r="I23" t="s">
        <v>1008</v>
      </c>
      <c r="J23">
        <f t="shared" si="0"/>
        <v>0.21364053234339545</v>
      </c>
      <c r="K23">
        <f t="shared" si="1"/>
        <v>2.9066320800000001</v>
      </c>
      <c r="L23">
        <f t="shared" si="2"/>
        <v>0.1990128754907812</v>
      </c>
      <c r="M23">
        <f t="shared" si="3"/>
        <v>5.098660585882052</v>
      </c>
      <c r="N23" t="s">
        <v>1009</v>
      </c>
      <c r="O23" t="s">
        <v>1010</v>
      </c>
      <c r="P23">
        <f t="shared" si="4"/>
        <v>5.3489736371454484</v>
      </c>
      <c r="Q23">
        <f t="shared" si="5"/>
        <v>2.4616066371454486</v>
      </c>
      <c r="R23" t="s">
        <v>1011</v>
      </c>
      <c r="S23" t="s">
        <v>1012</v>
      </c>
      <c r="T23">
        <f t="shared" si="6"/>
        <v>53.382970430593296</v>
      </c>
      <c r="U23">
        <f t="shared" si="7"/>
        <v>0.4417875</v>
      </c>
      <c r="V23" t="s">
        <v>169</v>
      </c>
      <c r="W23" t="s">
        <v>1013</v>
      </c>
      <c r="X23" t="s">
        <v>171</v>
      </c>
      <c r="Y23" t="s">
        <v>171</v>
      </c>
      <c r="Z23" t="s">
        <v>171</v>
      </c>
      <c r="AA23" t="s">
        <v>1014</v>
      </c>
      <c r="AB23" t="s">
        <v>1015</v>
      </c>
      <c r="AC23" t="s">
        <v>1016</v>
      </c>
      <c r="AD23" t="s">
        <v>175</v>
      </c>
      <c r="AE23" t="s">
        <v>176</v>
      </c>
      <c r="AF23">
        <f t="shared" si="8"/>
        <v>201.99236063999999</v>
      </c>
      <c r="AG23" t="s">
        <v>177</v>
      </c>
      <c r="AH23" t="s">
        <v>1017</v>
      </c>
      <c r="AI23" t="s">
        <v>1018</v>
      </c>
      <c r="AJ23" t="s">
        <v>1019</v>
      </c>
      <c r="AK23" t="s">
        <v>1020</v>
      </c>
      <c r="AL23">
        <f t="shared" si="9"/>
        <v>34.020000000000003</v>
      </c>
      <c r="AM23" t="s">
        <v>741</v>
      </c>
      <c r="AN23" t="s">
        <v>183</v>
      </c>
      <c r="AO23" t="s">
        <v>261</v>
      </c>
      <c r="AP23" t="s">
        <v>262</v>
      </c>
      <c r="AQ23" t="s">
        <v>1021</v>
      </c>
      <c r="AR23" t="s">
        <v>1022</v>
      </c>
      <c r="AS23" t="s">
        <v>1023</v>
      </c>
      <c r="AT23" t="s">
        <v>930</v>
      </c>
      <c r="AU23" t="s">
        <v>1024</v>
      </c>
      <c r="AV23" t="s">
        <v>1025</v>
      </c>
      <c r="AW23" t="s">
        <v>1026</v>
      </c>
      <c r="AX23" t="s">
        <v>1027</v>
      </c>
      <c r="AY23" t="s">
        <v>1028</v>
      </c>
      <c r="AZ23" t="s">
        <v>544</v>
      </c>
      <c r="BA23" t="s">
        <v>991</v>
      </c>
      <c r="BB23" t="s">
        <v>992</v>
      </c>
      <c r="BC23" t="s">
        <v>1029</v>
      </c>
      <c r="BD23" t="s">
        <v>161</v>
      </c>
      <c r="BE23" t="s">
        <v>587</v>
      </c>
      <c r="BF23" t="s">
        <v>837</v>
      </c>
      <c r="BG23" t="s">
        <v>1030</v>
      </c>
      <c r="BH23" t="s">
        <v>456</v>
      </c>
      <c r="BI23" t="s">
        <v>457</v>
      </c>
      <c r="BJ23" t="s">
        <v>839</v>
      </c>
      <c r="BK23" t="s">
        <v>161</v>
      </c>
      <c r="BL23" t="s">
        <v>840</v>
      </c>
      <c r="BM23" t="s">
        <v>159</v>
      </c>
      <c r="BN23" t="s">
        <v>590</v>
      </c>
      <c r="BO23" t="s">
        <v>280</v>
      </c>
      <c r="BP23" t="s">
        <v>590</v>
      </c>
      <c r="BQ23" t="s">
        <v>1031</v>
      </c>
      <c r="BR23" t="s">
        <v>677</v>
      </c>
      <c r="BS23" t="s">
        <v>1032</v>
      </c>
      <c r="BT23" t="s">
        <v>159</v>
      </c>
      <c r="BU23" t="s">
        <v>211</v>
      </c>
      <c r="BV23" t="s">
        <v>206</v>
      </c>
      <c r="BW23" t="s">
        <v>212</v>
      </c>
      <c r="BX23" t="s">
        <v>213</v>
      </c>
      <c r="BY23" t="s">
        <v>171</v>
      </c>
      <c r="BZ23" t="s">
        <v>214</v>
      </c>
      <c r="CA23" t="s">
        <v>171</v>
      </c>
      <c r="CB23" t="s">
        <v>171</v>
      </c>
      <c r="CC23" t="s">
        <v>215</v>
      </c>
      <c r="CD23" t="s">
        <v>216</v>
      </c>
      <c r="CE23" t="s">
        <v>217</v>
      </c>
      <c r="CF23" t="s">
        <v>218</v>
      </c>
      <c r="CG23" t="s">
        <v>219</v>
      </c>
      <c r="CH23" t="s">
        <v>220</v>
      </c>
      <c r="CI23" t="s">
        <v>177</v>
      </c>
      <c r="CJ23" t="s">
        <v>212</v>
      </c>
      <c r="CK23" t="s">
        <v>221</v>
      </c>
      <c r="CL23" t="s">
        <v>221</v>
      </c>
      <c r="CM23" t="s">
        <v>221</v>
      </c>
      <c r="CN23" t="s">
        <v>171</v>
      </c>
      <c r="CO23" t="s">
        <v>222</v>
      </c>
      <c r="CP23" t="s">
        <v>171</v>
      </c>
      <c r="CQ23" t="s">
        <v>171</v>
      </c>
      <c r="CR23" t="s">
        <v>171</v>
      </c>
      <c r="CS23" t="s">
        <v>171</v>
      </c>
      <c r="CT23" t="s">
        <v>1033</v>
      </c>
      <c r="CU23" t="s">
        <v>1034</v>
      </c>
      <c r="CV23" t="s">
        <v>1035</v>
      </c>
      <c r="CW23" t="s">
        <v>1036</v>
      </c>
      <c r="CX23" t="s">
        <v>1037</v>
      </c>
      <c r="CY23" t="s">
        <v>1038</v>
      </c>
      <c r="CZ23" t="s">
        <v>1039</v>
      </c>
      <c r="DA23" t="s">
        <v>1040</v>
      </c>
      <c r="DB23" t="s">
        <v>1014</v>
      </c>
      <c r="DC23" t="s">
        <v>1041</v>
      </c>
      <c r="DD23" t="s">
        <v>232</v>
      </c>
      <c r="DE23" t="s">
        <v>233</v>
      </c>
      <c r="DF23" t="s">
        <v>177</v>
      </c>
      <c r="DG23" t="s">
        <v>234</v>
      </c>
      <c r="DH23" t="s">
        <v>235</v>
      </c>
      <c r="DI23" t="s">
        <v>177</v>
      </c>
      <c r="DJ23" t="s">
        <v>236</v>
      </c>
      <c r="DK23" t="s">
        <v>237</v>
      </c>
      <c r="DL23" t="s">
        <v>238</v>
      </c>
      <c r="DM23" t="s">
        <v>171</v>
      </c>
      <c r="DN23" t="s">
        <v>1013</v>
      </c>
      <c r="DO23" t="s">
        <v>239</v>
      </c>
      <c r="DP23" t="s">
        <v>240</v>
      </c>
      <c r="DQ23" t="s">
        <v>241</v>
      </c>
      <c r="DR23" t="s">
        <v>242</v>
      </c>
      <c r="DS23" t="s">
        <v>243</v>
      </c>
      <c r="DT23" t="s">
        <v>244</v>
      </c>
    </row>
    <row r="24" spans="1:124" x14ac:dyDescent="0.45">
      <c r="A24" t="s">
        <v>1042</v>
      </c>
      <c r="B24" t="s">
        <v>1043</v>
      </c>
      <c r="C24" t="s">
        <v>161</v>
      </c>
      <c r="D24" t="s">
        <v>162</v>
      </c>
      <c r="E24" t="s">
        <v>163</v>
      </c>
      <c r="I24" t="s">
        <v>1044</v>
      </c>
      <c r="J24">
        <f t="shared" si="0"/>
        <v>0.65167015960726693</v>
      </c>
      <c r="K24">
        <f t="shared" si="1"/>
        <v>2.9050319999999994</v>
      </c>
      <c r="L24">
        <f t="shared" si="2"/>
        <v>0.53226910271093864</v>
      </c>
      <c r="M24">
        <f t="shared" si="3"/>
        <v>9.0007827379697307</v>
      </c>
      <c r="N24" t="s">
        <v>1045</v>
      </c>
      <c r="O24" t="s">
        <v>1046</v>
      </c>
      <c r="P24">
        <f t="shared" si="4"/>
        <v>4.6548006671810613</v>
      </c>
      <c r="Q24">
        <f t="shared" si="5"/>
        <v>1.6293536671810611</v>
      </c>
      <c r="R24" t="s">
        <v>1047</v>
      </c>
      <c r="S24" t="s">
        <v>1048</v>
      </c>
      <c r="T24">
        <f t="shared" si="6"/>
        <v>46.455096478852901</v>
      </c>
      <c r="U24">
        <f t="shared" si="7"/>
        <v>0.4417875</v>
      </c>
      <c r="V24" t="s">
        <v>169</v>
      </c>
      <c r="W24" t="s">
        <v>1049</v>
      </c>
      <c r="X24" t="s">
        <v>171</v>
      </c>
      <c r="Y24" t="s">
        <v>171</v>
      </c>
      <c r="Z24" t="s">
        <v>171</v>
      </c>
      <c r="AA24" t="s">
        <v>1050</v>
      </c>
      <c r="AB24" t="s">
        <v>1051</v>
      </c>
      <c r="AC24" t="s">
        <v>1052</v>
      </c>
      <c r="AD24" t="s">
        <v>175</v>
      </c>
      <c r="AE24" t="s">
        <v>176</v>
      </c>
      <c r="AF24">
        <f t="shared" si="8"/>
        <v>134.76647183999998</v>
      </c>
      <c r="AG24" t="s">
        <v>177</v>
      </c>
      <c r="AH24" t="s">
        <v>1053</v>
      </c>
      <c r="AI24" t="s">
        <v>1054</v>
      </c>
      <c r="AJ24" t="s">
        <v>1055</v>
      </c>
      <c r="AK24" t="s">
        <v>1056</v>
      </c>
      <c r="AL24">
        <f t="shared" si="9"/>
        <v>31.55</v>
      </c>
      <c r="AM24" t="s">
        <v>741</v>
      </c>
      <c r="AN24" t="s">
        <v>356</v>
      </c>
      <c r="AO24" t="s">
        <v>401</v>
      </c>
      <c r="AP24" t="s">
        <v>262</v>
      </c>
      <c r="AQ24" t="s">
        <v>1057</v>
      </c>
      <c r="AR24" t="s">
        <v>1022</v>
      </c>
      <c r="AS24" t="s">
        <v>1058</v>
      </c>
      <c r="AT24" t="s">
        <v>1059</v>
      </c>
      <c r="AU24" t="s">
        <v>1060</v>
      </c>
      <c r="AV24" t="s">
        <v>1061</v>
      </c>
      <c r="AW24" t="s">
        <v>1062</v>
      </c>
      <c r="AX24" t="s">
        <v>1063</v>
      </c>
      <c r="AY24" t="s">
        <v>1064</v>
      </c>
      <c r="AZ24" t="s">
        <v>544</v>
      </c>
      <c r="BA24" t="s">
        <v>1065</v>
      </c>
      <c r="BB24" t="s">
        <v>1066</v>
      </c>
      <c r="BC24" t="s">
        <v>1067</v>
      </c>
      <c r="BD24" t="s">
        <v>161</v>
      </c>
      <c r="BE24" t="s">
        <v>453</v>
      </c>
      <c r="BF24" t="s">
        <v>410</v>
      </c>
      <c r="BG24" t="s">
        <v>1068</v>
      </c>
      <c r="BH24" t="s">
        <v>456</v>
      </c>
      <c r="BI24" t="s">
        <v>633</v>
      </c>
      <c r="BJ24" t="s">
        <v>839</v>
      </c>
      <c r="BK24" t="s">
        <v>161</v>
      </c>
      <c r="BL24" t="s">
        <v>840</v>
      </c>
      <c r="BM24" t="s">
        <v>159</v>
      </c>
      <c r="BN24" t="s">
        <v>590</v>
      </c>
      <c r="BO24" t="s">
        <v>205</v>
      </c>
      <c r="BP24" t="s">
        <v>1069</v>
      </c>
      <c r="BQ24" t="s">
        <v>1070</v>
      </c>
      <c r="BR24" t="s">
        <v>1071</v>
      </c>
      <c r="BS24" t="s">
        <v>1072</v>
      </c>
      <c r="BT24" t="s">
        <v>159</v>
      </c>
      <c r="BU24" t="s">
        <v>211</v>
      </c>
      <c r="BV24" t="s">
        <v>206</v>
      </c>
      <c r="BW24" t="s">
        <v>212</v>
      </c>
      <c r="BX24" t="s">
        <v>213</v>
      </c>
      <c r="BY24" t="s">
        <v>171</v>
      </c>
      <c r="BZ24" t="s">
        <v>214</v>
      </c>
      <c r="CA24" t="s">
        <v>171</v>
      </c>
      <c r="CB24" t="s">
        <v>171</v>
      </c>
      <c r="CC24" t="s">
        <v>215</v>
      </c>
      <c r="CD24" t="s">
        <v>216</v>
      </c>
      <c r="CE24" t="s">
        <v>217</v>
      </c>
      <c r="CF24" t="s">
        <v>218</v>
      </c>
      <c r="CG24" t="s">
        <v>219</v>
      </c>
      <c r="CH24" t="s">
        <v>220</v>
      </c>
      <c r="CI24" t="s">
        <v>177</v>
      </c>
      <c r="CJ24" t="s">
        <v>212</v>
      </c>
      <c r="CK24" t="s">
        <v>221</v>
      </c>
      <c r="CL24" t="s">
        <v>221</v>
      </c>
      <c r="CM24" t="s">
        <v>221</v>
      </c>
      <c r="CN24" t="s">
        <v>171</v>
      </c>
      <c r="CO24" t="s">
        <v>222</v>
      </c>
      <c r="CP24" t="s">
        <v>171</v>
      </c>
      <c r="CQ24" t="s">
        <v>171</v>
      </c>
      <c r="CR24" t="s">
        <v>171</v>
      </c>
      <c r="CS24" t="s">
        <v>171</v>
      </c>
      <c r="CT24" t="s">
        <v>1073</v>
      </c>
      <c r="CU24" t="s">
        <v>1074</v>
      </c>
      <c r="CV24" t="s">
        <v>1075</v>
      </c>
      <c r="CW24" t="s">
        <v>420</v>
      </c>
      <c r="CX24" t="s">
        <v>1076</v>
      </c>
      <c r="CY24" t="s">
        <v>1077</v>
      </c>
      <c r="CZ24" t="s">
        <v>1078</v>
      </c>
      <c r="DA24" t="s">
        <v>1079</v>
      </c>
      <c r="DB24" t="s">
        <v>1050</v>
      </c>
      <c r="DC24" t="s">
        <v>385</v>
      </c>
      <c r="DD24" t="s">
        <v>232</v>
      </c>
      <c r="DE24" t="s">
        <v>233</v>
      </c>
      <c r="DF24" t="s">
        <v>177</v>
      </c>
      <c r="DG24" t="s">
        <v>234</v>
      </c>
      <c r="DH24" t="s">
        <v>235</v>
      </c>
      <c r="DI24" t="s">
        <v>177</v>
      </c>
      <c r="DJ24" t="s">
        <v>236</v>
      </c>
      <c r="DK24" t="s">
        <v>237</v>
      </c>
      <c r="DL24" t="s">
        <v>238</v>
      </c>
      <c r="DM24" t="s">
        <v>171</v>
      </c>
      <c r="DN24" t="s">
        <v>1049</v>
      </c>
      <c r="DO24" t="s">
        <v>239</v>
      </c>
      <c r="DP24" t="s">
        <v>240</v>
      </c>
      <c r="DQ24" t="s">
        <v>241</v>
      </c>
      <c r="DR24" t="s">
        <v>242</v>
      </c>
      <c r="DS24" t="s">
        <v>243</v>
      </c>
      <c r="DT24" t="s">
        <v>244</v>
      </c>
    </row>
    <row r="25" spans="1:124" x14ac:dyDescent="0.45">
      <c r="A25" t="s">
        <v>1080</v>
      </c>
      <c r="B25" t="s">
        <v>1081</v>
      </c>
      <c r="C25" t="s">
        <v>161</v>
      </c>
      <c r="D25" t="s">
        <v>162</v>
      </c>
      <c r="E25" t="s">
        <v>163</v>
      </c>
      <c r="I25" t="s">
        <v>1082</v>
      </c>
      <c r="J25">
        <f t="shared" si="0"/>
        <v>0.90793076624599212</v>
      </c>
      <c r="K25">
        <f t="shared" si="1"/>
        <v>2.9058327199999998</v>
      </c>
      <c r="L25">
        <f t="shared" si="2"/>
        <v>0.69178252337017165</v>
      </c>
      <c r="M25">
        <f t="shared" si="3"/>
        <v>12.26209485328882</v>
      </c>
      <c r="N25" t="s">
        <v>1083</v>
      </c>
      <c r="O25" t="s">
        <v>1084</v>
      </c>
      <c r="P25">
        <f t="shared" si="4"/>
        <v>4.4780464487987954</v>
      </c>
      <c r="Q25">
        <f t="shared" si="5"/>
        <v>1.7115684487987952</v>
      </c>
      <c r="R25" t="s">
        <v>1085</v>
      </c>
      <c r="S25" t="s">
        <v>1086</v>
      </c>
      <c r="T25">
        <f t="shared" si="6"/>
        <v>44.695542956370851</v>
      </c>
      <c r="U25">
        <f t="shared" si="7"/>
        <v>0.4417875</v>
      </c>
      <c r="V25" t="s">
        <v>169</v>
      </c>
      <c r="W25" t="s">
        <v>1087</v>
      </c>
      <c r="X25" t="s">
        <v>171</v>
      </c>
      <c r="Y25" t="s">
        <v>171</v>
      </c>
      <c r="Z25" t="s">
        <v>171</v>
      </c>
      <c r="AA25" t="s">
        <v>1088</v>
      </c>
      <c r="AB25" t="s">
        <v>1089</v>
      </c>
      <c r="AC25" t="s">
        <v>1090</v>
      </c>
      <c r="AD25" t="s">
        <v>175</v>
      </c>
      <c r="AE25" t="s">
        <v>176</v>
      </c>
      <c r="AF25">
        <f t="shared" si="8"/>
        <v>148.96226351999999</v>
      </c>
      <c r="AG25" t="s">
        <v>177</v>
      </c>
      <c r="AH25" t="s">
        <v>1091</v>
      </c>
      <c r="AI25" t="s">
        <v>1092</v>
      </c>
      <c r="AJ25" t="s">
        <v>1093</v>
      </c>
      <c r="AK25" t="s">
        <v>1094</v>
      </c>
      <c r="AL25">
        <f t="shared" si="9"/>
        <v>30.87</v>
      </c>
      <c r="AM25" t="s">
        <v>983</v>
      </c>
      <c r="AN25" t="s">
        <v>260</v>
      </c>
      <c r="AO25" t="s">
        <v>310</v>
      </c>
      <c r="AP25" t="s">
        <v>1095</v>
      </c>
      <c r="AQ25" t="s">
        <v>1096</v>
      </c>
      <c r="AR25" t="s">
        <v>581</v>
      </c>
      <c r="AS25" t="s">
        <v>538</v>
      </c>
      <c r="AT25" t="s">
        <v>217</v>
      </c>
      <c r="AU25" t="s">
        <v>1097</v>
      </c>
      <c r="AV25" t="s">
        <v>1098</v>
      </c>
      <c r="AW25" t="s">
        <v>1099</v>
      </c>
      <c r="AX25" t="s">
        <v>1100</v>
      </c>
      <c r="AY25" t="s">
        <v>1101</v>
      </c>
      <c r="AZ25" t="s">
        <v>544</v>
      </c>
      <c r="BA25" t="s">
        <v>1102</v>
      </c>
      <c r="BB25" t="s">
        <v>258</v>
      </c>
      <c r="BC25" t="s">
        <v>1103</v>
      </c>
      <c r="BD25" t="s">
        <v>161</v>
      </c>
      <c r="BE25" t="s">
        <v>714</v>
      </c>
      <c r="BF25" t="s">
        <v>837</v>
      </c>
      <c r="BG25" t="s">
        <v>1104</v>
      </c>
      <c r="BH25" t="s">
        <v>504</v>
      </c>
      <c r="BI25" t="s">
        <v>457</v>
      </c>
      <c r="BJ25" t="s">
        <v>839</v>
      </c>
      <c r="BK25" t="s">
        <v>161</v>
      </c>
      <c r="BL25" t="s">
        <v>840</v>
      </c>
      <c r="BM25" t="s">
        <v>159</v>
      </c>
      <c r="BN25" t="s">
        <v>1105</v>
      </c>
      <c r="BO25" t="s">
        <v>206</v>
      </c>
      <c r="BP25" t="s">
        <v>328</v>
      </c>
      <c r="BQ25" t="s">
        <v>1106</v>
      </c>
      <c r="BR25" t="s">
        <v>1107</v>
      </c>
      <c r="BS25" t="s">
        <v>1108</v>
      </c>
      <c r="BT25" t="s">
        <v>159</v>
      </c>
      <c r="BU25" t="s">
        <v>211</v>
      </c>
      <c r="BV25" t="s">
        <v>206</v>
      </c>
      <c r="BW25" t="s">
        <v>212</v>
      </c>
      <c r="BX25" t="s">
        <v>213</v>
      </c>
      <c r="BY25" t="s">
        <v>171</v>
      </c>
      <c r="BZ25" t="s">
        <v>214</v>
      </c>
      <c r="CA25" t="s">
        <v>171</v>
      </c>
      <c r="CB25" t="s">
        <v>171</v>
      </c>
      <c r="CC25" t="s">
        <v>215</v>
      </c>
      <c r="CD25" t="s">
        <v>216</v>
      </c>
      <c r="CE25" t="s">
        <v>217</v>
      </c>
      <c r="CF25" t="s">
        <v>218</v>
      </c>
      <c r="CG25" t="s">
        <v>219</v>
      </c>
      <c r="CH25" t="s">
        <v>220</v>
      </c>
      <c r="CI25" t="s">
        <v>177</v>
      </c>
      <c r="CJ25" t="s">
        <v>212</v>
      </c>
      <c r="CK25" t="s">
        <v>221</v>
      </c>
      <c r="CL25" t="s">
        <v>221</v>
      </c>
      <c r="CM25" t="s">
        <v>221</v>
      </c>
      <c r="CN25" t="s">
        <v>171</v>
      </c>
      <c r="CO25" t="s">
        <v>222</v>
      </c>
      <c r="CP25" t="s">
        <v>171</v>
      </c>
      <c r="CQ25" t="s">
        <v>171</v>
      </c>
      <c r="CR25" t="s">
        <v>171</v>
      </c>
      <c r="CS25" t="s">
        <v>171</v>
      </c>
      <c r="CT25" t="s">
        <v>1109</v>
      </c>
      <c r="CU25" t="s">
        <v>1110</v>
      </c>
      <c r="CV25" t="s">
        <v>1111</v>
      </c>
      <c r="CW25" t="s">
        <v>1112</v>
      </c>
      <c r="CX25" t="s">
        <v>1113</v>
      </c>
      <c r="CY25" t="s">
        <v>1114</v>
      </c>
      <c r="CZ25" t="s">
        <v>1115</v>
      </c>
      <c r="DA25" t="s">
        <v>1116</v>
      </c>
      <c r="DB25" t="s">
        <v>1088</v>
      </c>
      <c r="DC25" t="s">
        <v>1117</v>
      </c>
      <c r="DD25" t="s">
        <v>232</v>
      </c>
      <c r="DE25" t="s">
        <v>233</v>
      </c>
      <c r="DF25" t="s">
        <v>177</v>
      </c>
      <c r="DG25" t="s">
        <v>234</v>
      </c>
      <c r="DH25" t="s">
        <v>235</v>
      </c>
      <c r="DI25" t="s">
        <v>177</v>
      </c>
      <c r="DJ25" t="s">
        <v>236</v>
      </c>
      <c r="DK25" t="s">
        <v>237</v>
      </c>
      <c r="DL25" t="s">
        <v>238</v>
      </c>
      <c r="DM25" t="s">
        <v>171</v>
      </c>
      <c r="DN25" t="s">
        <v>1087</v>
      </c>
      <c r="DO25" t="s">
        <v>239</v>
      </c>
      <c r="DP25" t="s">
        <v>240</v>
      </c>
      <c r="DQ25" t="s">
        <v>241</v>
      </c>
      <c r="DR25" t="s">
        <v>242</v>
      </c>
      <c r="DS25" t="s">
        <v>243</v>
      </c>
      <c r="DT25" t="s">
        <v>244</v>
      </c>
    </row>
    <row r="26" spans="1:124" x14ac:dyDescent="0.45">
      <c r="A26" t="s">
        <v>1118</v>
      </c>
      <c r="B26" t="s">
        <v>1119</v>
      </c>
      <c r="C26" t="s">
        <v>161</v>
      </c>
      <c r="D26" t="s">
        <v>162</v>
      </c>
      <c r="E26" t="s">
        <v>163</v>
      </c>
      <c r="I26" t="s">
        <v>1120</v>
      </c>
      <c r="J26">
        <f t="shared" si="0"/>
        <v>0.7125676787175762</v>
      </c>
      <c r="K26">
        <f t="shared" si="1"/>
        <v>2.9066320800000001</v>
      </c>
      <c r="L26">
        <f t="shared" si="2"/>
        <v>0.57227348922722565</v>
      </c>
      <c r="M26">
        <f t="shared" si="3"/>
        <v>10.388666886843984</v>
      </c>
      <c r="N26" t="s">
        <v>1121</v>
      </c>
      <c r="O26" t="s">
        <v>1122</v>
      </c>
      <c r="P26">
        <f t="shared" si="4"/>
        <v>4.369318303951375</v>
      </c>
      <c r="Q26">
        <f t="shared" si="5"/>
        <v>1.7555483039513748</v>
      </c>
      <c r="R26" t="s">
        <v>1123</v>
      </c>
      <c r="S26" t="s">
        <v>1124</v>
      </c>
      <c r="T26">
        <f t="shared" si="6"/>
        <v>43.605971097319113</v>
      </c>
      <c r="U26">
        <f t="shared" si="7"/>
        <v>0.4417875</v>
      </c>
      <c r="V26" t="s">
        <v>169</v>
      </c>
      <c r="W26" t="s">
        <v>1125</v>
      </c>
      <c r="X26" t="s">
        <v>171</v>
      </c>
      <c r="Y26" t="s">
        <v>171</v>
      </c>
      <c r="Z26" t="s">
        <v>171</v>
      </c>
      <c r="AA26" t="s">
        <v>1126</v>
      </c>
      <c r="AB26" t="s">
        <v>1127</v>
      </c>
      <c r="AC26" t="s">
        <v>1128</v>
      </c>
      <c r="AD26" t="s">
        <v>175</v>
      </c>
      <c r="AE26" t="s">
        <v>176</v>
      </c>
      <c r="AF26">
        <f t="shared" si="8"/>
        <v>75.690615000000008</v>
      </c>
      <c r="AG26" t="s">
        <v>177</v>
      </c>
      <c r="AH26" t="s">
        <v>1129</v>
      </c>
      <c r="AI26" t="s">
        <v>1130</v>
      </c>
      <c r="AJ26" t="s">
        <v>1055</v>
      </c>
      <c r="AK26" t="s">
        <v>1131</v>
      </c>
      <c r="AL26">
        <f t="shared" si="9"/>
        <v>30.44</v>
      </c>
      <c r="AM26" t="s">
        <v>741</v>
      </c>
      <c r="AN26" t="s">
        <v>183</v>
      </c>
      <c r="AO26" t="s">
        <v>401</v>
      </c>
      <c r="AP26" t="s">
        <v>579</v>
      </c>
      <c r="AQ26" t="s">
        <v>1132</v>
      </c>
      <c r="AR26" t="s">
        <v>1133</v>
      </c>
      <c r="AS26" t="s">
        <v>1134</v>
      </c>
      <c r="AT26" t="s">
        <v>1135</v>
      </c>
      <c r="AU26" t="s">
        <v>1136</v>
      </c>
      <c r="AV26" t="s">
        <v>1137</v>
      </c>
      <c r="AW26" t="s">
        <v>1138</v>
      </c>
      <c r="AX26" t="s">
        <v>1139</v>
      </c>
      <c r="AY26" t="s">
        <v>1140</v>
      </c>
      <c r="AZ26" t="s">
        <v>544</v>
      </c>
      <c r="BA26" t="s">
        <v>1141</v>
      </c>
      <c r="BB26" t="s">
        <v>1142</v>
      </c>
      <c r="BC26" t="s">
        <v>1143</v>
      </c>
      <c r="BD26" t="s">
        <v>161</v>
      </c>
      <c r="BE26" t="s">
        <v>1144</v>
      </c>
      <c r="BF26" t="s">
        <v>549</v>
      </c>
      <c r="BG26" t="s">
        <v>1145</v>
      </c>
      <c r="BH26" t="s">
        <v>504</v>
      </c>
      <c r="BI26" t="s">
        <v>1146</v>
      </c>
      <c r="BJ26" t="s">
        <v>839</v>
      </c>
      <c r="BK26" t="s">
        <v>161</v>
      </c>
      <c r="BL26" t="s">
        <v>840</v>
      </c>
      <c r="BM26" t="s">
        <v>159</v>
      </c>
      <c r="BN26" t="s">
        <v>281</v>
      </c>
      <c r="BO26" t="s">
        <v>205</v>
      </c>
      <c r="BP26" t="s">
        <v>796</v>
      </c>
      <c r="BQ26" t="s">
        <v>1147</v>
      </c>
      <c r="BR26" t="s">
        <v>1148</v>
      </c>
      <c r="BS26" t="s">
        <v>1149</v>
      </c>
      <c r="BT26" t="s">
        <v>159</v>
      </c>
      <c r="BU26" t="s">
        <v>211</v>
      </c>
      <c r="BV26" t="s">
        <v>206</v>
      </c>
      <c r="BW26" t="s">
        <v>212</v>
      </c>
      <c r="BX26" t="s">
        <v>213</v>
      </c>
      <c r="BY26" t="s">
        <v>171</v>
      </c>
      <c r="BZ26" t="s">
        <v>214</v>
      </c>
      <c r="CA26" t="s">
        <v>171</v>
      </c>
      <c r="CB26" t="s">
        <v>171</v>
      </c>
      <c r="CC26" t="s">
        <v>215</v>
      </c>
      <c r="CD26" t="s">
        <v>216</v>
      </c>
      <c r="CE26" t="s">
        <v>217</v>
      </c>
      <c r="CF26" t="s">
        <v>218</v>
      </c>
      <c r="CG26" t="s">
        <v>219</v>
      </c>
      <c r="CH26" t="s">
        <v>220</v>
      </c>
      <c r="CI26" t="s">
        <v>177</v>
      </c>
      <c r="CJ26" t="s">
        <v>212</v>
      </c>
      <c r="CK26" t="s">
        <v>221</v>
      </c>
      <c r="CL26" t="s">
        <v>221</v>
      </c>
      <c r="CM26" t="s">
        <v>221</v>
      </c>
      <c r="CN26" t="s">
        <v>171</v>
      </c>
      <c r="CO26" t="s">
        <v>222</v>
      </c>
      <c r="CP26" t="s">
        <v>171</v>
      </c>
      <c r="CQ26" t="s">
        <v>171</v>
      </c>
      <c r="CR26" t="s">
        <v>171</v>
      </c>
      <c r="CS26" t="s">
        <v>171</v>
      </c>
      <c r="CT26" t="s">
        <v>1150</v>
      </c>
      <c r="CU26" t="s">
        <v>1151</v>
      </c>
      <c r="CV26" t="s">
        <v>1152</v>
      </c>
      <c r="CW26" t="s">
        <v>1153</v>
      </c>
      <c r="CX26" t="s">
        <v>1154</v>
      </c>
      <c r="CY26" t="s">
        <v>1155</v>
      </c>
      <c r="CZ26" t="s">
        <v>1156</v>
      </c>
      <c r="DA26" t="s">
        <v>1157</v>
      </c>
      <c r="DB26" t="s">
        <v>1126</v>
      </c>
      <c r="DC26" t="s">
        <v>808</v>
      </c>
      <c r="DD26" t="s">
        <v>232</v>
      </c>
      <c r="DE26" t="s">
        <v>233</v>
      </c>
      <c r="DF26" t="s">
        <v>177</v>
      </c>
      <c r="DG26" t="s">
        <v>234</v>
      </c>
      <c r="DH26" t="s">
        <v>235</v>
      </c>
      <c r="DI26" t="s">
        <v>177</v>
      </c>
      <c r="DJ26" t="s">
        <v>236</v>
      </c>
      <c r="DK26" t="s">
        <v>237</v>
      </c>
      <c r="DL26" t="s">
        <v>238</v>
      </c>
      <c r="DM26" t="s">
        <v>171</v>
      </c>
      <c r="DN26" t="s">
        <v>1125</v>
      </c>
      <c r="DO26" t="s">
        <v>239</v>
      </c>
      <c r="DP26" t="s">
        <v>240</v>
      </c>
      <c r="DQ26" t="s">
        <v>241</v>
      </c>
      <c r="DR26" t="s">
        <v>242</v>
      </c>
      <c r="DS26" t="s">
        <v>243</v>
      </c>
      <c r="DT26" t="s">
        <v>244</v>
      </c>
    </row>
    <row r="27" spans="1:124" x14ac:dyDescent="0.45">
      <c r="A27" t="s">
        <v>1158</v>
      </c>
      <c r="B27" t="s">
        <v>1159</v>
      </c>
      <c r="C27" t="s">
        <v>161</v>
      </c>
      <c r="D27" t="s">
        <v>162</v>
      </c>
      <c r="E27" t="s">
        <v>163</v>
      </c>
      <c r="I27" t="s">
        <v>1160</v>
      </c>
      <c r="J27">
        <f t="shared" si="0"/>
        <v>0.53782816273042833</v>
      </c>
      <c r="K27">
        <f t="shared" si="1"/>
        <v>2.9074300800000006</v>
      </c>
      <c r="L27">
        <f t="shared" si="2"/>
        <v>0.45386954127256479</v>
      </c>
      <c r="M27">
        <f t="shared" si="3"/>
        <v>9.0448498883850075</v>
      </c>
      <c r="N27" t="s">
        <v>1161</v>
      </c>
      <c r="O27" t="s">
        <v>1162</v>
      </c>
      <c r="P27">
        <f t="shared" si="4"/>
        <v>4.4857193156296917</v>
      </c>
      <c r="Q27">
        <f t="shared" si="5"/>
        <v>1.9263743156296917</v>
      </c>
      <c r="R27" t="s">
        <v>1163</v>
      </c>
      <c r="S27" t="s">
        <v>1164</v>
      </c>
      <c r="T27">
        <f t="shared" si="6"/>
        <v>44.772126116675231</v>
      </c>
      <c r="U27">
        <f t="shared" si="7"/>
        <v>0.4417875</v>
      </c>
      <c r="V27" t="s">
        <v>169</v>
      </c>
      <c r="W27" t="s">
        <v>1165</v>
      </c>
      <c r="X27" t="s">
        <v>171</v>
      </c>
      <c r="Y27" t="s">
        <v>171</v>
      </c>
      <c r="Z27" t="s">
        <v>171</v>
      </c>
      <c r="AA27" t="s">
        <v>1166</v>
      </c>
      <c r="AB27" t="s">
        <v>1167</v>
      </c>
      <c r="AC27" t="s">
        <v>1168</v>
      </c>
      <c r="AD27" t="s">
        <v>175</v>
      </c>
      <c r="AE27" t="s">
        <v>176</v>
      </c>
      <c r="AF27">
        <f t="shared" si="8"/>
        <v>135.25061759999997</v>
      </c>
      <c r="AG27" t="s">
        <v>177</v>
      </c>
      <c r="AH27" t="s">
        <v>1169</v>
      </c>
      <c r="AI27" t="s">
        <v>1170</v>
      </c>
      <c r="AJ27" t="s">
        <v>1171</v>
      </c>
      <c r="AK27" t="s">
        <v>1172</v>
      </c>
      <c r="AL27">
        <f t="shared" si="9"/>
        <v>30.9</v>
      </c>
      <c r="AM27" t="s">
        <v>983</v>
      </c>
      <c r="AN27" t="s">
        <v>1173</v>
      </c>
      <c r="AO27" t="s">
        <v>1174</v>
      </c>
      <c r="AP27" t="s">
        <v>311</v>
      </c>
      <c r="AQ27" t="s">
        <v>1175</v>
      </c>
      <c r="AR27" t="s">
        <v>1133</v>
      </c>
      <c r="AS27" t="s">
        <v>947</v>
      </c>
      <c r="AT27" t="s">
        <v>471</v>
      </c>
      <c r="AU27" t="s">
        <v>1176</v>
      </c>
      <c r="AV27" t="s">
        <v>1177</v>
      </c>
      <c r="AW27" t="s">
        <v>1178</v>
      </c>
      <c r="AX27" t="s">
        <v>1179</v>
      </c>
      <c r="AY27" t="s">
        <v>1180</v>
      </c>
      <c r="AZ27" t="s">
        <v>544</v>
      </c>
      <c r="BA27" t="s">
        <v>1141</v>
      </c>
      <c r="BB27" t="s">
        <v>1142</v>
      </c>
      <c r="BC27" t="s">
        <v>1181</v>
      </c>
      <c r="BD27" t="s">
        <v>161</v>
      </c>
      <c r="BE27" t="s">
        <v>1182</v>
      </c>
      <c r="BF27" t="s">
        <v>200</v>
      </c>
      <c r="BG27" t="s">
        <v>1145</v>
      </c>
      <c r="BH27" t="s">
        <v>372</v>
      </c>
      <c r="BI27" t="s">
        <v>1146</v>
      </c>
      <c r="BJ27" t="s">
        <v>1183</v>
      </c>
      <c r="BK27" t="s">
        <v>161</v>
      </c>
      <c r="BL27" t="s">
        <v>1184</v>
      </c>
      <c r="BM27" t="s">
        <v>159</v>
      </c>
      <c r="BN27" t="s">
        <v>206</v>
      </c>
      <c r="BO27" t="s">
        <v>205</v>
      </c>
      <c r="BP27" t="s">
        <v>327</v>
      </c>
      <c r="BQ27" t="s">
        <v>1185</v>
      </c>
      <c r="BR27" t="s">
        <v>1186</v>
      </c>
      <c r="BS27" t="s">
        <v>1187</v>
      </c>
      <c r="BT27" t="s">
        <v>159</v>
      </c>
      <c r="BU27" t="s">
        <v>211</v>
      </c>
      <c r="BV27" t="s">
        <v>206</v>
      </c>
      <c r="BW27" t="s">
        <v>212</v>
      </c>
      <c r="BX27" t="s">
        <v>213</v>
      </c>
      <c r="BY27" t="s">
        <v>171</v>
      </c>
      <c r="BZ27" t="s">
        <v>214</v>
      </c>
      <c r="CA27" t="s">
        <v>171</v>
      </c>
      <c r="CB27" t="s">
        <v>171</v>
      </c>
      <c r="CC27" t="s">
        <v>215</v>
      </c>
      <c r="CD27" t="s">
        <v>216</v>
      </c>
      <c r="CE27" t="s">
        <v>217</v>
      </c>
      <c r="CF27" t="s">
        <v>218</v>
      </c>
      <c r="CG27" t="s">
        <v>219</v>
      </c>
      <c r="CH27" t="s">
        <v>220</v>
      </c>
      <c r="CI27" t="s">
        <v>177</v>
      </c>
      <c r="CJ27" t="s">
        <v>212</v>
      </c>
      <c r="CK27" t="s">
        <v>221</v>
      </c>
      <c r="CL27" t="s">
        <v>221</v>
      </c>
      <c r="CM27" t="s">
        <v>221</v>
      </c>
      <c r="CN27" t="s">
        <v>171</v>
      </c>
      <c r="CO27" t="s">
        <v>222</v>
      </c>
      <c r="CP27" t="s">
        <v>171</v>
      </c>
      <c r="CQ27" t="s">
        <v>171</v>
      </c>
      <c r="CR27" t="s">
        <v>171</v>
      </c>
      <c r="CS27" t="s">
        <v>171</v>
      </c>
      <c r="CT27" t="s">
        <v>1188</v>
      </c>
      <c r="CU27" t="s">
        <v>1189</v>
      </c>
      <c r="CV27" t="s">
        <v>1190</v>
      </c>
      <c r="CW27" t="s">
        <v>1191</v>
      </c>
      <c r="CX27" t="s">
        <v>1192</v>
      </c>
      <c r="CY27" t="s">
        <v>1193</v>
      </c>
      <c r="CZ27" t="s">
        <v>1194</v>
      </c>
      <c r="DA27" t="s">
        <v>1195</v>
      </c>
      <c r="DB27" t="s">
        <v>1166</v>
      </c>
      <c r="DC27" t="s">
        <v>385</v>
      </c>
      <c r="DD27" t="s">
        <v>232</v>
      </c>
      <c r="DE27" t="s">
        <v>233</v>
      </c>
      <c r="DF27" t="s">
        <v>177</v>
      </c>
      <c r="DG27" t="s">
        <v>234</v>
      </c>
      <c r="DH27" t="s">
        <v>235</v>
      </c>
      <c r="DI27" t="s">
        <v>177</v>
      </c>
      <c r="DJ27" t="s">
        <v>236</v>
      </c>
      <c r="DK27" t="s">
        <v>237</v>
      </c>
      <c r="DL27" t="s">
        <v>238</v>
      </c>
      <c r="DM27" t="s">
        <v>171</v>
      </c>
      <c r="DN27" t="s">
        <v>1165</v>
      </c>
      <c r="DO27" t="s">
        <v>239</v>
      </c>
      <c r="DP27" t="s">
        <v>240</v>
      </c>
      <c r="DQ27" t="s">
        <v>241</v>
      </c>
      <c r="DR27" t="s">
        <v>242</v>
      </c>
      <c r="DS27" t="s">
        <v>243</v>
      </c>
      <c r="DT27" t="s">
        <v>244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U25"/>
  <sheetViews>
    <sheetView zoomScale="85" zoomScaleNormal="85" workbookViewId="0">
      <selection activeCell="K2" sqref="K2:K25"/>
    </sheetView>
  </sheetViews>
  <sheetFormatPr defaultRowHeight="19.2" x14ac:dyDescent="0.45"/>
  <sheetData>
    <row r="1" spans="1:125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1202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</row>
    <row r="2" spans="1:125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1.05</v>
      </c>
      <c r="K2" s="9">
        <v>0.69534772721186699</v>
      </c>
      <c r="L2">
        <v>2.91</v>
      </c>
      <c r="M2">
        <v>0.77</v>
      </c>
      <c r="N2">
        <v>10.19</v>
      </c>
      <c r="O2">
        <v>2.63</v>
      </c>
      <c r="P2">
        <v>2.35</v>
      </c>
      <c r="Q2">
        <v>3.91</v>
      </c>
      <c r="R2">
        <v>1.28</v>
      </c>
      <c r="S2">
        <v>23.48</v>
      </c>
      <c r="T2">
        <v>26.29</v>
      </c>
      <c r="U2">
        <v>39.049999999999997</v>
      </c>
      <c r="V2">
        <v>0.44</v>
      </c>
      <c r="W2">
        <v>7.5</v>
      </c>
      <c r="X2" t="s">
        <v>170</v>
      </c>
      <c r="Y2">
        <v>0</v>
      </c>
      <c r="Z2">
        <v>0</v>
      </c>
      <c r="AA2">
        <v>0</v>
      </c>
      <c r="AB2">
        <v>145.83000000000001</v>
      </c>
      <c r="AC2">
        <v>367.32</v>
      </c>
      <c r="AD2">
        <v>0.6</v>
      </c>
      <c r="AE2">
        <v>0.5</v>
      </c>
      <c r="AF2">
        <v>0.84</v>
      </c>
      <c r="AG2">
        <v>259.08</v>
      </c>
      <c r="AH2">
        <v>1</v>
      </c>
      <c r="AI2">
        <v>60.62</v>
      </c>
      <c r="AJ2">
        <v>54.15</v>
      </c>
      <c r="AK2">
        <v>30.34</v>
      </c>
      <c r="AL2">
        <v>28.53</v>
      </c>
      <c r="AM2">
        <v>28.53</v>
      </c>
      <c r="AN2">
        <v>100.21</v>
      </c>
      <c r="AO2">
        <v>156.19999999999999</v>
      </c>
      <c r="AP2">
        <v>152.5</v>
      </c>
      <c r="AQ2">
        <v>2.2999999999999998</v>
      </c>
      <c r="AR2">
        <v>1023</v>
      </c>
      <c r="AS2">
        <v>3.95</v>
      </c>
      <c r="AT2">
        <v>-9</v>
      </c>
      <c r="AU2">
        <v>6</v>
      </c>
      <c r="AV2">
        <v>95</v>
      </c>
      <c r="AW2">
        <v>24.51</v>
      </c>
      <c r="AX2">
        <v>90.99</v>
      </c>
      <c r="AY2">
        <v>10.8</v>
      </c>
      <c r="AZ2">
        <v>-51.1</v>
      </c>
      <c r="BA2">
        <v>14.7</v>
      </c>
      <c r="BB2">
        <v>118.92</v>
      </c>
      <c r="BC2">
        <v>35.090000000000003</v>
      </c>
      <c r="BD2" t="s">
        <v>198</v>
      </c>
      <c r="BE2" t="s">
        <v>161</v>
      </c>
      <c r="BF2">
        <v>35.85</v>
      </c>
      <c r="BG2">
        <v>127.13</v>
      </c>
      <c r="BH2">
        <v>38</v>
      </c>
      <c r="BI2">
        <v>10</v>
      </c>
      <c r="BJ2">
        <v>1</v>
      </c>
      <c r="BK2" t="s">
        <v>203</v>
      </c>
      <c r="BL2" t="s">
        <v>161</v>
      </c>
      <c r="BM2">
        <v>-0.09</v>
      </c>
      <c r="BN2" t="s">
        <v>159</v>
      </c>
      <c r="BO2">
        <v>0</v>
      </c>
      <c r="BP2">
        <v>0</v>
      </c>
      <c r="BQ2">
        <v>-0.01</v>
      </c>
      <c r="BR2">
        <v>0.11</v>
      </c>
      <c r="BS2">
        <v>-0.4</v>
      </c>
      <c r="BT2">
        <v>-0.71</v>
      </c>
      <c r="BU2" t="s">
        <v>159</v>
      </c>
      <c r="BV2">
        <v>150</v>
      </c>
      <c r="BW2">
        <v>0</v>
      </c>
      <c r="BX2">
        <v>2</v>
      </c>
      <c r="BY2">
        <v>0.06</v>
      </c>
      <c r="BZ2">
        <v>0</v>
      </c>
      <c r="CA2">
        <v>0.03</v>
      </c>
      <c r="CB2">
        <v>0</v>
      </c>
      <c r="CC2">
        <v>0</v>
      </c>
      <c r="CD2">
        <v>0</v>
      </c>
      <c r="CE2" t="s">
        <v>216</v>
      </c>
      <c r="CF2" t="s">
        <v>217</v>
      </c>
      <c r="CG2" t="s">
        <v>218</v>
      </c>
      <c r="CH2">
        <v>6000</v>
      </c>
      <c r="CI2">
        <v>500</v>
      </c>
      <c r="CJ2">
        <v>1</v>
      </c>
      <c r="CK2">
        <v>2</v>
      </c>
      <c r="CL2">
        <v>55537</v>
      </c>
      <c r="CM2">
        <v>55537</v>
      </c>
      <c r="CN2">
        <v>55537</v>
      </c>
      <c r="CO2">
        <v>0</v>
      </c>
      <c r="CP2">
        <v>-9999</v>
      </c>
      <c r="CQ2">
        <v>0</v>
      </c>
      <c r="CR2">
        <v>0</v>
      </c>
      <c r="CS2">
        <v>0</v>
      </c>
      <c r="CT2">
        <v>0</v>
      </c>
      <c r="CU2">
        <v>2.5</v>
      </c>
      <c r="CV2">
        <v>2.4500000000000002</v>
      </c>
      <c r="CW2">
        <v>1.67</v>
      </c>
      <c r="CX2">
        <v>0.94</v>
      </c>
      <c r="CY2">
        <v>0.22</v>
      </c>
      <c r="CZ2">
        <v>-0.02</v>
      </c>
      <c r="DA2">
        <v>0.12</v>
      </c>
      <c r="DB2">
        <v>1</v>
      </c>
      <c r="DC2">
        <v>145.83000000000001</v>
      </c>
      <c r="DD2">
        <v>0</v>
      </c>
      <c r="DE2">
        <v>2.42</v>
      </c>
      <c r="DF2">
        <v>0</v>
      </c>
      <c r="DG2">
        <v>1</v>
      </c>
      <c r="DH2">
        <v>2.36</v>
      </c>
      <c r="DI2">
        <v>0</v>
      </c>
      <c r="DJ2">
        <v>1</v>
      </c>
      <c r="DK2">
        <v>0.6</v>
      </c>
      <c r="DL2">
        <v>0.6</v>
      </c>
      <c r="DM2">
        <v>0.11</v>
      </c>
      <c r="DN2">
        <v>0</v>
      </c>
      <c r="DO2" t="s">
        <v>170</v>
      </c>
      <c r="DP2" t="s">
        <v>239</v>
      </c>
      <c r="DQ2" t="s">
        <v>240</v>
      </c>
      <c r="DR2" t="s">
        <v>241</v>
      </c>
      <c r="DS2" t="s">
        <v>242</v>
      </c>
      <c r="DT2" t="s">
        <v>243</v>
      </c>
      <c r="DU2" t="s">
        <v>244</v>
      </c>
    </row>
    <row r="3" spans="1:125" x14ac:dyDescent="0.45">
      <c r="A3" t="s">
        <v>245</v>
      </c>
      <c r="B3" t="s">
        <v>246</v>
      </c>
      <c r="C3" t="s">
        <v>161</v>
      </c>
      <c r="D3" t="s">
        <v>162</v>
      </c>
      <c r="E3" t="s">
        <v>163</v>
      </c>
      <c r="I3" t="s">
        <v>247</v>
      </c>
      <c r="J3">
        <v>0.39</v>
      </c>
      <c r="K3" s="9">
        <v>0.33559693962700998</v>
      </c>
      <c r="L3">
        <v>2.91</v>
      </c>
      <c r="M3">
        <v>0.35</v>
      </c>
      <c r="N3">
        <v>6.72</v>
      </c>
      <c r="O3">
        <v>2.5099999999999998</v>
      </c>
      <c r="P3">
        <v>2.33</v>
      </c>
      <c r="Q3">
        <v>4.3899999999999997</v>
      </c>
      <c r="R3">
        <v>1.88</v>
      </c>
      <c r="S3">
        <v>23.22</v>
      </c>
      <c r="T3">
        <v>25.08</v>
      </c>
      <c r="U3">
        <v>43.85</v>
      </c>
      <c r="V3">
        <v>0.44</v>
      </c>
      <c r="W3">
        <v>7.5</v>
      </c>
      <c r="X3" t="s">
        <v>252</v>
      </c>
      <c r="Y3">
        <v>0</v>
      </c>
      <c r="Z3">
        <v>0</v>
      </c>
      <c r="AA3">
        <v>0</v>
      </c>
      <c r="AB3">
        <v>136.37</v>
      </c>
      <c r="AC3">
        <v>278.19</v>
      </c>
      <c r="AD3">
        <v>0.51</v>
      </c>
      <c r="AE3">
        <v>0.5</v>
      </c>
      <c r="AF3">
        <v>0.84</v>
      </c>
      <c r="AG3">
        <v>267.64999999999998</v>
      </c>
      <c r="AH3">
        <v>1</v>
      </c>
      <c r="AI3">
        <v>57.28</v>
      </c>
      <c r="AJ3">
        <v>53.05</v>
      </c>
      <c r="AK3">
        <v>30.51</v>
      </c>
      <c r="AL3">
        <v>30.54</v>
      </c>
      <c r="AM3">
        <v>30.54</v>
      </c>
      <c r="AN3">
        <v>100.21</v>
      </c>
      <c r="AO3">
        <v>156.1</v>
      </c>
      <c r="AP3">
        <v>155.19999999999999</v>
      </c>
      <c r="AQ3">
        <v>0.6</v>
      </c>
      <c r="AR3">
        <v>1250</v>
      </c>
      <c r="AS3">
        <v>3.95</v>
      </c>
      <c r="AT3">
        <v>-9</v>
      </c>
      <c r="AU3">
        <v>-17</v>
      </c>
      <c r="AV3">
        <v>159</v>
      </c>
      <c r="AW3">
        <v>18.66</v>
      </c>
      <c r="AX3">
        <v>94.74</v>
      </c>
      <c r="AY3">
        <v>19.170000000000002</v>
      </c>
      <c r="AZ3">
        <v>-83.9</v>
      </c>
      <c r="BA3">
        <v>14.7</v>
      </c>
      <c r="BB3">
        <v>119.21</v>
      </c>
      <c r="BC3">
        <v>34.909999999999997</v>
      </c>
      <c r="BD3" t="s">
        <v>273</v>
      </c>
      <c r="BE3" t="s">
        <v>161</v>
      </c>
      <c r="BF3">
        <v>35.85</v>
      </c>
      <c r="BG3">
        <v>127.13</v>
      </c>
      <c r="BH3">
        <v>38.9</v>
      </c>
      <c r="BI3">
        <v>11</v>
      </c>
      <c r="BJ3">
        <v>0.96</v>
      </c>
      <c r="BK3" t="s">
        <v>203</v>
      </c>
      <c r="BL3" t="s">
        <v>161</v>
      </c>
      <c r="BM3">
        <v>-0.09</v>
      </c>
      <c r="BN3" t="s">
        <v>159</v>
      </c>
      <c r="BO3">
        <v>0</v>
      </c>
      <c r="BP3">
        <v>0</v>
      </c>
      <c r="BQ3">
        <v>0</v>
      </c>
      <c r="BR3">
        <v>0.21</v>
      </c>
      <c r="BS3">
        <v>0.26</v>
      </c>
      <c r="BT3">
        <v>1.02</v>
      </c>
      <c r="BU3" t="s">
        <v>159</v>
      </c>
      <c r="BV3">
        <v>150</v>
      </c>
      <c r="BW3">
        <v>0</v>
      </c>
      <c r="BX3">
        <v>2</v>
      </c>
      <c r="BY3">
        <v>0.06</v>
      </c>
      <c r="BZ3">
        <v>0</v>
      </c>
      <c r="CA3">
        <v>0.03</v>
      </c>
      <c r="CB3">
        <v>0</v>
      </c>
      <c r="CC3">
        <v>0</v>
      </c>
      <c r="CD3">
        <v>0</v>
      </c>
      <c r="CE3" t="s">
        <v>216</v>
      </c>
      <c r="CF3" t="s">
        <v>217</v>
      </c>
      <c r="CG3" t="s">
        <v>218</v>
      </c>
      <c r="CH3">
        <v>6000</v>
      </c>
      <c r="CI3">
        <v>500</v>
      </c>
      <c r="CJ3">
        <v>1</v>
      </c>
      <c r="CK3">
        <v>2</v>
      </c>
      <c r="CL3">
        <v>55537</v>
      </c>
      <c r="CM3">
        <v>55537</v>
      </c>
      <c r="CN3">
        <v>55537</v>
      </c>
      <c r="CO3">
        <v>0</v>
      </c>
      <c r="CP3">
        <v>-9999</v>
      </c>
      <c r="CQ3">
        <v>0</v>
      </c>
      <c r="CR3">
        <v>0</v>
      </c>
      <c r="CS3">
        <v>0</v>
      </c>
      <c r="CT3">
        <v>0</v>
      </c>
      <c r="CU3">
        <v>2.5</v>
      </c>
      <c r="CV3">
        <v>2.4500000000000002</v>
      </c>
      <c r="CW3">
        <v>1.67</v>
      </c>
      <c r="CX3">
        <v>0.94</v>
      </c>
      <c r="CY3">
        <v>0.22</v>
      </c>
      <c r="CZ3">
        <v>0</v>
      </c>
      <c r="DA3">
        <v>0.12</v>
      </c>
      <c r="DB3">
        <v>1.2</v>
      </c>
      <c r="DC3">
        <v>136.37</v>
      </c>
      <c r="DD3">
        <v>0</v>
      </c>
      <c r="DE3">
        <v>2.42</v>
      </c>
      <c r="DF3">
        <v>0</v>
      </c>
      <c r="DG3">
        <v>1</v>
      </c>
      <c r="DH3">
        <v>2.36</v>
      </c>
      <c r="DI3">
        <v>0</v>
      </c>
      <c r="DJ3">
        <v>1</v>
      </c>
      <c r="DK3">
        <v>0.6</v>
      </c>
      <c r="DL3">
        <v>0.6</v>
      </c>
      <c r="DM3">
        <v>0.11</v>
      </c>
      <c r="DN3">
        <v>0</v>
      </c>
      <c r="DO3" t="s">
        <v>252</v>
      </c>
      <c r="DP3" t="s">
        <v>239</v>
      </c>
      <c r="DQ3" t="s">
        <v>240</v>
      </c>
      <c r="DR3" t="s">
        <v>241</v>
      </c>
      <c r="DS3" t="s">
        <v>242</v>
      </c>
      <c r="DT3" t="s">
        <v>243</v>
      </c>
      <c r="DU3" t="s">
        <v>244</v>
      </c>
    </row>
    <row r="4" spans="1:125" x14ac:dyDescent="0.45">
      <c r="A4" t="s">
        <v>294</v>
      </c>
      <c r="B4" t="s">
        <v>295</v>
      </c>
      <c r="C4" t="s">
        <v>161</v>
      </c>
      <c r="D4" t="s">
        <v>162</v>
      </c>
      <c r="E4" t="s">
        <v>163</v>
      </c>
      <c r="I4" t="s">
        <v>296</v>
      </c>
      <c r="J4">
        <v>0.63</v>
      </c>
      <c r="K4" s="9">
        <v>0.48870126244150203</v>
      </c>
      <c r="L4">
        <v>2.9</v>
      </c>
      <c r="M4">
        <v>0.52</v>
      </c>
      <c r="N4">
        <v>8.7200000000000006</v>
      </c>
      <c r="O4">
        <v>2.62</v>
      </c>
      <c r="P4">
        <v>2.38</v>
      </c>
      <c r="Q4">
        <v>4.24</v>
      </c>
      <c r="R4">
        <v>1.62</v>
      </c>
      <c r="S4">
        <v>23.71</v>
      </c>
      <c r="T4">
        <v>26.12</v>
      </c>
      <c r="U4">
        <v>42.32</v>
      </c>
      <c r="V4">
        <v>0.44</v>
      </c>
      <c r="W4">
        <v>7.5</v>
      </c>
      <c r="X4" t="s">
        <v>301</v>
      </c>
      <c r="Y4">
        <v>0</v>
      </c>
      <c r="Z4">
        <v>0</v>
      </c>
      <c r="AA4">
        <v>0</v>
      </c>
      <c r="AB4">
        <v>136.63999999999999</v>
      </c>
      <c r="AC4">
        <v>287.13</v>
      </c>
      <c r="AD4">
        <v>0.52</v>
      </c>
      <c r="AE4">
        <v>0.5</v>
      </c>
      <c r="AF4">
        <v>0.84</v>
      </c>
      <c r="AG4">
        <v>238.84</v>
      </c>
      <c r="AH4">
        <v>1</v>
      </c>
      <c r="AI4">
        <v>58.17</v>
      </c>
      <c r="AJ4">
        <v>52.81</v>
      </c>
      <c r="AK4">
        <v>30.95</v>
      </c>
      <c r="AL4">
        <v>29.92</v>
      </c>
      <c r="AM4">
        <v>29.92</v>
      </c>
      <c r="AN4">
        <v>100.21</v>
      </c>
      <c r="AO4">
        <v>155.9</v>
      </c>
      <c r="AP4">
        <v>154.30000000000001</v>
      </c>
      <c r="AQ4">
        <v>1</v>
      </c>
      <c r="AR4">
        <v>1085</v>
      </c>
      <c r="AS4">
        <v>3.94</v>
      </c>
      <c r="AT4">
        <v>-7</v>
      </c>
      <c r="AU4">
        <v>11</v>
      </c>
      <c r="AV4">
        <v>162</v>
      </c>
      <c r="AW4">
        <v>38.97</v>
      </c>
      <c r="AX4">
        <v>77.75</v>
      </c>
      <c r="AY4">
        <v>13.02</v>
      </c>
      <c r="AZ4">
        <v>39.909999999999997</v>
      </c>
      <c r="BA4">
        <v>14.7</v>
      </c>
      <c r="BB4">
        <v>119.5</v>
      </c>
      <c r="BC4">
        <v>34.74</v>
      </c>
      <c r="BD4" t="s">
        <v>322</v>
      </c>
      <c r="BE4" t="s">
        <v>161</v>
      </c>
      <c r="BF4">
        <v>35.85</v>
      </c>
      <c r="BG4">
        <v>127.13</v>
      </c>
      <c r="BH4">
        <v>33.6</v>
      </c>
      <c r="BI4">
        <v>13</v>
      </c>
      <c r="BJ4">
        <v>0.83</v>
      </c>
      <c r="BK4" t="s">
        <v>203</v>
      </c>
      <c r="BL4" t="s">
        <v>161</v>
      </c>
      <c r="BM4">
        <v>-0.09</v>
      </c>
      <c r="BN4" t="s">
        <v>159</v>
      </c>
      <c r="BO4">
        <v>0.01</v>
      </c>
      <c r="BP4">
        <v>0</v>
      </c>
      <c r="BQ4">
        <v>0.01</v>
      </c>
      <c r="BR4">
        <v>0.33</v>
      </c>
      <c r="BS4">
        <v>0.2</v>
      </c>
      <c r="BT4">
        <v>1.19</v>
      </c>
      <c r="BU4" t="s">
        <v>159</v>
      </c>
      <c r="BV4">
        <v>150</v>
      </c>
      <c r="BW4">
        <v>0</v>
      </c>
      <c r="BX4">
        <v>2</v>
      </c>
      <c r="BY4">
        <v>0.06</v>
      </c>
      <c r="BZ4">
        <v>0</v>
      </c>
      <c r="CA4">
        <v>0.03</v>
      </c>
      <c r="CB4">
        <v>0</v>
      </c>
      <c r="CC4">
        <v>0</v>
      </c>
      <c r="CD4">
        <v>0</v>
      </c>
      <c r="CE4" t="s">
        <v>216</v>
      </c>
      <c r="CF4" t="s">
        <v>217</v>
      </c>
      <c r="CG4" t="s">
        <v>218</v>
      </c>
      <c r="CH4">
        <v>6000</v>
      </c>
      <c r="CI4">
        <v>500</v>
      </c>
      <c r="CJ4">
        <v>1</v>
      </c>
      <c r="CK4">
        <v>2</v>
      </c>
      <c r="CL4">
        <v>55537</v>
      </c>
      <c r="CM4">
        <v>55537</v>
      </c>
      <c r="CN4">
        <v>55537</v>
      </c>
      <c r="CO4">
        <v>0</v>
      </c>
      <c r="CP4">
        <v>-9999</v>
      </c>
      <c r="CQ4">
        <v>0</v>
      </c>
      <c r="CR4">
        <v>0</v>
      </c>
      <c r="CS4">
        <v>0</v>
      </c>
      <c r="CT4">
        <v>0</v>
      </c>
      <c r="CU4">
        <v>2.5</v>
      </c>
      <c r="CV4">
        <v>2.4500000000000002</v>
      </c>
      <c r="CW4">
        <v>1.67</v>
      </c>
      <c r="CX4">
        <v>0.94</v>
      </c>
      <c r="CY4">
        <v>0.22</v>
      </c>
      <c r="CZ4">
        <v>-0.01</v>
      </c>
      <c r="DA4">
        <v>0.13</v>
      </c>
      <c r="DB4">
        <v>1.05</v>
      </c>
      <c r="DC4">
        <v>136.63999999999999</v>
      </c>
      <c r="DD4">
        <v>0</v>
      </c>
      <c r="DE4">
        <v>2.42</v>
      </c>
      <c r="DF4">
        <v>0</v>
      </c>
      <c r="DG4">
        <v>1</v>
      </c>
      <c r="DH4">
        <v>2.36</v>
      </c>
      <c r="DI4">
        <v>0</v>
      </c>
      <c r="DJ4">
        <v>1</v>
      </c>
      <c r="DK4">
        <v>0.6</v>
      </c>
      <c r="DL4">
        <v>0.6</v>
      </c>
      <c r="DM4">
        <v>0.11</v>
      </c>
      <c r="DN4">
        <v>0</v>
      </c>
      <c r="DO4" t="s">
        <v>301</v>
      </c>
      <c r="DP4" t="s">
        <v>239</v>
      </c>
      <c r="DQ4" t="s">
        <v>240</v>
      </c>
      <c r="DR4" t="s">
        <v>241</v>
      </c>
      <c r="DS4" t="s">
        <v>242</v>
      </c>
      <c r="DT4" t="s">
        <v>243</v>
      </c>
      <c r="DU4" t="s">
        <v>244</v>
      </c>
    </row>
    <row r="5" spans="1:125" x14ac:dyDescent="0.45">
      <c r="A5" t="s">
        <v>340</v>
      </c>
      <c r="B5" t="s">
        <v>341</v>
      </c>
      <c r="C5" t="s">
        <v>161</v>
      </c>
      <c r="D5" t="s">
        <v>162</v>
      </c>
      <c r="E5" t="s">
        <v>163</v>
      </c>
      <c r="I5" t="s">
        <v>342</v>
      </c>
      <c r="J5">
        <v>0.76</v>
      </c>
      <c r="K5" s="9">
        <v>0.55836791667692698</v>
      </c>
      <c r="L5">
        <v>2.91</v>
      </c>
      <c r="M5">
        <v>0.6</v>
      </c>
      <c r="N5">
        <v>8.56</v>
      </c>
      <c r="O5">
        <v>2.57</v>
      </c>
      <c r="P5">
        <v>2.33</v>
      </c>
      <c r="Q5">
        <v>3.95</v>
      </c>
      <c r="R5">
        <v>1.38</v>
      </c>
      <c r="S5">
        <v>23.27</v>
      </c>
      <c r="T5">
        <v>25.64</v>
      </c>
      <c r="U5">
        <v>39.44</v>
      </c>
      <c r="V5">
        <v>0.44</v>
      </c>
      <c r="W5">
        <v>7.5</v>
      </c>
      <c r="X5" t="s">
        <v>347</v>
      </c>
      <c r="Y5">
        <v>0</v>
      </c>
      <c r="Z5">
        <v>0</v>
      </c>
      <c r="AA5">
        <v>0</v>
      </c>
      <c r="AB5">
        <v>119.08</v>
      </c>
      <c r="AC5">
        <v>395.18</v>
      </c>
      <c r="AD5">
        <v>0.7</v>
      </c>
      <c r="AE5">
        <v>0.5</v>
      </c>
      <c r="AF5">
        <v>0.84</v>
      </c>
      <c r="AG5">
        <v>260.27999999999997</v>
      </c>
      <c r="AH5">
        <v>1</v>
      </c>
      <c r="AI5">
        <v>56</v>
      </c>
      <c r="AJ5">
        <v>50.84</v>
      </c>
      <c r="AK5">
        <v>31.3</v>
      </c>
      <c r="AL5">
        <v>28.7</v>
      </c>
      <c r="AM5">
        <v>28.7</v>
      </c>
      <c r="AN5">
        <v>100.22</v>
      </c>
      <c r="AO5">
        <v>156</v>
      </c>
      <c r="AP5">
        <v>154.4</v>
      </c>
      <c r="AQ5">
        <v>1</v>
      </c>
      <c r="AR5">
        <v>887</v>
      </c>
      <c r="AS5">
        <v>3.94</v>
      </c>
      <c r="AT5">
        <v>-28</v>
      </c>
      <c r="AU5">
        <v>-1</v>
      </c>
      <c r="AV5">
        <v>257</v>
      </c>
      <c r="AW5">
        <v>57.43</v>
      </c>
      <c r="AX5">
        <v>53.84</v>
      </c>
      <c r="AY5">
        <v>28.02</v>
      </c>
      <c r="AZ5">
        <v>74.87</v>
      </c>
      <c r="BA5">
        <v>14.7</v>
      </c>
      <c r="BB5">
        <v>119.79</v>
      </c>
      <c r="BC5">
        <v>34.56</v>
      </c>
      <c r="BD5" t="s">
        <v>369</v>
      </c>
      <c r="BE5" t="s">
        <v>161</v>
      </c>
      <c r="BF5">
        <v>35.85</v>
      </c>
      <c r="BG5">
        <v>127.13</v>
      </c>
      <c r="BH5">
        <v>33.4</v>
      </c>
      <c r="BI5">
        <v>14</v>
      </c>
      <c r="BJ5">
        <v>0.77</v>
      </c>
      <c r="BK5" t="s">
        <v>203</v>
      </c>
      <c r="BL5" t="s">
        <v>161</v>
      </c>
      <c r="BM5">
        <v>-0.09</v>
      </c>
      <c r="BN5" t="s">
        <v>159</v>
      </c>
      <c r="BO5">
        <v>0</v>
      </c>
      <c r="BP5">
        <v>0</v>
      </c>
      <c r="BQ5">
        <v>0.01</v>
      </c>
      <c r="BR5">
        <v>-0.14000000000000001</v>
      </c>
      <c r="BS5">
        <v>-0.02</v>
      </c>
      <c r="BT5">
        <v>0.05</v>
      </c>
      <c r="BU5" t="s">
        <v>159</v>
      </c>
      <c r="BV5">
        <v>150</v>
      </c>
      <c r="BW5">
        <v>0</v>
      </c>
      <c r="BX5">
        <v>2</v>
      </c>
      <c r="BY5">
        <v>0.06</v>
      </c>
      <c r="BZ5">
        <v>0</v>
      </c>
      <c r="CA5">
        <v>0.03</v>
      </c>
      <c r="CB5">
        <v>0</v>
      </c>
      <c r="CC5">
        <v>0</v>
      </c>
      <c r="CD5">
        <v>0</v>
      </c>
      <c r="CE5" t="s">
        <v>216</v>
      </c>
      <c r="CF5" t="s">
        <v>217</v>
      </c>
      <c r="CG5" t="s">
        <v>218</v>
      </c>
      <c r="CH5">
        <v>6000</v>
      </c>
      <c r="CI5">
        <v>500</v>
      </c>
      <c r="CJ5">
        <v>1</v>
      </c>
      <c r="CK5">
        <v>2</v>
      </c>
      <c r="CL5">
        <v>55537</v>
      </c>
      <c r="CM5">
        <v>55537</v>
      </c>
      <c r="CN5">
        <v>55537</v>
      </c>
      <c r="CO5">
        <v>0</v>
      </c>
      <c r="CP5">
        <v>-9999</v>
      </c>
      <c r="CQ5">
        <v>0</v>
      </c>
      <c r="CR5">
        <v>0</v>
      </c>
      <c r="CS5">
        <v>0</v>
      </c>
      <c r="CT5">
        <v>0</v>
      </c>
      <c r="CU5">
        <v>2.5</v>
      </c>
      <c r="CV5">
        <v>2.44</v>
      </c>
      <c r="CW5">
        <v>1.67</v>
      </c>
      <c r="CX5">
        <v>0.94</v>
      </c>
      <c r="CY5">
        <v>0.21</v>
      </c>
      <c r="CZ5">
        <v>-0.03</v>
      </c>
      <c r="DA5">
        <v>0.14000000000000001</v>
      </c>
      <c r="DB5">
        <v>0.88</v>
      </c>
      <c r="DC5">
        <v>119.08</v>
      </c>
      <c r="DD5">
        <v>0</v>
      </c>
      <c r="DE5">
        <v>2.42</v>
      </c>
      <c r="DF5">
        <v>0</v>
      </c>
      <c r="DG5">
        <v>1</v>
      </c>
      <c r="DH5">
        <v>2.36</v>
      </c>
      <c r="DI5">
        <v>0</v>
      </c>
      <c r="DJ5">
        <v>1</v>
      </c>
      <c r="DK5">
        <v>0.6</v>
      </c>
      <c r="DL5">
        <v>0.6</v>
      </c>
      <c r="DM5">
        <v>0.11</v>
      </c>
      <c r="DN5">
        <v>0</v>
      </c>
      <c r="DO5" t="s">
        <v>347</v>
      </c>
      <c r="DP5" t="s">
        <v>239</v>
      </c>
      <c r="DQ5" t="s">
        <v>240</v>
      </c>
      <c r="DR5" t="s">
        <v>241</v>
      </c>
      <c r="DS5" t="s">
        <v>242</v>
      </c>
      <c r="DT5" t="s">
        <v>243</v>
      </c>
      <c r="DU5" t="s">
        <v>244</v>
      </c>
    </row>
    <row r="6" spans="1:125" x14ac:dyDescent="0.45">
      <c r="A6" t="s">
        <v>386</v>
      </c>
      <c r="B6" t="s">
        <v>387</v>
      </c>
      <c r="C6" t="s">
        <v>161</v>
      </c>
      <c r="D6" t="s">
        <v>162</v>
      </c>
      <c r="E6" t="s">
        <v>163</v>
      </c>
      <c r="I6" t="s">
        <v>388</v>
      </c>
    </row>
    <row r="7" spans="1:125" x14ac:dyDescent="0.45">
      <c r="A7" t="s">
        <v>189</v>
      </c>
      <c r="B7" t="s">
        <v>426</v>
      </c>
      <c r="C7" t="s">
        <v>161</v>
      </c>
      <c r="D7" t="s">
        <v>162</v>
      </c>
      <c r="E7" t="s">
        <v>163</v>
      </c>
      <c r="I7" t="s">
        <v>427</v>
      </c>
      <c r="J7">
        <v>0.79</v>
      </c>
      <c r="K7" s="9">
        <v>0.56672353618270299</v>
      </c>
      <c r="L7">
        <v>2.91</v>
      </c>
      <c r="M7">
        <v>0.62</v>
      </c>
      <c r="N7">
        <v>10.34</v>
      </c>
      <c r="O7">
        <v>2.84</v>
      </c>
      <c r="P7">
        <v>2.5499999999999998</v>
      </c>
      <c r="Q7">
        <v>4.45</v>
      </c>
      <c r="R7">
        <v>1.61</v>
      </c>
      <c r="S7">
        <v>25.47</v>
      </c>
      <c r="T7">
        <v>28.31</v>
      </c>
      <c r="U7">
        <v>44.37</v>
      </c>
      <c r="V7">
        <v>0.44</v>
      </c>
      <c r="W7">
        <v>7.5</v>
      </c>
      <c r="X7" t="s">
        <v>432</v>
      </c>
      <c r="Y7">
        <v>0</v>
      </c>
      <c r="Z7">
        <v>0</v>
      </c>
      <c r="AA7">
        <v>0</v>
      </c>
      <c r="AB7">
        <v>147.46</v>
      </c>
      <c r="AC7">
        <v>263.79000000000002</v>
      </c>
      <c r="AD7">
        <v>0.44</v>
      </c>
      <c r="AE7">
        <v>0.5</v>
      </c>
      <c r="AF7">
        <v>0.84</v>
      </c>
      <c r="AG7">
        <v>250.98</v>
      </c>
      <c r="AH7">
        <v>1</v>
      </c>
      <c r="AI7">
        <v>60.13</v>
      </c>
      <c r="AJ7">
        <v>54.09</v>
      </c>
      <c r="AK7">
        <v>31.79</v>
      </c>
      <c r="AL7">
        <v>30.75</v>
      </c>
      <c r="AM7">
        <v>30.75</v>
      </c>
      <c r="AN7">
        <v>100.23</v>
      </c>
      <c r="AO7">
        <v>156.1</v>
      </c>
      <c r="AP7">
        <v>155.30000000000001</v>
      </c>
      <c r="AQ7">
        <v>0.5</v>
      </c>
      <c r="AR7">
        <v>1355</v>
      </c>
      <c r="AS7">
        <v>3.94</v>
      </c>
      <c r="AT7">
        <v>1</v>
      </c>
      <c r="AU7">
        <v>26</v>
      </c>
      <c r="AV7">
        <v>353</v>
      </c>
      <c r="AW7">
        <v>19.18</v>
      </c>
      <c r="AX7">
        <v>94.45</v>
      </c>
      <c r="AY7">
        <v>26.02</v>
      </c>
      <c r="AZ7">
        <v>-94.95</v>
      </c>
      <c r="BA7">
        <v>14.7</v>
      </c>
      <c r="BB7">
        <v>120.09</v>
      </c>
      <c r="BC7">
        <v>34.380000000000003</v>
      </c>
      <c r="BD7" t="s">
        <v>452</v>
      </c>
      <c r="BE7" t="s">
        <v>161</v>
      </c>
      <c r="BF7">
        <v>35.85</v>
      </c>
      <c r="BG7">
        <v>127.13</v>
      </c>
      <c r="BH7">
        <v>33</v>
      </c>
      <c r="BI7">
        <v>15</v>
      </c>
      <c r="BJ7">
        <v>0.74</v>
      </c>
      <c r="BK7" t="s">
        <v>203</v>
      </c>
      <c r="BL7" t="s">
        <v>161</v>
      </c>
      <c r="BM7">
        <v>-0.09</v>
      </c>
      <c r="BN7" t="s">
        <v>159</v>
      </c>
      <c r="BO7">
        <v>0</v>
      </c>
      <c r="BP7">
        <v>0</v>
      </c>
      <c r="BQ7">
        <v>-0.01</v>
      </c>
      <c r="BR7">
        <v>0.38</v>
      </c>
      <c r="BS7">
        <v>0.25</v>
      </c>
      <c r="BT7">
        <v>0.35</v>
      </c>
      <c r="BU7" t="s">
        <v>159</v>
      </c>
      <c r="BV7">
        <v>150</v>
      </c>
      <c r="BW7">
        <v>0</v>
      </c>
      <c r="BX7">
        <v>2</v>
      </c>
      <c r="BY7">
        <v>0.06</v>
      </c>
      <c r="BZ7">
        <v>0</v>
      </c>
      <c r="CA7">
        <v>0.03</v>
      </c>
      <c r="CB7">
        <v>0</v>
      </c>
      <c r="CC7">
        <v>0</v>
      </c>
      <c r="CD7">
        <v>0</v>
      </c>
      <c r="CE7" t="s">
        <v>216</v>
      </c>
      <c r="CF7" t="s">
        <v>217</v>
      </c>
      <c r="CG7" t="s">
        <v>218</v>
      </c>
      <c r="CH7">
        <v>6000</v>
      </c>
      <c r="CI7">
        <v>500</v>
      </c>
      <c r="CJ7">
        <v>1</v>
      </c>
      <c r="CK7">
        <v>2</v>
      </c>
      <c r="CL7">
        <v>55537</v>
      </c>
      <c r="CM7">
        <v>55537</v>
      </c>
      <c r="CN7">
        <v>55537</v>
      </c>
      <c r="CO7">
        <v>0</v>
      </c>
      <c r="CP7">
        <v>-9999</v>
      </c>
      <c r="CQ7">
        <v>0</v>
      </c>
      <c r="CR7">
        <v>0</v>
      </c>
      <c r="CS7">
        <v>0</v>
      </c>
      <c r="CT7">
        <v>0</v>
      </c>
      <c r="CU7">
        <v>2.5</v>
      </c>
      <c r="CV7">
        <v>2.4500000000000002</v>
      </c>
      <c r="CW7">
        <v>1.67</v>
      </c>
      <c r="CX7">
        <v>0.94</v>
      </c>
      <c r="CY7">
        <v>0.21</v>
      </c>
      <c r="CZ7">
        <v>-0.01</v>
      </c>
      <c r="DA7">
        <v>0.15</v>
      </c>
      <c r="DB7">
        <v>1.29</v>
      </c>
      <c r="DC7">
        <v>147.46</v>
      </c>
      <c r="DD7">
        <v>0</v>
      </c>
      <c r="DE7">
        <v>2.42</v>
      </c>
      <c r="DF7">
        <v>0</v>
      </c>
      <c r="DG7">
        <v>1</v>
      </c>
      <c r="DH7">
        <v>2.36</v>
      </c>
      <c r="DI7">
        <v>0</v>
      </c>
      <c r="DJ7">
        <v>1</v>
      </c>
      <c r="DK7">
        <v>0.6</v>
      </c>
      <c r="DL7">
        <v>0.6</v>
      </c>
      <c r="DM7">
        <v>0.11</v>
      </c>
      <c r="DN7">
        <v>0</v>
      </c>
      <c r="DO7" t="s">
        <v>432</v>
      </c>
      <c r="DP7" t="s">
        <v>239</v>
      </c>
      <c r="DQ7" t="s">
        <v>240</v>
      </c>
      <c r="DR7" t="s">
        <v>241</v>
      </c>
      <c r="DS7" t="s">
        <v>242</v>
      </c>
      <c r="DT7" t="s">
        <v>243</v>
      </c>
      <c r="DU7" t="s">
        <v>244</v>
      </c>
    </row>
    <row r="8" spans="1:125" x14ac:dyDescent="0.45">
      <c r="A8" t="s">
        <v>471</v>
      </c>
      <c r="B8" t="s">
        <v>472</v>
      </c>
      <c r="C8" t="s">
        <v>161</v>
      </c>
      <c r="D8" t="s">
        <v>162</v>
      </c>
      <c r="E8" t="s">
        <v>163</v>
      </c>
      <c r="I8" t="s">
        <v>473</v>
      </c>
      <c r="J8">
        <v>1.61</v>
      </c>
      <c r="K8" s="9">
        <v>0.89833271715472895</v>
      </c>
      <c r="L8">
        <v>2.91</v>
      </c>
      <c r="M8">
        <v>1.04</v>
      </c>
      <c r="N8">
        <v>16.420000000000002</v>
      </c>
      <c r="O8">
        <v>2.87</v>
      </c>
      <c r="P8">
        <v>2.42</v>
      </c>
      <c r="Q8">
        <v>4.4000000000000004</v>
      </c>
      <c r="R8">
        <v>1.53</v>
      </c>
      <c r="S8">
        <v>24.18</v>
      </c>
      <c r="T8">
        <v>28.68</v>
      </c>
      <c r="U8">
        <v>43.92</v>
      </c>
      <c r="V8">
        <v>0.44</v>
      </c>
      <c r="W8">
        <v>7.5</v>
      </c>
      <c r="X8" t="s">
        <v>478</v>
      </c>
      <c r="Y8">
        <v>0</v>
      </c>
      <c r="Z8">
        <v>0</v>
      </c>
      <c r="AA8">
        <v>0</v>
      </c>
      <c r="AB8">
        <v>146.22999999999999</v>
      </c>
      <c r="AC8">
        <v>252.76</v>
      </c>
      <c r="AD8">
        <v>0.42</v>
      </c>
      <c r="AE8">
        <v>0.5</v>
      </c>
      <c r="AF8">
        <v>0.84</v>
      </c>
      <c r="AG8">
        <v>305.54000000000002</v>
      </c>
      <c r="AH8">
        <v>1</v>
      </c>
      <c r="AI8">
        <v>58.44</v>
      </c>
      <c r="AJ8">
        <v>49.26</v>
      </c>
      <c r="AK8">
        <v>32.520000000000003</v>
      </c>
      <c r="AL8">
        <v>30.57</v>
      </c>
      <c r="AM8">
        <v>30.57</v>
      </c>
      <c r="AN8">
        <v>100.22</v>
      </c>
      <c r="AO8">
        <v>156.4</v>
      </c>
      <c r="AP8">
        <v>151.4</v>
      </c>
      <c r="AQ8">
        <v>3.2</v>
      </c>
      <c r="AR8">
        <v>1726</v>
      </c>
      <c r="AS8">
        <v>3.94</v>
      </c>
      <c r="AT8">
        <v>-19</v>
      </c>
      <c r="AU8">
        <v>-11</v>
      </c>
      <c r="AV8">
        <v>120</v>
      </c>
      <c r="AW8">
        <v>18.78</v>
      </c>
      <c r="AX8">
        <v>94.67</v>
      </c>
      <c r="AY8">
        <v>21.85</v>
      </c>
      <c r="AZ8">
        <v>-90.84</v>
      </c>
      <c r="BA8">
        <v>14.7</v>
      </c>
      <c r="BB8">
        <v>120.68</v>
      </c>
      <c r="BC8">
        <v>34.03</v>
      </c>
      <c r="BD8" t="s">
        <v>500</v>
      </c>
      <c r="BE8" t="s">
        <v>161</v>
      </c>
      <c r="BF8">
        <v>35.85</v>
      </c>
      <c r="BG8">
        <v>127.13</v>
      </c>
      <c r="BH8">
        <v>30.4</v>
      </c>
      <c r="BI8">
        <v>16</v>
      </c>
      <c r="BJ8">
        <v>0.71</v>
      </c>
      <c r="BK8" t="s">
        <v>203</v>
      </c>
      <c r="BL8" t="s">
        <v>161</v>
      </c>
      <c r="BM8">
        <v>-0.09</v>
      </c>
      <c r="BN8" t="s">
        <v>159</v>
      </c>
      <c r="BO8">
        <v>0.01</v>
      </c>
      <c r="BP8">
        <v>0</v>
      </c>
      <c r="BQ8">
        <v>0.01</v>
      </c>
      <c r="BR8">
        <v>-0.26</v>
      </c>
      <c r="BS8">
        <v>-0.24</v>
      </c>
      <c r="BT8">
        <v>-0.42</v>
      </c>
      <c r="BU8" t="s">
        <v>159</v>
      </c>
      <c r="BV8">
        <v>150</v>
      </c>
      <c r="BW8">
        <v>0</v>
      </c>
      <c r="BX8">
        <v>2</v>
      </c>
      <c r="BY8">
        <v>0.06</v>
      </c>
      <c r="BZ8">
        <v>0</v>
      </c>
      <c r="CA8">
        <v>0.03</v>
      </c>
      <c r="CB8">
        <v>0</v>
      </c>
      <c r="CC8">
        <v>0</v>
      </c>
      <c r="CD8">
        <v>0</v>
      </c>
      <c r="CE8" t="s">
        <v>216</v>
      </c>
      <c r="CF8" t="s">
        <v>217</v>
      </c>
      <c r="CG8" t="s">
        <v>218</v>
      </c>
      <c r="CH8">
        <v>6000</v>
      </c>
      <c r="CI8">
        <v>500</v>
      </c>
      <c r="CJ8">
        <v>1</v>
      </c>
      <c r="CK8">
        <v>2</v>
      </c>
      <c r="CL8">
        <v>55537</v>
      </c>
      <c r="CM8">
        <v>55537</v>
      </c>
      <c r="CN8">
        <v>55537</v>
      </c>
      <c r="CO8">
        <v>0</v>
      </c>
      <c r="CP8">
        <v>-9999</v>
      </c>
      <c r="CQ8">
        <v>0</v>
      </c>
      <c r="CR8">
        <v>0</v>
      </c>
      <c r="CS8">
        <v>0</v>
      </c>
      <c r="CT8">
        <v>0</v>
      </c>
      <c r="CU8">
        <v>2.5</v>
      </c>
      <c r="CV8">
        <v>2.4500000000000002</v>
      </c>
      <c r="CW8">
        <v>1.67</v>
      </c>
      <c r="CX8">
        <v>0.93</v>
      </c>
      <c r="CY8">
        <v>0.2</v>
      </c>
      <c r="CZ8">
        <v>-0.02</v>
      </c>
      <c r="DA8">
        <v>0.17</v>
      </c>
      <c r="DB8">
        <v>1.61</v>
      </c>
      <c r="DC8">
        <v>146.22999999999999</v>
      </c>
      <c r="DD8">
        <v>0</v>
      </c>
      <c r="DE8">
        <v>2.42</v>
      </c>
      <c r="DF8">
        <v>0</v>
      </c>
      <c r="DG8">
        <v>1</v>
      </c>
      <c r="DH8">
        <v>2.36</v>
      </c>
      <c r="DI8">
        <v>0</v>
      </c>
      <c r="DJ8">
        <v>1</v>
      </c>
      <c r="DK8">
        <v>0.6</v>
      </c>
      <c r="DL8">
        <v>0.6</v>
      </c>
      <c r="DM8">
        <v>0.11</v>
      </c>
      <c r="DN8">
        <v>0</v>
      </c>
      <c r="DO8" t="s">
        <v>478</v>
      </c>
      <c r="DP8" t="s">
        <v>239</v>
      </c>
      <c r="DQ8" t="s">
        <v>240</v>
      </c>
      <c r="DR8" t="s">
        <v>241</v>
      </c>
      <c r="DS8" t="s">
        <v>242</v>
      </c>
      <c r="DT8" t="s">
        <v>243</v>
      </c>
      <c r="DU8" t="s">
        <v>244</v>
      </c>
    </row>
    <row r="9" spans="1:125" x14ac:dyDescent="0.45">
      <c r="A9" t="s">
        <v>520</v>
      </c>
      <c r="B9" t="s">
        <v>521</v>
      </c>
      <c r="C9" t="s">
        <v>161</v>
      </c>
      <c r="D9" t="s">
        <v>162</v>
      </c>
      <c r="E9" t="s">
        <v>163</v>
      </c>
      <c r="I9" t="s">
        <v>522</v>
      </c>
      <c r="J9">
        <v>0.24</v>
      </c>
      <c r="K9" s="9">
        <v>0.22195609522533499</v>
      </c>
      <c r="L9">
        <v>2.9</v>
      </c>
      <c r="M9">
        <v>0.22</v>
      </c>
      <c r="N9">
        <v>4.93</v>
      </c>
      <c r="O9">
        <v>2.7</v>
      </c>
      <c r="P9">
        <v>2.56</v>
      </c>
      <c r="Q9">
        <v>4.82</v>
      </c>
      <c r="R9">
        <v>2.12</v>
      </c>
      <c r="S9">
        <v>25.59</v>
      </c>
      <c r="T9">
        <v>26.95</v>
      </c>
      <c r="U9">
        <v>48.08</v>
      </c>
      <c r="V9">
        <v>0.44</v>
      </c>
      <c r="W9">
        <v>7.5</v>
      </c>
      <c r="X9" t="s">
        <v>527</v>
      </c>
      <c r="Y9">
        <v>0</v>
      </c>
      <c r="Z9">
        <v>0</v>
      </c>
      <c r="AA9">
        <v>0</v>
      </c>
      <c r="AB9">
        <v>132.30000000000001</v>
      </c>
      <c r="AC9">
        <v>331.69</v>
      </c>
      <c r="AD9">
        <v>0.6</v>
      </c>
      <c r="AE9">
        <v>0.5</v>
      </c>
      <c r="AF9">
        <v>0.84</v>
      </c>
      <c r="AG9">
        <v>291.61</v>
      </c>
      <c r="AH9">
        <v>1</v>
      </c>
      <c r="AI9">
        <v>52.22</v>
      </c>
      <c r="AJ9">
        <v>49.59</v>
      </c>
      <c r="AK9">
        <v>33.42</v>
      </c>
      <c r="AL9">
        <v>32.159999999999997</v>
      </c>
      <c r="AM9">
        <v>32.159999999999997</v>
      </c>
      <c r="AN9">
        <v>100.21</v>
      </c>
      <c r="AO9">
        <v>155.9</v>
      </c>
      <c r="AP9">
        <v>154.9</v>
      </c>
      <c r="AQ9">
        <v>0.6</v>
      </c>
      <c r="AR9">
        <v>1155</v>
      </c>
      <c r="AS9">
        <v>3.93</v>
      </c>
      <c r="AT9">
        <v>-15</v>
      </c>
      <c r="AU9">
        <v>-21</v>
      </c>
      <c r="AV9">
        <v>237</v>
      </c>
      <c r="AW9">
        <v>28.91</v>
      </c>
      <c r="AX9">
        <v>87.54</v>
      </c>
      <c r="AY9">
        <v>25.61</v>
      </c>
      <c r="AZ9">
        <v>0.99</v>
      </c>
      <c r="BA9">
        <v>14.69</v>
      </c>
      <c r="BB9">
        <v>121.9</v>
      </c>
      <c r="BC9">
        <v>33.340000000000003</v>
      </c>
      <c r="BD9" t="s">
        <v>547</v>
      </c>
      <c r="BE9" t="s">
        <v>161</v>
      </c>
      <c r="BF9">
        <v>35.85</v>
      </c>
      <c r="BG9">
        <v>127.13</v>
      </c>
      <c r="BH9">
        <v>29.6</v>
      </c>
      <c r="BI9">
        <v>15</v>
      </c>
      <c r="BJ9">
        <v>0.74</v>
      </c>
      <c r="BK9" t="s">
        <v>551</v>
      </c>
      <c r="BL9" t="s">
        <v>161</v>
      </c>
      <c r="BM9">
        <v>-0.1</v>
      </c>
      <c r="BN9" t="s">
        <v>159</v>
      </c>
      <c r="BO9">
        <v>0</v>
      </c>
      <c r="BP9">
        <v>0</v>
      </c>
      <c r="BQ9">
        <v>0</v>
      </c>
      <c r="BR9">
        <v>1.03</v>
      </c>
      <c r="BS9">
        <v>0.8</v>
      </c>
      <c r="BT9">
        <v>1.28</v>
      </c>
      <c r="BU9" t="s">
        <v>159</v>
      </c>
      <c r="BV9">
        <v>150</v>
      </c>
      <c r="BW9">
        <v>0</v>
      </c>
      <c r="BX9">
        <v>2</v>
      </c>
      <c r="BY9">
        <v>0.06</v>
      </c>
      <c r="BZ9">
        <v>0</v>
      </c>
      <c r="CA9">
        <v>0.03</v>
      </c>
      <c r="CB9">
        <v>0</v>
      </c>
      <c r="CC9">
        <v>0</v>
      </c>
      <c r="CD9">
        <v>0</v>
      </c>
      <c r="CE9" t="s">
        <v>216</v>
      </c>
      <c r="CF9" t="s">
        <v>217</v>
      </c>
      <c r="CG9" t="s">
        <v>218</v>
      </c>
      <c r="CH9">
        <v>6000</v>
      </c>
      <c r="CI9">
        <v>500</v>
      </c>
      <c r="CJ9">
        <v>1</v>
      </c>
      <c r="CK9">
        <v>2</v>
      </c>
      <c r="CL9">
        <v>55537</v>
      </c>
      <c r="CM9">
        <v>55537</v>
      </c>
      <c r="CN9">
        <v>55537</v>
      </c>
      <c r="CO9">
        <v>0</v>
      </c>
      <c r="CP9">
        <v>-9999</v>
      </c>
      <c r="CQ9">
        <v>0</v>
      </c>
      <c r="CR9">
        <v>0</v>
      </c>
      <c r="CS9">
        <v>0</v>
      </c>
      <c r="CT9">
        <v>0</v>
      </c>
      <c r="CU9">
        <v>2.5</v>
      </c>
      <c r="CV9">
        <v>2.44</v>
      </c>
      <c r="CW9">
        <v>1.67</v>
      </c>
      <c r="CX9">
        <v>0.94</v>
      </c>
      <c r="CY9">
        <v>0.2</v>
      </c>
      <c r="CZ9">
        <v>-0.02</v>
      </c>
      <c r="DA9">
        <v>0.19</v>
      </c>
      <c r="DB9">
        <v>1.1100000000000001</v>
      </c>
      <c r="DC9">
        <v>132.30000000000001</v>
      </c>
      <c r="DD9">
        <v>0</v>
      </c>
      <c r="DE9">
        <v>2.42</v>
      </c>
      <c r="DF9">
        <v>0</v>
      </c>
      <c r="DG9">
        <v>1</v>
      </c>
      <c r="DH9">
        <v>2.36</v>
      </c>
      <c r="DI9">
        <v>0</v>
      </c>
      <c r="DJ9">
        <v>1</v>
      </c>
      <c r="DK9">
        <v>0.6</v>
      </c>
      <c r="DL9">
        <v>0.6</v>
      </c>
      <c r="DM9">
        <v>0.11</v>
      </c>
      <c r="DN9">
        <v>0</v>
      </c>
      <c r="DO9" t="s">
        <v>527</v>
      </c>
      <c r="DP9" t="s">
        <v>239</v>
      </c>
      <c r="DQ9" t="s">
        <v>240</v>
      </c>
      <c r="DR9" t="s">
        <v>241</v>
      </c>
      <c r="DS9" t="s">
        <v>242</v>
      </c>
      <c r="DT9" t="s">
        <v>243</v>
      </c>
      <c r="DU9" t="s">
        <v>244</v>
      </c>
    </row>
    <row r="10" spans="1:125" x14ac:dyDescent="0.45">
      <c r="A10" t="s">
        <v>564</v>
      </c>
      <c r="B10" t="s">
        <v>565</v>
      </c>
      <c r="C10" t="s">
        <v>161</v>
      </c>
      <c r="D10" t="s">
        <v>162</v>
      </c>
      <c r="E10" t="s">
        <v>163</v>
      </c>
      <c r="I10" t="s">
        <v>566</v>
      </c>
      <c r="J10">
        <v>0.61</v>
      </c>
      <c r="K10" s="9">
        <v>0.47549926372914397</v>
      </c>
      <c r="L10">
        <v>2.91</v>
      </c>
      <c r="M10">
        <v>0.5</v>
      </c>
      <c r="N10">
        <v>10.74</v>
      </c>
      <c r="O10">
        <v>2.79</v>
      </c>
      <c r="P10">
        <v>2.4900000000000002</v>
      </c>
      <c r="Q10">
        <v>4.84</v>
      </c>
      <c r="R10">
        <v>2.0499999999999998</v>
      </c>
      <c r="S10">
        <v>24.88</v>
      </c>
      <c r="T10">
        <v>27.84</v>
      </c>
      <c r="U10">
        <v>48.3</v>
      </c>
      <c r="V10">
        <v>0.44</v>
      </c>
      <c r="W10">
        <v>7.5</v>
      </c>
      <c r="X10" t="s">
        <v>571</v>
      </c>
      <c r="Y10">
        <v>0</v>
      </c>
      <c r="Z10">
        <v>0</v>
      </c>
      <c r="AA10">
        <v>0</v>
      </c>
      <c r="AB10">
        <v>128.28</v>
      </c>
      <c r="AC10">
        <v>284.54000000000002</v>
      </c>
      <c r="AD10">
        <v>0.55000000000000004</v>
      </c>
      <c r="AE10">
        <v>0.5</v>
      </c>
      <c r="AF10">
        <v>0.84</v>
      </c>
      <c r="AG10">
        <v>280.23</v>
      </c>
      <c r="AH10">
        <v>1</v>
      </c>
      <c r="AI10">
        <v>53.44</v>
      </c>
      <c r="AJ10">
        <v>47.77</v>
      </c>
      <c r="AK10">
        <v>33.58</v>
      </c>
      <c r="AL10">
        <v>32.24</v>
      </c>
      <c r="AM10">
        <v>32.24</v>
      </c>
      <c r="AN10">
        <v>100.21</v>
      </c>
      <c r="AO10">
        <v>156.19999999999999</v>
      </c>
      <c r="AP10">
        <v>154.9</v>
      </c>
      <c r="AQ10">
        <v>0.8</v>
      </c>
      <c r="AR10">
        <v>1215</v>
      </c>
      <c r="AS10">
        <v>3.91</v>
      </c>
      <c r="AT10">
        <v>-9</v>
      </c>
      <c r="AU10">
        <v>6</v>
      </c>
      <c r="AV10">
        <v>111</v>
      </c>
      <c r="AW10">
        <v>23.73</v>
      </c>
      <c r="AX10">
        <v>91.54</v>
      </c>
      <c r="AY10">
        <v>10.8</v>
      </c>
      <c r="AZ10">
        <v>-35.1</v>
      </c>
      <c r="BA10">
        <v>14.69</v>
      </c>
      <c r="BB10">
        <v>121.9</v>
      </c>
      <c r="BC10">
        <v>33.340000000000003</v>
      </c>
      <c r="BD10" t="s">
        <v>586</v>
      </c>
      <c r="BE10" t="s">
        <v>161</v>
      </c>
      <c r="BF10">
        <v>35.85</v>
      </c>
      <c r="BG10">
        <v>127.13</v>
      </c>
      <c r="BH10">
        <v>29.3</v>
      </c>
      <c r="BI10">
        <v>15</v>
      </c>
      <c r="BJ10">
        <v>0.77</v>
      </c>
      <c r="BK10" t="s">
        <v>551</v>
      </c>
      <c r="BL10" t="s">
        <v>161</v>
      </c>
      <c r="BM10">
        <v>-0.1</v>
      </c>
      <c r="BN10" t="s">
        <v>159</v>
      </c>
      <c r="BO10">
        <v>0</v>
      </c>
      <c r="BP10">
        <v>0</v>
      </c>
      <c r="BQ10">
        <v>0</v>
      </c>
      <c r="BR10">
        <v>0.22</v>
      </c>
      <c r="BS10">
        <v>0.3</v>
      </c>
      <c r="BT10">
        <v>0.47</v>
      </c>
      <c r="BU10" t="s">
        <v>159</v>
      </c>
      <c r="BV10">
        <v>150</v>
      </c>
      <c r="BW10">
        <v>0</v>
      </c>
      <c r="BX10">
        <v>2</v>
      </c>
      <c r="BY10">
        <v>0.06</v>
      </c>
      <c r="BZ10">
        <v>0</v>
      </c>
      <c r="CA10">
        <v>0.03</v>
      </c>
      <c r="CB10">
        <v>0</v>
      </c>
      <c r="CC10">
        <v>0</v>
      </c>
      <c r="CD10">
        <v>0</v>
      </c>
      <c r="CE10" t="s">
        <v>216</v>
      </c>
      <c r="CF10" t="s">
        <v>217</v>
      </c>
      <c r="CG10" t="s">
        <v>218</v>
      </c>
      <c r="CH10">
        <v>6000</v>
      </c>
      <c r="CI10">
        <v>500</v>
      </c>
      <c r="CJ10">
        <v>1</v>
      </c>
      <c r="CK10">
        <v>2</v>
      </c>
      <c r="CL10">
        <v>55537</v>
      </c>
      <c r="CM10">
        <v>55537</v>
      </c>
      <c r="CN10">
        <v>55537</v>
      </c>
      <c r="CO10">
        <v>0</v>
      </c>
      <c r="CP10">
        <v>-9999</v>
      </c>
      <c r="CQ10">
        <v>0</v>
      </c>
      <c r="CR10">
        <v>0</v>
      </c>
      <c r="CS10">
        <v>0</v>
      </c>
      <c r="CT10">
        <v>0</v>
      </c>
      <c r="CU10">
        <v>2.4900000000000002</v>
      </c>
      <c r="CV10">
        <v>2.44</v>
      </c>
      <c r="CW10">
        <v>1.67</v>
      </c>
      <c r="CX10">
        <v>0.94</v>
      </c>
      <c r="CY10">
        <v>0.19</v>
      </c>
      <c r="CZ10">
        <v>-0.02</v>
      </c>
      <c r="DA10">
        <v>0.2</v>
      </c>
      <c r="DB10">
        <v>1.17</v>
      </c>
      <c r="DC10">
        <v>128.28</v>
      </c>
      <c r="DD10">
        <v>0</v>
      </c>
      <c r="DE10">
        <v>2.42</v>
      </c>
      <c r="DF10">
        <v>0</v>
      </c>
      <c r="DG10">
        <v>1</v>
      </c>
      <c r="DH10">
        <v>2.36</v>
      </c>
      <c r="DI10">
        <v>0</v>
      </c>
      <c r="DJ10">
        <v>1</v>
      </c>
      <c r="DK10">
        <v>0.6</v>
      </c>
      <c r="DL10">
        <v>0.6</v>
      </c>
      <c r="DM10">
        <v>0.11</v>
      </c>
      <c r="DN10">
        <v>0</v>
      </c>
      <c r="DO10" t="s">
        <v>571</v>
      </c>
      <c r="DP10" t="s">
        <v>239</v>
      </c>
      <c r="DQ10" t="s">
        <v>240</v>
      </c>
      <c r="DR10" t="s">
        <v>241</v>
      </c>
      <c r="DS10" t="s">
        <v>242</v>
      </c>
      <c r="DT10" t="s">
        <v>243</v>
      </c>
      <c r="DU10" t="s">
        <v>244</v>
      </c>
    </row>
    <row r="11" spans="1:125" x14ac:dyDescent="0.45">
      <c r="A11" t="s">
        <v>202</v>
      </c>
      <c r="B11" t="s">
        <v>603</v>
      </c>
      <c r="C11" t="s">
        <v>161</v>
      </c>
      <c r="D11" t="s">
        <v>162</v>
      </c>
      <c r="E11" t="s">
        <v>163</v>
      </c>
      <c r="I11" t="s">
        <v>604</v>
      </c>
      <c r="J11">
        <v>0.78</v>
      </c>
      <c r="K11" s="9">
        <v>0.56499972785817398</v>
      </c>
      <c r="L11">
        <v>2.91</v>
      </c>
      <c r="M11">
        <v>0.62</v>
      </c>
      <c r="N11">
        <v>9.89</v>
      </c>
      <c r="O11">
        <v>2.81</v>
      </c>
      <c r="P11">
        <v>2.54</v>
      </c>
      <c r="Q11">
        <v>4.37</v>
      </c>
      <c r="R11">
        <v>1.55</v>
      </c>
      <c r="S11">
        <v>25.36</v>
      </c>
      <c r="T11">
        <v>28.08</v>
      </c>
      <c r="U11">
        <v>43.58</v>
      </c>
      <c r="V11">
        <v>0.44</v>
      </c>
      <c r="W11">
        <v>7.5</v>
      </c>
      <c r="X11" t="s">
        <v>609</v>
      </c>
      <c r="Y11">
        <v>0</v>
      </c>
      <c r="Z11">
        <v>0</v>
      </c>
      <c r="AA11">
        <v>0</v>
      </c>
      <c r="AB11">
        <v>119.1</v>
      </c>
      <c r="AC11">
        <v>399.77</v>
      </c>
      <c r="AD11">
        <v>0.7</v>
      </c>
      <c r="AE11">
        <v>0.5</v>
      </c>
      <c r="AF11">
        <v>0.84</v>
      </c>
      <c r="AG11">
        <v>194.03</v>
      </c>
      <c r="AH11">
        <v>1</v>
      </c>
      <c r="AI11">
        <v>53.32</v>
      </c>
      <c r="AJ11">
        <v>48.15</v>
      </c>
      <c r="AK11">
        <v>33.78</v>
      </c>
      <c r="AL11">
        <v>30.43</v>
      </c>
      <c r="AM11">
        <v>30.43</v>
      </c>
      <c r="AN11">
        <v>100.21</v>
      </c>
      <c r="AO11">
        <v>156.1</v>
      </c>
      <c r="AP11">
        <v>153.80000000000001</v>
      </c>
      <c r="AQ11">
        <v>1.5</v>
      </c>
      <c r="AR11">
        <v>658</v>
      </c>
      <c r="AS11">
        <v>3.93</v>
      </c>
      <c r="AT11">
        <v>-5</v>
      </c>
      <c r="AU11">
        <v>-4</v>
      </c>
      <c r="AV11">
        <v>334</v>
      </c>
      <c r="AW11">
        <v>39.53</v>
      </c>
      <c r="AX11">
        <v>77.13</v>
      </c>
      <c r="AY11">
        <v>6.4</v>
      </c>
      <c r="AZ11">
        <v>115.26</v>
      </c>
      <c r="BA11">
        <v>14.69</v>
      </c>
      <c r="BB11">
        <v>122.21</v>
      </c>
      <c r="BC11">
        <v>33.17</v>
      </c>
      <c r="BD11" t="s">
        <v>630</v>
      </c>
      <c r="BE11" t="s">
        <v>161</v>
      </c>
      <c r="BF11">
        <v>35.85</v>
      </c>
      <c r="BG11">
        <v>127.13</v>
      </c>
      <c r="BH11">
        <v>30.1</v>
      </c>
      <c r="BI11">
        <v>15</v>
      </c>
      <c r="BJ11">
        <v>0.75</v>
      </c>
      <c r="BK11" t="s">
        <v>551</v>
      </c>
      <c r="BL11" t="s">
        <v>161</v>
      </c>
      <c r="BM11">
        <v>-0.1</v>
      </c>
      <c r="BN11" t="s">
        <v>159</v>
      </c>
      <c r="BO11">
        <v>0</v>
      </c>
      <c r="BP11">
        <v>0</v>
      </c>
      <c r="BQ11">
        <v>0.01</v>
      </c>
      <c r="BR11">
        <v>-0.12</v>
      </c>
      <c r="BS11">
        <v>-0.47</v>
      </c>
      <c r="BT11">
        <v>-1.1499999999999999</v>
      </c>
      <c r="BU11" t="s">
        <v>159</v>
      </c>
      <c r="BV11">
        <v>150</v>
      </c>
      <c r="BW11">
        <v>0</v>
      </c>
      <c r="BX11">
        <v>2</v>
      </c>
      <c r="BY11">
        <v>0.06</v>
      </c>
      <c r="BZ11">
        <v>0</v>
      </c>
      <c r="CA11">
        <v>0.03</v>
      </c>
      <c r="CB11">
        <v>0</v>
      </c>
      <c r="CC11">
        <v>0</v>
      </c>
      <c r="CD11">
        <v>0</v>
      </c>
      <c r="CE11" t="s">
        <v>216</v>
      </c>
      <c r="CF11" t="s">
        <v>217</v>
      </c>
      <c r="CG11" t="s">
        <v>218</v>
      </c>
      <c r="CH11">
        <v>6000</v>
      </c>
      <c r="CI11">
        <v>500</v>
      </c>
      <c r="CJ11">
        <v>1</v>
      </c>
      <c r="CK11">
        <v>2</v>
      </c>
      <c r="CL11">
        <v>55537</v>
      </c>
      <c r="CM11">
        <v>55537</v>
      </c>
      <c r="CN11">
        <v>55537</v>
      </c>
      <c r="CO11">
        <v>0</v>
      </c>
      <c r="CP11">
        <v>-9999</v>
      </c>
      <c r="CQ11">
        <v>0</v>
      </c>
      <c r="CR11">
        <v>0</v>
      </c>
      <c r="CS11">
        <v>0</v>
      </c>
      <c r="CT11">
        <v>0</v>
      </c>
      <c r="CU11">
        <v>2.4900000000000002</v>
      </c>
      <c r="CV11">
        <v>2.44</v>
      </c>
      <c r="CW11">
        <v>1.67</v>
      </c>
      <c r="CX11">
        <v>0.94</v>
      </c>
      <c r="CY11">
        <v>0.19</v>
      </c>
      <c r="CZ11">
        <v>-0.04</v>
      </c>
      <c r="DA11">
        <v>0.2</v>
      </c>
      <c r="DB11">
        <v>0.68</v>
      </c>
      <c r="DC11">
        <v>119.1</v>
      </c>
      <c r="DD11">
        <v>0</v>
      </c>
      <c r="DE11">
        <v>2.42</v>
      </c>
      <c r="DF11">
        <v>0</v>
      </c>
      <c r="DG11">
        <v>1</v>
      </c>
      <c r="DH11">
        <v>2.36</v>
      </c>
      <c r="DI11">
        <v>0</v>
      </c>
      <c r="DJ11">
        <v>1</v>
      </c>
      <c r="DK11">
        <v>0.6</v>
      </c>
      <c r="DL11">
        <v>0.6</v>
      </c>
      <c r="DM11">
        <v>0.11</v>
      </c>
      <c r="DN11">
        <v>0</v>
      </c>
      <c r="DO11" t="s">
        <v>609</v>
      </c>
      <c r="DP11" t="s">
        <v>239</v>
      </c>
      <c r="DQ11" t="s">
        <v>240</v>
      </c>
      <c r="DR11" t="s">
        <v>241</v>
      </c>
      <c r="DS11" t="s">
        <v>242</v>
      </c>
      <c r="DT11" t="s">
        <v>243</v>
      </c>
      <c r="DU11" t="s">
        <v>244</v>
      </c>
    </row>
    <row r="12" spans="1:125" x14ac:dyDescent="0.45">
      <c r="A12" t="s">
        <v>277</v>
      </c>
      <c r="B12" t="s">
        <v>647</v>
      </c>
      <c r="C12" t="s">
        <v>161</v>
      </c>
      <c r="D12" t="s">
        <v>162</v>
      </c>
      <c r="E12" t="s">
        <v>163</v>
      </c>
      <c r="I12" t="s">
        <v>648</v>
      </c>
      <c r="J12">
        <v>0.88</v>
      </c>
      <c r="K12" s="9">
        <v>0.61273465066899102</v>
      </c>
      <c r="L12">
        <v>2.91</v>
      </c>
      <c r="M12">
        <v>0.67</v>
      </c>
      <c r="N12">
        <v>10.78</v>
      </c>
      <c r="O12">
        <v>2.8</v>
      </c>
      <c r="P12">
        <v>2.5099999999999998</v>
      </c>
      <c r="Q12">
        <v>4.3499999999999996</v>
      </c>
      <c r="R12">
        <v>1.55</v>
      </c>
      <c r="S12">
        <v>25.02</v>
      </c>
      <c r="T12">
        <v>27.98</v>
      </c>
      <c r="U12">
        <v>43.43</v>
      </c>
      <c r="V12">
        <v>0.44</v>
      </c>
      <c r="W12">
        <v>7.5</v>
      </c>
      <c r="X12" t="s">
        <v>653</v>
      </c>
      <c r="Y12">
        <v>0</v>
      </c>
      <c r="Z12">
        <v>0</v>
      </c>
      <c r="AA12">
        <v>0</v>
      </c>
      <c r="AB12">
        <v>124.28</v>
      </c>
      <c r="AC12">
        <v>385.41</v>
      </c>
      <c r="AD12">
        <v>0.68</v>
      </c>
      <c r="AE12">
        <v>0.5</v>
      </c>
      <c r="AF12">
        <v>0.84</v>
      </c>
      <c r="AG12">
        <v>143.41999999999999</v>
      </c>
      <c r="AH12">
        <v>1</v>
      </c>
      <c r="AI12">
        <v>51.88</v>
      </c>
      <c r="AJ12">
        <v>46.39</v>
      </c>
      <c r="AK12">
        <v>34.21</v>
      </c>
      <c r="AL12">
        <v>30.37</v>
      </c>
      <c r="AM12">
        <v>30.37</v>
      </c>
      <c r="AN12">
        <v>100.21</v>
      </c>
      <c r="AO12">
        <v>156.1</v>
      </c>
      <c r="AP12">
        <v>154.9</v>
      </c>
      <c r="AQ12">
        <v>0.8</v>
      </c>
      <c r="AR12">
        <v>504</v>
      </c>
      <c r="AS12">
        <v>3.93</v>
      </c>
      <c r="AT12">
        <v>39</v>
      </c>
      <c r="AU12">
        <v>0</v>
      </c>
      <c r="AV12">
        <v>333</v>
      </c>
      <c r="AW12">
        <v>18.559999999999999</v>
      </c>
      <c r="AX12">
        <v>94.8</v>
      </c>
      <c r="AY12">
        <v>39</v>
      </c>
      <c r="AZ12">
        <v>-27</v>
      </c>
      <c r="BA12">
        <v>14.69</v>
      </c>
      <c r="BB12">
        <v>122.84</v>
      </c>
      <c r="BC12">
        <v>32.83</v>
      </c>
      <c r="BD12" t="s">
        <v>671</v>
      </c>
      <c r="BE12" t="s">
        <v>161</v>
      </c>
      <c r="BF12">
        <v>35.85</v>
      </c>
      <c r="BG12">
        <v>127.13</v>
      </c>
      <c r="BH12">
        <v>30.8</v>
      </c>
      <c r="BI12">
        <v>11</v>
      </c>
      <c r="BJ12">
        <v>0.89</v>
      </c>
      <c r="BK12" t="s">
        <v>551</v>
      </c>
      <c r="BL12" t="s">
        <v>161</v>
      </c>
      <c r="BM12">
        <v>-0.1</v>
      </c>
      <c r="BN12" t="s">
        <v>159</v>
      </c>
      <c r="BO12">
        <v>-0.01</v>
      </c>
      <c r="BP12">
        <v>0</v>
      </c>
      <c r="BQ12">
        <v>0.01</v>
      </c>
      <c r="BR12">
        <v>0.11</v>
      </c>
      <c r="BS12">
        <v>0.03</v>
      </c>
      <c r="BT12">
        <v>-0.38</v>
      </c>
      <c r="BU12" t="s">
        <v>159</v>
      </c>
      <c r="BV12">
        <v>150</v>
      </c>
      <c r="BW12">
        <v>0</v>
      </c>
      <c r="BX12">
        <v>2</v>
      </c>
      <c r="BY12">
        <v>0.06</v>
      </c>
      <c r="BZ12">
        <v>0</v>
      </c>
      <c r="CA12">
        <v>0.03</v>
      </c>
      <c r="CB12">
        <v>0</v>
      </c>
      <c r="CC12">
        <v>0</v>
      </c>
      <c r="CD12">
        <v>0</v>
      </c>
      <c r="CE12" t="s">
        <v>216</v>
      </c>
      <c r="CF12" t="s">
        <v>217</v>
      </c>
      <c r="CG12" t="s">
        <v>218</v>
      </c>
      <c r="CH12">
        <v>6000</v>
      </c>
      <c r="CI12">
        <v>500</v>
      </c>
      <c r="CJ12">
        <v>1</v>
      </c>
      <c r="CK12">
        <v>2</v>
      </c>
      <c r="CL12">
        <v>55537</v>
      </c>
      <c r="CM12">
        <v>55537</v>
      </c>
      <c r="CN12">
        <v>55537</v>
      </c>
      <c r="CO12">
        <v>0</v>
      </c>
      <c r="CP12">
        <v>-9999</v>
      </c>
      <c r="CQ12">
        <v>0</v>
      </c>
      <c r="CR12">
        <v>0</v>
      </c>
      <c r="CS12">
        <v>0</v>
      </c>
      <c r="CT12">
        <v>0</v>
      </c>
      <c r="CU12">
        <v>2.4900000000000002</v>
      </c>
      <c r="CV12">
        <v>2.44</v>
      </c>
      <c r="CW12">
        <v>1.67</v>
      </c>
      <c r="CX12">
        <v>0.94</v>
      </c>
      <c r="CY12">
        <v>0.19</v>
      </c>
      <c r="CZ12">
        <v>-0.05</v>
      </c>
      <c r="DA12">
        <v>0.22</v>
      </c>
      <c r="DB12">
        <v>0.55000000000000004</v>
      </c>
      <c r="DC12">
        <v>124.28</v>
      </c>
      <c r="DD12">
        <v>0</v>
      </c>
      <c r="DE12">
        <v>2.42</v>
      </c>
      <c r="DF12">
        <v>0</v>
      </c>
      <c r="DG12">
        <v>1</v>
      </c>
      <c r="DH12">
        <v>2.36</v>
      </c>
      <c r="DI12">
        <v>0</v>
      </c>
      <c r="DJ12">
        <v>1</v>
      </c>
      <c r="DK12">
        <v>0.6</v>
      </c>
      <c r="DL12">
        <v>0.6</v>
      </c>
      <c r="DM12">
        <v>0.11</v>
      </c>
      <c r="DN12">
        <v>0</v>
      </c>
      <c r="DO12" t="s">
        <v>653</v>
      </c>
      <c r="DP12" t="s">
        <v>239</v>
      </c>
      <c r="DQ12" t="s">
        <v>240</v>
      </c>
      <c r="DR12" t="s">
        <v>241</v>
      </c>
      <c r="DS12" t="s">
        <v>242</v>
      </c>
      <c r="DT12" t="s">
        <v>243</v>
      </c>
      <c r="DU12" t="s">
        <v>244</v>
      </c>
    </row>
    <row r="13" spans="1:125" x14ac:dyDescent="0.45">
      <c r="A13" t="s">
        <v>687</v>
      </c>
      <c r="B13" t="s">
        <v>688</v>
      </c>
      <c r="C13" t="s">
        <v>161</v>
      </c>
      <c r="D13" t="s">
        <v>162</v>
      </c>
      <c r="E13" t="s">
        <v>163</v>
      </c>
      <c r="I13" t="s">
        <v>689</v>
      </c>
      <c r="J13">
        <v>0.62</v>
      </c>
      <c r="K13" s="9">
        <v>0.47548574780667202</v>
      </c>
      <c r="L13">
        <v>2.91</v>
      </c>
      <c r="M13">
        <v>0.51</v>
      </c>
      <c r="N13">
        <v>9.19</v>
      </c>
      <c r="O13">
        <v>2.83</v>
      </c>
      <c r="P13">
        <v>2.58</v>
      </c>
      <c r="Q13">
        <v>4.57</v>
      </c>
      <c r="R13">
        <v>1.74</v>
      </c>
      <c r="S13">
        <v>25.71</v>
      </c>
      <c r="T13">
        <v>28.24</v>
      </c>
      <c r="U13">
        <v>45.64</v>
      </c>
      <c r="V13">
        <v>0.44</v>
      </c>
      <c r="W13">
        <v>7.5</v>
      </c>
      <c r="X13" t="s">
        <v>694</v>
      </c>
      <c r="Y13">
        <v>0</v>
      </c>
      <c r="Z13">
        <v>0</v>
      </c>
      <c r="AA13">
        <v>0</v>
      </c>
      <c r="AB13">
        <v>124.37</v>
      </c>
      <c r="AC13">
        <v>375.98</v>
      </c>
      <c r="AD13">
        <v>0.67</v>
      </c>
      <c r="AE13">
        <v>0.5</v>
      </c>
      <c r="AF13">
        <v>0.84</v>
      </c>
      <c r="AG13">
        <v>139.97</v>
      </c>
      <c r="AH13">
        <v>1</v>
      </c>
      <c r="AI13">
        <v>51.85</v>
      </c>
      <c r="AJ13">
        <v>47.21</v>
      </c>
      <c r="AK13">
        <v>34.380000000000003</v>
      </c>
      <c r="AL13">
        <v>31.24</v>
      </c>
      <c r="AM13">
        <v>31.24</v>
      </c>
      <c r="AN13">
        <v>100.21</v>
      </c>
      <c r="AO13">
        <v>156.1</v>
      </c>
      <c r="AP13">
        <v>155.4</v>
      </c>
      <c r="AQ13">
        <v>0.4</v>
      </c>
      <c r="AR13">
        <v>498</v>
      </c>
      <c r="AS13">
        <v>3.92</v>
      </c>
      <c r="AT13">
        <v>0</v>
      </c>
      <c r="AU13">
        <v>-2</v>
      </c>
      <c r="AV13">
        <v>275</v>
      </c>
      <c r="AW13">
        <v>31.58</v>
      </c>
      <c r="AX13">
        <v>85.19</v>
      </c>
      <c r="AY13">
        <v>2</v>
      </c>
      <c r="AZ13">
        <v>5</v>
      </c>
      <c r="BA13">
        <v>14.69</v>
      </c>
      <c r="BB13">
        <v>123.48</v>
      </c>
      <c r="BC13">
        <v>32.49</v>
      </c>
      <c r="BD13" t="s">
        <v>713</v>
      </c>
      <c r="BE13" t="s">
        <v>161</v>
      </c>
      <c r="BF13">
        <v>35.85</v>
      </c>
      <c r="BG13">
        <v>127.13</v>
      </c>
      <c r="BH13">
        <v>32.299999999999997</v>
      </c>
      <c r="BI13">
        <v>15</v>
      </c>
      <c r="BJ13">
        <v>0.74</v>
      </c>
      <c r="BK13" t="s">
        <v>551</v>
      </c>
      <c r="BL13" t="s">
        <v>161</v>
      </c>
      <c r="BM13">
        <v>-0.1</v>
      </c>
      <c r="BN13" t="s">
        <v>159</v>
      </c>
      <c r="BO13">
        <v>0</v>
      </c>
      <c r="BP13">
        <v>0</v>
      </c>
      <c r="BQ13">
        <v>0.01</v>
      </c>
      <c r="BR13">
        <v>0.35</v>
      </c>
      <c r="BS13">
        <v>0.18</v>
      </c>
      <c r="BT13">
        <v>-0.17</v>
      </c>
      <c r="BU13" t="s">
        <v>159</v>
      </c>
      <c r="BV13">
        <v>150</v>
      </c>
      <c r="BW13">
        <v>0</v>
      </c>
      <c r="BX13">
        <v>2</v>
      </c>
      <c r="BY13">
        <v>0.06</v>
      </c>
      <c r="BZ13">
        <v>0</v>
      </c>
      <c r="CA13">
        <v>0.03</v>
      </c>
      <c r="CB13">
        <v>0</v>
      </c>
      <c r="CC13">
        <v>0</v>
      </c>
      <c r="CD13">
        <v>0</v>
      </c>
      <c r="CE13" t="s">
        <v>216</v>
      </c>
      <c r="CF13" t="s">
        <v>217</v>
      </c>
      <c r="CG13" t="s">
        <v>218</v>
      </c>
      <c r="CH13">
        <v>6000</v>
      </c>
      <c r="CI13">
        <v>500</v>
      </c>
      <c r="CJ13">
        <v>1</v>
      </c>
      <c r="CK13">
        <v>2</v>
      </c>
      <c r="CL13">
        <v>55537</v>
      </c>
      <c r="CM13">
        <v>55537</v>
      </c>
      <c r="CN13">
        <v>55537</v>
      </c>
      <c r="CO13">
        <v>0</v>
      </c>
      <c r="CP13">
        <v>-9999</v>
      </c>
      <c r="CQ13">
        <v>0</v>
      </c>
      <c r="CR13">
        <v>0</v>
      </c>
      <c r="CS13">
        <v>0</v>
      </c>
      <c r="CT13">
        <v>0</v>
      </c>
      <c r="CU13">
        <v>2.4900000000000002</v>
      </c>
      <c r="CV13">
        <v>2.44</v>
      </c>
      <c r="CW13">
        <v>1.67</v>
      </c>
      <c r="CX13">
        <v>0.94</v>
      </c>
      <c r="CY13">
        <v>0.19</v>
      </c>
      <c r="CZ13">
        <v>-0.04</v>
      </c>
      <c r="DA13">
        <v>0.23</v>
      </c>
      <c r="DB13">
        <v>0.54</v>
      </c>
      <c r="DC13">
        <v>124.37</v>
      </c>
      <c r="DD13">
        <v>0</v>
      </c>
      <c r="DE13">
        <v>2.42</v>
      </c>
      <c r="DF13">
        <v>0</v>
      </c>
      <c r="DG13">
        <v>1</v>
      </c>
      <c r="DH13">
        <v>2.36</v>
      </c>
      <c r="DI13">
        <v>0</v>
      </c>
      <c r="DJ13">
        <v>1</v>
      </c>
      <c r="DK13">
        <v>0.6</v>
      </c>
      <c r="DL13">
        <v>0.6</v>
      </c>
      <c r="DM13">
        <v>0.11</v>
      </c>
      <c r="DN13">
        <v>0</v>
      </c>
      <c r="DO13" t="s">
        <v>694</v>
      </c>
      <c r="DP13" t="s">
        <v>239</v>
      </c>
      <c r="DQ13" t="s">
        <v>240</v>
      </c>
      <c r="DR13" t="s">
        <v>241</v>
      </c>
      <c r="DS13" t="s">
        <v>242</v>
      </c>
      <c r="DT13" t="s">
        <v>243</v>
      </c>
      <c r="DU13" t="s">
        <v>244</v>
      </c>
    </row>
    <row r="14" spans="1:125" x14ac:dyDescent="0.45">
      <c r="A14" t="s">
        <v>325</v>
      </c>
      <c r="B14" t="s">
        <v>727</v>
      </c>
      <c r="C14" t="s">
        <v>161</v>
      </c>
      <c r="D14" t="s">
        <v>162</v>
      </c>
      <c r="E14" t="s">
        <v>163</v>
      </c>
      <c r="I14" t="s">
        <v>728</v>
      </c>
      <c r="J14">
        <v>0.84</v>
      </c>
      <c r="K14" s="9">
        <v>0.59100800073870696</v>
      </c>
      <c r="L14">
        <v>2.91</v>
      </c>
      <c r="M14">
        <v>0.65</v>
      </c>
      <c r="N14">
        <v>10.5</v>
      </c>
      <c r="O14">
        <v>2.86</v>
      </c>
      <c r="P14">
        <v>2.57</v>
      </c>
      <c r="Q14">
        <v>4.42</v>
      </c>
      <c r="R14">
        <v>1.56</v>
      </c>
      <c r="S14">
        <v>25.65</v>
      </c>
      <c r="T14">
        <v>28.54</v>
      </c>
      <c r="U14">
        <v>44.13</v>
      </c>
      <c r="V14">
        <v>0.44</v>
      </c>
      <c r="W14">
        <v>7.5</v>
      </c>
      <c r="X14" t="s">
        <v>733</v>
      </c>
      <c r="Y14">
        <v>0</v>
      </c>
      <c r="Z14">
        <v>0</v>
      </c>
      <c r="AA14">
        <v>0</v>
      </c>
      <c r="AB14">
        <v>117.08</v>
      </c>
      <c r="AC14">
        <v>356.33</v>
      </c>
      <c r="AD14">
        <v>0.67</v>
      </c>
      <c r="AE14">
        <v>0.5</v>
      </c>
      <c r="AF14">
        <v>0.84</v>
      </c>
      <c r="AG14">
        <v>163.56</v>
      </c>
      <c r="AH14">
        <v>1</v>
      </c>
      <c r="AI14">
        <v>52.09</v>
      </c>
      <c r="AJ14">
        <v>46.82</v>
      </c>
      <c r="AK14">
        <v>34.49</v>
      </c>
      <c r="AL14">
        <v>30.65</v>
      </c>
      <c r="AM14">
        <v>30.65</v>
      </c>
      <c r="AN14">
        <v>100.2</v>
      </c>
      <c r="AO14">
        <v>156</v>
      </c>
      <c r="AP14">
        <v>154.1</v>
      </c>
      <c r="AQ14">
        <v>1.3</v>
      </c>
      <c r="AR14">
        <v>580</v>
      </c>
      <c r="AS14">
        <v>3.92</v>
      </c>
      <c r="AT14">
        <v>-37</v>
      </c>
      <c r="AU14">
        <v>-1</v>
      </c>
      <c r="AV14">
        <v>122</v>
      </c>
      <c r="AW14">
        <v>5.08</v>
      </c>
      <c r="AX14">
        <v>99.61</v>
      </c>
      <c r="AY14">
        <v>37.01</v>
      </c>
      <c r="AZ14">
        <v>-59.66</v>
      </c>
      <c r="BA14">
        <v>14.69</v>
      </c>
      <c r="BB14">
        <v>123.8</v>
      </c>
      <c r="BC14">
        <v>32.32</v>
      </c>
      <c r="BD14" t="s">
        <v>754</v>
      </c>
      <c r="BE14" t="s">
        <v>161</v>
      </c>
      <c r="BF14">
        <v>35.85</v>
      </c>
      <c r="BG14">
        <v>127.13</v>
      </c>
      <c r="BH14">
        <v>33.200000000000003</v>
      </c>
      <c r="BI14">
        <v>16</v>
      </c>
      <c r="BJ14">
        <v>0.73</v>
      </c>
      <c r="BK14" t="s">
        <v>551</v>
      </c>
      <c r="BL14" t="s">
        <v>161</v>
      </c>
      <c r="BM14">
        <v>-0.1</v>
      </c>
      <c r="BN14" t="s">
        <v>159</v>
      </c>
      <c r="BO14">
        <v>0</v>
      </c>
      <c r="BP14">
        <v>0</v>
      </c>
      <c r="BQ14">
        <v>0</v>
      </c>
      <c r="BR14">
        <v>-0.24</v>
      </c>
      <c r="BS14">
        <v>-0.28000000000000003</v>
      </c>
      <c r="BT14">
        <v>-0.04</v>
      </c>
      <c r="BU14" t="s">
        <v>159</v>
      </c>
      <c r="BV14">
        <v>150</v>
      </c>
      <c r="BW14">
        <v>0</v>
      </c>
      <c r="BX14">
        <v>2</v>
      </c>
      <c r="BY14">
        <v>0.06</v>
      </c>
      <c r="BZ14">
        <v>0</v>
      </c>
      <c r="CA14">
        <v>0.03</v>
      </c>
      <c r="CB14">
        <v>0</v>
      </c>
      <c r="CC14">
        <v>0</v>
      </c>
      <c r="CD14">
        <v>0</v>
      </c>
      <c r="CE14" t="s">
        <v>216</v>
      </c>
      <c r="CF14" t="s">
        <v>217</v>
      </c>
      <c r="CG14" t="s">
        <v>218</v>
      </c>
      <c r="CH14">
        <v>6000</v>
      </c>
      <c r="CI14">
        <v>500</v>
      </c>
      <c r="CJ14">
        <v>1</v>
      </c>
      <c r="CK14">
        <v>2</v>
      </c>
      <c r="CL14">
        <v>55537</v>
      </c>
      <c r="CM14">
        <v>55537</v>
      </c>
      <c r="CN14">
        <v>55537</v>
      </c>
      <c r="CO14">
        <v>0</v>
      </c>
      <c r="CP14">
        <v>-9999</v>
      </c>
      <c r="CQ14">
        <v>0</v>
      </c>
      <c r="CR14">
        <v>0</v>
      </c>
      <c r="CS14">
        <v>0</v>
      </c>
      <c r="CT14">
        <v>0</v>
      </c>
      <c r="CU14">
        <v>2.4900000000000002</v>
      </c>
      <c r="CV14">
        <v>2.44</v>
      </c>
      <c r="CW14">
        <v>1.67</v>
      </c>
      <c r="CX14">
        <v>0.94</v>
      </c>
      <c r="CY14">
        <v>0.19</v>
      </c>
      <c r="CZ14">
        <v>-0.05</v>
      </c>
      <c r="DA14">
        <v>0.24</v>
      </c>
      <c r="DB14">
        <v>0.61</v>
      </c>
      <c r="DC14">
        <v>117.08</v>
      </c>
      <c r="DD14">
        <v>0</v>
      </c>
      <c r="DE14">
        <v>2.42</v>
      </c>
      <c r="DF14">
        <v>0</v>
      </c>
      <c r="DG14">
        <v>1</v>
      </c>
      <c r="DH14">
        <v>2.36</v>
      </c>
      <c r="DI14">
        <v>0</v>
      </c>
      <c r="DJ14">
        <v>1</v>
      </c>
      <c r="DK14">
        <v>0.6</v>
      </c>
      <c r="DL14">
        <v>0.6</v>
      </c>
      <c r="DM14">
        <v>0.11</v>
      </c>
      <c r="DN14">
        <v>0</v>
      </c>
      <c r="DO14" t="s">
        <v>733</v>
      </c>
      <c r="DP14" t="s">
        <v>239</v>
      </c>
      <c r="DQ14" t="s">
        <v>240</v>
      </c>
      <c r="DR14" t="s">
        <v>241</v>
      </c>
      <c r="DS14" t="s">
        <v>242</v>
      </c>
      <c r="DT14" t="s">
        <v>243</v>
      </c>
      <c r="DU14" t="s">
        <v>244</v>
      </c>
    </row>
    <row r="15" spans="1:125" x14ac:dyDescent="0.45">
      <c r="A15" t="s">
        <v>372</v>
      </c>
      <c r="B15" t="s">
        <v>768</v>
      </c>
      <c r="C15" t="s">
        <v>161</v>
      </c>
      <c r="D15" t="s">
        <v>162</v>
      </c>
      <c r="E15" t="s">
        <v>163</v>
      </c>
      <c r="I15" t="s">
        <v>769</v>
      </c>
      <c r="J15">
        <v>0.68</v>
      </c>
      <c r="K15" s="9">
        <v>0.51396693466181897</v>
      </c>
      <c r="L15">
        <v>2.91</v>
      </c>
      <c r="M15">
        <v>0.55000000000000004</v>
      </c>
      <c r="N15">
        <v>9.84</v>
      </c>
      <c r="O15">
        <v>2.81</v>
      </c>
      <c r="P15">
        <v>2.5299999999999998</v>
      </c>
      <c r="Q15">
        <v>4.5199999999999996</v>
      </c>
      <c r="R15">
        <v>1.72</v>
      </c>
      <c r="S15">
        <v>25.29</v>
      </c>
      <c r="T15">
        <v>28</v>
      </c>
      <c r="U15">
        <v>45.15</v>
      </c>
      <c r="V15">
        <v>0.44</v>
      </c>
      <c r="W15">
        <v>7.5</v>
      </c>
      <c r="X15" t="s">
        <v>774</v>
      </c>
      <c r="Y15">
        <v>0</v>
      </c>
      <c r="Z15">
        <v>0</v>
      </c>
      <c r="AA15">
        <v>0</v>
      </c>
      <c r="AB15">
        <v>131.24</v>
      </c>
      <c r="AC15">
        <v>382.45</v>
      </c>
      <c r="AD15">
        <v>0.66</v>
      </c>
      <c r="AE15">
        <v>0.5</v>
      </c>
      <c r="AF15">
        <v>0.84</v>
      </c>
      <c r="AG15">
        <v>215.19</v>
      </c>
      <c r="AH15">
        <v>1</v>
      </c>
      <c r="AI15">
        <v>50.79</v>
      </c>
      <c r="AJ15">
        <v>45.88</v>
      </c>
      <c r="AK15">
        <v>34.6</v>
      </c>
      <c r="AL15">
        <v>31.05</v>
      </c>
      <c r="AM15">
        <v>31.05</v>
      </c>
      <c r="AN15">
        <v>100.2</v>
      </c>
      <c r="AO15">
        <v>156</v>
      </c>
      <c r="AP15">
        <v>152.69999999999999</v>
      </c>
      <c r="AQ15">
        <v>2.1</v>
      </c>
      <c r="AR15">
        <v>780</v>
      </c>
      <c r="AS15">
        <v>3.92</v>
      </c>
      <c r="AT15">
        <v>-17</v>
      </c>
      <c r="AU15">
        <v>0</v>
      </c>
      <c r="AV15">
        <v>138</v>
      </c>
      <c r="AW15">
        <v>15.91</v>
      </c>
      <c r="AX15">
        <v>96.17</v>
      </c>
      <c r="AY15">
        <v>17</v>
      </c>
      <c r="AZ15">
        <v>-42</v>
      </c>
      <c r="BA15">
        <v>14.69</v>
      </c>
      <c r="BB15">
        <v>124.46</v>
      </c>
      <c r="BC15">
        <v>31.99</v>
      </c>
      <c r="BD15" t="s">
        <v>793</v>
      </c>
      <c r="BE15" t="s">
        <v>161</v>
      </c>
      <c r="BF15">
        <v>35.85</v>
      </c>
      <c r="BG15">
        <v>127.13</v>
      </c>
      <c r="BH15">
        <v>32.6</v>
      </c>
      <c r="BI15">
        <v>15</v>
      </c>
      <c r="BJ15">
        <v>0.78</v>
      </c>
      <c r="BK15" t="s">
        <v>551</v>
      </c>
      <c r="BL15" t="s">
        <v>161</v>
      </c>
      <c r="BM15">
        <v>-0.1</v>
      </c>
      <c r="BN15" t="s">
        <v>159</v>
      </c>
      <c r="BO15">
        <v>0</v>
      </c>
      <c r="BP15">
        <v>0</v>
      </c>
      <c r="BQ15">
        <v>0</v>
      </c>
      <c r="BR15">
        <v>-0.32</v>
      </c>
      <c r="BS15">
        <v>0.09</v>
      </c>
      <c r="BT15">
        <v>0.19</v>
      </c>
      <c r="BU15" t="s">
        <v>159</v>
      </c>
      <c r="BV15">
        <v>150</v>
      </c>
      <c r="BW15">
        <v>0</v>
      </c>
      <c r="BX15">
        <v>2</v>
      </c>
      <c r="BY15">
        <v>0.06</v>
      </c>
      <c r="BZ15">
        <v>0</v>
      </c>
      <c r="CA15">
        <v>0.03</v>
      </c>
      <c r="CB15">
        <v>0</v>
      </c>
      <c r="CC15">
        <v>0</v>
      </c>
      <c r="CD15">
        <v>0</v>
      </c>
      <c r="CE15" t="s">
        <v>216</v>
      </c>
      <c r="CF15" t="s">
        <v>217</v>
      </c>
      <c r="CG15" t="s">
        <v>218</v>
      </c>
      <c r="CH15">
        <v>6000</v>
      </c>
      <c r="CI15">
        <v>500</v>
      </c>
      <c r="CJ15">
        <v>1</v>
      </c>
      <c r="CK15">
        <v>2</v>
      </c>
      <c r="CL15">
        <v>55537</v>
      </c>
      <c r="CM15">
        <v>55537</v>
      </c>
      <c r="CN15">
        <v>55537</v>
      </c>
      <c r="CO15">
        <v>0</v>
      </c>
      <c r="CP15">
        <v>-9999</v>
      </c>
      <c r="CQ15">
        <v>0</v>
      </c>
      <c r="CR15">
        <v>0</v>
      </c>
      <c r="CS15">
        <v>0</v>
      </c>
      <c r="CT15">
        <v>0</v>
      </c>
      <c r="CU15">
        <v>2.4900000000000002</v>
      </c>
      <c r="CV15">
        <v>2.44</v>
      </c>
      <c r="CW15">
        <v>1.67</v>
      </c>
      <c r="CX15">
        <v>0.94</v>
      </c>
      <c r="CY15">
        <v>0.19</v>
      </c>
      <c r="CZ15">
        <v>-0.04</v>
      </c>
      <c r="DA15">
        <v>0.25</v>
      </c>
      <c r="DB15">
        <v>0.79</v>
      </c>
      <c r="DC15">
        <v>131.24</v>
      </c>
      <c r="DD15">
        <v>0</v>
      </c>
      <c r="DE15">
        <v>2.42</v>
      </c>
      <c r="DF15">
        <v>0</v>
      </c>
      <c r="DG15">
        <v>1</v>
      </c>
      <c r="DH15">
        <v>2.36</v>
      </c>
      <c r="DI15">
        <v>0</v>
      </c>
      <c r="DJ15">
        <v>1</v>
      </c>
      <c r="DK15">
        <v>0.6</v>
      </c>
      <c r="DL15">
        <v>0.6</v>
      </c>
      <c r="DM15">
        <v>0.11</v>
      </c>
      <c r="DN15">
        <v>0</v>
      </c>
      <c r="DO15" t="s">
        <v>774</v>
      </c>
      <c r="DP15" t="s">
        <v>239</v>
      </c>
      <c r="DQ15" t="s">
        <v>240</v>
      </c>
      <c r="DR15" t="s">
        <v>241</v>
      </c>
      <c r="DS15" t="s">
        <v>242</v>
      </c>
      <c r="DT15" t="s">
        <v>243</v>
      </c>
      <c r="DU15" t="s">
        <v>244</v>
      </c>
    </row>
    <row r="16" spans="1:125" x14ac:dyDescent="0.45">
      <c r="A16" t="s">
        <v>456</v>
      </c>
      <c r="B16" t="s">
        <v>809</v>
      </c>
      <c r="C16" t="s">
        <v>161</v>
      </c>
      <c r="D16" t="s">
        <v>162</v>
      </c>
      <c r="E16" t="s">
        <v>163</v>
      </c>
      <c r="I16" t="s">
        <v>810</v>
      </c>
      <c r="J16">
        <v>1.2</v>
      </c>
      <c r="K16" s="9">
        <v>0.75360472329751604</v>
      </c>
      <c r="L16">
        <v>2.91</v>
      </c>
      <c r="M16">
        <v>0.85</v>
      </c>
      <c r="N16">
        <v>13.5</v>
      </c>
      <c r="O16">
        <v>2.86</v>
      </c>
      <c r="P16">
        <v>2.4900000000000002</v>
      </c>
      <c r="Q16">
        <v>4.4000000000000004</v>
      </c>
      <c r="R16">
        <v>1.54</v>
      </c>
      <c r="S16">
        <v>24.85</v>
      </c>
      <c r="T16">
        <v>28.56</v>
      </c>
      <c r="U16">
        <v>43.88</v>
      </c>
      <c r="V16">
        <v>0.44</v>
      </c>
      <c r="W16">
        <v>7.5</v>
      </c>
      <c r="X16" t="s">
        <v>815</v>
      </c>
      <c r="Y16">
        <v>0</v>
      </c>
      <c r="Z16">
        <v>0</v>
      </c>
      <c r="AA16">
        <v>0</v>
      </c>
      <c r="AB16">
        <v>133.38</v>
      </c>
      <c r="AC16">
        <v>366.29</v>
      </c>
      <c r="AD16">
        <v>0.64</v>
      </c>
      <c r="AE16">
        <v>0.5</v>
      </c>
      <c r="AF16">
        <v>0.84</v>
      </c>
      <c r="AG16">
        <v>196.29</v>
      </c>
      <c r="AH16">
        <v>1</v>
      </c>
      <c r="AI16">
        <v>51.74</v>
      </c>
      <c r="AJ16">
        <v>45.01</v>
      </c>
      <c r="AK16">
        <v>34.619999999999997</v>
      </c>
      <c r="AL16">
        <v>30.55</v>
      </c>
      <c r="AM16">
        <v>30.55</v>
      </c>
      <c r="AN16">
        <v>100.2</v>
      </c>
      <c r="AO16">
        <v>156</v>
      </c>
      <c r="AP16">
        <v>153.30000000000001</v>
      </c>
      <c r="AQ16">
        <v>1.7</v>
      </c>
      <c r="AR16">
        <v>735</v>
      </c>
      <c r="AS16">
        <v>3.92</v>
      </c>
      <c r="AT16">
        <v>-27</v>
      </c>
      <c r="AU16">
        <v>3</v>
      </c>
      <c r="AV16">
        <v>117</v>
      </c>
      <c r="AW16">
        <v>4.5599999999999996</v>
      </c>
      <c r="AX16">
        <v>99.68</v>
      </c>
      <c r="AY16">
        <v>27.15</v>
      </c>
      <c r="AZ16">
        <v>-56.42</v>
      </c>
      <c r="BA16">
        <v>14.69</v>
      </c>
      <c r="BB16">
        <v>125.12</v>
      </c>
      <c r="BC16">
        <v>31.65</v>
      </c>
      <c r="BD16" t="s">
        <v>835</v>
      </c>
      <c r="BE16" t="s">
        <v>161</v>
      </c>
      <c r="BF16">
        <v>35.85</v>
      </c>
      <c r="BG16">
        <v>127.13</v>
      </c>
      <c r="BH16">
        <v>32.700000000000003</v>
      </c>
      <c r="BI16">
        <v>16</v>
      </c>
      <c r="BJ16">
        <v>0.73</v>
      </c>
      <c r="BK16" t="s">
        <v>839</v>
      </c>
      <c r="BL16" t="s">
        <v>161</v>
      </c>
      <c r="BM16">
        <v>0.25</v>
      </c>
      <c r="BN16" t="s">
        <v>159</v>
      </c>
      <c r="BO16">
        <v>0</v>
      </c>
      <c r="BP16">
        <v>0</v>
      </c>
      <c r="BQ16">
        <v>-0.01</v>
      </c>
      <c r="BR16">
        <v>-0.52</v>
      </c>
      <c r="BS16">
        <v>-0.94</v>
      </c>
      <c r="BT16">
        <v>-0.84</v>
      </c>
      <c r="BU16" t="s">
        <v>159</v>
      </c>
      <c r="BV16">
        <v>150</v>
      </c>
      <c r="BW16">
        <v>0</v>
      </c>
      <c r="BX16">
        <v>2</v>
      </c>
      <c r="BY16">
        <v>0.06</v>
      </c>
      <c r="BZ16">
        <v>0</v>
      </c>
      <c r="CA16">
        <v>0.03</v>
      </c>
      <c r="CB16">
        <v>0</v>
      </c>
      <c r="CC16">
        <v>0</v>
      </c>
      <c r="CD16">
        <v>0</v>
      </c>
      <c r="CE16" t="s">
        <v>216</v>
      </c>
      <c r="CF16" t="s">
        <v>217</v>
      </c>
      <c r="CG16" t="s">
        <v>218</v>
      </c>
      <c r="CH16">
        <v>6000</v>
      </c>
      <c r="CI16">
        <v>500</v>
      </c>
      <c r="CJ16">
        <v>1</v>
      </c>
      <c r="CK16">
        <v>2</v>
      </c>
      <c r="CL16">
        <v>55537</v>
      </c>
      <c r="CM16">
        <v>55537</v>
      </c>
      <c r="CN16">
        <v>55537</v>
      </c>
      <c r="CO16">
        <v>0</v>
      </c>
      <c r="CP16">
        <v>-9999</v>
      </c>
      <c r="CQ16">
        <v>0</v>
      </c>
      <c r="CR16">
        <v>0</v>
      </c>
      <c r="CS16">
        <v>0</v>
      </c>
      <c r="CT16">
        <v>0</v>
      </c>
      <c r="CU16">
        <v>2.4900000000000002</v>
      </c>
      <c r="CV16">
        <v>2.44</v>
      </c>
      <c r="CW16">
        <v>1.67</v>
      </c>
      <c r="CX16">
        <v>0.94</v>
      </c>
      <c r="CY16">
        <v>0.19</v>
      </c>
      <c r="CZ16">
        <v>-0.05</v>
      </c>
      <c r="DA16">
        <v>0.27</v>
      </c>
      <c r="DB16">
        <v>0.75</v>
      </c>
      <c r="DC16">
        <v>133.38</v>
      </c>
      <c r="DD16">
        <v>0</v>
      </c>
      <c r="DE16">
        <v>2.42</v>
      </c>
      <c r="DF16">
        <v>0</v>
      </c>
      <c r="DG16">
        <v>1</v>
      </c>
      <c r="DH16">
        <v>2.36</v>
      </c>
      <c r="DI16">
        <v>0</v>
      </c>
      <c r="DJ16">
        <v>1</v>
      </c>
      <c r="DK16">
        <v>0.6</v>
      </c>
      <c r="DL16">
        <v>0.6</v>
      </c>
      <c r="DM16">
        <v>0.11</v>
      </c>
      <c r="DN16">
        <v>0</v>
      </c>
      <c r="DO16" t="s">
        <v>815</v>
      </c>
      <c r="DP16" t="s">
        <v>239</v>
      </c>
      <c r="DQ16" t="s">
        <v>240</v>
      </c>
      <c r="DR16" t="s">
        <v>241</v>
      </c>
      <c r="DS16" t="s">
        <v>242</v>
      </c>
      <c r="DT16" t="s">
        <v>243</v>
      </c>
      <c r="DU16" t="s">
        <v>244</v>
      </c>
    </row>
    <row r="17" spans="1:125" x14ac:dyDescent="0.45">
      <c r="A17" t="s">
        <v>504</v>
      </c>
      <c r="B17" t="s">
        <v>855</v>
      </c>
      <c r="C17" t="s">
        <v>161</v>
      </c>
      <c r="D17" t="s">
        <v>162</v>
      </c>
      <c r="E17" t="s">
        <v>163</v>
      </c>
      <c r="I17" t="s">
        <v>856</v>
      </c>
      <c r="J17">
        <v>0.82</v>
      </c>
      <c r="K17" s="9">
        <v>0.58847082607560697</v>
      </c>
      <c r="L17">
        <v>2.91</v>
      </c>
      <c r="M17">
        <v>0.64</v>
      </c>
      <c r="N17">
        <v>10.78</v>
      </c>
      <c r="O17">
        <v>2.77</v>
      </c>
      <c r="P17">
        <v>2.4700000000000002</v>
      </c>
      <c r="Q17">
        <v>4.4000000000000004</v>
      </c>
      <c r="R17">
        <v>1.63</v>
      </c>
      <c r="S17">
        <v>24.69</v>
      </c>
      <c r="T17">
        <v>27.65</v>
      </c>
      <c r="U17">
        <v>43.88</v>
      </c>
      <c r="V17">
        <v>0.44</v>
      </c>
      <c r="W17">
        <v>7.5</v>
      </c>
      <c r="X17" t="s">
        <v>861</v>
      </c>
      <c r="Y17">
        <v>0</v>
      </c>
      <c r="Z17">
        <v>0</v>
      </c>
      <c r="AA17">
        <v>0</v>
      </c>
      <c r="AB17">
        <v>115.58</v>
      </c>
      <c r="AC17">
        <v>420.22</v>
      </c>
      <c r="AD17">
        <v>0.72</v>
      </c>
      <c r="AE17">
        <v>0.5</v>
      </c>
      <c r="AF17">
        <v>0.84</v>
      </c>
      <c r="AG17">
        <v>158.02000000000001</v>
      </c>
      <c r="AH17">
        <v>1</v>
      </c>
      <c r="AI17">
        <v>50.13</v>
      </c>
      <c r="AJ17">
        <v>44.76</v>
      </c>
      <c r="AK17">
        <v>34.61</v>
      </c>
      <c r="AL17">
        <v>30.55</v>
      </c>
      <c r="AM17">
        <v>30.55</v>
      </c>
      <c r="AN17">
        <v>100.2</v>
      </c>
      <c r="AO17">
        <v>156.1</v>
      </c>
      <c r="AP17">
        <v>155.30000000000001</v>
      </c>
      <c r="AQ17">
        <v>0.5</v>
      </c>
      <c r="AR17">
        <v>519</v>
      </c>
      <c r="AS17">
        <v>3.92</v>
      </c>
      <c r="AT17">
        <v>-3</v>
      </c>
      <c r="AU17">
        <v>12</v>
      </c>
      <c r="AV17">
        <v>311</v>
      </c>
      <c r="AW17">
        <v>35.229999999999997</v>
      </c>
      <c r="AX17">
        <v>81.680000000000007</v>
      </c>
      <c r="AY17">
        <v>12.36</v>
      </c>
      <c r="AZ17">
        <v>-152.83000000000001</v>
      </c>
      <c r="BA17">
        <v>14.69</v>
      </c>
      <c r="BB17">
        <v>125.46</v>
      </c>
      <c r="BC17">
        <v>31.49</v>
      </c>
      <c r="BD17" t="s">
        <v>877</v>
      </c>
      <c r="BE17" t="s">
        <v>161</v>
      </c>
      <c r="BF17">
        <v>35.85</v>
      </c>
      <c r="BG17">
        <v>127.13</v>
      </c>
      <c r="BH17">
        <v>33.700000000000003</v>
      </c>
      <c r="BI17">
        <v>16</v>
      </c>
      <c r="BJ17">
        <v>0.73</v>
      </c>
      <c r="BK17" t="s">
        <v>839</v>
      </c>
      <c r="BL17" t="s">
        <v>161</v>
      </c>
      <c r="BM17">
        <v>0.25</v>
      </c>
      <c r="BN17" t="s">
        <v>159</v>
      </c>
      <c r="BO17">
        <v>0</v>
      </c>
      <c r="BP17">
        <v>0</v>
      </c>
      <c r="BQ17">
        <v>0</v>
      </c>
      <c r="BR17">
        <v>0.57999999999999996</v>
      </c>
      <c r="BS17">
        <v>0.51</v>
      </c>
      <c r="BT17">
        <v>1.9</v>
      </c>
      <c r="BU17" t="s">
        <v>159</v>
      </c>
      <c r="BV17">
        <v>150</v>
      </c>
      <c r="BW17">
        <v>0</v>
      </c>
      <c r="BX17">
        <v>2</v>
      </c>
      <c r="BY17">
        <v>0.06</v>
      </c>
      <c r="BZ17">
        <v>0</v>
      </c>
      <c r="CA17">
        <v>0.03</v>
      </c>
      <c r="CB17">
        <v>0</v>
      </c>
      <c r="CC17">
        <v>0</v>
      </c>
      <c r="CD17">
        <v>0</v>
      </c>
      <c r="CE17" t="s">
        <v>216</v>
      </c>
      <c r="CF17" t="s">
        <v>217</v>
      </c>
      <c r="CG17" t="s">
        <v>218</v>
      </c>
      <c r="CH17">
        <v>6000</v>
      </c>
      <c r="CI17">
        <v>500</v>
      </c>
      <c r="CJ17">
        <v>1</v>
      </c>
      <c r="CK17">
        <v>2</v>
      </c>
      <c r="CL17">
        <v>55537</v>
      </c>
      <c r="CM17">
        <v>55537</v>
      </c>
      <c r="CN17">
        <v>55537</v>
      </c>
      <c r="CO17">
        <v>0</v>
      </c>
      <c r="CP17">
        <v>-9999</v>
      </c>
      <c r="CQ17">
        <v>0</v>
      </c>
      <c r="CR17">
        <v>0</v>
      </c>
      <c r="CS17">
        <v>0</v>
      </c>
      <c r="CT17">
        <v>0</v>
      </c>
      <c r="CU17">
        <v>2.4900000000000002</v>
      </c>
      <c r="CV17">
        <v>2.44</v>
      </c>
      <c r="CW17">
        <v>1.67</v>
      </c>
      <c r="CX17">
        <v>0.94</v>
      </c>
      <c r="CY17">
        <v>0.19</v>
      </c>
      <c r="CZ17">
        <v>-0.05</v>
      </c>
      <c r="DA17">
        <v>0.28000000000000003</v>
      </c>
      <c r="DB17">
        <v>0.56000000000000005</v>
      </c>
      <c r="DC17">
        <v>115.58</v>
      </c>
      <c r="DD17">
        <v>0</v>
      </c>
      <c r="DE17">
        <v>2.42</v>
      </c>
      <c r="DF17">
        <v>0</v>
      </c>
      <c r="DG17">
        <v>1</v>
      </c>
      <c r="DH17">
        <v>2.36</v>
      </c>
      <c r="DI17">
        <v>0</v>
      </c>
      <c r="DJ17">
        <v>1</v>
      </c>
      <c r="DK17">
        <v>0.6</v>
      </c>
      <c r="DL17">
        <v>0.6</v>
      </c>
      <c r="DM17">
        <v>0.11</v>
      </c>
      <c r="DN17">
        <v>0</v>
      </c>
      <c r="DO17" t="s">
        <v>861</v>
      </c>
      <c r="DP17" t="s">
        <v>239</v>
      </c>
      <c r="DQ17" t="s">
        <v>240</v>
      </c>
      <c r="DR17" t="s">
        <v>241</v>
      </c>
      <c r="DS17" t="s">
        <v>242</v>
      </c>
      <c r="DT17" t="s">
        <v>243</v>
      </c>
      <c r="DU17" t="s">
        <v>244</v>
      </c>
    </row>
    <row r="18" spans="1:125" x14ac:dyDescent="0.45">
      <c r="A18" t="s">
        <v>890</v>
      </c>
      <c r="B18" t="s">
        <v>891</v>
      </c>
      <c r="C18" t="s">
        <v>161</v>
      </c>
      <c r="D18" t="s">
        <v>162</v>
      </c>
      <c r="E18" t="s">
        <v>163</v>
      </c>
      <c r="I18" t="s">
        <v>892</v>
      </c>
      <c r="J18">
        <v>0.64</v>
      </c>
      <c r="K18" s="9">
        <v>0.49027206656401401</v>
      </c>
      <c r="L18">
        <v>2.91</v>
      </c>
      <c r="M18">
        <v>0.52</v>
      </c>
      <c r="N18">
        <v>9.49</v>
      </c>
      <c r="O18">
        <v>2.78</v>
      </c>
      <c r="P18">
        <v>2.52</v>
      </c>
      <c r="Q18">
        <v>4.53</v>
      </c>
      <c r="R18">
        <v>1.75</v>
      </c>
      <c r="S18">
        <v>25.12</v>
      </c>
      <c r="T18">
        <v>27.74</v>
      </c>
      <c r="U18">
        <v>45.2</v>
      </c>
      <c r="V18">
        <v>0.44</v>
      </c>
      <c r="W18">
        <v>7.5</v>
      </c>
      <c r="X18" t="s">
        <v>897</v>
      </c>
      <c r="Y18">
        <v>0</v>
      </c>
      <c r="Z18">
        <v>0</v>
      </c>
      <c r="AA18">
        <v>0</v>
      </c>
      <c r="AB18">
        <v>118.15</v>
      </c>
      <c r="AC18">
        <v>415.25</v>
      </c>
      <c r="AD18">
        <v>0.72</v>
      </c>
      <c r="AE18">
        <v>0.5</v>
      </c>
      <c r="AF18">
        <v>0.84</v>
      </c>
      <c r="AG18">
        <v>203.44</v>
      </c>
      <c r="AH18">
        <v>1</v>
      </c>
      <c r="AI18">
        <v>50.31</v>
      </c>
      <c r="AJ18">
        <v>45.57</v>
      </c>
      <c r="AK18">
        <v>34.6</v>
      </c>
      <c r="AL18">
        <v>31.07</v>
      </c>
      <c r="AM18">
        <v>31.07</v>
      </c>
      <c r="AN18">
        <v>100.2</v>
      </c>
      <c r="AO18">
        <v>156</v>
      </c>
      <c r="AP18">
        <v>155</v>
      </c>
      <c r="AQ18">
        <v>0.7</v>
      </c>
      <c r="AR18">
        <v>677</v>
      </c>
      <c r="AS18">
        <v>3.91</v>
      </c>
      <c r="AT18">
        <v>-22</v>
      </c>
      <c r="AU18">
        <v>12</v>
      </c>
      <c r="AV18">
        <v>343</v>
      </c>
      <c r="AW18">
        <v>46.5</v>
      </c>
      <c r="AX18">
        <v>68.83</v>
      </c>
      <c r="AY18">
        <v>24.92</v>
      </c>
      <c r="AZ18">
        <v>-167.43</v>
      </c>
      <c r="BA18">
        <v>14.69</v>
      </c>
      <c r="BB18">
        <v>125.8</v>
      </c>
      <c r="BC18">
        <v>31.32</v>
      </c>
      <c r="BD18" t="s">
        <v>915</v>
      </c>
      <c r="BE18" t="s">
        <v>161</v>
      </c>
      <c r="BF18">
        <v>35.85</v>
      </c>
      <c r="BG18">
        <v>127.13</v>
      </c>
      <c r="BH18">
        <v>34.200000000000003</v>
      </c>
      <c r="BI18">
        <v>15</v>
      </c>
      <c r="BJ18">
        <v>0.78</v>
      </c>
      <c r="BK18" t="s">
        <v>839</v>
      </c>
      <c r="BL18" t="s">
        <v>161</v>
      </c>
      <c r="BM18">
        <v>0.25</v>
      </c>
      <c r="BN18" t="s">
        <v>159</v>
      </c>
      <c r="BO18">
        <v>0</v>
      </c>
      <c r="BP18">
        <v>0</v>
      </c>
      <c r="BQ18">
        <v>0</v>
      </c>
      <c r="BR18">
        <v>-0.1</v>
      </c>
      <c r="BS18">
        <v>0.04</v>
      </c>
      <c r="BT18">
        <v>-0.03</v>
      </c>
      <c r="BU18" t="s">
        <v>159</v>
      </c>
      <c r="BV18">
        <v>150</v>
      </c>
      <c r="BW18">
        <v>0</v>
      </c>
      <c r="BX18">
        <v>2</v>
      </c>
      <c r="BY18">
        <v>0.06</v>
      </c>
      <c r="BZ18">
        <v>0</v>
      </c>
      <c r="CA18">
        <v>0.03</v>
      </c>
      <c r="CB18">
        <v>0</v>
      </c>
      <c r="CC18">
        <v>0</v>
      </c>
      <c r="CD18">
        <v>0</v>
      </c>
      <c r="CE18" t="s">
        <v>216</v>
      </c>
      <c r="CF18" t="s">
        <v>217</v>
      </c>
      <c r="CG18" t="s">
        <v>218</v>
      </c>
      <c r="CH18">
        <v>6000</v>
      </c>
      <c r="CI18">
        <v>500</v>
      </c>
      <c r="CJ18">
        <v>1</v>
      </c>
      <c r="CK18">
        <v>2</v>
      </c>
      <c r="CL18">
        <v>55537</v>
      </c>
      <c r="CM18">
        <v>55537</v>
      </c>
      <c r="CN18">
        <v>55537</v>
      </c>
      <c r="CO18">
        <v>0</v>
      </c>
      <c r="CP18">
        <v>-9999</v>
      </c>
      <c r="CQ18">
        <v>0</v>
      </c>
      <c r="CR18">
        <v>0</v>
      </c>
      <c r="CS18">
        <v>0</v>
      </c>
      <c r="CT18">
        <v>0</v>
      </c>
      <c r="CU18">
        <v>2.4900000000000002</v>
      </c>
      <c r="CV18">
        <v>2.44</v>
      </c>
      <c r="CW18">
        <v>1.67</v>
      </c>
      <c r="CX18">
        <v>0.94</v>
      </c>
      <c r="CY18">
        <v>0.19</v>
      </c>
      <c r="CZ18">
        <v>-0.04</v>
      </c>
      <c r="DA18">
        <v>0.28000000000000003</v>
      </c>
      <c r="DB18">
        <v>0.7</v>
      </c>
      <c r="DC18">
        <v>118.15</v>
      </c>
      <c r="DD18">
        <v>0</v>
      </c>
      <c r="DE18">
        <v>2.42</v>
      </c>
      <c r="DF18">
        <v>0</v>
      </c>
      <c r="DG18">
        <v>1</v>
      </c>
      <c r="DH18">
        <v>2.36</v>
      </c>
      <c r="DI18">
        <v>0</v>
      </c>
      <c r="DJ18">
        <v>1</v>
      </c>
      <c r="DK18">
        <v>0.6</v>
      </c>
      <c r="DL18">
        <v>0.6</v>
      </c>
      <c r="DM18">
        <v>0.11</v>
      </c>
      <c r="DN18">
        <v>0</v>
      </c>
      <c r="DO18" t="s">
        <v>897</v>
      </c>
      <c r="DP18" t="s">
        <v>239</v>
      </c>
      <c r="DQ18" t="s">
        <v>240</v>
      </c>
      <c r="DR18" t="s">
        <v>241</v>
      </c>
      <c r="DS18" t="s">
        <v>242</v>
      </c>
      <c r="DT18" t="s">
        <v>243</v>
      </c>
      <c r="DU18" t="s">
        <v>244</v>
      </c>
    </row>
    <row r="19" spans="1:125" x14ac:dyDescent="0.45">
      <c r="A19" t="s">
        <v>930</v>
      </c>
      <c r="B19" t="s">
        <v>931</v>
      </c>
      <c r="C19" t="s">
        <v>161</v>
      </c>
      <c r="D19" t="s">
        <v>162</v>
      </c>
      <c r="E19" t="s">
        <v>163</v>
      </c>
      <c r="I19" t="s">
        <v>932</v>
      </c>
      <c r="J19">
        <v>0.16</v>
      </c>
      <c r="K19" s="9">
        <v>0.15194907767334001</v>
      </c>
      <c r="L19">
        <v>2.91</v>
      </c>
      <c r="M19">
        <v>0.15</v>
      </c>
      <c r="N19">
        <v>4.1100000000000003</v>
      </c>
      <c r="O19">
        <v>2.5099999999999998</v>
      </c>
      <c r="P19">
        <v>2.4</v>
      </c>
      <c r="Q19">
        <v>5.15</v>
      </c>
      <c r="R19">
        <v>2.64</v>
      </c>
      <c r="S19">
        <v>23.96</v>
      </c>
      <c r="T19">
        <v>25.1</v>
      </c>
      <c r="U19">
        <v>51.42</v>
      </c>
      <c r="V19">
        <v>0.44</v>
      </c>
      <c r="W19">
        <v>7.5</v>
      </c>
      <c r="X19" t="s">
        <v>937</v>
      </c>
      <c r="Y19">
        <v>0</v>
      </c>
      <c r="Z19">
        <v>0</v>
      </c>
      <c r="AA19">
        <v>0</v>
      </c>
      <c r="AB19">
        <v>118.34</v>
      </c>
      <c r="AC19">
        <v>391.52</v>
      </c>
      <c r="AD19">
        <v>0.7</v>
      </c>
      <c r="AE19">
        <v>0.5</v>
      </c>
      <c r="AF19">
        <v>0.84</v>
      </c>
      <c r="AG19">
        <v>185.21</v>
      </c>
      <c r="AH19">
        <v>1</v>
      </c>
      <c r="AI19">
        <v>45.49</v>
      </c>
      <c r="AJ19">
        <v>43.43</v>
      </c>
      <c r="AK19">
        <v>34.61</v>
      </c>
      <c r="AL19">
        <v>33.35</v>
      </c>
      <c r="AM19">
        <v>33.35</v>
      </c>
      <c r="AN19">
        <v>100.2</v>
      </c>
      <c r="AO19">
        <v>156</v>
      </c>
      <c r="AP19">
        <v>154.6</v>
      </c>
      <c r="AQ19">
        <v>0.9</v>
      </c>
      <c r="AR19">
        <v>632</v>
      </c>
      <c r="AS19">
        <v>3.91</v>
      </c>
      <c r="AT19">
        <v>-18</v>
      </c>
      <c r="AU19">
        <v>-22</v>
      </c>
      <c r="AV19">
        <v>351</v>
      </c>
      <c r="AW19">
        <v>59.15</v>
      </c>
      <c r="AX19">
        <v>51.28</v>
      </c>
      <c r="AY19">
        <v>28.14</v>
      </c>
      <c r="AZ19">
        <v>118.41</v>
      </c>
      <c r="BA19">
        <v>14.69</v>
      </c>
      <c r="BB19">
        <v>126.14</v>
      </c>
      <c r="BC19">
        <v>31.16</v>
      </c>
      <c r="BD19" t="s">
        <v>955</v>
      </c>
      <c r="BE19" t="s">
        <v>161</v>
      </c>
      <c r="BF19">
        <v>35.85</v>
      </c>
      <c r="BG19">
        <v>127.13</v>
      </c>
      <c r="BH19">
        <v>34.200000000000003</v>
      </c>
      <c r="BI19">
        <v>16</v>
      </c>
      <c r="BJ19">
        <v>0.73</v>
      </c>
      <c r="BK19" t="s">
        <v>839</v>
      </c>
      <c r="BL19" t="s">
        <v>161</v>
      </c>
      <c r="BM19">
        <v>0.25</v>
      </c>
      <c r="BN19" t="s">
        <v>159</v>
      </c>
      <c r="BO19">
        <v>0</v>
      </c>
      <c r="BP19">
        <v>0</v>
      </c>
      <c r="BQ19">
        <v>0</v>
      </c>
      <c r="BR19">
        <v>-0.09</v>
      </c>
      <c r="BS19">
        <v>-0.17</v>
      </c>
      <c r="BT19">
        <v>-0.27</v>
      </c>
      <c r="BU19" t="s">
        <v>159</v>
      </c>
      <c r="BV19">
        <v>150</v>
      </c>
      <c r="BW19">
        <v>0</v>
      </c>
      <c r="BX19">
        <v>2</v>
      </c>
      <c r="BY19">
        <v>0.06</v>
      </c>
      <c r="BZ19">
        <v>0</v>
      </c>
      <c r="CA19">
        <v>0.03</v>
      </c>
      <c r="CB19">
        <v>0</v>
      </c>
      <c r="CC19">
        <v>0</v>
      </c>
      <c r="CD19">
        <v>0</v>
      </c>
      <c r="CE19" t="s">
        <v>216</v>
      </c>
      <c r="CF19" t="s">
        <v>217</v>
      </c>
      <c r="CG19" t="s">
        <v>218</v>
      </c>
      <c r="CH19">
        <v>6000</v>
      </c>
      <c r="CI19">
        <v>500</v>
      </c>
      <c r="CJ19">
        <v>1</v>
      </c>
      <c r="CK19">
        <v>2</v>
      </c>
      <c r="CL19">
        <v>55537</v>
      </c>
      <c r="CM19">
        <v>55537</v>
      </c>
      <c r="CN19">
        <v>55537</v>
      </c>
      <c r="CO19">
        <v>0</v>
      </c>
      <c r="CP19">
        <v>-9999</v>
      </c>
      <c r="CQ19">
        <v>0</v>
      </c>
      <c r="CR19">
        <v>0</v>
      </c>
      <c r="CS19">
        <v>0</v>
      </c>
      <c r="CT19">
        <v>0</v>
      </c>
      <c r="CU19">
        <v>2.4900000000000002</v>
      </c>
      <c r="CV19">
        <v>2.4300000000000002</v>
      </c>
      <c r="CW19">
        <v>1.67</v>
      </c>
      <c r="CX19">
        <v>0.94</v>
      </c>
      <c r="CY19">
        <v>0.19</v>
      </c>
      <c r="CZ19">
        <v>-0.02</v>
      </c>
      <c r="DA19">
        <v>0.28000000000000003</v>
      </c>
      <c r="DB19">
        <v>0.66</v>
      </c>
      <c r="DC19">
        <v>118.34</v>
      </c>
      <c r="DD19">
        <v>0</v>
      </c>
      <c r="DE19">
        <v>2.42</v>
      </c>
      <c r="DF19">
        <v>0</v>
      </c>
      <c r="DG19">
        <v>1</v>
      </c>
      <c r="DH19">
        <v>2.36</v>
      </c>
      <c r="DI19">
        <v>0</v>
      </c>
      <c r="DJ19">
        <v>1</v>
      </c>
      <c r="DK19">
        <v>0.6</v>
      </c>
      <c r="DL19">
        <v>0.6</v>
      </c>
      <c r="DM19">
        <v>0.11</v>
      </c>
      <c r="DN19">
        <v>0</v>
      </c>
      <c r="DO19" t="s">
        <v>937</v>
      </c>
      <c r="DP19" t="s">
        <v>239</v>
      </c>
      <c r="DQ19" t="s">
        <v>240</v>
      </c>
      <c r="DR19" t="s">
        <v>241</v>
      </c>
      <c r="DS19" t="s">
        <v>242</v>
      </c>
      <c r="DT19" t="s">
        <v>243</v>
      </c>
      <c r="DU19" t="s">
        <v>244</v>
      </c>
    </row>
    <row r="20" spans="1:125" x14ac:dyDescent="0.45">
      <c r="A20" t="s">
        <v>968</v>
      </c>
      <c r="B20" t="s">
        <v>969</v>
      </c>
      <c r="C20" t="s">
        <v>161</v>
      </c>
      <c r="D20" t="s">
        <v>162</v>
      </c>
      <c r="E20" t="s">
        <v>163</v>
      </c>
      <c r="I20" t="s">
        <v>970</v>
      </c>
      <c r="J20">
        <v>0.41</v>
      </c>
      <c r="K20" s="9">
        <v>0.35019624162632201</v>
      </c>
      <c r="L20">
        <v>2.91</v>
      </c>
      <c r="M20">
        <v>0.36</v>
      </c>
      <c r="N20">
        <v>8.0500000000000007</v>
      </c>
      <c r="O20">
        <v>2.71</v>
      </c>
      <c r="P20">
        <v>2.4900000000000002</v>
      </c>
      <c r="Q20">
        <v>4.8499999999999996</v>
      </c>
      <c r="R20">
        <v>2.14</v>
      </c>
      <c r="S20">
        <v>24.83</v>
      </c>
      <c r="T20">
        <v>27.04</v>
      </c>
      <c r="U20">
        <v>48.45</v>
      </c>
      <c r="V20">
        <v>0.44</v>
      </c>
      <c r="W20">
        <v>7.5</v>
      </c>
      <c r="X20" t="s">
        <v>975</v>
      </c>
      <c r="Y20">
        <v>0</v>
      </c>
      <c r="Z20">
        <v>0</v>
      </c>
      <c r="AA20">
        <v>0</v>
      </c>
      <c r="AB20">
        <v>139.63</v>
      </c>
      <c r="AC20">
        <v>355.89</v>
      </c>
      <c r="AD20">
        <v>0.61</v>
      </c>
      <c r="AE20">
        <v>0.5</v>
      </c>
      <c r="AF20">
        <v>0.84</v>
      </c>
      <c r="AG20">
        <v>201.87</v>
      </c>
      <c r="AH20">
        <v>1</v>
      </c>
      <c r="AI20">
        <v>48.84</v>
      </c>
      <c r="AJ20">
        <v>44.84</v>
      </c>
      <c r="AK20">
        <v>34.68</v>
      </c>
      <c r="AL20">
        <v>32.29</v>
      </c>
      <c r="AM20">
        <v>32.29</v>
      </c>
      <c r="AN20">
        <v>100.19</v>
      </c>
      <c r="AO20">
        <v>156.1</v>
      </c>
      <c r="AP20">
        <v>155.30000000000001</v>
      </c>
      <c r="AQ20">
        <v>0.5</v>
      </c>
      <c r="AR20">
        <v>791</v>
      </c>
      <c r="AS20">
        <v>3.91</v>
      </c>
      <c r="AT20">
        <v>-7</v>
      </c>
      <c r="AU20">
        <v>10</v>
      </c>
      <c r="AV20">
        <v>212</v>
      </c>
      <c r="AW20">
        <v>41.1</v>
      </c>
      <c r="AX20">
        <v>75.36</v>
      </c>
      <c r="AY20">
        <v>12.19</v>
      </c>
      <c r="AZ20">
        <v>87.35</v>
      </c>
      <c r="BA20">
        <v>14.69</v>
      </c>
      <c r="BB20">
        <v>126.49</v>
      </c>
      <c r="BC20">
        <v>31</v>
      </c>
      <c r="BD20" t="s">
        <v>993</v>
      </c>
      <c r="BE20" t="s">
        <v>161</v>
      </c>
      <c r="BF20">
        <v>35.85</v>
      </c>
      <c r="BG20">
        <v>127.13</v>
      </c>
      <c r="BH20">
        <v>34.200000000000003</v>
      </c>
      <c r="BI20">
        <v>16</v>
      </c>
      <c r="BJ20">
        <v>0.73</v>
      </c>
      <c r="BK20" t="s">
        <v>839</v>
      </c>
      <c r="BL20" t="s">
        <v>161</v>
      </c>
      <c r="BM20">
        <v>0.25</v>
      </c>
      <c r="BN20" t="s">
        <v>159</v>
      </c>
      <c r="BO20">
        <v>0</v>
      </c>
      <c r="BP20">
        <v>0</v>
      </c>
      <c r="BQ20">
        <v>0</v>
      </c>
      <c r="BR20">
        <v>-0.28999999999999998</v>
      </c>
      <c r="BS20">
        <v>-0.66</v>
      </c>
      <c r="BT20">
        <v>-1.29</v>
      </c>
      <c r="BU20" t="s">
        <v>159</v>
      </c>
      <c r="BV20">
        <v>150</v>
      </c>
      <c r="BW20">
        <v>0</v>
      </c>
      <c r="BX20">
        <v>2</v>
      </c>
      <c r="BY20">
        <v>0.06</v>
      </c>
      <c r="BZ20">
        <v>0</v>
      </c>
      <c r="CA20">
        <v>0.03</v>
      </c>
      <c r="CB20">
        <v>0</v>
      </c>
      <c r="CC20">
        <v>0</v>
      </c>
      <c r="CD20">
        <v>0</v>
      </c>
      <c r="CE20" t="s">
        <v>216</v>
      </c>
      <c r="CF20" t="s">
        <v>217</v>
      </c>
      <c r="CG20" t="s">
        <v>218</v>
      </c>
      <c r="CH20">
        <v>6000</v>
      </c>
      <c r="CI20">
        <v>500</v>
      </c>
      <c r="CJ20">
        <v>1</v>
      </c>
      <c r="CK20">
        <v>2</v>
      </c>
      <c r="CL20">
        <v>55537</v>
      </c>
      <c r="CM20">
        <v>55537</v>
      </c>
      <c r="CN20">
        <v>55537</v>
      </c>
      <c r="CO20">
        <v>0</v>
      </c>
      <c r="CP20">
        <v>-9999</v>
      </c>
      <c r="CQ20">
        <v>0</v>
      </c>
      <c r="CR20">
        <v>0</v>
      </c>
      <c r="CS20">
        <v>0</v>
      </c>
      <c r="CT20">
        <v>0</v>
      </c>
      <c r="CU20">
        <v>2.4900000000000002</v>
      </c>
      <c r="CV20">
        <v>2.4300000000000002</v>
      </c>
      <c r="CW20">
        <v>1.67</v>
      </c>
      <c r="CX20">
        <v>0.94</v>
      </c>
      <c r="CY20">
        <v>0.19</v>
      </c>
      <c r="CZ20">
        <v>-0.03</v>
      </c>
      <c r="DA20">
        <v>0.28999999999999998</v>
      </c>
      <c r="DB20">
        <v>0.8</v>
      </c>
      <c r="DC20">
        <v>139.63</v>
      </c>
      <c r="DD20">
        <v>0</v>
      </c>
      <c r="DE20">
        <v>2.42</v>
      </c>
      <c r="DF20">
        <v>0</v>
      </c>
      <c r="DG20">
        <v>1</v>
      </c>
      <c r="DH20">
        <v>2.36</v>
      </c>
      <c r="DI20">
        <v>0</v>
      </c>
      <c r="DJ20">
        <v>1</v>
      </c>
      <c r="DK20">
        <v>0.6</v>
      </c>
      <c r="DL20">
        <v>0.6</v>
      </c>
      <c r="DM20">
        <v>0.11</v>
      </c>
      <c r="DN20">
        <v>0</v>
      </c>
      <c r="DO20" t="s">
        <v>975</v>
      </c>
      <c r="DP20" t="s">
        <v>239</v>
      </c>
      <c r="DQ20" t="s">
        <v>240</v>
      </c>
      <c r="DR20" t="s">
        <v>241</v>
      </c>
      <c r="DS20" t="s">
        <v>242</v>
      </c>
      <c r="DT20" t="s">
        <v>243</v>
      </c>
      <c r="DU20" t="s">
        <v>244</v>
      </c>
    </row>
    <row r="21" spans="1:125" x14ac:dyDescent="0.45">
      <c r="A21" t="s">
        <v>1006</v>
      </c>
      <c r="B21" t="s">
        <v>1007</v>
      </c>
      <c r="C21" t="s">
        <v>161</v>
      </c>
      <c r="D21" t="s">
        <v>162</v>
      </c>
      <c r="E21" t="s">
        <v>163</v>
      </c>
      <c r="I21" t="s">
        <v>1008</v>
      </c>
      <c r="J21">
        <v>0.21</v>
      </c>
      <c r="K21" s="9">
        <v>0.198314901414059</v>
      </c>
      <c r="L21">
        <v>2.91</v>
      </c>
      <c r="M21">
        <v>0.2</v>
      </c>
      <c r="N21">
        <v>5.0999999999999996</v>
      </c>
      <c r="O21">
        <v>2.89</v>
      </c>
      <c r="P21">
        <v>2.75</v>
      </c>
      <c r="Q21">
        <v>5.35</v>
      </c>
      <c r="R21">
        <v>2.46</v>
      </c>
      <c r="S21">
        <v>27.42</v>
      </c>
      <c r="T21">
        <v>28.82</v>
      </c>
      <c r="U21">
        <v>53.38</v>
      </c>
      <c r="V21">
        <v>0.44</v>
      </c>
      <c r="W21">
        <v>7.5</v>
      </c>
      <c r="X21" t="s">
        <v>1013</v>
      </c>
      <c r="Y21">
        <v>0</v>
      </c>
      <c r="Z21">
        <v>0</v>
      </c>
      <c r="AA21">
        <v>0</v>
      </c>
      <c r="AB21">
        <v>131.38999999999999</v>
      </c>
      <c r="AC21">
        <v>315.58999999999997</v>
      </c>
      <c r="AD21">
        <v>0.57999999999999996</v>
      </c>
      <c r="AE21">
        <v>0.5</v>
      </c>
      <c r="AF21">
        <v>0.84</v>
      </c>
      <c r="AG21">
        <v>201.99</v>
      </c>
      <c r="AH21">
        <v>1</v>
      </c>
      <c r="AI21">
        <v>51.93</v>
      </c>
      <c r="AJ21">
        <v>49.4</v>
      </c>
      <c r="AK21">
        <v>34.72</v>
      </c>
      <c r="AL21">
        <v>34.020000000000003</v>
      </c>
      <c r="AM21">
        <v>34.020000000000003</v>
      </c>
      <c r="AN21">
        <v>100.2</v>
      </c>
      <c r="AO21">
        <v>156.19999999999999</v>
      </c>
      <c r="AP21">
        <v>155.19999999999999</v>
      </c>
      <c r="AQ21">
        <v>0.6</v>
      </c>
      <c r="AR21">
        <v>824</v>
      </c>
      <c r="AS21">
        <v>3.91</v>
      </c>
      <c r="AT21">
        <v>-16</v>
      </c>
      <c r="AU21">
        <v>18</v>
      </c>
      <c r="AV21">
        <v>118</v>
      </c>
      <c r="AW21">
        <v>19.84</v>
      </c>
      <c r="AX21">
        <v>94.07</v>
      </c>
      <c r="AY21">
        <v>23.91</v>
      </c>
      <c r="AZ21">
        <v>-12.31</v>
      </c>
      <c r="BA21">
        <v>14.69</v>
      </c>
      <c r="BB21">
        <v>126.49</v>
      </c>
      <c r="BC21">
        <v>31</v>
      </c>
      <c r="BD21" t="s">
        <v>1029</v>
      </c>
      <c r="BE21" t="s">
        <v>161</v>
      </c>
      <c r="BF21">
        <v>35.85</v>
      </c>
      <c r="BG21">
        <v>127.13</v>
      </c>
      <c r="BH21">
        <v>34</v>
      </c>
      <c r="BI21">
        <v>15</v>
      </c>
      <c r="BJ21">
        <v>0.74</v>
      </c>
      <c r="BK21" t="s">
        <v>839</v>
      </c>
      <c r="BL21" t="s">
        <v>161</v>
      </c>
      <c r="BM21">
        <v>0.25</v>
      </c>
      <c r="BN21" t="s">
        <v>159</v>
      </c>
      <c r="BO21">
        <v>0</v>
      </c>
      <c r="BP21">
        <v>0</v>
      </c>
      <c r="BQ21">
        <v>0</v>
      </c>
      <c r="BR21">
        <v>-0.21</v>
      </c>
      <c r="BS21">
        <v>-0.38</v>
      </c>
      <c r="BT21">
        <v>-0.37</v>
      </c>
      <c r="BU21" t="s">
        <v>159</v>
      </c>
      <c r="BV21">
        <v>150</v>
      </c>
      <c r="BW21">
        <v>0</v>
      </c>
      <c r="BX21">
        <v>2</v>
      </c>
      <c r="BY21">
        <v>0.06</v>
      </c>
      <c r="BZ21">
        <v>0</v>
      </c>
      <c r="CA21">
        <v>0.03</v>
      </c>
      <c r="CB21">
        <v>0</v>
      </c>
      <c r="CC21">
        <v>0</v>
      </c>
      <c r="CD21">
        <v>0</v>
      </c>
      <c r="CE21" t="s">
        <v>216</v>
      </c>
      <c r="CF21" t="s">
        <v>217</v>
      </c>
      <c r="CG21" t="s">
        <v>218</v>
      </c>
      <c r="CH21">
        <v>6000</v>
      </c>
      <c r="CI21">
        <v>500</v>
      </c>
      <c r="CJ21">
        <v>1</v>
      </c>
      <c r="CK21">
        <v>2</v>
      </c>
      <c r="CL21">
        <v>55537</v>
      </c>
      <c r="CM21">
        <v>55537</v>
      </c>
      <c r="CN21">
        <v>55537</v>
      </c>
      <c r="CO21">
        <v>0</v>
      </c>
      <c r="CP21">
        <v>-9999</v>
      </c>
      <c r="CQ21">
        <v>0</v>
      </c>
      <c r="CR21">
        <v>0</v>
      </c>
      <c r="CS21">
        <v>0</v>
      </c>
      <c r="CT21">
        <v>0</v>
      </c>
      <c r="CU21">
        <v>2.4900000000000002</v>
      </c>
      <c r="CV21">
        <v>2.44</v>
      </c>
      <c r="CW21">
        <v>1.67</v>
      </c>
      <c r="CX21">
        <v>0.94</v>
      </c>
      <c r="CY21">
        <v>0.19</v>
      </c>
      <c r="CZ21">
        <v>-0.01</v>
      </c>
      <c r="DA21">
        <v>0.28999999999999998</v>
      </c>
      <c r="DB21">
        <v>0.83</v>
      </c>
      <c r="DC21">
        <v>131.38999999999999</v>
      </c>
      <c r="DD21">
        <v>0</v>
      </c>
      <c r="DE21">
        <v>2.42</v>
      </c>
      <c r="DF21">
        <v>0</v>
      </c>
      <c r="DG21">
        <v>1</v>
      </c>
      <c r="DH21">
        <v>2.36</v>
      </c>
      <c r="DI21">
        <v>0</v>
      </c>
      <c r="DJ21">
        <v>1</v>
      </c>
      <c r="DK21">
        <v>0.6</v>
      </c>
      <c r="DL21">
        <v>0.6</v>
      </c>
      <c r="DM21">
        <v>0.11</v>
      </c>
      <c r="DN21">
        <v>0</v>
      </c>
      <c r="DO21" t="s">
        <v>1013</v>
      </c>
      <c r="DP21" t="s">
        <v>239</v>
      </c>
      <c r="DQ21" t="s">
        <v>240</v>
      </c>
      <c r="DR21" t="s">
        <v>241</v>
      </c>
      <c r="DS21" t="s">
        <v>242</v>
      </c>
      <c r="DT21" t="s">
        <v>243</v>
      </c>
      <c r="DU21" t="s">
        <v>244</v>
      </c>
    </row>
    <row r="22" spans="1:125" x14ac:dyDescent="0.45">
      <c r="A22" t="s">
        <v>1042</v>
      </c>
      <c r="B22" t="s">
        <v>1043</v>
      </c>
      <c r="C22" t="s">
        <v>161</v>
      </c>
      <c r="D22" t="s">
        <v>162</v>
      </c>
      <c r="E22" t="s">
        <v>163</v>
      </c>
      <c r="I22" t="s">
        <v>1044</v>
      </c>
      <c r="J22">
        <v>0.65</v>
      </c>
      <c r="K22" s="9">
        <v>0.488226537768499</v>
      </c>
      <c r="L22">
        <v>2.91</v>
      </c>
      <c r="M22">
        <v>0.53</v>
      </c>
      <c r="N22">
        <v>9</v>
      </c>
      <c r="O22">
        <v>3.03</v>
      </c>
      <c r="P22">
        <v>2.78</v>
      </c>
      <c r="Q22">
        <v>4.6500000000000004</v>
      </c>
      <c r="R22">
        <v>1.63</v>
      </c>
      <c r="S22">
        <v>27.72</v>
      </c>
      <c r="T22">
        <v>30.19</v>
      </c>
      <c r="U22">
        <v>46.46</v>
      </c>
      <c r="V22">
        <v>0.44</v>
      </c>
      <c r="W22">
        <v>7.5</v>
      </c>
      <c r="X22" t="s">
        <v>1049</v>
      </c>
      <c r="Y22">
        <v>0</v>
      </c>
      <c r="Z22">
        <v>0</v>
      </c>
      <c r="AA22">
        <v>0</v>
      </c>
      <c r="AB22">
        <v>144.81</v>
      </c>
      <c r="AC22">
        <v>444.35</v>
      </c>
      <c r="AD22">
        <v>0.67</v>
      </c>
      <c r="AE22">
        <v>0.5</v>
      </c>
      <c r="AF22">
        <v>0.84</v>
      </c>
      <c r="AG22">
        <v>134.77000000000001</v>
      </c>
      <c r="AH22">
        <v>1</v>
      </c>
      <c r="AI22">
        <v>54.19</v>
      </c>
      <c r="AJ22">
        <v>49.76</v>
      </c>
      <c r="AK22">
        <v>34.79</v>
      </c>
      <c r="AL22">
        <v>31.55</v>
      </c>
      <c r="AM22">
        <v>31.55</v>
      </c>
      <c r="AN22">
        <v>100.2</v>
      </c>
      <c r="AO22">
        <v>156</v>
      </c>
      <c r="AP22">
        <v>155</v>
      </c>
      <c r="AQ22">
        <v>0.6</v>
      </c>
      <c r="AR22">
        <v>476</v>
      </c>
      <c r="AS22">
        <v>3.91</v>
      </c>
      <c r="AT22">
        <v>-20</v>
      </c>
      <c r="AU22">
        <v>34</v>
      </c>
      <c r="AV22">
        <v>168</v>
      </c>
      <c r="AW22">
        <v>53.62</v>
      </c>
      <c r="AX22">
        <v>59.31</v>
      </c>
      <c r="AY22">
        <v>38.83</v>
      </c>
      <c r="AZ22">
        <v>51.11</v>
      </c>
      <c r="BA22">
        <v>14.69</v>
      </c>
      <c r="BB22">
        <v>127.19</v>
      </c>
      <c r="BC22">
        <v>30.67</v>
      </c>
      <c r="BD22" t="s">
        <v>1067</v>
      </c>
      <c r="BE22" t="s">
        <v>161</v>
      </c>
      <c r="BF22">
        <v>35.85</v>
      </c>
      <c r="BG22">
        <v>127.13</v>
      </c>
      <c r="BH22">
        <v>33.799999999999997</v>
      </c>
      <c r="BI22">
        <v>15</v>
      </c>
      <c r="BJ22">
        <v>0.75</v>
      </c>
      <c r="BK22" t="s">
        <v>839</v>
      </c>
      <c r="BL22" t="s">
        <v>161</v>
      </c>
      <c r="BM22">
        <v>0.25</v>
      </c>
      <c r="BN22" t="s">
        <v>159</v>
      </c>
      <c r="BO22">
        <v>0</v>
      </c>
      <c r="BP22">
        <v>0</v>
      </c>
      <c r="BQ22">
        <v>0.01</v>
      </c>
      <c r="BR22">
        <v>0.01</v>
      </c>
      <c r="BS22">
        <v>0.57999999999999996</v>
      </c>
      <c r="BT22">
        <v>0.24</v>
      </c>
      <c r="BU22" t="s">
        <v>159</v>
      </c>
      <c r="BV22">
        <v>150</v>
      </c>
      <c r="BW22">
        <v>0</v>
      </c>
      <c r="BX22">
        <v>2</v>
      </c>
      <c r="BY22">
        <v>0.06</v>
      </c>
      <c r="BZ22">
        <v>0</v>
      </c>
      <c r="CA22">
        <v>0.03</v>
      </c>
      <c r="CB22">
        <v>0</v>
      </c>
      <c r="CC22">
        <v>0</v>
      </c>
      <c r="CD22">
        <v>0</v>
      </c>
      <c r="CE22" t="s">
        <v>216</v>
      </c>
      <c r="CF22" t="s">
        <v>217</v>
      </c>
      <c r="CG22" t="s">
        <v>218</v>
      </c>
      <c r="CH22">
        <v>6000</v>
      </c>
      <c r="CI22">
        <v>500</v>
      </c>
      <c r="CJ22">
        <v>1</v>
      </c>
      <c r="CK22">
        <v>2</v>
      </c>
      <c r="CL22">
        <v>55537</v>
      </c>
      <c r="CM22">
        <v>55537</v>
      </c>
      <c r="CN22">
        <v>55537</v>
      </c>
      <c r="CO22">
        <v>0</v>
      </c>
      <c r="CP22">
        <v>-9999</v>
      </c>
      <c r="CQ22">
        <v>0</v>
      </c>
      <c r="CR22">
        <v>0</v>
      </c>
      <c r="CS22">
        <v>0</v>
      </c>
      <c r="CT22">
        <v>0</v>
      </c>
      <c r="CU22">
        <v>2.5</v>
      </c>
      <c r="CV22">
        <v>2.44</v>
      </c>
      <c r="CW22">
        <v>1.67</v>
      </c>
      <c r="CX22">
        <v>0.94</v>
      </c>
      <c r="CY22">
        <v>0.19</v>
      </c>
      <c r="CZ22">
        <v>-0.04</v>
      </c>
      <c r="DA22">
        <v>0.3</v>
      </c>
      <c r="DB22">
        <v>0.52</v>
      </c>
      <c r="DC22">
        <v>144.81</v>
      </c>
      <c r="DD22">
        <v>0</v>
      </c>
      <c r="DE22">
        <v>2.42</v>
      </c>
      <c r="DF22">
        <v>0</v>
      </c>
      <c r="DG22">
        <v>1</v>
      </c>
      <c r="DH22">
        <v>2.36</v>
      </c>
      <c r="DI22">
        <v>0</v>
      </c>
      <c r="DJ22">
        <v>1</v>
      </c>
      <c r="DK22">
        <v>0.6</v>
      </c>
      <c r="DL22">
        <v>0.6</v>
      </c>
      <c r="DM22">
        <v>0.11</v>
      </c>
      <c r="DN22">
        <v>0</v>
      </c>
      <c r="DO22" t="s">
        <v>1049</v>
      </c>
      <c r="DP22" t="s">
        <v>239</v>
      </c>
      <c r="DQ22" t="s">
        <v>240</v>
      </c>
      <c r="DR22" t="s">
        <v>241</v>
      </c>
      <c r="DS22" t="s">
        <v>242</v>
      </c>
      <c r="DT22" t="s">
        <v>243</v>
      </c>
      <c r="DU22" t="s">
        <v>244</v>
      </c>
    </row>
    <row r="23" spans="1:125" x14ac:dyDescent="0.45">
      <c r="A23" t="s">
        <v>1080</v>
      </c>
      <c r="B23" t="s">
        <v>1081</v>
      </c>
      <c r="C23" t="s">
        <v>161</v>
      </c>
      <c r="D23" t="s">
        <v>162</v>
      </c>
      <c r="E23" t="s">
        <v>163</v>
      </c>
      <c r="I23" t="s">
        <v>1082</v>
      </c>
      <c r="J23">
        <v>0.91</v>
      </c>
      <c r="K23" s="9">
        <v>0.63451536172284395</v>
      </c>
      <c r="L23">
        <v>2.91</v>
      </c>
      <c r="M23">
        <v>0.69</v>
      </c>
      <c r="N23">
        <v>12.26</v>
      </c>
      <c r="O23">
        <v>2.77</v>
      </c>
      <c r="P23">
        <v>2.4300000000000002</v>
      </c>
      <c r="Q23">
        <v>4.4800000000000004</v>
      </c>
      <c r="R23">
        <v>1.71</v>
      </c>
      <c r="S23">
        <v>24.24</v>
      </c>
      <c r="T23">
        <v>27.61</v>
      </c>
      <c r="U23">
        <v>44.7</v>
      </c>
      <c r="V23">
        <v>0.44</v>
      </c>
      <c r="W23">
        <v>7.5</v>
      </c>
      <c r="X23" t="s">
        <v>1087</v>
      </c>
      <c r="Y23">
        <v>0</v>
      </c>
      <c r="Z23">
        <v>0</v>
      </c>
      <c r="AA23">
        <v>0</v>
      </c>
      <c r="AB23">
        <v>110.48</v>
      </c>
      <c r="AC23">
        <v>404.36</v>
      </c>
      <c r="AD23">
        <v>0.73</v>
      </c>
      <c r="AE23">
        <v>0.5</v>
      </c>
      <c r="AF23">
        <v>0.84</v>
      </c>
      <c r="AG23">
        <v>148.96</v>
      </c>
      <c r="AH23">
        <v>1</v>
      </c>
      <c r="AI23">
        <v>49.51</v>
      </c>
      <c r="AJ23">
        <v>43.46</v>
      </c>
      <c r="AK23">
        <v>34.81</v>
      </c>
      <c r="AL23">
        <v>30.87</v>
      </c>
      <c r="AM23">
        <v>30.87</v>
      </c>
      <c r="AN23">
        <v>100.19</v>
      </c>
      <c r="AO23">
        <v>156.1</v>
      </c>
      <c r="AP23">
        <v>154.30000000000001</v>
      </c>
      <c r="AQ23">
        <v>1.1000000000000001</v>
      </c>
      <c r="AR23">
        <v>488</v>
      </c>
      <c r="AS23">
        <v>3.91</v>
      </c>
      <c r="AT23">
        <v>-21</v>
      </c>
      <c r="AU23">
        <v>0</v>
      </c>
      <c r="AV23">
        <v>28</v>
      </c>
      <c r="AW23">
        <v>39.270000000000003</v>
      </c>
      <c r="AX23">
        <v>77.41</v>
      </c>
      <c r="AY23">
        <v>21</v>
      </c>
      <c r="AZ23">
        <v>-152</v>
      </c>
      <c r="BA23">
        <v>14.69</v>
      </c>
      <c r="BB23">
        <v>127.54</v>
      </c>
      <c r="BC23">
        <v>30.51</v>
      </c>
      <c r="BD23" t="s">
        <v>1103</v>
      </c>
      <c r="BE23" t="s">
        <v>161</v>
      </c>
      <c r="BF23">
        <v>35.85</v>
      </c>
      <c r="BG23">
        <v>127.13</v>
      </c>
      <c r="BH23">
        <v>32.799999999999997</v>
      </c>
      <c r="BI23">
        <v>16</v>
      </c>
      <c r="BJ23">
        <v>0.74</v>
      </c>
      <c r="BK23" t="s">
        <v>839</v>
      </c>
      <c r="BL23" t="s">
        <v>161</v>
      </c>
      <c r="BM23">
        <v>0.25</v>
      </c>
      <c r="BN23" t="s">
        <v>159</v>
      </c>
      <c r="BO23">
        <v>0.01</v>
      </c>
      <c r="BP23">
        <v>0</v>
      </c>
      <c r="BQ23">
        <v>0.01</v>
      </c>
      <c r="BR23">
        <v>-0.2</v>
      </c>
      <c r="BS23">
        <v>7.0000000000000007E-2</v>
      </c>
      <c r="BT23">
        <v>-7.0000000000000007E-2</v>
      </c>
      <c r="BU23" t="s">
        <v>159</v>
      </c>
      <c r="BV23">
        <v>150</v>
      </c>
      <c r="BW23">
        <v>0</v>
      </c>
      <c r="BX23">
        <v>2</v>
      </c>
      <c r="BY23">
        <v>0.06</v>
      </c>
      <c r="BZ23">
        <v>0</v>
      </c>
      <c r="CA23">
        <v>0.03</v>
      </c>
      <c r="CB23">
        <v>0</v>
      </c>
      <c r="CC23">
        <v>0</v>
      </c>
      <c r="CD23">
        <v>0</v>
      </c>
      <c r="CE23" t="s">
        <v>216</v>
      </c>
      <c r="CF23" t="s">
        <v>217</v>
      </c>
      <c r="CG23" t="s">
        <v>218</v>
      </c>
      <c r="CH23">
        <v>6000</v>
      </c>
      <c r="CI23">
        <v>500</v>
      </c>
      <c r="CJ23">
        <v>1</v>
      </c>
      <c r="CK23">
        <v>2</v>
      </c>
      <c r="CL23">
        <v>55537</v>
      </c>
      <c r="CM23">
        <v>55537</v>
      </c>
      <c r="CN23">
        <v>55537</v>
      </c>
      <c r="CO23">
        <v>0</v>
      </c>
      <c r="CP23">
        <v>-9999</v>
      </c>
      <c r="CQ23">
        <v>0</v>
      </c>
      <c r="CR23">
        <v>0</v>
      </c>
      <c r="CS23">
        <v>0</v>
      </c>
      <c r="CT23">
        <v>0</v>
      </c>
      <c r="CU23">
        <v>2.4900000000000002</v>
      </c>
      <c r="CV23">
        <v>2.44</v>
      </c>
      <c r="CW23">
        <v>1.67</v>
      </c>
      <c r="CX23">
        <v>0.94</v>
      </c>
      <c r="CY23">
        <v>0.19</v>
      </c>
      <c r="CZ23">
        <v>-0.05</v>
      </c>
      <c r="DA23">
        <v>0.31</v>
      </c>
      <c r="DB23">
        <v>0.53</v>
      </c>
      <c r="DC23">
        <v>110.48</v>
      </c>
      <c r="DD23">
        <v>0</v>
      </c>
      <c r="DE23">
        <v>2.42</v>
      </c>
      <c r="DF23">
        <v>0</v>
      </c>
      <c r="DG23">
        <v>1</v>
      </c>
      <c r="DH23">
        <v>2.36</v>
      </c>
      <c r="DI23">
        <v>0</v>
      </c>
      <c r="DJ23">
        <v>1</v>
      </c>
      <c r="DK23">
        <v>0.6</v>
      </c>
      <c r="DL23">
        <v>0.6</v>
      </c>
      <c r="DM23">
        <v>0.11</v>
      </c>
      <c r="DN23">
        <v>0</v>
      </c>
      <c r="DO23" t="s">
        <v>1087</v>
      </c>
      <c r="DP23" t="s">
        <v>239</v>
      </c>
      <c r="DQ23" t="s">
        <v>240</v>
      </c>
      <c r="DR23" t="s">
        <v>241</v>
      </c>
      <c r="DS23" t="s">
        <v>242</v>
      </c>
      <c r="DT23" t="s">
        <v>243</v>
      </c>
      <c r="DU23" t="s">
        <v>244</v>
      </c>
    </row>
    <row r="24" spans="1:125" x14ac:dyDescent="0.45">
      <c r="A24" t="s">
        <v>1118</v>
      </c>
      <c r="B24" t="s">
        <v>1119</v>
      </c>
      <c r="C24" t="s">
        <v>161</v>
      </c>
      <c r="D24" t="s">
        <v>162</v>
      </c>
      <c r="E24" t="s">
        <v>163</v>
      </c>
      <c r="I24" t="s">
        <v>1120</v>
      </c>
      <c r="J24">
        <v>0.71</v>
      </c>
      <c r="K24" s="9">
        <v>0.53935573398982595</v>
      </c>
      <c r="L24">
        <v>0.56999999999999995</v>
      </c>
      <c r="M24">
        <v>10.39</v>
      </c>
      <c r="N24">
        <v>2.61</v>
      </c>
      <c r="O24">
        <v>2.33</v>
      </c>
      <c r="P24">
        <v>4.37</v>
      </c>
      <c r="Q24">
        <v>1.76</v>
      </c>
      <c r="R24">
        <v>23.22</v>
      </c>
      <c r="S24">
        <v>26.09</v>
      </c>
      <c r="T24">
        <v>43.61</v>
      </c>
      <c r="U24">
        <v>0.44</v>
      </c>
      <c r="V24">
        <v>7.5</v>
      </c>
      <c r="W24" t="s">
        <v>1125</v>
      </c>
      <c r="X24">
        <v>0</v>
      </c>
      <c r="Y24">
        <v>0</v>
      </c>
      <c r="Z24">
        <v>0</v>
      </c>
      <c r="AA24">
        <v>111.64</v>
      </c>
      <c r="AB24">
        <v>399.94</v>
      </c>
      <c r="AC24">
        <v>0.72</v>
      </c>
      <c r="AD24">
        <v>0.5</v>
      </c>
      <c r="AE24">
        <v>0.84</v>
      </c>
      <c r="AF24">
        <v>75.69</v>
      </c>
      <c r="AG24">
        <v>1</v>
      </c>
      <c r="AH24">
        <v>46.83</v>
      </c>
      <c r="AI24">
        <v>41.69</v>
      </c>
      <c r="AJ24">
        <v>34.79</v>
      </c>
      <c r="AK24">
        <v>30.44</v>
      </c>
      <c r="AL24">
        <v>30.44</v>
      </c>
      <c r="AM24">
        <v>100.2</v>
      </c>
      <c r="AN24">
        <v>156.19999999999999</v>
      </c>
      <c r="AO24">
        <v>155</v>
      </c>
      <c r="AP24">
        <v>0.8</v>
      </c>
      <c r="AQ24">
        <v>250</v>
      </c>
      <c r="AR24">
        <v>3.9</v>
      </c>
      <c r="AS24">
        <v>-12</v>
      </c>
      <c r="AT24">
        <v>81</v>
      </c>
      <c r="AU24">
        <v>359</v>
      </c>
      <c r="AV24">
        <v>59.57</v>
      </c>
      <c r="AW24">
        <v>50.65</v>
      </c>
      <c r="AX24">
        <v>81.2</v>
      </c>
      <c r="AY24">
        <v>-92.89</v>
      </c>
      <c r="AZ24">
        <v>14.69</v>
      </c>
      <c r="BA24">
        <v>128.26</v>
      </c>
      <c r="BB24">
        <v>30.19</v>
      </c>
      <c r="BC24" t="s">
        <v>1143</v>
      </c>
      <c r="BD24" t="s">
        <v>161</v>
      </c>
      <c r="BE24">
        <v>35.85</v>
      </c>
      <c r="BF24">
        <v>127.13</v>
      </c>
      <c r="BG24">
        <v>33.1</v>
      </c>
      <c r="BH24">
        <v>16</v>
      </c>
      <c r="BI24">
        <v>0.8</v>
      </c>
      <c r="BJ24" t="s">
        <v>839</v>
      </c>
      <c r="BK24" t="s">
        <v>161</v>
      </c>
      <c r="BL24">
        <v>0.25</v>
      </c>
      <c r="BM24" t="s">
        <v>159</v>
      </c>
      <c r="BN24">
        <v>0</v>
      </c>
      <c r="BO24">
        <v>0</v>
      </c>
      <c r="BP24">
        <v>0</v>
      </c>
      <c r="BQ24">
        <v>0.02</v>
      </c>
      <c r="BR24">
        <v>-0.05</v>
      </c>
      <c r="BS24">
        <v>-0.13</v>
      </c>
      <c r="BT24" t="s">
        <v>159</v>
      </c>
      <c r="BU24">
        <v>150</v>
      </c>
      <c r="BV24">
        <v>0</v>
      </c>
      <c r="BW24">
        <v>2</v>
      </c>
      <c r="BX24">
        <v>0.06</v>
      </c>
      <c r="BY24">
        <v>0</v>
      </c>
      <c r="BZ24">
        <v>0.03</v>
      </c>
      <c r="CA24">
        <v>0</v>
      </c>
      <c r="CB24">
        <v>0</v>
      </c>
      <c r="CC24">
        <v>0</v>
      </c>
      <c r="CD24" t="s">
        <v>216</v>
      </c>
      <c r="CE24" t="s">
        <v>217</v>
      </c>
      <c r="CF24" t="s">
        <v>218</v>
      </c>
      <c r="CG24">
        <v>6000</v>
      </c>
      <c r="CH24">
        <v>500</v>
      </c>
      <c r="CI24">
        <v>1</v>
      </c>
      <c r="CJ24">
        <v>2</v>
      </c>
      <c r="CK24">
        <v>55537</v>
      </c>
      <c r="CL24">
        <v>55537</v>
      </c>
      <c r="CM24">
        <v>55537</v>
      </c>
      <c r="CN24">
        <v>0</v>
      </c>
      <c r="CO24">
        <v>-9999</v>
      </c>
      <c r="CP24">
        <v>0</v>
      </c>
      <c r="CQ24">
        <v>0</v>
      </c>
      <c r="CR24">
        <v>0</v>
      </c>
      <c r="CS24">
        <v>0</v>
      </c>
      <c r="CT24">
        <v>2.48</v>
      </c>
      <c r="CU24">
        <v>2.4300000000000002</v>
      </c>
      <c r="CV24">
        <v>1.67</v>
      </c>
      <c r="CW24">
        <v>0.94</v>
      </c>
      <c r="CX24">
        <v>0.19</v>
      </c>
      <c r="CY24">
        <v>-0.05</v>
      </c>
      <c r="CZ24">
        <v>0.32</v>
      </c>
      <c r="DA24">
        <v>0.32</v>
      </c>
      <c r="DB24">
        <v>111.64</v>
      </c>
      <c r="DC24">
        <v>0</v>
      </c>
      <c r="DD24">
        <v>2.42</v>
      </c>
      <c r="DE24">
        <v>0</v>
      </c>
      <c r="DF24">
        <v>1</v>
      </c>
      <c r="DG24">
        <v>2.36</v>
      </c>
      <c r="DH24">
        <v>0</v>
      </c>
      <c r="DI24">
        <v>1</v>
      </c>
      <c r="DJ24">
        <v>0.6</v>
      </c>
      <c r="DK24">
        <v>0.6</v>
      </c>
      <c r="DL24">
        <v>0.11</v>
      </c>
      <c r="DM24">
        <v>0</v>
      </c>
      <c r="DN24" t="s">
        <v>1125</v>
      </c>
      <c r="DO24" t="s">
        <v>239</v>
      </c>
      <c r="DP24" t="s">
        <v>240</v>
      </c>
      <c r="DQ24" t="s">
        <v>241</v>
      </c>
      <c r="DR24" t="s">
        <v>242</v>
      </c>
      <c r="DS24" t="s">
        <v>243</v>
      </c>
      <c r="DT24" t="s">
        <v>244</v>
      </c>
    </row>
    <row r="25" spans="1:125" x14ac:dyDescent="0.45">
      <c r="A25" t="s">
        <v>1158</v>
      </c>
      <c r="B25" t="s">
        <v>1159</v>
      </c>
      <c r="C25" t="s">
        <v>161</v>
      </c>
      <c r="D25" t="s">
        <v>162</v>
      </c>
      <c r="E25" t="s">
        <v>163</v>
      </c>
      <c r="I25" t="s">
        <v>1160</v>
      </c>
      <c r="J25">
        <v>0.54</v>
      </c>
      <c r="K25" s="9">
        <v>0.435572453334438</v>
      </c>
      <c r="L25">
        <v>0.45</v>
      </c>
      <c r="M25">
        <v>9.0399999999999991</v>
      </c>
      <c r="N25">
        <v>2.56</v>
      </c>
      <c r="O25">
        <v>2.31</v>
      </c>
      <c r="P25">
        <v>4.49</v>
      </c>
      <c r="Q25">
        <v>1.93</v>
      </c>
      <c r="R25">
        <v>23.05</v>
      </c>
      <c r="S25">
        <v>25.54</v>
      </c>
      <c r="T25">
        <v>44.77</v>
      </c>
      <c r="U25">
        <v>0.44</v>
      </c>
      <c r="V25">
        <v>7.5</v>
      </c>
      <c r="W25" t="s">
        <v>1165</v>
      </c>
      <c r="X25">
        <v>0</v>
      </c>
      <c r="Y25">
        <v>0</v>
      </c>
      <c r="Z25">
        <v>0</v>
      </c>
      <c r="AA25">
        <v>133.02000000000001</v>
      </c>
      <c r="AB25">
        <v>404.19</v>
      </c>
      <c r="AC25">
        <v>0.67</v>
      </c>
      <c r="AD25">
        <v>0.5</v>
      </c>
      <c r="AE25">
        <v>0.84</v>
      </c>
      <c r="AF25">
        <v>135.25</v>
      </c>
      <c r="AG25">
        <v>1</v>
      </c>
      <c r="AH25">
        <v>45.9</v>
      </c>
      <c r="AI25">
        <v>41.43</v>
      </c>
      <c r="AJ25">
        <v>34.770000000000003</v>
      </c>
      <c r="AK25">
        <v>30.9</v>
      </c>
      <c r="AL25">
        <v>30.9</v>
      </c>
      <c r="AM25">
        <v>100.19</v>
      </c>
      <c r="AN25">
        <v>156.30000000000001</v>
      </c>
      <c r="AO25">
        <v>154.80000000000001</v>
      </c>
      <c r="AP25">
        <v>1</v>
      </c>
      <c r="AQ25">
        <v>480</v>
      </c>
      <c r="AR25">
        <v>3.9</v>
      </c>
      <c r="AS25">
        <v>-18</v>
      </c>
      <c r="AT25">
        <v>7</v>
      </c>
      <c r="AU25">
        <v>301</v>
      </c>
      <c r="AV25">
        <v>49.07</v>
      </c>
      <c r="AW25">
        <v>65.510000000000005</v>
      </c>
      <c r="AX25">
        <v>19.27</v>
      </c>
      <c r="AY25">
        <v>142.66999999999999</v>
      </c>
      <c r="AZ25">
        <v>14.69</v>
      </c>
      <c r="BA25">
        <v>128.26</v>
      </c>
      <c r="BB25">
        <v>30.19</v>
      </c>
      <c r="BC25" t="s">
        <v>1181</v>
      </c>
      <c r="BD25" t="s">
        <v>161</v>
      </c>
      <c r="BE25">
        <v>35.85</v>
      </c>
      <c r="BF25">
        <v>127.13</v>
      </c>
      <c r="BG25">
        <v>33.1</v>
      </c>
      <c r="BH25">
        <v>14</v>
      </c>
      <c r="BI25">
        <v>0.8</v>
      </c>
      <c r="BJ25" t="s">
        <v>1183</v>
      </c>
      <c r="BK25" t="s">
        <v>161</v>
      </c>
      <c r="BL25">
        <v>0.37</v>
      </c>
      <c r="BM25" t="s">
        <v>159</v>
      </c>
      <c r="BN25">
        <v>0</v>
      </c>
      <c r="BO25">
        <v>0</v>
      </c>
      <c r="BP25">
        <v>0.01</v>
      </c>
      <c r="BQ25">
        <v>0.08</v>
      </c>
      <c r="BR25">
        <v>0.03</v>
      </c>
      <c r="BS25">
        <v>7.0000000000000007E-2</v>
      </c>
      <c r="BT25" t="s">
        <v>159</v>
      </c>
      <c r="BU25">
        <v>150</v>
      </c>
      <c r="BV25">
        <v>0</v>
      </c>
      <c r="BW25">
        <v>2</v>
      </c>
      <c r="BX25">
        <v>0.06</v>
      </c>
      <c r="BY25">
        <v>0</v>
      </c>
      <c r="BZ25">
        <v>0.03</v>
      </c>
      <c r="CA25">
        <v>0</v>
      </c>
      <c r="CB25">
        <v>0</v>
      </c>
      <c r="CC25">
        <v>0</v>
      </c>
      <c r="CD25" t="s">
        <v>216</v>
      </c>
      <c r="CE25" t="s">
        <v>217</v>
      </c>
      <c r="CF25" t="s">
        <v>218</v>
      </c>
      <c r="CG25">
        <v>6000</v>
      </c>
      <c r="CH25">
        <v>500</v>
      </c>
      <c r="CI25">
        <v>1</v>
      </c>
      <c r="CJ25">
        <v>2</v>
      </c>
      <c r="CK25">
        <v>55537</v>
      </c>
      <c r="CL25">
        <v>55537</v>
      </c>
      <c r="CM25">
        <v>55537</v>
      </c>
      <c r="CN25">
        <v>0</v>
      </c>
      <c r="CO25">
        <v>-9999</v>
      </c>
      <c r="CP25">
        <v>0</v>
      </c>
      <c r="CQ25">
        <v>0</v>
      </c>
      <c r="CR25">
        <v>0</v>
      </c>
      <c r="CS25">
        <v>0</v>
      </c>
      <c r="CT25">
        <v>2.48</v>
      </c>
      <c r="CU25">
        <v>2.4300000000000002</v>
      </c>
      <c r="CV25">
        <v>1.67</v>
      </c>
      <c r="CW25">
        <v>0.94</v>
      </c>
      <c r="CX25">
        <v>0.19</v>
      </c>
      <c r="CY25">
        <v>-0.05</v>
      </c>
      <c r="CZ25">
        <v>0.33</v>
      </c>
      <c r="DA25">
        <v>0.53</v>
      </c>
      <c r="DB25">
        <v>133.02000000000001</v>
      </c>
      <c r="DC25">
        <v>0</v>
      </c>
      <c r="DD25">
        <v>2.42</v>
      </c>
      <c r="DE25">
        <v>0</v>
      </c>
      <c r="DF25">
        <v>1</v>
      </c>
      <c r="DG25">
        <v>2.36</v>
      </c>
      <c r="DH25">
        <v>0</v>
      </c>
      <c r="DI25">
        <v>1</v>
      </c>
      <c r="DJ25">
        <v>0.6</v>
      </c>
      <c r="DK25">
        <v>0.6</v>
      </c>
      <c r="DL25">
        <v>0.11</v>
      </c>
      <c r="DM25">
        <v>0</v>
      </c>
      <c r="DN25" t="s">
        <v>1165</v>
      </c>
      <c r="DO25" t="s">
        <v>239</v>
      </c>
      <c r="DP25" t="s">
        <v>240</v>
      </c>
      <c r="DQ25" t="s">
        <v>241</v>
      </c>
      <c r="DR25" t="s">
        <v>242</v>
      </c>
      <c r="DS25" t="s">
        <v>243</v>
      </c>
      <c r="DT25" t="s">
        <v>244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opLeftCell="A10" zoomScale="85" zoomScaleNormal="85" workbookViewId="0">
      <selection activeCell="C23" activeCellId="3" sqref="C5:C7 C11:C13 C17:C19 C23:C25"/>
    </sheetView>
  </sheetViews>
  <sheetFormatPr defaultRowHeight="19.2" x14ac:dyDescent="0.45"/>
  <sheetData>
    <row r="1" spans="1:10" x14ac:dyDescent="0.45">
      <c r="A1" t="s">
        <v>15</v>
      </c>
      <c r="B1" t="s">
        <v>23</v>
      </c>
      <c r="C1" t="s">
        <v>1202</v>
      </c>
      <c r="D1" t="s">
        <v>30</v>
      </c>
      <c r="E1" t="s">
        <v>40</v>
      </c>
      <c r="F1" t="s">
        <v>41</v>
      </c>
      <c r="G1" t="s">
        <v>42</v>
      </c>
      <c r="H1" t="s">
        <v>45</v>
      </c>
      <c r="I1" t="s">
        <v>56</v>
      </c>
      <c r="J1" t="s">
        <v>51</v>
      </c>
    </row>
    <row r="2" spans="1:10" x14ac:dyDescent="0.45">
      <c r="A2" t="s">
        <v>160</v>
      </c>
      <c r="B2">
        <v>1.05</v>
      </c>
      <c r="C2" s="9">
        <v>0.69534772721186699</v>
      </c>
      <c r="D2">
        <v>1.28</v>
      </c>
      <c r="E2">
        <v>145.83000000000001</v>
      </c>
      <c r="F2">
        <v>367.32</v>
      </c>
      <c r="G2">
        <v>0.6</v>
      </c>
      <c r="H2">
        <v>259.08</v>
      </c>
      <c r="I2">
        <v>1023</v>
      </c>
      <c r="J2">
        <v>28.53</v>
      </c>
    </row>
    <row r="3" spans="1:10" x14ac:dyDescent="0.45">
      <c r="A3" t="s">
        <v>246</v>
      </c>
      <c r="B3">
        <v>0.39</v>
      </c>
      <c r="C3" s="9">
        <v>0.33559693962700998</v>
      </c>
      <c r="D3">
        <v>1.88</v>
      </c>
      <c r="E3">
        <v>136.37</v>
      </c>
      <c r="F3">
        <v>278.19</v>
      </c>
      <c r="G3">
        <v>0.51</v>
      </c>
      <c r="H3">
        <v>267.64999999999998</v>
      </c>
      <c r="I3">
        <v>1250</v>
      </c>
      <c r="J3">
        <v>30.54</v>
      </c>
    </row>
    <row r="4" spans="1:10" x14ac:dyDescent="0.45">
      <c r="A4" t="s">
        <v>295</v>
      </c>
      <c r="B4">
        <v>0.63</v>
      </c>
      <c r="C4" s="9">
        <v>0.48870126244150203</v>
      </c>
      <c r="D4">
        <v>1.62</v>
      </c>
      <c r="E4">
        <v>136.63999999999999</v>
      </c>
      <c r="F4">
        <v>287.13</v>
      </c>
      <c r="G4">
        <v>0.52</v>
      </c>
      <c r="H4">
        <v>238.84</v>
      </c>
      <c r="I4">
        <v>1085</v>
      </c>
      <c r="J4">
        <v>29.92</v>
      </c>
    </row>
    <row r="5" spans="1:10" x14ac:dyDescent="0.45">
      <c r="A5" t="s">
        <v>341</v>
      </c>
      <c r="B5">
        <v>0.76</v>
      </c>
      <c r="C5" s="9">
        <v>0.55836791667692698</v>
      </c>
      <c r="D5">
        <v>1.38</v>
      </c>
      <c r="E5">
        <v>119.08</v>
      </c>
      <c r="F5">
        <v>395.18</v>
      </c>
      <c r="G5">
        <v>0.7</v>
      </c>
      <c r="H5">
        <v>260.27999999999997</v>
      </c>
      <c r="I5">
        <v>887</v>
      </c>
      <c r="J5">
        <v>28.7</v>
      </c>
    </row>
    <row r="6" spans="1:10" x14ac:dyDescent="0.45">
      <c r="A6" t="s">
        <v>387</v>
      </c>
    </row>
    <row r="7" spans="1:10" x14ac:dyDescent="0.45">
      <c r="A7" t="s">
        <v>426</v>
      </c>
      <c r="B7">
        <v>0.79</v>
      </c>
      <c r="C7" s="9">
        <v>0.56672353618270299</v>
      </c>
      <c r="D7">
        <v>1.61</v>
      </c>
      <c r="E7">
        <v>147.46</v>
      </c>
      <c r="F7">
        <v>263.79000000000002</v>
      </c>
      <c r="G7">
        <v>0.44</v>
      </c>
      <c r="H7">
        <v>250.98</v>
      </c>
      <c r="I7">
        <v>1355</v>
      </c>
      <c r="J7">
        <v>30.75</v>
      </c>
    </row>
    <row r="8" spans="1:10" x14ac:dyDescent="0.45">
      <c r="A8" t="s">
        <v>472</v>
      </c>
      <c r="B8">
        <v>1.61</v>
      </c>
      <c r="C8" s="9">
        <v>0.89833271715472895</v>
      </c>
      <c r="D8">
        <v>1.53</v>
      </c>
      <c r="E8">
        <v>146.22999999999999</v>
      </c>
      <c r="F8">
        <v>252.76</v>
      </c>
      <c r="G8">
        <v>0.42</v>
      </c>
      <c r="H8">
        <v>305.54000000000002</v>
      </c>
      <c r="I8">
        <v>1726</v>
      </c>
      <c r="J8">
        <v>30.57</v>
      </c>
    </row>
    <row r="9" spans="1:10" x14ac:dyDescent="0.45">
      <c r="A9" t="s">
        <v>521</v>
      </c>
      <c r="B9">
        <v>0.24</v>
      </c>
      <c r="C9" s="9">
        <v>0.22195609522533499</v>
      </c>
      <c r="D9">
        <v>2.12</v>
      </c>
      <c r="E9">
        <v>132.30000000000001</v>
      </c>
      <c r="F9">
        <v>331.69</v>
      </c>
      <c r="G9">
        <v>0.6</v>
      </c>
      <c r="H9">
        <v>291.61</v>
      </c>
      <c r="I9">
        <v>1155</v>
      </c>
      <c r="J9">
        <v>32.159999999999997</v>
      </c>
    </row>
    <row r="10" spans="1:10" x14ac:dyDescent="0.45">
      <c r="A10" t="s">
        <v>565</v>
      </c>
      <c r="B10">
        <v>0.61</v>
      </c>
      <c r="C10" s="9">
        <v>0.47549926372914397</v>
      </c>
      <c r="D10">
        <v>2.0499999999999998</v>
      </c>
      <c r="E10">
        <v>128.28</v>
      </c>
      <c r="F10">
        <v>284.54000000000002</v>
      </c>
      <c r="G10">
        <v>0.55000000000000004</v>
      </c>
      <c r="H10">
        <v>280.23</v>
      </c>
      <c r="I10">
        <v>1215</v>
      </c>
      <c r="J10">
        <v>32.24</v>
      </c>
    </row>
    <row r="11" spans="1:10" x14ac:dyDescent="0.45">
      <c r="A11" t="s">
        <v>603</v>
      </c>
      <c r="B11">
        <v>0.78</v>
      </c>
      <c r="C11" s="9">
        <v>0.56499972785817398</v>
      </c>
      <c r="D11">
        <v>1.55</v>
      </c>
      <c r="E11">
        <v>119.1</v>
      </c>
      <c r="F11">
        <v>399.77</v>
      </c>
      <c r="G11">
        <v>0.7</v>
      </c>
      <c r="H11">
        <v>194.03</v>
      </c>
      <c r="I11">
        <v>658</v>
      </c>
      <c r="J11">
        <v>30.43</v>
      </c>
    </row>
    <row r="12" spans="1:10" x14ac:dyDescent="0.45">
      <c r="A12" t="s">
        <v>647</v>
      </c>
      <c r="B12">
        <v>0.88</v>
      </c>
      <c r="C12" s="9">
        <v>0.61273465066899102</v>
      </c>
      <c r="D12">
        <v>1.55</v>
      </c>
      <c r="E12">
        <v>124.28</v>
      </c>
      <c r="F12">
        <v>385.41</v>
      </c>
      <c r="G12">
        <v>0.68</v>
      </c>
      <c r="H12">
        <v>143.41999999999999</v>
      </c>
      <c r="I12">
        <v>504</v>
      </c>
      <c r="J12">
        <v>30.37</v>
      </c>
    </row>
    <row r="13" spans="1:10" x14ac:dyDescent="0.45">
      <c r="A13" t="s">
        <v>688</v>
      </c>
      <c r="B13">
        <v>0.62</v>
      </c>
      <c r="C13" s="9">
        <v>0.47548574780667202</v>
      </c>
      <c r="D13">
        <v>1.74</v>
      </c>
      <c r="E13">
        <v>124.37</v>
      </c>
      <c r="F13">
        <v>375.98</v>
      </c>
      <c r="G13">
        <v>0.67</v>
      </c>
      <c r="H13">
        <v>139.97</v>
      </c>
      <c r="I13">
        <v>498</v>
      </c>
      <c r="J13">
        <v>31.24</v>
      </c>
    </row>
    <row r="14" spans="1:10" x14ac:dyDescent="0.45">
      <c r="A14" t="s">
        <v>727</v>
      </c>
      <c r="B14">
        <v>0.84</v>
      </c>
      <c r="C14" s="9">
        <v>0.59100800073870696</v>
      </c>
      <c r="D14">
        <v>1.56</v>
      </c>
      <c r="E14">
        <v>117.08</v>
      </c>
      <c r="F14">
        <v>356.33</v>
      </c>
      <c r="G14">
        <v>0.67</v>
      </c>
      <c r="H14">
        <v>163.56</v>
      </c>
      <c r="I14">
        <v>580</v>
      </c>
      <c r="J14">
        <v>30.65</v>
      </c>
    </row>
    <row r="15" spans="1:10" x14ac:dyDescent="0.45">
      <c r="A15" t="s">
        <v>768</v>
      </c>
      <c r="B15">
        <v>0.68</v>
      </c>
      <c r="C15" s="9">
        <v>0.51396693466181897</v>
      </c>
      <c r="D15">
        <v>1.72</v>
      </c>
      <c r="E15">
        <v>131.24</v>
      </c>
      <c r="F15">
        <v>382.45</v>
      </c>
      <c r="G15">
        <v>0.66</v>
      </c>
      <c r="H15">
        <v>215.19</v>
      </c>
      <c r="I15">
        <v>780</v>
      </c>
      <c r="J15">
        <v>31.05</v>
      </c>
    </row>
    <row r="16" spans="1:10" x14ac:dyDescent="0.45">
      <c r="A16" t="s">
        <v>809</v>
      </c>
      <c r="B16">
        <v>1.2</v>
      </c>
      <c r="C16" s="9">
        <v>0.75360472329751604</v>
      </c>
      <c r="D16">
        <v>1.54</v>
      </c>
      <c r="E16">
        <v>133.38</v>
      </c>
      <c r="F16">
        <v>366.29</v>
      </c>
      <c r="G16">
        <v>0.64</v>
      </c>
      <c r="H16">
        <v>196.29</v>
      </c>
      <c r="I16">
        <v>735</v>
      </c>
      <c r="J16">
        <v>30.55</v>
      </c>
    </row>
    <row r="17" spans="1:10" x14ac:dyDescent="0.45">
      <c r="A17" t="s">
        <v>855</v>
      </c>
      <c r="B17">
        <v>0.82</v>
      </c>
      <c r="C17" s="9">
        <v>0.58847082607560697</v>
      </c>
      <c r="D17">
        <v>1.63</v>
      </c>
      <c r="E17">
        <v>115.58</v>
      </c>
      <c r="F17">
        <v>420.22</v>
      </c>
      <c r="G17">
        <v>0.72</v>
      </c>
      <c r="H17">
        <v>158.02000000000001</v>
      </c>
      <c r="I17">
        <v>519</v>
      </c>
      <c r="J17">
        <v>30.55</v>
      </c>
    </row>
    <row r="18" spans="1:10" x14ac:dyDescent="0.45">
      <c r="A18" t="s">
        <v>891</v>
      </c>
      <c r="B18">
        <v>0.64</v>
      </c>
      <c r="C18" s="9">
        <v>0.49027206656401401</v>
      </c>
      <c r="D18">
        <v>1.75</v>
      </c>
      <c r="E18">
        <v>118.15</v>
      </c>
      <c r="F18">
        <v>415.25</v>
      </c>
      <c r="G18">
        <v>0.72</v>
      </c>
      <c r="H18">
        <v>203.44</v>
      </c>
      <c r="I18">
        <v>677</v>
      </c>
      <c r="J18">
        <v>31.07</v>
      </c>
    </row>
    <row r="19" spans="1:10" x14ac:dyDescent="0.45">
      <c r="A19" t="s">
        <v>931</v>
      </c>
      <c r="B19">
        <v>0.16</v>
      </c>
      <c r="C19" s="9">
        <v>0.15194907767334001</v>
      </c>
      <c r="D19">
        <v>2.64</v>
      </c>
      <c r="E19">
        <v>118.34</v>
      </c>
      <c r="F19">
        <v>391.52</v>
      </c>
      <c r="G19">
        <v>0.7</v>
      </c>
      <c r="H19">
        <v>185.21</v>
      </c>
      <c r="I19">
        <v>632</v>
      </c>
      <c r="J19">
        <v>33.35</v>
      </c>
    </row>
    <row r="20" spans="1:10" x14ac:dyDescent="0.45">
      <c r="A20" t="s">
        <v>969</v>
      </c>
      <c r="B20">
        <v>0.41</v>
      </c>
      <c r="C20" s="9">
        <v>0.35019624162632201</v>
      </c>
      <c r="D20">
        <v>2.14</v>
      </c>
      <c r="E20">
        <v>139.63</v>
      </c>
      <c r="F20">
        <v>355.89</v>
      </c>
      <c r="G20">
        <v>0.61</v>
      </c>
      <c r="H20">
        <v>201.87</v>
      </c>
      <c r="I20">
        <v>791</v>
      </c>
      <c r="J20">
        <v>32.29</v>
      </c>
    </row>
    <row r="21" spans="1:10" x14ac:dyDescent="0.45">
      <c r="A21" t="s">
        <v>1007</v>
      </c>
      <c r="B21">
        <v>0.21</v>
      </c>
      <c r="C21" s="9">
        <v>0.198314901414059</v>
      </c>
      <c r="D21">
        <v>2.46</v>
      </c>
      <c r="E21">
        <v>131.38999999999999</v>
      </c>
      <c r="F21">
        <v>315.58999999999997</v>
      </c>
      <c r="G21">
        <v>0.57999999999999996</v>
      </c>
      <c r="H21">
        <v>201.99</v>
      </c>
      <c r="I21">
        <v>824</v>
      </c>
      <c r="J21">
        <v>34.020000000000003</v>
      </c>
    </row>
    <row r="22" spans="1:10" x14ac:dyDescent="0.45">
      <c r="A22" t="s">
        <v>1043</v>
      </c>
      <c r="B22">
        <v>0.65</v>
      </c>
      <c r="C22" s="9">
        <v>0.488226537768499</v>
      </c>
      <c r="D22">
        <v>1.63</v>
      </c>
      <c r="E22">
        <v>144.81</v>
      </c>
      <c r="F22">
        <v>444.35</v>
      </c>
      <c r="G22">
        <v>0.67</v>
      </c>
      <c r="H22">
        <v>134.77000000000001</v>
      </c>
      <c r="I22">
        <v>476</v>
      </c>
      <c r="J22">
        <v>31.55</v>
      </c>
    </row>
    <row r="23" spans="1:10" x14ac:dyDescent="0.45">
      <c r="A23" t="s">
        <v>1081</v>
      </c>
      <c r="B23">
        <v>0.91</v>
      </c>
      <c r="C23" s="9">
        <v>0.63451536172284395</v>
      </c>
      <c r="D23">
        <v>1.71</v>
      </c>
      <c r="E23">
        <v>110.48</v>
      </c>
      <c r="F23">
        <v>404.36</v>
      </c>
      <c r="G23">
        <v>0.73</v>
      </c>
      <c r="H23">
        <v>148.96</v>
      </c>
      <c r="I23">
        <v>488</v>
      </c>
      <c r="J23">
        <v>30.87</v>
      </c>
    </row>
    <row r="24" spans="1:10" x14ac:dyDescent="0.45">
      <c r="A24" t="s">
        <v>1119</v>
      </c>
      <c r="B24">
        <v>0.71</v>
      </c>
      <c r="C24" s="9">
        <v>0.53935573398982595</v>
      </c>
      <c r="D24">
        <v>1.76</v>
      </c>
      <c r="E24">
        <v>111.64</v>
      </c>
      <c r="F24">
        <v>399.94</v>
      </c>
      <c r="G24">
        <v>0.72</v>
      </c>
      <c r="H24">
        <v>75.69</v>
      </c>
      <c r="I24">
        <v>250</v>
      </c>
      <c r="J24">
        <v>30.44</v>
      </c>
    </row>
    <row r="25" spans="1:10" x14ac:dyDescent="0.45">
      <c r="A25" t="s">
        <v>1159</v>
      </c>
      <c r="B25">
        <v>0.54</v>
      </c>
      <c r="C25" s="9">
        <v>0.435572453334438</v>
      </c>
      <c r="D25">
        <v>133.02000000000001</v>
      </c>
      <c r="E25">
        <v>404.19</v>
      </c>
      <c r="F25">
        <v>0.67</v>
      </c>
      <c r="G25">
        <v>135.25</v>
      </c>
      <c r="H25">
        <v>480</v>
      </c>
      <c r="I25">
        <v>30.9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35A3-68C2-417A-A959-8411E1A63872}">
  <dimension ref="A1:U25"/>
  <sheetViews>
    <sheetView tabSelected="1" workbookViewId="0">
      <selection activeCell="F8" sqref="F8"/>
    </sheetView>
  </sheetViews>
  <sheetFormatPr defaultRowHeight="19.2" x14ac:dyDescent="0.45"/>
  <sheetData>
    <row r="1" spans="1:21" ht="19.8" thickBot="1" x14ac:dyDescent="0.5">
      <c r="A1" s="6" t="s">
        <v>1196</v>
      </c>
      <c r="B1" s="7" t="s">
        <v>1199</v>
      </c>
      <c r="C1" s="7" t="s">
        <v>15</v>
      </c>
      <c r="D1" s="7" t="s">
        <v>23</v>
      </c>
      <c r="E1" s="7" t="s">
        <v>1202</v>
      </c>
      <c r="F1" s="7" t="s">
        <v>30</v>
      </c>
      <c r="G1" s="7" t="s">
        <v>40</v>
      </c>
      <c r="H1" s="7" t="s">
        <v>41</v>
      </c>
      <c r="I1" s="7" t="s">
        <v>42</v>
      </c>
      <c r="J1" s="7" t="s">
        <v>45</v>
      </c>
      <c r="K1" s="7" t="s">
        <v>56</v>
      </c>
      <c r="L1" s="8" t="s">
        <v>51</v>
      </c>
      <c r="M1" t="s">
        <v>1200</v>
      </c>
      <c r="N1" s="11" t="s">
        <v>1202</v>
      </c>
      <c r="O1" s="7" t="s">
        <v>30</v>
      </c>
      <c r="P1" s="7" t="s">
        <v>40</v>
      </c>
      <c r="Q1" s="7" t="s">
        <v>41</v>
      </c>
      <c r="R1" s="7" t="s">
        <v>42</v>
      </c>
      <c r="S1" s="7" t="s">
        <v>45</v>
      </c>
      <c r="T1" s="7" t="s">
        <v>56</v>
      </c>
      <c r="U1" s="8" t="s">
        <v>51</v>
      </c>
    </row>
    <row r="2" spans="1:21" ht="19.8" thickTop="1" x14ac:dyDescent="0.45">
      <c r="A2" s="2" t="s">
        <v>1197</v>
      </c>
      <c r="B2">
        <v>1</v>
      </c>
      <c r="C2" t="s">
        <v>160</v>
      </c>
      <c r="D2">
        <v>1.05</v>
      </c>
      <c r="E2" s="12">
        <v>0.69534772721186699</v>
      </c>
      <c r="F2">
        <v>1.28</v>
      </c>
      <c r="G2">
        <v>145.83000000000001</v>
      </c>
      <c r="H2">
        <v>367.32</v>
      </c>
      <c r="I2">
        <v>0.6</v>
      </c>
      <c r="J2">
        <v>259.08</v>
      </c>
      <c r="K2">
        <v>1023</v>
      </c>
      <c r="L2" s="3">
        <v>28.53</v>
      </c>
      <c r="M2" s="13">
        <f>AVERAGE(D2:D13)</f>
        <v>0.71777777777777774</v>
      </c>
      <c r="N2" s="13">
        <f>AVERAGE(E2:E13)</f>
        <v>0.52134973678915397</v>
      </c>
      <c r="O2">
        <f t="shared" ref="O2:U2" si="0">AVERAGE(F2:F13)</f>
        <v>1.7941666666666667</v>
      </c>
      <c r="P2">
        <f t="shared" si="0"/>
        <v>135.26500000000001</v>
      </c>
      <c r="Q2">
        <f t="shared" si="0"/>
        <v>335.21083333333331</v>
      </c>
      <c r="R2">
        <f t="shared" si="0"/>
        <v>0.58583333333333332</v>
      </c>
      <c r="S2">
        <f t="shared" si="0"/>
        <v>229.71833333333336</v>
      </c>
      <c r="T2">
        <f t="shared" si="0"/>
        <v>970</v>
      </c>
      <c r="U2">
        <f t="shared" si="0"/>
        <v>31.172500000000003</v>
      </c>
    </row>
    <row r="3" spans="1:21" x14ac:dyDescent="0.45">
      <c r="A3" s="2" t="s">
        <v>1197</v>
      </c>
      <c r="B3">
        <v>1</v>
      </c>
      <c r="C3" t="s">
        <v>246</v>
      </c>
      <c r="D3">
        <v>0.39</v>
      </c>
      <c r="E3" s="12">
        <v>0.33559693962700998</v>
      </c>
      <c r="F3">
        <v>1.88</v>
      </c>
      <c r="G3">
        <v>136.37</v>
      </c>
      <c r="H3">
        <v>278.19</v>
      </c>
      <c r="I3">
        <v>0.51</v>
      </c>
      <c r="J3">
        <v>267.64999999999998</v>
      </c>
      <c r="K3">
        <v>1250</v>
      </c>
      <c r="L3" s="3">
        <v>30.54</v>
      </c>
      <c r="M3" s="13">
        <f>AVERAGE(D14:D25)</f>
        <v>0.745</v>
      </c>
      <c r="N3" s="13">
        <f>AVERAGE(E14:E25)</f>
        <v>0.54664980208801961</v>
      </c>
      <c r="O3">
        <f t="shared" ref="O3:U3" si="1">AVERAGE(F14:F25)</f>
        <v>1.7500000000000002</v>
      </c>
      <c r="P3">
        <f t="shared" si="1"/>
        <v>121.95454545454545</v>
      </c>
      <c r="Q3">
        <f t="shared" si="1"/>
        <v>386.87363636363642</v>
      </c>
      <c r="R3">
        <f t="shared" si="1"/>
        <v>0.67727272727272725</v>
      </c>
      <c r="S3">
        <f t="shared" si="1"/>
        <v>172.29545454545456</v>
      </c>
      <c r="T3">
        <f t="shared" si="1"/>
        <v>631.63636363636363</v>
      </c>
      <c r="U3">
        <f t="shared" si="1"/>
        <v>30.788181818181815</v>
      </c>
    </row>
    <row r="4" spans="1:21" x14ac:dyDescent="0.45">
      <c r="A4" s="2" t="s">
        <v>1197</v>
      </c>
      <c r="B4">
        <v>1</v>
      </c>
      <c r="C4" t="s">
        <v>295</v>
      </c>
      <c r="D4">
        <v>0.63</v>
      </c>
      <c r="E4" s="12">
        <v>0.48870126244150203</v>
      </c>
      <c r="F4">
        <v>1.62</v>
      </c>
      <c r="G4">
        <v>136.63999999999999</v>
      </c>
      <c r="H4">
        <v>287.13</v>
      </c>
      <c r="I4">
        <v>0.52</v>
      </c>
      <c r="J4">
        <v>238.84</v>
      </c>
      <c r="K4">
        <v>1085</v>
      </c>
      <c r="L4" s="3">
        <v>29.92</v>
      </c>
    </row>
    <row r="5" spans="1:21" x14ac:dyDescent="0.45">
      <c r="A5" s="2" t="s">
        <v>1197</v>
      </c>
      <c r="B5">
        <v>1</v>
      </c>
      <c r="C5" t="s">
        <v>472</v>
      </c>
      <c r="E5" s="12"/>
      <c r="F5">
        <v>1.53</v>
      </c>
      <c r="G5">
        <v>146.22999999999999</v>
      </c>
      <c r="H5">
        <v>252.76</v>
      </c>
      <c r="I5">
        <v>0.42</v>
      </c>
      <c r="J5">
        <v>305.54000000000002</v>
      </c>
      <c r="K5">
        <v>1726</v>
      </c>
      <c r="L5" s="3">
        <v>30.57</v>
      </c>
    </row>
    <row r="6" spans="1:21" x14ac:dyDescent="0.45">
      <c r="A6" s="2" t="s">
        <v>1197</v>
      </c>
      <c r="B6">
        <v>1</v>
      </c>
      <c r="C6" t="s">
        <v>521</v>
      </c>
      <c r="E6" s="12"/>
      <c r="F6">
        <v>2.12</v>
      </c>
      <c r="G6">
        <v>132.30000000000001</v>
      </c>
      <c r="H6">
        <v>331.69</v>
      </c>
      <c r="I6">
        <v>0.6</v>
      </c>
      <c r="J6">
        <v>291.61</v>
      </c>
      <c r="K6">
        <v>1155</v>
      </c>
      <c r="L6" s="3">
        <v>32.159999999999997</v>
      </c>
    </row>
    <row r="7" spans="1:21" x14ac:dyDescent="0.45">
      <c r="A7" s="2" t="s">
        <v>1197</v>
      </c>
      <c r="B7">
        <v>1</v>
      </c>
      <c r="C7" t="s">
        <v>565</v>
      </c>
      <c r="D7">
        <v>0.61</v>
      </c>
      <c r="E7" s="12">
        <v>0.47549926372914397</v>
      </c>
      <c r="F7">
        <v>2.0499999999999998</v>
      </c>
      <c r="G7">
        <v>128.28</v>
      </c>
      <c r="H7">
        <v>284.54000000000002</v>
      </c>
      <c r="I7">
        <v>0.55000000000000004</v>
      </c>
      <c r="J7">
        <v>280.23</v>
      </c>
      <c r="K7">
        <v>1215</v>
      </c>
      <c r="L7" s="3">
        <v>32.24</v>
      </c>
    </row>
    <row r="8" spans="1:21" x14ac:dyDescent="0.45">
      <c r="A8" s="2" t="s">
        <v>1197</v>
      </c>
      <c r="B8">
        <v>1</v>
      </c>
      <c r="C8" t="s">
        <v>727</v>
      </c>
      <c r="D8">
        <v>0.84</v>
      </c>
      <c r="E8" s="12">
        <v>0.59100800073870696</v>
      </c>
      <c r="F8">
        <v>1.56</v>
      </c>
      <c r="G8">
        <v>117.08</v>
      </c>
      <c r="H8">
        <v>356.33</v>
      </c>
      <c r="I8">
        <v>0.67</v>
      </c>
      <c r="J8">
        <v>163.56</v>
      </c>
      <c r="K8">
        <v>580</v>
      </c>
      <c r="L8" s="3">
        <v>30.65</v>
      </c>
    </row>
    <row r="9" spans="1:21" x14ac:dyDescent="0.45">
      <c r="A9" s="2" t="s">
        <v>1197</v>
      </c>
      <c r="B9">
        <v>1</v>
      </c>
      <c r="C9" t="s">
        <v>768</v>
      </c>
      <c r="D9">
        <v>0.68</v>
      </c>
      <c r="E9" s="12">
        <v>0.51396693466181897</v>
      </c>
      <c r="F9">
        <v>1.72</v>
      </c>
      <c r="G9">
        <v>131.24</v>
      </c>
      <c r="H9">
        <v>382.45</v>
      </c>
      <c r="I9">
        <v>0.66</v>
      </c>
      <c r="J9">
        <v>215.19</v>
      </c>
      <c r="K9">
        <v>780</v>
      </c>
      <c r="L9" s="3">
        <v>31.05</v>
      </c>
    </row>
    <row r="10" spans="1:21" x14ac:dyDescent="0.45">
      <c r="A10" s="2" t="s">
        <v>1197</v>
      </c>
      <c r="B10">
        <v>1</v>
      </c>
      <c r="C10" t="s">
        <v>809</v>
      </c>
      <c r="D10">
        <v>1.2</v>
      </c>
      <c r="E10" s="12">
        <v>0.75360472329751604</v>
      </c>
      <c r="F10">
        <v>1.54</v>
      </c>
      <c r="G10">
        <v>133.38</v>
      </c>
      <c r="H10">
        <v>366.29</v>
      </c>
      <c r="I10">
        <v>0.64</v>
      </c>
      <c r="J10">
        <v>196.29</v>
      </c>
      <c r="K10">
        <v>735</v>
      </c>
      <c r="L10" s="3">
        <v>30.55</v>
      </c>
    </row>
    <row r="11" spans="1:21" x14ac:dyDescent="0.45">
      <c r="A11" s="2" t="s">
        <v>1197</v>
      </c>
      <c r="B11">
        <v>1</v>
      </c>
      <c r="C11" t="s">
        <v>969</v>
      </c>
      <c r="D11">
        <v>0.41</v>
      </c>
      <c r="E11" s="12">
        <v>0.35019624162632201</v>
      </c>
      <c r="F11">
        <v>2.14</v>
      </c>
      <c r="G11">
        <v>139.63</v>
      </c>
      <c r="H11">
        <v>355.89</v>
      </c>
      <c r="I11">
        <v>0.61</v>
      </c>
      <c r="J11">
        <v>201.87</v>
      </c>
      <c r="K11">
        <v>791</v>
      </c>
      <c r="L11" s="3">
        <v>32.29</v>
      </c>
    </row>
    <row r="12" spans="1:21" x14ac:dyDescent="0.45">
      <c r="A12" s="2" t="s">
        <v>1197</v>
      </c>
      <c r="B12">
        <v>1</v>
      </c>
      <c r="C12" t="s">
        <v>1007</v>
      </c>
      <c r="E12" s="12"/>
      <c r="F12">
        <v>2.46</v>
      </c>
      <c r="G12">
        <v>131.38999999999999</v>
      </c>
      <c r="H12">
        <v>315.58999999999997</v>
      </c>
      <c r="I12">
        <v>0.57999999999999996</v>
      </c>
      <c r="J12">
        <v>201.99</v>
      </c>
      <c r="K12">
        <v>824</v>
      </c>
      <c r="L12" s="3">
        <v>34.020000000000003</v>
      </c>
    </row>
    <row r="13" spans="1:21" ht="19.8" thickBot="1" x14ac:dyDescent="0.5">
      <c r="A13" s="4" t="s">
        <v>1197</v>
      </c>
      <c r="B13" s="1">
        <v>1</v>
      </c>
      <c r="C13" s="1" t="s">
        <v>1043</v>
      </c>
      <c r="D13" s="1">
        <v>0.65</v>
      </c>
      <c r="E13" s="14">
        <v>0.488226537768499</v>
      </c>
      <c r="F13" s="1">
        <v>1.63</v>
      </c>
      <c r="G13" s="1">
        <v>144.81</v>
      </c>
      <c r="H13" s="1">
        <v>444.35</v>
      </c>
      <c r="I13" s="1">
        <v>0.67</v>
      </c>
      <c r="J13" s="1">
        <v>134.77000000000001</v>
      </c>
      <c r="K13" s="1">
        <v>476</v>
      </c>
      <c r="L13" s="5">
        <v>31.55</v>
      </c>
    </row>
    <row r="14" spans="1:21" x14ac:dyDescent="0.45">
      <c r="A14" s="2" t="s">
        <v>1198</v>
      </c>
      <c r="B14">
        <v>2</v>
      </c>
      <c r="C14" t="s">
        <v>341</v>
      </c>
      <c r="D14">
        <v>0.76</v>
      </c>
      <c r="E14" s="12">
        <v>0.55836791667692698</v>
      </c>
      <c r="F14">
        <v>1.38</v>
      </c>
      <c r="G14">
        <v>119.08</v>
      </c>
      <c r="H14">
        <v>395.18</v>
      </c>
      <c r="I14">
        <v>0.7</v>
      </c>
      <c r="J14">
        <v>260.27999999999997</v>
      </c>
      <c r="K14">
        <v>887</v>
      </c>
      <c r="L14" s="3">
        <v>28.7</v>
      </c>
    </row>
    <row r="15" spans="1:21" x14ac:dyDescent="0.45">
      <c r="A15" s="2" t="s">
        <v>1198</v>
      </c>
      <c r="B15">
        <v>2</v>
      </c>
      <c r="C15" t="s">
        <v>387</v>
      </c>
      <c r="E15" s="13"/>
      <c r="L15" s="3"/>
    </row>
    <row r="16" spans="1:21" x14ac:dyDescent="0.45">
      <c r="A16" s="2" t="s">
        <v>1198</v>
      </c>
      <c r="B16">
        <v>2</v>
      </c>
      <c r="C16" t="s">
        <v>426</v>
      </c>
      <c r="D16">
        <v>0.79</v>
      </c>
      <c r="E16" s="12">
        <v>0.56672353618270299</v>
      </c>
      <c r="F16">
        <v>1.61</v>
      </c>
      <c r="G16">
        <v>147.46</v>
      </c>
      <c r="H16">
        <v>263.79000000000002</v>
      </c>
      <c r="I16">
        <v>0.44</v>
      </c>
      <c r="J16">
        <v>250.98</v>
      </c>
      <c r="K16">
        <v>1355</v>
      </c>
      <c r="L16" s="3">
        <v>30.75</v>
      </c>
    </row>
    <row r="17" spans="1:20" ht="19.8" thickBot="1" x14ac:dyDescent="0.5">
      <c r="A17" s="2" t="s">
        <v>1198</v>
      </c>
      <c r="B17">
        <v>2</v>
      </c>
      <c r="C17" t="s">
        <v>603</v>
      </c>
      <c r="D17">
        <v>0.78</v>
      </c>
      <c r="E17" s="12">
        <v>0.56499972785817398</v>
      </c>
      <c r="F17">
        <v>1.55</v>
      </c>
      <c r="G17">
        <v>119.1</v>
      </c>
      <c r="H17">
        <v>399.77</v>
      </c>
      <c r="I17">
        <v>0.7</v>
      </c>
      <c r="J17">
        <v>194.03</v>
      </c>
      <c r="K17">
        <v>658</v>
      </c>
      <c r="L17" s="3">
        <v>30.43</v>
      </c>
    </row>
    <row r="18" spans="1:20" ht="19.8" thickBot="1" x14ac:dyDescent="0.5">
      <c r="A18" s="2" t="s">
        <v>1198</v>
      </c>
      <c r="B18">
        <v>2</v>
      </c>
      <c r="C18" t="s">
        <v>647</v>
      </c>
      <c r="D18">
        <v>0.88</v>
      </c>
      <c r="E18" s="12">
        <v>0.61273465066899102</v>
      </c>
      <c r="F18">
        <v>1.55</v>
      </c>
      <c r="G18">
        <v>124.28</v>
      </c>
      <c r="H18">
        <v>385.41</v>
      </c>
      <c r="I18">
        <v>0.68</v>
      </c>
      <c r="J18">
        <v>143.41999999999999</v>
      </c>
      <c r="K18">
        <v>504</v>
      </c>
      <c r="L18" s="3">
        <v>30.37</v>
      </c>
      <c r="S18" s="19" t="s">
        <v>1203</v>
      </c>
      <c r="T18" s="20" t="s">
        <v>1201</v>
      </c>
    </row>
    <row r="19" spans="1:20" x14ac:dyDescent="0.45">
      <c r="A19" s="2" t="s">
        <v>1198</v>
      </c>
      <c r="B19">
        <v>2</v>
      </c>
      <c r="C19" t="s">
        <v>688</v>
      </c>
      <c r="D19">
        <v>0.62</v>
      </c>
      <c r="E19" s="12">
        <v>0.47548574780667202</v>
      </c>
      <c r="F19">
        <v>1.74</v>
      </c>
      <c r="G19">
        <v>124.37</v>
      </c>
      <c r="H19">
        <v>375.98</v>
      </c>
      <c r="I19">
        <v>0.67</v>
      </c>
      <c r="J19">
        <v>139.97</v>
      </c>
      <c r="K19">
        <v>498</v>
      </c>
      <c r="L19" s="3">
        <v>31.24</v>
      </c>
      <c r="S19" s="15">
        <v>0.71</v>
      </c>
      <c r="T19" s="16">
        <v>0.50089594540804239</v>
      </c>
    </row>
    <row r="20" spans="1:20" ht="19.8" thickBot="1" x14ac:dyDescent="0.5">
      <c r="A20" s="2" t="s">
        <v>1198</v>
      </c>
      <c r="B20">
        <v>2</v>
      </c>
      <c r="C20" t="s">
        <v>855</v>
      </c>
      <c r="D20">
        <v>0.82</v>
      </c>
      <c r="E20" s="12">
        <v>0.58847082607560697</v>
      </c>
      <c r="F20">
        <v>1.63</v>
      </c>
      <c r="G20">
        <v>115.58</v>
      </c>
      <c r="H20">
        <v>420.22</v>
      </c>
      <c r="I20">
        <v>0.72</v>
      </c>
      <c r="J20">
        <v>158.02000000000001</v>
      </c>
      <c r="K20">
        <v>519</v>
      </c>
      <c r="L20" s="3">
        <v>30.55</v>
      </c>
      <c r="S20" s="17">
        <v>0.69181818181818189</v>
      </c>
      <c r="T20" s="18">
        <v>0.51076791805032151</v>
      </c>
    </row>
    <row r="21" spans="1:20" x14ac:dyDescent="0.45">
      <c r="A21" s="2" t="s">
        <v>1198</v>
      </c>
      <c r="B21">
        <v>2</v>
      </c>
      <c r="C21" t="s">
        <v>891</v>
      </c>
      <c r="D21">
        <v>0.64</v>
      </c>
      <c r="E21" s="12">
        <v>0.49027206656401401</v>
      </c>
      <c r="F21">
        <v>1.75</v>
      </c>
      <c r="G21">
        <v>118.15</v>
      </c>
      <c r="H21">
        <v>415.25</v>
      </c>
      <c r="I21">
        <v>0.72</v>
      </c>
      <c r="J21">
        <v>203.44</v>
      </c>
      <c r="K21">
        <v>677</v>
      </c>
      <c r="L21" s="3">
        <v>31.07</v>
      </c>
    </row>
    <row r="22" spans="1:20" x14ac:dyDescent="0.45">
      <c r="A22" s="2" t="s">
        <v>1198</v>
      </c>
      <c r="B22">
        <v>2</v>
      </c>
      <c r="C22" t="s">
        <v>931</v>
      </c>
      <c r="E22" s="12"/>
      <c r="F22">
        <v>2.64</v>
      </c>
      <c r="G22">
        <v>118.34</v>
      </c>
      <c r="H22">
        <v>391.52</v>
      </c>
      <c r="I22">
        <v>0.7</v>
      </c>
      <c r="J22">
        <v>185.21</v>
      </c>
      <c r="K22">
        <v>632</v>
      </c>
      <c r="L22" s="3">
        <v>33.35</v>
      </c>
    </row>
    <row r="23" spans="1:20" x14ac:dyDescent="0.45">
      <c r="A23" s="2" t="s">
        <v>1198</v>
      </c>
      <c r="B23">
        <v>2</v>
      </c>
      <c r="C23" t="s">
        <v>1081</v>
      </c>
      <c r="D23">
        <v>0.91</v>
      </c>
      <c r="E23" s="12">
        <v>0.63451536172284395</v>
      </c>
      <c r="F23">
        <v>1.71</v>
      </c>
      <c r="G23">
        <v>110.48</v>
      </c>
      <c r="H23">
        <v>404.36</v>
      </c>
      <c r="I23">
        <v>0.73</v>
      </c>
      <c r="J23">
        <v>148.96</v>
      </c>
      <c r="K23">
        <v>488</v>
      </c>
      <c r="L23" s="3">
        <v>30.87</v>
      </c>
    </row>
    <row r="24" spans="1:20" x14ac:dyDescent="0.45">
      <c r="A24" s="2" t="s">
        <v>1198</v>
      </c>
      <c r="B24">
        <v>2</v>
      </c>
      <c r="C24" t="s">
        <v>1119</v>
      </c>
      <c r="D24">
        <v>0.71</v>
      </c>
      <c r="E24" s="12">
        <v>0.53935573398982595</v>
      </c>
      <c r="F24">
        <v>1.76</v>
      </c>
      <c r="G24">
        <v>111.64</v>
      </c>
      <c r="H24">
        <v>399.94</v>
      </c>
      <c r="I24">
        <v>0.72</v>
      </c>
      <c r="J24">
        <v>75.69</v>
      </c>
      <c r="K24">
        <v>250</v>
      </c>
      <c r="L24" s="3">
        <v>30.44</v>
      </c>
    </row>
    <row r="25" spans="1:20" ht="19.8" thickBot="1" x14ac:dyDescent="0.5">
      <c r="A25" s="4" t="s">
        <v>1198</v>
      </c>
      <c r="B25" s="1">
        <v>2</v>
      </c>
      <c r="C25" s="1" t="s">
        <v>1159</v>
      </c>
      <c r="D25" s="1">
        <v>0.54</v>
      </c>
      <c r="E25" s="14">
        <v>0.435572453334438</v>
      </c>
      <c r="F25" s="1">
        <v>1.93</v>
      </c>
      <c r="G25" s="1">
        <v>133.02000000000001</v>
      </c>
      <c r="H25" s="1">
        <v>404.19</v>
      </c>
      <c r="I25" s="1">
        <v>0.67</v>
      </c>
      <c r="J25" s="1">
        <v>135.25</v>
      </c>
      <c r="K25" s="1">
        <v>480</v>
      </c>
      <c r="L25" s="5">
        <v>30.9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2026-08-13T02:25:44Z</dcterms:created>
  <dcterms:modified xsi:type="dcterms:W3CDTF">2026-10-26T04:28:00Z</dcterms:modified>
</cp:coreProperties>
</file>