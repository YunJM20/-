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2" documentId="11_C205767E2EE1B0FEC4040ED687F4FD4BA51887CA" xr6:coauthVersionLast="47" xr6:coauthVersionMax="47" xr10:uidLastSave="{6FACC888-0095-41AD-9E77-2C8111A4691F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T3" i="4"/>
  <c r="S3" i="4"/>
  <c r="R3" i="4"/>
  <c r="Q3" i="4"/>
  <c r="P3" i="4"/>
  <c r="O3" i="4"/>
  <c r="N3" i="4"/>
  <c r="M3" i="4"/>
  <c r="U2" i="4"/>
  <c r="T2" i="4"/>
  <c r="S2" i="4"/>
  <c r="R2" i="4"/>
  <c r="Q2" i="4"/>
  <c r="P2" i="4"/>
  <c r="O2" i="4"/>
  <c r="N2" i="4"/>
  <c r="M2" i="4"/>
  <c r="AL21" i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P19" i="1"/>
  <c r="T19" i="1" s="1"/>
  <c r="M19" i="1"/>
  <c r="L19" i="1" s="1"/>
  <c r="J19" i="1" s="1"/>
  <c r="K19" i="1"/>
  <c r="AL18" i="1"/>
  <c r="AF18" i="1"/>
  <c r="U18" i="1"/>
  <c r="P18" i="1"/>
  <c r="T18" i="1" s="1"/>
  <c r="M18" i="1"/>
  <c r="K18" i="1"/>
  <c r="AL17" i="1"/>
  <c r="P17" i="1" s="1"/>
  <c r="AF17" i="1"/>
  <c r="U17" i="1"/>
  <c r="M17" i="1"/>
  <c r="K17" i="1"/>
  <c r="AL16" i="1"/>
  <c r="AF16" i="1"/>
  <c r="U16" i="1"/>
  <c r="Q16" i="1"/>
  <c r="P16" i="1"/>
  <c r="T16" i="1" s="1"/>
  <c r="M16" i="1"/>
  <c r="L16" i="1" s="1"/>
  <c r="J16" i="1" s="1"/>
  <c r="K16" i="1"/>
  <c r="AL15" i="1"/>
  <c r="P15" i="1" s="1"/>
  <c r="AF15" i="1"/>
  <c r="U15" i="1"/>
  <c r="M15" i="1" s="1"/>
  <c r="K15" i="1"/>
  <c r="AL14" i="1"/>
  <c r="AF14" i="1"/>
  <c r="U14" i="1"/>
  <c r="P14" i="1"/>
  <c r="T14" i="1" s="1"/>
  <c r="M14" i="1"/>
  <c r="L14" i="1" s="1"/>
  <c r="J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 s="1"/>
  <c r="K12" i="1"/>
  <c r="AL11" i="1"/>
  <c r="P11" i="1" s="1"/>
  <c r="AF11" i="1"/>
  <c r="U11" i="1"/>
  <c r="M11" i="1"/>
  <c r="K11" i="1"/>
  <c r="AL10" i="1"/>
  <c r="AF10" i="1"/>
  <c r="U10" i="1"/>
  <c r="P10" i="1"/>
  <c r="T10" i="1" s="1"/>
  <c r="M10" i="1"/>
  <c r="L10" i="1" s="1"/>
  <c r="J10" i="1" s="1"/>
  <c r="K10" i="1"/>
  <c r="AL9" i="1"/>
  <c r="AF9" i="1"/>
  <c r="U9" i="1"/>
  <c r="P9" i="1"/>
  <c r="T9" i="1" s="1"/>
  <c r="M9" i="1"/>
  <c r="L9" i="1" s="1"/>
  <c r="J9" i="1" s="1"/>
  <c r="K9" i="1"/>
  <c r="AL8" i="1"/>
  <c r="P8" i="1" s="1"/>
  <c r="AF8" i="1"/>
  <c r="U8" i="1"/>
  <c r="M8" i="1"/>
  <c r="K8" i="1"/>
  <c r="AL7" i="1"/>
  <c r="AF7" i="1"/>
  <c r="U7" i="1"/>
  <c r="Q7" i="1"/>
  <c r="P7" i="1"/>
  <c r="T7" i="1" s="1"/>
  <c r="M7" i="1"/>
  <c r="L7" i="1" s="1"/>
  <c r="J7" i="1" s="1"/>
  <c r="K7" i="1"/>
  <c r="AL6" i="1"/>
  <c r="P6" i="1" s="1"/>
  <c r="AF6" i="1"/>
  <c r="U6" i="1"/>
  <c r="M6" i="1"/>
  <c r="K6" i="1"/>
  <c r="AL5" i="1"/>
  <c r="AF5" i="1"/>
  <c r="U5" i="1"/>
  <c r="Q5" i="1"/>
  <c r="P5" i="1"/>
  <c r="T5" i="1" s="1"/>
  <c r="M5" i="1"/>
  <c r="L5" i="1" s="1"/>
  <c r="J5" i="1" s="1"/>
  <c r="K5" i="1"/>
  <c r="AL4" i="1"/>
  <c r="P4" i="1" s="1"/>
  <c r="AF4" i="1"/>
  <c r="U4" i="1"/>
  <c r="M4" i="1" s="1"/>
  <c r="K4" i="1"/>
  <c r="T15" i="1" l="1"/>
  <c r="L15" i="1" s="1"/>
  <c r="J15" i="1" s="1"/>
  <c r="Q15" i="1"/>
  <c r="T13" i="1"/>
  <c r="L13" i="1" s="1"/>
  <c r="J13" i="1" s="1"/>
  <c r="Q13" i="1"/>
  <c r="Q8" i="1"/>
  <c r="T8" i="1"/>
  <c r="L8" i="1" s="1"/>
  <c r="J8" i="1" s="1"/>
  <c r="T12" i="1"/>
  <c r="L12" i="1" s="1"/>
  <c r="J12" i="1" s="1"/>
  <c r="Q12" i="1"/>
  <c r="Q6" i="1"/>
  <c r="T6" i="1"/>
  <c r="L6" i="1" s="1"/>
  <c r="J6" i="1" s="1"/>
  <c r="L20" i="1"/>
  <c r="J20" i="1" s="1"/>
  <c r="L17" i="1"/>
  <c r="J17" i="1" s="1"/>
  <c r="L4" i="1"/>
  <c r="J4" i="1" s="1"/>
  <c r="T4" i="1"/>
  <c r="Q4" i="1"/>
  <c r="T11" i="1"/>
  <c r="L11" i="1" s="1"/>
  <c r="J11" i="1" s="1"/>
  <c r="Q11" i="1"/>
  <c r="T20" i="1"/>
  <c r="Q20" i="1"/>
  <c r="T17" i="1"/>
  <c r="Q17" i="1"/>
  <c r="L18" i="1"/>
  <c r="J18" i="1" s="1"/>
  <c r="T21" i="1"/>
  <c r="L21" i="1" s="1"/>
  <c r="J21" i="1" s="1"/>
  <c r="Q21" i="1"/>
  <c r="Q18" i="1"/>
  <c r="Q9" i="1"/>
  <c r="Q10" i="1"/>
  <c r="Q19" i="1"/>
  <c r="Q14" i="1"/>
</calcChain>
</file>

<file path=xl/sharedStrings.xml><?xml version="1.0" encoding="utf-8"?>
<sst xmlns="http://schemas.openxmlformats.org/spreadsheetml/2006/main" count="2930" uniqueCount="965">
  <si>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</si>
  <si>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</si>
  <si>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</si>
  <si>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</si>
  <si>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</si>
  <si>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</si>
  <si>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</si>
  <si>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</si>
  <si>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</si>
  <si>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</si>
  <si>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</si>
  <si>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</si>
  <si>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</si>
  <si>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</si>
  <si>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</si>
  <si>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</si>
  <si>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</si>
  <si>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</si>
  <si>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</si>
  <si>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</si>
  <si>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</si>
  <si>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</si>
  <si>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</si>
  <si>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</si>
  <si>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</si>
  <si>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</si>
  <si>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</si>
  <si>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</si>
  <si>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</si>
  <si>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</si>
  <si>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</si>
  <si>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</si>
  <si>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</si>
  <si>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</si>
  <si>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</si>
  <si>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</si>
  <si>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</si>
  <si>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</si>
  <si>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</si>
  <si>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</si>
  <si>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</si>
  <si>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</si>
  <si>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</si>
  <si>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</si>
  <si>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</si>
  <si>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</si>
  <si>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</si>
  <si>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</si>
  <si>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</si>
  <si>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</si>
  <si>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</si>
  <si>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</si>
  <si>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</si>
  <si>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</si>
  <si>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</si>
  <si>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</si>
  <si>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</si>
  <si>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</si>
  <si>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</si>
  <si>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</si>
  <si>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</si>
  <si>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</si>
  <si>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</si>
  <si>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</si>
  <si>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</si>
  <si>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</si>
  <si>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</si>
  <si>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</si>
  <si>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</si>
  <si>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</si>
  <si>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</si>
  <si>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</si>
  <si>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</si>
  <si>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</si>
  <si>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</si>
  <si>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</si>
  <si>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</si>
  <si>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</si>
  <si>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</si>
  <si>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</si>
  <si>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</si>
  <si>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</si>
  <si>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</si>
  <si>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</si>
  <si>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</si>
  <si>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</si>
  <si>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</si>
  <si>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</si>
  <si>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</si>
  <si>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</si>
  <si>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</si>
  <si>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</si>
  <si>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</si>
  <si>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</si>
  <si>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</si>
  <si>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</si>
  <si>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</si>
  <si>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</si>
  <si>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</si>
  <si>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</si>
  <si>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</si>
  <si>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</si>
  <si>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</si>
  <si>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</si>
  <si>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</si>
  <si>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</si>
  <si>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</si>
  <si>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</si>
  <si>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</si>
  <si>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</si>
  <si>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</si>
  <si>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</si>
  <si>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</si>
  <si>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</si>
  <si>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</si>
  <si>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</si>
  <si>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</si>
  <si>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</si>
  <si>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</si>
  <si>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</si>
  <si>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</si>
  <si>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</si>
  <si>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</si>
  <si>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</si>
  <si>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</si>
  <si>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</si>
  <si>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</si>
  <si>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</si>
  <si>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</si>
  <si>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</si>
  <si>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</si>
  <si>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</si>
  <si>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</si>
  <si>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</si>
  <si>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</si>
  <si>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</si>
  <si>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</si>
  <si>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</si>
  <si>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</si>
  <si>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</si>
  <si>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</si>
  <si>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</si>
  <si>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</si>
  <si>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</si>
  <si>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</si>
  <si>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</si>
  <si>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</si>
  <si>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</si>
  <si>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</si>
  <si>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</si>
  <si>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</si>
  <si>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</si>
  <si>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</si>
  <si>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</si>
  <si>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</si>
  <si>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</si>
  <si>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</si>
  <si>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</si>
  <si>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</si>
  <si>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</si>
  <si>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08:31:28</t>
  </si>
  <si>
    <t>2026-08-15</t>
  </si>
  <si>
    <t>lightfluoromete</t>
  </si>
  <si>
    <t>yun</t>
  </si>
  <si>
    <t>001</t>
  </si>
  <si>
    <t>2.228387</t>
  </si>
  <si>
    <t>2.141227</t>
  </si>
  <si>
    <t>21.316187</t>
  </si>
  <si>
    <t>22.183878</t>
  </si>
  <si>
    <t>7.500000</t>
  </si>
  <si>
    <t>PSF-01106_20260815083128_3b7</t>
  </si>
  <si>
    <t>0.000000</t>
  </si>
  <si>
    <t>137.010101</t>
  </si>
  <si>
    <t>553.090454</t>
  </si>
  <si>
    <t>0.752283</t>
  </si>
  <si>
    <t>0.5</t>
  </si>
  <si>
    <t>0.84</t>
  </si>
  <si>
    <t>1.000000</t>
  </si>
  <si>
    <t>64.89</t>
  </si>
  <si>
    <t>62.36</t>
  </si>
  <si>
    <t>26.30</t>
  </si>
  <si>
    <t>25.34</t>
  </si>
  <si>
    <t>100.45</t>
  </si>
  <si>
    <t>156.1</t>
  </si>
  <si>
    <t>156.0</t>
  </si>
  <si>
    <t>0.1</t>
  </si>
  <si>
    <t>179</t>
  </si>
  <si>
    <t>3.910</t>
  </si>
  <si>
    <t>-31</t>
  </si>
  <si>
    <t>-81</t>
  </si>
  <si>
    <t>184</t>
  </si>
  <si>
    <t>82.29</t>
  </si>
  <si>
    <t>-81.34</t>
  </si>
  <si>
    <t>00:00:00</t>
  </si>
  <si>
    <t>0000-00-00</t>
  </si>
  <si>
    <t>nan</t>
  </si>
  <si>
    <t>0</t>
  </si>
  <si>
    <t>08:31:02</t>
  </si>
  <si>
    <t>-2.44</t>
  </si>
  <si>
    <t>-0.002</t>
  </si>
  <si>
    <t>0.001</t>
  </si>
  <si>
    <t>0.000</t>
  </si>
  <si>
    <t>-0.147</t>
  </si>
  <si>
    <t>-0.110</t>
  </si>
  <si>
    <t>-0.622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</si>
  <si>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</si>
  <si>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</si>
  <si>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</si>
  <si>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</si>
  <si>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</si>
  <si>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</si>
  <si>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</si>
  <si>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</si>
  <si>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</si>
  <si>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</si>
  <si>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</si>
  <si>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2.521908</t>
  </si>
  <si>
    <t>2.465148</t>
  </si>
  <si>
    <t>1.670907</t>
  </si>
  <si>
    <t>0.944042</t>
  </si>
  <si>
    <t>0.258998</t>
  </si>
  <si>
    <t>-0.010364</t>
  </si>
  <si>
    <t>0.070382</t>
  </si>
  <si>
    <t>0.263023</t>
  </si>
  <si>
    <t>0.000341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</si>
  <si>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</si>
  <si>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</si>
  <si>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</si>
  <si>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</si>
  <si>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</si>
  <si>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</si>
  <si>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</si>
  <si>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</si>
  <si>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</si>
  <si>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</si>
  <si>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</si>
  <si>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</si>
  <si>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</si>
  <si>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</si>
  <si>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08:32:07</t>
  </si>
  <si>
    <t>002</t>
  </si>
  <si>
    <t>2.297860</t>
  </si>
  <si>
    <t>2.190610</t>
  </si>
  <si>
    <t>21.805634</t>
  </si>
  <si>
    <t>22.873211</t>
  </si>
  <si>
    <t>PSF-01106_20260815083207_36a</t>
  </si>
  <si>
    <t>115.610359</t>
  </si>
  <si>
    <t>498.522156</t>
  </si>
  <si>
    <t>0.768094</t>
  </si>
  <si>
    <t>66.45</t>
  </si>
  <si>
    <t>63.35</t>
  </si>
  <si>
    <t>26.41</t>
  </si>
  <si>
    <t>25.33</t>
  </si>
  <si>
    <t>100.46</t>
  </si>
  <si>
    <t>155.8</t>
  </si>
  <si>
    <t>154.8</t>
  </si>
  <si>
    <t>0.7</t>
  </si>
  <si>
    <t>299</t>
  </si>
  <si>
    <t>3.908</t>
  </si>
  <si>
    <t>-26</t>
  </si>
  <si>
    <t>-1</t>
  </si>
  <si>
    <t>194</t>
  </si>
  <si>
    <t>26.02</t>
  </si>
  <si>
    <t>11.72</t>
  </si>
  <si>
    <t>0.002</t>
  </si>
  <si>
    <t>0.134</t>
  </si>
  <si>
    <t>0.132</t>
  </si>
  <si>
    <t>-0.243</t>
  </si>
  <si>
    <t>2.523253</t>
  </si>
  <si>
    <t>2.467088</t>
  </si>
  <si>
    <t>1.668572</t>
  </si>
  <si>
    <t>0.940989</t>
  </si>
  <si>
    <t>0.257782</t>
  </si>
  <si>
    <t>-0.011894</t>
  </si>
  <si>
    <t>0.076473</t>
  </si>
  <si>
    <t>0.367620</t>
  </si>
  <si>
    <t>0.000334</t>
  </si>
  <si>
    <t>3</t>
  </si>
  <si>
    <t>08:32:49</t>
  </si>
  <si>
    <t>003</t>
  </si>
  <si>
    <t>2.352716</t>
  </si>
  <si>
    <t>2.248642</t>
  </si>
  <si>
    <t>22.382006</t>
  </si>
  <si>
    <t>23.417912</t>
  </si>
  <si>
    <t>PSF-01106_20260815083249_034</t>
  </si>
  <si>
    <t>134.120819</t>
  </si>
  <si>
    <t>525.722595</t>
  </si>
  <si>
    <t>0.744883</t>
  </si>
  <si>
    <t>67.49</t>
  </si>
  <si>
    <t>64.50</t>
  </si>
  <si>
    <t>26.55</t>
  </si>
  <si>
    <t>25.49</t>
  </si>
  <si>
    <t>100.47</t>
  </si>
  <si>
    <t>156.2</t>
  </si>
  <si>
    <t>155.2</t>
  </si>
  <si>
    <t>0.6</t>
  </si>
  <si>
    <t>279</t>
  </si>
  <si>
    <t>-13</t>
  </si>
  <si>
    <t>-42</t>
  </si>
  <si>
    <t>114</t>
  </si>
  <si>
    <t>45.76</t>
  </si>
  <si>
    <t>69.76</t>
  </si>
  <si>
    <t>43.61</t>
  </si>
  <si>
    <t>-141.97</t>
  </si>
  <si>
    <t>14.11</t>
  </si>
  <si>
    <t>95.23</t>
  </si>
  <si>
    <t>58.39</t>
  </si>
  <si>
    <t>23:32:27</t>
  </si>
  <si>
    <t>2026-08-14</t>
  </si>
  <si>
    <t>35.850418</t>
  </si>
  <si>
    <t>127.129715</t>
  </si>
  <si>
    <t>-0.800000</t>
  </si>
  <si>
    <t>5</t>
  </si>
  <si>
    <t>1.860000</t>
  </si>
  <si>
    <t>-0.000</t>
  </si>
  <si>
    <t>0.020</t>
  </si>
  <si>
    <t>-0.131</t>
  </si>
  <si>
    <t>-0.100</t>
  </si>
  <si>
    <t>2.524806</t>
  </si>
  <si>
    <t>2.468366</t>
  </si>
  <si>
    <t>1.671605</t>
  </si>
  <si>
    <t>0.941984</t>
  </si>
  <si>
    <t>0.256371</t>
  </si>
  <si>
    <t>-0.011690</t>
  </si>
  <si>
    <t>0.082870</t>
  </si>
  <si>
    <t>0.350039</t>
  </si>
  <si>
    <t>4</t>
  </si>
  <si>
    <t>08:33:14</t>
  </si>
  <si>
    <t>004</t>
  </si>
  <si>
    <t>2.336311</t>
  </si>
  <si>
    <t>2.240524</t>
  </si>
  <si>
    <t>22.300598</t>
  </si>
  <si>
    <t>23.253986</t>
  </si>
  <si>
    <t>PSF-01106_20260815083314_694</t>
  </si>
  <si>
    <t>117.353081</t>
  </si>
  <si>
    <t>498.172760</t>
  </si>
  <si>
    <t>0.764433</t>
  </si>
  <si>
    <t>66.71</t>
  </si>
  <si>
    <t>63.98</t>
  </si>
  <si>
    <t>26.63</t>
  </si>
  <si>
    <t>25.68</t>
  </si>
  <si>
    <t>144.4</t>
  </si>
  <si>
    <t>7.5</t>
  </si>
  <si>
    <t>289</t>
  </si>
  <si>
    <t>3.907</t>
  </si>
  <si>
    <t>-30</t>
  </si>
  <si>
    <t>-34</t>
  </si>
  <si>
    <t>127</t>
  </si>
  <si>
    <t>22.00</t>
  </si>
  <si>
    <t>92.72</t>
  </si>
  <si>
    <t>44.11</t>
  </si>
  <si>
    <t>-106.45</t>
  </si>
  <si>
    <t>23:32:50</t>
  </si>
  <si>
    <t>35.850349</t>
  </si>
  <si>
    <t>127.129677</t>
  </si>
  <si>
    <t>38.900002</t>
  </si>
  <si>
    <t>7</t>
  </si>
  <si>
    <t>1.510000</t>
  </si>
  <si>
    <t>-0.005</t>
  </si>
  <si>
    <t>0.166</t>
  </si>
  <si>
    <t>-0.277</t>
  </si>
  <si>
    <t>-0.344</t>
  </si>
  <si>
    <t>2.524071</t>
  </si>
  <si>
    <t>2.467378</t>
  </si>
  <si>
    <t>1.670676</t>
  </si>
  <si>
    <t>0.914456</t>
  </si>
  <si>
    <t>0.255587</t>
  </si>
  <si>
    <t>-0.010280</t>
  </si>
  <si>
    <t>0.086482</t>
  </si>
  <si>
    <t>0.359426</t>
  </si>
  <si>
    <t>0.000337</t>
  </si>
  <si>
    <t>08:33:37</t>
  </si>
  <si>
    <t>005</t>
  </si>
  <si>
    <t>2.379431</t>
  </si>
  <si>
    <t>2.290604</t>
  </si>
  <si>
    <t>22.797466</t>
  </si>
  <si>
    <t>23.681524</t>
  </si>
  <si>
    <t>PSF-01106_20260815083337_9b8</t>
  </si>
  <si>
    <t>118.705276</t>
  </si>
  <si>
    <t>507.218964</t>
  </si>
  <si>
    <t>0.765968</t>
  </si>
  <si>
    <t>67.63</t>
  </si>
  <si>
    <t>65.10</t>
  </si>
  <si>
    <t>26.71</t>
  </si>
  <si>
    <t>25.72</t>
  </si>
  <si>
    <t>100.48</t>
  </si>
  <si>
    <t>152.0</t>
  </si>
  <si>
    <t>2.6</t>
  </si>
  <si>
    <t>309</t>
  </si>
  <si>
    <t>3.906</t>
  </si>
  <si>
    <t>-17</t>
  </si>
  <si>
    <t>131</t>
  </si>
  <si>
    <t>36.94</t>
  </si>
  <si>
    <t>79.92</t>
  </si>
  <si>
    <t>21.28</t>
  </si>
  <si>
    <t>-87.30</t>
  </si>
  <si>
    <t>95.39</t>
  </si>
  <si>
    <t>58.19</t>
  </si>
  <si>
    <t>23:33:15</t>
  </si>
  <si>
    <t>35.850327</t>
  </si>
  <si>
    <t>40.799999</t>
  </si>
  <si>
    <t>1.490000</t>
  </si>
  <si>
    <t>-0.001</t>
  </si>
  <si>
    <t>-0.004</t>
  </si>
  <si>
    <t>0.114</t>
  </si>
  <si>
    <t>0.160</t>
  </si>
  <si>
    <t>2.525604</t>
  </si>
  <si>
    <t>2.468519</t>
  </si>
  <si>
    <t>1.670908</t>
  </si>
  <si>
    <t>0.933750</t>
  </si>
  <si>
    <t>0.254789</t>
  </si>
  <si>
    <t>-0.010836</t>
  </si>
  <si>
    <t>0.089884</t>
  </si>
  <si>
    <t>0.376726</t>
  </si>
  <si>
    <t>0.000339</t>
  </si>
  <si>
    <t>6</t>
  </si>
  <si>
    <t>08:34:23</t>
  </si>
  <si>
    <t>006</t>
  </si>
  <si>
    <t>2.407341</t>
  </si>
  <si>
    <t>2.314924</t>
  </si>
  <si>
    <t>23.042320</t>
  </si>
  <si>
    <t>23.962221</t>
  </si>
  <si>
    <t>PSF-01106_20260815083423_e92</t>
  </si>
  <si>
    <t>126.167534</t>
  </si>
  <si>
    <t>545.343140</t>
  </si>
  <si>
    <t>0.768646</t>
  </si>
  <si>
    <t>67.81</t>
  </si>
  <si>
    <t>65.21</t>
  </si>
  <si>
    <t>26.86</t>
  </si>
  <si>
    <t>25.78</t>
  </si>
  <si>
    <t>147.9</t>
  </si>
  <si>
    <t>5.3</t>
  </si>
  <si>
    <t>233</t>
  </si>
  <si>
    <t>3.904</t>
  </si>
  <si>
    <t>-9</t>
  </si>
  <si>
    <t>138</t>
  </si>
  <si>
    <t>56.07</t>
  </si>
  <si>
    <t>55.82</t>
  </si>
  <si>
    <t>10.80</t>
  </si>
  <si>
    <t>-8.10</t>
  </si>
  <si>
    <t>95.55</t>
  </si>
  <si>
    <t>57.99</t>
  </si>
  <si>
    <t>23:34:01</t>
  </si>
  <si>
    <t>35.850262</t>
  </si>
  <si>
    <t>127.129707</t>
  </si>
  <si>
    <t>41.599998</t>
  </si>
  <si>
    <t>1.020000</t>
  </si>
  <si>
    <t>0.280</t>
  </si>
  <si>
    <t>0.412</t>
  </si>
  <si>
    <t>0.463</t>
  </si>
  <si>
    <t>2.525712</t>
  </si>
  <si>
    <t>2.468719</t>
  </si>
  <si>
    <t>1.671010</t>
  </si>
  <si>
    <t>0.923304</t>
  </si>
  <si>
    <t>0.253245</t>
  </si>
  <si>
    <t>-0.011889</t>
  </si>
  <si>
    <t>0.096588</t>
  </si>
  <si>
    <t>0.310565</t>
  </si>
  <si>
    <t>08:34:49</t>
  </si>
  <si>
    <t>007</t>
  </si>
  <si>
    <t>2.428800</t>
  </si>
  <si>
    <t>2.326315</t>
  </si>
  <si>
    <t>23.154499</t>
  </si>
  <si>
    <t>24.174557</t>
  </si>
  <si>
    <t>PSF-01106_20260815083449_296</t>
  </si>
  <si>
    <t>120.755554</t>
  </si>
  <si>
    <t>506.519073</t>
  </si>
  <si>
    <t>0.761597</t>
  </si>
  <si>
    <t>68.07</t>
  </si>
  <si>
    <t>65.19</t>
  </si>
  <si>
    <t>26.95</t>
  </si>
  <si>
    <t>25.85</t>
  </si>
  <si>
    <t>311</t>
  </si>
  <si>
    <t>3.903</t>
  </si>
  <si>
    <t>-5</t>
  </si>
  <si>
    <t>140</t>
  </si>
  <si>
    <t>37.75</t>
  </si>
  <si>
    <t>79.07</t>
  </si>
  <si>
    <t>26.44</t>
  </si>
  <si>
    <t>-51.29</t>
  </si>
  <si>
    <t>23:34:27</t>
  </si>
  <si>
    <t>35.850250</t>
  </si>
  <si>
    <t>127.129700</t>
  </si>
  <si>
    <t>42.799999</t>
  </si>
  <si>
    <t>8</t>
  </si>
  <si>
    <t>0.910000</t>
  </si>
  <si>
    <t>0.011</t>
  </si>
  <si>
    <t>-0.086</t>
  </si>
  <si>
    <t>-0.011</t>
  </si>
  <si>
    <t>0.277</t>
  </si>
  <si>
    <t>2.525678</t>
  </si>
  <si>
    <t>2.469028</t>
  </si>
  <si>
    <t>1.669850</t>
  </si>
  <si>
    <t>0.933705</t>
  </si>
  <si>
    <t>0.252375</t>
  </si>
  <si>
    <t>-0.012095</t>
  </si>
  <si>
    <t>0.100189</t>
  </si>
  <si>
    <t>0.378253</t>
  </si>
  <si>
    <t>0.000345</t>
  </si>
  <si>
    <t>08:35:20</t>
  </si>
  <si>
    <t>008</t>
  </si>
  <si>
    <t>2.462364</t>
  </si>
  <si>
    <t>2.360812</t>
  </si>
  <si>
    <t>23.495697</t>
  </si>
  <si>
    <t>24.506378</t>
  </si>
  <si>
    <t>PSF-01106_20260815083520_eee</t>
  </si>
  <si>
    <t>130.221970</t>
  </si>
  <si>
    <t>517.189636</t>
  </si>
  <si>
    <t>0.748212</t>
  </si>
  <si>
    <t>68.55</t>
  </si>
  <si>
    <t>65.72</t>
  </si>
  <si>
    <t>27.06</t>
  </si>
  <si>
    <t>25.91</t>
  </si>
  <si>
    <t>155.9</t>
  </si>
  <si>
    <t>152.8</t>
  </si>
  <si>
    <t>2.0</t>
  </si>
  <si>
    <t>316</t>
  </si>
  <si>
    <t>-18</t>
  </si>
  <si>
    <t>-14</t>
  </si>
  <si>
    <t>116</t>
  </si>
  <si>
    <t>36.96</t>
  </si>
  <si>
    <t>79.90</t>
  </si>
  <si>
    <t>22.66</t>
  </si>
  <si>
    <t>-102.90</t>
  </si>
  <si>
    <t>23:34:58</t>
  </si>
  <si>
    <t>35.850269</t>
  </si>
  <si>
    <t>127.129669</t>
  </si>
  <si>
    <t>10</t>
  </si>
  <si>
    <t>0.870000</t>
  </si>
  <si>
    <t>0.003</t>
  </si>
  <si>
    <t>0.270</t>
  </si>
  <si>
    <t>1.868</t>
  </si>
  <si>
    <t>2.526379</t>
  </si>
  <si>
    <t>2.469616</t>
  </si>
  <si>
    <t>1.669573</t>
  </si>
  <si>
    <t>0.935840</t>
  </si>
  <si>
    <t>0.251242</t>
  </si>
  <si>
    <t>-0.012761</t>
  </si>
  <si>
    <t>0.104602</t>
  </si>
  <si>
    <t>0.382808</t>
  </si>
  <si>
    <t>0.000336</t>
  </si>
  <si>
    <t>9</t>
  </si>
  <si>
    <t>08:35:56</t>
  </si>
  <si>
    <t>009</t>
  </si>
  <si>
    <t>2.499158</t>
  </si>
  <si>
    <t>2.409894</t>
  </si>
  <si>
    <t>23.984419</t>
  </si>
  <si>
    <t>24.872812</t>
  </si>
  <si>
    <t>PSF-01106_20260815083556_069</t>
  </si>
  <si>
    <t>117.898819</t>
  </si>
  <si>
    <t>510.557404</t>
  </si>
  <si>
    <t>0.769078</t>
  </si>
  <si>
    <t>69.04</t>
  </si>
  <si>
    <t>66.57</t>
  </si>
  <si>
    <t>27.19</t>
  </si>
  <si>
    <t>26.10</t>
  </si>
  <si>
    <t>153.8</t>
  </si>
  <si>
    <t>1.5</t>
  </si>
  <si>
    <t>268</t>
  </si>
  <si>
    <t>3.902</t>
  </si>
  <si>
    <t>-33</t>
  </si>
  <si>
    <t>104</t>
  </si>
  <si>
    <t>33.93</t>
  </si>
  <si>
    <t>82.97</t>
  </si>
  <si>
    <t>45.95</t>
  </si>
  <si>
    <t>-125.27</t>
  </si>
  <si>
    <t>95.71</t>
  </si>
  <si>
    <t>57.79</t>
  </si>
  <si>
    <t>23:35:33</t>
  </si>
  <si>
    <t>35.850258</t>
  </si>
  <si>
    <t>42.099998</t>
  </si>
  <si>
    <t>0.990000</t>
  </si>
  <si>
    <t>0.170</t>
  </si>
  <si>
    <t>0.198</t>
  </si>
  <si>
    <t>2.527517</t>
  </si>
  <si>
    <t>2.470208</t>
  </si>
  <si>
    <t>1.671052</t>
  </si>
  <si>
    <t>0.938427</t>
  </si>
  <si>
    <t>0.249931</t>
  </si>
  <si>
    <t>-0.012086</t>
  </si>
  <si>
    <t>0.109573</t>
  </si>
  <si>
    <t>0.340662</t>
  </si>
  <si>
    <t>0.000343</t>
  </si>
  <si>
    <t>08:37:30</t>
  </si>
  <si>
    <t>010</t>
  </si>
  <si>
    <t>2.426202</t>
  </si>
  <si>
    <t>2.342547</t>
  </si>
  <si>
    <t>23.312693</t>
  </si>
  <si>
    <t>24.145218</t>
  </si>
  <si>
    <t>PSF-01106_20260815083730_6d4</t>
  </si>
  <si>
    <t>146.272308</t>
  </si>
  <si>
    <t>540.137878</t>
  </si>
  <si>
    <t>0.729195</t>
  </si>
  <si>
    <t>65.68</t>
  </si>
  <si>
    <t>63.42</t>
  </si>
  <si>
    <t>27.54</t>
  </si>
  <si>
    <t>26.51</t>
  </si>
  <si>
    <t>150.2</t>
  </si>
  <si>
    <t>3.6</t>
  </si>
  <si>
    <t>301</t>
  </si>
  <si>
    <t>3.899</t>
  </si>
  <si>
    <t>-24</t>
  </si>
  <si>
    <t>134</t>
  </si>
  <si>
    <t>40.32</t>
  </si>
  <si>
    <t>76.24</t>
  </si>
  <si>
    <t>24.00</t>
  </si>
  <si>
    <t>-46.00</t>
  </si>
  <si>
    <t>96.03</t>
  </si>
  <si>
    <t>57.39</t>
  </si>
  <si>
    <t>23:37:08</t>
  </si>
  <si>
    <t>35.850182</t>
  </si>
  <si>
    <t>127.129646</t>
  </si>
  <si>
    <t>45.599998</t>
  </si>
  <si>
    <t>0.980000</t>
  </si>
  <si>
    <t>-0.113</t>
  </si>
  <si>
    <t>-0.052</t>
  </si>
  <si>
    <t>-0.524</t>
  </si>
  <si>
    <t>2.523114</t>
  </si>
  <si>
    <t>2.465918</t>
  </si>
  <si>
    <t>1.669503</t>
  </si>
  <si>
    <t>0.929269</t>
  </si>
  <si>
    <t>0.246533</t>
  </si>
  <si>
    <t>-0.011389</t>
  </si>
  <si>
    <t>0.122564</t>
  </si>
  <si>
    <t>0.369510</t>
  </si>
  <si>
    <t>0.000335</t>
  </si>
  <si>
    <t>11</t>
  </si>
  <si>
    <t>08:37:51</t>
  </si>
  <si>
    <t>011</t>
  </si>
  <si>
    <t>2.445279</t>
  </si>
  <si>
    <t>2.336427</t>
  </si>
  <si>
    <t>23.250462</t>
  </si>
  <si>
    <t>24.333679</t>
  </si>
  <si>
    <t>PSF-01106_20260815083751_d9e</t>
  </si>
  <si>
    <t>118.714569</t>
  </si>
  <si>
    <t>482.507599</t>
  </si>
  <si>
    <t>0.753963</t>
  </si>
  <si>
    <t>65.92</t>
  </si>
  <si>
    <t>62.98</t>
  </si>
  <si>
    <t>27.61</t>
  </si>
  <si>
    <t>26.34</t>
  </si>
  <si>
    <t>100.49</t>
  </si>
  <si>
    <t>153.4</t>
  </si>
  <si>
    <t>1.7</t>
  </si>
  <si>
    <t>300</t>
  </si>
  <si>
    <t>3.898</t>
  </si>
  <si>
    <t>97</t>
  </si>
  <si>
    <t>41.99</t>
  </si>
  <si>
    <t>74.32</t>
  </si>
  <si>
    <t>24.56</t>
  </si>
  <si>
    <t>-127.69</t>
  </si>
  <si>
    <t>23:37:28</t>
  </si>
  <si>
    <t>45.799999</t>
  </si>
  <si>
    <t>0.004</t>
  </si>
  <si>
    <t>-0.090</t>
  </si>
  <si>
    <t>-0.197</t>
  </si>
  <si>
    <t>-0.375</t>
  </si>
  <si>
    <t>2.522502</t>
  </si>
  <si>
    <t>2.466202</t>
  </si>
  <si>
    <t>1.670444</t>
  </si>
  <si>
    <t>0.937307</t>
  </si>
  <si>
    <t>0.245824</t>
  </si>
  <si>
    <t>-0.014204</t>
  </si>
  <si>
    <t>0.125301</t>
  </si>
  <si>
    <t>0.368784</t>
  </si>
  <si>
    <t>0.000348</t>
  </si>
  <si>
    <t>12</t>
  </si>
  <si>
    <t>08:38:15</t>
  </si>
  <si>
    <t>012</t>
  </si>
  <si>
    <t>2.494512</t>
  </si>
  <si>
    <t>2.393276</t>
  </si>
  <si>
    <t>23.815233</t>
  </si>
  <si>
    <t>24.822620</t>
  </si>
  <si>
    <t>PSF-01106_20260815083815_2e5</t>
  </si>
  <si>
    <t>138.985275</t>
  </si>
  <si>
    <t>510.479462</t>
  </si>
  <si>
    <t>0.727736</t>
  </si>
  <si>
    <t>66.90</t>
  </si>
  <si>
    <t>64.18</t>
  </si>
  <si>
    <t>27.70</t>
  </si>
  <si>
    <t>152.4</t>
  </si>
  <si>
    <t>2.2</t>
  </si>
  <si>
    <t>310</t>
  </si>
  <si>
    <t>-25</t>
  </si>
  <si>
    <t>27.28</t>
  </si>
  <si>
    <t>88.88</t>
  </si>
  <si>
    <t>30.46</t>
  </si>
  <si>
    <t>-90.55</t>
  </si>
  <si>
    <t>23:37:53</t>
  </si>
  <si>
    <t>35.850185</t>
  </si>
  <si>
    <t>127.129654</t>
  </si>
  <si>
    <t>45.500000</t>
  </si>
  <si>
    <t>1.460000</t>
  </si>
  <si>
    <t>-0.003</t>
  </si>
  <si>
    <t>-0.008</t>
  </si>
  <si>
    <t>-0.029</t>
  </si>
  <si>
    <t>0.077</t>
  </si>
  <si>
    <t>2.524129</t>
  </si>
  <si>
    <t>2.467418</t>
  </si>
  <si>
    <t>1.668992</t>
  </si>
  <si>
    <t>0.934887</t>
  </si>
  <si>
    <t>0.244954</t>
  </si>
  <si>
    <t>-0.014171</t>
  </si>
  <si>
    <t>0.128460</t>
  </si>
  <si>
    <t>0.377537</t>
  </si>
  <si>
    <t>13</t>
  </si>
  <si>
    <t>08:38:43</t>
  </si>
  <si>
    <t>013</t>
  </si>
  <si>
    <t>2.542805</t>
  </si>
  <si>
    <t>2.473256</t>
  </si>
  <si>
    <t>24.610731</t>
  </si>
  <si>
    <t>25.302797</t>
  </si>
  <si>
    <t>PSF-01106_20260815083843_4ef</t>
  </si>
  <si>
    <t>118.660568</t>
  </si>
  <si>
    <t>478.758575</t>
  </si>
  <si>
    <t>0.752150</t>
  </si>
  <si>
    <t>67.77</t>
  </si>
  <si>
    <t>27.81</t>
  </si>
  <si>
    <t>26.82</t>
  </si>
  <si>
    <t>100.50</t>
  </si>
  <si>
    <t>136.3</t>
  </si>
  <si>
    <t>12.6</t>
  </si>
  <si>
    <t>-19</t>
  </si>
  <si>
    <t>154</t>
  </si>
  <si>
    <t>47.90</t>
  </si>
  <si>
    <t>67.04</t>
  </si>
  <si>
    <t>19.03</t>
  </si>
  <si>
    <t>-29.07</t>
  </si>
  <si>
    <t>96.19</t>
  </si>
  <si>
    <t>57.19</t>
  </si>
  <si>
    <t>23:38:21</t>
  </si>
  <si>
    <t>35.850178</t>
  </si>
  <si>
    <t>45.400002</t>
  </si>
  <si>
    <t>1.130000</t>
  </si>
  <si>
    <t>0.027</t>
  </si>
  <si>
    <t>-0.156</t>
  </si>
  <si>
    <t>-0.216</t>
  </si>
  <si>
    <t>2.526489</t>
  </si>
  <si>
    <t>2.468500</t>
  </si>
  <si>
    <t>1.669753</t>
  </si>
  <si>
    <t>0.894216</t>
  </si>
  <si>
    <t>0.243924</t>
  </si>
  <si>
    <t>-0.010946</t>
  </si>
  <si>
    <t>0.132272</t>
  </si>
  <si>
    <t>0.368503</t>
  </si>
  <si>
    <t>0.000349</t>
  </si>
  <si>
    <t>14</t>
  </si>
  <si>
    <t>08:39:06</t>
  </si>
  <si>
    <t>014</t>
  </si>
  <si>
    <t>2.499910</t>
  </si>
  <si>
    <t>2.429576</t>
  </si>
  <si>
    <t>24.177837</t>
  </si>
  <si>
    <t>24.877762</t>
  </si>
  <si>
    <t>PSF-01106_20260815083906_ecd</t>
  </si>
  <si>
    <t>154.369354</t>
  </si>
  <si>
    <t>541.875610</t>
  </si>
  <si>
    <t>0.715120</t>
  </si>
  <si>
    <t>66.34</t>
  </si>
  <si>
    <t>64.47</t>
  </si>
  <si>
    <t>27.88</t>
  </si>
  <si>
    <t>154.0</t>
  </si>
  <si>
    <t>1.2</t>
  </si>
  <si>
    <t>294</t>
  </si>
  <si>
    <t>3.897</t>
  </si>
  <si>
    <t>15</t>
  </si>
  <si>
    <t>170</t>
  </si>
  <si>
    <t>69.03</t>
  </si>
  <si>
    <t>35.78</t>
  </si>
  <si>
    <t>22.52</t>
  </si>
  <si>
    <t>32.50</t>
  </si>
  <si>
    <t>23:38:43</t>
  </si>
  <si>
    <t>127.129730</t>
  </si>
  <si>
    <t>45.299999</t>
  </si>
  <si>
    <t>0.970000</t>
  </si>
  <si>
    <t>-0.043</t>
  </si>
  <si>
    <t>-0.611</t>
  </si>
  <si>
    <t>-0.450</t>
  </si>
  <si>
    <t>2.524489</t>
  </si>
  <si>
    <t>2.466680</t>
  </si>
  <si>
    <t>1.669879</t>
  </si>
  <si>
    <t>0.938983</t>
  </si>
  <si>
    <t>0.243204</t>
  </si>
  <si>
    <t>-0.011393</t>
  </si>
  <si>
    <t>0.135230</t>
  </si>
  <si>
    <t>0.363393</t>
  </si>
  <si>
    <t>0.000346</t>
  </si>
  <si>
    <t>08:39:45</t>
  </si>
  <si>
    <t>015</t>
  </si>
  <si>
    <t>2.499649</t>
  </si>
  <si>
    <t>2.435657</t>
  </si>
  <si>
    <t>24.239796</t>
  </si>
  <si>
    <t>24.876644</t>
  </si>
  <si>
    <t>PSF-01106_20260815083945_512</t>
  </si>
  <si>
    <t>135.537750</t>
  </si>
  <si>
    <t>517.421021</t>
  </si>
  <si>
    <t>0.738051</t>
  </si>
  <si>
    <t>65.82</t>
  </si>
  <si>
    <t>64.13</t>
  </si>
  <si>
    <t>28.01</t>
  </si>
  <si>
    <t>26.87</t>
  </si>
  <si>
    <t>153.2</t>
  </si>
  <si>
    <t>242</t>
  </si>
  <si>
    <t>3.896</t>
  </si>
  <si>
    <t>-23</t>
  </si>
  <si>
    <t>292</t>
  </si>
  <si>
    <t>87.90</t>
  </si>
  <si>
    <t>3.66</t>
  </si>
  <si>
    <t>34.17</t>
  </si>
  <si>
    <t>67.92</t>
  </si>
  <si>
    <t>96.35</t>
  </si>
  <si>
    <t>56.99</t>
  </si>
  <si>
    <t>23:39:23</t>
  </si>
  <si>
    <t>127.129791</t>
  </si>
  <si>
    <t>45.099998</t>
  </si>
  <si>
    <t>-0.310</t>
  </si>
  <si>
    <t>-0.407</t>
  </si>
  <si>
    <t>-0.582</t>
  </si>
  <si>
    <t>2.524001</t>
  </si>
  <si>
    <t>2.466005</t>
  </si>
  <si>
    <t>1.669179</t>
  </si>
  <si>
    <t>0.936842</t>
  </si>
  <si>
    <t>0.241933</t>
  </si>
  <si>
    <t>-0.012863</t>
  </si>
  <si>
    <t>0.140247</t>
  </si>
  <si>
    <t>0.318431</t>
  </si>
  <si>
    <t>0.000351</t>
  </si>
  <si>
    <t>16</t>
  </si>
  <si>
    <t>08:40:00</t>
  </si>
  <si>
    <t>016</t>
  </si>
  <si>
    <t>2.511397</t>
  </si>
  <si>
    <t>2.434648</t>
  </si>
  <si>
    <t>24.227217</t>
  </si>
  <si>
    <t>24.990952</t>
  </si>
  <si>
    <t>PSF-01106_20260815084000_4c1</t>
  </si>
  <si>
    <t>127.446053</t>
  </si>
  <si>
    <t>492.112030</t>
  </si>
  <si>
    <t>0.741022</t>
  </si>
  <si>
    <t>65.94</t>
  </si>
  <si>
    <t>63.92</t>
  </si>
  <si>
    <t>28.06</t>
  </si>
  <si>
    <t>27.09</t>
  </si>
  <si>
    <t>154.7</t>
  </si>
  <si>
    <t>345</t>
  </si>
  <si>
    <t>45.47</t>
  </si>
  <si>
    <t>70.13</t>
  </si>
  <si>
    <t>13.04</t>
  </si>
  <si>
    <t>-109.32</t>
  </si>
  <si>
    <t>23:39:38</t>
  </si>
  <si>
    <t>35.850170</t>
  </si>
  <si>
    <t>127.129799</t>
  </si>
  <si>
    <t>45.200001</t>
  </si>
  <si>
    <t>-0.048</t>
  </si>
  <si>
    <t>-1.093</t>
  </si>
  <si>
    <t>2.523700</t>
  </si>
  <si>
    <t>2.466146</t>
  </si>
  <si>
    <t>1.668528</t>
  </si>
  <si>
    <t>0.940730</t>
  </si>
  <si>
    <t>0.241459</t>
  </si>
  <si>
    <t>-0.010819</t>
  </si>
  <si>
    <t>0.142174</t>
  </si>
  <si>
    <t>0.368860</t>
  </si>
  <si>
    <t>0.000347</t>
  </si>
  <si>
    <t>17</t>
  </si>
  <si>
    <t>08:40:35</t>
  </si>
  <si>
    <t>017</t>
  </si>
  <si>
    <t>2.558684</t>
  </si>
  <si>
    <t>2.471160</t>
  </si>
  <si>
    <t>24.590313</t>
  </si>
  <si>
    <t>25.461254</t>
  </si>
  <si>
    <t>PSF-01106_20260815084035_f07</t>
  </si>
  <si>
    <t>118.752121</t>
  </si>
  <si>
    <t>495.699036</t>
  </si>
  <si>
    <t>0.760435</t>
  </si>
  <si>
    <t>66.77</t>
  </si>
  <si>
    <t>64.49</t>
  </si>
  <si>
    <t>28.17</t>
  </si>
  <si>
    <t>26.68</t>
  </si>
  <si>
    <t>249</t>
  </si>
  <si>
    <t>3.895</t>
  </si>
  <si>
    <t>-16</t>
  </si>
  <si>
    <t>-21</t>
  </si>
  <si>
    <t>307</t>
  </si>
  <si>
    <t>81.14</t>
  </si>
  <si>
    <t>15.40</t>
  </si>
  <si>
    <t>26.18</t>
  </si>
  <si>
    <t>72.68</t>
  </si>
  <si>
    <t>96.51</t>
  </si>
  <si>
    <t>56.78</t>
  </si>
  <si>
    <t>23:40:13</t>
  </si>
  <si>
    <t>35.850159</t>
  </si>
  <si>
    <t>0.415</t>
  </si>
  <si>
    <t>-0.252</t>
  </si>
  <si>
    <t>2.524455</t>
  </si>
  <si>
    <t>2.467179</t>
  </si>
  <si>
    <t>1.671340</t>
  </si>
  <si>
    <t>0.938337</t>
  </si>
  <si>
    <t>0.240461</t>
  </si>
  <si>
    <t>-0.016876</t>
  </si>
  <si>
    <t>0.146745</t>
  </si>
  <si>
    <t>0.324102</t>
  </si>
  <si>
    <t>0.000344</t>
  </si>
  <si>
    <t>18</t>
  </si>
  <si>
    <t>08:40:51</t>
  </si>
  <si>
    <t>018</t>
  </si>
  <si>
    <t>2.566367</t>
  </si>
  <si>
    <t>2.486003</t>
  </si>
  <si>
    <t>24.739178</t>
  </si>
  <si>
    <t>25.538916</t>
  </si>
  <si>
    <t>PSF-01106_20260815084051_a05</t>
  </si>
  <si>
    <t>121.536255</t>
  </si>
  <si>
    <t>489.865051</t>
  </si>
  <si>
    <t>0.751899</t>
  </si>
  <si>
    <t>66.80</t>
  </si>
  <si>
    <t>64.70</t>
  </si>
  <si>
    <t>28.21</t>
  </si>
  <si>
    <t>26.78</t>
  </si>
  <si>
    <t>150.0</t>
  </si>
  <si>
    <t>3.9</t>
  </si>
  <si>
    <t>260</t>
  </si>
  <si>
    <t>3.894</t>
  </si>
  <si>
    <t>-4</t>
  </si>
  <si>
    <t>302</t>
  </si>
  <si>
    <t>73.91</t>
  </si>
  <si>
    <t>27.72</t>
  </si>
  <si>
    <t>17.45</t>
  </si>
  <si>
    <t>108.55</t>
  </si>
  <si>
    <t>23:40:30</t>
  </si>
  <si>
    <t>35.850140</t>
  </si>
  <si>
    <t>127.129784</t>
  </si>
  <si>
    <t>1.030000</t>
  </si>
  <si>
    <t>-0.116</t>
  </si>
  <si>
    <t>-0.251</t>
  </si>
  <si>
    <t>-0.589</t>
  </si>
  <si>
    <t>2.524742</t>
  </si>
  <si>
    <t>2.467200</t>
  </si>
  <si>
    <t>1.670935</t>
  </si>
  <si>
    <t>0.928549</t>
  </si>
  <si>
    <t>0.240027</t>
  </si>
  <si>
    <t>-0.016289</t>
  </si>
  <si>
    <t>0.148757</t>
  </si>
  <si>
    <t>0.333835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</si>
  <si>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</si>
  <si>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</si>
  <si>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</si>
  <si>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</si>
  <si>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</si>
  <si>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8:31:28</t>
  </si>
  <si>
    <t>8:32:07</t>
  </si>
  <si>
    <t>8:32:49</t>
  </si>
  <si>
    <t>8:33:14</t>
  </si>
  <si>
    <t>8:33:37</t>
  </si>
  <si>
    <t>8:34:23</t>
  </si>
  <si>
    <t>8:34:49</t>
  </si>
  <si>
    <t>8:35:20</t>
  </si>
  <si>
    <t>8:35:56</t>
  </si>
  <si>
    <t>ETc_침수</t>
    <phoneticPr fontId="1" type="noConversion"/>
  </si>
  <si>
    <t>8:37:30</t>
  </si>
  <si>
    <t>8:37:51</t>
  </si>
  <si>
    <t>8:38:15</t>
  </si>
  <si>
    <t>8:38:43</t>
  </si>
  <si>
    <t>8:39:06</t>
  </si>
  <si>
    <t>8:39:45</t>
  </si>
  <si>
    <t>8:40:00</t>
  </si>
  <si>
    <t>8:40:35</t>
  </si>
  <si>
    <t>8:40:51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</si>
</sst>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보정 </a:t>
            </a:r>
            <a:r>
              <a:rPr lang="en-US" altLang="ko-KR"/>
              <a:t>gsw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General</c:formatCode>
                <c:ptCount val="24"/>
                <c:pt idx="0">
                  <c:v>0.29422020409540051</c:v>
                </c:pt>
                <c:pt idx="1">
                  <c:v>0.38230750930837448</c:v>
                </c:pt>
                <c:pt idx="2">
                  <c:v>0.38146549284593878</c:v>
                </c:pt>
                <c:pt idx="3">
                  <c:v>0.33371069065716458</c:v>
                </c:pt>
                <c:pt idx="4">
                  <c:v>0.32240966523507908</c:v>
                </c:pt>
                <c:pt idx="5">
                  <c:v>0.33849894341239117</c:v>
                </c:pt>
                <c:pt idx="6">
                  <c:v>0.37695756568258548</c:v>
                </c:pt>
                <c:pt idx="7">
                  <c:v>0.38036709803141211</c:v>
                </c:pt>
                <c:pt idx="8">
                  <c:v>0.33672633718298861</c:v>
                </c:pt>
                <c:pt idx="12">
                  <c:v>0.27211453163217181</c:v>
                </c:pt>
                <c:pt idx="13">
                  <c:v>0.36780247514811748</c:v>
                </c:pt>
                <c:pt idx="14">
                  <c:v>0.35217053014476613</c:v>
                </c:pt>
                <c:pt idx="15">
                  <c:v>0.23907384162150519</c:v>
                </c:pt>
                <c:pt idx="16">
                  <c:v>0.23139620536004499</c:v>
                </c:pt>
                <c:pt idx="17">
                  <c:v>0.2109123357492827</c:v>
                </c:pt>
                <c:pt idx="18">
                  <c:v>0.24304267183917641</c:v>
                </c:pt>
                <c:pt idx="19">
                  <c:v>0.3103583483833427</c:v>
                </c:pt>
                <c:pt idx="20">
                  <c:v>0.28400294216022631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D-4D0A-8D40-271250E2D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731599"/>
        <c:axId val="1086414255"/>
      </c:scatterChart>
      <c:valAx>
        <c:axId val="10597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6414255"/>
        <c:crosses val="autoZero"/>
        <c:crossBetween val="midCat"/>
      </c:valAx>
      <c:valAx>
        <c:axId val="10864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973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205740</xdr:colOff>
      <xdr:row>6</xdr:row>
      <xdr:rowOff>181927</xdr:rowOff>
    </xdr:from>
    <xdr:to>
      <xdr:col>19</xdr:col>
      <xdr:colOff>382905</xdr:colOff>
      <xdr:row>17</xdr:row>
      <xdr:rowOff>202882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026BA1A-2E7A-1677-3491-29A79144F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H4" sqref="H4"/>
    </sheetView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0.33634188189144215</v>
      </c>
      <c r="K4">
        <f t="shared" ref="K4:K21" si="1">BY4+(BZ4*AN4)+(CA4*AN4*POWER(V4,2))+(CB4*AN4*V4)+(CC4*POWER(AN4,2))</f>
        <v>2.9058327199999998</v>
      </c>
      <c r="L4">
        <f t="shared" ref="L4:L21" si="2">((M4/1000)*(1000-((T4+S4)/2)))/(T4-S4)</f>
        <v>0.30144991109866598</v>
      </c>
      <c r="M4">
        <f t="shared" ref="M4:M21" si="3">(AN4*(S4-R4))/(100*U4*(1000-S4))*1000</f>
        <v>3.1354319438593139</v>
      </c>
      <c r="N4" t="s">
        <v>165</v>
      </c>
      <c r="O4" t="s">
        <v>166</v>
      </c>
      <c r="P4">
        <f t="shared" ref="P4:P21" si="4">0.61365*EXP((17.502*AL4)/(240.97+AL4))</f>
        <v>3.2447049331290425</v>
      </c>
      <c r="Q4">
        <f t="shared" ref="Q4:Q21" si="5">P4-N4</f>
        <v>1.0163179331290424</v>
      </c>
      <c r="R4" t="s">
        <v>167</v>
      </c>
      <c r="S4" t="s">
        <v>168</v>
      </c>
      <c r="T4">
        <f t="shared" ref="T4:T21" si="6">(P4/AM4)*1000</f>
        <v>32.301691718556917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56.55663594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25.34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161</v>
      </c>
      <c r="BL4" t="s">
        <v>198</v>
      </c>
      <c r="BM4" t="s">
        <v>159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159</v>
      </c>
      <c r="BU4" t="s">
        <v>205</v>
      </c>
      <c r="BV4" t="s">
        <v>200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196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f t="shared" si="0"/>
        <v>0.46167617177170789</v>
      </c>
      <c r="K5">
        <f t="shared" si="1"/>
        <v>2.9034264800000003</v>
      </c>
      <c r="L5">
        <f t="shared" si="2"/>
        <v>0.39833638406283661</v>
      </c>
      <c r="M5">
        <f t="shared" si="3"/>
        <v>3.8530293591052742</v>
      </c>
      <c r="N5" t="s">
        <v>241</v>
      </c>
      <c r="O5" t="s">
        <v>242</v>
      </c>
      <c r="P5">
        <f t="shared" si="4"/>
        <v>3.242775907063939</v>
      </c>
      <c r="Q5">
        <f t="shared" si="5"/>
        <v>0.94491590706393902</v>
      </c>
      <c r="R5" t="s">
        <v>243</v>
      </c>
      <c r="S5" t="s">
        <v>244</v>
      </c>
      <c r="T5">
        <f t="shared" si="6"/>
        <v>32.279274408360934</v>
      </c>
      <c r="U5">
        <f t="shared" si="7"/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f t="shared" si="8"/>
        <v>96.457244520000003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25.33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260</v>
      </c>
      <c r="AU5" t="s">
        <v>261</v>
      </c>
      <c r="AX5" t="s">
        <v>262</v>
      </c>
      <c r="AY5" t="s">
        <v>263</v>
      </c>
      <c r="BC5" t="s">
        <v>193</v>
      </c>
      <c r="BD5" t="s">
        <v>194</v>
      </c>
      <c r="BE5" t="s">
        <v>195</v>
      </c>
      <c r="BF5" t="s">
        <v>195</v>
      </c>
      <c r="BG5" t="s">
        <v>195</v>
      </c>
      <c r="BH5" t="s">
        <v>196</v>
      </c>
      <c r="BI5" t="s">
        <v>195</v>
      </c>
      <c r="BJ5" t="s">
        <v>197</v>
      </c>
      <c r="BK5" t="s">
        <v>161</v>
      </c>
      <c r="BL5" t="s">
        <v>198</v>
      </c>
      <c r="BM5" t="s">
        <v>159</v>
      </c>
      <c r="BN5" t="s">
        <v>199</v>
      </c>
      <c r="BO5" t="s">
        <v>201</v>
      </c>
      <c r="BP5" t="s">
        <v>264</v>
      </c>
      <c r="BQ5" t="s">
        <v>265</v>
      </c>
      <c r="BR5" t="s">
        <v>266</v>
      </c>
      <c r="BS5" t="s">
        <v>267</v>
      </c>
      <c r="BT5" t="s">
        <v>159</v>
      </c>
      <c r="BU5" t="s">
        <v>205</v>
      </c>
      <c r="BV5" t="s">
        <v>200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196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246</v>
      </c>
      <c r="DC5" t="s">
        <v>276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277</v>
      </c>
      <c r="B6" t="s">
        <v>278</v>
      </c>
      <c r="C6" t="s">
        <v>161</v>
      </c>
      <c r="D6" t="s">
        <v>162</v>
      </c>
      <c r="E6" t="s">
        <v>163</v>
      </c>
      <c r="I6" t="s">
        <v>279</v>
      </c>
      <c r="J6">
        <f t="shared" si="0"/>
        <v>0.46072053242432204</v>
      </c>
      <c r="K6">
        <f t="shared" si="1"/>
        <v>2.9066320800000001</v>
      </c>
      <c r="L6">
        <f t="shared" si="2"/>
        <v>0.39768483838557628</v>
      </c>
      <c r="M6">
        <f t="shared" si="3"/>
        <v>3.7504139028908701</v>
      </c>
      <c r="N6" t="s">
        <v>280</v>
      </c>
      <c r="O6" t="s">
        <v>281</v>
      </c>
      <c r="P6">
        <f t="shared" si="4"/>
        <v>3.2737608736457036</v>
      </c>
      <c r="Q6">
        <f t="shared" si="5"/>
        <v>0.92104487364570353</v>
      </c>
      <c r="R6" t="s">
        <v>282</v>
      </c>
      <c r="S6" t="s">
        <v>283</v>
      </c>
      <c r="T6">
        <f t="shared" si="6"/>
        <v>32.584461766156096</v>
      </c>
      <c r="U6">
        <f t="shared" si="7"/>
        <v>0.4417875</v>
      </c>
      <c r="V6" t="s">
        <v>169</v>
      </c>
      <c r="W6" t="s">
        <v>284</v>
      </c>
      <c r="X6" t="s">
        <v>171</v>
      </c>
      <c r="Y6" t="s">
        <v>171</v>
      </c>
      <c r="Z6" t="s">
        <v>171</v>
      </c>
      <c r="AA6" t="s">
        <v>285</v>
      </c>
      <c r="AB6" t="s">
        <v>286</v>
      </c>
      <c r="AC6" t="s">
        <v>287</v>
      </c>
      <c r="AD6" t="s">
        <v>175</v>
      </c>
      <c r="AE6" t="s">
        <v>176</v>
      </c>
      <c r="AF6">
        <f t="shared" si="8"/>
        <v>87.285389939999988</v>
      </c>
      <c r="AG6" t="s">
        <v>177</v>
      </c>
      <c r="AH6" t="s">
        <v>288</v>
      </c>
      <c r="AI6" t="s">
        <v>289</v>
      </c>
      <c r="AJ6" t="s">
        <v>290</v>
      </c>
      <c r="AK6" t="s">
        <v>291</v>
      </c>
      <c r="AL6">
        <f t="shared" si="9"/>
        <v>25.49</v>
      </c>
      <c r="AM6" t="s">
        <v>292</v>
      </c>
      <c r="AN6" t="s">
        <v>293</v>
      </c>
      <c r="AO6" t="s">
        <v>294</v>
      </c>
      <c r="AP6" t="s">
        <v>295</v>
      </c>
      <c r="AQ6" t="s">
        <v>296</v>
      </c>
      <c r="AR6" t="s">
        <v>258</v>
      </c>
      <c r="AS6" t="s">
        <v>297</v>
      </c>
      <c r="AT6" t="s">
        <v>298</v>
      </c>
      <c r="AU6" t="s">
        <v>299</v>
      </c>
      <c r="AV6" t="s">
        <v>300</v>
      </c>
      <c r="AW6" t="s">
        <v>301</v>
      </c>
      <c r="AX6" t="s">
        <v>302</v>
      </c>
      <c r="AY6" t="s">
        <v>303</v>
      </c>
      <c r="AZ6" t="s">
        <v>304</v>
      </c>
      <c r="BA6" t="s">
        <v>305</v>
      </c>
      <c r="BB6" t="s">
        <v>306</v>
      </c>
      <c r="BC6" t="s">
        <v>307</v>
      </c>
      <c r="BD6" t="s">
        <v>308</v>
      </c>
      <c r="BE6" t="s">
        <v>309</v>
      </c>
      <c r="BF6" t="s">
        <v>310</v>
      </c>
      <c r="BG6" t="s">
        <v>311</v>
      </c>
      <c r="BH6" t="s">
        <v>312</v>
      </c>
      <c r="BI6" t="s">
        <v>313</v>
      </c>
      <c r="BJ6" t="s">
        <v>197</v>
      </c>
      <c r="BK6" t="s">
        <v>161</v>
      </c>
      <c r="BL6" t="s">
        <v>198</v>
      </c>
      <c r="BM6" t="s">
        <v>159</v>
      </c>
      <c r="BN6" t="s">
        <v>314</v>
      </c>
      <c r="BO6" t="s">
        <v>200</v>
      </c>
      <c r="BP6" t="s">
        <v>199</v>
      </c>
      <c r="BQ6" t="s">
        <v>315</v>
      </c>
      <c r="BR6" t="s">
        <v>316</v>
      </c>
      <c r="BS6" t="s">
        <v>317</v>
      </c>
      <c r="BT6" t="s">
        <v>159</v>
      </c>
      <c r="BU6" t="s">
        <v>205</v>
      </c>
      <c r="BV6" t="s">
        <v>200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196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318</v>
      </c>
      <c r="CU6" t="s">
        <v>319</v>
      </c>
      <c r="CV6" t="s">
        <v>320</v>
      </c>
      <c r="CW6" t="s">
        <v>321</v>
      </c>
      <c r="CX6" t="s">
        <v>322</v>
      </c>
      <c r="CY6" t="s">
        <v>323</v>
      </c>
      <c r="CZ6" t="s">
        <v>324</v>
      </c>
      <c r="DA6" t="s">
        <v>325</v>
      </c>
      <c r="DB6" t="s">
        <v>285</v>
      </c>
      <c r="DC6" t="s">
        <v>276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284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326</v>
      </c>
      <c r="B7" t="s">
        <v>327</v>
      </c>
      <c r="C7" t="s">
        <v>161</v>
      </c>
      <c r="D7" t="s">
        <v>162</v>
      </c>
      <c r="E7" t="s">
        <v>163</v>
      </c>
      <c r="I7" t="s">
        <v>328</v>
      </c>
      <c r="J7">
        <f t="shared" si="0"/>
        <v>0.39220045456719266</v>
      </c>
      <c r="K7">
        <f t="shared" si="1"/>
        <v>2.9058327199999998</v>
      </c>
      <c r="L7">
        <f t="shared" si="2"/>
        <v>0.34556017279292006</v>
      </c>
      <c r="M7">
        <f t="shared" si="3"/>
        <v>3.448875467250073</v>
      </c>
      <c r="N7" t="s">
        <v>329</v>
      </c>
      <c r="O7" t="s">
        <v>330</v>
      </c>
      <c r="P7">
        <f t="shared" si="4"/>
        <v>3.3108912097536947</v>
      </c>
      <c r="Q7">
        <f t="shared" si="5"/>
        <v>0.97458020975369486</v>
      </c>
      <c r="R7" t="s">
        <v>331</v>
      </c>
      <c r="S7" t="s">
        <v>332</v>
      </c>
      <c r="T7">
        <f t="shared" si="6"/>
        <v>32.954028165160693</v>
      </c>
      <c r="U7">
        <f t="shared" si="7"/>
        <v>0.4417875</v>
      </c>
      <c r="V7" t="s">
        <v>169</v>
      </c>
      <c r="W7" t="s">
        <v>333</v>
      </c>
      <c r="X7" t="s">
        <v>171</v>
      </c>
      <c r="Y7" t="s">
        <v>171</v>
      </c>
      <c r="Z7" t="s">
        <v>171</v>
      </c>
      <c r="AA7" t="s">
        <v>334</v>
      </c>
      <c r="AB7" t="s">
        <v>335</v>
      </c>
      <c r="AC7" t="s">
        <v>336</v>
      </c>
      <c r="AD7" t="s">
        <v>175</v>
      </c>
      <c r="AE7" t="s">
        <v>176</v>
      </c>
      <c r="AF7">
        <f t="shared" si="8"/>
        <v>92.786877539999992</v>
      </c>
      <c r="AG7" t="s">
        <v>177</v>
      </c>
      <c r="AH7" t="s">
        <v>337</v>
      </c>
      <c r="AI7" t="s">
        <v>338</v>
      </c>
      <c r="AJ7" t="s">
        <v>339</v>
      </c>
      <c r="AK7" t="s">
        <v>340</v>
      </c>
      <c r="AL7">
        <f t="shared" si="9"/>
        <v>25.68</v>
      </c>
      <c r="AM7" t="s">
        <v>292</v>
      </c>
      <c r="AN7" t="s">
        <v>183</v>
      </c>
      <c r="AO7" t="s">
        <v>341</v>
      </c>
      <c r="AP7" t="s">
        <v>342</v>
      </c>
      <c r="AQ7" t="s">
        <v>343</v>
      </c>
      <c r="AR7" t="s">
        <v>344</v>
      </c>
      <c r="AS7" t="s">
        <v>345</v>
      </c>
      <c r="AT7" t="s">
        <v>346</v>
      </c>
      <c r="AU7" t="s">
        <v>347</v>
      </c>
      <c r="AV7" t="s">
        <v>348</v>
      </c>
      <c r="AW7" t="s">
        <v>349</v>
      </c>
      <c r="AX7" t="s">
        <v>350</v>
      </c>
      <c r="AY7" t="s">
        <v>351</v>
      </c>
      <c r="AZ7" t="s">
        <v>304</v>
      </c>
      <c r="BA7" t="s">
        <v>305</v>
      </c>
      <c r="BB7" t="s">
        <v>306</v>
      </c>
      <c r="BC7" t="s">
        <v>352</v>
      </c>
      <c r="BD7" t="s">
        <v>308</v>
      </c>
      <c r="BE7" t="s">
        <v>353</v>
      </c>
      <c r="BF7" t="s">
        <v>354</v>
      </c>
      <c r="BG7" t="s">
        <v>355</v>
      </c>
      <c r="BH7" t="s">
        <v>356</v>
      </c>
      <c r="BI7" t="s">
        <v>357</v>
      </c>
      <c r="BJ7" t="s">
        <v>197</v>
      </c>
      <c r="BK7" t="s">
        <v>161</v>
      </c>
      <c r="BL7" t="s">
        <v>198</v>
      </c>
      <c r="BM7" t="s">
        <v>159</v>
      </c>
      <c r="BN7" t="s">
        <v>199</v>
      </c>
      <c r="BO7" t="s">
        <v>314</v>
      </c>
      <c r="BP7" t="s">
        <v>358</v>
      </c>
      <c r="BQ7" t="s">
        <v>359</v>
      </c>
      <c r="BR7" t="s">
        <v>360</v>
      </c>
      <c r="BS7" t="s">
        <v>361</v>
      </c>
      <c r="BT7" t="s">
        <v>159</v>
      </c>
      <c r="BU7" t="s">
        <v>205</v>
      </c>
      <c r="BV7" t="s">
        <v>200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196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362</v>
      </c>
      <c r="CU7" t="s">
        <v>363</v>
      </c>
      <c r="CV7" t="s">
        <v>364</v>
      </c>
      <c r="CW7" t="s">
        <v>365</v>
      </c>
      <c r="CX7" t="s">
        <v>366</v>
      </c>
      <c r="CY7" t="s">
        <v>367</v>
      </c>
      <c r="CZ7" t="s">
        <v>368</v>
      </c>
      <c r="DA7" t="s">
        <v>369</v>
      </c>
      <c r="DB7" t="s">
        <v>334</v>
      </c>
      <c r="DC7" t="s">
        <v>370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333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312</v>
      </c>
      <c r="B8" t="s">
        <v>371</v>
      </c>
      <c r="C8" t="s">
        <v>161</v>
      </c>
      <c r="D8" t="s">
        <v>162</v>
      </c>
      <c r="E8" t="s">
        <v>163</v>
      </c>
      <c r="I8" t="s">
        <v>372</v>
      </c>
      <c r="J8">
        <f t="shared" si="0"/>
        <v>0.37555972855144465</v>
      </c>
      <c r="K8">
        <f t="shared" si="1"/>
        <v>2.9058327199999998</v>
      </c>
      <c r="L8">
        <f t="shared" si="2"/>
        <v>0.33257641828878509</v>
      </c>
      <c r="M8">
        <f t="shared" si="3"/>
        <v>3.1994750646637353</v>
      </c>
      <c r="N8" t="s">
        <v>373</v>
      </c>
      <c r="O8" t="s">
        <v>374</v>
      </c>
      <c r="P8">
        <f t="shared" si="4"/>
        <v>3.3187548289014415</v>
      </c>
      <c r="Q8">
        <f t="shared" si="5"/>
        <v>0.93932382890144162</v>
      </c>
      <c r="R8" t="s">
        <v>375</v>
      </c>
      <c r="S8" t="s">
        <v>376</v>
      </c>
      <c r="T8">
        <f t="shared" si="6"/>
        <v>33.029009045595551</v>
      </c>
      <c r="U8">
        <f t="shared" si="7"/>
        <v>0.4417875</v>
      </c>
      <c r="V8" t="s">
        <v>169</v>
      </c>
      <c r="W8" t="s">
        <v>377</v>
      </c>
      <c r="X8" t="s">
        <v>171</v>
      </c>
      <c r="Y8" t="s">
        <v>171</v>
      </c>
      <c r="Z8" t="s">
        <v>171</v>
      </c>
      <c r="AA8" t="s">
        <v>378</v>
      </c>
      <c r="AB8" t="s">
        <v>379</v>
      </c>
      <c r="AC8" t="s">
        <v>380</v>
      </c>
      <c r="AD8" t="s">
        <v>175</v>
      </c>
      <c r="AE8" t="s">
        <v>176</v>
      </c>
      <c r="AF8">
        <f t="shared" si="8"/>
        <v>99.407327039999998</v>
      </c>
      <c r="AG8" t="s">
        <v>177</v>
      </c>
      <c r="AH8" t="s">
        <v>381</v>
      </c>
      <c r="AI8" t="s">
        <v>382</v>
      </c>
      <c r="AJ8" t="s">
        <v>383</v>
      </c>
      <c r="AK8" t="s">
        <v>384</v>
      </c>
      <c r="AL8">
        <f t="shared" si="9"/>
        <v>25.72</v>
      </c>
      <c r="AM8" t="s">
        <v>385</v>
      </c>
      <c r="AN8" t="s">
        <v>183</v>
      </c>
      <c r="AO8" t="s">
        <v>386</v>
      </c>
      <c r="AP8" t="s">
        <v>387</v>
      </c>
      <c r="AQ8" t="s">
        <v>388</v>
      </c>
      <c r="AR8" t="s">
        <v>389</v>
      </c>
      <c r="AS8" t="s">
        <v>390</v>
      </c>
      <c r="AT8" t="s">
        <v>297</v>
      </c>
      <c r="AU8" t="s">
        <v>391</v>
      </c>
      <c r="AV8" t="s">
        <v>392</v>
      </c>
      <c r="AW8" t="s">
        <v>393</v>
      </c>
      <c r="AX8" t="s">
        <v>394</v>
      </c>
      <c r="AY8" t="s">
        <v>395</v>
      </c>
      <c r="AZ8" t="s">
        <v>304</v>
      </c>
      <c r="BA8" t="s">
        <v>396</v>
      </c>
      <c r="BB8" t="s">
        <v>397</v>
      </c>
      <c r="BC8" t="s">
        <v>398</v>
      </c>
      <c r="BD8" t="s">
        <v>308</v>
      </c>
      <c r="BE8" t="s">
        <v>399</v>
      </c>
      <c r="BF8" t="s">
        <v>354</v>
      </c>
      <c r="BG8" t="s">
        <v>400</v>
      </c>
      <c r="BH8" t="s">
        <v>356</v>
      </c>
      <c r="BI8" t="s">
        <v>401</v>
      </c>
      <c r="BJ8" t="s">
        <v>197</v>
      </c>
      <c r="BK8" t="s">
        <v>161</v>
      </c>
      <c r="BL8" t="s">
        <v>198</v>
      </c>
      <c r="BM8" t="s">
        <v>159</v>
      </c>
      <c r="BN8" t="s">
        <v>314</v>
      </c>
      <c r="BO8" t="s">
        <v>402</v>
      </c>
      <c r="BP8" t="s">
        <v>403</v>
      </c>
      <c r="BQ8" t="s">
        <v>404</v>
      </c>
      <c r="BR8" t="s">
        <v>402</v>
      </c>
      <c r="BS8" t="s">
        <v>405</v>
      </c>
      <c r="BT8" t="s">
        <v>159</v>
      </c>
      <c r="BU8" t="s">
        <v>205</v>
      </c>
      <c r="BV8" t="s">
        <v>200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196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406</v>
      </c>
      <c r="CU8" t="s">
        <v>407</v>
      </c>
      <c r="CV8" t="s">
        <v>408</v>
      </c>
      <c r="CW8" t="s">
        <v>409</v>
      </c>
      <c r="CX8" t="s">
        <v>410</v>
      </c>
      <c r="CY8" t="s">
        <v>411</v>
      </c>
      <c r="CZ8" t="s">
        <v>412</v>
      </c>
      <c r="DA8" t="s">
        <v>413</v>
      </c>
      <c r="DB8" t="s">
        <v>378</v>
      </c>
      <c r="DC8" t="s">
        <v>414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377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415</v>
      </c>
      <c r="B9" t="s">
        <v>416</v>
      </c>
      <c r="C9" t="s">
        <v>161</v>
      </c>
      <c r="D9" t="s">
        <v>162</v>
      </c>
      <c r="E9" t="s">
        <v>163</v>
      </c>
      <c r="I9" t="s">
        <v>417</v>
      </c>
      <c r="J9">
        <f t="shared" si="0"/>
        <v>0.4004870895500372</v>
      </c>
      <c r="K9">
        <f t="shared" si="1"/>
        <v>2.9058327199999998</v>
      </c>
      <c r="L9">
        <f t="shared" si="2"/>
        <v>0.35197698824858825</v>
      </c>
      <c r="M9">
        <f t="shared" si="3"/>
        <v>3.330151122772337</v>
      </c>
      <c r="N9" t="s">
        <v>418</v>
      </c>
      <c r="O9" t="s">
        <v>419</v>
      </c>
      <c r="P9">
        <f t="shared" si="4"/>
        <v>3.3305808473549985</v>
      </c>
      <c r="Q9">
        <f t="shared" si="5"/>
        <v>0.92323984735499831</v>
      </c>
      <c r="R9" t="s">
        <v>420</v>
      </c>
      <c r="S9" t="s">
        <v>421</v>
      </c>
      <c r="T9">
        <f t="shared" si="6"/>
        <v>33.153303278469025</v>
      </c>
      <c r="U9">
        <f t="shared" si="7"/>
        <v>0.4417875</v>
      </c>
      <c r="V9" t="s">
        <v>169</v>
      </c>
      <c r="W9" t="s">
        <v>422</v>
      </c>
      <c r="X9" t="s">
        <v>171</v>
      </c>
      <c r="Y9" t="s">
        <v>171</v>
      </c>
      <c r="Z9" t="s">
        <v>171</v>
      </c>
      <c r="AA9" t="s">
        <v>423</v>
      </c>
      <c r="AB9" t="s">
        <v>424</v>
      </c>
      <c r="AC9" t="s">
        <v>425</v>
      </c>
      <c r="AD9" t="s">
        <v>175</v>
      </c>
      <c r="AE9" t="s">
        <v>176</v>
      </c>
      <c r="AF9">
        <f t="shared" si="8"/>
        <v>75.219697560000014</v>
      </c>
      <c r="AG9" t="s">
        <v>177</v>
      </c>
      <c r="AH9" t="s">
        <v>426</v>
      </c>
      <c r="AI9" t="s">
        <v>427</v>
      </c>
      <c r="AJ9" t="s">
        <v>428</v>
      </c>
      <c r="AK9" t="s">
        <v>429</v>
      </c>
      <c r="AL9">
        <f t="shared" si="9"/>
        <v>25.78</v>
      </c>
      <c r="AM9" t="s">
        <v>253</v>
      </c>
      <c r="AN9" t="s">
        <v>183</v>
      </c>
      <c r="AO9" t="s">
        <v>430</v>
      </c>
      <c r="AP9" t="s">
        <v>431</v>
      </c>
      <c r="AQ9" t="s">
        <v>432</v>
      </c>
      <c r="AR9" t="s">
        <v>433</v>
      </c>
      <c r="AS9" t="s">
        <v>434</v>
      </c>
      <c r="AT9" t="s">
        <v>415</v>
      </c>
      <c r="AU9" t="s">
        <v>435</v>
      </c>
      <c r="AV9" t="s">
        <v>436</v>
      </c>
      <c r="AW9" t="s">
        <v>437</v>
      </c>
      <c r="AX9" t="s">
        <v>438</v>
      </c>
      <c r="AY9" t="s">
        <v>439</v>
      </c>
      <c r="AZ9" t="s">
        <v>304</v>
      </c>
      <c r="BA9" t="s">
        <v>440</v>
      </c>
      <c r="BB9" t="s">
        <v>441</v>
      </c>
      <c r="BC9" t="s">
        <v>442</v>
      </c>
      <c r="BD9" t="s">
        <v>308</v>
      </c>
      <c r="BE9" t="s">
        <v>443</v>
      </c>
      <c r="BF9" t="s">
        <v>444</v>
      </c>
      <c r="BG9" t="s">
        <v>445</v>
      </c>
      <c r="BH9" t="s">
        <v>356</v>
      </c>
      <c r="BI9" t="s">
        <v>446</v>
      </c>
      <c r="BJ9" t="s">
        <v>197</v>
      </c>
      <c r="BK9" t="s">
        <v>161</v>
      </c>
      <c r="BL9" t="s">
        <v>198</v>
      </c>
      <c r="BM9" t="s">
        <v>159</v>
      </c>
      <c r="BN9" t="s">
        <v>402</v>
      </c>
      <c r="BO9" t="s">
        <v>200</v>
      </c>
      <c r="BP9" t="s">
        <v>402</v>
      </c>
      <c r="BQ9" t="s">
        <v>447</v>
      </c>
      <c r="BR9" t="s">
        <v>448</v>
      </c>
      <c r="BS9" t="s">
        <v>449</v>
      </c>
      <c r="BT9" t="s">
        <v>159</v>
      </c>
      <c r="BU9" t="s">
        <v>205</v>
      </c>
      <c r="BV9" t="s">
        <v>200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196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450</v>
      </c>
      <c r="CU9" t="s">
        <v>451</v>
      </c>
      <c r="CV9" t="s">
        <v>452</v>
      </c>
      <c r="CW9" t="s">
        <v>453</v>
      </c>
      <c r="CX9" t="s">
        <v>454</v>
      </c>
      <c r="CY9" t="s">
        <v>455</v>
      </c>
      <c r="CZ9" t="s">
        <v>456</v>
      </c>
      <c r="DA9" t="s">
        <v>457</v>
      </c>
      <c r="DB9" t="s">
        <v>423</v>
      </c>
      <c r="DC9" t="s">
        <v>414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422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356</v>
      </c>
      <c r="B10" t="s">
        <v>458</v>
      </c>
      <c r="C10" t="s">
        <v>161</v>
      </c>
      <c r="D10" t="s">
        <v>162</v>
      </c>
      <c r="E10" t="s">
        <v>163</v>
      </c>
      <c r="I10" t="s">
        <v>459</v>
      </c>
      <c r="J10">
        <f t="shared" si="0"/>
        <v>0.45501444415699488</v>
      </c>
      <c r="K10">
        <f t="shared" si="1"/>
        <v>2.9050319999999994</v>
      </c>
      <c r="L10">
        <f t="shared" si="2"/>
        <v>0.39339680052247572</v>
      </c>
      <c r="M10">
        <f t="shared" si="3"/>
        <v>3.6911687760508394</v>
      </c>
      <c r="N10" t="s">
        <v>460</v>
      </c>
      <c r="O10" t="s">
        <v>461</v>
      </c>
      <c r="P10">
        <f t="shared" si="4"/>
        <v>3.3444243784632404</v>
      </c>
      <c r="Q10">
        <f t="shared" si="5"/>
        <v>0.91562437846324052</v>
      </c>
      <c r="R10" t="s">
        <v>462</v>
      </c>
      <c r="S10" t="s">
        <v>463</v>
      </c>
      <c r="T10">
        <f t="shared" si="6"/>
        <v>33.287791166151493</v>
      </c>
      <c r="U10">
        <f t="shared" si="7"/>
        <v>0.4417875</v>
      </c>
      <c r="V10" t="s">
        <v>169</v>
      </c>
      <c r="W10" t="s">
        <v>464</v>
      </c>
      <c r="X10" t="s">
        <v>171</v>
      </c>
      <c r="Y10" t="s">
        <v>171</v>
      </c>
      <c r="Z10" t="s">
        <v>171</v>
      </c>
      <c r="AA10" t="s">
        <v>465</v>
      </c>
      <c r="AB10" t="s">
        <v>466</v>
      </c>
      <c r="AC10" t="s">
        <v>467</v>
      </c>
      <c r="AD10" t="s">
        <v>175</v>
      </c>
      <c r="AE10" t="s">
        <v>176</v>
      </c>
      <c r="AF10">
        <f t="shared" si="8"/>
        <v>99.479800139999995</v>
      </c>
      <c r="AG10" t="s">
        <v>177</v>
      </c>
      <c r="AH10" t="s">
        <v>468</v>
      </c>
      <c r="AI10" t="s">
        <v>469</v>
      </c>
      <c r="AJ10" t="s">
        <v>470</v>
      </c>
      <c r="AK10" t="s">
        <v>471</v>
      </c>
      <c r="AL10">
        <f t="shared" si="9"/>
        <v>25.85</v>
      </c>
      <c r="AM10" t="s">
        <v>292</v>
      </c>
      <c r="AN10" t="s">
        <v>184</v>
      </c>
      <c r="AO10" t="s">
        <v>386</v>
      </c>
      <c r="AP10" t="s">
        <v>387</v>
      </c>
      <c r="AQ10" t="s">
        <v>472</v>
      </c>
      <c r="AR10" t="s">
        <v>473</v>
      </c>
      <c r="AS10" t="s">
        <v>259</v>
      </c>
      <c r="AT10" t="s">
        <v>474</v>
      </c>
      <c r="AU10" t="s">
        <v>475</v>
      </c>
      <c r="AV10" t="s">
        <v>476</v>
      </c>
      <c r="AW10" t="s">
        <v>477</v>
      </c>
      <c r="AX10" t="s">
        <v>478</v>
      </c>
      <c r="AY10" t="s">
        <v>479</v>
      </c>
      <c r="AZ10" t="s">
        <v>304</v>
      </c>
      <c r="BA10" t="s">
        <v>440</v>
      </c>
      <c r="BB10" t="s">
        <v>441</v>
      </c>
      <c r="BC10" t="s">
        <v>480</v>
      </c>
      <c r="BD10" t="s">
        <v>308</v>
      </c>
      <c r="BE10" t="s">
        <v>481</v>
      </c>
      <c r="BF10" t="s">
        <v>482</v>
      </c>
      <c r="BG10" t="s">
        <v>483</v>
      </c>
      <c r="BH10" t="s">
        <v>484</v>
      </c>
      <c r="BI10" t="s">
        <v>485</v>
      </c>
      <c r="BJ10" t="s">
        <v>197</v>
      </c>
      <c r="BK10" t="s">
        <v>161</v>
      </c>
      <c r="BL10" t="s">
        <v>198</v>
      </c>
      <c r="BM10" t="s">
        <v>159</v>
      </c>
      <c r="BN10" t="s">
        <v>201</v>
      </c>
      <c r="BO10" t="s">
        <v>402</v>
      </c>
      <c r="BP10" t="s">
        <v>486</v>
      </c>
      <c r="BQ10" t="s">
        <v>487</v>
      </c>
      <c r="BR10" t="s">
        <v>488</v>
      </c>
      <c r="BS10" t="s">
        <v>489</v>
      </c>
      <c r="BT10" t="s">
        <v>159</v>
      </c>
      <c r="BU10" t="s">
        <v>205</v>
      </c>
      <c r="BV10" t="s">
        <v>200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196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490</v>
      </c>
      <c r="CU10" t="s">
        <v>491</v>
      </c>
      <c r="CV10" t="s">
        <v>492</v>
      </c>
      <c r="CW10" t="s">
        <v>493</v>
      </c>
      <c r="CX10" t="s">
        <v>494</v>
      </c>
      <c r="CY10" t="s">
        <v>495</v>
      </c>
      <c r="CZ10" t="s">
        <v>496</v>
      </c>
      <c r="DA10" t="s">
        <v>497</v>
      </c>
      <c r="DB10" t="s">
        <v>465</v>
      </c>
      <c r="DC10" t="s">
        <v>498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464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484</v>
      </c>
      <c r="B11" t="s">
        <v>499</v>
      </c>
      <c r="C11" t="s">
        <v>161</v>
      </c>
      <c r="D11" t="s">
        <v>162</v>
      </c>
      <c r="E11" t="s">
        <v>163</v>
      </c>
      <c r="I11" t="s">
        <v>500</v>
      </c>
      <c r="J11">
        <f t="shared" si="0"/>
        <v>0.46262819532707361</v>
      </c>
      <c r="K11">
        <f t="shared" si="1"/>
        <v>2.9042299199999997</v>
      </c>
      <c r="L11">
        <f t="shared" si="2"/>
        <v>0.39906007342218203</v>
      </c>
      <c r="M11">
        <f t="shared" si="3"/>
        <v>3.6561361388895186</v>
      </c>
      <c r="N11" t="s">
        <v>501</v>
      </c>
      <c r="O11" t="s">
        <v>502</v>
      </c>
      <c r="P11">
        <f t="shared" si="4"/>
        <v>3.3563302381590683</v>
      </c>
      <c r="Q11">
        <f t="shared" si="5"/>
        <v>0.89396623815906828</v>
      </c>
      <c r="R11" t="s">
        <v>503</v>
      </c>
      <c r="S11" t="s">
        <v>504</v>
      </c>
      <c r="T11">
        <f t="shared" si="6"/>
        <v>33.402968134544864</v>
      </c>
      <c r="U11">
        <f t="shared" si="7"/>
        <v>0.4417875</v>
      </c>
      <c r="V11" t="s">
        <v>169</v>
      </c>
      <c r="W11" t="s">
        <v>505</v>
      </c>
      <c r="X11" t="s">
        <v>171</v>
      </c>
      <c r="Y11" t="s">
        <v>171</v>
      </c>
      <c r="Z11" t="s">
        <v>171</v>
      </c>
      <c r="AA11" t="s">
        <v>506</v>
      </c>
      <c r="AB11" t="s">
        <v>507</v>
      </c>
      <c r="AC11" t="s">
        <v>508</v>
      </c>
      <c r="AD11" t="s">
        <v>175</v>
      </c>
      <c r="AE11" t="s">
        <v>176</v>
      </c>
      <c r="AF11">
        <f t="shared" si="8"/>
        <v>99.302696639999994</v>
      </c>
      <c r="AG11" t="s">
        <v>177</v>
      </c>
      <c r="AH11" t="s">
        <v>509</v>
      </c>
      <c r="AI11" t="s">
        <v>510</v>
      </c>
      <c r="AJ11" t="s">
        <v>511</v>
      </c>
      <c r="AK11" t="s">
        <v>512</v>
      </c>
      <c r="AL11">
        <f t="shared" si="9"/>
        <v>25.91</v>
      </c>
      <c r="AM11" t="s">
        <v>385</v>
      </c>
      <c r="AN11" t="s">
        <v>513</v>
      </c>
      <c r="AO11" t="s">
        <v>514</v>
      </c>
      <c r="AP11" t="s">
        <v>515</v>
      </c>
      <c r="AQ11" t="s">
        <v>516</v>
      </c>
      <c r="AR11" t="s">
        <v>473</v>
      </c>
      <c r="AS11" t="s">
        <v>517</v>
      </c>
      <c r="AT11" t="s">
        <v>518</v>
      </c>
      <c r="AU11" t="s">
        <v>519</v>
      </c>
      <c r="AV11" t="s">
        <v>520</v>
      </c>
      <c r="AW11" t="s">
        <v>521</v>
      </c>
      <c r="AX11" t="s">
        <v>522</v>
      </c>
      <c r="AY11" t="s">
        <v>523</v>
      </c>
      <c r="AZ11" t="s">
        <v>304</v>
      </c>
      <c r="BA11" t="s">
        <v>440</v>
      </c>
      <c r="BB11" t="s">
        <v>441</v>
      </c>
      <c r="BC11" t="s">
        <v>524</v>
      </c>
      <c r="BD11" t="s">
        <v>308</v>
      </c>
      <c r="BE11" t="s">
        <v>525</v>
      </c>
      <c r="BF11" t="s">
        <v>526</v>
      </c>
      <c r="BG11" t="s">
        <v>445</v>
      </c>
      <c r="BH11" t="s">
        <v>527</v>
      </c>
      <c r="BI11" t="s">
        <v>528</v>
      </c>
      <c r="BJ11" t="s">
        <v>197</v>
      </c>
      <c r="BK11" t="s">
        <v>161</v>
      </c>
      <c r="BL11" t="s">
        <v>198</v>
      </c>
      <c r="BM11" t="s">
        <v>159</v>
      </c>
      <c r="BN11" t="s">
        <v>529</v>
      </c>
      <c r="BO11" t="s">
        <v>402</v>
      </c>
      <c r="BP11" t="s">
        <v>402</v>
      </c>
      <c r="BQ11" t="s">
        <v>359</v>
      </c>
      <c r="BR11" t="s">
        <v>530</v>
      </c>
      <c r="BS11" t="s">
        <v>531</v>
      </c>
      <c r="BT11" t="s">
        <v>159</v>
      </c>
      <c r="BU11" t="s">
        <v>205</v>
      </c>
      <c r="BV11" t="s">
        <v>200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196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532</v>
      </c>
      <c r="CU11" t="s">
        <v>533</v>
      </c>
      <c r="CV11" t="s">
        <v>534</v>
      </c>
      <c r="CW11" t="s">
        <v>535</v>
      </c>
      <c r="CX11" t="s">
        <v>536</v>
      </c>
      <c r="CY11" t="s">
        <v>537</v>
      </c>
      <c r="CZ11" t="s">
        <v>538</v>
      </c>
      <c r="DA11" t="s">
        <v>539</v>
      </c>
      <c r="DB11" t="s">
        <v>506</v>
      </c>
      <c r="DC11" t="s">
        <v>540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505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541</v>
      </c>
      <c r="B12" t="s">
        <v>542</v>
      </c>
      <c r="C12" t="s">
        <v>161</v>
      </c>
      <c r="D12" t="s">
        <v>162</v>
      </c>
      <c r="E12" t="s">
        <v>163</v>
      </c>
      <c r="I12" t="s">
        <v>543</v>
      </c>
      <c r="J12">
        <f t="shared" si="0"/>
        <v>0.39893892397993141</v>
      </c>
      <c r="K12">
        <f t="shared" si="1"/>
        <v>2.9058327199999998</v>
      </c>
      <c r="L12">
        <f t="shared" si="2"/>
        <v>0.35078059952922935</v>
      </c>
      <c r="M12">
        <f t="shared" si="3"/>
        <v>3.2190916523288187</v>
      </c>
      <c r="N12" t="s">
        <v>544</v>
      </c>
      <c r="O12" t="s">
        <v>545</v>
      </c>
      <c r="P12">
        <f t="shared" si="4"/>
        <v>3.3942767075603828</v>
      </c>
      <c r="Q12">
        <f t="shared" si="5"/>
        <v>0.89511870756038281</v>
      </c>
      <c r="R12" t="s">
        <v>546</v>
      </c>
      <c r="S12" t="s">
        <v>547</v>
      </c>
      <c r="T12">
        <f t="shared" si="6"/>
        <v>33.780620099128015</v>
      </c>
      <c r="U12">
        <f t="shared" si="7"/>
        <v>0.4417875</v>
      </c>
      <c r="V12" t="s">
        <v>169</v>
      </c>
      <c r="W12" t="s">
        <v>548</v>
      </c>
      <c r="X12" t="s">
        <v>171</v>
      </c>
      <c r="Y12" t="s">
        <v>171</v>
      </c>
      <c r="Z12" t="s">
        <v>171</v>
      </c>
      <c r="AA12" t="s">
        <v>549</v>
      </c>
      <c r="AB12" t="s">
        <v>550</v>
      </c>
      <c r="AC12" t="s">
        <v>551</v>
      </c>
      <c r="AD12" t="s">
        <v>175</v>
      </c>
      <c r="AE12" t="s">
        <v>176</v>
      </c>
      <c r="AF12">
        <f t="shared" si="8"/>
        <v>86.56741968</v>
      </c>
      <c r="AG12" t="s">
        <v>177</v>
      </c>
      <c r="AH12" t="s">
        <v>552</v>
      </c>
      <c r="AI12" t="s">
        <v>553</v>
      </c>
      <c r="AJ12" t="s">
        <v>554</v>
      </c>
      <c r="AK12" t="s">
        <v>555</v>
      </c>
      <c r="AL12">
        <f t="shared" si="9"/>
        <v>26.1</v>
      </c>
      <c r="AM12" t="s">
        <v>385</v>
      </c>
      <c r="AN12" t="s">
        <v>183</v>
      </c>
      <c r="AO12" t="s">
        <v>556</v>
      </c>
      <c r="AP12" t="s">
        <v>557</v>
      </c>
      <c r="AQ12" t="s">
        <v>558</v>
      </c>
      <c r="AR12" t="s">
        <v>559</v>
      </c>
      <c r="AS12" t="s">
        <v>346</v>
      </c>
      <c r="AT12" t="s">
        <v>560</v>
      </c>
      <c r="AU12" t="s">
        <v>561</v>
      </c>
      <c r="AV12" t="s">
        <v>562</v>
      </c>
      <c r="AW12" t="s">
        <v>563</v>
      </c>
      <c r="AX12" t="s">
        <v>564</v>
      </c>
      <c r="AY12" t="s">
        <v>565</v>
      </c>
      <c r="AZ12" t="s">
        <v>304</v>
      </c>
      <c r="BA12" t="s">
        <v>566</v>
      </c>
      <c r="BB12" t="s">
        <v>567</v>
      </c>
      <c r="BC12" t="s">
        <v>568</v>
      </c>
      <c r="BD12" t="s">
        <v>308</v>
      </c>
      <c r="BE12" t="s">
        <v>569</v>
      </c>
      <c r="BF12" t="s">
        <v>354</v>
      </c>
      <c r="BG12" t="s">
        <v>570</v>
      </c>
      <c r="BH12" t="s">
        <v>484</v>
      </c>
      <c r="BI12" t="s">
        <v>571</v>
      </c>
      <c r="BJ12" t="s">
        <v>197</v>
      </c>
      <c r="BK12" t="s">
        <v>161</v>
      </c>
      <c r="BL12" t="s">
        <v>198</v>
      </c>
      <c r="BM12" t="s">
        <v>159</v>
      </c>
      <c r="BN12" t="s">
        <v>200</v>
      </c>
      <c r="BO12" t="s">
        <v>402</v>
      </c>
      <c r="BP12" t="s">
        <v>402</v>
      </c>
      <c r="BQ12" t="s">
        <v>572</v>
      </c>
      <c r="BR12" t="s">
        <v>530</v>
      </c>
      <c r="BS12" t="s">
        <v>573</v>
      </c>
      <c r="BT12" t="s">
        <v>159</v>
      </c>
      <c r="BU12" t="s">
        <v>205</v>
      </c>
      <c r="BV12" t="s">
        <v>200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196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574</v>
      </c>
      <c r="CU12" t="s">
        <v>575</v>
      </c>
      <c r="CV12" t="s">
        <v>576</v>
      </c>
      <c r="CW12" t="s">
        <v>577</v>
      </c>
      <c r="CX12" t="s">
        <v>578</v>
      </c>
      <c r="CY12" t="s">
        <v>579</v>
      </c>
      <c r="CZ12" t="s">
        <v>580</v>
      </c>
      <c r="DA12" t="s">
        <v>581</v>
      </c>
      <c r="DB12" t="s">
        <v>549</v>
      </c>
      <c r="DC12" t="s">
        <v>582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548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527</v>
      </c>
      <c r="B13" t="s">
        <v>583</v>
      </c>
      <c r="C13" t="s">
        <v>161</v>
      </c>
      <c r="D13" t="s">
        <v>162</v>
      </c>
      <c r="E13" t="s">
        <v>163</v>
      </c>
      <c r="I13" t="s">
        <v>584</v>
      </c>
      <c r="J13">
        <f t="shared" si="0"/>
        <v>0.30899130301818228</v>
      </c>
      <c r="K13">
        <f t="shared" si="1"/>
        <v>2.9042299199999997</v>
      </c>
      <c r="L13">
        <f t="shared" si="2"/>
        <v>0.27927793480782492</v>
      </c>
      <c r="M13">
        <f t="shared" si="3"/>
        <v>3.0105426257313481</v>
      </c>
      <c r="N13" t="s">
        <v>585</v>
      </c>
      <c r="O13" t="s">
        <v>586</v>
      </c>
      <c r="P13">
        <f t="shared" si="4"/>
        <v>3.477440090179067</v>
      </c>
      <c r="Q13">
        <f t="shared" si="5"/>
        <v>1.051238090179067</v>
      </c>
      <c r="R13" t="s">
        <v>587</v>
      </c>
      <c r="S13" t="s">
        <v>588</v>
      </c>
      <c r="T13">
        <f t="shared" si="6"/>
        <v>34.608281152259821</v>
      </c>
      <c r="U13">
        <f t="shared" si="7"/>
        <v>0.4417875</v>
      </c>
      <c r="V13" t="s">
        <v>169</v>
      </c>
      <c r="W13" t="s">
        <v>589</v>
      </c>
      <c r="X13" t="s">
        <v>171</v>
      </c>
      <c r="Y13" t="s">
        <v>171</v>
      </c>
      <c r="Z13" t="s">
        <v>171</v>
      </c>
      <c r="AA13" t="s">
        <v>590</v>
      </c>
      <c r="AB13" t="s">
        <v>591</v>
      </c>
      <c r="AC13" t="s">
        <v>592</v>
      </c>
      <c r="AD13" t="s">
        <v>175</v>
      </c>
      <c r="AE13" t="s">
        <v>176</v>
      </c>
      <c r="AF13">
        <f t="shared" si="8"/>
        <v>92.184831900000006</v>
      </c>
      <c r="AG13" t="s">
        <v>177</v>
      </c>
      <c r="AH13" t="s">
        <v>593</v>
      </c>
      <c r="AI13" t="s">
        <v>594</v>
      </c>
      <c r="AJ13" t="s">
        <v>595</v>
      </c>
      <c r="AK13" t="s">
        <v>596</v>
      </c>
      <c r="AL13">
        <f t="shared" si="9"/>
        <v>26.51</v>
      </c>
      <c r="AM13" t="s">
        <v>385</v>
      </c>
      <c r="AN13" t="s">
        <v>513</v>
      </c>
      <c r="AO13" t="s">
        <v>597</v>
      </c>
      <c r="AP13" t="s">
        <v>598</v>
      </c>
      <c r="AQ13" t="s">
        <v>599</v>
      </c>
      <c r="AR13" t="s">
        <v>600</v>
      </c>
      <c r="AS13" t="s">
        <v>601</v>
      </c>
      <c r="AT13" t="s">
        <v>196</v>
      </c>
      <c r="AU13" t="s">
        <v>602</v>
      </c>
      <c r="AV13" t="s">
        <v>603</v>
      </c>
      <c r="AW13" t="s">
        <v>604</v>
      </c>
      <c r="AX13" t="s">
        <v>605</v>
      </c>
      <c r="AY13" t="s">
        <v>606</v>
      </c>
      <c r="AZ13" t="s">
        <v>304</v>
      </c>
      <c r="BA13" t="s">
        <v>607</v>
      </c>
      <c r="BB13" t="s">
        <v>608</v>
      </c>
      <c r="BC13" t="s">
        <v>609</v>
      </c>
      <c r="BD13" t="s">
        <v>308</v>
      </c>
      <c r="BE13" t="s">
        <v>610</v>
      </c>
      <c r="BF13" t="s">
        <v>611</v>
      </c>
      <c r="BG13" t="s">
        <v>612</v>
      </c>
      <c r="BH13" t="s">
        <v>541</v>
      </c>
      <c r="BI13" t="s">
        <v>613</v>
      </c>
      <c r="BJ13" t="s">
        <v>197</v>
      </c>
      <c r="BK13" t="s">
        <v>161</v>
      </c>
      <c r="BL13" t="s">
        <v>198</v>
      </c>
      <c r="BM13" t="s">
        <v>159</v>
      </c>
      <c r="BN13" t="s">
        <v>314</v>
      </c>
      <c r="BO13" t="s">
        <v>314</v>
      </c>
      <c r="BP13" t="s">
        <v>314</v>
      </c>
      <c r="BQ13" t="s">
        <v>614</v>
      </c>
      <c r="BR13" t="s">
        <v>615</v>
      </c>
      <c r="BS13" t="s">
        <v>616</v>
      </c>
      <c r="BT13" t="s">
        <v>159</v>
      </c>
      <c r="BU13" t="s">
        <v>205</v>
      </c>
      <c r="BV13" t="s">
        <v>200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196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617</v>
      </c>
      <c r="CU13" t="s">
        <v>618</v>
      </c>
      <c r="CV13" t="s">
        <v>619</v>
      </c>
      <c r="CW13" t="s">
        <v>620</v>
      </c>
      <c r="CX13" t="s">
        <v>621</v>
      </c>
      <c r="CY13" t="s">
        <v>622</v>
      </c>
      <c r="CZ13" t="s">
        <v>623</v>
      </c>
      <c r="DA13" t="s">
        <v>624</v>
      </c>
      <c r="DB13" t="s">
        <v>590</v>
      </c>
      <c r="DC13" t="s">
        <v>625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589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626</v>
      </c>
      <c r="B14" t="s">
        <v>627</v>
      </c>
      <c r="C14" t="s">
        <v>161</v>
      </c>
      <c r="D14" t="s">
        <v>162</v>
      </c>
      <c r="E14" t="s">
        <v>163</v>
      </c>
      <c r="I14" t="s">
        <v>628</v>
      </c>
      <c r="J14">
        <f t="shared" si="0"/>
        <v>0.44168236020794227</v>
      </c>
      <c r="K14">
        <f t="shared" si="1"/>
        <v>2.9050319999999994</v>
      </c>
      <c r="L14">
        <f t="shared" si="2"/>
        <v>0.38339136602021684</v>
      </c>
      <c r="M14">
        <f t="shared" si="3"/>
        <v>3.9203543908352816</v>
      </c>
      <c r="N14" t="s">
        <v>629</v>
      </c>
      <c r="O14" t="s">
        <v>630</v>
      </c>
      <c r="P14">
        <f t="shared" si="4"/>
        <v>3.4427442755857838</v>
      </c>
      <c r="Q14">
        <f t="shared" si="5"/>
        <v>0.99746527558578357</v>
      </c>
      <c r="R14" t="s">
        <v>631</v>
      </c>
      <c r="S14" t="s">
        <v>632</v>
      </c>
      <c r="T14">
        <f t="shared" si="6"/>
        <v>34.259570858650456</v>
      </c>
      <c r="U14">
        <f t="shared" si="7"/>
        <v>0.4417875</v>
      </c>
      <c r="V14" t="s">
        <v>169</v>
      </c>
      <c r="W14" t="s">
        <v>633</v>
      </c>
      <c r="X14" t="s">
        <v>171</v>
      </c>
      <c r="Y14" t="s">
        <v>171</v>
      </c>
      <c r="Z14" t="s">
        <v>171</v>
      </c>
      <c r="AA14" t="s">
        <v>634</v>
      </c>
      <c r="AB14" t="s">
        <v>635</v>
      </c>
      <c r="AC14" t="s">
        <v>636</v>
      </c>
      <c r="AD14" t="s">
        <v>175</v>
      </c>
      <c r="AE14" t="s">
        <v>176</v>
      </c>
      <c r="AF14">
        <f t="shared" si="8"/>
        <v>94.999338000000009</v>
      </c>
      <c r="AG14" t="s">
        <v>177</v>
      </c>
      <c r="AH14" t="s">
        <v>637</v>
      </c>
      <c r="AI14" t="s">
        <v>638</v>
      </c>
      <c r="AJ14" t="s">
        <v>639</v>
      </c>
      <c r="AK14" t="s">
        <v>640</v>
      </c>
      <c r="AL14">
        <f t="shared" si="9"/>
        <v>26.34</v>
      </c>
      <c r="AM14" t="s">
        <v>641</v>
      </c>
      <c r="AN14" t="s">
        <v>184</v>
      </c>
      <c r="AO14" t="s">
        <v>642</v>
      </c>
      <c r="AP14" t="s">
        <v>643</v>
      </c>
      <c r="AQ14" t="s">
        <v>644</v>
      </c>
      <c r="AR14" t="s">
        <v>645</v>
      </c>
      <c r="AS14" t="s">
        <v>517</v>
      </c>
      <c r="AT14" t="s">
        <v>390</v>
      </c>
      <c r="AU14" t="s">
        <v>646</v>
      </c>
      <c r="AV14" t="s">
        <v>647</v>
      </c>
      <c r="AW14" t="s">
        <v>648</v>
      </c>
      <c r="AX14" t="s">
        <v>649</v>
      </c>
      <c r="AY14" t="s">
        <v>650</v>
      </c>
      <c r="AZ14" t="s">
        <v>304</v>
      </c>
      <c r="BA14" t="s">
        <v>607</v>
      </c>
      <c r="BB14" t="s">
        <v>608</v>
      </c>
      <c r="BC14" t="s">
        <v>651</v>
      </c>
      <c r="BD14" t="s">
        <v>308</v>
      </c>
      <c r="BE14" t="s">
        <v>610</v>
      </c>
      <c r="BF14" t="s">
        <v>526</v>
      </c>
      <c r="BG14" t="s">
        <v>652</v>
      </c>
      <c r="BH14" t="s">
        <v>527</v>
      </c>
      <c r="BI14" t="s">
        <v>528</v>
      </c>
      <c r="BJ14" t="s">
        <v>197</v>
      </c>
      <c r="BK14" t="s">
        <v>161</v>
      </c>
      <c r="BL14" t="s">
        <v>198</v>
      </c>
      <c r="BM14" t="s">
        <v>159</v>
      </c>
      <c r="BN14" t="s">
        <v>314</v>
      </c>
      <c r="BO14" t="s">
        <v>402</v>
      </c>
      <c r="BP14" t="s">
        <v>653</v>
      </c>
      <c r="BQ14" t="s">
        <v>654</v>
      </c>
      <c r="BR14" t="s">
        <v>655</v>
      </c>
      <c r="BS14" t="s">
        <v>656</v>
      </c>
      <c r="BT14" t="s">
        <v>159</v>
      </c>
      <c r="BU14" t="s">
        <v>205</v>
      </c>
      <c r="BV14" t="s">
        <v>200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196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657</v>
      </c>
      <c r="CU14" t="s">
        <v>658</v>
      </c>
      <c r="CV14" t="s">
        <v>659</v>
      </c>
      <c r="CW14" t="s">
        <v>660</v>
      </c>
      <c r="CX14" t="s">
        <v>661</v>
      </c>
      <c r="CY14" t="s">
        <v>662</v>
      </c>
      <c r="CZ14" t="s">
        <v>663</v>
      </c>
      <c r="DA14" t="s">
        <v>664</v>
      </c>
      <c r="DB14" t="s">
        <v>634</v>
      </c>
      <c r="DC14" t="s">
        <v>665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633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666</v>
      </c>
      <c r="B15" t="s">
        <v>667</v>
      </c>
      <c r="C15" t="s">
        <v>161</v>
      </c>
      <c r="D15" t="s">
        <v>162</v>
      </c>
      <c r="E15" t="s">
        <v>163</v>
      </c>
      <c r="I15" t="s">
        <v>668</v>
      </c>
      <c r="J15">
        <f t="shared" si="0"/>
        <v>0.4200279373123888</v>
      </c>
      <c r="K15">
        <f t="shared" si="1"/>
        <v>2.9042299199999997</v>
      </c>
      <c r="L15">
        <f t="shared" si="2"/>
        <v>0.36695640204179597</v>
      </c>
      <c r="M15">
        <f t="shared" si="3"/>
        <v>3.6454018922340303</v>
      </c>
      <c r="N15" t="s">
        <v>669</v>
      </c>
      <c r="O15" t="s">
        <v>670</v>
      </c>
      <c r="P15">
        <f t="shared" si="4"/>
        <v>3.463116778464125</v>
      </c>
      <c r="Q15">
        <f t="shared" si="5"/>
        <v>0.96860477846412518</v>
      </c>
      <c r="R15" t="s">
        <v>671</v>
      </c>
      <c r="S15" t="s">
        <v>672</v>
      </c>
      <c r="T15">
        <f t="shared" si="6"/>
        <v>34.462302502379586</v>
      </c>
      <c r="U15">
        <f t="shared" si="7"/>
        <v>0.4417875</v>
      </c>
      <c r="V15" t="s">
        <v>169</v>
      </c>
      <c r="W15" t="s">
        <v>673</v>
      </c>
      <c r="X15" t="s">
        <v>171</v>
      </c>
      <c r="Y15" t="s">
        <v>171</v>
      </c>
      <c r="Z15" t="s">
        <v>171</v>
      </c>
      <c r="AA15" t="s">
        <v>674</v>
      </c>
      <c r="AB15" t="s">
        <v>675</v>
      </c>
      <c r="AC15" t="s">
        <v>676</v>
      </c>
      <c r="AD15" t="s">
        <v>175</v>
      </c>
      <c r="AE15" t="s">
        <v>176</v>
      </c>
      <c r="AF15">
        <f t="shared" si="8"/>
        <v>94.751227200000002</v>
      </c>
      <c r="AG15" t="s">
        <v>177</v>
      </c>
      <c r="AH15" t="s">
        <v>677</v>
      </c>
      <c r="AI15" t="s">
        <v>678</v>
      </c>
      <c r="AJ15" t="s">
        <v>679</v>
      </c>
      <c r="AK15" t="s">
        <v>478</v>
      </c>
      <c r="AL15">
        <f t="shared" si="9"/>
        <v>26.44</v>
      </c>
      <c r="AM15" t="s">
        <v>641</v>
      </c>
      <c r="AN15" t="s">
        <v>513</v>
      </c>
      <c r="AO15" t="s">
        <v>680</v>
      </c>
      <c r="AP15" t="s">
        <v>681</v>
      </c>
      <c r="AQ15" t="s">
        <v>682</v>
      </c>
      <c r="AR15" t="s">
        <v>645</v>
      </c>
      <c r="AS15" t="s">
        <v>683</v>
      </c>
      <c r="AT15" t="s">
        <v>517</v>
      </c>
      <c r="AU15" t="s">
        <v>347</v>
      </c>
      <c r="AV15" t="s">
        <v>684</v>
      </c>
      <c r="AW15" t="s">
        <v>685</v>
      </c>
      <c r="AX15" t="s">
        <v>686</v>
      </c>
      <c r="AY15" t="s">
        <v>687</v>
      </c>
      <c r="AZ15" t="s">
        <v>304</v>
      </c>
      <c r="BA15" t="s">
        <v>607</v>
      </c>
      <c r="BB15" t="s">
        <v>608</v>
      </c>
      <c r="BC15" t="s">
        <v>688</v>
      </c>
      <c r="BD15" t="s">
        <v>308</v>
      </c>
      <c r="BE15" t="s">
        <v>689</v>
      </c>
      <c r="BF15" t="s">
        <v>690</v>
      </c>
      <c r="BG15" t="s">
        <v>691</v>
      </c>
      <c r="BH15" t="s">
        <v>484</v>
      </c>
      <c r="BI15" t="s">
        <v>692</v>
      </c>
      <c r="BJ15" t="s">
        <v>197</v>
      </c>
      <c r="BK15" t="s">
        <v>161</v>
      </c>
      <c r="BL15" t="s">
        <v>198</v>
      </c>
      <c r="BM15" t="s">
        <v>159</v>
      </c>
      <c r="BN15" t="s">
        <v>693</v>
      </c>
      <c r="BO15" t="s">
        <v>201</v>
      </c>
      <c r="BP15" t="s">
        <v>694</v>
      </c>
      <c r="BQ15" t="s">
        <v>264</v>
      </c>
      <c r="BR15" t="s">
        <v>695</v>
      </c>
      <c r="BS15" t="s">
        <v>696</v>
      </c>
      <c r="BT15" t="s">
        <v>159</v>
      </c>
      <c r="BU15" t="s">
        <v>205</v>
      </c>
      <c r="BV15" t="s">
        <v>200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196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697</v>
      </c>
      <c r="CU15" t="s">
        <v>698</v>
      </c>
      <c r="CV15" t="s">
        <v>699</v>
      </c>
      <c r="CW15" t="s">
        <v>700</v>
      </c>
      <c r="CX15" t="s">
        <v>701</v>
      </c>
      <c r="CY15" t="s">
        <v>702</v>
      </c>
      <c r="CZ15" t="s">
        <v>703</v>
      </c>
      <c r="DA15" t="s">
        <v>704</v>
      </c>
      <c r="DB15" t="s">
        <v>674</v>
      </c>
      <c r="DC15" t="s">
        <v>498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673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705</v>
      </c>
      <c r="B16" t="s">
        <v>706</v>
      </c>
      <c r="C16" t="s">
        <v>161</v>
      </c>
      <c r="D16" t="s">
        <v>162</v>
      </c>
      <c r="E16" t="s">
        <v>163</v>
      </c>
      <c r="I16" t="s">
        <v>707</v>
      </c>
      <c r="J16">
        <f t="shared" si="0"/>
        <v>0.26720470008381747</v>
      </c>
      <c r="K16">
        <f t="shared" si="1"/>
        <v>2.9050319999999994</v>
      </c>
      <c r="L16">
        <f t="shared" si="2"/>
        <v>0.24469744148454703</v>
      </c>
      <c r="M16">
        <f t="shared" si="3"/>
        <v>2.5071999384174286</v>
      </c>
      <c r="N16" t="s">
        <v>708</v>
      </c>
      <c r="O16" t="s">
        <v>709</v>
      </c>
      <c r="P16">
        <f t="shared" si="4"/>
        <v>3.5414955106111412</v>
      </c>
      <c r="Q16">
        <f t="shared" si="5"/>
        <v>0.99869051061114122</v>
      </c>
      <c r="R16" t="s">
        <v>710</v>
      </c>
      <c r="S16" t="s">
        <v>711</v>
      </c>
      <c r="T16">
        <f t="shared" si="6"/>
        <v>35.238761299613351</v>
      </c>
      <c r="U16">
        <f t="shared" si="7"/>
        <v>0.4417875</v>
      </c>
      <c r="V16" t="s">
        <v>169</v>
      </c>
      <c r="W16" t="s">
        <v>712</v>
      </c>
      <c r="X16" t="s">
        <v>171</v>
      </c>
      <c r="Y16" t="s">
        <v>171</v>
      </c>
      <c r="Z16" t="s">
        <v>171</v>
      </c>
      <c r="AA16" t="s">
        <v>713</v>
      </c>
      <c r="AB16" t="s">
        <v>714</v>
      </c>
      <c r="AC16" t="s">
        <v>715</v>
      </c>
      <c r="AD16" t="s">
        <v>175</v>
      </c>
      <c r="AE16" t="s">
        <v>176</v>
      </c>
      <c r="AF16">
        <f t="shared" si="8"/>
        <v>94.770899999999997</v>
      </c>
      <c r="AG16" t="s">
        <v>177</v>
      </c>
      <c r="AH16" t="s">
        <v>716</v>
      </c>
      <c r="AI16" t="s">
        <v>637</v>
      </c>
      <c r="AJ16" t="s">
        <v>717</v>
      </c>
      <c r="AK16" t="s">
        <v>718</v>
      </c>
      <c r="AL16">
        <f t="shared" si="9"/>
        <v>26.82</v>
      </c>
      <c r="AM16" t="s">
        <v>719</v>
      </c>
      <c r="AN16" t="s">
        <v>184</v>
      </c>
      <c r="AO16" t="s">
        <v>720</v>
      </c>
      <c r="AP16" t="s">
        <v>721</v>
      </c>
      <c r="AQ16" t="s">
        <v>644</v>
      </c>
      <c r="AR16" t="s">
        <v>645</v>
      </c>
      <c r="AS16" t="s">
        <v>722</v>
      </c>
      <c r="AT16" t="s">
        <v>260</v>
      </c>
      <c r="AU16" t="s">
        <v>723</v>
      </c>
      <c r="AV16" t="s">
        <v>724</v>
      </c>
      <c r="AW16" t="s">
        <v>725</v>
      </c>
      <c r="AX16" t="s">
        <v>726</v>
      </c>
      <c r="AY16" t="s">
        <v>727</v>
      </c>
      <c r="AZ16" t="s">
        <v>304</v>
      </c>
      <c r="BA16" t="s">
        <v>728</v>
      </c>
      <c r="BB16" t="s">
        <v>729</v>
      </c>
      <c r="BC16" t="s">
        <v>730</v>
      </c>
      <c r="BD16" t="s">
        <v>308</v>
      </c>
      <c r="BE16" t="s">
        <v>731</v>
      </c>
      <c r="BF16" t="s">
        <v>526</v>
      </c>
      <c r="BG16" t="s">
        <v>732</v>
      </c>
      <c r="BH16" t="s">
        <v>484</v>
      </c>
      <c r="BI16" t="s">
        <v>733</v>
      </c>
      <c r="BJ16" t="s">
        <v>197</v>
      </c>
      <c r="BK16" t="s">
        <v>161</v>
      </c>
      <c r="BL16" t="s">
        <v>198</v>
      </c>
      <c r="BM16" t="s">
        <v>159</v>
      </c>
      <c r="BN16" t="s">
        <v>200</v>
      </c>
      <c r="BO16" t="s">
        <v>314</v>
      </c>
      <c r="BP16" t="s">
        <v>403</v>
      </c>
      <c r="BQ16" t="s">
        <v>734</v>
      </c>
      <c r="BR16" t="s">
        <v>735</v>
      </c>
      <c r="BS16" t="s">
        <v>736</v>
      </c>
      <c r="BT16" t="s">
        <v>159</v>
      </c>
      <c r="BU16" t="s">
        <v>205</v>
      </c>
      <c r="BV16" t="s">
        <v>200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196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737</v>
      </c>
      <c r="CU16" t="s">
        <v>738</v>
      </c>
      <c r="CV16" t="s">
        <v>739</v>
      </c>
      <c r="CW16" t="s">
        <v>740</v>
      </c>
      <c r="CX16" t="s">
        <v>741</v>
      </c>
      <c r="CY16" t="s">
        <v>742</v>
      </c>
      <c r="CZ16" t="s">
        <v>743</v>
      </c>
      <c r="DA16" t="s">
        <v>744</v>
      </c>
      <c r="DB16" t="s">
        <v>713</v>
      </c>
      <c r="DC16" t="s">
        <v>745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712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746</v>
      </c>
      <c r="B17" t="s">
        <v>747</v>
      </c>
      <c r="C17" t="s">
        <v>161</v>
      </c>
      <c r="D17" t="s">
        <v>162</v>
      </c>
      <c r="E17" t="s">
        <v>163</v>
      </c>
      <c r="I17" t="s">
        <v>748</v>
      </c>
      <c r="J17">
        <f t="shared" si="0"/>
        <v>0.2560356957874857</v>
      </c>
      <c r="K17">
        <f t="shared" si="1"/>
        <v>2.9050319999999994</v>
      </c>
      <c r="L17">
        <f t="shared" si="2"/>
        <v>0.23529767818516065</v>
      </c>
      <c r="M17">
        <f t="shared" si="3"/>
        <v>2.5345660881314451</v>
      </c>
      <c r="N17" t="s">
        <v>749</v>
      </c>
      <c r="O17" t="s">
        <v>750</v>
      </c>
      <c r="P17">
        <f t="shared" si="4"/>
        <v>3.5498352911277378</v>
      </c>
      <c r="Q17">
        <f t="shared" si="5"/>
        <v>1.0499252911277379</v>
      </c>
      <c r="R17" t="s">
        <v>751</v>
      </c>
      <c r="S17" t="s">
        <v>752</v>
      </c>
      <c r="T17">
        <f t="shared" si="6"/>
        <v>35.325259141484104</v>
      </c>
      <c r="U17">
        <f t="shared" si="7"/>
        <v>0.4417875</v>
      </c>
      <c r="V17" t="s">
        <v>169</v>
      </c>
      <c r="W17" t="s">
        <v>753</v>
      </c>
      <c r="X17" t="s">
        <v>171</v>
      </c>
      <c r="Y17" t="s">
        <v>171</v>
      </c>
      <c r="Z17" t="s">
        <v>171</v>
      </c>
      <c r="AA17" t="s">
        <v>754</v>
      </c>
      <c r="AB17" t="s">
        <v>755</v>
      </c>
      <c r="AC17" t="s">
        <v>756</v>
      </c>
      <c r="AD17" t="s">
        <v>175</v>
      </c>
      <c r="AE17" t="s">
        <v>176</v>
      </c>
      <c r="AF17">
        <f t="shared" si="8"/>
        <v>88.30301759999999</v>
      </c>
      <c r="AG17" t="s">
        <v>177</v>
      </c>
      <c r="AH17" t="s">
        <v>757</v>
      </c>
      <c r="AI17" t="s">
        <v>758</v>
      </c>
      <c r="AJ17" t="s">
        <v>759</v>
      </c>
      <c r="AK17" t="s">
        <v>428</v>
      </c>
      <c r="AL17">
        <f t="shared" si="9"/>
        <v>26.86</v>
      </c>
      <c r="AM17" t="s">
        <v>641</v>
      </c>
      <c r="AN17" t="s">
        <v>184</v>
      </c>
      <c r="AO17" t="s">
        <v>760</v>
      </c>
      <c r="AP17" t="s">
        <v>761</v>
      </c>
      <c r="AQ17" t="s">
        <v>762</v>
      </c>
      <c r="AR17" t="s">
        <v>763</v>
      </c>
      <c r="AS17" t="s">
        <v>390</v>
      </c>
      <c r="AT17" t="s">
        <v>764</v>
      </c>
      <c r="AU17" t="s">
        <v>765</v>
      </c>
      <c r="AV17" t="s">
        <v>766</v>
      </c>
      <c r="AW17" t="s">
        <v>767</v>
      </c>
      <c r="AX17" t="s">
        <v>768</v>
      </c>
      <c r="AY17" t="s">
        <v>769</v>
      </c>
      <c r="AZ17" t="s">
        <v>304</v>
      </c>
      <c r="BA17" t="s">
        <v>728</v>
      </c>
      <c r="BB17" t="s">
        <v>729</v>
      </c>
      <c r="BC17" t="s">
        <v>770</v>
      </c>
      <c r="BD17" t="s">
        <v>308</v>
      </c>
      <c r="BE17" t="s">
        <v>610</v>
      </c>
      <c r="BF17" t="s">
        <v>771</v>
      </c>
      <c r="BG17" t="s">
        <v>772</v>
      </c>
      <c r="BH17" t="s">
        <v>541</v>
      </c>
      <c r="BI17" t="s">
        <v>773</v>
      </c>
      <c r="BJ17" t="s">
        <v>197</v>
      </c>
      <c r="BK17" t="s">
        <v>161</v>
      </c>
      <c r="BL17" t="s">
        <v>198</v>
      </c>
      <c r="BM17" t="s">
        <v>159</v>
      </c>
      <c r="BN17" t="s">
        <v>314</v>
      </c>
      <c r="BO17" t="s">
        <v>201</v>
      </c>
      <c r="BP17" t="s">
        <v>402</v>
      </c>
      <c r="BQ17" t="s">
        <v>774</v>
      </c>
      <c r="BR17" t="s">
        <v>775</v>
      </c>
      <c r="BS17" t="s">
        <v>776</v>
      </c>
      <c r="BT17" t="s">
        <v>159</v>
      </c>
      <c r="BU17" t="s">
        <v>205</v>
      </c>
      <c r="BV17" t="s">
        <v>200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196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777</v>
      </c>
      <c r="CU17" t="s">
        <v>778</v>
      </c>
      <c r="CV17" t="s">
        <v>779</v>
      </c>
      <c r="CW17" t="s">
        <v>780</v>
      </c>
      <c r="CX17" t="s">
        <v>781</v>
      </c>
      <c r="CY17" t="s">
        <v>782</v>
      </c>
      <c r="CZ17" t="s">
        <v>783</v>
      </c>
      <c r="DA17" t="s">
        <v>784</v>
      </c>
      <c r="DB17" t="s">
        <v>754</v>
      </c>
      <c r="DC17" t="s">
        <v>785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753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764</v>
      </c>
      <c r="B18" t="s">
        <v>786</v>
      </c>
      <c r="C18" t="s">
        <v>161</v>
      </c>
      <c r="D18" t="s">
        <v>162</v>
      </c>
      <c r="E18" t="s">
        <v>163</v>
      </c>
      <c r="I18" t="s">
        <v>787</v>
      </c>
      <c r="J18">
        <f t="shared" si="0"/>
        <v>0.23036310594912804</v>
      </c>
      <c r="K18">
        <f t="shared" si="1"/>
        <v>2.9042299199999997</v>
      </c>
      <c r="L18">
        <f t="shared" si="2"/>
        <v>0.21343358427176104</v>
      </c>
      <c r="M18">
        <f t="shared" si="3"/>
        <v>2.3046709201418474</v>
      </c>
      <c r="N18" t="s">
        <v>788</v>
      </c>
      <c r="O18" t="s">
        <v>789</v>
      </c>
      <c r="P18">
        <f t="shared" si="4"/>
        <v>3.5519229131666212</v>
      </c>
      <c r="Q18">
        <f t="shared" si="5"/>
        <v>1.0522739131666214</v>
      </c>
      <c r="R18" t="s">
        <v>790</v>
      </c>
      <c r="S18" t="s">
        <v>791</v>
      </c>
      <c r="T18">
        <f t="shared" si="6"/>
        <v>35.349551285495828</v>
      </c>
      <c r="U18">
        <f t="shared" si="7"/>
        <v>0.4417875</v>
      </c>
      <c r="V18" t="s">
        <v>169</v>
      </c>
      <c r="W18" t="s">
        <v>792</v>
      </c>
      <c r="X18" t="s">
        <v>171</v>
      </c>
      <c r="Y18" t="s">
        <v>171</v>
      </c>
      <c r="Z18" t="s">
        <v>171</v>
      </c>
      <c r="AA18" t="s">
        <v>793</v>
      </c>
      <c r="AB18" t="s">
        <v>794</v>
      </c>
      <c r="AC18" t="s">
        <v>795</v>
      </c>
      <c r="AD18" t="s">
        <v>175</v>
      </c>
      <c r="AE18" t="s">
        <v>176</v>
      </c>
      <c r="AF18">
        <f t="shared" si="8"/>
        <v>75.015503640000006</v>
      </c>
      <c r="AG18" t="s">
        <v>177</v>
      </c>
      <c r="AH18" t="s">
        <v>796</v>
      </c>
      <c r="AI18" t="s">
        <v>797</v>
      </c>
      <c r="AJ18" t="s">
        <v>798</v>
      </c>
      <c r="AK18" t="s">
        <v>799</v>
      </c>
      <c r="AL18">
        <f t="shared" si="9"/>
        <v>26.87</v>
      </c>
      <c r="AM18" t="s">
        <v>385</v>
      </c>
      <c r="AN18" t="s">
        <v>513</v>
      </c>
      <c r="AO18" t="s">
        <v>800</v>
      </c>
      <c r="AP18" t="s">
        <v>643</v>
      </c>
      <c r="AQ18" t="s">
        <v>801</v>
      </c>
      <c r="AR18" t="s">
        <v>802</v>
      </c>
      <c r="AS18" t="s">
        <v>259</v>
      </c>
      <c r="AT18" t="s">
        <v>803</v>
      </c>
      <c r="AU18" t="s">
        <v>804</v>
      </c>
      <c r="AV18" t="s">
        <v>805</v>
      </c>
      <c r="AW18" t="s">
        <v>806</v>
      </c>
      <c r="AX18" t="s">
        <v>807</v>
      </c>
      <c r="AY18" t="s">
        <v>808</v>
      </c>
      <c r="AZ18" t="s">
        <v>304</v>
      </c>
      <c r="BA18" t="s">
        <v>809</v>
      </c>
      <c r="BB18" t="s">
        <v>810</v>
      </c>
      <c r="BC18" t="s">
        <v>811</v>
      </c>
      <c r="BD18" t="s">
        <v>308</v>
      </c>
      <c r="BE18" t="s">
        <v>610</v>
      </c>
      <c r="BF18" t="s">
        <v>812</v>
      </c>
      <c r="BG18" t="s">
        <v>813</v>
      </c>
      <c r="BH18" t="s">
        <v>484</v>
      </c>
      <c r="BI18" t="s">
        <v>177</v>
      </c>
      <c r="BJ18" t="s">
        <v>197</v>
      </c>
      <c r="BK18" t="s">
        <v>161</v>
      </c>
      <c r="BL18" t="s">
        <v>198</v>
      </c>
      <c r="BM18" t="s">
        <v>159</v>
      </c>
      <c r="BN18" t="s">
        <v>402</v>
      </c>
      <c r="BO18" t="s">
        <v>402</v>
      </c>
      <c r="BP18" t="s">
        <v>264</v>
      </c>
      <c r="BQ18" t="s">
        <v>814</v>
      </c>
      <c r="BR18" t="s">
        <v>815</v>
      </c>
      <c r="BS18" t="s">
        <v>816</v>
      </c>
      <c r="BT18" t="s">
        <v>159</v>
      </c>
      <c r="BU18" t="s">
        <v>205</v>
      </c>
      <c r="BV18" t="s">
        <v>200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196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817</v>
      </c>
      <c r="CU18" t="s">
        <v>818</v>
      </c>
      <c r="CV18" t="s">
        <v>819</v>
      </c>
      <c r="CW18" t="s">
        <v>820</v>
      </c>
      <c r="CX18" t="s">
        <v>821</v>
      </c>
      <c r="CY18" t="s">
        <v>822</v>
      </c>
      <c r="CZ18" t="s">
        <v>823</v>
      </c>
      <c r="DA18" t="s">
        <v>824</v>
      </c>
      <c r="DB18" t="s">
        <v>793</v>
      </c>
      <c r="DC18" t="s">
        <v>825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792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826</v>
      </c>
      <c r="B19" t="s">
        <v>827</v>
      </c>
      <c r="C19" t="s">
        <v>161</v>
      </c>
      <c r="D19" t="s">
        <v>162</v>
      </c>
      <c r="E19" t="s">
        <v>163</v>
      </c>
      <c r="I19" t="s">
        <v>828</v>
      </c>
      <c r="J19">
        <f t="shared" si="0"/>
        <v>0.27075932350767923</v>
      </c>
      <c r="K19">
        <f t="shared" si="1"/>
        <v>2.9034264800000003</v>
      </c>
      <c r="L19">
        <f t="shared" si="2"/>
        <v>0.24766344449980163</v>
      </c>
      <c r="M19">
        <f t="shared" si="3"/>
        <v>2.7624096173132218</v>
      </c>
      <c r="N19" t="s">
        <v>829</v>
      </c>
      <c r="O19" t="s">
        <v>830</v>
      </c>
      <c r="P19">
        <f t="shared" si="4"/>
        <v>3.5981225596632118</v>
      </c>
      <c r="Q19">
        <f t="shared" si="5"/>
        <v>1.0867255596632117</v>
      </c>
      <c r="R19" t="s">
        <v>831</v>
      </c>
      <c r="S19" t="s">
        <v>832</v>
      </c>
      <c r="T19">
        <f t="shared" si="6"/>
        <v>35.805777287921309</v>
      </c>
      <c r="U19">
        <f t="shared" si="7"/>
        <v>0.4417875</v>
      </c>
      <c r="V19" t="s">
        <v>169</v>
      </c>
      <c r="W19" t="s">
        <v>833</v>
      </c>
      <c r="X19" t="s">
        <v>171</v>
      </c>
      <c r="Y19" t="s">
        <v>171</v>
      </c>
      <c r="Z19" t="s">
        <v>171</v>
      </c>
      <c r="AA19" t="s">
        <v>834</v>
      </c>
      <c r="AB19" t="s">
        <v>835</v>
      </c>
      <c r="AC19" t="s">
        <v>836</v>
      </c>
      <c r="AD19" t="s">
        <v>175</v>
      </c>
      <c r="AE19" t="s">
        <v>176</v>
      </c>
      <c r="AF19">
        <f t="shared" si="8"/>
        <v>93.368771999999993</v>
      </c>
      <c r="AG19" t="s">
        <v>177</v>
      </c>
      <c r="AH19" t="s">
        <v>837</v>
      </c>
      <c r="AI19" t="s">
        <v>838</v>
      </c>
      <c r="AJ19" t="s">
        <v>839</v>
      </c>
      <c r="AK19" t="s">
        <v>840</v>
      </c>
      <c r="AL19">
        <f t="shared" si="9"/>
        <v>27.09</v>
      </c>
      <c r="AM19" t="s">
        <v>641</v>
      </c>
      <c r="AN19" t="s">
        <v>254</v>
      </c>
      <c r="AO19" t="s">
        <v>841</v>
      </c>
      <c r="AP19" t="s">
        <v>256</v>
      </c>
      <c r="AQ19" t="s">
        <v>644</v>
      </c>
      <c r="AR19" t="s">
        <v>802</v>
      </c>
      <c r="AS19" t="s">
        <v>260</v>
      </c>
      <c r="AT19" t="s">
        <v>705</v>
      </c>
      <c r="AU19" t="s">
        <v>842</v>
      </c>
      <c r="AV19" t="s">
        <v>843</v>
      </c>
      <c r="AW19" t="s">
        <v>844</v>
      </c>
      <c r="AX19" t="s">
        <v>845</v>
      </c>
      <c r="AY19" t="s">
        <v>846</v>
      </c>
      <c r="AZ19" t="s">
        <v>304</v>
      </c>
      <c r="BA19" t="s">
        <v>809</v>
      </c>
      <c r="BB19" t="s">
        <v>810</v>
      </c>
      <c r="BC19" t="s">
        <v>847</v>
      </c>
      <c r="BD19" t="s">
        <v>308</v>
      </c>
      <c r="BE19" t="s">
        <v>848</v>
      </c>
      <c r="BF19" t="s">
        <v>849</v>
      </c>
      <c r="BG19" t="s">
        <v>850</v>
      </c>
      <c r="BH19" t="s">
        <v>527</v>
      </c>
      <c r="BI19" t="s">
        <v>528</v>
      </c>
      <c r="BJ19" t="s">
        <v>197</v>
      </c>
      <c r="BK19" t="s">
        <v>161</v>
      </c>
      <c r="BL19" t="s">
        <v>198</v>
      </c>
      <c r="BM19" t="s">
        <v>159</v>
      </c>
      <c r="BN19" t="s">
        <v>200</v>
      </c>
      <c r="BO19" t="s">
        <v>201</v>
      </c>
      <c r="BP19" t="s">
        <v>358</v>
      </c>
      <c r="BQ19" t="s">
        <v>851</v>
      </c>
      <c r="BR19" t="s">
        <v>736</v>
      </c>
      <c r="BS19" t="s">
        <v>852</v>
      </c>
      <c r="BT19" t="s">
        <v>159</v>
      </c>
      <c r="BU19" t="s">
        <v>205</v>
      </c>
      <c r="BV19" t="s">
        <v>200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196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853</v>
      </c>
      <c r="CU19" t="s">
        <v>854</v>
      </c>
      <c r="CV19" t="s">
        <v>855</v>
      </c>
      <c r="CW19" t="s">
        <v>856</v>
      </c>
      <c r="CX19" t="s">
        <v>857</v>
      </c>
      <c r="CY19" t="s">
        <v>858</v>
      </c>
      <c r="CZ19" t="s">
        <v>859</v>
      </c>
      <c r="DA19" t="s">
        <v>860</v>
      </c>
      <c r="DB19" t="s">
        <v>834</v>
      </c>
      <c r="DC19" t="s">
        <v>861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833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x14ac:dyDescent="0.45">
      <c r="A20" t="s">
        <v>862</v>
      </c>
      <c r="B20" t="s">
        <v>863</v>
      </c>
      <c r="C20" t="s">
        <v>161</v>
      </c>
      <c r="D20" t="s">
        <v>162</v>
      </c>
      <c r="E20" t="s">
        <v>163</v>
      </c>
      <c r="I20" t="s">
        <v>864</v>
      </c>
      <c r="J20">
        <f t="shared" si="0"/>
        <v>0.36292582903272969</v>
      </c>
      <c r="K20">
        <f t="shared" si="1"/>
        <v>2.9058327199999998</v>
      </c>
      <c r="L20">
        <f t="shared" si="2"/>
        <v>0.32263066638816223</v>
      </c>
      <c r="M20">
        <f t="shared" si="3"/>
        <v>3.1577598929156774</v>
      </c>
      <c r="N20" t="s">
        <v>865</v>
      </c>
      <c r="O20" t="s">
        <v>866</v>
      </c>
      <c r="P20">
        <f t="shared" si="4"/>
        <v>3.5124408254420056</v>
      </c>
      <c r="Q20">
        <f t="shared" si="5"/>
        <v>0.95375682544200568</v>
      </c>
      <c r="R20" t="s">
        <v>867</v>
      </c>
      <c r="S20" t="s">
        <v>868</v>
      </c>
      <c r="T20">
        <f t="shared" si="6"/>
        <v>34.95313787881387</v>
      </c>
      <c r="U20">
        <f t="shared" si="7"/>
        <v>0.4417875</v>
      </c>
      <c r="V20" t="s">
        <v>169</v>
      </c>
      <c r="W20" t="s">
        <v>869</v>
      </c>
      <c r="X20" t="s">
        <v>171</v>
      </c>
      <c r="Y20" t="s">
        <v>171</v>
      </c>
      <c r="Z20" t="s">
        <v>171</v>
      </c>
      <c r="AA20" t="s">
        <v>870</v>
      </c>
      <c r="AB20" t="s">
        <v>871</v>
      </c>
      <c r="AC20" t="s">
        <v>872</v>
      </c>
      <c r="AD20" t="s">
        <v>175</v>
      </c>
      <c r="AE20" t="s">
        <v>176</v>
      </c>
      <c r="AF20">
        <f t="shared" si="8"/>
        <v>79.526292299999994</v>
      </c>
      <c r="AG20" t="s">
        <v>177</v>
      </c>
      <c r="AH20" t="s">
        <v>873</v>
      </c>
      <c r="AI20" t="s">
        <v>874</v>
      </c>
      <c r="AJ20" t="s">
        <v>875</v>
      </c>
      <c r="AK20" t="s">
        <v>876</v>
      </c>
      <c r="AL20">
        <f t="shared" si="9"/>
        <v>26.68</v>
      </c>
      <c r="AM20" t="s">
        <v>641</v>
      </c>
      <c r="AN20" t="s">
        <v>183</v>
      </c>
      <c r="AO20" t="s">
        <v>556</v>
      </c>
      <c r="AP20" t="s">
        <v>557</v>
      </c>
      <c r="AQ20" t="s">
        <v>877</v>
      </c>
      <c r="AR20" t="s">
        <v>878</v>
      </c>
      <c r="AS20" t="s">
        <v>879</v>
      </c>
      <c r="AT20" t="s">
        <v>880</v>
      </c>
      <c r="AU20" t="s">
        <v>881</v>
      </c>
      <c r="AV20" t="s">
        <v>882</v>
      </c>
      <c r="AW20" t="s">
        <v>883</v>
      </c>
      <c r="AX20" t="s">
        <v>884</v>
      </c>
      <c r="AY20" t="s">
        <v>885</v>
      </c>
      <c r="AZ20" t="s">
        <v>304</v>
      </c>
      <c r="BA20" t="s">
        <v>886</v>
      </c>
      <c r="BB20" t="s">
        <v>887</v>
      </c>
      <c r="BC20" t="s">
        <v>888</v>
      </c>
      <c r="BD20" t="s">
        <v>308</v>
      </c>
      <c r="BE20" t="s">
        <v>889</v>
      </c>
      <c r="BF20" t="s">
        <v>812</v>
      </c>
      <c r="BG20" t="s">
        <v>772</v>
      </c>
      <c r="BH20" t="s">
        <v>541</v>
      </c>
      <c r="BI20" t="s">
        <v>773</v>
      </c>
      <c r="BJ20" t="s">
        <v>197</v>
      </c>
      <c r="BK20" t="s">
        <v>161</v>
      </c>
      <c r="BL20" t="s">
        <v>198</v>
      </c>
      <c r="BM20" t="s">
        <v>159</v>
      </c>
      <c r="BN20" t="s">
        <v>199</v>
      </c>
      <c r="BO20" t="s">
        <v>200</v>
      </c>
      <c r="BP20" t="s">
        <v>314</v>
      </c>
      <c r="BQ20" t="s">
        <v>890</v>
      </c>
      <c r="BR20" t="s">
        <v>693</v>
      </c>
      <c r="BS20" t="s">
        <v>891</v>
      </c>
      <c r="BT20" t="s">
        <v>159</v>
      </c>
      <c r="BU20" t="s">
        <v>205</v>
      </c>
      <c r="BV20" t="s">
        <v>200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196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892</v>
      </c>
      <c r="CU20" t="s">
        <v>893</v>
      </c>
      <c r="CV20" t="s">
        <v>894</v>
      </c>
      <c r="CW20" t="s">
        <v>895</v>
      </c>
      <c r="CX20" t="s">
        <v>896</v>
      </c>
      <c r="CY20" t="s">
        <v>897</v>
      </c>
      <c r="CZ20" t="s">
        <v>898</v>
      </c>
      <c r="DA20" t="s">
        <v>899</v>
      </c>
      <c r="DB20" t="s">
        <v>870</v>
      </c>
      <c r="DC20" t="s">
        <v>900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869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x14ac:dyDescent="0.45">
      <c r="A21" t="s">
        <v>901</v>
      </c>
      <c r="B21" t="s">
        <v>902</v>
      </c>
      <c r="C21" t="s">
        <v>161</v>
      </c>
      <c r="D21" t="s">
        <v>162</v>
      </c>
      <c r="E21" t="s">
        <v>163</v>
      </c>
      <c r="I21" t="s">
        <v>903</v>
      </c>
      <c r="J21">
        <f t="shared" si="0"/>
        <v>0.32495801311411715</v>
      </c>
      <c r="K21">
        <f t="shared" si="1"/>
        <v>2.9058327199999998</v>
      </c>
      <c r="L21">
        <f t="shared" si="2"/>
        <v>0.29227322508227499</v>
      </c>
      <c r="M21">
        <f t="shared" si="3"/>
        <v>2.8998311567242632</v>
      </c>
      <c r="N21" t="s">
        <v>904</v>
      </c>
      <c r="O21" t="s">
        <v>905</v>
      </c>
      <c r="P21">
        <f t="shared" si="4"/>
        <v>3.5331728400654026</v>
      </c>
      <c r="Q21">
        <f t="shared" si="5"/>
        <v>0.96680584006540249</v>
      </c>
      <c r="R21" t="s">
        <v>906</v>
      </c>
      <c r="S21" t="s">
        <v>907</v>
      </c>
      <c r="T21">
        <f t="shared" si="6"/>
        <v>35.159447109815929</v>
      </c>
      <c r="U21">
        <f t="shared" si="7"/>
        <v>0.4417875</v>
      </c>
      <c r="V21" t="s">
        <v>169</v>
      </c>
      <c r="W21" t="s">
        <v>908</v>
      </c>
      <c r="X21" t="s">
        <v>171</v>
      </c>
      <c r="Y21" t="s">
        <v>171</v>
      </c>
      <c r="Z21" t="s">
        <v>171</v>
      </c>
      <c r="AA21" t="s">
        <v>909</v>
      </c>
      <c r="AB21" t="s">
        <v>910</v>
      </c>
      <c r="AC21" t="s">
        <v>911</v>
      </c>
      <c r="AD21" t="s">
        <v>175</v>
      </c>
      <c r="AE21" t="s">
        <v>176</v>
      </c>
      <c r="AF21">
        <f t="shared" si="8"/>
        <v>82.107370799999998</v>
      </c>
      <c r="AG21" t="s">
        <v>177</v>
      </c>
      <c r="AH21" t="s">
        <v>912</v>
      </c>
      <c r="AI21" t="s">
        <v>913</v>
      </c>
      <c r="AJ21" t="s">
        <v>914</v>
      </c>
      <c r="AK21" t="s">
        <v>915</v>
      </c>
      <c r="AL21">
        <f t="shared" si="9"/>
        <v>26.78</v>
      </c>
      <c r="AM21" t="s">
        <v>641</v>
      </c>
      <c r="AN21" t="s">
        <v>183</v>
      </c>
      <c r="AO21" t="s">
        <v>916</v>
      </c>
      <c r="AP21" t="s">
        <v>917</v>
      </c>
      <c r="AQ21" t="s">
        <v>918</v>
      </c>
      <c r="AR21" t="s">
        <v>919</v>
      </c>
      <c r="AS21" t="s">
        <v>390</v>
      </c>
      <c r="AT21" t="s">
        <v>920</v>
      </c>
      <c r="AU21" t="s">
        <v>921</v>
      </c>
      <c r="AV21" t="s">
        <v>922</v>
      </c>
      <c r="AW21" t="s">
        <v>923</v>
      </c>
      <c r="AX21" t="s">
        <v>924</v>
      </c>
      <c r="AY21" t="s">
        <v>925</v>
      </c>
      <c r="AZ21" t="s">
        <v>304</v>
      </c>
      <c r="BA21" t="s">
        <v>886</v>
      </c>
      <c r="BB21" t="s">
        <v>887</v>
      </c>
      <c r="BC21" t="s">
        <v>926</v>
      </c>
      <c r="BD21" t="s">
        <v>308</v>
      </c>
      <c r="BE21" t="s">
        <v>927</v>
      </c>
      <c r="BF21" t="s">
        <v>928</v>
      </c>
      <c r="BG21" t="s">
        <v>772</v>
      </c>
      <c r="BH21" t="s">
        <v>356</v>
      </c>
      <c r="BI21" t="s">
        <v>929</v>
      </c>
      <c r="BJ21" t="s">
        <v>197</v>
      </c>
      <c r="BK21" t="s">
        <v>161</v>
      </c>
      <c r="BL21" t="s">
        <v>198</v>
      </c>
      <c r="BM21" t="s">
        <v>159</v>
      </c>
      <c r="BN21" t="s">
        <v>402</v>
      </c>
      <c r="BO21" t="s">
        <v>201</v>
      </c>
      <c r="BP21" t="s">
        <v>529</v>
      </c>
      <c r="BQ21" t="s">
        <v>930</v>
      </c>
      <c r="BR21" t="s">
        <v>931</v>
      </c>
      <c r="BS21" t="s">
        <v>932</v>
      </c>
      <c r="BT21" t="s">
        <v>159</v>
      </c>
      <c r="BU21" t="s">
        <v>205</v>
      </c>
      <c r="BV21" t="s">
        <v>200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196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933</v>
      </c>
      <c r="CU21" t="s">
        <v>934</v>
      </c>
      <c r="CV21" t="s">
        <v>935</v>
      </c>
      <c r="CW21" t="s">
        <v>936</v>
      </c>
      <c r="CX21" t="s">
        <v>937</v>
      </c>
      <c r="CY21" t="s">
        <v>938</v>
      </c>
      <c r="CZ21" t="s">
        <v>939</v>
      </c>
      <c r="DA21" t="s">
        <v>940</v>
      </c>
      <c r="DB21" t="s">
        <v>909</v>
      </c>
      <c r="DC21" t="s">
        <v>745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908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0.34</v>
      </c>
      <c r="K2">
        <v>2.91</v>
      </c>
      <c r="L2">
        <v>0.3</v>
      </c>
      <c r="M2">
        <v>3.14</v>
      </c>
      <c r="N2">
        <v>2.23</v>
      </c>
      <c r="O2">
        <v>2.14</v>
      </c>
      <c r="P2">
        <v>3.24</v>
      </c>
      <c r="Q2">
        <v>1.02</v>
      </c>
      <c r="R2">
        <v>21.32</v>
      </c>
      <c r="S2">
        <v>22.18</v>
      </c>
      <c r="T2">
        <v>32.299999999999997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137.01</v>
      </c>
      <c r="AB2">
        <v>553.09</v>
      </c>
      <c r="AC2">
        <v>0.75</v>
      </c>
      <c r="AD2">
        <v>0.5</v>
      </c>
      <c r="AE2">
        <v>0.84</v>
      </c>
      <c r="AF2">
        <v>56.56</v>
      </c>
      <c r="AG2">
        <v>1</v>
      </c>
      <c r="AH2">
        <v>64.89</v>
      </c>
      <c r="AI2">
        <v>62.36</v>
      </c>
      <c r="AJ2">
        <v>26.3</v>
      </c>
      <c r="AK2">
        <v>25.34</v>
      </c>
      <c r="AL2">
        <v>25.34</v>
      </c>
      <c r="AM2">
        <v>100.45</v>
      </c>
      <c r="AN2">
        <v>156.1</v>
      </c>
      <c r="AO2">
        <v>156</v>
      </c>
      <c r="AP2">
        <v>0.1</v>
      </c>
      <c r="AQ2">
        <v>179</v>
      </c>
      <c r="AR2">
        <v>3.91</v>
      </c>
      <c r="AS2">
        <v>-31</v>
      </c>
      <c r="AT2">
        <v>-81</v>
      </c>
      <c r="AU2">
        <v>184</v>
      </c>
      <c r="AX2">
        <v>82.29</v>
      </c>
      <c r="AY2">
        <v>-81.34</v>
      </c>
      <c r="BC2" t="s">
        <v>193</v>
      </c>
      <c r="BD2" t="s">
        <v>194</v>
      </c>
      <c r="BH2">
        <v>0</v>
      </c>
      <c r="BJ2" t="s">
        <v>197</v>
      </c>
      <c r="BK2" t="s">
        <v>161</v>
      </c>
      <c r="BL2">
        <v>-2.44</v>
      </c>
      <c r="BM2" t="s">
        <v>159</v>
      </c>
      <c r="BN2">
        <v>0</v>
      </c>
      <c r="BO2">
        <v>0</v>
      </c>
      <c r="BP2">
        <v>0</v>
      </c>
      <c r="BQ2">
        <v>-0.15</v>
      </c>
      <c r="BR2">
        <v>-0.11</v>
      </c>
      <c r="BS2">
        <v>-0.62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210</v>
      </c>
      <c r="CE2" t="s">
        <v>196</v>
      </c>
      <c r="CF2" t="s">
        <v>211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</v>
      </c>
      <c r="CU2">
        <v>2.4700000000000002</v>
      </c>
      <c r="CV2">
        <v>1.67</v>
      </c>
      <c r="CW2">
        <v>0.94</v>
      </c>
      <c r="CX2">
        <v>0.26</v>
      </c>
      <c r="CY2">
        <v>-0.01</v>
      </c>
      <c r="CZ2">
        <v>7.0000000000000007E-2</v>
      </c>
      <c r="DA2">
        <v>0.26</v>
      </c>
      <c r="DB2">
        <v>137.01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45">
      <c r="A3" t="s">
        <v>238</v>
      </c>
      <c r="B3" t="s">
        <v>239</v>
      </c>
      <c r="C3" t="s">
        <v>161</v>
      </c>
      <c r="D3" t="s">
        <v>162</v>
      </c>
      <c r="E3" t="s">
        <v>163</v>
      </c>
      <c r="I3" t="s">
        <v>240</v>
      </c>
      <c r="J3">
        <v>0.46</v>
      </c>
      <c r="K3">
        <v>2.9</v>
      </c>
      <c r="L3">
        <v>0.4</v>
      </c>
      <c r="M3">
        <v>3.85</v>
      </c>
      <c r="N3">
        <v>2.2999999999999998</v>
      </c>
      <c r="O3">
        <v>2.19</v>
      </c>
      <c r="P3">
        <v>3.24</v>
      </c>
      <c r="Q3">
        <v>0.94</v>
      </c>
      <c r="R3">
        <v>21.81</v>
      </c>
      <c r="S3">
        <v>22.87</v>
      </c>
      <c r="T3">
        <v>32.28</v>
      </c>
      <c r="U3">
        <v>0.44</v>
      </c>
      <c r="V3">
        <v>7.5</v>
      </c>
      <c r="W3" t="s">
        <v>245</v>
      </c>
      <c r="X3">
        <v>0</v>
      </c>
      <c r="Y3">
        <v>0</v>
      </c>
      <c r="Z3">
        <v>0</v>
      </c>
      <c r="AA3">
        <v>115.61</v>
      </c>
      <c r="AB3">
        <v>498.52</v>
      </c>
      <c r="AC3">
        <v>0.77</v>
      </c>
      <c r="AD3">
        <v>0.5</v>
      </c>
      <c r="AE3">
        <v>0.84</v>
      </c>
      <c r="AF3">
        <v>96.46</v>
      </c>
      <c r="AG3">
        <v>1</v>
      </c>
      <c r="AH3">
        <v>66.45</v>
      </c>
      <c r="AI3">
        <v>63.35</v>
      </c>
      <c r="AJ3">
        <v>26.41</v>
      </c>
      <c r="AK3">
        <v>25.33</v>
      </c>
      <c r="AL3">
        <v>25.33</v>
      </c>
      <c r="AM3">
        <v>100.46</v>
      </c>
      <c r="AN3">
        <v>155.80000000000001</v>
      </c>
      <c r="AO3">
        <v>154.80000000000001</v>
      </c>
      <c r="AP3">
        <v>0.7</v>
      </c>
      <c r="AQ3">
        <v>299</v>
      </c>
      <c r="AR3">
        <v>3.91</v>
      </c>
      <c r="AS3">
        <v>-26</v>
      </c>
      <c r="AT3">
        <v>-1</v>
      </c>
      <c r="AU3">
        <v>194</v>
      </c>
      <c r="AX3">
        <v>26.02</v>
      </c>
      <c r="AY3">
        <v>11.72</v>
      </c>
      <c r="BC3" t="s">
        <v>193</v>
      </c>
      <c r="BD3" t="s">
        <v>194</v>
      </c>
      <c r="BH3">
        <v>0</v>
      </c>
      <c r="BJ3" t="s">
        <v>197</v>
      </c>
      <c r="BK3" t="s">
        <v>161</v>
      </c>
      <c r="BL3">
        <v>-2.44</v>
      </c>
      <c r="BM3" t="s">
        <v>159</v>
      </c>
      <c r="BN3">
        <v>0</v>
      </c>
      <c r="BO3">
        <v>0</v>
      </c>
      <c r="BP3">
        <v>0</v>
      </c>
      <c r="BQ3">
        <v>0.13</v>
      </c>
      <c r="BR3">
        <v>0.13</v>
      </c>
      <c r="BS3">
        <v>-0.24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210</v>
      </c>
      <c r="CE3" t="s">
        <v>196</v>
      </c>
      <c r="CF3" t="s">
        <v>211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2.52</v>
      </c>
      <c r="CU3">
        <v>2.4700000000000002</v>
      </c>
      <c r="CV3">
        <v>1.67</v>
      </c>
      <c r="CW3">
        <v>0.94</v>
      </c>
      <c r="CX3">
        <v>0.26</v>
      </c>
      <c r="CY3">
        <v>-0.01</v>
      </c>
      <c r="CZ3">
        <v>0.08</v>
      </c>
      <c r="DA3">
        <v>0.37</v>
      </c>
      <c r="DB3">
        <v>115.61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245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45">
      <c r="A4" t="s">
        <v>277</v>
      </c>
      <c r="B4" t="s">
        <v>278</v>
      </c>
      <c r="C4" t="s">
        <v>161</v>
      </c>
      <c r="D4" t="s">
        <v>162</v>
      </c>
      <c r="E4" t="s">
        <v>163</v>
      </c>
      <c r="I4" t="s">
        <v>279</v>
      </c>
      <c r="J4">
        <v>0.46</v>
      </c>
      <c r="K4">
        <v>2.91</v>
      </c>
      <c r="L4">
        <v>0.4</v>
      </c>
      <c r="M4">
        <v>3.75</v>
      </c>
      <c r="N4">
        <v>2.35</v>
      </c>
      <c r="O4">
        <v>2.25</v>
      </c>
      <c r="P4">
        <v>3.27</v>
      </c>
      <c r="Q4">
        <v>0.92</v>
      </c>
      <c r="R4">
        <v>22.38</v>
      </c>
      <c r="S4">
        <v>23.42</v>
      </c>
      <c r="T4">
        <v>32.58</v>
      </c>
      <c r="U4">
        <v>0.44</v>
      </c>
      <c r="V4">
        <v>7.5</v>
      </c>
      <c r="W4" t="s">
        <v>284</v>
      </c>
      <c r="X4">
        <v>0</v>
      </c>
      <c r="Y4">
        <v>0</v>
      </c>
      <c r="Z4">
        <v>0</v>
      </c>
      <c r="AA4">
        <v>134.12</v>
      </c>
      <c r="AB4">
        <v>525.72</v>
      </c>
      <c r="AC4">
        <v>0.74</v>
      </c>
      <c r="AD4">
        <v>0.5</v>
      </c>
      <c r="AE4">
        <v>0.84</v>
      </c>
      <c r="AF4">
        <v>87.29</v>
      </c>
      <c r="AG4">
        <v>1</v>
      </c>
      <c r="AH4">
        <v>67.489999999999995</v>
      </c>
      <c r="AI4">
        <v>64.5</v>
      </c>
      <c r="AJ4">
        <v>26.55</v>
      </c>
      <c r="AK4">
        <v>25.49</v>
      </c>
      <c r="AL4">
        <v>25.49</v>
      </c>
      <c r="AM4">
        <v>100.47</v>
      </c>
      <c r="AN4">
        <v>156.19999999999999</v>
      </c>
      <c r="AO4">
        <v>155.19999999999999</v>
      </c>
      <c r="AP4">
        <v>0.6</v>
      </c>
      <c r="AQ4">
        <v>279</v>
      </c>
      <c r="AR4">
        <v>3.91</v>
      </c>
      <c r="AS4">
        <v>-13</v>
      </c>
      <c r="AT4">
        <v>-42</v>
      </c>
      <c r="AU4">
        <v>114</v>
      </c>
      <c r="AV4">
        <v>45.76</v>
      </c>
      <c r="AW4">
        <v>69.760000000000005</v>
      </c>
      <c r="AX4">
        <v>43.61</v>
      </c>
      <c r="AY4">
        <v>-141.97</v>
      </c>
      <c r="AZ4">
        <v>14.11</v>
      </c>
      <c r="BA4">
        <v>95.23</v>
      </c>
      <c r="BB4">
        <v>58.39</v>
      </c>
      <c r="BC4" t="s">
        <v>307</v>
      </c>
      <c r="BD4" t="s">
        <v>308</v>
      </c>
      <c r="BE4">
        <v>35.85</v>
      </c>
      <c r="BF4">
        <v>127.13</v>
      </c>
      <c r="BG4">
        <v>-0.8</v>
      </c>
      <c r="BH4">
        <v>5</v>
      </c>
      <c r="BI4">
        <v>1.86</v>
      </c>
      <c r="BJ4" t="s">
        <v>197</v>
      </c>
      <c r="BK4" t="s">
        <v>161</v>
      </c>
      <c r="BL4">
        <v>-2.44</v>
      </c>
      <c r="BM4" t="s">
        <v>159</v>
      </c>
      <c r="BN4">
        <v>0</v>
      </c>
      <c r="BO4">
        <v>0</v>
      </c>
      <c r="BP4">
        <v>0</v>
      </c>
      <c r="BQ4">
        <v>0.02</v>
      </c>
      <c r="BR4">
        <v>-0.13</v>
      </c>
      <c r="BS4">
        <v>-0.1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210</v>
      </c>
      <c r="CE4" t="s">
        <v>196</v>
      </c>
      <c r="CF4" t="s">
        <v>211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2.52</v>
      </c>
      <c r="CU4">
        <v>2.4700000000000002</v>
      </c>
      <c r="CV4">
        <v>1.67</v>
      </c>
      <c r="CW4">
        <v>0.94</v>
      </c>
      <c r="CX4">
        <v>0.26</v>
      </c>
      <c r="CY4">
        <v>-0.01</v>
      </c>
      <c r="CZ4">
        <v>0.08</v>
      </c>
      <c r="DA4">
        <v>0.35</v>
      </c>
      <c r="DB4">
        <v>134.12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284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326</v>
      </c>
      <c r="B5" t="s">
        <v>327</v>
      </c>
      <c r="C5" t="s">
        <v>161</v>
      </c>
      <c r="D5" t="s">
        <v>162</v>
      </c>
      <c r="E5" t="s">
        <v>163</v>
      </c>
      <c r="I5" t="s">
        <v>328</v>
      </c>
      <c r="J5">
        <v>0.39</v>
      </c>
      <c r="K5">
        <v>2.91</v>
      </c>
      <c r="L5">
        <v>0.35</v>
      </c>
      <c r="M5">
        <v>3.45</v>
      </c>
      <c r="N5">
        <v>2.34</v>
      </c>
      <c r="O5">
        <v>2.2400000000000002</v>
      </c>
      <c r="P5">
        <v>3.31</v>
      </c>
      <c r="Q5">
        <v>0.97</v>
      </c>
      <c r="R5">
        <v>22.3</v>
      </c>
      <c r="S5">
        <v>23.25</v>
      </c>
      <c r="T5">
        <v>32.950000000000003</v>
      </c>
      <c r="U5">
        <v>0.44</v>
      </c>
      <c r="V5">
        <v>7.5</v>
      </c>
      <c r="W5" t="s">
        <v>333</v>
      </c>
      <c r="X5">
        <v>0</v>
      </c>
      <c r="Y5">
        <v>0</v>
      </c>
      <c r="Z5">
        <v>0</v>
      </c>
      <c r="AA5">
        <v>117.35</v>
      </c>
      <c r="AB5">
        <v>498.17</v>
      </c>
      <c r="AC5">
        <v>0.76</v>
      </c>
      <c r="AD5">
        <v>0.5</v>
      </c>
      <c r="AE5">
        <v>0.84</v>
      </c>
      <c r="AF5">
        <v>92.79</v>
      </c>
      <c r="AG5">
        <v>1</v>
      </c>
      <c r="AH5">
        <v>66.709999999999994</v>
      </c>
      <c r="AI5">
        <v>63.98</v>
      </c>
      <c r="AJ5">
        <v>26.63</v>
      </c>
      <c r="AK5">
        <v>25.68</v>
      </c>
      <c r="AL5">
        <v>25.68</v>
      </c>
      <c r="AM5">
        <v>100.47</v>
      </c>
      <c r="AN5">
        <v>156.1</v>
      </c>
      <c r="AO5">
        <v>144.4</v>
      </c>
      <c r="AP5">
        <v>7.5</v>
      </c>
      <c r="AQ5">
        <v>289</v>
      </c>
      <c r="AR5">
        <v>3.91</v>
      </c>
      <c r="AS5">
        <v>-30</v>
      </c>
      <c r="AT5">
        <v>-34</v>
      </c>
      <c r="AU5">
        <v>127</v>
      </c>
      <c r="AV5">
        <v>22</v>
      </c>
      <c r="AW5">
        <v>92.72</v>
      </c>
      <c r="AX5">
        <v>44.11</v>
      </c>
      <c r="AY5">
        <v>-106.45</v>
      </c>
      <c r="AZ5">
        <v>14.11</v>
      </c>
      <c r="BA5">
        <v>95.23</v>
      </c>
      <c r="BB5">
        <v>58.39</v>
      </c>
      <c r="BC5" t="s">
        <v>352</v>
      </c>
      <c r="BD5" t="s">
        <v>308</v>
      </c>
      <c r="BE5">
        <v>35.85</v>
      </c>
      <c r="BF5">
        <v>127.13</v>
      </c>
      <c r="BG5">
        <v>38.9</v>
      </c>
      <c r="BH5">
        <v>7</v>
      </c>
      <c r="BI5">
        <v>1.51</v>
      </c>
      <c r="BJ5" t="s">
        <v>197</v>
      </c>
      <c r="BK5" t="s">
        <v>161</v>
      </c>
      <c r="BL5">
        <v>-2.44</v>
      </c>
      <c r="BM5" t="s">
        <v>159</v>
      </c>
      <c r="BN5">
        <v>0</v>
      </c>
      <c r="BO5">
        <v>0</v>
      </c>
      <c r="BP5">
        <v>-0.01</v>
      </c>
      <c r="BQ5">
        <v>0.17</v>
      </c>
      <c r="BR5">
        <v>-0.28000000000000003</v>
      </c>
      <c r="BS5">
        <v>-0.34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210</v>
      </c>
      <c r="CE5" t="s">
        <v>196</v>
      </c>
      <c r="CF5" t="s">
        <v>211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2.52</v>
      </c>
      <c r="CU5">
        <v>2.4700000000000002</v>
      </c>
      <c r="CV5">
        <v>1.67</v>
      </c>
      <c r="CW5">
        <v>0.91</v>
      </c>
      <c r="CX5">
        <v>0.26</v>
      </c>
      <c r="CY5">
        <v>-0.01</v>
      </c>
      <c r="CZ5">
        <v>0.09</v>
      </c>
      <c r="DA5">
        <v>0.36</v>
      </c>
      <c r="DB5">
        <v>117.35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333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312</v>
      </c>
      <c r="B6" t="s">
        <v>371</v>
      </c>
      <c r="C6" t="s">
        <v>161</v>
      </c>
      <c r="D6" t="s">
        <v>162</v>
      </c>
      <c r="E6" t="s">
        <v>163</v>
      </c>
      <c r="I6" t="s">
        <v>372</v>
      </c>
      <c r="J6">
        <v>0.38</v>
      </c>
      <c r="K6">
        <v>2.91</v>
      </c>
      <c r="L6">
        <v>0.33</v>
      </c>
      <c r="M6">
        <v>3.2</v>
      </c>
      <c r="N6">
        <v>2.38</v>
      </c>
      <c r="O6">
        <v>2.29</v>
      </c>
      <c r="P6">
        <v>3.32</v>
      </c>
      <c r="Q6">
        <v>0.94</v>
      </c>
      <c r="R6">
        <v>22.8</v>
      </c>
      <c r="S6">
        <v>23.68</v>
      </c>
      <c r="T6">
        <v>33.03</v>
      </c>
      <c r="U6">
        <v>0.44</v>
      </c>
      <c r="V6">
        <v>7.5</v>
      </c>
      <c r="W6" t="s">
        <v>377</v>
      </c>
      <c r="X6">
        <v>0</v>
      </c>
      <c r="Y6">
        <v>0</v>
      </c>
      <c r="Z6">
        <v>0</v>
      </c>
      <c r="AA6">
        <v>118.71</v>
      </c>
      <c r="AB6">
        <v>507.22</v>
      </c>
      <c r="AC6">
        <v>0.77</v>
      </c>
      <c r="AD6">
        <v>0.5</v>
      </c>
      <c r="AE6">
        <v>0.84</v>
      </c>
      <c r="AF6">
        <v>99.41</v>
      </c>
      <c r="AG6">
        <v>1</v>
      </c>
      <c r="AH6">
        <v>67.63</v>
      </c>
      <c r="AI6">
        <v>65.099999999999994</v>
      </c>
      <c r="AJ6">
        <v>26.71</v>
      </c>
      <c r="AK6">
        <v>25.72</v>
      </c>
      <c r="AL6">
        <v>25.72</v>
      </c>
      <c r="AM6">
        <v>100.48</v>
      </c>
      <c r="AN6">
        <v>156.1</v>
      </c>
      <c r="AO6">
        <v>152</v>
      </c>
      <c r="AP6">
        <v>2.6</v>
      </c>
      <c r="AQ6">
        <v>309</v>
      </c>
      <c r="AR6">
        <v>3.91</v>
      </c>
      <c r="AS6">
        <v>-17</v>
      </c>
      <c r="AT6">
        <v>-13</v>
      </c>
      <c r="AU6">
        <v>131</v>
      </c>
      <c r="AV6">
        <v>36.94</v>
      </c>
      <c r="AW6">
        <v>79.92</v>
      </c>
      <c r="AX6">
        <v>21.28</v>
      </c>
      <c r="AY6">
        <v>-87.3</v>
      </c>
      <c r="AZ6">
        <v>14.11</v>
      </c>
      <c r="BA6">
        <v>95.39</v>
      </c>
      <c r="BB6">
        <v>58.19</v>
      </c>
      <c r="BC6" t="s">
        <v>398</v>
      </c>
      <c r="BD6" t="s">
        <v>308</v>
      </c>
      <c r="BE6">
        <v>35.85</v>
      </c>
      <c r="BF6">
        <v>127.13</v>
      </c>
      <c r="BG6">
        <v>40.799999999999997</v>
      </c>
      <c r="BH6">
        <v>7</v>
      </c>
      <c r="BI6">
        <v>1.49</v>
      </c>
      <c r="BJ6" t="s">
        <v>197</v>
      </c>
      <c r="BK6" t="s">
        <v>161</v>
      </c>
      <c r="BL6">
        <v>-2.44</v>
      </c>
      <c r="BM6" t="s">
        <v>159</v>
      </c>
      <c r="BN6">
        <v>0</v>
      </c>
      <c r="BO6">
        <v>0</v>
      </c>
      <c r="BP6">
        <v>0</v>
      </c>
      <c r="BQ6">
        <v>0.11</v>
      </c>
      <c r="BR6">
        <v>0</v>
      </c>
      <c r="BS6">
        <v>0.16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210</v>
      </c>
      <c r="CE6" t="s">
        <v>196</v>
      </c>
      <c r="CF6" t="s">
        <v>211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2.5299999999999998</v>
      </c>
      <c r="CU6">
        <v>2.4700000000000002</v>
      </c>
      <c r="CV6">
        <v>1.67</v>
      </c>
      <c r="CW6">
        <v>0.93</v>
      </c>
      <c r="CX6">
        <v>0.25</v>
      </c>
      <c r="CY6">
        <v>-0.01</v>
      </c>
      <c r="CZ6">
        <v>0.09</v>
      </c>
      <c r="DA6">
        <v>0.38</v>
      </c>
      <c r="DB6">
        <v>118.71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377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415</v>
      </c>
      <c r="B7" t="s">
        <v>416</v>
      </c>
      <c r="C7" t="s">
        <v>161</v>
      </c>
      <c r="D7" t="s">
        <v>162</v>
      </c>
      <c r="E7" t="s">
        <v>163</v>
      </c>
      <c r="I7" t="s">
        <v>417</v>
      </c>
      <c r="J7">
        <v>0.4</v>
      </c>
      <c r="K7">
        <v>2.91</v>
      </c>
      <c r="L7">
        <v>0.35</v>
      </c>
      <c r="M7">
        <v>3.33</v>
      </c>
      <c r="N7">
        <v>2.41</v>
      </c>
      <c r="O7">
        <v>2.31</v>
      </c>
      <c r="P7">
        <v>3.33</v>
      </c>
      <c r="Q7">
        <v>0.92</v>
      </c>
      <c r="R7">
        <v>23.04</v>
      </c>
      <c r="S7">
        <v>23.96</v>
      </c>
      <c r="T7">
        <v>33.15</v>
      </c>
      <c r="U7">
        <v>0.44</v>
      </c>
      <c r="V7">
        <v>7.5</v>
      </c>
      <c r="W7" t="s">
        <v>422</v>
      </c>
      <c r="X7">
        <v>0</v>
      </c>
      <c r="Y7">
        <v>0</v>
      </c>
      <c r="Z7">
        <v>0</v>
      </c>
      <c r="AA7">
        <v>126.17</v>
      </c>
      <c r="AB7">
        <v>545.34</v>
      </c>
      <c r="AC7">
        <v>0.77</v>
      </c>
      <c r="AD7">
        <v>0.5</v>
      </c>
      <c r="AE7">
        <v>0.84</v>
      </c>
      <c r="AF7">
        <v>75.22</v>
      </c>
      <c r="AG7">
        <v>1</v>
      </c>
      <c r="AH7">
        <v>67.81</v>
      </c>
      <c r="AI7">
        <v>65.209999999999994</v>
      </c>
      <c r="AJ7">
        <v>26.86</v>
      </c>
      <c r="AK7">
        <v>25.78</v>
      </c>
      <c r="AL7">
        <v>25.78</v>
      </c>
      <c r="AM7">
        <v>100.46</v>
      </c>
      <c r="AN7">
        <v>156.1</v>
      </c>
      <c r="AO7">
        <v>147.9</v>
      </c>
      <c r="AP7">
        <v>5.3</v>
      </c>
      <c r="AQ7">
        <v>233</v>
      </c>
      <c r="AR7">
        <v>3.9</v>
      </c>
      <c r="AS7">
        <v>-9</v>
      </c>
      <c r="AT7">
        <v>6</v>
      </c>
      <c r="AU7">
        <v>138</v>
      </c>
      <c r="AV7">
        <v>56.07</v>
      </c>
      <c r="AW7">
        <v>55.82</v>
      </c>
      <c r="AX7">
        <v>10.8</v>
      </c>
      <c r="AY7">
        <v>-8.1</v>
      </c>
      <c r="AZ7">
        <v>14.11</v>
      </c>
      <c r="BA7">
        <v>95.55</v>
      </c>
      <c r="BB7">
        <v>57.99</v>
      </c>
      <c r="BC7" t="s">
        <v>442</v>
      </c>
      <c r="BD7" t="s">
        <v>308</v>
      </c>
      <c r="BE7">
        <v>35.85</v>
      </c>
      <c r="BF7">
        <v>127.13</v>
      </c>
      <c r="BG7">
        <v>41.6</v>
      </c>
      <c r="BH7">
        <v>7</v>
      </c>
      <c r="BI7">
        <v>1.02</v>
      </c>
      <c r="BJ7" t="s">
        <v>197</v>
      </c>
      <c r="BK7" t="s">
        <v>161</v>
      </c>
      <c r="BL7">
        <v>-2.44</v>
      </c>
      <c r="BM7" t="s">
        <v>159</v>
      </c>
      <c r="BN7">
        <v>0</v>
      </c>
      <c r="BO7">
        <v>0</v>
      </c>
      <c r="BP7">
        <v>0</v>
      </c>
      <c r="BQ7">
        <v>0.28000000000000003</v>
      </c>
      <c r="BR7">
        <v>0.41</v>
      </c>
      <c r="BS7">
        <v>0.46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210</v>
      </c>
      <c r="CE7" t="s">
        <v>196</v>
      </c>
      <c r="CF7" t="s">
        <v>211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2.5299999999999998</v>
      </c>
      <c r="CU7">
        <v>2.4700000000000002</v>
      </c>
      <c r="CV7">
        <v>1.67</v>
      </c>
      <c r="CW7">
        <v>0.92</v>
      </c>
      <c r="CX7">
        <v>0.25</v>
      </c>
      <c r="CY7">
        <v>-0.01</v>
      </c>
      <c r="CZ7">
        <v>0.1</v>
      </c>
      <c r="DA7">
        <v>0.31</v>
      </c>
      <c r="DB7">
        <v>126.17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422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356</v>
      </c>
      <c r="B8" t="s">
        <v>458</v>
      </c>
      <c r="C8" t="s">
        <v>161</v>
      </c>
      <c r="D8" t="s">
        <v>162</v>
      </c>
      <c r="E8" t="s">
        <v>163</v>
      </c>
      <c r="I8" t="s">
        <v>459</v>
      </c>
      <c r="J8">
        <v>0.46</v>
      </c>
      <c r="K8">
        <v>2.91</v>
      </c>
      <c r="L8">
        <v>0.39</v>
      </c>
      <c r="M8">
        <v>3.69</v>
      </c>
      <c r="N8">
        <v>2.4300000000000002</v>
      </c>
      <c r="O8">
        <v>2.33</v>
      </c>
      <c r="P8">
        <v>3.34</v>
      </c>
      <c r="Q8">
        <v>0.92</v>
      </c>
      <c r="R8">
        <v>23.15</v>
      </c>
      <c r="S8">
        <v>24.17</v>
      </c>
      <c r="T8">
        <v>33.29</v>
      </c>
      <c r="U8">
        <v>0.44</v>
      </c>
      <c r="V8">
        <v>7.5</v>
      </c>
      <c r="W8" t="s">
        <v>464</v>
      </c>
      <c r="X8">
        <v>0</v>
      </c>
      <c r="Y8">
        <v>0</v>
      </c>
      <c r="Z8">
        <v>0</v>
      </c>
      <c r="AA8">
        <v>120.76</v>
      </c>
      <c r="AB8">
        <v>506.52</v>
      </c>
      <c r="AC8">
        <v>0.76</v>
      </c>
      <c r="AD8">
        <v>0.5</v>
      </c>
      <c r="AE8">
        <v>0.84</v>
      </c>
      <c r="AF8">
        <v>99.48</v>
      </c>
      <c r="AG8">
        <v>1</v>
      </c>
      <c r="AH8">
        <v>68.069999999999993</v>
      </c>
      <c r="AI8">
        <v>65.19</v>
      </c>
      <c r="AJ8">
        <v>26.95</v>
      </c>
      <c r="AK8">
        <v>25.85</v>
      </c>
      <c r="AL8">
        <v>25.85</v>
      </c>
      <c r="AM8">
        <v>100.47</v>
      </c>
      <c r="AN8">
        <v>156</v>
      </c>
      <c r="AO8">
        <v>152</v>
      </c>
      <c r="AP8">
        <v>2.6</v>
      </c>
      <c r="AQ8">
        <v>311</v>
      </c>
      <c r="AR8">
        <v>3.9</v>
      </c>
      <c r="AS8">
        <v>-26</v>
      </c>
      <c r="AT8">
        <v>-5</v>
      </c>
      <c r="AU8">
        <v>140</v>
      </c>
      <c r="AV8">
        <v>37.75</v>
      </c>
      <c r="AW8">
        <v>79.069999999999993</v>
      </c>
      <c r="AX8">
        <v>26.44</v>
      </c>
      <c r="AY8">
        <v>-51.29</v>
      </c>
      <c r="AZ8">
        <v>14.11</v>
      </c>
      <c r="BA8">
        <v>95.55</v>
      </c>
      <c r="BB8">
        <v>57.99</v>
      </c>
      <c r="BC8" t="s">
        <v>480</v>
      </c>
      <c r="BD8" t="s">
        <v>308</v>
      </c>
      <c r="BE8">
        <v>35.85</v>
      </c>
      <c r="BF8">
        <v>127.13</v>
      </c>
      <c r="BG8">
        <v>42.8</v>
      </c>
      <c r="BH8">
        <v>8</v>
      </c>
      <c r="BI8">
        <v>0.91</v>
      </c>
      <c r="BJ8" t="s">
        <v>197</v>
      </c>
      <c r="BK8" t="s">
        <v>161</v>
      </c>
      <c r="BL8">
        <v>-2.44</v>
      </c>
      <c r="BM8" t="s">
        <v>159</v>
      </c>
      <c r="BN8">
        <v>0</v>
      </c>
      <c r="BO8">
        <v>0</v>
      </c>
      <c r="BP8">
        <v>0.01</v>
      </c>
      <c r="BQ8">
        <v>-0.09</v>
      </c>
      <c r="BR8">
        <v>-0.01</v>
      </c>
      <c r="BS8">
        <v>0.28000000000000003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210</v>
      </c>
      <c r="CE8" t="s">
        <v>196</v>
      </c>
      <c r="CF8" t="s">
        <v>211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2.5299999999999998</v>
      </c>
      <c r="CU8">
        <v>2.4700000000000002</v>
      </c>
      <c r="CV8">
        <v>1.67</v>
      </c>
      <c r="CW8">
        <v>0.93</v>
      </c>
      <c r="CX8">
        <v>0.25</v>
      </c>
      <c r="CY8">
        <v>-0.01</v>
      </c>
      <c r="CZ8">
        <v>0.1</v>
      </c>
      <c r="DA8">
        <v>0.38</v>
      </c>
      <c r="DB8">
        <v>120.76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464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484</v>
      </c>
      <c r="B9" t="s">
        <v>499</v>
      </c>
      <c r="C9" t="s">
        <v>161</v>
      </c>
      <c r="D9" t="s">
        <v>162</v>
      </c>
      <c r="E9" t="s">
        <v>163</v>
      </c>
      <c r="I9" t="s">
        <v>500</v>
      </c>
      <c r="J9">
        <v>0.46</v>
      </c>
      <c r="K9">
        <v>2.9</v>
      </c>
      <c r="L9">
        <v>0.4</v>
      </c>
      <c r="M9">
        <v>3.66</v>
      </c>
      <c r="N9">
        <v>2.46</v>
      </c>
      <c r="O9">
        <v>2.36</v>
      </c>
      <c r="P9">
        <v>3.36</v>
      </c>
      <c r="Q9">
        <v>0.89</v>
      </c>
      <c r="R9">
        <v>23.5</v>
      </c>
      <c r="S9">
        <v>24.51</v>
      </c>
      <c r="T9">
        <v>33.4</v>
      </c>
      <c r="U9">
        <v>0.44</v>
      </c>
      <c r="V9">
        <v>7.5</v>
      </c>
      <c r="W9" t="s">
        <v>505</v>
      </c>
      <c r="X9">
        <v>0</v>
      </c>
      <c r="Y9">
        <v>0</v>
      </c>
      <c r="Z9">
        <v>0</v>
      </c>
      <c r="AA9">
        <v>130.22</v>
      </c>
      <c r="AB9">
        <v>517.19000000000005</v>
      </c>
      <c r="AC9">
        <v>0.75</v>
      </c>
      <c r="AD9">
        <v>0.5</v>
      </c>
      <c r="AE9">
        <v>0.84</v>
      </c>
      <c r="AF9">
        <v>99.3</v>
      </c>
      <c r="AG9">
        <v>1</v>
      </c>
      <c r="AH9">
        <v>68.55</v>
      </c>
      <c r="AI9">
        <v>65.72</v>
      </c>
      <c r="AJ9">
        <v>27.06</v>
      </c>
      <c r="AK9">
        <v>25.91</v>
      </c>
      <c r="AL9">
        <v>25.91</v>
      </c>
      <c r="AM9">
        <v>100.48</v>
      </c>
      <c r="AN9">
        <v>155.9</v>
      </c>
      <c r="AO9">
        <v>152.80000000000001</v>
      </c>
      <c r="AP9">
        <v>2</v>
      </c>
      <c r="AQ9">
        <v>316</v>
      </c>
      <c r="AR9">
        <v>3.9</v>
      </c>
      <c r="AS9">
        <v>-18</v>
      </c>
      <c r="AT9">
        <v>-14</v>
      </c>
      <c r="AU9">
        <v>116</v>
      </c>
      <c r="AV9">
        <v>36.96</v>
      </c>
      <c r="AW9">
        <v>79.900000000000006</v>
      </c>
      <c r="AX9">
        <v>22.66</v>
      </c>
      <c r="AY9">
        <v>-102.9</v>
      </c>
      <c r="AZ9">
        <v>14.11</v>
      </c>
      <c r="BA9">
        <v>95.55</v>
      </c>
      <c r="BB9">
        <v>57.99</v>
      </c>
      <c r="BC9" t="s">
        <v>524</v>
      </c>
      <c r="BD9" t="s">
        <v>308</v>
      </c>
      <c r="BE9">
        <v>35.85</v>
      </c>
      <c r="BF9">
        <v>127.13</v>
      </c>
      <c r="BG9">
        <v>41.6</v>
      </c>
      <c r="BH9">
        <v>10</v>
      </c>
      <c r="BI9">
        <v>0.87</v>
      </c>
      <c r="BJ9" t="s">
        <v>197</v>
      </c>
      <c r="BK9" t="s">
        <v>161</v>
      </c>
      <c r="BL9">
        <v>-2.44</v>
      </c>
      <c r="BM9" t="s">
        <v>159</v>
      </c>
      <c r="BN9">
        <v>0</v>
      </c>
      <c r="BO9">
        <v>0</v>
      </c>
      <c r="BP9">
        <v>0</v>
      </c>
      <c r="BQ9">
        <v>0.17</v>
      </c>
      <c r="BR9">
        <v>0.27</v>
      </c>
      <c r="BS9">
        <v>1.87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210</v>
      </c>
      <c r="CE9" t="s">
        <v>196</v>
      </c>
      <c r="CF9" t="s">
        <v>211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2.5299999999999998</v>
      </c>
      <c r="CU9">
        <v>2.4700000000000002</v>
      </c>
      <c r="CV9">
        <v>1.67</v>
      </c>
      <c r="CW9">
        <v>0.94</v>
      </c>
      <c r="CX9">
        <v>0.25</v>
      </c>
      <c r="CY9">
        <v>-0.01</v>
      </c>
      <c r="CZ9">
        <v>0.1</v>
      </c>
      <c r="DA9">
        <v>0.38</v>
      </c>
      <c r="DB9">
        <v>130.22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505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541</v>
      </c>
      <c r="B10" t="s">
        <v>542</v>
      </c>
      <c r="C10" t="s">
        <v>161</v>
      </c>
      <c r="D10" t="s">
        <v>162</v>
      </c>
      <c r="E10" t="s">
        <v>163</v>
      </c>
      <c r="I10" t="s">
        <v>543</v>
      </c>
      <c r="J10">
        <v>0.4</v>
      </c>
      <c r="K10">
        <v>2.91</v>
      </c>
      <c r="L10">
        <v>0.35</v>
      </c>
      <c r="M10">
        <v>3.22</v>
      </c>
      <c r="N10">
        <v>2.5</v>
      </c>
      <c r="O10">
        <v>2.41</v>
      </c>
      <c r="P10">
        <v>3.39</v>
      </c>
      <c r="Q10">
        <v>0.9</v>
      </c>
      <c r="R10">
        <v>23.98</v>
      </c>
      <c r="S10">
        <v>24.87</v>
      </c>
      <c r="T10">
        <v>33.78</v>
      </c>
      <c r="U10">
        <v>0.44</v>
      </c>
      <c r="V10">
        <v>7.5</v>
      </c>
      <c r="W10" t="s">
        <v>548</v>
      </c>
      <c r="X10">
        <v>0</v>
      </c>
      <c r="Y10">
        <v>0</v>
      </c>
      <c r="Z10">
        <v>0</v>
      </c>
      <c r="AA10">
        <v>117.9</v>
      </c>
      <c r="AB10">
        <v>510.56</v>
      </c>
      <c r="AC10">
        <v>0.77</v>
      </c>
      <c r="AD10">
        <v>0.5</v>
      </c>
      <c r="AE10">
        <v>0.84</v>
      </c>
      <c r="AF10">
        <v>86.57</v>
      </c>
      <c r="AG10">
        <v>1</v>
      </c>
      <c r="AH10">
        <v>69.040000000000006</v>
      </c>
      <c r="AI10">
        <v>66.569999999999993</v>
      </c>
      <c r="AJ10">
        <v>27.19</v>
      </c>
      <c r="AK10">
        <v>26.1</v>
      </c>
      <c r="AL10">
        <v>26.1</v>
      </c>
      <c r="AM10">
        <v>100.48</v>
      </c>
      <c r="AN10">
        <v>156.1</v>
      </c>
      <c r="AO10">
        <v>153.80000000000001</v>
      </c>
      <c r="AP10">
        <v>1.5</v>
      </c>
      <c r="AQ10">
        <v>268</v>
      </c>
      <c r="AR10">
        <v>3.9</v>
      </c>
      <c r="AS10">
        <v>-34</v>
      </c>
      <c r="AT10">
        <v>-33</v>
      </c>
      <c r="AU10">
        <v>104</v>
      </c>
      <c r="AV10">
        <v>33.93</v>
      </c>
      <c r="AW10">
        <v>82.97</v>
      </c>
      <c r="AX10">
        <v>45.95</v>
      </c>
      <c r="AY10">
        <v>-125.27</v>
      </c>
      <c r="AZ10">
        <v>14.11</v>
      </c>
      <c r="BA10">
        <v>95.71</v>
      </c>
      <c r="BB10">
        <v>57.79</v>
      </c>
      <c r="BC10" t="s">
        <v>568</v>
      </c>
      <c r="BD10" t="s">
        <v>308</v>
      </c>
      <c r="BE10">
        <v>35.85</v>
      </c>
      <c r="BF10">
        <v>127.13</v>
      </c>
      <c r="BG10">
        <v>42.1</v>
      </c>
      <c r="BH10">
        <v>8</v>
      </c>
      <c r="BI10">
        <v>0.99</v>
      </c>
      <c r="BJ10" t="s">
        <v>197</v>
      </c>
      <c r="BK10" t="s">
        <v>161</v>
      </c>
      <c r="BL10">
        <v>-2.44</v>
      </c>
      <c r="BM10" t="s">
        <v>159</v>
      </c>
      <c r="BN10">
        <v>0</v>
      </c>
      <c r="BO10">
        <v>0</v>
      </c>
      <c r="BP10">
        <v>0</v>
      </c>
      <c r="BQ10">
        <v>0.17</v>
      </c>
      <c r="BR10">
        <v>0.27</v>
      </c>
      <c r="BS10">
        <v>0.2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210</v>
      </c>
      <c r="CE10" t="s">
        <v>196</v>
      </c>
      <c r="CF10" t="s">
        <v>211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2.5299999999999998</v>
      </c>
      <c r="CU10">
        <v>2.4700000000000002</v>
      </c>
      <c r="CV10">
        <v>1.67</v>
      </c>
      <c r="CW10">
        <v>0.94</v>
      </c>
      <c r="CX10">
        <v>0.25</v>
      </c>
      <c r="CY10">
        <v>-0.01</v>
      </c>
      <c r="CZ10">
        <v>0.11</v>
      </c>
      <c r="DA10">
        <v>0.34</v>
      </c>
      <c r="DB10">
        <v>117.9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548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527</v>
      </c>
      <c r="B11" t="s">
        <v>583</v>
      </c>
      <c r="C11" t="s">
        <v>161</v>
      </c>
      <c r="D11" t="s">
        <v>162</v>
      </c>
      <c r="E11" t="s">
        <v>163</v>
      </c>
      <c r="I11" t="s">
        <v>584</v>
      </c>
      <c r="J11">
        <v>0.31</v>
      </c>
      <c r="K11">
        <v>2.9</v>
      </c>
      <c r="L11">
        <v>0.28000000000000003</v>
      </c>
      <c r="M11">
        <v>3.01</v>
      </c>
      <c r="N11">
        <v>2.4300000000000002</v>
      </c>
      <c r="O11">
        <v>2.34</v>
      </c>
      <c r="P11">
        <v>3.48</v>
      </c>
      <c r="Q11">
        <v>1.05</v>
      </c>
      <c r="R11">
        <v>23.31</v>
      </c>
      <c r="S11">
        <v>24.15</v>
      </c>
      <c r="T11">
        <v>34.61</v>
      </c>
      <c r="U11">
        <v>0.44</v>
      </c>
      <c r="V11">
        <v>7.5</v>
      </c>
      <c r="W11" t="s">
        <v>589</v>
      </c>
      <c r="X11">
        <v>0</v>
      </c>
      <c r="Y11">
        <v>0</v>
      </c>
      <c r="Z11">
        <v>0</v>
      </c>
      <c r="AA11">
        <v>146.27000000000001</v>
      </c>
      <c r="AB11">
        <v>540.14</v>
      </c>
      <c r="AC11">
        <v>0.73</v>
      </c>
      <c r="AD11">
        <v>0.5</v>
      </c>
      <c r="AE11">
        <v>0.84</v>
      </c>
      <c r="AF11">
        <v>92.18</v>
      </c>
      <c r="AG11">
        <v>1</v>
      </c>
      <c r="AH11">
        <v>65.680000000000007</v>
      </c>
      <c r="AI11">
        <v>63.42</v>
      </c>
      <c r="AJ11">
        <v>27.54</v>
      </c>
      <c r="AK11">
        <v>26.51</v>
      </c>
      <c r="AL11">
        <v>26.51</v>
      </c>
      <c r="AM11">
        <v>100.48</v>
      </c>
      <c r="AN11">
        <v>155.9</v>
      </c>
      <c r="AO11">
        <v>150.19999999999999</v>
      </c>
      <c r="AP11">
        <v>3.6</v>
      </c>
      <c r="AQ11">
        <v>301</v>
      </c>
      <c r="AR11">
        <v>3.9</v>
      </c>
      <c r="AS11">
        <v>-24</v>
      </c>
      <c r="AT11">
        <v>0</v>
      </c>
      <c r="AU11">
        <v>134</v>
      </c>
      <c r="AV11">
        <v>40.32</v>
      </c>
      <c r="AW11">
        <v>76.239999999999995</v>
      </c>
      <c r="AX11">
        <v>24</v>
      </c>
      <c r="AY11">
        <v>-46</v>
      </c>
      <c r="AZ11">
        <v>14.11</v>
      </c>
      <c r="BA11">
        <v>96.03</v>
      </c>
      <c r="BB11">
        <v>57.39</v>
      </c>
      <c r="BC11" t="s">
        <v>609</v>
      </c>
      <c r="BD11" t="s">
        <v>308</v>
      </c>
      <c r="BE11">
        <v>35.85</v>
      </c>
      <c r="BF11">
        <v>127.13</v>
      </c>
      <c r="BG11">
        <v>45.6</v>
      </c>
      <c r="BH11">
        <v>9</v>
      </c>
      <c r="BI11">
        <v>0.98</v>
      </c>
      <c r="BJ11" t="s">
        <v>197</v>
      </c>
      <c r="BK11" t="s">
        <v>161</v>
      </c>
      <c r="BL11">
        <v>-2.44</v>
      </c>
      <c r="BM11" t="s">
        <v>159</v>
      </c>
      <c r="BN11">
        <v>0</v>
      </c>
      <c r="BO11">
        <v>0</v>
      </c>
      <c r="BP11">
        <v>0</v>
      </c>
      <c r="BQ11">
        <v>-0.11</v>
      </c>
      <c r="BR11">
        <v>-0.05</v>
      </c>
      <c r="BS11">
        <v>-0.52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210</v>
      </c>
      <c r="CE11" t="s">
        <v>196</v>
      </c>
      <c r="CF11" t="s">
        <v>211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2.52</v>
      </c>
      <c r="CU11">
        <v>2.4700000000000002</v>
      </c>
      <c r="CV11">
        <v>1.67</v>
      </c>
      <c r="CW11">
        <v>0.93</v>
      </c>
      <c r="CX11">
        <v>0.25</v>
      </c>
      <c r="CY11">
        <v>-0.01</v>
      </c>
      <c r="CZ11">
        <v>0.12</v>
      </c>
      <c r="DA11">
        <v>0.37</v>
      </c>
      <c r="DB11">
        <v>146.27000000000001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589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626</v>
      </c>
      <c r="B12" t="s">
        <v>627</v>
      </c>
      <c r="C12" t="s">
        <v>161</v>
      </c>
      <c r="D12" t="s">
        <v>162</v>
      </c>
      <c r="E12" t="s">
        <v>163</v>
      </c>
      <c r="I12" t="s">
        <v>628</v>
      </c>
      <c r="J12">
        <v>0.44</v>
      </c>
      <c r="K12">
        <v>2.91</v>
      </c>
      <c r="L12">
        <v>0.38</v>
      </c>
      <c r="M12">
        <v>3.92</v>
      </c>
      <c r="N12">
        <v>2.4500000000000002</v>
      </c>
      <c r="O12">
        <v>2.34</v>
      </c>
      <c r="P12">
        <v>3.44</v>
      </c>
      <c r="Q12">
        <v>1</v>
      </c>
      <c r="R12">
        <v>23.25</v>
      </c>
      <c r="S12">
        <v>24.33</v>
      </c>
      <c r="T12">
        <v>34.26</v>
      </c>
      <c r="U12">
        <v>0.44</v>
      </c>
      <c r="V12">
        <v>7.5</v>
      </c>
      <c r="W12" t="s">
        <v>633</v>
      </c>
      <c r="X12">
        <v>0</v>
      </c>
      <c r="Y12">
        <v>0</v>
      </c>
      <c r="Z12">
        <v>0</v>
      </c>
      <c r="AA12">
        <v>118.71</v>
      </c>
      <c r="AB12">
        <v>482.51</v>
      </c>
      <c r="AC12">
        <v>0.75</v>
      </c>
      <c r="AD12">
        <v>0.5</v>
      </c>
      <c r="AE12">
        <v>0.84</v>
      </c>
      <c r="AF12">
        <v>95</v>
      </c>
      <c r="AG12">
        <v>1</v>
      </c>
      <c r="AH12">
        <v>65.92</v>
      </c>
      <c r="AI12">
        <v>62.98</v>
      </c>
      <c r="AJ12">
        <v>27.61</v>
      </c>
      <c r="AK12">
        <v>26.34</v>
      </c>
      <c r="AL12">
        <v>26.34</v>
      </c>
      <c r="AM12">
        <v>100.49</v>
      </c>
      <c r="AN12">
        <v>156</v>
      </c>
      <c r="AO12">
        <v>153.4</v>
      </c>
      <c r="AP12">
        <v>1.7</v>
      </c>
      <c r="AQ12">
        <v>300</v>
      </c>
      <c r="AR12">
        <v>3.9</v>
      </c>
      <c r="AS12">
        <v>-18</v>
      </c>
      <c r="AT12">
        <v>-17</v>
      </c>
      <c r="AU12">
        <v>97</v>
      </c>
      <c r="AV12">
        <v>41.99</v>
      </c>
      <c r="AW12">
        <v>74.319999999999993</v>
      </c>
      <c r="AX12">
        <v>24.56</v>
      </c>
      <c r="AY12">
        <v>-127.69</v>
      </c>
      <c r="AZ12">
        <v>14.11</v>
      </c>
      <c r="BA12">
        <v>96.03</v>
      </c>
      <c r="BB12">
        <v>57.39</v>
      </c>
      <c r="BC12" t="s">
        <v>651</v>
      </c>
      <c r="BD12" t="s">
        <v>308</v>
      </c>
      <c r="BE12">
        <v>35.85</v>
      </c>
      <c r="BF12">
        <v>127.13</v>
      </c>
      <c r="BG12">
        <v>45.8</v>
      </c>
      <c r="BH12">
        <v>10</v>
      </c>
      <c r="BI12">
        <v>0.87</v>
      </c>
      <c r="BJ12" t="s">
        <v>197</v>
      </c>
      <c r="BK12" t="s">
        <v>161</v>
      </c>
      <c r="BL12">
        <v>-2.44</v>
      </c>
      <c r="BM12" t="s">
        <v>159</v>
      </c>
      <c r="BN12">
        <v>0</v>
      </c>
      <c r="BO12">
        <v>0</v>
      </c>
      <c r="BP12">
        <v>0</v>
      </c>
      <c r="BQ12">
        <v>-0.09</v>
      </c>
      <c r="BR12">
        <v>-0.2</v>
      </c>
      <c r="BS12">
        <v>-0.38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210</v>
      </c>
      <c r="CE12" t="s">
        <v>196</v>
      </c>
      <c r="CF12" t="s">
        <v>211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2.52</v>
      </c>
      <c r="CU12">
        <v>2.4700000000000002</v>
      </c>
      <c r="CV12">
        <v>1.67</v>
      </c>
      <c r="CW12">
        <v>0.94</v>
      </c>
      <c r="CX12">
        <v>0.25</v>
      </c>
      <c r="CY12">
        <v>-0.01</v>
      </c>
      <c r="CZ12">
        <v>0.13</v>
      </c>
      <c r="DA12">
        <v>0.37</v>
      </c>
      <c r="DB12">
        <v>118.71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633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666</v>
      </c>
      <c r="B13" t="s">
        <v>667</v>
      </c>
      <c r="C13" t="s">
        <v>161</v>
      </c>
      <c r="D13" t="s">
        <v>162</v>
      </c>
      <c r="E13" t="s">
        <v>163</v>
      </c>
      <c r="I13" t="s">
        <v>668</v>
      </c>
      <c r="J13">
        <v>0.42</v>
      </c>
      <c r="K13">
        <v>2.9</v>
      </c>
      <c r="L13">
        <v>0.37</v>
      </c>
      <c r="M13">
        <v>3.65</v>
      </c>
      <c r="N13">
        <v>2.4900000000000002</v>
      </c>
      <c r="O13">
        <v>2.39</v>
      </c>
      <c r="P13">
        <v>3.46</v>
      </c>
      <c r="Q13">
        <v>0.97</v>
      </c>
      <c r="R13">
        <v>23.82</v>
      </c>
      <c r="S13">
        <v>24.82</v>
      </c>
      <c r="T13">
        <v>34.46</v>
      </c>
      <c r="U13">
        <v>0.44</v>
      </c>
      <c r="V13">
        <v>7.5</v>
      </c>
      <c r="W13" t="s">
        <v>673</v>
      </c>
      <c r="X13">
        <v>0</v>
      </c>
      <c r="Y13">
        <v>0</v>
      </c>
      <c r="Z13">
        <v>0</v>
      </c>
      <c r="AA13">
        <v>138.99</v>
      </c>
      <c r="AB13">
        <v>510.48</v>
      </c>
      <c r="AC13">
        <v>0.73</v>
      </c>
      <c r="AD13">
        <v>0.5</v>
      </c>
      <c r="AE13">
        <v>0.84</v>
      </c>
      <c r="AF13">
        <v>94.75</v>
      </c>
      <c r="AG13">
        <v>1</v>
      </c>
      <c r="AH13">
        <v>66.900000000000006</v>
      </c>
      <c r="AI13">
        <v>64.180000000000007</v>
      </c>
      <c r="AJ13">
        <v>27.7</v>
      </c>
      <c r="AK13">
        <v>26.44</v>
      </c>
      <c r="AL13">
        <v>26.44</v>
      </c>
      <c r="AM13">
        <v>100.49</v>
      </c>
      <c r="AN13">
        <v>155.9</v>
      </c>
      <c r="AO13">
        <v>152.4</v>
      </c>
      <c r="AP13">
        <v>2.2000000000000002</v>
      </c>
      <c r="AQ13">
        <v>310</v>
      </c>
      <c r="AR13">
        <v>3.9</v>
      </c>
      <c r="AS13">
        <v>-25</v>
      </c>
      <c r="AT13">
        <v>-18</v>
      </c>
      <c r="AU13">
        <v>127</v>
      </c>
      <c r="AV13">
        <v>27.28</v>
      </c>
      <c r="AW13">
        <v>88.88</v>
      </c>
      <c r="AX13">
        <v>30.46</v>
      </c>
      <c r="AY13">
        <v>-90.55</v>
      </c>
      <c r="AZ13">
        <v>14.11</v>
      </c>
      <c r="BA13">
        <v>96.03</v>
      </c>
      <c r="BB13">
        <v>57.39</v>
      </c>
      <c r="BC13" t="s">
        <v>688</v>
      </c>
      <c r="BD13" t="s">
        <v>308</v>
      </c>
      <c r="BE13">
        <v>35.85</v>
      </c>
      <c r="BF13">
        <v>127.13</v>
      </c>
      <c r="BG13">
        <v>45.5</v>
      </c>
      <c r="BH13">
        <v>8</v>
      </c>
      <c r="BI13">
        <v>1.46</v>
      </c>
      <c r="BJ13" t="s">
        <v>197</v>
      </c>
      <c r="BK13" t="s">
        <v>161</v>
      </c>
      <c r="BL13">
        <v>-2.44</v>
      </c>
      <c r="BM13" t="s">
        <v>159</v>
      </c>
      <c r="BN13">
        <v>0</v>
      </c>
      <c r="BO13">
        <v>0</v>
      </c>
      <c r="BP13">
        <v>-0.01</v>
      </c>
      <c r="BQ13">
        <v>0</v>
      </c>
      <c r="BR13">
        <v>-0.03</v>
      </c>
      <c r="BS13">
        <v>0.08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210</v>
      </c>
      <c r="CE13" t="s">
        <v>196</v>
      </c>
      <c r="CF13" t="s">
        <v>211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2.52</v>
      </c>
      <c r="CU13">
        <v>2.4700000000000002</v>
      </c>
      <c r="CV13">
        <v>1.67</v>
      </c>
      <c r="CW13">
        <v>0.93</v>
      </c>
      <c r="CX13">
        <v>0.24</v>
      </c>
      <c r="CY13">
        <v>-0.01</v>
      </c>
      <c r="CZ13">
        <v>0.13</v>
      </c>
      <c r="DA13">
        <v>0.38</v>
      </c>
      <c r="DB13">
        <v>138.99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673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705</v>
      </c>
      <c r="B14" t="s">
        <v>706</v>
      </c>
      <c r="C14" t="s">
        <v>161</v>
      </c>
      <c r="D14" t="s">
        <v>162</v>
      </c>
      <c r="E14" t="s">
        <v>163</v>
      </c>
      <c r="I14" t="s">
        <v>707</v>
      </c>
      <c r="J14">
        <v>0.27</v>
      </c>
      <c r="K14">
        <v>2.91</v>
      </c>
      <c r="L14">
        <v>0.24</v>
      </c>
      <c r="M14">
        <v>2.5099999999999998</v>
      </c>
      <c r="N14">
        <v>2.54</v>
      </c>
      <c r="O14">
        <v>2.4700000000000002</v>
      </c>
      <c r="P14">
        <v>3.54</v>
      </c>
      <c r="Q14">
        <v>1</v>
      </c>
      <c r="R14">
        <v>24.61</v>
      </c>
      <c r="S14">
        <v>25.3</v>
      </c>
      <c r="T14">
        <v>35.24</v>
      </c>
      <c r="U14">
        <v>0.44</v>
      </c>
      <c r="V14">
        <v>7.5</v>
      </c>
      <c r="W14" t="s">
        <v>712</v>
      </c>
      <c r="X14">
        <v>0</v>
      </c>
      <c r="Y14">
        <v>0</v>
      </c>
      <c r="Z14">
        <v>0</v>
      </c>
      <c r="AA14">
        <v>118.66</v>
      </c>
      <c r="AB14">
        <v>478.76</v>
      </c>
      <c r="AC14">
        <v>0.75</v>
      </c>
      <c r="AD14">
        <v>0.5</v>
      </c>
      <c r="AE14">
        <v>0.84</v>
      </c>
      <c r="AF14">
        <v>94.77</v>
      </c>
      <c r="AG14">
        <v>1</v>
      </c>
      <c r="AH14">
        <v>67.77</v>
      </c>
      <c r="AI14">
        <v>65.92</v>
      </c>
      <c r="AJ14">
        <v>27.81</v>
      </c>
      <c r="AK14">
        <v>26.82</v>
      </c>
      <c r="AL14">
        <v>26.82</v>
      </c>
      <c r="AM14">
        <v>100.5</v>
      </c>
      <c r="AN14">
        <v>156</v>
      </c>
      <c r="AO14">
        <v>136.30000000000001</v>
      </c>
      <c r="AP14">
        <v>12.6</v>
      </c>
      <c r="AQ14">
        <v>300</v>
      </c>
      <c r="AR14">
        <v>3.9</v>
      </c>
      <c r="AS14">
        <v>-19</v>
      </c>
      <c r="AT14">
        <v>-1</v>
      </c>
      <c r="AU14">
        <v>154</v>
      </c>
      <c r="AV14">
        <v>47.9</v>
      </c>
      <c r="AW14">
        <v>67.040000000000006</v>
      </c>
      <c r="AX14">
        <v>19.03</v>
      </c>
      <c r="AY14">
        <v>-29.07</v>
      </c>
      <c r="AZ14">
        <v>14.11</v>
      </c>
      <c r="BA14">
        <v>96.19</v>
      </c>
      <c r="BB14">
        <v>57.19</v>
      </c>
      <c r="BC14" t="s">
        <v>730</v>
      </c>
      <c r="BD14" t="s">
        <v>308</v>
      </c>
      <c r="BE14">
        <v>35.85</v>
      </c>
      <c r="BF14">
        <v>127.13</v>
      </c>
      <c r="BG14">
        <v>45.4</v>
      </c>
      <c r="BH14">
        <v>8</v>
      </c>
      <c r="BI14">
        <v>1.1299999999999999</v>
      </c>
      <c r="BJ14" t="s">
        <v>197</v>
      </c>
      <c r="BK14" t="s">
        <v>161</v>
      </c>
      <c r="BL14">
        <v>-2.44</v>
      </c>
      <c r="BM14" t="s">
        <v>159</v>
      </c>
      <c r="BN14">
        <v>0</v>
      </c>
      <c r="BO14">
        <v>0</v>
      </c>
      <c r="BP14">
        <v>0</v>
      </c>
      <c r="BQ14">
        <v>0.03</v>
      </c>
      <c r="BR14">
        <v>-0.16</v>
      </c>
      <c r="BS14">
        <v>-0.22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210</v>
      </c>
      <c r="CE14" t="s">
        <v>196</v>
      </c>
      <c r="CF14" t="s">
        <v>211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2.5299999999999998</v>
      </c>
      <c r="CU14">
        <v>2.4700000000000002</v>
      </c>
      <c r="CV14">
        <v>1.67</v>
      </c>
      <c r="CW14">
        <v>0.89</v>
      </c>
      <c r="CX14">
        <v>0.24</v>
      </c>
      <c r="CY14">
        <v>-0.01</v>
      </c>
      <c r="CZ14">
        <v>0.13</v>
      </c>
      <c r="DA14">
        <v>0.37</v>
      </c>
      <c r="DB14">
        <v>118.66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712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746</v>
      </c>
      <c r="B15" t="s">
        <v>747</v>
      </c>
      <c r="C15" t="s">
        <v>161</v>
      </c>
      <c r="D15" t="s">
        <v>162</v>
      </c>
      <c r="E15" t="s">
        <v>163</v>
      </c>
      <c r="I15" t="s">
        <v>748</v>
      </c>
      <c r="J15">
        <v>0.26</v>
      </c>
      <c r="K15">
        <v>2.91</v>
      </c>
      <c r="L15">
        <v>0.24</v>
      </c>
      <c r="M15">
        <v>2.5299999999999998</v>
      </c>
      <c r="N15">
        <v>2.5</v>
      </c>
      <c r="O15">
        <v>2.4300000000000002</v>
      </c>
      <c r="P15">
        <v>3.55</v>
      </c>
      <c r="Q15">
        <v>1.05</v>
      </c>
      <c r="R15">
        <v>24.18</v>
      </c>
      <c r="S15">
        <v>24.88</v>
      </c>
      <c r="T15">
        <v>35.33</v>
      </c>
      <c r="U15">
        <v>0.44</v>
      </c>
      <c r="V15">
        <v>7.5</v>
      </c>
      <c r="W15" t="s">
        <v>753</v>
      </c>
      <c r="X15">
        <v>0</v>
      </c>
      <c r="Y15">
        <v>0</v>
      </c>
      <c r="Z15">
        <v>0</v>
      </c>
      <c r="AA15">
        <v>154.37</v>
      </c>
      <c r="AB15">
        <v>541.88</v>
      </c>
      <c r="AC15">
        <v>0.72</v>
      </c>
      <c r="AD15">
        <v>0.5</v>
      </c>
      <c r="AE15">
        <v>0.84</v>
      </c>
      <c r="AF15">
        <v>88.3</v>
      </c>
      <c r="AG15">
        <v>1</v>
      </c>
      <c r="AH15">
        <v>66.34</v>
      </c>
      <c r="AI15">
        <v>64.47</v>
      </c>
      <c r="AJ15">
        <v>27.88</v>
      </c>
      <c r="AK15">
        <v>26.86</v>
      </c>
      <c r="AL15">
        <v>26.86</v>
      </c>
      <c r="AM15">
        <v>100.49</v>
      </c>
      <c r="AN15">
        <v>156</v>
      </c>
      <c r="AO15">
        <v>154</v>
      </c>
      <c r="AP15">
        <v>1.2</v>
      </c>
      <c r="AQ15">
        <v>294</v>
      </c>
      <c r="AR15">
        <v>3.9</v>
      </c>
      <c r="AS15">
        <v>-17</v>
      </c>
      <c r="AT15">
        <v>15</v>
      </c>
      <c r="AU15">
        <v>170</v>
      </c>
      <c r="AV15">
        <v>69.03</v>
      </c>
      <c r="AW15">
        <v>35.78</v>
      </c>
      <c r="AX15">
        <v>22.52</v>
      </c>
      <c r="AY15">
        <v>32.5</v>
      </c>
      <c r="AZ15">
        <v>14.11</v>
      </c>
      <c r="BA15">
        <v>96.19</v>
      </c>
      <c r="BB15">
        <v>57.19</v>
      </c>
      <c r="BC15" t="s">
        <v>770</v>
      </c>
      <c r="BD15" t="s">
        <v>308</v>
      </c>
      <c r="BE15">
        <v>35.85</v>
      </c>
      <c r="BF15">
        <v>127.13</v>
      </c>
      <c r="BG15">
        <v>45.3</v>
      </c>
      <c r="BH15">
        <v>9</v>
      </c>
      <c r="BI15">
        <v>0.97</v>
      </c>
      <c r="BJ15" t="s">
        <v>197</v>
      </c>
      <c r="BK15" t="s">
        <v>161</v>
      </c>
      <c r="BL15">
        <v>-2.44</v>
      </c>
      <c r="BM15" t="s">
        <v>159</v>
      </c>
      <c r="BN15">
        <v>0</v>
      </c>
      <c r="BO15">
        <v>0</v>
      </c>
      <c r="BP15">
        <v>0</v>
      </c>
      <c r="BQ15">
        <v>-0.04</v>
      </c>
      <c r="BR15">
        <v>-0.61</v>
      </c>
      <c r="BS15">
        <v>-0.45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210</v>
      </c>
      <c r="CE15" t="s">
        <v>196</v>
      </c>
      <c r="CF15" t="s">
        <v>211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2.52</v>
      </c>
      <c r="CU15">
        <v>2.4700000000000002</v>
      </c>
      <c r="CV15">
        <v>1.67</v>
      </c>
      <c r="CW15">
        <v>0.94</v>
      </c>
      <c r="CX15">
        <v>0.24</v>
      </c>
      <c r="CY15">
        <v>-0.01</v>
      </c>
      <c r="CZ15">
        <v>0.14000000000000001</v>
      </c>
      <c r="DA15">
        <v>0.36</v>
      </c>
      <c r="DB15">
        <v>154.37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753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764</v>
      </c>
      <c r="B16" t="s">
        <v>786</v>
      </c>
      <c r="C16" t="s">
        <v>161</v>
      </c>
      <c r="D16" t="s">
        <v>162</v>
      </c>
      <c r="E16" t="s">
        <v>163</v>
      </c>
      <c r="I16" t="s">
        <v>787</v>
      </c>
      <c r="J16">
        <v>0.23</v>
      </c>
      <c r="K16">
        <v>2.9</v>
      </c>
      <c r="L16">
        <v>0.21</v>
      </c>
      <c r="M16">
        <v>2.2999999999999998</v>
      </c>
      <c r="N16">
        <v>2.5</v>
      </c>
      <c r="O16">
        <v>2.44</v>
      </c>
      <c r="P16">
        <v>3.55</v>
      </c>
      <c r="Q16">
        <v>1.05</v>
      </c>
      <c r="R16">
        <v>24.24</v>
      </c>
      <c r="S16">
        <v>24.88</v>
      </c>
      <c r="T16">
        <v>35.35</v>
      </c>
      <c r="U16">
        <v>0.44</v>
      </c>
      <c r="V16">
        <v>7.5</v>
      </c>
      <c r="W16" t="s">
        <v>792</v>
      </c>
      <c r="X16">
        <v>0</v>
      </c>
      <c r="Y16">
        <v>0</v>
      </c>
      <c r="Z16">
        <v>0</v>
      </c>
      <c r="AA16">
        <v>135.54</v>
      </c>
      <c r="AB16">
        <v>517.41999999999996</v>
      </c>
      <c r="AC16">
        <v>0.74</v>
      </c>
      <c r="AD16">
        <v>0.5</v>
      </c>
      <c r="AE16">
        <v>0.84</v>
      </c>
      <c r="AF16">
        <v>75.02</v>
      </c>
      <c r="AG16">
        <v>1</v>
      </c>
      <c r="AH16">
        <v>65.819999999999993</v>
      </c>
      <c r="AI16">
        <v>64.13</v>
      </c>
      <c r="AJ16">
        <v>28.01</v>
      </c>
      <c r="AK16">
        <v>26.87</v>
      </c>
      <c r="AL16">
        <v>26.87</v>
      </c>
      <c r="AM16">
        <v>100.48</v>
      </c>
      <c r="AN16">
        <v>155.9</v>
      </c>
      <c r="AO16">
        <v>153.19999999999999</v>
      </c>
      <c r="AP16">
        <v>1.7</v>
      </c>
      <c r="AQ16">
        <v>242</v>
      </c>
      <c r="AR16">
        <v>3.9</v>
      </c>
      <c r="AS16">
        <v>-26</v>
      </c>
      <c r="AT16">
        <v>-23</v>
      </c>
      <c r="AU16">
        <v>292</v>
      </c>
      <c r="AV16">
        <v>87.9</v>
      </c>
      <c r="AW16">
        <v>3.66</v>
      </c>
      <c r="AX16">
        <v>34.17</v>
      </c>
      <c r="AY16">
        <v>67.92</v>
      </c>
      <c r="AZ16">
        <v>14.11</v>
      </c>
      <c r="BA16">
        <v>96.35</v>
      </c>
      <c r="BB16">
        <v>56.99</v>
      </c>
      <c r="BC16" t="s">
        <v>811</v>
      </c>
      <c r="BD16" t="s">
        <v>308</v>
      </c>
      <c r="BE16">
        <v>35.85</v>
      </c>
      <c r="BF16">
        <v>127.13</v>
      </c>
      <c r="BG16">
        <v>45.1</v>
      </c>
      <c r="BH16">
        <v>8</v>
      </c>
      <c r="BI16">
        <v>1</v>
      </c>
      <c r="BJ16" t="s">
        <v>197</v>
      </c>
      <c r="BK16" t="s">
        <v>161</v>
      </c>
      <c r="BL16">
        <v>-2.44</v>
      </c>
      <c r="BM16" t="s">
        <v>159</v>
      </c>
      <c r="BN16">
        <v>0</v>
      </c>
      <c r="BO16">
        <v>0</v>
      </c>
      <c r="BP16">
        <v>0</v>
      </c>
      <c r="BQ16">
        <v>-0.31</v>
      </c>
      <c r="BR16">
        <v>-0.41</v>
      </c>
      <c r="BS16">
        <v>-0.57999999999999996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210</v>
      </c>
      <c r="CE16" t="s">
        <v>196</v>
      </c>
      <c r="CF16" t="s">
        <v>211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2.52</v>
      </c>
      <c r="CU16">
        <v>2.4700000000000002</v>
      </c>
      <c r="CV16">
        <v>1.67</v>
      </c>
      <c r="CW16">
        <v>0.94</v>
      </c>
      <c r="CX16">
        <v>0.24</v>
      </c>
      <c r="CY16">
        <v>-0.01</v>
      </c>
      <c r="CZ16">
        <v>0.14000000000000001</v>
      </c>
      <c r="DA16">
        <v>0.32</v>
      </c>
      <c r="DB16">
        <v>135.54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792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826</v>
      </c>
      <c r="B17" t="s">
        <v>827</v>
      </c>
      <c r="C17" t="s">
        <v>161</v>
      </c>
      <c r="D17" t="s">
        <v>162</v>
      </c>
      <c r="E17" t="s">
        <v>163</v>
      </c>
      <c r="I17" t="s">
        <v>828</v>
      </c>
      <c r="J17">
        <v>0.27</v>
      </c>
      <c r="K17">
        <v>2.9</v>
      </c>
      <c r="L17">
        <v>0.25</v>
      </c>
      <c r="M17">
        <v>2.76</v>
      </c>
      <c r="N17">
        <v>2.5099999999999998</v>
      </c>
      <c r="O17">
        <v>2.4300000000000002</v>
      </c>
      <c r="P17">
        <v>3.6</v>
      </c>
      <c r="Q17">
        <v>1.0900000000000001</v>
      </c>
      <c r="R17">
        <v>24.23</v>
      </c>
      <c r="S17">
        <v>24.99</v>
      </c>
      <c r="T17">
        <v>35.81</v>
      </c>
      <c r="U17">
        <v>0.44</v>
      </c>
      <c r="V17">
        <v>7.5</v>
      </c>
      <c r="W17" t="s">
        <v>833</v>
      </c>
      <c r="X17">
        <v>0</v>
      </c>
      <c r="Y17">
        <v>0</v>
      </c>
      <c r="Z17">
        <v>0</v>
      </c>
      <c r="AA17">
        <v>127.45</v>
      </c>
      <c r="AB17">
        <v>492.11</v>
      </c>
      <c r="AC17">
        <v>0.74</v>
      </c>
      <c r="AD17">
        <v>0.5</v>
      </c>
      <c r="AE17">
        <v>0.84</v>
      </c>
      <c r="AF17">
        <v>93.37</v>
      </c>
      <c r="AG17">
        <v>1</v>
      </c>
      <c r="AH17">
        <v>65.94</v>
      </c>
      <c r="AI17">
        <v>63.92</v>
      </c>
      <c r="AJ17">
        <v>28.06</v>
      </c>
      <c r="AK17">
        <v>27.09</v>
      </c>
      <c r="AL17">
        <v>27.09</v>
      </c>
      <c r="AM17">
        <v>100.49</v>
      </c>
      <c r="AN17">
        <v>155.80000000000001</v>
      </c>
      <c r="AO17">
        <v>154.69999999999999</v>
      </c>
      <c r="AP17">
        <v>0.7</v>
      </c>
      <c r="AQ17">
        <v>300</v>
      </c>
      <c r="AR17">
        <v>3.9</v>
      </c>
      <c r="AS17">
        <v>-1</v>
      </c>
      <c r="AT17">
        <v>13</v>
      </c>
      <c r="AU17">
        <v>345</v>
      </c>
      <c r="AV17">
        <v>45.47</v>
      </c>
      <c r="AW17">
        <v>70.13</v>
      </c>
      <c r="AX17">
        <v>13.04</v>
      </c>
      <c r="AY17">
        <v>-109.32</v>
      </c>
      <c r="AZ17">
        <v>14.11</v>
      </c>
      <c r="BA17">
        <v>96.35</v>
      </c>
      <c r="BB17">
        <v>56.99</v>
      </c>
      <c r="BC17" t="s">
        <v>847</v>
      </c>
      <c r="BD17" t="s">
        <v>308</v>
      </c>
      <c r="BE17">
        <v>35.85</v>
      </c>
      <c r="BF17">
        <v>127.13</v>
      </c>
      <c r="BG17">
        <v>45.2</v>
      </c>
      <c r="BH17">
        <v>10</v>
      </c>
      <c r="BI17">
        <v>0.87</v>
      </c>
      <c r="BJ17" t="s">
        <v>197</v>
      </c>
      <c r="BK17" t="s">
        <v>161</v>
      </c>
      <c r="BL17">
        <v>-2.44</v>
      </c>
      <c r="BM17" t="s">
        <v>159</v>
      </c>
      <c r="BN17">
        <v>0</v>
      </c>
      <c r="BO17">
        <v>0</v>
      </c>
      <c r="BP17">
        <v>-0.01</v>
      </c>
      <c r="BQ17">
        <v>-0.05</v>
      </c>
      <c r="BR17">
        <v>-0.22</v>
      </c>
      <c r="BS17">
        <v>-1.0900000000000001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210</v>
      </c>
      <c r="CE17" t="s">
        <v>196</v>
      </c>
      <c r="CF17" t="s">
        <v>211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2.52</v>
      </c>
      <c r="CU17">
        <v>2.4700000000000002</v>
      </c>
      <c r="CV17">
        <v>1.67</v>
      </c>
      <c r="CW17">
        <v>0.94</v>
      </c>
      <c r="CX17">
        <v>0.24</v>
      </c>
      <c r="CY17">
        <v>-0.01</v>
      </c>
      <c r="CZ17">
        <v>0.14000000000000001</v>
      </c>
      <c r="DA17">
        <v>0.37</v>
      </c>
      <c r="DB17">
        <v>127.45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833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862</v>
      </c>
      <c r="B18" t="s">
        <v>863</v>
      </c>
      <c r="C18" t="s">
        <v>161</v>
      </c>
      <c r="D18" t="s">
        <v>162</v>
      </c>
      <c r="E18" t="s">
        <v>163</v>
      </c>
      <c r="I18" t="s">
        <v>864</v>
      </c>
      <c r="J18">
        <v>0.36</v>
      </c>
      <c r="K18">
        <v>2.91</v>
      </c>
      <c r="L18">
        <v>0.32</v>
      </c>
      <c r="M18">
        <v>3.16</v>
      </c>
      <c r="N18">
        <v>2.56</v>
      </c>
      <c r="O18">
        <v>2.4700000000000002</v>
      </c>
      <c r="P18">
        <v>3.51</v>
      </c>
      <c r="Q18">
        <v>0.95</v>
      </c>
      <c r="R18">
        <v>24.59</v>
      </c>
      <c r="S18">
        <v>25.46</v>
      </c>
      <c r="T18">
        <v>34.950000000000003</v>
      </c>
      <c r="U18">
        <v>0.44</v>
      </c>
      <c r="V18">
        <v>7.5</v>
      </c>
      <c r="W18" t="s">
        <v>869</v>
      </c>
      <c r="X18">
        <v>0</v>
      </c>
      <c r="Y18">
        <v>0</v>
      </c>
      <c r="Z18">
        <v>0</v>
      </c>
      <c r="AA18">
        <v>118.75</v>
      </c>
      <c r="AB18">
        <v>495.7</v>
      </c>
      <c r="AC18">
        <v>0.76</v>
      </c>
      <c r="AD18">
        <v>0.5</v>
      </c>
      <c r="AE18">
        <v>0.84</v>
      </c>
      <c r="AF18">
        <v>79.53</v>
      </c>
      <c r="AG18">
        <v>1</v>
      </c>
      <c r="AH18">
        <v>66.77</v>
      </c>
      <c r="AI18">
        <v>64.489999999999995</v>
      </c>
      <c r="AJ18">
        <v>28.17</v>
      </c>
      <c r="AK18">
        <v>26.68</v>
      </c>
      <c r="AL18">
        <v>26.68</v>
      </c>
      <c r="AM18">
        <v>100.49</v>
      </c>
      <c r="AN18">
        <v>156.1</v>
      </c>
      <c r="AO18">
        <v>153.80000000000001</v>
      </c>
      <c r="AP18">
        <v>1.5</v>
      </c>
      <c r="AQ18">
        <v>249</v>
      </c>
      <c r="AR18">
        <v>3.9</v>
      </c>
      <c r="AS18">
        <v>-16</v>
      </c>
      <c r="AT18">
        <v>-21</v>
      </c>
      <c r="AU18">
        <v>307</v>
      </c>
      <c r="AV18">
        <v>81.14</v>
      </c>
      <c r="AW18">
        <v>15.4</v>
      </c>
      <c r="AX18">
        <v>26.18</v>
      </c>
      <c r="AY18">
        <v>72.680000000000007</v>
      </c>
      <c r="AZ18">
        <v>14.11</v>
      </c>
      <c r="BA18">
        <v>96.51</v>
      </c>
      <c r="BB18">
        <v>56.78</v>
      </c>
      <c r="BC18" t="s">
        <v>888</v>
      </c>
      <c r="BD18" t="s">
        <v>308</v>
      </c>
      <c r="BE18">
        <v>35.85</v>
      </c>
      <c r="BF18">
        <v>127.13</v>
      </c>
      <c r="BG18">
        <v>45.3</v>
      </c>
      <c r="BH18">
        <v>9</v>
      </c>
      <c r="BI18">
        <v>0.97</v>
      </c>
      <c r="BJ18" t="s">
        <v>197</v>
      </c>
      <c r="BK18" t="s">
        <v>161</v>
      </c>
      <c r="BL18">
        <v>-2.44</v>
      </c>
      <c r="BM18" t="s">
        <v>159</v>
      </c>
      <c r="BN18">
        <v>0</v>
      </c>
      <c r="BO18">
        <v>0</v>
      </c>
      <c r="BP18">
        <v>0</v>
      </c>
      <c r="BQ18">
        <v>0.41</v>
      </c>
      <c r="BR18">
        <v>0</v>
      </c>
      <c r="BS18">
        <v>-0.25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210</v>
      </c>
      <c r="CE18" t="s">
        <v>196</v>
      </c>
      <c r="CF18" t="s">
        <v>211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2.52</v>
      </c>
      <c r="CU18">
        <v>2.4700000000000002</v>
      </c>
      <c r="CV18">
        <v>1.67</v>
      </c>
      <c r="CW18">
        <v>0.94</v>
      </c>
      <c r="CX18">
        <v>0.24</v>
      </c>
      <c r="CY18">
        <v>-0.02</v>
      </c>
      <c r="CZ18">
        <v>0.15</v>
      </c>
      <c r="DA18">
        <v>0.32</v>
      </c>
      <c r="DB18">
        <v>118.75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869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901</v>
      </c>
      <c r="B19" t="s">
        <v>902</v>
      </c>
      <c r="C19" t="s">
        <v>161</v>
      </c>
      <c r="D19" t="s">
        <v>162</v>
      </c>
      <c r="E19" t="s">
        <v>163</v>
      </c>
      <c r="I19" t="s">
        <v>903</v>
      </c>
      <c r="J19">
        <v>0.32</v>
      </c>
      <c r="K19">
        <v>2.91</v>
      </c>
      <c r="L19">
        <v>0.28999999999999998</v>
      </c>
      <c r="M19">
        <v>2.9</v>
      </c>
      <c r="N19">
        <v>2.57</v>
      </c>
      <c r="O19">
        <v>2.4900000000000002</v>
      </c>
      <c r="P19">
        <v>3.53</v>
      </c>
      <c r="Q19">
        <v>0.97</v>
      </c>
      <c r="R19">
        <v>24.74</v>
      </c>
      <c r="S19">
        <v>25.54</v>
      </c>
      <c r="T19">
        <v>35.159999999999997</v>
      </c>
      <c r="U19">
        <v>0.44</v>
      </c>
      <c r="V19">
        <v>7.5</v>
      </c>
      <c r="W19" t="s">
        <v>908</v>
      </c>
      <c r="X19">
        <v>0</v>
      </c>
      <c r="Y19">
        <v>0</v>
      </c>
      <c r="Z19">
        <v>0</v>
      </c>
      <c r="AA19">
        <v>121.54</v>
      </c>
      <c r="AB19">
        <v>489.87</v>
      </c>
      <c r="AC19">
        <v>0.75</v>
      </c>
      <c r="AD19">
        <v>0.5</v>
      </c>
      <c r="AE19">
        <v>0.84</v>
      </c>
      <c r="AF19">
        <v>82.11</v>
      </c>
      <c r="AG19">
        <v>1</v>
      </c>
      <c r="AH19">
        <v>66.8</v>
      </c>
      <c r="AI19">
        <v>64.7</v>
      </c>
      <c r="AJ19">
        <v>28.21</v>
      </c>
      <c r="AK19">
        <v>26.78</v>
      </c>
      <c r="AL19">
        <v>26.78</v>
      </c>
      <c r="AM19">
        <v>100.49</v>
      </c>
      <c r="AN19">
        <v>156.1</v>
      </c>
      <c r="AO19">
        <v>150</v>
      </c>
      <c r="AP19">
        <v>3.9</v>
      </c>
      <c r="AQ19">
        <v>260</v>
      </c>
      <c r="AR19">
        <v>3.89</v>
      </c>
      <c r="AS19">
        <v>-17</v>
      </c>
      <c r="AT19">
        <v>-4</v>
      </c>
      <c r="AU19">
        <v>302</v>
      </c>
      <c r="AV19">
        <v>73.91</v>
      </c>
      <c r="AW19">
        <v>27.72</v>
      </c>
      <c r="AX19">
        <v>17.45</v>
      </c>
      <c r="AY19">
        <v>108.55</v>
      </c>
      <c r="AZ19">
        <v>14.11</v>
      </c>
      <c r="BA19">
        <v>96.51</v>
      </c>
      <c r="BB19">
        <v>56.78</v>
      </c>
      <c r="BC19" t="s">
        <v>926</v>
      </c>
      <c r="BD19" t="s">
        <v>308</v>
      </c>
      <c r="BE19">
        <v>35.85</v>
      </c>
      <c r="BF19">
        <v>127.13</v>
      </c>
      <c r="BG19">
        <v>45.3</v>
      </c>
      <c r="BH19">
        <v>7</v>
      </c>
      <c r="BI19">
        <v>1.03</v>
      </c>
      <c r="BJ19" t="s">
        <v>197</v>
      </c>
      <c r="BK19" t="s">
        <v>161</v>
      </c>
      <c r="BL19">
        <v>-2.44</v>
      </c>
      <c r="BM19" t="s">
        <v>159</v>
      </c>
      <c r="BN19">
        <v>0</v>
      </c>
      <c r="BO19">
        <v>0</v>
      </c>
      <c r="BP19">
        <v>0</v>
      </c>
      <c r="BQ19">
        <v>-0.12</v>
      </c>
      <c r="BR19">
        <v>-0.25</v>
      </c>
      <c r="BS19">
        <v>-0.59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210</v>
      </c>
      <c r="CE19" t="s">
        <v>196</v>
      </c>
      <c r="CF19" t="s">
        <v>211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</v>
      </c>
      <c r="CU19">
        <v>2.4700000000000002</v>
      </c>
      <c r="CV19">
        <v>1.67</v>
      </c>
      <c r="CW19">
        <v>0.93</v>
      </c>
      <c r="CX19">
        <v>0.24</v>
      </c>
      <c r="CY19">
        <v>-0.02</v>
      </c>
      <c r="CZ19">
        <v>0.15</v>
      </c>
      <c r="DA19">
        <v>0.33</v>
      </c>
      <c r="DB19">
        <v>121.54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908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9.2" x14ac:dyDescent="0.45"/>
  <sheetData>
    <row r="1" spans="1:9" x14ac:dyDescent="0.45">
      <c r="A1" t="s">
        <v>15</v>
      </c>
      <c r="B1" t="s">
        <v>23</v>
      </c>
      <c r="C1" t="s">
        <v>30</v>
      </c>
      <c r="D1" t="s">
        <v>40</v>
      </c>
      <c r="E1" t="s">
        <v>41</v>
      </c>
      <c r="F1" t="s">
        <v>42</v>
      </c>
      <c r="G1" t="s">
        <v>45</v>
      </c>
      <c r="H1" t="s">
        <v>56</v>
      </c>
      <c r="I1" t="s">
        <v>51</v>
      </c>
    </row>
    <row r="2" spans="1:9" x14ac:dyDescent="0.45">
      <c r="A2" t="s">
        <v>160</v>
      </c>
      <c r="B2">
        <v>0.34</v>
      </c>
      <c r="C2">
        <v>1.02</v>
      </c>
      <c r="D2">
        <v>137.01</v>
      </c>
      <c r="E2">
        <v>553.09</v>
      </c>
      <c r="F2">
        <v>0.75</v>
      </c>
      <c r="G2">
        <v>56.56</v>
      </c>
      <c r="H2">
        <v>179</v>
      </c>
      <c r="I2">
        <v>25.34</v>
      </c>
    </row>
    <row r="3" spans="1:9" x14ac:dyDescent="0.45">
      <c r="A3" t="s">
        <v>239</v>
      </c>
      <c r="B3">
        <v>0.46</v>
      </c>
      <c r="C3">
        <v>0.94</v>
      </c>
      <c r="D3">
        <v>115.61</v>
      </c>
      <c r="E3">
        <v>498.52</v>
      </c>
      <c r="F3">
        <v>0.77</v>
      </c>
      <c r="G3">
        <v>96.46</v>
      </c>
      <c r="H3">
        <v>299</v>
      </c>
      <c r="I3">
        <v>25.33</v>
      </c>
    </row>
    <row r="4" spans="1:9" x14ac:dyDescent="0.45">
      <c r="A4" t="s">
        <v>278</v>
      </c>
      <c r="B4">
        <v>0.46</v>
      </c>
      <c r="C4">
        <v>0.92</v>
      </c>
      <c r="D4">
        <v>134.12</v>
      </c>
      <c r="E4">
        <v>525.72</v>
      </c>
      <c r="F4">
        <v>0.74</v>
      </c>
      <c r="G4">
        <v>87.29</v>
      </c>
      <c r="H4">
        <v>279</v>
      </c>
      <c r="I4">
        <v>25.49</v>
      </c>
    </row>
    <row r="5" spans="1:9" x14ac:dyDescent="0.45">
      <c r="A5" t="s">
        <v>327</v>
      </c>
      <c r="B5">
        <v>0.39</v>
      </c>
      <c r="C5">
        <v>0.97</v>
      </c>
      <c r="D5">
        <v>117.35</v>
      </c>
      <c r="E5">
        <v>498.17</v>
      </c>
      <c r="F5">
        <v>0.76</v>
      </c>
      <c r="G5">
        <v>92.79</v>
      </c>
      <c r="H5">
        <v>289</v>
      </c>
      <c r="I5">
        <v>25.68</v>
      </c>
    </row>
    <row r="6" spans="1:9" x14ac:dyDescent="0.45">
      <c r="A6" t="s">
        <v>371</v>
      </c>
      <c r="B6">
        <v>0.38</v>
      </c>
      <c r="C6">
        <v>0.94</v>
      </c>
      <c r="D6">
        <v>118.71</v>
      </c>
      <c r="E6">
        <v>507.22</v>
      </c>
      <c r="F6">
        <v>0.77</v>
      </c>
      <c r="G6">
        <v>99.41</v>
      </c>
      <c r="H6">
        <v>309</v>
      </c>
      <c r="I6">
        <v>25.72</v>
      </c>
    </row>
    <row r="7" spans="1:9" x14ac:dyDescent="0.45">
      <c r="A7" t="s">
        <v>416</v>
      </c>
      <c r="B7">
        <v>0.4</v>
      </c>
      <c r="C7">
        <v>0.92</v>
      </c>
      <c r="D7">
        <v>126.17</v>
      </c>
      <c r="E7">
        <v>545.34</v>
      </c>
      <c r="F7">
        <v>0.77</v>
      </c>
      <c r="G7">
        <v>75.22</v>
      </c>
      <c r="H7">
        <v>233</v>
      </c>
      <c r="I7">
        <v>25.78</v>
      </c>
    </row>
    <row r="8" spans="1:9" x14ac:dyDescent="0.45">
      <c r="A8" t="s">
        <v>458</v>
      </c>
      <c r="B8">
        <v>0.46</v>
      </c>
      <c r="C8">
        <v>0.92</v>
      </c>
      <c r="D8">
        <v>120.76</v>
      </c>
      <c r="E8">
        <v>506.52</v>
      </c>
      <c r="F8">
        <v>0.76</v>
      </c>
      <c r="G8">
        <v>99.48</v>
      </c>
      <c r="H8">
        <v>311</v>
      </c>
      <c r="I8">
        <v>25.85</v>
      </c>
    </row>
    <row r="9" spans="1:9" x14ac:dyDescent="0.45">
      <c r="A9" t="s">
        <v>499</v>
      </c>
      <c r="B9">
        <v>0.46</v>
      </c>
      <c r="C9">
        <v>0.89</v>
      </c>
      <c r="D9">
        <v>130.22</v>
      </c>
      <c r="E9">
        <v>517.19000000000005</v>
      </c>
      <c r="F9">
        <v>0.75</v>
      </c>
      <c r="G9">
        <v>99.3</v>
      </c>
      <c r="H9">
        <v>316</v>
      </c>
      <c r="I9">
        <v>25.91</v>
      </c>
    </row>
    <row r="10" spans="1:9" x14ac:dyDescent="0.45">
      <c r="A10" t="s">
        <v>542</v>
      </c>
      <c r="B10">
        <v>0.4</v>
      </c>
      <c r="C10">
        <v>0.9</v>
      </c>
      <c r="D10">
        <v>117.9</v>
      </c>
      <c r="E10">
        <v>510.56</v>
      </c>
      <c r="F10">
        <v>0.77</v>
      </c>
      <c r="G10">
        <v>86.57</v>
      </c>
      <c r="H10">
        <v>268</v>
      </c>
      <c r="I10">
        <v>26.1</v>
      </c>
    </row>
    <row r="11" spans="1:9" x14ac:dyDescent="0.45">
      <c r="A11" t="s">
        <v>583</v>
      </c>
      <c r="B11">
        <v>0.31</v>
      </c>
      <c r="C11">
        <v>1.05</v>
      </c>
      <c r="D11">
        <v>146.27000000000001</v>
      </c>
      <c r="E11">
        <v>540.14</v>
      </c>
      <c r="F11">
        <v>0.73</v>
      </c>
      <c r="G11">
        <v>92.18</v>
      </c>
      <c r="H11">
        <v>301</v>
      </c>
      <c r="I11">
        <v>26.51</v>
      </c>
    </row>
    <row r="12" spans="1:9" x14ac:dyDescent="0.45">
      <c r="A12" t="s">
        <v>627</v>
      </c>
      <c r="B12">
        <v>0.44</v>
      </c>
      <c r="C12">
        <v>1</v>
      </c>
      <c r="D12">
        <v>118.71</v>
      </c>
      <c r="E12">
        <v>482.51</v>
      </c>
      <c r="F12">
        <v>0.75</v>
      </c>
      <c r="G12">
        <v>95</v>
      </c>
      <c r="H12">
        <v>300</v>
      </c>
      <c r="I12">
        <v>26.34</v>
      </c>
    </row>
    <row r="13" spans="1:9" x14ac:dyDescent="0.45">
      <c r="A13" t="s">
        <v>667</v>
      </c>
      <c r="B13">
        <v>0.42</v>
      </c>
      <c r="C13">
        <v>0.97</v>
      </c>
      <c r="D13">
        <v>138.99</v>
      </c>
      <c r="E13">
        <v>510.48</v>
      </c>
      <c r="F13">
        <v>0.73</v>
      </c>
      <c r="G13">
        <v>94.75</v>
      </c>
      <c r="H13">
        <v>310</v>
      </c>
      <c r="I13">
        <v>26.44</v>
      </c>
    </row>
    <row r="14" spans="1:9" x14ac:dyDescent="0.45">
      <c r="A14" t="s">
        <v>706</v>
      </c>
      <c r="B14">
        <v>0.27</v>
      </c>
      <c r="C14">
        <v>1</v>
      </c>
      <c r="D14">
        <v>118.66</v>
      </c>
      <c r="E14">
        <v>478.76</v>
      </c>
      <c r="F14">
        <v>0.75</v>
      </c>
      <c r="G14">
        <v>94.77</v>
      </c>
      <c r="H14">
        <v>300</v>
      </c>
      <c r="I14">
        <v>26.82</v>
      </c>
    </row>
    <row r="15" spans="1:9" x14ac:dyDescent="0.45">
      <c r="A15" t="s">
        <v>747</v>
      </c>
      <c r="B15">
        <v>0.26</v>
      </c>
      <c r="C15">
        <v>1.05</v>
      </c>
      <c r="D15">
        <v>154.37</v>
      </c>
      <c r="E15">
        <v>541.88</v>
      </c>
      <c r="F15">
        <v>0.72</v>
      </c>
      <c r="G15">
        <v>88.3</v>
      </c>
      <c r="H15">
        <v>294</v>
      </c>
      <c r="I15">
        <v>26.86</v>
      </c>
    </row>
    <row r="16" spans="1:9" x14ac:dyDescent="0.45">
      <c r="A16" t="s">
        <v>786</v>
      </c>
      <c r="B16">
        <v>0.23</v>
      </c>
      <c r="C16">
        <v>1.05</v>
      </c>
      <c r="D16">
        <v>135.54</v>
      </c>
      <c r="E16">
        <v>517.41999999999996</v>
      </c>
      <c r="F16">
        <v>0.74</v>
      </c>
      <c r="G16">
        <v>75.02</v>
      </c>
      <c r="H16">
        <v>242</v>
      </c>
      <c r="I16">
        <v>26.87</v>
      </c>
    </row>
    <row r="17" spans="1:9" x14ac:dyDescent="0.45">
      <c r="A17" t="s">
        <v>827</v>
      </c>
      <c r="B17">
        <v>0.27</v>
      </c>
      <c r="C17">
        <v>1.0900000000000001</v>
      </c>
      <c r="D17">
        <v>127.45</v>
      </c>
      <c r="E17">
        <v>492.11</v>
      </c>
      <c r="F17">
        <v>0.74</v>
      </c>
      <c r="G17">
        <v>93.37</v>
      </c>
      <c r="H17">
        <v>300</v>
      </c>
      <c r="I17">
        <v>27.09</v>
      </c>
    </row>
    <row r="18" spans="1:9" x14ac:dyDescent="0.45">
      <c r="A18" t="s">
        <v>863</v>
      </c>
      <c r="B18">
        <v>0.36</v>
      </c>
      <c r="C18">
        <v>0.95</v>
      </c>
      <c r="D18">
        <v>118.75</v>
      </c>
      <c r="E18">
        <v>495.7</v>
      </c>
      <c r="F18">
        <v>0.76</v>
      </c>
      <c r="G18">
        <v>79.53</v>
      </c>
      <c r="H18">
        <v>249</v>
      </c>
      <c r="I18">
        <v>26.68</v>
      </c>
    </row>
    <row r="19" spans="1:9" x14ac:dyDescent="0.45">
      <c r="A19" t="s">
        <v>902</v>
      </c>
      <c r="B19">
        <v>0.32</v>
      </c>
      <c r="C19">
        <v>0.97</v>
      </c>
      <c r="D19">
        <v>121.54</v>
      </c>
      <c r="E19">
        <v>489.87</v>
      </c>
      <c r="F19">
        <v>0.75</v>
      </c>
      <c r="G19">
        <v>82.11</v>
      </c>
      <c r="H19">
        <v>260</v>
      </c>
      <c r="I19">
        <v>26.78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42EA-CB9D-4663-AECB-1E8E7320CAEC}">
  <dimension ref="A1:U25"/>
  <sheetViews>
    <sheetView tabSelected="1" workbookViewId="0">
      <selection activeCell="O2" sqref="O2"/>
    </sheetView>
  </sheetViews>
  <sheetFormatPr defaultRowHeight="19.2" x14ac:dyDescent="0.45"/>
  <sheetData>
    <row r="1" spans="1:21" ht="19.8" thickBot="1" x14ac:dyDescent="0.5">
      <c r="A1" s="1" t="s">
        <v>941</v>
      </c>
      <c r="B1" s="2" t="s">
        <v>942</v>
      </c>
      <c r="C1" s="2" t="s">
        <v>15</v>
      </c>
      <c r="D1" s="2" t="s">
        <v>23</v>
      </c>
      <c r="E1" s="2" t="s">
        <v>943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944</v>
      </c>
      <c r="N1" s="4" t="s">
        <v>943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945</v>
      </c>
      <c r="B2">
        <v>1</v>
      </c>
      <c r="C2" t="s">
        <v>946</v>
      </c>
      <c r="D2">
        <v>0.336204</v>
      </c>
      <c r="E2">
        <v>0.29422020409540051</v>
      </c>
      <c r="F2">
        <v>1.0163040000000001</v>
      </c>
      <c r="G2">
        <v>137.01010099999999</v>
      </c>
      <c r="H2">
        <v>553.09045400000002</v>
      </c>
      <c r="I2">
        <v>0.75228300000000004</v>
      </c>
      <c r="J2">
        <v>56.507438999999998</v>
      </c>
      <c r="K2">
        <v>179</v>
      </c>
      <c r="L2">
        <v>25.34</v>
      </c>
      <c r="M2" s="6">
        <f>AVERAGE(D2:D13)</f>
        <v>0.41570055555555557</v>
      </c>
      <c r="N2" s="6">
        <f t="shared" ref="N2:U2" si="0">AVERAGE(E2:E13)</f>
        <v>0.3496292784945928</v>
      </c>
      <c r="O2" s="6">
        <f t="shared" si="0"/>
        <v>0.93605166666666684</v>
      </c>
      <c r="P2" s="6">
        <f t="shared" si="0"/>
        <v>124.20483477777778</v>
      </c>
      <c r="Q2" s="6">
        <f t="shared" si="0"/>
        <v>518.03735355555557</v>
      </c>
      <c r="R2" s="6">
        <f t="shared" si="0"/>
        <v>0.76035488888888891</v>
      </c>
      <c r="S2" s="6">
        <f t="shared" si="0"/>
        <v>88.128894444444455</v>
      </c>
      <c r="T2" s="6">
        <f t="shared" si="0"/>
        <v>275.88888888888891</v>
      </c>
      <c r="U2" s="6">
        <f t="shared" si="0"/>
        <v>25.688888888888886</v>
      </c>
    </row>
    <row r="3" spans="1:21" x14ac:dyDescent="0.45">
      <c r="A3" s="5" t="s">
        <v>945</v>
      </c>
      <c r="B3">
        <v>1</v>
      </c>
      <c r="C3" t="s">
        <v>947</v>
      </c>
      <c r="D3">
        <v>0.46157500000000001</v>
      </c>
      <c r="E3">
        <v>0.38230750930837448</v>
      </c>
      <c r="F3">
        <v>0.94477599999999995</v>
      </c>
      <c r="G3">
        <v>115.610359</v>
      </c>
      <c r="H3">
        <v>498.522156</v>
      </c>
      <c r="I3">
        <v>0.76809400000000005</v>
      </c>
      <c r="J3">
        <v>96.388458</v>
      </c>
      <c r="K3">
        <v>299</v>
      </c>
      <c r="L3">
        <v>25.33</v>
      </c>
      <c r="M3" s="6">
        <f>AVERAGE(D14:D25)</f>
        <v>0.32024011111111111</v>
      </c>
      <c r="N3" s="6">
        <f t="shared" ref="N3:U3" si="1">AVERAGE(E14:E25)</f>
        <v>0.27898598689318155</v>
      </c>
      <c r="O3" s="6">
        <f t="shared" si="1"/>
        <v>1.0137411111111112</v>
      </c>
      <c r="P3" s="6">
        <f t="shared" si="1"/>
        <v>131.14158366666666</v>
      </c>
      <c r="Q3" s="6">
        <f t="shared" si="1"/>
        <v>505.42847355555557</v>
      </c>
      <c r="R3" s="6">
        <f t="shared" si="1"/>
        <v>0.74106344444444439</v>
      </c>
      <c r="S3" s="6">
        <f t="shared" si="1"/>
        <v>88.353117222222238</v>
      </c>
      <c r="T3" s="6">
        <f t="shared" si="1"/>
        <v>284</v>
      </c>
      <c r="U3" s="6">
        <f t="shared" si="1"/>
        <v>26.710000000000004</v>
      </c>
    </row>
    <row r="4" spans="1:21" x14ac:dyDescent="0.45">
      <c r="A4" s="5" t="s">
        <v>945</v>
      </c>
      <c r="B4">
        <v>1</v>
      </c>
      <c r="C4" t="s">
        <v>948</v>
      </c>
      <c r="D4">
        <v>0.46071400000000001</v>
      </c>
      <c r="E4">
        <v>0.38146549284593878</v>
      </c>
      <c r="F4">
        <v>0.92035400000000001</v>
      </c>
      <c r="G4">
        <v>134.12081900000001</v>
      </c>
      <c r="H4">
        <v>525.72259499999996</v>
      </c>
      <c r="I4">
        <v>0.74488299999999996</v>
      </c>
      <c r="J4">
        <v>87.168571</v>
      </c>
      <c r="K4">
        <v>279</v>
      </c>
      <c r="L4">
        <v>25.49</v>
      </c>
    </row>
    <row r="5" spans="1:21" x14ac:dyDescent="0.45">
      <c r="A5" s="5" t="s">
        <v>945</v>
      </c>
      <c r="B5">
        <v>1</v>
      </c>
      <c r="C5" t="s">
        <v>949</v>
      </c>
      <c r="D5">
        <v>0.39153500000000002</v>
      </c>
      <c r="E5">
        <v>0.33371069065716458</v>
      </c>
      <c r="F5">
        <v>0.97540099999999996</v>
      </c>
      <c r="G5">
        <v>117.353081</v>
      </c>
      <c r="H5">
        <v>498.17275999999998</v>
      </c>
      <c r="I5">
        <v>0.76443300000000003</v>
      </c>
      <c r="J5">
        <v>92.912070999999997</v>
      </c>
      <c r="K5">
        <v>289</v>
      </c>
      <c r="L5">
        <v>25.68</v>
      </c>
    </row>
    <row r="6" spans="1:21" x14ac:dyDescent="0.45">
      <c r="A6" s="5" t="s">
        <v>945</v>
      </c>
      <c r="B6">
        <v>1</v>
      </c>
      <c r="C6" t="s">
        <v>950</v>
      </c>
      <c r="D6">
        <v>0.37562400000000001</v>
      </c>
      <c r="E6">
        <v>0.32240966523507908</v>
      </c>
      <c r="F6">
        <v>0.93864499999999995</v>
      </c>
      <c r="G6">
        <v>118.705276</v>
      </c>
      <c r="H6">
        <v>507.21896400000003</v>
      </c>
      <c r="I6">
        <v>0.76596799999999998</v>
      </c>
      <c r="J6">
        <v>99.480796999999995</v>
      </c>
      <c r="K6">
        <v>309</v>
      </c>
      <c r="L6">
        <v>25.72</v>
      </c>
    </row>
    <row r="7" spans="1:21" x14ac:dyDescent="0.45">
      <c r="A7" s="5" t="s">
        <v>945</v>
      </c>
      <c r="B7">
        <v>1</v>
      </c>
      <c r="C7" t="s">
        <v>951</v>
      </c>
      <c r="D7">
        <v>0.40018399999999998</v>
      </c>
      <c r="E7">
        <v>0.33849894341239117</v>
      </c>
      <c r="F7">
        <v>0.92361800000000005</v>
      </c>
      <c r="G7">
        <v>126.167534</v>
      </c>
      <c r="H7">
        <v>545.34313999999995</v>
      </c>
      <c r="I7">
        <v>0.76864600000000005</v>
      </c>
      <c r="J7">
        <v>75.336181999999994</v>
      </c>
      <c r="K7">
        <v>233</v>
      </c>
      <c r="L7">
        <v>25.78</v>
      </c>
    </row>
    <row r="8" spans="1:21" x14ac:dyDescent="0.45">
      <c r="A8" s="5" t="s">
        <v>945</v>
      </c>
      <c r="B8">
        <v>1</v>
      </c>
      <c r="C8" t="s">
        <v>952</v>
      </c>
      <c r="D8">
        <v>0.45441199999999998</v>
      </c>
      <c r="E8">
        <v>0.37695756568258548</v>
      </c>
      <c r="F8">
        <v>0.91603800000000002</v>
      </c>
      <c r="G8">
        <v>120.755554</v>
      </c>
      <c r="H8">
        <v>506.51907299999999</v>
      </c>
      <c r="I8">
        <v>0.76159699999999997</v>
      </c>
      <c r="J8">
        <v>99.473350999999994</v>
      </c>
      <c r="K8">
        <v>311</v>
      </c>
      <c r="L8">
        <v>25.85</v>
      </c>
    </row>
    <row r="9" spans="1:21" x14ac:dyDescent="0.45">
      <c r="A9" s="5" t="s">
        <v>945</v>
      </c>
      <c r="B9">
        <v>1</v>
      </c>
      <c r="C9" t="s">
        <v>953</v>
      </c>
      <c r="D9">
        <v>0.462418</v>
      </c>
      <c r="E9">
        <v>0.38036709803141211</v>
      </c>
      <c r="F9">
        <v>0.89403200000000005</v>
      </c>
      <c r="G9">
        <v>130.22197</v>
      </c>
      <c r="H9">
        <v>517.18963599999995</v>
      </c>
      <c r="I9">
        <v>0.74821199999999999</v>
      </c>
      <c r="J9">
        <v>99.366439999999997</v>
      </c>
      <c r="K9">
        <v>316</v>
      </c>
      <c r="L9">
        <v>25.91</v>
      </c>
    </row>
    <row r="10" spans="1:21" x14ac:dyDescent="0.45">
      <c r="A10" s="5" t="s">
        <v>945</v>
      </c>
      <c r="B10">
        <v>1</v>
      </c>
      <c r="C10" t="s">
        <v>954</v>
      </c>
      <c r="D10">
        <v>0.39863900000000002</v>
      </c>
      <c r="E10">
        <v>0.33672633718298861</v>
      </c>
      <c r="F10">
        <v>0.89529700000000001</v>
      </c>
      <c r="G10">
        <v>117.898819</v>
      </c>
      <c r="H10">
        <v>510.55740400000002</v>
      </c>
      <c r="I10">
        <v>0.76907800000000004</v>
      </c>
      <c r="J10">
        <v>86.526741000000001</v>
      </c>
      <c r="K10">
        <v>268</v>
      </c>
      <c r="L10">
        <v>26.1</v>
      </c>
    </row>
    <row r="11" spans="1:21" x14ac:dyDescent="0.45">
      <c r="A11" s="5" t="s">
        <v>945</v>
      </c>
      <c r="B11">
        <v>1</v>
      </c>
    </row>
    <row r="12" spans="1:21" x14ac:dyDescent="0.45">
      <c r="A12" s="5" t="s">
        <v>945</v>
      </c>
      <c r="B12">
        <v>1</v>
      </c>
    </row>
    <row r="13" spans="1:21" ht="19.8" thickBot="1" x14ac:dyDescent="0.5">
      <c r="A13" s="7" t="s">
        <v>945</v>
      </c>
      <c r="B13" s="8">
        <v>1</v>
      </c>
    </row>
    <row r="14" spans="1:21" x14ac:dyDescent="0.45">
      <c r="A14" s="5" t="s">
        <v>955</v>
      </c>
      <c r="B14">
        <v>2</v>
      </c>
      <c r="C14" t="s">
        <v>956</v>
      </c>
      <c r="D14">
        <v>0.30906099999999997</v>
      </c>
      <c r="E14">
        <v>0.27211453163217181</v>
      </c>
      <c r="F14">
        <v>1.0509919999999999</v>
      </c>
      <c r="G14">
        <v>146.27230800000001</v>
      </c>
      <c r="H14">
        <v>540.137878</v>
      </c>
      <c r="I14">
        <v>0.72919500000000004</v>
      </c>
      <c r="J14">
        <v>92.170624000000004</v>
      </c>
      <c r="K14">
        <v>301</v>
      </c>
      <c r="L14">
        <v>26.51</v>
      </c>
    </row>
    <row r="15" spans="1:21" x14ac:dyDescent="0.45">
      <c r="A15" s="5" t="s">
        <v>955</v>
      </c>
      <c r="B15">
        <v>2</v>
      </c>
      <c r="C15" t="s">
        <v>957</v>
      </c>
      <c r="D15">
        <v>0.44106200000000001</v>
      </c>
      <c r="E15">
        <v>0.36780247514811748</v>
      </c>
      <c r="F15">
        <v>0.99842900000000001</v>
      </c>
      <c r="G15">
        <v>118.714569</v>
      </c>
      <c r="H15">
        <v>482.50759900000003</v>
      </c>
      <c r="I15">
        <v>0.75396300000000005</v>
      </c>
      <c r="J15">
        <v>95.037650999999997</v>
      </c>
      <c r="K15">
        <v>300</v>
      </c>
      <c r="L15">
        <v>26.34</v>
      </c>
    </row>
    <row r="16" spans="1:21" x14ac:dyDescent="0.45">
      <c r="A16" s="5" t="s">
        <v>955</v>
      </c>
      <c r="B16">
        <v>2</v>
      </c>
      <c r="C16" t="s">
        <v>958</v>
      </c>
      <c r="D16">
        <v>0.41996299999999998</v>
      </c>
      <c r="E16">
        <v>0.35217053014476613</v>
      </c>
      <c r="F16">
        <v>0.96824600000000005</v>
      </c>
      <c r="G16">
        <v>138.985275</v>
      </c>
      <c r="H16">
        <v>510.47946200000001</v>
      </c>
      <c r="I16">
        <v>0.72773600000000005</v>
      </c>
      <c r="J16">
        <v>94.799728000000002</v>
      </c>
      <c r="K16">
        <v>310</v>
      </c>
      <c r="L16">
        <v>26.44</v>
      </c>
    </row>
    <row r="17" spans="1:12" x14ac:dyDescent="0.45">
      <c r="A17" s="5" t="s">
        <v>955</v>
      </c>
      <c r="B17">
        <v>2</v>
      </c>
      <c r="C17" t="s">
        <v>959</v>
      </c>
      <c r="D17">
        <v>0.267148</v>
      </c>
      <c r="E17">
        <v>0.23907384162150519</v>
      </c>
      <c r="F17">
        <v>0.99816400000000005</v>
      </c>
      <c r="G17">
        <v>118.660568</v>
      </c>
      <c r="H17">
        <v>478.75857500000001</v>
      </c>
      <c r="I17">
        <v>0.75214999999999999</v>
      </c>
      <c r="J17">
        <v>94.707329000000001</v>
      </c>
      <c r="K17">
        <v>300</v>
      </c>
      <c r="L17">
        <v>26.82</v>
      </c>
    </row>
    <row r="18" spans="1:12" x14ac:dyDescent="0.45">
      <c r="A18" s="5" t="s">
        <v>955</v>
      </c>
      <c r="B18">
        <v>2</v>
      </c>
      <c r="C18" t="s">
        <v>960</v>
      </c>
      <c r="D18">
        <v>0.25615100000000002</v>
      </c>
      <c r="E18">
        <v>0.23139620536004499</v>
      </c>
      <c r="F18">
        <v>1.048951</v>
      </c>
      <c r="G18">
        <v>154.36935399999999</v>
      </c>
      <c r="H18">
        <v>541.87561000000005</v>
      </c>
      <c r="I18">
        <v>0.71511999999999998</v>
      </c>
      <c r="J18">
        <v>88.284782000000007</v>
      </c>
      <c r="K18">
        <v>294</v>
      </c>
      <c r="L18">
        <v>26.86</v>
      </c>
    </row>
    <row r="19" spans="1:12" x14ac:dyDescent="0.45">
      <c r="A19" s="5" t="s">
        <v>955</v>
      </c>
      <c r="B19">
        <v>2</v>
      </c>
      <c r="C19" t="s">
        <v>961</v>
      </c>
      <c r="D19">
        <v>0.230521</v>
      </c>
      <c r="E19">
        <v>0.2109123357492827</v>
      </c>
      <c r="F19">
        <v>1.0513570000000001</v>
      </c>
      <c r="G19">
        <v>135.53774999999999</v>
      </c>
      <c r="H19">
        <v>517.421021</v>
      </c>
      <c r="I19">
        <v>0.73805100000000001</v>
      </c>
      <c r="J19">
        <v>75.133628999999999</v>
      </c>
      <c r="K19">
        <v>242</v>
      </c>
      <c r="L19">
        <v>26.87</v>
      </c>
    </row>
    <row r="20" spans="1:12" x14ac:dyDescent="0.45">
      <c r="A20" s="5" t="s">
        <v>955</v>
      </c>
      <c r="B20">
        <v>2</v>
      </c>
      <c r="C20" t="s">
        <v>962</v>
      </c>
      <c r="D20">
        <v>0.27087800000000001</v>
      </c>
      <c r="E20">
        <v>0.24304267183917641</v>
      </c>
      <c r="F20">
        <v>1.086158</v>
      </c>
      <c r="G20">
        <v>127.44605300000001</v>
      </c>
      <c r="H20">
        <v>492.11203</v>
      </c>
      <c r="I20">
        <v>0.74102199999999996</v>
      </c>
      <c r="J20">
        <v>93.433494999999994</v>
      </c>
      <c r="K20">
        <v>300</v>
      </c>
      <c r="L20">
        <v>27.09</v>
      </c>
    </row>
    <row r="21" spans="1:12" x14ac:dyDescent="0.45">
      <c r="A21" s="5" t="s">
        <v>955</v>
      </c>
      <c r="B21">
        <v>2</v>
      </c>
      <c r="C21" t="s">
        <v>963</v>
      </c>
      <c r="D21">
        <v>0.36256100000000002</v>
      </c>
      <c r="E21">
        <v>0.3103583483833427</v>
      </c>
      <c r="F21">
        <v>0.95460199999999995</v>
      </c>
      <c r="G21">
        <v>118.752121</v>
      </c>
      <c r="H21">
        <v>495.69903599999998</v>
      </c>
      <c r="I21">
        <v>0.76043499999999997</v>
      </c>
      <c r="J21">
        <v>79.489311000000001</v>
      </c>
      <c r="K21">
        <v>249</v>
      </c>
      <c r="L21">
        <v>26.68</v>
      </c>
    </row>
    <row r="22" spans="1:12" x14ac:dyDescent="0.45">
      <c r="A22" s="5" t="s">
        <v>955</v>
      </c>
      <c r="B22">
        <v>2</v>
      </c>
      <c r="C22" t="s">
        <v>964</v>
      </c>
      <c r="D22">
        <v>0.32481599999999999</v>
      </c>
      <c r="E22">
        <v>0.28400294216022631</v>
      </c>
      <c r="F22">
        <v>0.96677100000000005</v>
      </c>
      <c r="G22">
        <v>121.536255</v>
      </c>
      <c r="H22">
        <v>489.86505099999999</v>
      </c>
      <c r="I22">
        <v>0.75189899999999998</v>
      </c>
      <c r="J22">
        <v>82.121505999999997</v>
      </c>
      <c r="K22">
        <v>260</v>
      </c>
      <c r="L22">
        <v>26.78</v>
      </c>
    </row>
    <row r="23" spans="1:12" x14ac:dyDescent="0.45">
      <c r="A23" s="5" t="s">
        <v>955</v>
      </c>
      <c r="B23">
        <v>2</v>
      </c>
    </row>
    <row r="24" spans="1:12" x14ac:dyDescent="0.45">
      <c r="A24" s="5" t="s">
        <v>955</v>
      </c>
      <c r="B24">
        <v>2</v>
      </c>
    </row>
    <row r="25" spans="1:12" ht="19.8" thickBot="1" x14ac:dyDescent="0.5">
      <c r="A25" s="7" t="s">
        <v>955</v>
      </c>
      <c r="B25" s="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윤정민</cp:lastModifiedBy>
  <dcterms:created xsi:type="dcterms:W3CDTF">2026-08-15T00:52:36Z</dcterms:created>
  <dcterms:modified xsi:type="dcterms:W3CDTF">2026-10-26T04:31:10Z</dcterms:modified>
</cp:coreProperties>
</file>