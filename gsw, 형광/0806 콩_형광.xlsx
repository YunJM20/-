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jbnuackr-my.sharepoint.com/personal/yunjm9802_jbnu_ac_kr/Documents/바탕 화면/연구 과제/밭콩 과제/1차 년도(2026)/gsw, 형광/"/>
    </mc:Choice>
  </mc:AlternateContent>
  <xr:revisionPtr revIDLastSave="25" documentId="13_ncr:1_{AFD88DF4-D8D0-4439-8FF1-B991C0577193}" xr6:coauthVersionLast="47" xr6:coauthVersionMax="47" xr10:uidLastSave="{722A72F1-4537-4F6C-A283-3395AF8D5961}"/>
  <bookViews>
    <workbookView xWindow="-108" yWindow="-108" windowWidth="23256" windowHeight="12456" activeTab="2" xr2:uid="{00000000-000D-0000-FFFF-FFFF00000000}"/>
  </bookViews>
  <sheets>
    <sheet name="dark" sheetId="1" r:id="rId1"/>
    <sheet name="정리" sheetId="2" r:id="rId2"/>
    <sheet name="형광 계산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3" l="1"/>
  <c r="R2" i="3"/>
  <c r="H2" i="3" s="1"/>
  <c r="K2" i="3" s="1"/>
  <c r="F2" i="3" l="1"/>
  <c r="Q2" i="3"/>
  <c r="I2" i="3"/>
  <c r="P2" i="3"/>
  <c r="J2" i="3"/>
  <c r="L2" i="3" s="1"/>
  <c r="N2" i="3" l="1"/>
  <c r="O2" i="3" s="1"/>
</calcChain>
</file>

<file path=xl/sharedStrings.xml><?xml version="1.0" encoding="utf-8"?>
<sst xmlns="http://schemas.openxmlformats.org/spreadsheetml/2006/main" count="1327" uniqueCount="475">
  <si>
    <t>SYS</t>
  </si>
  <si>
    <t>USERDEF</t>
  </si>
  <si>
    <t>PORO</t>
  </si>
  <si>
    <t>FLUORO</t>
  </si>
  <si>
    <t>SENSOR</t>
  </si>
  <si>
    <t>MATCH</t>
  </si>
  <si>
    <t>STABILITY</t>
  </si>
  <si>
    <t>P_CONFIG</t>
  </si>
  <si>
    <t>FL_CONFIG</t>
  </si>
  <si>
    <t>SENSOR_V</t>
  </si>
  <si>
    <t>USERCAL</t>
  </si>
  <si>
    <t>META</t>
  </si>
  <si>
    <t>Obs#</t>
  </si>
  <si>
    <t>Time</t>
  </si>
  <si>
    <t>Date</t>
  </si>
  <si>
    <t>configName</t>
  </si>
  <si>
    <t>configAuthor</t>
  </si>
  <si>
    <t>remark</t>
  </si>
  <si>
    <t>Observation</t>
  </si>
  <si>
    <t/>
  </si>
  <si>
    <t>gsw</t>
  </si>
  <si>
    <t>gbw</t>
  </si>
  <si>
    <t>gtw</t>
  </si>
  <si>
    <t>E_apparent</t>
  </si>
  <si>
    <t>VPcham</t>
  </si>
  <si>
    <t>VPref</t>
  </si>
  <si>
    <t>VPleaf</t>
  </si>
  <si>
    <t>VPDleaf</t>
  </si>
  <si>
    <t>H2O_r</t>
  </si>
  <si>
    <t>H2O_s</t>
  </si>
  <si>
    <t>H2O_leaf</t>
  </si>
  <si>
    <t>leaf_area</t>
  </si>
  <si>
    <t>leaf_width</t>
  </si>
  <si>
    <t>flashID</t>
  </si>
  <si>
    <t>Fo</t>
  </si>
  <si>
    <t>Fm</t>
  </si>
  <si>
    <t>Fv/Fm</t>
  </si>
  <si>
    <t>Fs</t>
  </si>
  <si>
    <t>Fm'</t>
  </si>
  <si>
    <t>PhiPS2</t>
  </si>
  <si>
    <t>PS2/1</t>
  </si>
  <si>
    <t>abs</t>
  </si>
  <si>
    <t>ETR</t>
  </si>
  <si>
    <t>TRANS</t>
  </si>
  <si>
    <t>rh_s</t>
  </si>
  <si>
    <t>rh_r</t>
  </si>
  <si>
    <t>Tref</t>
  </si>
  <si>
    <t>Tmeas</t>
  </si>
  <si>
    <t>Tleaf</t>
  </si>
  <si>
    <t>P_atm</t>
  </si>
  <si>
    <t>flow</t>
  </si>
  <si>
    <t>flow_s</t>
  </si>
  <si>
    <t>leak_pct</t>
  </si>
  <si>
    <t>Qamb</t>
  </si>
  <si>
    <t>batt</t>
  </si>
  <si>
    <t>match_time</t>
  </si>
  <si>
    <t>match_date</t>
  </si>
  <si>
    <t>rh_adj</t>
  </si>
  <si>
    <t>type</t>
  </si>
  <si>
    <t>gsw1sec</t>
  </si>
  <si>
    <t>gsw2sec</t>
  </si>
  <si>
    <t>gsw4sec</t>
  </si>
  <si>
    <t>flr1sec</t>
  </si>
  <si>
    <t>flr2sec</t>
  </si>
  <si>
    <t>flr4sec</t>
  </si>
  <si>
    <t>auto</t>
  </si>
  <si>
    <t>flow_set</t>
  </si>
  <si>
    <t>gsw_limit</t>
  </si>
  <si>
    <t>gsw_period</t>
  </si>
  <si>
    <t>aw</t>
  </si>
  <si>
    <t>Bla</t>
  </si>
  <si>
    <t>Blb</t>
  </si>
  <si>
    <t>Blc</t>
  </si>
  <si>
    <t>Bld</t>
  </si>
  <si>
    <t>Ble</t>
  </si>
  <si>
    <t>chamber</t>
  </si>
  <si>
    <t>dark</t>
  </si>
  <si>
    <t>flash_type</t>
  </si>
  <si>
    <t>flash_intensity</t>
  </si>
  <si>
    <t>modrate</t>
  </si>
  <si>
    <t>flr_limit</t>
  </si>
  <si>
    <t>flr_period</t>
  </si>
  <si>
    <t>P1_dur</t>
  </si>
  <si>
    <t>P2_dur</t>
  </si>
  <si>
    <t>P3_dur</t>
  </si>
  <si>
    <t>P1_Fmax</t>
  </si>
  <si>
    <t>P2_ramp</t>
  </si>
  <si>
    <t>P2_slp</t>
  </si>
  <si>
    <t>P3_Fmax</t>
  </si>
  <si>
    <t>P3_Pred</t>
  </si>
  <si>
    <t>P3_DeltaF</t>
  </si>
  <si>
    <t>v_humA</t>
  </si>
  <si>
    <t>v_humB</t>
  </si>
  <si>
    <t>v_flowIn</t>
  </si>
  <si>
    <t>v_flowOut</t>
  </si>
  <si>
    <t>v_temp</t>
  </si>
  <si>
    <t>v_irt</t>
  </si>
  <si>
    <t>v_pres</t>
  </si>
  <si>
    <t>v_par</t>
  </si>
  <si>
    <t>v_F</t>
  </si>
  <si>
    <t>i_LED</t>
  </si>
  <si>
    <t>b_rhr</t>
  </si>
  <si>
    <t>m_rhr</t>
  </si>
  <si>
    <t>span_rhr</t>
  </si>
  <si>
    <t>b_rhs</t>
  </si>
  <si>
    <t>m_rhs</t>
  </si>
  <si>
    <t>span_rhs</t>
  </si>
  <si>
    <t>z_flowIn</t>
  </si>
  <si>
    <t>z_flowOut</t>
  </si>
  <si>
    <t>z_quantum</t>
  </si>
  <si>
    <t>z_flr</t>
  </si>
  <si>
    <t>flashId</t>
  </si>
  <si>
    <t>lciSerNum</t>
  </si>
  <si>
    <t>lcpSerNum</t>
  </si>
  <si>
    <t>lcfSerNum</t>
  </si>
  <si>
    <t>lcrhSerNum</t>
  </si>
  <si>
    <t>version</t>
  </si>
  <si>
    <t>configUpdatedAt</t>
  </si>
  <si>
    <t>HHMMSS</t>
  </si>
  <si>
    <t>YYYYMMDD</t>
  </si>
  <si>
    <t>mol+1m-2s-1</t>
  </si>
  <si>
    <t>mmol+1m-2s-1</t>
  </si>
  <si>
    <t>kPa</t>
  </si>
  <si>
    <t>mmol+1mol-1</t>
  </si>
  <si>
    <t>cm+2</t>
  </si>
  <si>
    <t>mm</t>
  </si>
  <si>
    <t>umol+1m-2s-1</t>
  </si>
  <si>
    <t>%</t>
  </si>
  <si>
    <t>C</t>
  </si>
  <si>
    <t>umol+1sec-1</t>
  </si>
  <si>
    <t>V</t>
  </si>
  <si>
    <t>(umol+1m-2s-1)s-1</t>
  </si>
  <si>
    <t>s</t>
  </si>
  <si>
    <t>Hz</t>
  </si>
  <si>
    <t>s-1</t>
  </si>
  <si>
    <t>ms</t>
  </si>
  <si>
    <t>A</t>
  </si>
  <si>
    <t>1</t>
  </si>
  <si>
    <t>2026-08-06</t>
  </si>
  <si>
    <t>Moon</t>
  </si>
  <si>
    <t>001</t>
  </si>
  <si>
    <t>7.500000</t>
  </si>
  <si>
    <t>0.000000</t>
  </si>
  <si>
    <t>0.5</t>
  </si>
  <si>
    <t>0.84</t>
  </si>
  <si>
    <t>1.000000</t>
  </si>
  <si>
    <t>156.1</t>
  </si>
  <si>
    <t>-0</t>
  </si>
  <si>
    <t>0.006</t>
  </si>
  <si>
    <t>-9999.000</t>
  </si>
  <si>
    <t>150</t>
  </si>
  <si>
    <t>-9999.000000</t>
  </si>
  <si>
    <t>0.058905</t>
  </si>
  <si>
    <t>0.029230</t>
  </si>
  <si>
    <t>-0.000068</t>
  </si>
  <si>
    <t>standard</t>
  </si>
  <si>
    <t>rectangular</t>
  </si>
  <si>
    <t>6000</t>
  </si>
  <si>
    <t>5</t>
  </si>
  <si>
    <t>2.000000</t>
  </si>
  <si>
    <t>55537</t>
  </si>
  <si>
    <t>-9999</t>
  </si>
  <si>
    <t>0.000230</t>
  </si>
  <si>
    <t>2.415626</t>
  </si>
  <si>
    <t>-0.000027</t>
  </si>
  <si>
    <t>2.361415</t>
  </si>
  <si>
    <t>-0.000011</t>
  </si>
  <si>
    <t>0.600352</t>
  </si>
  <si>
    <t>0.601307</t>
  </si>
  <si>
    <t>0.107059</t>
  </si>
  <si>
    <t>PFA-01006</t>
  </si>
  <si>
    <t>PSA-01011</t>
  </si>
  <si>
    <t>PSF-01106</t>
  </si>
  <si>
    <t>RHS-01988</t>
  </si>
  <si>
    <t>3.0.0</t>
  </si>
  <si>
    <t>2025-07-19T10:24:14.301Z</t>
  </si>
  <si>
    <t>2</t>
  </si>
  <si>
    <t>002</t>
  </si>
  <si>
    <t>155.9</t>
  </si>
  <si>
    <t>0.001</t>
  </si>
  <si>
    <t>0.000231</t>
  </si>
  <si>
    <t>3</t>
  </si>
  <si>
    <t>003</t>
  </si>
  <si>
    <t>156.0</t>
  </si>
  <si>
    <t>155.2</t>
  </si>
  <si>
    <t>6</t>
  </si>
  <si>
    <t>-0.002</t>
  </si>
  <si>
    <t>-0.001</t>
  </si>
  <si>
    <t>0.002</t>
  </si>
  <si>
    <t>0.008</t>
  </si>
  <si>
    <t>156.2</t>
  </si>
  <si>
    <t>4</t>
  </si>
  <si>
    <t>004</t>
  </si>
  <si>
    <t>005</t>
  </si>
  <si>
    <t>006</t>
  </si>
  <si>
    <t>7</t>
  </si>
  <si>
    <t>007</t>
  </si>
  <si>
    <t>8</t>
  </si>
  <si>
    <t>008</t>
  </si>
  <si>
    <t>9</t>
  </si>
  <si>
    <t>009</t>
  </si>
  <si>
    <t>0.000226</t>
  </si>
  <si>
    <t>10</t>
  </si>
  <si>
    <t>010</t>
  </si>
  <si>
    <t>0.000225</t>
  </si>
  <si>
    <t>0.6</t>
  </si>
  <si>
    <t>0.329</t>
  </si>
  <si>
    <t>0.107020</t>
  </si>
  <si>
    <t>0.000233</t>
  </si>
  <si>
    <t>100.16</t>
  </si>
  <si>
    <t>0.107023</t>
  </si>
  <si>
    <t>100.17</t>
  </si>
  <si>
    <t>0.107015</t>
  </si>
  <si>
    <t>0.107027</t>
  </si>
  <si>
    <t>0.000234</t>
  </si>
  <si>
    <t>3.906</t>
  </si>
  <si>
    <t>0.107022</t>
  </si>
  <si>
    <t>0.000232</t>
  </si>
  <si>
    <t>20:05:16</t>
  </si>
  <si>
    <t>3.023471</t>
  </si>
  <si>
    <t>3.033681</t>
  </si>
  <si>
    <t>30.286915</t>
  </si>
  <si>
    <t>30.184977</t>
  </si>
  <si>
    <t>PSF-01106_20260806200516_899</t>
  </si>
  <si>
    <t>90.141174</t>
  </si>
  <si>
    <t>536.472900</t>
  </si>
  <si>
    <t>0.831974</t>
  </si>
  <si>
    <t>66.90</t>
  </si>
  <si>
    <t>67.12</t>
  </si>
  <si>
    <t>31.03</t>
  </si>
  <si>
    <t>30.85</t>
  </si>
  <si>
    <t>20:05:03</t>
  </si>
  <si>
    <t>0.30</t>
  </si>
  <si>
    <t>-0.000</t>
  </si>
  <si>
    <t>-0.101</t>
  </si>
  <si>
    <t>0.471</t>
  </si>
  <si>
    <t>2.520230</t>
  </si>
  <si>
    <t>2.458113</t>
  </si>
  <si>
    <t>1.671349</t>
  </si>
  <si>
    <t>0.942021</t>
  </si>
  <si>
    <t>0.214748</t>
  </si>
  <si>
    <t>-0.001473</t>
  </si>
  <si>
    <t>0.228909</t>
  </si>
  <si>
    <t>20:05:33</t>
  </si>
  <si>
    <t>3.060528</t>
  </si>
  <si>
    <t>3.066721</t>
  </si>
  <si>
    <t>30.616468</t>
  </si>
  <si>
    <t>30.554640</t>
  </si>
  <si>
    <t>PSF-01106_20260806200533_d51</t>
  </si>
  <si>
    <t>88.576553</t>
  </si>
  <si>
    <t>536.639587</t>
  </si>
  <si>
    <t>0.834942</t>
  </si>
  <si>
    <t>67.55</t>
  </si>
  <si>
    <t>67.68</t>
  </si>
  <si>
    <t>31.08</t>
  </si>
  <si>
    <t>30.86</t>
  </si>
  <si>
    <t>3.904</t>
  </si>
  <si>
    <t>0.100</t>
  </si>
  <si>
    <t>0.243</t>
  </si>
  <si>
    <t>2.520991</t>
  </si>
  <si>
    <t>2.458929</t>
  </si>
  <si>
    <t>1.670953</t>
  </si>
  <si>
    <t>0.941951</t>
  </si>
  <si>
    <t>0.214379</t>
  </si>
  <si>
    <t>-0.001829</t>
  </si>
  <si>
    <t>0.231686</t>
  </si>
  <si>
    <t>20:05:52</t>
  </si>
  <si>
    <t>3.080711</t>
  </si>
  <si>
    <t>3.088181</t>
  </si>
  <si>
    <t>30.829859</t>
  </si>
  <si>
    <t>30.755283</t>
  </si>
  <si>
    <t>PSF-01106_20260806200552_0b4</t>
  </si>
  <si>
    <t>97.626328</t>
  </si>
  <si>
    <t>552.844055</t>
  </si>
  <si>
    <t>0.823411</t>
  </si>
  <si>
    <t>67.80</t>
  </si>
  <si>
    <t>67.97</t>
  </si>
  <si>
    <t>31.13</t>
  </si>
  <si>
    <t>30.92</t>
  </si>
  <si>
    <t>154.8</t>
  </si>
  <si>
    <t>0.8</t>
  </si>
  <si>
    <t>3.903</t>
  </si>
  <si>
    <t>0.007</t>
  </si>
  <si>
    <t>0.087</t>
  </si>
  <si>
    <t>0.648</t>
  </si>
  <si>
    <t>2.521367</t>
  </si>
  <si>
    <t>2.459241</t>
  </si>
  <si>
    <t>1.670519</t>
  </si>
  <si>
    <t>0.941031</t>
  </si>
  <si>
    <t>0.213963</t>
  </si>
  <si>
    <t>-0.001741</t>
  </si>
  <si>
    <t>0.234899</t>
  </si>
  <si>
    <t>0.107026</t>
  </si>
  <si>
    <t>20:06:17</t>
  </si>
  <si>
    <t>3.096480</t>
  </si>
  <si>
    <t>3.104694</t>
  </si>
  <si>
    <t>30.995720</t>
  </si>
  <si>
    <t>30.913717</t>
  </si>
  <si>
    <t>PSF-01106_20260806200617_b81</t>
  </si>
  <si>
    <t>84.204193</t>
  </si>
  <si>
    <t>533.530701</t>
  </si>
  <si>
    <t>0.842176</t>
  </si>
  <si>
    <t>67.90</t>
  </si>
  <si>
    <t>68.08</t>
  </si>
  <si>
    <t>31.19</t>
  </si>
  <si>
    <t>154.1</t>
  </si>
  <si>
    <t>1.3</t>
  </si>
  <si>
    <t>3.877</t>
  </si>
  <si>
    <t>0.012</t>
  </si>
  <si>
    <t>0.279</t>
  </si>
  <si>
    <t>0.380</t>
  </si>
  <si>
    <t>2.521515</t>
  </si>
  <si>
    <t>2.459358</t>
  </si>
  <si>
    <t>1.671592</t>
  </si>
  <si>
    <t>0.939128</t>
  </si>
  <si>
    <t>0.213430</t>
  </si>
  <si>
    <t>-0.002551</t>
  </si>
  <si>
    <t>0.238748</t>
  </si>
  <si>
    <t>20:06:34</t>
  </si>
  <si>
    <t>3.124233</t>
  </si>
  <si>
    <t>3.130419</t>
  </si>
  <si>
    <t>31.250671</t>
  </si>
  <si>
    <t>31.188925</t>
  </si>
  <si>
    <t>PSF-01106_20260806200634_0c6</t>
  </si>
  <si>
    <t>86.667892</t>
  </si>
  <si>
    <t>531.713623</t>
  </si>
  <si>
    <t>0.837003</t>
  </si>
  <si>
    <t>68.33</t>
  </si>
  <si>
    <t>68.47</t>
  </si>
  <si>
    <t>31.24</t>
  </si>
  <si>
    <t>155.0</t>
  </si>
  <si>
    <t>0.7</t>
  </si>
  <si>
    <t>3.901</t>
  </si>
  <si>
    <t>0.004</t>
  </si>
  <si>
    <t>0.173</t>
  </si>
  <si>
    <t>2.522030</t>
  </si>
  <si>
    <t>2.459891</t>
  </si>
  <si>
    <t>1.670031</t>
  </si>
  <si>
    <t>0.941429</t>
  </si>
  <si>
    <t>0.213041</t>
  </si>
  <si>
    <t>-0.001737</t>
  </si>
  <si>
    <t>0.241267</t>
  </si>
  <si>
    <t>0.000229</t>
  </si>
  <si>
    <t>20:06:57</t>
  </si>
  <si>
    <t>3.117490</t>
  </si>
  <si>
    <t>3.127060</t>
  </si>
  <si>
    <t>31.214573</t>
  </si>
  <si>
    <t>31.119043</t>
  </si>
  <si>
    <t>PSF-01106_20260806200657_d1a</t>
  </si>
  <si>
    <t>91.202614</t>
  </si>
  <si>
    <t>539.171570</t>
  </si>
  <si>
    <t>0.830847</t>
  </si>
  <si>
    <t>67.94</t>
  </si>
  <si>
    <t>68.15</t>
  </si>
  <si>
    <t>31.30</t>
  </si>
  <si>
    <t>31.01</t>
  </si>
  <si>
    <t>100.18</t>
  </si>
  <si>
    <t>154.0</t>
  </si>
  <si>
    <t>1.2</t>
  </si>
  <si>
    <t>3.876</t>
  </si>
  <si>
    <t>0.157</t>
  </si>
  <si>
    <t>0.434</t>
  </si>
  <si>
    <t>2.521579</t>
  </si>
  <si>
    <t>2.459382</t>
  </si>
  <si>
    <t>1.669265</t>
  </si>
  <si>
    <t>0.938840</t>
  </si>
  <si>
    <t>0.212511</t>
  </si>
  <si>
    <t>-0.002766</t>
  </si>
  <si>
    <t>0.244601</t>
  </si>
  <si>
    <t>0.107021</t>
  </si>
  <si>
    <t>20:07:13</t>
  </si>
  <si>
    <t>3.106385</t>
  </si>
  <si>
    <t>3.114148</t>
  </si>
  <si>
    <t>31.085840</t>
  </si>
  <si>
    <t>31.008345</t>
  </si>
  <si>
    <t>PSF-01106_20260806200713_df0</t>
  </si>
  <si>
    <t>85.278152</t>
  </si>
  <si>
    <t>529.677979</t>
  </si>
  <si>
    <t>0.839000</t>
  </si>
  <si>
    <t>67.52</t>
  </si>
  <si>
    <t>67.69</t>
  </si>
  <si>
    <t>31.34</t>
  </si>
  <si>
    <t>31.12</t>
  </si>
  <si>
    <t>3.899</t>
  </si>
  <si>
    <t>0.415</t>
  </si>
  <si>
    <t>2.520941</t>
  </si>
  <si>
    <t>2.458844</t>
  </si>
  <si>
    <t>1.669067</t>
  </si>
  <si>
    <t>0.940904</t>
  </si>
  <si>
    <t>0.212128</t>
  </si>
  <si>
    <t>-0.002003</t>
  </si>
  <si>
    <t>0.246844</t>
  </si>
  <si>
    <t>0.107017</t>
  </si>
  <si>
    <t>20:07:30</t>
  </si>
  <si>
    <t>3.125806</t>
  </si>
  <si>
    <t>3.133316</t>
  </si>
  <si>
    <t>31.278193</t>
  </si>
  <si>
    <t>31.203218</t>
  </si>
  <si>
    <t>PSF-01106_20260806200730_f42</t>
  </si>
  <si>
    <t>97.165703</t>
  </si>
  <si>
    <t>521.109558</t>
  </si>
  <si>
    <t>0.813541</t>
  </si>
  <si>
    <t>67.75</t>
  </si>
  <si>
    <t>67.91</t>
  </si>
  <si>
    <t>31.39</t>
  </si>
  <si>
    <t>30.98</t>
  </si>
  <si>
    <t>0.024</t>
  </si>
  <si>
    <t>0.635</t>
  </si>
  <si>
    <t>2.521239</t>
  </si>
  <si>
    <t>2.459127</t>
  </si>
  <si>
    <t>1.670958</t>
  </si>
  <si>
    <t>0.941046</t>
  </si>
  <si>
    <t>0.211715</t>
  </si>
  <si>
    <t>-0.004335</t>
  </si>
  <si>
    <t>0.249259</t>
  </si>
  <si>
    <t>0.107019</t>
  </si>
  <si>
    <t>20:07:50</t>
  </si>
  <si>
    <t>3.134593</t>
  </si>
  <si>
    <t>3.142407</t>
  </si>
  <si>
    <t>31.367771</t>
  </si>
  <si>
    <t>31.289768</t>
  </si>
  <si>
    <t>PSF-01106_20260806200750_8ac</t>
  </si>
  <si>
    <t>94.137314</t>
  </si>
  <si>
    <t>539.524536</t>
  </si>
  <si>
    <t>0.825518</t>
  </si>
  <si>
    <t>67.73</t>
  </si>
  <si>
    <t>67.89</t>
  </si>
  <si>
    <t>31.45</t>
  </si>
  <si>
    <t>30.91</t>
  </si>
  <si>
    <t>0.325</t>
  </si>
  <si>
    <t>0.681</t>
  </si>
  <si>
    <t>2.521202</t>
  </si>
  <si>
    <t>2.459086</t>
  </si>
  <si>
    <t>1.669482</t>
  </si>
  <si>
    <t>0.940924</t>
  </si>
  <si>
    <t>0.211252</t>
  </si>
  <si>
    <t>-0.005890</t>
  </si>
  <si>
    <t>0.252047</t>
  </si>
  <si>
    <t>0.107018</t>
  </si>
  <si>
    <t>20:08:06</t>
  </si>
  <si>
    <t>3.142298</t>
  </si>
  <si>
    <t>3.150170</t>
  </si>
  <si>
    <t>31.444162</t>
  </si>
  <si>
    <t>31.365585</t>
  </si>
  <si>
    <t>PSF-01106_20260806200806_734</t>
  </si>
  <si>
    <t>99.715233</t>
  </si>
  <si>
    <t>546.710754</t>
  </si>
  <si>
    <t>0.817609</t>
  </si>
  <si>
    <t>31.49</t>
  </si>
  <si>
    <t>154.9</t>
  </si>
  <si>
    <t>3.898</t>
  </si>
  <si>
    <t>0.000</t>
  </si>
  <si>
    <t>0.332</t>
  </si>
  <si>
    <t>0.678</t>
  </si>
  <si>
    <t>2.521203</t>
  </si>
  <si>
    <t>1.668798</t>
  </si>
  <si>
    <t>0.941235</t>
  </si>
  <si>
    <t>0.210906</t>
  </si>
  <si>
    <t>-0.005194</t>
  </si>
  <si>
    <t>0.254168</t>
  </si>
  <si>
    <t>반복</t>
    <phoneticPr fontId="1" type="noConversion"/>
  </si>
  <si>
    <t>NPQ</t>
    <phoneticPr fontId="5" type="noConversion"/>
  </si>
  <si>
    <t>Fo'</t>
  </si>
  <si>
    <t>Fv'/Fm'</t>
  </si>
  <si>
    <t>qP</t>
  </si>
  <si>
    <t>qN</t>
  </si>
  <si>
    <t>qL</t>
  </si>
  <si>
    <t>PhiNO</t>
    <phoneticPr fontId="5" type="noConversion"/>
  </si>
  <si>
    <t>PhiNPQ</t>
    <phoneticPr fontId="5" type="noConversion"/>
  </si>
  <si>
    <t>qP_Fo</t>
  </si>
  <si>
    <t>qN_Fo</t>
  </si>
  <si>
    <t>alt._Fo'</t>
    <phoneticPr fontId="5" type="noConversion"/>
  </si>
  <si>
    <t>Fm/Fo-1</t>
    <phoneticPr fontId="5" type="noConversion"/>
  </si>
  <si>
    <t>Fmin</t>
    <phoneticPr fontId="5" type="noConversion"/>
  </si>
  <si>
    <t>PPFD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</si>
</sst>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</cellStyleXfs>
  <cellXfs count="14">
    <xf numFmtId="0" fontId="0" fillId="0" borderId="0" xfId="0"/>
    <xf numFmtId="0" fontId="4" fillId="4" borderId="1" xfId="3" applyBorder="1">
      <alignment vertical="center"/>
    </xf>
    <xf numFmtId="0" fontId="2" fillId="2" borderId="1" xfId="1" applyBorder="1" applyAlignment="1"/>
    <xf numFmtId="0" fontId="2" fillId="2" borderId="2" xfId="1" applyBorder="1" applyAlignment="1"/>
    <xf numFmtId="0" fontId="2" fillId="2" borderId="3" xfId="1" applyBorder="1" applyAlignment="1"/>
    <xf numFmtId="0" fontId="0" fillId="5" borderId="1" xfId="0" applyFill="1" applyBorder="1"/>
    <xf numFmtId="2" fontId="2" fillId="2" borderId="0" xfId="1" applyNumberFormat="1">
      <alignment vertical="center"/>
    </xf>
    <xf numFmtId="2" fontId="2" fillId="2" borderId="0" xfId="1" applyNumberFormat="1" applyAlignment="1"/>
    <xf numFmtId="2" fontId="2" fillId="2" borderId="4" xfId="1" applyNumberFormat="1" applyBorder="1" applyAlignment="1"/>
    <xf numFmtId="2" fontId="0" fillId="0" borderId="0" xfId="0" applyNumberFormat="1"/>
    <xf numFmtId="2" fontId="0" fillId="0" borderId="0" xfId="0" applyNumberFormat="1" applyAlignment="1">
      <alignment vertical="center"/>
    </xf>
    <xf numFmtId="1" fontId="0" fillId="0" borderId="0" xfId="0" applyNumberFormat="1" applyAlignment="1">
      <alignment vertical="center"/>
    </xf>
    <xf numFmtId="0" fontId="3" fillId="0" borderId="0" xfId="2" applyFill="1" applyAlignment="1"/>
    <xf numFmtId="0" fontId="0" fillId="0" borderId="0" xfId="0" applyFill="1"/>
  </cellXfs>
  <cellStyles count="4">
    <cellStyle name="나쁨" xfId="2" builtinId="27"/>
    <cellStyle name="보통" xfId="3" builtinId="28"/>
    <cellStyle name="좋음" xfId="1" builtinId="2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13"/>
  <sheetViews>
    <sheetView topLeftCell="L1" workbookViewId="0">
      <selection activeCell="AA8" sqref="AA8"/>
    </sheetView>
  </sheetViews>
  <sheetFormatPr defaultRowHeight="19.2" x14ac:dyDescent="0.45"/>
  <sheetData>
    <row r="1" spans="1:107" x14ac:dyDescent="0.4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1</v>
      </c>
      <c r="G1" t="s">
        <v>1</v>
      </c>
      <c r="H1" t="s">
        <v>1</v>
      </c>
      <c r="I1" t="s">
        <v>1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3</v>
      </c>
      <c r="X1" t="s">
        <v>3</v>
      </c>
      <c r="Y1" t="s">
        <v>3</v>
      </c>
      <c r="Z1" t="s">
        <v>3</v>
      </c>
      <c r="AA1" t="s">
        <v>3</v>
      </c>
      <c r="AB1" t="s">
        <v>3</v>
      </c>
      <c r="AC1" t="s">
        <v>3</v>
      </c>
      <c r="AD1" t="s">
        <v>3</v>
      </c>
      <c r="AE1" t="s">
        <v>3</v>
      </c>
      <c r="AF1" t="s">
        <v>3</v>
      </c>
      <c r="AG1" t="s">
        <v>3</v>
      </c>
      <c r="AH1" t="s">
        <v>4</v>
      </c>
      <c r="AI1" t="s">
        <v>4</v>
      </c>
      <c r="AJ1" t="s">
        <v>4</v>
      </c>
      <c r="AK1" t="s">
        <v>4</v>
      </c>
      <c r="AL1" t="s">
        <v>4</v>
      </c>
      <c r="AM1" t="s">
        <v>4</v>
      </c>
      <c r="AN1" t="s">
        <v>4</v>
      </c>
      <c r="AO1" t="s">
        <v>4</v>
      </c>
      <c r="AP1" t="s">
        <v>4</v>
      </c>
      <c r="AQ1" t="s">
        <v>4</v>
      </c>
      <c r="AR1" t="s">
        <v>4</v>
      </c>
      <c r="AS1" t="s">
        <v>5</v>
      </c>
      <c r="AT1" t="s">
        <v>5</v>
      </c>
      <c r="AU1" t="s">
        <v>5</v>
      </c>
      <c r="AV1" t="s">
        <v>5</v>
      </c>
      <c r="AW1" t="s">
        <v>6</v>
      </c>
      <c r="AX1" t="s">
        <v>6</v>
      </c>
      <c r="AY1" t="s">
        <v>6</v>
      </c>
      <c r="AZ1" t="s">
        <v>6</v>
      </c>
      <c r="BA1" t="s">
        <v>6</v>
      </c>
      <c r="BB1" t="s">
        <v>6</v>
      </c>
      <c r="BC1" t="s">
        <v>7</v>
      </c>
      <c r="BD1" t="s">
        <v>7</v>
      </c>
      <c r="BE1" t="s">
        <v>7</v>
      </c>
      <c r="BF1" t="s">
        <v>7</v>
      </c>
      <c r="BG1" t="s">
        <v>7</v>
      </c>
      <c r="BH1" t="s">
        <v>7</v>
      </c>
      <c r="BI1" t="s">
        <v>7</v>
      </c>
      <c r="BJ1" t="s">
        <v>7</v>
      </c>
      <c r="BK1" t="s">
        <v>7</v>
      </c>
      <c r="BL1" t="s">
        <v>7</v>
      </c>
      <c r="BM1" t="s">
        <v>7</v>
      </c>
      <c r="BN1" t="s">
        <v>8</v>
      </c>
      <c r="BO1" t="s">
        <v>8</v>
      </c>
      <c r="BP1" t="s">
        <v>8</v>
      </c>
      <c r="BQ1" t="s">
        <v>8</v>
      </c>
      <c r="BR1" t="s">
        <v>8</v>
      </c>
      <c r="BS1" t="s">
        <v>8</v>
      </c>
      <c r="BT1" t="s">
        <v>8</v>
      </c>
      <c r="BU1" t="s">
        <v>8</v>
      </c>
      <c r="BV1" t="s">
        <v>8</v>
      </c>
      <c r="BW1" t="s">
        <v>8</v>
      </c>
      <c r="BX1" t="s">
        <v>8</v>
      </c>
      <c r="BY1" t="s">
        <v>8</v>
      </c>
      <c r="BZ1" t="s">
        <v>8</v>
      </c>
      <c r="CA1" t="s">
        <v>8</v>
      </c>
      <c r="CB1" t="s">
        <v>8</v>
      </c>
      <c r="CC1" t="s">
        <v>9</v>
      </c>
      <c r="CD1" t="s">
        <v>9</v>
      </c>
      <c r="CE1" t="s">
        <v>9</v>
      </c>
      <c r="CF1" t="s">
        <v>9</v>
      </c>
      <c r="CG1" t="s">
        <v>9</v>
      </c>
      <c r="CH1" t="s">
        <v>9</v>
      </c>
      <c r="CI1" t="s">
        <v>9</v>
      </c>
      <c r="CJ1" t="s">
        <v>9</v>
      </c>
      <c r="CK1" t="s">
        <v>9</v>
      </c>
      <c r="CL1" t="s">
        <v>9</v>
      </c>
      <c r="CM1" t="s">
        <v>10</v>
      </c>
      <c r="CN1" t="s">
        <v>10</v>
      </c>
      <c r="CO1" t="s">
        <v>10</v>
      </c>
      <c r="CP1" t="s">
        <v>10</v>
      </c>
      <c r="CQ1" t="s">
        <v>10</v>
      </c>
      <c r="CR1" t="s">
        <v>10</v>
      </c>
      <c r="CS1" t="s">
        <v>10</v>
      </c>
      <c r="CT1" t="s">
        <v>10</v>
      </c>
      <c r="CU1" t="s">
        <v>10</v>
      </c>
      <c r="CV1" t="s">
        <v>10</v>
      </c>
      <c r="CW1" t="s">
        <v>11</v>
      </c>
      <c r="CX1" t="s">
        <v>11</v>
      </c>
      <c r="CY1" t="s">
        <v>11</v>
      </c>
      <c r="CZ1" t="s">
        <v>11</v>
      </c>
      <c r="DA1" t="s">
        <v>11</v>
      </c>
      <c r="DB1" t="s">
        <v>11</v>
      </c>
      <c r="DC1" t="s">
        <v>11</v>
      </c>
    </row>
    <row r="2" spans="1:107" x14ac:dyDescent="0.4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 t="s">
        <v>24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  <c r="T2" t="s">
        <v>30</v>
      </c>
      <c r="U2" t="s">
        <v>31</v>
      </c>
      <c r="V2" t="s">
        <v>32</v>
      </c>
      <c r="W2" t="s">
        <v>33</v>
      </c>
      <c r="X2" t="s">
        <v>34</v>
      </c>
      <c r="Y2" t="s">
        <v>35</v>
      </c>
      <c r="Z2" t="s">
        <v>36</v>
      </c>
      <c r="AA2" t="s">
        <v>37</v>
      </c>
      <c r="AB2" t="s">
        <v>38</v>
      </c>
      <c r="AC2" t="s">
        <v>39</v>
      </c>
      <c r="AD2" t="s">
        <v>40</v>
      </c>
      <c r="AE2" t="s">
        <v>41</v>
      </c>
      <c r="AF2" t="s">
        <v>42</v>
      </c>
      <c r="AG2" t="s">
        <v>43</v>
      </c>
      <c r="AH2" t="s">
        <v>44</v>
      </c>
      <c r="AI2" t="s">
        <v>45</v>
      </c>
      <c r="AJ2" t="s">
        <v>46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55</v>
      </c>
      <c r="AT2" t="s">
        <v>56</v>
      </c>
      <c r="AU2" t="s">
        <v>57</v>
      </c>
      <c r="AV2" t="s">
        <v>58</v>
      </c>
      <c r="AW2" t="s">
        <v>59</v>
      </c>
      <c r="AX2" t="s">
        <v>60</v>
      </c>
      <c r="AY2" t="s">
        <v>61</v>
      </c>
      <c r="AZ2" t="s">
        <v>62</v>
      </c>
      <c r="BA2" t="s">
        <v>63</v>
      </c>
      <c r="BB2" t="s">
        <v>64</v>
      </c>
      <c r="BC2" t="s">
        <v>65</v>
      </c>
      <c r="BD2" t="s">
        <v>66</v>
      </c>
      <c r="BE2" t="s">
        <v>67</v>
      </c>
      <c r="BF2" t="s">
        <v>68</v>
      </c>
      <c r="BG2" t="s">
        <v>69</v>
      </c>
      <c r="BH2" t="s">
        <v>70</v>
      </c>
      <c r="BI2" t="s">
        <v>71</v>
      </c>
      <c r="BJ2" t="s">
        <v>72</v>
      </c>
      <c r="BK2" t="s">
        <v>73</v>
      </c>
      <c r="BL2" t="s">
        <v>74</v>
      </c>
      <c r="BM2" t="s">
        <v>75</v>
      </c>
      <c r="BN2" t="s">
        <v>76</v>
      </c>
      <c r="BO2" t="s">
        <v>77</v>
      </c>
      <c r="BP2" t="s">
        <v>78</v>
      </c>
      <c r="BQ2" t="s">
        <v>79</v>
      </c>
      <c r="BR2" t="s">
        <v>80</v>
      </c>
      <c r="BS2" t="s">
        <v>81</v>
      </c>
      <c r="BT2" t="s">
        <v>82</v>
      </c>
      <c r="BU2" t="s">
        <v>83</v>
      </c>
      <c r="BV2" t="s">
        <v>84</v>
      </c>
      <c r="BW2" t="s">
        <v>85</v>
      </c>
      <c r="BX2" t="s">
        <v>86</v>
      </c>
      <c r="BY2" t="s">
        <v>87</v>
      </c>
      <c r="BZ2" t="s">
        <v>88</v>
      </c>
      <c r="CA2" t="s">
        <v>89</v>
      </c>
      <c r="CB2" t="s">
        <v>90</v>
      </c>
      <c r="CC2" t="s">
        <v>91</v>
      </c>
      <c r="CD2" t="s">
        <v>92</v>
      </c>
      <c r="CE2" t="s">
        <v>93</v>
      </c>
      <c r="CF2" t="s">
        <v>94</v>
      </c>
      <c r="CG2" t="s">
        <v>95</v>
      </c>
      <c r="CH2" t="s">
        <v>96</v>
      </c>
      <c r="CI2" t="s">
        <v>97</v>
      </c>
      <c r="CJ2" t="s">
        <v>98</v>
      </c>
      <c r="CK2" t="s">
        <v>99</v>
      </c>
      <c r="CL2" t="s">
        <v>100</v>
      </c>
      <c r="CM2" t="s">
        <v>101</v>
      </c>
      <c r="CN2" t="s">
        <v>102</v>
      </c>
      <c r="CO2" t="s">
        <v>103</v>
      </c>
      <c r="CP2" t="s">
        <v>104</v>
      </c>
      <c r="CQ2" t="s">
        <v>105</v>
      </c>
      <c r="CR2" t="s">
        <v>106</v>
      </c>
      <c r="CS2" t="s">
        <v>107</v>
      </c>
      <c r="CT2" t="s">
        <v>108</v>
      </c>
      <c r="CU2" t="s">
        <v>109</v>
      </c>
      <c r="CV2" t="s">
        <v>110</v>
      </c>
      <c r="CW2" t="s">
        <v>111</v>
      </c>
      <c r="CX2" t="s">
        <v>112</v>
      </c>
      <c r="CY2" t="s">
        <v>113</v>
      </c>
      <c r="CZ2" t="s">
        <v>114</v>
      </c>
      <c r="DA2" t="s">
        <v>115</v>
      </c>
      <c r="DB2" t="s">
        <v>116</v>
      </c>
      <c r="DC2" t="s">
        <v>117</v>
      </c>
    </row>
    <row r="3" spans="1:107" x14ac:dyDescent="0.45">
      <c r="A3" t="s">
        <v>19</v>
      </c>
      <c r="B3" t="s">
        <v>118</v>
      </c>
      <c r="C3" t="s">
        <v>119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  <c r="I3" t="s">
        <v>19</v>
      </c>
      <c r="J3" t="s">
        <v>120</v>
      </c>
      <c r="K3" t="s">
        <v>120</v>
      </c>
      <c r="L3" t="s">
        <v>120</v>
      </c>
      <c r="M3" t="s">
        <v>121</v>
      </c>
      <c r="N3" t="s">
        <v>122</v>
      </c>
      <c r="O3" t="s">
        <v>122</v>
      </c>
      <c r="P3" t="s">
        <v>122</v>
      </c>
      <c r="Q3" t="s">
        <v>122</v>
      </c>
      <c r="R3" t="s">
        <v>123</v>
      </c>
      <c r="S3" t="s">
        <v>123</v>
      </c>
      <c r="T3" t="s">
        <v>123</v>
      </c>
      <c r="U3" t="s">
        <v>124</v>
      </c>
      <c r="V3" t="s">
        <v>125</v>
      </c>
      <c r="W3" t="s">
        <v>19</v>
      </c>
      <c r="X3" t="s">
        <v>19</v>
      </c>
      <c r="Y3" t="s">
        <v>19</v>
      </c>
      <c r="Z3" t="s">
        <v>19</v>
      </c>
      <c r="AA3" t="s">
        <v>19</v>
      </c>
      <c r="AB3" t="s">
        <v>19</v>
      </c>
      <c r="AC3" t="s">
        <v>19</v>
      </c>
      <c r="AD3" t="s">
        <v>19</v>
      </c>
      <c r="AE3" t="s">
        <v>19</v>
      </c>
      <c r="AF3" t="s">
        <v>126</v>
      </c>
      <c r="AG3" t="s">
        <v>19</v>
      </c>
      <c r="AH3" t="s">
        <v>127</v>
      </c>
      <c r="AI3" t="s">
        <v>127</v>
      </c>
      <c r="AJ3" t="s">
        <v>128</v>
      </c>
      <c r="AK3" t="s">
        <v>128</v>
      </c>
      <c r="AL3" t="s">
        <v>128</v>
      </c>
      <c r="AM3" t="s">
        <v>122</v>
      </c>
      <c r="AN3" t="s">
        <v>129</v>
      </c>
      <c r="AO3" t="s">
        <v>129</v>
      </c>
      <c r="AP3" t="s">
        <v>127</v>
      </c>
      <c r="AQ3" t="s">
        <v>126</v>
      </c>
      <c r="AR3" t="s">
        <v>130</v>
      </c>
      <c r="AS3" t="s">
        <v>118</v>
      </c>
      <c r="AT3" t="s">
        <v>119</v>
      </c>
      <c r="AU3" t="s">
        <v>127</v>
      </c>
      <c r="AV3" t="s">
        <v>19</v>
      </c>
      <c r="AW3" t="s">
        <v>19</v>
      </c>
      <c r="AX3" t="s">
        <v>19</v>
      </c>
      <c r="AY3" t="s">
        <v>19</v>
      </c>
      <c r="AZ3" t="s">
        <v>19</v>
      </c>
      <c r="BA3" t="s">
        <v>19</v>
      </c>
      <c r="BB3" t="s">
        <v>19</v>
      </c>
      <c r="BC3" t="s">
        <v>19</v>
      </c>
      <c r="BD3" t="s">
        <v>129</v>
      </c>
      <c r="BE3" t="s">
        <v>131</v>
      </c>
      <c r="BF3" t="s">
        <v>132</v>
      </c>
      <c r="BG3" t="s">
        <v>19</v>
      </c>
      <c r="BH3" t="s">
        <v>19</v>
      </c>
      <c r="BI3" t="s">
        <v>19</v>
      </c>
      <c r="BJ3" t="s">
        <v>19</v>
      </c>
      <c r="BK3" t="s">
        <v>19</v>
      </c>
      <c r="BL3" t="s">
        <v>19</v>
      </c>
      <c r="BM3" t="s">
        <v>19</v>
      </c>
      <c r="BN3" t="s">
        <v>19</v>
      </c>
      <c r="BO3" t="s">
        <v>19</v>
      </c>
      <c r="BP3" t="s">
        <v>126</v>
      </c>
      <c r="BQ3" t="s">
        <v>133</v>
      </c>
      <c r="BR3" t="s">
        <v>134</v>
      </c>
      <c r="BS3" t="s">
        <v>132</v>
      </c>
      <c r="BT3" t="s">
        <v>135</v>
      </c>
      <c r="BU3" t="s">
        <v>135</v>
      </c>
      <c r="BV3" t="s">
        <v>135</v>
      </c>
      <c r="BW3" t="s">
        <v>19</v>
      </c>
      <c r="BX3" t="s">
        <v>127</v>
      </c>
      <c r="BY3" t="s">
        <v>19</v>
      </c>
      <c r="BZ3" t="s">
        <v>19</v>
      </c>
      <c r="CA3" t="s">
        <v>19</v>
      </c>
      <c r="CB3" t="s">
        <v>19</v>
      </c>
      <c r="CC3" t="s">
        <v>130</v>
      </c>
      <c r="CD3" t="s">
        <v>130</v>
      </c>
      <c r="CE3" t="s">
        <v>130</v>
      </c>
      <c r="CF3" t="s">
        <v>130</v>
      </c>
      <c r="CG3" t="s">
        <v>130</v>
      </c>
      <c r="CH3" t="s">
        <v>130</v>
      </c>
      <c r="CI3" t="s">
        <v>130</v>
      </c>
      <c r="CJ3" t="s">
        <v>130</v>
      </c>
      <c r="CK3" t="s">
        <v>130</v>
      </c>
      <c r="CL3" t="s">
        <v>136</v>
      </c>
      <c r="CM3" t="s">
        <v>19</v>
      </c>
      <c r="CN3" t="s">
        <v>19</v>
      </c>
      <c r="CO3" t="s">
        <v>19</v>
      </c>
      <c r="CP3" t="s">
        <v>19</v>
      </c>
      <c r="CQ3" t="s">
        <v>19</v>
      </c>
      <c r="CR3" t="s">
        <v>19</v>
      </c>
      <c r="CS3" t="s">
        <v>19</v>
      </c>
      <c r="CT3" t="s">
        <v>19</v>
      </c>
      <c r="CU3" t="s">
        <v>19</v>
      </c>
      <c r="CV3" t="s">
        <v>19</v>
      </c>
      <c r="CW3" t="s">
        <v>19</v>
      </c>
      <c r="CX3" t="s">
        <v>19</v>
      </c>
      <c r="CY3" t="s">
        <v>19</v>
      </c>
      <c r="CZ3" t="s">
        <v>19</v>
      </c>
      <c r="DA3" t="s">
        <v>19</v>
      </c>
      <c r="DB3" t="s">
        <v>19</v>
      </c>
      <c r="DC3" t="s">
        <v>19</v>
      </c>
    </row>
    <row r="4" spans="1:107" x14ac:dyDescent="0.45">
      <c r="A4" t="s">
        <v>137</v>
      </c>
      <c r="B4" t="s">
        <v>218</v>
      </c>
      <c r="C4" t="s">
        <v>138</v>
      </c>
      <c r="D4" t="s">
        <v>76</v>
      </c>
      <c r="E4" t="s">
        <v>139</v>
      </c>
      <c r="F4" t="s">
        <v>19</v>
      </c>
      <c r="G4" t="s">
        <v>140</v>
      </c>
      <c r="H4" t="s">
        <v>19</v>
      </c>
      <c r="I4" t="s">
        <v>19</v>
      </c>
      <c r="J4">
        <v>-2.4492876719494426E-2</v>
      </c>
      <c r="K4">
        <v>2.9058327199999998</v>
      </c>
      <c r="L4">
        <v>-2.4701078820817308E-2</v>
      </c>
      <c r="M4">
        <v>-0.37139553702442873</v>
      </c>
      <c r="N4" t="s">
        <v>219</v>
      </c>
      <c r="O4" t="s">
        <v>220</v>
      </c>
      <c r="P4">
        <v>4.4729375579807016</v>
      </c>
      <c r="Q4">
        <v>1.4494665579807018</v>
      </c>
      <c r="R4" t="s">
        <v>221</v>
      </c>
      <c r="S4" t="s">
        <v>222</v>
      </c>
      <c r="T4">
        <v>44.65792290316196</v>
      </c>
      <c r="U4">
        <v>0.4417875</v>
      </c>
      <c r="V4" t="s">
        <v>141</v>
      </c>
      <c r="W4" t="s">
        <v>223</v>
      </c>
      <c r="X4" t="s">
        <v>224</v>
      </c>
      <c r="Y4" t="s">
        <v>225</v>
      </c>
      <c r="Z4" t="s">
        <v>226</v>
      </c>
      <c r="AA4" t="s">
        <v>142</v>
      </c>
      <c r="AB4" t="s">
        <v>142</v>
      </c>
      <c r="AC4" t="s">
        <v>142</v>
      </c>
      <c r="AD4" t="s">
        <v>143</v>
      </c>
      <c r="AE4" t="s">
        <v>144</v>
      </c>
      <c r="AF4">
        <v>0</v>
      </c>
      <c r="AG4" t="s">
        <v>145</v>
      </c>
      <c r="AH4" t="s">
        <v>227</v>
      </c>
      <c r="AI4" t="s">
        <v>228</v>
      </c>
      <c r="AJ4" t="s">
        <v>229</v>
      </c>
      <c r="AK4" t="s">
        <v>230</v>
      </c>
      <c r="AL4">
        <v>30.85</v>
      </c>
      <c r="AM4" t="s">
        <v>209</v>
      </c>
      <c r="AN4" t="s">
        <v>146</v>
      </c>
      <c r="AO4" t="s">
        <v>184</v>
      </c>
      <c r="AP4" t="s">
        <v>205</v>
      </c>
      <c r="AQ4" t="s">
        <v>147</v>
      </c>
      <c r="AR4" t="s">
        <v>215</v>
      </c>
      <c r="AS4" t="s">
        <v>231</v>
      </c>
      <c r="AT4" t="s">
        <v>138</v>
      </c>
      <c r="AU4" t="s">
        <v>232</v>
      </c>
      <c r="AV4" t="s">
        <v>137</v>
      </c>
      <c r="AW4" t="s">
        <v>186</v>
      </c>
      <c r="AX4" t="s">
        <v>233</v>
      </c>
      <c r="AY4" t="s">
        <v>149</v>
      </c>
      <c r="AZ4" t="s">
        <v>234</v>
      </c>
      <c r="BA4" t="s">
        <v>235</v>
      </c>
      <c r="BB4" t="s">
        <v>149</v>
      </c>
      <c r="BC4" t="s">
        <v>137</v>
      </c>
      <c r="BD4" t="s">
        <v>150</v>
      </c>
      <c r="BE4" t="s">
        <v>149</v>
      </c>
      <c r="BF4" t="s">
        <v>151</v>
      </c>
      <c r="BG4" t="s">
        <v>152</v>
      </c>
      <c r="BH4" t="s">
        <v>142</v>
      </c>
      <c r="BI4" t="s">
        <v>153</v>
      </c>
      <c r="BJ4" t="s">
        <v>142</v>
      </c>
      <c r="BK4" t="s">
        <v>142</v>
      </c>
      <c r="BL4" t="s">
        <v>154</v>
      </c>
      <c r="BM4" t="s">
        <v>155</v>
      </c>
      <c r="BN4" t="s">
        <v>137</v>
      </c>
      <c r="BO4" t="s">
        <v>156</v>
      </c>
      <c r="BP4" t="s">
        <v>157</v>
      </c>
      <c r="BQ4" t="s">
        <v>158</v>
      </c>
      <c r="BR4" t="s">
        <v>145</v>
      </c>
      <c r="BS4" t="s">
        <v>159</v>
      </c>
      <c r="BT4" t="s">
        <v>160</v>
      </c>
      <c r="BU4" t="s">
        <v>160</v>
      </c>
      <c r="BV4" t="s">
        <v>160</v>
      </c>
      <c r="BW4" t="s">
        <v>142</v>
      </c>
      <c r="BX4" t="s">
        <v>161</v>
      </c>
      <c r="BY4" t="s">
        <v>142</v>
      </c>
      <c r="BZ4" t="s">
        <v>142</v>
      </c>
      <c r="CA4" t="s">
        <v>142</v>
      </c>
      <c r="CB4" t="s">
        <v>142</v>
      </c>
      <c r="CC4" t="s">
        <v>236</v>
      </c>
      <c r="CD4" t="s">
        <v>237</v>
      </c>
      <c r="CE4" t="s">
        <v>238</v>
      </c>
      <c r="CF4" t="s">
        <v>239</v>
      </c>
      <c r="CG4" t="s">
        <v>240</v>
      </c>
      <c r="CH4" t="s">
        <v>241</v>
      </c>
      <c r="CI4" t="s">
        <v>242</v>
      </c>
      <c r="CJ4" t="s">
        <v>213</v>
      </c>
      <c r="CK4" t="s">
        <v>224</v>
      </c>
      <c r="CL4" t="s">
        <v>208</v>
      </c>
      <c r="CM4" t="s">
        <v>163</v>
      </c>
      <c r="CN4" t="s">
        <v>164</v>
      </c>
      <c r="CO4" t="s">
        <v>145</v>
      </c>
      <c r="CP4" t="s">
        <v>165</v>
      </c>
      <c r="CQ4" t="s">
        <v>166</v>
      </c>
      <c r="CR4" t="s">
        <v>145</v>
      </c>
      <c r="CS4" t="s">
        <v>167</v>
      </c>
      <c r="CT4" t="s">
        <v>168</v>
      </c>
      <c r="CU4" t="s">
        <v>169</v>
      </c>
      <c r="CV4" t="s">
        <v>142</v>
      </c>
      <c r="CW4" t="s">
        <v>223</v>
      </c>
      <c r="CX4" t="s">
        <v>170</v>
      </c>
      <c r="CY4" t="s">
        <v>171</v>
      </c>
      <c r="CZ4" t="s">
        <v>172</v>
      </c>
      <c r="DA4" t="s">
        <v>173</v>
      </c>
      <c r="DB4" t="s">
        <v>174</v>
      </c>
      <c r="DC4" t="s">
        <v>175</v>
      </c>
    </row>
    <row r="5" spans="1:107" x14ac:dyDescent="0.45">
      <c r="A5" t="s">
        <v>176</v>
      </c>
      <c r="B5" t="s">
        <v>243</v>
      </c>
      <c r="C5" t="s">
        <v>138</v>
      </c>
      <c r="D5" t="s">
        <v>76</v>
      </c>
      <c r="E5" t="s">
        <v>139</v>
      </c>
      <c r="F5" t="s">
        <v>19</v>
      </c>
      <c r="G5" t="s">
        <v>177</v>
      </c>
      <c r="H5" t="s">
        <v>19</v>
      </c>
      <c r="I5" t="s">
        <v>19</v>
      </c>
      <c r="J5">
        <v>-1.5273658664638362E-2</v>
      </c>
      <c r="K5">
        <v>2.9058327199999998</v>
      </c>
      <c r="L5">
        <v>-1.5354364384208096E-2</v>
      </c>
      <c r="M5">
        <v>-0.22534677194388522</v>
      </c>
      <c r="N5" t="s">
        <v>244</v>
      </c>
      <c r="O5" t="s">
        <v>245</v>
      </c>
      <c r="P5">
        <v>4.4754913683703412</v>
      </c>
      <c r="Q5">
        <v>1.4149633683703411</v>
      </c>
      <c r="R5" t="s">
        <v>246</v>
      </c>
      <c r="S5" t="s">
        <v>247</v>
      </c>
      <c r="T5">
        <v>44.678959452633933</v>
      </c>
      <c r="U5">
        <v>0.4417875</v>
      </c>
      <c r="V5" t="s">
        <v>141</v>
      </c>
      <c r="W5" t="s">
        <v>248</v>
      </c>
      <c r="X5" t="s">
        <v>249</v>
      </c>
      <c r="Y5" t="s">
        <v>250</v>
      </c>
      <c r="Z5" t="s">
        <v>251</v>
      </c>
      <c r="AA5" t="s">
        <v>142</v>
      </c>
      <c r="AB5" t="s">
        <v>142</v>
      </c>
      <c r="AC5" t="s">
        <v>142</v>
      </c>
      <c r="AD5" t="s">
        <v>143</v>
      </c>
      <c r="AE5" t="s">
        <v>144</v>
      </c>
      <c r="AF5">
        <v>0</v>
      </c>
      <c r="AG5" t="s">
        <v>145</v>
      </c>
      <c r="AH5" t="s">
        <v>252</v>
      </c>
      <c r="AI5" t="s">
        <v>253</v>
      </c>
      <c r="AJ5" t="s">
        <v>254</v>
      </c>
      <c r="AK5" t="s">
        <v>255</v>
      </c>
      <c r="AL5">
        <v>30.86</v>
      </c>
      <c r="AM5" t="s">
        <v>211</v>
      </c>
      <c r="AN5" t="s">
        <v>146</v>
      </c>
      <c r="AO5" t="s">
        <v>184</v>
      </c>
      <c r="AP5" t="s">
        <v>205</v>
      </c>
      <c r="AQ5" t="s">
        <v>147</v>
      </c>
      <c r="AR5" t="s">
        <v>256</v>
      </c>
      <c r="AS5" t="s">
        <v>231</v>
      </c>
      <c r="AT5" t="s">
        <v>138</v>
      </c>
      <c r="AU5" t="s">
        <v>232</v>
      </c>
      <c r="AV5" t="s">
        <v>137</v>
      </c>
      <c r="AW5" t="s">
        <v>187</v>
      </c>
      <c r="AX5" t="s">
        <v>233</v>
      </c>
      <c r="AY5" t="s">
        <v>149</v>
      </c>
      <c r="AZ5" t="s">
        <v>257</v>
      </c>
      <c r="BA5" t="s">
        <v>258</v>
      </c>
      <c r="BB5" t="s">
        <v>149</v>
      </c>
      <c r="BC5" t="s">
        <v>137</v>
      </c>
      <c r="BD5" t="s">
        <v>150</v>
      </c>
      <c r="BE5" t="s">
        <v>149</v>
      </c>
      <c r="BF5" t="s">
        <v>151</v>
      </c>
      <c r="BG5" t="s">
        <v>152</v>
      </c>
      <c r="BH5" t="s">
        <v>142</v>
      </c>
      <c r="BI5" t="s">
        <v>153</v>
      </c>
      <c r="BJ5" t="s">
        <v>142</v>
      </c>
      <c r="BK5" t="s">
        <v>142</v>
      </c>
      <c r="BL5" t="s">
        <v>154</v>
      </c>
      <c r="BM5" t="s">
        <v>155</v>
      </c>
      <c r="BN5" t="s">
        <v>137</v>
      </c>
      <c r="BO5" t="s">
        <v>156</v>
      </c>
      <c r="BP5" t="s">
        <v>157</v>
      </c>
      <c r="BQ5" t="s">
        <v>158</v>
      </c>
      <c r="BR5" t="s">
        <v>145</v>
      </c>
      <c r="BS5" t="s">
        <v>159</v>
      </c>
      <c r="BT5" t="s">
        <v>160</v>
      </c>
      <c r="BU5" t="s">
        <v>160</v>
      </c>
      <c r="BV5" t="s">
        <v>160</v>
      </c>
      <c r="BW5" t="s">
        <v>142</v>
      </c>
      <c r="BX5" t="s">
        <v>161</v>
      </c>
      <c r="BY5" t="s">
        <v>142</v>
      </c>
      <c r="BZ5" t="s">
        <v>142</v>
      </c>
      <c r="CA5" t="s">
        <v>142</v>
      </c>
      <c r="CB5" t="s">
        <v>142</v>
      </c>
      <c r="CC5" t="s">
        <v>259</v>
      </c>
      <c r="CD5" t="s">
        <v>260</v>
      </c>
      <c r="CE5" t="s">
        <v>261</v>
      </c>
      <c r="CF5" t="s">
        <v>262</v>
      </c>
      <c r="CG5" t="s">
        <v>263</v>
      </c>
      <c r="CH5" t="s">
        <v>264</v>
      </c>
      <c r="CI5" t="s">
        <v>265</v>
      </c>
      <c r="CJ5" t="s">
        <v>207</v>
      </c>
      <c r="CK5" t="s">
        <v>249</v>
      </c>
      <c r="CL5" t="s">
        <v>180</v>
      </c>
      <c r="CM5" t="s">
        <v>163</v>
      </c>
      <c r="CN5" t="s">
        <v>164</v>
      </c>
      <c r="CO5" t="s">
        <v>145</v>
      </c>
      <c r="CP5" t="s">
        <v>165</v>
      </c>
      <c r="CQ5" t="s">
        <v>166</v>
      </c>
      <c r="CR5" t="s">
        <v>145</v>
      </c>
      <c r="CS5" t="s">
        <v>167</v>
      </c>
      <c r="CT5" t="s">
        <v>168</v>
      </c>
      <c r="CU5" t="s">
        <v>169</v>
      </c>
      <c r="CV5" t="s">
        <v>142</v>
      </c>
      <c r="CW5" t="s">
        <v>248</v>
      </c>
      <c r="CX5" t="s">
        <v>170</v>
      </c>
      <c r="CY5" t="s">
        <v>171</v>
      </c>
      <c r="CZ5" t="s">
        <v>172</v>
      </c>
      <c r="DA5" t="s">
        <v>173</v>
      </c>
      <c r="DB5" t="s">
        <v>174</v>
      </c>
      <c r="DC5" t="s">
        <v>175</v>
      </c>
    </row>
    <row r="6" spans="1:107" x14ac:dyDescent="0.45">
      <c r="A6" t="s">
        <v>181</v>
      </c>
      <c r="B6" t="s">
        <v>266</v>
      </c>
      <c r="C6" t="s">
        <v>138</v>
      </c>
      <c r="D6" t="s">
        <v>76</v>
      </c>
      <c r="E6" t="s">
        <v>139</v>
      </c>
      <c r="F6" t="s">
        <v>19</v>
      </c>
      <c r="G6" t="s">
        <v>182</v>
      </c>
      <c r="H6" t="s">
        <v>19</v>
      </c>
      <c r="I6" t="s">
        <v>19</v>
      </c>
      <c r="J6">
        <v>-1.8464919600331638E-2</v>
      </c>
      <c r="K6">
        <v>2.9058327199999998</v>
      </c>
      <c r="L6">
        <v>-1.8583004056284744E-2</v>
      </c>
      <c r="M6">
        <v>-0.27186614085675431</v>
      </c>
      <c r="N6" t="s">
        <v>267</v>
      </c>
      <c r="O6" t="s">
        <v>268</v>
      </c>
      <c r="P6">
        <v>4.4908409201206378</v>
      </c>
      <c r="Q6">
        <v>1.4101299201206379</v>
      </c>
      <c r="R6" t="s">
        <v>269</v>
      </c>
      <c r="S6" t="s">
        <v>270</v>
      </c>
      <c r="T6">
        <v>44.832194470606346</v>
      </c>
      <c r="U6">
        <v>0.4417875</v>
      </c>
      <c r="V6" t="s">
        <v>141</v>
      </c>
      <c r="W6" t="s">
        <v>271</v>
      </c>
      <c r="X6" t="s">
        <v>272</v>
      </c>
      <c r="Y6" t="s">
        <v>273</v>
      </c>
      <c r="Z6" t="s">
        <v>274</v>
      </c>
      <c r="AA6" t="s">
        <v>142</v>
      </c>
      <c r="AB6" t="s">
        <v>142</v>
      </c>
      <c r="AC6" t="s">
        <v>142</v>
      </c>
      <c r="AD6" t="s">
        <v>143</v>
      </c>
      <c r="AE6" t="s">
        <v>144</v>
      </c>
      <c r="AF6">
        <v>0</v>
      </c>
      <c r="AG6" t="s">
        <v>145</v>
      </c>
      <c r="AH6" t="s">
        <v>275</v>
      </c>
      <c r="AI6" t="s">
        <v>276</v>
      </c>
      <c r="AJ6" t="s">
        <v>277</v>
      </c>
      <c r="AK6" t="s">
        <v>278</v>
      </c>
      <c r="AL6">
        <v>30.92</v>
      </c>
      <c r="AM6" t="s">
        <v>211</v>
      </c>
      <c r="AN6" t="s">
        <v>146</v>
      </c>
      <c r="AO6" t="s">
        <v>279</v>
      </c>
      <c r="AP6" t="s">
        <v>280</v>
      </c>
      <c r="AQ6" t="s">
        <v>147</v>
      </c>
      <c r="AR6" t="s">
        <v>281</v>
      </c>
      <c r="AS6" t="s">
        <v>231</v>
      </c>
      <c r="AT6" t="s">
        <v>138</v>
      </c>
      <c r="AU6" t="s">
        <v>232</v>
      </c>
      <c r="AV6" t="s">
        <v>137</v>
      </c>
      <c r="AW6" t="s">
        <v>179</v>
      </c>
      <c r="AX6" t="s">
        <v>282</v>
      </c>
      <c r="AY6" t="s">
        <v>149</v>
      </c>
      <c r="AZ6" t="s">
        <v>283</v>
      </c>
      <c r="BA6" t="s">
        <v>284</v>
      </c>
      <c r="BB6" t="s">
        <v>149</v>
      </c>
      <c r="BC6" t="s">
        <v>137</v>
      </c>
      <c r="BD6" t="s">
        <v>150</v>
      </c>
      <c r="BE6" t="s">
        <v>149</v>
      </c>
      <c r="BF6" t="s">
        <v>151</v>
      </c>
      <c r="BG6" t="s">
        <v>152</v>
      </c>
      <c r="BH6" t="s">
        <v>142</v>
      </c>
      <c r="BI6" t="s">
        <v>153</v>
      </c>
      <c r="BJ6" t="s">
        <v>142</v>
      </c>
      <c r="BK6" t="s">
        <v>142</v>
      </c>
      <c r="BL6" t="s">
        <v>154</v>
      </c>
      <c r="BM6" t="s">
        <v>155</v>
      </c>
      <c r="BN6" t="s">
        <v>137</v>
      </c>
      <c r="BO6" t="s">
        <v>156</v>
      </c>
      <c r="BP6" t="s">
        <v>157</v>
      </c>
      <c r="BQ6" t="s">
        <v>158</v>
      </c>
      <c r="BR6" t="s">
        <v>145</v>
      </c>
      <c r="BS6" t="s">
        <v>159</v>
      </c>
      <c r="BT6" t="s">
        <v>160</v>
      </c>
      <c r="BU6" t="s">
        <v>160</v>
      </c>
      <c r="BV6" t="s">
        <v>160</v>
      </c>
      <c r="BW6" t="s">
        <v>142</v>
      </c>
      <c r="BX6" t="s">
        <v>161</v>
      </c>
      <c r="BY6" t="s">
        <v>142</v>
      </c>
      <c r="BZ6" t="s">
        <v>142</v>
      </c>
      <c r="CA6" t="s">
        <v>142</v>
      </c>
      <c r="CB6" t="s">
        <v>142</v>
      </c>
      <c r="CC6" t="s">
        <v>285</v>
      </c>
      <c r="CD6" t="s">
        <v>286</v>
      </c>
      <c r="CE6" t="s">
        <v>287</v>
      </c>
      <c r="CF6" t="s">
        <v>288</v>
      </c>
      <c r="CG6" t="s">
        <v>289</v>
      </c>
      <c r="CH6" t="s">
        <v>290</v>
      </c>
      <c r="CI6" t="s">
        <v>291</v>
      </c>
      <c r="CJ6" t="s">
        <v>292</v>
      </c>
      <c r="CK6" t="s">
        <v>272</v>
      </c>
      <c r="CL6" t="s">
        <v>204</v>
      </c>
      <c r="CM6" t="s">
        <v>163</v>
      </c>
      <c r="CN6" t="s">
        <v>164</v>
      </c>
      <c r="CO6" t="s">
        <v>145</v>
      </c>
      <c r="CP6" t="s">
        <v>165</v>
      </c>
      <c r="CQ6" t="s">
        <v>166</v>
      </c>
      <c r="CR6" t="s">
        <v>145</v>
      </c>
      <c r="CS6" t="s">
        <v>167</v>
      </c>
      <c r="CT6" t="s">
        <v>168</v>
      </c>
      <c r="CU6" t="s">
        <v>169</v>
      </c>
      <c r="CV6" t="s">
        <v>142</v>
      </c>
      <c r="CW6" t="s">
        <v>271</v>
      </c>
      <c r="CX6" t="s">
        <v>170</v>
      </c>
      <c r="CY6" t="s">
        <v>171</v>
      </c>
      <c r="CZ6" t="s">
        <v>172</v>
      </c>
      <c r="DA6" t="s">
        <v>173</v>
      </c>
      <c r="DB6" t="s">
        <v>174</v>
      </c>
      <c r="DC6" t="s">
        <v>175</v>
      </c>
    </row>
    <row r="7" spans="1:107" x14ac:dyDescent="0.45">
      <c r="A7" t="s">
        <v>191</v>
      </c>
      <c r="B7" t="s">
        <v>293</v>
      </c>
      <c r="C7" t="s">
        <v>138</v>
      </c>
      <c r="D7" t="s">
        <v>76</v>
      </c>
      <c r="E7" t="s">
        <v>139</v>
      </c>
      <c r="F7" t="s">
        <v>19</v>
      </c>
      <c r="G7" t="s">
        <v>192</v>
      </c>
      <c r="H7" t="s">
        <v>19</v>
      </c>
      <c r="I7" t="s">
        <v>19</v>
      </c>
      <c r="J7">
        <v>-2.0535082521451808E-2</v>
      </c>
      <c r="K7">
        <v>2.9066320800000001</v>
      </c>
      <c r="L7">
        <v>-2.0681193208144336E-2</v>
      </c>
      <c r="M7">
        <v>-0.29918161374707342</v>
      </c>
      <c r="N7" t="s">
        <v>294</v>
      </c>
      <c r="O7" t="s">
        <v>295</v>
      </c>
      <c r="P7">
        <v>4.4908409201206378</v>
      </c>
      <c r="Q7">
        <v>1.3943609201206377</v>
      </c>
      <c r="R7" t="s">
        <v>296</v>
      </c>
      <c r="S7" t="s">
        <v>297</v>
      </c>
      <c r="T7">
        <v>44.832194470606346</v>
      </c>
      <c r="U7">
        <v>0.4417875</v>
      </c>
      <c r="V7" t="s">
        <v>141</v>
      </c>
      <c r="W7" t="s">
        <v>298</v>
      </c>
      <c r="X7" t="s">
        <v>299</v>
      </c>
      <c r="Y7" t="s">
        <v>300</v>
      </c>
      <c r="Z7" t="s">
        <v>301</v>
      </c>
      <c r="AA7" t="s">
        <v>142</v>
      </c>
      <c r="AB7" t="s">
        <v>142</v>
      </c>
      <c r="AC7" t="s">
        <v>142</v>
      </c>
      <c r="AD7" t="s">
        <v>143</v>
      </c>
      <c r="AE7" t="s">
        <v>144</v>
      </c>
      <c r="AF7">
        <v>0</v>
      </c>
      <c r="AG7" t="s">
        <v>145</v>
      </c>
      <c r="AH7" t="s">
        <v>302</v>
      </c>
      <c r="AI7" t="s">
        <v>303</v>
      </c>
      <c r="AJ7" t="s">
        <v>304</v>
      </c>
      <c r="AK7" t="s">
        <v>278</v>
      </c>
      <c r="AL7">
        <v>30.92</v>
      </c>
      <c r="AM7" t="s">
        <v>211</v>
      </c>
      <c r="AN7" t="s">
        <v>190</v>
      </c>
      <c r="AO7" t="s">
        <v>305</v>
      </c>
      <c r="AP7" t="s">
        <v>306</v>
      </c>
      <c r="AQ7" t="s">
        <v>147</v>
      </c>
      <c r="AR7" t="s">
        <v>307</v>
      </c>
      <c r="AS7" t="s">
        <v>231</v>
      </c>
      <c r="AT7" t="s">
        <v>138</v>
      </c>
      <c r="AU7" t="s">
        <v>232</v>
      </c>
      <c r="AV7" t="s">
        <v>137</v>
      </c>
      <c r="AW7" t="s">
        <v>188</v>
      </c>
      <c r="AX7" t="s">
        <v>308</v>
      </c>
      <c r="AY7" t="s">
        <v>149</v>
      </c>
      <c r="AZ7" t="s">
        <v>309</v>
      </c>
      <c r="BA7" t="s">
        <v>310</v>
      </c>
      <c r="BB7" t="s">
        <v>149</v>
      </c>
      <c r="BC7" t="s">
        <v>137</v>
      </c>
      <c r="BD7" t="s">
        <v>150</v>
      </c>
      <c r="BE7" t="s">
        <v>149</v>
      </c>
      <c r="BF7" t="s">
        <v>151</v>
      </c>
      <c r="BG7" t="s">
        <v>152</v>
      </c>
      <c r="BH7" t="s">
        <v>142</v>
      </c>
      <c r="BI7" t="s">
        <v>153</v>
      </c>
      <c r="BJ7" t="s">
        <v>142</v>
      </c>
      <c r="BK7" t="s">
        <v>142</v>
      </c>
      <c r="BL7" t="s">
        <v>154</v>
      </c>
      <c r="BM7" t="s">
        <v>155</v>
      </c>
      <c r="BN7" t="s">
        <v>137</v>
      </c>
      <c r="BO7" t="s">
        <v>156</v>
      </c>
      <c r="BP7" t="s">
        <v>157</v>
      </c>
      <c r="BQ7" t="s">
        <v>158</v>
      </c>
      <c r="BR7" t="s">
        <v>145</v>
      </c>
      <c r="BS7" t="s">
        <v>159</v>
      </c>
      <c r="BT7" t="s">
        <v>160</v>
      </c>
      <c r="BU7" t="s">
        <v>160</v>
      </c>
      <c r="BV7" t="s">
        <v>160</v>
      </c>
      <c r="BW7" t="s">
        <v>142</v>
      </c>
      <c r="BX7" t="s">
        <v>161</v>
      </c>
      <c r="BY7" t="s">
        <v>142</v>
      </c>
      <c r="BZ7" t="s">
        <v>142</v>
      </c>
      <c r="CA7" t="s">
        <v>142</v>
      </c>
      <c r="CB7" t="s">
        <v>142</v>
      </c>
      <c r="CC7" t="s">
        <v>311</v>
      </c>
      <c r="CD7" t="s">
        <v>312</v>
      </c>
      <c r="CE7" t="s">
        <v>313</v>
      </c>
      <c r="CF7" t="s">
        <v>314</v>
      </c>
      <c r="CG7" t="s">
        <v>315</v>
      </c>
      <c r="CH7" t="s">
        <v>316</v>
      </c>
      <c r="CI7" t="s">
        <v>317</v>
      </c>
      <c r="CJ7" t="s">
        <v>210</v>
      </c>
      <c r="CK7" t="s">
        <v>299</v>
      </c>
      <c r="CL7" t="s">
        <v>214</v>
      </c>
      <c r="CM7" t="s">
        <v>163</v>
      </c>
      <c r="CN7" t="s">
        <v>164</v>
      </c>
      <c r="CO7" t="s">
        <v>145</v>
      </c>
      <c r="CP7" t="s">
        <v>165</v>
      </c>
      <c r="CQ7" t="s">
        <v>166</v>
      </c>
      <c r="CR7" t="s">
        <v>145</v>
      </c>
      <c r="CS7" t="s">
        <v>167</v>
      </c>
      <c r="CT7" t="s">
        <v>168</v>
      </c>
      <c r="CU7" t="s">
        <v>169</v>
      </c>
      <c r="CV7" t="s">
        <v>142</v>
      </c>
      <c r="CW7" t="s">
        <v>298</v>
      </c>
      <c r="CX7" t="s">
        <v>170</v>
      </c>
      <c r="CY7" t="s">
        <v>171</v>
      </c>
      <c r="CZ7" t="s">
        <v>172</v>
      </c>
      <c r="DA7" t="s">
        <v>173</v>
      </c>
      <c r="DB7" t="s">
        <v>174</v>
      </c>
      <c r="DC7" t="s">
        <v>175</v>
      </c>
    </row>
    <row r="8" spans="1:107" x14ac:dyDescent="0.45">
      <c r="A8" t="s">
        <v>158</v>
      </c>
      <c r="B8" t="s">
        <v>318</v>
      </c>
      <c r="C8" t="s">
        <v>138</v>
      </c>
      <c r="D8" t="s">
        <v>76</v>
      </c>
      <c r="E8" t="s">
        <v>139</v>
      </c>
      <c r="F8" t="s">
        <v>19</v>
      </c>
      <c r="G8" t="s">
        <v>193</v>
      </c>
      <c r="H8" t="s">
        <v>19</v>
      </c>
      <c r="I8" t="s">
        <v>19</v>
      </c>
      <c r="J8">
        <v>-1.5461886730934796E-2</v>
      </c>
      <c r="K8">
        <v>2.9050319999999994</v>
      </c>
      <c r="L8">
        <v>-1.5544622200886688E-2</v>
      </c>
      <c r="M8">
        <v>-0.22505097997939844</v>
      </c>
      <c r="N8" t="s">
        <v>319</v>
      </c>
      <c r="O8" t="s">
        <v>320</v>
      </c>
      <c r="P8">
        <v>4.5191008949115723</v>
      </c>
      <c r="Q8">
        <v>1.3948678949115725</v>
      </c>
      <c r="R8" t="s">
        <v>321</v>
      </c>
      <c r="S8" t="s">
        <v>322</v>
      </c>
      <c r="T8">
        <v>45.114314614271464</v>
      </c>
      <c r="U8">
        <v>0.4417875</v>
      </c>
      <c r="V8" t="s">
        <v>141</v>
      </c>
      <c r="W8" t="s">
        <v>323</v>
      </c>
      <c r="X8" t="s">
        <v>324</v>
      </c>
      <c r="Y8" t="s">
        <v>325</v>
      </c>
      <c r="Z8" t="s">
        <v>326</v>
      </c>
      <c r="AA8" t="s">
        <v>142</v>
      </c>
      <c r="AB8" t="s">
        <v>142</v>
      </c>
      <c r="AC8" t="s">
        <v>142</v>
      </c>
      <c r="AD8" t="s">
        <v>143</v>
      </c>
      <c r="AE8" t="s">
        <v>144</v>
      </c>
      <c r="AF8">
        <v>0</v>
      </c>
      <c r="AG8" t="s">
        <v>145</v>
      </c>
      <c r="AH8" t="s">
        <v>327</v>
      </c>
      <c r="AI8" t="s">
        <v>328</v>
      </c>
      <c r="AJ8" t="s">
        <v>329</v>
      </c>
      <c r="AK8" t="s">
        <v>229</v>
      </c>
      <c r="AL8">
        <v>31.03</v>
      </c>
      <c r="AM8" t="s">
        <v>211</v>
      </c>
      <c r="AN8" t="s">
        <v>183</v>
      </c>
      <c r="AO8" t="s">
        <v>330</v>
      </c>
      <c r="AP8" t="s">
        <v>331</v>
      </c>
      <c r="AQ8" t="s">
        <v>147</v>
      </c>
      <c r="AR8" t="s">
        <v>332</v>
      </c>
      <c r="AS8" t="s">
        <v>231</v>
      </c>
      <c r="AT8" t="s">
        <v>138</v>
      </c>
      <c r="AU8" t="s">
        <v>232</v>
      </c>
      <c r="AV8" t="s">
        <v>137</v>
      </c>
      <c r="AW8" t="s">
        <v>188</v>
      </c>
      <c r="AX8" t="s">
        <v>333</v>
      </c>
      <c r="AY8" t="s">
        <v>149</v>
      </c>
      <c r="AZ8" t="s">
        <v>206</v>
      </c>
      <c r="BA8" t="s">
        <v>334</v>
      </c>
      <c r="BB8" t="s">
        <v>149</v>
      </c>
      <c r="BC8" t="s">
        <v>137</v>
      </c>
      <c r="BD8" t="s">
        <v>150</v>
      </c>
      <c r="BE8" t="s">
        <v>149</v>
      </c>
      <c r="BF8" t="s">
        <v>151</v>
      </c>
      <c r="BG8" t="s">
        <v>152</v>
      </c>
      <c r="BH8" t="s">
        <v>142</v>
      </c>
      <c r="BI8" t="s">
        <v>153</v>
      </c>
      <c r="BJ8" t="s">
        <v>142</v>
      </c>
      <c r="BK8" t="s">
        <v>142</v>
      </c>
      <c r="BL8" t="s">
        <v>154</v>
      </c>
      <c r="BM8" t="s">
        <v>155</v>
      </c>
      <c r="BN8" t="s">
        <v>137</v>
      </c>
      <c r="BO8" t="s">
        <v>156</v>
      </c>
      <c r="BP8" t="s">
        <v>157</v>
      </c>
      <c r="BQ8" t="s">
        <v>158</v>
      </c>
      <c r="BR8" t="s">
        <v>145</v>
      </c>
      <c r="BS8" t="s">
        <v>159</v>
      </c>
      <c r="BT8" t="s">
        <v>160</v>
      </c>
      <c r="BU8" t="s">
        <v>160</v>
      </c>
      <c r="BV8" t="s">
        <v>160</v>
      </c>
      <c r="BW8" t="s">
        <v>142</v>
      </c>
      <c r="BX8" t="s">
        <v>161</v>
      </c>
      <c r="BY8" t="s">
        <v>142</v>
      </c>
      <c r="BZ8" t="s">
        <v>142</v>
      </c>
      <c r="CA8" t="s">
        <v>142</v>
      </c>
      <c r="CB8" t="s">
        <v>142</v>
      </c>
      <c r="CC8" t="s">
        <v>335</v>
      </c>
      <c r="CD8" t="s">
        <v>336</v>
      </c>
      <c r="CE8" t="s">
        <v>337</v>
      </c>
      <c r="CF8" t="s">
        <v>338</v>
      </c>
      <c r="CG8" t="s">
        <v>339</v>
      </c>
      <c r="CH8" t="s">
        <v>340</v>
      </c>
      <c r="CI8" t="s">
        <v>341</v>
      </c>
      <c r="CJ8" t="s">
        <v>216</v>
      </c>
      <c r="CK8" t="s">
        <v>324</v>
      </c>
      <c r="CL8" t="s">
        <v>342</v>
      </c>
      <c r="CM8" t="s">
        <v>163</v>
      </c>
      <c r="CN8" t="s">
        <v>164</v>
      </c>
      <c r="CO8" t="s">
        <v>145</v>
      </c>
      <c r="CP8" t="s">
        <v>165</v>
      </c>
      <c r="CQ8" t="s">
        <v>166</v>
      </c>
      <c r="CR8" t="s">
        <v>145</v>
      </c>
      <c r="CS8" t="s">
        <v>167</v>
      </c>
      <c r="CT8" t="s">
        <v>168</v>
      </c>
      <c r="CU8" t="s">
        <v>169</v>
      </c>
      <c r="CV8" t="s">
        <v>142</v>
      </c>
      <c r="CW8" t="s">
        <v>323</v>
      </c>
      <c r="CX8" t="s">
        <v>170</v>
      </c>
      <c r="CY8" t="s">
        <v>171</v>
      </c>
      <c r="CZ8" t="s">
        <v>172</v>
      </c>
      <c r="DA8" t="s">
        <v>173</v>
      </c>
      <c r="DB8" t="s">
        <v>174</v>
      </c>
      <c r="DC8" t="s">
        <v>175</v>
      </c>
    </row>
    <row r="9" spans="1:107" x14ac:dyDescent="0.45">
      <c r="A9" t="s">
        <v>185</v>
      </c>
      <c r="B9" t="s">
        <v>343</v>
      </c>
      <c r="C9" t="s">
        <v>138</v>
      </c>
      <c r="D9" t="s">
        <v>76</v>
      </c>
      <c r="E9" t="s">
        <v>139</v>
      </c>
      <c r="F9" t="s">
        <v>19</v>
      </c>
      <c r="G9" t="s">
        <v>194</v>
      </c>
      <c r="H9" t="s">
        <v>19</v>
      </c>
      <c r="I9" t="s">
        <v>19</v>
      </c>
      <c r="J9">
        <v>-2.3813236417619961E-2</v>
      </c>
      <c r="K9">
        <v>2.9042299199999997</v>
      </c>
      <c r="L9">
        <v>-2.4010107318942538E-2</v>
      </c>
      <c r="M9">
        <v>-0.34793814931705602</v>
      </c>
      <c r="N9" t="s">
        <v>344</v>
      </c>
      <c r="O9" t="s">
        <v>345</v>
      </c>
      <c r="P9">
        <v>4.5139512266519732</v>
      </c>
      <c r="Q9">
        <v>1.3964612266519731</v>
      </c>
      <c r="R9" t="s">
        <v>346</v>
      </c>
      <c r="S9" t="s">
        <v>347</v>
      </c>
      <c r="T9">
        <v>45.058407133679104</v>
      </c>
      <c r="U9">
        <v>0.4417875</v>
      </c>
      <c r="V9" t="s">
        <v>141</v>
      </c>
      <c r="W9" t="s">
        <v>348</v>
      </c>
      <c r="X9" t="s">
        <v>349</v>
      </c>
      <c r="Y9" t="s">
        <v>350</v>
      </c>
      <c r="Z9" t="s">
        <v>351</v>
      </c>
      <c r="AA9" t="s">
        <v>142</v>
      </c>
      <c r="AB9" t="s">
        <v>142</v>
      </c>
      <c r="AC9" t="s">
        <v>142</v>
      </c>
      <c r="AD9" t="s">
        <v>143</v>
      </c>
      <c r="AE9" t="s">
        <v>144</v>
      </c>
      <c r="AF9">
        <v>0</v>
      </c>
      <c r="AG9" t="s">
        <v>145</v>
      </c>
      <c r="AH9" t="s">
        <v>352</v>
      </c>
      <c r="AI9" t="s">
        <v>353</v>
      </c>
      <c r="AJ9" t="s">
        <v>354</v>
      </c>
      <c r="AK9" t="s">
        <v>355</v>
      </c>
      <c r="AL9">
        <v>31.01</v>
      </c>
      <c r="AM9" t="s">
        <v>356</v>
      </c>
      <c r="AN9" t="s">
        <v>178</v>
      </c>
      <c r="AO9" t="s">
        <v>357</v>
      </c>
      <c r="AP9" t="s">
        <v>358</v>
      </c>
      <c r="AQ9" t="s">
        <v>147</v>
      </c>
      <c r="AR9" t="s">
        <v>359</v>
      </c>
      <c r="AS9" t="s">
        <v>231</v>
      </c>
      <c r="AT9" t="s">
        <v>138</v>
      </c>
      <c r="AU9" t="s">
        <v>232</v>
      </c>
      <c r="AV9" t="s">
        <v>137</v>
      </c>
      <c r="AW9" t="s">
        <v>188</v>
      </c>
      <c r="AX9" t="s">
        <v>148</v>
      </c>
      <c r="AY9" t="s">
        <v>149</v>
      </c>
      <c r="AZ9" t="s">
        <v>360</v>
      </c>
      <c r="BA9" t="s">
        <v>361</v>
      </c>
      <c r="BB9" t="s">
        <v>149</v>
      </c>
      <c r="BC9" t="s">
        <v>137</v>
      </c>
      <c r="BD9" t="s">
        <v>150</v>
      </c>
      <c r="BE9" t="s">
        <v>149</v>
      </c>
      <c r="BF9" t="s">
        <v>151</v>
      </c>
      <c r="BG9" t="s">
        <v>152</v>
      </c>
      <c r="BH9" t="s">
        <v>142</v>
      </c>
      <c r="BI9" t="s">
        <v>153</v>
      </c>
      <c r="BJ9" t="s">
        <v>142</v>
      </c>
      <c r="BK9" t="s">
        <v>142</v>
      </c>
      <c r="BL9" t="s">
        <v>154</v>
      </c>
      <c r="BM9" t="s">
        <v>155</v>
      </c>
      <c r="BN9" t="s">
        <v>137</v>
      </c>
      <c r="BO9" t="s">
        <v>156</v>
      </c>
      <c r="BP9" t="s">
        <v>157</v>
      </c>
      <c r="BQ9" t="s">
        <v>158</v>
      </c>
      <c r="BR9" t="s">
        <v>145</v>
      </c>
      <c r="BS9" t="s">
        <v>159</v>
      </c>
      <c r="BT9" t="s">
        <v>160</v>
      </c>
      <c r="BU9" t="s">
        <v>160</v>
      </c>
      <c r="BV9" t="s">
        <v>160</v>
      </c>
      <c r="BW9" t="s">
        <v>142</v>
      </c>
      <c r="BX9" t="s">
        <v>161</v>
      </c>
      <c r="BY9" t="s">
        <v>142</v>
      </c>
      <c r="BZ9" t="s">
        <v>142</v>
      </c>
      <c r="CA9" t="s">
        <v>142</v>
      </c>
      <c r="CB9" t="s">
        <v>142</v>
      </c>
      <c r="CC9" t="s">
        <v>362</v>
      </c>
      <c r="CD9" t="s">
        <v>363</v>
      </c>
      <c r="CE9" t="s">
        <v>364</v>
      </c>
      <c r="CF9" t="s">
        <v>365</v>
      </c>
      <c r="CG9" t="s">
        <v>366</v>
      </c>
      <c r="CH9" t="s">
        <v>367</v>
      </c>
      <c r="CI9" t="s">
        <v>368</v>
      </c>
      <c r="CJ9" t="s">
        <v>369</v>
      </c>
      <c r="CK9" t="s">
        <v>349</v>
      </c>
      <c r="CL9" t="s">
        <v>162</v>
      </c>
      <c r="CM9" t="s">
        <v>163</v>
      </c>
      <c r="CN9" t="s">
        <v>164</v>
      </c>
      <c r="CO9" t="s">
        <v>145</v>
      </c>
      <c r="CP9" t="s">
        <v>165</v>
      </c>
      <c r="CQ9" t="s">
        <v>166</v>
      </c>
      <c r="CR9" t="s">
        <v>145</v>
      </c>
      <c r="CS9" t="s">
        <v>167</v>
      </c>
      <c r="CT9" t="s">
        <v>168</v>
      </c>
      <c r="CU9" t="s">
        <v>169</v>
      </c>
      <c r="CV9" t="s">
        <v>142</v>
      </c>
      <c r="CW9" t="s">
        <v>348</v>
      </c>
      <c r="CX9" t="s">
        <v>170</v>
      </c>
      <c r="CY9" t="s">
        <v>171</v>
      </c>
      <c r="CZ9" t="s">
        <v>172</v>
      </c>
      <c r="DA9" t="s">
        <v>173</v>
      </c>
      <c r="DB9" t="s">
        <v>174</v>
      </c>
      <c r="DC9" t="s">
        <v>175</v>
      </c>
    </row>
    <row r="10" spans="1:107" x14ac:dyDescent="0.45">
      <c r="A10" t="s">
        <v>195</v>
      </c>
      <c r="B10" t="s">
        <v>370</v>
      </c>
      <c r="C10" t="s">
        <v>138</v>
      </c>
      <c r="D10" t="s">
        <v>76</v>
      </c>
      <c r="E10" t="s">
        <v>139</v>
      </c>
      <c r="F10" t="s">
        <v>19</v>
      </c>
      <c r="G10" t="s">
        <v>196</v>
      </c>
      <c r="H10" t="s">
        <v>19</v>
      </c>
      <c r="I10" t="s">
        <v>19</v>
      </c>
      <c r="J10">
        <v>-1.8815244251443111E-2</v>
      </c>
      <c r="K10">
        <v>2.9042299199999997</v>
      </c>
      <c r="L10">
        <v>-1.8937934906348586E-2</v>
      </c>
      <c r="M10">
        <v>-0.28221905750994009</v>
      </c>
      <c r="N10" t="s">
        <v>371</v>
      </c>
      <c r="O10" t="s">
        <v>372</v>
      </c>
      <c r="P10">
        <v>4.5423377789052042</v>
      </c>
      <c r="Q10">
        <v>1.4359527789052042</v>
      </c>
      <c r="R10" t="s">
        <v>373</v>
      </c>
      <c r="S10" t="s">
        <v>374</v>
      </c>
      <c r="T10">
        <v>45.341762616342621</v>
      </c>
      <c r="U10">
        <v>0.4417875</v>
      </c>
      <c r="V10" t="s">
        <v>141</v>
      </c>
      <c r="W10" t="s">
        <v>375</v>
      </c>
      <c r="X10" t="s">
        <v>376</v>
      </c>
      <c r="Y10" t="s">
        <v>377</v>
      </c>
      <c r="Z10" t="s">
        <v>378</v>
      </c>
      <c r="AA10" t="s">
        <v>142</v>
      </c>
      <c r="AB10" t="s">
        <v>142</v>
      </c>
      <c r="AC10" t="s">
        <v>142</v>
      </c>
      <c r="AD10" t="s">
        <v>143</v>
      </c>
      <c r="AE10" t="s">
        <v>144</v>
      </c>
      <c r="AF10">
        <v>0</v>
      </c>
      <c r="AG10" t="s">
        <v>145</v>
      </c>
      <c r="AH10" t="s">
        <v>379</v>
      </c>
      <c r="AI10" t="s">
        <v>380</v>
      </c>
      <c r="AJ10" t="s">
        <v>381</v>
      </c>
      <c r="AK10" t="s">
        <v>382</v>
      </c>
      <c r="AL10">
        <v>31.12</v>
      </c>
      <c r="AM10" t="s">
        <v>356</v>
      </c>
      <c r="AN10" t="s">
        <v>178</v>
      </c>
      <c r="AO10" t="s">
        <v>279</v>
      </c>
      <c r="AP10" t="s">
        <v>331</v>
      </c>
      <c r="AQ10" t="s">
        <v>147</v>
      </c>
      <c r="AR10" t="s">
        <v>383</v>
      </c>
      <c r="AS10" t="s">
        <v>231</v>
      </c>
      <c r="AT10" t="s">
        <v>138</v>
      </c>
      <c r="AU10" t="s">
        <v>232</v>
      </c>
      <c r="AV10" t="s">
        <v>137</v>
      </c>
      <c r="AW10" t="s">
        <v>179</v>
      </c>
      <c r="AX10" t="s">
        <v>282</v>
      </c>
      <c r="AY10" t="s">
        <v>149</v>
      </c>
      <c r="AZ10" t="s">
        <v>308</v>
      </c>
      <c r="BA10" t="s">
        <v>384</v>
      </c>
      <c r="BB10" t="s">
        <v>149</v>
      </c>
      <c r="BC10" t="s">
        <v>137</v>
      </c>
      <c r="BD10" t="s">
        <v>150</v>
      </c>
      <c r="BE10" t="s">
        <v>149</v>
      </c>
      <c r="BF10" t="s">
        <v>151</v>
      </c>
      <c r="BG10" t="s">
        <v>152</v>
      </c>
      <c r="BH10" t="s">
        <v>142</v>
      </c>
      <c r="BI10" t="s">
        <v>153</v>
      </c>
      <c r="BJ10" t="s">
        <v>142</v>
      </c>
      <c r="BK10" t="s">
        <v>142</v>
      </c>
      <c r="BL10" t="s">
        <v>154</v>
      </c>
      <c r="BM10" t="s">
        <v>155</v>
      </c>
      <c r="BN10" t="s">
        <v>137</v>
      </c>
      <c r="BO10" t="s">
        <v>156</v>
      </c>
      <c r="BP10" t="s">
        <v>157</v>
      </c>
      <c r="BQ10" t="s">
        <v>158</v>
      </c>
      <c r="BR10" t="s">
        <v>145</v>
      </c>
      <c r="BS10" t="s">
        <v>159</v>
      </c>
      <c r="BT10" t="s">
        <v>160</v>
      </c>
      <c r="BU10" t="s">
        <v>160</v>
      </c>
      <c r="BV10" t="s">
        <v>160</v>
      </c>
      <c r="BW10" t="s">
        <v>142</v>
      </c>
      <c r="BX10" t="s">
        <v>161</v>
      </c>
      <c r="BY10" t="s">
        <v>142</v>
      </c>
      <c r="BZ10" t="s">
        <v>142</v>
      </c>
      <c r="CA10" t="s">
        <v>142</v>
      </c>
      <c r="CB10" t="s">
        <v>142</v>
      </c>
      <c r="CC10" t="s">
        <v>385</v>
      </c>
      <c r="CD10" t="s">
        <v>386</v>
      </c>
      <c r="CE10" t="s">
        <v>387</v>
      </c>
      <c r="CF10" t="s">
        <v>388</v>
      </c>
      <c r="CG10" t="s">
        <v>389</v>
      </c>
      <c r="CH10" t="s">
        <v>390</v>
      </c>
      <c r="CI10" t="s">
        <v>391</v>
      </c>
      <c r="CJ10" t="s">
        <v>392</v>
      </c>
      <c r="CK10" t="s">
        <v>376</v>
      </c>
      <c r="CL10" t="s">
        <v>342</v>
      </c>
      <c r="CM10" t="s">
        <v>163</v>
      </c>
      <c r="CN10" t="s">
        <v>164</v>
      </c>
      <c r="CO10" t="s">
        <v>145</v>
      </c>
      <c r="CP10" t="s">
        <v>165</v>
      </c>
      <c r="CQ10" t="s">
        <v>166</v>
      </c>
      <c r="CR10" t="s">
        <v>145</v>
      </c>
      <c r="CS10" t="s">
        <v>167</v>
      </c>
      <c r="CT10" t="s">
        <v>168</v>
      </c>
      <c r="CU10" t="s">
        <v>169</v>
      </c>
      <c r="CV10" t="s">
        <v>142</v>
      </c>
      <c r="CW10" t="s">
        <v>375</v>
      </c>
      <c r="CX10" t="s">
        <v>170</v>
      </c>
      <c r="CY10" t="s">
        <v>171</v>
      </c>
      <c r="CZ10" t="s">
        <v>172</v>
      </c>
      <c r="DA10" t="s">
        <v>173</v>
      </c>
      <c r="DB10" t="s">
        <v>174</v>
      </c>
      <c r="DC10" t="s">
        <v>175</v>
      </c>
    </row>
    <row r="11" spans="1:107" x14ac:dyDescent="0.45">
      <c r="A11" t="s">
        <v>197</v>
      </c>
      <c r="B11" t="s">
        <v>393</v>
      </c>
      <c r="C11" t="s">
        <v>138</v>
      </c>
      <c r="D11" t="s">
        <v>76</v>
      </c>
      <c r="E11" t="s">
        <v>139</v>
      </c>
      <c r="F11" t="s">
        <v>19</v>
      </c>
      <c r="G11" t="s">
        <v>198</v>
      </c>
      <c r="H11" t="s">
        <v>19</v>
      </c>
      <c r="I11" t="s">
        <v>19</v>
      </c>
      <c r="J11">
        <v>-1.8965793192771672E-2</v>
      </c>
      <c r="K11">
        <v>2.9058327199999998</v>
      </c>
      <c r="L11">
        <v>-1.9090392393410545E-2</v>
      </c>
      <c r="M11">
        <v>-0.27344706494050108</v>
      </c>
      <c r="N11" t="s">
        <v>394</v>
      </c>
      <c r="O11" t="s">
        <v>395</v>
      </c>
      <c r="P11">
        <v>4.5062363081159651</v>
      </c>
      <c r="Q11">
        <v>1.3804303081159652</v>
      </c>
      <c r="R11" t="s">
        <v>396</v>
      </c>
      <c r="S11" t="s">
        <v>397</v>
      </c>
      <c r="T11">
        <v>44.981396567338443</v>
      </c>
      <c r="U11">
        <v>0.4417875</v>
      </c>
      <c r="V11" t="s">
        <v>141</v>
      </c>
      <c r="W11" t="s">
        <v>398</v>
      </c>
      <c r="X11" t="s">
        <v>399</v>
      </c>
      <c r="Y11" t="s">
        <v>400</v>
      </c>
      <c r="Z11" t="s">
        <v>401</v>
      </c>
      <c r="AA11" t="s">
        <v>142</v>
      </c>
      <c r="AB11" t="s">
        <v>142</v>
      </c>
      <c r="AC11" t="s">
        <v>142</v>
      </c>
      <c r="AD11" t="s">
        <v>143</v>
      </c>
      <c r="AE11" t="s">
        <v>144</v>
      </c>
      <c r="AF11">
        <v>0</v>
      </c>
      <c r="AG11" t="s">
        <v>145</v>
      </c>
      <c r="AH11" t="s">
        <v>402</v>
      </c>
      <c r="AI11" t="s">
        <v>403</v>
      </c>
      <c r="AJ11" t="s">
        <v>404</v>
      </c>
      <c r="AK11" t="s">
        <v>405</v>
      </c>
      <c r="AL11">
        <v>30.98</v>
      </c>
      <c r="AM11" t="s">
        <v>356</v>
      </c>
      <c r="AN11" t="s">
        <v>146</v>
      </c>
      <c r="AO11" t="s">
        <v>279</v>
      </c>
      <c r="AP11" t="s">
        <v>280</v>
      </c>
      <c r="AQ11" t="s">
        <v>147</v>
      </c>
      <c r="AR11" t="s">
        <v>383</v>
      </c>
      <c r="AS11" t="s">
        <v>231</v>
      </c>
      <c r="AT11" t="s">
        <v>138</v>
      </c>
      <c r="AU11" t="s">
        <v>232</v>
      </c>
      <c r="AV11" t="s">
        <v>137</v>
      </c>
      <c r="AW11" t="s">
        <v>188</v>
      </c>
      <c r="AX11" t="s">
        <v>189</v>
      </c>
      <c r="AY11" t="s">
        <v>149</v>
      </c>
      <c r="AZ11" t="s">
        <v>406</v>
      </c>
      <c r="BA11" t="s">
        <v>407</v>
      </c>
      <c r="BB11" t="s">
        <v>149</v>
      </c>
      <c r="BC11" t="s">
        <v>137</v>
      </c>
      <c r="BD11" t="s">
        <v>150</v>
      </c>
      <c r="BE11" t="s">
        <v>149</v>
      </c>
      <c r="BF11" t="s">
        <v>151</v>
      </c>
      <c r="BG11" t="s">
        <v>152</v>
      </c>
      <c r="BH11" t="s">
        <v>142</v>
      </c>
      <c r="BI11" t="s">
        <v>153</v>
      </c>
      <c r="BJ11" t="s">
        <v>142</v>
      </c>
      <c r="BK11" t="s">
        <v>142</v>
      </c>
      <c r="BL11" t="s">
        <v>154</v>
      </c>
      <c r="BM11" t="s">
        <v>155</v>
      </c>
      <c r="BN11" t="s">
        <v>137</v>
      </c>
      <c r="BO11" t="s">
        <v>156</v>
      </c>
      <c r="BP11" t="s">
        <v>157</v>
      </c>
      <c r="BQ11" t="s">
        <v>158</v>
      </c>
      <c r="BR11" t="s">
        <v>145</v>
      </c>
      <c r="BS11" t="s">
        <v>159</v>
      </c>
      <c r="BT11" t="s">
        <v>160</v>
      </c>
      <c r="BU11" t="s">
        <v>160</v>
      </c>
      <c r="BV11" t="s">
        <v>160</v>
      </c>
      <c r="BW11" t="s">
        <v>142</v>
      </c>
      <c r="BX11" t="s">
        <v>161</v>
      </c>
      <c r="BY11" t="s">
        <v>142</v>
      </c>
      <c r="BZ11" t="s">
        <v>142</v>
      </c>
      <c r="CA11" t="s">
        <v>142</v>
      </c>
      <c r="CB11" t="s">
        <v>142</v>
      </c>
      <c r="CC11" t="s">
        <v>408</v>
      </c>
      <c r="CD11" t="s">
        <v>409</v>
      </c>
      <c r="CE11" t="s">
        <v>410</v>
      </c>
      <c r="CF11" t="s">
        <v>411</v>
      </c>
      <c r="CG11" t="s">
        <v>412</v>
      </c>
      <c r="CH11" t="s">
        <v>413</v>
      </c>
      <c r="CI11" t="s">
        <v>414</v>
      </c>
      <c r="CJ11" t="s">
        <v>415</v>
      </c>
      <c r="CK11" t="s">
        <v>399</v>
      </c>
      <c r="CL11" t="s">
        <v>162</v>
      </c>
      <c r="CM11" t="s">
        <v>163</v>
      </c>
      <c r="CN11" t="s">
        <v>164</v>
      </c>
      <c r="CO11" t="s">
        <v>145</v>
      </c>
      <c r="CP11" t="s">
        <v>165</v>
      </c>
      <c r="CQ11" t="s">
        <v>166</v>
      </c>
      <c r="CR11" t="s">
        <v>145</v>
      </c>
      <c r="CS11" t="s">
        <v>167</v>
      </c>
      <c r="CT11" t="s">
        <v>168</v>
      </c>
      <c r="CU11" t="s">
        <v>169</v>
      </c>
      <c r="CV11" t="s">
        <v>142</v>
      </c>
      <c r="CW11" t="s">
        <v>398</v>
      </c>
      <c r="CX11" t="s">
        <v>170</v>
      </c>
      <c r="CY11" t="s">
        <v>171</v>
      </c>
      <c r="CZ11" t="s">
        <v>172</v>
      </c>
      <c r="DA11" t="s">
        <v>173</v>
      </c>
      <c r="DB11" t="s">
        <v>174</v>
      </c>
      <c r="DC11" t="s">
        <v>175</v>
      </c>
    </row>
    <row r="12" spans="1:107" x14ac:dyDescent="0.45">
      <c r="A12" t="s">
        <v>199</v>
      </c>
      <c r="B12" t="s">
        <v>416</v>
      </c>
      <c r="C12" t="s">
        <v>138</v>
      </c>
      <c r="D12" t="s">
        <v>76</v>
      </c>
      <c r="E12" t="s">
        <v>139</v>
      </c>
      <c r="F12" t="s">
        <v>19</v>
      </c>
      <c r="G12" t="s">
        <v>200</v>
      </c>
      <c r="H12" t="s">
        <v>19</v>
      </c>
      <c r="I12" t="s">
        <v>19</v>
      </c>
      <c r="J12">
        <v>-2.008898397574432E-2</v>
      </c>
      <c r="K12">
        <v>2.9042299199999997</v>
      </c>
      <c r="L12">
        <v>-2.0228910312955158E-2</v>
      </c>
      <c r="M12">
        <v>-0.28415160305341408</v>
      </c>
      <c r="N12" t="s">
        <v>417</v>
      </c>
      <c r="O12" t="s">
        <v>418</v>
      </c>
      <c r="P12">
        <v>4.4882794815269342</v>
      </c>
      <c r="Q12">
        <v>1.353686481526934</v>
      </c>
      <c r="R12" t="s">
        <v>419</v>
      </c>
      <c r="S12" t="s">
        <v>420</v>
      </c>
      <c r="T12">
        <v>44.802150943570915</v>
      </c>
      <c r="U12">
        <v>0.4417875</v>
      </c>
      <c r="V12" t="s">
        <v>141</v>
      </c>
      <c r="W12" t="s">
        <v>421</v>
      </c>
      <c r="X12" t="s">
        <v>422</v>
      </c>
      <c r="Y12" t="s">
        <v>423</v>
      </c>
      <c r="Z12" t="s">
        <v>424</v>
      </c>
      <c r="AA12" t="s">
        <v>142</v>
      </c>
      <c r="AB12" t="s">
        <v>142</v>
      </c>
      <c r="AC12" t="s">
        <v>142</v>
      </c>
      <c r="AD12" t="s">
        <v>143</v>
      </c>
      <c r="AE12" t="s">
        <v>144</v>
      </c>
      <c r="AF12">
        <v>0</v>
      </c>
      <c r="AG12" t="s">
        <v>145</v>
      </c>
      <c r="AH12" t="s">
        <v>425</v>
      </c>
      <c r="AI12" t="s">
        <v>426</v>
      </c>
      <c r="AJ12" t="s">
        <v>427</v>
      </c>
      <c r="AK12" t="s">
        <v>428</v>
      </c>
      <c r="AL12">
        <v>30.91</v>
      </c>
      <c r="AM12" t="s">
        <v>356</v>
      </c>
      <c r="AN12" t="s">
        <v>178</v>
      </c>
      <c r="AO12" t="s">
        <v>279</v>
      </c>
      <c r="AP12" t="s">
        <v>331</v>
      </c>
      <c r="AQ12" t="s">
        <v>147</v>
      </c>
      <c r="AR12" t="s">
        <v>383</v>
      </c>
      <c r="AS12" t="s">
        <v>231</v>
      </c>
      <c r="AT12" t="s">
        <v>138</v>
      </c>
      <c r="AU12" t="s">
        <v>232</v>
      </c>
      <c r="AV12" t="s">
        <v>137</v>
      </c>
      <c r="AW12" t="s">
        <v>333</v>
      </c>
      <c r="AX12" t="s">
        <v>308</v>
      </c>
      <c r="AY12" t="s">
        <v>149</v>
      </c>
      <c r="AZ12" t="s">
        <v>429</v>
      </c>
      <c r="BA12" t="s">
        <v>430</v>
      </c>
      <c r="BB12" t="s">
        <v>149</v>
      </c>
      <c r="BC12" t="s">
        <v>137</v>
      </c>
      <c r="BD12" t="s">
        <v>150</v>
      </c>
      <c r="BE12" t="s">
        <v>149</v>
      </c>
      <c r="BF12" t="s">
        <v>151</v>
      </c>
      <c r="BG12" t="s">
        <v>152</v>
      </c>
      <c r="BH12" t="s">
        <v>142</v>
      </c>
      <c r="BI12" t="s">
        <v>153</v>
      </c>
      <c r="BJ12" t="s">
        <v>142</v>
      </c>
      <c r="BK12" t="s">
        <v>142</v>
      </c>
      <c r="BL12" t="s">
        <v>154</v>
      </c>
      <c r="BM12" t="s">
        <v>155</v>
      </c>
      <c r="BN12" t="s">
        <v>137</v>
      </c>
      <c r="BO12" t="s">
        <v>156</v>
      </c>
      <c r="BP12" t="s">
        <v>157</v>
      </c>
      <c r="BQ12" t="s">
        <v>158</v>
      </c>
      <c r="BR12" t="s">
        <v>145</v>
      </c>
      <c r="BS12" t="s">
        <v>159</v>
      </c>
      <c r="BT12" t="s">
        <v>160</v>
      </c>
      <c r="BU12" t="s">
        <v>160</v>
      </c>
      <c r="BV12" t="s">
        <v>160</v>
      </c>
      <c r="BW12" t="s">
        <v>142</v>
      </c>
      <c r="BX12" t="s">
        <v>161</v>
      </c>
      <c r="BY12" t="s">
        <v>142</v>
      </c>
      <c r="BZ12" t="s">
        <v>142</v>
      </c>
      <c r="CA12" t="s">
        <v>142</v>
      </c>
      <c r="CB12" t="s">
        <v>142</v>
      </c>
      <c r="CC12" t="s">
        <v>431</v>
      </c>
      <c r="CD12" t="s">
        <v>432</v>
      </c>
      <c r="CE12" t="s">
        <v>433</v>
      </c>
      <c r="CF12" t="s">
        <v>434</v>
      </c>
      <c r="CG12" t="s">
        <v>435</v>
      </c>
      <c r="CH12" t="s">
        <v>436</v>
      </c>
      <c r="CI12" t="s">
        <v>437</v>
      </c>
      <c r="CJ12" t="s">
        <v>438</v>
      </c>
      <c r="CK12" t="s">
        <v>422</v>
      </c>
      <c r="CL12" t="s">
        <v>201</v>
      </c>
      <c r="CM12" t="s">
        <v>163</v>
      </c>
      <c r="CN12" t="s">
        <v>164</v>
      </c>
      <c r="CO12" t="s">
        <v>145</v>
      </c>
      <c r="CP12" t="s">
        <v>165</v>
      </c>
      <c r="CQ12" t="s">
        <v>166</v>
      </c>
      <c r="CR12" t="s">
        <v>145</v>
      </c>
      <c r="CS12" t="s">
        <v>167</v>
      </c>
      <c r="CT12" t="s">
        <v>168</v>
      </c>
      <c r="CU12" t="s">
        <v>169</v>
      </c>
      <c r="CV12" t="s">
        <v>142</v>
      </c>
      <c r="CW12" t="s">
        <v>421</v>
      </c>
      <c r="CX12" t="s">
        <v>170</v>
      </c>
      <c r="CY12" t="s">
        <v>171</v>
      </c>
      <c r="CZ12" t="s">
        <v>172</v>
      </c>
      <c r="DA12" t="s">
        <v>173</v>
      </c>
      <c r="DB12" t="s">
        <v>174</v>
      </c>
      <c r="DC12" t="s">
        <v>175</v>
      </c>
    </row>
    <row r="13" spans="1:107" x14ac:dyDescent="0.45">
      <c r="A13" t="s">
        <v>202</v>
      </c>
      <c r="B13" t="s">
        <v>439</v>
      </c>
      <c r="C13" t="s">
        <v>138</v>
      </c>
      <c r="D13" t="s">
        <v>76</v>
      </c>
      <c r="E13" t="s">
        <v>139</v>
      </c>
      <c r="F13" t="s">
        <v>19</v>
      </c>
      <c r="G13" t="s">
        <v>203</v>
      </c>
      <c r="H13" t="s">
        <v>19</v>
      </c>
      <c r="I13" t="s">
        <v>19</v>
      </c>
      <c r="J13">
        <v>-1.9969085050041701E-2</v>
      </c>
      <c r="K13">
        <v>2.9042299199999997</v>
      </c>
      <c r="L13">
        <v>-2.0107340353758957E-2</v>
      </c>
      <c r="M13">
        <v>-0.28626499178555309</v>
      </c>
      <c r="N13" t="s">
        <v>440</v>
      </c>
      <c r="O13" t="s">
        <v>441</v>
      </c>
      <c r="P13">
        <v>4.5139512266519732</v>
      </c>
      <c r="Q13">
        <v>1.3716532266519734</v>
      </c>
      <c r="R13" t="s">
        <v>442</v>
      </c>
      <c r="S13" t="s">
        <v>443</v>
      </c>
      <c r="T13">
        <v>45.058407133679104</v>
      </c>
      <c r="U13">
        <v>0.4417875</v>
      </c>
      <c r="V13" t="s">
        <v>141</v>
      </c>
      <c r="W13" t="s">
        <v>444</v>
      </c>
      <c r="X13" t="s">
        <v>445</v>
      </c>
      <c r="Y13" t="s">
        <v>446</v>
      </c>
      <c r="Z13" t="s">
        <v>447</v>
      </c>
      <c r="AA13" t="s">
        <v>142</v>
      </c>
      <c r="AB13" t="s">
        <v>142</v>
      </c>
      <c r="AC13" t="s">
        <v>142</v>
      </c>
      <c r="AD13" t="s">
        <v>143</v>
      </c>
      <c r="AE13" t="s">
        <v>144</v>
      </c>
      <c r="AF13">
        <v>0</v>
      </c>
      <c r="AG13" t="s">
        <v>145</v>
      </c>
      <c r="AH13" t="s">
        <v>425</v>
      </c>
      <c r="AI13" t="s">
        <v>302</v>
      </c>
      <c r="AJ13" t="s">
        <v>448</v>
      </c>
      <c r="AK13" t="s">
        <v>355</v>
      </c>
      <c r="AL13">
        <v>31.01</v>
      </c>
      <c r="AM13" t="s">
        <v>356</v>
      </c>
      <c r="AN13" t="s">
        <v>178</v>
      </c>
      <c r="AO13" t="s">
        <v>449</v>
      </c>
      <c r="AP13" t="s">
        <v>205</v>
      </c>
      <c r="AQ13" t="s">
        <v>147</v>
      </c>
      <c r="AR13" t="s">
        <v>450</v>
      </c>
      <c r="AS13" t="s">
        <v>231</v>
      </c>
      <c r="AT13" t="s">
        <v>138</v>
      </c>
      <c r="AU13" t="s">
        <v>232</v>
      </c>
      <c r="AV13" t="s">
        <v>137</v>
      </c>
      <c r="AW13" t="s">
        <v>451</v>
      </c>
      <c r="AX13" t="s">
        <v>148</v>
      </c>
      <c r="AY13" t="s">
        <v>149</v>
      </c>
      <c r="AZ13" t="s">
        <v>452</v>
      </c>
      <c r="BA13" t="s">
        <v>453</v>
      </c>
      <c r="BB13" t="s">
        <v>149</v>
      </c>
      <c r="BC13" t="s">
        <v>137</v>
      </c>
      <c r="BD13" t="s">
        <v>150</v>
      </c>
      <c r="BE13" t="s">
        <v>149</v>
      </c>
      <c r="BF13" t="s">
        <v>151</v>
      </c>
      <c r="BG13" t="s">
        <v>152</v>
      </c>
      <c r="BH13" t="s">
        <v>142</v>
      </c>
      <c r="BI13" t="s">
        <v>153</v>
      </c>
      <c r="BJ13" t="s">
        <v>142</v>
      </c>
      <c r="BK13" t="s">
        <v>142</v>
      </c>
      <c r="BL13" t="s">
        <v>154</v>
      </c>
      <c r="BM13" t="s">
        <v>155</v>
      </c>
      <c r="BN13" t="s">
        <v>137</v>
      </c>
      <c r="BO13" t="s">
        <v>156</v>
      </c>
      <c r="BP13" t="s">
        <v>157</v>
      </c>
      <c r="BQ13" t="s">
        <v>158</v>
      </c>
      <c r="BR13" t="s">
        <v>145</v>
      </c>
      <c r="BS13" t="s">
        <v>159</v>
      </c>
      <c r="BT13" t="s">
        <v>160</v>
      </c>
      <c r="BU13" t="s">
        <v>160</v>
      </c>
      <c r="BV13" t="s">
        <v>160</v>
      </c>
      <c r="BW13" t="s">
        <v>142</v>
      </c>
      <c r="BX13" t="s">
        <v>161</v>
      </c>
      <c r="BY13" t="s">
        <v>142</v>
      </c>
      <c r="BZ13" t="s">
        <v>142</v>
      </c>
      <c r="CA13" t="s">
        <v>142</v>
      </c>
      <c r="CB13" t="s">
        <v>142</v>
      </c>
      <c r="CC13" t="s">
        <v>454</v>
      </c>
      <c r="CD13" t="s">
        <v>432</v>
      </c>
      <c r="CE13" t="s">
        <v>455</v>
      </c>
      <c r="CF13" t="s">
        <v>456</v>
      </c>
      <c r="CG13" t="s">
        <v>457</v>
      </c>
      <c r="CH13" t="s">
        <v>458</v>
      </c>
      <c r="CI13" t="s">
        <v>459</v>
      </c>
      <c r="CJ13" t="s">
        <v>212</v>
      </c>
      <c r="CK13" t="s">
        <v>445</v>
      </c>
      <c r="CL13" t="s">
        <v>217</v>
      </c>
      <c r="CM13" t="s">
        <v>163</v>
      </c>
      <c r="CN13" t="s">
        <v>164</v>
      </c>
      <c r="CO13" t="s">
        <v>145</v>
      </c>
      <c r="CP13" t="s">
        <v>165</v>
      </c>
      <c r="CQ13" t="s">
        <v>166</v>
      </c>
      <c r="CR13" t="s">
        <v>145</v>
      </c>
      <c r="CS13" t="s">
        <v>167</v>
      </c>
      <c r="CT13" t="s">
        <v>168</v>
      </c>
      <c r="CU13" t="s">
        <v>169</v>
      </c>
      <c r="CV13" t="s">
        <v>142</v>
      </c>
      <c r="CW13" t="s">
        <v>444</v>
      </c>
      <c r="CX13" t="s">
        <v>170</v>
      </c>
      <c r="CY13" t="s">
        <v>171</v>
      </c>
      <c r="CZ13" t="s">
        <v>172</v>
      </c>
      <c r="DA13" t="s">
        <v>173</v>
      </c>
      <c r="DB13" t="s">
        <v>174</v>
      </c>
      <c r="DC13" t="s">
        <v>175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BBAC3-A5B0-4C43-8CFE-1C726A3D9F3C}">
  <dimension ref="A1:L11"/>
  <sheetViews>
    <sheetView workbookViewId="0">
      <selection activeCell="G4" sqref="G4"/>
    </sheetView>
  </sheetViews>
  <sheetFormatPr defaultRowHeight="19.2" x14ac:dyDescent="0.45"/>
  <cols>
    <col min="1" max="1" width="11.7265625" bestFit="1" customWidth="1"/>
  </cols>
  <sheetData>
    <row r="1" spans="1:12" x14ac:dyDescent="0.45">
      <c r="A1" t="s">
        <v>14</v>
      </c>
      <c r="B1" t="s">
        <v>460</v>
      </c>
      <c r="C1" t="s">
        <v>34</v>
      </c>
      <c r="D1" t="s">
        <v>35</v>
      </c>
      <c r="E1" t="s">
        <v>36</v>
      </c>
    </row>
    <row r="2" spans="1:12" x14ac:dyDescent="0.45">
      <c r="A2" t="s">
        <v>138</v>
      </c>
      <c r="B2">
        <v>1</v>
      </c>
      <c r="C2">
        <v>90.141174000000007</v>
      </c>
      <c r="D2">
        <v>536.47289999999998</v>
      </c>
      <c r="E2">
        <v>0.83197399999999999</v>
      </c>
    </row>
    <row r="3" spans="1:12" x14ac:dyDescent="0.45">
      <c r="A3" t="s">
        <v>138</v>
      </c>
      <c r="B3">
        <v>2</v>
      </c>
      <c r="C3">
        <v>88.576553000000004</v>
      </c>
      <c r="D3">
        <v>536.63958700000001</v>
      </c>
      <c r="E3">
        <v>0.83494199999999996</v>
      </c>
      <c r="G3" s="12"/>
      <c r="H3" s="13"/>
      <c r="I3" s="13"/>
      <c r="J3" s="13"/>
      <c r="K3" s="13"/>
      <c r="L3" s="13"/>
    </row>
    <row r="4" spans="1:12" x14ac:dyDescent="0.45">
      <c r="A4" t="s">
        <v>138</v>
      </c>
      <c r="B4">
        <v>3</v>
      </c>
      <c r="C4">
        <v>97.626328000000001</v>
      </c>
      <c r="D4">
        <v>552.84405500000003</v>
      </c>
      <c r="E4">
        <v>0.823411</v>
      </c>
      <c r="G4" s="13"/>
      <c r="H4" s="13"/>
      <c r="I4" s="13"/>
      <c r="J4" s="13"/>
      <c r="K4" s="12"/>
      <c r="L4" s="13"/>
    </row>
    <row r="5" spans="1:12" x14ac:dyDescent="0.45">
      <c r="A5" t="s">
        <v>138</v>
      </c>
      <c r="B5">
        <v>4</v>
      </c>
      <c r="C5">
        <v>84.204193000000004</v>
      </c>
      <c r="D5">
        <v>533.53070100000002</v>
      </c>
      <c r="E5">
        <v>0.84217600000000004</v>
      </c>
      <c r="G5" s="13"/>
      <c r="H5" s="13"/>
      <c r="I5" s="13"/>
      <c r="J5" s="13"/>
      <c r="K5" s="13"/>
      <c r="L5" s="13"/>
    </row>
    <row r="6" spans="1:12" x14ac:dyDescent="0.45">
      <c r="A6" t="s">
        <v>138</v>
      </c>
      <c r="B6">
        <v>5</v>
      </c>
      <c r="C6">
        <v>86.667891999999995</v>
      </c>
      <c r="D6">
        <v>531.71362299999998</v>
      </c>
      <c r="E6">
        <v>0.83700300000000005</v>
      </c>
      <c r="G6" s="13"/>
      <c r="H6" s="13"/>
      <c r="I6" s="13"/>
      <c r="J6" s="13"/>
      <c r="K6" s="13"/>
      <c r="L6" s="13"/>
    </row>
    <row r="7" spans="1:12" x14ac:dyDescent="0.45">
      <c r="A7" t="s">
        <v>138</v>
      </c>
      <c r="B7">
        <v>6</v>
      </c>
      <c r="C7">
        <v>91.202613999999997</v>
      </c>
      <c r="D7">
        <v>539.17156999999997</v>
      </c>
      <c r="E7">
        <v>0.830847</v>
      </c>
      <c r="G7" s="13"/>
      <c r="H7" s="13"/>
      <c r="I7" s="13"/>
      <c r="J7" s="13"/>
      <c r="K7" s="13"/>
      <c r="L7" s="13"/>
    </row>
    <row r="8" spans="1:12" x14ac:dyDescent="0.45">
      <c r="A8" t="s">
        <v>138</v>
      </c>
      <c r="B8">
        <v>7</v>
      </c>
      <c r="C8">
        <v>85.278152000000006</v>
      </c>
      <c r="D8">
        <v>529.67797900000005</v>
      </c>
      <c r="E8">
        <v>0.83899999999999997</v>
      </c>
    </row>
    <row r="9" spans="1:12" x14ac:dyDescent="0.45">
      <c r="A9" t="s">
        <v>138</v>
      </c>
      <c r="B9">
        <v>8</v>
      </c>
      <c r="C9">
        <v>97.165702999999993</v>
      </c>
      <c r="D9">
        <v>521.10955799999999</v>
      </c>
      <c r="E9">
        <v>0.81354099999999996</v>
      </c>
    </row>
    <row r="10" spans="1:12" x14ac:dyDescent="0.45">
      <c r="A10" t="s">
        <v>138</v>
      </c>
      <c r="B10">
        <v>9</v>
      </c>
      <c r="C10">
        <v>94.137314000000003</v>
      </c>
      <c r="D10">
        <v>539.52453600000001</v>
      </c>
      <c r="E10">
        <v>0.82551799999999997</v>
      </c>
    </row>
    <row r="11" spans="1:12" x14ac:dyDescent="0.45">
      <c r="A11" t="s">
        <v>138</v>
      </c>
      <c r="B11">
        <v>10</v>
      </c>
      <c r="C11">
        <v>99.715232999999998</v>
      </c>
      <c r="D11">
        <v>546.71075399999995</v>
      </c>
      <c r="E11">
        <v>0.81760900000000003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D0A0B4-1716-4FE3-B85C-87608F819D8D}">
  <dimension ref="A1:U2"/>
  <sheetViews>
    <sheetView tabSelected="1" workbookViewId="0">
      <selection activeCell="D2" sqref="D2"/>
    </sheetView>
  </sheetViews>
  <sheetFormatPr defaultRowHeight="19.2" x14ac:dyDescent="0.45"/>
  <sheetData>
    <row r="1" spans="1:21" ht="19.8" thickBot="1" x14ac:dyDescent="0.5">
      <c r="A1" s="1" t="s">
        <v>34</v>
      </c>
      <c r="B1" s="1" t="s">
        <v>35</v>
      </c>
      <c r="C1" s="1" t="s">
        <v>36</v>
      </c>
      <c r="D1" s="2" t="s">
        <v>37</v>
      </c>
      <c r="E1" s="2" t="s">
        <v>38</v>
      </c>
      <c r="F1" s="3" t="s">
        <v>461</v>
      </c>
      <c r="G1" s="2" t="s">
        <v>42</v>
      </c>
      <c r="H1" s="3" t="s">
        <v>462</v>
      </c>
      <c r="I1" s="3" t="s">
        <v>463</v>
      </c>
      <c r="J1" s="3" t="s">
        <v>464</v>
      </c>
      <c r="K1" s="3" t="s">
        <v>465</v>
      </c>
      <c r="L1" s="3" t="s">
        <v>466</v>
      </c>
      <c r="M1" s="3" t="s">
        <v>39</v>
      </c>
      <c r="N1" s="3" t="s">
        <v>467</v>
      </c>
      <c r="O1" s="4" t="s">
        <v>468</v>
      </c>
      <c r="P1" s="5" t="s">
        <v>469</v>
      </c>
      <c r="Q1" s="5" t="s">
        <v>470</v>
      </c>
      <c r="R1" s="5" t="s">
        <v>471</v>
      </c>
      <c r="S1" s="5" t="s">
        <v>472</v>
      </c>
      <c r="T1" s="5" t="s">
        <v>473</v>
      </c>
      <c r="U1" s="2" t="s">
        <v>474</v>
      </c>
    </row>
    <row r="2" spans="1:21" ht="19.8" thickTop="1" x14ac:dyDescent="0.45">
      <c r="A2">
        <v>91.471515600000004</v>
      </c>
      <c r="B2">
        <v>536.73952629999997</v>
      </c>
      <c r="C2">
        <v>0.82960210000000001</v>
      </c>
      <c r="D2">
        <v>114.80769230769229</v>
      </c>
      <c r="E2">
        <v>375.15692307692302</v>
      </c>
      <c r="F2" s="7">
        <f>(B2-E2)/E2</f>
        <v>0.43070670773666009</v>
      </c>
      <c r="G2">
        <v>189.1146153846154</v>
      </c>
      <c r="H2" s="6">
        <f>IF(T2&lt;&gt;0, T2, R2)</f>
        <v>85.21470183400082</v>
      </c>
      <c r="I2" s="7">
        <f>1-H2/E2</f>
        <v>0.77285584620138226</v>
      </c>
      <c r="J2" s="6">
        <f>(E2-D2)/(E2-H2)</f>
        <v>0.89793487010331774</v>
      </c>
      <c r="K2" s="6">
        <f>(B2-E2)/(B2-H2)</f>
        <v>0.3578598439502732</v>
      </c>
      <c r="L2" s="6">
        <f>(J2*H2/D2)</f>
        <v>0.66648192890364111</v>
      </c>
      <c r="M2">
        <v>0.69153846153846144</v>
      </c>
      <c r="N2" s="7">
        <f>1/(F2+1+L2*S2)</f>
        <v>0.2139024136919857</v>
      </c>
      <c r="O2" s="8">
        <f>1-M2-N2</f>
        <v>9.455912476955286E-2</v>
      </c>
      <c r="P2" s="9">
        <f>(E2-D2)/(E2-H2)</f>
        <v>0.89793487010331774</v>
      </c>
      <c r="Q2" s="9">
        <f>(B2-E2)/(B2-A2)</f>
        <v>0.36288841628001761</v>
      </c>
      <c r="R2" s="10">
        <f>A2/(C2+A2/E2)</f>
        <v>85.21470183400082</v>
      </c>
      <c r="S2" s="9">
        <f>B2/A2-1</f>
        <v>4.867832437008401</v>
      </c>
      <c r="T2" s="11">
        <v>0</v>
      </c>
      <c r="U2">
        <v>665.23076923076928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dark</vt:lpstr>
      <vt:lpstr>정리</vt:lpstr>
      <vt:lpstr>형광 계산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윤정민</cp:lastModifiedBy>
  <dcterms:modified xsi:type="dcterms:W3CDTF">2026-08-19T12:39:48Z</dcterms:modified>
</cp:coreProperties>
</file>