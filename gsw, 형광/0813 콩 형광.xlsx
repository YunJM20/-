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7" documentId="11_9E7F43203E10FC71A26102D0C094A6B3A12EADEB" xr6:coauthVersionLast="47" xr6:coauthVersionMax="47" xr10:uidLastSave="{324DF46E-31CA-4ED6-A12F-B1B86457D800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AF21" i="1"/>
  <c r="U21" i="1"/>
  <c r="P21" i="1"/>
  <c r="T21" i="1" s="1"/>
  <c r="M21" i="1"/>
  <c r="L21" i="1" s="1"/>
  <c r="J21" i="1" s="1"/>
  <c r="K21" i="1"/>
  <c r="AL20" i="1"/>
  <c r="P20" i="1" s="1"/>
  <c r="AF20" i="1"/>
  <c r="U20" i="1"/>
  <c r="M20" i="1" s="1"/>
  <c r="K20" i="1"/>
  <c r="AL19" i="1"/>
  <c r="P19" i="1" s="1"/>
  <c r="AF19" i="1"/>
  <c r="U19" i="1"/>
  <c r="M19" i="1"/>
  <c r="K19" i="1"/>
  <c r="AL18" i="1"/>
  <c r="P18" i="1" s="1"/>
  <c r="AF18" i="1"/>
  <c r="U18" i="1"/>
  <c r="M18" i="1"/>
  <c r="K18" i="1"/>
  <c r="AL17" i="1"/>
  <c r="AF17" i="1"/>
  <c r="U17" i="1"/>
  <c r="M17" i="1" s="1"/>
  <c r="P17" i="1"/>
  <c r="T17" i="1" s="1"/>
  <c r="K17" i="1"/>
  <c r="AL16" i="1"/>
  <c r="AF16" i="1"/>
  <c r="U16" i="1"/>
  <c r="P16" i="1"/>
  <c r="Q16" i="1" s="1"/>
  <c r="M16" i="1"/>
  <c r="K16" i="1"/>
  <c r="AL15" i="1"/>
  <c r="AF15" i="1"/>
  <c r="U15" i="1"/>
  <c r="P15" i="1"/>
  <c r="T15" i="1" s="1"/>
  <c r="M15" i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AF12" i="1"/>
  <c r="U12" i="1"/>
  <c r="P12" i="1"/>
  <c r="T12" i="1" s="1"/>
  <c r="M12" i="1"/>
  <c r="L12" i="1" s="1"/>
  <c r="J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AF8" i="1"/>
  <c r="U8" i="1"/>
  <c r="M8" i="1" s="1"/>
  <c r="P8" i="1"/>
  <c r="T8" i="1" s="1"/>
  <c r="K8" i="1"/>
  <c r="AL7" i="1"/>
  <c r="AF7" i="1"/>
  <c r="U7" i="1"/>
  <c r="P7" i="1"/>
  <c r="Q7" i="1" s="1"/>
  <c r="M7" i="1"/>
  <c r="K7" i="1"/>
  <c r="AL6" i="1"/>
  <c r="AF6" i="1"/>
  <c r="U6" i="1"/>
  <c r="P6" i="1"/>
  <c r="T6" i="1" s="1"/>
  <c r="M6" i="1"/>
  <c r="L6" i="1" s="1"/>
  <c r="J6" i="1" s="1"/>
  <c r="K6" i="1"/>
  <c r="AL5" i="1"/>
  <c r="P5" i="1" s="1"/>
  <c r="AF5" i="1"/>
  <c r="U5" i="1"/>
  <c r="M5" i="1" s="1"/>
  <c r="K5" i="1"/>
  <c r="AL4" i="1"/>
  <c r="P4" i="1" s="1"/>
  <c r="AF4" i="1"/>
  <c r="U4" i="1"/>
  <c r="M4" i="1" s="1"/>
  <c r="K4" i="1"/>
  <c r="T11" i="1" l="1"/>
  <c r="Q11" i="1"/>
  <c r="L8" i="1"/>
  <c r="J8" i="1" s="1"/>
  <c r="L16" i="1"/>
  <c r="J16" i="1" s="1"/>
  <c r="T19" i="1"/>
  <c r="L19" i="1" s="1"/>
  <c r="J19" i="1" s="1"/>
  <c r="Q19" i="1"/>
  <c r="T18" i="1"/>
  <c r="L18" i="1" s="1"/>
  <c r="J18" i="1" s="1"/>
  <c r="Q18" i="1"/>
  <c r="T5" i="1"/>
  <c r="L5" i="1" s="1"/>
  <c r="J5" i="1" s="1"/>
  <c r="Q5" i="1"/>
  <c r="T20" i="1"/>
  <c r="Q20" i="1"/>
  <c r="T14" i="1"/>
  <c r="Q14" i="1"/>
  <c r="T4" i="1"/>
  <c r="L4" i="1" s="1"/>
  <c r="J4" i="1" s="1"/>
  <c r="Q4" i="1"/>
  <c r="Q9" i="1"/>
  <c r="T9" i="1"/>
  <c r="L9" i="1" s="1"/>
  <c r="J9" i="1" s="1"/>
  <c r="Q10" i="1"/>
  <c r="T10" i="1"/>
  <c r="L10" i="1" s="1"/>
  <c r="J10" i="1" s="1"/>
  <c r="L11" i="1"/>
  <c r="J11" i="1" s="1"/>
  <c r="L15" i="1"/>
  <c r="J15" i="1" s="1"/>
  <c r="L20" i="1"/>
  <c r="J20" i="1" s="1"/>
  <c r="Q13" i="1"/>
  <c r="T13" i="1"/>
  <c r="L13" i="1" s="1"/>
  <c r="J13" i="1" s="1"/>
  <c r="L17" i="1"/>
  <c r="J17" i="1" s="1"/>
  <c r="L14" i="1"/>
  <c r="J14" i="1" s="1"/>
  <c r="L7" i="1"/>
  <c r="J7" i="1" s="1"/>
  <c r="Q6" i="1"/>
  <c r="Q15" i="1"/>
  <c r="Q8" i="1"/>
  <c r="Q17" i="1"/>
  <c r="Q12" i="1"/>
  <c r="Q21" i="1"/>
  <c r="T7" i="1"/>
  <c r="T16" i="1"/>
</calcChain>
</file>

<file path=xl/sharedStrings.xml><?xml version="1.0" encoding="utf-8"?>
<sst xmlns="http://schemas.openxmlformats.org/spreadsheetml/2006/main" count="2090" uniqueCount="707">
  <si>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</si>
  <si>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</si>
  <si>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</si>
  <si>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</si>
  <si>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</si>
  <si>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</si>
  <si>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</si>
  <si>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</si>
  <si>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</si>
  <si>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</si>
  <si>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</si>
  <si>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</si>
  <si>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</si>
  <si>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</si>
  <si>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</si>
  <si>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</si>
  <si>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</si>
  <si>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</si>
  <si>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</si>
  <si>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</si>
  <si>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</si>
  <si>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</si>
  <si>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</si>
  <si>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</si>
  <si>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</si>
  <si>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</si>
  <si>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</si>
  <si>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</si>
  <si>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</si>
  <si>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</si>
  <si>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</si>
  <si>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</si>
  <si>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</si>
  <si>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</si>
  <si>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</si>
  <si>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</si>
  <si>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</si>
  <si>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</si>
  <si>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</si>
  <si>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</si>
  <si>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</si>
  <si>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</si>
  <si>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</si>
  <si>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</si>
  <si>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</si>
  <si>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</si>
  <si>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</si>
  <si>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</si>
  <si>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</si>
  <si>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</si>
  <si>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</si>
  <si>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</si>
  <si>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</si>
  <si>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</si>
  <si>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</si>
  <si>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</si>
  <si>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</si>
  <si>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</si>
  <si>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</si>
  <si>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</si>
  <si>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</si>
  <si>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</si>
  <si>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</si>
  <si>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</si>
  <si>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</si>
  <si>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</si>
  <si>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</si>
  <si>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</si>
  <si>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</si>
  <si>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</si>
  <si>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</si>
  <si>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</si>
  <si>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</si>
  <si>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</si>
  <si>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</si>
  <si>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</si>
  <si>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</si>
  <si>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</si>
  <si>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</si>
  <si>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</si>
  <si>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</si>
  <si>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</si>
  <si>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</si>
  <si>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</si>
  <si>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</si>
  <si>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</si>
  <si>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</si>
  <si>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</si>
  <si>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</si>
  <si>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</si>
  <si>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</si>
  <si>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</si>
  <si>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</si>
  <si>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</si>
  <si>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</si>
  <si>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</si>
  <si>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</si>
  <si>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</si>
  <si>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</si>
  <si>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</si>
  <si>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</si>
  <si>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</si>
  <si>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</si>
  <si>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</si>
  <si>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</si>
  <si>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</si>
  <si>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</si>
  <si>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</si>
  <si>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</si>
  <si>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</si>
  <si>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</si>
  <si>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</si>
  <si>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</si>
  <si>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</si>
  <si>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</si>
  <si>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</si>
  <si>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</si>
  <si>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</si>
  <si>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</si>
  <si>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</si>
  <si>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</si>
  <si>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</si>
  <si>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</si>
  <si>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</si>
  <si>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</si>
  <si>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</si>
  <si>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</si>
  <si>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</si>
  <si>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</si>
  <si>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</si>
  <si>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</si>
  <si>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</si>
  <si>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</si>
  <si>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</si>
  <si>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</si>
  <si>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</si>
  <si>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</si>
  <si>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</si>
  <si>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20:17:20</t>
  </si>
  <si>
    <t>2026-08-13</t>
  </si>
  <si>
    <t>Moon</t>
  </si>
  <si>
    <t>001</t>
  </si>
  <si>
    <t>1.153252</t>
  </si>
  <si>
    <t>1.105291</t>
  </si>
  <si>
    <t>11.037654</t>
  </si>
  <si>
    <t>11.516594</t>
  </si>
  <si>
    <t>7.500000</t>
  </si>
  <si>
    <t>PSF-01106_20260813201720_f9b</t>
  </si>
  <si>
    <t>103.821518</t>
  </si>
  <si>
    <t>605.753296</t>
  </si>
  <si>
    <t>0.828608</t>
  </si>
  <si>
    <t>0.000000</t>
  </si>
  <si>
    <t>0.5</t>
  </si>
  <si>
    <t>0.84</t>
  </si>
  <si>
    <t>1.000000</t>
  </si>
  <si>
    <t>33.86</t>
  </si>
  <si>
    <t>32.45</t>
  </si>
  <si>
    <t>26.16</t>
  </si>
  <si>
    <t>27.09</t>
  </si>
  <si>
    <t>100.14</t>
  </si>
  <si>
    <t>156.2</t>
  </si>
  <si>
    <t>146.1</t>
  </si>
  <si>
    <t>6.5</t>
  </si>
  <si>
    <t>-0</t>
  </si>
  <si>
    <t>3.993</t>
  </si>
  <si>
    <t>20:17:07</t>
  </si>
  <si>
    <t>-1.73</t>
  </si>
  <si>
    <t>-0.026</t>
  </si>
  <si>
    <t>-0.128</t>
  </si>
  <si>
    <t>-9999.000</t>
  </si>
  <si>
    <t>0.034</t>
  </si>
  <si>
    <t>0.512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</si>
  <si>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</si>
  <si>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</si>
  <si>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</si>
  <si>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</si>
  <si>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</si>
  <si>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</si>
  <si>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</si>
  <si>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</si>
  <si>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</si>
  <si>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</si>
  <si>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</si>
  <si>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</si>
  <si>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2.479036</t>
  </si>
  <si>
    <t>2.423896</t>
  </si>
  <si>
    <t>1.671665</t>
  </si>
  <si>
    <t>0.918634</t>
  </si>
  <si>
    <t>0.260422</t>
  </si>
  <si>
    <t>0.012005</t>
  </si>
  <si>
    <t>0.090273</t>
  </si>
  <si>
    <t>0.107032</t>
  </si>
  <si>
    <t>0.000226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</si>
  <si>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</si>
  <si>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</si>
  <si>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</si>
  <si>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</si>
  <si>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</si>
  <si>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</si>
  <si>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</si>
  <si>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</si>
  <si>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</si>
  <si>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</si>
  <si>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</si>
  <si>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</si>
  <si>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</si>
  <si>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</si>
  <si>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20:17:42</t>
  </si>
  <si>
    <t>002</t>
  </si>
  <si>
    <t>1.258359</t>
  </si>
  <si>
    <t>1.206565</t>
  </si>
  <si>
    <t>12.049148</t>
  </si>
  <si>
    <t>12.566370</t>
  </si>
  <si>
    <t>PSF-01106_20260813201742_00d</t>
  </si>
  <si>
    <t>113.915565</t>
  </si>
  <si>
    <t>672.179077</t>
  </si>
  <si>
    <t>0.830528</t>
  </si>
  <si>
    <t>36.82</t>
  </si>
  <si>
    <t>35.31</t>
  </si>
  <si>
    <t>26.21</t>
  </si>
  <si>
    <t>155.8</t>
  </si>
  <si>
    <t>152.4</t>
  </si>
  <si>
    <t>2.1</t>
  </si>
  <si>
    <t>3.992</t>
  </si>
  <si>
    <t>-0.025</t>
  </si>
  <si>
    <t>-0.089</t>
  </si>
  <si>
    <t>0.060</t>
  </si>
  <si>
    <t>0.625</t>
  </si>
  <si>
    <t>2.483339</t>
  </si>
  <si>
    <t>2.427926</t>
  </si>
  <si>
    <t>1.668040</t>
  </si>
  <si>
    <t>0.934896</t>
  </si>
  <si>
    <t>0.259840</t>
  </si>
  <si>
    <t>0.000825</t>
  </si>
  <si>
    <t>0.094126</t>
  </si>
  <si>
    <t>0.107033</t>
  </si>
  <si>
    <t>0.000228</t>
  </si>
  <si>
    <t>3</t>
  </si>
  <si>
    <t>20:17:59</t>
  </si>
  <si>
    <t>003</t>
  </si>
  <si>
    <t>1.329172</t>
  </si>
  <si>
    <t>1.276745</t>
  </si>
  <si>
    <t>12.748613</t>
  </si>
  <si>
    <t>13.272106</t>
  </si>
  <si>
    <t>PSF-01106_20260813201759_a72</t>
  </si>
  <si>
    <t>112.079498</t>
  </si>
  <si>
    <t>664.613464</t>
  </si>
  <si>
    <t>0.831361</t>
  </si>
  <si>
    <t>38.80</t>
  </si>
  <si>
    <t>37.27</t>
  </si>
  <si>
    <t>26.26</t>
  </si>
  <si>
    <t>26.04</t>
  </si>
  <si>
    <t>100.15</t>
  </si>
  <si>
    <t>156.0</t>
  </si>
  <si>
    <t>154.2</t>
  </si>
  <si>
    <t>1.2</t>
  </si>
  <si>
    <t>3.991</t>
  </si>
  <si>
    <t>-0.024</t>
  </si>
  <si>
    <t>-0.106</t>
  </si>
  <si>
    <t>0.537</t>
  </si>
  <si>
    <t>0.700</t>
  </si>
  <si>
    <t>2.486255</t>
  </si>
  <si>
    <t>2.430580</t>
  </si>
  <si>
    <t>1.670131</t>
  </si>
  <si>
    <t>0.939398</t>
  </si>
  <si>
    <t>0.259400</t>
  </si>
  <si>
    <t>-0.001606</t>
  </si>
  <si>
    <t>0.097167</t>
  </si>
  <si>
    <t>0.000223</t>
  </si>
  <si>
    <t>4</t>
  </si>
  <si>
    <t>20:18:17</t>
  </si>
  <si>
    <t>004</t>
  </si>
  <si>
    <t>1.342993</t>
  </si>
  <si>
    <t>1.290214</t>
  </si>
  <si>
    <t>12.884130</t>
  </si>
  <si>
    <t>13.411184</t>
  </si>
  <si>
    <t>PSF-01106_20260813201817_8e2</t>
  </si>
  <si>
    <t>102.461815</t>
  </si>
  <si>
    <t>626.344788</t>
  </si>
  <si>
    <t>0.836413</t>
  </si>
  <si>
    <t>39.10</t>
  </si>
  <si>
    <t>37.56</t>
  </si>
  <si>
    <t>26.30</t>
  </si>
  <si>
    <t>26.22</t>
  </si>
  <si>
    <t>155.9</t>
  </si>
  <si>
    <t>148.8</t>
  </si>
  <si>
    <t>4.5</t>
  </si>
  <si>
    <t>3.966</t>
  </si>
  <si>
    <t>-0.023</t>
  </si>
  <si>
    <t>-0.088</t>
  </si>
  <si>
    <t>0.296</t>
  </si>
  <si>
    <t>0.584</t>
  </si>
  <si>
    <t>2.486684</t>
  </si>
  <si>
    <t>2.430975</t>
  </si>
  <si>
    <t>1.669424</t>
  </si>
  <si>
    <t>0.925659</t>
  </si>
  <si>
    <t>0.258942</t>
  </si>
  <si>
    <t>-0.000107</t>
  </si>
  <si>
    <t>0.100031</t>
  </si>
  <si>
    <t>0.107031</t>
  </si>
  <si>
    <t>20:18:34</t>
  </si>
  <si>
    <t>005</t>
  </si>
  <si>
    <t>1.433567</t>
  </si>
  <si>
    <t>1.388819</t>
  </si>
  <si>
    <t>13.868051</t>
  </si>
  <si>
    <t>14.314877</t>
  </si>
  <si>
    <t>PSF-01106_20260813201834_d09</t>
  </si>
  <si>
    <t>113.055107</t>
  </si>
  <si>
    <t>640.163208</t>
  </si>
  <si>
    <t>0.823396</t>
  </si>
  <si>
    <t>41.62</t>
  </si>
  <si>
    <t>40.32</t>
  </si>
  <si>
    <t>26.35</t>
  </si>
  <si>
    <t>26.25</t>
  </si>
  <si>
    <t>144.6</t>
  </si>
  <si>
    <t>7.3</t>
  </si>
  <si>
    <t>3.989</t>
  </si>
  <si>
    <t>-0.017</t>
  </si>
  <si>
    <t>-0.067</t>
  </si>
  <si>
    <t>0.425</t>
  </si>
  <si>
    <t>0.644</t>
  </si>
  <si>
    <t>2.490747</t>
  </si>
  <si>
    <t>2.434334</t>
  </si>
  <si>
    <t>1.669741</t>
  </si>
  <si>
    <t>0.915024</t>
  </si>
  <si>
    <t>0.258479</t>
  </si>
  <si>
    <t>-0.000187</t>
  </si>
  <si>
    <t>0.102724</t>
  </si>
  <si>
    <t>0.000221</t>
  </si>
  <si>
    <t>6</t>
  </si>
  <si>
    <t>20:18:49</t>
  </si>
  <si>
    <t>006</t>
  </si>
  <si>
    <t>1.434374</t>
  </si>
  <si>
    <t>1.382722</t>
  </si>
  <si>
    <t>13.806684</t>
  </si>
  <si>
    <t>14.322433</t>
  </si>
  <si>
    <t>PSF-01106_20260813201849_d93</t>
  </si>
  <si>
    <t>99.192741</t>
  </si>
  <si>
    <t>633.175110</t>
  </si>
  <si>
    <t>0.843341</t>
  </si>
  <si>
    <t>41.54</t>
  </si>
  <si>
    <t>40.04</t>
  </si>
  <si>
    <t>26.39</t>
  </si>
  <si>
    <t>26.14</t>
  </si>
  <si>
    <t>154.0</t>
  </si>
  <si>
    <t>-0.135</t>
  </si>
  <si>
    <t>0.334</t>
  </si>
  <si>
    <t>0.392</t>
  </si>
  <si>
    <t>2.490327</t>
  </si>
  <si>
    <t>2.434214</t>
  </si>
  <si>
    <t>1.668789</t>
  </si>
  <si>
    <t>0.939001</t>
  </si>
  <si>
    <t>0.258024</t>
  </si>
  <si>
    <t>-0.002065</t>
  </si>
  <si>
    <t>0.105175</t>
  </si>
  <si>
    <t>0.107030</t>
  </si>
  <si>
    <t>7</t>
  </si>
  <si>
    <t>20:19:23</t>
  </si>
  <si>
    <t>007</t>
  </si>
  <si>
    <t>1.487951</t>
  </si>
  <si>
    <t>1.429317</t>
  </si>
  <si>
    <t>14.271935</t>
  </si>
  <si>
    <t>14.857412</t>
  </si>
  <si>
    <t>PSF-01106_20260813201923_d8b</t>
  </si>
  <si>
    <t>121.521591</t>
  </si>
  <si>
    <t>677.802795</t>
  </si>
  <si>
    <t>0.820712</t>
  </si>
  <si>
    <t>42.84</t>
  </si>
  <si>
    <t>41.15</t>
  </si>
  <si>
    <t>26.49</t>
  </si>
  <si>
    <t>26.11</t>
  </si>
  <si>
    <t>156.1</t>
  </si>
  <si>
    <t>144.1</t>
  </si>
  <si>
    <t>7.7</t>
  </si>
  <si>
    <t>3.988</t>
  </si>
  <si>
    <t>-0.084</t>
  </si>
  <si>
    <t>0.004</t>
  </si>
  <si>
    <t>0.198</t>
  </si>
  <si>
    <t>2.491935</t>
  </si>
  <si>
    <t>2.435922</t>
  </si>
  <si>
    <t>1.671279</t>
  </si>
  <si>
    <t>0.913612</t>
  </si>
  <si>
    <t>0.257021</t>
  </si>
  <si>
    <t>-0.003606</t>
  </si>
  <si>
    <t>0.110344</t>
  </si>
  <si>
    <t>0.000222</t>
  </si>
  <si>
    <t>8</t>
  </si>
  <si>
    <t>20:19:38</t>
  </si>
  <si>
    <t>008</t>
  </si>
  <si>
    <t>1.513385</t>
  </si>
  <si>
    <t>1.456392</t>
  </si>
  <si>
    <t>14.541959</t>
  </si>
  <si>
    <t>15.111030</t>
  </si>
  <si>
    <t>PSF-01106_20260813201938_251</t>
  </si>
  <si>
    <t>104.982018</t>
  </si>
  <si>
    <t>655.333069</t>
  </si>
  <si>
    <t>0.839804</t>
  </si>
  <si>
    <t>43.46</t>
  </si>
  <si>
    <t>41.83</t>
  </si>
  <si>
    <t>26.53</t>
  </si>
  <si>
    <t>25.98</t>
  </si>
  <si>
    <t>142.0</t>
  </si>
  <si>
    <t>9.0</t>
  </si>
  <si>
    <t>3.985</t>
  </si>
  <si>
    <t>-0.031</t>
  </si>
  <si>
    <t>-0.150</t>
  </si>
  <si>
    <t>0.176</t>
  </si>
  <si>
    <t>0.621</t>
  </si>
  <si>
    <t>2.492908</t>
  </si>
  <si>
    <t>2.436734</t>
  </si>
  <si>
    <t>1.670873</t>
  </si>
  <si>
    <t>0.908343</t>
  </si>
  <si>
    <t>0.256579</t>
  </si>
  <si>
    <t>-0.005635</t>
  </si>
  <si>
    <t>0.112530</t>
  </si>
  <si>
    <t>0.107026</t>
  </si>
  <si>
    <t>9</t>
  </si>
  <si>
    <t>20:20:01</t>
  </si>
  <si>
    <t>009</t>
  </si>
  <si>
    <t>1.530445</t>
  </si>
  <si>
    <t>1.480345</t>
  </si>
  <si>
    <t>14.781724</t>
  </si>
  <si>
    <t>15.281987</t>
  </si>
  <si>
    <t>PSF-01106_20260813202001_4ad</t>
  </si>
  <si>
    <t>112.295868</t>
  </si>
  <si>
    <t>619.882812</t>
  </si>
  <si>
    <t>0.818843</t>
  </si>
  <si>
    <t>43.77</t>
  </si>
  <si>
    <t>42.34</t>
  </si>
  <si>
    <t>26.60</t>
  </si>
  <si>
    <t>153.7</t>
  </si>
  <si>
    <t>1.4</t>
  </si>
  <si>
    <t>-0.019</t>
  </si>
  <si>
    <t>-0.073</t>
  </si>
  <si>
    <t>0.479</t>
  </si>
  <si>
    <t>0.752</t>
  </si>
  <si>
    <t>2.493640</t>
  </si>
  <si>
    <t>2.437128</t>
  </si>
  <si>
    <t>1.669557</t>
  </si>
  <si>
    <t>0.938202</t>
  </si>
  <si>
    <t>0.255862</t>
  </si>
  <si>
    <t>-0.003179</t>
  </si>
  <si>
    <t>0.115977</t>
  </si>
  <si>
    <t>10</t>
  </si>
  <si>
    <t>20:20:23</t>
  </si>
  <si>
    <t>010</t>
  </si>
  <si>
    <t>1.500851</t>
  </si>
  <si>
    <t>1.451976</t>
  </si>
  <si>
    <t>14.498047</t>
  </si>
  <si>
    <t>14.986068</t>
  </si>
  <si>
    <t>PSF-01106_20260813202023_8a7</t>
  </si>
  <si>
    <t>110.635040</t>
  </si>
  <si>
    <t>636.141663</t>
  </si>
  <si>
    <t>0.826084</t>
  </si>
  <si>
    <t>42.74</t>
  </si>
  <si>
    <t>41.35</t>
  </si>
  <si>
    <t>26.67</t>
  </si>
  <si>
    <t>26.34</t>
  </si>
  <si>
    <t>151.2</t>
  </si>
  <si>
    <t>3.2</t>
  </si>
  <si>
    <t>3.984</t>
  </si>
  <si>
    <t>-0.061</t>
  </si>
  <si>
    <t>0.304</t>
  </si>
  <si>
    <t>0.724</t>
  </si>
  <si>
    <t>2.492195</t>
  </si>
  <si>
    <t>2.435764</t>
  </si>
  <si>
    <t>1.671816</t>
  </si>
  <si>
    <t>0.931774</t>
  </si>
  <si>
    <t>0.255139</t>
  </si>
  <si>
    <t>-0.003037</t>
  </si>
  <si>
    <t>0.119219</t>
  </si>
  <si>
    <t>0.107029</t>
  </si>
  <si>
    <t>11</t>
  </si>
  <si>
    <t>20:20:56</t>
  </si>
  <si>
    <t>011</t>
  </si>
  <si>
    <t>1.616450</t>
  </si>
  <si>
    <t>1.558098</t>
  </si>
  <si>
    <t>15.557409</t>
  </si>
  <si>
    <t>16.140043</t>
  </si>
  <si>
    <t>PSF-01106_20260813202056_0cc</t>
  </si>
  <si>
    <t>122.654915</t>
  </si>
  <si>
    <t>651.967041</t>
  </si>
  <si>
    <t>0.811869</t>
  </si>
  <si>
    <t>45.74</t>
  </si>
  <si>
    <t>44.09</t>
  </si>
  <si>
    <t>26.78</t>
  </si>
  <si>
    <t>26.41</t>
  </si>
  <si>
    <t>141.4</t>
  </si>
  <si>
    <t>9.3</t>
  </si>
  <si>
    <t>-0.021</t>
  </si>
  <si>
    <t>-0.062</t>
  </si>
  <si>
    <t>0.311</t>
  </si>
  <si>
    <t>0.632</t>
  </si>
  <si>
    <t>2.496139</t>
  </si>
  <si>
    <t>2.439675</t>
  </si>
  <si>
    <t>1.669830</t>
  </si>
  <si>
    <t>0.906953</t>
  </si>
  <si>
    <t>0.254019</t>
  </si>
  <si>
    <t>-0.003519</t>
  </si>
  <si>
    <t>0.123950</t>
  </si>
  <si>
    <t>0.000227</t>
  </si>
  <si>
    <t>12</t>
  </si>
  <si>
    <t>20:21:09</t>
  </si>
  <si>
    <t>012</t>
  </si>
  <si>
    <t>1.615605</t>
  </si>
  <si>
    <t>1.564515</t>
  </si>
  <si>
    <t>15.620935</t>
  </si>
  <si>
    <t>16.131050</t>
  </si>
  <si>
    <t>PSF-01106_20260813202109_f4f</t>
  </si>
  <si>
    <t>105.953690</t>
  </si>
  <si>
    <t>638.377930</t>
  </si>
  <si>
    <t>0.834027</t>
  </si>
  <si>
    <t>45.60</t>
  </si>
  <si>
    <t>44.16</t>
  </si>
  <si>
    <t>26.83</t>
  </si>
  <si>
    <t>26.28</t>
  </si>
  <si>
    <t>142.7</t>
  </si>
  <si>
    <t>8.5</t>
  </si>
  <si>
    <t>-0.095</t>
  </si>
  <si>
    <t>0.326</t>
  </si>
  <si>
    <t>0.544</t>
  </si>
  <si>
    <t>2.496235</t>
  </si>
  <si>
    <t>2.439488</t>
  </si>
  <si>
    <t>1.670076</t>
  </si>
  <si>
    <t>0.910081</t>
  </si>
  <si>
    <t>0.253593</t>
  </si>
  <si>
    <t>-0.005621</t>
  </si>
  <si>
    <t>0.125702</t>
  </si>
  <si>
    <t>0.107028</t>
  </si>
  <si>
    <t>13</t>
  </si>
  <si>
    <t>20:21:24</t>
  </si>
  <si>
    <t>013</t>
  </si>
  <si>
    <t>1.591583</t>
  </si>
  <si>
    <t>1.548072</t>
  </si>
  <si>
    <t>15.456718</t>
  </si>
  <si>
    <t>15.891153</t>
  </si>
  <si>
    <t>PSF-01106_20260813202124_cc2</t>
  </si>
  <si>
    <t>118.835091</t>
  </si>
  <si>
    <t>625.597351</t>
  </si>
  <si>
    <t>0.810045</t>
  </si>
  <si>
    <t>44.80</t>
  </si>
  <si>
    <t>43.57</t>
  </si>
  <si>
    <t>26.87</t>
  </si>
  <si>
    <t>26.42</t>
  </si>
  <si>
    <t>100.16</t>
  </si>
  <si>
    <t>-0.015</t>
  </si>
  <si>
    <t>-0.043</t>
  </si>
  <si>
    <t>0.613</t>
  </si>
  <si>
    <t>0.899</t>
  </si>
  <si>
    <t>2.495379</t>
  </si>
  <si>
    <t>2.438427</t>
  </si>
  <si>
    <t>1.670769</t>
  </si>
  <si>
    <t>0.939493</t>
  </si>
  <si>
    <t>0.253110</t>
  </si>
  <si>
    <t>-0.004559</t>
  </si>
  <si>
    <t>0.127737</t>
  </si>
  <si>
    <t>0.107025</t>
  </si>
  <si>
    <t>14</t>
  </si>
  <si>
    <t>20:21:36</t>
  </si>
  <si>
    <t>014</t>
  </si>
  <si>
    <t>1.622115</t>
  </si>
  <si>
    <t>1.576038</t>
  </si>
  <si>
    <t>15.735831</t>
  </si>
  <si>
    <t>16.195883</t>
  </si>
  <si>
    <t>PSF-01106_20260813202136_802</t>
  </si>
  <si>
    <t>101.582764</t>
  </si>
  <si>
    <t>636.456360</t>
  </si>
  <si>
    <t>0.840393</t>
  </si>
  <si>
    <t>45.55</t>
  </si>
  <si>
    <t>44.26</t>
  </si>
  <si>
    <t>26.91</t>
  </si>
  <si>
    <t>26.24</t>
  </si>
  <si>
    <t>148.3</t>
  </si>
  <si>
    <t>5.0</t>
  </si>
  <si>
    <t>3.983</t>
  </si>
  <si>
    <t>-0.122</t>
  </si>
  <si>
    <t>0.322</t>
  </si>
  <si>
    <t>0.603</t>
  </si>
  <si>
    <t>2.496361</t>
  </si>
  <si>
    <t>2.439408</t>
  </si>
  <si>
    <t>1.670267</t>
  </si>
  <si>
    <t>0.924240</t>
  </si>
  <si>
    <t>0.252718</t>
  </si>
  <si>
    <t>-0.007054</t>
  </si>
  <si>
    <t>0.129390</t>
  </si>
  <si>
    <t>0.107024</t>
  </si>
  <si>
    <t>0.000220</t>
  </si>
  <si>
    <t>15</t>
  </si>
  <si>
    <t>20:21:49</t>
  </si>
  <si>
    <t>015</t>
  </si>
  <si>
    <t>1.652112</t>
  </si>
  <si>
    <t>1.610845</t>
  </si>
  <si>
    <t>16.082674</t>
  </si>
  <si>
    <t>16.494690</t>
  </si>
  <si>
    <t>PSF-01106_20260813202149_c92</t>
  </si>
  <si>
    <t>109.400154</t>
  </si>
  <si>
    <t>610.875977</t>
  </si>
  <si>
    <t>0.820913</t>
  </si>
  <si>
    <t>46.28</t>
  </si>
  <si>
    <t>45.12</t>
  </si>
  <si>
    <t>26.96</t>
  </si>
  <si>
    <t>26.43</t>
  </si>
  <si>
    <t>147.8</t>
  </si>
  <si>
    <t>5.2</t>
  </si>
  <si>
    <t>-0.016</t>
  </si>
  <si>
    <t>-0.064</t>
  </si>
  <si>
    <t>0.239</t>
  </si>
  <si>
    <t>2.497596</t>
  </si>
  <si>
    <t>2.440349</t>
  </si>
  <si>
    <t>1.668994</t>
  </si>
  <si>
    <t>0.922943</t>
  </si>
  <si>
    <t>0.252289</t>
  </si>
  <si>
    <t>-0.005333</t>
  </si>
  <si>
    <t>0.131189</t>
  </si>
  <si>
    <t>16</t>
  </si>
  <si>
    <t>20:22:03</t>
  </si>
  <si>
    <t>016</t>
  </si>
  <si>
    <t>1.636155</t>
  </si>
  <si>
    <t>1.591310</t>
  </si>
  <si>
    <t>15.887048</t>
  </si>
  <si>
    <t>16.334759</t>
  </si>
  <si>
    <t>PSF-01106_20260813202203_c06</t>
  </si>
  <si>
    <t>103.404167</t>
  </si>
  <si>
    <t>628.121826</t>
  </si>
  <si>
    <t>0.835376</t>
  </si>
  <si>
    <t>45.72</t>
  </si>
  <si>
    <t>44.47</t>
  </si>
  <si>
    <t>27.00</t>
  </si>
  <si>
    <t>26.20</t>
  </si>
  <si>
    <t>147.6</t>
  </si>
  <si>
    <t>-0.013</t>
  </si>
  <si>
    <t>-0.052</t>
  </si>
  <si>
    <t>0.346</t>
  </si>
  <si>
    <t>0.658</t>
  </si>
  <si>
    <t>2.496647</t>
  </si>
  <si>
    <t>2.439614</t>
  </si>
  <si>
    <t>1.668073</t>
  </si>
  <si>
    <t>0.922552</t>
  </si>
  <si>
    <t>0.251877</t>
  </si>
  <si>
    <t>-0.008592</t>
  </si>
  <si>
    <t>0.132975</t>
  </si>
  <si>
    <t>17</t>
  </si>
  <si>
    <t>20:22:17</t>
  </si>
  <si>
    <t>017</t>
  </si>
  <si>
    <t>1.649162</t>
  </si>
  <si>
    <t>1.608292</t>
  </si>
  <si>
    <t>16.055103</t>
  </si>
  <si>
    <t>16.463099</t>
  </si>
  <si>
    <t>PSF-01106_20260813202217_090</t>
  </si>
  <si>
    <t>100.131157</t>
  </si>
  <si>
    <t>624.299500</t>
  </si>
  <si>
    <t>0.839610</t>
  </si>
  <si>
    <t>45.97</t>
  </si>
  <si>
    <t>44.83</t>
  </si>
  <si>
    <t>27.04</t>
  </si>
  <si>
    <t>100.17</t>
  </si>
  <si>
    <t>139.4</t>
  </si>
  <si>
    <t>10.6</t>
  </si>
  <si>
    <t>3.958</t>
  </si>
  <si>
    <t>-0.072</t>
  </si>
  <si>
    <t>0.312</t>
  </si>
  <si>
    <t>0.442</t>
  </si>
  <si>
    <t>2.497159</t>
  </si>
  <si>
    <t>2.439930</t>
  </si>
  <si>
    <t>1.669061</t>
  </si>
  <si>
    <t>0.901841</t>
  </si>
  <si>
    <t>0.251449</t>
  </si>
  <si>
    <t>-0.006463</t>
  </si>
  <si>
    <t>0.134869</t>
  </si>
  <si>
    <t>0.107023</t>
  </si>
  <si>
    <t>18</t>
  </si>
  <si>
    <t>20:22:30</t>
  </si>
  <si>
    <t>018</t>
  </si>
  <si>
    <t>1.632907</t>
  </si>
  <si>
    <t>1.593758</t>
  </si>
  <si>
    <t>15.911527</t>
  </si>
  <si>
    <t>16.302378</t>
  </si>
  <si>
    <t>PSF-01106_20260813202230_b70</t>
  </si>
  <si>
    <t>109.073639</t>
  </si>
  <si>
    <t>618.548889</t>
  </si>
  <si>
    <t>0.823662</t>
  </si>
  <si>
    <t>45.41</t>
  </si>
  <si>
    <t>44.32</t>
  </si>
  <si>
    <t>27.08</t>
  </si>
  <si>
    <t>26.52</t>
  </si>
  <si>
    <t>149.3</t>
  </si>
  <si>
    <t>4.3</t>
  </si>
  <si>
    <t>3.981</t>
  </si>
  <si>
    <t>-0.079</t>
  </si>
  <si>
    <t>0.422</t>
  </si>
  <si>
    <t>0.681</t>
  </si>
  <si>
    <t>2.496419</t>
  </si>
  <si>
    <t>2.439192</t>
  </si>
  <si>
    <t>1.669620</t>
  </si>
  <si>
    <t>0.926776</t>
  </si>
  <si>
    <t>0.251048</t>
  </si>
  <si>
    <t>-0.005820</t>
  </si>
  <si>
    <t>0.136603</t>
  </si>
  <si>
    <t>0.107027</t>
  </si>
  <si>
    <t>0.000233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</si>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</sst>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workbookViewId="0">
      <selection activeCell="Q4" sqref="Q4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7.015605112493313E-2</v>
      </c>
      <c r="K4">
        <f t="shared" ref="K4:K21" si="1">BH4+(BI4*AN4)+(BJ4*AN4*POWER(V4,2))+(BK4*AN4*V4)+(BL4*POWER(AN4,2))</f>
        <v>2.9066320800000001</v>
      </c>
      <c r="L4">
        <f t="shared" ref="L4:L21" si="2">((M4/1000)*(1000-((T4+S4)/2)))/(T4-S4)</f>
        <v>6.8502634323790404E-2</v>
      </c>
      <c r="M4">
        <f t="shared" ref="M4:M21" si="3">(AN4*(S4-R4))/(100*U4*(1000-S4))*1000</f>
        <v>1.7130866577286699</v>
      </c>
      <c r="N4" t="s">
        <v>142</v>
      </c>
      <c r="O4" t="s">
        <v>143</v>
      </c>
      <c r="P4">
        <f t="shared" ref="P4:P21" si="4">0.61365*EXP((17.502*AL4)/(240.97+AL4))</f>
        <v>3.5981225596632118</v>
      </c>
      <c r="Q4">
        <f t="shared" ref="Q4:Q21" si="5">P4-N4</f>
        <v>2.4448705596632117</v>
      </c>
      <c r="R4" t="s">
        <v>144</v>
      </c>
      <c r="S4" t="s">
        <v>145</v>
      </c>
      <c r="T4">
        <f t="shared" ref="T4:T21" si="6">(P4/AM4)*1000</f>
        <v>35.93092230540455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27.09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8.6203432761695065E-2</v>
      </c>
      <c r="K5">
        <f t="shared" si="1"/>
        <v>2.9034264800000003</v>
      </c>
      <c r="L5">
        <f t="shared" si="2"/>
        <v>8.3717830183202127E-2</v>
      </c>
      <c r="M5">
        <f t="shared" si="3"/>
        <v>1.8472390658696736</v>
      </c>
      <c r="N5" t="s">
        <v>209</v>
      </c>
      <c r="O5" t="s">
        <v>210</v>
      </c>
      <c r="P5">
        <f t="shared" si="4"/>
        <v>3.4164165274908198</v>
      </c>
      <c r="Q5">
        <f t="shared" si="5"/>
        <v>2.1580575274908198</v>
      </c>
      <c r="R5" t="s">
        <v>211</v>
      </c>
      <c r="S5" t="s">
        <v>212</v>
      </c>
      <c r="T5">
        <f t="shared" si="6"/>
        <v>34.116402311671862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219</v>
      </c>
      <c r="AL5">
        <f t="shared" si="9"/>
        <v>26.21</v>
      </c>
      <c r="AM5" t="s">
        <v>159</v>
      </c>
      <c r="AN5" t="s">
        <v>220</v>
      </c>
      <c r="AO5" t="s">
        <v>221</v>
      </c>
      <c r="AP5" t="s">
        <v>222</v>
      </c>
      <c r="AQ5" t="s">
        <v>163</v>
      </c>
      <c r="AR5" t="s">
        <v>223</v>
      </c>
      <c r="AS5" t="s">
        <v>165</v>
      </c>
      <c r="AT5" t="s">
        <v>139</v>
      </c>
      <c r="AU5" t="s">
        <v>166</v>
      </c>
      <c r="AV5" t="s">
        <v>137</v>
      </c>
      <c r="AW5" t="s">
        <v>224</v>
      </c>
      <c r="AX5" t="s">
        <v>225</v>
      </c>
      <c r="AY5" t="s">
        <v>169</v>
      </c>
      <c r="AZ5" t="s">
        <v>226</v>
      </c>
      <c r="BA5" t="s">
        <v>227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228</v>
      </c>
      <c r="CD5" t="s">
        <v>229</v>
      </c>
      <c r="CE5" t="s">
        <v>230</v>
      </c>
      <c r="CF5" t="s">
        <v>231</v>
      </c>
      <c r="CG5" t="s">
        <v>232</v>
      </c>
      <c r="CH5" t="s">
        <v>233</v>
      </c>
      <c r="CI5" t="s">
        <v>234</v>
      </c>
      <c r="CJ5" t="s">
        <v>235</v>
      </c>
      <c r="CK5" t="s">
        <v>214</v>
      </c>
      <c r="CL5" t="s">
        <v>236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237</v>
      </c>
      <c r="B6" t="s">
        <v>238</v>
      </c>
      <c r="C6" t="s">
        <v>139</v>
      </c>
      <c r="D6" t="s">
        <v>76</v>
      </c>
      <c r="E6" t="s">
        <v>140</v>
      </c>
      <c r="F6" t="s">
        <v>19</v>
      </c>
      <c r="G6" t="s">
        <v>239</v>
      </c>
      <c r="H6" t="s">
        <v>19</v>
      </c>
      <c r="I6" t="s">
        <v>19</v>
      </c>
      <c r="J6">
        <f t="shared" si="0"/>
        <v>9.2063568931262427E-2</v>
      </c>
      <c r="K6">
        <f t="shared" si="1"/>
        <v>2.9050319999999994</v>
      </c>
      <c r="L6">
        <f t="shared" si="2"/>
        <v>8.9235597473754424E-2</v>
      </c>
      <c r="M6">
        <f t="shared" si="3"/>
        <v>1.8733746876133708</v>
      </c>
      <c r="N6" t="s">
        <v>240</v>
      </c>
      <c r="O6" t="s">
        <v>241</v>
      </c>
      <c r="P6">
        <f t="shared" si="4"/>
        <v>3.3822533381369571</v>
      </c>
      <c r="Q6">
        <f t="shared" si="5"/>
        <v>2.0530813381369573</v>
      </c>
      <c r="R6" t="s">
        <v>242</v>
      </c>
      <c r="S6" t="s">
        <v>243</v>
      </c>
      <c r="T6">
        <f t="shared" si="6"/>
        <v>33.771875568017542</v>
      </c>
      <c r="U6">
        <f t="shared" si="7"/>
        <v>0.4417875</v>
      </c>
      <c r="V6" t="s">
        <v>146</v>
      </c>
      <c r="W6" t="s">
        <v>244</v>
      </c>
      <c r="X6" t="s">
        <v>245</v>
      </c>
      <c r="Y6" t="s">
        <v>246</v>
      </c>
      <c r="Z6" t="s">
        <v>247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248</v>
      </c>
      <c r="AI6" t="s">
        <v>249</v>
      </c>
      <c r="AJ6" t="s">
        <v>250</v>
      </c>
      <c r="AK6" t="s">
        <v>251</v>
      </c>
      <c r="AL6">
        <f t="shared" si="9"/>
        <v>26.04</v>
      </c>
      <c r="AM6" t="s">
        <v>252</v>
      </c>
      <c r="AN6" t="s">
        <v>253</v>
      </c>
      <c r="AO6" t="s">
        <v>254</v>
      </c>
      <c r="AP6" t="s">
        <v>255</v>
      </c>
      <c r="AQ6" t="s">
        <v>163</v>
      </c>
      <c r="AR6" t="s">
        <v>256</v>
      </c>
      <c r="AS6" t="s">
        <v>165</v>
      </c>
      <c r="AT6" t="s">
        <v>139</v>
      </c>
      <c r="AU6" t="s">
        <v>166</v>
      </c>
      <c r="AV6" t="s">
        <v>137</v>
      </c>
      <c r="AW6" t="s">
        <v>257</v>
      </c>
      <c r="AX6" t="s">
        <v>258</v>
      </c>
      <c r="AY6" t="s">
        <v>169</v>
      </c>
      <c r="AZ6" t="s">
        <v>259</v>
      </c>
      <c r="BA6" t="s">
        <v>260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261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235</v>
      </c>
      <c r="CK6" t="s">
        <v>245</v>
      </c>
      <c r="CL6" t="s">
        <v>268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244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269</v>
      </c>
      <c r="B7" t="s">
        <v>270</v>
      </c>
      <c r="C7" t="s">
        <v>139</v>
      </c>
      <c r="D7" t="s">
        <v>76</v>
      </c>
      <c r="E7" t="s">
        <v>140</v>
      </c>
      <c r="F7" t="s">
        <v>19</v>
      </c>
      <c r="G7" t="s">
        <v>271</v>
      </c>
      <c r="H7" t="s">
        <v>19</v>
      </c>
      <c r="I7" t="s">
        <v>19</v>
      </c>
      <c r="J7">
        <f t="shared" si="0"/>
        <v>9.1597875433546583E-2</v>
      </c>
      <c r="K7">
        <f t="shared" si="1"/>
        <v>2.9042299199999997</v>
      </c>
      <c r="L7">
        <f t="shared" si="2"/>
        <v>8.8797256921117923E-2</v>
      </c>
      <c r="M7">
        <f t="shared" si="3"/>
        <v>1.8851747629981195</v>
      </c>
      <c r="N7" t="s">
        <v>272</v>
      </c>
      <c r="O7" t="s">
        <v>273</v>
      </c>
      <c r="P7">
        <f t="shared" si="4"/>
        <v>3.4184354777465527</v>
      </c>
      <c r="Q7">
        <f t="shared" si="5"/>
        <v>2.0754424777465523</v>
      </c>
      <c r="R7" t="s">
        <v>274</v>
      </c>
      <c r="S7" t="s">
        <v>275</v>
      </c>
      <c r="T7">
        <f t="shared" si="6"/>
        <v>34.13656358844171</v>
      </c>
      <c r="U7">
        <f t="shared" si="7"/>
        <v>0.4417875</v>
      </c>
      <c r="V7" t="s">
        <v>146</v>
      </c>
      <c r="W7" t="s">
        <v>276</v>
      </c>
      <c r="X7" t="s">
        <v>277</v>
      </c>
      <c r="Y7" t="s">
        <v>278</v>
      </c>
      <c r="Z7" t="s">
        <v>279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280</v>
      </c>
      <c r="AI7" t="s">
        <v>281</v>
      </c>
      <c r="AJ7" t="s">
        <v>282</v>
      </c>
      <c r="AK7" t="s">
        <v>283</v>
      </c>
      <c r="AL7">
        <f t="shared" si="9"/>
        <v>26.22</v>
      </c>
      <c r="AM7" t="s">
        <v>159</v>
      </c>
      <c r="AN7" t="s">
        <v>284</v>
      </c>
      <c r="AO7" t="s">
        <v>285</v>
      </c>
      <c r="AP7" t="s">
        <v>286</v>
      </c>
      <c r="AQ7" t="s">
        <v>163</v>
      </c>
      <c r="AR7" t="s">
        <v>287</v>
      </c>
      <c r="AS7" t="s">
        <v>165</v>
      </c>
      <c r="AT7" t="s">
        <v>139</v>
      </c>
      <c r="AU7" t="s">
        <v>166</v>
      </c>
      <c r="AV7" t="s">
        <v>137</v>
      </c>
      <c r="AW7" t="s">
        <v>288</v>
      </c>
      <c r="AX7" t="s">
        <v>289</v>
      </c>
      <c r="AY7" t="s">
        <v>169</v>
      </c>
      <c r="AZ7" t="s">
        <v>290</v>
      </c>
      <c r="BA7" t="s">
        <v>291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298</v>
      </c>
      <c r="CJ7" t="s">
        <v>299</v>
      </c>
      <c r="CK7" t="s">
        <v>277</v>
      </c>
      <c r="CL7" t="s">
        <v>236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276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300</v>
      </c>
      <c r="C8" t="s">
        <v>139</v>
      </c>
      <c r="D8" t="s">
        <v>76</v>
      </c>
      <c r="E8" t="s">
        <v>140</v>
      </c>
      <c r="F8" t="s">
        <v>19</v>
      </c>
      <c r="G8" t="s">
        <v>301</v>
      </c>
      <c r="H8" t="s">
        <v>19</v>
      </c>
      <c r="I8" t="s">
        <v>19</v>
      </c>
      <c r="J8">
        <f t="shared" si="0"/>
        <v>8.0754231393703607E-2</v>
      </c>
      <c r="K8">
        <f t="shared" si="1"/>
        <v>2.9050319999999994</v>
      </c>
      <c r="L8">
        <f t="shared" si="2"/>
        <v>7.8570134682619294E-2</v>
      </c>
      <c r="M8">
        <f t="shared" si="3"/>
        <v>1.600705395631429</v>
      </c>
      <c r="N8" t="s">
        <v>302</v>
      </c>
      <c r="O8" t="s">
        <v>303</v>
      </c>
      <c r="P8">
        <f t="shared" si="4"/>
        <v>3.4244985814706008</v>
      </c>
      <c r="Q8">
        <f t="shared" si="5"/>
        <v>1.9909315814706008</v>
      </c>
      <c r="R8" t="s">
        <v>304</v>
      </c>
      <c r="S8" t="s">
        <v>305</v>
      </c>
      <c r="T8">
        <f t="shared" si="6"/>
        <v>34.193695271798312</v>
      </c>
      <c r="U8">
        <f t="shared" si="7"/>
        <v>0.4417875</v>
      </c>
      <c r="V8" t="s">
        <v>146</v>
      </c>
      <c r="W8" t="s">
        <v>306</v>
      </c>
      <c r="X8" t="s">
        <v>307</v>
      </c>
      <c r="Y8" t="s">
        <v>308</v>
      </c>
      <c r="Z8" t="s">
        <v>309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310</v>
      </c>
      <c r="AI8" t="s">
        <v>311</v>
      </c>
      <c r="AJ8" t="s">
        <v>312</v>
      </c>
      <c r="AK8" t="s">
        <v>313</v>
      </c>
      <c r="AL8">
        <f t="shared" si="9"/>
        <v>26.25</v>
      </c>
      <c r="AM8" t="s">
        <v>252</v>
      </c>
      <c r="AN8" t="s">
        <v>253</v>
      </c>
      <c r="AO8" t="s">
        <v>314</v>
      </c>
      <c r="AP8" t="s">
        <v>315</v>
      </c>
      <c r="AQ8" t="s">
        <v>163</v>
      </c>
      <c r="AR8" t="s">
        <v>316</v>
      </c>
      <c r="AS8" t="s">
        <v>165</v>
      </c>
      <c r="AT8" t="s">
        <v>139</v>
      </c>
      <c r="AU8" t="s">
        <v>166</v>
      </c>
      <c r="AV8" t="s">
        <v>137</v>
      </c>
      <c r="AW8" t="s">
        <v>317</v>
      </c>
      <c r="AX8" t="s">
        <v>318</v>
      </c>
      <c r="AY8" t="s">
        <v>169</v>
      </c>
      <c r="AZ8" t="s">
        <v>319</v>
      </c>
      <c r="BA8" t="s">
        <v>320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321</v>
      </c>
      <c r="CD8" t="s">
        <v>322</v>
      </c>
      <c r="CE8" t="s">
        <v>323</v>
      </c>
      <c r="CF8" t="s">
        <v>324</v>
      </c>
      <c r="CG8" t="s">
        <v>325</v>
      </c>
      <c r="CH8" t="s">
        <v>326</v>
      </c>
      <c r="CI8" t="s">
        <v>327</v>
      </c>
      <c r="CJ8" t="s">
        <v>191</v>
      </c>
      <c r="CK8" t="s">
        <v>307</v>
      </c>
      <c r="CL8" t="s">
        <v>328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306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329</v>
      </c>
      <c r="B9" t="s">
        <v>330</v>
      </c>
      <c r="C9" t="s">
        <v>139</v>
      </c>
      <c r="D9" t="s">
        <v>76</v>
      </c>
      <c r="E9" t="s">
        <v>140</v>
      </c>
      <c r="F9" t="s">
        <v>19</v>
      </c>
      <c r="G9" t="s">
        <v>331</v>
      </c>
      <c r="H9" t="s">
        <v>19</v>
      </c>
      <c r="I9" t="s">
        <v>19</v>
      </c>
      <c r="J9">
        <f t="shared" si="0"/>
        <v>9.4626663996833837E-2</v>
      </c>
      <c r="K9">
        <f t="shared" si="1"/>
        <v>2.9034264800000003</v>
      </c>
      <c r="L9">
        <f t="shared" si="2"/>
        <v>9.1639990609439351E-2</v>
      </c>
      <c r="M9">
        <f t="shared" si="3"/>
        <v>1.8452599322348071</v>
      </c>
      <c r="N9" t="s">
        <v>332</v>
      </c>
      <c r="O9" t="s">
        <v>333</v>
      </c>
      <c r="P9">
        <f t="shared" si="4"/>
        <v>3.4023130095943253</v>
      </c>
      <c r="Q9">
        <f t="shared" si="5"/>
        <v>1.9679390095943252</v>
      </c>
      <c r="R9" t="s">
        <v>334</v>
      </c>
      <c r="S9" t="s">
        <v>335</v>
      </c>
      <c r="T9">
        <f t="shared" si="6"/>
        <v>33.972171838185972</v>
      </c>
      <c r="U9">
        <f t="shared" si="7"/>
        <v>0.4417875</v>
      </c>
      <c r="V9" t="s">
        <v>146</v>
      </c>
      <c r="W9" t="s">
        <v>336</v>
      </c>
      <c r="X9" t="s">
        <v>337</v>
      </c>
      <c r="Y9" t="s">
        <v>338</v>
      </c>
      <c r="Z9" t="s">
        <v>339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340</v>
      </c>
      <c r="AI9" t="s">
        <v>341</v>
      </c>
      <c r="AJ9" t="s">
        <v>342</v>
      </c>
      <c r="AK9" t="s">
        <v>343</v>
      </c>
      <c r="AL9">
        <f t="shared" si="9"/>
        <v>26.14</v>
      </c>
      <c r="AM9" t="s">
        <v>252</v>
      </c>
      <c r="AN9" t="s">
        <v>220</v>
      </c>
      <c r="AO9" t="s">
        <v>344</v>
      </c>
      <c r="AP9" t="s">
        <v>255</v>
      </c>
      <c r="AQ9" t="s">
        <v>163</v>
      </c>
      <c r="AR9" t="s">
        <v>316</v>
      </c>
      <c r="AS9" t="s">
        <v>165</v>
      </c>
      <c r="AT9" t="s">
        <v>139</v>
      </c>
      <c r="AU9" t="s">
        <v>166</v>
      </c>
      <c r="AV9" t="s">
        <v>137</v>
      </c>
      <c r="AW9" t="s">
        <v>167</v>
      </c>
      <c r="AX9" t="s">
        <v>345</v>
      </c>
      <c r="AY9" t="s">
        <v>169</v>
      </c>
      <c r="AZ9" t="s">
        <v>346</v>
      </c>
      <c r="BA9" t="s">
        <v>347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348</v>
      </c>
      <c r="CD9" t="s">
        <v>349</v>
      </c>
      <c r="CE9" t="s">
        <v>350</v>
      </c>
      <c r="CF9" t="s">
        <v>351</v>
      </c>
      <c r="CG9" t="s">
        <v>352</v>
      </c>
      <c r="CH9" t="s">
        <v>353</v>
      </c>
      <c r="CI9" t="s">
        <v>354</v>
      </c>
      <c r="CJ9" t="s">
        <v>355</v>
      </c>
      <c r="CK9" t="s">
        <v>337</v>
      </c>
      <c r="CL9" t="s">
        <v>268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336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356</v>
      </c>
      <c r="B10" t="s">
        <v>357</v>
      </c>
      <c r="C10" t="s">
        <v>139</v>
      </c>
      <c r="D10" t="s">
        <v>76</v>
      </c>
      <c r="E10" t="s">
        <v>140</v>
      </c>
      <c r="F10" t="s">
        <v>19</v>
      </c>
      <c r="G10" t="s">
        <v>358</v>
      </c>
      <c r="H10" t="s">
        <v>19</v>
      </c>
      <c r="I10" t="s">
        <v>19</v>
      </c>
      <c r="J10">
        <f t="shared" si="0"/>
        <v>0.1116487471169931</v>
      </c>
      <c r="K10">
        <f t="shared" si="1"/>
        <v>2.9058327199999998</v>
      </c>
      <c r="L10">
        <f t="shared" si="2"/>
        <v>0.1075176719575807</v>
      </c>
      <c r="M10">
        <f t="shared" si="3"/>
        <v>2.0999077869531302</v>
      </c>
      <c r="N10" t="s">
        <v>359</v>
      </c>
      <c r="O10" t="s">
        <v>360</v>
      </c>
      <c r="P10">
        <f t="shared" si="4"/>
        <v>3.3962842273057383</v>
      </c>
      <c r="Q10">
        <f t="shared" si="5"/>
        <v>1.9083332273057383</v>
      </c>
      <c r="R10" t="s">
        <v>361</v>
      </c>
      <c r="S10" t="s">
        <v>362</v>
      </c>
      <c r="T10">
        <f t="shared" si="6"/>
        <v>33.911974311589994</v>
      </c>
      <c r="U10">
        <f t="shared" si="7"/>
        <v>0.4417875</v>
      </c>
      <c r="V10" t="s">
        <v>146</v>
      </c>
      <c r="W10" t="s">
        <v>363</v>
      </c>
      <c r="X10" t="s">
        <v>364</v>
      </c>
      <c r="Y10" t="s">
        <v>365</v>
      </c>
      <c r="Z10" t="s">
        <v>366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367</v>
      </c>
      <c r="AI10" t="s">
        <v>368</v>
      </c>
      <c r="AJ10" t="s">
        <v>369</v>
      </c>
      <c r="AK10" t="s">
        <v>370</v>
      </c>
      <c r="AL10">
        <f t="shared" si="9"/>
        <v>26.11</v>
      </c>
      <c r="AM10" t="s">
        <v>252</v>
      </c>
      <c r="AN10" t="s">
        <v>371</v>
      </c>
      <c r="AO10" t="s">
        <v>372</v>
      </c>
      <c r="AP10" t="s">
        <v>373</v>
      </c>
      <c r="AQ10" t="s">
        <v>163</v>
      </c>
      <c r="AR10" t="s">
        <v>374</v>
      </c>
      <c r="AS10" t="s">
        <v>165</v>
      </c>
      <c r="AT10" t="s">
        <v>139</v>
      </c>
      <c r="AU10" t="s">
        <v>166</v>
      </c>
      <c r="AV10" t="s">
        <v>137</v>
      </c>
      <c r="AW10" t="s">
        <v>257</v>
      </c>
      <c r="AX10" t="s">
        <v>375</v>
      </c>
      <c r="AY10" t="s">
        <v>169</v>
      </c>
      <c r="AZ10" t="s">
        <v>376</v>
      </c>
      <c r="BA10" t="s">
        <v>377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378</v>
      </c>
      <c r="CD10" t="s">
        <v>379</v>
      </c>
      <c r="CE10" t="s">
        <v>380</v>
      </c>
      <c r="CF10" t="s">
        <v>381</v>
      </c>
      <c r="CG10" t="s">
        <v>382</v>
      </c>
      <c r="CH10" t="s">
        <v>383</v>
      </c>
      <c r="CI10" t="s">
        <v>384</v>
      </c>
      <c r="CJ10" t="s">
        <v>235</v>
      </c>
      <c r="CK10" t="s">
        <v>364</v>
      </c>
      <c r="CL10" t="s">
        <v>385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363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386</v>
      </c>
      <c r="B11" t="s">
        <v>387</v>
      </c>
      <c r="C11" t="s">
        <v>139</v>
      </c>
      <c r="D11" t="s">
        <v>76</v>
      </c>
      <c r="E11" t="s">
        <v>140</v>
      </c>
      <c r="F11" t="s">
        <v>19</v>
      </c>
      <c r="G11" t="s">
        <v>388</v>
      </c>
      <c r="H11" t="s">
        <v>19</v>
      </c>
      <c r="I11" t="s">
        <v>19</v>
      </c>
      <c r="J11">
        <f t="shared" si="0"/>
        <v>0.11155049807357792</v>
      </c>
      <c r="K11">
        <f t="shared" si="1"/>
        <v>2.9058327199999998</v>
      </c>
      <c r="L11">
        <f t="shared" si="2"/>
        <v>0.10742655599491555</v>
      </c>
      <c r="M11">
        <f t="shared" si="3"/>
        <v>2.0415906122518823</v>
      </c>
      <c r="N11" t="s">
        <v>389</v>
      </c>
      <c r="O11" t="s">
        <v>390</v>
      </c>
      <c r="P11">
        <f t="shared" si="4"/>
        <v>3.3702671823937775</v>
      </c>
      <c r="Q11">
        <f t="shared" si="5"/>
        <v>1.8568821823937776</v>
      </c>
      <c r="R11" t="s">
        <v>391</v>
      </c>
      <c r="S11" t="s">
        <v>392</v>
      </c>
      <c r="T11">
        <f t="shared" si="6"/>
        <v>33.652193533637316</v>
      </c>
      <c r="U11">
        <f t="shared" si="7"/>
        <v>0.4417875</v>
      </c>
      <c r="V11" t="s">
        <v>146</v>
      </c>
      <c r="W11" t="s">
        <v>393</v>
      </c>
      <c r="X11" t="s">
        <v>394</v>
      </c>
      <c r="Y11" t="s">
        <v>395</v>
      </c>
      <c r="Z11" t="s">
        <v>396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397</v>
      </c>
      <c r="AI11" t="s">
        <v>398</v>
      </c>
      <c r="AJ11" t="s">
        <v>399</v>
      </c>
      <c r="AK11" t="s">
        <v>400</v>
      </c>
      <c r="AL11">
        <f t="shared" si="9"/>
        <v>25.98</v>
      </c>
      <c r="AM11" t="s">
        <v>252</v>
      </c>
      <c r="AN11" t="s">
        <v>371</v>
      </c>
      <c r="AO11" t="s">
        <v>401</v>
      </c>
      <c r="AP11" t="s">
        <v>402</v>
      </c>
      <c r="AQ11" t="s">
        <v>163</v>
      </c>
      <c r="AR11" t="s">
        <v>403</v>
      </c>
      <c r="AS11" t="s">
        <v>165</v>
      </c>
      <c r="AT11" t="s">
        <v>139</v>
      </c>
      <c r="AU11" t="s">
        <v>166</v>
      </c>
      <c r="AV11" t="s">
        <v>137</v>
      </c>
      <c r="AW11" t="s">
        <v>404</v>
      </c>
      <c r="AX11" t="s">
        <v>405</v>
      </c>
      <c r="AY11" t="s">
        <v>169</v>
      </c>
      <c r="AZ11" t="s">
        <v>406</v>
      </c>
      <c r="BA11" t="s">
        <v>407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408</v>
      </c>
      <c r="CD11" t="s">
        <v>409</v>
      </c>
      <c r="CE11" t="s">
        <v>410</v>
      </c>
      <c r="CF11" t="s">
        <v>411</v>
      </c>
      <c r="CG11" t="s">
        <v>412</v>
      </c>
      <c r="CH11" t="s">
        <v>413</v>
      </c>
      <c r="CI11" t="s">
        <v>414</v>
      </c>
      <c r="CJ11" t="s">
        <v>415</v>
      </c>
      <c r="CK11" t="s">
        <v>394</v>
      </c>
      <c r="CL11" t="s">
        <v>328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393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416</v>
      </c>
      <c r="B12" t="s">
        <v>417</v>
      </c>
      <c r="C12" t="s">
        <v>139</v>
      </c>
      <c r="D12" t="s">
        <v>76</v>
      </c>
      <c r="E12" t="s">
        <v>140</v>
      </c>
      <c r="F12" t="s">
        <v>19</v>
      </c>
      <c r="G12" t="s">
        <v>418</v>
      </c>
      <c r="H12" t="s">
        <v>19</v>
      </c>
      <c r="I12" t="s">
        <v>19</v>
      </c>
      <c r="J12">
        <f t="shared" si="0"/>
        <v>9.5384111088637563E-2</v>
      </c>
      <c r="K12">
        <f t="shared" si="1"/>
        <v>2.9042299199999997</v>
      </c>
      <c r="L12">
        <f t="shared" si="2"/>
        <v>9.2351011311841411E-2</v>
      </c>
      <c r="M12">
        <f t="shared" si="3"/>
        <v>1.7927477755608399</v>
      </c>
      <c r="N12" t="s">
        <v>419</v>
      </c>
      <c r="O12" t="s">
        <v>420</v>
      </c>
      <c r="P12">
        <f t="shared" si="4"/>
        <v>3.4265217018778769</v>
      </c>
      <c r="Q12">
        <f t="shared" si="5"/>
        <v>1.8960767018778768</v>
      </c>
      <c r="R12" t="s">
        <v>421</v>
      </c>
      <c r="S12" t="s">
        <v>422</v>
      </c>
      <c r="T12">
        <f t="shared" si="6"/>
        <v>34.213896174516989</v>
      </c>
      <c r="U12">
        <f t="shared" si="7"/>
        <v>0.4417875</v>
      </c>
      <c r="V12" t="s">
        <v>146</v>
      </c>
      <c r="W12" t="s">
        <v>423</v>
      </c>
      <c r="X12" t="s">
        <v>424</v>
      </c>
      <c r="Y12" t="s">
        <v>425</v>
      </c>
      <c r="Z12" t="s">
        <v>426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427</v>
      </c>
      <c r="AI12" t="s">
        <v>428</v>
      </c>
      <c r="AJ12" t="s">
        <v>429</v>
      </c>
      <c r="AK12" t="s">
        <v>250</v>
      </c>
      <c r="AL12">
        <f t="shared" si="9"/>
        <v>26.26</v>
      </c>
      <c r="AM12" t="s">
        <v>252</v>
      </c>
      <c r="AN12" t="s">
        <v>284</v>
      </c>
      <c r="AO12" t="s">
        <v>430</v>
      </c>
      <c r="AP12" t="s">
        <v>431</v>
      </c>
      <c r="AQ12" t="s">
        <v>163</v>
      </c>
      <c r="AR12" t="s">
        <v>403</v>
      </c>
      <c r="AS12" t="s">
        <v>165</v>
      </c>
      <c r="AT12" t="s">
        <v>139</v>
      </c>
      <c r="AU12" t="s">
        <v>166</v>
      </c>
      <c r="AV12" t="s">
        <v>137</v>
      </c>
      <c r="AW12" t="s">
        <v>432</v>
      </c>
      <c r="AX12" t="s">
        <v>433</v>
      </c>
      <c r="AY12" t="s">
        <v>169</v>
      </c>
      <c r="AZ12" t="s">
        <v>434</v>
      </c>
      <c r="BA12" t="s">
        <v>435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436</v>
      </c>
      <c r="CD12" t="s">
        <v>437</v>
      </c>
      <c r="CE12" t="s">
        <v>438</v>
      </c>
      <c r="CF12" t="s">
        <v>439</v>
      </c>
      <c r="CG12" t="s">
        <v>440</v>
      </c>
      <c r="CH12" t="s">
        <v>441</v>
      </c>
      <c r="CI12" t="s">
        <v>442</v>
      </c>
      <c r="CJ12" t="s">
        <v>415</v>
      </c>
      <c r="CK12" t="s">
        <v>424</v>
      </c>
      <c r="CL12" t="s">
        <v>328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423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443</v>
      </c>
      <c r="B13" t="s">
        <v>444</v>
      </c>
      <c r="C13" t="s">
        <v>139</v>
      </c>
      <c r="D13" t="s">
        <v>76</v>
      </c>
      <c r="E13" t="s">
        <v>140</v>
      </c>
      <c r="F13" t="s">
        <v>19</v>
      </c>
      <c r="G13" t="s">
        <v>445</v>
      </c>
      <c r="H13" t="s">
        <v>19</v>
      </c>
      <c r="I13" t="s">
        <v>19</v>
      </c>
      <c r="J13">
        <f t="shared" si="0"/>
        <v>9.0866929068726329E-2</v>
      </c>
      <c r="K13">
        <f t="shared" si="1"/>
        <v>2.9066320800000001</v>
      </c>
      <c r="L13">
        <f t="shared" si="2"/>
        <v>8.8112366423867883E-2</v>
      </c>
      <c r="M13">
        <f t="shared" si="3"/>
        <v>1.7517161869449887</v>
      </c>
      <c r="N13" t="s">
        <v>446</v>
      </c>
      <c r="O13" t="s">
        <v>447</v>
      </c>
      <c r="P13">
        <f t="shared" si="4"/>
        <v>3.4427442755857838</v>
      </c>
      <c r="Q13">
        <f t="shared" si="5"/>
        <v>1.9418932755857838</v>
      </c>
      <c r="R13" t="s">
        <v>448</v>
      </c>
      <c r="S13" t="s">
        <v>449</v>
      </c>
      <c r="T13">
        <f t="shared" si="6"/>
        <v>34.37587893745166</v>
      </c>
      <c r="U13">
        <f t="shared" si="7"/>
        <v>0.4417875</v>
      </c>
      <c r="V13" t="s">
        <v>146</v>
      </c>
      <c r="W13" t="s">
        <v>450</v>
      </c>
      <c r="X13" t="s">
        <v>451</v>
      </c>
      <c r="Y13" t="s">
        <v>452</v>
      </c>
      <c r="Z13" t="s">
        <v>453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454</v>
      </c>
      <c r="AI13" t="s">
        <v>455</v>
      </c>
      <c r="AJ13" t="s">
        <v>456</v>
      </c>
      <c r="AK13" t="s">
        <v>457</v>
      </c>
      <c r="AL13">
        <f t="shared" si="9"/>
        <v>26.34</v>
      </c>
      <c r="AM13" t="s">
        <v>252</v>
      </c>
      <c r="AN13" t="s">
        <v>160</v>
      </c>
      <c r="AO13" t="s">
        <v>458</v>
      </c>
      <c r="AP13" t="s">
        <v>459</v>
      </c>
      <c r="AQ13" t="s">
        <v>163</v>
      </c>
      <c r="AR13" t="s">
        <v>460</v>
      </c>
      <c r="AS13" t="s">
        <v>165</v>
      </c>
      <c r="AT13" t="s">
        <v>139</v>
      </c>
      <c r="AU13" t="s">
        <v>166</v>
      </c>
      <c r="AV13" t="s">
        <v>137</v>
      </c>
      <c r="AW13" t="s">
        <v>317</v>
      </c>
      <c r="AX13" t="s">
        <v>461</v>
      </c>
      <c r="AY13" t="s">
        <v>169</v>
      </c>
      <c r="AZ13" t="s">
        <v>462</v>
      </c>
      <c r="BA13" t="s">
        <v>463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464</v>
      </c>
      <c r="CD13" t="s">
        <v>465</v>
      </c>
      <c r="CE13" t="s">
        <v>466</v>
      </c>
      <c r="CF13" t="s">
        <v>467</v>
      </c>
      <c r="CG13" t="s">
        <v>468</v>
      </c>
      <c r="CH13" t="s">
        <v>469</v>
      </c>
      <c r="CI13" t="s">
        <v>470</v>
      </c>
      <c r="CJ13" t="s">
        <v>471</v>
      </c>
      <c r="CK13" t="s">
        <v>451</v>
      </c>
      <c r="CL13" t="s">
        <v>385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450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472</v>
      </c>
      <c r="B14" t="s">
        <v>473</v>
      </c>
      <c r="C14" t="s">
        <v>139</v>
      </c>
      <c r="D14" t="s">
        <v>76</v>
      </c>
      <c r="E14" t="s">
        <v>140</v>
      </c>
      <c r="F14" t="s">
        <v>19</v>
      </c>
      <c r="G14" t="s">
        <v>474</v>
      </c>
      <c r="H14" t="s">
        <v>19</v>
      </c>
      <c r="I14" t="s">
        <v>19</v>
      </c>
      <c r="J14">
        <f t="shared" si="0"/>
        <v>0.11530140513771163</v>
      </c>
      <c r="K14">
        <f t="shared" si="1"/>
        <v>2.9050319999999994</v>
      </c>
      <c r="L14">
        <f t="shared" si="2"/>
        <v>0.11089976722445465</v>
      </c>
      <c r="M14">
        <f t="shared" si="3"/>
        <v>2.0910947613687885</v>
      </c>
      <c r="N14" t="s">
        <v>475</v>
      </c>
      <c r="O14" t="s">
        <v>476</v>
      </c>
      <c r="P14">
        <f t="shared" si="4"/>
        <v>3.4569940036517663</v>
      </c>
      <c r="Q14">
        <f t="shared" si="5"/>
        <v>1.8405440036517664</v>
      </c>
      <c r="R14" t="s">
        <v>477</v>
      </c>
      <c r="S14" t="s">
        <v>478</v>
      </c>
      <c r="T14">
        <f t="shared" si="6"/>
        <v>34.518162792329164</v>
      </c>
      <c r="U14">
        <f t="shared" si="7"/>
        <v>0.4417875</v>
      </c>
      <c r="V14" t="s">
        <v>146</v>
      </c>
      <c r="W14" t="s">
        <v>479</v>
      </c>
      <c r="X14" t="s">
        <v>480</v>
      </c>
      <c r="Y14" t="s">
        <v>481</v>
      </c>
      <c r="Z14" t="s">
        <v>482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483</v>
      </c>
      <c r="AI14" t="s">
        <v>484</v>
      </c>
      <c r="AJ14" t="s">
        <v>485</v>
      </c>
      <c r="AK14" t="s">
        <v>486</v>
      </c>
      <c r="AL14">
        <f t="shared" si="9"/>
        <v>26.41</v>
      </c>
      <c r="AM14" t="s">
        <v>252</v>
      </c>
      <c r="AN14" t="s">
        <v>253</v>
      </c>
      <c r="AO14" t="s">
        <v>487</v>
      </c>
      <c r="AP14" t="s">
        <v>488</v>
      </c>
      <c r="AQ14" t="s">
        <v>163</v>
      </c>
      <c r="AR14" t="s">
        <v>403</v>
      </c>
      <c r="AS14" t="s">
        <v>165</v>
      </c>
      <c r="AT14" t="s">
        <v>139</v>
      </c>
      <c r="AU14" t="s">
        <v>166</v>
      </c>
      <c r="AV14" t="s">
        <v>137</v>
      </c>
      <c r="AW14" t="s">
        <v>489</v>
      </c>
      <c r="AX14" t="s">
        <v>490</v>
      </c>
      <c r="AY14" t="s">
        <v>169</v>
      </c>
      <c r="AZ14" t="s">
        <v>491</v>
      </c>
      <c r="BA14" t="s">
        <v>492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493</v>
      </c>
      <c r="CD14" t="s">
        <v>494</v>
      </c>
      <c r="CE14" t="s">
        <v>495</v>
      </c>
      <c r="CF14" t="s">
        <v>496</v>
      </c>
      <c r="CG14" t="s">
        <v>497</v>
      </c>
      <c r="CH14" t="s">
        <v>498</v>
      </c>
      <c r="CI14" t="s">
        <v>499</v>
      </c>
      <c r="CJ14" t="s">
        <v>471</v>
      </c>
      <c r="CK14" t="s">
        <v>480</v>
      </c>
      <c r="CL14" t="s">
        <v>500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479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501</v>
      </c>
      <c r="B15" t="s">
        <v>502</v>
      </c>
      <c r="C15" t="s">
        <v>139</v>
      </c>
      <c r="D15" t="s">
        <v>76</v>
      </c>
      <c r="E15" t="s">
        <v>140</v>
      </c>
      <c r="F15" t="s">
        <v>19</v>
      </c>
      <c r="G15" t="s">
        <v>503</v>
      </c>
      <c r="H15" t="s">
        <v>19</v>
      </c>
      <c r="I15" t="s">
        <v>19</v>
      </c>
      <c r="J15">
        <f t="shared" si="0"/>
        <v>0.10192975806806565</v>
      </c>
      <c r="K15">
        <f t="shared" si="1"/>
        <v>2.9050319999999994</v>
      </c>
      <c r="L15">
        <f t="shared" si="2"/>
        <v>9.847455098006809E-2</v>
      </c>
      <c r="M15">
        <f t="shared" si="3"/>
        <v>1.8308046802862772</v>
      </c>
      <c r="N15" t="s">
        <v>504</v>
      </c>
      <c r="O15" t="s">
        <v>505</v>
      </c>
      <c r="P15">
        <f t="shared" si="4"/>
        <v>3.4305710741675233</v>
      </c>
      <c r="Q15">
        <f t="shared" si="5"/>
        <v>1.8149660741675233</v>
      </c>
      <c r="R15" t="s">
        <v>506</v>
      </c>
      <c r="S15" t="s">
        <v>507</v>
      </c>
      <c r="T15">
        <f t="shared" si="6"/>
        <v>34.254329247803526</v>
      </c>
      <c r="U15">
        <f t="shared" si="7"/>
        <v>0.4417875</v>
      </c>
      <c r="V15" t="s">
        <v>146</v>
      </c>
      <c r="W15" t="s">
        <v>508</v>
      </c>
      <c r="X15" t="s">
        <v>509</v>
      </c>
      <c r="Y15" t="s">
        <v>510</v>
      </c>
      <c r="Z15" t="s">
        <v>511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512</v>
      </c>
      <c r="AI15" t="s">
        <v>513</v>
      </c>
      <c r="AJ15" t="s">
        <v>514</v>
      </c>
      <c r="AK15" t="s">
        <v>515</v>
      </c>
      <c r="AL15">
        <f t="shared" si="9"/>
        <v>26.28</v>
      </c>
      <c r="AM15" t="s">
        <v>252</v>
      </c>
      <c r="AN15" t="s">
        <v>253</v>
      </c>
      <c r="AO15" t="s">
        <v>516</v>
      </c>
      <c r="AP15" t="s">
        <v>517</v>
      </c>
      <c r="AQ15" t="s">
        <v>163</v>
      </c>
      <c r="AR15" t="s">
        <v>460</v>
      </c>
      <c r="AS15" t="s">
        <v>165</v>
      </c>
      <c r="AT15" t="s">
        <v>139</v>
      </c>
      <c r="AU15" t="s">
        <v>166</v>
      </c>
      <c r="AV15" t="s">
        <v>137</v>
      </c>
      <c r="AW15" t="s">
        <v>489</v>
      </c>
      <c r="AX15" t="s">
        <v>518</v>
      </c>
      <c r="AY15" t="s">
        <v>169</v>
      </c>
      <c r="AZ15" t="s">
        <v>519</v>
      </c>
      <c r="BA15" t="s">
        <v>520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521</v>
      </c>
      <c r="CD15" t="s">
        <v>522</v>
      </c>
      <c r="CE15" t="s">
        <v>523</v>
      </c>
      <c r="CF15" t="s">
        <v>524</v>
      </c>
      <c r="CG15" t="s">
        <v>525</v>
      </c>
      <c r="CH15" t="s">
        <v>526</v>
      </c>
      <c r="CI15" t="s">
        <v>527</v>
      </c>
      <c r="CJ15" t="s">
        <v>528</v>
      </c>
      <c r="CK15" t="s">
        <v>509</v>
      </c>
      <c r="CL15" t="s">
        <v>236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508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529</v>
      </c>
      <c r="B16" t="s">
        <v>530</v>
      </c>
      <c r="C16" t="s">
        <v>139</v>
      </c>
      <c r="D16" t="s">
        <v>76</v>
      </c>
      <c r="E16" t="s">
        <v>140</v>
      </c>
      <c r="F16" t="s">
        <v>19</v>
      </c>
      <c r="G16" t="s">
        <v>531</v>
      </c>
      <c r="H16" t="s">
        <v>19</v>
      </c>
      <c r="I16" t="s">
        <v>19</v>
      </c>
      <c r="J16">
        <f t="shared" si="0"/>
        <v>8.3908580081859085E-2</v>
      </c>
      <c r="K16">
        <f t="shared" si="1"/>
        <v>2.9058327199999998</v>
      </c>
      <c r="L16">
        <f t="shared" si="2"/>
        <v>8.1553643950374732E-2</v>
      </c>
      <c r="M16">
        <f t="shared" si="3"/>
        <v>1.5598080233708855</v>
      </c>
      <c r="N16" t="s">
        <v>532</v>
      </c>
      <c r="O16" t="s">
        <v>533</v>
      </c>
      <c r="P16">
        <f t="shared" si="4"/>
        <v>3.4590338774713665</v>
      </c>
      <c r="Q16">
        <f t="shared" si="5"/>
        <v>1.8674508774713665</v>
      </c>
      <c r="R16" t="s">
        <v>534</v>
      </c>
      <c r="S16" t="s">
        <v>535</v>
      </c>
      <c r="T16">
        <f t="shared" si="6"/>
        <v>34.53508264248569</v>
      </c>
      <c r="U16">
        <f t="shared" si="7"/>
        <v>0.4417875</v>
      </c>
      <c r="V16" t="s">
        <v>146</v>
      </c>
      <c r="W16" t="s">
        <v>536</v>
      </c>
      <c r="X16" t="s">
        <v>537</v>
      </c>
      <c r="Y16" t="s">
        <v>538</v>
      </c>
      <c r="Z16" t="s">
        <v>539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540</v>
      </c>
      <c r="AI16" t="s">
        <v>541</v>
      </c>
      <c r="AJ16" t="s">
        <v>542</v>
      </c>
      <c r="AK16" t="s">
        <v>543</v>
      </c>
      <c r="AL16">
        <f t="shared" si="9"/>
        <v>26.42</v>
      </c>
      <c r="AM16" t="s">
        <v>544</v>
      </c>
      <c r="AN16" t="s">
        <v>371</v>
      </c>
      <c r="AO16" t="s">
        <v>254</v>
      </c>
      <c r="AP16" t="s">
        <v>255</v>
      </c>
      <c r="AQ16" t="s">
        <v>163</v>
      </c>
      <c r="AR16" t="s">
        <v>460</v>
      </c>
      <c r="AS16" t="s">
        <v>165</v>
      </c>
      <c r="AT16" t="s">
        <v>139</v>
      </c>
      <c r="AU16" t="s">
        <v>166</v>
      </c>
      <c r="AV16" t="s">
        <v>137</v>
      </c>
      <c r="AW16" t="s">
        <v>545</v>
      </c>
      <c r="AX16" t="s">
        <v>546</v>
      </c>
      <c r="AY16" t="s">
        <v>169</v>
      </c>
      <c r="AZ16" t="s">
        <v>547</v>
      </c>
      <c r="BA16" t="s">
        <v>548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549</v>
      </c>
      <c r="CD16" t="s">
        <v>550</v>
      </c>
      <c r="CE16" t="s">
        <v>551</v>
      </c>
      <c r="CF16" t="s">
        <v>552</v>
      </c>
      <c r="CG16" t="s">
        <v>553</v>
      </c>
      <c r="CH16" t="s">
        <v>554</v>
      </c>
      <c r="CI16" t="s">
        <v>555</v>
      </c>
      <c r="CJ16" t="s">
        <v>556</v>
      </c>
      <c r="CK16" t="s">
        <v>537</v>
      </c>
      <c r="CL16" t="s">
        <v>385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536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557</v>
      </c>
      <c r="B17" t="s">
        <v>558</v>
      </c>
      <c r="C17" t="s">
        <v>139</v>
      </c>
      <c r="D17" t="s">
        <v>76</v>
      </c>
      <c r="E17" t="s">
        <v>140</v>
      </c>
      <c r="F17" t="s">
        <v>19</v>
      </c>
      <c r="G17" t="s">
        <v>559</v>
      </c>
      <c r="H17" t="s">
        <v>19</v>
      </c>
      <c r="I17" t="s">
        <v>19</v>
      </c>
      <c r="J17">
        <f t="shared" si="0"/>
        <v>9.2402019754965981E-2</v>
      </c>
      <c r="K17">
        <f t="shared" si="1"/>
        <v>2.9050319999999994</v>
      </c>
      <c r="L17">
        <f t="shared" si="2"/>
        <v>8.9553538954879802E-2</v>
      </c>
      <c r="M17">
        <f t="shared" si="3"/>
        <v>1.6512371922531615</v>
      </c>
      <c r="N17" t="s">
        <v>560</v>
      </c>
      <c r="O17" t="s">
        <v>561</v>
      </c>
      <c r="P17">
        <f t="shared" si="4"/>
        <v>3.4224765042824301</v>
      </c>
      <c r="Q17">
        <f t="shared" si="5"/>
        <v>1.8003615042824301</v>
      </c>
      <c r="R17" t="s">
        <v>562</v>
      </c>
      <c r="S17" t="s">
        <v>563</v>
      </c>
      <c r="T17">
        <f t="shared" si="6"/>
        <v>34.170092894193594</v>
      </c>
      <c r="U17">
        <f t="shared" si="7"/>
        <v>0.4417875</v>
      </c>
      <c r="V17" t="s">
        <v>146</v>
      </c>
      <c r="W17" t="s">
        <v>564</v>
      </c>
      <c r="X17" t="s">
        <v>565</v>
      </c>
      <c r="Y17" t="s">
        <v>566</v>
      </c>
      <c r="Z17" t="s">
        <v>567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568</v>
      </c>
      <c r="AI17" t="s">
        <v>569</v>
      </c>
      <c r="AJ17" t="s">
        <v>570</v>
      </c>
      <c r="AK17" t="s">
        <v>571</v>
      </c>
      <c r="AL17">
        <f t="shared" si="9"/>
        <v>26.24</v>
      </c>
      <c r="AM17" t="s">
        <v>544</v>
      </c>
      <c r="AN17" t="s">
        <v>253</v>
      </c>
      <c r="AO17" t="s">
        <v>572</v>
      </c>
      <c r="AP17" t="s">
        <v>573</v>
      </c>
      <c r="AQ17" t="s">
        <v>163</v>
      </c>
      <c r="AR17" t="s">
        <v>574</v>
      </c>
      <c r="AS17" t="s">
        <v>165</v>
      </c>
      <c r="AT17" t="s">
        <v>139</v>
      </c>
      <c r="AU17" t="s">
        <v>166</v>
      </c>
      <c r="AV17" t="s">
        <v>137</v>
      </c>
      <c r="AW17" t="s">
        <v>288</v>
      </c>
      <c r="AX17" t="s">
        <v>575</v>
      </c>
      <c r="AY17" t="s">
        <v>169</v>
      </c>
      <c r="AZ17" t="s">
        <v>576</v>
      </c>
      <c r="BA17" t="s">
        <v>577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578</v>
      </c>
      <c r="CD17" t="s">
        <v>579</v>
      </c>
      <c r="CE17" t="s">
        <v>580</v>
      </c>
      <c r="CF17" t="s">
        <v>581</v>
      </c>
      <c r="CG17" t="s">
        <v>582</v>
      </c>
      <c r="CH17" t="s">
        <v>583</v>
      </c>
      <c r="CI17" t="s">
        <v>584</v>
      </c>
      <c r="CJ17" t="s">
        <v>585</v>
      </c>
      <c r="CK17" t="s">
        <v>565</v>
      </c>
      <c r="CL17" t="s">
        <v>586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564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587</v>
      </c>
      <c r="B18" t="s">
        <v>588</v>
      </c>
      <c r="C18" t="s">
        <v>139</v>
      </c>
      <c r="D18" t="s">
        <v>76</v>
      </c>
      <c r="E18" t="s">
        <v>140</v>
      </c>
      <c r="F18" t="s">
        <v>19</v>
      </c>
      <c r="G18" t="s">
        <v>589</v>
      </c>
      <c r="H18" t="s">
        <v>19</v>
      </c>
      <c r="I18" t="s">
        <v>19</v>
      </c>
      <c r="J18">
        <f t="shared" si="0"/>
        <v>8.2016092667065735E-2</v>
      </c>
      <c r="K18">
        <f t="shared" si="1"/>
        <v>2.9042299199999997</v>
      </c>
      <c r="L18">
        <f t="shared" si="2"/>
        <v>7.9763552378074268E-2</v>
      </c>
      <c r="M18">
        <f t="shared" si="3"/>
        <v>1.4783254854316634</v>
      </c>
      <c r="N18" t="s">
        <v>590</v>
      </c>
      <c r="O18" t="s">
        <v>591</v>
      </c>
      <c r="P18">
        <f t="shared" si="4"/>
        <v>3.461074802256455</v>
      </c>
      <c r="Q18">
        <f t="shared" si="5"/>
        <v>1.808962802256455</v>
      </c>
      <c r="R18" t="s">
        <v>592</v>
      </c>
      <c r="S18" t="s">
        <v>593</v>
      </c>
      <c r="T18">
        <f t="shared" si="6"/>
        <v>34.555459287704224</v>
      </c>
      <c r="U18">
        <f t="shared" si="7"/>
        <v>0.4417875</v>
      </c>
      <c r="V18" t="s">
        <v>146</v>
      </c>
      <c r="W18" t="s">
        <v>594</v>
      </c>
      <c r="X18" t="s">
        <v>595</v>
      </c>
      <c r="Y18" t="s">
        <v>596</v>
      </c>
      <c r="Z18" t="s">
        <v>597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598</v>
      </c>
      <c r="AI18" t="s">
        <v>599</v>
      </c>
      <c r="AJ18" t="s">
        <v>600</v>
      </c>
      <c r="AK18" t="s">
        <v>601</v>
      </c>
      <c r="AL18">
        <f t="shared" si="9"/>
        <v>26.43</v>
      </c>
      <c r="AM18" t="s">
        <v>544</v>
      </c>
      <c r="AN18" t="s">
        <v>284</v>
      </c>
      <c r="AO18" t="s">
        <v>602</v>
      </c>
      <c r="AP18" t="s">
        <v>603</v>
      </c>
      <c r="AQ18" t="s">
        <v>163</v>
      </c>
      <c r="AR18" t="s">
        <v>574</v>
      </c>
      <c r="AS18" t="s">
        <v>165</v>
      </c>
      <c r="AT18" t="s">
        <v>139</v>
      </c>
      <c r="AU18" t="s">
        <v>166</v>
      </c>
      <c r="AV18" t="s">
        <v>137</v>
      </c>
      <c r="AW18" t="s">
        <v>604</v>
      </c>
      <c r="AX18" t="s">
        <v>605</v>
      </c>
      <c r="AY18" t="s">
        <v>169</v>
      </c>
      <c r="AZ18" t="s">
        <v>606</v>
      </c>
      <c r="BA18" t="s">
        <v>227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607</v>
      </c>
      <c r="CD18" t="s">
        <v>608</v>
      </c>
      <c r="CE18" t="s">
        <v>609</v>
      </c>
      <c r="CF18" t="s">
        <v>610</v>
      </c>
      <c r="CG18" t="s">
        <v>611</v>
      </c>
      <c r="CH18" t="s">
        <v>612</v>
      </c>
      <c r="CI18" t="s">
        <v>613</v>
      </c>
      <c r="CJ18" t="s">
        <v>415</v>
      </c>
      <c r="CK18" t="s">
        <v>595</v>
      </c>
      <c r="CL18" t="s">
        <v>385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594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614</v>
      </c>
      <c r="B19" t="s">
        <v>615</v>
      </c>
      <c r="C19" t="s">
        <v>139</v>
      </c>
      <c r="D19" t="s">
        <v>76</v>
      </c>
      <c r="E19" t="s">
        <v>140</v>
      </c>
      <c r="F19" t="s">
        <v>19</v>
      </c>
      <c r="G19" t="s">
        <v>616</v>
      </c>
      <c r="H19" t="s">
        <v>19</v>
      </c>
      <c r="I19" t="s">
        <v>19</v>
      </c>
      <c r="J19">
        <f t="shared" si="0"/>
        <v>9.0884046035607485E-2</v>
      </c>
      <c r="K19">
        <f t="shared" si="1"/>
        <v>2.9034264800000003</v>
      </c>
      <c r="L19">
        <f t="shared" si="2"/>
        <v>8.8125511223675887E-2</v>
      </c>
      <c r="M19">
        <f t="shared" si="3"/>
        <v>1.6051087755685787</v>
      </c>
      <c r="N19" t="s">
        <v>617</v>
      </c>
      <c r="O19" t="s">
        <v>618</v>
      </c>
      <c r="P19">
        <f t="shared" si="4"/>
        <v>3.4143986186381348</v>
      </c>
      <c r="Q19">
        <f t="shared" si="5"/>
        <v>1.7782436186381347</v>
      </c>
      <c r="R19" t="s">
        <v>619</v>
      </c>
      <c r="S19" t="s">
        <v>620</v>
      </c>
      <c r="T19">
        <f t="shared" si="6"/>
        <v>34.089443077457418</v>
      </c>
      <c r="U19">
        <f t="shared" si="7"/>
        <v>0.4417875</v>
      </c>
      <c r="V19" t="s">
        <v>146</v>
      </c>
      <c r="W19" t="s">
        <v>621</v>
      </c>
      <c r="X19" t="s">
        <v>622</v>
      </c>
      <c r="Y19" t="s">
        <v>623</v>
      </c>
      <c r="Z19" t="s">
        <v>624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625</v>
      </c>
      <c r="AI19" t="s">
        <v>626</v>
      </c>
      <c r="AJ19" t="s">
        <v>627</v>
      </c>
      <c r="AK19" t="s">
        <v>628</v>
      </c>
      <c r="AL19">
        <f t="shared" si="9"/>
        <v>26.2</v>
      </c>
      <c r="AM19" t="s">
        <v>544</v>
      </c>
      <c r="AN19" t="s">
        <v>220</v>
      </c>
      <c r="AO19" t="s">
        <v>629</v>
      </c>
      <c r="AP19" t="s">
        <v>603</v>
      </c>
      <c r="AQ19" t="s">
        <v>163</v>
      </c>
      <c r="AR19" t="s">
        <v>574</v>
      </c>
      <c r="AS19" t="s">
        <v>165</v>
      </c>
      <c r="AT19" t="s">
        <v>139</v>
      </c>
      <c r="AU19" t="s">
        <v>166</v>
      </c>
      <c r="AV19" t="s">
        <v>137</v>
      </c>
      <c r="AW19" t="s">
        <v>630</v>
      </c>
      <c r="AX19" t="s">
        <v>631</v>
      </c>
      <c r="AY19" t="s">
        <v>169</v>
      </c>
      <c r="AZ19" t="s">
        <v>632</v>
      </c>
      <c r="BA19" t="s">
        <v>633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634</v>
      </c>
      <c r="CD19" t="s">
        <v>635</v>
      </c>
      <c r="CE19" t="s">
        <v>636</v>
      </c>
      <c r="CF19" t="s">
        <v>637</v>
      </c>
      <c r="CG19" t="s">
        <v>638</v>
      </c>
      <c r="CH19" t="s">
        <v>639</v>
      </c>
      <c r="CI19" t="s">
        <v>640</v>
      </c>
      <c r="CJ19" t="s">
        <v>585</v>
      </c>
      <c r="CK19" t="s">
        <v>622</v>
      </c>
      <c r="CL19" t="s">
        <v>385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621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641</v>
      </c>
      <c r="B20" t="s">
        <v>642</v>
      </c>
      <c r="C20" t="s">
        <v>139</v>
      </c>
      <c r="D20" t="s">
        <v>76</v>
      </c>
      <c r="E20" t="s">
        <v>140</v>
      </c>
      <c r="F20" t="s">
        <v>19</v>
      </c>
      <c r="G20" t="s">
        <v>643</v>
      </c>
      <c r="H20" t="s">
        <v>19</v>
      </c>
      <c r="I20" t="s">
        <v>19</v>
      </c>
      <c r="J20">
        <f t="shared" si="0"/>
        <v>8.1157314124096686E-2</v>
      </c>
      <c r="K20">
        <f t="shared" si="1"/>
        <v>2.9042299199999997</v>
      </c>
      <c r="L20">
        <f t="shared" si="2"/>
        <v>7.8951064442128793E-2</v>
      </c>
      <c r="M20">
        <f t="shared" si="3"/>
        <v>1.4638545873792235</v>
      </c>
      <c r="N20" t="s">
        <v>644</v>
      </c>
      <c r="O20" t="s">
        <v>645</v>
      </c>
      <c r="P20">
        <f t="shared" si="4"/>
        <v>3.4590338774713665</v>
      </c>
      <c r="Q20">
        <f t="shared" si="5"/>
        <v>1.8098718774713665</v>
      </c>
      <c r="R20" t="s">
        <v>646</v>
      </c>
      <c r="S20" t="s">
        <v>647</v>
      </c>
      <c r="T20">
        <f t="shared" si="6"/>
        <v>34.531634995221786</v>
      </c>
      <c r="U20">
        <f t="shared" si="7"/>
        <v>0.4417875</v>
      </c>
      <c r="V20" t="s">
        <v>146</v>
      </c>
      <c r="W20" t="s">
        <v>648</v>
      </c>
      <c r="X20" t="s">
        <v>649</v>
      </c>
      <c r="Y20" t="s">
        <v>650</v>
      </c>
      <c r="Z20" t="s">
        <v>651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652</v>
      </c>
      <c r="AI20" t="s">
        <v>653</v>
      </c>
      <c r="AJ20" t="s">
        <v>654</v>
      </c>
      <c r="AK20" t="s">
        <v>543</v>
      </c>
      <c r="AL20">
        <f t="shared" si="9"/>
        <v>26.42</v>
      </c>
      <c r="AM20" t="s">
        <v>655</v>
      </c>
      <c r="AN20" t="s">
        <v>284</v>
      </c>
      <c r="AO20" t="s">
        <v>656</v>
      </c>
      <c r="AP20" t="s">
        <v>657</v>
      </c>
      <c r="AQ20" t="s">
        <v>163</v>
      </c>
      <c r="AR20" t="s">
        <v>658</v>
      </c>
      <c r="AS20" t="s">
        <v>165</v>
      </c>
      <c r="AT20" t="s">
        <v>139</v>
      </c>
      <c r="AU20" t="s">
        <v>166</v>
      </c>
      <c r="AV20" t="s">
        <v>137</v>
      </c>
      <c r="AW20" t="s">
        <v>604</v>
      </c>
      <c r="AX20" t="s">
        <v>659</v>
      </c>
      <c r="AY20" t="s">
        <v>169</v>
      </c>
      <c r="AZ20" t="s">
        <v>660</v>
      </c>
      <c r="BA20" t="s">
        <v>661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662</v>
      </c>
      <c r="CD20" t="s">
        <v>663</v>
      </c>
      <c r="CE20" t="s">
        <v>664</v>
      </c>
      <c r="CF20" t="s">
        <v>665</v>
      </c>
      <c r="CG20" t="s">
        <v>666</v>
      </c>
      <c r="CH20" t="s">
        <v>667</v>
      </c>
      <c r="CI20" t="s">
        <v>668</v>
      </c>
      <c r="CJ20" t="s">
        <v>669</v>
      </c>
      <c r="CK20" t="s">
        <v>649</v>
      </c>
      <c r="CL20" t="s">
        <v>328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648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670</v>
      </c>
      <c r="B21" t="s">
        <v>671</v>
      </c>
      <c r="C21" t="s">
        <v>139</v>
      </c>
      <c r="D21" t="s">
        <v>76</v>
      </c>
      <c r="E21" t="s">
        <v>140</v>
      </c>
      <c r="F21" t="s">
        <v>19</v>
      </c>
      <c r="G21" t="s">
        <v>672</v>
      </c>
      <c r="H21" t="s">
        <v>19</v>
      </c>
      <c r="I21" t="s">
        <v>19</v>
      </c>
      <c r="J21">
        <f t="shared" si="0"/>
        <v>7.6048698024941699E-2</v>
      </c>
      <c r="K21">
        <f t="shared" si="1"/>
        <v>2.9042299199999997</v>
      </c>
      <c r="L21">
        <f t="shared" si="2"/>
        <v>7.410813970388061E-2</v>
      </c>
      <c r="M21">
        <f t="shared" si="3"/>
        <v>1.4021106800463103</v>
      </c>
      <c r="N21" t="s">
        <v>673</v>
      </c>
      <c r="O21" t="s">
        <v>674</v>
      </c>
      <c r="P21">
        <f t="shared" si="4"/>
        <v>3.4794904942416971</v>
      </c>
      <c r="Q21">
        <f t="shared" si="5"/>
        <v>1.846583494241697</v>
      </c>
      <c r="R21" t="s">
        <v>675</v>
      </c>
      <c r="S21" t="s">
        <v>676</v>
      </c>
      <c r="T21">
        <f t="shared" si="6"/>
        <v>34.739322027173493</v>
      </c>
      <c r="U21">
        <f t="shared" si="7"/>
        <v>0.4417875</v>
      </c>
      <c r="V21" t="s">
        <v>146</v>
      </c>
      <c r="W21" t="s">
        <v>677</v>
      </c>
      <c r="X21" t="s">
        <v>678</v>
      </c>
      <c r="Y21" t="s">
        <v>679</v>
      </c>
      <c r="Z21" t="s">
        <v>680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681</v>
      </c>
      <c r="AI21" t="s">
        <v>682</v>
      </c>
      <c r="AJ21" t="s">
        <v>683</v>
      </c>
      <c r="AK21" t="s">
        <v>684</v>
      </c>
      <c r="AL21">
        <f t="shared" si="9"/>
        <v>26.52</v>
      </c>
      <c r="AM21" t="s">
        <v>544</v>
      </c>
      <c r="AN21" t="s">
        <v>284</v>
      </c>
      <c r="AO21" t="s">
        <v>685</v>
      </c>
      <c r="AP21" t="s">
        <v>686</v>
      </c>
      <c r="AQ21" t="s">
        <v>163</v>
      </c>
      <c r="AR21" t="s">
        <v>687</v>
      </c>
      <c r="AS21" t="s">
        <v>165</v>
      </c>
      <c r="AT21" t="s">
        <v>139</v>
      </c>
      <c r="AU21" t="s">
        <v>166</v>
      </c>
      <c r="AV21" t="s">
        <v>137</v>
      </c>
      <c r="AW21" t="s">
        <v>317</v>
      </c>
      <c r="AX21" t="s">
        <v>688</v>
      </c>
      <c r="AY21" t="s">
        <v>169</v>
      </c>
      <c r="AZ21" t="s">
        <v>689</v>
      </c>
      <c r="BA21" t="s">
        <v>690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691</v>
      </c>
      <c r="CD21" t="s">
        <v>692</v>
      </c>
      <c r="CE21" t="s">
        <v>693</v>
      </c>
      <c r="CF21" t="s">
        <v>694</v>
      </c>
      <c r="CG21" t="s">
        <v>695</v>
      </c>
      <c r="CH21" t="s">
        <v>696</v>
      </c>
      <c r="CI21" t="s">
        <v>697</v>
      </c>
      <c r="CJ21" t="s">
        <v>698</v>
      </c>
      <c r="CK21" t="s">
        <v>678</v>
      </c>
      <c r="CL21" t="s">
        <v>699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677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0F38-35B0-45B0-AD17-6A717237A522}">
  <dimension ref="A1:E19"/>
  <sheetViews>
    <sheetView tabSelected="1" workbookViewId="0">
      <selection activeCell="B10" sqref="B10"/>
    </sheetView>
  </sheetViews>
  <sheetFormatPr defaultRowHeight="19.2" x14ac:dyDescent="0.45"/>
  <sheetData>
    <row r="1" spans="1:5" ht="19.8" thickBot="1" x14ac:dyDescent="0.5">
      <c r="A1" s="1" t="s">
        <v>700</v>
      </c>
      <c r="B1" s="2" t="s">
        <v>701</v>
      </c>
      <c r="C1" s="2" t="s">
        <v>702</v>
      </c>
      <c r="D1" s="2" t="s">
        <v>703</v>
      </c>
      <c r="E1" s="3" t="s">
        <v>704</v>
      </c>
    </row>
    <row r="2" spans="1:5" ht="19.8" thickTop="1" x14ac:dyDescent="0.45">
      <c r="A2" s="4" t="s">
        <v>705</v>
      </c>
      <c r="B2" s="12">
        <v>1</v>
      </c>
      <c r="C2" s="12">
        <v>103.821518</v>
      </c>
      <c r="D2" s="12">
        <v>605.75329599999998</v>
      </c>
      <c r="E2" s="9">
        <v>0.82860800000000001</v>
      </c>
    </row>
    <row r="3" spans="1:5" x14ac:dyDescent="0.45">
      <c r="A3" s="4" t="s">
        <v>705</v>
      </c>
      <c r="B3" s="12">
        <v>1</v>
      </c>
      <c r="C3" s="12">
        <v>113.915565</v>
      </c>
      <c r="D3" s="12">
        <v>672.17907700000001</v>
      </c>
      <c r="E3" s="9">
        <v>0.83052800000000004</v>
      </c>
    </row>
    <row r="4" spans="1:5" x14ac:dyDescent="0.45">
      <c r="A4" s="4" t="s">
        <v>705</v>
      </c>
      <c r="B4" s="12">
        <v>1</v>
      </c>
      <c r="C4" s="12">
        <v>112.079498</v>
      </c>
      <c r="D4" s="12">
        <v>664.61346400000002</v>
      </c>
      <c r="E4" s="9">
        <v>0.83136100000000002</v>
      </c>
    </row>
    <row r="5" spans="1:5" x14ac:dyDescent="0.45">
      <c r="A5" s="4" t="s">
        <v>705</v>
      </c>
      <c r="B5" s="12">
        <v>1</v>
      </c>
      <c r="C5" s="12">
        <v>102.461815</v>
      </c>
      <c r="D5" s="12">
        <v>626.34478799999999</v>
      </c>
      <c r="E5" s="9">
        <v>0.83641299999999996</v>
      </c>
    </row>
    <row r="6" spans="1:5" x14ac:dyDescent="0.45">
      <c r="A6" s="4" t="s">
        <v>705</v>
      </c>
      <c r="B6" s="12">
        <v>1</v>
      </c>
      <c r="C6" s="12">
        <v>113.05510700000001</v>
      </c>
      <c r="D6" s="12">
        <v>640.16320800000005</v>
      </c>
      <c r="E6" s="9">
        <v>0.82339600000000002</v>
      </c>
    </row>
    <row r="7" spans="1:5" x14ac:dyDescent="0.45">
      <c r="A7" s="4" t="s">
        <v>705</v>
      </c>
      <c r="B7" s="12">
        <v>1</v>
      </c>
      <c r="C7" s="12">
        <v>99.192740999999998</v>
      </c>
      <c r="D7" s="12">
        <v>633.17511000000002</v>
      </c>
      <c r="E7" s="9">
        <v>0.84334100000000001</v>
      </c>
    </row>
    <row r="8" spans="1:5" x14ac:dyDescent="0.45">
      <c r="A8" s="4" t="s">
        <v>705</v>
      </c>
      <c r="B8" s="12">
        <v>1</v>
      </c>
      <c r="C8" s="12">
        <v>121.521591</v>
      </c>
      <c r="D8" s="12">
        <v>677.80279499999995</v>
      </c>
      <c r="E8" s="9">
        <v>0.820712</v>
      </c>
    </row>
    <row r="9" spans="1:5" x14ac:dyDescent="0.45">
      <c r="A9" s="4" t="s">
        <v>705</v>
      </c>
      <c r="B9" s="12">
        <v>1</v>
      </c>
      <c r="C9" s="12">
        <v>104.982018</v>
      </c>
      <c r="D9" s="12">
        <v>655.33306900000002</v>
      </c>
      <c r="E9" s="9">
        <v>0.83980399999999999</v>
      </c>
    </row>
    <row r="10" spans="1:5" x14ac:dyDescent="0.45">
      <c r="A10" s="5" t="s">
        <v>705</v>
      </c>
      <c r="B10" s="6">
        <v>1</v>
      </c>
      <c r="C10" s="6">
        <v>112.295868</v>
      </c>
      <c r="D10" s="6">
        <v>619.88281199999994</v>
      </c>
      <c r="E10" s="10">
        <v>0.81884299999999999</v>
      </c>
    </row>
    <row r="11" spans="1:5" x14ac:dyDescent="0.45">
      <c r="A11" s="4" t="s">
        <v>706</v>
      </c>
      <c r="B11" s="12">
        <v>2</v>
      </c>
      <c r="C11" s="12">
        <v>110.63504</v>
      </c>
      <c r="D11" s="12">
        <v>636.14166299999999</v>
      </c>
      <c r="E11" s="9">
        <v>0.82608400000000004</v>
      </c>
    </row>
    <row r="12" spans="1:5" x14ac:dyDescent="0.45">
      <c r="A12" s="4" t="s">
        <v>706</v>
      </c>
      <c r="B12" s="12">
        <v>2</v>
      </c>
      <c r="C12" s="12">
        <v>122.654915</v>
      </c>
      <c r="D12" s="12">
        <v>651.96704099999999</v>
      </c>
      <c r="E12" s="9">
        <v>0.81186899999999995</v>
      </c>
    </row>
    <row r="13" spans="1:5" x14ac:dyDescent="0.45">
      <c r="A13" s="4" t="s">
        <v>706</v>
      </c>
      <c r="B13" s="12">
        <v>2</v>
      </c>
      <c r="C13" s="12">
        <v>105.95368999999999</v>
      </c>
      <c r="D13" s="12">
        <v>638.37792999999999</v>
      </c>
      <c r="E13" s="9">
        <v>0.83402699999999996</v>
      </c>
    </row>
    <row r="14" spans="1:5" x14ac:dyDescent="0.45">
      <c r="A14" s="4" t="s">
        <v>706</v>
      </c>
      <c r="B14" s="12">
        <v>2</v>
      </c>
      <c r="C14" s="12">
        <v>118.83509100000001</v>
      </c>
      <c r="D14" s="12">
        <v>625.597351</v>
      </c>
      <c r="E14" s="9">
        <v>0.81004500000000002</v>
      </c>
    </row>
    <row r="15" spans="1:5" x14ac:dyDescent="0.45">
      <c r="A15" s="4" t="s">
        <v>706</v>
      </c>
      <c r="B15" s="12">
        <v>2</v>
      </c>
      <c r="C15" s="12">
        <v>101.582764</v>
      </c>
      <c r="D15" s="12">
        <v>636.45636000000002</v>
      </c>
      <c r="E15" s="9">
        <v>0.84039299999999995</v>
      </c>
    </row>
    <row r="16" spans="1:5" x14ac:dyDescent="0.45">
      <c r="A16" s="4" t="s">
        <v>706</v>
      </c>
      <c r="B16" s="12">
        <v>2</v>
      </c>
      <c r="C16" s="12">
        <v>109.400154</v>
      </c>
      <c r="D16" s="12">
        <v>610.87597700000003</v>
      </c>
      <c r="E16" s="9">
        <v>0.820913</v>
      </c>
    </row>
    <row r="17" spans="1:5" x14ac:dyDescent="0.45">
      <c r="A17" s="4" t="s">
        <v>706</v>
      </c>
      <c r="B17" s="12">
        <v>2</v>
      </c>
      <c r="C17" s="12">
        <v>103.404167</v>
      </c>
      <c r="D17" s="12">
        <v>628.12182600000006</v>
      </c>
      <c r="E17" s="9">
        <v>0.83537600000000001</v>
      </c>
    </row>
    <row r="18" spans="1:5" x14ac:dyDescent="0.45">
      <c r="A18" s="4" t="s">
        <v>706</v>
      </c>
      <c r="B18" s="12">
        <v>2</v>
      </c>
      <c r="C18" s="12">
        <v>100.131157</v>
      </c>
      <c r="D18" s="12">
        <v>624.29949999999997</v>
      </c>
      <c r="E18" s="9">
        <v>0.83960999999999997</v>
      </c>
    </row>
    <row r="19" spans="1:5" ht="19.8" thickBot="1" x14ac:dyDescent="0.5">
      <c r="A19" s="7" t="s">
        <v>706</v>
      </c>
      <c r="B19" s="8">
        <v>2</v>
      </c>
      <c r="C19" s="8">
        <v>109.073639</v>
      </c>
      <c r="D19" s="8">
        <v>618.54888900000003</v>
      </c>
      <c r="E19" s="11">
        <v>0.82366200000000001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2026-08-16T12:11:38Z</dcterms:modified>
</cp:coreProperties>
</file>