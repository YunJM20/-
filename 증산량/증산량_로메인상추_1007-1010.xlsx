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증산량/"/>
    </mc:Choice>
  </mc:AlternateContent>
  <xr:revisionPtr revIDLastSave="84" documentId="11_9B62BC01AF4179A4E5B35E41CE5E9B8A53C8AC8E" xr6:coauthVersionLast="47" xr6:coauthVersionMax="47" xr10:uidLastSave="{BCA85D03-6DBB-4BA8-A950-1175A234F6CE}"/>
  <bookViews>
    <workbookView xWindow="-120" yWindow="-120" windowWidth="29040" windowHeight="15720" xr2:uid="{00000000-000D-0000-FFFF-FFFF00000000}"/>
  </bookViews>
  <sheets>
    <sheet name="증산량(ETc,침ETc)" sheetId="1" r:id="rId1"/>
    <sheet name="로드셀관수량(ETc)" sheetId="3" r:id="rId2"/>
    <sheet name="관수량 비교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 a="1"/>
  <c r="C3" i="4" a="1"/>
  <c r="G2" i="3"/>
  <c r="H2" i="3" s="1"/>
  <c r="E6" i="1"/>
  <c r="E7" i="1"/>
  <c r="E8" i="1"/>
  <c r="E9" i="1"/>
  <c r="E10" i="1"/>
  <c r="E11" i="1"/>
  <c r="E12" i="1"/>
  <c r="E13" i="1"/>
  <c r="E5" i="1"/>
  <c r="C2" i="4"/>
  <c r="D2" i="4" s="1"/>
  <c r="E4" i="4"/>
  <c r="E3" i="4"/>
  <c r="G3" i="3"/>
  <c r="H3" i="3" s="1"/>
  <c r="G4" i="3"/>
  <c r="H4" i="3"/>
  <c r="E2" i="4" l="1"/>
  <c r="F2" i="4"/>
  <c r="D4" i="4"/>
  <c r="F4" i="4" l="1"/>
  <c r="D3" i="4" l="1"/>
  <c r="F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<sst xmlns="http://schemas.openxmlformats.org/spreadsheetml/2006/main" count="76" uniqueCount="24">
  <si>
    <t>날짜</t>
  </si>
  <si>
    <t>Treatment</t>
  </si>
  <si>
    <t>목표관수량(g)</t>
  </si>
  <si>
    <t>관수 시간(s)</t>
  </si>
  <si>
    <t>평균관수량(g)</t>
  </si>
  <si>
    <t>관수량 차이</t>
  </si>
  <si>
    <t>2026-10-08</t>
  </si>
  <si>
    <t>ETc</t>
  </si>
  <si>
    <t>2026-10-09</t>
  </si>
  <si>
    <t>2026-10-10</t>
  </si>
  <si>
    <t>Repeat</t>
  </si>
  <si>
    <t>증산량(g)</t>
  </si>
  <si>
    <t>2026-10-07</t>
  </si>
  <si>
    <t>1</t>
  </si>
  <si>
    <t>2</t>
  </si>
  <si>
    <t>3</t>
  </si>
  <si>
    <t>침수 ETc</t>
  </si>
  <si>
    <t>관수 전(kg)</t>
  </si>
  <si>
    <t>관수 후(kg)</t>
  </si>
  <si>
    <t>로드셀관수량(g)</t>
  </si>
  <si>
    <t>2026-10-11</t>
    <phoneticPr fontId="1" type="noConversion"/>
  </si>
  <si>
    <t>추가관수 전(kg)</t>
    <phoneticPr fontId="1" type="noConversion"/>
  </si>
  <si>
    <t>추가관수 후(kg)</t>
    <phoneticPr fontId="1" type="noConversion"/>
  </si>
  <si>
    <t>무게(g)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</si>
</sst>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0" fillId="2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0" fontId="0" fillId="0" borderId="0" xfId="0" applyAlignment="1"/>
    <xf numFmtId="0" fontId="0" fillId="0" borderId="5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3" borderId="5" xfId="0" applyNumberFormat="1" applyFill="1" applyBorder="1" applyAlignment="1">
      <alignment horizontal="right" vertical="center"/>
    </xf>
    <xf numFmtId="177" fontId="0" fillId="0" borderId="5" xfId="0" applyNumberFormat="1" applyBorder="1" applyAlignment="1">
      <alignment horizontal="right" vertical="center"/>
    </xf>
    <xf numFmtId="176" fontId="0" fillId="4" borderId="5" xfId="0" applyNumberFormat="1" applyFill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3"/>
  <sheetViews>
    <sheetView tabSelected="1" zoomScaleNormal="100" workbookViewId="0">
      <pane ySplit="1" topLeftCell="A2" activePane="bottomLeft" state="frozen"/>
      <selection pane="bottomLeft" activeCell="F1" sqref="F1"/>
    </sheetView>
  </sheetViews>
  <sheetFormatPr defaultRowHeight="16.5" x14ac:dyDescent="0.3"/>
  <cols>
    <col min="1" max="2" width="10" style="14" customWidth="1"/>
    <col min="3" max="3" width="10" style="1" customWidth="1"/>
    <col min="4" max="5" width="10" style="25" customWidth="1"/>
  </cols>
  <sheetData>
    <row r="1" spans="1:5" s="1" customFormat="1" ht="23.1" customHeight="1" thickBot="1" x14ac:dyDescent="0.35">
      <c r="A1" s="3" t="s">
        <v>0</v>
      </c>
      <c r="B1" s="3" t="s">
        <v>1</v>
      </c>
      <c r="C1" s="3" t="s">
        <v>10</v>
      </c>
      <c r="D1" s="3" t="s">
        <v>23</v>
      </c>
      <c r="E1" s="3" t="s">
        <v>11</v>
      </c>
    </row>
    <row r="2" spans="1:5" ht="23.1" customHeight="1" x14ac:dyDescent="0.3">
      <c r="A2" s="5" t="s">
        <v>12</v>
      </c>
      <c r="B2" s="5" t="s">
        <v>7</v>
      </c>
      <c r="C2" s="5" t="s">
        <v>13</v>
      </c>
      <c r="D2" s="15">
        <v>902.9</v>
      </c>
      <c r="E2" s="16"/>
    </row>
    <row r="3" spans="1:5" ht="23.1" customHeight="1" x14ac:dyDescent="0.3">
      <c r="A3" s="2" t="s">
        <v>12</v>
      </c>
      <c r="B3" s="2" t="s">
        <v>7</v>
      </c>
      <c r="C3" s="2" t="s">
        <v>14</v>
      </c>
      <c r="D3" s="17">
        <v>954.5</v>
      </c>
      <c r="E3" s="18"/>
    </row>
    <row r="4" spans="1:5" ht="23.1" customHeight="1" thickBot="1" x14ac:dyDescent="0.35">
      <c r="A4" s="6" t="s">
        <v>12</v>
      </c>
      <c r="B4" s="6" t="s">
        <v>7</v>
      </c>
      <c r="C4" s="6" t="s">
        <v>15</v>
      </c>
      <c r="D4" s="19">
        <v>891.7</v>
      </c>
      <c r="E4" s="20"/>
    </row>
    <row r="5" spans="1:5" ht="23.1" customHeight="1" x14ac:dyDescent="0.3">
      <c r="A5" s="4" t="s">
        <v>6</v>
      </c>
      <c r="B5" s="4" t="s">
        <v>7</v>
      </c>
      <c r="C5" s="4" t="s">
        <v>13</v>
      </c>
      <c r="D5" s="21">
        <v>822.2</v>
      </c>
      <c r="E5" s="21">
        <f>D2-D5</f>
        <v>80.699999999999932</v>
      </c>
    </row>
    <row r="6" spans="1:5" ht="23.1" customHeight="1" x14ac:dyDescent="0.3">
      <c r="A6" s="2" t="s">
        <v>6</v>
      </c>
      <c r="B6" s="2" t="s">
        <v>7</v>
      </c>
      <c r="C6" s="2" t="s">
        <v>14</v>
      </c>
      <c r="D6" s="17">
        <v>886.8</v>
      </c>
      <c r="E6" s="21">
        <f t="shared" ref="E6:E13" si="0">D3-D6</f>
        <v>67.700000000000045</v>
      </c>
    </row>
    <row r="7" spans="1:5" ht="23.1" customHeight="1" thickBot="1" x14ac:dyDescent="0.35">
      <c r="A7" s="9" t="s">
        <v>6</v>
      </c>
      <c r="B7" s="9" t="s">
        <v>7</v>
      </c>
      <c r="C7" s="9" t="s">
        <v>15</v>
      </c>
      <c r="D7" s="22">
        <v>806.4</v>
      </c>
      <c r="E7" s="23">
        <f t="shared" si="0"/>
        <v>85.300000000000068</v>
      </c>
    </row>
    <row r="8" spans="1:5" ht="23.1" customHeight="1" x14ac:dyDescent="0.3">
      <c r="A8" s="5" t="s">
        <v>8</v>
      </c>
      <c r="B8" s="5" t="s">
        <v>7</v>
      </c>
      <c r="C8" s="5" t="s">
        <v>13</v>
      </c>
      <c r="D8" s="15">
        <v>794.6</v>
      </c>
      <c r="E8" s="15">
        <f t="shared" si="0"/>
        <v>27.600000000000023</v>
      </c>
    </row>
    <row r="9" spans="1:5" ht="23.1" customHeight="1" x14ac:dyDescent="0.3">
      <c r="A9" s="2" t="s">
        <v>8</v>
      </c>
      <c r="B9" s="2" t="s">
        <v>7</v>
      </c>
      <c r="C9" s="2" t="s">
        <v>14</v>
      </c>
      <c r="D9" s="17">
        <v>869.4</v>
      </c>
      <c r="E9" s="21">
        <f t="shared" si="0"/>
        <v>17.399999999999977</v>
      </c>
    </row>
    <row r="10" spans="1:5" ht="23.1" customHeight="1" thickBot="1" x14ac:dyDescent="0.35">
      <c r="A10" s="6" t="s">
        <v>8</v>
      </c>
      <c r="B10" s="6" t="s">
        <v>7</v>
      </c>
      <c r="C10" s="6" t="s">
        <v>15</v>
      </c>
      <c r="D10" s="19">
        <v>777.2</v>
      </c>
      <c r="E10" s="24">
        <f t="shared" si="0"/>
        <v>29.199999999999932</v>
      </c>
    </row>
    <row r="11" spans="1:5" ht="23.1" customHeight="1" x14ac:dyDescent="0.3">
      <c r="A11" s="4" t="s">
        <v>9</v>
      </c>
      <c r="B11" s="4" t="s">
        <v>7</v>
      </c>
      <c r="C11" s="4" t="s">
        <v>13</v>
      </c>
      <c r="D11" s="21">
        <v>777.3</v>
      </c>
      <c r="E11" s="21">
        <f t="shared" si="0"/>
        <v>17.300000000000068</v>
      </c>
    </row>
    <row r="12" spans="1:5" ht="23.1" customHeight="1" x14ac:dyDescent="0.3">
      <c r="A12" s="2" t="s">
        <v>9</v>
      </c>
      <c r="B12" s="2" t="s">
        <v>7</v>
      </c>
      <c r="C12" s="2" t="s">
        <v>14</v>
      </c>
      <c r="D12" s="17">
        <v>869.6</v>
      </c>
      <c r="E12" s="21">
        <f t="shared" si="0"/>
        <v>-0.20000000000004547</v>
      </c>
    </row>
    <row r="13" spans="1:5" ht="23.1" customHeight="1" x14ac:dyDescent="0.3">
      <c r="A13" s="9" t="s">
        <v>9</v>
      </c>
      <c r="B13" s="9" t="s">
        <v>7</v>
      </c>
      <c r="C13" s="9" t="s">
        <v>15</v>
      </c>
      <c r="D13" s="22">
        <v>755.6</v>
      </c>
      <c r="E13" s="21">
        <f t="shared" si="0"/>
        <v>21.600000000000023</v>
      </c>
    </row>
    <row r="14" spans="1:5" ht="23.1" customHeight="1" x14ac:dyDescent="0.3">
      <c r="A14" s="2" t="s">
        <v>9</v>
      </c>
      <c r="B14" s="2" t="s">
        <v>16</v>
      </c>
      <c r="C14" s="2" t="s">
        <v>13</v>
      </c>
      <c r="D14" s="17">
        <v>1272.2</v>
      </c>
      <c r="E14" s="18"/>
    </row>
    <row r="15" spans="1:5" ht="23.1" customHeight="1" x14ac:dyDescent="0.3">
      <c r="A15" s="2" t="s">
        <v>9</v>
      </c>
      <c r="B15" s="2" t="s">
        <v>16</v>
      </c>
      <c r="C15" s="2" t="s">
        <v>14</v>
      </c>
      <c r="D15" s="17">
        <v>1215.2</v>
      </c>
      <c r="E15" s="18"/>
    </row>
    <row r="16" spans="1:5" ht="23.1" customHeight="1" x14ac:dyDescent="0.3">
      <c r="A16" s="2" t="s">
        <v>9</v>
      </c>
      <c r="B16" s="2" t="s">
        <v>16</v>
      </c>
      <c r="C16" s="2" t="s">
        <v>15</v>
      </c>
      <c r="D16" s="17">
        <v>1204.8</v>
      </c>
      <c r="E16" s="18"/>
    </row>
    <row r="17" ht="23.1" customHeight="1" x14ac:dyDescent="0.3"/>
    <row r="18" ht="23.1" customHeight="1" x14ac:dyDescent="0.3"/>
    <row r="19" ht="23.1" customHeight="1" x14ac:dyDescent="0.3"/>
    <row r="20" ht="23.1" customHeight="1" x14ac:dyDescent="0.3"/>
    <row r="21" ht="23.1" customHeight="1" x14ac:dyDescent="0.3"/>
    <row r="22" ht="23.1" customHeight="1" x14ac:dyDescent="0.3"/>
    <row r="23" ht="23.1" customHeight="1" x14ac:dyDescent="0.3"/>
    <row r="24" ht="23.1" customHeight="1" x14ac:dyDescent="0.3"/>
    <row r="25" ht="23.1" customHeight="1" x14ac:dyDescent="0.3"/>
    <row r="26" ht="23.1" customHeight="1" x14ac:dyDescent="0.3"/>
    <row r="27" ht="23.1" customHeight="1" x14ac:dyDescent="0.3"/>
    <row r="28" ht="23.1" customHeight="1" x14ac:dyDescent="0.3"/>
    <row r="29" ht="23.1" customHeight="1" x14ac:dyDescent="0.3"/>
    <row r="30" ht="23.1" customHeight="1" x14ac:dyDescent="0.3"/>
    <row r="31" ht="23.1" customHeight="1" x14ac:dyDescent="0.3"/>
    <row r="32" ht="23.1" customHeight="1" x14ac:dyDescent="0.3"/>
    <row r="33" ht="23.1" customHeight="1" x14ac:dyDescent="0.3"/>
    <row r="34" ht="23.1" customHeight="1" x14ac:dyDescent="0.3"/>
    <row r="35" ht="23.1" customHeight="1" x14ac:dyDescent="0.3"/>
    <row r="36" ht="23.1" customHeight="1" x14ac:dyDescent="0.3"/>
    <row r="37" ht="23.1" customHeight="1" x14ac:dyDescent="0.3"/>
    <row r="38" ht="23.1" customHeight="1" x14ac:dyDescent="0.3"/>
    <row r="39" ht="23.1" customHeight="1" x14ac:dyDescent="0.3"/>
    <row r="40" ht="23.1" customHeight="1" x14ac:dyDescent="0.3"/>
    <row r="41" ht="23.1" customHeight="1" x14ac:dyDescent="0.3"/>
    <row r="42" ht="23.1" customHeight="1" x14ac:dyDescent="0.3"/>
    <row r="43" ht="23.1" customHeight="1" x14ac:dyDescent="0.3"/>
    <row r="44" ht="23.1" customHeight="1" x14ac:dyDescent="0.3"/>
    <row r="45" ht="23.1" customHeight="1" x14ac:dyDescent="0.3"/>
    <row r="46" ht="23.1" customHeight="1" x14ac:dyDescent="0.3"/>
    <row r="47" ht="23.1" customHeight="1" x14ac:dyDescent="0.3"/>
    <row r="48" ht="23.1" customHeight="1" x14ac:dyDescent="0.3"/>
    <row r="49" ht="23.1" customHeight="1" x14ac:dyDescent="0.3"/>
    <row r="50" ht="23.1" customHeight="1" x14ac:dyDescent="0.3"/>
    <row r="51" ht="23.1" customHeight="1" x14ac:dyDescent="0.3"/>
    <row r="52" ht="23.1" customHeight="1" x14ac:dyDescent="0.3"/>
    <row r="53" ht="23.1" customHeight="1" x14ac:dyDescent="0.3"/>
    <row r="54" ht="23.1" customHeight="1" x14ac:dyDescent="0.3"/>
    <row r="55" ht="23.1" customHeight="1" x14ac:dyDescent="0.3"/>
    <row r="56" ht="23.1" customHeight="1" x14ac:dyDescent="0.3"/>
    <row r="57" ht="23.1" customHeight="1" x14ac:dyDescent="0.3"/>
    <row r="58" ht="23.1" customHeight="1" x14ac:dyDescent="0.3"/>
    <row r="59" ht="23.1" customHeight="1" x14ac:dyDescent="0.3"/>
    <row r="60" ht="23.1" customHeight="1" x14ac:dyDescent="0.3"/>
    <row r="61" ht="23.1" customHeight="1" x14ac:dyDescent="0.3"/>
    <row r="62" ht="23.1" customHeight="1" x14ac:dyDescent="0.3"/>
    <row r="63" ht="23.1" customHeight="1" x14ac:dyDescent="0.3"/>
    <row r="64" ht="23.1" customHeight="1" x14ac:dyDescent="0.3"/>
    <row r="65" ht="23.1" customHeight="1" x14ac:dyDescent="0.3"/>
    <row r="66" ht="23.1" customHeight="1" x14ac:dyDescent="0.3"/>
    <row r="67" ht="23.1" customHeight="1" x14ac:dyDescent="0.3"/>
    <row r="68" ht="23.1" customHeight="1" x14ac:dyDescent="0.3"/>
    <row r="69" ht="23.1" customHeight="1" x14ac:dyDescent="0.3"/>
    <row r="70" ht="23.1" customHeight="1" x14ac:dyDescent="0.3"/>
    <row r="71" ht="23.1" customHeight="1" x14ac:dyDescent="0.3"/>
    <row r="72" ht="23.1" customHeight="1" x14ac:dyDescent="0.3"/>
    <row r="73" ht="23.1" customHeight="1" x14ac:dyDescent="0.3"/>
    <row r="74" ht="23.1" customHeight="1" x14ac:dyDescent="0.3"/>
    <row r="75" ht="23.1" customHeight="1" x14ac:dyDescent="0.3"/>
    <row r="76" ht="23.1" customHeight="1" x14ac:dyDescent="0.3"/>
    <row r="77" ht="23.1" customHeight="1" x14ac:dyDescent="0.3"/>
    <row r="78" ht="23.1" customHeight="1" x14ac:dyDescent="0.3"/>
    <row r="79" ht="23.1" customHeight="1" x14ac:dyDescent="0.3"/>
    <row r="80" ht="23.1" customHeight="1" x14ac:dyDescent="0.3"/>
    <row r="81" ht="23.1" customHeight="1" x14ac:dyDescent="0.3"/>
    <row r="82" ht="23.1" customHeight="1" x14ac:dyDescent="0.3"/>
    <row r="83" ht="23.1" customHeight="1" x14ac:dyDescent="0.3"/>
    <row r="84" ht="23.1" customHeight="1" x14ac:dyDescent="0.3"/>
    <row r="85" ht="23.1" customHeight="1" x14ac:dyDescent="0.3"/>
    <row r="86" ht="23.1" customHeight="1" x14ac:dyDescent="0.3"/>
    <row r="87" ht="23.1" customHeight="1" x14ac:dyDescent="0.3"/>
    <row r="88" ht="23.1" customHeight="1" x14ac:dyDescent="0.3"/>
    <row r="89" ht="23.1" customHeight="1" x14ac:dyDescent="0.3"/>
    <row r="90" ht="23.1" customHeight="1" x14ac:dyDescent="0.3"/>
    <row r="91" ht="23.1" customHeight="1" x14ac:dyDescent="0.3"/>
    <row r="92" ht="23.1" customHeight="1" x14ac:dyDescent="0.3"/>
    <row r="93" ht="23.1" customHeight="1" x14ac:dyDescent="0.3"/>
    <row r="94" ht="23.1" customHeight="1" x14ac:dyDescent="0.3"/>
    <row r="95" ht="23.1" customHeight="1" x14ac:dyDescent="0.3"/>
    <row r="96" ht="23.1" customHeight="1" x14ac:dyDescent="0.3"/>
    <row r="97" ht="23.1" customHeight="1" x14ac:dyDescent="0.3"/>
    <row r="98" ht="23.1" customHeight="1" x14ac:dyDescent="0.3"/>
    <row r="99" ht="23.1" customHeight="1" x14ac:dyDescent="0.3"/>
    <row r="100" ht="23.1" customHeight="1" x14ac:dyDescent="0.3"/>
    <row r="101" ht="23.1" customHeight="1" x14ac:dyDescent="0.3"/>
    <row r="102" ht="23.1" customHeight="1" x14ac:dyDescent="0.3"/>
    <row r="103" ht="23.1" customHeight="1" x14ac:dyDescent="0.3"/>
    <row r="104" ht="23.1" customHeight="1" x14ac:dyDescent="0.3"/>
    <row r="105" ht="23.1" customHeight="1" x14ac:dyDescent="0.3"/>
    <row r="106" ht="23.1" customHeight="1" x14ac:dyDescent="0.3"/>
    <row r="107" ht="23.1" customHeight="1" x14ac:dyDescent="0.3"/>
    <row r="108" ht="23.1" customHeight="1" x14ac:dyDescent="0.3"/>
    <row r="109" ht="23.1" customHeight="1" x14ac:dyDescent="0.3"/>
    <row r="110" ht="23.1" customHeight="1" x14ac:dyDescent="0.3"/>
    <row r="111" ht="23.1" customHeight="1" x14ac:dyDescent="0.3"/>
    <row r="112" ht="23.1" customHeight="1" x14ac:dyDescent="0.3"/>
    <row r="113" ht="23.1" customHeight="1" x14ac:dyDescent="0.3"/>
    <row r="114" ht="23.1" customHeight="1" x14ac:dyDescent="0.3"/>
    <row r="115" ht="23.1" customHeight="1" x14ac:dyDescent="0.3"/>
    <row r="116" ht="23.1" customHeight="1" x14ac:dyDescent="0.3"/>
    <row r="117" ht="23.1" customHeight="1" x14ac:dyDescent="0.3"/>
    <row r="118" ht="23.1" customHeight="1" x14ac:dyDescent="0.3"/>
    <row r="119" ht="23.1" customHeight="1" x14ac:dyDescent="0.3"/>
    <row r="120" ht="23.1" customHeight="1" x14ac:dyDescent="0.3"/>
    <row r="121" ht="23.1" customHeight="1" x14ac:dyDescent="0.3"/>
    <row r="122" ht="23.1" customHeight="1" x14ac:dyDescent="0.3"/>
    <row r="123" ht="23.1" customHeight="1" x14ac:dyDescent="0.3"/>
    <row r="124" ht="23.1" customHeight="1" x14ac:dyDescent="0.3"/>
    <row r="125" ht="23.1" customHeight="1" x14ac:dyDescent="0.3"/>
    <row r="126" ht="23.1" customHeight="1" x14ac:dyDescent="0.3"/>
    <row r="127" ht="23.1" customHeight="1" x14ac:dyDescent="0.3"/>
    <row r="128" ht="23.1" customHeight="1" x14ac:dyDescent="0.3"/>
    <row r="129" ht="23.1" customHeight="1" x14ac:dyDescent="0.3"/>
    <row r="130" ht="23.1" customHeight="1" x14ac:dyDescent="0.3"/>
    <row r="131" ht="23.1" customHeight="1" x14ac:dyDescent="0.3"/>
    <row r="132" ht="23.1" customHeight="1" x14ac:dyDescent="0.3"/>
    <row r="133" ht="23.1" customHeight="1" x14ac:dyDescent="0.3"/>
  </sheetData>
  <phoneticPr fontId="1" type="noConversion"/>
  <pageMargins left="0.7" right="0.7" top="0.75" bottom="0.75" header="0.3" footer="0.3"/>
  <pageSetup paperSize="9" scale="6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pane ySplit="1" topLeftCell="A2" activePane="bottomLeft" state="frozen"/>
      <selection pane="bottomLeft" activeCell="I1" sqref="I1"/>
    </sheetView>
  </sheetViews>
  <sheetFormatPr defaultRowHeight="16.5" x14ac:dyDescent="0.3"/>
  <cols>
    <col min="1" max="2" width="10" style="14" customWidth="1"/>
    <col min="3" max="4" width="10.375" style="25" customWidth="1"/>
    <col min="5" max="5" width="13.25" style="25" customWidth="1"/>
    <col min="6" max="6" width="13.625" style="25" customWidth="1"/>
    <col min="7" max="7" width="14.25" style="25" customWidth="1"/>
    <col min="8" max="8" width="12.375" style="28" customWidth="1"/>
  </cols>
  <sheetData>
    <row r="1" spans="1:8" s="1" customFormat="1" ht="23.1" customHeight="1" thickBot="1" x14ac:dyDescent="0.35">
      <c r="A1" s="12" t="s">
        <v>0</v>
      </c>
      <c r="B1" s="12" t="s">
        <v>1</v>
      </c>
      <c r="C1" s="12" t="s">
        <v>17</v>
      </c>
      <c r="D1" s="12" t="s">
        <v>18</v>
      </c>
      <c r="E1" s="12" t="s">
        <v>21</v>
      </c>
      <c r="F1" s="12" t="s">
        <v>22</v>
      </c>
      <c r="G1" s="12" t="s">
        <v>19</v>
      </c>
      <c r="H1" s="13" t="s">
        <v>4</v>
      </c>
    </row>
    <row r="2" spans="1:8" ht="22.5" customHeight="1" x14ac:dyDescent="0.3">
      <c r="A2" s="4" t="s">
        <v>8</v>
      </c>
      <c r="B2" s="4" t="s">
        <v>7</v>
      </c>
      <c r="C2" s="21">
        <v>5.5650000000000004</v>
      </c>
      <c r="D2" s="21">
        <v>5.835</v>
      </c>
      <c r="E2" s="21">
        <v>0</v>
      </c>
      <c r="F2" s="21">
        <v>0</v>
      </c>
      <c r="G2" s="21">
        <f>(D2-C2)*1000</f>
        <v>269.99999999999955</v>
      </c>
      <c r="H2" s="26">
        <f>G2/4</f>
        <v>67.499999999999886</v>
      </c>
    </row>
    <row r="3" spans="1:8" ht="22.5" customHeight="1" x14ac:dyDescent="0.3">
      <c r="A3" s="2" t="s">
        <v>9</v>
      </c>
      <c r="B3" s="2" t="s">
        <v>7</v>
      </c>
      <c r="C3" s="17">
        <v>5.4219999999999997</v>
      </c>
      <c r="D3" s="17">
        <v>5.5439999999999996</v>
      </c>
      <c r="E3" s="17">
        <v>5.4470000000000001</v>
      </c>
      <c r="F3" s="17">
        <v>5.72</v>
      </c>
      <c r="G3" s="21">
        <f t="shared" ref="G3:G4" si="0">(D3-C3+F3-E3)*1000</f>
        <v>394.99999999999955</v>
      </c>
      <c r="H3" s="27">
        <f>G3/4</f>
        <v>98.749999999999886</v>
      </c>
    </row>
    <row r="4" spans="1:8" ht="22.5" customHeight="1" x14ac:dyDescent="0.3">
      <c r="A4" s="2" t="s">
        <v>20</v>
      </c>
      <c r="B4" s="2" t="s">
        <v>7</v>
      </c>
      <c r="C4" s="17">
        <v>5.1890000000000001</v>
      </c>
      <c r="D4" s="17">
        <v>5.7480000000000002</v>
      </c>
      <c r="E4" s="17">
        <v>0</v>
      </c>
      <c r="F4" s="17">
        <v>0</v>
      </c>
      <c r="G4" s="21">
        <f t="shared" si="0"/>
        <v>559.00000000000011</v>
      </c>
      <c r="H4" s="27">
        <f>G4/4</f>
        <v>139.75000000000003</v>
      </c>
    </row>
    <row r="5" spans="1:8" ht="22.5" customHeight="1" x14ac:dyDescent="0.3"/>
    <row r="6" spans="1:8" ht="22.5" customHeight="1" x14ac:dyDescent="0.3"/>
    <row r="7" spans="1:8" ht="22.5" customHeight="1" x14ac:dyDescent="0.3"/>
    <row r="8" spans="1:8" ht="22.5" customHeight="1" x14ac:dyDescent="0.3"/>
    <row r="9" spans="1:8" ht="22.5" customHeight="1" x14ac:dyDescent="0.3"/>
    <row r="10" spans="1:8" ht="22.5" customHeight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workbookViewId="0">
      <pane ySplit="1" topLeftCell="A2" activePane="bottomLeft" state="frozen"/>
      <selection pane="bottomLeft" activeCell="G1" sqref="G1"/>
    </sheetView>
  </sheetViews>
  <sheetFormatPr defaultRowHeight="16.5" x14ac:dyDescent="0.3"/>
  <cols>
    <col min="1" max="1" width="10" style="14" customWidth="1"/>
    <col min="2" max="2" width="10" style="1" customWidth="1"/>
    <col min="3" max="3" width="12.25" style="28" customWidth="1"/>
    <col min="4" max="4" width="10.375" style="33" customWidth="1"/>
    <col min="5" max="5" width="12.25" style="28" customWidth="1"/>
    <col min="6" max="6" width="10.625" style="25" customWidth="1"/>
  </cols>
  <sheetData>
    <row r="1" spans="1:6" s="1" customFormat="1" ht="22.5" customHeight="1" thickBot="1" x14ac:dyDescent="0.35">
      <c r="A1" s="3" t="s">
        <v>0</v>
      </c>
      <c r="B1" s="3" t="s">
        <v>1</v>
      </c>
      <c r="C1" s="11" t="s">
        <v>2</v>
      </c>
      <c r="D1" s="8" t="s">
        <v>3</v>
      </c>
      <c r="E1" s="10" t="s">
        <v>4</v>
      </c>
      <c r="F1" s="7" t="s">
        <v>5</v>
      </c>
    </row>
    <row r="2" spans="1:6" ht="22.5" customHeight="1" x14ac:dyDescent="0.3">
      <c r="A2" s="5" t="s">
        <v>6</v>
      </c>
      <c r="B2" s="5" t="s">
        <v>7</v>
      </c>
      <c r="C2" s="29">
        <f>AVERAGE('증산량(ETc,침ETc)'!E5:E7)</f>
        <v>77.90000000000002</v>
      </c>
      <c r="D2" s="30">
        <f>C2/0.56</f>
        <v>139.10714285714289</v>
      </c>
      <c r="E2" s="31">
        <f>'로드셀관수량(ETc)'!H2</f>
        <v>67.499999999999886</v>
      </c>
      <c r="F2" s="32">
        <f>E2-C2</f>
        <v>-10.400000000000134</v>
      </c>
    </row>
    <row r="3" spans="1:6" ht="22.5" customHeight="1" x14ac:dyDescent="0.3">
      <c r="A3" s="2" t="s">
        <v>8</v>
      </c>
      <c r="B3" s="2" t="s">
        <v>7</v>
      </c>
      <c r="C3" s="34" cm="1">
        <f t="array" ref="C3">AVERAGE('증산량(ETc,침ETc)'!E8:E10+E2)</f>
        <v>92.233333333333192</v>
      </c>
      <c r="D3" s="35">
        <f>C3/0.56</f>
        <v>164.70238095238068</v>
      </c>
      <c r="E3" s="36">
        <f>'로드셀관수량(ETc)'!H3</f>
        <v>98.749999999999886</v>
      </c>
      <c r="F3" s="27">
        <f>E3-C3</f>
        <v>6.5166666666666941</v>
      </c>
    </row>
    <row r="4" spans="1:6" ht="22.5" customHeight="1" x14ac:dyDescent="0.3">
      <c r="A4" s="2" t="s">
        <v>9</v>
      </c>
      <c r="B4" s="2" t="s">
        <v>7</v>
      </c>
      <c r="C4" s="34" cm="1">
        <f t="array" ref="C4">AVERAGE('증산량(ETc,침ETc)'!E11:E13+E3)</f>
        <v>111.64999999999991</v>
      </c>
      <c r="D4" s="35">
        <f>C4/0.56</f>
        <v>199.3749999999998</v>
      </c>
      <c r="E4" s="36">
        <f>'로드셀관수량(ETc)'!H4</f>
        <v>139.75000000000003</v>
      </c>
      <c r="F4" s="27">
        <f>E4-C4</f>
        <v>28.100000000000122</v>
      </c>
    </row>
    <row r="5" spans="1:6" ht="22.5" customHeight="1" x14ac:dyDescent="0.3"/>
    <row r="6" spans="1:6" ht="22.5" customHeight="1" x14ac:dyDescent="0.3"/>
    <row r="7" spans="1:6" ht="22.5" customHeight="1" x14ac:dyDescent="0.3"/>
    <row r="8" spans="1:6" ht="22.5" customHeight="1" x14ac:dyDescent="0.3"/>
    <row r="9" spans="1:6" ht="22.5" customHeight="1" x14ac:dyDescent="0.3"/>
    <row r="10" spans="1:6" ht="22.5" customHeight="1" x14ac:dyDescent="0.3"/>
    <row r="11" spans="1:6" ht="22.5" customHeight="1" x14ac:dyDescent="0.3"/>
    <row r="12" spans="1:6" ht="22.5" customHeight="1" x14ac:dyDescent="0.3"/>
    <row r="13" spans="1:6" ht="22.5" customHeight="1" x14ac:dyDescent="0.3"/>
    <row r="14" spans="1:6" ht="22.5" customHeight="1" x14ac:dyDescent="0.3"/>
    <row r="15" spans="1:6" ht="22.5" customHeight="1" x14ac:dyDescent="0.3"/>
    <row r="16" spans="1:6" ht="22.5" customHeight="1" x14ac:dyDescent="0.3"/>
    <row r="17" ht="22.5" customHeight="1" x14ac:dyDescent="0.3"/>
    <row r="18" ht="22.5" customHeight="1" x14ac:dyDescent="0.3"/>
    <row r="19" ht="22.5" customHeight="1" x14ac:dyDescent="0.3"/>
    <row r="20" ht="22.5" customHeight="1" x14ac:dyDescent="0.3"/>
    <row r="21" ht="22.5" customHeight="1" x14ac:dyDescent="0.3"/>
    <row r="22" ht="22.5" customHeight="1" x14ac:dyDescent="0.3"/>
    <row r="23" ht="22.5" customHeight="1" x14ac:dyDescent="0.3"/>
    <row r="24" ht="22.5" customHeight="1" x14ac:dyDescent="0.3"/>
    <row r="25" ht="22.5" customHeight="1" x14ac:dyDescent="0.3"/>
    <row r="26" ht="22.5" customHeight="1" x14ac:dyDescent="0.3"/>
    <row r="27" ht="22.5" customHeight="1" x14ac:dyDescent="0.3"/>
    <row r="28" ht="22.5" customHeight="1" x14ac:dyDescent="0.3"/>
    <row r="29" ht="22.5" customHeight="1" x14ac:dyDescent="0.3"/>
    <row r="30" ht="22.5" customHeight="1" x14ac:dyDescent="0.3"/>
    <row r="31" ht="22.5" customHeight="1" x14ac:dyDescent="0.3"/>
    <row r="32" ht="22.5" customHeight="1" x14ac:dyDescent="0.3"/>
    <row r="33" ht="22.5" customHeight="1" x14ac:dyDescent="0.3"/>
    <row r="34" ht="22.5" customHeight="1" x14ac:dyDescent="0.3"/>
    <row r="35" ht="22.5" customHeight="1" x14ac:dyDescent="0.3"/>
    <row r="36" ht="22.5" customHeight="1" x14ac:dyDescent="0.3"/>
    <row r="37" ht="22.5" customHeight="1" x14ac:dyDescent="0.3"/>
    <row r="38" ht="22.5" customHeight="1" x14ac:dyDescent="0.3"/>
    <row r="39" ht="22.5" customHeight="1" x14ac:dyDescent="0.3"/>
    <row r="40" ht="22.5" customHeight="1" x14ac:dyDescent="0.3"/>
    <row r="41" ht="22.5" customHeight="1" x14ac:dyDescent="0.3"/>
    <row r="42" ht="22.5" customHeight="1" x14ac:dyDescent="0.3"/>
    <row r="43" ht="22.5" customHeight="1" x14ac:dyDescent="0.3"/>
    <row r="44" ht="22.5" customHeight="1" x14ac:dyDescent="0.3"/>
    <row r="45" ht="22.5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증산량(ETc,침ETc)</vt:lpstr>
      <vt:lpstr>로드셀관수량(ETc)</vt:lpstr>
      <vt:lpstr>관수량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박은빈</dc:creator>
  <cp:lastModifiedBy>박은빈</cp:lastModifiedBy>
  <cp:lastPrinted>2026-10-11T10:54:05Z</cp:lastPrinted>
  <dcterms:created xsi:type="dcterms:W3CDTF">2026-01-15T08:03:14Z</dcterms:created>
  <dcterms:modified xsi:type="dcterms:W3CDTF">2026-10-25T11:56:49Z</dcterms:modified>
</cp:coreProperties>
</file>