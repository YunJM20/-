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증산량/"/>
    </mc:Choice>
  </mc:AlternateContent>
  <xr:revisionPtr revIDLastSave="1981" documentId="8_{27196209-BD10-471D-8FC0-DB9F453A807E}" xr6:coauthVersionLast="47" xr6:coauthVersionMax="47" xr10:uidLastSave="{024F0E36-DB2D-4AC6-83B1-1095DBCD3D8A}"/>
  <bookViews>
    <workbookView xWindow="-24098" yWindow="-2932" windowWidth="24196" windowHeight="14475" xr2:uid="{6DAE383F-1CA2-4C3F-82BF-76BCC96C7B7A}"/>
  </bookViews>
  <sheets>
    <sheet name="증산량(ETc,침ETc)" sheetId="1" r:id="rId1"/>
    <sheet name="관수량(ETc50,침ETc,침50)" sheetId="3" r:id="rId2"/>
    <sheet name="로드셀관수량(ETc)" sheetId="4" r:id="rId3"/>
    <sheet name="관수량 비교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F2" i="4"/>
  <c r="E129" i="3"/>
  <c r="E130" i="3"/>
  <c r="E131" i="3"/>
  <c r="E132" i="3"/>
  <c r="E133" i="3"/>
  <c r="E134" i="3"/>
  <c r="E135" i="3"/>
  <c r="E136" i="3"/>
  <c r="E137" i="3"/>
  <c r="E138" i="3"/>
  <c r="E139" i="3"/>
  <c r="E128" i="3"/>
  <c r="F129" i="3"/>
  <c r="F139" i="3"/>
  <c r="F138" i="3"/>
  <c r="F137" i="3"/>
  <c r="F136" i="3"/>
  <c r="F135" i="3"/>
  <c r="F134" i="3"/>
  <c r="F133" i="3"/>
  <c r="F132" i="3"/>
  <c r="F131" i="3"/>
  <c r="F130" i="3"/>
  <c r="F128" i="3"/>
  <c r="E46" i="2"/>
  <c r="E13" i="4"/>
  <c r="F13" i="4" s="1"/>
  <c r="C48" i="2"/>
  <c r="C46" i="2"/>
  <c r="F145" i="1"/>
  <c r="F144" i="1"/>
  <c r="F143" i="1"/>
  <c r="F142" i="1"/>
  <c r="F141" i="1"/>
  <c r="F140" i="1"/>
  <c r="F139" i="1"/>
  <c r="F138" i="1"/>
  <c r="F137" i="1"/>
  <c r="F136" i="1"/>
  <c r="F135" i="1"/>
  <c r="F134" i="1"/>
  <c r="E12" i="4"/>
  <c r="F12" i="4" s="1"/>
  <c r="E42" i="2" s="1"/>
  <c r="F127" i="3"/>
  <c r="F126" i="3"/>
  <c r="F125" i="3"/>
  <c r="F124" i="3"/>
  <c r="E45" i="2" s="1"/>
  <c r="F123" i="3"/>
  <c r="F122" i="3"/>
  <c r="F121" i="3"/>
  <c r="F120" i="3"/>
  <c r="E44" i="2" s="1"/>
  <c r="F119" i="3"/>
  <c r="F118" i="3"/>
  <c r="F117" i="3"/>
  <c r="F116" i="3"/>
  <c r="E43" i="2" s="1"/>
  <c r="F133" i="1"/>
  <c r="F132" i="1"/>
  <c r="F131" i="1"/>
  <c r="F130" i="1"/>
  <c r="F129" i="1"/>
  <c r="F128" i="1"/>
  <c r="C44" i="2" s="1"/>
  <c r="F127" i="1"/>
  <c r="F126" i="1"/>
  <c r="F125" i="1"/>
  <c r="F124" i="1"/>
  <c r="F123" i="1"/>
  <c r="F122" i="1"/>
  <c r="C42" i="2" s="1"/>
  <c r="E11" i="4"/>
  <c r="F11" i="4" s="1"/>
  <c r="E38" i="2" s="1"/>
  <c r="F115" i="3"/>
  <c r="F114" i="3"/>
  <c r="F113" i="3"/>
  <c r="F112" i="3"/>
  <c r="E41" i="2" s="1"/>
  <c r="F111" i="3"/>
  <c r="F110" i="3"/>
  <c r="F109" i="3"/>
  <c r="F108" i="3"/>
  <c r="E40" i="2" s="1"/>
  <c r="F107" i="3"/>
  <c r="F106" i="3"/>
  <c r="F105" i="3"/>
  <c r="F104" i="3"/>
  <c r="E39" i="2" s="1"/>
  <c r="F121" i="1"/>
  <c r="F120" i="1"/>
  <c r="F119" i="1"/>
  <c r="F118" i="1"/>
  <c r="F117" i="1"/>
  <c r="F116" i="1"/>
  <c r="F115" i="1"/>
  <c r="F114" i="1"/>
  <c r="F113" i="1"/>
  <c r="F112" i="1"/>
  <c r="F111" i="1"/>
  <c r="F110" i="1"/>
  <c r="C38" i="2" s="1"/>
  <c r="E33" i="2"/>
  <c r="E32" i="2"/>
  <c r="E31" i="2"/>
  <c r="E29" i="2"/>
  <c r="E28" i="2"/>
  <c r="E27" i="2"/>
  <c r="E10" i="4"/>
  <c r="F10" i="4" s="1"/>
  <c r="E34" i="2" s="1"/>
  <c r="E9" i="4"/>
  <c r="F9" i="4" s="1"/>
  <c r="E30" i="2" s="1"/>
  <c r="F103" i="3"/>
  <c r="F102" i="3"/>
  <c r="F101" i="3"/>
  <c r="F100" i="3"/>
  <c r="E37" i="2" s="1"/>
  <c r="F99" i="3"/>
  <c r="F98" i="3"/>
  <c r="F97" i="3"/>
  <c r="F96" i="3"/>
  <c r="E36" i="2" s="1"/>
  <c r="F36" i="2" s="1"/>
  <c r="F95" i="3"/>
  <c r="F94" i="3"/>
  <c r="F93" i="3"/>
  <c r="F92" i="3"/>
  <c r="E35" i="2" s="1"/>
  <c r="F91" i="3"/>
  <c r="F90" i="3"/>
  <c r="F89" i="3"/>
  <c r="F88" i="3"/>
  <c r="F87" i="3"/>
  <c r="F86" i="3"/>
  <c r="F85" i="3"/>
  <c r="F84" i="3"/>
  <c r="F83" i="3"/>
  <c r="F82" i="3"/>
  <c r="F81" i="3"/>
  <c r="F80" i="3"/>
  <c r="F109" i="1"/>
  <c r="F108" i="1"/>
  <c r="F107" i="1"/>
  <c r="F106" i="1"/>
  <c r="F105" i="1"/>
  <c r="F104" i="1"/>
  <c r="C36" i="2" s="1"/>
  <c r="F103" i="1"/>
  <c r="F102" i="1"/>
  <c r="F101" i="1"/>
  <c r="F100" i="1"/>
  <c r="F99" i="1"/>
  <c r="F98" i="1"/>
  <c r="C34" i="2" s="1"/>
  <c r="F97" i="1"/>
  <c r="F96" i="1"/>
  <c r="F95" i="1"/>
  <c r="F94" i="1"/>
  <c r="F93" i="1"/>
  <c r="F92" i="1"/>
  <c r="C32" i="2" s="1"/>
  <c r="F91" i="1"/>
  <c r="F90" i="1"/>
  <c r="F89" i="1"/>
  <c r="C30" i="2" s="1"/>
  <c r="F88" i="1"/>
  <c r="F87" i="1"/>
  <c r="F86" i="1"/>
  <c r="F63" i="1"/>
  <c r="F64" i="1"/>
  <c r="F65" i="1"/>
  <c r="F66" i="1"/>
  <c r="F67" i="1"/>
  <c r="F68" i="1"/>
  <c r="F69" i="1"/>
  <c r="F70" i="1"/>
  <c r="F71" i="1"/>
  <c r="F72" i="1"/>
  <c r="F73" i="1"/>
  <c r="F74" i="1"/>
  <c r="C26" i="2" s="1"/>
  <c r="F75" i="1"/>
  <c r="F76" i="1"/>
  <c r="F77" i="1"/>
  <c r="F78" i="1"/>
  <c r="F79" i="1"/>
  <c r="F80" i="1"/>
  <c r="F81" i="1"/>
  <c r="F82" i="1"/>
  <c r="F83" i="1"/>
  <c r="F84" i="1"/>
  <c r="F85" i="1"/>
  <c r="C24" i="2"/>
  <c r="C28" i="2"/>
  <c r="F62" i="1"/>
  <c r="C22" i="2" s="1"/>
  <c r="E8" i="4"/>
  <c r="F8" i="4" s="1"/>
  <c r="E26" i="2" s="1"/>
  <c r="F79" i="3"/>
  <c r="F78" i="3"/>
  <c r="F77" i="3"/>
  <c r="F76" i="3"/>
  <c r="F75" i="3"/>
  <c r="F74" i="3"/>
  <c r="F73" i="3"/>
  <c r="F72" i="3"/>
  <c r="F71" i="3"/>
  <c r="F70" i="3"/>
  <c r="F69" i="3"/>
  <c r="F68" i="3"/>
  <c r="E24" i="2"/>
  <c r="E7" i="4"/>
  <c r="F7" i="4" s="1"/>
  <c r="E22" i="2" s="1"/>
  <c r="F67" i="3"/>
  <c r="F66" i="3"/>
  <c r="F65" i="3"/>
  <c r="F64" i="3"/>
  <c r="F63" i="3"/>
  <c r="F62" i="3"/>
  <c r="F61" i="3"/>
  <c r="F60" i="3"/>
  <c r="F59" i="3"/>
  <c r="F58" i="3"/>
  <c r="F57" i="3"/>
  <c r="F56" i="3"/>
  <c r="E23" i="2" s="1"/>
  <c r="E6" i="4"/>
  <c r="F6" i="4" s="1"/>
  <c r="E18" i="2" s="1"/>
  <c r="F55" i="3"/>
  <c r="F54" i="3"/>
  <c r="F53" i="3"/>
  <c r="F52" i="3"/>
  <c r="F51" i="3"/>
  <c r="F50" i="3"/>
  <c r="F49" i="3"/>
  <c r="F48" i="3"/>
  <c r="E20" i="2" s="1"/>
  <c r="F47" i="3"/>
  <c r="F46" i="3"/>
  <c r="F45" i="3"/>
  <c r="F44" i="3"/>
  <c r="E19" i="2" s="1"/>
  <c r="F61" i="1"/>
  <c r="F60" i="1"/>
  <c r="F59" i="1"/>
  <c r="F58" i="1"/>
  <c r="F57" i="1"/>
  <c r="F56" i="1"/>
  <c r="F55" i="1"/>
  <c r="F54" i="1"/>
  <c r="F53" i="1"/>
  <c r="C18" i="2" s="1"/>
  <c r="F18" i="2" s="1"/>
  <c r="F52" i="1"/>
  <c r="F51" i="1"/>
  <c r="F50" i="1"/>
  <c r="E14" i="2"/>
  <c r="E15" i="2"/>
  <c r="F49" i="1"/>
  <c r="F44" i="1"/>
  <c r="C16" i="2" s="1"/>
  <c r="F43" i="1"/>
  <c r="F38" i="1"/>
  <c r="C14" i="2" s="1"/>
  <c r="F39" i="1"/>
  <c r="F40" i="1"/>
  <c r="F41" i="1"/>
  <c r="F42" i="1"/>
  <c r="F45" i="1"/>
  <c r="F46" i="1"/>
  <c r="F47" i="1"/>
  <c r="F48" i="1"/>
  <c r="E5" i="4"/>
  <c r="F5" i="4" s="1"/>
  <c r="E10" i="2"/>
  <c r="E6" i="2"/>
  <c r="E2" i="2"/>
  <c r="F3" i="4"/>
  <c r="F4" i="4"/>
  <c r="E3" i="4"/>
  <c r="E4" i="4"/>
  <c r="F43" i="3"/>
  <c r="F42" i="3"/>
  <c r="F41" i="3"/>
  <c r="F40" i="3"/>
  <c r="E17" i="2" s="1"/>
  <c r="F39" i="3"/>
  <c r="F38" i="3"/>
  <c r="F37" i="3"/>
  <c r="F36" i="3"/>
  <c r="E16" i="2" s="1"/>
  <c r="F16" i="2" s="1"/>
  <c r="F35" i="3"/>
  <c r="F34" i="3"/>
  <c r="F33" i="3"/>
  <c r="F32" i="3"/>
  <c r="F31" i="3"/>
  <c r="F30" i="3"/>
  <c r="F29" i="3"/>
  <c r="F28" i="3"/>
  <c r="E13" i="2" s="1"/>
  <c r="F27" i="3"/>
  <c r="F26" i="3"/>
  <c r="F25" i="3"/>
  <c r="F24" i="3"/>
  <c r="E12" i="2" s="1"/>
  <c r="F23" i="3"/>
  <c r="F22" i="3"/>
  <c r="F21" i="3"/>
  <c r="F20" i="3"/>
  <c r="E11" i="2" s="1"/>
  <c r="F3" i="3"/>
  <c r="F4" i="3"/>
  <c r="F5" i="3"/>
  <c r="E5" i="2" s="1"/>
  <c r="F6" i="3"/>
  <c r="F7" i="3"/>
  <c r="F8" i="3"/>
  <c r="E7" i="2" s="1"/>
  <c r="F9" i="3"/>
  <c r="F10" i="3"/>
  <c r="F11" i="3"/>
  <c r="F12" i="3"/>
  <c r="E8" i="2" s="1"/>
  <c r="F8" i="2" s="1"/>
  <c r="F13" i="3"/>
  <c r="F14" i="3"/>
  <c r="F15" i="3"/>
  <c r="F16" i="3"/>
  <c r="E9" i="2" s="1"/>
  <c r="F17" i="3"/>
  <c r="F18" i="3"/>
  <c r="F19" i="3"/>
  <c r="F2" i="3"/>
  <c r="E3" i="2" s="1"/>
  <c r="F37" i="1"/>
  <c r="F31" i="1"/>
  <c r="F32" i="1"/>
  <c r="C12" i="2" s="1"/>
  <c r="F26" i="1"/>
  <c r="C10" i="2" s="1"/>
  <c r="F10" i="2" s="1"/>
  <c r="F20" i="1"/>
  <c r="C8" i="2" s="1"/>
  <c r="F16" i="1"/>
  <c r="F14" i="1"/>
  <c r="C6" i="2" s="1"/>
  <c r="F6" i="2" s="1"/>
  <c r="F36" i="1"/>
  <c r="F35" i="1"/>
  <c r="F34" i="1"/>
  <c r="F33" i="1"/>
  <c r="F30" i="1"/>
  <c r="F29" i="1"/>
  <c r="F28" i="1"/>
  <c r="F27" i="1"/>
  <c r="F22" i="1"/>
  <c r="F21" i="1"/>
  <c r="F15" i="1"/>
  <c r="F13" i="1"/>
  <c r="F12" i="1"/>
  <c r="F11" i="1"/>
  <c r="C4" i="2" s="1"/>
  <c r="F10" i="1"/>
  <c r="F9" i="1"/>
  <c r="F8" i="1"/>
  <c r="C2" i="2" s="1"/>
  <c r="F2" i="2" s="1"/>
  <c r="F44" i="2" l="1"/>
  <c r="C40" i="2"/>
  <c r="F42" i="2"/>
  <c r="C45" i="2"/>
  <c r="D44" i="2"/>
  <c r="C43" i="2"/>
  <c r="D42" i="2"/>
  <c r="F38" i="2"/>
  <c r="C39" i="2"/>
  <c r="D38" i="2"/>
  <c r="F32" i="2"/>
  <c r="F34" i="2"/>
  <c r="F30" i="2"/>
  <c r="C37" i="2"/>
  <c r="D36" i="2"/>
  <c r="C35" i="2"/>
  <c r="D34" i="2"/>
  <c r="C33" i="2"/>
  <c r="D32" i="2"/>
  <c r="C31" i="2"/>
  <c r="D30" i="2"/>
  <c r="F24" i="2"/>
  <c r="F22" i="2"/>
  <c r="E21" i="2"/>
  <c r="F14" i="2"/>
  <c r="F12" i="2"/>
  <c r="F26" i="2"/>
  <c r="F28" i="2"/>
  <c r="E25" i="2"/>
  <c r="F4" i="2"/>
  <c r="C5" i="2"/>
  <c r="D26" i="2"/>
  <c r="C27" i="2"/>
  <c r="F27" i="2" s="1"/>
  <c r="C29" i="2"/>
  <c r="F29" i="2" s="1"/>
  <c r="D28" i="2"/>
  <c r="C25" i="2"/>
  <c r="D24" i="2"/>
  <c r="C23" i="2"/>
  <c r="F23" i="2" s="1"/>
  <c r="D22" i="2"/>
  <c r="C17" i="2"/>
  <c r="C15" i="2"/>
  <c r="F15" i="2" s="1"/>
  <c r="C13" i="2"/>
  <c r="F13" i="2" s="1"/>
  <c r="C11" i="2"/>
  <c r="F11" i="2" s="1"/>
  <c r="C9" i="2"/>
  <c r="F9" i="2" s="1"/>
  <c r="C7" i="2"/>
  <c r="F7" i="2" s="1"/>
  <c r="C3" i="2"/>
  <c r="F3" i="2" s="1"/>
  <c r="C20" i="2"/>
  <c r="F20" i="2" s="1"/>
  <c r="C19" i="2"/>
  <c r="F19" i="2" s="1"/>
  <c r="D18" i="2"/>
  <c r="D16" i="2"/>
  <c r="D15" i="2"/>
  <c r="D14" i="2"/>
  <c r="D13" i="2"/>
  <c r="D12" i="2"/>
  <c r="D11" i="2"/>
  <c r="D10" i="2"/>
  <c r="D9" i="2"/>
  <c r="D8" i="2"/>
  <c r="D7" i="2"/>
  <c r="D6" i="2"/>
  <c r="D4" i="2"/>
  <c r="D3" i="2"/>
  <c r="D2" i="2"/>
  <c r="F49" i="2" l="1"/>
  <c r="D49" i="2"/>
  <c r="F47" i="2"/>
  <c r="D47" i="2"/>
  <c r="F40" i="2"/>
  <c r="D40" i="2"/>
  <c r="C41" i="2"/>
  <c r="F45" i="2"/>
  <c r="D45" i="2"/>
  <c r="F43" i="2"/>
  <c r="D43" i="2"/>
  <c r="F39" i="2"/>
  <c r="D39" i="2"/>
  <c r="F37" i="2"/>
  <c r="D37" i="2"/>
  <c r="F35" i="2"/>
  <c r="D35" i="2"/>
  <c r="F33" i="2"/>
  <c r="D33" i="2"/>
  <c r="F31" i="2"/>
  <c r="D31" i="2"/>
  <c r="F25" i="2"/>
  <c r="F5" i="2"/>
  <c r="D5" i="2"/>
  <c r="D17" i="2"/>
  <c r="F17" i="2"/>
  <c r="D27" i="2"/>
  <c r="D29" i="2"/>
  <c r="D25" i="2"/>
  <c r="D23" i="2"/>
  <c r="D19" i="2"/>
  <c r="C21" i="2"/>
  <c r="F21" i="2" s="1"/>
  <c r="D20" i="2"/>
  <c r="F41" i="2" l="1"/>
  <c r="D41" i="2"/>
  <c r="D21" i="2"/>
</calcChain>
</file>

<file path=xl/sharedStrings.xml><?xml version="1.0" encoding="utf-8"?>
<sst xmlns="http://schemas.openxmlformats.org/spreadsheetml/2006/main" count="992" uniqueCount="60">
  <si>
    <t>1</t>
    <phoneticPr fontId="1" type="noConversion"/>
  </si>
  <si>
    <t>2</t>
  </si>
  <si>
    <t>3</t>
  </si>
  <si>
    <t>Treatment</t>
    <phoneticPr fontId="1" type="noConversion"/>
  </si>
  <si>
    <t>Repeat</t>
    <phoneticPr fontId="1" type="noConversion"/>
  </si>
  <si>
    <t>4</t>
    <phoneticPr fontId="1" type="noConversion"/>
  </si>
  <si>
    <t>ETc 50</t>
  </si>
  <si>
    <t>ETc 50</t>
    <phoneticPr fontId="1" type="noConversion"/>
  </si>
  <si>
    <t>ETc</t>
  </si>
  <si>
    <t>ETc</t>
    <phoneticPr fontId="1" type="noConversion"/>
  </si>
  <si>
    <t>침수 ETc</t>
  </si>
  <si>
    <t>침수 ETc</t>
    <phoneticPr fontId="1" type="noConversion"/>
  </si>
  <si>
    <t>침수 50</t>
  </si>
  <si>
    <t>날짜</t>
    <phoneticPr fontId="1" type="noConversion"/>
  </si>
  <si>
    <t>2026-10-11</t>
    <phoneticPr fontId="1" type="noConversion"/>
  </si>
  <si>
    <t>2026-10-12</t>
  </si>
  <si>
    <t>관수 전(g)</t>
    <phoneticPr fontId="1" type="noConversion"/>
  </si>
  <si>
    <t>관수 후(g)</t>
    <phoneticPr fontId="1" type="noConversion"/>
  </si>
  <si>
    <t>증산량(g)</t>
    <phoneticPr fontId="1" type="noConversion"/>
  </si>
  <si>
    <t>관수 시간(s)</t>
    <phoneticPr fontId="1" type="noConversion"/>
  </si>
  <si>
    <t>관수량(g)</t>
    <phoneticPr fontId="1" type="noConversion"/>
  </si>
  <si>
    <t>로드셀관수량(g)</t>
    <phoneticPr fontId="1" type="noConversion"/>
  </si>
  <si>
    <t>2026-10-12</t>
    <phoneticPr fontId="1" type="noConversion"/>
  </si>
  <si>
    <t>2026-10-13</t>
    <phoneticPr fontId="1" type="noConversion"/>
  </si>
  <si>
    <t>2026-10-13</t>
  </si>
  <si>
    <t>2026-10-14</t>
    <phoneticPr fontId="1" type="noConversion"/>
  </si>
  <si>
    <t>2026-10-14</t>
  </si>
  <si>
    <t>5</t>
    <phoneticPr fontId="1" type="noConversion"/>
  </si>
  <si>
    <t>6</t>
    <phoneticPr fontId="1" type="noConversion"/>
  </si>
  <si>
    <t>2026-10-15</t>
    <phoneticPr fontId="1" type="noConversion"/>
  </si>
  <si>
    <t>2026-10-15</t>
  </si>
  <si>
    <t>비고</t>
    <phoneticPr fontId="1" type="noConversion"/>
  </si>
  <si>
    <t>침수50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</si>
  <si>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</si>
  <si>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</si>
  <si>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</si>
  <si>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</si>
  <si>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목표관수량(g)</t>
    <phoneticPr fontId="1" type="noConversion"/>
  </si>
  <si>
    <t>평균관수량(g)</t>
    <phoneticPr fontId="1" type="noConversion"/>
  </si>
  <si>
    <t>관수 전(kg)</t>
    <phoneticPr fontId="1" type="noConversion"/>
  </si>
  <si>
    <t>관수 후(kg)</t>
    <phoneticPr fontId="1" type="noConversion"/>
  </si>
  <si>
    <t>2026-10-16</t>
  </si>
  <si>
    <t>2026-10-16</t>
    <phoneticPr fontId="1" type="noConversion"/>
  </si>
  <si>
    <t>2026-10-17</t>
  </si>
  <si>
    <t>2026-10-17</t>
    <phoneticPr fontId="1" type="noConversion"/>
  </si>
  <si>
    <t>2026-10-18</t>
  </si>
  <si>
    <t>2026-10-18</t>
    <phoneticPr fontId="1" type="noConversion"/>
  </si>
  <si>
    <t>관수량 차이</t>
    <phoneticPr fontId="1" type="noConversion"/>
  </si>
  <si>
    <t>2026-10-19</t>
  </si>
  <si>
    <t>2026-10-19</t>
    <phoneticPr fontId="1" type="noConversion"/>
  </si>
  <si>
    <t>2026-10-20</t>
  </si>
  <si>
    <t>2026-10-20</t>
    <phoneticPr fontId="1" type="noConversion"/>
  </si>
  <si>
    <t>107g으로 잘못 계산</t>
    <phoneticPr fontId="1" type="noConversion"/>
  </si>
  <si>
    <t>2026-10-21</t>
  </si>
  <si>
    <t>2026-10-21</t>
    <phoneticPr fontId="1" type="noConversion"/>
  </si>
  <si>
    <t>2026-10-22</t>
  </si>
  <si>
    <t>2026-10-22</t>
    <phoneticPr fontId="1" type="noConversion"/>
  </si>
  <si>
    <t>2</t>
    <phoneticPr fontId="1" type="noConversion"/>
  </si>
  <si>
    <t>2026-10-23</t>
  </si>
  <si>
    <t>2026-10-23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</si>
</sst>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77" fontId="0" fillId="4" borderId="4" xfId="0" applyNumberFormat="1" applyFill="1" applyBorder="1" applyAlignment="1">
      <alignment horizontal="center" vertical="center"/>
    </xf>
    <xf numFmtId="177" fontId="0" fillId="3" borderId="4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77" fontId="0" fillId="2" borderId="3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177" fontId="0" fillId="0" borderId="5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7" fontId="0" fillId="3" borderId="5" xfId="0" applyNumberFormat="1" applyFill="1" applyBorder="1" applyAlignment="1">
      <alignment horizontal="right" vertical="center"/>
    </xf>
    <xf numFmtId="176" fontId="0" fillId="0" borderId="5" xfId="0" applyNumberFormat="1" applyBorder="1" applyAlignment="1">
      <alignment horizontal="right" vertical="center"/>
    </xf>
    <xf numFmtId="177" fontId="0" fillId="4" borderId="5" xfId="0" applyNumberFormat="1" applyFill="1" applyBorder="1" applyAlignment="1">
      <alignment horizontal="right" vertical="center"/>
    </xf>
    <xf numFmtId="177" fontId="0" fillId="3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7" fontId="0" fillId="4" borderId="1" xfId="0" applyNumberFormat="1" applyFill="1" applyBorder="1" applyAlignment="1">
      <alignment horizontal="right" vertical="center"/>
    </xf>
    <xf numFmtId="177" fontId="0" fillId="4" borderId="7" xfId="0" applyNumberFormat="1" applyFill="1" applyBorder="1" applyAlignment="1">
      <alignment horizontal="right" vertical="center"/>
    </xf>
    <xf numFmtId="177" fontId="0" fillId="3" borderId="3" xfId="0" applyNumberFormat="1" applyFill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77" fontId="0" fillId="4" borderId="3" xfId="0" applyNumberFormat="1" applyFill="1" applyBorder="1" applyAlignment="1">
      <alignment horizontal="right" vertical="center"/>
    </xf>
    <xf numFmtId="177" fontId="0" fillId="0" borderId="3" xfId="0" applyNumberForma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30E5-07A7-4640-A9D1-D36F41E30B62}">
  <sheetPr>
    <pageSetUpPr fitToPage="1"/>
  </sheetPr>
  <dimension ref="A1:F145"/>
  <sheetViews>
    <sheetView tabSelected="1" zoomScaleNormal="100" workbookViewId="0">
      <pane ySplit="1" topLeftCell="A2" activePane="bottomLeft" state="frozen"/>
      <selection pane="bottomLeft" activeCell="G1" sqref="G1"/>
    </sheetView>
  </sheetViews>
  <sheetFormatPr defaultRowHeight="16.5" x14ac:dyDescent="0.3"/>
  <cols>
    <col min="1" max="2" width="10" customWidth="1"/>
    <col min="3" max="3" width="10" style="1" customWidth="1"/>
    <col min="4" max="6" width="10" style="20" customWidth="1"/>
  </cols>
  <sheetData>
    <row r="1" spans="1:6" s="1" customFormat="1" ht="23.1" customHeight="1" thickBot="1" x14ac:dyDescent="0.35">
      <c r="A1" s="3" t="s">
        <v>13</v>
      </c>
      <c r="B1" s="3" t="s">
        <v>3</v>
      </c>
      <c r="C1" s="3" t="s">
        <v>4</v>
      </c>
      <c r="D1" s="3" t="s">
        <v>16</v>
      </c>
      <c r="E1" s="3" t="s">
        <v>17</v>
      </c>
      <c r="F1" s="3" t="s">
        <v>18</v>
      </c>
    </row>
    <row r="2" spans="1:6" ht="23.1" customHeight="1" x14ac:dyDescent="0.3">
      <c r="A2" s="5" t="s">
        <v>14</v>
      </c>
      <c r="B2" s="5" t="s">
        <v>9</v>
      </c>
      <c r="C2" s="5" t="s">
        <v>0</v>
      </c>
      <c r="D2" s="14">
        <v>749.3</v>
      </c>
      <c r="E2" s="14">
        <v>889.1</v>
      </c>
      <c r="F2" s="37"/>
    </row>
    <row r="3" spans="1:6" ht="23.1" customHeight="1" x14ac:dyDescent="0.3">
      <c r="A3" s="2" t="s">
        <v>14</v>
      </c>
      <c r="B3" s="2" t="s">
        <v>8</v>
      </c>
      <c r="C3" s="2" t="s">
        <v>1</v>
      </c>
      <c r="D3" s="15">
        <v>842.3</v>
      </c>
      <c r="E3" s="15">
        <v>991.5</v>
      </c>
      <c r="F3" s="38"/>
    </row>
    <row r="4" spans="1:6" ht="23.1" customHeight="1" x14ac:dyDescent="0.3">
      <c r="A4" s="2" t="s">
        <v>14</v>
      </c>
      <c r="B4" s="2" t="s">
        <v>8</v>
      </c>
      <c r="C4" s="2" t="s">
        <v>2</v>
      </c>
      <c r="D4" s="15">
        <v>728.7</v>
      </c>
      <c r="E4" s="15">
        <v>864.8</v>
      </c>
      <c r="F4" s="38"/>
    </row>
    <row r="5" spans="1:6" ht="23.1" customHeight="1" x14ac:dyDescent="0.3">
      <c r="A5" s="2" t="s">
        <v>14</v>
      </c>
      <c r="B5" s="2" t="s">
        <v>11</v>
      </c>
      <c r="C5" s="2" t="s">
        <v>0</v>
      </c>
      <c r="D5" s="15">
        <v>1253.0999999999999</v>
      </c>
      <c r="E5" s="15">
        <v>1251</v>
      </c>
      <c r="F5" s="38"/>
    </row>
    <row r="6" spans="1:6" ht="23.1" customHeight="1" x14ac:dyDescent="0.3">
      <c r="A6" s="2" t="s">
        <v>14</v>
      </c>
      <c r="B6" s="2" t="s">
        <v>11</v>
      </c>
      <c r="C6" s="2" t="s">
        <v>1</v>
      </c>
      <c r="D6" s="15">
        <v>1197.5</v>
      </c>
      <c r="E6" s="15">
        <v>1195.0999999999999</v>
      </c>
      <c r="F6" s="38"/>
    </row>
    <row r="7" spans="1:6" ht="23.1" customHeight="1" thickBot="1" x14ac:dyDescent="0.35">
      <c r="A7" s="6" t="s">
        <v>14</v>
      </c>
      <c r="B7" s="6" t="s">
        <v>10</v>
      </c>
      <c r="C7" s="6" t="s">
        <v>2</v>
      </c>
      <c r="D7" s="16">
        <v>1186.5</v>
      </c>
      <c r="E7" s="16">
        <v>1185</v>
      </c>
      <c r="F7" s="39"/>
    </row>
    <row r="8" spans="1:6" ht="23.1" customHeight="1" x14ac:dyDescent="0.3">
      <c r="A8" s="4" t="s">
        <v>15</v>
      </c>
      <c r="B8" s="4" t="s">
        <v>8</v>
      </c>
      <c r="C8" s="4" t="s">
        <v>0</v>
      </c>
      <c r="D8" s="17">
        <v>763.8</v>
      </c>
      <c r="E8" s="17">
        <v>896.1</v>
      </c>
      <c r="F8" s="17">
        <f t="shared" ref="F8:F15" si="0">E2-D8</f>
        <v>125.30000000000007</v>
      </c>
    </row>
    <row r="9" spans="1:6" ht="23.1" customHeight="1" x14ac:dyDescent="0.3">
      <c r="A9" s="2" t="s">
        <v>15</v>
      </c>
      <c r="B9" s="2" t="s">
        <v>8</v>
      </c>
      <c r="C9" s="2" t="s">
        <v>1</v>
      </c>
      <c r="D9" s="15">
        <v>865.1</v>
      </c>
      <c r="E9" s="15">
        <v>1004.3</v>
      </c>
      <c r="F9" s="15">
        <f t="shared" si="0"/>
        <v>126.39999999999998</v>
      </c>
    </row>
    <row r="10" spans="1:6" ht="23.1" customHeight="1" x14ac:dyDescent="0.3">
      <c r="A10" s="2" t="s">
        <v>15</v>
      </c>
      <c r="B10" s="2" t="s">
        <v>8</v>
      </c>
      <c r="C10" s="2" t="s">
        <v>2</v>
      </c>
      <c r="D10" s="15">
        <v>731.3</v>
      </c>
      <c r="E10" s="15">
        <v>856.1</v>
      </c>
      <c r="F10" s="15">
        <f t="shared" si="0"/>
        <v>133.5</v>
      </c>
    </row>
    <row r="11" spans="1:6" ht="23.1" customHeight="1" x14ac:dyDescent="0.3">
      <c r="A11" s="2" t="s">
        <v>15</v>
      </c>
      <c r="B11" s="2" t="s">
        <v>11</v>
      </c>
      <c r="C11" s="2" t="s">
        <v>0</v>
      </c>
      <c r="D11" s="15">
        <v>1177.8</v>
      </c>
      <c r="E11" s="15">
        <v>1221.8</v>
      </c>
      <c r="F11" s="15">
        <f t="shared" si="0"/>
        <v>73.200000000000045</v>
      </c>
    </row>
    <row r="12" spans="1:6" ht="23.1" customHeight="1" x14ac:dyDescent="0.3">
      <c r="A12" s="2" t="s">
        <v>15</v>
      </c>
      <c r="B12" s="2" t="s">
        <v>10</v>
      </c>
      <c r="C12" s="2" t="s">
        <v>1</v>
      </c>
      <c r="D12" s="15">
        <v>1118.5999999999999</v>
      </c>
      <c r="E12" s="15">
        <v>1164.5</v>
      </c>
      <c r="F12" s="15">
        <f t="shared" si="0"/>
        <v>76.5</v>
      </c>
    </row>
    <row r="13" spans="1:6" ht="23.1" customHeight="1" thickBot="1" x14ac:dyDescent="0.35">
      <c r="A13" s="6" t="s">
        <v>15</v>
      </c>
      <c r="B13" s="6" t="s">
        <v>10</v>
      </c>
      <c r="C13" s="6" t="s">
        <v>2</v>
      </c>
      <c r="D13" s="15">
        <v>1101.5999999999999</v>
      </c>
      <c r="E13" s="15">
        <v>1153.0999999999999</v>
      </c>
      <c r="F13" s="16">
        <f t="shared" si="0"/>
        <v>83.400000000000091</v>
      </c>
    </row>
    <row r="14" spans="1:6" ht="23.1" customHeight="1" x14ac:dyDescent="0.3">
      <c r="A14" s="5" t="s">
        <v>24</v>
      </c>
      <c r="B14" s="5" t="s">
        <v>8</v>
      </c>
      <c r="C14" s="5" t="s">
        <v>0</v>
      </c>
      <c r="D14" s="14">
        <v>811.7</v>
      </c>
      <c r="E14" s="14">
        <v>904.9</v>
      </c>
      <c r="F14" s="14">
        <f>E8-D14</f>
        <v>84.399999999999977</v>
      </c>
    </row>
    <row r="15" spans="1:6" ht="23.1" customHeight="1" x14ac:dyDescent="0.3">
      <c r="A15" s="2" t="s">
        <v>24</v>
      </c>
      <c r="B15" s="2" t="s">
        <v>8</v>
      </c>
      <c r="C15" s="2" t="s">
        <v>1</v>
      </c>
      <c r="D15" s="15">
        <v>922.4</v>
      </c>
      <c r="E15" s="15">
        <v>1007.4</v>
      </c>
      <c r="F15" s="17">
        <f t="shared" si="0"/>
        <v>81.899999999999977</v>
      </c>
    </row>
    <row r="16" spans="1:6" ht="23.1" customHeight="1" x14ac:dyDescent="0.3">
      <c r="A16" s="2" t="s">
        <v>24</v>
      </c>
      <c r="B16" s="2" t="s">
        <v>8</v>
      </c>
      <c r="C16" s="2" t="s">
        <v>2</v>
      </c>
      <c r="D16" s="15">
        <v>764.7</v>
      </c>
      <c r="E16" s="15">
        <v>853.7</v>
      </c>
      <c r="F16" s="17">
        <f>E10-D16</f>
        <v>91.399999999999977</v>
      </c>
    </row>
    <row r="17" spans="1:6" ht="23.1" customHeight="1" x14ac:dyDescent="0.3">
      <c r="A17" s="2" t="s">
        <v>24</v>
      </c>
      <c r="B17" s="2" t="s">
        <v>8</v>
      </c>
      <c r="C17" s="2" t="s">
        <v>5</v>
      </c>
      <c r="D17" s="15">
        <v>1039.8</v>
      </c>
      <c r="E17" s="15">
        <v>1115.9000000000001</v>
      </c>
      <c r="F17" s="38"/>
    </row>
    <row r="18" spans="1:6" ht="23.1" customHeight="1" x14ac:dyDescent="0.3">
      <c r="A18" s="2" t="s">
        <v>24</v>
      </c>
      <c r="B18" s="2" t="s">
        <v>8</v>
      </c>
      <c r="C18" s="2" t="s">
        <v>27</v>
      </c>
      <c r="D18" s="15">
        <v>891.2</v>
      </c>
      <c r="E18" s="15">
        <v>971</v>
      </c>
      <c r="F18" s="40"/>
    </row>
    <row r="19" spans="1:6" ht="23.1" customHeight="1" x14ac:dyDescent="0.3">
      <c r="A19" s="2" t="s">
        <v>24</v>
      </c>
      <c r="B19" s="2" t="s">
        <v>8</v>
      </c>
      <c r="C19" s="2" t="s">
        <v>28</v>
      </c>
      <c r="D19" s="15">
        <v>1042.9000000000001</v>
      </c>
      <c r="E19" s="15">
        <v>1122.7</v>
      </c>
      <c r="F19" s="40"/>
    </row>
    <row r="20" spans="1:6" ht="23.1" customHeight="1" x14ac:dyDescent="0.3">
      <c r="A20" s="2" t="s">
        <v>24</v>
      </c>
      <c r="B20" s="2" t="s">
        <v>11</v>
      </c>
      <c r="C20" s="2" t="s">
        <v>0</v>
      </c>
      <c r="D20" s="15">
        <v>1162.2</v>
      </c>
      <c r="E20" s="15">
        <v>1216.0999999999999</v>
      </c>
      <c r="F20" s="15">
        <f>E11-D20</f>
        <v>59.599999999999909</v>
      </c>
    </row>
    <row r="21" spans="1:6" ht="23.1" customHeight="1" x14ac:dyDescent="0.3">
      <c r="A21" s="2" t="s">
        <v>24</v>
      </c>
      <c r="B21" s="2" t="s">
        <v>10</v>
      </c>
      <c r="C21" s="2" t="s">
        <v>1</v>
      </c>
      <c r="D21" s="15">
        <v>1106.5999999999999</v>
      </c>
      <c r="E21" s="15">
        <v>1155.7</v>
      </c>
      <c r="F21" s="15">
        <f>E12-D21</f>
        <v>57.900000000000091</v>
      </c>
    </row>
    <row r="22" spans="1:6" ht="23.1" customHeight="1" x14ac:dyDescent="0.3">
      <c r="A22" s="2" t="s">
        <v>24</v>
      </c>
      <c r="B22" s="2" t="s">
        <v>10</v>
      </c>
      <c r="C22" s="2" t="s">
        <v>2</v>
      </c>
      <c r="D22" s="15">
        <v>1105</v>
      </c>
      <c r="E22" s="15">
        <v>1151.9000000000001</v>
      </c>
      <c r="F22" s="15">
        <f>E13-D22</f>
        <v>48.099999999999909</v>
      </c>
    </row>
    <row r="23" spans="1:6" ht="23.1" customHeight="1" x14ac:dyDescent="0.3">
      <c r="A23" s="2" t="s">
        <v>24</v>
      </c>
      <c r="B23" s="2" t="s">
        <v>10</v>
      </c>
      <c r="C23" s="2" t="s">
        <v>5</v>
      </c>
      <c r="D23" s="15">
        <v>1131.0999999999999</v>
      </c>
      <c r="E23" s="15">
        <v>1196</v>
      </c>
      <c r="F23" s="38"/>
    </row>
    <row r="24" spans="1:6" ht="23.1" customHeight="1" x14ac:dyDescent="0.3">
      <c r="A24" s="2" t="s">
        <v>24</v>
      </c>
      <c r="B24" s="2" t="s">
        <v>10</v>
      </c>
      <c r="C24" s="2" t="s">
        <v>27</v>
      </c>
      <c r="D24" s="15">
        <v>1172.9000000000001</v>
      </c>
      <c r="E24" s="15">
        <v>1212.9000000000001</v>
      </c>
      <c r="F24" s="38"/>
    </row>
    <row r="25" spans="1:6" ht="23.1" customHeight="1" thickBot="1" x14ac:dyDescent="0.35">
      <c r="A25" s="6" t="s">
        <v>24</v>
      </c>
      <c r="B25" s="6" t="s">
        <v>10</v>
      </c>
      <c r="C25" s="6" t="s">
        <v>28</v>
      </c>
      <c r="D25" s="16">
        <v>1185.0999999999999</v>
      </c>
      <c r="E25" s="16">
        <v>1237.7</v>
      </c>
      <c r="F25" s="39"/>
    </row>
    <row r="26" spans="1:6" ht="23.1" customHeight="1" x14ac:dyDescent="0.3">
      <c r="A26" s="4" t="s">
        <v>26</v>
      </c>
      <c r="B26" s="4" t="s">
        <v>8</v>
      </c>
      <c r="C26" s="4" t="s">
        <v>0</v>
      </c>
      <c r="D26" s="17">
        <v>823.3</v>
      </c>
      <c r="E26" s="17">
        <v>907.7</v>
      </c>
      <c r="F26" s="17">
        <f>E14-D26</f>
        <v>81.600000000000023</v>
      </c>
    </row>
    <row r="27" spans="1:6" ht="23.1" customHeight="1" x14ac:dyDescent="0.3">
      <c r="A27" s="2" t="s">
        <v>26</v>
      </c>
      <c r="B27" s="2" t="s">
        <v>8</v>
      </c>
      <c r="C27" s="2" t="s">
        <v>1</v>
      </c>
      <c r="D27" s="15">
        <v>917.6</v>
      </c>
      <c r="E27" s="15">
        <v>990.5</v>
      </c>
      <c r="F27" s="17">
        <f t="shared" ref="F27:F36" si="1">E15-D27</f>
        <v>89.799999999999955</v>
      </c>
    </row>
    <row r="28" spans="1:6" ht="23.1" customHeight="1" x14ac:dyDescent="0.3">
      <c r="A28" s="2" t="s">
        <v>26</v>
      </c>
      <c r="B28" s="2" t="s">
        <v>8</v>
      </c>
      <c r="C28" s="2" t="s">
        <v>2</v>
      </c>
      <c r="D28" s="15">
        <v>770</v>
      </c>
      <c r="E28" s="15">
        <v>850.7</v>
      </c>
      <c r="F28" s="17">
        <f t="shared" si="1"/>
        <v>83.700000000000045</v>
      </c>
    </row>
    <row r="29" spans="1:6" ht="23.1" customHeight="1" x14ac:dyDescent="0.3">
      <c r="A29" s="2" t="s">
        <v>26</v>
      </c>
      <c r="B29" s="2" t="s">
        <v>8</v>
      </c>
      <c r="C29" s="2" t="s">
        <v>5</v>
      </c>
      <c r="D29" s="15">
        <v>1034.0999999999999</v>
      </c>
      <c r="E29" s="15">
        <v>1115.2</v>
      </c>
      <c r="F29" s="17">
        <f t="shared" si="1"/>
        <v>81.800000000000182</v>
      </c>
    </row>
    <row r="30" spans="1:6" ht="23.1" customHeight="1" x14ac:dyDescent="0.3">
      <c r="A30" s="2" t="s">
        <v>26</v>
      </c>
      <c r="B30" s="2" t="s">
        <v>8</v>
      </c>
      <c r="C30" s="2" t="s">
        <v>27</v>
      </c>
      <c r="D30" s="15">
        <v>900</v>
      </c>
      <c r="E30" s="15">
        <v>982.1</v>
      </c>
      <c r="F30" s="17">
        <f t="shared" si="1"/>
        <v>71</v>
      </c>
    </row>
    <row r="31" spans="1:6" ht="23.1" customHeight="1" x14ac:dyDescent="0.3">
      <c r="A31" s="2" t="s">
        <v>26</v>
      </c>
      <c r="B31" s="2" t="s">
        <v>8</v>
      </c>
      <c r="C31" s="2" t="s">
        <v>28</v>
      </c>
      <c r="D31" s="15">
        <v>1028.3</v>
      </c>
      <c r="E31" s="15">
        <v>1100</v>
      </c>
      <c r="F31" s="17">
        <f>E19-D31</f>
        <v>94.400000000000091</v>
      </c>
    </row>
    <row r="32" spans="1:6" ht="23.1" customHeight="1" x14ac:dyDescent="0.3">
      <c r="A32" s="2" t="s">
        <v>26</v>
      </c>
      <c r="B32" s="2" t="s">
        <v>11</v>
      </c>
      <c r="C32" s="2" t="s">
        <v>0</v>
      </c>
      <c r="D32" s="15">
        <v>1153.7</v>
      </c>
      <c r="E32" s="15">
        <v>1210.9000000000001</v>
      </c>
      <c r="F32" s="17">
        <f>E20-D32</f>
        <v>62.399999999999864</v>
      </c>
    </row>
    <row r="33" spans="1:6" ht="23.1" customHeight="1" x14ac:dyDescent="0.3">
      <c r="A33" s="2" t="s">
        <v>26</v>
      </c>
      <c r="B33" s="2" t="s">
        <v>10</v>
      </c>
      <c r="C33" s="2" t="s">
        <v>1</v>
      </c>
      <c r="D33" s="15">
        <v>1096.4000000000001</v>
      </c>
      <c r="E33" s="15">
        <v>1152</v>
      </c>
      <c r="F33" s="17">
        <f>E21-D33</f>
        <v>59.299999999999955</v>
      </c>
    </row>
    <row r="34" spans="1:6" ht="23.1" customHeight="1" x14ac:dyDescent="0.3">
      <c r="A34" s="2" t="s">
        <v>26</v>
      </c>
      <c r="B34" s="2" t="s">
        <v>10</v>
      </c>
      <c r="C34" s="2" t="s">
        <v>2</v>
      </c>
      <c r="D34" s="15">
        <v>1087</v>
      </c>
      <c r="E34" s="15">
        <v>1144.4000000000001</v>
      </c>
      <c r="F34" s="17">
        <f t="shared" si="1"/>
        <v>64.900000000000091</v>
      </c>
    </row>
    <row r="35" spans="1:6" ht="23.1" customHeight="1" x14ac:dyDescent="0.3">
      <c r="A35" s="2" t="s">
        <v>26</v>
      </c>
      <c r="B35" s="2" t="s">
        <v>10</v>
      </c>
      <c r="C35" s="2" t="s">
        <v>5</v>
      </c>
      <c r="D35" s="15">
        <v>1116.2</v>
      </c>
      <c r="E35" s="15">
        <v>1191.4000000000001</v>
      </c>
      <c r="F35" s="17">
        <f t="shared" si="1"/>
        <v>79.799999999999955</v>
      </c>
    </row>
    <row r="36" spans="1:6" ht="23.1" customHeight="1" x14ac:dyDescent="0.3">
      <c r="A36" s="2" t="s">
        <v>26</v>
      </c>
      <c r="B36" s="2" t="s">
        <v>10</v>
      </c>
      <c r="C36" s="2" t="s">
        <v>27</v>
      </c>
      <c r="D36" s="15">
        <v>1145.0999999999999</v>
      </c>
      <c r="E36" s="15">
        <v>1204.8</v>
      </c>
      <c r="F36" s="17">
        <f t="shared" si="1"/>
        <v>67.800000000000182</v>
      </c>
    </row>
    <row r="37" spans="1:6" ht="23.1" customHeight="1" thickBot="1" x14ac:dyDescent="0.35">
      <c r="A37" s="9" t="s">
        <v>26</v>
      </c>
      <c r="B37" s="9" t="s">
        <v>10</v>
      </c>
      <c r="C37" s="9" t="s">
        <v>28</v>
      </c>
      <c r="D37" s="18">
        <v>1150.8</v>
      </c>
      <c r="E37" s="18">
        <v>1224.5</v>
      </c>
      <c r="F37" s="19">
        <f>E25-D37</f>
        <v>86.900000000000091</v>
      </c>
    </row>
    <row r="38" spans="1:6" ht="23.1" customHeight="1" x14ac:dyDescent="0.3">
      <c r="A38" s="5" t="s">
        <v>29</v>
      </c>
      <c r="B38" s="5" t="s">
        <v>8</v>
      </c>
      <c r="C38" s="5" t="s">
        <v>0</v>
      </c>
      <c r="D38" s="14">
        <v>766.6</v>
      </c>
      <c r="E38" s="14">
        <v>912.9</v>
      </c>
      <c r="F38" s="14">
        <f>E26-D38</f>
        <v>141.10000000000002</v>
      </c>
    </row>
    <row r="39" spans="1:6" ht="23.1" customHeight="1" x14ac:dyDescent="0.3">
      <c r="A39" s="2" t="s">
        <v>30</v>
      </c>
      <c r="B39" s="2" t="s">
        <v>8</v>
      </c>
      <c r="C39" s="2" t="s">
        <v>1</v>
      </c>
      <c r="D39" s="15">
        <v>814.8</v>
      </c>
      <c r="E39" s="15">
        <v>945.4</v>
      </c>
      <c r="F39" s="15">
        <f t="shared" ref="F39:F48" si="2">E27-D39</f>
        <v>175.70000000000005</v>
      </c>
    </row>
    <row r="40" spans="1:6" ht="23.1" customHeight="1" x14ac:dyDescent="0.3">
      <c r="A40" s="2" t="s">
        <v>30</v>
      </c>
      <c r="B40" s="2" t="s">
        <v>8</v>
      </c>
      <c r="C40" s="2" t="s">
        <v>2</v>
      </c>
      <c r="D40" s="15">
        <v>711.6</v>
      </c>
      <c r="E40" s="15">
        <v>852.6</v>
      </c>
      <c r="F40" s="15">
        <f t="shared" si="2"/>
        <v>139.10000000000002</v>
      </c>
    </row>
    <row r="41" spans="1:6" ht="23.1" customHeight="1" x14ac:dyDescent="0.3">
      <c r="A41" s="2" t="s">
        <v>30</v>
      </c>
      <c r="B41" s="2" t="s">
        <v>8</v>
      </c>
      <c r="C41" s="2" t="s">
        <v>5</v>
      </c>
      <c r="D41" s="15">
        <v>988.2</v>
      </c>
      <c r="E41" s="15">
        <v>1114.7</v>
      </c>
      <c r="F41" s="15">
        <f t="shared" si="2"/>
        <v>127</v>
      </c>
    </row>
    <row r="42" spans="1:6" ht="23.1" customHeight="1" x14ac:dyDescent="0.3">
      <c r="A42" s="2" t="s">
        <v>30</v>
      </c>
      <c r="B42" s="2" t="s">
        <v>8</v>
      </c>
      <c r="C42" s="2" t="s">
        <v>27</v>
      </c>
      <c r="D42" s="15">
        <v>867.5</v>
      </c>
      <c r="E42" s="15">
        <v>1008</v>
      </c>
      <c r="F42" s="15">
        <f t="shared" si="2"/>
        <v>114.60000000000002</v>
      </c>
    </row>
    <row r="43" spans="1:6" ht="23.1" customHeight="1" x14ac:dyDescent="0.3">
      <c r="A43" s="2" t="s">
        <v>30</v>
      </c>
      <c r="B43" s="2" t="s">
        <v>8</v>
      </c>
      <c r="C43" s="2" t="s">
        <v>28</v>
      </c>
      <c r="D43" s="15">
        <v>934.7</v>
      </c>
      <c r="E43" s="15">
        <v>1050.5999999999999</v>
      </c>
      <c r="F43" s="15">
        <f>E31-D43</f>
        <v>165.29999999999995</v>
      </c>
    </row>
    <row r="44" spans="1:6" ht="23.1" customHeight="1" x14ac:dyDescent="0.3">
      <c r="A44" s="2" t="s">
        <v>30</v>
      </c>
      <c r="B44" s="2" t="s">
        <v>11</v>
      </c>
      <c r="C44" s="2" t="s">
        <v>0</v>
      </c>
      <c r="D44" s="15">
        <v>1102.5</v>
      </c>
      <c r="E44" s="15">
        <v>1197.0999999999999</v>
      </c>
      <c r="F44" s="15">
        <f>E32-D44</f>
        <v>108.40000000000009</v>
      </c>
    </row>
    <row r="45" spans="1:6" ht="23.1" customHeight="1" x14ac:dyDescent="0.3">
      <c r="A45" s="2" t="s">
        <v>30</v>
      </c>
      <c r="B45" s="2" t="s">
        <v>10</v>
      </c>
      <c r="C45" s="2" t="s">
        <v>1</v>
      </c>
      <c r="D45" s="15">
        <v>1050.3</v>
      </c>
      <c r="E45" s="15">
        <v>1138.9000000000001</v>
      </c>
      <c r="F45" s="15">
        <f t="shared" si="2"/>
        <v>101.70000000000005</v>
      </c>
    </row>
    <row r="46" spans="1:6" ht="23.1" customHeight="1" x14ac:dyDescent="0.3">
      <c r="A46" s="2" t="s">
        <v>30</v>
      </c>
      <c r="B46" s="2" t="s">
        <v>10</v>
      </c>
      <c r="C46" s="2" t="s">
        <v>2</v>
      </c>
      <c r="D46" s="15">
        <v>1038.3</v>
      </c>
      <c r="E46" s="15">
        <v>1130.3</v>
      </c>
      <c r="F46" s="15">
        <f t="shared" si="2"/>
        <v>106.10000000000014</v>
      </c>
    </row>
    <row r="47" spans="1:6" ht="23.1" customHeight="1" x14ac:dyDescent="0.3">
      <c r="A47" s="2" t="s">
        <v>30</v>
      </c>
      <c r="B47" s="2" t="s">
        <v>10</v>
      </c>
      <c r="C47" s="2" t="s">
        <v>5</v>
      </c>
      <c r="D47" s="15">
        <v>1049.5</v>
      </c>
      <c r="E47" s="15">
        <v>1173.5</v>
      </c>
      <c r="F47" s="15">
        <f t="shared" si="2"/>
        <v>141.90000000000009</v>
      </c>
    </row>
    <row r="48" spans="1:6" ht="23.1" customHeight="1" x14ac:dyDescent="0.3">
      <c r="A48" s="2" t="s">
        <v>30</v>
      </c>
      <c r="B48" s="2" t="s">
        <v>10</v>
      </c>
      <c r="C48" s="2" t="s">
        <v>27</v>
      </c>
      <c r="D48" s="15">
        <v>1094.0999999999999</v>
      </c>
      <c r="E48" s="15">
        <v>1192</v>
      </c>
      <c r="F48" s="15">
        <f t="shared" si="2"/>
        <v>110.70000000000005</v>
      </c>
    </row>
    <row r="49" spans="1:6" ht="23.1" customHeight="1" thickBot="1" x14ac:dyDescent="0.35">
      <c r="A49" s="2" t="s">
        <v>30</v>
      </c>
      <c r="B49" s="2" t="s">
        <v>10</v>
      </c>
      <c r="C49" s="2" t="s">
        <v>28</v>
      </c>
      <c r="D49" s="15">
        <v>1084</v>
      </c>
      <c r="E49" s="15">
        <v>1208.7</v>
      </c>
      <c r="F49" s="15">
        <f>E37-D49</f>
        <v>140.5</v>
      </c>
    </row>
    <row r="50" spans="1:6" ht="23.1" customHeight="1" x14ac:dyDescent="0.3">
      <c r="A50" s="5" t="s">
        <v>42</v>
      </c>
      <c r="B50" s="5" t="s">
        <v>8</v>
      </c>
      <c r="C50" s="5" t="s">
        <v>0</v>
      </c>
      <c r="D50" s="14">
        <v>825.6</v>
      </c>
      <c r="E50" s="14">
        <v>935.7</v>
      </c>
      <c r="F50" s="14">
        <f>E38-D50</f>
        <v>87.299999999999955</v>
      </c>
    </row>
    <row r="51" spans="1:6" ht="23.1" customHeight="1" x14ac:dyDescent="0.3">
      <c r="A51" s="2" t="s">
        <v>41</v>
      </c>
      <c r="B51" s="2" t="s">
        <v>8</v>
      </c>
      <c r="C51" s="2" t="s">
        <v>1</v>
      </c>
      <c r="D51" s="15">
        <v>828.4</v>
      </c>
      <c r="E51" s="15">
        <v>924.8</v>
      </c>
      <c r="F51" s="15">
        <f t="shared" ref="F51:F54" si="3">E39-D51</f>
        <v>117</v>
      </c>
    </row>
    <row r="52" spans="1:6" ht="23.1" customHeight="1" x14ac:dyDescent="0.3">
      <c r="A52" s="2" t="s">
        <v>41</v>
      </c>
      <c r="B52" s="2" t="s">
        <v>8</v>
      </c>
      <c r="C52" s="2" t="s">
        <v>2</v>
      </c>
      <c r="D52" s="15">
        <v>723.1</v>
      </c>
      <c r="E52" s="15">
        <v>826.8</v>
      </c>
      <c r="F52" s="15">
        <f t="shared" si="3"/>
        <v>129.5</v>
      </c>
    </row>
    <row r="53" spans="1:6" ht="23.1" customHeight="1" x14ac:dyDescent="0.3">
      <c r="A53" s="2" t="s">
        <v>41</v>
      </c>
      <c r="B53" s="2" t="s">
        <v>8</v>
      </c>
      <c r="C53" s="2" t="s">
        <v>5</v>
      </c>
      <c r="D53" s="15">
        <v>996.3</v>
      </c>
      <c r="E53" s="15">
        <v>1096.5999999999999</v>
      </c>
      <c r="F53" s="15">
        <f t="shared" si="3"/>
        <v>118.40000000000009</v>
      </c>
    </row>
    <row r="54" spans="1:6" ht="23.1" customHeight="1" x14ac:dyDescent="0.3">
      <c r="A54" s="2" t="s">
        <v>41</v>
      </c>
      <c r="B54" s="2" t="s">
        <v>8</v>
      </c>
      <c r="C54" s="2" t="s">
        <v>27</v>
      </c>
      <c r="D54" s="15">
        <v>897</v>
      </c>
      <c r="E54" s="15">
        <v>998.8</v>
      </c>
      <c r="F54" s="15">
        <f t="shared" si="3"/>
        <v>111</v>
      </c>
    </row>
    <row r="55" spans="1:6" ht="23.1" customHeight="1" x14ac:dyDescent="0.3">
      <c r="A55" s="2" t="s">
        <v>41</v>
      </c>
      <c r="B55" s="2" t="s">
        <v>8</v>
      </c>
      <c r="C55" s="2" t="s">
        <v>28</v>
      </c>
      <c r="D55" s="15">
        <v>906.3</v>
      </c>
      <c r="E55" s="15">
        <v>996.9</v>
      </c>
      <c r="F55" s="15">
        <f>E43-D55</f>
        <v>144.29999999999995</v>
      </c>
    </row>
    <row r="56" spans="1:6" ht="23.1" customHeight="1" x14ac:dyDescent="0.3">
      <c r="A56" s="2" t="s">
        <v>41</v>
      </c>
      <c r="B56" s="2" t="s">
        <v>11</v>
      </c>
      <c r="C56" s="2" t="s">
        <v>0</v>
      </c>
      <c r="D56" s="15">
        <v>1100</v>
      </c>
      <c r="E56" s="15">
        <v>1189.4000000000001</v>
      </c>
      <c r="F56" s="15">
        <f>E44-D56</f>
        <v>97.099999999999909</v>
      </c>
    </row>
    <row r="57" spans="1:6" ht="23.1" customHeight="1" x14ac:dyDescent="0.3">
      <c r="A57" s="2" t="s">
        <v>41</v>
      </c>
      <c r="B57" s="2" t="s">
        <v>10</v>
      </c>
      <c r="C57" s="2" t="s">
        <v>1</v>
      </c>
      <c r="D57" s="15">
        <v>1045</v>
      </c>
      <c r="E57" s="15">
        <v>1129.3</v>
      </c>
      <c r="F57" s="15">
        <f t="shared" ref="F57:F60" si="4">E45-D57</f>
        <v>93.900000000000091</v>
      </c>
    </row>
    <row r="58" spans="1:6" ht="23.1" customHeight="1" x14ac:dyDescent="0.3">
      <c r="A58" s="2" t="s">
        <v>41</v>
      </c>
      <c r="B58" s="2" t="s">
        <v>10</v>
      </c>
      <c r="C58" s="2" t="s">
        <v>2</v>
      </c>
      <c r="D58" s="15">
        <v>1033.4000000000001</v>
      </c>
      <c r="E58" s="15">
        <v>1126.3</v>
      </c>
      <c r="F58" s="15">
        <f t="shared" si="4"/>
        <v>96.899999999999864</v>
      </c>
    </row>
    <row r="59" spans="1:6" ht="23.1" customHeight="1" x14ac:dyDescent="0.3">
      <c r="A59" s="2" t="s">
        <v>41</v>
      </c>
      <c r="B59" s="2" t="s">
        <v>10</v>
      </c>
      <c r="C59" s="2" t="s">
        <v>5</v>
      </c>
      <c r="D59" s="15">
        <v>1041.5</v>
      </c>
      <c r="E59" s="15">
        <v>1145.4000000000001</v>
      </c>
      <c r="F59" s="15">
        <f t="shared" si="4"/>
        <v>132</v>
      </c>
    </row>
    <row r="60" spans="1:6" ht="23.1" customHeight="1" x14ac:dyDescent="0.3">
      <c r="A60" s="2" t="s">
        <v>41</v>
      </c>
      <c r="B60" s="2" t="s">
        <v>10</v>
      </c>
      <c r="C60" s="2" t="s">
        <v>27</v>
      </c>
      <c r="D60" s="15">
        <v>1085.4000000000001</v>
      </c>
      <c r="E60" s="15">
        <v>1181.9000000000001</v>
      </c>
      <c r="F60" s="15">
        <f t="shared" si="4"/>
        <v>106.59999999999991</v>
      </c>
    </row>
    <row r="61" spans="1:6" ht="23.1" customHeight="1" thickBot="1" x14ac:dyDescent="0.35">
      <c r="A61" s="2" t="s">
        <v>41</v>
      </c>
      <c r="B61" s="2" t="s">
        <v>10</v>
      </c>
      <c r="C61" s="2" t="s">
        <v>28</v>
      </c>
      <c r="D61" s="18">
        <v>1077.9000000000001</v>
      </c>
      <c r="E61" s="18">
        <v>1183.9000000000001</v>
      </c>
      <c r="F61" s="18">
        <f t="shared" ref="F61:F68" si="5">E49-D61</f>
        <v>130.79999999999995</v>
      </c>
    </row>
    <row r="62" spans="1:6" ht="23.1" customHeight="1" x14ac:dyDescent="0.3">
      <c r="A62" s="5" t="s">
        <v>44</v>
      </c>
      <c r="B62" s="5" t="s">
        <v>8</v>
      </c>
      <c r="C62" s="5" t="s">
        <v>0</v>
      </c>
      <c r="D62" s="14">
        <v>833</v>
      </c>
      <c r="E62" s="14">
        <v>944</v>
      </c>
      <c r="F62" s="14">
        <f t="shared" si="5"/>
        <v>102.70000000000005</v>
      </c>
    </row>
    <row r="63" spans="1:6" ht="23.1" customHeight="1" x14ac:dyDescent="0.3">
      <c r="A63" s="2" t="s">
        <v>43</v>
      </c>
      <c r="B63" s="2" t="s">
        <v>8</v>
      </c>
      <c r="C63" s="2" t="s">
        <v>1</v>
      </c>
      <c r="D63" s="15">
        <v>795.9</v>
      </c>
      <c r="E63" s="15">
        <v>893.6</v>
      </c>
      <c r="F63" s="15">
        <f t="shared" si="5"/>
        <v>128.89999999999998</v>
      </c>
    </row>
    <row r="64" spans="1:6" ht="23.1" customHeight="1" x14ac:dyDescent="0.3">
      <c r="A64" s="2" t="s">
        <v>43</v>
      </c>
      <c r="B64" s="2" t="s">
        <v>8</v>
      </c>
      <c r="C64" s="2" t="s">
        <v>2</v>
      </c>
      <c r="D64" s="15">
        <v>723.9</v>
      </c>
      <c r="E64" s="15">
        <v>825.3</v>
      </c>
      <c r="F64" s="15">
        <f t="shared" si="5"/>
        <v>102.89999999999998</v>
      </c>
    </row>
    <row r="65" spans="1:6" ht="23.1" customHeight="1" x14ac:dyDescent="0.3">
      <c r="A65" s="2" t="s">
        <v>43</v>
      </c>
      <c r="B65" s="2" t="s">
        <v>8</v>
      </c>
      <c r="C65" s="2" t="s">
        <v>5</v>
      </c>
      <c r="D65" s="15">
        <v>996.2</v>
      </c>
      <c r="E65" s="15">
        <v>1096.9000000000001</v>
      </c>
      <c r="F65" s="15">
        <f t="shared" si="5"/>
        <v>100.39999999999986</v>
      </c>
    </row>
    <row r="66" spans="1:6" ht="23.1" customHeight="1" x14ac:dyDescent="0.3">
      <c r="A66" s="2" t="s">
        <v>43</v>
      </c>
      <c r="B66" s="2" t="s">
        <v>8</v>
      </c>
      <c r="C66" s="2" t="s">
        <v>27</v>
      </c>
      <c r="D66" s="15">
        <v>907.8</v>
      </c>
      <c r="E66" s="15">
        <v>1002.7</v>
      </c>
      <c r="F66" s="15">
        <f t="shared" si="5"/>
        <v>91</v>
      </c>
    </row>
    <row r="67" spans="1:6" ht="23.1" customHeight="1" x14ac:dyDescent="0.3">
      <c r="A67" s="2" t="s">
        <v>43</v>
      </c>
      <c r="B67" s="2" t="s">
        <v>8</v>
      </c>
      <c r="C67" s="2" t="s">
        <v>28</v>
      </c>
      <c r="D67" s="15">
        <v>876.5</v>
      </c>
      <c r="E67" s="15">
        <v>961.1</v>
      </c>
      <c r="F67" s="15">
        <f t="shared" si="5"/>
        <v>120.39999999999998</v>
      </c>
    </row>
    <row r="68" spans="1:6" ht="23.1" customHeight="1" x14ac:dyDescent="0.3">
      <c r="A68" s="2" t="s">
        <v>43</v>
      </c>
      <c r="B68" s="2" t="s">
        <v>11</v>
      </c>
      <c r="C68" s="2" t="s">
        <v>0</v>
      </c>
      <c r="D68" s="15">
        <v>1105.5999999999999</v>
      </c>
      <c r="E68" s="15">
        <v>1194.8</v>
      </c>
      <c r="F68" s="15">
        <f t="shared" si="5"/>
        <v>83.800000000000182</v>
      </c>
    </row>
    <row r="69" spans="1:6" ht="23.1" customHeight="1" x14ac:dyDescent="0.3">
      <c r="A69" s="2" t="s">
        <v>43</v>
      </c>
      <c r="B69" s="2" t="s">
        <v>10</v>
      </c>
      <c r="C69" s="2" t="s">
        <v>1</v>
      </c>
      <c r="D69" s="15">
        <v>1046.0999999999999</v>
      </c>
      <c r="E69" s="15">
        <v>1137.4000000000001</v>
      </c>
      <c r="F69" s="15">
        <f t="shared" ref="F69:F72" si="6">E57-D69</f>
        <v>83.200000000000045</v>
      </c>
    </row>
    <row r="70" spans="1:6" ht="23.1" customHeight="1" x14ac:dyDescent="0.3">
      <c r="A70" s="2" t="s">
        <v>43</v>
      </c>
      <c r="B70" s="2" t="s">
        <v>10</v>
      </c>
      <c r="C70" s="2" t="s">
        <v>2</v>
      </c>
      <c r="D70" s="15">
        <v>1049.3</v>
      </c>
      <c r="E70" s="15">
        <v>1135.8</v>
      </c>
      <c r="F70" s="15">
        <f t="shared" si="6"/>
        <v>77</v>
      </c>
    </row>
    <row r="71" spans="1:6" ht="23.1" customHeight="1" x14ac:dyDescent="0.3">
      <c r="A71" s="2" t="s">
        <v>43</v>
      </c>
      <c r="B71" s="2" t="s">
        <v>10</v>
      </c>
      <c r="C71" s="2" t="s">
        <v>5</v>
      </c>
      <c r="D71" s="15">
        <v>1033.5999999999999</v>
      </c>
      <c r="E71" s="15">
        <v>1138.0999999999999</v>
      </c>
      <c r="F71" s="15">
        <f t="shared" si="6"/>
        <v>111.80000000000018</v>
      </c>
    </row>
    <row r="72" spans="1:6" ht="23.1" customHeight="1" x14ac:dyDescent="0.3">
      <c r="A72" s="2" t="s">
        <v>43</v>
      </c>
      <c r="B72" s="2" t="s">
        <v>10</v>
      </c>
      <c r="C72" s="2" t="s">
        <v>27</v>
      </c>
      <c r="D72" s="15">
        <v>1088.5999999999999</v>
      </c>
      <c r="E72" s="15">
        <v>1187.5</v>
      </c>
      <c r="F72" s="15">
        <f t="shared" si="6"/>
        <v>93.300000000000182</v>
      </c>
    </row>
    <row r="73" spans="1:6" ht="23.1" customHeight="1" thickBot="1" x14ac:dyDescent="0.35">
      <c r="A73" s="2" t="s">
        <v>43</v>
      </c>
      <c r="B73" s="2" t="s">
        <v>10</v>
      </c>
      <c r="C73" s="2" t="s">
        <v>28</v>
      </c>
      <c r="D73" s="15">
        <v>1074.0999999999999</v>
      </c>
      <c r="E73" s="15">
        <v>1180.7</v>
      </c>
      <c r="F73" s="15">
        <f>E61-D73</f>
        <v>109.80000000000018</v>
      </c>
    </row>
    <row r="74" spans="1:6" ht="23.1" customHeight="1" x14ac:dyDescent="0.3">
      <c r="A74" s="5" t="s">
        <v>46</v>
      </c>
      <c r="B74" s="5" t="s">
        <v>8</v>
      </c>
      <c r="C74" s="5" t="s">
        <v>0</v>
      </c>
      <c r="D74" s="14">
        <v>807.4</v>
      </c>
      <c r="E74" s="14">
        <v>923.9</v>
      </c>
      <c r="F74" s="14">
        <f>E62-D74</f>
        <v>136.60000000000002</v>
      </c>
    </row>
    <row r="75" spans="1:6" ht="23.1" customHeight="1" x14ac:dyDescent="0.3">
      <c r="A75" s="2" t="s">
        <v>45</v>
      </c>
      <c r="B75" s="2" t="s">
        <v>8</v>
      </c>
      <c r="C75" s="2" t="s">
        <v>1</v>
      </c>
      <c r="D75" s="15">
        <v>727.2</v>
      </c>
      <c r="E75" s="15">
        <v>828.9</v>
      </c>
      <c r="F75" s="15">
        <f>E63-D75</f>
        <v>166.39999999999998</v>
      </c>
    </row>
    <row r="76" spans="1:6" ht="23.1" customHeight="1" x14ac:dyDescent="0.3">
      <c r="A76" s="2" t="s">
        <v>45</v>
      </c>
      <c r="B76" s="2" t="s">
        <v>8</v>
      </c>
      <c r="C76" s="2" t="s">
        <v>2</v>
      </c>
      <c r="D76" s="15">
        <v>716.5</v>
      </c>
      <c r="E76" s="15">
        <v>825.1</v>
      </c>
      <c r="F76" s="15">
        <f>E64-D76</f>
        <v>108.79999999999995</v>
      </c>
    </row>
    <row r="77" spans="1:6" ht="23.1" customHeight="1" x14ac:dyDescent="0.3">
      <c r="A77" s="2" t="s">
        <v>45</v>
      </c>
      <c r="B77" s="2" t="s">
        <v>8</v>
      </c>
      <c r="C77" s="2" t="s">
        <v>5</v>
      </c>
      <c r="D77" s="15">
        <v>1000.8</v>
      </c>
      <c r="E77" s="15">
        <v>1105.5</v>
      </c>
      <c r="F77" s="15">
        <f t="shared" ref="F77:F78" si="7">E65-D77</f>
        <v>96.100000000000136</v>
      </c>
    </row>
    <row r="78" spans="1:6" ht="23.1" customHeight="1" x14ac:dyDescent="0.3">
      <c r="A78" s="2" t="s">
        <v>45</v>
      </c>
      <c r="B78" s="2" t="s">
        <v>8</v>
      </c>
      <c r="C78" s="2" t="s">
        <v>27</v>
      </c>
      <c r="D78" s="15">
        <v>908</v>
      </c>
      <c r="E78" s="15">
        <v>1010.8</v>
      </c>
      <c r="F78" s="15">
        <f t="shared" si="7"/>
        <v>94.700000000000045</v>
      </c>
    </row>
    <row r="79" spans="1:6" ht="23.1" customHeight="1" x14ac:dyDescent="0.3">
      <c r="A79" s="2" t="s">
        <v>45</v>
      </c>
      <c r="B79" s="2" t="s">
        <v>8</v>
      </c>
      <c r="C79" s="2" t="s">
        <v>28</v>
      </c>
      <c r="D79" s="15">
        <v>828.7</v>
      </c>
      <c r="E79" s="15">
        <v>915.5</v>
      </c>
      <c r="F79" s="15">
        <f>E67-D79</f>
        <v>132.39999999999998</v>
      </c>
    </row>
    <row r="80" spans="1:6" ht="23.1" customHeight="1" x14ac:dyDescent="0.3">
      <c r="A80" s="2" t="s">
        <v>45</v>
      </c>
      <c r="B80" s="2" t="s">
        <v>11</v>
      </c>
      <c r="C80" s="2" t="s">
        <v>0</v>
      </c>
      <c r="D80" s="15">
        <v>1107.5</v>
      </c>
      <c r="E80" s="15">
        <v>1195.4000000000001</v>
      </c>
      <c r="F80" s="15">
        <f>E68-D80</f>
        <v>87.299999999999955</v>
      </c>
    </row>
    <row r="81" spans="1:6" ht="23.1" customHeight="1" x14ac:dyDescent="0.3">
      <c r="A81" s="2" t="s">
        <v>45</v>
      </c>
      <c r="B81" s="2" t="s">
        <v>10</v>
      </c>
      <c r="C81" s="2" t="s">
        <v>1</v>
      </c>
      <c r="D81" s="15">
        <v>1055.3</v>
      </c>
      <c r="E81" s="15">
        <v>1137.4000000000001</v>
      </c>
      <c r="F81" s="15">
        <f t="shared" ref="F81:F84" si="8">E69-D81</f>
        <v>82.100000000000136</v>
      </c>
    </row>
    <row r="82" spans="1:6" ht="23.1" customHeight="1" x14ac:dyDescent="0.3">
      <c r="A82" s="2" t="s">
        <v>45</v>
      </c>
      <c r="B82" s="2" t="s">
        <v>10</v>
      </c>
      <c r="C82" s="2" t="s">
        <v>2</v>
      </c>
      <c r="D82" s="15">
        <v>1075</v>
      </c>
      <c r="E82" s="15">
        <v>1139.5</v>
      </c>
      <c r="F82" s="15">
        <f t="shared" si="8"/>
        <v>60.799999999999955</v>
      </c>
    </row>
    <row r="83" spans="1:6" ht="23.1" customHeight="1" x14ac:dyDescent="0.3">
      <c r="A83" s="2" t="s">
        <v>45</v>
      </c>
      <c r="B83" s="2" t="s">
        <v>10</v>
      </c>
      <c r="C83" s="2" t="s">
        <v>5</v>
      </c>
      <c r="D83" s="15">
        <v>1018.8</v>
      </c>
      <c r="E83" s="15">
        <v>1113.5999999999999</v>
      </c>
      <c r="F83" s="15">
        <f t="shared" si="8"/>
        <v>119.29999999999995</v>
      </c>
    </row>
    <row r="84" spans="1:6" ht="23.1" customHeight="1" x14ac:dyDescent="0.3">
      <c r="A84" s="2" t="s">
        <v>45</v>
      </c>
      <c r="B84" s="2" t="s">
        <v>10</v>
      </c>
      <c r="C84" s="2" t="s">
        <v>27</v>
      </c>
      <c r="D84" s="15">
        <v>1095.3</v>
      </c>
      <c r="E84" s="15">
        <v>1184.9000000000001</v>
      </c>
      <c r="F84" s="15">
        <f t="shared" si="8"/>
        <v>92.200000000000045</v>
      </c>
    </row>
    <row r="85" spans="1:6" ht="23.1" customHeight="1" thickBot="1" x14ac:dyDescent="0.35">
      <c r="A85" s="2" t="s">
        <v>45</v>
      </c>
      <c r="B85" s="2" t="s">
        <v>10</v>
      </c>
      <c r="C85" s="2" t="s">
        <v>28</v>
      </c>
      <c r="D85" s="15">
        <v>1086.4000000000001</v>
      </c>
      <c r="E85" s="15">
        <v>1180.2</v>
      </c>
      <c r="F85" s="15">
        <f>E73-D85</f>
        <v>94.299999999999955</v>
      </c>
    </row>
    <row r="86" spans="1:6" ht="23.1" customHeight="1" x14ac:dyDescent="0.3">
      <c r="A86" s="5" t="s">
        <v>49</v>
      </c>
      <c r="B86" s="5" t="s">
        <v>8</v>
      </c>
      <c r="C86" s="5" t="s">
        <v>0</v>
      </c>
      <c r="D86" s="14">
        <v>900</v>
      </c>
      <c r="E86" s="14">
        <v>927.9</v>
      </c>
      <c r="F86" s="14">
        <f>E74-D86</f>
        <v>23.899999999999977</v>
      </c>
    </row>
    <row r="87" spans="1:6" ht="23.1" customHeight="1" x14ac:dyDescent="0.3">
      <c r="A87" s="2" t="s">
        <v>48</v>
      </c>
      <c r="B87" s="2" t="s">
        <v>8</v>
      </c>
      <c r="C87" s="2" t="s">
        <v>1</v>
      </c>
      <c r="D87" s="15">
        <v>800</v>
      </c>
      <c r="E87" s="15">
        <v>825.4</v>
      </c>
      <c r="F87" s="15">
        <f>E75-D87</f>
        <v>28.899999999999977</v>
      </c>
    </row>
    <row r="88" spans="1:6" ht="23.1" customHeight="1" x14ac:dyDescent="0.3">
      <c r="A88" s="2" t="s">
        <v>48</v>
      </c>
      <c r="B88" s="2" t="s">
        <v>8</v>
      </c>
      <c r="C88" s="2" t="s">
        <v>2</v>
      </c>
      <c r="D88" s="15">
        <v>803</v>
      </c>
      <c r="E88" s="15">
        <v>829.2</v>
      </c>
      <c r="F88" s="15">
        <f>E76-D88</f>
        <v>22.100000000000023</v>
      </c>
    </row>
    <row r="89" spans="1:6" ht="23.1" customHeight="1" x14ac:dyDescent="0.3">
      <c r="A89" s="2" t="s">
        <v>48</v>
      </c>
      <c r="B89" s="2" t="s">
        <v>8</v>
      </c>
      <c r="C89" s="2" t="s">
        <v>5</v>
      </c>
      <c r="D89" s="15">
        <v>1082</v>
      </c>
      <c r="E89" s="15">
        <v>1108.9000000000001</v>
      </c>
      <c r="F89" s="15">
        <f t="shared" ref="F89:F90" si="9">E77-D89</f>
        <v>23.5</v>
      </c>
    </row>
    <row r="90" spans="1:6" ht="23.1" customHeight="1" x14ac:dyDescent="0.3">
      <c r="A90" s="2" t="s">
        <v>48</v>
      </c>
      <c r="B90" s="2" t="s">
        <v>8</v>
      </c>
      <c r="C90" s="2" t="s">
        <v>27</v>
      </c>
      <c r="D90" s="15">
        <v>987.5</v>
      </c>
      <c r="E90" s="15">
        <v>1010.4</v>
      </c>
      <c r="F90" s="15">
        <f t="shared" si="9"/>
        <v>23.299999999999955</v>
      </c>
    </row>
    <row r="91" spans="1:6" ht="23.1" customHeight="1" x14ac:dyDescent="0.3">
      <c r="A91" s="2" t="s">
        <v>48</v>
      </c>
      <c r="B91" s="2" t="s">
        <v>8</v>
      </c>
      <c r="C91" s="2" t="s">
        <v>28</v>
      </c>
      <c r="D91" s="15">
        <v>888.1</v>
      </c>
      <c r="E91" s="15">
        <v>909</v>
      </c>
      <c r="F91" s="15">
        <f>E79-D91</f>
        <v>27.399999999999977</v>
      </c>
    </row>
    <row r="92" spans="1:6" ht="23.1" customHeight="1" x14ac:dyDescent="0.3">
      <c r="A92" s="2" t="s">
        <v>48</v>
      </c>
      <c r="B92" s="2" t="s">
        <v>11</v>
      </c>
      <c r="C92" s="2" t="s">
        <v>0</v>
      </c>
      <c r="D92" s="15">
        <v>1173</v>
      </c>
      <c r="E92" s="15">
        <v>1199</v>
      </c>
      <c r="F92" s="15">
        <f>E80-D92</f>
        <v>22.400000000000091</v>
      </c>
    </row>
    <row r="93" spans="1:6" ht="23.1" customHeight="1" x14ac:dyDescent="0.3">
      <c r="A93" s="2" t="s">
        <v>48</v>
      </c>
      <c r="B93" s="2" t="s">
        <v>10</v>
      </c>
      <c r="C93" s="2" t="s">
        <v>1</v>
      </c>
      <c r="D93" s="15">
        <v>1117.9000000000001</v>
      </c>
      <c r="E93" s="15">
        <v>1144.3</v>
      </c>
      <c r="F93" s="15">
        <f t="shared" ref="F93:F96" si="10">E81-D93</f>
        <v>19.5</v>
      </c>
    </row>
    <row r="94" spans="1:6" ht="23.1" customHeight="1" x14ac:dyDescent="0.3">
      <c r="A94" s="2" t="s">
        <v>48</v>
      </c>
      <c r="B94" s="2" t="s">
        <v>10</v>
      </c>
      <c r="C94" s="2" t="s">
        <v>2</v>
      </c>
      <c r="D94" s="15">
        <v>1123.3</v>
      </c>
      <c r="E94" s="15">
        <v>1151.5999999999999</v>
      </c>
      <c r="F94" s="15">
        <f t="shared" si="10"/>
        <v>16.200000000000045</v>
      </c>
    </row>
    <row r="95" spans="1:6" ht="23.1" customHeight="1" x14ac:dyDescent="0.3">
      <c r="A95" s="2" t="s">
        <v>48</v>
      </c>
      <c r="B95" s="2" t="s">
        <v>10</v>
      </c>
      <c r="C95" s="2" t="s">
        <v>5</v>
      </c>
      <c r="D95" s="15">
        <v>1090</v>
      </c>
      <c r="E95" s="15">
        <v>1118.8</v>
      </c>
      <c r="F95" s="15">
        <f t="shared" si="10"/>
        <v>23.599999999999909</v>
      </c>
    </row>
    <row r="96" spans="1:6" ht="23.1" customHeight="1" x14ac:dyDescent="0.3">
      <c r="A96" s="2" t="s">
        <v>48</v>
      </c>
      <c r="B96" s="2" t="s">
        <v>10</v>
      </c>
      <c r="C96" s="2" t="s">
        <v>27</v>
      </c>
      <c r="D96" s="15">
        <v>1158.9000000000001</v>
      </c>
      <c r="E96" s="15">
        <v>1184.0999999999999</v>
      </c>
      <c r="F96" s="15">
        <f t="shared" si="10"/>
        <v>26</v>
      </c>
    </row>
    <row r="97" spans="1:6" ht="23.1" customHeight="1" thickBot="1" x14ac:dyDescent="0.35">
      <c r="A97" s="2" t="s">
        <v>48</v>
      </c>
      <c r="B97" s="2" t="s">
        <v>10</v>
      </c>
      <c r="C97" s="2" t="s">
        <v>28</v>
      </c>
      <c r="D97" s="15">
        <v>1153.2</v>
      </c>
      <c r="E97" s="15">
        <v>1179.2</v>
      </c>
      <c r="F97" s="15">
        <f>E85-D97</f>
        <v>27</v>
      </c>
    </row>
    <row r="98" spans="1:6" ht="23.1" customHeight="1" x14ac:dyDescent="0.3">
      <c r="A98" s="5" t="s">
        <v>51</v>
      </c>
      <c r="B98" s="5" t="s">
        <v>8</v>
      </c>
      <c r="C98" s="5" t="s">
        <v>0</v>
      </c>
      <c r="D98" s="14">
        <v>873.4</v>
      </c>
      <c r="E98" s="14">
        <v>936.5</v>
      </c>
      <c r="F98" s="14">
        <f>E86-D98</f>
        <v>54.5</v>
      </c>
    </row>
    <row r="99" spans="1:6" ht="23.1" customHeight="1" x14ac:dyDescent="0.3">
      <c r="A99" s="2" t="s">
        <v>50</v>
      </c>
      <c r="B99" s="2" t="s">
        <v>8</v>
      </c>
      <c r="C99" s="2" t="s">
        <v>1</v>
      </c>
      <c r="D99" s="15">
        <v>750.3</v>
      </c>
      <c r="E99" s="15">
        <v>807.8</v>
      </c>
      <c r="F99" s="15">
        <f>E87-D99</f>
        <v>75.100000000000023</v>
      </c>
    </row>
    <row r="100" spans="1:6" ht="23.1" customHeight="1" x14ac:dyDescent="0.3">
      <c r="A100" s="2" t="s">
        <v>50</v>
      </c>
      <c r="B100" s="2" t="s">
        <v>8</v>
      </c>
      <c r="C100" s="2" t="s">
        <v>2</v>
      </c>
      <c r="D100" s="15">
        <v>767.3</v>
      </c>
      <c r="E100" s="15">
        <v>826.7</v>
      </c>
      <c r="F100" s="15">
        <f>E88-D100</f>
        <v>61.900000000000091</v>
      </c>
    </row>
    <row r="101" spans="1:6" ht="23.1" customHeight="1" x14ac:dyDescent="0.3">
      <c r="A101" s="2" t="s">
        <v>50</v>
      </c>
      <c r="B101" s="2" t="s">
        <v>8</v>
      </c>
      <c r="C101" s="2" t="s">
        <v>5</v>
      </c>
      <c r="D101" s="15">
        <v>1053.3</v>
      </c>
      <c r="E101" s="15">
        <v>1115.9000000000001</v>
      </c>
      <c r="F101" s="15">
        <f t="shared" ref="F101:F102" si="11">E89-D101</f>
        <v>55.600000000000136</v>
      </c>
    </row>
    <row r="102" spans="1:6" ht="23.1" customHeight="1" x14ac:dyDescent="0.3">
      <c r="A102" s="2" t="s">
        <v>50</v>
      </c>
      <c r="B102" s="2" t="s">
        <v>8</v>
      </c>
      <c r="C102" s="2" t="s">
        <v>27</v>
      </c>
      <c r="D102" s="15">
        <v>954.7</v>
      </c>
      <c r="E102" s="15">
        <v>1015</v>
      </c>
      <c r="F102" s="15">
        <f t="shared" si="11"/>
        <v>55.699999999999932</v>
      </c>
    </row>
    <row r="103" spans="1:6" ht="23.1" customHeight="1" x14ac:dyDescent="0.3">
      <c r="A103" s="2" t="s">
        <v>50</v>
      </c>
      <c r="B103" s="2" t="s">
        <v>8</v>
      </c>
      <c r="C103" s="2" t="s">
        <v>28</v>
      </c>
      <c r="D103" s="15">
        <v>892</v>
      </c>
      <c r="E103" s="15">
        <v>943.3</v>
      </c>
      <c r="F103" s="15">
        <f>E91-D103</f>
        <v>17</v>
      </c>
    </row>
    <row r="104" spans="1:6" ht="23.1" customHeight="1" x14ac:dyDescent="0.3">
      <c r="A104" s="2" t="s">
        <v>50</v>
      </c>
      <c r="B104" s="2" t="s">
        <v>11</v>
      </c>
      <c r="C104" s="2" t="s">
        <v>0</v>
      </c>
      <c r="D104" s="15">
        <v>1145.3</v>
      </c>
      <c r="E104" s="15">
        <v>1202.5</v>
      </c>
      <c r="F104" s="15">
        <f>E92-D104</f>
        <v>53.700000000000045</v>
      </c>
    </row>
    <row r="105" spans="1:6" ht="23.1" customHeight="1" x14ac:dyDescent="0.3">
      <c r="A105" s="2" t="s">
        <v>50</v>
      </c>
      <c r="B105" s="2" t="s">
        <v>10</v>
      </c>
      <c r="C105" s="2" t="s">
        <v>1</v>
      </c>
      <c r="D105" s="15">
        <v>1098.2</v>
      </c>
      <c r="E105" s="15">
        <v>1151.5999999999999</v>
      </c>
      <c r="F105" s="15">
        <f t="shared" ref="F105:F108" si="12">E93-D105</f>
        <v>46.099999999999909</v>
      </c>
    </row>
    <row r="106" spans="1:6" ht="23.1" customHeight="1" x14ac:dyDescent="0.3">
      <c r="A106" s="2" t="s">
        <v>50</v>
      </c>
      <c r="B106" s="2" t="s">
        <v>10</v>
      </c>
      <c r="C106" s="2" t="s">
        <v>2</v>
      </c>
      <c r="D106" s="15">
        <v>1110.5</v>
      </c>
      <c r="E106" s="15">
        <v>1157.0999999999999</v>
      </c>
      <c r="F106" s="15">
        <f t="shared" si="12"/>
        <v>41.099999999999909</v>
      </c>
    </row>
    <row r="107" spans="1:6" ht="23.1" customHeight="1" x14ac:dyDescent="0.3">
      <c r="A107" s="2" t="s">
        <v>50</v>
      </c>
      <c r="B107" s="2" t="s">
        <v>10</v>
      </c>
      <c r="C107" s="2" t="s">
        <v>5</v>
      </c>
      <c r="D107" s="15">
        <v>1054.5</v>
      </c>
      <c r="E107" s="15">
        <v>1118.8</v>
      </c>
      <c r="F107" s="15">
        <f t="shared" si="12"/>
        <v>64.299999999999955</v>
      </c>
    </row>
    <row r="108" spans="1:6" ht="23.1" customHeight="1" x14ac:dyDescent="0.3">
      <c r="A108" s="2" t="s">
        <v>50</v>
      </c>
      <c r="B108" s="2" t="s">
        <v>10</v>
      </c>
      <c r="C108" s="2" t="s">
        <v>27</v>
      </c>
      <c r="D108" s="15">
        <v>1169.2</v>
      </c>
      <c r="E108" s="15">
        <v>1218.2</v>
      </c>
      <c r="F108" s="15">
        <f t="shared" si="12"/>
        <v>14.899999999999864</v>
      </c>
    </row>
    <row r="109" spans="1:6" ht="23.1" customHeight="1" thickBot="1" x14ac:dyDescent="0.35">
      <c r="A109" s="2" t="s">
        <v>50</v>
      </c>
      <c r="B109" s="2" t="s">
        <v>10</v>
      </c>
      <c r="C109" s="2" t="s">
        <v>28</v>
      </c>
      <c r="D109" s="15">
        <v>1118.2</v>
      </c>
      <c r="E109" s="15">
        <v>1178</v>
      </c>
      <c r="F109" s="15">
        <f>E97-D109</f>
        <v>61</v>
      </c>
    </row>
    <row r="110" spans="1:6" ht="23.1" customHeight="1" x14ac:dyDescent="0.3">
      <c r="A110" s="5" t="s">
        <v>54</v>
      </c>
      <c r="B110" s="5" t="s">
        <v>8</v>
      </c>
      <c r="C110" s="5" t="s">
        <v>0</v>
      </c>
      <c r="D110" s="14">
        <v>920.3</v>
      </c>
      <c r="E110" s="14">
        <v>944</v>
      </c>
      <c r="F110" s="14">
        <f>E98-D110</f>
        <v>16.200000000000045</v>
      </c>
    </row>
    <row r="111" spans="1:6" ht="23.1" customHeight="1" x14ac:dyDescent="0.3">
      <c r="A111" s="2" t="s">
        <v>53</v>
      </c>
      <c r="B111" s="2" t="s">
        <v>8</v>
      </c>
      <c r="C111" s="2" t="s">
        <v>1</v>
      </c>
      <c r="D111" s="15">
        <v>786.8</v>
      </c>
      <c r="E111" s="15">
        <v>809.1</v>
      </c>
      <c r="F111" s="15">
        <f>E99-D111</f>
        <v>21</v>
      </c>
    </row>
    <row r="112" spans="1:6" ht="23.1" customHeight="1" x14ac:dyDescent="0.3">
      <c r="A112" s="2" t="s">
        <v>53</v>
      </c>
      <c r="B112" s="2" t="s">
        <v>8</v>
      </c>
      <c r="C112" s="2" t="s">
        <v>2</v>
      </c>
      <c r="D112" s="15">
        <v>808.9</v>
      </c>
      <c r="E112" s="15">
        <v>831.5</v>
      </c>
      <c r="F112" s="15">
        <f>E100-D112</f>
        <v>17.800000000000068</v>
      </c>
    </row>
    <row r="113" spans="1:6" ht="23.1" customHeight="1" x14ac:dyDescent="0.3">
      <c r="A113" s="2" t="s">
        <v>53</v>
      </c>
      <c r="B113" s="2" t="s">
        <v>8</v>
      </c>
      <c r="C113" s="2" t="s">
        <v>5</v>
      </c>
      <c r="D113" s="15">
        <v>1098.5</v>
      </c>
      <c r="E113" s="15">
        <v>1121.7</v>
      </c>
      <c r="F113" s="15">
        <f t="shared" ref="F113:F114" si="13">E101-D113</f>
        <v>17.400000000000091</v>
      </c>
    </row>
    <row r="114" spans="1:6" ht="23.1" customHeight="1" x14ac:dyDescent="0.3">
      <c r="A114" s="2" t="s">
        <v>53</v>
      </c>
      <c r="B114" s="2" t="s">
        <v>8</v>
      </c>
      <c r="C114" s="2" t="s">
        <v>27</v>
      </c>
      <c r="D114" s="15">
        <v>997.1</v>
      </c>
      <c r="E114" s="15">
        <v>1016.6</v>
      </c>
      <c r="F114" s="15">
        <f t="shared" si="13"/>
        <v>17.899999999999977</v>
      </c>
    </row>
    <row r="115" spans="1:6" ht="23.1" customHeight="1" x14ac:dyDescent="0.3">
      <c r="A115" s="2" t="s">
        <v>53</v>
      </c>
      <c r="B115" s="2" t="s">
        <v>8</v>
      </c>
      <c r="C115" s="2" t="s">
        <v>28</v>
      </c>
      <c r="D115" s="15">
        <v>924.1</v>
      </c>
      <c r="E115" s="15">
        <v>941</v>
      </c>
      <c r="F115" s="15">
        <f>E103-D115</f>
        <v>19.199999999999932</v>
      </c>
    </row>
    <row r="116" spans="1:6" ht="23.1" customHeight="1" x14ac:dyDescent="0.3">
      <c r="A116" s="2" t="s">
        <v>53</v>
      </c>
      <c r="B116" s="2" t="s">
        <v>11</v>
      </c>
      <c r="C116" s="2" t="s">
        <v>0</v>
      </c>
      <c r="D116" s="15">
        <v>1185.0999999999999</v>
      </c>
      <c r="E116" s="15">
        <v>1206.9000000000001</v>
      </c>
      <c r="F116" s="15">
        <f>E104-D116</f>
        <v>17.400000000000091</v>
      </c>
    </row>
    <row r="117" spans="1:6" ht="23.1" customHeight="1" x14ac:dyDescent="0.3">
      <c r="A117" s="2" t="s">
        <v>53</v>
      </c>
      <c r="B117" s="2" t="s">
        <v>10</v>
      </c>
      <c r="C117" s="2" t="s">
        <v>1</v>
      </c>
      <c r="D117" s="15">
        <v>1138.9000000000001</v>
      </c>
      <c r="E117" s="15">
        <v>1161.5</v>
      </c>
      <c r="F117" s="15">
        <f t="shared" ref="F117:F120" si="14">E105-D117</f>
        <v>12.699999999999818</v>
      </c>
    </row>
    <row r="118" spans="1:6" ht="23.1" customHeight="1" x14ac:dyDescent="0.3">
      <c r="A118" s="2" t="s">
        <v>53</v>
      </c>
      <c r="B118" s="2" t="s">
        <v>10</v>
      </c>
      <c r="C118" s="2" t="s">
        <v>2</v>
      </c>
      <c r="D118" s="15">
        <v>1142.7</v>
      </c>
      <c r="E118" s="15">
        <v>1167.3</v>
      </c>
      <c r="F118" s="15">
        <f t="shared" si="14"/>
        <v>14.399999999999864</v>
      </c>
    </row>
    <row r="119" spans="1:6" ht="23.1" customHeight="1" x14ac:dyDescent="0.3">
      <c r="A119" s="2" t="s">
        <v>53</v>
      </c>
      <c r="B119" s="2" t="s">
        <v>10</v>
      </c>
      <c r="C119" s="2" t="s">
        <v>5</v>
      </c>
      <c r="D119" s="15">
        <v>1100</v>
      </c>
      <c r="E119" s="15">
        <v>1124.5999999999999</v>
      </c>
      <c r="F119" s="15">
        <f t="shared" si="14"/>
        <v>18.799999999999955</v>
      </c>
    </row>
    <row r="120" spans="1:6" ht="23.1" customHeight="1" x14ac:dyDescent="0.3">
      <c r="A120" s="2" t="s">
        <v>53</v>
      </c>
      <c r="B120" s="2" t="s">
        <v>10</v>
      </c>
      <c r="C120" s="2" t="s">
        <v>27</v>
      </c>
      <c r="D120" s="15">
        <v>1198.9000000000001</v>
      </c>
      <c r="E120" s="15">
        <v>1219.8</v>
      </c>
      <c r="F120" s="15">
        <f t="shared" si="14"/>
        <v>19.299999999999955</v>
      </c>
    </row>
    <row r="121" spans="1:6" ht="23.1" customHeight="1" thickBot="1" x14ac:dyDescent="0.35">
      <c r="A121" s="2" t="s">
        <v>53</v>
      </c>
      <c r="B121" s="2" t="s">
        <v>10</v>
      </c>
      <c r="C121" s="2" t="s">
        <v>28</v>
      </c>
      <c r="D121" s="15">
        <v>1160.2</v>
      </c>
      <c r="E121" s="15">
        <v>1182.3</v>
      </c>
      <c r="F121" s="15">
        <f>E109-D121</f>
        <v>17.799999999999955</v>
      </c>
    </row>
    <row r="122" spans="1:6" ht="23.1" customHeight="1" x14ac:dyDescent="0.3">
      <c r="A122" s="5" t="s">
        <v>56</v>
      </c>
      <c r="B122" s="5" t="s">
        <v>8</v>
      </c>
      <c r="C122" s="5" t="s">
        <v>0</v>
      </c>
      <c r="D122" s="14">
        <v>862.4</v>
      </c>
      <c r="E122" s="14">
        <v>961.5</v>
      </c>
      <c r="F122" s="14">
        <f>E110-D122</f>
        <v>81.600000000000023</v>
      </c>
    </row>
    <row r="123" spans="1:6" ht="23.1" customHeight="1" x14ac:dyDescent="0.3">
      <c r="A123" s="2" t="s">
        <v>55</v>
      </c>
      <c r="B123" s="2" t="s">
        <v>8</v>
      </c>
      <c r="C123" s="2" t="s">
        <v>1</v>
      </c>
      <c r="D123" s="15">
        <v>690.7</v>
      </c>
      <c r="E123" s="15">
        <v>778.8</v>
      </c>
      <c r="F123" s="15">
        <f>E111-D123</f>
        <v>118.39999999999998</v>
      </c>
    </row>
    <row r="124" spans="1:6" ht="23.1" customHeight="1" x14ac:dyDescent="0.3">
      <c r="A124" s="2" t="s">
        <v>55</v>
      </c>
      <c r="B124" s="2" t="s">
        <v>8</v>
      </c>
      <c r="C124" s="2" t="s">
        <v>2</v>
      </c>
      <c r="D124" s="15">
        <v>736.3</v>
      </c>
      <c r="E124" s="15">
        <v>829.1</v>
      </c>
      <c r="F124" s="15">
        <f>E112-D124</f>
        <v>95.200000000000045</v>
      </c>
    </row>
    <row r="125" spans="1:6" ht="23.1" customHeight="1" x14ac:dyDescent="0.3">
      <c r="A125" s="2" t="s">
        <v>55</v>
      </c>
      <c r="B125" s="2" t="s">
        <v>8</v>
      </c>
      <c r="C125" s="2" t="s">
        <v>5</v>
      </c>
      <c r="D125" s="15">
        <v>1040.9000000000001</v>
      </c>
      <c r="E125" s="15">
        <v>1123.2</v>
      </c>
      <c r="F125" s="15">
        <f t="shared" ref="F125:F126" si="15">E113-D125</f>
        <v>80.799999999999955</v>
      </c>
    </row>
    <row r="126" spans="1:6" ht="23.1" customHeight="1" x14ac:dyDescent="0.3">
      <c r="A126" s="2" t="s">
        <v>55</v>
      </c>
      <c r="B126" s="2" t="s">
        <v>8</v>
      </c>
      <c r="C126" s="2" t="s">
        <v>27</v>
      </c>
      <c r="D126" s="15">
        <v>921.1</v>
      </c>
      <c r="E126" s="15">
        <v>1010.9</v>
      </c>
      <c r="F126" s="15">
        <f t="shared" si="15"/>
        <v>95.5</v>
      </c>
    </row>
    <row r="127" spans="1:6" ht="23.1" customHeight="1" x14ac:dyDescent="0.3">
      <c r="A127" s="2" t="s">
        <v>55</v>
      </c>
      <c r="B127" s="2" t="s">
        <v>8</v>
      </c>
      <c r="C127" s="2" t="s">
        <v>28</v>
      </c>
      <c r="D127" s="15">
        <v>821.6</v>
      </c>
      <c r="E127" s="15">
        <v>901.9</v>
      </c>
      <c r="F127" s="15">
        <f>E115-D127</f>
        <v>119.39999999999998</v>
      </c>
    </row>
    <row r="128" spans="1:6" ht="23.1" customHeight="1" x14ac:dyDescent="0.3">
      <c r="A128" s="2" t="s">
        <v>55</v>
      </c>
      <c r="B128" s="2" t="s">
        <v>11</v>
      </c>
      <c r="C128" s="2" t="s">
        <v>0</v>
      </c>
      <c r="D128" s="15">
        <v>1113.9000000000001</v>
      </c>
      <c r="E128" s="15">
        <v>1203.0999999999999</v>
      </c>
      <c r="F128" s="15">
        <f>E116-D128</f>
        <v>93</v>
      </c>
    </row>
    <row r="129" spans="1:6" ht="23.1" customHeight="1" x14ac:dyDescent="0.3">
      <c r="A129" s="2" t="s">
        <v>55</v>
      </c>
      <c r="B129" s="2" t="s">
        <v>10</v>
      </c>
      <c r="C129" s="2" t="s">
        <v>1</v>
      </c>
      <c r="D129" s="15">
        <v>1090</v>
      </c>
      <c r="E129" s="15">
        <v>1163</v>
      </c>
      <c r="F129" s="15">
        <f t="shared" ref="F129:F132" si="16">E117-D129</f>
        <v>71.5</v>
      </c>
    </row>
    <row r="130" spans="1:6" ht="23.1" customHeight="1" x14ac:dyDescent="0.3">
      <c r="A130" s="2" t="s">
        <v>55</v>
      </c>
      <c r="B130" s="2" t="s">
        <v>10</v>
      </c>
      <c r="C130" s="2" t="s">
        <v>2</v>
      </c>
      <c r="D130" s="15">
        <v>1100</v>
      </c>
      <c r="E130" s="15">
        <v>1161.2</v>
      </c>
      <c r="F130" s="15">
        <f t="shared" si="16"/>
        <v>67.299999999999955</v>
      </c>
    </row>
    <row r="131" spans="1:6" ht="23.1" customHeight="1" x14ac:dyDescent="0.3">
      <c r="A131" s="2" t="s">
        <v>55</v>
      </c>
      <c r="B131" s="2" t="s">
        <v>10</v>
      </c>
      <c r="C131" s="2" t="s">
        <v>5</v>
      </c>
      <c r="D131" s="15">
        <v>1018.6</v>
      </c>
      <c r="E131" s="15">
        <v>1112.4000000000001</v>
      </c>
      <c r="F131" s="15">
        <f t="shared" si="16"/>
        <v>105.99999999999989</v>
      </c>
    </row>
    <row r="132" spans="1:6" ht="23.1" customHeight="1" x14ac:dyDescent="0.3">
      <c r="A132" s="2" t="s">
        <v>55</v>
      </c>
      <c r="B132" s="2" t="s">
        <v>10</v>
      </c>
      <c r="C132" s="2" t="s">
        <v>27</v>
      </c>
      <c r="D132" s="15">
        <v>1100.5999999999999</v>
      </c>
      <c r="E132" s="15">
        <v>1202.5</v>
      </c>
      <c r="F132" s="15">
        <f t="shared" si="16"/>
        <v>119.20000000000005</v>
      </c>
    </row>
    <row r="133" spans="1:6" ht="23.1" customHeight="1" thickBot="1" x14ac:dyDescent="0.35">
      <c r="A133" s="2" t="s">
        <v>55</v>
      </c>
      <c r="B133" s="2" t="s">
        <v>10</v>
      </c>
      <c r="C133" s="2" t="s">
        <v>28</v>
      </c>
      <c r="D133" s="15">
        <v>1084</v>
      </c>
      <c r="E133" s="15">
        <v>1179.0999999999999</v>
      </c>
      <c r="F133" s="15">
        <f>E121-D133</f>
        <v>98.299999999999955</v>
      </c>
    </row>
    <row r="134" spans="1:6" ht="23.1" customHeight="1" x14ac:dyDescent="0.3">
      <c r="A134" s="5" t="s">
        <v>59</v>
      </c>
      <c r="B134" s="5" t="s">
        <v>8</v>
      </c>
      <c r="C134" s="5" t="s">
        <v>0</v>
      </c>
      <c r="D134" s="14">
        <v>868.8</v>
      </c>
      <c r="E134" s="37"/>
      <c r="F134" s="14">
        <f>E122-D134</f>
        <v>92.700000000000045</v>
      </c>
    </row>
    <row r="135" spans="1:6" ht="23.1" customHeight="1" x14ac:dyDescent="0.3">
      <c r="A135" s="2" t="s">
        <v>58</v>
      </c>
      <c r="B135" s="2" t="s">
        <v>8</v>
      </c>
      <c r="C135" s="2" t="s">
        <v>1</v>
      </c>
      <c r="D135" s="15">
        <v>648.1</v>
      </c>
      <c r="E135" s="38"/>
      <c r="F135" s="15">
        <f>E123-D135</f>
        <v>130.69999999999993</v>
      </c>
    </row>
    <row r="136" spans="1:6" ht="23.1" customHeight="1" x14ac:dyDescent="0.3">
      <c r="A136" s="2" t="s">
        <v>58</v>
      </c>
      <c r="B136" s="2" t="s">
        <v>8</v>
      </c>
      <c r="C136" s="2" t="s">
        <v>2</v>
      </c>
      <c r="D136" s="15">
        <v>721</v>
      </c>
      <c r="E136" s="38"/>
      <c r="F136" s="15">
        <f>E124-D136</f>
        <v>108.10000000000002</v>
      </c>
    </row>
    <row r="137" spans="1:6" ht="23.1" customHeight="1" x14ac:dyDescent="0.3">
      <c r="A137" s="2" t="s">
        <v>58</v>
      </c>
      <c r="B137" s="2" t="s">
        <v>8</v>
      </c>
      <c r="C137" s="2" t="s">
        <v>5</v>
      </c>
      <c r="D137" s="15">
        <v>1035</v>
      </c>
      <c r="E137" s="38"/>
      <c r="F137" s="15">
        <f t="shared" ref="F137:F138" si="17">E125-D137</f>
        <v>88.200000000000045</v>
      </c>
    </row>
    <row r="138" spans="1:6" ht="23.1" customHeight="1" x14ac:dyDescent="0.3">
      <c r="A138" s="2" t="s">
        <v>58</v>
      </c>
      <c r="B138" s="2" t="s">
        <v>8</v>
      </c>
      <c r="C138" s="2" t="s">
        <v>27</v>
      </c>
      <c r="D138" s="15">
        <v>910</v>
      </c>
      <c r="E138" s="38"/>
      <c r="F138" s="15">
        <f t="shared" si="17"/>
        <v>100.89999999999998</v>
      </c>
    </row>
    <row r="139" spans="1:6" ht="23.1" customHeight="1" x14ac:dyDescent="0.3">
      <c r="A139" s="2" t="s">
        <v>58</v>
      </c>
      <c r="B139" s="2" t="s">
        <v>8</v>
      </c>
      <c r="C139" s="2" t="s">
        <v>28</v>
      </c>
      <c r="D139" s="15">
        <v>773.2</v>
      </c>
      <c r="E139" s="38"/>
      <c r="F139" s="15">
        <f>E127-D139</f>
        <v>128.69999999999993</v>
      </c>
    </row>
    <row r="140" spans="1:6" ht="23.1" customHeight="1" x14ac:dyDescent="0.3">
      <c r="A140" s="2" t="s">
        <v>58</v>
      </c>
      <c r="B140" s="2" t="s">
        <v>11</v>
      </c>
      <c r="C140" s="2" t="s">
        <v>0</v>
      </c>
      <c r="D140" s="15">
        <v>1097.7</v>
      </c>
      <c r="E140" s="38"/>
      <c r="F140" s="15">
        <f>E128-D140</f>
        <v>105.39999999999986</v>
      </c>
    </row>
    <row r="141" spans="1:6" ht="23.1" customHeight="1" x14ac:dyDescent="0.3">
      <c r="A141" s="2" t="s">
        <v>58</v>
      </c>
      <c r="B141" s="2" t="s">
        <v>10</v>
      </c>
      <c r="C141" s="2" t="s">
        <v>1</v>
      </c>
      <c r="D141" s="15">
        <v>1080.2</v>
      </c>
      <c r="E141" s="38"/>
      <c r="F141" s="15">
        <f t="shared" ref="F141:F144" si="18">E129-D141</f>
        <v>82.799999999999955</v>
      </c>
    </row>
    <row r="142" spans="1:6" ht="23.1" customHeight="1" x14ac:dyDescent="0.3">
      <c r="A142" s="2" t="s">
        <v>58</v>
      </c>
      <c r="B142" s="2" t="s">
        <v>10</v>
      </c>
      <c r="C142" s="2" t="s">
        <v>2</v>
      </c>
      <c r="D142" s="15">
        <v>1085.2</v>
      </c>
      <c r="E142" s="38"/>
      <c r="F142" s="15">
        <f t="shared" si="18"/>
        <v>76</v>
      </c>
    </row>
    <row r="143" spans="1:6" ht="23.1" customHeight="1" x14ac:dyDescent="0.3">
      <c r="A143" s="2" t="s">
        <v>58</v>
      </c>
      <c r="B143" s="2" t="s">
        <v>10</v>
      </c>
      <c r="C143" s="2" t="s">
        <v>5</v>
      </c>
      <c r="D143" s="15">
        <v>1000.7</v>
      </c>
      <c r="E143" s="38"/>
      <c r="F143" s="15">
        <f t="shared" si="18"/>
        <v>111.70000000000005</v>
      </c>
    </row>
    <row r="144" spans="1:6" ht="23.1" customHeight="1" x14ac:dyDescent="0.3">
      <c r="A144" s="2" t="s">
        <v>58</v>
      </c>
      <c r="B144" s="2" t="s">
        <v>10</v>
      </c>
      <c r="C144" s="2" t="s">
        <v>27</v>
      </c>
      <c r="D144" s="15">
        <v>1092.7</v>
      </c>
      <c r="E144" s="38"/>
      <c r="F144" s="15">
        <f t="shared" si="18"/>
        <v>109.79999999999995</v>
      </c>
    </row>
    <row r="145" spans="1:6" ht="23.1" customHeight="1" x14ac:dyDescent="0.3">
      <c r="A145" s="2" t="s">
        <v>58</v>
      </c>
      <c r="B145" s="2" t="s">
        <v>10</v>
      </c>
      <c r="C145" s="2" t="s">
        <v>28</v>
      </c>
      <c r="D145" s="15">
        <v>1077.7</v>
      </c>
      <c r="E145" s="38"/>
      <c r="F145" s="15">
        <f>E133-D145</f>
        <v>101.39999999999986</v>
      </c>
    </row>
  </sheetData>
  <phoneticPr fontId="1" type="noConversion"/>
  <pageMargins left="0.7" right="0.7" top="0.75" bottom="0.75" header="0.3" footer="0.3"/>
  <pageSetup paperSize="9"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9ADD-94F3-4E8A-9F00-E2F99AC0A916}">
  <dimension ref="A1:F139"/>
  <sheetViews>
    <sheetView workbookViewId="0">
      <pane ySplit="1" topLeftCell="A2" activePane="bottomLeft" state="frozen"/>
      <selection pane="bottomLeft" activeCell="G1" sqref="G1"/>
    </sheetView>
  </sheetViews>
  <sheetFormatPr defaultRowHeight="16.5" x14ac:dyDescent="0.3"/>
  <cols>
    <col min="1" max="2" width="10" customWidth="1"/>
    <col min="3" max="3" width="10" style="1" customWidth="1"/>
    <col min="4" max="6" width="10" style="20" customWidth="1"/>
  </cols>
  <sheetData>
    <row r="1" spans="1:6" s="1" customFormat="1" ht="23.1" customHeight="1" thickBot="1" x14ac:dyDescent="0.35">
      <c r="A1" s="12" t="s">
        <v>13</v>
      </c>
      <c r="B1" s="12" t="s">
        <v>3</v>
      </c>
      <c r="C1" s="12" t="s">
        <v>4</v>
      </c>
      <c r="D1" s="12" t="s">
        <v>16</v>
      </c>
      <c r="E1" s="12" t="s">
        <v>17</v>
      </c>
      <c r="F1" s="12" t="s">
        <v>20</v>
      </c>
    </row>
    <row r="2" spans="1:6" ht="22.5" customHeight="1" x14ac:dyDescent="0.3">
      <c r="A2" s="5" t="s">
        <v>22</v>
      </c>
      <c r="B2" s="5" t="s">
        <v>7</v>
      </c>
      <c r="C2" s="5" t="s">
        <v>0</v>
      </c>
      <c r="D2" s="14">
        <v>644.9</v>
      </c>
      <c r="E2" s="14">
        <v>707.6</v>
      </c>
      <c r="F2" s="14">
        <f>E2-D2</f>
        <v>62.700000000000045</v>
      </c>
    </row>
    <row r="3" spans="1:6" ht="23.1" customHeight="1" x14ac:dyDescent="0.3">
      <c r="A3" s="2" t="s">
        <v>15</v>
      </c>
      <c r="B3" s="2" t="s">
        <v>6</v>
      </c>
      <c r="C3" s="2" t="s">
        <v>1</v>
      </c>
      <c r="D3" s="15">
        <v>940.5</v>
      </c>
      <c r="E3" s="15">
        <v>1004.2</v>
      </c>
      <c r="F3" s="15">
        <f t="shared" ref="F3:F19" si="0">E3-D3</f>
        <v>63.700000000000045</v>
      </c>
    </row>
    <row r="4" spans="1:6" ht="23.1" customHeight="1" x14ac:dyDescent="0.3">
      <c r="A4" s="2" t="s">
        <v>15</v>
      </c>
      <c r="B4" s="2" t="s">
        <v>6</v>
      </c>
      <c r="C4" s="2" t="s">
        <v>2</v>
      </c>
      <c r="D4" s="15">
        <v>616</v>
      </c>
      <c r="E4" s="15">
        <v>674.6</v>
      </c>
      <c r="F4" s="15">
        <f t="shared" si="0"/>
        <v>58.600000000000023</v>
      </c>
    </row>
    <row r="5" spans="1:6" ht="23.1" customHeight="1" x14ac:dyDescent="0.3">
      <c r="A5" s="2" t="s">
        <v>15</v>
      </c>
      <c r="B5" s="2" t="s">
        <v>32</v>
      </c>
      <c r="C5" s="2" t="s">
        <v>0</v>
      </c>
      <c r="D5" s="15">
        <v>1138.2</v>
      </c>
      <c r="E5" s="15">
        <v>1189.7</v>
      </c>
      <c r="F5" s="15">
        <f t="shared" si="0"/>
        <v>51.5</v>
      </c>
    </row>
    <row r="6" spans="1:6" ht="23.1" customHeight="1" x14ac:dyDescent="0.3">
      <c r="A6" s="2" t="s">
        <v>15</v>
      </c>
      <c r="B6" s="2" t="s">
        <v>32</v>
      </c>
      <c r="C6" s="2" t="s">
        <v>1</v>
      </c>
      <c r="D6" s="15">
        <v>1198.8</v>
      </c>
      <c r="E6" s="15">
        <v>1236.5999999999999</v>
      </c>
      <c r="F6" s="15">
        <f t="shared" si="0"/>
        <v>37.799999999999955</v>
      </c>
    </row>
    <row r="7" spans="1:6" ht="23.1" customHeight="1" thickBot="1" x14ac:dyDescent="0.35">
      <c r="A7" s="6" t="s">
        <v>15</v>
      </c>
      <c r="B7" s="6" t="s">
        <v>32</v>
      </c>
      <c r="C7" s="6" t="s">
        <v>2</v>
      </c>
      <c r="D7" s="16">
        <v>1145.5</v>
      </c>
      <c r="E7" s="16">
        <v>1186.4000000000001</v>
      </c>
      <c r="F7" s="18">
        <f t="shared" si="0"/>
        <v>40.900000000000091</v>
      </c>
    </row>
    <row r="8" spans="1:6" ht="22.5" customHeight="1" x14ac:dyDescent="0.3">
      <c r="A8" s="4" t="s">
        <v>23</v>
      </c>
      <c r="B8" s="4" t="s">
        <v>7</v>
      </c>
      <c r="C8" s="4" t="s">
        <v>0</v>
      </c>
      <c r="D8" s="17">
        <v>629.1</v>
      </c>
      <c r="E8" s="17">
        <v>669.1</v>
      </c>
      <c r="F8" s="14">
        <f t="shared" si="0"/>
        <v>40</v>
      </c>
    </row>
    <row r="9" spans="1:6" ht="23.1" customHeight="1" x14ac:dyDescent="0.3">
      <c r="A9" s="2" t="s">
        <v>24</v>
      </c>
      <c r="B9" s="2" t="s">
        <v>6</v>
      </c>
      <c r="C9" s="2" t="s">
        <v>1</v>
      </c>
      <c r="D9" s="15">
        <v>950.8</v>
      </c>
      <c r="E9" s="15">
        <v>990.8</v>
      </c>
      <c r="F9" s="15">
        <f t="shared" si="0"/>
        <v>40</v>
      </c>
    </row>
    <row r="10" spans="1:6" ht="23.1" customHeight="1" x14ac:dyDescent="0.3">
      <c r="A10" s="2" t="s">
        <v>24</v>
      </c>
      <c r="B10" s="2" t="s">
        <v>6</v>
      </c>
      <c r="C10" s="2" t="s">
        <v>2</v>
      </c>
      <c r="D10" s="15">
        <v>613.4</v>
      </c>
      <c r="E10" s="15">
        <v>655.9</v>
      </c>
      <c r="F10" s="15">
        <f t="shared" si="0"/>
        <v>42.5</v>
      </c>
    </row>
    <row r="11" spans="1:6" ht="23.1" customHeight="1" x14ac:dyDescent="0.3">
      <c r="A11" s="2" t="s">
        <v>24</v>
      </c>
      <c r="B11" s="2" t="s">
        <v>6</v>
      </c>
      <c r="C11" s="2" t="s">
        <v>5</v>
      </c>
      <c r="D11" s="15">
        <v>796.4</v>
      </c>
      <c r="E11" s="15">
        <v>836.6</v>
      </c>
      <c r="F11" s="15">
        <f t="shared" si="0"/>
        <v>40.200000000000045</v>
      </c>
    </row>
    <row r="12" spans="1:6" ht="23.1" customHeight="1" x14ac:dyDescent="0.3">
      <c r="A12" s="2" t="s">
        <v>24</v>
      </c>
      <c r="B12" s="2" t="s">
        <v>11</v>
      </c>
      <c r="C12" s="2" t="s">
        <v>33</v>
      </c>
      <c r="D12" s="15">
        <v>1212.8</v>
      </c>
      <c r="E12" s="15">
        <v>1240.5999999999999</v>
      </c>
      <c r="F12" s="15">
        <f t="shared" si="0"/>
        <v>27.799999999999955</v>
      </c>
    </row>
    <row r="13" spans="1:6" ht="23.1" customHeight="1" x14ac:dyDescent="0.3">
      <c r="A13" s="2" t="s">
        <v>24</v>
      </c>
      <c r="B13" s="2" t="s">
        <v>10</v>
      </c>
      <c r="C13" s="2" t="s">
        <v>34</v>
      </c>
      <c r="D13" s="15">
        <v>1211.8</v>
      </c>
      <c r="E13" s="15">
        <v>1231.5</v>
      </c>
      <c r="F13" s="15">
        <f t="shared" si="0"/>
        <v>19.700000000000045</v>
      </c>
    </row>
    <row r="14" spans="1:6" ht="23.1" customHeight="1" x14ac:dyDescent="0.3">
      <c r="A14" s="2" t="s">
        <v>24</v>
      </c>
      <c r="B14" s="2" t="s">
        <v>10</v>
      </c>
      <c r="C14" s="2" t="s">
        <v>35</v>
      </c>
      <c r="D14" s="15">
        <v>1123</v>
      </c>
      <c r="E14" s="15">
        <v>1158.8</v>
      </c>
      <c r="F14" s="15">
        <f t="shared" si="0"/>
        <v>35.799999999999955</v>
      </c>
    </row>
    <row r="15" spans="1:6" ht="23.1" customHeight="1" x14ac:dyDescent="0.3">
      <c r="A15" s="2" t="s">
        <v>24</v>
      </c>
      <c r="B15" s="2" t="s">
        <v>10</v>
      </c>
      <c r="C15" s="2" t="s">
        <v>36</v>
      </c>
      <c r="D15" s="15">
        <v>1245.0999999999999</v>
      </c>
      <c r="E15" s="15">
        <v>1271.4000000000001</v>
      </c>
      <c r="F15" s="15">
        <f t="shared" si="0"/>
        <v>26.300000000000182</v>
      </c>
    </row>
    <row r="16" spans="1:6" ht="23.1" customHeight="1" x14ac:dyDescent="0.3">
      <c r="A16" s="2" t="s">
        <v>24</v>
      </c>
      <c r="B16" s="2" t="s">
        <v>32</v>
      </c>
      <c r="C16" s="2" t="s">
        <v>0</v>
      </c>
      <c r="D16" s="15">
        <v>1141</v>
      </c>
      <c r="E16" s="15">
        <v>1165.2</v>
      </c>
      <c r="F16" s="15">
        <f t="shared" si="0"/>
        <v>24.200000000000045</v>
      </c>
    </row>
    <row r="17" spans="1:6" ht="23.1" customHeight="1" x14ac:dyDescent="0.3">
      <c r="A17" s="2" t="s">
        <v>24</v>
      </c>
      <c r="B17" s="2" t="s">
        <v>32</v>
      </c>
      <c r="C17" s="2" t="s">
        <v>1</v>
      </c>
      <c r="D17" s="15">
        <v>1201.0999999999999</v>
      </c>
      <c r="E17" s="15">
        <v>1226</v>
      </c>
      <c r="F17" s="15">
        <f t="shared" si="0"/>
        <v>24.900000000000091</v>
      </c>
    </row>
    <row r="18" spans="1:6" ht="23.1" customHeight="1" x14ac:dyDescent="0.3">
      <c r="A18" s="2" t="s">
        <v>24</v>
      </c>
      <c r="B18" s="2" t="s">
        <v>32</v>
      </c>
      <c r="C18" s="2" t="s">
        <v>2</v>
      </c>
      <c r="D18" s="15">
        <v>1141.5</v>
      </c>
      <c r="E18" s="15">
        <v>1173.8</v>
      </c>
      <c r="F18" s="15">
        <f t="shared" si="0"/>
        <v>32.299999999999955</v>
      </c>
    </row>
    <row r="19" spans="1:6" ht="23.1" customHeight="1" thickBot="1" x14ac:dyDescent="0.35">
      <c r="A19" s="6" t="s">
        <v>24</v>
      </c>
      <c r="B19" s="6" t="s">
        <v>32</v>
      </c>
      <c r="C19" s="6" t="s">
        <v>5</v>
      </c>
      <c r="D19" s="16">
        <v>1263.5999999999999</v>
      </c>
      <c r="E19" s="16">
        <v>1280.9000000000001</v>
      </c>
      <c r="F19" s="16">
        <f t="shared" si="0"/>
        <v>17.300000000000182</v>
      </c>
    </row>
    <row r="20" spans="1:6" ht="22.5" customHeight="1" x14ac:dyDescent="0.3">
      <c r="A20" s="4" t="s">
        <v>25</v>
      </c>
      <c r="B20" s="4" t="s">
        <v>7</v>
      </c>
      <c r="C20" s="4" t="s">
        <v>0</v>
      </c>
      <c r="D20" s="17">
        <v>578</v>
      </c>
      <c r="E20" s="17">
        <v>616.20000000000005</v>
      </c>
      <c r="F20" s="14">
        <f t="shared" ref="F20:F31" si="1">E20-D20</f>
        <v>38.200000000000045</v>
      </c>
    </row>
    <row r="21" spans="1:6" ht="23.1" customHeight="1" x14ac:dyDescent="0.3">
      <c r="A21" s="2" t="s">
        <v>26</v>
      </c>
      <c r="B21" s="2" t="s">
        <v>6</v>
      </c>
      <c r="C21" s="2" t="s">
        <v>1</v>
      </c>
      <c r="D21" s="15">
        <v>915.6</v>
      </c>
      <c r="E21" s="15">
        <v>950.8</v>
      </c>
      <c r="F21" s="15">
        <f t="shared" si="1"/>
        <v>35.199999999999932</v>
      </c>
    </row>
    <row r="22" spans="1:6" ht="23.1" customHeight="1" x14ac:dyDescent="0.3">
      <c r="A22" s="2" t="s">
        <v>26</v>
      </c>
      <c r="B22" s="2" t="s">
        <v>6</v>
      </c>
      <c r="C22" s="2" t="s">
        <v>2</v>
      </c>
      <c r="D22" s="15">
        <v>593.1</v>
      </c>
      <c r="E22" s="15">
        <v>633.6</v>
      </c>
      <c r="F22" s="15">
        <f t="shared" si="1"/>
        <v>40.5</v>
      </c>
    </row>
    <row r="23" spans="1:6" ht="23.1" customHeight="1" x14ac:dyDescent="0.3">
      <c r="A23" s="2" t="s">
        <v>26</v>
      </c>
      <c r="B23" s="2" t="s">
        <v>6</v>
      </c>
      <c r="C23" s="2" t="s">
        <v>5</v>
      </c>
      <c r="D23" s="15">
        <v>749.1</v>
      </c>
      <c r="E23" s="15">
        <v>784</v>
      </c>
      <c r="F23" s="15">
        <f t="shared" si="1"/>
        <v>34.899999999999977</v>
      </c>
    </row>
    <row r="24" spans="1:6" ht="23.1" customHeight="1" x14ac:dyDescent="0.3">
      <c r="A24" s="2" t="s">
        <v>26</v>
      </c>
      <c r="B24" s="2" t="s">
        <v>11</v>
      </c>
      <c r="C24" s="2" t="s">
        <v>33</v>
      </c>
      <c r="D24" s="15">
        <v>1180.9000000000001</v>
      </c>
      <c r="E24" s="15">
        <v>1227.5</v>
      </c>
      <c r="F24" s="15">
        <f t="shared" si="1"/>
        <v>46.599999999999909</v>
      </c>
    </row>
    <row r="25" spans="1:6" ht="23.1" customHeight="1" x14ac:dyDescent="0.3">
      <c r="A25" s="2" t="s">
        <v>26</v>
      </c>
      <c r="B25" s="2" t="s">
        <v>10</v>
      </c>
      <c r="C25" s="2" t="s">
        <v>34</v>
      </c>
      <c r="D25" s="15">
        <v>1180.8</v>
      </c>
      <c r="E25" s="15">
        <v>1222.9000000000001</v>
      </c>
      <c r="F25" s="15">
        <f t="shared" si="1"/>
        <v>42.100000000000136</v>
      </c>
    </row>
    <row r="26" spans="1:6" ht="23.1" customHeight="1" x14ac:dyDescent="0.3">
      <c r="A26" s="2" t="s">
        <v>26</v>
      </c>
      <c r="B26" s="2" t="s">
        <v>10</v>
      </c>
      <c r="C26" s="2" t="s">
        <v>35</v>
      </c>
      <c r="D26" s="15">
        <v>1087.3</v>
      </c>
      <c r="E26" s="15">
        <v>1150.8</v>
      </c>
      <c r="F26" s="15">
        <f t="shared" si="1"/>
        <v>63.5</v>
      </c>
    </row>
    <row r="27" spans="1:6" ht="23.1" customHeight="1" x14ac:dyDescent="0.3">
      <c r="A27" s="2" t="s">
        <v>26</v>
      </c>
      <c r="B27" s="2" t="s">
        <v>10</v>
      </c>
      <c r="C27" s="2" t="s">
        <v>36</v>
      </c>
      <c r="D27" s="15">
        <v>1206.9000000000001</v>
      </c>
      <c r="E27" s="15">
        <v>1258.3</v>
      </c>
      <c r="F27" s="15">
        <f t="shared" si="1"/>
        <v>51.399999999999864</v>
      </c>
    </row>
    <row r="28" spans="1:6" ht="23.1" customHeight="1" x14ac:dyDescent="0.3">
      <c r="A28" s="2" t="s">
        <v>26</v>
      </c>
      <c r="B28" s="2" t="s">
        <v>32</v>
      </c>
      <c r="C28" s="2" t="s">
        <v>0</v>
      </c>
      <c r="D28" s="15">
        <v>1091</v>
      </c>
      <c r="E28" s="15">
        <v>1120.5</v>
      </c>
      <c r="F28" s="15">
        <f t="shared" si="1"/>
        <v>29.5</v>
      </c>
    </row>
    <row r="29" spans="1:6" ht="23.1" customHeight="1" x14ac:dyDescent="0.3">
      <c r="A29" s="2" t="s">
        <v>26</v>
      </c>
      <c r="B29" s="2" t="s">
        <v>32</v>
      </c>
      <c r="C29" s="2" t="s">
        <v>1</v>
      </c>
      <c r="D29" s="15">
        <v>1162.0999999999999</v>
      </c>
      <c r="E29" s="15">
        <v>1195.0999999999999</v>
      </c>
      <c r="F29" s="15">
        <f t="shared" si="1"/>
        <v>33</v>
      </c>
    </row>
    <row r="30" spans="1:6" ht="23.1" customHeight="1" x14ac:dyDescent="0.3">
      <c r="A30" s="2" t="s">
        <v>26</v>
      </c>
      <c r="B30" s="2" t="s">
        <v>32</v>
      </c>
      <c r="C30" s="2" t="s">
        <v>2</v>
      </c>
      <c r="D30" s="15">
        <v>1111.2</v>
      </c>
      <c r="E30" s="15">
        <v>1155.0999999999999</v>
      </c>
      <c r="F30" s="15">
        <f t="shared" si="1"/>
        <v>43.899999999999864</v>
      </c>
    </row>
    <row r="31" spans="1:6" ht="23.1" customHeight="1" thickBot="1" x14ac:dyDescent="0.35">
      <c r="A31" s="6" t="s">
        <v>26</v>
      </c>
      <c r="B31" s="6" t="s">
        <v>32</v>
      </c>
      <c r="C31" s="6" t="s">
        <v>5</v>
      </c>
      <c r="D31" s="16">
        <v>1226.2</v>
      </c>
      <c r="E31" s="16">
        <v>1263.7</v>
      </c>
      <c r="F31" s="16">
        <f t="shared" si="1"/>
        <v>37.5</v>
      </c>
    </row>
    <row r="32" spans="1:6" ht="22.5" customHeight="1" x14ac:dyDescent="0.3">
      <c r="A32" s="4" t="s">
        <v>29</v>
      </c>
      <c r="B32" s="4" t="s">
        <v>7</v>
      </c>
      <c r="C32" s="4" t="s">
        <v>0</v>
      </c>
      <c r="D32" s="17">
        <v>512.70000000000005</v>
      </c>
      <c r="E32" s="17">
        <v>582.5</v>
      </c>
      <c r="F32" s="14">
        <f t="shared" ref="F32:F43" si="2">E32-D32</f>
        <v>69.799999999999955</v>
      </c>
    </row>
    <row r="33" spans="1:6" ht="23.1" customHeight="1" x14ac:dyDescent="0.3">
      <c r="A33" s="2" t="s">
        <v>30</v>
      </c>
      <c r="B33" s="2" t="s">
        <v>6</v>
      </c>
      <c r="C33" s="2" t="s">
        <v>1</v>
      </c>
      <c r="D33" s="15">
        <v>809.3</v>
      </c>
      <c r="E33" s="15">
        <v>868.1</v>
      </c>
      <c r="F33" s="15">
        <f t="shared" si="2"/>
        <v>58.800000000000068</v>
      </c>
    </row>
    <row r="34" spans="1:6" ht="23.1" customHeight="1" x14ac:dyDescent="0.3">
      <c r="A34" s="2" t="s">
        <v>30</v>
      </c>
      <c r="B34" s="2" t="s">
        <v>6</v>
      </c>
      <c r="C34" s="2" t="s">
        <v>2</v>
      </c>
      <c r="D34" s="15">
        <v>526.70000000000005</v>
      </c>
      <c r="E34" s="15">
        <v>597.1</v>
      </c>
      <c r="F34" s="15">
        <f t="shared" si="2"/>
        <v>70.399999999999977</v>
      </c>
    </row>
    <row r="35" spans="1:6" ht="23.1" customHeight="1" x14ac:dyDescent="0.3">
      <c r="A35" s="2" t="s">
        <v>30</v>
      </c>
      <c r="B35" s="2" t="s">
        <v>6</v>
      </c>
      <c r="C35" s="2" t="s">
        <v>5</v>
      </c>
      <c r="D35" s="15">
        <v>640.70000000000005</v>
      </c>
      <c r="E35" s="15">
        <v>703.8</v>
      </c>
      <c r="F35" s="15">
        <f t="shared" si="2"/>
        <v>63.099999999999909</v>
      </c>
    </row>
    <row r="36" spans="1:6" ht="23.1" customHeight="1" x14ac:dyDescent="0.3">
      <c r="A36" s="2" t="s">
        <v>30</v>
      </c>
      <c r="B36" s="2" t="s">
        <v>11</v>
      </c>
      <c r="C36" s="2" t="s">
        <v>33</v>
      </c>
      <c r="D36" s="15">
        <v>1129</v>
      </c>
      <c r="E36" s="15">
        <v>1208.2</v>
      </c>
      <c r="F36" s="15">
        <f t="shared" si="2"/>
        <v>79.200000000000045</v>
      </c>
    </row>
    <row r="37" spans="1:6" ht="23.1" customHeight="1" x14ac:dyDescent="0.3">
      <c r="A37" s="2" t="s">
        <v>30</v>
      </c>
      <c r="B37" s="2" t="s">
        <v>10</v>
      </c>
      <c r="C37" s="2" t="s">
        <v>34</v>
      </c>
      <c r="D37" s="15">
        <v>1136.9000000000001</v>
      </c>
      <c r="E37" s="15">
        <v>1205.2</v>
      </c>
      <c r="F37" s="15">
        <f t="shared" si="2"/>
        <v>68.299999999999955</v>
      </c>
    </row>
    <row r="38" spans="1:6" ht="23.1" customHeight="1" x14ac:dyDescent="0.3">
      <c r="A38" s="2" t="s">
        <v>30</v>
      </c>
      <c r="B38" s="2" t="s">
        <v>10</v>
      </c>
      <c r="C38" s="2" t="s">
        <v>35</v>
      </c>
      <c r="D38" s="15">
        <v>1031.0999999999999</v>
      </c>
      <c r="E38" s="15">
        <v>1134.3</v>
      </c>
      <c r="F38" s="15">
        <f t="shared" si="2"/>
        <v>103.20000000000005</v>
      </c>
    </row>
    <row r="39" spans="1:6" ht="23.1" customHeight="1" x14ac:dyDescent="0.3">
      <c r="A39" s="2" t="s">
        <v>30</v>
      </c>
      <c r="B39" s="2" t="s">
        <v>10</v>
      </c>
      <c r="C39" s="2" t="s">
        <v>36</v>
      </c>
      <c r="D39" s="15">
        <v>1160.2</v>
      </c>
      <c r="E39" s="15">
        <v>1237.3</v>
      </c>
      <c r="F39" s="15">
        <f t="shared" si="2"/>
        <v>77.099999999999909</v>
      </c>
    </row>
    <row r="40" spans="1:6" ht="23.1" customHeight="1" x14ac:dyDescent="0.3">
      <c r="A40" s="2" t="s">
        <v>30</v>
      </c>
      <c r="B40" s="2" t="s">
        <v>32</v>
      </c>
      <c r="C40" s="2" t="s">
        <v>0</v>
      </c>
      <c r="D40" s="15">
        <v>990</v>
      </c>
      <c r="E40" s="15">
        <v>1034.5</v>
      </c>
      <c r="F40" s="15">
        <f t="shared" si="2"/>
        <v>44.5</v>
      </c>
    </row>
    <row r="41" spans="1:6" ht="23.1" customHeight="1" x14ac:dyDescent="0.3">
      <c r="A41" s="2" t="s">
        <v>30</v>
      </c>
      <c r="B41" s="2" t="s">
        <v>32</v>
      </c>
      <c r="C41" s="2" t="s">
        <v>1</v>
      </c>
      <c r="D41" s="15">
        <v>1086.7</v>
      </c>
      <c r="E41" s="15">
        <v>1135.5999999999999</v>
      </c>
      <c r="F41" s="15">
        <f t="shared" si="2"/>
        <v>48.899999999999864</v>
      </c>
    </row>
    <row r="42" spans="1:6" ht="23.1" customHeight="1" x14ac:dyDescent="0.3">
      <c r="A42" s="2" t="s">
        <v>30</v>
      </c>
      <c r="B42" s="2" t="s">
        <v>32</v>
      </c>
      <c r="C42" s="2" t="s">
        <v>2</v>
      </c>
      <c r="D42" s="15">
        <v>1053.9000000000001</v>
      </c>
      <c r="E42" s="15">
        <v>1119.5999999999999</v>
      </c>
      <c r="F42" s="15">
        <f t="shared" si="2"/>
        <v>65.699999999999818</v>
      </c>
    </row>
    <row r="43" spans="1:6" ht="23.1" customHeight="1" thickBot="1" x14ac:dyDescent="0.35">
      <c r="A43" s="6" t="s">
        <v>30</v>
      </c>
      <c r="B43" s="6" t="s">
        <v>32</v>
      </c>
      <c r="C43" s="6" t="s">
        <v>5</v>
      </c>
      <c r="D43" s="16">
        <v>1170.5999999999999</v>
      </c>
      <c r="E43" s="16">
        <v>1229.8</v>
      </c>
      <c r="F43" s="16">
        <f t="shared" si="2"/>
        <v>59.200000000000045</v>
      </c>
    </row>
    <row r="44" spans="1:6" ht="22.5" customHeight="1" x14ac:dyDescent="0.3">
      <c r="A44" s="4" t="s">
        <v>42</v>
      </c>
      <c r="B44" s="4" t="s">
        <v>7</v>
      </c>
      <c r="C44" s="4" t="s">
        <v>0</v>
      </c>
      <c r="D44" s="17">
        <v>506.8</v>
      </c>
      <c r="E44" s="17">
        <v>562.29999999999995</v>
      </c>
      <c r="F44" s="14">
        <f t="shared" ref="F44:F55" si="3">E44-D44</f>
        <v>55.499999999999943</v>
      </c>
    </row>
    <row r="45" spans="1:6" ht="23.1" customHeight="1" x14ac:dyDescent="0.3">
      <c r="A45" s="2" t="s">
        <v>41</v>
      </c>
      <c r="B45" s="2" t="s">
        <v>6</v>
      </c>
      <c r="C45" s="2" t="s">
        <v>1</v>
      </c>
      <c r="D45" s="15">
        <v>738.9</v>
      </c>
      <c r="E45" s="15">
        <v>782.1</v>
      </c>
      <c r="F45" s="15">
        <f t="shared" si="3"/>
        <v>43.200000000000045</v>
      </c>
    </row>
    <row r="46" spans="1:6" ht="23.1" customHeight="1" x14ac:dyDescent="0.3">
      <c r="A46" s="2" t="s">
        <v>41</v>
      </c>
      <c r="B46" s="2" t="s">
        <v>6</v>
      </c>
      <c r="C46" s="2" t="s">
        <v>2</v>
      </c>
      <c r="D46" s="15">
        <v>500</v>
      </c>
      <c r="E46" s="15">
        <v>553.1</v>
      </c>
      <c r="F46" s="15">
        <f t="shared" si="3"/>
        <v>53.100000000000023</v>
      </c>
    </row>
    <row r="47" spans="1:6" ht="23.1" customHeight="1" x14ac:dyDescent="0.3">
      <c r="A47" s="2" t="s">
        <v>41</v>
      </c>
      <c r="B47" s="2" t="s">
        <v>6</v>
      </c>
      <c r="C47" s="2" t="s">
        <v>5</v>
      </c>
      <c r="D47" s="15">
        <v>585.79999999999995</v>
      </c>
      <c r="E47" s="15">
        <v>634.1</v>
      </c>
      <c r="F47" s="15">
        <f t="shared" si="3"/>
        <v>48.300000000000068</v>
      </c>
    </row>
    <row r="48" spans="1:6" ht="23.1" customHeight="1" x14ac:dyDescent="0.3">
      <c r="A48" s="2" t="s">
        <v>41</v>
      </c>
      <c r="B48" s="2" t="s">
        <v>11</v>
      </c>
      <c r="C48" s="2" t="s">
        <v>33</v>
      </c>
      <c r="D48" s="15">
        <v>1115.3</v>
      </c>
      <c r="E48" s="15">
        <v>1196.8</v>
      </c>
      <c r="F48" s="15">
        <f t="shared" si="3"/>
        <v>81.5</v>
      </c>
    </row>
    <row r="49" spans="1:6" ht="23.1" customHeight="1" x14ac:dyDescent="0.3">
      <c r="A49" s="2" t="s">
        <v>41</v>
      </c>
      <c r="B49" s="2" t="s">
        <v>10</v>
      </c>
      <c r="C49" s="2" t="s">
        <v>34</v>
      </c>
      <c r="D49" s="15">
        <v>1124.2</v>
      </c>
      <c r="E49" s="15">
        <v>1196.9000000000001</v>
      </c>
      <c r="F49" s="15">
        <f t="shared" si="3"/>
        <v>72.700000000000045</v>
      </c>
    </row>
    <row r="50" spans="1:6" ht="23.1" customHeight="1" x14ac:dyDescent="0.3">
      <c r="A50" s="2" t="s">
        <v>41</v>
      </c>
      <c r="B50" s="2" t="s">
        <v>10</v>
      </c>
      <c r="C50" s="2" t="s">
        <v>35</v>
      </c>
      <c r="D50" s="15">
        <v>1021.5</v>
      </c>
      <c r="E50" s="15">
        <v>1123.5</v>
      </c>
      <c r="F50" s="15">
        <f t="shared" si="3"/>
        <v>102</v>
      </c>
    </row>
    <row r="51" spans="1:6" ht="23.1" customHeight="1" x14ac:dyDescent="0.3">
      <c r="A51" s="2" t="s">
        <v>41</v>
      </c>
      <c r="B51" s="2" t="s">
        <v>10</v>
      </c>
      <c r="C51" s="2" t="s">
        <v>36</v>
      </c>
      <c r="D51" s="15">
        <v>1143.2</v>
      </c>
      <c r="E51" s="15">
        <v>1225.4000000000001</v>
      </c>
      <c r="F51" s="15">
        <f t="shared" si="3"/>
        <v>82.200000000000045</v>
      </c>
    </row>
    <row r="52" spans="1:6" ht="23.1" customHeight="1" x14ac:dyDescent="0.3">
      <c r="A52" s="2" t="s">
        <v>41</v>
      </c>
      <c r="B52" s="2" t="s">
        <v>32</v>
      </c>
      <c r="C52" s="2" t="s">
        <v>0</v>
      </c>
      <c r="D52" s="15">
        <v>912.2</v>
      </c>
      <c r="E52" s="15">
        <v>951.3</v>
      </c>
      <c r="F52" s="15">
        <f t="shared" si="3"/>
        <v>39.099999999999909</v>
      </c>
    </row>
    <row r="53" spans="1:6" ht="23.1" customHeight="1" x14ac:dyDescent="0.3">
      <c r="A53" s="2" t="s">
        <v>41</v>
      </c>
      <c r="B53" s="2" t="s">
        <v>32</v>
      </c>
      <c r="C53" s="2" t="s">
        <v>1</v>
      </c>
      <c r="D53" s="15">
        <v>1039.3</v>
      </c>
      <c r="E53" s="15">
        <v>1083.7</v>
      </c>
      <c r="F53" s="15">
        <f t="shared" si="3"/>
        <v>44.400000000000091</v>
      </c>
    </row>
    <row r="54" spans="1:6" ht="23.1" customHeight="1" x14ac:dyDescent="0.3">
      <c r="A54" s="2" t="s">
        <v>41</v>
      </c>
      <c r="B54" s="2" t="s">
        <v>32</v>
      </c>
      <c r="C54" s="2" t="s">
        <v>2</v>
      </c>
      <c r="D54" s="15">
        <v>1026</v>
      </c>
      <c r="E54" s="15">
        <v>1080.9000000000001</v>
      </c>
      <c r="F54" s="15">
        <f t="shared" si="3"/>
        <v>54.900000000000091</v>
      </c>
    </row>
    <row r="55" spans="1:6" ht="23.1" customHeight="1" thickBot="1" x14ac:dyDescent="0.35">
      <c r="A55" s="6" t="s">
        <v>41</v>
      </c>
      <c r="B55" s="6" t="s">
        <v>32</v>
      </c>
      <c r="C55" s="6" t="s">
        <v>5</v>
      </c>
      <c r="D55" s="16">
        <v>1145.5</v>
      </c>
      <c r="E55" s="16">
        <v>1194.5</v>
      </c>
      <c r="F55" s="16">
        <f t="shared" si="3"/>
        <v>49</v>
      </c>
    </row>
    <row r="56" spans="1:6" ht="22.5" customHeight="1" x14ac:dyDescent="0.3">
      <c r="A56" s="4" t="s">
        <v>44</v>
      </c>
      <c r="B56" s="4" t="s">
        <v>7</v>
      </c>
      <c r="C56" s="4" t="s">
        <v>0</v>
      </c>
      <c r="D56" s="17">
        <v>511.4</v>
      </c>
      <c r="E56" s="17">
        <v>558.20000000000005</v>
      </c>
      <c r="F56" s="14">
        <f t="shared" ref="F56:F67" si="4">E56-D56</f>
        <v>46.800000000000068</v>
      </c>
    </row>
    <row r="57" spans="1:6" ht="23.1" customHeight="1" x14ac:dyDescent="0.3">
      <c r="A57" s="2" t="s">
        <v>43</v>
      </c>
      <c r="B57" s="2" t="s">
        <v>6</v>
      </c>
      <c r="C57" s="2" t="s">
        <v>1</v>
      </c>
      <c r="D57" s="15">
        <v>675.8</v>
      </c>
      <c r="E57" s="15">
        <v>713.2</v>
      </c>
      <c r="F57" s="15">
        <f t="shared" si="4"/>
        <v>37.400000000000091</v>
      </c>
    </row>
    <row r="58" spans="1:6" ht="23.1" customHeight="1" x14ac:dyDescent="0.3">
      <c r="A58" s="2" t="s">
        <v>43</v>
      </c>
      <c r="B58" s="2" t="s">
        <v>6</v>
      </c>
      <c r="C58" s="2" t="s">
        <v>2</v>
      </c>
      <c r="D58" s="15">
        <v>485.9</v>
      </c>
      <c r="E58" s="15">
        <v>531.70000000000005</v>
      </c>
      <c r="F58" s="15">
        <f t="shared" si="4"/>
        <v>45.800000000000068</v>
      </c>
    </row>
    <row r="59" spans="1:6" ht="23.1" customHeight="1" x14ac:dyDescent="0.3">
      <c r="A59" s="2" t="s">
        <v>43</v>
      </c>
      <c r="B59" s="2" t="s">
        <v>6</v>
      </c>
      <c r="C59" s="2" t="s">
        <v>5</v>
      </c>
      <c r="D59" s="15">
        <v>541.9</v>
      </c>
      <c r="E59" s="15">
        <v>584.4</v>
      </c>
      <c r="F59" s="15">
        <f t="shared" si="4"/>
        <v>42.5</v>
      </c>
    </row>
    <row r="60" spans="1:6" ht="23.1" customHeight="1" x14ac:dyDescent="0.3">
      <c r="A60" s="2" t="s">
        <v>43</v>
      </c>
      <c r="B60" s="2" t="s">
        <v>11</v>
      </c>
      <c r="C60" s="2" t="s">
        <v>33</v>
      </c>
      <c r="D60" s="15">
        <v>1119.5999999999999</v>
      </c>
      <c r="E60" s="15">
        <v>1202.5999999999999</v>
      </c>
      <c r="F60" s="15">
        <f t="shared" si="4"/>
        <v>83</v>
      </c>
    </row>
    <row r="61" spans="1:6" ht="23.1" customHeight="1" x14ac:dyDescent="0.3">
      <c r="A61" s="2" t="s">
        <v>43</v>
      </c>
      <c r="B61" s="2" t="s">
        <v>10</v>
      </c>
      <c r="C61" s="2" t="s">
        <v>34</v>
      </c>
      <c r="D61" s="15">
        <v>1128.4000000000001</v>
      </c>
      <c r="E61" s="15">
        <v>1202.4000000000001</v>
      </c>
      <c r="F61" s="15">
        <f t="shared" si="4"/>
        <v>74</v>
      </c>
    </row>
    <row r="62" spans="1:6" ht="23.1" customHeight="1" x14ac:dyDescent="0.3">
      <c r="A62" s="2" t="s">
        <v>43</v>
      </c>
      <c r="B62" s="2" t="s">
        <v>10</v>
      </c>
      <c r="C62" s="2" t="s">
        <v>35</v>
      </c>
      <c r="D62" s="15">
        <v>1027</v>
      </c>
      <c r="E62" s="15">
        <v>1131.7</v>
      </c>
      <c r="F62" s="15">
        <f t="shared" si="4"/>
        <v>104.70000000000005</v>
      </c>
    </row>
    <row r="63" spans="1:6" ht="23.1" customHeight="1" x14ac:dyDescent="0.3">
      <c r="A63" s="2" t="s">
        <v>43</v>
      </c>
      <c r="B63" s="2" t="s">
        <v>10</v>
      </c>
      <c r="C63" s="2" t="s">
        <v>36</v>
      </c>
      <c r="D63" s="15">
        <v>1140.5999999999999</v>
      </c>
      <c r="E63" s="15">
        <v>1231</v>
      </c>
      <c r="F63" s="15">
        <f t="shared" si="4"/>
        <v>90.400000000000091</v>
      </c>
    </row>
    <row r="64" spans="1:6" ht="23.1" customHeight="1" x14ac:dyDescent="0.3">
      <c r="A64" s="2" t="s">
        <v>43</v>
      </c>
      <c r="B64" s="2" t="s">
        <v>32</v>
      </c>
      <c r="C64" s="2" t="s">
        <v>0</v>
      </c>
      <c r="D64" s="15">
        <v>849.4</v>
      </c>
      <c r="E64" s="15">
        <v>884.4</v>
      </c>
      <c r="F64" s="15">
        <f t="shared" si="4"/>
        <v>35</v>
      </c>
    </row>
    <row r="65" spans="1:6" ht="23.1" customHeight="1" x14ac:dyDescent="0.3">
      <c r="A65" s="2" t="s">
        <v>43</v>
      </c>
      <c r="B65" s="2" t="s">
        <v>32</v>
      </c>
      <c r="C65" s="2" t="s">
        <v>1</v>
      </c>
      <c r="D65" s="15">
        <v>997.2</v>
      </c>
      <c r="E65" s="15">
        <v>1039</v>
      </c>
      <c r="F65" s="15">
        <f t="shared" si="4"/>
        <v>41.799999999999955</v>
      </c>
    </row>
    <row r="66" spans="1:6" ht="23.1" customHeight="1" x14ac:dyDescent="0.3">
      <c r="A66" s="2" t="s">
        <v>43</v>
      </c>
      <c r="B66" s="2" t="s">
        <v>32</v>
      </c>
      <c r="C66" s="2" t="s">
        <v>2</v>
      </c>
      <c r="D66" s="15">
        <v>1002.2</v>
      </c>
      <c r="E66" s="15">
        <v>1058.5999999999999</v>
      </c>
      <c r="F66" s="15">
        <f t="shared" si="4"/>
        <v>56.399999999999864</v>
      </c>
    </row>
    <row r="67" spans="1:6" ht="23.1" customHeight="1" thickBot="1" x14ac:dyDescent="0.35">
      <c r="A67" s="6" t="s">
        <v>43</v>
      </c>
      <c r="B67" s="6" t="s">
        <v>32</v>
      </c>
      <c r="C67" s="6" t="s">
        <v>5</v>
      </c>
      <c r="D67" s="16">
        <v>1120.3</v>
      </c>
      <c r="E67" s="16">
        <v>1167</v>
      </c>
      <c r="F67" s="16">
        <f t="shared" si="4"/>
        <v>46.700000000000045</v>
      </c>
    </row>
    <row r="68" spans="1:6" ht="22.5" customHeight="1" x14ac:dyDescent="0.3">
      <c r="A68" s="4" t="s">
        <v>46</v>
      </c>
      <c r="B68" s="4" t="s">
        <v>7</v>
      </c>
      <c r="C68" s="4" t="s">
        <v>0</v>
      </c>
      <c r="D68" s="17">
        <v>512.70000000000005</v>
      </c>
      <c r="E68" s="17">
        <v>567</v>
      </c>
      <c r="F68" s="14">
        <f t="shared" ref="F68:F79" si="5">E68-D68</f>
        <v>54.299999999999955</v>
      </c>
    </row>
    <row r="69" spans="1:6" ht="23.1" customHeight="1" x14ac:dyDescent="0.3">
      <c r="A69" s="2" t="s">
        <v>45</v>
      </c>
      <c r="B69" s="2" t="s">
        <v>6</v>
      </c>
      <c r="C69" s="2" t="s">
        <v>1</v>
      </c>
      <c r="D69" s="15">
        <v>604.20000000000005</v>
      </c>
      <c r="E69" s="15">
        <v>653.4</v>
      </c>
      <c r="F69" s="15">
        <f t="shared" si="5"/>
        <v>49.199999999999932</v>
      </c>
    </row>
    <row r="70" spans="1:6" ht="23.1" customHeight="1" x14ac:dyDescent="0.3">
      <c r="A70" s="2" t="s">
        <v>45</v>
      </c>
      <c r="B70" s="2" t="s">
        <v>6</v>
      </c>
      <c r="C70" s="2" t="s">
        <v>2</v>
      </c>
      <c r="D70" s="15">
        <v>498.2</v>
      </c>
      <c r="E70" s="15">
        <v>553.4</v>
      </c>
      <c r="F70" s="15">
        <f t="shared" si="5"/>
        <v>55.199999999999989</v>
      </c>
    </row>
    <row r="71" spans="1:6" ht="23.1" customHeight="1" x14ac:dyDescent="0.3">
      <c r="A71" s="2" t="s">
        <v>45</v>
      </c>
      <c r="B71" s="2" t="s">
        <v>6</v>
      </c>
      <c r="C71" s="2" t="s">
        <v>5</v>
      </c>
      <c r="D71" s="15">
        <v>547.4</v>
      </c>
      <c r="E71" s="15">
        <v>600.4</v>
      </c>
      <c r="F71" s="15">
        <f t="shared" si="5"/>
        <v>53</v>
      </c>
    </row>
    <row r="72" spans="1:6" ht="23.1" customHeight="1" x14ac:dyDescent="0.3">
      <c r="A72" s="2" t="s">
        <v>45</v>
      </c>
      <c r="B72" s="2" t="s">
        <v>11</v>
      </c>
      <c r="C72" s="2" t="s">
        <v>33</v>
      </c>
      <c r="D72" s="15">
        <v>1146.8</v>
      </c>
      <c r="E72" s="15">
        <v>1207</v>
      </c>
      <c r="F72" s="15">
        <f t="shared" si="5"/>
        <v>60.200000000000045</v>
      </c>
    </row>
    <row r="73" spans="1:6" ht="23.1" customHeight="1" x14ac:dyDescent="0.3">
      <c r="A73" s="2" t="s">
        <v>45</v>
      </c>
      <c r="B73" s="2" t="s">
        <v>10</v>
      </c>
      <c r="C73" s="2" t="s">
        <v>34</v>
      </c>
      <c r="D73" s="15">
        <v>1158.3</v>
      </c>
      <c r="E73" s="15">
        <v>1210.5999999999999</v>
      </c>
      <c r="F73" s="15">
        <f t="shared" si="5"/>
        <v>52.299999999999955</v>
      </c>
    </row>
    <row r="74" spans="1:6" ht="23.1" customHeight="1" x14ac:dyDescent="0.3">
      <c r="A74" s="2" t="s">
        <v>45</v>
      </c>
      <c r="B74" s="2" t="s">
        <v>10</v>
      </c>
      <c r="C74" s="2" t="s">
        <v>35</v>
      </c>
      <c r="D74" s="15">
        <v>1041.3</v>
      </c>
      <c r="E74" s="15">
        <v>1131.8</v>
      </c>
      <c r="F74" s="15">
        <f t="shared" si="5"/>
        <v>90.5</v>
      </c>
    </row>
    <row r="75" spans="1:6" ht="23.1" customHeight="1" x14ac:dyDescent="0.3">
      <c r="A75" s="2" t="s">
        <v>45</v>
      </c>
      <c r="B75" s="2" t="s">
        <v>10</v>
      </c>
      <c r="C75" s="2" t="s">
        <v>36</v>
      </c>
      <c r="D75" s="15">
        <v>1138.8</v>
      </c>
      <c r="E75" s="15">
        <v>1223.2</v>
      </c>
      <c r="F75" s="15">
        <f t="shared" si="5"/>
        <v>84.400000000000091</v>
      </c>
    </row>
    <row r="76" spans="1:6" ht="23.1" customHeight="1" x14ac:dyDescent="0.3">
      <c r="A76" s="2" t="s">
        <v>45</v>
      </c>
      <c r="B76" s="2" t="s">
        <v>32</v>
      </c>
      <c r="C76" s="2" t="s">
        <v>0</v>
      </c>
      <c r="D76" s="15">
        <v>787.5</v>
      </c>
      <c r="E76" s="15">
        <v>825.2</v>
      </c>
      <c r="F76" s="15">
        <f t="shared" si="5"/>
        <v>37.700000000000045</v>
      </c>
    </row>
    <row r="77" spans="1:6" ht="23.1" customHeight="1" x14ac:dyDescent="0.3">
      <c r="A77" s="2" t="s">
        <v>45</v>
      </c>
      <c r="B77" s="2" t="s">
        <v>32</v>
      </c>
      <c r="C77" s="2" t="s">
        <v>1</v>
      </c>
      <c r="D77" s="15">
        <v>977.5</v>
      </c>
      <c r="E77" s="15">
        <v>1018.8</v>
      </c>
      <c r="F77" s="15">
        <f t="shared" si="5"/>
        <v>41.299999999999955</v>
      </c>
    </row>
    <row r="78" spans="1:6" ht="23.1" customHeight="1" x14ac:dyDescent="0.3">
      <c r="A78" s="2" t="s">
        <v>45</v>
      </c>
      <c r="B78" s="2" t="s">
        <v>32</v>
      </c>
      <c r="C78" s="2" t="s">
        <v>2</v>
      </c>
      <c r="D78" s="15">
        <v>992.6</v>
      </c>
      <c r="E78" s="15">
        <v>1048.7</v>
      </c>
      <c r="F78" s="15">
        <f t="shared" si="5"/>
        <v>56.100000000000023</v>
      </c>
    </row>
    <row r="79" spans="1:6" ht="23.1" customHeight="1" thickBot="1" x14ac:dyDescent="0.35">
      <c r="A79" s="6" t="s">
        <v>45</v>
      </c>
      <c r="B79" s="6" t="s">
        <v>32</v>
      </c>
      <c r="C79" s="6" t="s">
        <v>5</v>
      </c>
      <c r="D79" s="16">
        <v>1095.7</v>
      </c>
      <c r="E79" s="16">
        <v>1141.0999999999999</v>
      </c>
      <c r="F79" s="16">
        <f t="shared" si="5"/>
        <v>45.399999999999864</v>
      </c>
    </row>
    <row r="80" spans="1:6" ht="22.5" customHeight="1" x14ac:dyDescent="0.3">
      <c r="A80" s="4" t="s">
        <v>49</v>
      </c>
      <c r="B80" s="4" t="s">
        <v>7</v>
      </c>
      <c r="C80" s="4" t="s">
        <v>0</v>
      </c>
      <c r="D80" s="17">
        <v>551.70000000000005</v>
      </c>
      <c r="E80" s="17">
        <v>564.4</v>
      </c>
      <c r="F80" s="17">
        <f t="shared" ref="F80:F91" si="6">E80-D80</f>
        <v>12.699999999999932</v>
      </c>
    </row>
    <row r="81" spans="1:6" ht="23.1" customHeight="1" x14ac:dyDescent="0.3">
      <c r="A81" s="2" t="s">
        <v>48</v>
      </c>
      <c r="B81" s="2" t="s">
        <v>6</v>
      </c>
      <c r="C81" s="2" t="s">
        <v>1</v>
      </c>
      <c r="D81" s="15">
        <v>630</v>
      </c>
      <c r="E81" s="15">
        <v>641.20000000000005</v>
      </c>
      <c r="F81" s="15">
        <f t="shared" si="6"/>
        <v>11.200000000000045</v>
      </c>
    </row>
    <row r="82" spans="1:6" ht="23.1" customHeight="1" x14ac:dyDescent="0.3">
      <c r="A82" s="2" t="s">
        <v>48</v>
      </c>
      <c r="B82" s="2" t="s">
        <v>6</v>
      </c>
      <c r="C82" s="2" t="s">
        <v>2</v>
      </c>
      <c r="D82" s="15">
        <v>536.6</v>
      </c>
      <c r="E82" s="15">
        <v>550.4</v>
      </c>
      <c r="F82" s="15">
        <f t="shared" si="6"/>
        <v>13.799999999999955</v>
      </c>
    </row>
    <row r="83" spans="1:6" ht="23.1" customHeight="1" x14ac:dyDescent="0.3">
      <c r="A83" s="2" t="s">
        <v>48</v>
      </c>
      <c r="B83" s="2" t="s">
        <v>6</v>
      </c>
      <c r="C83" s="2" t="s">
        <v>5</v>
      </c>
      <c r="D83" s="15">
        <v>583</v>
      </c>
      <c r="E83" s="15">
        <v>595.20000000000005</v>
      </c>
      <c r="F83" s="15">
        <f t="shared" si="6"/>
        <v>12.200000000000045</v>
      </c>
    </row>
    <row r="84" spans="1:6" ht="23.1" customHeight="1" x14ac:dyDescent="0.3">
      <c r="A84" s="2" t="s">
        <v>48</v>
      </c>
      <c r="B84" s="2" t="s">
        <v>11</v>
      </c>
      <c r="C84" s="2" t="s">
        <v>33</v>
      </c>
      <c r="D84" s="15">
        <v>1188.0999999999999</v>
      </c>
      <c r="E84" s="15">
        <v>1212.9000000000001</v>
      </c>
      <c r="F84" s="15">
        <f t="shared" si="6"/>
        <v>24.800000000000182</v>
      </c>
    </row>
    <row r="85" spans="1:6" ht="23.1" customHeight="1" x14ac:dyDescent="0.3">
      <c r="A85" s="2" t="s">
        <v>48</v>
      </c>
      <c r="B85" s="2" t="s">
        <v>10</v>
      </c>
      <c r="C85" s="2" t="s">
        <v>34</v>
      </c>
      <c r="D85" s="15">
        <v>1192.5999999999999</v>
      </c>
      <c r="E85" s="15">
        <v>1219.5999999999999</v>
      </c>
      <c r="F85" s="15">
        <f t="shared" si="6"/>
        <v>27</v>
      </c>
    </row>
    <row r="86" spans="1:6" ht="23.1" customHeight="1" x14ac:dyDescent="0.3">
      <c r="A86" s="2" t="s">
        <v>48</v>
      </c>
      <c r="B86" s="2" t="s">
        <v>10</v>
      </c>
      <c r="C86" s="2" t="s">
        <v>35</v>
      </c>
      <c r="D86" s="15">
        <v>1107.7</v>
      </c>
      <c r="E86" s="15">
        <v>1133.5999999999999</v>
      </c>
      <c r="F86" s="15">
        <f t="shared" si="6"/>
        <v>25.899999999999864</v>
      </c>
    </row>
    <row r="87" spans="1:6" ht="23.1" customHeight="1" x14ac:dyDescent="0.3">
      <c r="A87" s="2" t="s">
        <v>48</v>
      </c>
      <c r="B87" s="2" t="s">
        <v>10</v>
      </c>
      <c r="C87" s="2" t="s">
        <v>36</v>
      </c>
      <c r="D87" s="15">
        <v>1200</v>
      </c>
      <c r="E87" s="15">
        <v>1229.5999999999999</v>
      </c>
      <c r="F87" s="15">
        <f t="shared" si="6"/>
        <v>29.599999999999909</v>
      </c>
    </row>
    <row r="88" spans="1:6" ht="23.1" customHeight="1" x14ac:dyDescent="0.3">
      <c r="A88" s="2" t="s">
        <v>48</v>
      </c>
      <c r="B88" s="2" t="s">
        <v>32</v>
      </c>
      <c r="C88" s="2" t="s">
        <v>0</v>
      </c>
      <c r="D88" s="15">
        <v>802.7</v>
      </c>
      <c r="E88" s="15">
        <v>812.1</v>
      </c>
      <c r="F88" s="15">
        <f t="shared" si="6"/>
        <v>9.3999999999999773</v>
      </c>
    </row>
    <row r="89" spans="1:6" ht="23.1" customHeight="1" x14ac:dyDescent="0.3">
      <c r="A89" s="2" t="s">
        <v>48</v>
      </c>
      <c r="B89" s="2" t="s">
        <v>32</v>
      </c>
      <c r="C89" s="2" t="s">
        <v>1</v>
      </c>
      <c r="D89" s="15">
        <v>1000</v>
      </c>
      <c r="E89" s="15">
        <v>1009.7</v>
      </c>
      <c r="F89" s="15">
        <f t="shared" si="6"/>
        <v>9.7000000000000455</v>
      </c>
    </row>
    <row r="90" spans="1:6" ht="23.1" customHeight="1" x14ac:dyDescent="0.3">
      <c r="A90" s="2" t="s">
        <v>48</v>
      </c>
      <c r="B90" s="2" t="s">
        <v>32</v>
      </c>
      <c r="C90" s="2" t="s">
        <v>2</v>
      </c>
      <c r="D90" s="15">
        <v>1031.7</v>
      </c>
      <c r="E90" s="15">
        <v>1048</v>
      </c>
      <c r="F90" s="15">
        <f t="shared" si="6"/>
        <v>16.299999999999955</v>
      </c>
    </row>
    <row r="91" spans="1:6" ht="23.1" customHeight="1" thickBot="1" x14ac:dyDescent="0.35">
      <c r="A91" s="6" t="s">
        <v>48</v>
      </c>
      <c r="B91" s="6" t="s">
        <v>32</v>
      </c>
      <c r="C91" s="6" t="s">
        <v>5</v>
      </c>
      <c r="D91" s="16">
        <v>1121.4000000000001</v>
      </c>
      <c r="E91" s="16">
        <v>1135.0999999999999</v>
      </c>
      <c r="F91" s="16">
        <f t="shared" si="6"/>
        <v>13.699999999999818</v>
      </c>
    </row>
    <row r="92" spans="1:6" ht="22.5" customHeight="1" x14ac:dyDescent="0.3">
      <c r="A92" s="4" t="s">
        <v>51</v>
      </c>
      <c r="B92" s="4" t="s">
        <v>7</v>
      </c>
      <c r="C92" s="4" t="s">
        <v>0</v>
      </c>
      <c r="D92" s="17">
        <v>514.20000000000005</v>
      </c>
      <c r="E92" s="17">
        <v>539.20000000000005</v>
      </c>
      <c r="F92" s="17">
        <f t="shared" ref="F92:F103" si="7">E92-D92</f>
        <v>25</v>
      </c>
    </row>
    <row r="93" spans="1:6" ht="23.1" customHeight="1" x14ac:dyDescent="0.3">
      <c r="A93" s="2" t="s">
        <v>50</v>
      </c>
      <c r="B93" s="2" t="s">
        <v>6</v>
      </c>
      <c r="C93" s="2" t="s">
        <v>1</v>
      </c>
      <c r="D93" s="15">
        <v>577</v>
      </c>
      <c r="E93" s="15">
        <v>601.20000000000005</v>
      </c>
      <c r="F93" s="15">
        <f t="shared" si="7"/>
        <v>24.200000000000045</v>
      </c>
    </row>
    <row r="94" spans="1:6" ht="23.1" customHeight="1" x14ac:dyDescent="0.3">
      <c r="A94" s="2" t="s">
        <v>50</v>
      </c>
      <c r="B94" s="2" t="s">
        <v>6</v>
      </c>
      <c r="C94" s="2" t="s">
        <v>2</v>
      </c>
      <c r="D94" s="15">
        <v>502.6</v>
      </c>
      <c r="E94" s="15">
        <v>530.4</v>
      </c>
      <c r="F94" s="15">
        <f t="shared" si="7"/>
        <v>27.799999999999955</v>
      </c>
    </row>
    <row r="95" spans="1:6" ht="23.1" customHeight="1" x14ac:dyDescent="0.3">
      <c r="A95" s="2" t="s">
        <v>50</v>
      </c>
      <c r="B95" s="2" t="s">
        <v>6</v>
      </c>
      <c r="C95" s="2" t="s">
        <v>5</v>
      </c>
      <c r="D95" s="15">
        <v>540.79999999999995</v>
      </c>
      <c r="E95" s="15">
        <v>566.4</v>
      </c>
      <c r="F95" s="15">
        <f t="shared" si="7"/>
        <v>25.600000000000023</v>
      </c>
    </row>
    <row r="96" spans="1:6" ht="23.1" customHeight="1" x14ac:dyDescent="0.3">
      <c r="A96" s="2" t="s">
        <v>50</v>
      </c>
      <c r="B96" s="2" t="s">
        <v>11</v>
      </c>
      <c r="C96" s="2" t="s">
        <v>33</v>
      </c>
      <c r="D96" s="15">
        <v>1172</v>
      </c>
      <c r="E96" s="15">
        <v>1224.2</v>
      </c>
      <c r="F96" s="15">
        <f t="shared" si="7"/>
        <v>52.200000000000045</v>
      </c>
    </row>
    <row r="97" spans="1:6" ht="23.1" customHeight="1" x14ac:dyDescent="0.3">
      <c r="A97" s="2" t="s">
        <v>50</v>
      </c>
      <c r="B97" s="2" t="s">
        <v>10</v>
      </c>
      <c r="C97" s="2" t="s">
        <v>34</v>
      </c>
      <c r="D97" s="15">
        <v>1179.7</v>
      </c>
      <c r="E97" s="15">
        <v>1222.7</v>
      </c>
      <c r="F97" s="15">
        <f t="shared" si="7"/>
        <v>43</v>
      </c>
    </row>
    <row r="98" spans="1:6" ht="23.1" customHeight="1" x14ac:dyDescent="0.3">
      <c r="A98" s="2" t="s">
        <v>50</v>
      </c>
      <c r="B98" s="2" t="s">
        <v>10</v>
      </c>
      <c r="C98" s="2" t="s">
        <v>35</v>
      </c>
      <c r="D98" s="15">
        <v>1077.5999999999999</v>
      </c>
      <c r="E98" s="15">
        <v>1136.5999999999999</v>
      </c>
      <c r="F98" s="15">
        <f t="shared" si="7"/>
        <v>59</v>
      </c>
    </row>
    <row r="99" spans="1:6" ht="23.1" customHeight="1" x14ac:dyDescent="0.3">
      <c r="A99" s="2" t="s">
        <v>50</v>
      </c>
      <c r="B99" s="2" t="s">
        <v>10</v>
      </c>
      <c r="C99" s="2" t="s">
        <v>36</v>
      </c>
      <c r="D99" s="15">
        <v>1179.2</v>
      </c>
      <c r="E99" s="15">
        <v>1239.4000000000001</v>
      </c>
      <c r="F99" s="15">
        <f t="shared" si="7"/>
        <v>60.200000000000045</v>
      </c>
    </row>
    <row r="100" spans="1:6" ht="23.1" customHeight="1" x14ac:dyDescent="0.3">
      <c r="A100" s="2" t="s">
        <v>50</v>
      </c>
      <c r="B100" s="2" t="s">
        <v>32</v>
      </c>
      <c r="C100" s="2" t="s">
        <v>0</v>
      </c>
      <c r="D100" s="15">
        <v>753</v>
      </c>
      <c r="E100" s="15">
        <v>773.6</v>
      </c>
      <c r="F100" s="15">
        <f t="shared" si="7"/>
        <v>20.600000000000023</v>
      </c>
    </row>
    <row r="101" spans="1:6" ht="23.1" customHeight="1" x14ac:dyDescent="0.3">
      <c r="A101" s="2" t="s">
        <v>50</v>
      </c>
      <c r="B101" s="2" t="s">
        <v>32</v>
      </c>
      <c r="C101" s="2" t="s">
        <v>1</v>
      </c>
      <c r="D101" s="15">
        <v>967.2</v>
      </c>
      <c r="E101" s="15">
        <v>989.3</v>
      </c>
      <c r="F101" s="15">
        <f t="shared" si="7"/>
        <v>22.099999999999909</v>
      </c>
    </row>
    <row r="102" spans="1:6" ht="23.1" customHeight="1" x14ac:dyDescent="0.3">
      <c r="A102" s="2" t="s">
        <v>50</v>
      </c>
      <c r="B102" s="2" t="s">
        <v>32</v>
      </c>
      <c r="C102" s="2" t="s">
        <v>2</v>
      </c>
      <c r="D102" s="15">
        <v>1008.1</v>
      </c>
      <c r="E102" s="15">
        <v>1033.9000000000001</v>
      </c>
      <c r="F102" s="15">
        <f t="shared" si="7"/>
        <v>25.800000000000068</v>
      </c>
    </row>
    <row r="103" spans="1:6" ht="23.1" customHeight="1" thickBot="1" x14ac:dyDescent="0.35">
      <c r="A103" s="9" t="s">
        <v>50</v>
      </c>
      <c r="B103" s="9" t="s">
        <v>32</v>
      </c>
      <c r="C103" s="9" t="s">
        <v>5</v>
      </c>
      <c r="D103" s="18">
        <v>1088.3</v>
      </c>
      <c r="E103" s="18">
        <v>1117</v>
      </c>
      <c r="F103" s="18">
        <f t="shared" si="7"/>
        <v>28.700000000000045</v>
      </c>
    </row>
    <row r="104" spans="1:6" ht="22.5" customHeight="1" x14ac:dyDescent="0.3">
      <c r="A104" s="5" t="s">
        <v>54</v>
      </c>
      <c r="B104" s="5" t="s">
        <v>7</v>
      </c>
      <c r="C104" s="5" t="s">
        <v>0</v>
      </c>
      <c r="D104" s="14">
        <v>524.9</v>
      </c>
      <c r="E104" s="14">
        <v>535.1</v>
      </c>
      <c r="F104" s="14">
        <f t="shared" ref="F104:F115" si="8">E104-D104</f>
        <v>10.200000000000045</v>
      </c>
    </row>
    <row r="105" spans="1:6" ht="23.1" customHeight="1" x14ac:dyDescent="0.3">
      <c r="A105" s="2" t="s">
        <v>53</v>
      </c>
      <c r="B105" s="2" t="s">
        <v>6</v>
      </c>
      <c r="C105" s="2" t="s">
        <v>1</v>
      </c>
      <c r="D105" s="15">
        <v>583.6</v>
      </c>
      <c r="E105" s="15">
        <v>593.4</v>
      </c>
      <c r="F105" s="15">
        <f t="shared" si="8"/>
        <v>9.7999999999999545</v>
      </c>
    </row>
    <row r="106" spans="1:6" ht="23.1" customHeight="1" x14ac:dyDescent="0.3">
      <c r="A106" s="2" t="s">
        <v>53</v>
      </c>
      <c r="B106" s="2" t="s">
        <v>6</v>
      </c>
      <c r="C106" s="2" t="s">
        <v>2</v>
      </c>
      <c r="D106" s="15">
        <v>516.4</v>
      </c>
      <c r="E106" s="15">
        <v>530</v>
      </c>
      <c r="F106" s="15">
        <f t="shared" si="8"/>
        <v>13.600000000000023</v>
      </c>
    </row>
    <row r="107" spans="1:6" ht="23.1" customHeight="1" x14ac:dyDescent="0.3">
      <c r="A107" s="2" t="s">
        <v>53</v>
      </c>
      <c r="B107" s="2" t="s">
        <v>6</v>
      </c>
      <c r="C107" s="2" t="s">
        <v>5</v>
      </c>
      <c r="D107" s="15">
        <v>551</v>
      </c>
      <c r="E107" s="15">
        <v>562.20000000000005</v>
      </c>
      <c r="F107" s="15">
        <f t="shared" si="8"/>
        <v>11.200000000000045</v>
      </c>
    </row>
    <row r="108" spans="1:6" ht="23.1" customHeight="1" x14ac:dyDescent="0.3">
      <c r="A108" s="2" t="s">
        <v>53</v>
      </c>
      <c r="B108" s="2" t="s">
        <v>11</v>
      </c>
      <c r="C108" s="2" t="s">
        <v>33</v>
      </c>
      <c r="D108" s="15">
        <v>1210.5999999999999</v>
      </c>
      <c r="E108" s="15">
        <v>1231.2</v>
      </c>
      <c r="F108" s="15">
        <f t="shared" si="8"/>
        <v>20.600000000000136</v>
      </c>
    </row>
    <row r="109" spans="1:6" ht="23.1" customHeight="1" x14ac:dyDescent="0.3">
      <c r="A109" s="2" t="s">
        <v>53</v>
      </c>
      <c r="B109" s="2" t="s">
        <v>10</v>
      </c>
      <c r="C109" s="2" t="s">
        <v>34</v>
      </c>
      <c r="D109" s="15">
        <v>1210.5999999999999</v>
      </c>
      <c r="E109" s="15">
        <v>1229.3</v>
      </c>
      <c r="F109" s="15">
        <f t="shared" si="8"/>
        <v>18.700000000000045</v>
      </c>
    </row>
    <row r="110" spans="1:6" ht="23.1" customHeight="1" x14ac:dyDescent="0.3">
      <c r="A110" s="2" t="s">
        <v>53</v>
      </c>
      <c r="B110" s="2" t="s">
        <v>10</v>
      </c>
      <c r="C110" s="2" t="s">
        <v>35</v>
      </c>
      <c r="D110" s="15">
        <v>1119.0999999999999</v>
      </c>
      <c r="E110" s="15">
        <v>1141.0999999999999</v>
      </c>
      <c r="F110" s="15">
        <f t="shared" si="8"/>
        <v>22</v>
      </c>
    </row>
    <row r="111" spans="1:6" ht="23.1" customHeight="1" x14ac:dyDescent="0.3">
      <c r="A111" s="2" t="s">
        <v>53</v>
      </c>
      <c r="B111" s="2" t="s">
        <v>10</v>
      </c>
      <c r="C111" s="2" t="s">
        <v>36</v>
      </c>
      <c r="D111" s="15">
        <v>1222</v>
      </c>
      <c r="E111" s="15">
        <v>1245.3</v>
      </c>
      <c r="F111" s="15">
        <f t="shared" si="8"/>
        <v>23.299999999999955</v>
      </c>
    </row>
    <row r="112" spans="1:6" ht="23.1" customHeight="1" x14ac:dyDescent="0.3">
      <c r="A112" s="2" t="s">
        <v>53</v>
      </c>
      <c r="B112" s="2" t="s">
        <v>32</v>
      </c>
      <c r="C112" s="2" t="s">
        <v>0</v>
      </c>
      <c r="D112" s="15">
        <v>757</v>
      </c>
      <c r="E112" s="15">
        <v>765.8</v>
      </c>
      <c r="F112" s="15">
        <f t="shared" si="8"/>
        <v>8.7999999999999545</v>
      </c>
    </row>
    <row r="113" spans="1:6" ht="23.1" customHeight="1" x14ac:dyDescent="0.3">
      <c r="A113" s="2" t="s">
        <v>53</v>
      </c>
      <c r="B113" s="2" t="s">
        <v>32</v>
      </c>
      <c r="C113" s="2" t="s">
        <v>57</v>
      </c>
      <c r="D113" s="15">
        <v>975.5</v>
      </c>
      <c r="E113" s="15">
        <v>984.7</v>
      </c>
      <c r="F113" s="15">
        <f t="shared" si="8"/>
        <v>9.2000000000000455</v>
      </c>
    </row>
    <row r="114" spans="1:6" ht="23.1" customHeight="1" x14ac:dyDescent="0.3">
      <c r="A114" s="2" t="s">
        <v>53</v>
      </c>
      <c r="B114" s="2" t="s">
        <v>32</v>
      </c>
      <c r="C114" s="2" t="s">
        <v>2</v>
      </c>
      <c r="D114" s="15">
        <v>1019.3</v>
      </c>
      <c r="E114" s="15">
        <v>1031.7</v>
      </c>
      <c r="F114" s="15">
        <f t="shared" si="8"/>
        <v>12.400000000000091</v>
      </c>
    </row>
    <row r="115" spans="1:6" ht="23.1" customHeight="1" thickBot="1" x14ac:dyDescent="0.35">
      <c r="A115" s="2" t="s">
        <v>53</v>
      </c>
      <c r="B115" s="2" t="s">
        <v>32</v>
      </c>
      <c r="C115" s="2" t="s">
        <v>5</v>
      </c>
      <c r="D115" s="15">
        <v>1103.5999999999999</v>
      </c>
      <c r="E115" s="15">
        <v>1118.4000000000001</v>
      </c>
      <c r="F115" s="15">
        <f t="shared" si="8"/>
        <v>14.800000000000182</v>
      </c>
    </row>
    <row r="116" spans="1:6" ht="22.5" customHeight="1" x14ac:dyDescent="0.3">
      <c r="A116" s="5" t="s">
        <v>56</v>
      </c>
      <c r="B116" s="5" t="s">
        <v>7</v>
      </c>
      <c r="C116" s="5" t="s">
        <v>0</v>
      </c>
      <c r="D116" s="14">
        <v>494.1</v>
      </c>
      <c r="E116" s="14">
        <v>540.29999999999995</v>
      </c>
      <c r="F116" s="14">
        <f t="shared" ref="F116:F127" si="9">E116-D116</f>
        <v>46.199999999999932</v>
      </c>
    </row>
    <row r="117" spans="1:6" ht="23.1" customHeight="1" x14ac:dyDescent="0.3">
      <c r="A117" s="2" t="s">
        <v>55</v>
      </c>
      <c r="B117" s="2" t="s">
        <v>6</v>
      </c>
      <c r="C117" s="2" t="s">
        <v>1</v>
      </c>
      <c r="D117" s="15">
        <v>529.70000000000005</v>
      </c>
      <c r="E117" s="15">
        <v>574.4</v>
      </c>
      <c r="F117" s="15">
        <f t="shared" si="9"/>
        <v>44.699999999999932</v>
      </c>
    </row>
    <row r="118" spans="1:6" ht="23.1" customHeight="1" x14ac:dyDescent="0.3">
      <c r="A118" s="2" t="s">
        <v>55</v>
      </c>
      <c r="B118" s="2" t="s">
        <v>6</v>
      </c>
      <c r="C118" s="2" t="s">
        <v>2</v>
      </c>
      <c r="D118" s="15">
        <v>464.3</v>
      </c>
      <c r="E118" s="15">
        <v>511.8</v>
      </c>
      <c r="F118" s="15">
        <f t="shared" si="9"/>
        <v>47.5</v>
      </c>
    </row>
    <row r="119" spans="1:6" ht="23.1" customHeight="1" x14ac:dyDescent="0.3">
      <c r="A119" s="2" t="s">
        <v>55</v>
      </c>
      <c r="B119" s="2" t="s">
        <v>6</v>
      </c>
      <c r="C119" s="2" t="s">
        <v>5</v>
      </c>
      <c r="D119" s="15">
        <v>502.5</v>
      </c>
      <c r="E119" s="15">
        <v>548</v>
      </c>
      <c r="F119" s="15">
        <f t="shared" si="9"/>
        <v>45.5</v>
      </c>
    </row>
    <row r="120" spans="1:6" ht="23.1" customHeight="1" x14ac:dyDescent="0.3">
      <c r="A120" s="2" t="s">
        <v>55</v>
      </c>
      <c r="B120" s="2" t="s">
        <v>11</v>
      </c>
      <c r="C120" s="2" t="s">
        <v>33</v>
      </c>
      <c r="D120" s="15">
        <v>1160.7</v>
      </c>
      <c r="E120" s="15">
        <v>1231.0999999999999</v>
      </c>
      <c r="F120" s="15">
        <f t="shared" si="9"/>
        <v>70.399999999999864</v>
      </c>
    </row>
    <row r="121" spans="1:6" ht="23.1" customHeight="1" x14ac:dyDescent="0.3">
      <c r="A121" s="2" t="s">
        <v>55</v>
      </c>
      <c r="B121" s="2" t="s">
        <v>10</v>
      </c>
      <c r="C121" s="2" t="s">
        <v>34</v>
      </c>
      <c r="D121" s="15">
        <v>1160.7</v>
      </c>
      <c r="E121" s="15">
        <v>1223.5999999999999</v>
      </c>
      <c r="F121" s="15">
        <f t="shared" si="9"/>
        <v>62.899999999999864</v>
      </c>
    </row>
    <row r="122" spans="1:6" ht="23.1" customHeight="1" x14ac:dyDescent="0.3">
      <c r="A122" s="2" t="s">
        <v>55</v>
      </c>
      <c r="B122" s="2" t="s">
        <v>10</v>
      </c>
      <c r="C122" s="2" t="s">
        <v>35</v>
      </c>
      <c r="D122" s="15">
        <v>1040.4000000000001</v>
      </c>
      <c r="E122" s="15">
        <v>1129.2</v>
      </c>
      <c r="F122" s="15">
        <f t="shared" si="9"/>
        <v>88.799999999999955</v>
      </c>
    </row>
    <row r="123" spans="1:6" ht="23.1" customHeight="1" x14ac:dyDescent="0.3">
      <c r="A123" s="2" t="s">
        <v>55</v>
      </c>
      <c r="B123" s="2" t="s">
        <v>10</v>
      </c>
      <c r="C123" s="2" t="s">
        <v>36</v>
      </c>
      <c r="D123" s="15">
        <v>1142.5999999999999</v>
      </c>
      <c r="E123" s="15">
        <v>1239.2</v>
      </c>
      <c r="F123" s="15">
        <f t="shared" si="9"/>
        <v>96.600000000000136</v>
      </c>
    </row>
    <row r="124" spans="1:6" ht="23.1" customHeight="1" x14ac:dyDescent="0.3">
      <c r="A124" s="2" t="s">
        <v>55</v>
      </c>
      <c r="B124" s="2" t="s">
        <v>32</v>
      </c>
      <c r="C124" s="2" t="s">
        <v>0</v>
      </c>
      <c r="D124" s="15">
        <v>675.7</v>
      </c>
      <c r="E124" s="15">
        <v>713.5</v>
      </c>
      <c r="F124" s="15">
        <f t="shared" si="9"/>
        <v>37.799999999999955</v>
      </c>
    </row>
    <row r="125" spans="1:6" ht="23.1" customHeight="1" x14ac:dyDescent="0.3">
      <c r="A125" s="2" t="s">
        <v>55</v>
      </c>
      <c r="B125" s="2" t="s">
        <v>32</v>
      </c>
      <c r="C125" s="2" t="s">
        <v>1</v>
      </c>
      <c r="D125" s="15">
        <v>915.5</v>
      </c>
      <c r="E125" s="15">
        <v>954.6</v>
      </c>
      <c r="F125" s="15">
        <f t="shared" si="9"/>
        <v>39.100000000000023</v>
      </c>
    </row>
    <row r="126" spans="1:6" ht="23.1" customHeight="1" x14ac:dyDescent="0.3">
      <c r="A126" s="2" t="s">
        <v>55</v>
      </c>
      <c r="B126" s="2" t="s">
        <v>32</v>
      </c>
      <c r="C126" s="2" t="s">
        <v>2</v>
      </c>
      <c r="D126" s="15">
        <v>960</v>
      </c>
      <c r="E126" s="15">
        <v>1002.7</v>
      </c>
      <c r="F126" s="15">
        <f t="shared" si="9"/>
        <v>42.700000000000045</v>
      </c>
    </row>
    <row r="127" spans="1:6" ht="23.1" customHeight="1" thickBot="1" x14ac:dyDescent="0.35">
      <c r="A127" s="2" t="s">
        <v>55</v>
      </c>
      <c r="B127" s="2" t="s">
        <v>32</v>
      </c>
      <c r="C127" s="2" t="s">
        <v>5</v>
      </c>
      <c r="D127" s="15">
        <v>1038.5</v>
      </c>
      <c r="E127" s="15">
        <v>1088.9000000000001</v>
      </c>
      <c r="F127" s="15">
        <f t="shared" si="9"/>
        <v>50.400000000000091</v>
      </c>
    </row>
    <row r="128" spans="1:6" ht="22.5" customHeight="1" x14ac:dyDescent="0.3">
      <c r="A128" s="5" t="s">
        <v>59</v>
      </c>
      <c r="B128" s="5" t="s">
        <v>7</v>
      </c>
      <c r="C128" s="5" t="s">
        <v>0</v>
      </c>
      <c r="D128" s="14">
        <v>504.6</v>
      </c>
      <c r="E128" s="14">
        <f>D128</f>
        <v>504.6</v>
      </c>
      <c r="F128" s="14">
        <f t="shared" ref="F128:F139" si="10">E128-D128</f>
        <v>0</v>
      </c>
    </row>
    <row r="129" spans="1:6" ht="23.1" customHeight="1" x14ac:dyDescent="0.3">
      <c r="A129" s="2" t="s">
        <v>58</v>
      </c>
      <c r="B129" s="2" t="s">
        <v>6</v>
      </c>
      <c r="C129" s="2" t="s">
        <v>1</v>
      </c>
      <c r="D129" s="15">
        <v>538.5</v>
      </c>
      <c r="E129" s="15">
        <f t="shared" ref="E129:E139" si="11">D129</f>
        <v>538.5</v>
      </c>
      <c r="F129" s="15">
        <f>E129-D129</f>
        <v>0</v>
      </c>
    </row>
    <row r="130" spans="1:6" ht="23.1" customHeight="1" x14ac:dyDescent="0.3">
      <c r="A130" s="2" t="s">
        <v>58</v>
      </c>
      <c r="B130" s="2" t="s">
        <v>6</v>
      </c>
      <c r="C130" s="2" t="s">
        <v>2</v>
      </c>
      <c r="D130" s="15">
        <v>458.8</v>
      </c>
      <c r="E130" s="15">
        <f t="shared" si="11"/>
        <v>458.8</v>
      </c>
      <c r="F130" s="15">
        <f t="shared" si="10"/>
        <v>0</v>
      </c>
    </row>
    <row r="131" spans="1:6" ht="23.1" customHeight="1" x14ac:dyDescent="0.3">
      <c r="A131" s="2" t="s">
        <v>58</v>
      </c>
      <c r="B131" s="2" t="s">
        <v>6</v>
      </c>
      <c r="C131" s="2" t="s">
        <v>5</v>
      </c>
      <c r="D131" s="15">
        <v>501.4</v>
      </c>
      <c r="E131" s="15">
        <f t="shared" si="11"/>
        <v>501.4</v>
      </c>
      <c r="F131" s="15">
        <f t="shared" si="10"/>
        <v>0</v>
      </c>
    </row>
    <row r="132" spans="1:6" ht="23.1" customHeight="1" x14ac:dyDescent="0.3">
      <c r="A132" s="2" t="s">
        <v>58</v>
      </c>
      <c r="B132" s="2" t="s">
        <v>11</v>
      </c>
      <c r="C132" s="2" t="s">
        <v>33</v>
      </c>
      <c r="D132" s="15">
        <v>1151.8</v>
      </c>
      <c r="E132" s="15">
        <f t="shared" si="11"/>
        <v>1151.8</v>
      </c>
      <c r="F132" s="15">
        <f t="shared" si="10"/>
        <v>0</v>
      </c>
    </row>
    <row r="133" spans="1:6" ht="23.1" customHeight="1" x14ac:dyDescent="0.3">
      <c r="A133" s="2" t="s">
        <v>58</v>
      </c>
      <c r="B133" s="2" t="s">
        <v>10</v>
      </c>
      <c r="C133" s="2" t="s">
        <v>34</v>
      </c>
      <c r="D133" s="15">
        <v>1146</v>
      </c>
      <c r="E133" s="15">
        <f t="shared" si="11"/>
        <v>1146</v>
      </c>
      <c r="F133" s="15">
        <f t="shared" si="10"/>
        <v>0</v>
      </c>
    </row>
    <row r="134" spans="1:6" ht="23.1" customHeight="1" x14ac:dyDescent="0.3">
      <c r="A134" s="2" t="s">
        <v>58</v>
      </c>
      <c r="B134" s="2" t="s">
        <v>10</v>
      </c>
      <c r="C134" s="2" t="s">
        <v>35</v>
      </c>
      <c r="D134" s="15">
        <v>1018.2</v>
      </c>
      <c r="E134" s="15">
        <f t="shared" si="11"/>
        <v>1018.2</v>
      </c>
      <c r="F134" s="15">
        <f t="shared" si="10"/>
        <v>0</v>
      </c>
    </row>
    <row r="135" spans="1:6" ht="23.1" customHeight="1" x14ac:dyDescent="0.3">
      <c r="A135" s="2" t="s">
        <v>58</v>
      </c>
      <c r="B135" s="2" t="s">
        <v>10</v>
      </c>
      <c r="C135" s="2" t="s">
        <v>36</v>
      </c>
      <c r="D135" s="15">
        <v>1123.3</v>
      </c>
      <c r="E135" s="15">
        <f t="shared" si="11"/>
        <v>1123.3</v>
      </c>
      <c r="F135" s="15">
        <f t="shared" si="10"/>
        <v>0</v>
      </c>
    </row>
    <row r="136" spans="1:6" ht="23.1" customHeight="1" x14ac:dyDescent="0.3">
      <c r="A136" s="2" t="s">
        <v>58</v>
      </c>
      <c r="B136" s="2" t="s">
        <v>32</v>
      </c>
      <c r="C136" s="2" t="s">
        <v>0</v>
      </c>
      <c r="D136" s="15">
        <v>618.5</v>
      </c>
      <c r="E136" s="15">
        <f t="shared" si="11"/>
        <v>618.5</v>
      </c>
      <c r="F136" s="15">
        <f t="shared" si="10"/>
        <v>0</v>
      </c>
    </row>
    <row r="137" spans="1:6" ht="23.1" customHeight="1" x14ac:dyDescent="0.3">
      <c r="A137" s="2" t="s">
        <v>58</v>
      </c>
      <c r="B137" s="2" t="s">
        <v>32</v>
      </c>
      <c r="C137" s="2" t="s">
        <v>1</v>
      </c>
      <c r="D137" s="15">
        <v>878.2</v>
      </c>
      <c r="E137" s="15">
        <f t="shared" si="11"/>
        <v>878.2</v>
      </c>
      <c r="F137" s="15">
        <f t="shared" si="10"/>
        <v>0</v>
      </c>
    </row>
    <row r="138" spans="1:6" ht="23.1" customHeight="1" x14ac:dyDescent="0.3">
      <c r="A138" s="2" t="s">
        <v>58</v>
      </c>
      <c r="B138" s="2" t="s">
        <v>32</v>
      </c>
      <c r="C138" s="2" t="s">
        <v>2</v>
      </c>
      <c r="D138" s="15">
        <v>926.2</v>
      </c>
      <c r="E138" s="15">
        <f t="shared" si="11"/>
        <v>926.2</v>
      </c>
      <c r="F138" s="15">
        <f t="shared" si="10"/>
        <v>0</v>
      </c>
    </row>
    <row r="139" spans="1:6" ht="23.1" customHeight="1" x14ac:dyDescent="0.3">
      <c r="A139" s="2" t="s">
        <v>58</v>
      </c>
      <c r="B139" s="2" t="s">
        <v>32</v>
      </c>
      <c r="C139" s="2" t="s">
        <v>5</v>
      </c>
      <c r="D139" s="15">
        <v>1000</v>
      </c>
      <c r="E139" s="15">
        <f t="shared" si="11"/>
        <v>1000</v>
      </c>
      <c r="F139" s="15">
        <f t="shared" si="10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E3C6-7058-4560-976B-495278F38009}">
  <dimension ref="A1:F13"/>
  <sheetViews>
    <sheetView workbookViewId="0">
      <pane ySplit="1" topLeftCell="A2" activePane="bottomLeft" state="frozen"/>
      <selection pane="bottomLeft" activeCell="G1" sqref="G1"/>
    </sheetView>
  </sheetViews>
  <sheetFormatPr defaultRowHeight="16.5" x14ac:dyDescent="0.3"/>
  <cols>
    <col min="1" max="2" width="10" customWidth="1"/>
    <col min="3" max="4" width="10.375" style="20" customWidth="1"/>
    <col min="5" max="5" width="14.25" style="20" customWidth="1"/>
    <col min="6" max="6" width="12.375" style="23" customWidth="1"/>
  </cols>
  <sheetData>
    <row r="1" spans="1:6" s="1" customFormat="1" ht="23.1" customHeight="1" thickBot="1" x14ac:dyDescent="0.35">
      <c r="A1" s="12" t="s">
        <v>13</v>
      </c>
      <c r="B1" s="12" t="s">
        <v>3</v>
      </c>
      <c r="C1" s="12" t="s">
        <v>39</v>
      </c>
      <c r="D1" s="12" t="s">
        <v>40</v>
      </c>
      <c r="E1" s="12" t="s">
        <v>21</v>
      </c>
      <c r="F1" s="13" t="s">
        <v>38</v>
      </c>
    </row>
    <row r="2" spans="1:6" ht="22.5" customHeight="1" x14ac:dyDescent="0.3">
      <c r="A2" s="5" t="s">
        <v>22</v>
      </c>
      <c r="B2" s="5" t="s">
        <v>9</v>
      </c>
      <c r="C2" s="14">
        <v>5.2460000000000004</v>
      </c>
      <c r="D2" s="14">
        <v>5.7910000000000004</v>
      </c>
      <c r="E2" s="14">
        <f>(D2-C2)*1000</f>
        <v>544.99999999999989</v>
      </c>
      <c r="F2" s="21">
        <f>E2/4</f>
        <v>136.24999999999997</v>
      </c>
    </row>
    <row r="3" spans="1:6" ht="22.5" customHeight="1" x14ac:dyDescent="0.3">
      <c r="A3" s="2" t="s">
        <v>23</v>
      </c>
      <c r="B3" s="2" t="s">
        <v>9</v>
      </c>
      <c r="C3" s="15">
        <v>5.5209999999999999</v>
      </c>
      <c r="D3" s="15">
        <v>5.891</v>
      </c>
      <c r="E3" s="15">
        <f t="shared" ref="E3:E7" si="0">(D3-C3)*1000</f>
        <v>370.00000000000011</v>
      </c>
      <c r="F3" s="22">
        <f t="shared" ref="F3:F5" si="1">E3/4</f>
        <v>92.500000000000028</v>
      </c>
    </row>
    <row r="4" spans="1:6" ht="22.5" customHeight="1" x14ac:dyDescent="0.3">
      <c r="A4" s="2" t="s">
        <v>25</v>
      </c>
      <c r="B4" s="2" t="s">
        <v>9</v>
      </c>
      <c r="C4" s="15">
        <v>5.5049999999999999</v>
      </c>
      <c r="D4" s="15">
        <v>5.875</v>
      </c>
      <c r="E4" s="15">
        <f t="shared" si="0"/>
        <v>370.00000000000011</v>
      </c>
      <c r="F4" s="22">
        <f t="shared" si="1"/>
        <v>92.500000000000028</v>
      </c>
    </row>
    <row r="5" spans="1:6" ht="22.5" customHeight="1" x14ac:dyDescent="0.3">
      <c r="A5" s="2" t="s">
        <v>29</v>
      </c>
      <c r="B5" s="2" t="s">
        <v>9</v>
      </c>
      <c r="C5" s="15">
        <v>5.3010000000000002</v>
      </c>
      <c r="D5" s="15">
        <v>5.9029999999999996</v>
      </c>
      <c r="E5" s="15">
        <f t="shared" si="0"/>
        <v>601.99999999999943</v>
      </c>
      <c r="F5" s="22">
        <f t="shared" si="1"/>
        <v>150.49999999999986</v>
      </c>
    </row>
    <row r="6" spans="1:6" ht="22.5" customHeight="1" x14ac:dyDescent="0.3">
      <c r="A6" s="2" t="s">
        <v>42</v>
      </c>
      <c r="B6" s="2" t="s">
        <v>9</v>
      </c>
      <c r="C6" s="15">
        <v>5.3460000000000001</v>
      </c>
      <c r="D6" s="15">
        <v>5.8390000000000004</v>
      </c>
      <c r="E6" s="15">
        <f t="shared" si="0"/>
        <v>493.00000000000034</v>
      </c>
      <c r="F6" s="22">
        <f t="shared" ref="F6" si="2">E6/4</f>
        <v>123.25000000000009</v>
      </c>
    </row>
    <row r="7" spans="1:6" ht="22.5" customHeight="1" x14ac:dyDescent="0.3">
      <c r="A7" s="2" t="s">
        <v>44</v>
      </c>
      <c r="B7" s="2" t="s">
        <v>9</v>
      </c>
      <c r="C7" s="15">
        <v>5.3449999999999998</v>
      </c>
      <c r="D7" s="15">
        <v>5.8319999999999999</v>
      </c>
      <c r="E7" s="15">
        <f t="shared" si="0"/>
        <v>487.00000000000011</v>
      </c>
      <c r="F7" s="22">
        <f t="shared" ref="F7" si="3">E7/4</f>
        <v>121.75000000000003</v>
      </c>
    </row>
    <row r="8" spans="1:6" ht="22.5" customHeight="1" x14ac:dyDescent="0.3">
      <c r="A8" s="2" t="s">
        <v>46</v>
      </c>
      <c r="B8" s="2" t="s">
        <v>9</v>
      </c>
      <c r="C8" s="15">
        <v>5.3630000000000004</v>
      </c>
      <c r="D8" s="15">
        <v>5.8220000000000001</v>
      </c>
      <c r="E8" s="15">
        <f t="shared" ref="E8" si="4">(D8-C8)*1000</f>
        <v>458.99999999999966</v>
      </c>
      <c r="F8" s="22">
        <f t="shared" ref="F8" si="5">E8/4</f>
        <v>114.74999999999991</v>
      </c>
    </row>
    <row r="9" spans="1:6" ht="22.5" customHeight="1" x14ac:dyDescent="0.3">
      <c r="A9" s="2" t="s">
        <v>48</v>
      </c>
      <c r="B9" s="2" t="s">
        <v>9</v>
      </c>
      <c r="C9" s="15">
        <v>6.0060000000000002</v>
      </c>
      <c r="D9" s="15">
        <v>6.1230000000000002</v>
      </c>
      <c r="E9" s="15">
        <f t="shared" ref="E9:E10" si="6">(D9-C9)*1000</f>
        <v>117</v>
      </c>
      <c r="F9" s="22">
        <f t="shared" ref="F9:F10" si="7">E9/4</f>
        <v>29.25</v>
      </c>
    </row>
    <row r="10" spans="1:6" ht="22.5" customHeight="1" x14ac:dyDescent="0.3">
      <c r="A10" s="2" t="s">
        <v>50</v>
      </c>
      <c r="B10" s="2" t="s">
        <v>9</v>
      </c>
      <c r="C10" s="15">
        <v>5.8570000000000002</v>
      </c>
      <c r="D10" s="15">
        <v>6.1059999999999999</v>
      </c>
      <c r="E10" s="15">
        <f t="shared" si="6"/>
        <v>248.99999999999966</v>
      </c>
      <c r="F10" s="22">
        <f t="shared" si="7"/>
        <v>62.249999999999915</v>
      </c>
    </row>
    <row r="11" spans="1:6" ht="22.5" customHeight="1" x14ac:dyDescent="0.3">
      <c r="A11" s="2" t="s">
        <v>54</v>
      </c>
      <c r="B11" s="2" t="s">
        <v>9</v>
      </c>
      <c r="C11" s="15">
        <v>6.04</v>
      </c>
      <c r="D11" s="15">
        <v>6.1319999999999997</v>
      </c>
      <c r="E11" s="15">
        <f t="shared" ref="E11" si="8">(D11-C11)*1000</f>
        <v>91.999999999999631</v>
      </c>
      <c r="F11" s="22">
        <f t="shared" ref="F11" si="9">E11/4</f>
        <v>22.999999999999908</v>
      </c>
    </row>
    <row r="12" spans="1:6" ht="22.5" customHeight="1" x14ac:dyDescent="0.3">
      <c r="A12" s="2" t="s">
        <v>56</v>
      </c>
      <c r="B12" s="2" t="s">
        <v>9</v>
      </c>
      <c r="C12" s="15">
        <v>5.7149999999999999</v>
      </c>
      <c r="D12" s="15">
        <v>6.117</v>
      </c>
      <c r="E12" s="15">
        <f t="shared" ref="E12" si="10">(D12-C12)*1000</f>
        <v>402.00000000000011</v>
      </c>
      <c r="F12" s="22">
        <f t="shared" ref="F12" si="11">E12/4</f>
        <v>100.50000000000003</v>
      </c>
    </row>
    <row r="13" spans="1:6" ht="22.5" customHeight="1" x14ac:dyDescent="0.3">
      <c r="A13" s="2" t="s">
        <v>59</v>
      </c>
      <c r="B13" s="2" t="s">
        <v>9</v>
      </c>
      <c r="C13" s="15">
        <v>0</v>
      </c>
      <c r="D13" s="15">
        <v>0</v>
      </c>
      <c r="E13" s="15">
        <f t="shared" ref="E13" si="12">(D13-C13)*1000</f>
        <v>0</v>
      </c>
      <c r="F13" s="22">
        <f t="shared" ref="F13" si="13">E13/4</f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4DDC-09EA-4457-88B3-50301B3F897A}">
  <dimension ref="A1:G49"/>
  <sheetViews>
    <sheetView workbookViewId="0">
      <pane ySplit="1" topLeftCell="A2" activePane="bottomLeft" state="frozen"/>
      <selection pane="bottomLeft" activeCell="H1" sqref="H1"/>
    </sheetView>
  </sheetViews>
  <sheetFormatPr defaultRowHeight="16.5" x14ac:dyDescent="0.3"/>
  <cols>
    <col min="1" max="1" width="10" customWidth="1"/>
    <col min="2" max="2" width="10" style="1" customWidth="1"/>
    <col min="3" max="3" width="12.25" style="23" customWidth="1"/>
    <col min="4" max="4" width="10.375" style="35" customWidth="1"/>
    <col min="5" max="5" width="12.25" style="23" customWidth="1"/>
    <col min="6" max="6" width="10.625" style="20" customWidth="1"/>
    <col min="7" max="7" width="11.875" style="1" customWidth="1"/>
  </cols>
  <sheetData>
    <row r="1" spans="1:7" s="1" customFormat="1" ht="22.5" customHeight="1" thickBot="1" x14ac:dyDescent="0.35">
      <c r="A1" s="3" t="s">
        <v>13</v>
      </c>
      <c r="B1" s="3" t="s">
        <v>3</v>
      </c>
      <c r="C1" s="11" t="s">
        <v>37</v>
      </c>
      <c r="D1" s="8" t="s">
        <v>19</v>
      </c>
      <c r="E1" s="10" t="s">
        <v>38</v>
      </c>
      <c r="F1" s="7" t="s">
        <v>47</v>
      </c>
      <c r="G1" s="36" t="s">
        <v>31</v>
      </c>
    </row>
    <row r="2" spans="1:7" ht="22.5" customHeight="1" x14ac:dyDescent="0.3">
      <c r="A2" s="5" t="s">
        <v>22</v>
      </c>
      <c r="B2" s="5" t="s">
        <v>9</v>
      </c>
      <c r="C2" s="24">
        <f>AVERAGE('증산량(ETc,침ETc)'!F8:F10)</f>
        <v>128.4</v>
      </c>
      <c r="D2" s="25">
        <f>C2/0.56</f>
        <v>229.28571428571428</v>
      </c>
      <c r="E2" s="26">
        <f>'로드셀관수량(ETc)'!F2</f>
        <v>136.24999999999997</v>
      </c>
      <c r="F2" s="21">
        <f>E2-C2</f>
        <v>7.8499999999999659</v>
      </c>
      <c r="G2"/>
    </row>
    <row r="3" spans="1:7" ht="22.5" customHeight="1" x14ac:dyDescent="0.3">
      <c r="A3" s="2" t="s">
        <v>15</v>
      </c>
      <c r="B3" s="2" t="s">
        <v>7</v>
      </c>
      <c r="C3" s="27">
        <f>C2/2</f>
        <v>64.2</v>
      </c>
      <c r="D3" s="28">
        <f>C3/0.56</f>
        <v>114.64285714285714</v>
      </c>
      <c r="E3" s="29">
        <f>AVERAGE('관수량(ETc50,침ETc,침50)'!F2:F4)</f>
        <v>61.666666666666707</v>
      </c>
      <c r="F3" s="22">
        <f t="shared" ref="F3:F29" si="0">E3-C3</f>
        <v>-2.5333333333332959</v>
      </c>
      <c r="G3"/>
    </row>
    <row r="4" spans="1:7" ht="22.5" customHeight="1" x14ac:dyDescent="0.3">
      <c r="A4" s="2" t="s">
        <v>15</v>
      </c>
      <c r="B4" s="2" t="s">
        <v>11</v>
      </c>
      <c r="C4" s="27">
        <f>AVERAGE('증산량(ETc,침ETc)'!F11:F13)</f>
        <v>77.700000000000045</v>
      </c>
      <c r="D4" s="28">
        <f>C4/0.56</f>
        <v>138.75000000000006</v>
      </c>
      <c r="E4" s="30"/>
      <c r="F4" s="22">
        <f t="shared" si="0"/>
        <v>-77.700000000000045</v>
      </c>
      <c r="G4"/>
    </row>
    <row r="5" spans="1:7" ht="22.5" customHeight="1" thickBot="1" x14ac:dyDescent="0.35">
      <c r="A5" s="6" t="s">
        <v>15</v>
      </c>
      <c r="B5" s="6" t="s">
        <v>12</v>
      </c>
      <c r="C5" s="31">
        <f>C4/2</f>
        <v>38.850000000000023</v>
      </c>
      <c r="D5" s="32">
        <f>C5/0.56</f>
        <v>69.375000000000028</v>
      </c>
      <c r="E5" s="33">
        <f>AVERAGE('관수량(ETc50,침ETc,침50)'!F5:F7)</f>
        <v>43.400000000000013</v>
      </c>
      <c r="F5" s="34">
        <f t="shared" si="0"/>
        <v>4.5499999999999901</v>
      </c>
      <c r="G5"/>
    </row>
    <row r="6" spans="1:7" ht="22.5" customHeight="1" x14ac:dyDescent="0.3">
      <c r="A6" s="5" t="s">
        <v>23</v>
      </c>
      <c r="B6" s="5" t="s">
        <v>9</v>
      </c>
      <c r="C6" s="24">
        <f>AVERAGE('증산량(ETc,침ETc)'!F14:F16)</f>
        <v>85.899999999999977</v>
      </c>
      <c r="D6" s="25">
        <f>C6/0.56</f>
        <v>153.39285714285708</v>
      </c>
      <c r="E6" s="26">
        <f>'로드셀관수량(ETc)'!F3</f>
        <v>92.500000000000028</v>
      </c>
      <c r="F6" s="21">
        <f t="shared" si="0"/>
        <v>6.6000000000000512</v>
      </c>
      <c r="G6"/>
    </row>
    <row r="7" spans="1:7" ht="22.5" customHeight="1" x14ac:dyDescent="0.3">
      <c r="A7" s="2" t="s">
        <v>24</v>
      </c>
      <c r="B7" s="2" t="s">
        <v>7</v>
      </c>
      <c r="C7" s="27">
        <f>C6/2</f>
        <v>42.949999999999989</v>
      </c>
      <c r="D7" s="28">
        <f t="shared" ref="D7:D9" si="1">C7/0.56</f>
        <v>76.696428571428541</v>
      </c>
      <c r="E7" s="29">
        <f>AVERAGE('관수량(ETc50,침ETc,침50)'!F8:F11)</f>
        <v>40.675000000000011</v>
      </c>
      <c r="F7" s="22">
        <f t="shared" si="0"/>
        <v>-2.2749999999999773</v>
      </c>
      <c r="G7"/>
    </row>
    <row r="8" spans="1:7" ht="22.5" customHeight="1" x14ac:dyDescent="0.3">
      <c r="A8" s="2" t="s">
        <v>24</v>
      </c>
      <c r="B8" s="2" t="s">
        <v>11</v>
      </c>
      <c r="C8" s="27">
        <f>AVERAGE('증산량(ETc,침ETc)'!F20:F22)</f>
        <v>55.199999999999967</v>
      </c>
      <c r="D8" s="28">
        <f t="shared" si="1"/>
        <v>98.571428571428498</v>
      </c>
      <c r="E8" s="29">
        <f>AVERAGE('관수량(ETc50,침ETc,침50)'!F12:F15)</f>
        <v>27.400000000000034</v>
      </c>
      <c r="F8" s="22">
        <f t="shared" si="0"/>
        <v>-27.799999999999933</v>
      </c>
      <c r="G8"/>
    </row>
    <row r="9" spans="1:7" ht="22.5" customHeight="1" thickBot="1" x14ac:dyDescent="0.35">
      <c r="A9" s="2" t="s">
        <v>24</v>
      </c>
      <c r="B9" s="2" t="s">
        <v>12</v>
      </c>
      <c r="C9" s="27">
        <f>C8/2</f>
        <v>27.599999999999984</v>
      </c>
      <c r="D9" s="28">
        <f t="shared" si="1"/>
        <v>49.285714285714249</v>
      </c>
      <c r="E9" s="29">
        <f>AVERAGE('관수량(ETc50,침ETc,침50)'!F16:F19)</f>
        <v>24.675000000000068</v>
      </c>
      <c r="F9" s="34">
        <f t="shared" si="0"/>
        <v>-2.9249999999999154</v>
      </c>
      <c r="G9"/>
    </row>
    <row r="10" spans="1:7" ht="22.5" customHeight="1" x14ac:dyDescent="0.3">
      <c r="A10" s="5" t="s">
        <v>25</v>
      </c>
      <c r="B10" s="5" t="s">
        <v>9</v>
      </c>
      <c r="C10" s="24">
        <f>AVERAGE('증산량(ETc,침ETc)'!F26:F31)</f>
        <v>83.716666666666711</v>
      </c>
      <c r="D10" s="25">
        <f t="shared" ref="D10:D17" si="2">C10/0.56</f>
        <v>149.49404761904768</v>
      </c>
      <c r="E10" s="26">
        <f>'로드셀관수량(ETc)'!F4</f>
        <v>92.500000000000028</v>
      </c>
      <c r="F10" s="21">
        <f t="shared" si="0"/>
        <v>8.7833333333333172</v>
      </c>
      <c r="G10"/>
    </row>
    <row r="11" spans="1:7" ht="22.5" customHeight="1" x14ac:dyDescent="0.3">
      <c r="A11" s="2" t="s">
        <v>26</v>
      </c>
      <c r="B11" s="2" t="s">
        <v>7</v>
      </c>
      <c r="C11" s="27">
        <f>C10/2</f>
        <v>41.858333333333356</v>
      </c>
      <c r="D11" s="28">
        <f t="shared" si="2"/>
        <v>74.747023809523839</v>
      </c>
      <c r="E11" s="29">
        <f>AVERAGE('관수량(ETc50,침ETc,침50)'!F20:F23)</f>
        <v>37.199999999999989</v>
      </c>
      <c r="F11" s="22">
        <f t="shared" si="0"/>
        <v>-4.658333333333367</v>
      </c>
      <c r="G11"/>
    </row>
    <row r="12" spans="1:7" ht="22.5" customHeight="1" x14ac:dyDescent="0.3">
      <c r="A12" s="2" t="s">
        <v>26</v>
      </c>
      <c r="B12" s="2" t="s">
        <v>11</v>
      </c>
      <c r="C12" s="27">
        <f>AVERAGE('증산량(ETc,침ETc)'!F32:F37)</f>
        <v>70.183333333333351</v>
      </c>
      <c r="D12" s="28">
        <f t="shared" si="2"/>
        <v>125.32738095238098</v>
      </c>
      <c r="E12" s="29">
        <f>AVERAGE('관수량(ETc50,침ETc,침50)'!F24:F27)</f>
        <v>50.899999999999977</v>
      </c>
      <c r="F12" s="22">
        <f t="shared" si="0"/>
        <v>-19.283333333333374</v>
      </c>
      <c r="G12"/>
    </row>
    <row r="13" spans="1:7" ht="22.5" customHeight="1" thickBot="1" x14ac:dyDescent="0.35">
      <c r="A13" s="2" t="s">
        <v>26</v>
      </c>
      <c r="B13" s="2" t="s">
        <v>12</v>
      </c>
      <c r="C13" s="27">
        <f>C12/2</f>
        <v>35.091666666666676</v>
      </c>
      <c r="D13" s="28">
        <f t="shared" si="2"/>
        <v>62.663690476190489</v>
      </c>
      <c r="E13" s="29">
        <f>AVERAGE('관수량(ETc50,침ETc,침50)'!F28:F31)</f>
        <v>35.974999999999966</v>
      </c>
      <c r="F13" s="34">
        <f t="shared" si="0"/>
        <v>0.88333333333329023</v>
      </c>
      <c r="G13"/>
    </row>
    <row r="14" spans="1:7" ht="22.5" customHeight="1" x14ac:dyDescent="0.3">
      <c r="A14" s="5" t="s">
        <v>30</v>
      </c>
      <c r="B14" s="5" t="s">
        <v>9</v>
      </c>
      <c r="C14" s="24">
        <f>AVERAGE('증산량(ETc,침ETc)'!F38:F43)</f>
        <v>143.80000000000001</v>
      </c>
      <c r="D14" s="25">
        <f t="shared" si="2"/>
        <v>256.78571428571428</v>
      </c>
      <c r="E14" s="26">
        <f>'로드셀관수량(ETc)'!F5</f>
        <v>150.49999999999986</v>
      </c>
      <c r="F14" s="21">
        <f t="shared" si="0"/>
        <v>6.6999999999998465</v>
      </c>
      <c r="G14"/>
    </row>
    <row r="15" spans="1:7" ht="22.5" customHeight="1" x14ac:dyDescent="0.3">
      <c r="A15" s="2" t="s">
        <v>30</v>
      </c>
      <c r="B15" s="2" t="s">
        <v>7</v>
      </c>
      <c r="C15" s="27">
        <f>C14/2</f>
        <v>71.900000000000006</v>
      </c>
      <c r="D15" s="28">
        <f t="shared" si="2"/>
        <v>128.39285714285714</v>
      </c>
      <c r="E15" s="29">
        <f>AVERAGE('관수량(ETc50,침ETc,침50)'!F32:F35)</f>
        <v>65.524999999999977</v>
      </c>
      <c r="F15" s="22">
        <f t="shared" si="0"/>
        <v>-6.3750000000000284</v>
      </c>
      <c r="G15"/>
    </row>
    <row r="16" spans="1:7" ht="22.5" customHeight="1" x14ac:dyDescent="0.3">
      <c r="A16" s="2" t="s">
        <v>30</v>
      </c>
      <c r="B16" s="2" t="s">
        <v>11</v>
      </c>
      <c r="C16" s="27">
        <f>AVERAGE('증산량(ETc,침ETc)'!F44:F49)</f>
        <v>118.21666666666674</v>
      </c>
      <c r="D16" s="28">
        <f t="shared" si="2"/>
        <v>211.1011904761906</v>
      </c>
      <c r="E16" s="29">
        <f>AVERAGE('관수량(ETc50,침ETc,침50)'!F36:F39)</f>
        <v>81.949999999999989</v>
      </c>
      <c r="F16" s="22">
        <f t="shared" si="0"/>
        <v>-36.266666666666751</v>
      </c>
      <c r="G16"/>
    </row>
    <row r="17" spans="1:7" ht="22.5" customHeight="1" thickBot="1" x14ac:dyDescent="0.35">
      <c r="A17" s="2" t="s">
        <v>30</v>
      </c>
      <c r="B17" s="2" t="s">
        <v>12</v>
      </c>
      <c r="C17" s="27">
        <f>C16/2</f>
        <v>59.10833333333337</v>
      </c>
      <c r="D17" s="28">
        <f t="shared" si="2"/>
        <v>105.5505952380953</v>
      </c>
      <c r="E17" s="29">
        <f>AVERAGE('관수량(ETc50,침ETc,침50)'!F40:F43)</f>
        <v>54.574999999999932</v>
      </c>
      <c r="F17" s="34">
        <f t="shared" si="0"/>
        <v>-4.533333333333438</v>
      </c>
      <c r="G17"/>
    </row>
    <row r="18" spans="1:7" ht="22.5" customHeight="1" x14ac:dyDescent="0.3">
      <c r="A18" s="5" t="s">
        <v>42</v>
      </c>
      <c r="B18" s="5" t="s">
        <v>9</v>
      </c>
      <c r="C18" s="24">
        <f>AVERAGE('증산량(ETc,침ETc)'!F50:F55)</f>
        <v>117.91666666666667</v>
      </c>
      <c r="D18" s="25">
        <f t="shared" ref="D18:D21" si="3">C18/0.56</f>
        <v>210.56547619047618</v>
      </c>
      <c r="E18" s="26">
        <f>'로드셀관수량(ETc)'!F6</f>
        <v>123.25000000000009</v>
      </c>
      <c r="F18" s="21">
        <f t="shared" si="0"/>
        <v>5.3333333333334139</v>
      </c>
      <c r="G18"/>
    </row>
    <row r="19" spans="1:7" ht="22.5" customHeight="1" x14ac:dyDescent="0.3">
      <c r="A19" s="2" t="s">
        <v>41</v>
      </c>
      <c r="B19" s="2" t="s">
        <v>7</v>
      </c>
      <c r="C19" s="27">
        <f>C18/2</f>
        <v>58.958333333333336</v>
      </c>
      <c r="D19" s="28">
        <f t="shared" si="3"/>
        <v>105.28273809523809</v>
      </c>
      <c r="E19" s="29">
        <f>AVERAGE('관수량(ETc50,침ETc,침50)'!F44:F47)</f>
        <v>50.02500000000002</v>
      </c>
      <c r="F19" s="22">
        <f t="shared" si="0"/>
        <v>-8.9333333333333158</v>
      </c>
      <c r="G19"/>
    </row>
    <row r="20" spans="1:7" ht="22.5" customHeight="1" x14ac:dyDescent="0.3">
      <c r="A20" s="2" t="s">
        <v>41</v>
      </c>
      <c r="B20" s="2" t="s">
        <v>11</v>
      </c>
      <c r="C20" s="27">
        <f>AVERAGE('증산량(ETc,침ETc)'!F56:F61)</f>
        <v>109.54999999999995</v>
      </c>
      <c r="D20" s="28">
        <f t="shared" si="3"/>
        <v>195.62499999999989</v>
      </c>
      <c r="E20" s="29">
        <f>AVERAGE('관수량(ETc50,침ETc,침50)'!F48:F51)</f>
        <v>84.600000000000023</v>
      </c>
      <c r="F20" s="22">
        <f t="shared" si="0"/>
        <v>-24.949999999999932</v>
      </c>
      <c r="G20"/>
    </row>
    <row r="21" spans="1:7" ht="22.5" customHeight="1" thickBot="1" x14ac:dyDescent="0.35">
      <c r="A21" s="2" t="s">
        <v>41</v>
      </c>
      <c r="B21" s="2" t="s">
        <v>12</v>
      </c>
      <c r="C21" s="27">
        <f>C20/2</f>
        <v>54.774999999999977</v>
      </c>
      <c r="D21" s="28">
        <f t="shared" si="3"/>
        <v>97.812499999999943</v>
      </c>
      <c r="E21" s="29">
        <f>AVERAGE('관수량(ETc50,침ETc,침50)'!F52:F55)</f>
        <v>46.850000000000023</v>
      </c>
      <c r="F21" s="34">
        <f t="shared" si="0"/>
        <v>-7.9249999999999545</v>
      </c>
      <c r="G21"/>
    </row>
    <row r="22" spans="1:7" ht="22.5" customHeight="1" x14ac:dyDescent="0.3">
      <c r="A22" s="5" t="s">
        <v>44</v>
      </c>
      <c r="B22" s="5" t="s">
        <v>9</v>
      </c>
      <c r="C22" s="24">
        <f>AVERAGE('증산량(ETc,침ETc)'!F62:F67)</f>
        <v>107.71666666666664</v>
      </c>
      <c r="D22" s="25">
        <f t="shared" ref="D22:D25" si="4">C22/0.56</f>
        <v>192.3511904761904</v>
      </c>
      <c r="E22" s="26">
        <f>'로드셀관수량(ETc)'!F7</f>
        <v>121.75000000000003</v>
      </c>
      <c r="F22" s="21">
        <f t="shared" si="0"/>
        <v>14.033333333333388</v>
      </c>
      <c r="G22"/>
    </row>
    <row r="23" spans="1:7" ht="22.5" customHeight="1" x14ac:dyDescent="0.3">
      <c r="A23" s="2" t="s">
        <v>43</v>
      </c>
      <c r="B23" s="2" t="s">
        <v>7</v>
      </c>
      <c r="C23" s="27">
        <f>C22/2</f>
        <v>53.85833333333332</v>
      </c>
      <c r="D23" s="28">
        <f t="shared" si="4"/>
        <v>96.175595238095198</v>
      </c>
      <c r="E23" s="29">
        <f>AVERAGE('관수량(ETc50,침ETc,침50)'!F56:F59)</f>
        <v>43.125000000000057</v>
      </c>
      <c r="F23" s="22">
        <f t="shared" si="0"/>
        <v>-10.733333333333263</v>
      </c>
      <c r="G23"/>
    </row>
    <row r="24" spans="1:7" ht="22.5" customHeight="1" x14ac:dyDescent="0.3">
      <c r="A24" s="2" t="s">
        <v>43</v>
      </c>
      <c r="B24" s="2" t="s">
        <v>11</v>
      </c>
      <c r="C24" s="27">
        <f>AVERAGE('증산량(ETc,침ETc)'!F68:F73)</f>
        <v>93.150000000000134</v>
      </c>
      <c r="D24" s="28">
        <f t="shared" si="4"/>
        <v>166.33928571428595</v>
      </c>
      <c r="E24" s="29">
        <f>AVERAGE('관수량(ETc50,침ETc,침50)'!F60:F63)</f>
        <v>88.025000000000034</v>
      </c>
      <c r="F24" s="22">
        <f t="shared" si="0"/>
        <v>-5.1250000000000995</v>
      </c>
      <c r="G24"/>
    </row>
    <row r="25" spans="1:7" ht="22.5" customHeight="1" thickBot="1" x14ac:dyDescent="0.35">
      <c r="A25" s="2" t="s">
        <v>43</v>
      </c>
      <c r="B25" s="2" t="s">
        <v>12</v>
      </c>
      <c r="C25" s="27">
        <f>C24/2</f>
        <v>46.575000000000067</v>
      </c>
      <c r="D25" s="28">
        <f t="shared" si="4"/>
        <v>83.169642857142975</v>
      </c>
      <c r="E25" s="29">
        <f>AVERAGE('관수량(ETc50,침ETc,침50)'!F64:F67)</f>
        <v>44.974999999999966</v>
      </c>
      <c r="F25" s="34">
        <f t="shared" si="0"/>
        <v>-1.6000000000001009</v>
      </c>
      <c r="G25"/>
    </row>
    <row r="26" spans="1:7" ht="22.5" customHeight="1" x14ac:dyDescent="0.3">
      <c r="A26" s="5" t="s">
        <v>46</v>
      </c>
      <c r="B26" s="5" t="s">
        <v>9</v>
      </c>
      <c r="C26" s="24">
        <f>AVERAGE('증산량(ETc,침ETc)'!F74:F79)</f>
        <v>122.50000000000001</v>
      </c>
      <c r="D26" s="25">
        <f t="shared" ref="D26:D29" si="5">C26/0.56</f>
        <v>218.75</v>
      </c>
      <c r="E26" s="26">
        <f>'로드셀관수량(ETc)'!F8</f>
        <v>114.74999999999991</v>
      </c>
      <c r="F26" s="21">
        <f t="shared" si="0"/>
        <v>-7.7500000000000995</v>
      </c>
      <c r="G26" t="s">
        <v>52</v>
      </c>
    </row>
    <row r="27" spans="1:7" ht="22.5" customHeight="1" x14ac:dyDescent="0.3">
      <c r="A27" s="2" t="s">
        <v>45</v>
      </c>
      <c r="B27" s="2" t="s">
        <v>7</v>
      </c>
      <c r="C27" s="27">
        <f>C26/2</f>
        <v>61.250000000000007</v>
      </c>
      <c r="D27" s="28">
        <f t="shared" si="5"/>
        <v>109.375</v>
      </c>
      <c r="E27" s="29">
        <f>AVERAGE('관수량(ETc50,침ETc,침50)'!F68:F71)</f>
        <v>52.924999999999969</v>
      </c>
      <c r="F27" s="22">
        <f t="shared" si="0"/>
        <v>-8.3250000000000384</v>
      </c>
      <c r="G27"/>
    </row>
    <row r="28" spans="1:7" ht="22.5" customHeight="1" x14ac:dyDescent="0.3">
      <c r="A28" s="2" t="s">
        <v>45</v>
      </c>
      <c r="B28" s="2" t="s">
        <v>11</v>
      </c>
      <c r="C28" s="27">
        <f>AVERAGE('증산량(ETc,침ETc)'!F80:F85)</f>
        <v>89.333333333333329</v>
      </c>
      <c r="D28" s="28">
        <f t="shared" si="5"/>
        <v>159.52380952380949</v>
      </c>
      <c r="E28" s="29">
        <f>AVERAGE('관수량(ETc50,침ETc,침50)'!F72:F75)</f>
        <v>71.850000000000023</v>
      </c>
      <c r="F28" s="22">
        <f t="shared" si="0"/>
        <v>-17.483333333333306</v>
      </c>
      <c r="G28"/>
    </row>
    <row r="29" spans="1:7" ht="22.5" customHeight="1" thickBot="1" x14ac:dyDescent="0.35">
      <c r="A29" s="2" t="s">
        <v>45</v>
      </c>
      <c r="B29" s="2" t="s">
        <v>12</v>
      </c>
      <c r="C29" s="27">
        <f>C28/2</f>
        <v>44.666666666666664</v>
      </c>
      <c r="D29" s="28">
        <f t="shared" si="5"/>
        <v>79.761904761904745</v>
      </c>
      <c r="E29" s="29">
        <f>AVERAGE('관수량(ETc50,침ETc,침50)'!F76:F79)</f>
        <v>45.124999999999972</v>
      </c>
      <c r="F29" s="22">
        <f t="shared" si="0"/>
        <v>0.45833333333330728</v>
      </c>
      <c r="G29"/>
    </row>
    <row r="30" spans="1:7" ht="22.5" customHeight="1" x14ac:dyDescent="0.3">
      <c r="A30" s="5" t="s">
        <v>49</v>
      </c>
      <c r="B30" s="5" t="s">
        <v>9</v>
      </c>
      <c r="C30" s="24">
        <f>AVERAGE('증산량(ETc,침ETc)'!F86:F91)</f>
        <v>24.849999999999984</v>
      </c>
      <c r="D30" s="25">
        <f t="shared" ref="D30:D33" si="6">C30/0.56</f>
        <v>44.374999999999964</v>
      </c>
      <c r="E30" s="26">
        <f>'로드셀관수량(ETc)'!F9</f>
        <v>29.25</v>
      </c>
      <c r="F30" s="21">
        <f t="shared" ref="F30:F33" si="7">E30-C30</f>
        <v>4.4000000000000163</v>
      </c>
      <c r="G30"/>
    </row>
    <row r="31" spans="1:7" ht="22.5" customHeight="1" x14ac:dyDescent="0.3">
      <c r="A31" s="2" t="s">
        <v>48</v>
      </c>
      <c r="B31" s="2" t="s">
        <v>7</v>
      </c>
      <c r="C31" s="27">
        <f>C30/2</f>
        <v>12.424999999999992</v>
      </c>
      <c r="D31" s="28">
        <f t="shared" si="6"/>
        <v>22.187499999999982</v>
      </c>
      <c r="E31" s="29">
        <f>AVERAGE('관수량(ETc50,침ETc,침50)'!F80:F83)</f>
        <v>12.474999999999994</v>
      </c>
      <c r="F31" s="22">
        <f t="shared" si="7"/>
        <v>5.0000000000002487E-2</v>
      </c>
      <c r="G31"/>
    </row>
    <row r="32" spans="1:7" ht="22.5" customHeight="1" x14ac:dyDescent="0.3">
      <c r="A32" s="2" t="s">
        <v>48</v>
      </c>
      <c r="B32" s="2" t="s">
        <v>11</v>
      </c>
      <c r="C32" s="27">
        <f>AVERAGE('증산량(ETc,침ETc)'!F92:F97)</f>
        <v>22.450000000000006</v>
      </c>
      <c r="D32" s="28">
        <f t="shared" si="6"/>
        <v>40.089285714285722</v>
      </c>
      <c r="E32" s="29">
        <f>AVERAGE('관수량(ETc50,침ETc,침50)'!F84:F87)</f>
        <v>26.824999999999989</v>
      </c>
      <c r="F32" s="22">
        <f t="shared" si="7"/>
        <v>4.3749999999999822</v>
      </c>
      <c r="G32"/>
    </row>
    <row r="33" spans="1:7" ht="22.5" customHeight="1" thickBot="1" x14ac:dyDescent="0.35">
      <c r="A33" s="2" t="s">
        <v>48</v>
      </c>
      <c r="B33" s="2" t="s">
        <v>12</v>
      </c>
      <c r="C33" s="27">
        <f>C32/2</f>
        <v>11.225000000000003</v>
      </c>
      <c r="D33" s="28">
        <f t="shared" si="6"/>
        <v>20.044642857142861</v>
      </c>
      <c r="E33" s="29">
        <f>AVERAGE('관수량(ETc50,침ETc,침50)'!F88:F91)</f>
        <v>12.274999999999949</v>
      </c>
      <c r="F33" s="22">
        <f t="shared" si="7"/>
        <v>1.0499999999999456</v>
      </c>
      <c r="G33"/>
    </row>
    <row r="34" spans="1:7" ht="22.5" customHeight="1" x14ac:dyDescent="0.3">
      <c r="A34" s="5" t="s">
        <v>51</v>
      </c>
      <c r="B34" s="5" t="s">
        <v>9</v>
      </c>
      <c r="C34" s="24">
        <f>AVERAGE('증산량(ETc,침ETc)'!F98:F103)</f>
        <v>53.300000000000033</v>
      </c>
      <c r="D34" s="25">
        <f t="shared" ref="D34:D37" si="8">C34/0.56</f>
        <v>95.178571428571473</v>
      </c>
      <c r="E34" s="26">
        <f>'로드셀관수량(ETc)'!F10</f>
        <v>62.249999999999915</v>
      </c>
      <c r="F34" s="21">
        <f t="shared" ref="F34:F37" si="9">E34-C34</f>
        <v>8.949999999999882</v>
      </c>
      <c r="G34"/>
    </row>
    <row r="35" spans="1:7" ht="22.5" customHeight="1" x14ac:dyDescent="0.3">
      <c r="A35" s="2" t="s">
        <v>50</v>
      </c>
      <c r="B35" s="2" t="s">
        <v>7</v>
      </c>
      <c r="C35" s="27">
        <f>C34/2</f>
        <v>26.650000000000016</v>
      </c>
      <c r="D35" s="28">
        <f t="shared" si="8"/>
        <v>47.589285714285737</v>
      </c>
      <c r="E35" s="29">
        <f>AVERAGE('관수량(ETc50,침ETc,침50)'!F92:F95)</f>
        <v>25.650000000000006</v>
      </c>
      <c r="F35" s="22">
        <f t="shared" si="9"/>
        <v>-1.0000000000000107</v>
      </c>
      <c r="G35"/>
    </row>
    <row r="36" spans="1:7" ht="22.5" customHeight="1" x14ac:dyDescent="0.3">
      <c r="A36" s="2" t="s">
        <v>50</v>
      </c>
      <c r="B36" s="2" t="s">
        <v>11</v>
      </c>
      <c r="C36" s="27">
        <f>AVERAGE('증산량(ETc,침ETc)'!F104:F109)</f>
        <v>46.849999999999945</v>
      </c>
      <c r="D36" s="28">
        <f t="shared" si="8"/>
        <v>83.660714285714178</v>
      </c>
      <c r="E36" s="29">
        <f>AVERAGE('관수량(ETc50,침ETc,침50)'!F96:F99)</f>
        <v>53.600000000000023</v>
      </c>
      <c r="F36" s="22">
        <f t="shared" si="9"/>
        <v>6.7500000000000782</v>
      </c>
      <c r="G36"/>
    </row>
    <row r="37" spans="1:7" ht="22.5" customHeight="1" thickBot="1" x14ac:dyDescent="0.35">
      <c r="A37" s="2" t="s">
        <v>50</v>
      </c>
      <c r="B37" s="2" t="s">
        <v>12</v>
      </c>
      <c r="C37" s="27">
        <f>C36/2</f>
        <v>23.424999999999972</v>
      </c>
      <c r="D37" s="28">
        <f t="shared" si="8"/>
        <v>41.830357142857089</v>
      </c>
      <c r="E37" s="29">
        <f>AVERAGE('관수량(ETc50,침ETc,침50)'!F100:F103)</f>
        <v>24.300000000000011</v>
      </c>
      <c r="F37" s="22">
        <f t="shared" si="9"/>
        <v>0.87500000000003908</v>
      </c>
      <c r="G37"/>
    </row>
    <row r="38" spans="1:7" ht="22.5" customHeight="1" x14ac:dyDescent="0.3">
      <c r="A38" s="5" t="s">
        <v>54</v>
      </c>
      <c r="B38" s="5" t="s">
        <v>9</v>
      </c>
      <c r="C38" s="24">
        <f>AVERAGE('증산량(ETc,침ETc)'!F110:F115)</f>
        <v>18.250000000000018</v>
      </c>
      <c r="D38" s="25">
        <f t="shared" ref="D38:D41" si="10">C38/0.56</f>
        <v>32.589285714285744</v>
      </c>
      <c r="E38" s="26">
        <f>'로드셀관수량(ETc)'!F11</f>
        <v>22.999999999999908</v>
      </c>
      <c r="F38" s="21">
        <f t="shared" ref="F38:F41" si="11">E38-C38</f>
        <v>4.7499999999998899</v>
      </c>
      <c r="G38"/>
    </row>
    <row r="39" spans="1:7" ht="22.5" customHeight="1" x14ac:dyDescent="0.3">
      <c r="A39" s="2" t="s">
        <v>53</v>
      </c>
      <c r="B39" s="2" t="s">
        <v>7</v>
      </c>
      <c r="C39" s="27">
        <f>C38/2</f>
        <v>9.1250000000000089</v>
      </c>
      <c r="D39" s="28">
        <f t="shared" si="10"/>
        <v>16.294642857142872</v>
      </c>
      <c r="E39" s="29">
        <f>AVERAGE('관수량(ETc50,침ETc,침50)'!F104:F107)</f>
        <v>11.200000000000017</v>
      </c>
      <c r="F39" s="22">
        <f t="shared" si="11"/>
        <v>2.0750000000000082</v>
      </c>
      <c r="G39"/>
    </row>
    <row r="40" spans="1:7" ht="22.5" customHeight="1" x14ac:dyDescent="0.3">
      <c r="A40" s="2" t="s">
        <v>53</v>
      </c>
      <c r="B40" s="2" t="s">
        <v>11</v>
      </c>
      <c r="C40" s="27">
        <f>AVERAGE('증산량(ETc,침ETc)'!F116:F121)</f>
        <v>16.733333333333274</v>
      </c>
      <c r="D40" s="28">
        <f t="shared" si="10"/>
        <v>29.880952380952273</v>
      </c>
      <c r="E40" s="29">
        <f>AVERAGE('관수량(ETc50,침ETc,침50)'!F108:F111)</f>
        <v>21.150000000000034</v>
      </c>
      <c r="F40" s="22">
        <f t="shared" si="11"/>
        <v>4.4166666666667602</v>
      </c>
      <c r="G40"/>
    </row>
    <row r="41" spans="1:7" ht="22.5" customHeight="1" thickBot="1" x14ac:dyDescent="0.35">
      <c r="A41" s="2" t="s">
        <v>53</v>
      </c>
      <c r="B41" s="2" t="s">
        <v>12</v>
      </c>
      <c r="C41" s="27">
        <f>C40/2</f>
        <v>8.3666666666666369</v>
      </c>
      <c r="D41" s="28">
        <f t="shared" si="10"/>
        <v>14.940476190476137</v>
      </c>
      <c r="E41" s="29">
        <f>AVERAGE('관수량(ETc50,침ETc,침50)'!F112:F115)</f>
        <v>11.300000000000068</v>
      </c>
      <c r="F41" s="22">
        <f t="shared" si="11"/>
        <v>2.9333333333334313</v>
      </c>
      <c r="G41"/>
    </row>
    <row r="42" spans="1:7" ht="22.5" customHeight="1" x14ac:dyDescent="0.3">
      <c r="A42" s="5" t="s">
        <v>56</v>
      </c>
      <c r="B42" s="5" t="s">
        <v>9</v>
      </c>
      <c r="C42" s="24">
        <f>AVERAGE('증산량(ETc,침ETc)'!F122:F127)</f>
        <v>98.483333333333334</v>
      </c>
      <c r="D42" s="25">
        <f t="shared" ref="D42:D45" si="12">C42/0.56</f>
        <v>175.86309523809521</v>
      </c>
      <c r="E42" s="26">
        <f>'로드셀관수량(ETc)'!F12</f>
        <v>100.50000000000003</v>
      </c>
      <c r="F42" s="21">
        <f t="shared" ref="F42:F45" si="13">E42-C42</f>
        <v>2.0166666666666941</v>
      </c>
      <c r="G42"/>
    </row>
    <row r="43" spans="1:7" ht="22.5" customHeight="1" x14ac:dyDescent="0.3">
      <c r="A43" s="2" t="s">
        <v>55</v>
      </c>
      <c r="B43" s="2" t="s">
        <v>7</v>
      </c>
      <c r="C43" s="27">
        <f>C42/2</f>
        <v>49.241666666666667</v>
      </c>
      <c r="D43" s="28">
        <f t="shared" si="12"/>
        <v>87.931547619047606</v>
      </c>
      <c r="E43" s="29">
        <f>AVERAGE('관수량(ETc50,침ETc,침50)'!F116:F119)</f>
        <v>45.974999999999966</v>
      </c>
      <c r="F43" s="22">
        <f t="shared" si="13"/>
        <v>-3.2666666666667012</v>
      </c>
      <c r="G43"/>
    </row>
    <row r="44" spans="1:7" ht="22.5" customHeight="1" x14ac:dyDescent="0.3">
      <c r="A44" s="2" t="s">
        <v>55</v>
      </c>
      <c r="B44" s="2" t="s">
        <v>11</v>
      </c>
      <c r="C44" s="27">
        <f>AVERAGE('증산량(ETc,침ETc)'!F128:F133)</f>
        <v>92.549999999999969</v>
      </c>
      <c r="D44" s="28">
        <f t="shared" si="12"/>
        <v>165.26785714285708</v>
      </c>
      <c r="E44" s="29">
        <f>AVERAGE('관수량(ETc50,침ETc,침50)'!F120:F123)</f>
        <v>79.674999999999955</v>
      </c>
      <c r="F44" s="22">
        <f t="shared" si="13"/>
        <v>-12.875000000000014</v>
      </c>
      <c r="G44"/>
    </row>
    <row r="45" spans="1:7" ht="22.5" customHeight="1" thickBot="1" x14ac:dyDescent="0.35">
      <c r="A45" s="2" t="s">
        <v>55</v>
      </c>
      <c r="B45" s="2" t="s">
        <v>12</v>
      </c>
      <c r="C45" s="27">
        <f>C44/2</f>
        <v>46.274999999999984</v>
      </c>
      <c r="D45" s="28">
        <f t="shared" si="12"/>
        <v>82.633928571428541</v>
      </c>
      <c r="E45" s="29">
        <f>AVERAGE('관수량(ETc50,침ETc,침50)'!F124:F127)</f>
        <v>42.500000000000028</v>
      </c>
      <c r="F45" s="22">
        <f t="shared" si="13"/>
        <v>-3.7749999999999559</v>
      </c>
      <c r="G45"/>
    </row>
    <row r="46" spans="1:7" ht="22.5" customHeight="1" x14ac:dyDescent="0.3">
      <c r="A46" s="5" t="s">
        <v>59</v>
      </c>
      <c r="B46" s="5" t="s">
        <v>9</v>
      </c>
      <c r="C46" s="24">
        <f>AVERAGE('증산량(ETc,침ETc)'!F134:F139)</f>
        <v>108.21666666666665</v>
      </c>
      <c r="D46" s="25">
        <v>0</v>
      </c>
      <c r="E46" s="26">
        <f>'로드셀관수량(ETc)'!F13</f>
        <v>0</v>
      </c>
      <c r="F46" s="21">
        <v>0</v>
      </c>
      <c r="G46"/>
    </row>
    <row r="47" spans="1:7" ht="22.5" customHeight="1" x14ac:dyDescent="0.3">
      <c r="A47" s="2" t="s">
        <v>58</v>
      </c>
      <c r="B47" s="2" t="s">
        <v>7</v>
      </c>
      <c r="C47" s="27">
        <v>0</v>
      </c>
      <c r="D47" s="28">
        <f t="shared" ref="D47:D49" si="14">C47/0.56</f>
        <v>0</v>
      </c>
      <c r="E47" s="29">
        <v>0</v>
      </c>
      <c r="F47" s="22">
        <f t="shared" ref="F47:F49" si="15">E47-C47</f>
        <v>0</v>
      </c>
      <c r="G47"/>
    </row>
    <row r="48" spans="1:7" ht="22.5" customHeight="1" x14ac:dyDescent="0.3">
      <c r="A48" s="2" t="s">
        <v>58</v>
      </c>
      <c r="B48" s="2" t="s">
        <v>11</v>
      </c>
      <c r="C48" s="27">
        <f>AVERAGE('증산량(ETc,침ETc)'!F140:F145)</f>
        <v>97.849999999999952</v>
      </c>
      <c r="D48" s="28">
        <v>0</v>
      </c>
      <c r="E48" s="29">
        <v>0</v>
      </c>
      <c r="F48" s="22">
        <v>0</v>
      </c>
      <c r="G48"/>
    </row>
    <row r="49" spans="1:7" ht="22.5" customHeight="1" x14ac:dyDescent="0.3">
      <c r="A49" s="2" t="s">
        <v>58</v>
      </c>
      <c r="B49" s="2" t="s">
        <v>12</v>
      </c>
      <c r="C49" s="27">
        <v>0</v>
      </c>
      <c r="D49" s="28">
        <f t="shared" si="14"/>
        <v>0</v>
      </c>
      <c r="E49" s="29">
        <v>0</v>
      </c>
      <c r="F49" s="22">
        <f t="shared" si="15"/>
        <v>0</v>
      </c>
      <c r="G49"/>
    </row>
  </sheetData>
  <phoneticPr fontId="1" type="noConversion"/>
  <pageMargins left="0.7" right="0.7" top="0.75" bottom="0.75" header="0.3" footer="0.3"/>
  <ignoredErrors>
    <ignoredError sqref="C4 C6:C9 C10:C13 E5 C14:C17 C18:C21 C28 C27 C25 C23:C24 C22 C26 C30:C36 C38:C41 C42:C4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증산량(ETc,침ETc)</vt:lpstr>
      <vt:lpstr>관수량(ETc50,침ETc,침50)</vt:lpstr>
      <vt:lpstr>로드셀관수량(ETc)</vt:lpstr>
      <vt:lpstr>관수량 비교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박은빈</dc:creator>
  <cp:lastModifiedBy>박은빈</cp:lastModifiedBy>
  <cp:lastPrinted>2026-10-11T10:54:05Z</cp:lastPrinted>
  <dcterms:created xsi:type="dcterms:W3CDTF">2026-01-15T08:03:14Z</dcterms:created>
  <dcterms:modified xsi:type="dcterms:W3CDTF">2026-10-25T11:53:12Z</dcterms:modified>
</cp:coreProperties>
</file>