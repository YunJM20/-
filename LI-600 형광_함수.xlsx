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bnuackr-my.sharepoint.com/personal/yunjm9802_jbnu_ac_kr/Documents/바탕 화면/연구 과제/밭콩 과제/1차 년도(2026)/gsw, 형광/"/>
    </mc:Choice>
  </mc:AlternateContent>
  <xr:revisionPtr revIDLastSave="163" documentId="8_{9F9337AD-7FBF-4075-BF68-534F5E14B5A7}" xr6:coauthVersionLast="47" xr6:coauthVersionMax="47" xr10:uidLastSave="{E3C7A6BC-63F4-4319-871C-FEFA1B6D3FC6}"/>
  <bookViews>
    <workbookView xWindow="28680" yWindow="-120" windowWidth="29040" windowHeight="15720" activeTab="2" xr2:uid="{7A109A56-6B66-4F9B-90F2-71E695E304B4}"/>
  </bookViews>
  <sheets>
    <sheet name="측정값" sheetId="1" r:id="rId1"/>
    <sheet name="형광 파라미터 평균" sheetId="2" r:id="rId2"/>
    <sheet name="함수" sheetId="3" r:id="rId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S2" i="3"/>
  <c r="R2" i="3"/>
  <c r="Q2" i="3"/>
  <c r="H2" i="3"/>
  <c r="P2" i="3" s="1"/>
  <c r="Q6" i="2"/>
  <c r="R6" i="2"/>
  <c r="S6" i="2"/>
  <c r="Q7" i="2"/>
  <c r="R7" i="2"/>
  <c r="S7" i="2"/>
  <c r="H6" i="2"/>
  <c r="P6" i="2" s="1"/>
  <c r="J6" i="2"/>
  <c r="L6" i="2" s="1"/>
  <c r="N6" i="2" s="1"/>
  <c r="O6" i="2" s="1"/>
  <c r="K6" i="2"/>
  <c r="H7" i="2"/>
  <c r="K7" i="2" s="1"/>
  <c r="F6" i="2"/>
  <c r="F7" i="2"/>
  <c r="S5" i="2"/>
  <c r="R5" i="2"/>
  <c r="H5" i="2" s="1"/>
  <c r="Q5" i="2"/>
  <c r="F5" i="2"/>
  <c r="H15" i="1"/>
  <c r="H16" i="1"/>
  <c r="S2" i="2"/>
  <c r="R2" i="2"/>
  <c r="Q2" i="2"/>
  <c r="H2" i="2"/>
  <c r="F2" i="2"/>
  <c r="F15" i="1"/>
  <c r="F16" i="1"/>
  <c r="B16" i="1"/>
  <c r="C16" i="1"/>
  <c r="D16" i="1"/>
  <c r="E16" i="1"/>
  <c r="G16" i="1"/>
  <c r="A16" i="1"/>
  <c r="B15" i="1"/>
  <c r="C15" i="1"/>
  <c r="D15" i="1"/>
  <c r="E15" i="1"/>
  <c r="G15" i="1"/>
  <c r="A15" i="1"/>
  <c r="I2" i="3" l="1"/>
  <c r="K2" i="3"/>
  <c r="J2" i="3"/>
  <c r="L2" i="3" s="1"/>
  <c r="N2" i="3" s="1"/>
  <c r="O2" i="3" s="1"/>
  <c r="I6" i="2"/>
  <c r="P7" i="2"/>
  <c r="I7" i="2"/>
  <c r="J7" i="2"/>
  <c r="L7" i="2" s="1"/>
  <c r="N7" i="2" s="1"/>
  <c r="O7" i="2" s="1"/>
  <c r="P5" i="2"/>
  <c r="K5" i="2"/>
  <c r="J5" i="2"/>
  <c r="L5" i="2" s="1"/>
  <c r="N5" i="2" s="1"/>
  <c r="O5" i="2" s="1"/>
  <c r="I5" i="2"/>
  <c r="P2" i="2"/>
  <c r="K2" i="2"/>
  <c r="J2" i="2"/>
  <c r="L2" i="2" s="1"/>
  <c r="N2" i="2" s="1"/>
  <c r="O2" i="2" s="1"/>
  <c r="I2" i="2"/>
</calcChain>
</file>

<file path=xl/sharedStrings.xml><?xml version="1.0" encoding="utf-8"?>
<sst xmlns="http://schemas.openxmlformats.org/spreadsheetml/2006/main" count="52" uniqueCount="24">
  <si>
    <t>Fo</t>
  </si>
  <si>
    <t>Fm</t>
  </si>
  <si>
    <t>Fv/Fm</t>
  </si>
  <si>
    <t>Fs</t>
  </si>
  <si>
    <t>Fm'</t>
  </si>
  <si>
    <t>PhiPS2</t>
  </si>
  <si>
    <t>ETR</t>
  </si>
  <si>
    <t>Qamb</t>
  </si>
  <si>
    <t>NPQ</t>
    <phoneticPr fontId="1" type="noConversion"/>
  </si>
  <si>
    <t>Fo'</t>
  </si>
  <si>
    <t>Fv'/Fm'</t>
  </si>
  <si>
    <t>qP</t>
  </si>
  <si>
    <t>qN</t>
  </si>
  <si>
    <t>qL</t>
  </si>
  <si>
    <t>PhiNO</t>
    <phoneticPr fontId="1" type="noConversion"/>
  </si>
  <si>
    <t>PhiNPQ</t>
    <phoneticPr fontId="1" type="noConversion"/>
  </si>
  <si>
    <t>qP_Fo</t>
  </si>
  <si>
    <t>qN_Fo</t>
  </si>
  <si>
    <t>alt._Fo'</t>
    <phoneticPr fontId="1" type="noConversion"/>
  </si>
  <si>
    <t>Fm/Fo-1</t>
    <phoneticPr fontId="1" type="noConversion"/>
  </si>
  <si>
    <t>Fmin</t>
    <phoneticPr fontId="1" type="noConversion"/>
  </si>
  <si>
    <t>PPFD</t>
    <phoneticPr fontId="1" type="noConversion"/>
  </si>
  <si>
    <t>암</t>
    <phoneticPr fontId="1" type="noConversion"/>
  </si>
  <si>
    <t>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</si>
</sst>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7">
    <border>
      <left/>
      <right/>
      <top/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3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/>
    <xf numFmtId="0" fontId="0" fillId="2" borderId="1" xfId="0" applyFill="1" applyBorder="1" applyAlignment="1"/>
    <xf numFmtId="0" fontId="0" fillId="2" borderId="3" xfId="0" applyFill="1" applyBorder="1" applyAlignment="1"/>
    <xf numFmtId="2" fontId="0" fillId="0" borderId="0" xfId="0" applyNumberFormat="1" applyAlignment="1"/>
    <xf numFmtId="2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2" borderId="3" xfId="0" applyFill="1" applyBorder="1">
      <alignment vertical="center"/>
    </xf>
    <xf numFmtId="0" fontId="0" fillId="2" borderId="6" xfId="0" applyFill="1" applyBorder="1">
      <alignment vertical="center"/>
    </xf>
    <xf numFmtId="0" fontId="0" fillId="0" borderId="5" xfId="0" applyBorder="1">
      <alignment vertical="center"/>
    </xf>
    <xf numFmtId="0" fontId="0" fillId="0" borderId="5" xfId="0" applyBorder="1" applyAlignment="1"/>
    <xf numFmtId="0" fontId="3" fillId="4" borderId="3" xfId="2" applyBorder="1">
      <alignment vertical="center"/>
    </xf>
    <xf numFmtId="2" fontId="3" fillId="4" borderId="0" xfId="2" applyNumberFormat="1">
      <alignment vertical="center"/>
    </xf>
    <xf numFmtId="0" fontId="3" fillId="4" borderId="0" xfId="2">
      <alignment vertical="center"/>
    </xf>
    <xf numFmtId="0" fontId="2" fillId="3" borderId="3" xfId="1" applyBorder="1" applyAlignment="1"/>
    <xf numFmtId="0" fontId="2" fillId="3" borderId="1" xfId="1" applyBorder="1" applyAlignment="1"/>
    <xf numFmtId="0" fontId="2" fillId="3" borderId="2" xfId="1" applyBorder="1" applyAlignment="1"/>
    <xf numFmtId="2" fontId="2" fillId="3" borderId="0" xfId="1" applyNumberFormat="1">
      <alignment vertical="center"/>
    </xf>
    <xf numFmtId="2" fontId="2" fillId="3" borderId="0" xfId="1" applyNumberFormat="1" applyAlignment="1"/>
    <xf numFmtId="2" fontId="2" fillId="3" borderId="4" xfId="1" applyNumberFormat="1" applyBorder="1" applyAlignment="1"/>
    <xf numFmtId="0" fontId="2" fillId="3" borderId="0" xfId="1">
      <alignment vertical="center"/>
    </xf>
    <xf numFmtId="0" fontId="2" fillId="3" borderId="0" xfId="1" applyAlignment="1"/>
    <xf numFmtId="176" fontId="0" fillId="0" borderId="0" xfId="0" applyNumberFormat="1" applyAlignment="1"/>
  </cellXfs>
  <cellStyles count="3">
    <cellStyle name="보통" xfId="2" builtinId="28"/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2A90E-2C84-4644-9333-C0D764F979FB}">
  <dimension ref="A1:S17"/>
  <sheetViews>
    <sheetView workbookViewId="0">
      <pane ySplit="1" topLeftCell="A2" activePane="bottomLeft" state="frozen"/>
      <selection pane="bottomLeft" activeCell="I17" sqref="I17"/>
    </sheetView>
  </sheetViews>
  <sheetFormatPr defaultRowHeight="17.399999999999999" x14ac:dyDescent="0.4"/>
  <sheetData>
    <row r="1" spans="1:19" ht="18" thickBot="1" x14ac:dyDescent="0.45">
      <c r="A1" s="7" t="s">
        <v>0</v>
      </c>
      <c r="B1" s="7" t="s">
        <v>1</v>
      </c>
      <c r="C1" s="8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8" thickTop="1" x14ac:dyDescent="0.4">
      <c r="A2">
        <v>106.387856</v>
      </c>
      <c r="B2">
        <v>550.63781700000004</v>
      </c>
      <c r="C2" s="9">
        <v>0.80679199999999995</v>
      </c>
      <c r="D2" s="1">
        <v>151.363495</v>
      </c>
      <c r="E2" s="1">
        <v>496.97827100000001</v>
      </c>
      <c r="F2" s="1">
        <v>0.69543200000000005</v>
      </c>
      <c r="G2" s="1">
        <v>71.559952800000005</v>
      </c>
      <c r="H2" s="1">
        <v>245</v>
      </c>
      <c r="I2" s="4"/>
      <c r="J2" s="4"/>
      <c r="K2" s="4"/>
      <c r="L2" s="4"/>
      <c r="M2" s="4"/>
      <c r="N2" s="4"/>
      <c r="O2" s="4"/>
      <c r="P2" s="4"/>
      <c r="Q2" s="4"/>
      <c r="R2" s="4"/>
      <c r="S2" s="6"/>
    </row>
    <row r="3" spans="1:19" x14ac:dyDescent="0.4">
      <c r="A3">
        <v>104.823944</v>
      </c>
      <c r="B3">
        <v>541.48754899999994</v>
      </c>
      <c r="C3" s="9">
        <v>0.80641499999999999</v>
      </c>
      <c r="D3" s="1">
        <v>159.00027499999999</v>
      </c>
      <c r="E3" s="1">
        <v>480.31640599999997</v>
      </c>
      <c r="F3" s="1">
        <v>0.66896800000000001</v>
      </c>
      <c r="G3" s="1">
        <v>67.712940959999997</v>
      </c>
      <c r="H3" s="1">
        <v>241</v>
      </c>
      <c r="I3" s="4"/>
      <c r="J3" s="4"/>
      <c r="K3" s="4"/>
      <c r="L3" s="4"/>
      <c r="M3" s="4"/>
      <c r="N3" s="4"/>
      <c r="O3" s="4"/>
      <c r="P3" s="4"/>
      <c r="Q3" s="4"/>
      <c r="R3" s="4"/>
      <c r="S3" s="6"/>
    </row>
    <row r="4" spans="1:19" x14ac:dyDescent="0.4">
      <c r="A4">
        <v>132.162811</v>
      </c>
      <c r="B4">
        <v>700.64843800000006</v>
      </c>
      <c r="C4" s="9">
        <v>0.81137099999999995</v>
      </c>
      <c r="D4" s="1">
        <v>125.833511</v>
      </c>
      <c r="E4" s="1">
        <v>517.09161400000005</v>
      </c>
      <c r="F4" s="1">
        <v>0.75665099999999996</v>
      </c>
      <c r="G4" s="1">
        <v>74.999247119999993</v>
      </c>
      <c r="H4" s="1">
        <v>236</v>
      </c>
      <c r="I4" s="4"/>
      <c r="J4" s="4"/>
      <c r="K4" s="4"/>
      <c r="L4" s="4"/>
      <c r="M4" s="4"/>
      <c r="N4" s="4"/>
      <c r="O4" s="4"/>
      <c r="P4" s="4"/>
      <c r="Q4" s="4"/>
      <c r="R4" s="4"/>
      <c r="S4" s="6"/>
    </row>
    <row r="5" spans="1:19" x14ac:dyDescent="0.4">
      <c r="A5">
        <v>130.263443</v>
      </c>
      <c r="B5">
        <v>644.08923300000004</v>
      </c>
      <c r="C5" s="9">
        <v>0.79775600000000002</v>
      </c>
      <c r="D5" s="1">
        <v>129.62365700000001</v>
      </c>
      <c r="E5" s="1">
        <v>539.31500200000005</v>
      </c>
      <c r="F5" s="1">
        <v>0.75965099999999997</v>
      </c>
      <c r="G5" s="1">
        <v>51.048547199999994</v>
      </c>
      <c r="H5" s="1">
        <v>160</v>
      </c>
      <c r="I5" s="4"/>
      <c r="J5" s="4"/>
      <c r="K5" s="4"/>
      <c r="L5" s="4"/>
      <c r="M5" s="4"/>
      <c r="N5" s="4"/>
      <c r="O5" s="4"/>
      <c r="P5" s="4"/>
      <c r="Q5" s="4"/>
      <c r="R5" s="4"/>
      <c r="S5" s="6"/>
    </row>
    <row r="6" spans="1:19" x14ac:dyDescent="0.4">
      <c r="A6">
        <v>124.274612</v>
      </c>
      <c r="B6">
        <v>681.51855499999999</v>
      </c>
      <c r="C6" s="9">
        <v>0.81764999999999999</v>
      </c>
      <c r="D6" s="1">
        <v>113.95060700000001</v>
      </c>
      <c r="E6" s="1">
        <v>443.89950599999997</v>
      </c>
      <c r="F6" s="1">
        <v>0.74329599999999996</v>
      </c>
      <c r="G6" s="1">
        <v>67.431813119999987</v>
      </c>
      <c r="H6" s="1">
        <v>216</v>
      </c>
      <c r="I6" s="4"/>
      <c r="J6" s="4"/>
      <c r="K6" s="4"/>
      <c r="L6" s="4"/>
      <c r="M6" s="4"/>
      <c r="N6" s="4"/>
      <c r="O6" s="4"/>
      <c r="P6" s="4"/>
      <c r="Q6" s="4"/>
      <c r="R6" s="4"/>
      <c r="S6" s="6"/>
    </row>
    <row r="7" spans="1:19" x14ac:dyDescent="0.4">
      <c r="A7" s="1">
        <v>119.74954200000001</v>
      </c>
      <c r="B7" s="1">
        <v>577.41381799999999</v>
      </c>
      <c r="C7" s="10">
        <v>0.79261099999999995</v>
      </c>
      <c r="D7" s="1">
        <v>117.718575</v>
      </c>
      <c r="E7" s="1">
        <v>452.45504799999998</v>
      </c>
      <c r="F7" s="1">
        <v>0.73982300000000001</v>
      </c>
      <c r="G7" s="1">
        <v>70.223999160000005</v>
      </c>
      <c r="H7" s="1">
        <v>226</v>
      </c>
      <c r="I7" s="4"/>
      <c r="J7" s="4"/>
      <c r="K7" s="4"/>
      <c r="L7" s="4"/>
      <c r="M7" s="4"/>
      <c r="N7" s="4"/>
      <c r="O7" s="4"/>
      <c r="P7" s="4"/>
      <c r="Q7" s="4"/>
      <c r="R7" s="4"/>
      <c r="S7" s="6"/>
    </row>
    <row r="8" spans="1:19" x14ac:dyDescent="0.4">
      <c r="A8" s="1">
        <v>111.62030799999999</v>
      </c>
      <c r="B8" s="1">
        <v>597.038635</v>
      </c>
      <c r="C8" s="10">
        <v>0.81304299999999996</v>
      </c>
      <c r="D8" s="1">
        <v>123.273613</v>
      </c>
      <c r="E8" s="1">
        <v>469.68377700000002</v>
      </c>
      <c r="F8" s="1">
        <v>0.73753899999999994</v>
      </c>
      <c r="G8" s="1">
        <v>72.79509929999999</v>
      </c>
      <c r="H8" s="1">
        <v>235</v>
      </c>
      <c r="I8" s="4"/>
      <c r="J8" s="4"/>
      <c r="K8" s="4"/>
      <c r="L8" s="4"/>
      <c r="M8" s="4"/>
      <c r="N8" s="4"/>
      <c r="O8" s="4"/>
      <c r="P8" s="4"/>
      <c r="Q8" s="4"/>
      <c r="R8" s="4"/>
      <c r="S8" s="6"/>
    </row>
    <row r="9" spans="1:19" x14ac:dyDescent="0.4">
      <c r="A9" s="1">
        <v>112.1968</v>
      </c>
      <c r="B9" s="1">
        <v>608.51238999999998</v>
      </c>
      <c r="C9" s="10">
        <v>0.81562100000000004</v>
      </c>
      <c r="D9" s="1">
        <v>128.33154300000001</v>
      </c>
      <c r="E9" s="1">
        <v>518.08013900000003</v>
      </c>
      <c r="F9" s="1">
        <v>0.75229400000000002</v>
      </c>
      <c r="G9" s="1">
        <v>32.22827496</v>
      </c>
      <c r="H9" s="1">
        <v>102</v>
      </c>
      <c r="I9" s="4"/>
      <c r="J9" s="4"/>
      <c r="K9" s="4"/>
      <c r="L9" s="4"/>
      <c r="M9" s="4"/>
      <c r="N9" s="4"/>
      <c r="O9" s="4"/>
      <c r="P9" s="4"/>
      <c r="Q9" s="4"/>
      <c r="R9" s="4"/>
      <c r="S9" s="6"/>
    </row>
    <row r="10" spans="1:19" x14ac:dyDescent="0.4">
      <c r="A10" s="1">
        <v>112.61058</v>
      </c>
      <c r="B10" s="1">
        <v>595.03521699999999</v>
      </c>
      <c r="C10" s="10">
        <v>0.81074999999999997</v>
      </c>
      <c r="D10" s="1">
        <v>124.476311</v>
      </c>
      <c r="E10" s="1">
        <v>482.837311</v>
      </c>
      <c r="F10" s="1">
        <v>0.74219800000000002</v>
      </c>
      <c r="G10" s="1">
        <v>40.21228764</v>
      </c>
      <c r="H10" s="1">
        <v>129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6"/>
    </row>
    <row r="11" spans="1:19" x14ac:dyDescent="0.4">
      <c r="A11" s="1">
        <v>118.93129</v>
      </c>
      <c r="B11" s="1">
        <v>593.891479</v>
      </c>
      <c r="C11" s="10">
        <v>0.79974199999999995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6"/>
    </row>
    <row r="12" spans="1:19" x14ac:dyDescent="0.4">
      <c r="A12" s="1">
        <v>117.525459</v>
      </c>
      <c r="B12" s="1">
        <v>616.21643100000006</v>
      </c>
      <c r="C12" s="10">
        <v>0.80927899999999997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5"/>
    </row>
    <row r="13" spans="1:19" x14ac:dyDescent="0.4">
      <c r="C13" s="9"/>
    </row>
    <row r="14" spans="1:19" x14ac:dyDescent="0.4">
      <c r="C14" s="9"/>
    </row>
    <row r="15" spans="1:19" x14ac:dyDescent="0.4">
      <c r="A15">
        <f>AVERAGE(A2:A12)</f>
        <v>117.32242227272727</v>
      </c>
      <c r="B15">
        <f t="shared" ref="B15:E15" si="0">AVERAGE(B2:B12)</f>
        <v>609.68086927272725</v>
      </c>
      <c r="C15" s="9">
        <f t="shared" si="0"/>
        <v>0.8073663636363636</v>
      </c>
      <c r="D15">
        <f t="shared" si="0"/>
        <v>130.39684299999999</v>
      </c>
      <c r="E15">
        <f t="shared" si="0"/>
        <v>488.96189711111106</v>
      </c>
      <c r="F15">
        <f t="shared" ref="F15" si="1">AVERAGE(F2:F12)</f>
        <v>0.73287244444444444</v>
      </c>
      <c r="G15">
        <f>AVERAGE(G2:G12)</f>
        <v>60.912462473333335</v>
      </c>
      <c r="H15">
        <f>AVERAGE(H2:H12)</f>
        <v>198.88888888888889</v>
      </c>
    </row>
    <row r="16" spans="1:19" x14ac:dyDescent="0.4">
      <c r="A16">
        <f>_xlfn.STDEV.P(A2:A12)</f>
        <v>8.5350877593759371</v>
      </c>
      <c r="B16">
        <f t="shared" ref="B16:E16" si="2">_xlfn.STDEV.P(B2:B12)</f>
        <v>47.160235241636876</v>
      </c>
      <c r="C16" s="9">
        <f t="shared" si="2"/>
        <v>7.4266500250813909E-3</v>
      </c>
      <c r="D16">
        <f t="shared" si="2"/>
        <v>14.143920408642209</v>
      </c>
      <c r="E16">
        <f t="shared" si="2"/>
        <v>29.974286232818002</v>
      </c>
      <c r="F16">
        <f t="shared" ref="F16" si="3">_xlfn.STDEV.P(F2:F12)</f>
        <v>2.8695675094616638E-2</v>
      </c>
      <c r="G16">
        <f>_xlfn.STDEV.P(G2:G12)</f>
        <v>14.821281402885043</v>
      </c>
      <c r="H16">
        <f>_xlfn.STDEV.P(H2:H12)</f>
        <v>50.982446749280378</v>
      </c>
    </row>
    <row r="17" spans="3:3" x14ac:dyDescent="0.4">
      <c r="C17" s="9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BEA25-E7C0-43F4-830D-5AFA61F86335}">
  <dimension ref="A1:U12"/>
  <sheetViews>
    <sheetView workbookViewId="0">
      <selection activeCell="E10" sqref="E10"/>
    </sheetView>
  </sheetViews>
  <sheetFormatPr defaultRowHeight="17.399999999999999" x14ac:dyDescent="0.4"/>
  <sheetData>
    <row r="1" spans="1:21" ht="18" thickBot="1" x14ac:dyDescent="0.45">
      <c r="A1" s="11" t="s">
        <v>0</v>
      </c>
      <c r="B1" s="11" t="s">
        <v>1</v>
      </c>
      <c r="C1" s="11" t="s">
        <v>2</v>
      </c>
      <c r="D1" s="14" t="s">
        <v>3</v>
      </c>
      <c r="E1" s="14" t="s">
        <v>4</v>
      </c>
      <c r="F1" s="15" t="s">
        <v>8</v>
      </c>
      <c r="G1" s="14" t="s">
        <v>6</v>
      </c>
      <c r="H1" s="15" t="s">
        <v>9</v>
      </c>
      <c r="I1" s="15" t="s">
        <v>10</v>
      </c>
      <c r="J1" s="15" t="s">
        <v>11</v>
      </c>
      <c r="K1" s="15" t="s">
        <v>12</v>
      </c>
      <c r="L1" s="15" t="s">
        <v>13</v>
      </c>
      <c r="M1" s="15" t="s">
        <v>5</v>
      </c>
      <c r="N1" s="15" t="s">
        <v>14</v>
      </c>
      <c r="O1" s="16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14" t="s">
        <v>21</v>
      </c>
    </row>
    <row r="2" spans="1:21" ht="18" thickTop="1" x14ac:dyDescent="0.4">
      <c r="A2" s="12">
        <v>117.32242227272727</v>
      </c>
      <c r="B2" s="12">
        <v>609.68086927272725</v>
      </c>
      <c r="C2" s="12">
        <v>0.8073663636363636</v>
      </c>
      <c r="D2" s="17">
        <v>130.39684299999999</v>
      </c>
      <c r="E2" s="17">
        <v>488.96189711111106</v>
      </c>
      <c r="F2" s="18">
        <f>(B2-E2)/E2</f>
        <v>0.24688830126610903</v>
      </c>
      <c r="G2" s="17">
        <v>60.912462473333335</v>
      </c>
      <c r="H2" s="17">
        <f>IF(T2&lt;&gt;0, T2, R2)</f>
        <v>112.02282262484576</v>
      </c>
      <c r="I2" s="18">
        <f>1-H2/E2</f>
        <v>0.77089662142040116</v>
      </c>
      <c r="J2" s="17">
        <f>(E2-D2)/(E2-H2)</f>
        <v>0.95125466787916213</v>
      </c>
      <c r="K2" s="17">
        <f>(B2-E2)/(B2-H2)</f>
        <v>0.24257413895897684</v>
      </c>
      <c r="L2" s="17">
        <f>(J2*H2/D2)</f>
        <v>0.81721482268465617</v>
      </c>
      <c r="M2" s="17">
        <v>0.73287244444444444</v>
      </c>
      <c r="N2" s="18">
        <f>1/(F2+1+L2*S2)</f>
        <v>0.21383814624478356</v>
      </c>
      <c r="O2" s="19">
        <f>1-M2-N2</f>
        <v>5.3289409310772001E-2</v>
      </c>
      <c r="P2" s="4">
        <f>(E2-D2)/(E2-H2)</f>
        <v>0.95125466787916213</v>
      </c>
      <c r="Q2" s="4">
        <f>(B2-E2)/(B2-A2)</f>
        <v>0.24518513472688772</v>
      </c>
      <c r="R2" s="5">
        <f>A2/(C2+A2/E2)</f>
        <v>112.02282262484576</v>
      </c>
      <c r="S2" s="4">
        <f>B2/A2-1</f>
        <v>4.1966270169180904</v>
      </c>
      <c r="T2" s="6">
        <v>0</v>
      </c>
      <c r="U2" s="17">
        <v>198.88888888888889</v>
      </c>
    </row>
    <row r="3" spans="1:21" x14ac:dyDescent="0.4">
      <c r="A3" s="13"/>
      <c r="B3" s="13" t="s">
        <v>22</v>
      </c>
      <c r="C3" s="13"/>
      <c r="D3" s="20"/>
      <c r="E3" s="20"/>
      <c r="F3" s="18"/>
      <c r="G3" s="20"/>
      <c r="H3" s="18"/>
      <c r="I3" s="18"/>
      <c r="J3" s="18" t="s">
        <v>23</v>
      </c>
      <c r="K3" s="18"/>
      <c r="L3" s="18"/>
      <c r="M3" s="21"/>
      <c r="N3" s="18"/>
      <c r="O3" s="18"/>
      <c r="P3" s="4"/>
      <c r="Q3" s="4"/>
      <c r="R3" s="4"/>
      <c r="S3" s="4"/>
      <c r="T3" s="6"/>
    </row>
    <row r="4" spans="1:21" x14ac:dyDescent="0.4">
      <c r="F4" s="4"/>
      <c r="H4" s="4"/>
      <c r="I4" s="4"/>
      <c r="J4" s="4"/>
      <c r="K4" s="4"/>
      <c r="L4" s="4"/>
      <c r="M4" s="1"/>
      <c r="N4" s="4"/>
      <c r="O4" s="4"/>
      <c r="P4" s="4"/>
      <c r="Q4" s="4"/>
      <c r="R4" s="4"/>
      <c r="S4" s="4"/>
      <c r="T4" s="6"/>
    </row>
    <row r="5" spans="1:21" x14ac:dyDescent="0.4">
      <c r="A5" s="1">
        <v>385.6</v>
      </c>
      <c r="B5" s="1">
        <v>2276</v>
      </c>
      <c r="C5" s="1">
        <v>0.83019999999999994</v>
      </c>
      <c r="D5" s="4">
        <v>133.57961166666666</v>
      </c>
      <c r="E5" s="4">
        <v>412.83154300000001</v>
      </c>
      <c r="F5" s="18">
        <f>(B5-E5)/E5</f>
        <v>4.5131446193780791</v>
      </c>
      <c r="G5" s="4">
        <v>171.44414504000002</v>
      </c>
      <c r="H5" s="17">
        <f>IF(T5&lt;&gt;0, T5, R5)</f>
        <v>218.56472009092022</v>
      </c>
      <c r="I5" s="18">
        <f>1-H5/E5</f>
        <v>0.47057165617085561</v>
      </c>
      <c r="J5" s="17">
        <f>(E5-D5)/(E5-H5)</f>
        <v>1.4374658891911154</v>
      </c>
      <c r="K5" s="17">
        <f>(B5-E5)/(B5-H5)</f>
        <v>0.90557816092389321</v>
      </c>
      <c r="L5" s="17">
        <f>(J5*H5/D5)</f>
        <v>2.3520006218860861</v>
      </c>
      <c r="M5" s="4">
        <v>0.67349666666666663</v>
      </c>
      <c r="N5" s="18">
        <f>1/(F5+1+L5*S5)</f>
        <v>5.8672350541047795E-2</v>
      </c>
      <c r="O5" s="19">
        <f>1-M5-N5</f>
        <v>0.26783098279228557</v>
      </c>
      <c r="P5" s="4">
        <f>(E5-D5)/(E5-H5)</f>
        <v>1.4374658891911154</v>
      </c>
      <c r="Q5" s="4">
        <f>(B5-E5)/(B5-A5)</f>
        <v>0.98559482490478201</v>
      </c>
      <c r="R5" s="5">
        <f>A5/(C5+A5/E5)</f>
        <v>218.56472009092022</v>
      </c>
      <c r="S5" s="4">
        <f>B5/A5-1</f>
        <v>4.9024896265560161</v>
      </c>
      <c r="T5" s="6">
        <v>0</v>
      </c>
      <c r="U5" s="4">
        <v>610.33333333333337</v>
      </c>
    </row>
    <row r="6" spans="1:21" x14ac:dyDescent="0.4">
      <c r="A6" s="1">
        <v>414.16666666666669</v>
      </c>
      <c r="B6" s="1">
        <v>2321.3333333333335</v>
      </c>
      <c r="C6" s="1">
        <v>0.82150000000000001</v>
      </c>
      <c r="D6" s="22">
        <v>119.15087660000002</v>
      </c>
      <c r="E6" s="22">
        <v>471.69782100000003</v>
      </c>
      <c r="F6" s="18">
        <f t="shared" ref="F6:F7" si="0">(B6-E6)/E6</f>
        <v>3.9212297152700506</v>
      </c>
      <c r="G6" s="22">
        <v>64.534293935999997</v>
      </c>
      <c r="H6" s="17">
        <f t="shared" ref="H6:H7" si="1">IF(T6&lt;&gt;0, T6, R6)</f>
        <v>243.69426947518986</v>
      </c>
      <c r="I6" s="18">
        <f t="shared" ref="I6:I7" si="2">1-H6/E6</f>
        <v>0.48336782866930006</v>
      </c>
      <c r="J6" s="17">
        <f t="shared" ref="J6:J7" si="3">(E6-D6)/(E6-H6)</f>
        <v>1.5462344425877843</v>
      </c>
      <c r="K6" s="17">
        <f t="shared" ref="K6:K7" si="4">(B6-E6)/(B6-H6)</f>
        <v>0.89025834395825654</v>
      </c>
      <c r="L6" s="17">
        <f t="shared" ref="L6:L7" si="5">(J6*H6/D6)</f>
        <v>3.1624481806272118</v>
      </c>
      <c r="M6" s="22">
        <v>0.74732739999999998</v>
      </c>
      <c r="N6" s="18">
        <f t="shared" ref="N6:N7" si="6">1/(F6+1+L6*S6)</f>
        <v>5.1324788444532775E-2</v>
      </c>
      <c r="O6" s="19">
        <f t="shared" ref="O6:O7" si="7">1-M6-N6</f>
        <v>0.20134781155546724</v>
      </c>
      <c r="P6" s="4">
        <f t="shared" ref="P6:P7" si="8">(E6-D6)/(E6-H6)</f>
        <v>1.5462344425877843</v>
      </c>
      <c r="Q6" s="4">
        <f t="shared" ref="Q6:Q7" si="9">(B6-E6)/(B6-A6)</f>
        <v>0.96983422826181953</v>
      </c>
      <c r="R6" s="5">
        <f t="shared" ref="R6:R7" si="10">A6/(C6+A6/E6)</f>
        <v>243.69426947518986</v>
      </c>
      <c r="S6" s="4">
        <f t="shared" ref="S6:S7" si="11">B6/A6-1</f>
        <v>4.6048289738430581</v>
      </c>
      <c r="T6" s="6">
        <v>0</v>
      </c>
      <c r="U6" s="22">
        <v>205.7</v>
      </c>
    </row>
    <row r="7" spans="1:21" x14ac:dyDescent="0.4">
      <c r="A7" s="1">
        <v>423</v>
      </c>
      <c r="B7" s="1">
        <v>2499.25</v>
      </c>
      <c r="C7" s="1">
        <v>0.8304999999999999</v>
      </c>
      <c r="D7" s="22">
        <v>116.74150330000001</v>
      </c>
      <c r="E7" s="22">
        <v>464.25007310000001</v>
      </c>
      <c r="F7" s="18">
        <f t="shared" si="0"/>
        <v>4.383413261114681</v>
      </c>
      <c r="G7" s="22">
        <v>69.75514858199999</v>
      </c>
      <c r="H7" s="17">
        <f t="shared" si="1"/>
        <v>242.87357432243121</v>
      </c>
      <c r="I7" s="18">
        <f t="shared" si="2"/>
        <v>0.47684752594510427</v>
      </c>
      <c r="J7" s="17">
        <f t="shared" si="3"/>
        <v>1.5697626971197347</v>
      </c>
      <c r="K7" s="17">
        <f t="shared" si="4"/>
        <v>0.9018884897669095</v>
      </c>
      <c r="L7" s="17">
        <f t="shared" si="5"/>
        <v>3.2657955081129226</v>
      </c>
      <c r="M7" s="22">
        <v>0.75065910000000002</v>
      </c>
      <c r="N7" s="18">
        <f t="shared" si="6"/>
        <v>4.6700124319585722E-2</v>
      </c>
      <c r="O7" s="19">
        <f t="shared" si="7"/>
        <v>0.20264077568041425</v>
      </c>
      <c r="P7" s="4">
        <f t="shared" si="8"/>
        <v>1.5697626971197347</v>
      </c>
      <c r="Q7" s="4">
        <f t="shared" si="9"/>
        <v>0.98013241512341964</v>
      </c>
      <c r="R7" s="5">
        <f t="shared" si="10"/>
        <v>242.87357432243121</v>
      </c>
      <c r="S7" s="4">
        <f t="shared" si="11"/>
        <v>4.9083924349881798</v>
      </c>
      <c r="T7" s="6">
        <v>0</v>
      </c>
      <c r="U7" s="22">
        <v>221</v>
      </c>
    </row>
    <row r="8" spans="1:21" x14ac:dyDescent="0.4">
      <c r="F8" s="4"/>
      <c r="H8" s="4"/>
      <c r="I8" s="4"/>
      <c r="J8" s="4"/>
      <c r="K8" s="4"/>
      <c r="L8" s="4"/>
      <c r="M8" s="1"/>
      <c r="N8" s="4"/>
      <c r="O8" s="4"/>
      <c r="P8" s="4"/>
      <c r="Q8" s="4"/>
      <c r="R8" s="4"/>
      <c r="S8" s="4"/>
      <c r="T8" s="6"/>
    </row>
    <row r="9" spans="1:21" x14ac:dyDescent="0.4">
      <c r="F9" s="4"/>
      <c r="H9" s="4"/>
      <c r="I9" s="4"/>
      <c r="J9" s="4"/>
      <c r="K9" s="4"/>
      <c r="L9" s="4"/>
      <c r="M9" s="1"/>
      <c r="N9" s="4"/>
      <c r="O9" s="4"/>
      <c r="P9" s="4"/>
      <c r="Q9" s="4"/>
      <c r="R9" s="4"/>
      <c r="S9" s="4"/>
      <c r="T9" s="6"/>
    </row>
    <row r="10" spans="1:21" x14ac:dyDescent="0.4">
      <c r="F10" s="4"/>
      <c r="H10" s="4"/>
      <c r="I10" s="4"/>
      <c r="J10" s="4"/>
      <c r="K10" s="4"/>
      <c r="L10" s="4"/>
      <c r="M10" s="1"/>
      <c r="N10" s="4"/>
      <c r="O10" s="4"/>
      <c r="P10" s="4"/>
      <c r="Q10" s="4"/>
      <c r="R10" s="4"/>
      <c r="S10" s="4"/>
      <c r="T10" s="6"/>
    </row>
    <row r="11" spans="1:21" x14ac:dyDescent="0.4">
      <c r="F11" s="4"/>
      <c r="H11" s="4"/>
      <c r="I11" s="4"/>
      <c r="J11" s="4"/>
      <c r="K11" s="4"/>
      <c r="L11" s="4"/>
      <c r="N11" s="4"/>
      <c r="O11" s="4"/>
      <c r="P11" s="4"/>
      <c r="Q11" s="4"/>
      <c r="R11" s="4"/>
      <c r="S11" s="4"/>
      <c r="T11" s="6"/>
    </row>
    <row r="12" spans="1:21" x14ac:dyDescent="0.4">
      <c r="F12" s="4"/>
      <c r="H12" s="4"/>
      <c r="I12" s="4"/>
      <c r="J12" s="4"/>
      <c r="K12" s="4"/>
      <c r="L12" s="4"/>
      <c r="N12" s="4"/>
      <c r="O12" s="4"/>
      <c r="P12" s="4"/>
      <c r="Q12" s="4"/>
      <c r="R12" s="4"/>
      <c r="S12" s="4"/>
      <c r="T12" s="5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3A30F-D18E-4314-948F-31EF267A7135}">
  <dimension ref="A1:U2"/>
  <sheetViews>
    <sheetView tabSelected="1" workbookViewId="0">
      <selection activeCell="M3" sqref="M3"/>
    </sheetView>
  </sheetViews>
  <sheetFormatPr defaultRowHeight="17.399999999999999" x14ac:dyDescent="0.4"/>
  <sheetData>
    <row r="1" spans="1:21" ht="18" thickBot="1" x14ac:dyDescent="0.45">
      <c r="A1" s="11" t="s">
        <v>0</v>
      </c>
      <c r="B1" s="11" t="s">
        <v>1</v>
      </c>
      <c r="C1" s="11" t="s">
        <v>2</v>
      </c>
      <c r="D1" s="14" t="s">
        <v>3</v>
      </c>
      <c r="E1" s="14" t="s">
        <v>4</v>
      </c>
      <c r="F1" s="15" t="s">
        <v>8</v>
      </c>
      <c r="G1" s="14" t="s">
        <v>6</v>
      </c>
      <c r="H1" s="15" t="s">
        <v>9</v>
      </c>
      <c r="I1" s="15" t="s">
        <v>10</v>
      </c>
      <c r="J1" s="15" t="s">
        <v>11</v>
      </c>
      <c r="K1" s="15" t="s">
        <v>12</v>
      </c>
      <c r="L1" s="15" t="s">
        <v>13</v>
      </c>
      <c r="M1" s="15" t="s">
        <v>5</v>
      </c>
      <c r="N1" s="15" t="s">
        <v>14</v>
      </c>
      <c r="O1" s="16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14" t="s">
        <v>21</v>
      </c>
    </row>
    <row r="2" spans="1:21" ht="18" thickTop="1" x14ac:dyDescent="0.4">
      <c r="A2" s="12"/>
      <c r="B2" s="12"/>
      <c r="C2" s="12"/>
      <c r="D2" s="17"/>
      <c r="E2" s="17"/>
      <c r="F2" s="18" t="e">
        <f>(B2-E2)/E2</f>
        <v>#DIV/0!</v>
      </c>
      <c r="G2" s="17"/>
      <c r="H2" s="17" t="e">
        <f>IF(T2&lt;&gt;0, T2, R2)</f>
        <v>#DIV/0!</v>
      </c>
      <c r="I2" s="18" t="e">
        <f>1-H2/E2</f>
        <v>#DIV/0!</v>
      </c>
      <c r="J2" s="17" t="e">
        <f>(E2-D2)/(E2-H2)</f>
        <v>#DIV/0!</v>
      </c>
      <c r="K2" s="17" t="e">
        <f>(B2-E2)/(B2-H2)</f>
        <v>#DIV/0!</v>
      </c>
      <c r="L2" s="17" t="e">
        <f>(J2*H2/D2)</f>
        <v>#DIV/0!</v>
      </c>
      <c r="M2" s="17"/>
      <c r="N2" s="18" t="e">
        <f>1/(F2+1+L2*S2)</f>
        <v>#DIV/0!</v>
      </c>
      <c r="O2" s="19" t="e">
        <f>1-M2-N2</f>
        <v>#DIV/0!</v>
      </c>
      <c r="P2" s="4" t="e">
        <f>(E2-D2)/(E2-H2)</f>
        <v>#DIV/0!</v>
      </c>
      <c r="Q2" s="4" t="e">
        <f>(B2-E2)/(B2-A2)</f>
        <v>#DIV/0!</v>
      </c>
      <c r="R2" s="5" t="e">
        <f>A2/(C2+A2/E2)</f>
        <v>#DIV/0!</v>
      </c>
      <c r="S2" s="4" t="e">
        <f>B2/A2-1</f>
        <v>#DIV/0!</v>
      </c>
      <c r="T2" s="6">
        <v>0</v>
      </c>
      <c r="U2" s="1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측정값</vt:lpstr>
      <vt:lpstr>형광 파라미터 평균</vt:lpstr>
      <vt:lpstr>함수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박은빈</dc:creator>
  <cp:lastModifiedBy>윤정민</cp:lastModifiedBy>
  <dcterms:created xsi:type="dcterms:W3CDTF">2026-02-04T06:00:55Z</dcterms:created>
  <dcterms:modified xsi:type="dcterms:W3CDTF">2026-10-01T01:29:43Z</dcterms:modified>
</cp:coreProperties>
</file>