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H28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n">
        <v>4</v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5.24961 207.712 374.057 607.691 871.253 1090.42 1263.62 1390.26</t>
        </is>
      </c>
      <c r="G13" t="inlineStr">
        <is>
          <t>0.0484275 224.129 388.99 591.828 811.376 1008.55 1200.61 1401.01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FlrLS</t>
        </is>
      </c>
      <c r="DU14" t="inlineStr">
        <is>
          <t>FlrLS</t>
        </is>
      </c>
      <c r="DV14" t="inlineStr">
        <is>
          <t>FlrLS</t>
        </is>
      </c>
      <c r="DW14" t="inlineStr">
        <is>
          <t>FlrLS</t>
        </is>
      </c>
      <c r="DX14" t="inlineStr">
        <is>
          <t>FlrLS</t>
        </is>
      </c>
      <c r="DY14" t="inlineStr">
        <is>
          <t>FlrLS</t>
        </is>
      </c>
      <c r="DZ14" t="inlineStr">
        <is>
          <t>FlrLS</t>
        </is>
      </c>
      <c r="EA14" t="inlineStr">
        <is>
          <t>FlrLS</t>
        </is>
      </c>
      <c r="EB14" t="inlineStr">
        <is>
          <t>FlrLS</t>
        </is>
      </c>
      <c r="EC14" t="inlineStr">
        <is>
          <t>FlrLS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FlrStats</t>
        </is>
      </c>
      <c r="EM14" t="inlineStr">
        <is>
          <t>FlrStats</t>
        </is>
      </c>
      <c r="EN14" t="inlineStr">
        <is>
          <t>FlrStats</t>
        </is>
      </c>
      <c r="EO14" t="inlineStr">
        <is>
          <t>FlrStats</t>
        </is>
      </c>
      <c r="EP14" t="inlineStr">
        <is>
          <t>FlrStats</t>
        </is>
      </c>
      <c r="EQ14" t="inlineStr">
        <is>
          <t>MchEvent</t>
        </is>
      </c>
      <c r="ER14" t="inlineStr">
        <is>
          <t>MchEvent</t>
        </is>
      </c>
      <c r="ES14" t="inlineStr">
        <is>
          <t>MchEvent</t>
        </is>
      </c>
      <c r="ET14" t="inlineStr">
        <is>
          <t>MchEvent</t>
        </is>
      </c>
      <c r="EU14" t="inlineStr">
        <is>
          <t>MchEvent</t>
        </is>
      </c>
      <c r="EV14" t="inlineStr">
        <is>
          <t>MchEvent</t>
        </is>
      </c>
      <c r="EW14" t="inlineStr">
        <is>
          <t>MchEvent</t>
        </is>
      </c>
      <c r="EX14" t="inlineStr">
        <is>
          <t>MchEvent</t>
        </is>
      </c>
      <c r="EY14" t="inlineStr">
        <is>
          <t>MchEvent</t>
        </is>
      </c>
      <c r="EZ14" t="inlineStr">
        <is>
          <t>MchEvent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Stability</t>
        </is>
      </c>
      <c r="FE14" t="inlineStr">
        <is>
          <t>Stability</t>
        </is>
      </c>
      <c r="FF14" t="inlineStr">
        <is>
          <t>Stability</t>
        </is>
      </c>
      <c r="FG14" t="inlineStr">
        <is>
          <t>Stability</t>
        </is>
      </c>
      <c r="FH14" t="inlineStr">
        <is>
          <t>Stability</t>
        </is>
      </c>
      <c r="FI14" t="inlineStr">
        <is>
          <t>Stability</t>
        </is>
      </c>
      <c r="FJ14" t="inlineStr">
        <is>
          <t>Stability</t>
        </is>
      </c>
      <c r="FK14" t="inlineStr">
        <is>
          <t>Stability</t>
        </is>
      </c>
      <c r="FL14" t="inlineStr">
        <is>
          <t>Stability</t>
        </is>
      </c>
      <c r="FM14" t="inlineStr">
        <is>
          <t>Stability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MchStatus</t>
        </is>
      </c>
      <c r="FT14" t="inlineStr">
        <is>
          <t>MchStatus</t>
        </is>
      </c>
      <c r="FU14" t="inlineStr">
        <is>
          <t>MchStatus</t>
        </is>
      </c>
      <c r="FV14" t="inlineStr">
        <is>
          <t>MchStatus</t>
        </is>
      </c>
      <c r="FW14" t="inlineStr">
        <is>
          <t>MchStatus</t>
        </is>
      </c>
      <c r="FX14" t="inlineStr">
        <is>
          <t>MchStatus</t>
        </is>
      </c>
      <c r="FY14" t="inlineStr">
        <is>
          <t>MchStatus</t>
        </is>
      </c>
      <c r="FZ14" t="inlineStr">
        <is>
          <t>MchStatus</t>
        </is>
      </c>
      <c r="GA14" t="inlineStr">
        <is>
          <t>MchStatus</t>
        </is>
      </c>
      <c r="GB14" t="inlineStr">
        <is>
          <t>MchStatus</t>
        </is>
      </c>
      <c r="GC14" t="inlineStr">
        <is>
          <t>MchStatus</t>
        </is>
      </c>
      <c r="GD14" t="inlineStr">
        <is>
          <t>MchStatus</t>
        </is>
      </c>
      <c r="GE14" t="inlineStr">
        <is>
          <t>MchStatus</t>
        </is>
      </c>
      <c r="GF14" t="inlineStr">
        <is>
          <t>MchStatus</t>
        </is>
      </c>
      <c r="GG14" t="inlineStr">
        <is>
          <t>MchStatus</t>
        </is>
      </c>
      <c r="GH14" t="inlineStr">
        <is>
          <t>MchStatus</t>
        </is>
      </c>
      <c r="GI14" t="inlineStr">
        <is>
          <t>MchStatus</t>
        </is>
      </c>
      <c r="GJ14" t="inlineStr">
        <is>
          <t>MchStatus</t>
        </is>
      </c>
      <c r="GK14" t="inlineStr">
        <is>
          <t>ConStatus</t>
        </is>
      </c>
      <c r="GL14" t="inlineStr">
        <is>
          <t>ConStatus</t>
        </is>
      </c>
      <c r="GM14" t="inlineStr">
        <is>
          <t>ConStatus</t>
        </is>
      </c>
      <c r="GN14" t="inlineStr">
        <is>
          <t>ConStatus</t>
        </is>
      </c>
      <c r="GO14" t="inlineStr">
        <is>
          <t>ConStatus</t>
        </is>
      </c>
      <c r="GP14" t="inlineStr">
        <is>
          <t>ConStatus</t>
        </is>
      </c>
      <c r="GQ14" t="inlineStr">
        <is>
          <t>ConStatus</t>
        </is>
      </c>
      <c r="GR14" t="inlineStr">
        <is>
          <t>ConStatus</t>
        </is>
      </c>
      <c r="GS14" t="inlineStr">
        <is>
          <t>Status</t>
        </is>
      </c>
      <c r="GT14" t="inlineStr">
        <is>
          <t>Status</t>
        </is>
      </c>
      <c r="GU14" t="inlineStr">
        <is>
          <t>Status</t>
        </is>
      </c>
      <c r="GV14" t="inlineStr">
        <is>
          <t>Status</t>
        </is>
      </c>
      <c r="GW14" t="inlineStr">
        <is>
          <t>Status</t>
        </is>
      </c>
      <c r="GX14" t="inlineStr">
        <is>
          <t>Status</t>
        </is>
      </c>
      <c r="GY14" t="inlineStr">
        <is>
          <t>Status</t>
        </is>
      </c>
      <c r="GZ14" t="inlineStr">
        <is>
          <t>Status</t>
        </is>
      </c>
      <c r="HA14" t="inlineStr">
        <is>
          <t>Status</t>
        </is>
      </c>
      <c r="HB14" t="inlineStr">
        <is>
          <t>Status</t>
        </is>
      </c>
      <c r="HC14" t="inlineStr">
        <is>
          <t>Status</t>
        </is>
      </c>
      <c r="HD14" t="inlineStr">
        <is>
          <t>Status</t>
        </is>
      </c>
      <c r="HE14" t="inlineStr">
        <is>
          <t>Status</t>
        </is>
      </c>
      <c r="HF14" t="inlineStr">
        <is>
          <t>Status</t>
        </is>
      </c>
      <c r="HG14" t="inlineStr">
        <is>
          <t>Status</t>
        </is>
      </c>
      <c r="HH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Q</t>
        </is>
      </c>
      <c r="DU15" t="inlineStr">
        <is>
          <t>f_red</t>
        </is>
      </c>
      <c r="DV15" t="inlineStr">
        <is>
          <t>f_blue</t>
        </is>
      </c>
      <c r="DW15" t="inlineStr">
        <is>
          <t>f_farred</t>
        </is>
      </c>
      <c r="DX15" t="inlineStr">
        <is>
          <t>F</t>
        </is>
      </c>
      <c r="DY15" t="inlineStr">
        <is>
          <t>Q_modavg</t>
        </is>
      </c>
      <c r="DZ15" t="inlineStr">
        <is>
          <t>F_dc</t>
        </is>
      </c>
      <c r="EA15" t="inlineStr">
        <is>
          <t>Pc</t>
        </is>
      </c>
      <c r="EB15" t="inlineStr">
        <is>
          <t>Tled</t>
        </is>
      </c>
      <c r="EC15" t="inlineStr">
        <is>
          <t>TDigital</t>
        </is>
      </c>
      <c r="ED15" t="inlineStr">
        <is>
          <t>TPreamp</t>
        </is>
      </c>
      <c r="EE15" t="inlineStr">
        <is>
          <t>TPwrSpy</t>
        </is>
      </c>
      <c r="EF15" t="inlineStr">
        <is>
          <t>TDrive</t>
        </is>
      </c>
      <c r="EG15" t="inlineStr">
        <is>
          <t>Q_red</t>
        </is>
      </c>
      <c r="EH15" t="inlineStr">
        <is>
          <t>Q_blue</t>
        </is>
      </c>
      <c r="EI15" t="inlineStr">
        <is>
          <t>Q_farred</t>
        </is>
      </c>
      <c r="EJ15" t="inlineStr">
        <is>
          <t>TSPF</t>
        </is>
      </c>
      <c r="EK15" t="inlineStr">
        <is>
          <t>state</t>
        </is>
      </c>
      <c r="EL15" t="inlineStr">
        <is>
          <t>F_avg</t>
        </is>
      </c>
      <c r="EM15" t="inlineStr">
        <is>
          <t>dF/dt</t>
        </is>
      </c>
      <c r="EN15" t="inlineStr">
        <is>
          <t>dF_dc/dt</t>
        </is>
      </c>
      <c r="EO15" t="inlineStr">
        <is>
          <t>F_dc_avg</t>
        </is>
      </c>
      <c r="EP15" t="inlineStr">
        <is>
          <t>period</t>
        </is>
      </c>
      <c r="EQ15" t="inlineStr">
        <is>
          <t>time</t>
        </is>
      </c>
      <c r="ER15" t="inlineStr">
        <is>
          <t>hhmmss</t>
        </is>
      </c>
      <c r="ES15" t="inlineStr">
        <is>
          <t>co2_t</t>
        </is>
      </c>
      <c r="ET15" t="inlineStr">
        <is>
          <t>h2o_t</t>
        </is>
      </c>
      <c r="EU15" t="inlineStr">
        <is>
          <t>count</t>
        </is>
      </c>
      <c r="EV15" t="inlineStr">
        <is>
          <t>co2_adj</t>
        </is>
      </c>
      <c r="EW15" t="inlineStr">
        <is>
          <t>h2o_adj</t>
        </is>
      </c>
      <c r="EX15" t="inlineStr">
        <is>
          <t>co2_match</t>
        </is>
      </c>
      <c r="EY15" t="inlineStr">
        <is>
          <t>h2o_match</t>
        </is>
      </c>
      <c r="EZ15" t="inlineStr">
        <is>
          <t>co2_at</t>
        </is>
      </c>
      <c r="FA15" t="inlineStr">
        <is>
          <t>h2o_at</t>
        </is>
      </c>
      <c r="FB15" t="inlineStr">
        <is>
          <t>co2_cv</t>
        </is>
      </c>
      <c r="FC15" t="inlineStr">
        <is>
          <t>h2o_cv</t>
        </is>
      </c>
      <c r="FD15" t="inlineStr">
        <is>
          <t>A:MN</t>
        </is>
      </c>
      <c r="FE15" t="inlineStr">
        <is>
          <t>A:SLP</t>
        </is>
      </c>
      <c r="FF15" t="inlineStr">
        <is>
          <t>A:SD</t>
        </is>
      </c>
      <c r="FG15" t="inlineStr">
        <is>
          <t>A:OK</t>
        </is>
      </c>
      <c r="FH15" t="inlineStr">
        <is>
          <t>ΔCO2:MN</t>
        </is>
      </c>
      <c r="FI15" t="inlineStr">
        <is>
          <t>ΔCO2:SLP</t>
        </is>
      </c>
      <c r="FJ15" t="inlineStr">
        <is>
          <t>ΔCO2:SD</t>
        </is>
      </c>
      <c r="FK15" t="inlineStr">
        <is>
          <t>ΔCO2:OK</t>
        </is>
      </c>
      <c r="FL15" t="inlineStr">
        <is>
          <t>F:MN</t>
        </is>
      </c>
      <c r="FM15" t="inlineStr">
        <is>
          <t>F:SLP</t>
        </is>
      </c>
      <c r="FN15" t="inlineStr">
        <is>
          <t>F:SD</t>
        </is>
      </c>
      <c r="FO15" t="inlineStr">
        <is>
          <t>F:OK</t>
        </is>
      </c>
      <c r="FP15" t="inlineStr">
        <is>
          <t>Stable</t>
        </is>
      </c>
      <c r="FQ15" t="inlineStr">
        <is>
          <t>Total</t>
        </is>
      </c>
      <c r="FR15" t="inlineStr">
        <is>
          <t>State</t>
        </is>
      </c>
      <c r="FS15" t="inlineStr">
        <is>
          <t>MatchValveR</t>
        </is>
      </c>
      <c r="FT15" t="inlineStr">
        <is>
          <t>MatchValveS</t>
        </is>
      </c>
      <c r="FU15" t="inlineStr">
        <is>
          <t>MatchCO2</t>
        </is>
      </c>
      <c r="FV15" t="inlineStr">
        <is>
          <t>MatchH2O</t>
        </is>
      </c>
      <c r="FW15" t="inlineStr">
        <is>
          <t>cf_co2_a</t>
        </is>
      </c>
      <c r="FX15" t="inlineStr">
        <is>
          <t>cf_co2_b</t>
        </is>
      </c>
      <c r="FY15" t="inlineStr">
        <is>
          <t>cf_co2_c</t>
        </is>
      </c>
      <c r="FZ15" t="inlineStr">
        <is>
          <t>cf_co2_d</t>
        </is>
      </c>
      <c r="GA15" t="inlineStr">
        <is>
          <t>cf_h2o_a</t>
        </is>
      </c>
      <c r="GB15" t="inlineStr">
        <is>
          <t>cf_h2o_b</t>
        </is>
      </c>
      <c r="GC15" t="inlineStr">
        <is>
          <t>cf_h2o_c</t>
        </is>
      </c>
      <c r="GD15" t="inlineStr">
        <is>
          <t>cf_h2o_d</t>
        </is>
      </c>
      <c r="GE15" t="inlineStr">
        <is>
          <t>co2_fit_low</t>
        </is>
      </c>
      <c r="GF15" t="inlineStr">
        <is>
          <t>co2_fit_high</t>
        </is>
      </c>
      <c r="GG15" t="inlineStr">
        <is>
          <t>h2o_fit_low</t>
        </is>
      </c>
      <c r="GH15" t="inlineStr">
        <is>
          <t>h2o_fit_high</t>
        </is>
      </c>
      <c r="GI15" t="inlineStr">
        <is>
          <t>co2_elapsed</t>
        </is>
      </c>
      <c r="GJ15" t="inlineStr">
        <is>
          <t>h2o_elapsed</t>
        </is>
      </c>
      <c r="GK15" t="inlineStr">
        <is>
          <t>CO2_f</t>
        </is>
      </c>
      <c r="GL15" t="inlineStr">
        <is>
          <t>CO2_f_s</t>
        </is>
      </c>
      <c r="GM15" t="inlineStr">
        <is>
          <t>Pump_f</t>
        </is>
      </c>
      <c r="GN15" t="inlineStr">
        <is>
          <t>Pump_f_s</t>
        </is>
      </c>
      <c r="GO15" t="inlineStr">
        <is>
          <t>Pump_p</t>
        </is>
      </c>
      <c r="GP15" t="inlineStr">
        <is>
          <t>Pump_p_s</t>
        </is>
      </c>
      <c r="GQ15" t="inlineStr">
        <is>
          <t>Tboard</t>
        </is>
      </c>
      <c r="GR15" t="inlineStr">
        <is>
          <t>V_system</t>
        </is>
      </c>
      <c r="GS15" t="inlineStr">
        <is>
          <t>DIAG</t>
        </is>
      </c>
      <c r="GT15" t="inlineStr">
        <is>
          <t>Flow_s</t>
        </is>
      </c>
      <c r="GU15" t="inlineStr">
        <is>
          <t>Flow_r</t>
        </is>
      </c>
      <c r="GV15" t="inlineStr">
        <is>
          <t>Txchg</t>
        </is>
      </c>
      <c r="GW15" t="inlineStr">
        <is>
          <t>Tirga</t>
        </is>
      </c>
      <c r="GX15" t="inlineStr">
        <is>
          <t>Tchopper</t>
        </is>
      </c>
      <c r="GY15" t="inlineStr">
        <is>
          <t>Ts</t>
        </is>
      </c>
      <c r="GZ15" t="inlineStr">
        <is>
          <t>Tr</t>
        </is>
      </c>
      <c r="HA15" t="inlineStr">
        <is>
          <t>CO2_%</t>
        </is>
      </c>
      <c r="HB15" t="inlineStr">
        <is>
          <t>Desiccant_%</t>
        </is>
      </c>
      <c r="HC15" t="inlineStr">
        <is>
          <t>Humidifier_%</t>
        </is>
      </c>
      <c r="HD15" t="inlineStr">
        <is>
          <t>Txchg_sp</t>
        </is>
      </c>
      <c r="HE15" t="inlineStr">
        <is>
          <t>CO2_r_sp</t>
        </is>
      </c>
      <c r="HF15" t="inlineStr">
        <is>
          <t>H2O_r_sp</t>
        </is>
      </c>
      <c r="HG15" t="inlineStr">
        <is>
          <t>SS_s</t>
        </is>
      </c>
      <c r="HH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m⁻² s⁻¹</t>
        </is>
      </c>
      <c r="DY16" t="inlineStr">
        <is>
          <t>µmol m⁻² s⁻¹</t>
        </is>
      </c>
      <c r="EB16" t="inlineStr">
        <is>
          <t>°C</t>
        </is>
      </c>
      <c r="EC16" t="inlineStr">
        <is>
          <t>°C</t>
        </is>
      </c>
      <c r="ED16" t="inlineStr">
        <is>
          <t>°C</t>
        </is>
      </c>
      <c r="EE16" t="inlineStr">
        <is>
          <t>°C</t>
        </is>
      </c>
      <c r="EF16" t="inlineStr">
        <is>
          <t>°C</t>
        </is>
      </c>
      <c r="EG16" t="inlineStr">
        <is>
          <t>µmol m⁻² s⁻¹</t>
        </is>
      </c>
      <c r="EH16" t="inlineStr">
        <is>
          <t>µmol m⁻² s⁻¹</t>
        </is>
      </c>
      <c r="EI16" t="inlineStr">
        <is>
          <t>µmol m⁻² s⁻¹</t>
        </is>
      </c>
      <c r="EJ16" t="inlineStr">
        <is>
          <t>s</t>
        </is>
      </c>
      <c r="EM16" t="inlineStr">
        <is>
          <t>min⁻¹</t>
        </is>
      </c>
      <c r="EN16" t="inlineStr">
        <is>
          <t>min⁻¹</t>
        </is>
      </c>
      <c r="EP16" t="inlineStr">
        <is>
          <t>s</t>
        </is>
      </c>
      <c r="EQ16" t="inlineStr">
        <is>
          <t>secs</t>
        </is>
      </c>
      <c r="ES16" t="inlineStr">
        <is>
          <t>s</t>
        </is>
      </c>
      <c r="ET16" t="inlineStr">
        <is>
          <t>s</t>
        </is>
      </c>
      <c r="EV16" t="inlineStr">
        <is>
          <t>µmol/mol</t>
        </is>
      </c>
      <c r="EW16" t="inlineStr">
        <is>
          <t>mmol/mol</t>
        </is>
      </c>
      <c r="EX16" t="inlineStr">
        <is>
          <t>µmol/mol</t>
        </is>
      </c>
      <c r="EY16" t="inlineStr">
        <is>
          <t>mmol/mol</t>
        </is>
      </c>
      <c r="EZ16" t="inlineStr">
        <is>
          <t>µmol/mol</t>
        </is>
      </c>
      <c r="FA16" t="inlineStr">
        <is>
          <t>mmol/mol</t>
        </is>
      </c>
      <c r="FB16" t="inlineStr">
        <is>
          <t>%</t>
        </is>
      </c>
      <c r="FC16" t="inlineStr">
        <is>
          <t>%</t>
        </is>
      </c>
      <c r="FD16" t="inlineStr">
        <is>
          <t>µmol m⁻² s⁻¹</t>
        </is>
      </c>
      <c r="FE16" t="inlineStr">
        <is>
          <t>µmol m⁻² s⁻¹ min⁻¹</t>
        </is>
      </c>
      <c r="FF16" t="inlineStr">
        <is>
          <t>µmol m⁻² s⁻¹</t>
        </is>
      </c>
      <c r="FH16" t="inlineStr">
        <is>
          <t>µmol mol⁻¹</t>
        </is>
      </c>
      <c r="FI16" t="inlineStr">
        <is>
          <t>µmol mol⁻¹ min⁻¹</t>
        </is>
      </c>
      <c r="FJ16" t="inlineStr">
        <is>
          <t>µmol mol⁻¹</t>
        </is>
      </c>
      <c r="FM16" t="inlineStr">
        <is>
          <t xml:space="preserve"> min⁻¹</t>
        </is>
      </c>
      <c r="FS16" t="inlineStr">
        <is>
          <t>%</t>
        </is>
      </c>
      <c r="FT16" t="inlineStr">
        <is>
          <t>%</t>
        </is>
      </c>
      <c r="FU16" t="inlineStr">
        <is>
          <t>µmol/mol</t>
        </is>
      </c>
      <c r="FV16" t="inlineStr">
        <is>
          <t>mmol/mol</t>
        </is>
      </c>
      <c r="FW16" t="inlineStr">
        <is>
          <t>µmol/mol</t>
        </is>
      </c>
      <c r="GA16" t="inlineStr">
        <is>
          <t>mmol/mol</t>
        </is>
      </c>
      <c r="GE16" t="inlineStr">
        <is>
          <t>µmol mol⁻¹</t>
        </is>
      </c>
      <c r="GF16" t="inlineStr">
        <is>
          <t>µmol mol⁻¹</t>
        </is>
      </c>
      <c r="GG16" t="inlineStr">
        <is>
          <t>mmol mol⁻¹</t>
        </is>
      </c>
      <c r="GH16" t="inlineStr">
        <is>
          <t>mmol mol⁻¹</t>
        </is>
      </c>
      <c r="GI16" t="inlineStr">
        <is>
          <t>min</t>
        </is>
      </c>
      <c r="GJ16" t="inlineStr">
        <is>
          <t>min</t>
        </is>
      </c>
      <c r="GK16" t="inlineStr">
        <is>
          <t>V</t>
        </is>
      </c>
      <c r="GL16" t="inlineStr">
        <is>
          <t>V</t>
        </is>
      </c>
      <c r="GM16" t="inlineStr">
        <is>
          <t>V</t>
        </is>
      </c>
      <c r="GN16" t="inlineStr">
        <is>
          <t>V</t>
        </is>
      </c>
      <c r="GO16" t="inlineStr">
        <is>
          <t>V</t>
        </is>
      </c>
      <c r="GP16" t="inlineStr">
        <is>
          <t>V</t>
        </is>
      </c>
      <c r="GQ16" t="inlineStr">
        <is>
          <t>°C</t>
        </is>
      </c>
      <c r="GR16" t="inlineStr">
        <is>
          <t>V</t>
        </is>
      </c>
      <c r="GT16" t="inlineStr">
        <is>
          <t>µmol s⁻¹</t>
        </is>
      </c>
      <c r="GU16" t="inlineStr">
        <is>
          <t>µmol s⁻¹</t>
        </is>
      </c>
      <c r="GV16" t="inlineStr">
        <is>
          <t>°C</t>
        </is>
      </c>
      <c r="GW16" t="inlineStr">
        <is>
          <t>°C</t>
        </is>
      </c>
      <c r="GX16" t="inlineStr">
        <is>
          <t>°C</t>
        </is>
      </c>
      <c r="GY16" t="inlineStr">
        <is>
          <t>°C</t>
        </is>
      </c>
      <c r="GZ16" t="inlineStr">
        <is>
          <t>°C</t>
        </is>
      </c>
      <c r="HA16" t="inlineStr">
        <is>
          <t>%</t>
        </is>
      </c>
      <c r="HB16" t="inlineStr">
        <is>
          <t>%</t>
        </is>
      </c>
      <c r="HC16" t="inlineStr">
        <is>
          <t>%</t>
        </is>
      </c>
      <c r="HD16" t="inlineStr">
        <is>
          <t>°C</t>
        </is>
      </c>
      <c r="HE16" t="inlineStr">
        <is>
          <t>µmol mol⁻¹</t>
        </is>
      </c>
      <c r="HF16" t="inlineStr">
        <is>
          <t>mmol mol⁻¹</t>
        </is>
      </c>
      <c r="HG16" t="inlineStr">
        <is>
          <t>%</t>
        </is>
      </c>
      <c r="HH16" t="inlineStr">
        <is>
          <t>%</t>
        </is>
      </c>
    </row>
    <row r="17">
      <c r="A17" t="n">
        <v>1</v>
      </c>
      <c r="B17" t="n">
        <v>1595359924</v>
      </c>
      <c r="C17" t="n">
        <v>0</v>
      </c>
      <c r="D17" t="inlineStr">
        <is>
          <t>20200722 04:32:04</t>
        </is>
      </c>
      <c r="E17" t="inlineStr">
        <is>
          <t>04:32:04</t>
        </is>
      </c>
      <c r="F17" t="n">
        <v>5</v>
      </c>
      <c r="G17" t="n">
        <v>1595359920.5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-</t>
        </is>
      </c>
      <c r="AK17" t="inlineStr">
        <is>
          <t>-</t>
        </is>
      </c>
      <c r="AL17" t="n">
        <v>0</v>
      </c>
      <c r="AM17" t="n">
        <v>0</v>
      </c>
      <c r="AN17">
        <f>1-AL17/AM17</f>
        <v/>
      </c>
      <c r="AO17" t="n">
        <v>0</v>
      </c>
      <c r="AP17" t="inlineStr">
        <is>
          <t>-</t>
        </is>
      </c>
      <c r="AQ17" t="inlineStr">
        <is>
          <t>-</t>
        </is>
      </c>
      <c r="AR17" t="n">
        <v>0</v>
      </c>
      <c r="AS17" t="n">
        <v>0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265</v>
      </c>
      <c r="BM17" t="n">
        <v>290</v>
      </c>
      <c r="BN17" t="n">
        <v>705.59</v>
      </c>
      <c r="BO17" t="n">
        <v>195</v>
      </c>
      <c r="BP17" t="n">
        <v>8110.47</v>
      </c>
      <c r="BQ17" t="n">
        <v>703.77</v>
      </c>
      <c r="BR17" t="n">
        <v>1.82</v>
      </c>
      <c r="BS17" t="n">
        <v>300</v>
      </c>
      <c r="BT17" t="n">
        <v>19.1</v>
      </c>
      <c r="BU17" t="n">
        <v>728.735623028316</v>
      </c>
      <c r="BV17" t="n">
        <v>2.43797327259926</v>
      </c>
      <c r="BW17" t="n">
        <v>-20.2484206340873</v>
      </c>
      <c r="BX17" t="n">
        <v>1.76826879160836</v>
      </c>
      <c r="BY17" t="n">
        <v>0.824037787313686</v>
      </c>
      <c r="BZ17" t="n">
        <v>-0.00536440111234705</v>
      </c>
      <c r="CA17" t="n">
        <v>290</v>
      </c>
      <c r="CB17" t="n">
        <v>697.3</v>
      </c>
      <c r="CC17" t="n">
        <v>615</v>
      </c>
      <c r="CD17" t="n">
        <v>8103.53</v>
      </c>
      <c r="CE17" t="n">
        <v>703.75</v>
      </c>
      <c r="CF17" t="n">
        <v>-6.45</v>
      </c>
      <c r="CT17">
        <f>$B$11*DR17+$C$11*DS17+$F$11*DT17*(1-DW17)</f>
        <v/>
      </c>
      <c r="CU17">
        <f>CT17*CV17</f>
        <v/>
      </c>
      <c r="CV17">
        <f>($B$11*$D$9+$C$11*$D$9+$F$11*((EG17+DY17)/MAX(EG17+DY17+EH17, 0.1)*$I$9+EH17/MAX(EG17+DY17+EH17, 0.1)*$J$9))/($B$11+$C$11+$F$11)</f>
        <v/>
      </c>
      <c r="CW17">
        <f>($B$11*$K$9+$C$11*$K$9+$F$11*((EG17+DY17)/MAX(EG17+DY17+EH17, 0.1)*$P$9+EH17/MAX(EG17+DY17+EH17,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1595359920.5</v>
      </c>
      <c r="DC17" t="n">
        <v>393.6285</v>
      </c>
      <c r="DD17" t="n">
        <v>400.006666666667</v>
      </c>
      <c r="DE17" t="n">
        <v>17.90665</v>
      </c>
      <c r="DF17" t="n">
        <v>16.57355</v>
      </c>
      <c r="DG17" t="n">
        <v>393.358833333333</v>
      </c>
      <c r="DH17" t="n">
        <v>18.00325</v>
      </c>
      <c r="DI17" t="n">
        <v>500.015166666667</v>
      </c>
      <c r="DJ17" t="n">
        <v>101.265833333333</v>
      </c>
      <c r="DK17" t="n">
        <v>0.0997000333333333</v>
      </c>
      <c r="DL17" t="n">
        <v>25.6422</v>
      </c>
      <c r="DM17" t="n">
        <v>24.9810333333333</v>
      </c>
      <c r="DN17" t="n">
        <v>999.9</v>
      </c>
      <c r="DO17" t="n">
        <v>0</v>
      </c>
      <c r="DP17" t="n">
        <v>0</v>
      </c>
      <c r="DQ17" t="n">
        <v>10040.6166666667</v>
      </c>
      <c r="DR17" t="n">
        <v>0</v>
      </c>
      <c r="DS17" t="n">
        <v>7.2843</v>
      </c>
      <c r="DT17" t="n">
        <v>1499.99833333333</v>
      </c>
      <c r="DU17" t="n">
        <v>0.973001666666667</v>
      </c>
      <c r="DV17" t="n">
        <v>0.0269981666666667</v>
      </c>
      <c r="DW17" t="n">
        <v>0</v>
      </c>
      <c r="DX17" t="n">
        <v>216.519666666667</v>
      </c>
      <c r="DY17" t="n">
        <v>4.99999</v>
      </c>
      <c r="DZ17" t="n">
        <v>3323.61666666667</v>
      </c>
      <c r="EA17" t="n">
        <v>14882.5833333333</v>
      </c>
      <c r="EB17" t="n">
        <v>36.562</v>
      </c>
      <c r="EC17" t="n">
        <v>38.125</v>
      </c>
      <c r="ED17" t="n">
        <v>37.125</v>
      </c>
      <c r="EE17" t="n">
        <v>37.562</v>
      </c>
      <c r="EF17" t="n">
        <v>38.2395</v>
      </c>
      <c r="EG17" t="n">
        <v>1454.63833333333</v>
      </c>
      <c r="EH17" t="n">
        <v>40.36</v>
      </c>
      <c r="EI17" t="n">
        <v>0</v>
      </c>
      <c r="EJ17" t="n">
        <v>5244.10000014305</v>
      </c>
      <c r="EK17" t="n">
        <v>0</v>
      </c>
      <c r="EL17" t="n">
        <v>216.27756</v>
      </c>
      <c r="EM17" t="n">
        <v>0.803923069514183</v>
      </c>
      <c r="EN17" t="n">
        <v>-6.12307692399243</v>
      </c>
      <c r="EO17" t="n">
        <v>3323.994</v>
      </c>
      <c r="EP17" t="n">
        <v>15</v>
      </c>
      <c r="EQ17" t="n">
        <v>1595359852</v>
      </c>
      <c r="ER17" t="inlineStr">
        <is>
          <t>04:30:52</t>
        </is>
      </c>
      <c r="ES17" t="n">
        <v>1595359852</v>
      </c>
      <c r="ET17" t="n">
        <v>1595359850</v>
      </c>
      <c r="EU17" t="n">
        <v>48</v>
      </c>
      <c r="EV17" t="n">
        <v>-0.002</v>
      </c>
      <c r="EW17" t="n">
        <v>0.001</v>
      </c>
      <c r="EX17" t="n">
        <v>0.277</v>
      </c>
      <c r="EY17" t="n">
        <v>-0.097</v>
      </c>
      <c r="EZ17" t="n">
        <v>400</v>
      </c>
      <c r="FA17" t="n">
        <v>17</v>
      </c>
      <c r="FB17" t="n">
        <v>0.32</v>
      </c>
      <c r="FC17" t="n">
        <v>0.06</v>
      </c>
      <c r="FD17" t="n">
        <v>14.5663413721626</v>
      </c>
      <c r="FE17" t="n">
        <v>-0.0887902285506974</v>
      </c>
      <c r="FF17" t="n">
        <v>0.08585645628563381</v>
      </c>
      <c r="FG17" t="n">
        <v>1</v>
      </c>
      <c r="FH17" t="n">
        <v>-6.36609238095238</v>
      </c>
      <c r="FI17" t="n">
        <v>-0.00475948051948375</v>
      </c>
      <c r="FJ17" t="n">
        <v>0.0363098109403166</v>
      </c>
      <c r="FK17" t="n">
        <v>1</v>
      </c>
      <c r="FL17" t="n">
        <v>216.335205882353</v>
      </c>
      <c r="FM17" t="n">
        <v>-0.917020625817025</v>
      </c>
      <c r="FN17" t="n">
        <v>0.5026937893467071</v>
      </c>
      <c r="FO17" t="n">
        <v>1</v>
      </c>
      <c r="FP17" t="n">
        <v>3</v>
      </c>
      <c r="FQ17" t="n">
        <v>3</v>
      </c>
      <c r="FR17" t="inlineStr">
        <is>
          <t>3/3</t>
        </is>
      </c>
      <c r="FS17" t="n">
        <v>100</v>
      </c>
      <c r="FT17" t="n">
        <v>100</v>
      </c>
      <c r="FU17" t="n">
        <v>0.269</v>
      </c>
      <c r="FV17" t="n">
        <v>-0.09660000000000001</v>
      </c>
      <c r="FW17" t="n">
        <v>-0.121906792997856</v>
      </c>
      <c r="FX17" t="n">
        <v>0.000862124167288959</v>
      </c>
      <c r="FY17" t="n">
        <v>3.40327538556632e-07</v>
      </c>
      <c r="FZ17" t="n">
        <v>-2.02263791882896e-12</v>
      </c>
      <c r="GA17" t="n">
        <v>-0.0965999999999987</v>
      </c>
      <c r="GB17" t="n">
        <v>0</v>
      </c>
      <c r="GC17" t="n">
        <v>0</v>
      </c>
      <c r="GD17" t="n">
        <v>0</v>
      </c>
      <c r="GE17" t="n">
        <v>4</v>
      </c>
      <c r="GF17" t="n">
        <v>2115</v>
      </c>
      <c r="GG17" t="n">
        <v>-1</v>
      </c>
      <c r="GH17" t="n">
        <v>-1</v>
      </c>
      <c r="GI17" t="n">
        <v>1.2</v>
      </c>
      <c r="GJ17" t="n">
        <v>1.2</v>
      </c>
      <c r="GK17" t="n">
        <v>1.03638</v>
      </c>
      <c r="GL17" t="n">
        <v>2.66357</v>
      </c>
      <c r="GM17" t="n">
        <v>1.65161</v>
      </c>
      <c r="GN17" t="n">
        <v>2.27417</v>
      </c>
      <c r="GO17" t="n">
        <v>1.5979</v>
      </c>
      <c r="GP17" t="n">
        <v>2.48291</v>
      </c>
      <c r="GQ17" t="n">
        <v>38.4524</v>
      </c>
      <c r="GR17" t="n">
        <v>23.8336</v>
      </c>
      <c r="GS17" t="n">
        <v>18</v>
      </c>
      <c r="GT17" t="n">
        <v>505.054</v>
      </c>
      <c r="GU17" t="n">
        <v>522.942</v>
      </c>
      <c r="GV17" t="n">
        <v>22.3528</v>
      </c>
      <c r="GW17" t="n">
        <v>29.6558</v>
      </c>
      <c r="GX17" t="n">
        <v>29.9997</v>
      </c>
      <c r="GY17" t="n">
        <v>29.9383</v>
      </c>
      <c r="GZ17" t="n">
        <v>30.0152</v>
      </c>
      <c r="HA17" t="n">
        <v>20.7344</v>
      </c>
      <c r="HB17" t="n">
        <v>22.119</v>
      </c>
      <c r="HC17" t="n">
        <v>25.6799</v>
      </c>
      <c r="HD17" t="n">
        <v>22.3551</v>
      </c>
      <c r="HE17" t="n">
        <v>400</v>
      </c>
      <c r="HF17" t="n">
        <v>16.6116</v>
      </c>
      <c r="HG17" t="n">
        <v>97.9297</v>
      </c>
      <c r="HH17" t="n">
        <v>95.325</v>
      </c>
    </row>
    <row r="18">
      <c r="A18" t="n">
        <v>2</v>
      </c>
      <c r="B18" t="n">
        <v>1595360045.1</v>
      </c>
      <c r="C18" t="n">
        <v>121.099999904633</v>
      </c>
      <c r="D18" t="inlineStr">
        <is>
          <t>20200722 04:34:05</t>
        </is>
      </c>
      <c r="E18" t="inlineStr">
        <is>
          <t>04:34:05</t>
        </is>
      </c>
      <c r="F18" t="n">
        <v>5</v>
      </c>
      <c r="G18" t="n">
        <v>1595360042.1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-</t>
        </is>
      </c>
      <c r="AK18" t="inlineStr">
        <is>
          <t>-</t>
        </is>
      </c>
      <c r="AL18" t="n">
        <v>0</v>
      </c>
      <c r="AM18" t="n">
        <v>0</v>
      </c>
      <c r="AN18">
        <f>1-AL18/AM18</f>
        <v/>
      </c>
      <c r="AO18" t="n">
        <v>0</v>
      </c>
      <c r="AP18" t="inlineStr">
        <is>
          <t>-</t>
        </is>
      </c>
      <c r="AQ18" t="inlineStr">
        <is>
          <t>-</t>
        </is>
      </c>
      <c r="AR18" t="n">
        <v>0</v>
      </c>
      <c r="AS18" t="n">
        <v>0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265</v>
      </c>
      <c r="BM18" t="n">
        <v>290</v>
      </c>
      <c r="BN18" t="n">
        <v>705.59</v>
      </c>
      <c r="BO18" t="n">
        <v>195</v>
      </c>
      <c r="BP18" t="n">
        <v>8110.47</v>
      </c>
      <c r="BQ18" t="n">
        <v>703.77</v>
      </c>
      <c r="BR18" t="n">
        <v>1.82</v>
      </c>
      <c r="BS18" t="n">
        <v>300</v>
      </c>
      <c r="BT18" t="n">
        <v>19.1</v>
      </c>
      <c r="BU18" t="n">
        <v>728.735623028316</v>
      </c>
      <c r="BV18" t="n">
        <v>2.43797327259926</v>
      </c>
      <c r="BW18" t="n">
        <v>-20.2484206340873</v>
      </c>
      <c r="BX18" t="n">
        <v>1.76826879160836</v>
      </c>
      <c r="BY18" t="n">
        <v>0.824037787313686</v>
      </c>
      <c r="BZ18" t="n">
        <v>-0.00536440111234705</v>
      </c>
      <c r="CA18" t="n">
        <v>290</v>
      </c>
      <c r="CB18" t="n">
        <v>697.3</v>
      </c>
      <c r="CC18" t="n">
        <v>615</v>
      </c>
      <c r="CD18" t="n">
        <v>8103.53</v>
      </c>
      <c r="CE18" t="n">
        <v>703.75</v>
      </c>
      <c r="CF18" t="n">
        <v>-6.45</v>
      </c>
      <c r="CT18">
        <f>$B$11*DR18+$C$11*DS18+$F$11*DT18*(1-DW18)</f>
        <v/>
      </c>
      <c r="CU18">
        <f>CT18*CV18</f>
        <v/>
      </c>
      <c r="CV18">
        <f>($B$11*$D$9+$C$11*$D$9+$F$11*((EG18+DY18)/MAX(EG18+DY18+EH18, 0.1)*$I$9+EH18/MAX(EG18+DY18+EH18, 0.1)*$J$9))/($B$11+$C$11+$F$11)</f>
        <v/>
      </c>
      <c r="CW18">
        <f>($B$11*$K$9+$C$11*$K$9+$F$11*((EG18+DY18)/MAX(EG18+DY18+EH18, 0.1)*$P$9+EH18/MAX(EG18+DY18+EH18,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1595360042.1</v>
      </c>
      <c r="DC18" t="n">
        <v>295.2552</v>
      </c>
      <c r="DD18" t="n">
        <v>299.998</v>
      </c>
      <c r="DE18" t="n">
        <v>17.9579</v>
      </c>
      <c r="DF18" t="n">
        <v>16.6533</v>
      </c>
      <c r="DG18" t="n">
        <v>295.0096</v>
      </c>
      <c r="DH18" t="n">
        <v>18.05352</v>
      </c>
      <c r="DI18" t="n">
        <v>499.9972</v>
      </c>
      <c r="DJ18" t="n">
        <v>101.2704</v>
      </c>
      <c r="DK18" t="n">
        <v>0.09993412</v>
      </c>
      <c r="DL18" t="n">
        <v>25.63608</v>
      </c>
      <c r="DM18" t="n">
        <v>24.9891</v>
      </c>
      <c r="DN18" t="n">
        <v>999.9</v>
      </c>
      <c r="DO18" t="n">
        <v>0</v>
      </c>
      <c r="DP18" t="n">
        <v>0</v>
      </c>
      <c r="DQ18" t="n">
        <v>10005.26</v>
      </c>
      <c r="DR18" t="n">
        <v>0</v>
      </c>
      <c r="DS18" t="n">
        <v>7.2843</v>
      </c>
      <c r="DT18" t="n">
        <v>1499.994</v>
      </c>
      <c r="DU18" t="n">
        <v>0.973001</v>
      </c>
      <c r="DV18" t="n">
        <v>0.02699884</v>
      </c>
      <c r="DW18" t="n">
        <v>0</v>
      </c>
      <c r="DX18" t="n">
        <v>207.8856</v>
      </c>
      <c r="DY18" t="n">
        <v>4.99999</v>
      </c>
      <c r="DZ18" t="n">
        <v>3194.136</v>
      </c>
      <c r="EA18" t="n">
        <v>14882.52</v>
      </c>
      <c r="EB18" t="n">
        <v>36.437</v>
      </c>
      <c r="EC18" t="n">
        <v>38</v>
      </c>
      <c r="ED18" t="n">
        <v>37</v>
      </c>
      <c r="EE18" t="n">
        <v>37.3998</v>
      </c>
      <c r="EF18" t="n">
        <v>38.125</v>
      </c>
      <c r="EG18" t="n">
        <v>1454.634</v>
      </c>
      <c r="EH18" t="n">
        <v>40.36</v>
      </c>
      <c r="EI18" t="n">
        <v>0</v>
      </c>
      <c r="EJ18" t="n">
        <v>5365.30000019073</v>
      </c>
      <c r="EK18" t="n">
        <v>0</v>
      </c>
      <c r="EL18" t="n">
        <v>207.818</v>
      </c>
      <c r="EM18" t="n">
        <v>-0.486307694678752</v>
      </c>
      <c r="EN18" t="n">
        <v>-7.75153847329411</v>
      </c>
      <c r="EO18" t="n">
        <v>3194.8244</v>
      </c>
      <c r="EP18" t="n">
        <v>15</v>
      </c>
      <c r="EQ18" t="n">
        <v>1595359992.1</v>
      </c>
      <c r="ER18" t="inlineStr">
        <is>
          <t>04:33:12</t>
        </is>
      </c>
      <c r="ES18" t="n">
        <v>1595359992.1</v>
      </c>
      <c r="ET18" t="n">
        <v>1595359992.1</v>
      </c>
      <c r="EU18" t="n">
        <v>49</v>
      </c>
      <c r="EV18" t="n">
        <v>0.083</v>
      </c>
      <c r="EW18" t="n">
        <v>0.001</v>
      </c>
      <c r="EX18" t="n">
        <v>0.25</v>
      </c>
      <c r="EY18" t="n">
        <v>-0.096</v>
      </c>
      <c r="EZ18" t="n">
        <v>300</v>
      </c>
      <c r="FA18" t="n">
        <v>17</v>
      </c>
      <c r="FB18" t="n">
        <v>0.34</v>
      </c>
      <c r="FC18" t="n">
        <v>0.07000000000000001</v>
      </c>
      <c r="FD18" t="n">
        <v>10.877805326214</v>
      </c>
      <c r="FE18" t="n">
        <v>-0.0567433276020776</v>
      </c>
      <c r="FF18" t="n">
        <v>0.0834002515598139</v>
      </c>
      <c r="FG18" t="n">
        <v>1</v>
      </c>
      <c r="FH18" t="n">
        <v>-4.748495</v>
      </c>
      <c r="FI18" t="n">
        <v>0.101207819548871</v>
      </c>
      <c r="FJ18" t="n">
        <v>0.0327701770669614</v>
      </c>
      <c r="FK18" t="n">
        <v>1</v>
      </c>
      <c r="FL18" t="n">
        <v>207.894382352941</v>
      </c>
      <c r="FM18" t="n">
        <v>-0.307761654493916</v>
      </c>
      <c r="FN18" t="n">
        <v>0.405559672457549</v>
      </c>
      <c r="FO18" t="n">
        <v>1</v>
      </c>
      <c r="FP18" t="n">
        <v>3</v>
      </c>
      <c r="FQ18" t="n">
        <v>3</v>
      </c>
      <c r="FR18" t="inlineStr">
        <is>
          <t>3/3</t>
        </is>
      </c>
      <c r="FS18" t="n">
        <v>100</v>
      </c>
      <c r="FT18" t="n">
        <v>100</v>
      </c>
      <c r="FU18" t="n">
        <v>0.245</v>
      </c>
      <c r="FV18" t="n">
        <v>-0.0956</v>
      </c>
      <c r="FW18" t="n">
        <v>-0.0386806206735957</v>
      </c>
      <c r="FX18" t="n">
        <v>0.000862124167288959</v>
      </c>
      <c r="FY18" t="n">
        <v>3.40327538556632e-07</v>
      </c>
      <c r="FZ18" t="n">
        <v>-2.02263791882896e-12</v>
      </c>
      <c r="GA18" t="n">
        <v>-0.0956090909090896</v>
      </c>
      <c r="GB18" t="n">
        <v>0</v>
      </c>
      <c r="GC18" t="n">
        <v>0</v>
      </c>
      <c r="GD18" t="n">
        <v>0</v>
      </c>
      <c r="GE18" t="n">
        <v>4</v>
      </c>
      <c r="GF18" t="n">
        <v>2115</v>
      </c>
      <c r="GG18" t="n">
        <v>-1</v>
      </c>
      <c r="GH18" t="n">
        <v>-1</v>
      </c>
      <c r="GI18" t="n">
        <v>0.9</v>
      </c>
      <c r="GJ18" t="n">
        <v>0.9</v>
      </c>
      <c r="GK18" t="n">
        <v>0.826416</v>
      </c>
      <c r="GL18" t="n">
        <v>2.6709</v>
      </c>
      <c r="GM18" t="n">
        <v>1.65161</v>
      </c>
      <c r="GN18" t="n">
        <v>2.27295</v>
      </c>
      <c r="GO18" t="n">
        <v>1.5979</v>
      </c>
      <c r="GP18" t="n">
        <v>2.56836</v>
      </c>
      <c r="GQ18" t="n">
        <v>38.379</v>
      </c>
      <c r="GR18" t="n">
        <v>23.8423</v>
      </c>
      <c r="GS18" t="n">
        <v>18</v>
      </c>
      <c r="GT18" t="n">
        <v>504.9</v>
      </c>
      <c r="GU18" t="n">
        <v>523.054</v>
      </c>
      <c r="GV18" t="n">
        <v>22.5011</v>
      </c>
      <c r="GW18" t="n">
        <v>29.5548</v>
      </c>
      <c r="GX18" t="n">
        <v>29.9998</v>
      </c>
      <c r="GY18" t="n">
        <v>29.846</v>
      </c>
      <c r="GZ18" t="n">
        <v>29.9238</v>
      </c>
      <c r="HA18" t="n">
        <v>16.5234</v>
      </c>
      <c r="HB18" t="n">
        <v>21.2563</v>
      </c>
      <c r="HC18" t="n">
        <v>25.6117</v>
      </c>
      <c r="HD18" t="n">
        <v>22.5062</v>
      </c>
      <c r="HE18" t="n">
        <v>300</v>
      </c>
      <c r="HF18" t="n">
        <v>16.6369</v>
      </c>
      <c r="HG18" t="n">
        <v>97.9442</v>
      </c>
      <c r="HH18" t="n">
        <v>95.3468</v>
      </c>
    </row>
    <row r="19">
      <c r="A19" t="n">
        <v>3</v>
      </c>
      <c r="B19" t="n">
        <v>1595360166.1</v>
      </c>
      <c r="C19" t="n">
        <v>242.099999904633</v>
      </c>
      <c r="D19" t="inlineStr">
        <is>
          <t>20200722 04:36:06</t>
        </is>
      </c>
      <c r="E19" t="inlineStr">
        <is>
          <t>04:36:06</t>
        </is>
      </c>
      <c r="F19" t="n">
        <v>5</v>
      </c>
      <c r="G19" t="n">
        <v>1595360163.1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-</t>
        </is>
      </c>
      <c r="AK19" t="inlineStr">
        <is>
          <t>-</t>
        </is>
      </c>
      <c r="AL19" t="n">
        <v>0</v>
      </c>
      <c r="AM19" t="n">
        <v>0</v>
      </c>
      <c r="AN19">
        <f>1-AL19/AM19</f>
        <v/>
      </c>
      <c r="AO19" t="n">
        <v>0</v>
      </c>
      <c r="AP19" t="inlineStr">
        <is>
          <t>-</t>
        </is>
      </c>
      <c r="AQ19" t="inlineStr">
        <is>
          <t>-</t>
        </is>
      </c>
      <c r="AR19" t="n">
        <v>0</v>
      </c>
      <c r="AS19" t="n">
        <v>0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265</v>
      </c>
      <c r="BM19" t="n">
        <v>290</v>
      </c>
      <c r="BN19" t="n">
        <v>705.59</v>
      </c>
      <c r="BO19" t="n">
        <v>195</v>
      </c>
      <c r="BP19" t="n">
        <v>8110.47</v>
      </c>
      <c r="BQ19" t="n">
        <v>703.77</v>
      </c>
      <c r="BR19" t="n">
        <v>1.82</v>
      </c>
      <c r="BS19" t="n">
        <v>300</v>
      </c>
      <c r="BT19" t="n">
        <v>19.1</v>
      </c>
      <c r="BU19" t="n">
        <v>728.735623028316</v>
      </c>
      <c r="BV19" t="n">
        <v>2.43797327259926</v>
      </c>
      <c r="BW19" t="n">
        <v>-20.2484206340873</v>
      </c>
      <c r="BX19" t="n">
        <v>1.76826879160836</v>
      </c>
      <c r="BY19" t="n">
        <v>0.824037787313686</v>
      </c>
      <c r="BZ19" t="n">
        <v>-0.00536440111234705</v>
      </c>
      <c r="CA19" t="n">
        <v>290</v>
      </c>
      <c r="CB19" t="n">
        <v>697.3</v>
      </c>
      <c r="CC19" t="n">
        <v>615</v>
      </c>
      <c r="CD19" t="n">
        <v>8103.53</v>
      </c>
      <c r="CE19" t="n">
        <v>703.75</v>
      </c>
      <c r="CF19" t="n">
        <v>-6.45</v>
      </c>
      <c r="CT19">
        <f>$B$11*DR19+$C$11*DS19+$F$11*DT19*(1-DW19)</f>
        <v/>
      </c>
      <c r="CU19">
        <f>CT19*CV19</f>
        <v/>
      </c>
      <c r="CV19">
        <f>($B$11*$D$9+$C$11*$D$9+$F$11*((EG19+DY19)/MAX(EG19+DY19+EH19, 0.1)*$I$9+EH19/MAX(EG19+DY19+EH19, 0.1)*$J$9))/($B$11+$C$11+$F$11)</f>
        <v/>
      </c>
      <c r="CW19">
        <f>($B$11*$K$9+$C$11*$K$9+$F$11*((EG19+DY19)/MAX(EG19+DY19+EH19, 0.1)*$P$9+EH19/MAX(EG19+DY19+EH19,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1595360163.1</v>
      </c>
      <c r="DC19" t="n">
        <v>197.1258</v>
      </c>
      <c r="DD19" t="n">
        <v>200.0194</v>
      </c>
      <c r="DE19" t="n">
        <v>17.95884</v>
      </c>
      <c r="DF19" t="n">
        <v>16.60586</v>
      </c>
      <c r="DG19" t="n">
        <v>196.9138</v>
      </c>
      <c r="DH19" t="n">
        <v>18.05494</v>
      </c>
      <c r="DI19" t="n">
        <v>500.038</v>
      </c>
      <c r="DJ19" t="n">
        <v>101.2746</v>
      </c>
      <c r="DK19" t="n">
        <v>0.1001</v>
      </c>
      <c r="DL19" t="n">
        <v>25.64816</v>
      </c>
      <c r="DM19" t="n">
        <v>25.008</v>
      </c>
      <c r="DN19" t="n">
        <v>999.9</v>
      </c>
      <c r="DO19" t="n">
        <v>0</v>
      </c>
      <c r="DP19" t="n">
        <v>0</v>
      </c>
      <c r="DQ19" t="n">
        <v>9991.25</v>
      </c>
      <c r="DR19" t="n">
        <v>0</v>
      </c>
      <c r="DS19" t="n">
        <v>7.2843</v>
      </c>
      <c r="DT19" t="n">
        <v>1500.008</v>
      </c>
      <c r="DU19" t="n">
        <v>0.973001</v>
      </c>
      <c r="DV19" t="n">
        <v>0.02699884</v>
      </c>
      <c r="DW19" t="n">
        <v>0</v>
      </c>
      <c r="DX19" t="n">
        <v>203.9908</v>
      </c>
      <c r="DY19" t="n">
        <v>4.99999</v>
      </c>
      <c r="DZ19" t="n">
        <v>3133.434</v>
      </c>
      <c r="EA19" t="n">
        <v>14882.66</v>
      </c>
      <c r="EB19" t="n">
        <v>36.375</v>
      </c>
      <c r="EC19" t="n">
        <v>37.875</v>
      </c>
      <c r="ED19" t="n">
        <v>36.937</v>
      </c>
      <c r="EE19" t="n">
        <v>37.375</v>
      </c>
      <c r="EF19" t="n">
        <v>38.0496</v>
      </c>
      <c r="EG19" t="n">
        <v>1454.648</v>
      </c>
      <c r="EH19" t="n">
        <v>40.36</v>
      </c>
      <c r="EI19" t="n">
        <v>0</v>
      </c>
      <c r="EJ19" t="n">
        <v>5485.90000009537</v>
      </c>
      <c r="EK19" t="n">
        <v>0</v>
      </c>
      <c r="EL19" t="n">
        <v>204.04</v>
      </c>
      <c r="EM19" t="n">
        <v>0.262769207064286</v>
      </c>
      <c r="EN19" t="n">
        <v>-7.71008544901663</v>
      </c>
      <c r="EO19" t="n">
        <v>3134.03846153846</v>
      </c>
      <c r="EP19" t="n">
        <v>15</v>
      </c>
      <c r="EQ19" t="n">
        <v>1595360109.1</v>
      </c>
      <c r="ER19" t="inlineStr">
        <is>
          <t>04:35:09</t>
        </is>
      </c>
      <c r="ES19" t="n">
        <v>1595360104.1</v>
      </c>
      <c r="ET19" t="n">
        <v>1595360109.1</v>
      </c>
      <c r="EU19" t="n">
        <v>50</v>
      </c>
      <c r="EV19" t="n">
        <v>0.068</v>
      </c>
      <c r="EW19" t="n">
        <v>0</v>
      </c>
      <c r="EX19" t="n">
        <v>0.215</v>
      </c>
      <c r="EY19" t="n">
        <v>-0.096</v>
      </c>
      <c r="EZ19" t="n">
        <v>200</v>
      </c>
      <c r="FA19" t="n">
        <v>17</v>
      </c>
      <c r="FB19" t="n">
        <v>0.35</v>
      </c>
      <c r="FC19" t="n">
        <v>0.08</v>
      </c>
      <c r="FD19" t="n">
        <v>6.53373789300461</v>
      </c>
      <c r="FE19" t="n">
        <v>0.171178267799328</v>
      </c>
      <c r="FF19" t="n">
        <v>0.0519923487652022</v>
      </c>
      <c r="FG19" t="n">
        <v>1</v>
      </c>
      <c r="FH19" t="n">
        <v>-2.8881625</v>
      </c>
      <c r="FI19" t="n">
        <v>-0.0772100751879702</v>
      </c>
      <c r="FJ19" t="n">
        <v>0.0207823468056425</v>
      </c>
      <c r="FK19" t="n">
        <v>1</v>
      </c>
      <c r="FL19" t="n">
        <v>204.024117647059</v>
      </c>
      <c r="FM19" t="n">
        <v>-0.138579076703321</v>
      </c>
      <c r="FN19" t="n">
        <v>0.375489231043659</v>
      </c>
      <c r="FO19" t="n">
        <v>1</v>
      </c>
      <c r="FP19" t="n">
        <v>3</v>
      </c>
      <c r="FQ19" t="n">
        <v>3</v>
      </c>
      <c r="FR19" t="inlineStr">
        <is>
          <t>3/3</t>
        </is>
      </c>
      <c r="FS19" t="n">
        <v>100</v>
      </c>
      <c r="FT19" t="n">
        <v>100</v>
      </c>
      <c r="FU19" t="n">
        <v>0.212</v>
      </c>
      <c r="FV19" t="n">
        <v>-0.0961</v>
      </c>
      <c r="FW19" t="n">
        <v>0.0290509897621007</v>
      </c>
      <c r="FX19" t="n">
        <v>0.000862124167288959</v>
      </c>
      <c r="FY19" t="n">
        <v>3.40327538556632e-07</v>
      </c>
      <c r="FZ19" t="n">
        <v>-2.02263791882896e-12</v>
      </c>
      <c r="GA19" t="n">
        <v>-0.0960900000000002</v>
      </c>
      <c r="GB19" t="n">
        <v>0</v>
      </c>
      <c r="GC19" t="n">
        <v>0</v>
      </c>
      <c r="GD19" t="n">
        <v>0</v>
      </c>
      <c r="GE19" t="n">
        <v>4</v>
      </c>
      <c r="GF19" t="n">
        <v>2115</v>
      </c>
      <c r="GG19" t="n">
        <v>-1</v>
      </c>
      <c r="GH19" t="n">
        <v>-1</v>
      </c>
      <c r="GI19" t="n">
        <v>1</v>
      </c>
      <c r="GJ19" t="n">
        <v>0.9</v>
      </c>
      <c r="GK19" t="n">
        <v>0.605469</v>
      </c>
      <c r="GL19" t="n">
        <v>2.66968</v>
      </c>
      <c r="GM19" t="n">
        <v>1.65161</v>
      </c>
      <c r="GN19" t="n">
        <v>2.27417</v>
      </c>
      <c r="GO19" t="n">
        <v>1.5979</v>
      </c>
      <c r="GP19" t="n">
        <v>2.55615</v>
      </c>
      <c r="GQ19" t="n">
        <v>38.3301</v>
      </c>
      <c r="GR19" t="n">
        <v>23.8423</v>
      </c>
      <c r="GS19" t="n">
        <v>18</v>
      </c>
      <c r="GT19" t="n">
        <v>504.641</v>
      </c>
      <c r="GU19" t="n">
        <v>523.441</v>
      </c>
      <c r="GV19" t="n">
        <v>22.5662</v>
      </c>
      <c r="GW19" t="n">
        <v>29.4604</v>
      </c>
      <c r="GX19" t="n">
        <v>29.9998</v>
      </c>
      <c r="GY19" t="n">
        <v>29.7541</v>
      </c>
      <c r="GZ19" t="n">
        <v>29.8322</v>
      </c>
      <c r="HA19" t="n">
        <v>12.113</v>
      </c>
      <c r="HB19" t="n">
        <v>21.3146</v>
      </c>
      <c r="HC19" t="n">
        <v>25.5729</v>
      </c>
      <c r="HD19" t="n">
        <v>22.5281</v>
      </c>
      <c r="HE19" t="n">
        <v>200</v>
      </c>
      <c r="HF19" t="n">
        <v>16.5929</v>
      </c>
      <c r="HG19" t="n">
        <v>97.9653</v>
      </c>
      <c r="HH19" t="n">
        <v>95.3668</v>
      </c>
    </row>
    <row r="20">
      <c r="A20" t="n">
        <v>4</v>
      </c>
      <c r="B20" t="n">
        <v>1595360287.1</v>
      </c>
      <c r="C20" t="n">
        <v>363.099999904633</v>
      </c>
      <c r="D20" t="inlineStr">
        <is>
          <t>20200722 04:38:07</t>
        </is>
      </c>
      <c r="E20" t="inlineStr">
        <is>
          <t>04:38:07</t>
        </is>
      </c>
      <c r="F20" t="n">
        <v>5</v>
      </c>
      <c r="G20" t="n">
        <v>1595360283.6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-</t>
        </is>
      </c>
      <c r="AK20" t="inlineStr">
        <is>
          <t>-</t>
        </is>
      </c>
      <c r="AL20" t="n">
        <v>0</v>
      </c>
      <c r="AM20" t="n">
        <v>0</v>
      </c>
      <c r="AN20">
        <f>1-AL20/AM20</f>
        <v/>
      </c>
      <c r="AO20" t="n">
        <v>0</v>
      </c>
      <c r="AP20" t="inlineStr">
        <is>
          <t>-</t>
        </is>
      </c>
      <c r="AQ20" t="inlineStr">
        <is>
          <t>-</t>
        </is>
      </c>
      <c r="AR20" t="n">
        <v>0</v>
      </c>
      <c r="AS20" t="n">
        <v>0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265</v>
      </c>
      <c r="BM20" t="n">
        <v>290</v>
      </c>
      <c r="BN20" t="n">
        <v>705.59</v>
      </c>
      <c r="BO20" t="n">
        <v>195</v>
      </c>
      <c r="BP20" t="n">
        <v>8110.47</v>
      </c>
      <c r="BQ20" t="n">
        <v>703.77</v>
      </c>
      <c r="BR20" t="n">
        <v>1.82</v>
      </c>
      <c r="BS20" t="n">
        <v>300</v>
      </c>
      <c r="BT20" t="n">
        <v>19.1</v>
      </c>
      <c r="BU20" t="n">
        <v>728.735623028316</v>
      </c>
      <c r="BV20" t="n">
        <v>2.43797327259926</v>
      </c>
      <c r="BW20" t="n">
        <v>-20.2484206340873</v>
      </c>
      <c r="BX20" t="n">
        <v>1.76826879160836</v>
      </c>
      <c r="BY20" t="n">
        <v>0.824037787313686</v>
      </c>
      <c r="BZ20" t="n">
        <v>-0.00536440111234705</v>
      </c>
      <c r="CA20" t="n">
        <v>290</v>
      </c>
      <c r="CB20" t="n">
        <v>697.3</v>
      </c>
      <c r="CC20" t="n">
        <v>615</v>
      </c>
      <c r="CD20" t="n">
        <v>8103.53</v>
      </c>
      <c r="CE20" t="n">
        <v>703.75</v>
      </c>
      <c r="CF20" t="n">
        <v>-6.45</v>
      </c>
      <c r="CT20">
        <f>$B$11*DR20+$C$11*DS20+$F$11*DT20*(1-DW20)</f>
        <v/>
      </c>
      <c r="CU20">
        <f>CT20*CV20</f>
        <v/>
      </c>
      <c r="CV20">
        <f>($B$11*$D$9+$C$11*$D$9+$F$11*((EG20+DY20)/MAX(EG20+DY20+EH20, 0.1)*$I$9+EH20/MAX(EG20+DY20+EH20, 0.1)*$J$9))/($B$11+$C$11+$F$11)</f>
        <v/>
      </c>
      <c r="CW20">
        <f>($B$11*$K$9+$C$11*$K$9+$F$11*((EG20+DY20)/MAX(EG20+DY20+EH20, 0.1)*$P$9+EH20/MAX(EG20+DY20+EH20,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1595360283.6</v>
      </c>
      <c r="DC20" t="n">
        <v>99.1367</v>
      </c>
      <c r="DD20" t="n">
        <v>100.009133333333</v>
      </c>
      <c r="DE20" t="n">
        <v>17.9938833333333</v>
      </c>
      <c r="DF20" t="n">
        <v>16.5569666666667</v>
      </c>
      <c r="DG20" t="n">
        <v>98.9558</v>
      </c>
      <c r="DH20" t="n">
        <v>18.0886</v>
      </c>
      <c r="DI20" t="n">
        <v>499.987833333333</v>
      </c>
      <c r="DJ20" t="n">
        <v>101.281166666667</v>
      </c>
      <c r="DK20" t="n">
        <v>0.09990928333333331</v>
      </c>
      <c r="DL20" t="n">
        <v>25.6474333333333</v>
      </c>
      <c r="DM20" t="n">
        <v>24.9996166666667</v>
      </c>
      <c r="DN20" t="n">
        <v>999.9</v>
      </c>
      <c r="DO20" t="n">
        <v>0</v>
      </c>
      <c r="DP20" t="n">
        <v>0</v>
      </c>
      <c r="DQ20" t="n">
        <v>10008.9416666667</v>
      </c>
      <c r="DR20" t="n">
        <v>0</v>
      </c>
      <c r="DS20" t="n">
        <v>7.2843</v>
      </c>
      <c r="DT20" t="n">
        <v>1500.005</v>
      </c>
      <c r="DU20" t="n">
        <v>0.973000833333333</v>
      </c>
      <c r="DV20" t="n">
        <v>0.0269990333333333</v>
      </c>
      <c r="DW20" t="n">
        <v>0</v>
      </c>
      <c r="DX20" t="n">
        <v>204.563</v>
      </c>
      <c r="DY20" t="n">
        <v>4.99999</v>
      </c>
      <c r="DZ20" t="n">
        <v>3140.08666666667</v>
      </c>
      <c r="EA20" t="n">
        <v>14882.6333333333</v>
      </c>
      <c r="EB20" t="n">
        <v>36.312</v>
      </c>
      <c r="EC20" t="n">
        <v>37.8225</v>
      </c>
      <c r="ED20" t="n">
        <v>36.875</v>
      </c>
      <c r="EE20" t="n">
        <v>37.375</v>
      </c>
      <c r="EF20" t="n">
        <v>38</v>
      </c>
      <c r="EG20" t="n">
        <v>1454.645</v>
      </c>
      <c r="EH20" t="n">
        <v>40.36</v>
      </c>
      <c r="EI20" t="n">
        <v>0</v>
      </c>
      <c r="EJ20" t="n">
        <v>5607.10000014305</v>
      </c>
      <c r="EK20" t="n">
        <v>0</v>
      </c>
      <c r="EL20" t="n">
        <v>204.545846153846</v>
      </c>
      <c r="EM20" t="n">
        <v>-0.665162368378425</v>
      </c>
      <c r="EN20" t="n">
        <v>1.03179486024038</v>
      </c>
      <c r="EO20" t="n">
        <v>3140.03384615385</v>
      </c>
      <c r="EP20" t="n">
        <v>15</v>
      </c>
      <c r="EQ20" t="n">
        <v>1595360235.1</v>
      </c>
      <c r="ER20" t="inlineStr">
        <is>
          <t>04:37:15</t>
        </is>
      </c>
      <c r="ES20" t="n">
        <v>1595360233.1</v>
      </c>
      <c r="ET20" t="n">
        <v>1595360235.1</v>
      </c>
      <c r="EU20" t="n">
        <v>51</v>
      </c>
      <c r="EV20" t="n">
        <v>0.063</v>
      </c>
      <c r="EW20" t="n">
        <v>0.001</v>
      </c>
      <c r="EX20" t="n">
        <v>0.182</v>
      </c>
      <c r="EY20" t="n">
        <v>-0.095</v>
      </c>
      <c r="EZ20" t="n">
        <v>100</v>
      </c>
      <c r="FA20" t="n">
        <v>17</v>
      </c>
      <c r="FB20" t="n">
        <v>0.34</v>
      </c>
      <c r="FC20" t="n">
        <v>0.06</v>
      </c>
      <c r="FD20" t="n">
        <v>1.80864900423291</v>
      </c>
      <c r="FE20" t="n">
        <v>-0.0052093832344751</v>
      </c>
      <c r="FF20" t="n">
        <v>0.0321292942048182</v>
      </c>
      <c r="FG20" t="n">
        <v>1</v>
      </c>
      <c r="FH20" t="n">
        <v>-0.8695363</v>
      </c>
      <c r="FI20" t="n">
        <v>-0.00261121804511321</v>
      </c>
      <c r="FJ20" t="n">
        <v>0.0133880913430556</v>
      </c>
      <c r="FK20" t="n">
        <v>1</v>
      </c>
      <c r="FL20" t="n">
        <v>204.547058823529</v>
      </c>
      <c r="FM20" t="n">
        <v>-0.738915193026718</v>
      </c>
      <c r="FN20" t="n">
        <v>0.485759862070359</v>
      </c>
      <c r="FO20" t="n">
        <v>1</v>
      </c>
      <c r="FP20" t="n">
        <v>3</v>
      </c>
      <c r="FQ20" t="n">
        <v>3</v>
      </c>
      <c r="FR20" t="inlineStr">
        <is>
          <t>3/3</t>
        </is>
      </c>
      <c r="FS20" t="n">
        <v>100</v>
      </c>
      <c r="FT20" t="n">
        <v>100</v>
      </c>
      <c r="FU20" t="n">
        <v>0.181</v>
      </c>
      <c r="FV20" t="n">
        <v>-0.0948</v>
      </c>
      <c r="FW20" t="n">
        <v>0.0922860286515761</v>
      </c>
      <c r="FX20" t="n">
        <v>0.000862124167288959</v>
      </c>
      <c r="FY20" t="n">
        <v>3.40327538556632e-07</v>
      </c>
      <c r="FZ20" t="n">
        <v>-2.02263791882896e-12</v>
      </c>
      <c r="GA20" t="n">
        <v>-0.0947454545454534</v>
      </c>
      <c r="GB20" t="n">
        <v>0</v>
      </c>
      <c r="GC20" t="n">
        <v>0</v>
      </c>
      <c r="GD20" t="n">
        <v>0</v>
      </c>
      <c r="GE20" t="n">
        <v>4</v>
      </c>
      <c r="GF20" t="n">
        <v>2115</v>
      </c>
      <c r="GG20" t="n">
        <v>-1</v>
      </c>
      <c r="GH20" t="n">
        <v>-1</v>
      </c>
      <c r="GI20" t="n">
        <v>0.9</v>
      </c>
      <c r="GJ20" t="n">
        <v>0.9</v>
      </c>
      <c r="GK20" t="n">
        <v>0.377197</v>
      </c>
      <c r="GL20" t="n">
        <v>2.69287</v>
      </c>
      <c r="GM20" t="n">
        <v>1.65161</v>
      </c>
      <c r="GN20" t="n">
        <v>2.27295</v>
      </c>
      <c r="GO20" t="n">
        <v>1.5979</v>
      </c>
      <c r="GP20" t="n">
        <v>2.54883</v>
      </c>
      <c r="GQ20" t="n">
        <v>38.2812</v>
      </c>
      <c r="GR20" t="n">
        <v>23.8423</v>
      </c>
      <c r="GS20" t="n">
        <v>18</v>
      </c>
      <c r="GT20" t="n">
        <v>504.262</v>
      </c>
      <c r="GU20" t="n">
        <v>523.5839999999999</v>
      </c>
      <c r="GV20" t="n">
        <v>22.4138</v>
      </c>
      <c r="GW20" t="n">
        <v>29.3826</v>
      </c>
      <c r="GX20" t="n">
        <v>29.9999</v>
      </c>
      <c r="GY20" t="n">
        <v>29.6701</v>
      </c>
      <c r="GZ20" t="n">
        <v>29.7466</v>
      </c>
      <c r="HA20" t="n">
        <v>7.54816</v>
      </c>
      <c r="HB20" t="n">
        <v>21.3434</v>
      </c>
      <c r="HC20" t="n">
        <v>25.52</v>
      </c>
      <c r="HD20" t="n">
        <v>22.415</v>
      </c>
      <c r="HE20" t="n">
        <v>100</v>
      </c>
      <c r="HF20" t="n">
        <v>16.5027</v>
      </c>
      <c r="HG20" t="n">
        <v>97.98009999999999</v>
      </c>
      <c r="HH20" t="n">
        <v>95.3801</v>
      </c>
    </row>
    <row r="21">
      <c r="A21" t="n">
        <v>5</v>
      </c>
      <c r="B21" t="n">
        <v>1595360408.1</v>
      </c>
      <c r="C21" t="n">
        <v>484.099999904633</v>
      </c>
      <c r="D21" t="inlineStr">
        <is>
          <t>20200722 04:40:08</t>
        </is>
      </c>
      <c r="E21" t="inlineStr">
        <is>
          <t>04:40:08</t>
        </is>
      </c>
      <c r="F21" t="n">
        <v>5</v>
      </c>
      <c r="G21" t="n">
        <v>1595360405.1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-</t>
        </is>
      </c>
      <c r="AK21" t="inlineStr">
        <is>
          <t>-</t>
        </is>
      </c>
      <c r="AL21" t="n">
        <v>0</v>
      </c>
      <c r="AM21" t="n">
        <v>0</v>
      </c>
      <c r="AN21">
        <f>1-AL21/AM21</f>
        <v/>
      </c>
      <c r="AO21" t="n">
        <v>0</v>
      </c>
      <c r="AP21" t="inlineStr">
        <is>
          <t>-</t>
        </is>
      </c>
      <c r="AQ21" t="inlineStr">
        <is>
          <t>-</t>
        </is>
      </c>
      <c r="AR21" t="n">
        <v>0</v>
      </c>
      <c r="AS21" t="n">
        <v>0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265</v>
      </c>
      <c r="BM21" t="n">
        <v>290</v>
      </c>
      <c r="BN21" t="n">
        <v>705.59</v>
      </c>
      <c r="BO21" t="n">
        <v>195</v>
      </c>
      <c r="BP21" t="n">
        <v>8110.47</v>
      </c>
      <c r="BQ21" t="n">
        <v>703.77</v>
      </c>
      <c r="BR21" t="n">
        <v>1.82</v>
      </c>
      <c r="BS21" t="n">
        <v>300</v>
      </c>
      <c r="BT21" t="n">
        <v>19.1</v>
      </c>
      <c r="BU21" t="n">
        <v>728.735623028316</v>
      </c>
      <c r="BV21" t="n">
        <v>2.43797327259926</v>
      </c>
      <c r="BW21" t="n">
        <v>-20.2484206340873</v>
      </c>
      <c r="BX21" t="n">
        <v>1.76826879160836</v>
      </c>
      <c r="BY21" t="n">
        <v>0.824037787313686</v>
      </c>
      <c r="BZ21" t="n">
        <v>-0.00536440111234705</v>
      </c>
      <c r="CA21" t="n">
        <v>290</v>
      </c>
      <c r="CB21" t="n">
        <v>697.3</v>
      </c>
      <c r="CC21" t="n">
        <v>615</v>
      </c>
      <c r="CD21" t="n">
        <v>8103.53</v>
      </c>
      <c r="CE21" t="n">
        <v>703.75</v>
      </c>
      <c r="CF21" t="n">
        <v>-6.45</v>
      </c>
      <c r="CT21">
        <f>$B$11*DR21+$C$11*DS21+$F$11*DT21*(1-DW21)</f>
        <v/>
      </c>
      <c r="CU21">
        <f>CT21*CV21</f>
        <v/>
      </c>
      <c r="CV21">
        <f>($B$11*$D$9+$C$11*$D$9+$F$11*((EG21+DY21)/MAX(EG21+DY21+EH21, 0.1)*$I$9+EH21/MAX(EG21+DY21+EH21, 0.1)*$J$9))/($B$11+$C$11+$F$11)</f>
        <v/>
      </c>
      <c r="CW21">
        <f>($B$11*$K$9+$C$11*$K$9+$F$11*((EG21+DY21)/MAX(EG21+DY21+EH21, 0.1)*$P$9+EH21/MAX(EG21+DY21+EH21,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1595360405.1</v>
      </c>
      <c r="DC21" t="n">
        <v>50.18088</v>
      </c>
      <c r="DD21" t="n">
        <v>50.0065</v>
      </c>
      <c r="DE21" t="n">
        <v>17.9609</v>
      </c>
      <c r="DF21" t="n">
        <v>16.36114</v>
      </c>
      <c r="DG21" t="n">
        <v>50.03824</v>
      </c>
      <c r="DH21" t="n">
        <v>18.05688</v>
      </c>
      <c r="DI21" t="n">
        <v>500.0014</v>
      </c>
      <c r="DJ21" t="n">
        <v>101.2694</v>
      </c>
      <c r="DK21" t="n">
        <v>0.10000376</v>
      </c>
      <c r="DL21" t="n">
        <v>25.64886</v>
      </c>
      <c r="DM21" t="n">
        <v>24.99116</v>
      </c>
      <c r="DN21" t="n">
        <v>999.9</v>
      </c>
      <c r="DO21" t="n">
        <v>0</v>
      </c>
      <c r="DP21" t="n">
        <v>0</v>
      </c>
      <c r="DQ21" t="n">
        <v>9997.51</v>
      </c>
      <c r="DR21" t="n">
        <v>0</v>
      </c>
      <c r="DS21" t="n">
        <v>7.22783</v>
      </c>
      <c r="DT21" t="n">
        <v>1499.972</v>
      </c>
      <c r="DU21" t="n">
        <v>0.973</v>
      </c>
      <c r="DV21" t="n">
        <v>0.0269999</v>
      </c>
      <c r="DW21" t="n">
        <v>0</v>
      </c>
      <c r="DX21" t="n">
        <v>206.039</v>
      </c>
      <c r="DY21" t="n">
        <v>4.99999</v>
      </c>
      <c r="DZ21" t="n">
        <v>3159.928</v>
      </c>
      <c r="EA21" t="n">
        <v>14882.32</v>
      </c>
      <c r="EB21" t="n">
        <v>36.312</v>
      </c>
      <c r="EC21" t="n">
        <v>37.812</v>
      </c>
      <c r="ED21" t="n">
        <v>36.875</v>
      </c>
      <c r="EE21" t="n">
        <v>37.375</v>
      </c>
      <c r="EF21" t="n">
        <v>38</v>
      </c>
      <c r="EG21" t="n">
        <v>1454.612</v>
      </c>
      <c r="EH21" t="n">
        <v>40.36</v>
      </c>
      <c r="EI21" t="n">
        <v>0</v>
      </c>
      <c r="EJ21" t="n">
        <v>5728.30000019073</v>
      </c>
      <c r="EK21" t="n">
        <v>0</v>
      </c>
      <c r="EL21" t="n">
        <v>205.932846153846</v>
      </c>
      <c r="EM21" t="n">
        <v>-0.831452977040685</v>
      </c>
      <c r="EN21" t="n">
        <v>0.985982917325703</v>
      </c>
      <c r="EO21" t="n">
        <v>3160.09153846154</v>
      </c>
      <c r="EP21" t="n">
        <v>15</v>
      </c>
      <c r="EQ21" t="n">
        <v>1595360349.1</v>
      </c>
      <c r="ER21" t="inlineStr">
        <is>
          <t>04:39:09</t>
        </is>
      </c>
      <c r="ES21" t="n">
        <v>1595360347.1</v>
      </c>
      <c r="ET21" t="n">
        <v>1595360349.1</v>
      </c>
      <c r="EU21" t="n">
        <v>52</v>
      </c>
      <c r="EV21" t="n">
        <v>0.006</v>
      </c>
      <c r="EW21" t="n">
        <v>-0.001</v>
      </c>
      <c r="EX21" t="n">
        <v>0.142</v>
      </c>
      <c r="EY21" t="n">
        <v>-0.096</v>
      </c>
      <c r="EZ21" t="n">
        <v>50</v>
      </c>
      <c r="FA21" t="n">
        <v>16</v>
      </c>
      <c r="FB21" t="n">
        <v>0.4</v>
      </c>
      <c r="FC21" t="n">
        <v>0.05</v>
      </c>
      <c r="FD21" t="n">
        <v>-0.659360296843974</v>
      </c>
      <c r="FE21" t="n">
        <v>0.28655468234633</v>
      </c>
      <c r="FF21" t="n">
        <v>0.0574836157895335</v>
      </c>
      <c r="FG21" t="n">
        <v>1</v>
      </c>
      <c r="FH21" t="n">
        <v>0.181991952380952</v>
      </c>
      <c r="FI21" t="n">
        <v>-0.102578961038961</v>
      </c>
      <c r="FJ21" t="n">
        <v>0.0227772009243918</v>
      </c>
      <c r="FK21" t="n">
        <v>1</v>
      </c>
      <c r="FL21" t="n">
        <v>205.923470588235</v>
      </c>
      <c r="FM21" t="n">
        <v>-0.937754001888767</v>
      </c>
      <c r="FN21" t="n">
        <v>0.529965272740978</v>
      </c>
      <c r="FO21" t="n">
        <v>1</v>
      </c>
      <c r="FP21" t="n">
        <v>3</v>
      </c>
      <c r="FQ21" t="n">
        <v>3</v>
      </c>
      <c r="FR21" t="inlineStr">
        <is>
          <t>3/3</t>
        </is>
      </c>
      <c r="FS21" t="n">
        <v>100</v>
      </c>
      <c r="FT21" t="n">
        <v>100</v>
      </c>
      <c r="FU21" t="n">
        <v>0.143</v>
      </c>
      <c r="FV21" t="n">
        <v>-0.096</v>
      </c>
      <c r="FW21" t="n">
        <v>0.0986515819868528</v>
      </c>
      <c r="FX21" t="n">
        <v>0.000862124167288959</v>
      </c>
      <c r="FY21" t="n">
        <v>3.40327538556632e-07</v>
      </c>
      <c r="FZ21" t="n">
        <v>-2.02263791882896e-12</v>
      </c>
      <c r="GA21" t="n">
        <v>-0.09599000000000051</v>
      </c>
      <c r="GB21" t="n">
        <v>0</v>
      </c>
      <c r="GC21" t="n">
        <v>0</v>
      </c>
      <c r="GD21" t="n">
        <v>0</v>
      </c>
      <c r="GE21" t="n">
        <v>4</v>
      </c>
      <c r="GF21" t="n">
        <v>2115</v>
      </c>
      <c r="GG21" t="n">
        <v>-1</v>
      </c>
      <c r="GH21" t="n">
        <v>-1</v>
      </c>
      <c r="GI21" t="n">
        <v>1</v>
      </c>
      <c r="GJ21" t="n">
        <v>1</v>
      </c>
      <c r="GK21" t="n">
        <v>0.263672</v>
      </c>
      <c r="GL21" t="n">
        <v>2.70386</v>
      </c>
      <c r="GM21" t="n">
        <v>1.65161</v>
      </c>
      <c r="GN21" t="n">
        <v>2.27295</v>
      </c>
      <c r="GO21" t="n">
        <v>1.5979</v>
      </c>
      <c r="GP21" t="n">
        <v>2.63916</v>
      </c>
      <c r="GQ21" t="n">
        <v>38.2324</v>
      </c>
      <c r="GR21" t="n">
        <v>23.8511</v>
      </c>
      <c r="GS21" t="n">
        <v>18</v>
      </c>
      <c r="GT21" t="n">
        <v>504.266</v>
      </c>
      <c r="GU21" t="n">
        <v>523.45</v>
      </c>
      <c r="GV21" t="n">
        <v>22.5196</v>
      </c>
      <c r="GW21" t="n">
        <v>29.3242</v>
      </c>
      <c r="GX21" t="n">
        <v>29.9999</v>
      </c>
      <c r="GY21" t="n">
        <v>29.6</v>
      </c>
      <c r="GZ21" t="n">
        <v>29.6755</v>
      </c>
      <c r="HA21" t="n">
        <v>5.28146</v>
      </c>
      <c r="HB21" t="n">
        <v>22.0347</v>
      </c>
      <c r="HC21" t="n">
        <v>25.4392</v>
      </c>
      <c r="HD21" t="n">
        <v>22.5217</v>
      </c>
      <c r="HE21" t="n">
        <v>50</v>
      </c>
      <c r="HF21" t="n">
        <v>16.3685</v>
      </c>
      <c r="HG21" t="n">
        <v>97.98779999999999</v>
      </c>
      <c r="HH21" t="n">
        <v>95.3921</v>
      </c>
    </row>
    <row r="22">
      <c r="A22" t="n">
        <v>6</v>
      </c>
      <c r="B22" t="n">
        <v>1595360529.1</v>
      </c>
      <c r="C22" t="n">
        <v>605.099999904633</v>
      </c>
      <c r="D22" t="inlineStr">
        <is>
          <t>20200722 04:42:09</t>
        </is>
      </c>
      <c r="E22" t="inlineStr">
        <is>
          <t>04:42:09</t>
        </is>
      </c>
      <c r="F22" t="n">
        <v>5</v>
      </c>
      <c r="G22" t="n">
        <v>1595360526.1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-</t>
        </is>
      </c>
      <c r="AK22" t="inlineStr">
        <is>
          <t>-</t>
        </is>
      </c>
      <c r="AL22" t="n">
        <v>0</v>
      </c>
      <c r="AM22" t="n">
        <v>0</v>
      </c>
      <c r="AN22">
        <f>1-AL22/AM22</f>
        <v/>
      </c>
      <c r="AO22" t="n">
        <v>0</v>
      </c>
      <c r="AP22" t="inlineStr">
        <is>
          <t>-</t>
        </is>
      </c>
      <c r="AQ22" t="inlineStr">
        <is>
          <t>-</t>
        </is>
      </c>
      <c r="AR22" t="n">
        <v>0</v>
      </c>
      <c r="AS22" t="n">
        <v>0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265</v>
      </c>
      <c r="BM22" t="n">
        <v>290</v>
      </c>
      <c r="BN22" t="n">
        <v>705.59</v>
      </c>
      <c r="BO22" t="n">
        <v>195</v>
      </c>
      <c r="BP22" t="n">
        <v>8110.47</v>
      </c>
      <c r="BQ22" t="n">
        <v>703.77</v>
      </c>
      <c r="BR22" t="n">
        <v>1.82</v>
      </c>
      <c r="BS22" t="n">
        <v>300</v>
      </c>
      <c r="BT22" t="n">
        <v>19.1</v>
      </c>
      <c r="BU22" t="n">
        <v>728.735623028316</v>
      </c>
      <c r="BV22" t="n">
        <v>2.43797327259926</v>
      </c>
      <c r="BW22" t="n">
        <v>-20.2484206340873</v>
      </c>
      <c r="BX22" t="n">
        <v>1.76826879160836</v>
      </c>
      <c r="BY22" t="n">
        <v>0.824037787313686</v>
      </c>
      <c r="BZ22" t="n">
        <v>-0.00536440111234705</v>
      </c>
      <c r="CA22" t="n">
        <v>290</v>
      </c>
      <c r="CB22" t="n">
        <v>697.3</v>
      </c>
      <c r="CC22" t="n">
        <v>615</v>
      </c>
      <c r="CD22" t="n">
        <v>8103.53</v>
      </c>
      <c r="CE22" t="n">
        <v>703.75</v>
      </c>
      <c r="CF22" t="n">
        <v>-6.45</v>
      </c>
      <c r="CT22">
        <f>$B$11*DR22+$C$11*DS22+$F$11*DT22*(1-DW22)</f>
        <v/>
      </c>
      <c r="CU22">
        <f>CT22*CV22</f>
        <v/>
      </c>
      <c r="CV22">
        <f>($B$11*$D$9+$C$11*$D$9+$F$11*((EG22+DY22)/MAX(EG22+DY22+EH22, 0.1)*$I$9+EH22/MAX(EG22+DY22+EH22, 0.1)*$J$9))/($B$11+$C$11+$F$11)</f>
        <v/>
      </c>
      <c r="CW22">
        <f>($B$11*$K$9+$C$11*$K$9+$F$11*((EG22+DY22)/MAX(EG22+DY22+EH22, 0.1)*$P$9+EH22/MAX(EG22+DY22+EH22,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1595360526.1</v>
      </c>
      <c r="DC22" t="n">
        <v>393.484</v>
      </c>
      <c r="DD22" t="n">
        <v>400.0066</v>
      </c>
      <c r="DE22" t="n">
        <v>18.03126</v>
      </c>
      <c r="DF22" t="n">
        <v>16.25312</v>
      </c>
      <c r="DG22" t="n">
        <v>393.1154</v>
      </c>
      <c r="DH22" t="n">
        <v>18.1307</v>
      </c>
      <c r="DI22" t="n">
        <v>500.0296</v>
      </c>
      <c r="DJ22" t="n">
        <v>101.2532</v>
      </c>
      <c r="DK22" t="n">
        <v>0.10013664</v>
      </c>
      <c r="DL22" t="n">
        <v>25.6849</v>
      </c>
      <c r="DM22" t="n">
        <v>24.99184</v>
      </c>
      <c r="DN22" t="n">
        <v>999.9</v>
      </c>
      <c r="DO22" t="n">
        <v>0</v>
      </c>
      <c r="DP22" t="n">
        <v>0</v>
      </c>
      <c r="DQ22" t="n">
        <v>9989.24</v>
      </c>
      <c r="DR22" t="n">
        <v>0</v>
      </c>
      <c r="DS22" t="n">
        <v>7.238562</v>
      </c>
      <c r="DT22" t="n">
        <v>1499.986</v>
      </c>
      <c r="DU22" t="n">
        <v>0.973</v>
      </c>
      <c r="DV22" t="n">
        <v>0.0269999</v>
      </c>
      <c r="DW22" t="n">
        <v>0</v>
      </c>
      <c r="DX22" t="n">
        <v>213.3796</v>
      </c>
      <c r="DY22" t="n">
        <v>4.99999</v>
      </c>
      <c r="DZ22" t="n">
        <v>3279.302</v>
      </c>
      <c r="EA22" t="n">
        <v>14882.46</v>
      </c>
      <c r="EB22" t="n">
        <v>36.312</v>
      </c>
      <c r="EC22" t="n">
        <v>37.812</v>
      </c>
      <c r="ED22" t="n">
        <v>36.875</v>
      </c>
      <c r="EE22" t="n">
        <v>37.375</v>
      </c>
      <c r="EF22" t="n">
        <v>38</v>
      </c>
      <c r="EG22" t="n">
        <v>1454.626</v>
      </c>
      <c r="EH22" t="n">
        <v>40.36</v>
      </c>
      <c r="EI22" t="n">
        <v>0</v>
      </c>
      <c r="EJ22" t="n">
        <v>5848.90000009537</v>
      </c>
      <c r="EK22" t="n">
        <v>0</v>
      </c>
      <c r="EL22" t="n">
        <v>213.53456</v>
      </c>
      <c r="EM22" t="n">
        <v>0.689615371570246</v>
      </c>
      <c r="EN22" t="n">
        <v>8.45538460578336</v>
      </c>
      <c r="EO22" t="n">
        <v>3278.646</v>
      </c>
      <c r="EP22" t="n">
        <v>15</v>
      </c>
      <c r="EQ22" t="n">
        <v>1595360478.1</v>
      </c>
      <c r="ER22" t="inlineStr">
        <is>
          <t>04:41:18</t>
        </is>
      </c>
      <c r="ES22" t="n">
        <v>1595360478.1</v>
      </c>
      <c r="ET22" t="n">
        <v>1595360470.1</v>
      </c>
      <c r="EU22" t="n">
        <v>53</v>
      </c>
      <c r="EV22" t="n">
        <v>-0.121</v>
      </c>
      <c r="EW22" t="n">
        <v>-0.003</v>
      </c>
      <c r="EX22" t="n">
        <v>0.376</v>
      </c>
      <c r="EY22" t="n">
        <v>-0.099</v>
      </c>
      <c r="EZ22" t="n">
        <v>400</v>
      </c>
      <c r="FA22" t="n">
        <v>16</v>
      </c>
      <c r="FB22" t="n">
        <v>0.29</v>
      </c>
      <c r="FC22" t="n">
        <v>0.05</v>
      </c>
      <c r="FD22" t="n">
        <v>14.3853669936329</v>
      </c>
      <c r="FE22" t="n">
        <v>0.70136261330464</v>
      </c>
      <c r="FF22" t="n">
        <v>0.09053284783856071</v>
      </c>
      <c r="FG22" t="n">
        <v>0</v>
      </c>
      <c r="FH22" t="n">
        <v>-6.4641145</v>
      </c>
      <c r="FI22" t="n">
        <v>-0.402415488721801</v>
      </c>
      <c r="FJ22" t="n">
        <v>0.0463463357208529</v>
      </c>
      <c r="FK22" t="n">
        <v>1</v>
      </c>
      <c r="FL22" t="n">
        <v>213.509294117647</v>
      </c>
      <c r="FM22" t="n">
        <v>-0.391963323796248</v>
      </c>
      <c r="FN22" t="n">
        <v>0.415889445816877</v>
      </c>
      <c r="FO22" t="n">
        <v>1</v>
      </c>
      <c r="FP22" t="n">
        <v>2</v>
      </c>
      <c r="FQ22" t="n">
        <v>3</v>
      </c>
      <c r="FR22" t="inlineStr">
        <is>
          <t>2/3</t>
        </is>
      </c>
      <c r="FS22" t="n">
        <v>100</v>
      </c>
      <c r="FT22" t="n">
        <v>100</v>
      </c>
      <c r="FU22" t="n">
        <v>0.368</v>
      </c>
      <c r="FV22" t="n">
        <v>-0.0994</v>
      </c>
      <c r="FW22" t="n">
        <v>-0.0226309954680812</v>
      </c>
      <c r="FX22" t="n">
        <v>0.000862124167288959</v>
      </c>
      <c r="FY22" t="n">
        <v>3.40327538556632e-07</v>
      </c>
      <c r="FZ22" t="n">
        <v>-2.02263791882896e-12</v>
      </c>
      <c r="GA22" t="n">
        <v>-0.0994499999999974</v>
      </c>
      <c r="GB22" t="n">
        <v>0</v>
      </c>
      <c r="GC22" t="n">
        <v>0</v>
      </c>
      <c r="GD22" t="n">
        <v>0</v>
      </c>
      <c r="GE22" t="n">
        <v>4</v>
      </c>
      <c r="GF22" t="n">
        <v>2115</v>
      </c>
      <c r="GG22" t="n">
        <v>-1</v>
      </c>
      <c r="GH22" t="n">
        <v>-1</v>
      </c>
      <c r="GI22" t="n">
        <v>0.8</v>
      </c>
      <c r="GJ22" t="n">
        <v>1</v>
      </c>
      <c r="GK22" t="n">
        <v>1.0376</v>
      </c>
      <c r="GL22" t="n">
        <v>2.67944</v>
      </c>
      <c r="GM22" t="n">
        <v>1.65161</v>
      </c>
      <c r="GN22" t="n">
        <v>2.27295</v>
      </c>
      <c r="GO22" t="n">
        <v>1.5979</v>
      </c>
      <c r="GP22" t="n">
        <v>2.61841</v>
      </c>
      <c r="GQ22" t="n">
        <v>38.2324</v>
      </c>
      <c r="GR22" t="n">
        <v>23.8423</v>
      </c>
      <c r="GS22" t="n">
        <v>18</v>
      </c>
      <c r="GT22" t="n">
        <v>504.445</v>
      </c>
      <c r="GU22" t="n">
        <v>523.821</v>
      </c>
      <c r="GV22" t="n">
        <v>22.6027</v>
      </c>
      <c r="GW22" t="n">
        <v>29.2799</v>
      </c>
      <c r="GX22" t="n">
        <v>29.9999</v>
      </c>
      <c r="GY22" t="n">
        <v>29.5441</v>
      </c>
      <c r="GZ22" t="n">
        <v>29.617</v>
      </c>
      <c r="HA22" t="n">
        <v>20.7464</v>
      </c>
      <c r="HB22" t="n">
        <v>22.1502</v>
      </c>
      <c r="HC22" t="n">
        <v>25.0494</v>
      </c>
      <c r="HD22" t="n">
        <v>22.6048</v>
      </c>
      <c r="HE22" t="n">
        <v>400</v>
      </c>
      <c r="HF22" t="n">
        <v>16.2144</v>
      </c>
      <c r="HG22" t="n">
        <v>97.99769999999999</v>
      </c>
      <c r="HH22" t="n">
        <v>95.3991</v>
      </c>
    </row>
    <row r="23">
      <c r="A23" t="n">
        <v>7</v>
      </c>
      <c r="B23" t="n">
        <v>1595360680.1</v>
      </c>
      <c r="C23" t="n">
        <v>756.099999904633</v>
      </c>
      <c r="D23" t="inlineStr">
        <is>
          <t>20200722 04:44:40</t>
        </is>
      </c>
      <c r="E23" t="inlineStr">
        <is>
          <t>04:44:40</t>
        </is>
      </c>
      <c r="F23" t="n">
        <v>5</v>
      </c>
      <c r="G23" t="n">
        <v>1595360677.1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-</t>
        </is>
      </c>
      <c r="AK23" t="inlineStr">
        <is>
          <t>-</t>
        </is>
      </c>
      <c r="AL23" t="n">
        <v>0</v>
      </c>
      <c r="AM23" t="n">
        <v>0</v>
      </c>
      <c r="AN23">
        <f>1-AL23/AM23</f>
        <v/>
      </c>
      <c r="AO23" t="n">
        <v>0</v>
      </c>
      <c r="AP23" t="inlineStr">
        <is>
          <t>-</t>
        </is>
      </c>
      <c r="AQ23" t="inlineStr">
        <is>
          <t>-</t>
        </is>
      </c>
      <c r="AR23" t="n">
        <v>0</v>
      </c>
      <c r="AS23" t="n">
        <v>0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265</v>
      </c>
      <c r="BM23" t="n">
        <v>290</v>
      </c>
      <c r="BN23" t="n">
        <v>705.59</v>
      </c>
      <c r="BO23" t="n">
        <v>195</v>
      </c>
      <c r="BP23" t="n">
        <v>8110.47</v>
      </c>
      <c r="BQ23" t="n">
        <v>703.77</v>
      </c>
      <c r="BR23" t="n">
        <v>1.82</v>
      </c>
      <c r="BS23" t="n">
        <v>300</v>
      </c>
      <c r="BT23" t="n">
        <v>19.1</v>
      </c>
      <c r="BU23" t="n">
        <v>728.735623028316</v>
      </c>
      <c r="BV23" t="n">
        <v>2.43797327259926</v>
      </c>
      <c r="BW23" t="n">
        <v>-20.2484206340873</v>
      </c>
      <c r="BX23" t="n">
        <v>1.76826879160836</v>
      </c>
      <c r="BY23" t="n">
        <v>0.824037787313686</v>
      </c>
      <c r="BZ23" t="n">
        <v>-0.00536440111234705</v>
      </c>
      <c r="CA23" t="n">
        <v>290</v>
      </c>
      <c r="CB23" t="n">
        <v>697.3</v>
      </c>
      <c r="CC23" t="n">
        <v>615</v>
      </c>
      <c r="CD23" t="n">
        <v>8103.53</v>
      </c>
      <c r="CE23" t="n">
        <v>703.75</v>
      </c>
      <c r="CF23" t="n">
        <v>-6.45</v>
      </c>
      <c r="CT23">
        <f>$B$11*DR23+$C$11*DS23+$F$11*DT23*(1-DW23)</f>
        <v/>
      </c>
      <c r="CU23">
        <f>CT23*CV23</f>
        <v/>
      </c>
      <c r="CV23">
        <f>($B$11*$D$9+$C$11*$D$9+$F$11*((EG23+DY23)/MAX(EG23+DY23+EH23, 0.1)*$I$9+EH23/MAX(EG23+DY23+EH23, 0.1)*$J$9))/($B$11+$C$11+$F$11)</f>
        <v/>
      </c>
      <c r="CW23">
        <f>($B$11*$K$9+$C$11*$K$9+$F$11*((EG23+DY23)/MAX(EG23+DY23+EH23, 0.1)*$P$9+EH23/MAX(EG23+DY23+EH23,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1595360677.1</v>
      </c>
      <c r="DC23" t="n">
        <v>392.8724</v>
      </c>
      <c r="DD23" t="n">
        <v>400.0064</v>
      </c>
      <c r="DE23" t="n">
        <v>18.0204</v>
      </c>
      <c r="DF23" t="n">
        <v>16.11148</v>
      </c>
      <c r="DG23" t="n">
        <v>392.507</v>
      </c>
      <c r="DH23" t="n">
        <v>18.118</v>
      </c>
      <c r="DI23" t="n">
        <v>500.0342</v>
      </c>
      <c r="DJ23" t="n">
        <v>101.2588</v>
      </c>
      <c r="DK23" t="n">
        <v>0.10017838</v>
      </c>
      <c r="DL23" t="n">
        <v>25.7269</v>
      </c>
      <c r="DM23" t="n">
        <v>25.00002</v>
      </c>
      <c r="DN23" t="n">
        <v>999.9</v>
      </c>
      <c r="DO23" t="n">
        <v>0</v>
      </c>
      <c r="DP23" t="n">
        <v>0</v>
      </c>
      <c r="DQ23" t="n">
        <v>9980.75</v>
      </c>
      <c r="DR23" t="n">
        <v>0</v>
      </c>
      <c r="DS23" t="n">
        <v>7.247596</v>
      </c>
      <c r="DT23" t="n">
        <v>1500.018</v>
      </c>
      <c r="DU23" t="n">
        <v>0.973001</v>
      </c>
      <c r="DV23" t="n">
        <v>0.02699886</v>
      </c>
      <c r="DW23" t="n">
        <v>0</v>
      </c>
      <c r="DX23" t="n">
        <v>217.5172</v>
      </c>
      <c r="DY23" t="n">
        <v>4.99999</v>
      </c>
      <c r="DZ23" t="n">
        <v>3336.012</v>
      </c>
      <c r="EA23" t="n">
        <v>14882.78</v>
      </c>
      <c r="EB23" t="n">
        <v>36.312</v>
      </c>
      <c r="EC23" t="n">
        <v>37.812</v>
      </c>
      <c r="ED23" t="n">
        <v>36.875</v>
      </c>
      <c r="EE23" t="n">
        <v>37.375</v>
      </c>
      <c r="EF23" t="n">
        <v>38</v>
      </c>
      <c r="EG23" t="n">
        <v>1454.658</v>
      </c>
      <c r="EH23" t="n">
        <v>40.36</v>
      </c>
      <c r="EI23" t="n">
        <v>0</v>
      </c>
      <c r="EJ23" t="n">
        <v>6000.10000014305</v>
      </c>
      <c r="EK23" t="n">
        <v>0</v>
      </c>
      <c r="EL23" t="n">
        <v>217.49568</v>
      </c>
      <c r="EM23" t="n">
        <v>2.25330771446245</v>
      </c>
      <c r="EN23" t="n">
        <v>21.0669230852366</v>
      </c>
      <c r="EO23" t="n">
        <v>3334.3464</v>
      </c>
      <c r="EP23" t="n">
        <v>15</v>
      </c>
      <c r="EQ23" t="n">
        <v>1595360587.1</v>
      </c>
      <c r="ER23" t="inlineStr">
        <is>
          <t>04:43:07</t>
        </is>
      </c>
      <c r="ES23" t="n">
        <v>1595360578.1</v>
      </c>
      <c r="ET23" t="n">
        <v>1595360587.1</v>
      </c>
      <c r="EU23" t="n">
        <v>54</v>
      </c>
      <c r="EV23" t="n">
        <v>-0.002</v>
      </c>
      <c r="EW23" t="n">
        <v>0.002</v>
      </c>
      <c r="EX23" t="n">
        <v>0.374</v>
      </c>
      <c r="EY23" t="n">
        <v>-0.098</v>
      </c>
      <c r="EZ23" t="n">
        <v>400</v>
      </c>
      <c r="FA23" t="n">
        <v>16</v>
      </c>
      <c r="FB23" t="n">
        <v>0.26</v>
      </c>
      <c r="FC23" t="n">
        <v>0.04</v>
      </c>
      <c r="FD23" t="n">
        <v>15.8239146301767</v>
      </c>
      <c r="FE23" t="n">
        <v>0.858584106256117</v>
      </c>
      <c r="FF23" t="n">
        <v>0.115564044000968</v>
      </c>
      <c r="FG23" t="n">
        <v>0</v>
      </c>
      <c r="FH23" t="n">
        <v>-7.09322428571429</v>
      </c>
      <c r="FI23" t="n">
        <v>-0.334397922077927</v>
      </c>
      <c r="FJ23" t="n">
        <v>0.0464442815764919</v>
      </c>
      <c r="FK23" t="n">
        <v>1</v>
      </c>
      <c r="FL23" t="n">
        <v>217.433676470588</v>
      </c>
      <c r="FM23" t="n">
        <v>1.17184110147462</v>
      </c>
      <c r="FN23" t="n">
        <v>0.460232532057452</v>
      </c>
      <c r="FO23" t="n">
        <v>0</v>
      </c>
      <c r="FP23" t="n">
        <v>1</v>
      </c>
      <c r="FQ23" t="n">
        <v>3</v>
      </c>
      <c r="FR23" t="inlineStr">
        <is>
          <t>1/3</t>
        </is>
      </c>
      <c r="FS23" t="n">
        <v>100</v>
      </c>
      <c r="FT23" t="n">
        <v>100</v>
      </c>
      <c r="FU23" t="n">
        <v>0.366</v>
      </c>
      <c r="FV23" t="n">
        <v>-0.09760000000000001</v>
      </c>
      <c r="FW23" t="n">
        <v>-0.0250268506939618</v>
      </c>
      <c r="FX23" t="n">
        <v>0.000862124167288959</v>
      </c>
      <c r="FY23" t="n">
        <v>3.40327538556632e-07</v>
      </c>
      <c r="FZ23" t="n">
        <v>-2.02263791882896e-12</v>
      </c>
      <c r="GA23" t="n">
        <v>-0.0976181818181807</v>
      </c>
      <c r="GB23" t="n">
        <v>0</v>
      </c>
      <c r="GC23" t="n">
        <v>0</v>
      </c>
      <c r="GD23" t="n">
        <v>0</v>
      </c>
      <c r="GE23" t="n">
        <v>4</v>
      </c>
      <c r="GF23" t="n">
        <v>2115</v>
      </c>
      <c r="GG23" t="n">
        <v>-1</v>
      </c>
      <c r="GH23" t="n">
        <v>-1</v>
      </c>
      <c r="GI23" t="n">
        <v>1.7</v>
      </c>
      <c r="GJ23" t="n">
        <v>1.6</v>
      </c>
      <c r="GK23" t="n">
        <v>1.03638</v>
      </c>
      <c r="GL23" t="n">
        <v>2.67456</v>
      </c>
      <c r="GM23" t="n">
        <v>1.65161</v>
      </c>
      <c r="GN23" t="n">
        <v>2.27417</v>
      </c>
      <c r="GO23" t="n">
        <v>1.5979</v>
      </c>
      <c r="GP23" t="n">
        <v>2.50854</v>
      </c>
      <c r="GQ23" t="n">
        <v>38.208</v>
      </c>
      <c r="GR23" t="n">
        <v>23.8336</v>
      </c>
      <c r="GS23" t="n">
        <v>18</v>
      </c>
      <c r="GT23" t="n">
        <v>504.358</v>
      </c>
      <c r="GU23" t="n">
        <v>523.778</v>
      </c>
      <c r="GV23" t="n">
        <v>22.6715</v>
      </c>
      <c r="GW23" t="n">
        <v>29.2437</v>
      </c>
      <c r="GX23" t="n">
        <v>30</v>
      </c>
      <c r="GY23" t="n">
        <v>29.4913</v>
      </c>
      <c r="GZ23" t="n">
        <v>29.5619</v>
      </c>
      <c r="HA23" t="n">
        <v>20.7417</v>
      </c>
      <c r="HB23" t="n">
        <v>22.5283</v>
      </c>
      <c r="HC23" t="n">
        <v>25.0461</v>
      </c>
      <c r="HD23" t="n">
        <v>22.6718</v>
      </c>
      <c r="HE23" t="n">
        <v>400</v>
      </c>
      <c r="HF23" t="n">
        <v>16.119</v>
      </c>
      <c r="HG23" t="n">
        <v>98</v>
      </c>
      <c r="HH23" t="n">
        <v>95.4029</v>
      </c>
    </row>
    <row r="24">
      <c r="A24" t="n">
        <v>8</v>
      </c>
      <c r="B24" t="n">
        <v>1595360801.1</v>
      </c>
      <c r="C24" t="n">
        <v>877.099999904633</v>
      </c>
      <c r="D24" t="inlineStr">
        <is>
          <t>20200722 04:46:41</t>
        </is>
      </c>
      <c r="E24" t="inlineStr">
        <is>
          <t>04:46:41</t>
        </is>
      </c>
      <c r="F24" t="n">
        <v>5</v>
      </c>
      <c r="G24" t="n">
        <v>1595360797.6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-</t>
        </is>
      </c>
      <c r="AK24" t="inlineStr">
        <is>
          <t>-</t>
        </is>
      </c>
      <c r="AL24" t="n">
        <v>0</v>
      </c>
      <c r="AM24" t="n">
        <v>0</v>
      </c>
      <c r="AN24">
        <f>1-AL24/AM24</f>
        <v/>
      </c>
      <c r="AO24" t="n">
        <v>0</v>
      </c>
      <c r="AP24" t="inlineStr">
        <is>
          <t>-</t>
        </is>
      </c>
      <c r="AQ24" t="inlineStr">
        <is>
          <t>-</t>
        </is>
      </c>
      <c r="AR24" t="n">
        <v>0</v>
      </c>
      <c r="AS24" t="n">
        <v>0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265</v>
      </c>
      <c r="BM24" t="n">
        <v>290</v>
      </c>
      <c r="BN24" t="n">
        <v>705.59</v>
      </c>
      <c r="BO24" t="n">
        <v>195</v>
      </c>
      <c r="BP24" t="n">
        <v>8110.47</v>
      </c>
      <c r="BQ24" t="n">
        <v>703.77</v>
      </c>
      <c r="BR24" t="n">
        <v>1.82</v>
      </c>
      <c r="BS24" t="n">
        <v>300</v>
      </c>
      <c r="BT24" t="n">
        <v>19.1</v>
      </c>
      <c r="BU24" t="n">
        <v>728.735623028316</v>
      </c>
      <c r="BV24" t="n">
        <v>2.43797327259926</v>
      </c>
      <c r="BW24" t="n">
        <v>-20.2484206340873</v>
      </c>
      <c r="BX24" t="n">
        <v>1.76826879160836</v>
      </c>
      <c r="BY24" t="n">
        <v>0.824037787313686</v>
      </c>
      <c r="BZ24" t="n">
        <v>-0.00536440111234705</v>
      </c>
      <c r="CA24" t="n">
        <v>290</v>
      </c>
      <c r="CB24" t="n">
        <v>697.3</v>
      </c>
      <c r="CC24" t="n">
        <v>615</v>
      </c>
      <c r="CD24" t="n">
        <v>8103.53</v>
      </c>
      <c r="CE24" t="n">
        <v>703.75</v>
      </c>
      <c r="CF24" t="n">
        <v>-6.45</v>
      </c>
      <c r="CT24">
        <f>$B$11*DR24+$C$11*DS24+$F$11*DT24*(1-DW24)</f>
        <v/>
      </c>
      <c r="CU24">
        <f>CT24*CV24</f>
        <v/>
      </c>
      <c r="CV24">
        <f>($B$11*$D$9+$C$11*$D$9+$F$11*((EG24+DY24)/MAX(EG24+DY24+EH24, 0.1)*$I$9+EH24/MAX(EG24+DY24+EH24, 0.1)*$J$9))/($B$11+$C$11+$F$11)</f>
        <v/>
      </c>
      <c r="CW24">
        <f>($B$11*$K$9+$C$11*$K$9+$F$11*((EG24+DY24)/MAX(EG24+DY24+EH24, 0.1)*$P$9+EH24/MAX(EG24+DY24+EH24,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1595360797.6</v>
      </c>
      <c r="DC24" t="n">
        <v>690.0526666666671</v>
      </c>
      <c r="DD24" t="n">
        <v>699.992166666667</v>
      </c>
      <c r="DE24" t="n">
        <v>18.0404166666667</v>
      </c>
      <c r="DF24" t="n">
        <v>16.1524666666667</v>
      </c>
      <c r="DG24" t="n">
        <v>689.0775</v>
      </c>
      <c r="DH24" t="n">
        <v>18.1396166666667</v>
      </c>
      <c r="DI24" t="n">
        <v>500.019666666667</v>
      </c>
      <c r="DJ24" t="n">
        <v>101.259</v>
      </c>
      <c r="DK24" t="n">
        <v>0.100028566666667</v>
      </c>
      <c r="DL24" t="n">
        <v>25.73315</v>
      </c>
      <c r="DM24" t="n">
        <v>25.0095666666667</v>
      </c>
      <c r="DN24" t="n">
        <v>999.9</v>
      </c>
      <c r="DO24" t="n">
        <v>0</v>
      </c>
      <c r="DP24" t="n">
        <v>0</v>
      </c>
      <c r="DQ24" t="n">
        <v>9994.183333333331</v>
      </c>
      <c r="DR24" t="n">
        <v>0</v>
      </c>
      <c r="DS24" t="n">
        <v>7.22783</v>
      </c>
      <c r="DT24" t="n">
        <v>1499.99666666667</v>
      </c>
      <c r="DU24" t="n">
        <v>0.973</v>
      </c>
      <c r="DV24" t="n">
        <v>0.0269999</v>
      </c>
      <c r="DW24" t="n">
        <v>0</v>
      </c>
      <c r="DX24" t="n">
        <v>225.089833333333</v>
      </c>
      <c r="DY24" t="n">
        <v>4.99999</v>
      </c>
      <c r="DZ24" t="n">
        <v>3446.95</v>
      </c>
      <c r="EA24" t="n">
        <v>14882.5333333333</v>
      </c>
      <c r="EB24" t="n">
        <v>36.312</v>
      </c>
      <c r="EC24" t="n">
        <v>37.8225</v>
      </c>
      <c r="ED24" t="n">
        <v>36.875</v>
      </c>
      <c r="EE24" t="n">
        <v>37.312</v>
      </c>
      <c r="EF24" t="n">
        <v>38</v>
      </c>
      <c r="EG24" t="n">
        <v>1454.63666666667</v>
      </c>
      <c r="EH24" t="n">
        <v>40.36</v>
      </c>
      <c r="EI24" t="n">
        <v>0</v>
      </c>
      <c r="EJ24" t="n">
        <v>6121.30000019073</v>
      </c>
      <c r="EK24" t="n">
        <v>0</v>
      </c>
      <c r="EL24" t="n">
        <v>224.97492</v>
      </c>
      <c r="EM24" t="n">
        <v>1.63615382976968</v>
      </c>
      <c r="EN24" t="n">
        <v>-8.843846120510459</v>
      </c>
      <c r="EO24" t="n">
        <v>3447.5176</v>
      </c>
      <c r="EP24" t="n">
        <v>15</v>
      </c>
      <c r="EQ24" t="n">
        <v>1595360747.1</v>
      </c>
      <c r="ER24" t="inlineStr">
        <is>
          <t>04:45:47</t>
        </is>
      </c>
      <c r="ES24" t="n">
        <v>1595360747.1</v>
      </c>
      <c r="ET24" t="n">
        <v>1595360746.1</v>
      </c>
      <c r="EU24" t="n">
        <v>55</v>
      </c>
      <c r="EV24" t="n">
        <v>0.245</v>
      </c>
      <c r="EW24" t="n">
        <v>-0.002</v>
      </c>
      <c r="EX24" t="n">
        <v>0.988</v>
      </c>
      <c r="EY24" t="n">
        <v>-0.099</v>
      </c>
      <c r="EZ24" t="n">
        <v>700</v>
      </c>
      <c r="FA24" t="n">
        <v>16</v>
      </c>
      <c r="FB24" t="n">
        <v>0.2</v>
      </c>
      <c r="FC24" t="n">
        <v>0.03</v>
      </c>
      <c r="FD24" t="n">
        <v>21.5198741237136</v>
      </c>
      <c r="FE24" t="n">
        <v>0.53654099958699</v>
      </c>
      <c r="FF24" t="n">
        <v>0.143464453181759</v>
      </c>
      <c r="FG24" t="n">
        <v>1</v>
      </c>
      <c r="FH24" t="n">
        <v>-9.940540476190479</v>
      </c>
      <c r="FI24" t="n">
        <v>-0.096120779220768</v>
      </c>
      <c r="FJ24" t="n">
        <v>0.0520205431468863</v>
      </c>
      <c r="FK24" t="n">
        <v>1</v>
      </c>
      <c r="FL24" t="n">
        <v>224.986588235294</v>
      </c>
      <c r="FM24" t="n">
        <v>-0.686355993942888</v>
      </c>
      <c r="FN24" t="n">
        <v>0.40013432433203</v>
      </c>
      <c r="FO24" t="n">
        <v>1</v>
      </c>
      <c r="FP24" t="n">
        <v>3</v>
      </c>
      <c r="FQ24" t="n">
        <v>3</v>
      </c>
      <c r="FR24" t="inlineStr">
        <is>
          <t>3/3</t>
        </is>
      </c>
      <c r="FS24" t="n">
        <v>100</v>
      </c>
      <c r="FT24" t="n">
        <v>100</v>
      </c>
      <c r="FU24" t="n">
        <v>0.975</v>
      </c>
      <c r="FV24" t="n">
        <v>-0.0992</v>
      </c>
      <c r="FW24" t="n">
        <v>0.220133127715151</v>
      </c>
      <c r="FX24" t="n">
        <v>0.000862124167288959</v>
      </c>
      <c r="FY24" t="n">
        <v>3.40327538556632e-07</v>
      </c>
      <c r="FZ24" t="n">
        <v>-2.02263791882896e-12</v>
      </c>
      <c r="GA24" t="n">
        <v>-0.09919999999999619</v>
      </c>
      <c r="GB24" t="n">
        <v>0</v>
      </c>
      <c r="GC24" t="n">
        <v>0</v>
      </c>
      <c r="GD24" t="n">
        <v>0</v>
      </c>
      <c r="GE24" t="n">
        <v>4</v>
      </c>
      <c r="GF24" t="n">
        <v>2115</v>
      </c>
      <c r="GG24" t="n">
        <v>-1</v>
      </c>
      <c r="GH24" t="n">
        <v>-1</v>
      </c>
      <c r="GI24" t="n">
        <v>0.9</v>
      </c>
      <c r="GJ24" t="n">
        <v>0.9</v>
      </c>
      <c r="GK24" t="n">
        <v>1.62354</v>
      </c>
      <c r="GL24" t="n">
        <v>2.66724</v>
      </c>
      <c r="GM24" t="n">
        <v>1.65161</v>
      </c>
      <c r="GN24" t="n">
        <v>2.27417</v>
      </c>
      <c r="GO24" t="n">
        <v>1.5979</v>
      </c>
      <c r="GP24" t="n">
        <v>2.58301</v>
      </c>
      <c r="GQ24" t="n">
        <v>38.208</v>
      </c>
      <c r="GR24" t="n">
        <v>23.8423</v>
      </c>
      <c r="GS24" t="n">
        <v>18</v>
      </c>
      <c r="GT24" t="n">
        <v>504.36</v>
      </c>
      <c r="GU24" t="n">
        <v>524.526</v>
      </c>
      <c r="GV24" t="n">
        <v>22.6238</v>
      </c>
      <c r="GW24" t="n">
        <v>29.2237</v>
      </c>
      <c r="GX24" t="n">
        <v>29.9999</v>
      </c>
      <c r="GY24" t="n">
        <v>29.4611</v>
      </c>
      <c r="GZ24" t="n">
        <v>29.5304</v>
      </c>
      <c r="HA24" t="n">
        <v>32.4616</v>
      </c>
      <c r="HB24" t="n">
        <v>22.0152</v>
      </c>
      <c r="HC24" t="n">
        <v>24.4732</v>
      </c>
      <c r="HD24" t="n">
        <v>22.6099</v>
      </c>
      <c r="HE24" t="n">
        <v>700</v>
      </c>
      <c r="HF24" t="n">
        <v>16.1506</v>
      </c>
      <c r="HG24" t="n">
        <v>98.00239999999999</v>
      </c>
      <c r="HH24" t="n">
        <v>95.4062</v>
      </c>
    </row>
    <row r="25">
      <c r="A25" t="n">
        <v>9</v>
      </c>
      <c r="B25" t="n">
        <v>1595360926.1</v>
      </c>
      <c r="C25" t="n">
        <v>1002.09999990463</v>
      </c>
      <c r="D25" t="inlineStr">
        <is>
          <t>20200722 04:48:46</t>
        </is>
      </c>
      <c r="E25" t="inlineStr">
        <is>
          <t>04:48:46</t>
        </is>
      </c>
      <c r="F25" t="n">
        <v>5</v>
      </c>
      <c r="G25" t="n">
        <v>1595360923.1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-</t>
        </is>
      </c>
      <c r="AK25" t="inlineStr">
        <is>
          <t>-</t>
        </is>
      </c>
      <c r="AL25" t="n">
        <v>0</v>
      </c>
      <c r="AM25" t="n">
        <v>0</v>
      </c>
      <c r="AN25">
        <f>1-AL25/AM25</f>
        <v/>
      </c>
      <c r="AO25" t="n">
        <v>0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265</v>
      </c>
      <c r="BM25" t="n">
        <v>290</v>
      </c>
      <c r="BN25" t="n">
        <v>705.59</v>
      </c>
      <c r="BO25" t="n">
        <v>195</v>
      </c>
      <c r="BP25" t="n">
        <v>8110.47</v>
      </c>
      <c r="BQ25" t="n">
        <v>703.77</v>
      </c>
      <c r="BR25" t="n">
        <v>1.82</v>
      </c>
      <c r="BS25" t="n">
        <v>300</v>
      </c>
      <c r="BT25" t="n">
        <v>19.1</v>
      </c>
      <c r="BU25" t="n">
        <v>728.735623028316</v>
      </c>
      <c r="BV25" t="n">
        <v>2.43797327259926</v>
      </c>
      <c r="BW25" t="n">
        <v>-20.2484206340873</v>
      </c>
      <c r="BX25" t="n">
        <v>1.76826879160836</v>
      </c>
      <c r="BY25" t="n">
        <v>0.824037787313686</v>
      </c>
      <c r="BZ25" t="n">
        <v>-0.00536440111234705</v>
      </c>
      <c r="CA25" t="n">
        <v>290</v>
      </c>
      <c r="CB25" t="n">
        <v>697.3</v>
      </c>
      <c r="CC25" t="n">
        <v>615</v>
      </c>
      <c r="CD25" t="n">
        <v>8103.53</v>
      </c>
      <c r="CE25" t="n">
        <v>703.75</v>
      </c>
      <c r="CF25" t="n">
        <v>-6.45</v>
      </c>
      <c r="CT25">
        <f>$B$11*DR25+$C$11*DS25+$F$11*DT25*(1-DW25)</f>
        <v/>
      </c>
      <c r="CU25">
        <f>CT25*CV25</f>
        <v/>
      </c>
      <c r="CV25">
        <f>($B$11*$D$9+$C$11*$D$9+$F$11*((EG25+DY25)/MAX(EG25+DY25+EH25, 0.1)*$I$9+EH25/MAX(EG25+DY25+EH25, 0.1)*$J$9))/($B$11+$C$11+$F$11)</f>
        <v/>
      </c>
      <c r="CW25">
        <f>($B$11*$K$9+$C$11*$K$9+$F$11*((EG25+DY25)/MAX(EG25+DY25+EH25, 0.1)*$P$9+EH25/MAX(EG25+DY25+EH25,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1595360923.1</v>
      </c>
      <c r="DC25" t="n">
        <v>989.119</v>
      </c>
      <c r="DD25" t="n">
        <v>1000.0402</v>
      </c>
      <c r="DE25" t="n">
        <v>17.97576</v>
      </c>
      <c r="DF25" t="n">
        <v>16.2659</v>
      </c>
      <c r="DG25" t="n">
        <v>987.7784</v>
      </c>
      <c r="DH25" t="n">
        <v>18.07486</v>
      </c>
      <c r="DI25" t="n">
        <v>500.073</v>
      </c>
      <c r="DJ25" t="n">
        <v>101.27</v>
      </c>
      <c r="DK25" t="n">
        <v>0.09995654</v>
      </c>
      <c r="DL25" t="n">
        <v>25.69908</v>
      </c>
      <c r="DM25" t="n">
        <v>24.99382</v>
      </c>
      <c r="DN25" t="n">
        <v>999.9</v>
      </c>
      <c r="DO25" t="n">
        <v>0</v>
      </c>
      <c r="DP25" t="n">
        <v>0</v>
      </c>
      <c r="DQ25" t="n">
        <v>10006.02</v>
      </c>
      <c r="DR25" t="n">
        <v>0</v>
      </c>
      <c r="DS25" t="n">
        <v>7.269618</v>
      </c>
      <c r="DT25" t="n">
        <v>1499.99</v>
      </c>
      <c r="DU25" t="n">
        <v>0.973001</v>
      </c>
      <c r="DV25" t="n">
        <v>0.02699886</v>
      </c>
      <c r="DW25" t="n">
        <v>0</v>
      </c>
      <c r="DX25" t="n">
        <v>222.7272</v>
      </c>
      <c r="DY25" t="n">
        <v>4.99999</v>
      </c>
      <c r="DZ25" t="n">
        <v>3413.866</v>
      </c>
      <c r="EA25" t="n">
        <v>14882.48</v>
      </c>
      <c r="EB25" t="n">
        <v>36.312</v>
      </c>
      <c r="EC25" t="n">
        <v>37.8498</v>
      </c>
      <c r="ED25" t="n">
        <v>36.875</v>
      </c>
      <c r="EE25" t="n">
        <v>37.312</v>
      </c>
      <c r="EF25" t="n">
        <v>38</v>
      </c>
      <c r="EG25" t="n">
        <v>1454.63</v>
      </c>
      <c r="EH25" t="n">
        <v>40.36</v>
      </c>
      <c r="EI25" t="n">
        <v>0</v>
      </c>
      <c r="EJ25" t="n">
        <v>6246.10000014305</v>
      </c>
      <c r="EK25" t="n">
        <v>0</v>
      </c>
      <c r="EL25" t="n">
        <v>222.6958</v>
      </c>
      <c r="EM25" t="n">
        <v>0.453076890493277</v>
      </c>
      <c r="EN25" t="n">
        <v>0.225384622044598</v>
      </c>
      <c r="EO25" t="n">
        <v>3413.8972</v>
      </c>
      <c r="EP25" t="n">
        <v>15</v>
      </c>
      <c r="EQ25" t="n">
        <v>1595360883.1</v>
      </c>
      <c r="ER25" t="inlineStr">
        <is>
          <t>04:48:03</t>
        </is>
      </c>
      <c r="ES25" t="n">
        <v>1595360883.1</v>
      </c>
      <c r="ET25" t="n">
        <v>1595360878.1</v>
      </c>
      <c r="EU25" t="n">
        <v>56</v>
      </c>
      <c r="EV25" t="n">
        <v>-0.062</v>
      </c>
      <c r="EW25" t="n">
        <v>0</v>
      </c>
      <c r="EX25" t="n">
        <v>1.357</v>
      </c>
      <c r="EY25" t="n">
        <v>-0.099</v>
      </c>
      <c r="EZ25" t="n">
        <v>1000</v>
      </c>
      <c r="FA25" t="n">
        <v>16</v>
      </c>
      <c r="FB25" t="n">
        <v>0.2</v>
      </c>
      <c r="FC25" t="n">
        <v>0.04</v>
      </c>
      <c r="FD25" t="n">
        <v>22.9657087100589</v>
      </c>
      <c r="FE25" t="n">
        <v>-0.506176023138574</v>
      </c>
      <c r="FF25" t="n">
        <v>0.161664988209475</v>
      </c>
      <c r="FG25" t="n">
        <v>1</v>
      </c>
      <c r="FH25" t="n">
        <v>-10.915835</v>
      </c>
      <c r="FI25" t="n">
        <v>0.0379984962405937</v>
      </c>
      <c r="FJ25" t="n">
        <v>0.0571012896089045</v>
      </c>
      <c r="FK25" t="n">
        <v>1</v>
      </c>
      <c r="FL25" t="n">
        <v>222.736676470588</v>
      </c>
      <c r="FM25" t="n">
        <v>-0.342902993099556</v>
      </c>
      <c r="FN25" t="n">
        <v>0.39858350077923</v>
      </c>
      <c r="FO25" t="n">
        <v>1</v>
      </c>
      <c r="FP25" t="n">
        <v>3</v>
      </c>
      <c r="FQ25" t="n">
        <v>3</v>
      </c>
      <c r="FR25" t="inlineStr">
        <is>
          <t>3/3</t>
        </is>
      </c>
      <c r="FS25" t="n">
        <v>100</v>
      </c>
      <c r="FT25" t="n">
        <v>100</v>
      </c>
      <c r="FU25" t="n">
        <v>1.34</v>
      </c>
      <c r="FV25" t="n">
        <v>-0.09909999999999999</v>
      </c>
      <c r="FW25" t="n">
        <v>0.158886042612755</v>
      </c>
      <c r="FX25" t="n">
        <v>0.000862124167288959</v>
      </c>
      <c r="FY25" t="n">
        <v>3.40327538556632e-07</v>
      </c>
      <c r="FZ25" t="n">
        <v>-2.02263791882896e-12</v>
      </c>
      <c r="GA25" t="n">
        <v>-0.0990909090909113</v>
      </c>
      <c r="GB25" t="n">
        <v>0</v>
      </c>
      <c r="GC25" t="n">
        <v>0</v>
      </c>
      <c r="GD25" t="n">
        <v>0</v>
      </c>
      <c r="GE25" t="n">
        <v>4</v>
      </c>
      <c r="GF25" t="n">
        <v>2115</v>
      </c>
      <c r="GG25" t="n">
        <v>-1</v>
      </c>
      <c r="GH25" t="n">
        <v>-1</v>
      </c>
      <c r="GI25" t="n">
        <v>0.7</v>
      </c>
      <c r="GJ25" t="n">
        <v>0.8</v>
      </c>
      <c r="GK25" t="n">
        <v>2.16919</v>
      </c>
      <c r="GL25" t="n">
        <v>2.65747</v>
      </c>
      <c r="GM25" t="n">
        <v>1.65161</v>
      </c>
      <c r="GN25" t="n">
        <v>2.27295</v>
      </c>
      <c r="GO25" t="n">
        <v>1.5979</v>
      </c>
      <c r="GP25" t="n">
        <v>2.47681</v>
      </c>
      <c r="GQ25" t="n">
        <v>38.208</v>
      </c>
      <c r="GR25" t="n">
        <v>23.8336</v>
      </c>
      <c r="GS25" t="n">
        <v>18</v>
      </c>
      <c r="GT25" t="n">
        <v>503.879</v>
      </c>
      <c r="GU25" t="n">
        <v>525.213</v>
      </c>
      <c r="GV25" t="n">
        <v>22.3455</v>
      </c>
      <c r="GW25" t="n">
        <v>29.2112</v>
      </c>
      <c r="GX25" t="n">
        <v>29.9999</v>
      </c>
      <c r="GY25" t="n">
        <v>29.4409</v>
      </c>
      <c r="GZ25" t="n">
        <v>29.5083</v>
      </c>
      <c r="HA25" t="n">
        <v>43.3619</v>
      </c>
      <c r="HB25" t="n">
        <v>21.2671</v>
      </c>
      <c r="HC25" t="n">
        <v>24.7458</v>
      </c>
      <c r="HD25" t="n">
        <v>22.4532</v>
      </c>
      <c r="HE25" t="n">
        <v>1000</v>
      </c>
      <c r="HF25" t="n">
        <v>16.3146</v>
      </c>
      <c r="HG25" t="n">
        <v>98.0044</v>
      </c>
      <c r="HH25" t="n">
        <v>95.4066</v>
      </c>
    </row>
    <row r="26">
      <c r="A26" t="n">
        <v>10</v>
      </c>
      <c r="B26" t="n">
        <v>1595361052.1</v>
      </c>
      <c r="C26" t="n">
        <v>1128.09999990463</v>
      </c>
      <c r="D26" t="inlineStr">
        <is>
          <t>20200722 04:50:52</t>
        </is>
      </c>
      <c r="E26" t="inlineStr">
        <is>
          <t>04:50:52</t>
        </is>
      </c>
      <c r="F26" t="n">
        <v>5</v>
      </c>
      <c r="G26" t="n">
        <v>1595361048.6</v>
      </c>
      <c r="H26">
        <f>(I26)/1000</f>
        <v/>
      </c>
      <c r="I26">
        <f>1000*DI26*AG26*(DE26-DF26)/(100*CX26*(1000-AG26*DE26))</f>
        <v/>
      </c>
      <c r="J26">
        <f>DI26*AG26*(DD26-DC26*(1000-AG26*DF26)/(1000-AG26*DE26))/(100*CX26)</f>
        <v/>
      </c>
      <c r="K26">
        <f>DC26 - IF(AG26&gt;1, J26*CX26*100.0/(AI26), 0)</f>
        <v/>
      </c>
      <c r="L26">
        <f>((R26-H26/2)*K26-J26)/(R26+H26/2)</f>
        <v/>
      </c>
      <c r="M26">
        <f>L26*(DJ26+DK26)/1000.0</f>
        <v/>
      </c>
      <c r="N26">
        <f>(DC26 - IF(AG26&gt;1, J26*CX26*100.0/(AI26), 0))*(DJ26+DK26)/1000.0</f>
        <v/>
      </c>
      <c r="O26">
        <f>2.0/((1/Q26-1/P26)+SIGN(Q26)*SQRT((1/Q26-1/P26)*(1/Q26-1/P26) + 4*CY26/((CY26+1)*(CY26+1))*(2*1/Q26*1/P26-1/P26*1/P26)))</f>
        <v/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/>
      </c>
      <c r="Q26">
        <f>H26*(1000-(1000*0.61365*exp(17.502*U26/(240.97+U26))/(DJ26+DK26)+DE26)/2)/(1000*0.61365*exp(17.502*U26/(240.97+U26))/(DJ26+DK26)-DE26)</f>
        <v/>
      </c>
      <c r="R26">
        <f>1/((CY26+1)/(O26/1.6)+1/(P26/1.37)) + CY26/((CY26+1)/(O26/1.6) + CY26/(P26/1.37))</f>
        <v/>
      </c>
      <c r="S26">
        <f>(CT26*CW26)</f>
        <v/>
      </c>
      <c r="T26">
        <f>(DL26+(S26+2*0.95*5.67E-8*(((DL26+$B$7)+273)^4-(DL26+273)^4)-44100*H26)/(1.84*29.3*P26+8*0.95*5.67E-8*(DL26+273)^3))</f>
        <v/>
      </c>
      <c r="U26">
        <f>($C$7*DM26+$D$7*DN26+$E$7*T26)</f>
        <v/>
      </c>
      <c r="V26">
        <f>0.61365*exp(17.502*U26/(240.97+U26))</f>
        <v/>
      </c>
      <c r="W26">
        <f>(X26/Y26*100)</f>
        <v/>
      </c>
      <c r="X26">
        <f>DE26*(DJ26+DK26)/1000</f>
        <v/>
      </c>
      <c r="Y26">
        <f>0.61365*exp(17.502*DL26/(240.97+DL26))</f>
        <v/>
      </c>
      <c r="Z26">
        <f>(V26-DE26*(DJ26+DK26)/1000)</f>
        <v/>
      </c>
      <c r="AA26">
        <f>(-H26*44100)</f>
        <v/>
      </c>
      <c r="AB26">
        <f>2*29.3*P26*0.92*(DL26-U26)</f>
        <v/>
      </c>
      <c r="AC26">
        <f>2*0.95*5.67E-8*(((DL26+$B$7)+273)^4-(U26+273)^4)</f>
        <v/>
      </c>
      <c r="AD26">
        <f>S26+AC26+AA26+AB26</f>
        <v/>
      </c>
      <c r="AE26" t="n">
        <v>0</v>
      </c>
      <c r="AF26" t="n">
        <v>0</v>
      </c>
      <c r="AG26">
        <f>IF(AE26*$H$13&gt;=AI26,1.0,(AI26/(AI26-AE26*$H$13)))</f>
        <v/>
      </c>
      <c r="AH26">
        <f>(AG26-1)*100</f>
        <v/>
      </c>
      <c r="AI26">
        <f>MAX(0,($B$13+$C$13*DQ26)/(1+$D$13*DQ26)*DJ26/(DL26+273)*$E$13)</f>
        <v/>
      </c>
      <c r="AJ26" t="inlineStr">
        <is>
          <t>-</t>
        </is>
      </c>
      <c r="AK26" t="inlineStr">
        <is>
          <t>-</t>
        </is>
      </c>
      <c r="AL26" t="n">
        <v>0</v>
      </c>
      <c r="AM26" t="n">
        <v>0</v>
      </c>
      <c r="AN26">
        <f>1-AL26/AM26</f>
        <v/>
      </c>
      <c r="AO26" t="n">
        <v>0</v>
      </c>
      <c r="AP26" t="inlineStr">
        <is>
          <t>-</t>
        </is>
      </c>
      <c r="AQ26" t="inlineStr">
        <is>
          <t>-</t>
        </is>
      </c>
      <c r="AR26" t="n">
        <v>0</v>
      </c>
      <c r="AS26" t="n">
        <v>0</v>
      </c>
      <c r="AT26">
        <f>1-AR26/AS26</f>
        <v/>
      </c>
      <c r="AU26" t="n">
        <v>0.5</v>
      </c>
      <c r="AV26">
        <f>CU26</f>
        <v/>
      </c>
      <c r="AW26">
        <f>J26</f>
        <v/>
      </c>
      <c r="AX26">
        <f>AT26*AU26*AV26</f>
        <v/>
      </c>
      <c r="AY26">
        <f>(AW26-AO26)/AV26</f>
        <v/>
      </c>
      <c r="AZ26">
        <f>(AM26-AS26)/AS26</f>
        <v/>
      </c>
      <c r="BA26">
        <f>AL26/(AN26+AL26/AS26)</f>
        <v/>
      </c>
      <c r="BB26" t="inlineStr">
        <is>
          <t>-</t>
        </is>
      </c>
      <c r="BC26" t="n">
        <v>0</v>
      </c>
      <c r="BD26">
        <f>IF(BC26&lt;&gt;0, BC26, BA26)</f>
        <v/>
      </c>
      <c r="BE26">
        <f>1-BD26/AS26</f>
        <v/>
      </c>
      <c r="BF26">
        <f>(AS26-AR26)/(AS26-BD26)</f>
        <v/>
      </c>
      <c r="BG26">
        <f>(AM26-AS26)/(AM26-BD26)</f>
        <v/>
      </c>
      <c r="BH26">
        <f>(AS26-AR26)/(AS26-AL26)</f>
        <v/>
      </c>
      <c r="BI26">
        <f>(AM26-AS26)/(AM26-AL26)</f>
        <v/>
      </c>
      <c r="BJ26">
        <f>(BF26*BD26/AR26)</f>
        <v/>
      </c>
      <c r="BK26">
        <f>(1-BJ26)</f>
        <v/>
      </c>
      <c r="BL26" t="n">
        <v>265</v>
      </c>
      <c r="BM26" t="n">
        <v>290</v>
      </c>
      <c r="BN26" t="n">
        <v>705.59</v>
      </c>
      <c r="BO26" t="n">
        <v>195</v>
      </c>
      <c r="BP26" t="n">
        <v>8110.47</v>
      </c>
      <c r="BQ26" t="n">
        <v>703.77</v>
      </c>
      <c r="BR26" t="n">
        <v>1.82</v>
      </c>
      <c r="BS26" t="n">
        <v>300</v>
      </c>
      <c r="BT26" t="n">
        <v>19.1</v>
      </c>
      <c r="BU26" t="n">
        <v>728.735623028316</v>
      </c>
      <c r="BV26" t="n">
        <v>2.43797327259926</v>
      </c>
      <c r="BW26" t="n">
        <v>-20.2484206340873</v>
      </c>
      <c r="BX26" t="n">
        <v>1.76826879160836</v>
      </c>
      <c r="BY26" t="n">
        <v>0.824037787313686</v>
      </c>
      <c r="BZ26" t="n">
        <v>-0.00536440111234705</v>
      </c>
      <c r="CA26" t="n">
        <v>290</v>
      </c>
      <c r="CB26" t="n">
        <v>697.3</v>
      </c>
      <c r="CC26" t="n">
        <v>615</v>
      </c>
      <c r="CD26" t="n">
        <v>8103.53</v>
      </c>
      <c r="CE26" t="n">
        <v>703.75</v>
      </c>
      <c r="CF26" t="n">
        <v>-6.45</v>
      </c>
      <c r="CT26">
        <f>$B$11*DR26+$C$11*DS26+$F$11*DT26*(1-DW26)</f>
        <v/>
      </c>
      <c r="CU26">
        <f>CT26*CV26</f>
        <v/>
      </c>
      <c r="CV26">
        <f>($B$11*$D$9+$C$11*$D$9+$F$11*((EG26+DY26)/MAX(EG26+DY26+EH26, 0.1)*$I$9+EH26/MAX(EG26+DY26+EH26, 0.1)*$J$9))/($B$11+$C$11+$F$11)</f>
        <v/>
      </c>
      <c r="CW26">
        <f>($B$11*$K$9+$C$11*$K$9+$F$11*((EG26+DY26)/MAX(EG26+DY26+EH26, 0.1)*$P$9+EH26/MAX(EG26+DY26+EH26, 0.1)*$Q$9))/($B$11+$C$11+$F$11)</f>
        <v/>
      </c>
      <c r="CX26" t="n">
        <v>2</v>
      </c>
      <c r="CY26" t="n">
        <v>0.5</v>
      </c>
      <c r="CZ26" t="inlineStr">
        <is>
          <t>0: Broadleaf</t>
        </is>
      </c>
      <c r="DA26" t="n">
        <v>2</v>
      </c>
      <c r="DB26" t="n">
        <v>1595361048.6</v>
      </c>
      <c r="DC26" t="n">
        <v>1189.17166666667</v>
      </c>
      <c r="DD26" t="n">
        <v>1200.09166666667</v>
      </c>
      <c r="DE26" t="n">
        <v>17.9223833333333</v>
      </c>
      <c r="DF26" t="n">
        <v>16.5450833333333</v>
      </c>
      <c r="DG26" t="n">
        <v>1187.51833333333</v>
      </c>
      <c r="DH26" t="n">
        <v>18.02085</v>
      </c>
      <c r="DI26" t="n">
        <v>500.022</v>
      </c>
      <c r="DJ26" t="n">
        <v>101.288833333333</v>
      </c>
      <c r="DK26" t="n">
        <v>0.09996963333333329</v>
      </c>
      <c r="DL26" t="n">
        <v>25.6535333333333</v>
      </c>
      <c r="DM26" t="n">
        <v>25.0225666666667</v>
      </c>
      <c r="DN26" t="n">
        <v>999.9</v>
      </c>
      <c r="DO26" t="n">
        <v>0</v>
      </c>
      <c r="DP26" t="n">
        <v>0</v>
      </c>
      <c r="DQ26" t="n">
        <v>9996.875</v>
      </c>
      <c r="DR26" t="n">
        <v>0</v>
      </c>
      <c r="DS26" t="n">
        <v>7.17137</v>
      </c>
      <c r="DT26" t="n">
        <v>1500</v>
      </c>
      <c r="DU26" t="n">
        <v>0.973001666666667</v>
      </c>
      <c r="DV26" t="n">
        <v>0.0269981666666667</v>
      </c>
      <c r="DW26" t="n">
        <v>0</v>
      </c>
      <c r="DX26" t="n">
        <v>220.825333333333</v>
      </c>
      <c r="DY26" t="n">
        <v>4.99999</v>
      </c>
      <c r="DZ26" t="n">
        <v>3383.47</v>
      </c>
      <c r="EA26" t="n">
        <v>14882.5666666667</v>
      </c>
      <c r="EB26" t="n">
        <v>36.3225</v>
      </c>
      <c r="EC26" t="n">
        <v>37.875</v>
      </c>
      <c r="ED26" t="n">
        <v>36.875</v>
      </c>
      <c r="EE26" t="n">
        <v>37.333</v>
      </c>
      <c r="EF26" t="n">
        <v>38</v>
      </c>
      <c r="EG26" t="n">
        <v>1454.64</v>
      </c>
      <c r="EH26" t="n">
        <v>40.36</v>
      </c>
      <c r="EI26" t="n">
        <v>0</v>
      </c>
      <c r="EJ26" t="n">
        <v>6372.10000014305</v>
      </c>
      <c r="EK26" t="n">
        <v>0</v>
      </c>
      <c r="EL26" t="n">
        <v>220.75744</v>
      </c>
      <c r="EM26" t="n">
        <v>-0.277769242586475</v>
      </c>
      <c r="EN26" t="n">
        <v>-2.86999997053512</v>
      </c>
      <c r="EO26" t="n">
        <v>3383.4928</v>
      </c>
      <c r="EP26" t="n">
        <v>15</v>
      </c>
      <c r="EQ26" t="n">
        <v>1595360986.1</v>
      </c>
      <c r="ER26" t="inlineStr">
        <is>
          <t>04:49:46</t>
        </is>
      </c>
      <c r="ES26" t="n">
        <v>1595360986.1</v>
      </c>
      <c r="ET26" t="n">
        <v>1595360984.1</v>
      </c>
      <c r="EU26" t="n">
        <v>57</v>
      </c>
      <c r="EV26" t="n">
        <v>-0.007</v>
      </c>
      <c r="EW26" t="n">
        <v>0.001</v>
      </c>
      <c r="EX26" t="n">
        <v>1.67</v>
      </c>
      <c r="EY26" t="n">
        <v>-0.098</v>
      </c>
      <c r="EZ26" t="n">
        <v>1200</v>
      </c>
      <c r="FA26" t="n">
        <v>16</v>
      </c>
      <c r="FB26" t="n">
        <v>0.07000000000000001</v>
      </c>
      <c r="FC26" t="n">
        <v>0.05</v>
      </c>
      <c r="FD26" t="n">
        <v>23.0353480944793</v>
      </c>
      <c r="FE26" t="n">
        <v>-0.06708945511085949</v>
      </c>
      <c r="FF26" t="n">
        <v>0.135752212460187</v>
      </c>
      <c r="FG26" t="n">
        <v>1</v>
      </c>
      <c r="FH26" t="n">
        <v>-10.903485</v>
      </c>
      <c r="FI26" t="n">
        <v>0.0743954887218254</v>
      </c>
      <c r="FJ26" t="n">
        <v>0.0556706949390789</v>
      </c>
      <c r="FK26" t="n">
        <v>1</v>
      </c>
      <c r="FL26" t="n">
        <v>220.776941176471</v>
      </c>
      <c r="FM26" t="n">
        <v>-0.292253640714701</v>
      </c>
      <c r="FN26" t="n">
        <v>0.392746284003574</v>
      </c>
      <c r="FO26" t="n">
        <v>1</v>
      </c>
      <c r="FP26" t="n">
        <v>3</v>
      </c>
      <c r="FQ26" t="n">
        <v>3</v>
      </c>
      <c r="FR26" t="inlineStr">
        <is>
          <t>3/3</t>
        </is>
      </c>
      <c r="FS26" t="n">
        <v>100</v>
      </c>
      <c r="FT26" t="n">
        <v>100</v>
      </c>
      <c r="FU26" t="n">
        <v>1.66</v>
      </c>
      <c r="FV26" t="n">
        <v>-0.0984</v>
      </c>
      <c r="FW26" t="n">
        <v>0.151494142763978</v>
      </c>
      <c r="FX26" t="n">
        <v>0.000862124167288959</v>
      </c>
      <c r="FY26" t="n">
        <v>3.40327538556632e-07</v>
      </c>
      <c r="FZ26" t="n">
        <v>-2.02263791882896e-12</v>
      </c>
      <c r="GA26" t="n">
        <v>-0.0984500000000033</v>
      </c>
      <c r="GB26" t="n">
        <v>0</v>
      </c>
      <c r="GC26" t="n">
        <v>0</v>
      </c>
      <c r="GD26" t="n">
        <v>0</v>
      </c>
      <c r="GE26" t="n">
        <v>4</v>
      </c>
      <c r="GF26" t="n">
        <v>2115</v>
      </c>
      <c r="GG26" t="n">
        <v>-1</v>
      </c>
      <c r="GH26" t="n">
        <v>-1</v>
      </c>
      <c r="GI26" t="n">
        <v>1.1</v>
      </c>
      <c r="GJ26" t="n">
        <v>1.1</v>
      </c>
      <c r="GK26" t="n">
        <v>2.51709</v>
      </c>
      <c r="GL26" t="n">
        <v>2.65747</v>
      </c>
      <c r="GM26" t="n">
        <v>1.65161</v>
      </c>
      <c r="GN26" t="n">
        <v>2.27417</v>
      </c>
      <c r="GO26" t="n">
        <v>1.5979</v>
      </c>
      <c r="GP26" t="n">
        <v>2.60742</v>
      </c>
      <c r="GQ26" t="n">
        <v>38.2324</v>
      </c>
      <c r="GR26" t="n">
        <v>23.8423</v>
      </c>
      <c r="GS26" t="n">
        <v>18</v>
      </c>
      <c r="GT26" t="n">
        <v>504.057</v>
      </c>
      <c r="GU26" t="n">
        <v>526.1</v>
      </c>
      <c r="GV26" t="n">
        <v>22.345</v>
      </c>
      <c r="GW26" t="n">
        <v>29.2112</v>
      </c>
      <c r="GX26" t="n">
        <v>30.0002</v>
      </c>
      <c r="GY26" t="n">
        <v>29.4309</v>
      </c>
      <c r="GZ26" t="n">
        <v>29.4957</v>
      </c>
      <c r="HA26" t="n">
        <v>50.3075</v>
      </c>
      <c r="HB26" t="n">
        <v>19.3334</v>
      </c>
      <c r="HC26" t="n">
        <v>24.4897</v>
      </c>
      <c r="HD26" t="n">
        <v>22.3251</v>
      </c>
      <c r="HE26" t="n">
        <v>1200</v>
      </c>
      <c r="HF26" t="n">
        <v>16.516</v>
      </c>
      <c r="HG26" t="n">
        <v>98.0039</v>
      </c>
      <c r="HH26" t="n">
        <v>95.4067</v>
      </c>
    </row>
    <row r="27">
      <c r="A27" t="n">
        <v>11</v>
      </c>
      <c r="B27" t="n">
        <v>1595361175.1</v>
      </c>
      <c r="C27" t="n">
        <v>1251.09999990463</v>
      </c>
      <c r="D27" t="inlineStr">
        <is>
          <t>20200722 04:52:55</t>
        </is>
      </c>
      <c r="E27" t="inlineStr">
        <is>
          <t>04:52:55</t>
        </is>
      </c>
      <c r="F27" t="n">
        <v>5</v>
      </c>
      <c r="G27" t="n">
        <v>1595361171.6</v>
      </c>
      <c r="H27">
        <f>(I27)/1000</f>
        <v/>
      </c>
      <c r="I27">
        <f>1000*DI27*AG27*(DE27-DF27)/(100*CX27*(1000-AG27*DE27))</f>
        <v/>
      </c>
      <c r="J27">
        <f>DI27*AG27*(DD27-DC27*(1000-AG27*DF27)/(1000-AG27*DE27))/(100*CX27)</f>
        <v/>
      </c>
      <c r="K27">
        <f>DC27 - IF(AG27&gt;1, J27*CX27*100.0/(AI27), 0)</f>
        <v/>
      </c>
      <c r="L27">
        <f>((R27-H27/2)*K27-J27)/(R27+H27/2)</f>
        <v/>
      </c>
      <c r="M27">
        <f>L27*(DJ27+DK27)/1000.0</f>
        <v/>
      </c>
      <c r="N27">
        <f>(DC27 - IF(AG27&gt;1, J27*CX27*100.0/(AI27), 0))*(DJ27+DK27)/1000.0</f>
        <v/>
      </c>
      <c r="O27">
        <f>2.0/((1/Q27-1/P27)+SIGN(Q27)*SQRT((1/Q27-1/P27)*(1/Q27-1/P27) + 4*CY27/((CY27+1)*(CY27+1))*(2*1/Q27*1/P27-1/P27*1/P27)))</f>
        <v/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/>
      </c>
      <c r="Q27">
        <f>H27*(1000-(1000*0.61365*exp(17.502*U27/(240.97+U27))/(DJ27+DK27)+DE27)/2)/(1000*0.61365*exp(17.502*U27/(240.97+U27))/(DJ27+DK27)-DE27)</f>
        <v/>
      </c>
      <c r="R27">
        <f>1/((CY27+1)/(O27/1.6)+1/(P27/1.37)) + CY27/((CY27+1)/(O27/1.6) + CY27/(P27/1.37))</f>
        <v/>
      </c>
      <c r="S27">
        <f>(CT27*CW27)</f>
        <v/>
      </c>
      <c r="T27">
        <f>(DL27+(S27+2*0.95*5.67E-8*(((DL27+$B$7)+273)^4-(DL27+273)^4)-44100*H27)/(1.84*29.3*P27+8*0.95*5.67E-8*(DL27+273)^3))</f>
        <v/>
      </c>
      <c r="U27">
        <f>($C$7*DM27+$D$7*DN27+$E$7*T27)</f>
        <v/>
      </c>
      <c r="V27">
        <f>0.61365*exp(17.502*U27/(240.97+U27))</f>
        <v/>
      </c>
      <c r="W27">
        <f>(X27/Y27*100)</f>
        <v/>
      </c>
      <c r="X27">
        <f>DE27*(DJ27+DK27)/1000</f>
        <v/>
      </c>
      <c r="Y27">
        <f>0.61365*exp(17.502*DL27/(240.97+DL27))</f>
        <v/>
      </c>
      <c r="Z27">
        <f>(V27-DE27*(DJ27+DK27)/1000)</f>
        <v/>
      </c>
      <c r="AA27">
        <f>(-H27*44100)</f>
        <v/>
      </c>
      <c r="AB27">
        <f>2*29.3*P27*0.92*(DL27-U27)</f>
        <v/>
      </c>
      <c r="AC27">
        <f>2*0.95*5.67E-8*(((DL27+$B$7)+273)^4-(U27+273)^4)</f>
        <v/>
      </c>
      <c r="AD27">
        <f>S27+AC27+AA27+AB27</f>
        <v/>
      </c>
      <c r="AE27" t="n">
        <v>0</v>
      </c>
      <c r="AF27" t="n">
        <v>0</v>
      </c>
      <c r="AG27">
        <f>IF(AE27*$H$13&gt;=AI27,1.0,(AI27/(AI27-AE27*$H$13)))</f>
        <v/>
      </c>
      <c r="AH27">
        <f>(AG27-1)*100</f>
        <v/>
      </c>
      <c r="AI27">
        <f>MAX(0,($B$13+$C$13*DQ27)/(1+$D$13*DQ27)*DJ27/(DL27+273)*$E$13)</f>
        <v/>
      </c>
      <c r="AJ27" t="inlineStr">
        <is>
          <t>-</t>
        </is>
      </c>
      <c r="AK27" t="inlineStr">
        <is>
          <t>-</t>
        </is>
      </c>
      <c r="AL27" t="n">
        <v>0</v>
      </c>
      <c r="AM27" t="n">
        <v>0</v>
      </c>
      <c r="AN27">
        <f>1-AL27/AM27</f>
        <v/>
      </c>
      <c r="AO27" t="n">
        <v>0</v>
      </c>
      <c r="AP27" t="inlineStr">
        <is>
          <t>-</t>
        </is>
      </c>
      <c r="AQ27" t="inlineStr">
        <is>
          <t>-</t>
        </is>
      </c>
      <c r="AR27" t="n">
        <v>0</v>
      </c>
      <c r="AS27" t="n">
        <v>0</v>
      </c>
      <c r="AT27">
        <f>1-AR27/AS27</f>
        <v/>
      </c>
      <c r="AU27" t="n">
        <v>0.5</v>
      </c>
      <c r="AV27">
        <f>CU27</f>
        <v/>
      </c>
      <c r="AW27">
        <f>J27</f>
        <v/>
      </c>
      <c r="AX27">
        <f>AT27*AU27*AV27</f>
        <v/>
      </c>
      <c r="AY27">
        <f>(AW27-AO27)/AV27</f>
        <v/>
      </c>
      <c r="AZ27">
        <f>(AM27-AS27)/AS27</f>
        <v/>
      </c>
      <c r="BA27">
        <f>AL27/(AN27+AL27/AS27)</f>
        <v/>
      </c>
      <c r="BB27" t="inlineStr">
        <is>
          <t>-</t>
        </is>
      </c>
      <c r="BC27" t="n">
        <v>0</v>
      </c>
      <c r="BD27">
        <f>IF(BC27&lt;&gt;0, BC27, BA27)</f>
        <v/>
      </c>
      <c r="BE27">
        <f>1-BD27/AS27</f>
        <v/>
      </c>
      <c r="BF27">
        <f>(AS27-AR27)/(AS27-BD27)</f>
        <v/>
      </c>
      <c r="BG27">
        <f>(AM27-AS27)/(AM27-BD27)</f>
        <v/>
      </c>
      <c r="BH27">
        <f>(AS27-AR27)/(AS27-AL27)</f>
        <v/>
      </c>
      <c r="BI27">
        <f>(AM27-AS27)/(AM27-AL27)</f>
        <v/>
      </c>
      <c r="BJ27">
        <f>(BF27*BD27/AR27)</f>
        <v/>
      </c>
      <c r="BK27">
        <f>(1-BJ27)</f>
        <v/>
      </c>
      <c r="BL27" t="n">
        <v>265</v>
      </c>
      <c r="BM27" t="n">
        <v>290</v>
      </c>
      <c r="BN27" t="n">
        <v>705.59</v>
      </c>
      <c r="BO27" t="n">
        <v>195</v>
      </c>
      <c r="BP27" t="n">
        <v>8110.47</v>
      </c>
      <c r="BQ27" t="n">
        <v>703.77</v>
      </c>
      <c r="BR27" t="n">
        <v>1.82</v>
      </c>
      <c r="BS27" t="n">
        <v>300</v>
      </c>
      <c r="BT27" t="n">
        <v>19.1</v>
      </c>
      <c r="BU27" t="n">
        <v>728.735623028316</v>
      </c>
      <c r="BV27" t="n">
        <v>2.43797327259926</v>
      </c>
      <c r="BW27" t="n">
        <v>-20.2484206340873</v>
      </c>
      <c r="BX27" t="n">
        <v>1.76826879160836</v>
      </c>
      <c r="BY27" t="n">
        <v>0.824037787313686</v>
      </c>
      <c r="BZ27" t="n">
        <v>-0.00536440111234705</v>
      </c>
      <c r="CA27" t="n">
        <v>290</v>
      </c>
      <c r="CB27" t="n">
        <v>697.3</v>
      </c>
      <c r="CC27" t="n">
        <v>615</v>
      </c>
      <c r="CD27" t="n">
        <v>8103.53</v>
      </c>
      <c r="CE27" t="n">
        <v>703.75</v>
      </c>
      <c r="CF27" t="n">
        <v>-6.45</v>
      </c>
      <c r="CT27">
        <f>$B$11*DR27+$C$11*DS27+$F$11*DT27*(1-DW27)</f>
        <v/>
      </c>
      <c r="CU27">
        <f>CT27*CV27</f>
        <v/>
      </c>
      <c r="CV27">
        <f>($B$11*$D$9+$C$11*$D$9+$F$11*((EG27+DY27)/MAX(EG27+DY27+EH27, 0.1)*$I$9+EH27/MAX(EG27+DY27+EH27, 0.1)*$J$9))/($B$11+$C$11+$F$11)</f>
        <v/>
      </c>
      <c r="CW27">
        <f>($B$11*$K$9+$C$11*$K$9+$F$11*((EG27+DY27)/MAX(EG27+DY27+EH27, 0.1)*$P$9+EH27/MAX(EG27+DY27+EH27, 0.1)*$Q$9))/($B$11+$C$11+$F$11)</f>
        <v/>
      </c>
      <c r="CX27" t="n">
        <v>2</v>
      </c>
      <c r="CY27" t="n">
        <v>0.5</v>
      </c>
      <c r="CZ27" t="inlineStr">
        <is>
          <t>0: Broadleaf</t>
        </is>
      </c>
      <c r="DA27" t="n">
        <v>2</v>
      </c>
      <c r="DB27" t="n">
        <v>1595361171.6</v>
      </c>
      <c r="DC27" t="n">
        <v>1489.34833333333</v>
      </c>
      <c r="DD27" t="n">
        <v>1500.05333333333</v>
      </c>
      <c r="DE27" t="n">
        <v>17.8075166666667</v>
      </c>
      <c r="DF27" t="n">
        <v>16.7226166666667</v>
      </c>
      <c r="DG27" t="n">
        <v>1487.00833333333</v>
      </c>
      <c r="DH27" t="n">
        <v>17.9051166666667</v>
      </c>
      <c r="DI27" t="n">
        <v>500.0355</v>
      </c>
      <c r="DJ27" t="n">
        <v>101.290833333333</v>
      </c>
      <c r="DK27" t="n">
        <v>0.09995805000000001</v>
      </c>
      <c r="DL27" t="n">
        <v>25.5965166666667</v>
      </c>
      <c r="DM27" t="n">
        <v>25.0117666666667</v>
      </c>
      <c r="DN27" t="n">
        <v>999.9</v>
      </c>
      <c r="DO27" t="n">
        <v>0</v>
      </c>
      <c r="DP27" t="n">
        <v>0</v>
      </c>
      <c r="DQ27" t="n">
        <v>9998.645</v>
      </c>
      <c r="DR27" t="n">
        <v>0</v>
      </c>
      <c r="DS27" t="n">
        <v>7.17137</v>
      </c>
      <c r="DT27" t="n">
        <v>1500.00666666667</v>
      </c>
      <c r="DU27" t="n">
        <v>0.9730025</v>
      </c>
      <c r="DV27" t="n">
        <v>0.0269973</v>
      </c>
      <c r="DW27" t="n">
        <v>0</v>
      </c>
      <c r="DX27" t="n">
        <v>218.553666666667</v>
      </c>
      <c r="DY27" t="n">
        <v>4.99999</v>
      </c>
      <c r="DZ27" t="n">
        <v>3352.13166666667</v>
      </c>
      <c r="EA27" t="n">
        <v>14882.6666666667</v>
      </c>
      <c r="EB27" t="n">
        <v>36.354</v>
      </c>
      <c r="EC27" t="n">
        <v>37.875</v>
      </c>
      <c r="ED27" t="n">
        <v>36.8853333333333</v>
      </c>
      <c r="EE27" t="n">
        <v>37.312</v>
      </c>
      <c r="EF27" t="n">
        <v>38</v>
      </c>
      <c r="EG27" t="n">
        <v>1454.64666666667</v>
      </c>
      <c r="EH27" t="n">
        <v>40.36</v>
      </c>
      <c r="EI27" t="n">
        <v>0</v>
      </c>
      <c r="EJ27" t="n">
        <v>6495.10000014305</v>
      </c>
      <c r="EK27" t="n">
        <v>0</v>
      </c>
      <c r="EL27" t="n">
        <v>218.580346153846</v>
      </c>
      <c r="EM27" t="n">
        <v>2.16085471209694</v>
      </c>
      <c r="EN27" t="n">
        <v>0.456068393006208</v>
      </c>
      <c r="EO27" t="n">
        <v>3352.03769230769</v>
      </c>
      <c r="EP27" t="n">
        <v>15</v>
      </c>
      <c r="EQ27" t="n">
        <v>1595361107.1</v>
      </c>
      <c r="ER27" t="inlineStr">
        <is>
          <t>04:51:47</t>
        </is>
      </c>
      <c r="ES27" t="n">
        <v>1595361107.1</v>
      </c>
      <c r="ET27" t="n">
        <v>1595361106.1</v>
      </c>
      <c r="EU27" t="n">
        <v>58</v>
      </c>
      <c r="EV27" t="n">
        <v>0.16</v>
      </c>
      <c r="EW27" t="n">
        <v>0.001</v>
      </c>
      <c r="EX27" t="n">
        <v>2.36</v>
      </c>
      <c r="EY27" t="n">
        <v>-0.098</v>
      </c>
      <c r="EZ27" t="n">
        <v>1500</v>
      </c>
      <c r="FA27" t="n">
        <v>17</v>
      </c>
      <c r="FB27" t="n">
        <v>0.16</v>
      </c>
      <c r="FC27" t="n">
        <v>0.04</v>
      </c>
      <c r="FD27" t="n">
        <v>22.6139814784114</v>
      </c>
      <c r="FE27" t="n">
        <v>-0.596706368648831</v>
      </c>
      <c r="FF27" t="n">
        <v>0.16145721495725</v>
      </c>
      <c r="FG27" t="n">
        <v>1</v>
      </c>
      <c r="FH27" t="n">
        <v>-10.7194571428571</v>
      </c>
      <c r="FI27" t="n">
        <v>0.41355584415585</v>
      </c>
      <c r="FJ27" t="n">
        <v>0.0730499344638313</v>
      </c>
      <c r="FK27" t="n">
        <v>1</v>
      </c>
      <c r="FL27" t="n">
        <v>218.546735294118</v>
      </c>
      <c r="FM27" t="n">
        <v>-0.459358277522164</v>
      </c>
      <c r="FN27" t="n">
        <v>0.415179926185342</v>
      </c>
      <c r="FO27" t="n">
        <v>1</v>
      </c>
      <c r="FP27" t="n">
        <v>3</v>
      </c>
      <c r="FQ27" t="n">
        <v>3</v>
      </c>
      <c r="FR27" t="inlineStr">
        <is>
          <t>3/3</t>
        </is>
      </c>
      <c r="FS27" t="n">
        <v>100</v>
      </c>
      <c r="FT27" t="n">
        <v>100</v>
      </c>
      <c r="FU27" t="n">
        <v>2.34</v>
      </c>
      <c r="FV27" t="n">
        <v>-0.09760000000000001</v>
      </c>
      <c r="FW27" t="n">
        <v>0.311881926282714</v>
      </c>
      <c r="FX27" t="n">
        <v>0.000862124167288959</v>
      </c>
      <c r="FY27" t="n">
        <v>3.40327538556632e-07</v>
      </c>
      <c r="FZ27" t="n">
        <v>-2.02263791882896e-12</v>
      </c>
      <c r="GA27" t="n">
        <v>-0.09758999999999669</v>
      </c>
      <c r="GB27" t="n">
        <v>0</v>
      </c>
      <c r="GC27" t="n">
        <v>0</v>
      </c>
      <c r="GD27" t="n">
        <v>0</v>
      </c>
      <c r="GE27" t="n">
        <v>4</v>
      </c>
      <c r="GF27" t="n">
        <v>2115</v>
      </c>
      <c r="GG27" t="n">
        <v>-1</v>
      </c>
      <c r="GH27" t="n">
        <v>-1</v>
      </c>
      <c r="GI27" t="n">
        <v>1.1</v>
      </c>
      <c r="GJ27" t="n">
        <v>1.1</v>
      </c>
      <c r="GK27" t="n">
        <v>3.01758</v>
      </c>
      <c r="GL27" t="n">
        <v>2.63916</v>
      </c>
      <c r="GM27" t="n">
        <v>1.65161</v>
      </c>
      <c r="GN27" t="n">
        <v>2.27417</v>
      </c>
      <c r="GO27" t="n">
        <v>1.5979</v>
      </c>
      <c r="GP27" t="n">
        <v>2.65015</v>
      </c>
      <c r="GQ27" t="n">
        <v>38.2324</v>
      </c>
      <c r="GR27" t="n">
        <v>23.8423</v>
      </c>
      <c r="GS27" t="n">
        <v>18</v>
      </c>
      <c r="GT27" t="n">
        <v>503.87</v>
      </c>
      <c r="GU27" t="n">
        <v>527.008</v>
      </c>
      <c r="GV27" t="n">
        <v>22.1867</v>
      </c>
      <c r="GW27" t="n">
        <v>29.2161</v>
      </c>
      <c r="GX27" t="n">
        <v>30.0001</v>
      </c>
      <c r="GY27" t="n">
        <v>29.4284</v>
      </c>
      <c r="GZ27" t="n">
        <v>29.4932</v>
      </c>
      <c r="HA27" t="n">
        <v>60.3356</v>
      </c>
      <c r="HB27" t="n">
        <v>18.11</v>
      </c>
      <c r="HC27" t="n">
        <v>24.7511</v>
      </c>
      <c r="HD27" t="n">
        <v>22.1756</v>
      </c>
      <c r="HE27" t="n">
        <v>1500</v>
      </c>
      <c r="HF27" t="n">
        <v>16.8257</v>
      </c>
      <c r="HG27" t="n">
        <v>98.0012</v>
      </c>
      <c r="HH27" t="n">
        <v>95.3984</v>
      </c>
    </row>
    <row r="28">
      <c r="A28" t="n">
        <v>12</v>
      </c>
      <c r="B28" t="n">
        <v>1595361299.1</v>
      </c>
      <c r="C28" t="n">
        <v>1375.09999990463</v>
      </c>
      <c r="D28" t="inlineStr">
        <is>
          <t>20200722 04:54:59</t>
        </is>
      </c>
      <c r="E28" t="inlineStr">
        <is>
          <t>04:54:59</t>
        </is>
      </c>
      <c r="F28" t="n">
        <v>5</v>
      </c>
      <c r="G28" t="n">
        <v>1595361295.6</v>
      </c>
      <c r="H28">
        <f>(I28)/1000</f>
        <v/>
      </c>
      <c r="I28">
        <f>1000*DI28*AG28*(DE28-DF28)/(100*CX28*(1000-AG28*DE28))</f>
        <v/>
      </c>
      <c r="J28">
        <f>DI28*AG28*(DD28-DC28*(1000-AG28*DF28)/(1000-AG28*DE28))/(100*CX28)</f>
        <v/>
      </c>
      <c r="K28">
        <f>DC28 - IF(AG28&gt;1, J28*CX28*100.0/(AI28), 0)</f>
        <v/>
      </c>
      <c r="L28">
        <f>((R28-H28/2)*K28-J28)/(R28+H28/2)</f>
        <v/>
      </c>
      <c r="M28">
        <f>L28*(DJ28+DK28)/1000.0</f>
        <v/>
      </c>
      <c r="N28">
        <f>(DC28 - IF(AG28&gt;1, J28*CX28*100.0/(AI28), 0))*(DJ28+DK28)/1000.0</f>
        <v/>
      </c>
      <c r="O28">
        <f>2.0/((1/Q28-1/P28)+SIGN(Q28)*SQRT((1/Q28-1/P28)*(1/Q28-1/P28) + 4*CY28/((CY28+1)*(CY28+1))*(2*1/Q28*1/P28-1/P28*1/P28)))</f>
        <v/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/>
      </c>
      <c r="Q28">
        <f>H28*(1000-(1000*0.61365*exp(17.502*U28/(240.97+U28))/(DJ28+DK28)+DE28)/2)/(1000*0.61365*exp(17.502*U28/(240.97+U28))/(DJ28+DK28)-DE28)</f>
        <v/>
      </c>
      <c r="R28">
        <f>1/((CY28+1)/(O28/1.6)+1/(P28/1.37)) + CY28/((CY28+1)/(O28/1.6) + CY28/(P28/1.37))</f>
        <v/>
      </c>
      <c r="S28">
        <f>(CT28*CW28)</f>
        <v/>
      </c>
      <c r="T28">
        <f>(DL28+(S28+2*0.95*5.67E-8*(((DL28+$B$7)+273)^4-(DL28+273)^4)-44100*H28)/(1.84*29.3*P28+8*0.95*5.67E-8*(DL28+273)^3))</f>
        <v/>
      </c>
      <c r="U28">
        <f>($C$7*DM28+$D$7*DN28+$E$7*T28)</f>
        <v/>
      </c>
      <c r="V28">
        <f>0.61365*exp(17.502*U28/(240.97+U28))</f>
        <v/>
      </c>
      <c r="W28">
        <f>(X28/Y28*100)</f>
        <v/>
      </c>
      <c r="X28">
        <f>DE28*(DJ28+DK28)/1000</f>
        <v/>
      </c>
      <c r="Y28">
        <f>0.61365*exp(17.502*DL28/(240.97+DL28))</f>
        <v/>
      </c>
      <c r="Z28">
        <f>(V28-DE28*(DJ28+DK28)/1000)</f>
        <v/>
      </c>
      <c r="AA28">
        <f>(-H28*44100)</f>
        <v/>
      </c>
      <c r="AB28">
        <f>2*29.3*P28*0.92*(DL28-U28)</f>
        <v/>
      </c>
      <c r="AC28">
        <f>2*0.95*5.67E-8*(((DL28+$B$7)+273)^4-(U28+273)^4)</f>
        <v/>
      </c>
      <c r="AD28">
        <f>S28+AC28+AA28+AB28</f>
        <v/>
      </c>
      <c r="AE28" t="n">
        <v>0</v>
      </c>
      <c r="AF28" t="n">
        <v>0</v>
      </c>
      <c r="AG28">
        <f>IF(AE28*$H$13&gt;=AI28,1.0,(AI28/(AI28-AE28*$H$13)))</f>
        <v/>
      </c>
      <c r="AH28">
        <f>(AG28-1)*100</f>
        <v/>
      </c>
      <c r="AI28">
        <f>MAX(0,($B$13+$C$13*DQ28)/(1+$D$13*DQ28)*DJ28/(DL28+273)*$E$13)</f>
        <v/>
      </c>
      <c r="AJ28" t="inlineStr">
        <is>
          <t>-</t>
        </is>
      </c>
      <c r="AK28" t="inlineStr">
        <is>
          <t>-</t>
        </is>
      </c>
      <c r="AL28" t="n">
        <v>0</v>
      </c>
      <c r="AM28" t="n">
        <v>0</v>
      </c>
      <c r="AN28">
        <f>1-AL28/AM28</f>
        <v/>
      </c>
      <c r="AO28" t="n">
        <v>0</v>
      </c>
      <c r="AP28" t="inlineStr">
        <is>
          <t>-</t>
        </is>
      </c>
      <c r="AQ28" t="inlineStr">
        <is>
          <t>-</t>
        </is>
      </c>
      <c r="AR28" t="n">
        <v>0</v>
      </c>
      <c r="AS28" t="n">
        <v>0</v>
      </c>
      <c r="AT28">
        <f>1-AR28/AS28</f>
        <v/>
      </c>
      <c r="AU28" t="n">
        <v>0.5</v>
      </c>
      <c r="AV28">
        <f>CU28</f>
        <v/>
      </c>
      <c r="AW28">
        <f>J28</f>
        <v/>
      </c>
      <c r="AX28">
        <f>AT28*AU28*AV28</f>
        <v/>
      </c>
      <c r="AY28">
        <f>(AW28-AO28)/AV28</f>
        <v/>
      </c>
      <c r="AZ28">
        <f>(AM28-AS28)/AS28</f>
        <v/>
      </c>
      <c r="BA28">
        <f>AL28/(AN28+AL28/AS28)</f>
        <v/>
      </c>
      <c r="BB28" t="inlineStr">
        <is>
          <t>-</t>
        </is>
      </c>
      <c r="BC28" t="n">
        <v>0</v>
      </c>
      <c r="BD28">
        <f>IF(BC28&lt;&gt;0, BC28, BA28)</f>
        <v/>
      </c>
      <c r="BE28">
        <f>1-BD28/AS28</f>
        <v/>
      </c>
      <c r="BF28">
        <f>(AS28-AR28)/(AS28-BD28)</f>
        <v/>
      </c>
      <c r="BG28">
        <f>(AM28-AS28)/(AM28-BD28)</f>
        <v/>
      </c>
      <c r="BH28">
        <f>(AS28-AR28)/(AS28-AL28)</f>
        <v/>
      </c>
      <c r="BI28">
        <f>(AM28-AS28)/(AM28-AL28)</f>
        <v/>
      </c>
      <c r="BJ28">
        <f>(BF28*BD28/AR28)</f>
        <v/>
      </c>
      <c r="BK28">
        <f>(1-BJ28)</f>
        <v/>
      </c>
      <c r="BL28" t="n">
        <v>265</v>
      </c>
      <c r="BM28" t="n">
        <v>290</v>
      </c>
      <c r="BN28" t="n">
        <v>705.59</v>
      </c>
      <c r="BO28" t="n">
        <v>195</v>
      </c>
      <c r="BP28" t="n">
        <v>8110.47</v>
      </c>
      <c r="BQ28" t="n">
        <v>703.77</v>
      </c>
      <c r="BR28" t="n">
        <v>1.82</v>
      </c>
      <c r="BS28" t="n">
        <v>300</v>
      </c>
      <c r="BT28" t="n">
        <v>19.1</v>
      </c>
      <c r="BU28" t="n">
        <v>728.735623028316</v>
      </c>
      <c r="BV28" t="n">
        <v>2.43797327259926</v>
      </c>
      <c r="BW28" t="n">
        <v>-20.2484206340873</v>
      </c>
      <c r="BX28" t="n">
        <v>1.76826879160836</v>
      </c>
      <c r="BY28" t="n">
        <v>0.824037787313686</v>
      </c>
      <c r="BZ28" t="n">
        <v>-0.00536440111234705</v>
      </c>
      <c r="CA28" t="n">
        <v>290</v>
      </c>
      <c r="CB28" t="n">
        <v>697.3</v>
      </c>
      <c r="CC28" t="n">
        <v>615</v>
      </c>
      <c r="CD28" t="n">
        <v>8103.53</v>
      </c>
      <c r="CE28" t="n">
        <v>703.75</v>
      </c>
      <c r="CF28" t="n">
        <v>-6.45</v>
      </c>
      <c r="CT28">
        <f>$B$11*DR28+$C$11*DS28+$F$11*DT28*(1-DW28)</f>
        <v/>
      </c>
      <c r="CU28">
        <f>CT28*CV28</f>
        <v/>
      </c>
      <c r="CV28">
        <f>($B$11*$D$9+$C$11*$D$9+$F$11*((EG28+DY28)/MAX(EG28+DY28+EH28, 0.1)*$I$9+EH28/MAX(EG28+DY28+EH28, 0.1)*$J$9))/($B$11+$C$11+$F$11)</f>
        <v/>
      </c>
      <c r="CW28">
        <f>($B$11*$K$9+$C$11*$K$9+$F$11*((EG28+DY28)/MAX(EG28+DY28+EH28, 0.1)*$P$9+EH28/MAX(EG28+DY28+EH28, 0.1)*$Q$9))/($B$11+$C$11+$F$11)</f>
        <v/>
      </c>
      <c r="CX28" t="n">
        <v>2</v>
      </c>
      <c r="CY28" t="n">
        <v>0.5</v>
      </c>
      <c r="CZ28" t="inlineStr">
        <is>
          <t>0: Broadleaf</t>
        </is>
      </c>
      <c r="DA28" t="n">
        <v>2</v>
      </c>
      <c r="DB28" t="n">
        <v>1595361295.6</v>
      </c>
      <c r="DC28" t="n">
        <v>1789.24666666667</v>
      </c>
      <c r="DD28" t="n">
        <v>1800.03333333333</v>
      </c>
      <c r="DE28" t="n">
        <v>17.7892</v>
      </c>
      <c r="DF28" t="n">
        <v>16.959</v>
      </c>
      <c r="DG28" t="n">
        <v>1786.595</v>
      </c>
      <c r="DH28" t="n">
        <v>17.8821666666667</v>
      </c>
      <c r="DI28" t="n">
        <v>500.027</v>
      </c>
      <c r="DJ28" t="n">
        <v>101.2935</v>
      </c>
      <c r="DK28" t="n">
        <v>0.100007433333333</v>
      </c>
      <c r="DL28" t="n">
        <v>25.5425666666667</v>
      </c>
      <c r="DM28" t="n">
        <v>25.0025833333333</v>
      </c>
      <c r="DN28" t="n">
        <v>999.9</v>
      </c>
      <c r="DO28" t="n">
        <v>0</v>
      </c>
      <c r="DP28" t="n">
        <v>0</v>
      </c>
      <c r="DQ28" t="n">
        <v>9999.58333333333</v>
      </c>
      <c r="DR28" t="n">
        <v>0</v>
      </c>
      <c r="DS28" t="n">
        <v>7.126665</v>
      </c>
      <c r="DT28" t="n">
        <v>1499.96666666667</v>
      </c>
      <c r="DU28" t="n">
        <v>0.973001666666667</v>
      </c>
      <c r="DV28" t="n">
        <v>0.02699815</v>
      </c>
      <c r="DW28" t="n">
        <v>0</v>
      </c>
      <c r="DX28" t="n">
        <v>217.958666666667</v>
      </c>
      <c r="DY28" t="n">
        <v>4.99999</v>
      </c>
      <c r="DZ28" t="n">
        <v>3340.47833333333</v>
      </c>
      <c r="EA28" t="n">
        <v>14882.2666666667</v>
      </c>
      <c r="EB28" t="n">
        <v>36.3225</v>
      </c>
      <c r="EC28" t="n">
        <v>37.875</v>
      </c>
      <c r="ED28" t="n">
        <v>36.8853333333333</v>
      </c>
      <c r="EE28" t="n">
        <v>37.3225</v>
      </c>
      <c r="EF28" t="n">
        <v>38</v>
      </c>
      <c r="EG28" t="n">
        <v>1454.60666666667</v>
      </c>
      <c r="EH28" t="n">
        <v>40.36</v>
      </c>
      <c r="EI28" t="n">
        <v>0</v>
      </c>
      <c r="EJ28" t="n">
        <v>6619.30000019073</v>
      </c>
      <c r="EK28" t="n">
        <v>0</v>
      </c>
      <c r="EL28" t="n">
        <v>217.8178</v>
      </c>
      <c r="EM28" t="n">
        <v>1.90430767522712</v>
      </c>
      <c r="EN28" t="n">
        <v>-1.81153842268637</v>
      </c>
      <c r="EO28" t="n">
        <v>3340.692</v>
      </c>
      <c r="EP28" t="n">
        <v>15</v>
      </c>
      <c r="EQ28" t="n">
        <v>1595361239.1</v>
      </c>
      <c r="ER28" t="inlineStr">
        <is>
          <t>04:53:59</t>
        </is>
      </c>
      <c r="ES28" t="n">
        <v>1595361239.1</v>
      </c>
      <c r="ET28" t="n">
        <v>1595361229.1</v>
      </c>
      <c r="EU28" t="n">
        <v>59</v>
      </c>
      <c r="EV28" t="n">
        <v>-0.276</v>
      </c>
      <c r="EW28" t="n">
        <v>0.005</v>
      </c>
      <c r="EX28" t="n">
        <v>2.674</v>
      </c>
      <c r="EY28" t="n">
        <v>-0.093</v>
      </c>
      <c r="EZ28" t="n">
        <v>1800</v>
      </c>
      <c r="FA28" t="n">
        <v>17</v>
      </c>
      <c r="FB28" t="n">
        <v>0.29</v>
      </c>
      <c r="FC28" t="n">
        <v>0.06</v>
      </c>
      <c r="FD28" t="n">
        <v>23.1041994441982</v>
      </c>
      <c r="FE28" t="n">
        <v>0.140764446859461</v>
      </c>
      <c r="FF28" t="n">
        <v>0.319055641689032</v>
      </c>
      <c r="FG28" t="n">
        <v>1</v>
      </c>
      <c r="FH28" t="n">
        <v>-10.7805238095238</v>
      </c>
      <c r="FI28" t="n">
        <v>0.0888857142856901</v>
      </c>
      <c r="FJ28" t="n">
        <v>0.128910337628106</v>
      </c>
      <c r="FK28" t="n">
        <v>1</v>
      </c>
      <c r="FL28" t="n">
        <v>217.744676470588</v>
      </c>
      <c r="FM28" t="n">
        <v>0.498655455010437</v>
      </c>
      <c r="FN28" t="n">
        <v>0.410505765567323</v>
      </c>
      <c r="FO28" t="n">
        <v>1</v>
      </c>
      <c r="FP28" t="n">
        <v>3</v>
      </c>
      <c r="FQ28" t="n">
        <v>3</v>
      </c>
      <c r="FR28" t="inlineStr">
        <is>
          <t>3/3</t>
        </is>
      </c>
      <c r="FS28" t="n">
        <v>100</v>
      </c>
      <c r="FT28" t="n">
        <v>100</v>
      </c>
      <c r="FU28" t="n">
        <v>2.65</v>
      </c>
      <c r="FV28" t="n">
        <v>-0.093</v>
      </c>
      <c r="FW28" t="n">
        <v>0.0360506723189069</v>
      </c>
      <c r="FX28" t="n">
        <v>0.000862124167288959</v>
      </c>
      <c r="FY28" t="n">
        <v>3.40327538556632e-07</v>
      </c>
      <c r="FZ28" t="n">
        <v>-2.02263791882896e-12</v>
      </c>
      <c r="GA28" t="n">
        <v>-0.0929499999999983</v>
      </c>
      <c r="GB28" t="n">
        <v>0</v>
      </c>
      <c r="GC28" t="n">
        <v>0</v>
      </c>
      <c r="GD28" t="n">
        <v>0</v>
      </c>
      <c r="GE28" t="n">
        <v>4</v>
      </c>
      <c r="GF28" t="n">
        <v>2115</v>
      </c>
      <c r="GG28" t="n">
        <v>-1</v>
      </c>
      <c r="GH28" t="n">
        <v>-1</v>
      </c>
      <c r="GI28" t="n">
        <v>1</v>
      </c>
      <c r="GJ28" t="n">
        <v>1.2</v>
      </c>
      <c r="GK28" t="n">
        <v>3.49609</v>
      </c>
      <c r="GL28" t="n">
        <v>2.65015</v>
      </c>
      <c r="GM28" t="n">
        <v>1.65161</v>
      </c>
      <c r="GN28" t="n">
        <v>2.27417</v>
      </c>
      <c r="GO28" t="n">
        <v>1.5979</v>
      </c>
      <c r="GP28" t="n">
        <v>2.59399</v>
      </c>
      <c r="GQ28" t="n">
        <v>38.2568</v>
      </c>
      <c r="GR28" t="n">
        <v>23.8336</v>
      </c>
      <c r="GS28" t="n">
        <v>18</v>
      </c>
      <c r="GT28" t="n">
        <v>503.875</v>
      </c>
      <c r="GU28" t="n">
        <v>527.734</v>
      </c>
      <c r="GV28" t="n">
        <v>22.1751</v>
      </c>
      <c r="GW28" t="n">
        <v>29.2237</v>
      </c>
      <c r="GX28" t="n">
        <v>29.9999</v>
      </c>
      <c r="GY28" t="n">
        <v>29.4309</v>
      </c>
      <c r="GZ28" t="n">
        <v>29.4932</v>
      </c>
      <c r="HA28" t="n">
        <v>69.8758</v>
      </c>
      <c r="HB28" t="n">
        <v>18.1226</v>
      </c>
      <c r="HC28" t="n">
        <v>25.9329</v>
      </c>
      <c r="HD28" t="n">
        <v>22.1644</v>
      </c>
      <c r="HE28" t="n">
        <v>1800</v>
      </c>
      <c r="HF28" t="n">
        <v>16.9983</v>
      </c>
      <c r="HG28" t="n">
        <v>98.0018</v>
      </c>
      <c r="HH28" t="n">
        <v>95.3931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2026-10-19 16:07:59</t>
        </is>
      </c>
    </row>
    <row r="2">
      <c r="A2" t="inlineStr">
        <is>
          <t>Console s/n</t>
        </is>
      </c>
      <c r="B2" t="inlineStr">
        <is>
          <t>68C-812153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68H-982143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{"tazero": "0.15448", "h2oaspan2b": "0.0986302", "h2oaspan1": "1.02308", "co2aspanconc2": "1516", "flowbzero": "0.30473", "ssb_ref": "36242.9", "co2bspan1": "1.00005", "co2bspanconc1": "437.6", "h2obspan1": "1.01044", "chamberpressurezero": "2.71033", "co2azero": "0.930948", "h2obspan2a": "0.0961931", "co2bspan2a": "0.105708", "flowazero": "0.276", "h2obzero": "1.02281", "h2obspan2": "0", "co2bspan2b": "0.105618", "co2aspan2b": "0.105998", "h2oaspanconc1": "17.96", "co2aspan1": "1.00082", "h2obspanconc1": "17.96", "co2aspanconc1": "437.6", "h2oaspanconc2": "0", "flowmeterzero": "2.483", "co2bspan2": "-0.00857283", "h2obspanconc2": "0", "co2bzero": "0.953603", "tbzero": "0.143742", "oxygen": "21", "co2aspan2": "-0.00988168", "h2oaspan2a": "0.0964052", "co2bspanconc2": "1516", "h2oazero": "1.03356", "co2aspan2a": "0.106022", "h2oaspan2": "0", "h2obspan2b": "0.0971974", "ssa_ref": "37830.5"}</t>
        </is>
      </c>
    </row>
    <row r="8">
      <c r="A8" t="inlineStr">
        <is>
          <t>Factory cal date</t>
        </is>
      </c>
      <c r="B8" t="inlineStr">
        <is>
          <t>14 Dec 2023</t>
        </is>
      </c>
    </row>
    <row r="9">
      <c r="A9" t="inlineStr">
        <is>
          <t>CO2 rangematch</t>
        </is>
      </c>
      <c r="B9" t="inlineStr">
        <is>
          <t>Mon Oct 19 12:33</t>
        </is>
      </c>
    </row>
    <row r="10">
      <c r="A10" t="inlineStr">
        <is>
          <t>H2O rangematch</t>
        </is>
      </c>
      <c r="B10" t="inlineStr">
        <is>
          <t>Mon Oct 19 12:19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MPF-742752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MPF-742752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16:07:59</t>
        </is>
      </c>
      <c r="B17" t="inlineStr">
        <is>
          <t>Stability Definition:	F (FlrLS): Slp&lt;1 Per=20	A (GasEx): Slp&lt;0.6 Per=20	ΔCO2 (Meas2): Slp&lt;0.5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PS2/1</t>
        </is>
      </c>
      <c r="V1" t="inlineStr">
        <is>
          <t>ID</t>
        </is>
      </c>
      <c r="W1" t="inlineStr">
        <is>
          <t>P1_dur</t>
        </is>
      </c>
      <c r="X1" t="inlineStr">
        <is>
          <t>P1_Fmax</t>
        </is>
      </c>
      <c r="Y1" t="inlineStr">
        <is>
          <t>T@P1_Fmax</t>
        </is>
      </c>
      <c r="Z1" t="inlineStr">
        <is>
          <t>Q@P1_Fmax</t>
        </is>
      </c>
      <c r="AA1" t="inlineStr">
        <is>
          <t>P1_PredF</t>
        </is>
      </c>
      <c r="AB1" t="inlineStr">
        <is>
          <t>P1_ΔF</t>
        </is>
      </c>
      <c r="AC1" t="inlineStr">
        <is>
          <t>P2_dur</t>
        </is>
      </c>
      <c r="AD1" t="inlineStr">
        <is>
          <t>P2_ramp</t>
        </is>
      </c>
      <c r="AE1" t="inlineStr">
        <is>
          <t>P2_int</t>
        </is>
      </c>
      <c r="AF1" t="inlineStr">
        <is>
          <t>P2_int_se</t>
        </is>
      </c>
      <c r="AG1" t="inlineStr">
        <is>
          <t>P2_slp</t>
        </is>
      </c>
      <c r="AH1" t="inlineStr">
        <is>
          <t>P2_slp_se</t>
        </is>
      </c>
      <c r="AI1" t="inlineStr">
        <is>
          <t>P2_R2</t>
        </is>
      </c>
      <c r="AJ1" t="inlineStr">
        <is>
          <t>P2_dQdt</t>
        </is>
      </c>
      <c r="AK1" t="inlineStr">
        <is>
          <t>P3_dur</t>
        </is>
      </c>
      <c r="AL1" t="inlineStr">
        <is>
          <t>P3_Fmax</t>
        </is>
      </c>
      <c r="AM1" t="inlineStr">
        <is>
          <t>T@P3_Fmax</t>
        </is>
      </c>
      <c r="AN1" t="inlineStr">
        <is>
          <t>Q@P3_Fmax</t>
        </is>
      </c>
      <c r="AO1" t="inlineStr">
        <is>
          <t>P3_PredF</t>
        </is>
      </c>
      <c r="AP1" t="inlineStr">
        <is>
          <t>P3_ΔF</t>
        </is>
      </c>
      <c r="AQ1" t="inlineStr">
        <is>
          <t>Qin</t>
        </is>
      </c>
      <c r="AR1" t="inlineStr">
        <is>
          <t>S</t>
        </is>
      </c>
      <c r="AS1" t="inlineStr">
        <is>
          <t>K</t>
        </is>
      </c>
      <c r="AT1" t="inlineStr">
        <is>
          <t>Custom</t>
        </is>
      </c>
      <c r="AU1" t="inlineStr">
        <is>
          <t>TIME_2</t>
        </is>
      </c>
      <c r="AV1" t="inlineStr">
        <is>
          <t>CO2_s</t>
        </is>
      </c>
      <c r="AW1" t="inlineStr">
        <is>
          <t>CO2_r</t>
        </is>
      </c>
      <c r="AX1" t="inlineStr">
        <is>
          <t>H2O_s</t>
        </is>
      </c>
      <c r="AY1" t="inlineStr">
        <is>
          <t>H2O_r</t>
        </is>
      </c>
      <c r="AZ1" t="inlineStr">
        <is>
          <t>CO2_a</t>
        </is>
      </c>
      <c r="BA1" t="inlineStr">
        <is>
          <t>H2O_a</t>
        </is>
      </c>
      <c r="BB1" t="inlineStr">
        <is>
          <t>Flow</t>
        </is>
      </c>
      <c r="BC1" t="inlineStr">
        <is>
          <t>Pa</t>
        </is>
      </c>
      <c r="BD1" t="inlineStr">
        <is>
          <t>ΔPcham</t>
        </is>
      </c>
      <c r="BE1" t="inlineStr">
        <is>
          <t>Tair</t>
        </is>
      </c>
      <c r="BF1" t="inlineStr">
        <is>
          <t>Tleaf</t>
        </is>
      </c>
      <c r="BG1" t="inlineStr">
        <is>
          <t>Tleaf2</t>
        </is>
      </c>
      <c r="BH1" t="inlineStr">
        <is>
          <t>Fan_speed</t>
        </is>
      </c>
      <c r="BI1" t="inlineStr">
        <is>
          <t>Qamb_out</t>
        </is>
      </c>
      <c r="BJ1" t="inlineStr">
        <is>
          <t>Q</t>
        </is>
      </c>
      <c r="BK1" t="inlineStr">
        <is>
          <t>f_red</t>
        </is>
      </c>
      <c r="BL1" t="inlineStr">
        <is>
          <t>f_blue</t>
        </is>
      </c>
      <c r="BM1" t="inlineStr">
        <is>
          <t>F</t>
        </is>
      </c>
      <c r="BN1" t="inlineStr">
        <is>
          <t>Q_modavg</t>
        </is>
      </c>
      <c r="BO1" t="inlineStr">
        <is>
          <t>F_dc</t>
        </is>
      </c>
      <c r="BP1" t="inlineStr">
        <is>
          <t>Pc</t>
        </is>
      </c>
      <c r="BQ1" t="inlineStr">
        <is>
          <t>Tled</t>
        </is>
      </c>
      <c r="BR1" t="inlineStr">
        <is>
          <t>TDigital</t>
        </is>
      </c>
      <c r="BS1" t="inlineStr">
        <is>
          <t>TPreamp</t>
        </is>
      </c>
      <c r="BT1" t="inlineStr">
        <is>
          <t>TPwrSpy</t>
        </is>
      </c>
      <c r="BU1" t="inlineStr">
        <is>
          <t>TDrive</t>
        </is>
      </c>
      <c r="BV1" t="inlineStr">
        <is>
          <t>Q_red</t>
        </is>
      </c>
      <c r="BW1" t="inlineStr">
        <is>
          <t>Q_blue</t>
        </is>
      </c>
      <c r="BX1" t="inlineStr">
        <is>
          <t>TSPF</t>
        </is>
      </c>
      <c r="BY1" t="inlineStr">
        <is>
          <t>F_avg</t>
        </is>
      </c>
      <c r="BZ1" t="inlineStr">
        <is>
          <t>dF/dt</t>
        </is>
      </c>
      <c r="CA1" t="inlineStr">
        <is>
          <t>dF_dc/dt</t>
        </is>
      </c>
      <c r="CB1" t="inlineStr">
        <is>
          <t>F_dc_avg</t>
        </is>
      </c>
      <c r="CC1" t="inlineStr">
        <is>
          <t>period</t>
        </is>
      </c>
      <c r="CD1" t="inlineStr">
        <is>
          <t>time_2</t>
        </is>
      </c>
      <c r="CE1" t="inlineStr">
        <is>
          <t>co2_t</t>
        </is>
      </c>
      <c r="CF1" t="inlineStr">
        <is>
          <t>h2o_t</t>
        </is>
      </c>
      <c r="CG1" t="inlineStr">
        <is>
          <t>count</t>
        </is>
      </c>
      <c r="CH1" t="inlineStr">
        <is>
          <t>co2_adj</t>
        </is>
      </c>
      <c r="CI1" t="inlineStr">
        <is>
          <t>h2o_adj</t>
        </is>
      </c>
      <c r="CJ1" t="inlineStr">
        <is>
          <t>co2_match</t>
        </is>
      </c>
      <c r="CK1" t="inlineStr">
        <is>
          <t>h2o_match</t>
        </is>
      </c>
      <c r="CL1" t="inlineStr">
        <is>
          <t>co2_at</t>
        </is>
      </c>
      <c r="CM1" t="inlineStr">
        <is>
          <t>h2o_at</t>
        </is>
      </c>
      <c r="CN1" t="inlineStr">
        <is>
          <t>co2_cv</t>
        </is>
      </c>
      <c r="CO1" t="inlineStr">
        <is>
          <t>h2o_cv</t>
        </is>
      </c>
      <c r="CP1" t="inlineStr">
        <is>
          <t>A:MN</t>
        </is>
      </c>
      <c r="CQ1" t="inlineStr">
        <is>
          <t>A:SLP</t>
        </is>
      </c>
      <c r="CR1" t="inlineStr">
        <is>
          <t>A:SD</t>
        </is>
      </c>
      <c r="CS1" t="inlineStr">
        <is>
          <t>A:OK</t>
        </is>
      </c>
      <c r="CT1" t="inlineStr">
        <is>
          <t>ΔCO2:MN</t>
        </is>
      </c>
      <c r="CU1" t="inlineStr">
        <is>
          <t>ΔCO2:SLP</t>
        </is>
      </c>
      <c r="CV1" t="inlineStr">
        <is>
          <t>ΔCO2:SD</t>
        </is>
      </c>
      <c r="CW1" t="inlineStr">
        <is>
          <t>ΔCO2:OK</t>
        </is>
      </c>
      <c r="CX1" t="inlineStr">
        <is>
          <t>F:MN</t>
        </is>
      </c>
      <c r="CY1" t="inlineStr">
        <is>
          <t>F:SLP</t>
        </is>
      </c>
      <c r="CZ1" t="inlineStr">
        <is>
          <t>F:SD</t>
        </is>
      </c>
      <c r="DA1" t="inlineStr">
        <is>
          <t>F:OK</t>
        </is>
      </c>
      <c r="DB1" t="inlineStr">
        <is>
          <t>Stable</t>
        </is>
      </c>
      <c r="DC1" t="inlineStr">
        <is>
          <t>Total</t>
        </is>
      </c>
      <c r="DD1" t="inlineStr">
        <is>
          <t>MatchValveR</t>
        </is>
      </c>
      <c r="DE1" t="inlineStr">
        <is>
          <t>MatchValveS</t>
        </is>
      </c>
      <c r="DF1" t="inlineStr">
        <is>
          <t>MatchCO2</t>
        </is>
      </c>
      <c r="DG1" t="inlineStr">
        <is>
          <t>MatchH2O</t>
        </is>
      </c>
      <c r="DH1" t="inlineStr">
        <is>
          <t>cf_co2_a</t>
        </is>
      </c>
      <c r="DI1" t="inlineStr">
        <is>
          <t>cf_co2_b</t>
        </is>
      </c>
      <c r="DJ1" t="inlineStr">
        <is>
          <t>cf_co2_c</t>
        </is>
      </c>
      <c r="DK1" t="inlineStr">
        <is>
          <t>cf_co2_d</t>
        </is>
      </c>
      <c r="DL1" t="inlineStr">
        <is>
          <t>cf_h2o_a</t>
        </is>
      </c>
      <c r="DM1" t="inlineStr">
        <is>
          <t>co2_fit_low</t>
        </is>
      </c>
      <c r="DN1" t="inlineStr">
        <is>
          <t>co2_fit_high</t>
        </is>
      </c>
      <c r="DO1" t="inlineStr">
        <is>
          <t>h2o_fit_low</t>
        </is>
      </c>
      <c r="DP1" t="inlineStr">
        <is>
          <t>h2o_fit_high</t>
        </is>
      </c>
      <c r="DQ1" t="inlineStr">
        <is>
          <t>co2_elapsed</t>
        </is>
      </c>
      <c r="DR1" t="inlineStr">
        <is>
          <t>h2o_elapsed</t>
        </is>
      </c>
      <c r="DS1" t="inlineStr">
        <is>
          <t>CO2_f</t>
        </is>
      </c>
      <c r="DT1" t="inlineStr">
        <is>
          <t>CO2_f_s</t>
        </is>
      </c>
      <c r="DU1" t="inlineStr">
        <is>
          <t>Pump_f</t>
        </is>
      </c>
      <c r="DV1" t="inlineStr">
        <is>
          <t>Pump_f_s</t>
        </is>
      </c>
      <c r="DW1" t="inlineStr">
        <is>
          <t>Pump_p</t>
        </is>
      </c>
      <c r="DX1" t="inlineStr">
        <is>
          <t>Pump_p_s</t>
        </is>
      </c>
      <c r="DY1" t="inlineStr">
        <is>
          <t>Tboard</t>
        </is>
      </c>
      <c r="DZ1" t="inlineStr">
        <is>
          <t>V_system</t>
        </is>
      </c>
      <c r="EA1" t="inlineStr">
        <is>
          <t>DIAG</t>
        </is>
      </c>
      <c r="EB1" t="inlineStr">
        <is>
          <t>Flow_s</t>
        </is>
      </c>
      <c r="EC1" t="inlineStr">
        <is>
          <t>Flow_r</t>
        </is>
      </c>
      <c r="ED1" t="inlineStr">
        <is>
          <t>Txchg</t>
        </is>
      </c>
      <c r="EE1" t="inlineStr">
        <is>
          <t>Tirga</t>
        </is>
      </c>
      <c r="EF1" t="inlineStr">
        <is>
          <t>Tchopper</t>
        </is>
      </c>
      <c r="EG1" t="inlineStr">
        <is>
          <t>Ts</t>
        </is>
      </c>
      <c r="EH1" t="inlineStr">
        <is>
          <t>Tr</t>
        </is>
      </c>
      <c r="EI1" t="inlineStr">
        <is>
          <t>CO2_%</t>
        </is>
      </c>
      <c r="EJ1" t="inlineStr">
        <is>
          <t>Desiccant_%</t>
        </is>
      </c>
      <c r="EK1" t="inlineStr">
        <is>
          <t>Humidifier_%</t>
        </is>
      </c>
      <c r="EL1" t="inlineStr">
        <is>
          <t>Txchg_sp</t>
        </is>
      </c>
      <c r="EM1" t="inlineStr">
        <is>
          <t>CO2_r_sp</t>
        </is>
      </c>
      <c r="EN1" t="inlineStr">
        <is>
          <t>H2O_r_sp</t>
        </is>
      </c>
      <c r="EO1" t="inlineStr">
        <is>
          <t>SS_s</t>
        </is>
      </c>
      <c r="EP1" t="inlineStr">
        <is>
          <t>SS_r</t>
        </is>
      </c>
    </row>
    <row r="2">
      <c r="A2" t="n">
        <v>1</v>
      </c>
      <c r="B2" t="n">
        <v>1595359924</v>
      </c>
      <c r="C2" t="n">
        <v>0</v>
      </c>
      <c r="D2" t="n">
        <v>5</v>
      </c>
      <c r="E2" t="n">
        <v>1595359920.5</v>
      </c>
      <c r="F2" t="n">
        <v>0.003393619449125345</v>
      </c>
      <c r="G2" t="n">
        <v>3.393619449125345</v>
      </c>
      <c r="H2" t="n">
        <v>14.6100750109764</v>
      </c>
      <c r="I2" t="n">
        <v>393.6285</v>
      </c>
      <c r="J2" t="n">
        <v>291.9196002932439</v>
      </c>
      <c r="K2" t="n">
        <v>0.02959058598390872</v>
      </c>
      <c r="L2" t="n">
        <v>0.03990036285082082</v>
      </c>
      <c r="M2" t="n">
        <v>0.2581282568924135</v>
      </c>
      <c r="N2" t="n">
        <v>3.038658426558289</v>
      </c>
      <c r="O2" t="n">
        <v>0.2465357294204105</v>
      </c>
      <c r="P2" t="n">
        <v>0.1550829842785302</v>
      </c>
      <c r="Q2" t="n">
        <v>3.176083864651318</v>
      </c>
      <c r="R2" t="n">
        <v>54.94568898051128</v>
      </c>
      <c r="S2" t="n">
        <v>1.815117128060216</v>
      </c>
      <c r="T2" t="n">
        <v>3.303475052799903</v>
      </c>
      <c r="U2" t="n">
        <v>0.5</v>
      </c>
      <c r="V2" t="n">
        <v>265</v>
      </c>
      <c r="W2" t="n">
        <v>290</v>
      </c>
      <c r="X2" t="n">
        <v>705.59</v>
      </c>
      <c r="Y2" t="n">
        <v>195</v>
      </c>
      <c r="Z2" t="n">
        <v>8110.47</v>
      </c>
      <c r="AA2" t="n">
        <v>703.77</v>
      </c>
      <c r="AB2" t="n">
        <v>1.82</v>
      </c>
      <c r="AC2" t="n">
        <v>300</v>
      </c>
      <c r="AD2" t="n">
        <v>19.1</v>
      </c>
      <c r="AE2" t="n">
        <v>728.735623028316</v>
      </c>
      <c r="AF2" t="n">
        <v>2.43797327259926</v>
      </c>
      <c r="AG2" t="n">
        <v>-20.2484206340873</v>
      </c>
      <c r="AH2" t="n">
        <v>1.76826879160836</v>
      </c>
      <c r="AI2" t="n">
        <v>0.824037787313686</v>
      </c>
      <c r="AJ2" t="n">
        <v>-0.00536440111234705</v>
      </c>
      <c r="AK2" t="n">
        <v>290</v>
      </c>
      <c r="AL2" t="n">
        <v>697.3</v>
      </c>
      <c r="AM2" t="n">
        <v>615</v>
      </c>
      <c r="AN2" t="n">
        <v>8103.53</v>
      </c>
      <c r="AO2" t="n">
        <v>703.75</v>
      </c>
      <c r="AP2" t="n">
        <v>-6.45</v>
      </c>
      <c r="AQ2" t="n">
        <v>1499.99833333333</v>
      </c>
      <c r="AR2" t="n">
        <v>2</v>
      </c>
      <c r="AS2" t="n">
        <v>0.5</v>
      </c>
      <c r="AT2" t="n">
        <v>2</v>
      </c>
      <c r="AU2" t="n">
        <v>1595359920.5</v>
      </c>
      <c r="AV2" t="n">
        <v>393.6285</v>
      </c>
      <c r="AW2" t="n">
        <v>400.006666666667</v>
      </c>
      <c r="AX2" t="n">
        <v>17.90665</v>
      </c>
      <c r="AY2" t="n">
        <v>16.57355</v>
      </c>
      <c r="AZ2" t="n">
        <v>393.358833333333</v>
      </c>
      <c r="BA2" t="n">
        <v>18.00325</v>
      </c>
      <c r="BB2" t="n">
        <v>500.015166666667</v>
      </c>
      <c r="BC2" t="n">
        <v>101.265833333333</v>
      </c>
      <c r="BD2" t="n">
        <v>0.0997000333333333</v>
      </c>
      <c r="BE2" t="n">
        <v>25.6422</v>
      </c>
      <c r="BF2" t="n">
        <v>24.9810333333333</v>
      </c>
      <c r="BG2" t="n">
        <v>999.9</v>
      </c>
      <c r="BH2" t="n">
        <v>10040.6166666667</v>
      </c>
      <c r="BI2" t="n">
        <v>7.2843</v>
      </c>
      <c r="BJ2" t="n">
        <v>1499.99833333333</v>
      </c>
      <c r="BK2" t="n">
        <v>0.973001666666667</v>
      </c>
      <c r="BL2" t="n">
        <v>0.0269981666666667</v>
      </c>
      <c r="BM2" t="n">
        <v>216.519666666667</v>
      </c>
      <c r="BN2" t="n">
        <v>4.99999</v>
      </c>
      <c r="BO2" t="n">
        <v>3323.61666666667</v>
      </c>
      <c r="BP2" t="n">
        <v>14882.5833333333</v>
      </c>
      <c r="BQ2" t="n">
        <v>36.562</v>
      </c>
      <c r="BR2" t="n">
        <v>38.125</v>
      </c>
      <c r="BS2" t="n">
        <v>37.125</v>
      </c>
      <c r="BT2" t="n">
        <v>37.562</v>
      </c>
      <c r="BU2" t="n">
        <v>38.2395</v>
      </c>
      <c r="BV2" t="n">
        <v>1454.63833333333</v>
      </c>
      <c r="BW2" t="n">
        <v>40.36</v>
      </c>
      <c r="BX2" t="n">
        <v>5244.10000014305</v>
      </c>
      <c r="BY2" t="n">
        <v>216.27756</v>
      </c>
      <c r="BZ2" t="n">
        <v>0.803923069514183</v>
      </c>
      <c r="CA2" t="n">
        <v>-6.12307692399243</v>
      </c>
      <c r="CB2" t="n">
        <v>3323.994</v>
      </c>
      <c r="CC2" t="n">
        <v>15</v>
      </c>
      <c r="CD2" t="n">
        <v>1595359852</v>
      </c>
      <c r="CE2" t="n">
        <v>1595359852</v>
      </c>
      <c r="CF2" t="n">
        <v>1595359850</v>
      </c>
      <c r="CG2" t="n">
        <v>48</v>
      </c>
      <c r="CH2" t="n">
        <v>-0.002</v>
      </c>
      <c r="CI2" t="n">
        <v>0.001</v>
      </c>
      <c r="CJ2" t="n">
        <v>0.277</v>
      </c>
      <c r="CK2" t="n">
        <v>-0.097</v>
      </c>
      <c r="CL2" t="n">
        <v>400</v>
      </c>
      <c r="CM2" t="n">
        <v>17</v>
      </c>
      <c r="CN2" t="n">
        <v>0.32</v>
      </c>
      <c r="CO2" t="n">
        <v>0.06</v>
      </c>
      <c r="CP2" t="n">
        <v>14.5663413721626</v>
      </c>
      <c r="CQ2" t="n">
        <v>-0.0887902285506974</v>
      </c>
      <c r="CR2" t="n">
        <v>0.08585645628563381</v>
      </c>
      <c r="CS2" t="n">
        <v>1</v>
      </c>
      <c r="CT2" t="n">
        <v>-6.36609238095238</v>
      </c>
      <c r="CU2" t="n">
        <v>-0.00475948051948375</v>
      </c>
      <c r="CV2" t="n">
        <v>0.0363098109403166</v>
      </c>
      <c r="CW2" t="n">
        <v>1</v>
      </c>
      <c r="CX2" t="n">
        <v>216.335205882353</v>
      </c>
      <c r="CY2" t="n">
        <v>-0.917020625817025</v>
      </c>
      <c r="CZ2" t="n">
        <v>0.5026937893467071</v>
      </c>
      <c r="DA2" t="n">
        <v>1</v>
      </c>
      <c r="DB2" t="n">
        <v>3</v>
      </c>
      <c r="DC2" t="n">
        <v>3</v>
      </c>
      <c r="DD2" t="n">
        <v>100</v>
      </c>
      <c r="DE2" t="n">
        <v>100</v>
      </c>
      <c r="DF2" t="n">
        <v>0.269</v>
      </c>
      <c r="DG2" t="n">
        <v>-0.09660000000000001</v>
      </c>
      <c r="DH2" t="n">
        <v>-0.121906792997856</v>
      </c>
      <c r="DI2" t="n">
        <v>0.000862124167288959</v>
      </c>
      <c r="DJ2" t="n">
        <v>3.40327538556632e-07</v>
      </c>
      <c r="DK2" t="n">
        <v>-2.02263791882896e-12</v>
      </c>
      <c r="DL2" t="n">
        <v>-0.0965999999999987</v>
      </c>
      <c r="DM2" t="n">
        <v>4</v>
      </c>
      <c r="DN2" t="n">
        <v>2115</v>
      </c>
      <c r="DO2" t="n">
        <v>-1</v>
      </c>
      <c r="DP2" t="n">
        <v>-1</v>
      </c>
      <c r="DQ2" t="n">
        <v>1.2</v>
      </c>
      <c r="DR2" t="n">
        <v>1.2</v>
      </c>
      <c r="DS2" t="n">
        <v>1.03638</v>
      </c>
      <c r="DT2" t="n">
        <v>2.66357</v>
      </c>
      <c r="DU2" t="n">
        <v>1.65161</v>
      </c>
      <c r="DV2" t="n">
        <v>2.27417</v>
      </c>
      <c r="DW2" t="n">
        <v>1.5979</v>
      </c>
      <c r="DX2" t="n">
        <v>2.48291</v>
      </c>
      <c r="DY2" t="n">
        <v>38.4524</v>
      </c>
      <c r="DZ2" t="n">
        <v>23.8336</v>
      </c>
      <c r="EA2" t="n">
        <v>18</v>
      </c>
      <c r="EB2" t="n">
        <v>505.054</v>
      </c>
      <c r="EC2" t="n">
        <v>522.942</v>
      </c>
      <c r="ED2" t="n">
        <v>22.3528</v>
      </c>
      <c r="EE2" t="n">
        <v>29.6558</v>
      </c>
      <c r="EF2" t="n">
        <v>29.9997</v>
      </c>
      <c r="EG2" t="n">
        <v>29.9383</v>
      </c>
      <c r="EH2" t="n">
        <v>30.0152</v>
      </c>
      <c r="EI2" t="n">
        <v>20.7344</v>
      </c>
      <c r="EJ2" t="n">
        <v>22.119</v>
      </c>
      <c r="EK2" t="n">
        <v>25.6799</v>
      </c>
      <c r="EL2" t="n">
        <v>22.3551</v>
      </c>
      <c r="EM2" t="n">
        <v>400</v>
      </c>
      <c r="EN2" t="n">
        <v>16.6116</v>
      </c>
      <c r="EO2" t="n">
        <v>97.9297</v>
      </c>
      <c r="EP2" t="n">
        <v>95.325</v>
      </c>
    </row>
    <row r="3">
      <c r="A3" t="n">
        <v>2</v>
      </c>
      <c r="B3" t="n">
        <v>1595360045.1</v>
      </c>
      <c r="C3" t="n">
        <v>121.099999904633</v>
      </c>
      <c r="D3" t="n">
        <v>5</v>
      </c>
      <c r="E3" t="n">
        <v>1595360042.1</v>
      </c>
      <c r="F3" t="n">
        <v>0.003321122114418509</v>
      </c>
      <c r="G3" t="n">
        <v>3.321122114418509</v>
      </c>
      <c r="H3" t="n">
        <v>10.87635502668277</v>
      </c>
      <c r="I3" t="n">
        <v>295.2552</v>
      </c>
      <c r="J3" t="n">
        <v>218.1800196614917</v>
      </c>
      <c r="K3" t="n">
        <v>0.02211698149139358</v>
      </c>
      <c r="L3" t="n">
        <v>0.02993011827466742</v>
      </c>
      <c r="M3" t="n">
        <v>0.253117082136304</v>
      </c>
      <c r="N3" t="n">
        <v>3.032895923437763</v>
      </c>
      <c r="O3" t="n">
        <v>0.2419396404126428</v>
      </c>
      <c r="P3" t="n">
        <v>0.1521753890985356</v>
      </c>
      <c r="Q3" t="n">
        <v>3.177611869179083</v>
      </c>
      <c r="R3" t="n">
        <v>55.12557049350718</v>
      </c>
      <c r="S3" t="n">
        <v>1.820398323093548</v>
      </c>
      <c r="T3" t="n">
        <v>3.302275707619132</v>
      </c>
      <c r="U3" t="n">
        <v>0.5</v>
      </c>
      <c r="V3" t="n">
        <v>265</v>
      </c>
      <c r="W3" t="n">
        <v>290</v>
      </c>
      <c r="X3" t="n">
        <v>705.59</v>
      </c>
      <c r="Y3" t="n">
        <v>195</v>
      </c>
      <c r="Z3" t="n">
        <v>8110.47</v>
      </c>
      <c r="AA3" t="n">
        <v>703.77</v>
      </c>
      <c r="AB3" t="n">
        <v>1.82</v>
      </c>
      <c r="AC3" t="n">
        <v>300</v>
      </c>
      <c r="AD3" t="n">
        <v>19.1</v>
      </c>
      <c r="AE3" t="n">
        <v>728.735623028316</v>
      </c>
      <c r="AF3" t="n">
        <v>2.43797327259926</v>
      </c>
      <c r="AG3" t="n">
        <v>-20.2484206340873</v>
      </c>
      <c r="AH3" t="n">
        <v>1.76826879160836</v>
      </c>
      <c r="AI3" t="n">
        <v>0.824037787313686</v>
      </c>
      <c r="AJ3" t="n">
        <v>-0.00536440111234705</v>
      </c>
      <c r="AK3" t="n">
        <v>290</v>
      </c>
      <c r="AL3" t="n">
        <v>697.3</v>
      </c>
      <c r="AM3" t="n">
        <v>615</v>
      </c>
      <c r="AN3" t="n">
        <v>8103.53</v>
      </c>
      <c r="AO3" t="n">
        <v>703.75</v>
      </c>
      <c r="AP3" t="n">
        <v>-6.45</v>
      </c>
      <c r="AQ3" t="n">
        <v>1499.994</v>
      </c>
      <c r="AR3" t="n">
        <v>2</v>
      </c>
      <c r="AS3" t="n">
        <v>0.5</v>
      </c>
      <c r="AT3" t="n">
        <v>2</v>
      </c>
      <c r="AU3" t="n">
        <v>1595360042.1</v>
      </c>
      <c r="AV3" t="n">
        <v>295.2552</v>
      </c>
      <c r="AW3" t="n">
        <v>299.998</v>
      </c>
      <c r="AX3" t="n">
        <v>17.9579</v>
      </c>
      <c r="AY3" t="n">
        <v>16.6533</v>
      </c>
      <c r="AZ3" t="n">
        <v>295.0096</v>
      </c>
      <c r="BA3" t="n">
        <v>18.05352</v>
      </c>
      <c r="BB3" t="n">
        <v>499.9972</v>
      </c>
      <c r="BC3" t="n">
        <v>101.2704</v>
      </c>
      <c r="BD3" t="n">
        <v>0.09993412</v>
      </c>
      <c r="BE3" t="n">
        <v>25.63608</v>
      </c>
      <c r="BF3" t="n">
        <v>24.9891</v>
      </c>
      <c r="BG3" t="n">
        <v>999.9</v>
      </c>
      <c r="BH3" t="n">
        <v>10005.26</v>
      </c>
      <c r="BI3" t="n">
        <v>7.2843</v>
      </c>
      <c r="BJ3" t="n">
        <v>1499.994</v>
      </c>
      <c r="BK3" t="n">
        <v>0.973001</v>
      </c>
      <c r="BL3" t="n">
        <v>0.02699884</v>
      </c>
      <c r="BM3" t="n">
        <v>207.8856</v>
      </c>
      <c r="BN3" t="n">
        <v>4.99999</v>
      </c>
      <c r="BO3" t="n">
        <v>3194.136</v>
      </c>
      <c r="BP3" t="n">
        <v>14882.52</v>
      </c>
      <c r="BQ3" t="n">
        <v>36.437</v>
      </c>
      <c r="BR3" t="n">
        <v>38</v>
      </c>
      <c r="BS3" t="n">
        <v>37</v>
      </c>
      <c r="BT3" t="n">
        <v>37.3998</v>
      </c>
      <c r="BU3" t="n">
        <v>38.125</v>
      </c>
      <c r="BV3" t="n">
        <v>1454.634</v>
      </c>
      <c r="BW3" t="n">
        <v>40.36</v>
      </c>
      <c r="BX3" t="n">
        <v>5365.30000019073</v>
      </c>
      <c r="BY3" t="n">
        <v>207.818</v>
      </c>
      <c r="BZ3" t="n">
        <v>-0.486307694678752</v>
      </c>
      <c r="CA3" t="n">
        <v>-7.75153847329411</v>
      </c>
      <c r="CB3" t="n">
        <v>3194.8244</v>
      </c>
      <c r="CC3" t="n">
        <v>15</v>
      </c>
      <c r="CD3" t="n">
        <v>1595359992.1</v>
      </c>
      <c r="CE3" t="n">
        <v>1595359992.1</v>
      </c>
      <c r="CF3" t="n">
        <v>1595359992.1</v>
      </c>
      <c r="CG3" t="n">
        <v>49</v>
      </c>
      <c r="CH3" t="n">
        <v>0.083</v>
      </c>
      <c r="CI3" t="n">
        <v>0.001</v>
      </c>
      <c r="CJ3" t="n">
        <v>0.25</v>
      </c>
      <c r="CK3" t="n">
        <v>-0.096</v>
      </c>
      <c r="CL3" t="n">
        <v>300</v>
      </c>
      <c r="CM3" t="n">
        <v>17</v>
      </c>
      <c r="CN3" t="n">
        <v>0.34</v>
      </c>
      <c r="CO3" t="n">
        <v>0.07000000000000001</v>
      </c>
      <c r="CP3" t="n">
        <v>10.877805326214</v>
      </c>
      <c r="CQ3" t="n">
        <v>-0.0567433276020776</v>
      </c>
      <c r="CR3" t="n">
        <v>0.0834002515598139</v>
      </c>
      <c r="CS3" t="n">
        <v>1</v>
      </c>
      <c r="CT3" t="n">
        <v>-4.748495</v>
      </c>
      <c r="CU3" t="n">
        <v>0.101207819548871</v>
      </c>
      <c r="CV3" t="n">
        <v>0.0327701770669614</v>
      </c>
      <c r="CW3" t="n">
        <v>1</v>
      </c>
      <c r="CX3" t="n">
        <v>207.894382352941</v>
      </c>
      <c r="CY3" t="n">
        <v>-0.307761654493916</v>
      </c>
      <c r="CZ3" t="n">
        <v>0.405559672457549</v>
      </c>
      <c r="DA3" t="n">
        <v>1</v>
      </c>
      <c r="DB3" t="n">
        <v>3</v>
      </c>
      <c r="DC3" t="n">
        <v>3</v>
      </c>
      <c r="DD3" t="n">
        <v>100</v>
      </c>
      <c r="DE3" t="n">
        <v>100</v>
      </c>
      <c r="DF3" t="n">
        <v>0.245</v>
      </c>
      <c r="DG3" t="n">
        <v>-0.0956</v>
      </c>
      <c r="DH3" t="n">
        <v>-0.0386806206735957</v>
      </c>
      <c r="DI3" t="n">
        <v>0.000862124167288959</v>
      </c>
      <c r="DJ3" t="n">
        <v>3.40327538556632e-07</v>
      </c>
      <c r="DK3" t="n">
        <v>-2.02263791882896e-12</v>
      </c>
      <c r="DL3" t="n">
        <v>-0.0956090909090896</v>
      </c>
      <c r="DM3" t="n">
        <v>4</v>
      </c>
      <c r="DN3" t="n">
        <v>2115</v>
      </c>
      <c r="DO3" t="n">
        <v>-1</v>
      </c>
      <c r="DP3" t="n">
        <v>-1</v>
      </c>
      <c r="DQ3" t="n">
        <v>0.9</v>
      </c>
      <c r="DR3" t="n">
        <v>0.9</v>
      </c>
      <c r="DS3" t="n">
        <v>0.826416</v>
      </c>
      <c r="DT3" t="n">
        <v>2.6709</v>
      </c>
      <c r="DU3" t="n">
        <v>1.65161</v>
      </c>
      <c r="DV3" t="n">
        <v>2.27295</v>
      </c>
      <c r="DW3" t="n">
        <v>1.5979</v>
      </c>
      <c r="DX3" t="n">
        <v>2.56836</v>
      </c>
      <c r="DY3" t="n">
        <v>38.379</v>
      </c>
      <c r="DZ3" t="n">
        <v>23.8423</v>
      </c>
      <c r="EA3" t="n">
        <v>18</v>
      </c>
      <c r="EB3" t="n">
        <v>504.9</v>
      </c>
      <c r="EC3" t="n">
        <v>523.054</v>
      </c>
      <c r="ED3" t="n">
        <v>22.5011</v>
      </c>
      <c r="EE3" t="n">
        <v>29.5548</v>
      </c>
      <c r="EF3" t="n">
        <v>29.9998</v>
      </c>
      <c r="EG3" t="n">
        <v>29.846</v>
      </c>
      <c r="EH3" t="n">
        <v>29.9238</v>
      </c>
      <c r="EI3" t="n">
        <v>16.5234</v>
      </c>
      <c r="EJ3" t="n">
        <v>21.2563</v>
      </c>
      <c r="EK3" t="n">
        <v>25.6117</v>
      </c>
      <c r="EL3" t="n">
        <v>22.5062</v>
      </c>
      <c r="EM3" t="n">
        <v>300</v>
      </c>
      <c r="EN3" t="n">
        <v>16.6369</v>
      </c>
      <c r="EO3" t="n">
        <v>97.9442</v>
      </c>
      <c r="EP3" t="n">
        <v>95.3468</v>
      </c>
    </row>
    <row r="4">
      <c r="A4" t="n">
        <v>3</v>
      </c>
      <c r="B4" t="n">
        <v>1595360166.1</v>
      </c>
      <c r="C4" t="n">
        <v>242.099999904633</v>
      </c>
      <c r="D4" t="n">
        <v>5</v>
      </c>
      <c r="E4" t="n">
        <v>1595360163.1</v>
      </c>
      <c r="F4" t="n">
        <v>0.003444567502852932</v>
      </c>
      <c r="G4" t="n">
        <v>3.444567502852932</v>
      </c>
      <c r="H4" t="n">
        <v>6.555536659346079</v>
      </c>
      <c r="I4" t="n">
        <v>197.1258</v>
      </c>
      <c r="J4" t="n">
        <v>151.682008844126</v>
      </c>
      <c r="K4" t="n">
        <v>0.01537671814197063</v>
      </c>
      <c r="L4" t="n">
        <v>0.01998356883726</v>
      </c>
      <c r="M4" t="n">
        <v>0.2623012031506404</v>
      </c>
      <c r="N4" t="n">
        <v>3.030646024717315</v>
      </c>
      <c r="O4" t="n">
        <v>0.2503100970024785</v>
      </c>
      <c r="P4" t="n">
        <v>0.1574754768224038</v>
      </c>
      <c r="Q4" t="n">
        <v>3.18119446196454</v>
      </c>
      <c r="R4" t="n">
        <v>55.09133036259308</v>
      </c>
      <c r="S4" t="n">
        <v>1.820572017348</v>
      </c>
      <c r="T4" t="n">
        <v>3.304643408256057</v>
      </c>
      <c r="U4" t="n">
        <v>0.5</v>
      </c>
      <c r="V4" t="n">
        <v>265</v>
      </c>
      <c r="W4" t="n">
        <v>290</v>
      </c>
      <c r="X4" t="n">
        <v>705.59</v>
      </c>
      <c r="Y4" t="n">
        <v>195</v>
      </c>
      <c r="Z4" t="n">
        <v>8110.47</v>
      </c>
      <c r="AA4" t="n">
        <v>703.77</v>
      </c>
      <c r="AB4" t="n">
        <v>1.82</v>
      </c>
      <c r="AC4" t="n">
        <v>300</v>
      </c>
      <c r="AD4" t="n">
        <v>19.1</v>
      </c>
      <c r="AE4" t="n">
        <v>728.735623028316</v>
      </c>
      <c r="AF4" t="n">
        <v>2.43797327259926</v>
      </c>
      <c r="AG4" t="n">
        <v>-20.2484206340873</v>
      </c>
      <c r="AH4" t="n">
        <v>1.76826879160836</v>
      </c>
      <c r="AI4" t="n">
        <v>0.824037787313686</v>
      </c>
      <c r="AJ4" t="n">
        <v>-0.00536440111234705</v>
      </c>
      <c r="AK4" t="n">
        <v>290</v>
      </c>
      <c r="AL4" t="n">
        <v>697.3</v>
      </c>
      <c r="AM4" t="n">
        <v>615</v>
      </c>
      <c r="AN4" t="n">
        <v>8103.53</v>
      </c>
      <c r="AO4" t="n">
        <v>703.75</v>
      </c>
      <c r="AP4" t="n">
        <v>-6.45</v>
      </c>
      <c r="AQ4" t="n">
        <v>1500.008</v>
      </c>
      <c r="AR4" t="n">
        <v>2</v>
      </c>
      <c r="AS4" t="n">
        <v>0.5</v>
      </c>
      <c r="AT4" t="n">
        <v>2</v>
      </c>
      <c r="AU4" t="n">
        <v>1595360163.1</v>
      </c>
      <c r="AV4" t="n">
        <v>197.1258</v>
      </c>
      <c r="AW4" t="n">
        <v>200.0194</v>
      </c>
      <c r="AX4" t="n">
        <v>17.95884</v>
      </c>
      <c r="AY4" t="n">
        <v>16.60586</v>
      </c>
      <c r="AZ4" t="n">
        <v>196.9138</v>
      </c>
      <c r="BA4" t="n">
        <v>18.05494</v>
      </c>
      <c r="BB4" t="n">
        <v>500.038</v>
      </c>
      <c r="BC4" t="n">
        <v>101.2746</v>
      </c>
      <c r="BD4" t="n">
        <v>0.1001</v>
      </c>
      <c r="BE4" t="n">
        <v>25.64816</v>
      </c>
      <c r="BF4" t="n">
        <v>25.008</v>
      </c>
      <c r="BG4" t="n">
        <v>999.9</v>
      </c>
      <c r="BH4" t="n">
        <v>9991.25</v>
      </c>
      <c r="BI4" t="n">
        <v>7.2843</v>
      </c>
      <c r="BJ4" t="n">
        <v>1500.008</v>
      </c>
      <c r="BK4" t="n">
        <v>0.973001</v>
      </c>
      <c r="BL4" t="n">
        <v>0.02699884</v>
      </c>
      <c r="BM4" t="n">
        <v>203.9908</v>
      </c>
      <c r="BN4" t="n">
        <v>4.99999</v>
      </c>
      <c r="BO4" t="n">
        <v>3133.434</v>
      </c>
      <c r="BP4" t="n">
        <v>14882.66</v>
      </c>
      <c r="BQ4" t="n">
        <v>36.375</v>
      </c>
      <c r="BR4" t="n">
        <v>37.875</v>
      </c>
      <c r="BS4" t="n">
        <v>36.937</v>
      </c>
      <c r="BT4" t="n">
        <v>37.375</v>
      </c>
      <c r="BU4" t="n">
        <v>38.0496</v>
      </c>
      <c r="BV4" t="n">
        <v>1454.648</v>
      </c>
      <c r="BW4" t="n">
        <v>40.36</v>
      </c>
      <c r="BX4" t="n">
        <v>5485.90000009537</v>
      </c>
      <c r="BY4" t="n">
        <v>204.04</v>
      </c>
      <c r="BZ4" t="n">
        <v>0.262769207064286</v>
      </c>
      <c r="CA4" t="n">
        <v>-7.71008544901663</v>
      </c>
      <c r="CB4" t="n">
        <v>3134.03846153846</v>
      </c>
      <c r="CC4" t="n">
        <v>15</v>
      </c>
      <c r="CD4" t="n">
        <v>1595360109.1</v>
      </c>
      <c r="CE4" t="n">
        <v>1595360104.1</v>
      </c>
      <c r="CF4" t="n">
        <v>1595360109.1</v>
      </c>
      <c r="CG4" t="n">
        <v>50</v>
      </c>
      <c r="CH4" t="n">
        <v>0.068</v>
      </c>
      <c r="CI4" t="n">
        <v>0</v>
      </c>
      <c r="CJ4" t="n">
        <v>0.215</v>
      </c>
      <c r="CK4" t="n">
        <v>-0.096</v>
      </c>
      <c r="CL4" t="n">
        <v>200</v>
      </c>
      <c r="CM4" t="n">
        <v>17</v>
      </c>
      <c r="CN4" t="n">
        <v>0.35</v>
      </c>
      <c r="CO4" t="n">
        <v>0.08</v>
      </c>
      <c r="CP4" t="n">
        <v>6.53373789300461</v>
      </c>
      <c r="CQ4" t="n">
        <v>0.171178267799328</v>
      </c>
      <c r="CR4" t="n">
        <v>0.0519923487652022</v>
      </c>
      <c r="CS4" t="n">
        <v>1</v>
      </c>
      <c r="CT4" t="n">
        <v>-2.8881625</v>
      </c>
      <c r="CU4" t="n">
        <v>-0.0772100751879702</v>
      </c>
      <c r="CV4" t="n">
        <v>0.0207823468056425</v>
      </c>
      <c r="CW4" t="n">
        <v>1</v>
      </c>
      <c r="CX4" t="n">
        <v>204.024117647059</v>
      </c>
      <c r="CY4" t="n">
        <v>-0.138579076703321</v>
      </c>
      <c r="CZ4" t="n">
        <v>0.375489231043659</v>
      </c>
      <c r="DA4" t="n">
        <v>1</v>
      </c>
      <c r="DB4" t="n">
        <v>3</v>
      </c>
      <c r="DC4" t="n">
        <v>3</v>
      </c>
      <c r="DD4" t="n">
        <v>100</v>
      </c>
      <c r="DE4" t="n">
        <v>100</v>
      </c>
      <c r="DF4" t="n">
        <v>0.212</v>
      </c>
      <c r="DG4" t="n">
        <v>-0.0961</v>
      </c>
      <c r="DH4" t="n">
        <v>0.0290509897621007</v>
      </c>
      <c r="DI4" t="n">
        <v>0.000862124167288959</v>
      </c>
      <c r="DJ4" t="n">
        <v>3.40327538556632e-07</v>
      </c>
      <c r="DK4" t="n">
        <v>-2.02263791882896e-12</v>
      </c>
      <c r="DL4" t="n">
        <v>-0.0960900000000002</v>
      </c>
      <c r="DM4" t="n">
        <v>4</v>
      </c>
      <c r="DN4" t="n">
        <v>2115</v>
      </c>
      <c r="DO4" t="n">
        <v>-1</v>
      </c>
      <c r="DP4" t="n">
        <v>-1</v>
      </c>
      <c r="DQ4" t="n">
        <v>1</v>
      </c>
      <c r="DR4" t="n">
        <v>0.9</v>
      </c>
      <c r="DS4" t="n">
        <v>0.605469</v>
      </c>
      <c r="DT4" t="n">
        <v>2.66968</v>
      </c>
      <c r="DU4" t="n">
        <v>1.65161</v>
      </c>
      <c r="DV4" t="n">
        <v>2.27417</v>
      </c>
      <c r="DW4" t="n">
        <v>1.5979</v>
      </c>
      <c r="DX4" t="n">
        <v>2.55615</v>
      </c>
      <c r="DY4" t="n">
        <v>38.3301</v>
      </c>
      <c r="DZ4" t="n">
        <v>23.8423</v>
      </c>
      <c r="EA4" t="n">
        <v>18</v>
      </c>
      <c r="EB4" t="n">
        <v>504.641</v>
      </c>
      <c r="EC4" t="n">
        <v>523.441</v>
      </c>
      <c r="ED4" t="n">
        <v>22.5662</v>
      </c>
      <c r="EE4" t="n">
        <v>29.4604</v>
      </c>
      <c r="EF4" t="n">
        <v>29.9998</v>
      </c>
      <c r="EG4" t="n">
        <v>29.7541</v>
      </c>
      <c r="EH4" t="n">
        <v>29.8322</v>
      </c>
      <c r="EI4" t="n">
        <v>12.113</v>
      </c>
      <c r="EJ4" t="n">
        <v>21.3146</v>
      </c>
      <c r="EK4" t="n">
        <v>25.5729</v>
      </c>
      <c r="EL4" t="n">
        <v>22.5281</v>
      </c>
      <c r="EM4" t="n">
        <v>200</v>
      </c>
      <c r="EN4" t="n">
        <v>16.5929</v>
      </c>
      <c r="EO4" t="n">
        <v>97.9653</v>
      </c>
      <c r="EP4" t="n">
        <v>95.3668</v>
      </c>
    </row>
    <row r="5">
      <c r="A5" t="n">
        <v>4</v>
      </c>
      <c r="B5" t="n">
        <v>1595360287.1</v>
      </c>
      <c r="C5" t="n">
        <v>363.099999904633</v>
      </c>
      <c r="D5" t="n">
        <v>5</v>
      </c>
      <c r="E5" t="n">
        <v>1595360283.6</v>
      </c>
      <c r="F5" t="n">
        <v>0.003658026353674218</v>
      </c>
      <c r="G5" t="n">
        <v>3.658026353674217</v>
      </c>
      <c r="H5" t="n">
        <v>1.818385599088393</v>
      </c>
      <c r="I5" t="n">
        <v>99.1367</v>
      </c>
      <c r="J5" t="n">
        <v>86.29142709388057</v>
      </c>
      <c r="K5" t="n">
        <v>0.008748317724038623</v>
      </c>
      <c r="L5" t="n">
        <v>0.0100505853121324</v>
      </c>
      <c r="M5" t="n">
        <v>0.2805224763923948</v>
      </c>
      <c r="N5" t="n">
        <v>3.033680586326213</v>
      </c>
      <c r="O5" t="n">
        <v>0.2668671331908108</v>
      </c>
      <c r="P5" t="n">
        <v>0.1679634292449707</v>
      </c>
      <c r="Q5" t="n">
        <v>3.17960492240031</v>
      </c>
      <c r="R5" t="n">
        <v>55.20468254773682</v>
      </c>
      <c r="S5" t="n">
        <v>1.824239252852109</v>
      </c>
      <c r="T5" t="n">
        <v>3.304500938438773</v>
      </c>
      <c r="U5" t="n">
        <v>0.5</v>
      </c>
      <c r="V5" t="n">
        <v>265</v>
      </c>
      <c r="W5" t="n">
        <v>290</v>
      </c>
      <c r="X5" t="n">
        <v>705.59</v>
      </c>
      <c r="Y5" t="n">
        <v>195</v>
      </c>
      <c r="Z5" t="n">
        <v>8110.47</v>
      </c>
      <c r="AA5" t="n">
        <v>703.77</v>
      </c>
      <c r="AB5" t="n">
        <v>1.82</v>
      </c>
      <c r="AC5" t="n">
        <v>300</v>
      </c>
      <c r="AD5" t="n">
        <v>19.1</v>
      </c>
      <c r="AE5" t="n">
        <v>728.735623028316</v>
      </c>
      <c r="AF5" t="n">
        <v>2.43797327259926</v>
      </c>
      <c r="AG5" t="n">
        <v>-20.2484206340873</v>
      </c>
      <c r="AH5" t="n">
        <v>1.76826879160836</v>
      </c>
      <c r="AI5" t="n">
        <v>0.824037787313686</v>
      </c>
      <c r="AJ5" t="n">
        <v>-0.00536440111234705</v>
      </c>
      <c r="AK5" t="n">
        <v>290</v>
      </c>
      <c r="AL5" t="n">
        <v>697.3</v>
      </c>
      <c r="AM5" t="n">
        <v>615</v>
      </c>
      <c r="AN5" t="n">
        <v>8103.53</v>
      </c>
      <c r="AO5" t="n">
        <v>703.75</v>
      </c>
      <c r="AP5" t="n">
        <v>-6.45</v>
      </c>
      <c r="AQ5" t="n">
        <v>1500.005</v>
      </c>
      <c r="AR5" t="n">
        <v>2</v>
      </c>
      <c r="AS5" t="n">
        <v>0.5</v>
      </c>
      <c r="AT5" t="n">
        <v>2</v>
      </c>
      <c r="AU5" t="n">
        <v>1595360283.6</v>
      </c>
      <c r="AV5" t="n">
        <v>99.1367</v>
      </c>
      <c r="AW5" t="n">
        <v>100.009133333333</v>
      </c>
      <c r="AX5" t="n">
        <v>17.9938833333333</v>
      </c>
      <c r="AY5" t="n">
        <v>16.5569666666667</v>
      </c>
      <c r="AZ5" t="n">
        <v>98.9558</v>
      </c>
      <c r="BA5" t="n">
        <v>18.0886</v>
      </c>
      <c r="BB5" t="n">
        <v>499.987833333333</v>
      </c>
      <c r="BC5" t="n">
        <v>101.281166666667</v>
      </c>
      <c r="BD5" t="n">
        <v>0.09990928333333331</v>
      </c>
      <c r="BE5" t="n">
        <v>25.6474333333333</v>
      </c>
      <c r="BF5" t="n">
        <v>24.9996166666667</v>
      </c>
      <c r="BG5" t="n">
        <v>999.9</v>
      </c>
      <c r="BH5" t="n">
        <v>10008.9416666667</v>
      </c>
      <c r="BI5" t="n">
        <v>7.2843</v>
      </c>
      <c r="BJ5" t="n">
        <v>1500.005</v>
      </c>
      <c r="BK5" t="n">
        <v>0.973000833333333</v>
      </c>
      <c r="BL5" t="n">
        <v>0.0269990333333333</v>
      </c>
      <c r="BM5" t="n">
        <v>204.563</v>
      </c>
      <c r="BN5" t="n">
        <v>4.99999</v>
      </c>
      <c r="BO5" t="n">
        <v>3140.08666666667</v>
      </c>
      <c r="BP5" t="n">
        <v>14882.6333333333</v>
      </c>
      <c r="BQ5" t="n">
        <v>36.312</v>
      </c>
      <c r="BR5" t="n">
        <v>37.8225</v>
      </c>
      <c r="BS5" t="n">
        <v>36.875</v>
      </c>
      <c r="BT5" t="n">
        <v>37.375</v>
      </c>
      <c r="BU5" t="n">
        <v>38</v>
      </c>
      <c r="BV5" t="n">
        <v>1454.645</v>
      </c>
      <c r="BW5" t="n">
        <v>40.36</v>
      </c>
      <c r="BX5" t="n">
        <v>5607.10000014305</v>
      </c>
      <c r="BY5" t="n">
        <v>204.545846153846</v>
      </c>
      <c r="BZ5" t="n">
        <v>-0.665162368378425</v>
      </c>
      <c r="CA5" t="n">
        <v>1.03179486024038</v>
      </c>
      <c r="CB5" t="n">
        <v>3140.03384615385</v>
      </c>
      <c r="CC5" t="n">
        <v>15</v>
      </c>
      <c r="CD5" t="n">
        <v>1595360235.1</v>
      </c>
      <c r="CE5" t="n">
        <v>1595360233.1</v>
      </c>
      <c r="CF5" t="n">
        <v>1595360235.1</v>
      </c>
      <c r="CG5" t="n">
        <v>51</v>
      </c>
      <c r="CH5" t="n">
        <v>0.063</v>
      </c>
      <c r="CI5" t="n">
        <v>0.001</v>
      </c>
      <c r="CJ5" t="n">
        <v>0.182</v>
      </c>
      <c r="CK5" t="n">
        <v>-0.095</v>
      </c>
      <c r="CL5" t="n">
        <v>100</v>
      </c>
      <c r="CM5" t="n">
        <v>17</v>
      </c>
      <c r="CN5" t="n">
        <v>0.34</v>
      </c>
      <c r="CO5" t="n">
        <v>0.06</v>
      </c>
      <c r="CP5" t="n">
        <v>1.80864900423291</v>
      </c>
      <c r="CQ5" t="n">
        <v>-0.0052093832344751</v>
      </c>
      <c r="CR5" t="n">
        <v>0.0321292942048182</v>
      </c>
      <c r="CS5" t="n">
        <v>1</v>
      </c>
      <c r="CT5" t="n">
        <v>-0.8695363</v>
      </c>
      <c r="CU5" t="n">
        <v>-0.00261121804511321</v>
      </c>
      <c r="CV5" t="n">
        <v>0.0133880913430556</v>
      </c>
      <c r="CW5" t="n">
        <v>1</v>
      </c>
      <c r="CX5" t="n">
        <v>204.547058823529</v>
      </c>
      <c r="CY5" t="n">
        <v>-0.738915193026718</v>
      </c>
      <c r="CZ5" t="n">
        <v>0.485759862070359</v>
      </c>
      <c r="DA5" t="n">
        <v>1</v>
      </c>
      <c r="DB5" t="n">
        <v>3</v>
      </c>
      <c r="DC5" t="n">
        <v>3</v>
      </c>
      <c r="DD5" t="n">
        <v>100</v>
      </c>
      <c r="DE5" t="n">
        <v>100</v>
      </c>
      <c r="DF5" t="n">
        <v>0.181</v>
      </c>
      <c r="DG5" t="n">
        <v>-0.0948</v>
      </c>
      <c r="DH5" t="n">
        <v>0.0922860286515761</v>
      </c>
      <c r="DI5" t="n">
        <v>0.000862124167288959</v>
      </c>
      <c r="DJ5" t="n">
        <v>3.40327538556632e-07</v>
      </c>
      <c r="DK5" t="n">
        <v>-2.02263791882896e-12</v>
      </c>
      <c r="DL5" t="n">
        <v>-0.0947454545454534</v>
      </c>
      <c r="DM5" t="n">
        <v>4</v>
      </c>
      <c r="DN5" t="n">
        <v>2115</v>
      </c>
      <c r="DO5" t="n">
        <v>-1</v>
      </c>
      <c r="DP5" t="n">
        <v>-1</v>
      </c>
      <c r="DQ5" t="n">
        <v>0.9</v>
      </c>
      <c r="DR5" t="n">
        <v>0.9</v>
      </c>
      <c r="DS5" t="n">
        <v>0.377197</v>
      </c>
      <c r="DT5" t="n">
        <v>2.69287</v>
      </c>
      <c r="DU5" t="n">
        <v>1.65161</v>
      </c>
      <c r="DV5" t="n">
        <v>2.27295</v>
      </c>
      <c r="DW5" t="n">
        <v>1.5979</v>
      </c>
      <c r="DX5" t="n">
        <v>2.54883</v>
      </c>
      <c r="DY5" t="n">
        <v>38.2812</v>
      </c>
      <c r="DZ5" t="n">
        <v>23.8423</v>
      </c>
      <c r="EA5" t="n">
        <v>18</v>
      </c>
      <c r="EB5" t="n">
        <v>504.262</v>
      </c>
      <c r="EC5" t="n">
        <v>523.5839999999999</v>
      </c>
      <c r="ED5" t="n">
        <v>22.4138</v>
      </c>
      <c r="EE5" t="n">
        <v>29.3826</v>
      </c>
      <c r="EF5" t="n">
        <v>29.9999</v>
      </c>
      <c r="EG5" t="n">
        <v>29.6701</v>
      </c>
      <c r="EH5" t="n">
        <v>29.7466</v>
      </c>
      <c r="EI5" t="n">
        <v>7.54816</v>
      </c>
      <c r="EJ5" t="n">
        <v>21.3434</v>
      </c>
      <c r="EK5" t="n">
        <v>25.52</v>
      </c>
      <c r="EL5" t="n">
        <v>22.415</v>
      </c>
      <c r="EM5" t="n">
        <v>100</v>
      </c>
      <c r="EN5" t="n">
        <v>16.5027</v>
      </c>
      <c r="EO5" t="n">
        <v>97.98009999999999</v>
      </c>
      <c r="EP5" t="n">
        <v>95.3801</v>
      </c>
    </row>
    <row r="6">
      <c r="A6" t="n">
        <v>5</v>
      </c>
      <c r="B6" t="n">
        <v>1595360408.1</v>
      </c>
      <c r="C6" t="n">
        <v>484.099999904633</v>
      </c>
      <c r="D6" t="n">
        <v>5</v>
      </c>
      <c r="E6" t="n">
        <v>1595360405.1</v>
      </c>
      <c r="F6" t="n">
        <v>0.004072558005399174</v>
      </c>
      <c r="G6" t="n">
        <v>4.072558005399173</v>
      </c>
      <c r="H6" t="n">
        <v>-0.6403157652219856</v>
      </c>
      <c r="I6" t="n">
        <v>50.18088</v>
      </c>
      <c r="J6" t="n">
        <v>52.48879597622492</v>
      </c>
      <c r="K6" t="n">
        <v>0.005320757952190208</v>
      </c>
      <c r="L6" t="n">
        <v>0.005086805885752109</v>
      </c>
      <c r="M6" t="n">
        <v>0.3136295458252401</v>
      </c>
      <c r="N6" t="n">
        <v>3.031597426346623</v>
      </c>
      <c r="O6" t="n">
        <v>0.2966545136310554</v>
      </c>
      <c r="P6" t="n">
        <v>0.1868576084485675</v>
      </c>
      <c r="Q6" t="n">
        <v>3.178002181557432</v>
      </c>
      <c r="R6" t="n">
        <v>55.09248310610282</v>
      </c>
      <c r="S6" t="n">
        <v>1.820685723992984</v>
      </c>
      <c r="T6" t="n">
        <v>3.304780654897182</v>
      </c>
      <c r="U6" t="n">
        <v>0.5</v>
      </c>
      <c r="V6" t="n">
        <v>265</v>
      </c>
      <c r="W6" t="n">
        <v>290</v>
      </c>
      <c r="X6" t="n">
        <v>705.59</v>
      </c>
      <c r="Y6" t="n">
        <v>195</v>
      </c>
      <c r="Z6" t="n">
        <v>8110.47</v>
      </c>
      <c r="AA6" t="n">
        <v>703.77</v>
      </c>
      <c r="AB6" t="n">
        <v>1.82</v>
      </c>
      <c r="AC6" t="n">
        <v>300</v>
      </c>
      <c r="AD6" t="n">
        <v>19.1</v>
      </c>
      <c r="AE6" t="n">
        <v>728.735623028316</v>
      </c>
      <c r="AF6" t="n">
        <v>2.43797327259926</v>
      </c>
      <c r="AG6" t="n">
        <v>-20.2484206340873</v>
      </c>
      <c r="AH6" t="n">
        <v>1.76826879160836</v>
      </c>
      <c r="AI6" t="n">
        <v>0.824037787313686</v>
      </c>
      <c r="AJ6" t="n">
        <v>-0.00536440111234705</v>
      </c>
      <c r="AK6" t="n">
        <v>290</v>
      </c>
      <c r="AL6" t="n">
        <v>697.3</v>
      </c>
      <c r="AM6" t="n">
        <v>615</v>
      </c>
      <c r="AN6" t="n">
        <v>8103.53</v>
      </c>
      <c r="AO6" t="n">
        <v>703.75</v>
      </c>
      <c r="AP6" t="n">
        <v>-6.45</v>
      </c>
      <c r="AQ6" t="n">
        <v>1499.972</v>
      </c>
      <c r="AR6" t="n">
        <v>2</v>
      </c>
      <c r="AS6" t="n">
        <v>0.5</v>
      </c>
      <c r="AT6" t="n">
        <v>2</v>
      </c>
      <c r="AU6" t="n">
        <v>1595360405.1</v>
      </c>
      <c r="AV6" t="n">
        <v>50.18088</v>
      </c>
      <c r="AW6" t="n">
        <v>50.0065</v>
      </c>
      <c r="AX6" t="n">
        <v>17.9609</v>
      </c>
      <c r="AY6" t="n">
        <v>16.36114</v>
      </c>
      <c r="AZ6" t="n">
        <v>50.03824</v>
      </c>
      <c r="BA6" t="n">
        <v>18.05688</v>
      </c>
      <c r="BB6" t="n">
        <v>500.0014</v>
      </c>
      <c r="BC6" t="n">
        <v>101.2694</v>
      </c>
      <c r="BD6" t="n">
        <v>0.10000376</v>
      </c>
      <c r="BE6" t="n">
        <v>25.64886</v>
      </c>
      <c r="BF6" t="n">
        <v>24.99116</v>
      </c>
      <c r="BG6" t="n">
        <v>999.9</v>
      </c>
      <c r="BH6" t="n">
        <v>9997.51</v>
      </c>
      <c r="BI6" t="n">
        <v>7.22783</v>
      </c>
      <c r="BJ6" t="n">
        <v>1499.972</v>
      </c>
      <c r="BK6" t="n">
        <v>0.973</v>
      </c>
      <c r="BL6" t="n">
        <v>0.0269999</v>
      </c>
      <c r="BM6" t="n">
        <v>206.039</v>
      </c>
      <c r="BN6" t="n">
        <v>4.99999</v>
      </c>
      <c r="BO6" t="n">
        <v>3159.928</v>
      </c>
      <c r="BP6" t="n">
        <v>14882.32</v>
      </c>
      <c r="BQ6" t="n">
        <v>36.312</v>
      </c>
      <c r="BR6" t="n">
        <v>37.812</v>
      </c>
      <c r="BS6" t="n">
        <v>36.875</v>
      </c>
      <c r="BT6" t="n">
        <v>37.375</v>
      </c>
      <c r="BU6" t="n">
        <v>38</v>
      </c>
      <c r="BV6" t="n">
        <v>1454.612</v>
      </c>
      <c r="BW6" t="n">
        <v>40.36</v>
      </c>
      <c r="BX6" t="n">
        <v>5728.30000019073</v>
      </c>
      <c r="BY6" t="n">
        <v>205.932846153846</v>
      </c>
      <c r="BZ6" t="n">
        <v>-0.831452977040685</v>
      </c>
      <c r="CA6" t="n">
        <v>0.985982917325703</v>
      </c>
      <c r="CB6" t="n">
        <v>3160.09153846154</v>
      </c>
      <c r="CC6" t="n">
        <v>15</v>
      </c>
      <c r="CD6" t="n">
        <v>1595360349.1</v>
      </c>
      <c r="CE6" t="n">
        <v>1595360347.1</v>
      </c>
      <c r="CF6" t="n">
        <v>1595360349.1</v>
      </c>
      <c r="CG6" t="n">
        <v>52</v>
      </c>
      <c r="CH6" t="n">
        <v>0.006</v>
      </c>
      <c r="CI6" t="n">
        <v>-0.001</v>
      </c>
      <c r="CJ6" t="n">
        <v>0.142</v>
      </c>
      <c r="CK6" t="n">
        <v>-0.096</v>
      </c>
      <c r="CL6" t="n">
        <v>50</v>
      </c>
      <c r="CM6" t="n">
        <v>16</v>
      </c>
      <c r="CN6" t="n">
        <v>0.4</v>
      </c>
      <c r="CO6" t="n">
        <v>0.05</v>
      </c>
      <c r="CP6" t="n">
        <v>-0.659360296843974</v>
      </c>
      <c r="CQ6" t="n">
        <v>0.28655468234633</v>
      </c>
      <c r="CR6" t="n">
        <v>0.0574836157895335</v>
      </c>
      <c r="CS6" t="n">
        <v>1</v>
      </c>
      <c r="CT6" t="n">
        <v>0.181991952380952</v>
      </c>
      <c r="CU6" t="n">
        <v>-0.102578961038961</v>
      </c>
      <c r="CV6" t="n">
        <v>0.0227772009243918</v>
      </c>
      <c r="CW6" t="n">
        <v>1</v>
      </c>
      <c r="CX6" t="n">
        <v>205.923470588235</v>
      </c>
      <c r="CY6" t="n">
        <v>-0.937754001888767</v>
      </c>
      <c r="CZ6" t="n">
        <v>0.529965272740978</v>
      </c>
      <c r="DA6" t="n">
        <v>1</v>
      </c>
      <c r="DB6" t="n">
        <v>3</v>
      </c>
      <c r="DC6" t="n">
        <v>3</v>
      </c>
      <c r="DD6" t="n">
        <v>100</v>
      </c>
      <c r="DE6" t="n">
        <v>100</v>
      </c>
      <c r="DF6" t="n">
        <v>0.143</v>
      </c>
      <c r="DG6" t="n">
        <v>-0.096</v>
      </c>
      <c r="DH6" t="n">
        <v>0.0986515819868528</v>
      </c>
      <c r="DI6" t="n">
        <v>0.000862124167288959</v>
      </c>
      <c r="DJ6" t="n">
        <v>3.40327538556632e-07</v>
      </c>
      <c r="DK6" t="n">
        <v>-2.02263791882896e-12</v>
      </c>
      <c r="DL6" t="n">
        <v>-0.09599000000000051</v>
      </c>
      <c r="DM6" t="n">
        <v>4</v>
      </c>
      <c r="DN6" t="n">
        <v>2115</v>
      </c>
      <c r="DO6" t="n">
        <v>-1</v>
      </c>
      <c r="DP6" t="n">
        <v>-1</v>
      </c>
      <c r="DQ6" t="n">
        <v>1</v>
      </c>
      <c r="DR6" t="n">
        <v>1</v>
      </c>
      <c r="DS6" t="n">
        <v>0.263672</v>
      </c>
      <c r="DT6" t="n">
        <v>2.70386</v>
      </c>
      <c r="DU6" t="n">
        <v>1.65161</v>
      </c>
      <c r="DV6" t="n">
        <v>2.27295</v>
      </c>
      <c r="DW6" t="n">
        <v>1.5979</v>
      </c>
      <c r="DX6" t="n">
        <v>2.63916</v>
      </c>
      <c r="DY6" t="n">
        <v>38.2324</v>
      </c>
      <c r="DZ6" t="n">
        <v>23.8511</v>
      </c>
      <c r="EA6" t="n">
        <v>18</v>
      </c>
      <c r="EB6" t="n">
        <v>504.266</v>
      </c>
      <c r="EC6" t="n">
        <v>523.45</v>
      </c>
      <c r="ED6" t="n">
        <v>22.5196</v>
      </c>
      <c r="EE6" t="n">
        <v>29.3242</v>
      </c>
      <c r="EF6" t="n">
        <v>29.9999</v>
      </c>
      <c r="EG6" t="n">
        <v>29.6</v>
      </c>
      <c r="EH6" t="n">
        <v>29.6755</v>
      </c>
      <c r="EI6" t="n">
        <v>5.28146</v>
      </c>
      <c r="EJ6" t="n">
        <v>22.0347</v>
      </c>
      <c r="EK6" t="n">
        <v>25.4392</v>
      </c>
      <c r="EL6" t="n">
        <v>22.5217</v>
      </c>
      <c r="EM6" t="n">
        <v>50</v>
      </c>
      <c r="EN6" t="n">
        <v>16.3685</v>
      </c>
      <c r="EO6" t="n">
        <v>97.98779999999999</v>
      </c>
      <c r="EP6" t="n">
        <v>95.3921</v>
      </c>
    </row>
    <row r="7">
      <c r="A7" t="n">
        <v>8</v>
      </c>
      <c r="B7" t="n">
        <v>1595360801.1</v>
      </c>
      <c r="C7" t="n">
        <v>877.099999904633</v>
      </c>
      <c r="D7" t="n">
        <v>5</v>
      </c>
      <c r="E7" t="n">
        <v>1595360797.6</v>
      </c>
      <c r="F7" t="n">
        <v>0.004806776906636097</v>
      </c>
      <c r="G7" t="n">
        <v>4.806776906636096</v>
      </c>
      <c r="H7" t="n">
        <v>21.53279816167064</v>
      </c>
      <c r="I7" t="n">
        <v>690.0526666666671</v>
      </c>
      <c r="J7" t="n">
        <v>579.0881566002369</v>
      </c>
      <c r="K7" t="n">
        <v>0.05869581300746175</v>
      </c>
      <c r="L7" t="n">
        <v>0.06994306795317122</v>
      </c>
      <c r="M7" t="n">
        <v>0.3752454443709887</v>
      </c>
      <c r="N7" t="n">
        <v>3.030876837284787</v>
      </c>
      <c r="O7" t="n">
        <v>0.351214229962258</v>
      </c>
      <c r="P7" t="n">
        <v>0.2215396305289681</v>
      </c>
      <c r="Q7" t="n">
        <v>3.181491590094071</v>
      </c>
      <c r="R7" t="n">
        <v>55.05480171586641</v>
      </c>
      <c r="S7" t="n">
        <v>1.82855910827124</v>
      </c>
      <c r="T7" t="n">
        <v>3.321343554570031</v>
      </c>
      <c r="U7" t="n">
        <v>0.5</v>
      </c>
      <c r="V7" t="n">
        <v>265</v>
      </c>
      <c r="W7" t="n">
        <v>290</v>
      </c>
      <c r="X7" t="n">
        <v>705.59</v>
      </c>
      <c r="Y7" t="n">
        <v>195</v>
      </c>
      <c r="Z7" t="n">
        <v>8110.47</v>
      </c>
      <c r="AA7" t="n">
        <v>703.77</v>
      </c>
      <c r="AB7" t="n">
        <v>1.82</v>
      </c>
      <c r="AC7" t="n">
        <v>300</v>
      </c>
      <c r="AD7" t="n">
        <v>19.1</v>
      </c>
      <c r="AE7" t="n">
        <v>728.735623028316</v>
      </c>
      <c r="AF7" t="n">
        <v>2.43797327259926</v>
      </c>
      <c r="AG7" t="n">
        <v>-20.2484206340873</v>
      </c>
      <c r="AH7" t="n">
        <v>1.76826879160836</v>
      </c>
      <c r="AI7" t="n">
        <v>0.824037787313686</v>
      </c>
      <c r="AJ7" t="n">
        <v>-0.00536440111234705</v>
      </c>
      <c r="AK7" t="n">
        <v>290</v>
      </c>
      <c r="AL7" t="n">
        <v>697.3</v>
      </c>
      <c r="AM7" t="n">
        <v>615</v>
      </c>
      <c r="AN7" t="n">
        <v>8103.53</v>
      </c>
      <c r="AO7" t="n">
        <v>703.75</v>
      </c>
      <c r="AP7" t="n">
        <v>-6.45</v>
      </c>
      <c r="AQ7" t="n">
        <v>1499.99666666667</v>
      </c>
      <c r="AR7" t="n">
        <v>2</v>
      </c>
      <c r="AS7" t="n">
        <v>0.5</v>
      </c>
      <c r="AT7" t="n">
        <v>2</v>
      </c>
      <c r="AU7" t="n">
        <v>1595360797.6</v>
      </c>
      <c r="AV7" t="n">
        <v>690.0526666666671</v>
      </c>
      <c r="AW7" t="n">
        <v>699.992166666667</v>
      </c>
      <c r="AX7" t="n">
        <v>18.0404166666667</v>
      </c>
      <c r="AY7" t="n">
        <v>16.1524666666667</v>
      </c>
      <c r="AZ7" t="n">
        <v>689.0775</v>
      </c>
      <c r="BA7" t="n">
        <v>18.1396166666667</v>
      </c>
      <c r="BB7" t="n">
        <v>500.019666666667</v>
      </c>
      <c r="BC7" t="n">
        <v>101.259</v>
      </c>
      <c r="BD7" t="n">
        <v>0.100028566666667</v>
      </c>
      <c r="BE7" t="n">
        <v>25.73315</v>
      </c>
      <c r="BF7" t="n">
        <v>25.0095666666667</v>
      </c>
      <c r="BG7" t="n">
        <v>999.9</v>
      </c>
      <c r="BH7" t="n">
        <v>9994.183333333331</v>
      </c>
      <c r="BI7" t="n">
        <v>7.22783</v>
      </c>
      <c r="BJ7" t="n">
        <v>1499.99666666667</v>
      </c>
      <c r="BK7" t="n">
        <v>0.973</v>
      </c>
      <c r="BL7" t="n">
        <v>0.0269999</v>
      </c>
      <c r="BM7" t="n">
        <v>225.089833333333</v>
      </c>
      <c r="BN7" t="n">
        <v>4.99999</v>
      </c>
      <c r="BO7" t="n">
        <v>3446.95</v>
      </c>
      <c r="BP7" t="n">
        <v>14882.5333333333</v>
      </c>
      <c r="BQ7" t="n">
        <v>36.312</v>
      </c>
      <c r="BR7" t="n">
        <v>37.8225</v>
      </c>
      <c r="BS7" t="n">
        <v>36.875</v>
      </c>
      <c r="BT7" t="n">
        <v>37.312</v>
      </c>
      <c r="BU7" t="n">
        <v>38</v>
      </c>
      <c r="BV7" t="n">
        <v>1454.63666666667</v>
      </c>
      <c r="BW7" t="n">
        <v>40.36</v>
      </c>
      <c r="BX7" t="n">
        <v>6121.30000019073</v>
      </c>
      <c r="BY7" t="n">
        <v>224.97492</v>
      </c>
      <c r="BZ7" t="n">
        <v>1.63615382976968</v>
      </c>
      <c r="CA7" t="n">
        <v>-8.843846120510459</v>
      </c>
      <c r="CB7" t="n">
        <v>3447.5176</v>
      </c>
      <c r="CC7" t="n">
        <v>15</v>
      </c>
      <c r="CD7" t="n">
        <v>1595360747.1</v>
      </c>
      <c r="CE7" t="n">
        <v>1595360747.1</v>
      </c>
      <c r="CF7" t="n">
        <v>1595360746.1</v>
      </c>
      <c r="CG7" t="n">
        <v>55</v>
      </c>
      <c r="CH7" t="n">
        <v>0.245</v>
      </c>
      <c r="CI7" t="n">
        <v>-0.002</v>
      </c>
      <c r="CJ7" t="n">
        <v>0.988</v>
      </c>
      <c r="CK7" t="n">
        <v>-0.099</v>
      </c>
      <c r="CL7" t="n">
        <v>700</v>
      </c>
      <c r="CM7" t="n">
        <v>16</v>
      </c>
      <c r="CN7" t="n">
        <v>0.2</v>
      </c>
      <c r="CO7" t="n">
        <v>0.03</v>
      </c>
      <c r="CP7" t="n">
        <v>21.5198741237136</v>
      </c>
      <c r="CQ7" t="n">
        <v>0.53654099958699</v>
      </c>
      <c r="CR7" t="n">
        <v>0.143464453181759</v>
      </c>
      <c r="CS7" t="n">
        <v>1</v>
      </c>
      <c r="CT7" t="n">
        <v>-9.940540476190479</v>
      </c>
      <c r="CU7" t="n">
        <v>-0.096120779220768</v>
      </c>
      <c r="CV7" t="n">
        <v>0.0520205431468863</v>
      </c>
      <c r="CW7" t="n">
        <v>1</v>
      </c>
      <c r="CX7" t="n">
        <v>224.986588235294</v>
      </c>
      <c r="CY7" t="n">
        <v>-0.686355993942888</v>
      </c>
      <c r="CZ7" t="n">
        <v>0.40013432433203</v>
      </c>
      <c r="DA7" t="n">
        <v>1</v>
      </c>
      <c r="DB7" t="n">
        <v>3</v>
      </c>
      <c r="DC7" t="n">
        <v>3</v>
      </c>
      <c r="DD7" t="n">
        <v>100</v>
      </c>
      <c r="DE7" t="n">
        <v>100</v>
      </c>
      <c r="DF7" t="n">
        <v>0.975</v>
      </c>
      <c r="DG7" t="n">
        <v>-0.0992</v>
      </c>
      <c r="DH7" t="n">
        <v>0.220133127715151</v>
      </c>
      <c r="DI7" t="n">
        <v>0.000862124167288959</v>
      </c>
      <c r="DJ7" t="n">
        <v>3.40327538556632e-07</v>
      </c>
      <c r="DK7" t="n">
        <v>-2.02263791882896e-12</v>
      </c>
      <c r="DL7" t="n">
        <v>-0.09919999999999619</v>
      </c>
      <c r="DM7" t="n">
        <v>4</v>
      </c>
      <c r="DN7" t="n">
        <v>2115</v>
      </c>
      <c r="DO7" t="n">
        <v>-1</v>
      </c>
      <c r="DP7" t="n">
        <v>-1</v>
      </c>
      <c r="DQ7" t="n">
        <v>0.9</v>
      </c>
      <c r="DR7" t="n">
        <v>0.9</v>
      </c>
      <c r="DS7" t="n">
        <v>1.62354</v>
      </c>
      <c r="DT7" t="n">
        <v>2.66724</v>
      </c>
      <c r="DU7" t="n">
        <v>1.65161</v>
      </c>
      <c r="DV7" t="n">
        <v>2.27417</v>
      </c>
      <c r="DW7" t="n">
        <v>1.5979</v>
      </c>
      <c r="DX7" t="n">
        <v>2.58301</v>
      </c>
      <c r="DY7" t="n">
        <v>38.208</v>
      </c>
      <c r="DZ7" t="n">
        <v>23.8423</v>
      </c>
      <c r="EA7" t="n">
        <v>18</v>
      </c>
      <c r="EB7" t="n">
        <v>504.36</v>
      </c>
      <c r="EC7" t="n">
        <v>524.526</v>
      </c>
      <c r="ED7" t="n">
        <v>22.6238</v>
      </c>
      <c r="EE7" t="n">
        <v>29.2237</v>
      </c>
      <c r="EF7" t="n">
        <v>29.9999</v>
      </c>
      <c r="EG7" t="n">
        <v>29.4611</v>
      </c>
      <c r="EH7" t="n">
        <v>29.5304</v>
      </c>
      <c r="EI7" t="n">
        <v>32.4616</v>
      </c>
      <c r="EJ7" t="n">
        <v>22.0152</v>
      </c>
      <c r="EK7" t="n">
        <v>24.4732</v>
      </c>
      <c r="EL7" t="n">
        <v>22.6099</v>
      </c>
      <c r="EM7" t="n">
        <v>700</v>
      </c>
      <c r="EN7" t="n">
        <v>16.1506</v>
      </c>
      <c r="EO7" t="n">
        <v>98.00239999999999</v>
      </c>
      <c r="EP7" t="n">
        <v>95.4062</v>
      </c>
    </row>
    <row r="8">
      <c r="A8" t="n">
        <v>9</v>
      </c>
      <c r="B8" t="n">
        <v>1595360926.1</v>
      </c>
      <c r="C8" t="n">
        <v>1002.09999990463</v>
      </c>
      <c r="D8" t="n">
        <v>5</v>
      </c>
      <c r="E8" t="n">
        <v>1595360923.1</v>
      </c>
      <c r="F8" t="n">
        <v>0.004353532147943728</v>
      </c>
      <c r="G8" t="n">
        <v>4.353532147943728</v>
      </c>
      <c r="H8" t="n">
        <v>23.00082487335797</v>
      </c>
      <c r="I8" t="n">
        <v>989.119</v>
      </c>
      <c r="J8" t="n">
        <v>854.0572882399534</v>
      </c>
      <c r="K8" t="n">
        <v>0.08657575019155432</v>
      </c>
      <c r="L8" t="n">
        <v>0.1002669500428882</v>
      </c>
      <c r="M8" t="n">
        <v>0.3368452322433791</v>
      </c>
      <c r="N8" t="n">
        <v>3.033015070025464</v>
      </c>
      <c r="O8" t="n">
        <v>0.3173565217280558</v>
      </c>
      <c r="P8" t="n">
        <v>0.2000047839904464</v>
      </c>
      <c r="Q8" t="n">
        <v>3.178506239129689</v>
      </c>
      <c r="R8" t="n">
        <v>54.97435444231501</v>
      </c>
      <c r="S8" t="n">
        <v>1.82220200997347</v>
      </c>
      <c r="T8" t="n">
        <v>3.31464012348798</v>
      </c>
      <c r="U8" t="n">
        <v>0.5</v>
      </c>
      <c r="V8" t="n">
        <v>265</v>
      </c>
      <c r="W8" t="n">
        <v>290</v>
      </c>
      <c r="X8" t="n">
        <v>705.59</v>
      </c>
      <c r="Y8" t="n">
        <v>195</v>
      </c>
      <c r="Z8" t="n">
        <v>8110.47</v>
      </c>
      <c r="AA8" t="n">
        <v>703.77</v>
      </c>
      <c r="AB8" t="n">
        <v>1.82</v>
      </c>
      <c r="AC8" t="n">
        <v>300</v>
      </c>
      <c r="AD8" t="n">
        <v>19.1</v>
      </c>
      <c r="AE8" t="n">
        <v>728.735623028316</v>
      </c>
      <c r="AF8" t="n">
        <v>2.43797327259926</v>
      </c>
      <c r="AG8" t="n">
        <v>-20.2484206340873</v>
      </c>
      <c r="AH8" t="n">
        <v>1.76826879160836</v>
      </c>
      <c r="AI8" t="n">
        <v>0.824037787313686</v>
      </c>
      <c r="AJ8" t="n">
        <v>-0.00536440111234705</v>
      </c>
      <c r="AK8" t="n">
        <v>290</v>
      </c>
      <c r="AL8" t="n">
        <v>697.3</v>
      </c>
      <c r="AM8" t="n">
        <v>615</v>
      </c>
      <c r="AN8" t="n">
        <v>8103.53</v>
      </c>
      <c r="AO8" t="n">
        <v>703.75</v>
      </c>
      <c r="AP8" t="n">
        <v>-6.45</v>
      </c>
      <c r="AQ8" t="n">
        <v>1499.99</v>
      </c>
      <c r="AR8" t="n">
        <v>2</v>
      </c>
      <c r="AS8" t="n">
        <v>0.5</v>
      </c>
      <c r="AT8" t="n">
        <v>2</v>
      </c>
      <c r="AU8" t="n">
        <v>1595360923.1</v>
      </c>
      <c r="AV8" t="n">
        <v>989.119</v>
      </c>
      <c r="AW8" t="n">
        <v>1000.0402</v>
      </c>
      <c r="AX8" t="n">
        <v>17.97576</v>
      </c>
      <c r="AY8" t="n">
        <v>16.2659</v>
      </c>
      <c r="AZ8" t="n">
        <v>987.7784</v>
      </c>
      <c r="BA8" t="n">
        <v>18.07486</v>
      </c>
      <c r="BB8" t="n">
        <v>500.073</v>
      </c>
      <c r="BC8" t="n">
        <v>101.27</v>
      </c>
      <c r="BD8" t="n">
        <v>0.09995654</v>
      </c>
      <c r="BE8" t="n">
        <v>25.69908</v>
      </c>
      <c r="BF8" t="n">
        <v>24.99382</v>
      </c>
      <c r="BG8" t="n">
        <v>999.9</v>
      </c>
      <c r="BH8" t="n">
        <v>10006.02</v>
      </c>
      <c r="BI8" t="n">
        <v>7.269618</v>
      </c>
      <c r="BJ8" t="n">
        <v>1499.99</v>
      </c>
      <c r="BK8" t="n">
        <v>0.973001</v>
      </c>
      <c r="BL8" t="n">
        <v>0.02699886</v>
      </c>
      <c r="BM8" t="n">
        <v>222.7272</v>
      </c>
      <c r="BN8" t="n">
        <v>4.99999</v>
      </c>
      <c r="BO8" t="n">
        <v>3413.866</v>
      </c>
      <c r="BP8" t="n">
        <v>14882.48</v>
      </c>
      <c r="BQ8" t="n">
        <v>36.312</v>
      </c>
      <c r="BR8" t="n">
        <v>37.8498</v>
      </c>
      <c r="BS8" t="n">
        <v>36.875</v>
      </c>
      <c r="BT8" t="n">
        <v>37.312</v>
      </c>
      <c r="BU8" t="n">
        <v>38</v>
      </c>
      <c r="BV8" t="n">
        <v>1454.63</v>
      </c>
      <c r="BW8" t="n">
        <v>40.36</v>
      </c>
      <c r="BX8" t="n">
        <v>6246.10000014305</v>
      </c>
      <c r="BY8" t="n">
        <v>222.6958</v>
      </c>
      <c r="BZ8" t="n">
        <v>0.453076890493277</v>
      </c>
      <c r="CA8" t="n">
        <v>0.225384622044598</v>
      </c>
      <c r="CB8" t="n">
        <v>3413.8972</v>
      </c>
      <c r="CC8" t="n">
        <v>15</v>
      </c>
      <c r="CD8" t="n">
        <v>1595360883.1</v>
      </c>
      <c r="CE8" t="n">
        <v>1595360883.1</v>
      </c>
      <c r="CF8" t="n">
        <v>1595360878.1</v>
      </c>
      <c r="CG8" t="n">
        <v>56</v>
      </c>
      <c r="CH8" t="n">
        <v>-0.062</v>
      </c>
      <c r="CI8" t="n">
        <v>0</v>
      </c>
      <c r="CJ8" t="n">
        <v>1.357</v>
      </c>
      <c r="CK8" t="n">
        <v>-0.099</v>
      </c>
      <c r="CL8" t="n">
        <v>1000</v>
      </c>
      <c r="CM8" t="n">
        <v>16</v>
      </c>
      <c r="CN8" t="n">
        <v>0.2</v>
      </c>
      <c r="CO8" t="n">
        <v>0.04</v>
      </c>
      <c r="CP8" t="n">
        <v>22.9657087100589</v>
      </c>
      <c r="CQ8" t="n">
        <v>-0.506176023138574</v>
      </c>
      <c r="CR8" t="n">
        <v>0.161664988209475</v>
      </c>
      <c r="CS8" t="n">
        <v>1</v>
      </c>
      <c r="CT8" t="n">
        <v>-10.915835</v>
      </c>
      <c r="CU8" t="n">
        <v>0.0379984962405937</v>
      </c>
      <c r="CV8" t="n">
        <v>0.0571012896089045</v>
      </c>
      <c r="CW8" t="n">
        <v>1</v>
      </c>
      <c r="CX8" t="n">
        <v>222.736676470588</v>
      </c>
      <c r="CY8" t="n">
        <v>-0.342902993099556</v>
      </c>
      <c r="CZ8" t="n">
        <v>0.39858350077923</v>
      </c>
      <c r="DA8" t="n">
        <v>1</v>
      </c>
      <c r="DB8" t="n">
        <v>3</v>
      </c>
      <c r="DC8" t="n">
        <v>3</v>
      </c>
      <c r="DD8" t="n">
        <v>100</v>
      </c>
      <c r="DE8" t="n">
        <v>100</v>
      </c>
      <c r="DF8" t="n">
        <v>1.34</v>
      </c>
      <c r="DG8" t="n">
        <v>-0.09909999999999999</v>
      </c>
      <c r="DH8" t="n">
        <v>0.158886042612755</v>
      </c>
      <c r="DI8" t="n">
        <v>0.000862124167288959</v>
      </c>
      <c r="DJ8" t="n">
        <v>3.40327538556632e-07</v>
      </c>
      <c r="DK8" t="n">
        <v>-2.02263791882896e-12</v>
      </c>
      <c r="DL8" t="n">
        <v>-0.0990909090909113</v>
      </c>
      <c r="DM8" t="n">
        <v>4</v>
      </c>
      <c r="DN8" t="n">
        <v>2115</v>
      </c>
      <c r="DO8" t="n">
        <v>-1</v>
      </c>
      <c r="DP8" t="n">
        <v>-1</v>
      </c>
      <c r="DQ8" t="n">
        <v>0.7</v>
      </c>
      <c r="DR8" t="n">
        <v>0.8</v>
      </c>
      <c r="DS8" t="n">
        <v>2.16919</v>
      </c>
      <c r="DT8" t="n">
        <v>2.65747</v>
      </c>
      <c r="DU8" t="n">
        <v>1.65161</v>
      </c>
      <c r="DV8" t="n">
        <v>2.27295</v>
      </c>
      <c r="DW8" t="n">
        <v>1.5979</v>
      </c>
      <c r="DX8" t="n">
        <v>2.47681</v>
      </c>
      <c r="DY8" t="n">
        <v>38.208</v>
      </c>
      <c r="DZ8" t="n">
        <v>23.8336</v>
      </c>
      <c r="EA8" t="n">
        <v>18</v>
      </c>
      <c r="EB8" t="n">
        <v>503.879</v>
      </c>
      <c r="EC8" t="n">
        <v>525.213</v>
      </c>
      <c r="ED8" t="n">
        <v>22.3455</v>
      </c>
      <c r="EE8" t="n">
        <v>29.2112</v>
      </c>
      <c r="EF8" t="n">
        <v>29.9999</v>
      </c>
      <c r="EG8" t="n">
        <v>29.4409</v>
      </c>
      <c r="EH8" t="n">
        <v>29.5083</v>
      </c>
      <c r="EI8" t="n">
        <v>43.3619</v>
      </c>
      <c r="EJ8" t="n">
        <v>21.2671</v>
      </c>
      <c r="EK8" t="n">
        <v>24.7458</v>
      </c>
      <c r="EL8" t="n">
        <v>22.4532</v>
      </c>
      <c r="EM8" t="n">
        <v>1000</v>
      </c>
      <c r="EN8" t="n">
        <v>16.3146</v>
      </c>
      <c r="EO8" t="n">
        <v>98.0044</v>
      </c>
      <c r="EP8" t="n">
        <v>95.4066</v>
      </c>
    </row>
    <row r="9">
      <c r="A9" t="n">
        <v>10</v>
      </c>
      <c r="B9" t="n">
        <v>1595361052.1</v>
      </c>
      <c r="C9" t="n">
        <v>1128.09999990463</v>
      </c>
      <c r="D9" t="n">
        <v>5</v>
      </c>
      <c r="E9" t="n">
        <v>1595361048.6</v>
      </c>
      <c r="F9" t="n">
        <v>0.00350624171100394</v>
      </c>
      <c r="G9" t="n">
        <v>3.506241711003939</v>
      </c>
      <c r="H9" t="n">
        <v>23.13167790078954</v>
      </c>
      <c r="I9" t="n">
        <v>1189.17166666667</v>
      </c>
      <c r="J9" t="n">
        <v>1019.974395148266</v>
      </c>
      <c r="K9" t="n">
        <v>0.1034139829807322</v>
      </c>
      <c r="L9" t="n">
        <v>0.1205686918052092</v>
      </c>
      <c r="M9" t="n">
        <v>0.265989611508572</v>
      </c>
      <c r="N9" t="n">
        <v>3.031809814306908</v>
      </c>
      <c r="O9" t="n">
        <v>0.2536719103840616</v>
      </c>
      <c r="P9" t="n">
        <v>0.1596040981764295</v>
      </c>
      <c r="Q9" t="n">
        <v>3.183958057069315</v>
      </c>
      <c r="R9" t="n">
        <v>54.96961625732267</v>
      </c>
      <c r="S9" t="n">
        <v>1.817128992476395</v>
      </c>
      <c r="T9" t="n">
        <v>3.305697067212706</v>
      </c>
      <c r="U9" t="n">
        <v>0.5</v>
      </c>
      <c r="V9" t="n">
        <v>265</v>
      </c>
      <c r="W9" t="n">
        <v>290</v>
      </c>
      <c r="X9" t="n">
        <v>705.59</v>
      </c>
      <c r="Y9" t="n">
        <v>195</v>
      </c>
      <c r="Z9" t="n">
        <v>8110.47</v>
      </c>
      <c r="AA9" t="n">
        <v>703.77</v>
      </c>
      <c r="AB9" t="n">
        <v>1.82</v>
      </c>
      <c r="AC9" t="n">
        <v>300</v>
      </c>
      <c r="AD9" t="n">
        <v>19.1</v>
      </c>
      <c r="AE9" t="n">
        <v>728.735623028316</v>
      </c>
      <c r="AF9" t="n">
        <v>2.43797327259926</v>
      </c>
      <c r="AG9" t="n">
        <v>-20.2484206340873</v>
      </c>
      <c r="AH9" t="n">
        <v>1.76826879160836</v>
      </c>
      <c r="AI9" t="n">
        <v>0.824037787313686</v>
      </c>
      <c r="AJ9" t="n">
        <v>-0.00536440111234705</v>
      </c>
      <c r="AK9" t="n">
        <v>290</v>
      </c>
      <c r="AL9" t="n">
        <v>697.3</v>
      </c>
      <c r="AM9" t="n">
        <v>615</v>
      </c>
      <c r="AN9" t="n">
        <v>8103.53</v>
      </c>
      <c r="AO9" t="n">
        <v>703.75</v>
      </c>
      <c r="AP9" t="n">
        <v>-6.45</v>
      </c>
      <c r="AQ9" t="n">
        <v>1500</v>
      </c>
      <c r="AR9" t="n">
        <v>2</v>
      </c>
      <c r="AS9" t="n">
        <v>0.5</v>
      </c>
      <c r="AT9" t="n">
        <v>2</v>
      </c>
      <c r="AU9" t="n">
        <v>1595361048.6</v>
      </c>
      <c r="AV9" t="n">
        <v>1189.17166666667</v>
      </c>
      <c r="AW9" t="n">
        <v>1200.09166666667</v>
      </c>
      <c r="AX9" t="n">
        <v>17.9223833333333</v>
      </c>
      <c r="AY9" t="n">
        <v>16.5450833333333</v>
      </c>
      <c r="AZ9" t="n">
        <v>1187.51833333333</v>
      </c>
      <c r="BA9" t="n">
        <v>18.02085</v>
      </c>
      <c r="BB9" t="n">
        <v>500.022</v>
      </c>
      <c r="BC9" t="n">
        <v>101.288833333333</v>
      </c>
      <c r="BD9" t="n">
        <v>0.09996963333333329</v>
      </c>
      <c r="BE9" t="n">
        <v>25.6535333333333</v>
      </c>
      <c r="BF9" t="n">
        <v>25.0225666666667</v>
      </c>
      <c r="BG9" t="n">
        <v>999.9</v>
      </c>
      <c r="BH9" t="n">
        <v>9996.875</v>
      </c>
      <c r="BI9" t="n">
        <v>7.17137</v>
      </c>
      <c r="BJ9" t="n">
        <v>1500</v>
      </c>
      <c r="BK9" t="n">
        <v>0.973001666666667</v>
      </c>
      <c r="BL9" t="n">
        <v>0.0269981666666667</v>
      </c>
      <c r="BM9" t="n">
        <v>220.825333333333</v>
      </c>
      <c r="BN9" t="n">
        <v>4.99999</v>
      </c>
      <c r="BO9" t="n">
        <v>3383.47</v>
      </c>
      <c r="BP9" t="n">
        <v>14882.5666666667</v>
      </c>
      <c r="BQ9" t="n">
        <v>36.3225</v>
      </c>
      <c r="BR9" t="n">
        <v>37.875</v>
      </c>
      <c r="BS9" t="n">
        <v>36.875</v>
      </c>
      <c r="BT9" t="n">
        <v>37.333</v>
      </c>
      <c r="BU9" t="n">
        <v>38</v>
      </c>
      <c r="BV9" t="n">
        <v>1454.64</v>
      </c>
      <c r="BW9" t="n">
        <v>40.36</v>
      </c>
      <c r="BX9" t="n">
        <v>6372.10000014305</v>
      </c>
      <c r="BY9" t="n">
        <v>220.75744</v>
      </c>
      <c r="BZ9" t="n">
        <v>-0.277769242586475</v>
      </c>
      <c r="CA9" t="n">
        <v>-2.86999997053512</v>
      </c>
      <c r="CB9" t="n">
        <v>3383.4928</v>
      </c>
      <c r="CC9" t="n">
        <v>15</v>
      </c>
      <c r="CD9" t="n">
        <v>1595360986.1</v>
      </c>
      <c r="CE9" t="n">
        <v>1595360986.1</v>
      </c>
      <c r="CF9" t="n">
        <v>1595360984.1</v>
      </c>
      <c r="CG9" t="n">
        <v>57</v>
      </c>
      <c r="CH9" t="n">
        <v>-0.007</v>
      </c>
      <c r="CI9" t="n">
        <v>0.001</v>
      </c>
      <c r="CJ9" t="n">
        <v>1.67</v>
      </c>
      <c r="CK9" t="n">
        <v>-0.098</v>
      </c>
      <c r="CL9" t="n">
        <v>1200</v>
      </c>
      <c r="CM9" t="n">
        <v>16</v>
      </c>
      <c r="CN9" t="n">
        <v>0.07000000000000001</v>
      </c>
      <c r="CO9" t="n">
        <v>0.05</v>
      </c>
      <c r="CP9" t="n">
        <v>23.0353480944793</v>
      </c>
      <c r="CQ9" t="n">
        <v>-0.06708945511085949</v>
      </c>
      <c r="CR9" t="n">
        <v>0.135752212460187</v>
      </c>
      <c r="CS9" t="n">
        <v>1</v>
      </c>
      <c r="CT9" t="n">
        <v>-10.903485</v>
      </c>
      <c r="CU9" t="n">
        <v>0.0743954887218254</v>
      </c>
      <c r="CV9" t="n">
        <v>0.0556706949390789</v>
      </c>
      <c r="CW9" t="n">
        <v>1</v>
      </c>
      <c r="CX9" t="n">
        <v>220.776941176471</v>
      </c>
      <c r="CY9" t="n">
        <v>-0.292253640714701</v>
      </c>
      <c r="CZ9" t="n">
        <v>0.392746284003574</v>
      </c>
      <c r="DA9" t="n">
        <v>1</v>
      </c>
      <c r="DB9" t="n">
        <v>3</v>
      </c>
      <c r="DC9" t="n">
        <v>3</v>
      </c>
      <c r="DD9" t="n">
        <v>100</v>
      </c>
      <c r="DE9" t="n">
        <v>100</v>
      </c>
      <c r="DF9" t="n">
        <v>1.66</v>
      </c>
      <c r="DG9" t="n">
        <v>-0.0984</v>
      </c>
      <c r="DH9" t="n">
        <v>0.151494142763978</v>
      </c>
      <c r="DI9" t="n">
        <v>0.000862124167288959</v>
      </c>
      <c r="DJ9" t="n">
        <v>3.40327538556632e-07</v>
      </c>
      <c r="DK9" t="n">
        <v>-2.02263791882896e-12</v>
      </c>
      <c r="DL9" t="n">
        <v>-0.0984500000000033</v>
      </c>
      <c r="DM9" t="n">
        <v>4</v>
      </c>
      <c r="DN9" t="n">
        <v>2115</v>
      </c>
      <c r="DO9" t="n">
        <v>-1</v>
      </c>
      <c r="DP9" t="n">
        <v>-1</v>
      </c>
      <c r="DQ9" t="n">
        <v>1.1</v>
      </c>
      <c r="DR9" t="n">
        <v>1.1</v>
      </c>
      <c r="DS9" t="n">
        <v>2.51709</v>
      </c>
      <c r="DT9" t="n">
        <v>2.65747</v>
      </c>
      <c r="DU9" t="n">
        <v>1.65161</v>
      </c>
      <c r="DV9" t="n">
        <v>2.27417</v>
      </c>
      <c r="DW9" t="n">
        <v>1.5979</v>
      </c>
      <c r="DX9" t="n">
        <v>2.60742</v>
      </c>
      <c r="DY9" t="n">
        <v>38.2324</v>
      </c>
      <c r="DZ9" t="n">
        <v>23.8423</v>
      </c>
      <c r="EA9" t="n">
        <v>18</v>
      </c>
      <c r="EB9" t="n">
        <v>504.057</v>
      </c>
      <c r="EC9" t="n">
        <v>526.1</v>
      </c>
      <c r="ED9" t="n">
        <v>22.345</v>
      </c>
      <c r="EE9" t="n">
        <v>29.2112</v>
      </c>
      <c r="EF9" t="n">
        <v>30.0002</v>
      </c>
      <c r="EG9" t="n">
        <v>29.4309</v>
      </c>
      <c r="EH9" t="n">
        <v>29.4957</v>
      </c>
      <c r="EI9" t="n">
        <v>50.3075</v>
      </c>
      <c r="EJ9" t="n">
        <v>19.3334</v>
      </c>
      <c r="EK9" t="n">
        <v>24.4897</v>
      </c>
      <c r="EL9" t="n">
        <v>22.3251</v>
      </c>
      <c r="EM9" t="n">
        <v>1200</v>
      </c>
      <c r="EN9" t="n">
        <v>16.516</v>
      </c>
      <c r="EO9" t="n">
        <v>98.0039</v>
      </c>
      <c r="EP9" t="n">
        <v>95.4067</v>
      </c>
    </row>
    <row r="10">
      <c r="A10" t="n">
        <v>11</v>
      </c>
      <c r="B10" t="n">
        <v>1595361175.1</v>
      </c>
      <c r="C10" t="n">
        <v>1251.09999990463</v>
      </c>
      <c r="D10" t="n">
        <v>5</v>
      </c>
      <c r="E10" t="n">
        <v>1595361171.6</v>
      </c>
      <c r="F10" t="n">
        <v>0.00276162016689906</v>
      </c>
      <c r="G10" t="n">
        <v>2.761620166899061</v>
      </c>
      <c r="H10" t="n">
        <v>22.65138574462939</v>
      </c>
      <c r="I10" t="n">
        <v>1489.34833333333</v>
      </c>
      <c r="J10" t="n">
        <v>1277.01188105347</v>
      </c>
      <c r="K10" t="n">
        <v>0.12947724522593</v>
      </c>
      <c r="L10" t="n">
        <v>0.1510062061621143</v>
      </c>
      <c r="M10" t="n">
        <v>0.2058929073456035</v>
      </c>
      <c r="N10" t="n">
        <v>3.032135418607329</v>
      </c>
      <c r="O10" t="n">
        <v>0.1984292476608653</v>
      </c>
      <c r="P10" t="n">
        <v>0.1246663186602513</v>
      </c>
      <c r="Q10" t="n">
        <v>3.181908874789535</v>
      </c>
      <c r="R10" t="n">
        <v>54.80348734478817</v>
      </c>
      <c r="S10" t="n">
        <v>1.805518207405229</v>
      </c>
      <c r="T10" t="n">
        <v>3.294531598046076</v>
      </c>
      <c r="U10" t="n">
        <v>0.5</v>
      </c>
      <c r="V10" t="n">
        <v>265</v>
      </c>
      <c r="W10" t="n">
        <v>290</v>
      </c>
      <c r="X10" t="n">
        <v>705.59</v>
      </c>
      <c r="Y10" t="n">
        <v>195</v>
      </c>
      <c r="Z10" t="n">
        <v>8110.47</v>
      </c>
      <c r="AA10" t="n">
        <v>703.77</v>
      </c>
      <c r="AB10" t="n">
        <v>1.82</v>
      </c>
      <c r="AC10" t="n">
        <v>300</v>
      </c>
      <c r="AD10" t="n">
        <v>19.1</v>
      </c>
      <c r="AE10" t="n">
        <v>728.735623028316</v>
      </c>
      <c r="AF10" t="n">
        <v>2.43797327259926</v>
      </c>
      <c r="AG10" t="n">
        <v>-20.2484206340873</v>
      </c>
      <c r="AH10" t="n">
        <v>1.76826879160836</v>
      </c>
      <c r="AI10" t="n">
        <v>0.824037787313686</v>
      </c>
      <c r="AJ10" t="n">
        <v>-0.00536440111234705</v>
      </c>
      <c r="AK10" t="n">
        <v>290</v>
      </c>
      <c r="AL10" t="n">
        <v>697.3</v>
      </c>
      <c r="AM10" t="n">
        <v>615</v>
      </c>
      <c r="AN10" t="n">
        <v>8103.53</v>
      </c>
      <c r="AO10" t="n">
        <v>703.75</v>
      </c>
      <c r="AP10" t="n">
        <v>-6.45</v>
      </c>
      <c r="AQ10" t="n">
        <v>1500.00666666667</v>
      </c>
      <c r="AR10" t="n">
        <v>2</v>
      </c>
      <c r="AS10" t="n">
        <v>0.5</v>
      </c>
      <c r="AT10" t="n">
        <v>2</v>
      </c>
      <c r="AU10" t="n">
        <v>1595361171.6</v>
      </c>
      <c r="AV10" t="n">
        <v>1489.34833333333</v>
      </c>
      <c r="AW10" t="n">
        <v>1500.05333333333</v>
      </c>
      <c r="AX10" t="n">
        <v>17.8075166666667</v>
      </c>
      <c r="AY10" t="n">
        <v>16.7226166666667</v>
      </c>
      <c r="AZ10" t="n">
        <v>1487.00833333333</v>
      </c>
      <c r="BA10" t="n">
        <v>17.9051166666667</v>
      </c>
      <c r="BB10" t="n">
        <v>500.0355</v>
      </c>
      <c r="BC10" t="n">
        <v>101.290833333333</v>
      </c>
      <c r="BD10" t="n">
        <v>0.09995805000000001</v>
      </c>
      <c r="BE10" t="n">
        <v>25.5965166666667</v>
      </c>
      <c r="BF10" t="n">
        <v>25.0117666666667</v>
      </c>
      <c r="BG10" t="n">
        <v>999.9</v>
      </c>
      <c r="BH10" t="n">
        <v>9998.645</v>
      </c>
      <c r="BI10" t="n">
        <v>7.17137</v>
      </c>
      <c r="BJ10" t="n">
        <v>1500.00666666667</v>
      </c>
      <c r="BK10" t="n">
        <v>0.9730025</v>
      </c>
      <c r="BL10" t="n">
        <v>0.0269973</v>
      </c>
      <c r="BM10" t="n">
        <v>218.553666666667</v>
      </c>
      <c r="BN10" t="n">
        <v>4.99999</v>
      </c>
      <c r="BO10" t="n">
        <v>3352.13166666667</v>
      </c>
      <c r="BP10" t="n">
        <v>14882.6666666667</v>
      </c>
      <c r="BQ10" t="n">
        <v>36.354</v>
      </c>
      <c r="BR10" t="n">
        <v>37.875</v>
      </c>
      <c r="BS10" t="n">
        <v>36.8853333333333</v>
      </c>
      <c r="BT10" t="n">
        <v>37.312</v>
      </c>
      <c r="BU10" t="n">
        <v>38</v>
      </c>
      <c r="BV10" t="n">
        <v>1454.64666666667</v>
      </c>
      <c r="BW10" t="n">
        <v>40.36</v>
      </c>
      <c r="BX10" t="n">
        <v>6495.10000014305</v>
      </c>
      <c r="BY10" t="n">
        <v>218.580346153846</v>
      </c>
      <c r="BZ10" t="n">
        <v>2.16085471209694</v>
      </c>
      <c r="CA10" t="n">
        <v>0.456068393006208</v>
      </c>
      <c r="CB10" t="n">
        <v>3352.03769230769</v>
      </c>
      <c r="CC10" t="n">
        <v>15</v>
      </c>
      <c r="CD10" t="n">
        <v>1595361107.1</v>
      </c>
      <c r="CE10" t="n">
        <v>1595361107.1</v>
      </c>
      <c r="CF10" t="n">
        <v>1595361106.1</v>
      </c>
      <c r="CG10" t="n">
        <v>58</v>
      </c>
      <c r="CH10" t="n">
        <v>0.16</v>
      </c>
      <c r="CI10" t="n">
        <v>0.001</v>
      </c>
      <c r="CJ10" t="n">
        <v>2.36</v>
      </c>
      <c r="CK10" t="n">
        <v>-0.098</v>
      </c>
      <c r="CL10" t="n">
        <v>1500</v>
      </c>
      <c r="CM10" t="n">
        <v>17</v>
      </c>
      <c r="CN10" t="n">
        <v>0.16</v>
      </c>
      <c r="CO10" t="n">
        <v>0.04</v>
      </c>
      <c r="CP10" t="n">
        <v>22.6139814784114</v>
      </c>
      <c r="CQ10" t="n">
        <v>-0.596706368648831</v>
      </c>
      <c r="CR10" t="n">
        <v>0.16145721495725</v>
      </c>
      <c r="CS10" t="n">
        <v>1</v>
      </c>
      <c r="CT10" t="n">
        <v>-10.7194571428571</v>
      </c>
      <c r="CU10" t="n">
        <v>0.41355584415585</v>
      </c>
      <c r="CV10" t="n">
        <v>0.0730499344638313</v>
      </c>
      <c r="CW10" t="n">
        <v>1</v>
      </c>
      <c r="CX10" t="n">
        <v>218.546735294118</v>
      </c>
      <c r="CY10" t="n">
        <v>-0.459358277522164</v>
      </c>
      <c r="CZ10" t="n">
        <v>0.415179926185342</v>
      </c>
      <c r="DA10" t="n">
        <v>1</v>
      </c>
      <c r="DB10" t="n">
        <v>3</v>
      </c>
      <c r="DC10" t="n">
        <v>3</v>
      </c>
      <c r="DD10" t="n">
        <v>100</v>
      </c>
      <c r="DE10" t="n">
        <v>100</v>
      </c>
      <c r="DF10" t="n">
        <v>2.34</v>
      </c>
      <c r="DG10" t="n">
        <v>-0.09760000000000001</v>
      </c>
      <c r="DH10" t="n">
        <v>0.311881926282714</v>
      </c>
      <c r="DI10" t="n">
        <v>0.000862124167288959</v>
      </c>
      <c r="DJ10" t="n">
        <v>3.40327538556632e-07</v>
      </c>
      <c r="DK10" t="n">
        <v>-2.02263791882896e-12</v>
      </c>
      <c r="DL10" t="n">
        <v>-0.09758999999999669</v>
      </c>
      <c r="DM10" t="n">
        <v>4</v>
      </c>
      <c r="DN10" t="n">
        <v>2115</v>
      </c>
      <c r="DO10" t="n">
        <v>-1</v>
      </c>
      <c r="DP10" t="n">
        <v>-1</v>
      </c>
      <c r="DQ10" t="n">
        <v>1.1</v>
      </c>
      <c r="DR10" t="n">
        <v>1.1</v>
      </c>
      <c r="DS10" t="n">
        <v>3.01758</v>
      </c>
      <c r="DT10" t="n">
        <v>2.63916</v>
      </c>
      <c r="DU10" t="n">
        <v>1.65161</v>
      </c>
      <c r="DV10" t="n">
        <v>2.27417</v>
      </c>
      <c r="DW10" t="n">
        <v>1.5979</v>
      </c>
      <c r="DX10" t="n">
        <v>2.65015</v>
      </c>
      <c r="DY10" t="n">
        <v>38.2324</v>
      </c>
      <c r="DZ10" t="n">
        <v>23.8423</v>
      </c>
      <c r="EA10" t="n">
        <v>18</v>
      </c>
      <c r="EB10" t="n">
        <v>503.87</v>
      </c>
      <c r="EC10" t="n">
        <v>527.008</v>
      </c>
      <c r="ED10" t="n">
        <v>22.1867</v>
      </c>
      <c r="EE10" t="n">
        <v>29.2161</v>
      </c>
      <c r="EF10" t="n">
        <v>30.0001</v>
      </c>
      <c r="EG10" t="n">
        <v>29.4284</v>
      </c>
      <c r="EH10" t="n">
        <v>29.4932</v>
      </c>
      <c r="EI10" t="n">
        <v>60.3356</v>
      </c>
      <c r="EJ10" t="n">
        <v>18.11</v>
      </c>
      <c r="EK10" t="n">
        <v>24.7511</v>
      </c>
      <c r="EL10" t="n">
        <v>22.1756</v>
      </c>
      <c r="EM10" t="n">
        <v>1500</v>
      </c>
      <c r="EN10" t="n">
        <v>16.8257</v>
      </c>
      <c r="EO10" t="n">
        <v>98.0012</v>
      </c>
      <c r="EP10" t="n">
        <v>95.3984</v>
      </c>
    </row>
    <row r="11">
      <c r="A11" t="n">
        <v>12</v>
      </c>
      <c r="B11" t="n">
        <v>1595361299.1</v>
      </c>
      <c r="C11" t="n">
        <v>1375.09999990463</v>
      </c>
      <c r="D11" t="n">
        <v>5</v>
      </c>
      <c r="E11" t="n">
        <v>1595361295.6</v>
      </c>
      <c r="F11" t="n">
        <v>0.002113204290769357</v>
      </c>
      <c r="G11" t="n">
        <v>2.113204290769358</v>
      </c>
      <c r="H11" t="n">
        <v>23.18707913340412</v>
      </c>
      <c r="I11" t="n">
        <v>1789.24666666667</v>
      </c>
      <c r="J11" t="n">
        <v>1509.305780167791</v>
      </c>
      <c r="K11" t="n">
        <v>0.1530338068406158</v>
      </c>
      <c r="L11" t="n">
        <v>0.1814179951967339</v>
      </c>
      <c r="M11" t="n">
        <v>0.1561731994976206</v>
      </c>
      <c r="N11" t="n">
        <v>3.032334251997639</v>
      </c>
      <c r="O11" t="n">
        <v>0.151838433095132</v>
      </c>
      <c r="P11" t="n">
        <v>0.09527846060278891</v>
      </c>
      <c r="Q11" t="n">
        <v>3.180167344112157</v>
      </c>
      <c r="R11" t="n">
        <v>54.92420889638728</v>
      </c>
      <c r="S11" t="n">
        <v>1.803709382433053</v>
      </c>
      <c r="T11" t="n">
        <v>3.28399701821048</v>
      </c>
      <c r="U11" t="n">
        <v>0.5</v>
      </c>
      <c r="V11" t="n">
        <v>265</v>
      </c>
      <c r="W11" t="n">
        <v>290</v>
      </c>
      <c r="X11" t="n">
        <v>705.59</v>
      </c>
      <c r="Y11" t="n">
        <v>195</v>
      </c>
      <c r="Z11" t="n">
        <v>8110.47</v>
      </c>
      <c r="AA11" t="n">
        <v>703.77</v>
      </c>
      <c r="AB11" t="n">
        <v>1.82</v>
      </c>
      <c r="AC11" t="n">
        <v>300</v>
      </c>
      <c r="AD11" t="n">
        <v>19.1</v>
      </c>
      <c r="AE11" t="n">
        <v>728.735623028316</v>
      </c>
      <c r="AF11" t="n">
        <v>2.43797327259926</v>
      </c>
      <c r="AG11" t="n">
        <v>-20.2484206340873</v>
      </c>
      <c r="AH11" t="n">
        <v>1.76826879160836</v>
      </c>
      <c r="AI11" t="n">
        <v>0.824037787313686</v>
      </c>
      <c r="AJ11" t="n">
        <v>-0.00536440111234705</v>
      </c>
      <c r="AK11" t="n">
        <v>290</v>
      </c>
      <c r="AL11" t="n">
        <v>697.3</v>
      </c>
      <c r="AM11" t="n">
        <v>615</v>
      </c>
      <c r="AN11" t="n">
        <v>8103.53</v>
      </c>
      <c r="AO11" t="n">
        <v>703.75</v>
      </c>
      <c r="AP11" t="n">
        <v>-6.45</v>
      </c>
      <c r="AQ11" t="n">
        <v>1499.96666666667</v>
      </c>
      <c r="AR11" t="n">
        <v>2</v>
      </c>
      <c r="AS11" t="n">
        <v>0.5</v>
      </c>
      <c r="AT11" t="n">
        <v>2</v>
      </c>
      <c r="AU11" t="n">
        <v>1595361295.6</v>
      </c>
      <c r="AV11" t="n">
        <v>1789.24666666667</v>
      </c>
      <c r="AW11" t="n">
        <v>1800.03333333333</v>
      </c>
      <c r="AX11" t="n">
        <v>17.7892</v>
      </c>
      <c r="AY11" t="n">
        <v>16.959</v>
      </c>
      <c r="AZ11" t="n">
        <v>1786.595</v>
      </c>
      <c r="BA11" t="n">
        <v>17.8821666666667</v>
      </c>
      <c r="BB11" t="n">
        <v>500.027</v>
      </c>
      <c r="BC11" t="n">
        <v>101.2935</v>
      </c>
      <c r="BD11" t="n">
        <v>0.100007433333333</v>
      </c>
      <c r="BE11" t="n">
        <v>25.5425666666667</v>
      </c>
      <c r="BF11" t="n">
        <v>25.0025833333333</v>
      </c>
      <c r="BG11" t="n">
        <v>999.9</v>
      </c>
      <c r="BH11" t="n">
        <v>9999.58333333333</v>
      </c>
      <c r="BI11" t="n">
        <v>7.126665</v>
      </c>
      <c r="BJ11" t="n">
        <v>1499.96666666667</v>
      </c>
      <c r="BK11" t="n">
        <v>0.973001666666667</v>
      </c>
      <c r="BL11" t="n">
        <v>0.02699815</v>
      </c>
      <c r="BM11" t="n">
        <v>217.958666666667</v>
      </c>
      <c r="BN11" t="n">
        <v>4.99999</v>
      </c>
      <c r="BO11" t="n">
        <v>3340.47833333333</v>
      </c>
      <c r="BP11" t="n">
        <v>14882.2666666667</v>
      </c>
      <c r="BQ11" t="n">
        <v>36.3225</v>
      </c>
      <c r="BR11" t="n">
        <v>37.875</v>
      </c>
      <c r="BS11" t="n">
        <v>36.8853333333333</v>
      </c>
      <c r="BT11" t="n">
        <v>37.3225</v>
      </c>
      <c r="BU11" t="n">
        <v>38</v>
      </c>
      <c r="BV11" t="n">
        <v>1454.60666666667</v>
      </c>
      <c r="BW11" t="n">
        <v>40.36</v>
      </c>
      <c r="BX11" t="n">
        <v>6619.30000019073</v>
      </c>
      <c r="BY11" t="n">
        <v>217.8178</v>
      </c>
      <c r="BZ11" t="n">
        <v>1.90430767522712</v>
      </c>
      <c r="CA11" t="n">
        <v>-1.81153842268637</v>
      </c>
      <c r="CB11" t="n">
        <v>3340.692</v>
      </c>
      <c r="CC11" t="n">
        <v>15</v>
      </c>
      <c r="CD11" t="n">
        <v>1595361239.1</v>
      </c>
      <c r="CE11" t="n">
        <v>1595361239.1</v>
      </c>
      <c r="CF11" t="n">
        <v>1595361229.1</v>
      </c>
      <c r="CG11" t="n">
        <v>59</v>
      </c>
      <c r="CH11" t="n">
        <v>-0.276</v>
      </c>
      <c r="CI11" t="n">
        <v>0.005</v>
      </c>
      <c r="CJ11" t="n">
        <v>2.674</v>
      </c>
      <c r="CK11" t="n">
        <v>-0.093</v>
      </c>
      <c r="CL11" t="n">
        <v>1800</v>
      </c>
      <c r="CM11" t="n">
        <v>17</v>
      </c>
      <c r="CN11" t="n">
        <v>0.29</v>
      </c>
      <c r="CO11" t="n">
        <v>0.06</v>
      </c>
      <c r="CP11" t="n">
        <v>23.1041994441982</v>
      </c>
      <c r="CQ11" t="n">
        <v>0.140764446859461</v>
      </c>
      <c r="CR11" t="n">
        <v>0.319055641689032</v>
      </c>
      <c r="CS11" t="n">
        <v>1</v>
      </c>
      <c r="CT11" t="n">
        <v>-10.7805238095238</v>
      </c>
      <c r="CU11" t="n">
        <v>0.0888857142856901</v>
      </c>
      <c r="CV11" t="n">
        <v>0.128910337628106</v>
      </c>
      <c r="CW11" t="n">
        <v>1</v>
      </c>
      <c r="CX11" t="n">
        <v>217.744676470588</v>
      </c>
      <c r="CY11" t="n">
        <v>0.498655455010437</v>
      </c>
      <c r="CZ11" t="n">
        <v>0.410505765567323</v>
      </c>
      <c r="DA11" t="n">
        <v>1</v>
      </c>
      <c r="DB11" t="n">
        <v>3</v>
      </c>
      <c r="DC11" t="n">
        <v>3</v>
      </c>
      <c r="DD11" t="n">
        <v>100</v>
      </c>
      <c r="DE11" t="n">
        <v>100</v>
      </c>
      <c r="DF11" t="n">
        <v>2.65</v>
      </c>
      <c r="DG11" t="n">
        <v>-0.093</v>
      </c>
      <c r="DH11" t="n">
        <v>0.0360506723189069</v>
      </c>
      <c r="DI11" t="n">
        <v>0.000862124167288959</v>
      </c>
      <c r="DJ11" t="n">
        <v>3.40327538556632e-07</v>
      </c>
      <c r="DK11" t="n">
        <v>-2.02263791882896e-12</v>
      </c>
      <c r="DL11" t="n">
        <v>-0.0929499999999983</v>
      </c>
      <c r="DM11" t="n">
        <v>4</v>
      </c>
      <c r="DN11" t="n">
        <v>2115</v>
      </c>
      <c r="DO11" t="n">
        <v>-1</v>
      </c>
      <c r="DP11" t="n">
        <v>-1</v>
      </c>
      <c r="DQ11" t="n">
        <v>1</v>
      </c>
      <c r="DR11" t="n">
        <v>1.2</v>
      </c>
      <c r="DS11" t="n">
        <v>3.49609</v>
      </c>
      <c r="DT11" t="n">
        <v>2.65015</v>
      </c>
      <c r="DU11" t="n">
        <v>1.65161</v>
      </c>
      <c r="DV11" t="n">
        <v>2.27417</v>
      </c>
      <c r="DW11" t="n">
        <v>1.5979</v>
      </c>
      <c r="DX11" t="n">
        <v>2.59399</v>
      </c>
      <c r="DY11" t="n">
        <v>38.2568</v>
      </c>
      <c r="DZ11" t="n">
        <v>23.8336</v>
      </c>
      <c r="EA11" t="n">
        <v>18</v>
      </c>
      <c r="EB11" t="n">
        <v>503.875</v>
      </c>
      <c r="EC11" t="n">
        <v>527.734</v>
      </c>
      <c r="ED11" t="n">
        <v>22.1751</v>
      </c>
      <c r="EE11" t="n">
        <v>29.2237</v>
      </c>
      <c r="EF11" t="n">
        <v>29.9999</v>
      </c>
      <c r="EG11" t="n">
        <v>29.4309</v>
      </c>
      <c r="EH11" t="n">
        <v>29.4932</v>
      </c>
      <c r="EI11" t="n">
        <v>69.8758</v>
      </c>
      <c r="EJ11" t="n">
        <v>18.1226</v>
      </c>
      <c r="EK11" t="n">
        <v>25.9329</v>
      </c>
      <c r="EL11" t="n">
        <v>22.1644</v>
      </c>
      <c r="EM11" t="n">
        <v>1800</v>
      </c>
      <c r="EN11" t="n">
        <v>16.9983</v>
      </c>
      <c r="EO11" t="n">
        <v>98.0018</v>
      </c>
      <c r="EP11" t="n">
        <v>95.3931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14.6100750109764</v>
      </c>
      <c r="B2" t="n">
        <v>291.9196002932439</v>
      </c>
      <c r="C2" t="n">
        <v>0.2581282568924135</v>
      </c>
      <c r="D2" t="n">
        <v>54.9</v>
      </c>
      <c r="E2" t="n">
        <v>0</v>
      </c>
      <c r="F2" t="n">
        <v>1500</v>
      </c>
      <c r="G2" t="n">
        <v>400</v>
      </c>
      <c r="H2" t="n">
        <v>393.6</v>
      </c>
      <c r="I2" t="n">
        <v>500</v>
      </c>
      <c r="J2" t="n">
        <v>25.6</v>
      </c>
      <c r="K2" t="n">
        <v>25</v>
      </c>
      <c r="L2" t="n">
        <v>10040.6</v>
      </c>
    </row>
    <row r="3">
      <c r="A3" t="n">
        <v>10.87635502668277</v>
      </c>
      <c r="B3" t="n">
        <v>218.1800196614917</v>
      </c>
      <c r="C3" t="n">
        <v>0.253117082136304</v>
      </c>
      <c r="D3" t="n">
        <v>55.1</v>
      </c>
      <c r="E3" t="n">
        <v>0</v>
      </c>
      <c r="F3" t="n">
        <v>1500</v>
      </c>
      <c r="G3" t="n">
        <v>300</v>
      </c>
      <c r="H3" t="n">
        <v>295.3</v>
      </c>
      <c r="I3" t="n">
        <v>500</v>
      </c>
      <c r="J3" t="n">
        <v>25.6</v>
      </c>
      <c r="K3" t="n">
        <v>25</v>
      </c>
      <c r="L3" t="n">
        <v>10005.3</v>
      </c>
    </row>
    <row r="4">
      <c r="A4" t="n">
        <v>6.555536659346079</v>
      </c>
      <c r="B4" t="n">
        <v>151.682008844126</v>
      </c>
      <c r="C4" t="n">
        <v>0.2623012031506404</v>
      </c>
      <c r="D4" t="n">
        <v>55.1</v>
      </c>
      <c r="E4" t="n">
        <v>0</v>
      </c>
      <c r="F4" t="n">
        <v>1500</v>
      </c>
      <c r="G4" t="n">
        <v>200</v>
      </c>
      <c r="H4" t="n">
        <v>197.1</v>
      </c>
      <c r="I4" t="n">
        <v>500</v>
      </c>
      <c r="J4" t="n">
        <v>25.6</v>
      </c>
      <c r="K4" t="n">
        <v>25</v>
      </c>
      <c r="L4" t="n">
        <v>9991.200000000001</v>
      </c>
    </row>
    <row r="5">
      <c r="A5" t="n">
        <v>1.818385599088393</v>
      </c>
      <c r="B5" t="n">
        <v>86.29142709388057</v>
      </c>
      <c r="C5" t="n">
        <v>0.2805224763923948</v>
      </c>
      <c r="D5" t="n">
        <v>55.2</v>
      </c>
      <c r="E5" t="n">
        <v>0</v>
      </c>
      <c r="F5" t="n">
        <v>1500</v>
      </c>
      <c r="G5" t="n">
        <v>100</v>
      </c>
      <c r="H5" t="n">
        <v>99.09999999999999</v>
      </c>
      <c r="I5" t="n">
        <v>500</v>
      </c>
      <c r="J5" t="n">
        <v>25.6</v>
      </c>
      <c r="K5" t="n">
        <v>25</v>
      </c>
      <c r="L5" t="n">
        <v>10008.9</v>
      </c>
    </row>
    <row r="6">
      <c r="A6" t="n">
        <v>-0.6403157652219856</v>
      </c>
      <c r="B6" t="n">
        <v>52.48879597622492</v>
      </c>
      <c r="C6" t="n">
        <v>0.3136295458252401</v>
      </c>
      <c r="D6" t="n">
        <v>55.1</v>
      </c>
      <c r="E6" t="n">
        <v>0</v>
      </c>
      <c r="F6" t="n">
        <v>1500</v>
      </c>
      <c r="G6" t="n">
        <v>50</v>
      </c>
      <c r="H6" t="n">
        <v>50.2</v>
      </c>
      <c r="I6" t="n">
        <v>500</v>
      </c>
      <c r="J6" t="n">
        <v>25.6</v>
      </c>
      <c r="K6" t="n">
        <v>25</v>
      </c>
      <c r="L6" t="n">
        <v>9997.5</v>
      </c>
    </row>
    <row r="7">
      <c r="A7" t="n">
        <v>14.52606683459223</v>
      </c>
      <c r="B7" t="n">
        <v>316.2577005008593</v>
      </c>
      <c r="C7" t="n">
        <v>0.3526694447033052</v>
      </c>
      <c r="D7" t="n">
        <v>55.2</v>
      </c>
      <c r="E7" t="n">
        <v>0</v>
      </c>
      <c r="F7" t="n">
        <v>1500</v>
      </c>
      <c r="G7" t="n">
        <v>400</v>
      </c>
      <c r="H7" t="n">
        <v>393.5</v>
      </c>
      <c r="I7" t="n">
        <v>500</v>
      </c>
      <c r="J7" t="n">
        <v>25.7</v>
      </c>
      <c r="K7" t="n">
        <v>25</v>
      </c>
      <c r="L7" t="n">
        <v>9989.200000000001</v>
      </c>
    </row>
    <row r="8">
      <c r="A8" t="n">
        <v>15.92677780540736</v>
      </c>
      <c r="B8" t="n">
        <v>314.0989705123969</v>
      </c>
      <c r="C8" t="n">
        <v>0.379665005061023</v>
      </c>
      <c r="D8" t="n">
        <v>55</v>
      </c>
      <c r="E8" t="n">
        <v>0</v>
      </c>
      <c r="F8" t="n">
        <v>1500</v>
      </c>
      <c r="G8" t="n">
        <v>400</v>
      </c>
      <c r="H8" t="n">
        <v>392.9</v>
      </c>
      <c r="I8" t="n">
        <v>500</v>
      </c>
      <c r="J8" t="n">
        <v>25.7</v>
      </c>
      <c r="K8" t="n">
        <v>25</v>
      </c>
      <c r="L8" t="n">
        <v>9980.799999999999</v>
      </c>
    </row>
    <row r="9">
      <c r="A9" t="n">
        <v>21.53279816167064</v>
      </c>
      <c r="B9" t="n">
        <v>579.0881566002369</v>
      </c>
      <c r="C9" t="n">
        <v>0.3752454443709887</v>
      </c>
      <c r="D9" t="n">
        <v>55.1</v>
      </c>
      <c r="E9" t="n">
        <v>0</v>
      </c>
      <c r="F9" t="n">
        <v>1500</v>
      </c>
      <c r="G9" t="n">
        <v>700</v>
      </c>
      <c r="H9" t="n">
        <v>690.1</v>
      </c>
      <c r="I9" t="n">
        <v>500</v>
      </c>
      <c r="J9" t="n">
        <v>25.7</v>
      </c>
      <c r="K9" t="n">
        <v>25</v>
      </c>
      <c r="L9" t="n">
        <v>9994.200000000001</v>
      </c>
    </row>
    <row r="10">
      <c r="A10" t="n">
        <v>23.00082487335797</v>
      </c>
      <c r="B10" t="n">
        <v>854.0572882399534</v>
      </c>
      <c r="C10" t="n">
        <v>0.3368452322433791</v>
      </c>
      <c r="D10" t="n">
        <v>55</v>
      </c>
      <c r="E10" t="n">
        <v>0</v>
      </c>
      <c r="F10" t="n">
        <v>1500</v>
      </c>
      <c r="G10" t="n">
        <v>1000</v>
      </c>
      <c r="H10" t="n">
        <v>989.1</v>
      </c>
      <c r="I10" t="n">
        <v>500.1</v>
      </c>
      <c r="J10" t="n">
        <v>25.7</v>
      </c>
      <c r="K10" t="n">
        <v>25</v>
      </c>
      <c r="L10" t="n">
        <v>10006</v>
      </c>
    </row>
    <row r="11">
      <c r="A11" t="n">
        <v>23.13167790078954</v>
      </c>
      <c r="B11" t="n">
        <v>1019.974395148266</v>
      </c>
      <c r="C11" t="n">
        <v>0.265989611508572</v>
      </c>
      <c r="D11" t="n">
        <v>55</v>
      </c>
      <c r="E11" t="n">
        <v>0</v>
      </c>
      <c r="F11" t="n">
        <v>1500</v>
      </c>
      <c r="G11" t="n">
        <v>1200.1</v>
      </c>
      <c r="H11" t="n">
        <v>1189.2</v>
      </c>
      <c r="I11" t="n">
        <v>500</v>
      </c>
      <c r="J11" t="n">
        <v>25.7</v>
      </c>
      <c r="K11" t="n">
        <v>25</v>
      </c>
      <c r="L11" t="n">
        <v>9996.9</v>
      </c>
    </row>
    <row r="12">
      <c r="A12" t="n">
        <v>22.65138574462939</v>
      </c>
      <c r="B12" t="n">
        <v>1277.01188105347</v>
      </c>
      <c r="C12" t="n">
        <v>0.2058929073456035</v>
      </c>
      <c r="D12" t="n">
        <v>54.8</v>
      </c>
      <c r="E12" t="n">
        <v>0</v>
      </c>
      <c r="F12" t="n">
        <v>1500</v>
      </c>
      <c r="G12" t="n">
        <v>1500.1</v>
      </c>
      <c r="H12" t="n">
        <v>1489.3</v>
      </c>
      <c r="I12" t="n">
        <v>500</v>
      </c>
      <c r="J12" t="n">
        <v>25.6</v>
      </c>
      <c r="K12" t="n">
        <v>25</v>
      </c>
      <c r="L12" t="n">
        <v>9998.6</v>
      </c>
    </row>
    <row r="13">
      <c r="A13" t="n">
        <v>23.18707913340412</v>
      </c>
      <c r="B13" t="n">
        <v>1509.305780167791</v>
      </c>
      <c r="C13" t="n">
        <v>0.1561731994976206</v>
      </c>
      <c r="D13" t="n">
        <v>54.9</v>
      </c>
      <c r="E13" t="n">
        <v>0</v>
      </c>
      <c r="F13" t="n">
        <v>1500</v>
      </c>
      <c r="G13" t="n">
        <v>1800</v>
      </c>
      <c r="H13" t="n">
        <v>1789.2</v>
      </c>
      <c r="I13" t="n">
        <v>500</v>
      </c>
      <c r="J13" t="n">
        <v>25.5</v>
      </c>
      <c r="K13" t="n">
        <v>25</v>
      </c>
      <c r="L13" t="n">
        <v>9999.6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2026-10-19T16:59:39Z</dcterms:created>
  <dcterms:modified xmlns:dcterms="http://purl.org/dc/terms/" xmlns:xsi="http://www.w3.org/2001/XMLSchema-instance" xsi:type="dcterms:W3CDTF">2026-10-19T09:23:54Z</dcterms:modified>
</cp:coreProperties>
</file>