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3.67316 215.33 352.128 586.696 876.376 1080.25 1251.47 1368.14</t>
        </is>
      </c>
      <c r="G13" t="inlineStr">
        <is>
          <t>-0.129226 238.723 377.082 583.062 812.664 1001.14 1203.78 1400.74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CO2_hrs</t>
        </is>
      </c>
      <c r="HK15" t="inlineStr">
        <is>
          <t>AccH2O_des</t>
        </is>
      </c>
      <c r="HL15" t="inlineStr">
        <is>
          <t>AccCO2_soda</t>
        </is>
      </c>
      <c r="HM15" t="inlineStr">
        <is>
          <t>AccH2O_hum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hrs</t>
        </is>
      </c>
      <c r="HK16" t="inlineStr">
        <is>
          <t>mg</t>
        </is>
      </c>
      <c r="HL16" t="inlineStr">
        <is>
          <t>mg</t>
        </is>
      </c>
      <c r="HM16" t="inlineStr">
        <is>
          <t>mg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1792373452</v>
      </c>
      <c r="C17" t="n">
        <v>0</v>
      </c>
      <c r="D17" t="inlineStr">
        <is>
          <t>20261019 10:30:52</t>
        </is>
      </c>
      <c r="E17" t="inlineStr">
        <is>
          <t>10:30:52</t>
        </is>
      </c>
      <c r="F17" t="n">
        <v>5</v>
      </c>
      <c r="G17" t="n">
        <v>1792373443.5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1792373443.5</v>
      </c>
      <c r="DC17" t="n">
        <v>394.72325</v>
      </c>
      <c r="DD17" t="n">
        <v>399.957125</v>
      </c>
      <c r="DE17" t="n">
        <v>16.91870625</v>
      </c>
      <c r="DF17" t="n">
        <v>15.93898125</v>
      </c>
      <c r="DG17" t="n">
        <v>394.3478125</v>
      </c>
      <c r="DH17" t="n">
        <v>17.05408125</v>
      </c>
      <c r="DI17" t="n">
        <v>500.1011875</v>
      </c>
      <c r="DJ17" t="n">
        <v>101.4660625</v>
      </c>
      <c r="DK17" t="n">
        <v>0.10004996875</v>
      </c>
      <c r="DL17" t="n">
        <v>24.671625</v>
      </c>
      <c r="DM17" t="n">
        <v>24.9471125</v>
      </c>
      <c r="DN17" t="n">
        <v>999.9</v>
      </c>
      <c r="DO17" t="n">
        <v>0</v>
      </c>
      <c r="DP17" t="n">
        <v>0</v>
      </c>
      <c r="DQ17" t="n">
        <v>9999.696250000001</v>
      </c>
      <c r="DR17" t="n">
        <v>0</v>
      </c>
      <c r="DS17" t="n">
        <v>6.60177</v>
      </c>
      <c r="DT17" t="n">
        <v>-5.233901875</v>
      </c>
      <c r="DU17" t="n">
        <v>401.5163125</v>
      </c>
      <c r="DV17" t="n">
        <v>406.4353125</v>
      </c>
      <c r="DW17" t="n">
        <v>0.979730875</v>
      </c>
      <c r="DX17" t="n">
        <v>399.957125</v>
      </c>
      <c r="DY17" t="n">
        <v>15.93898125</v>
      </c>
      <c r="DZ17" t="n">
        <v>1.716675</v>
      </c>
      <c r="EA17" t="n">
        <v>1.61726375</v>
      </c>
      <c r="EB17" t="n">
        <v>15.04803125</v>
      </c>
      <c r="EC17" t="n">
        <v>14.12429375</v>
      </c>
      <c r="ED17" t="n">
        <v>1499.9825</v>
      </c>
      <c r="EE17" t="n">
        <v>0.9729965</v>
      </c>
      <c r="EF17" t="n">
        <v>0.0270031</v>
      </c>
      <c r="EG17" t="n">
        <v>0</v>
      </c>
      <c r="EH17" t="n">
        <v>265.22875</v>
      </c>
      <c r="EI17" t="n">
        <v>5.00064</v>
      </c>
      <c r="EJ17" t="n">
        <v>4241.801875</v>
      </c>
      <c r="EK17" t="n">
        <v>15439.0375</v>
      </c>
      <c r="EL17" t="n">
        <v>39.875</v>
      </c>
      <c r="EM17" t="n">
        <v>40.601375</v>
      </c>
      <c r="EN17" t="n">
        <v>40.226375</v>
      </c>
      <c r="EO17" t="n">
        <v>40.2224375</v>
      </c>
      <c r="EP17" t="n">
        <v>41.437</v>
      </c>
      <c r="EQ17" t="n">
        <v>1454.6125</v>
      </c>
      <c r="ER17" t="n">
        <v>40.37</v>
      </c>
      <c r="ES17" t="n">
        <v>0</v>
      </c>
      <c r="ET17" t="n">
        <v>1792373452.2</v>
      </c>
      <c r="EU17" t="n">
        <v>0</v>
      </c>
      <c r="EV17" t="n">
        <v>265.14712</v>
      </c>
      <c r="EW17" t="n">
        <v>-0.0643846260577904</v>
      </c>
      <c r="EX17" t="n">
        <v>-15.8961538275126</v>
      </c>
      <c r="EY17" t="n">
        <v>4241.4628</v>
      </c>
      <c r="EZ17" t="n">
        <v>15</v>
      </c>
      <c r="FA17" t="n">
        <v>1792373386</v>
      </c>
      <c r="FB17" t="inlineStr">
        <is>
          <t>10:29:46</t>
        </is>
      </c>
      <c r="FC17" t="n">
        <v>1792373386</v>
      </c>
      <c r="FD17" t="n">
        <v>1792373382</v>
      </c>
      <c r="FE17" t="n">
        <v>2</v>
      </c>
      <c r="FF17" t="n">
        <v>0.022</v>
      </c>
      <c r="FG17" t="n">
        <v>0.001</v>
      </c>
      <c r="FH17" t="n">
        <v>0.377</v>
      </c>
      <c r="FI17" t="n">
        <v>-0.167</v>
      </c>
      <c r="FJ17" t="n">
        <v>400</v>
      </c>
      <c r="FK17" t="n">
        <v>16</v>
      </c>
      <c r="FL17" t="n">
        <v>0.3</v>
      </c>
      <c r="FM17" t="n">
        <v>0.09</v>
      </c>
      <c r="FN17" t="n">
        <v>12.0771774548038</v>
      </c>
      <c r="FO17" t="n">
        <v>0.597451911414591</v>
      </c>
      <c r="FP17" t="n">
        <v>0.09085845425895971</v>
      </c>
      <c r="FQ17" t="n">
        <v>1</v>
      </c>
      <c r="FR17" t="n">
        <v>-5.22355428571429</v>
      </c>
      <c r="FS17" t="n">
        <v>-0.164627532467541</v>
      </c>
      <c r="FT17" t="n">
        <v>0.0333436537220716</v>
      </c>
      <c r="FU17" t="n">
        <v>1</v>
      </c>
      <c r="FV17" t="n">
        <v>265.189</v>
      </c>
      <c r="FW17" t="n">
        <v>-0.170878534424075</v>
      </c>
      <c r="FX17" t="n">
        <v>0.221874500827939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3.12324</v>
      </c>
      <c r="GD17" t="n">
        <v>2.76517</v>
      </c>
      <c r="GE17" t="n">
        <v>0.0872238</v>
      </c>
      <c r="GF17" t="n">
        <v>0.0903578</v>
      </c>
      <c r="GG17" t="n">
        <v>0.0915513</v>
      </c>
      <c r="GH17" t="n">
        <v>0.0905823</v>
      </c>
      <c r="GI17" t="n">
        <v>17781.5</v>
      </c>
      <c r="GJ17" t="n">
        <v>26721.4</v>
      </c>
      <c r="GK17" t="n">
        <v>22762.5</v>
      </c>
      <c r="GL17" t="n">
        <v>30100.4</v>
      </c>
      <c r="GM17" t="n">
        <v>33917.1</v>
      </c>
      <c r="GN17" t="n">
        <v>34093.4</v>
      </c>
      <c r="GO17" t="n">
        <v>43065</v>
      </c>
      <c r="GP17" t="n">
        <v>42860</v>
      </c>
      <c r="GQ17" t="n">
        <v>1.96907</v>
      </c>
      <c r="GR17" t="n">
        <v>1.84232</v>
      </c>
      <c r="GS17" t="n">
        <v>0.0974759</v>
      </c>
      <c r="GT17" t="n">
        <v>0</v>
      </c>
      <c r="GU17" t="n">
        <v>23.3235</v>
      </c>
      <c r="GV17" t="n">
        <v>999.9</v>
      </c>
      <c r="GW17" t="n">
        <v>55.329</v>
      </c>
      <c r="GX17" t="n">
        <v>28.913</v>
      </c>
      <c r="GY17" t="n">
        <v>21.8213</v>
      </c>
      <c r="GZ17" t="n">
        <v>63.66</v>
      </c>
      <c r="HA17" t="n">
        <v>34.6194</v>
      </c>
      <c r="HB17" t="n">
        <v>1</v>
      </c>
      <c r="HC17" t="n">
        <v>0.0573247</v>
      </c>
      <c r="HD17" t="n">
        <v>2.06167</v>
      </c>
      <c r="HE17" t="n">
        <v>20.1542</v>
      </c>
      <c r="HF17" t="n">
        <v>5.23197</v>
      </c>
      <c r="HG17" t="n">
        <v>11.962</v>
      </c>
      <c r="HH17" t="n">
        <v>4.9688</v>
      </c>
      <c r="HI17" t="n">
        <v>3.2951</v>
      </c>
      <c r="HJ17" t="n">
        <v>999.9</v>
      </c>
      <c r="HK17" t="n">
        <v>9999</v>
      </c>
      <c r="HL17" t="n">
        <v>9999</v>
      </c>
      <c r="HM17" t="n">
        <v>9999</v>
      </c>
      <c r="HN17" t="n">
        <v>4.96971</v>
      </c>
      <c r="HO17" t="n">
        <v>1.86352</v>
      </c>
      <c r="HP17" t="n">
        <v>1.86506</v>
      </c>
      <c r="HQ17" t="n">
        <v>1.86697</v>
      </c>
      <c r="HR17" t="n">
        <v>1.86401</v>
      </c>
      <c r="HS17" t="n">
        <v>1.86768</v>
      </c>
      <c r="HT17" t="n">
        <v>1.86449</v>
      </c>
      <c r="HU17" t="n">
        <v>1.86639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0.375</v>
      </c>
      <c r="IJ17" t="n">
        <v>-0.1355</v>
      </c>
      <c r="IK17" t="n">
        <v>0.250772164364733</v>
      </c>
      <c r="IL17" t="n">
        <v>0.000216929631606078</v>
      </c>
      <c r="IM17" t="n">
        <v>2.72263024731635e-07</v>
      </c>
      <c r="IN17" t="n">
        <v>-5.43792051235154e-11</v>
      </c>
      <c r="IO17" t="n">
        <v>-0.0274616740855299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1.1</v>
      </c>
      <c r="IX17" t="n">
        <v>1.2</v>
      </c>
      <c r="IY17" t="n">
        <v>1.05225</v>
      </c>
      <c r="IZ17" t="n">
        <v>2.53296</v>
      </c>
      <c r="JA17" t="n">
        <v>1.34766</v>
      </c>
      <c r="JB17" t="n">
        <v>2.26318</v>
      </c>
      <c r="JC17" t="n">
        <v>1.55029</v>
      </c>
      <c r="JD17" t="n">
        <v>2.54639</v>
      </c>
      <c r="JE17" t="n">
        <v>35.7311</v>
      </c>
      <c r="JF17" t="n">
        <v>23.8336</v>
      </c>
      <c r="JG17" t="n">
        <v>18</v>
      </c>
      <c r="JH17" t="n">
        <v>497.172</v>
      </c>
      <c r="JI17" t="n">
        <v>494.708</v>
      </c>
      <c r="JJ17" t="n">
        <v>21.2252</v>
      </c>
      <c r="JK17" t="n">
        <v>27.9132</v>
      </c>
      <c r="JL17" t="n">
        <v>29.9999</v>
      </c>
      <c r="JM17" t="n">
        <v>27.8946</v>
      </c>
      <c r="JN17" t="n">
        <v>27.9045</v>
      </c>
      <c r="JO17" t="n">
        <v>21.0747</v>
      </c>
      <c r="JP17" t="n">
        <v>39.326</v>
      </c>
      <c r="JQ17" t="n">
        <v>65.91549999999999</v>
      </c>
      <c r="JR17" t="n">
        <v>21.2946</v>
      </c>
      <c r="JS17" t="n">
        <v>400</v>
      </c>
      <c r="JT17" t="n">
        <v>15.9772</v>
      </c>
      <c r="JU17" t="n">
        <v>101.69</v>
      </c>
      <c r="JV17" t="n">
        <v>97.3352</v>
      </c>
    </row>
    <row r="18">
      <c r="A18" t="n">
        <v>2</v>
      </c>
      <c r="B18" t="n">
        <v>1792373573</v>
      </c>
      <c r="C18" t="n">
        <v>121</v>
      </c>
      <c r="D18" t="inlineStr">
        <is>
          <t>20261019 10:32:53</t>
        </is>
      </c>
      <c r="E18" t="inlineStr">
        <is>
          <t>10:32:53</t>
        </is>
      </c>
      <c r="F18" t="n">
        <v>5</v>
      </c>
      <c r="G18" t="n">
        <v>1792373565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1792373565</v>
      </c>
      <c r="DC18" t="n">
        <v>295.9728</v>
      </c>
      <c r="DD18" t="n">
        <v>299.9838</v>
      </c>
      <c r="DE18" t="n">
        <v>16.9530466666667</v>
      </c>
      <c r="DF18" t="n">
        <v>15.8341666666667</v>
      </c>
      <c r="DG18" t="n">
        <v>295.664266666667</v>
      </c>
      <c r="DH18" t="n">
        <v>17.0875266666667</v>
      </c>
      <c r="DI18" t="n">
        <v>500.075866666667</v>
      </c>
      <c r="DJ18" t="n">
        <v>101.4696</v>
      </c>
      <c r="DK18" t="n">
        <v>0.100004113333333</v>
      </c>
      <c r="DL18" t="n">
        <v>24.7157333333333</v>
      </c>
      <c r="DM18" t="n">
        <v>24.9542133333333</v>
      </c>
      <c r="DN18" t="n">
        <v>999.9</v>
      </c>
      <c r="DO18" t="n">
        <v>0</v>
      </c>
      <c r="DP18" t="n">
        <v>0</v>
      </c>
      <c r="DQ18" t="n">
        <v>10008.5866666667</v>
      </c>
      <c r="DR18" t="n">
        <v>0</v>
      </c>
      <c r="DS18" t="n">
        <v>6.65633</v>
      </c>
      <c r="DT18" t="n">
        <v>-4.011048</v>
      </c>
      <c r="DU18" t="n">
        <v>301.076866666667</v>
      </c>
      <c r="DV18" t="n">
        <v>304.810133333333</v>
      </c>
      <c r="DW18" t="n">
        <v>1.11888066666667</v>
      </c>
      <c r="DX18" t="n">
        <v>299.9838</v>
      </c>
      <c r="DY18" t="n">
        <v>15.8341666666667</v>
      </c>
      <c r="DZ18" t="n">
        <v>1.72021533333333</v>
      </c>
      <c r="EA18" t="n">
        <v>1.60668333333333</v>
      </c>
      <c r="EB18" t="n">
        <v>15.0800666666667</v>
      </c>
      <c r="EC18" t="n">
        <v>14.0230533333333</v>
      </c>
      <c r="ED18" t="n">
        <v>1500.01333333333</v>
      </c>
      <c r="EE18" t="n">
        <v>0.9729972</v>
      </c>
      <c r="EF18" t="n">
        <v>0.0270024066666667</v>
      </c>
      <c r="EG18" t="n">
        <v>0</v>
      </c>
      <c r="EH18" t="n">
        <v>253.136133333333</v>
      </c>
      <c r="EI18" t="n">
        <v>5.00064</v>
      </c>
      <c r="EJ18" t="n">
        <v>4055.97066666667</v>
      </c>
      <c r="EK18" t="n">
        <v>15439.3533333333</v>
      </c>
      <c r="EL18" t="n">
        <v>40</v>
      </c>
      <c r="EM18" t="n">
        <v>40.687</v>
      </c>
      <c r="EN18" t="n">
        <v>40.312</v>
      </c>
      <c r="EO18" t="n">
        <v>40.312</v>
      </c>
      <c r="EP18" t="n">
        <v>41.5</v>
      </c>
      <c r="EQ18" t="n">
        <v>1454.64333333333</v>
      </c>
      <c r="ER18" t="n">
        <v>40.37</v>
      </c>
      <c r="ES18" t="n">
        <v>0</v>
      </c>
      <c r="ET18" t="n">
        <v>1792373572.8</v>
      </c>
      <c r="EU18" t="n">
        <v>0</v>
      </c>
      <c r="EV18" t="n">
        <v>253.146423076923</v>
      </c>
      <c r="EW18" t="n">
        <v>-0.389641031054702</v>
      </c>
      <c r="EX18" t="n">
        <v>-4.92923076905789</v>
      </c>
      <c r="EY18" t="n">
        <v>4055.86461538462</v>
      </c>
      <c r="EZ18" t="n">
        <v>15</v>
      </c>
      <c r="FA18" t="n">
        <v>1792373516</v>
      </c>
      <c r="FB18" t="inlineStr">
        <is>
          <t>10:31:56</t>
        </is>
      </c>
      <c r="FC18" t="n">
        <v>1792373516</v>
      </c>
      <c r="FD18" t="n">
        <v>1792373514</v>
      </c>
      <c r="FE18" t="n">
        <v>3</v>
      </c>
      <c r="FF18" t="n">
        <v>-0.029</v>
      </c>
      <c r="FG18" t="n">
        <v>0</v>
      </c>
      <c r="FH18" t="n">
        <v>0.31</v>
      </c>
      <c r="FI18" t="n">
        <v>-0.172</v>
      </c>
      <c r="FJ18" t="n">
        <v>300</v>
      </c>
      <c r="FK18" t="n">
        <v>16</v>
      </c>
      <c r="FL18" t="n">
        <v>0.26</v>
      </c>
      <c r="FM18" t="n">
        <v>0.09</v>
      </c>
      <c r="FN18" t="n">
        <v>9.175524096029189</v>
      </c>
      <c r="FO18" t="n">
        <v>0.135088082586414</v>
      </c>
      <c r="FP18" t="n">
        <v>0.069921814409084</v>
      </c>
      <c r="FQ18" t="n">
        <v>1</v>
      </c>
      <c r="FR18" t="n">
        <v>-4.00709333333333</v>
      </c>
      <c r="FS18" t="n">
        <v>-0.0587290909090923</v>
      </c>
      <c r="FT18" t="n">
        <v>0.0276021029794632</v>
      </c>
      <c r="FU18" t="n">
        <v>1</v>
      </c>
      <c r="FV18" t="n">
        <v>253.139676470588</v>
      </c>
      <c r="FW18" t="n">
        <v>0.0398930476408511</v>
      </c>
      <c r="FX18" t="n">
        <v>0.145413552363845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3.12312</v>
      </c>
      <c r="GD18" t="n">
        <v>2.76501</v>
      </c>
      <c r="GE18" t="n">
        <v>0.0695161</v>
      </c>
      <c r="GF18" t="n">
        <v>0.0720707</v>
      </c>
      <c r="GG18" t="n">
        <v>0.09169190000000001</v>
      </c>
      <c r="GH18" t="n">
        <v>0.09015289999999999</v>
      </c>
      <c r="GI18" t="n">
        <v>18126.6</v>
      </c>
      <c r="GJ18" t="n">
        <v>27258.7</v>
      </c>
      <c r="GK18" t="n">
        <v>22762.5</v>
      </c>
      <c r="GL18" t="n">
        <v>30100.3</v>
      </c>
      <c r="GM18" t="n">
        <v>33909.9</v>
      </c>
      <c r="GN18" t="n">
        <v>34108.9</v>
      </c>
      <c r="GO18" t="n">
        <v>43064.1</v>
      </c>
      <c r="GP18" t="n">
        <v>42860.8</v>
      </c>
      <c r="GQ18" t="n">
        <v>1.96885</v>
      </c>
      <c r="GR18" t="n">
        <v>1.84067</v>
      </c>
      <c r="GS18" t="n">
        <v>0.09685009999999999</v>
      </c>
      <c r="GT18" t="n">
        <v>0</v>
      </c>
      <c r="GU18" t="n">
        <v>23.3521</v>
      </c>
      <c r="GV18" t="n">
        <v>999.9</v>
      </c>
      <c r="GW18" t="n">
        <v>54.639</v>
      </c>
      <c r="GX18" t="n">
        <v>29.074</v>
      </c>
      <c r="GY18" t="n">
        <v>21.748</v>
      </c>
      <c r="GZ18" t="n">
        <v>63.5299</v>
      </c>
      <c r="HA18" t="n">
        <v>34.6835</v>
      </c>
      <c r="HB18" t="n">
        <v>1</v>
      </c>
      <c r="HC18" t="n">
        <v>0.0565142</v>
      </c>
      <c r="HD18" t="n">
        <v>1.87561</v>
      </c>
      <c r="HE18" t="n">
        <v>20.156</v>
      </c>
      <c r="HF18" t="n">
        <v>5.23361</v>
      </c>
      <c r="HG18" t="n">
        <v>11.962</v>
      </c>
      <c r="HH18" t="n">
        <v>4.9678</v>
      </c>
      <c r="HI18" t="n">
        <v>3.29503</v>
      </c>
      <c r="HJ18" t="n">
        <v>999.9</v>
      </c>
      <c r="HK18" t="n">
        <v>9999</v>
      </c>
      <c r="HL18" t="n">
        <v>9999</v>
      </c>
      <c r="HM18" t="n">
        <v>9999</v>
      </c>
      <c r="HN18" t="n">
        <v>4.96975</v>
      </c>
      <c r="HO18" t="n">
        <v>1.86355</v>
      </c>
      <c r="HP18" t="n">
        <v>1.86507</v>
      </c>
      <c r="HQ18" t="n">
        <v>1.86703</v>
      </c>
      <c r="HR18" t="n">
        <v>1.86403</v>
      </c>
      <c r="HS18" t="n">
        <v>1.86768</v>
      </c>
      <c r="HT18" t="n">
        <v>1.86449</v>
      </c>
      <c r="HU18" t="n">
        <v>1.86642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0.308</v>
      </c>
      <c r="IJ18" t="n">
        <v>-0.1345</v>
      </c>
      <c r="IK18" t="n">
        <v>0.222028228834075</v>
      </c>
      <c r="IL18" t="n">
        <v>0.000216929631606078</v>
      </c>
      <c r="IM18" t="n">
        <v>2.72263024731635e-07</v>
      </c>
      <c r="IN18" t="n">
        <v>-5.43792051235154e-11</v>
      </c>
      <c r="IO18" t="n">
        <v>-0.0279094596501518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0.9</v>
      </c>
      <c r="IX18" t="n">
        <v>1</v>
      </c>
      <c r="IY18" t="n">
        <v>0.85083</v>
      </c>
      <c r="IZ18" t="n">
        <v>2.54517</v>
      </c>
      <c r="JA18" t="n">
        <v>1.34766</v>
      </c>
      <c r="JB18" t="n">
        <v>2.26318</v>
      </c>
      <c r="JC18" t="n">
        <v>1.55029</v>
      </c>
      <c r="JD18" t="n">
        <v>2.46826</v>
      </c>
      <c r="JE18" t="n">
        <v>35.9178</v>
      </c>
      <c r="JF18" t="n">
        <v>23.8336</v>
      </c>
      <c r="JG18" t="n">
        <v>18</v>
      </c>
      <c r="JH18" t="n">
        <v>497.053</v>
      </c>
      <c r="JI18" t="n">
        <v>493.553</v>
      </c>
      <c r="JJ18" t="n">
        <v>21.4845</v>
      </c>
      <c r="JK18" t="n">
        <v>27.9084</v>
      </c>
      <c r="JL18" t="n">
        <v>29.9998</v>
      </c>
      <c r="JM18" t="n">
        <v>27.897</v>
      </c>
      <c r="JN18" t="n">
        <v>27.9069</v>
      </c>
      <c r="JO18" t="n">
        <v>17.04</v>
      </c>
      <c r="JP18" t="n">
        <v>39.2953</v>
      </c>
      <c r="JQ18" t="n">
        <v>64.0343</v>
      </c>
      <c r="JR18" t="n">
        <v>21.5047</v>
      </c>
      <c r="JS18" t="n">
        <v>300</v>
      </c>
      <c r="JT18" t="n">
        <v>15.8184</v>
      </c>
      <c r="JU18" t="n">
        <v>101.688</v>
      </c>
      <c r="JV18" t="n">
        <v>97.3361</v>
      </c>
    </row>
    <row r="19">
      <c r="A19" t="n">
        <v>3</v>
      </c>
      <c r="B19" t="n">
        <v>1792373694.1</v>
      </c>
      <c r="C19" t="n">
        <v>242.099999904633</v>
      </c>
      <c r="D19" t="inlineStr">
        <is>
          <t>20261019 10:34:54</t>
        </is>
      </c>
      <c r="E19" t="inlineStr">
        <is>
          <t>10:34:54</t>
        </is>
      </c>
      <c r="F19" t="n">
        <v>5</v>
      </c>
      <c r="G19" t="n">
        <v>1792373685.6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1792373685.6</v>
      </c>
      <c r="DC19" t="n">
        <v>197.38</v>
      </c>
      <c r="DD19" t="n">
        <v>199.993625</v>
      </c>
      <c r="DE19" t="n">
        <v>17.02471875</v>
      </c>
      <c r="DF19" t="n">
        <v>15.73496875</v>
      </c>
      <c r="DG19" t="n">
        <v>197.22475</v>
      </c>
      <c r="DH19" t="n">
        <v>17.15823125</v>
      </c>
      <c r="DI19" t="n">
        <v>500.0425625</v>
      </c>
      <c r="DJ19" t="n">
        <v>101.4665</v>
      </c>
      <c r="DK19" t="n">
        <v>0.09996260625</v>
      </c>
      <c r="DL19" t="n">
        <v>24.80105625</v>
      </c>
      <c r="DM19" t="n">
        <v>24.966825</v>
      </c>
      <c r="DN19" t="n">
        <v>999.9</v>
      </c>
      <c r="DO19" t="n">
        <v>0</v>
      </c>
      <c r="DP19" t="n">
        <v>0</v>
      </c>
      <c r="DQ19" t="n">
        <v>9996.567499999999</v>
      </c>
      <c r="DR19" t="n">
        <v>0</v>
      </c>
      <c r="DS19" t="n">
        <v>6.5359575</v>
      </c>
      <c r="DT19" t="n">
        <v>-2.61337125</v>
      </c>
      <c r="DU19" t="n">
        <v>200.79875</v>
      </c>
      <c r="DV19" t="n">
        <v>203.190625</v>
      </c>
      <c r="DW19" t="n">
        <v>1.289743125</v>
      </c>
      <c r="DX19" t="n">
        <v>199.993625</v>
      </c>
      <c r="DY19" t="n">
        <v>15.73496875</v>
      </c>
      <c r="DZ19" t="n">
        <v>1.7274375</v>
      </c>
      <c r="EA19" t="n">
        <v>1.5965725</v>
      </c>
      <c r="EB19" t="n">
        <v>15.14523125</v>
      </c>
      <c r="EC19" t="n">
        <v>13.92576875</v>
      </c>
      <c r="ED19" t="n">
        <v>1500.000625</v>
      </c>
      <c r="EE19" t="n">
        <v>0.972997</v>
      </c>
      <c r="EF19" t="n">
        <v>0.02700260625</v>
      </c>
      <c r="EG19" t="n">
        <v>0</v>
      </c>
      <c r="EH19" t="n">
        <v>246.3298125</v>
      </c>
      <c r="EI19" t="n">
        <v>5.00064</v>
      </c>
      <c r="EJ19" t="n">
        <v>3949.605</v>
      </c>
      <c r="EK19" t="n">
        <v>15439.21875</v>
      </c>
      <c r="EL19" t="n">
        <v>40.10925</v>
      </c>
      <c r="EM19" t="n">
        <v>40.808125</v>
      </c>
      <c r="EN19" t="n">
        <v>40.437</v>
      </c>
      <c r="EO19" t="n">
        <v>40.42925</v>
      </c>
      <c r="EP19" t="n">
        <v>41.625</v>
      </c>
      <c r="EQ19" t="n">
        <v>1454.630625</v>
      </c>
      <c r="ER19" t="n">
        <v>40.37</v>
      </c>
      <c r="ES19" t="n">
        <v>0</v>
      </c>
      <c r="ET19" t="n">
        <v>1792373694</v>
      </c>
      <c r="EU19" t="n">
        <v>0</v>
      </c>
      <c r="EV19" t="n">
        <v>246.347</v>
      </c>
      <c r="EW19" t="n">
        <v>-1.46625641834582</v>
      </c>
      <c r="EX19" t="n">
        <v>-6.93094017177118</v>
      </c>
      <c r="EY19" t="n">
        <v>3949.465</v>
      </c>
      <c r="EZ19" t="n">
        <v>15</v>
      </c>
      <c r="FA19" t="n">
        <v>1792373640.1</v>
      </c>
      <c r="FB19" t="inlineStr">
        <is>
          <t>10:34:00</t>
        </is>
      </c>
      <c r="FC19" t="n">
        <v>1792373640.1</v>
      </c>
      <c r="FD19" t="n">
        <v>1792373631.1</v>
      </c>
      <c r="FE19" t="n">
        <v>4</v>
      </c>
      <c r="FF19" t="n">
        <v>-0.12</v>
      </c>
      <c r="FG19" t="n">
        <v>-0.002</v>
      </c>
      <c r="FH19" t="n">
        <v>0.156</v>
      </c>
      <c r="FI19" t="n">
        <v>-0.179</v>
      </c>
      <c r="FJ19" t="n">
        <v>200</v>
      </c>
      <c r="FK19" t="n">
        <v>16</v>
      </c>
      <c r="FL19" t="n">
        <v>0.24</v>
      </c>
      <c r="FM19" t="n">
        <v>0.08</v>
      </c>
      <c r="FN19" t="n">
        <v>5.87707008969656</v>
      </c>
      <c r="FO19" t="n">
        <v>0.173466296020821</v>
      </c>
      <c r="FP19" t="n">
        <v>0.0914292222003346</v>
      </c>
      <c r="FQ19" t="n">
        <v>1</v>
      </c>
      <c r="FR19" t="n">
        <v>-2.6085819047619</v>
      </c>
      <c r="FS19" t="n">
        <v>-0.049828051948056</v>
      </c>
      <c r="FT19" t="n">
        <v>0.0347303832426509</v>
      </c>
      <c r="FU19" t="n">
        <v>1</v>
      </c>
      <c r="FV19" t="n">
        <v>246.375147058824</v>
      </c>
      <c r="FW19" t="n">
        <v>-0.939511076809202</v>
      </c>
      <c r="FX19" t="n">
        <v>0.210475949772238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3.12339</v>
      </c>
      <c r="GD19" t="n">
        <v>2.76532</v>
      </c>
      <c r="GE19" t="n">
        <v>0.0494396</v>
      </c>
      <c r="GF19" t="n">
        <v>0.0512825</v>
      </c>
      <c r="GG19" t="n">
        <v>0.0919678</v>
      </c>
      <c r="GH19" t="n">
        <v>0.08971949999999999</v>
      </c>
      <c r="GI19" t="n">
        <v>18518.8</v>
      </c>
      <c r="GJ19" t="n">
        <v>27871.1</v>
      </c>
      <c r="GK19" t="n">
        <v>22763.7</v>
      </c>
      <c r="GL19" t="n">
        <v>30101.9</v>
      </c>
      <c r="GM19" t="n">
        <v>33899.5</v>
      </c>
      <c r="GN19" t="n">
        <v>34126.1</v>
      </c>
      <c r="GO19" t="n">
        <v>43066</v>
      </c>
      <c r="GP19" t="n">
        <v>42863.7</v>
      </c>
      <c r="GQ19" t="n">
        <v>1.96933</v>
      </c>
      <c r="GR19" t="n">
        <v>1.8382</v>
      </c>
      <c r="GS19" t="n">
        <v>0.09499489999999999</v>
      </c>
      <c r="GT19" t="n">
        <v>0</v>
      </c>
      <c r="GU19" t="n">
        <v>23.4028</v>
      </c>
      <c r="GV19" t="n">
        <v>999.9</v>
      </c>
      <c r="GW19" t="n">
        <v>54.047</v>
      </c>
      <c r="GX19" t="n">
        <v>29.245</v>
      </c>
      <c r="GY19" t="n">
        <v>21.7282</v>
      </c>
      <c r="GZ19" t="n">
        <v>63.5118</v>
      </c>
      <c r="HA19" t="n">
        <v>34.6795</v>
      </c>
      <c r="HB19" t="n">
        <v>1</v>
      </c>
      <c r="HC19" t="n">
        <v>0.0554395</v>
      </c>
      <c r="HD19" t="n">
        <v>1.86476</v>
      </c>
      <c r="HE19" t="n">
        <v>20.1565</v>
      </c>
      <c r="HF19" t="n">
        <v>5.23436</v>
      </c>
      <c r="HG19" t="n">
        <v>11.962</v>
      </c>
      <c r="HH19" t="n">
        <v>4.9686</v>
      </c>
      <c r="HI19" t="n">
        <v>3.29513</v>
      </c>
      <c r="HJ19" t="n">
        <v>999.9</v>
      </c>
      <c r="HK19" t="n">
        <v>9999</v>
      </c>
      <c r="HL19" t="n">
        <v>9999</v>
      </c>
      <c r="HM19" t="n">
        <v>9999</v>
      </c>
      <c r="HN19" t="n">
        <v>4.96973</v>
      </c>
      <c r="HO19" t="n">
        <v>1.86354</v>
      </c>
      <c r="HP19" t="n">
        <v>1.86508</v>
      </c>
      <c r="HQ19" t="n">
        <v>1.86702</v>
      </c>
      <c r="HR19" t="n">
        <v>1.86404</v>
      </c>
      <c r="HS19" t="n">
        <v>1.86768</v>
      </c>
      <c r="HT19" t="n">
        <v>1.86449</v>
      </c>
      <c r="HU19" t="n">
        <v>1.86645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0.155</v>
      </c>
      <c r="IJ19" t="n">
        <v>-0.1336</v>
      </c>
      <c r="IK19" t="n">
        <v>0.102428457601479</v>
      </c>
      <c r="IL19" t="n">
        <v>0.000216929631606078</v>
      </c>
      <c r="IM19" t="n">
        <v>2.72263024731635e-07</v>
      </c>
      <c r="IN19" t="n">
        <v>-5.43792051235154e-11</v>
      </c>
      <c r="IO19" t="n">
        <v>-0.0297708208102845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0.9</v>
      </c>
      <c r="IX19" t="n">
        <v>1.1</v>
      </c>
      <c r="IY19" t="n">
        <v>0.639648</v>
      </c>
      <c r="IZ19" t="n">
        <v>2.54272</v>
      </c>
      <c r="JA19" t="n">
        <v>1.34644</v>
      </c>
      <c r="JB19" t="n">
        <v>2.26196</v>
      </c>
      <c r="JC19" t="n">
        <v>1.55029</v>
      </c>
      <c r="JD19" t="n">
        <v>2.58667</v>
      </c>
      <c r="JE19" t="n">
        <v>36.0582</v>
      </c>
      <c r="JF19" t="n">
        <v>23.8423</v>
      </c>
      <c r="JG19" t="n">
        <v>18</v>
      </c>
      <c r="JH19" t="n">
        <v>497.306</v>
      </c>
      <c r="JI19" t="n">
        <v>491.771</v>
      </c>
      <c r="JJ19" t="n">
        <v>21.5653</v>
      </c>
      <c r="JK19" t="n">
        <v>27.8989</v>
      </c>
      <c r="JL19" t="n">
        <v>29.9999</v>
      </c>
      <c r="JM19" t="n">
        <v>27.8922</v>
      </c>
      <c r="JN19" t="n">
        <v>27.9045</v>
      </c>
      <c r="JO19" t="n">
        <v>12.8336</v>
      </c>
      <c r="JP19" t="n">
        <v>39.3128</v>
      </c>
      <c r="JQ19" t="n">
        <v>62.1613</v>
      </c>
      <c r="JR19" t="n">
        <v>21.5706</v>
      </c>
      <c r="JS19" t="n">
        <v>200</v>
      </c>
      <c r="JT19" t="n">
        <v>15.7555</v>
      </c>
      <c r="JU19" t="n">
        <v>101.693</v>
      </c>
      <c r="JV19" t="n">
        <v>97.34220000000001</v>
      </c>
    </row>
    <row r="20">
      <c r="A20" t="n">
        <v>4</v>
      </c>
      <c r="B20" t="n">
        <v>1792373815.1</v>
      </c>
      <c r="C20" t="n">
        <v>363.099999904633</v>
      </c>
      <c r="D20" t="inlineStr">
        <is>
          <t>20261019 10:36:55</t>
        </is>
      </c>
      <c r="E20" t="inlineStr">
        <is>
          <t>10:36:55</t>
        </is>
      </c>
      <c r="F20" t="n">
        <v>5</v>
      </c>
      <c r="G20" t="n">
        <v>1792373806.6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1792373806.6</v>
      </c>
      <c r="DC20" t="n">
        <v>99.1444875</v>
      </c>
      <c r="DD20" t="n">
        <v>99.9955125</v>
      </c>
      <c r="DE20" t="n">
        <v>17.13665625</v>
      </c>
      <c r="DF20" t="n">
        <v>15.64816875</v>
      </c>
      <c r="DG20" t="n">
        <v>99.25246249999999</v>
      </c>
      <c r="DH20" t="n">
        <v>17.26444375</v>
      </c>
      <c r="DI20" t="n">
        <v>500.0895</v>
      </c>
      <c r="DJ20" t="n">
        <v>101.4596875</v>
      </c>
      <c r="DK20" t="n">
        <v>0.10004883125</v>
      </c>
      <c r="DL20" t="n">
        <v>24.8742375</v>
      </c>
      <c r="DM20" t="n">
        <v>25.00504375</v>
      </c>
      <c r="DN20" t="n">
        <v>999.9</v>
      </c>
      <c r="DO20" t="n">
        <v>0</v>
      </c>
      <c r="DP20" t="n">
        <v>0</v>
      </c>
      <c r="DQ20" t="n">
        <v>10002.428125</v>
      </c>
      <c r="DR20" t="n">
        <v>0</v>
      </c>
      <c r="DS20" t="n">
        <v>6.4068925</v>
      </c>
      <c r="DT20" t="n">
        <v>-0.8510403125</v>
      </c>
      <c r="DU20" t="n">
        <v>100.8731875</v>
      </c>
      <c r="DV20" t="n">
        <v>101.5851875</v>
      </c>
      <c r="DW20" t="n">
        <v>1.48847625</v>
      </c>
      <c r="DX20" t="n">
        <v>99.9955125</v>
      </c>
      <c r="DY20" t="n">
        <v>15.64816875</v>
      </c>
      <c r="DZ20" t="n">
        <v>1.73868</v>
      </c>
      <c r="EA20" t="n">
        <v>1.58766</v>
      </c>
      <c r="EB20" t="n">
        <v>15.2461375</v>
      </c>
      <c r="EC20" t="n">
        <v>13.839525</v>
      </c>
      <c r="ED20" t="n">
        <v>1499.980625</v>
      </c>
      <c r="EE20" t="n">
        <v>0.9729965</v>
      </c>
      <c r="EF20" t="n">
        <v>0.0270031</v>
      </c>
      <c r="EG20" t="n">
        <v>0</v>
      </c>
      <c r="EH20" t="n">
        <v>244.33275</v>
      </c>
      <c r="EI20" t="n">
        <v>5.00064</v>
      </c>
      <c r="EJ20" t="n">
        <v>3915.688125</v>
      </c>
      <c r="EK20" t="n">
        <v>15439</v>
      </c>
      <c r="EL20" t="n">
        <v>40.187</v>
      </c>
      <c r="EM20" t="n">
        <v>40.875</v>
      </c>
      <c r="EN20" t="n">
        <v>40.503875</v>
      </c>
      <c r="EO20" t="n">
        <v>40.5</v>
      </c>
      <c r="EP20" t="n">
        <v>41.7185</v>
      </c>
      <c r="EQ20" t="n">
        <v>1454.610625</v>
      </c>
      <c r="ER20" t="n">
        <v>40.37</v>
      </c>
      <c r="ES20" t="n">
        <v>0</v>
      </c>
      <c r="ET20" t="n">
        <v>1792373815.2</v>
      </c>
      <c r="EU20" t="n">
        <v>0</v>
      </c>
      <c r="EV20" t="n">
        <v>244.257615384615</v>
      </c>
      <c r="EW20" t="n">
        <v>-0.109538451638554</v>
      </c>
      <c r="EX20" t="n">
        <v>-5.43589742610499</v>
      </c>
      <c r="EY20" t="n">
        <v>3915.64846153846</v>
      </c>
      <c r="EZ20" t="n">
        <v>15</v>
      </c>
      <c r="FA20" t="n">
        <v>1792373763.1</v>
      </c>
      <c r="FB20" t="inlineStr">
        <is>
          <t>10:36:03</t>
        </is>
      </c>
      <c r="FC20" t="n">
        <v>1792373763.1</v>
      </c>
      <c r="FD20" t="n">
        <v>1792373757.1</v>
      </c>
      <c r="FE20" t="n">
        <v>5</v>
      </c>
      <c r="FF20" t="n">
        <v>-0.234</v>
      </c>
      <c r="FG20" t="n">
        <v>0.001</v>
      </c>
      <c r="FH20" t="n">
        <v>-0.108</v>
      </c>
      <c r="FI20" t="n">
        <v>-0.18</v>
      </c>
      <c r="FJ20" t="n">
        <v>100</v>
      </c>
      <c r="FK20" t="n">
        <v>16</v>
      </c>
      <c r="FL20" t="n">
        <v>0.26</v>
      </c>
      <c r="FM20" t="n">
        <v>0.04</v>
      </c>
      <c r="FN20" t="n">
        <v>1.75466891122029</v>
      </c>
      <c r="FO20" t="n">
        <v>-0.123221298286036</v>
      </c>
      <c r="FP20" t="n">
        <v>0.08343084485897791</v>
      </c>
      <c r="FQ20" t="n">
        <v>1</v>
      </c>
      <c r="FR20" t="n">
        <v>-0.8530527142857141</v>
      </c>
      <c r="FS20" t="n">
        <v>0.0407386753246736</v>
      </c>
      <c r="FT20" t="n">
        <v>0.0329722327943101</v>
      </c>
      <c r="FU20" t="n">
        <v>1</v>
      </c>
      <c r="FV20" t="n">
        <v>244.3015</v>
      </c>
      <c r="FW20" t="n">
        <v>-0.54388082135898</v>
      </c>
      <c r="FX20" t="n">
        <v>0.200730907084146</v>
      </c>
      <c r="FY20" t="n">
        <v>1</v>
      </c>
      <c r="FZ20" t="n">
        <v>3</v>
      </c>
      <c r="GA20" t="n">
        <v>3</v>
      </c>
      <c r="GB20" t="inlineStr">
        <is>
          <t>3/3</t>
        </is>
      </c>
      <c r="GC20" t="n">
        <v>3.12338</v>
      </c>
      <c r="GD20" t="n">
        <v>2.76536</v>
      </c>
      <c r="GE20" t="n">
        <v>0.0264557</v>
      </c>
      <c r="GF20" t="n">
        <v>0.0273473</v>
      </c>
      <c r="GG20" t="n">
        <v>0.09234439999999999</v>
      </c>
      <c r="GH20" t="n">
        <v>0.0893828</v>
      </c>
      <c r="GI20" t="n">
        <v>18967.9</v>
      </c>
      <c r="GJ20" t="n">
        <v>28576.3</v>
      </c>
      <c r="GK20" t="n">
        <v>22765</v>
      </c>
      <c r="GL20" t="n">
        <v>30103.7</v>
      </c>
      <c r="GM20" t="n">
        <v>33885.7</v>
      </c>
      <c r="GN20" t="n">
        <v>34139.8</v>
      </c>
      <c r="GO20" t="n">
        <v>43068.6</v>
      </c>
      <c r="GP20" t="n">
        <v>42867</v>
      </c>
      <c r="GQ20" t="n">
        <v>1.96952</v>
      </c>
      <c r="GR20" t="n">
        <v>1.8364</v>
      </c>
      <c r="GS20" t="n">
        <v>0.0925362</v>
      </c>
      <c r="GT20" t="n">
        <v>0</v>
      </c>
      <c r="GU20" t="n">
        <v>23.457</v>
      </c>
      <c r="GV20" t="n">
        <v>999.9</v>
      </c>
      <c r="GW20" t="n">
        <v>53.327</v>
      </c>
      <c r="GX20" t="n">
        <v>29.386</v>
      </c>
      <c r="GY20" t="n">
        <v>21.6143</v>
      </c>
      <c r="GZ20" t="n">
        <v>63.2618</v>
      </c>
      <c r="HA20" t="n">
        <v>34.2909</v>
      </c>
      <c r="HB20" t="n">
        <v>1</v>
      </c>
      <c r="HC20" t="n">
        <v>0.054187</v>
      </c>
      <c r="HD20" t="n">
        <v>1.95438</v>
      </c>
      <c r="HE20" t="n">
        <v>20.1548</v>
      </c>
      <c r="HF20" t="n">
        <v>5.23451</v>
      </c>
      <c r="HG20" t="n">
        <v>11.962</v>
      </c>
      <c r="HH20" t="n">
        <v>4.96785</v>
      </c>
      <c r="HI20" t="n">
        <v>3.295</v>
      </c>
      <c r="HJ20" t="n">
        <v>999.9</v>
      </c>
      <c r="HK20" t="n">
        <v>9999</v>
      </c>
      <c r="HL20" t="n">
        <v>9999</v>
      </c>
      <c r="HM20" t="n">
        <v>9999</v>
      </c>
      <c r="HN20" t="n">
        <v>4.96974</v>
      </c>
      <c r="HO20" t="n">
        <v>1.86356</v>
      </c>
      <c r="HP20" t="n">
        <v>1.86508</v>
      </c>
      <c r="HQ20" t="n">
        <v>1.86707</v>
      </c>
      <c r="HR20" t="n">
        <v>1.86409</v>
      </c>
      <c r="HS20" t="n">
        <v>1.86776</v>
      </c>
      <c r="HT20" t="n">
        <v>1.86458</v>
      </c>
      <c r="HU20" t="n">
        <v>1.86646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-0.108</v>
      </c>
      <c r="IJ20" t="n">
        <v>-0.1281</v>
      </c>
      <c r="IK20" t="n">
        <v>-0.132125322872883</v>
      </c>
      <c r="IL20" t="n">
        <v>0.000216929631606078</v>
      </c>
      <c r="IM20" t="n">
        <v>2.72263024731635e-07</v>
      </c>
      <c r="IN20" t="n">
        <v>-5.43792051235154e-11</v>
      </c>
      <c r="IO20" t="n">
        <v>-0.0283273261000433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0.9</v>
      </c>
      <c r="IX20" t="n">
        <v>1</v>
      </c>
      <c r="IY20" t="n">
        <v>0.423584</v>
      </c>
      <c r="IZ20" t="n">
        <v>2.55737</v>
      </c>
      <c r="JA20" t="n">
        <v>1.34644</v>
      </c>
      <c r="JB20" t="n">
        <v>2.26318</v>
      </c>
      <c r="JC20" t="n">
        <v>1.55029</v>
      </c>
      <c r="JD20" t="n">
        <v>2.72705</v>
      </c>
      <c r="JE20" t="n">
        <v>36.1989</v>
      </c>
      <c r="JF20" t="n">
        <v>23.8423</v>
      </c>
      <c r="JG20" t="n">
        <v>18</v>
      </c>
      <c r="JH20" t="n">
        <v>497.349</v>
      </c>
      <c r="JI20" t="n">
        <v>490.416</v>
      </c>
      <c r="JJ20" t="n">
        <v>21.5524</v>
      </c>
      <c r="JK20" t="n">
        <v>27.8823</v>
      </c>
      <c r="JL20" t="n">
        <v>29.9996</v>
      </c>
      <c r="JM20" t="n">
        <v>27.8828</v>
      </c>
      <c r="JN20" t="n">
        <v>27.8961</v>
      </c>
      <c r="JO20" t="n">
        <v>8.49433</v>
      </c>
      <c r="JP20" t="n">
        <v>39.216</v>
      </c>
      <c r="JQ20" t="n">
        <v>60.2954</v>
      </c>
      <c r="JR20" t="n">
        <v>21.5468</v>
      </c>
      <c r="JS20" t="n">
        <v>100</v>
      </c>
      <c r="JT20" t="n">
        <v>15.6285</v>
      </c>
      <c r="JU20" t="n">
        <v>101.699</v>
      </c>
      <c r="JV20" t="n">
        <v>97.34910000000001</v>
      </c>
    </row>
    <row r="21">
      <c r="A21" t="n">
        <v>5</v>
      </c>
      <c r="B21" t="n">
        <v>1792373936.1</v>
      </c>
      <c r="C21" t="n">
        <v>484.099999904633</v>
      </c>
      <c r="D21" t="inlineStr">
        <is>
          <t>20261019 10:38:56</t>
        </is>
      </c>
      <c r="E21" t="inlineStr">
        <is>
          <t>10:38:56</t>
        </is>
      </c>
      <c r="F21" t="n">
        <v>5</v>
      </c>
      <c r="G21" t="n">
        <v>1792373927.6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1792373927.6</v>
      </c>
      <c r="DC21" t="n">
        <v>50.0998125</v>
      </c>
      <c r="DD21" t="n">
        <v>50.0061875</v>
      </c>
      <c r="DE21" t="n">
        <v>17.18264375</v>
      </c>
      <c r="DF21" t="n">
        <v>15.42245625</v>
      </c>
      <c r="DG21" t="n">
        <v>50.241025</v>
      </c>
      <c r="DH21" t="n">
        <v>17.30979375</v>
      </c>
      <c r="DI21" t="n">
        <v>500.08475</v>
      </c>
      <c r="DJ21" t="n">
        <v>101.456875</v>
      </c>
      <c r="DK21" t="n">
        <v>0.10003333125</v>
      </c>
      <c r="DL21" t="n">
        <v>24.90635625</v>
      </c>
      <c r="DM21" t="n">
        <v>24.99103125</v>
      </c>
      <c r="DN21" t="n">
        <v>999.9</v>
      </c>
      <c r="DO21" t="n">
        <v>0</v>
      </c>
      <c r="DP21" t="n">
        <v>0</v>
      </c>
      <c r="DQ21" t="n">
        <v>10000.4625</v>
      </c>
      <c r="DR21" t="n">
        <v>0</v>
      </c>
      <c r="DS21" t="n">
        <v>6.446275</v>
      </c>
      <c r="DT21" t="n">
        <v>0.09363956875</v>
      </c>
      <c r="DU21" t="n">
        <v>50.97571875</v>
      </c>
      <c r="DV21" t="n">
        <v>50.7894875</v>
      </c>
      <c r="DW21" t="n">
        <v>1.760179375</v>
      </c>
      <c r="DX21" t="n">
        <v>50.0061875</v>
      </c>
      <c r="DY21" t="n">
        <v>15.42245625</v>
      </c>
      <c r="DZ21" t="n">
        <v>1.74329625</v>
      </c>
      <c r="EA21" t="n">
        <v>1.564715625</v>
      </c>
      <c r="EB21" t="n">
        <v>15.28743125</v>
      </c>
      <c r="EC21" t="n">
        <v>13.615625</v>
      </c>
      <c r="ED21" t="n">
        <v>1499.986875</v>
      </c>
      <c r="EE21" t="n">
        <v>0.97299625</v>
      </c>
      <c r="EF21" t="n">
        <v>0.02700335625</v>
      </c>
      <c r="EG21" t="n">
        <v>0</v>
      </c>
      <c r="EH21" t="n">
        <v>244.8675</v>
      </c>
      <c r="EI21" t="n">
        <v>5.00064</v>
      </c>
      <c r="EJ21" t="n">
        <v>3925.243125</v>
      </c>
      <c r="EK21" t="n">
        <v>15439.06875</v>
      </c>
      <c r="EL21" t="n">
        <v>40.25</v>
      </c>
      <c r="EM21" t="n">
        <v>40.937</v>
      </c>
      <c r="EN21" t="n">
        <v>40.617125</v>
      </c>
      <c r="EO21" t="n">
        <v>40.562</v>
      </c>
      <c r="EP21" t="n">
        <v>41.78875</v>
      </c>
      <c r="EQ21" t="n">
        <v>1454.616875</v>
      </c>
      <c r="ER21" t="n">
        <v>40.37</v>
      </c>
      <c r="ES21" t="n">
        <v>0</v>
      </c>
      <c r="ET21" t="n">
        <v>1792373936.4</v>
      </c>
      <c r="EU21" t="n">
        <v>0</v>
      </c>
      <c r="EV21" t="n">
        <v>244.873230769231</v>
      </c>
      <c r="EW21" t="n">
        <v>0.919042727324266</v>
      </c>
      <c r="EX21" t="n">
        <v>6.19282050909482</v>
      </c>
      <c r="EY21" t="n">
        <v>3925.23307692308</v>
      </c>
      <c r="EZ21" t="n">
        <v>15</v>
      </c>
      <c r="FA21" t="n">
        <v>1792373884.1</v>
      </c>
      <c r="FB21" t="inlineStr">
        <is>
          <t>10:38:04</t>
        </is>
      </c>
      <c r="FC21" t="n">
        <v>1792373884.1</v>
      </c>
      <c r="FD21" t="n">
        <v>1792373879.1</v>
      </c>
      <c r="FE21" t="n">
        <v>6</v>
      </c>
      <c r="FF21" t="n">
        <v>-0.021</v>
      </c>
      <c r="FG21" t="n">
        <v>-0.001</v>
      </c>
      <c r="FH21" t="n">
        <v>-0.141</v>
      </c>
      <c r="FI21" t="n">
        <v>-0.186</v>
      </c>
      <c r="FJ21" t="n">
        <v>50</v>
      </c>
      <c r="FK21" t="n">
        <v>16</v>
      </c>
      <c r="FL21" t="n">
        <v>0.3</v>
      </c>
      <c r="FM21" t="n">
        <v>0.04</v>
      </c>
      <c r="FN21" t="n">
        <v>-0.482281877429223</v>
      </c>
      <c r="FO21" t="n">
        <v>0.456495971376141</v>
      </c>
      <c r="FP21" t="n">
        <v>0.070407383613438</v>
      </c>
      <c r="FQ21" t="n">
        <v>1</v>
      </c>
      <c r="FR21" t="n">
        <v>0.100292205</v>
      </c>
      <c r="FS21" t="n">
        <v>-0.106956933834587</v>
      </c>
      <c r="FT21" t="n">
        <v>0.0257368852096068</v>
      </c>
      <c r="FU21" t="n">
        <v>1</v>
      </c>
      <c r="FV21" t="n">
        <v>244.876176470588</v>
      </c>
      <c r="FW21" t="n">
        <v>-0.0862948857270136</v>
      </c>
      <c r="FX21" t="n">
        <v>0.196502427853321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3.12326</v>
      </c>
      <c r="GD21" t="n">
        <v>2.76528</v>
      </c>
      <c r="GE21" t="n">
        <v>0.0137439</v>
      </c>
      <c r="GF21" t="n">
        <v>0.0140615</v>
      </c>
      <c r="GG21" t="n">
        <v>0.0924833</v>
      </c>
      <c r="GH21" t="n">
        <v>0.0884532</v>
      </c>
      <c r="GI21" t="n">
        <v>19216.7</v>
      </c>
      <c r="GJ21" t="n">
        <v>28969.1</v>
      </c>
      <c r="GK21" t="n">
        <v>22766.2</v>
      </c>
      <c r="GL21" t="n">
        <v>30106.1</v>
      </c>
      <c r="GM21" t="n">
        <v>33881.3</v>
      </c>
      <c r="GN21" t="n">
        <v>34177</v>
      </c>
      <c r="GO21" t="n">
        <v>43070.8</v>
      </c>
      <c r="GP21" t="n">
        <v>42870.9</v>
      </c>
      <c r="GQ21" t="n">
        <v>1.96955</v>
      </c>
      <c r="GR21" t="n">
        <v>1.83493</v>
      </c>
      <c r="GS21" t="n">
        <v>0.0915676</v>
      </c>
      <c r="GT21" t="n">
        <v>0</v>
      </c>
      <c r="GU21" t="n">
        <v>23.487</v>
      </c>
      <c r="GV21" t="n">
        <v>999.9</v>
      </c>
      <c r="GW21" t="n">
        <v>52.698</v>
      </c>
      <c r="GX21" t="n">
        <v>29.537</v>
      </c>
      <c r="GY21" t="n">
        <v>21.5466</v>
      </c>
      <c r="GZ21" t="n">
        <v>63.3119</v>
      </c>
      <c r="HA21" t="n">
        <v>34.2147</v>
      </c>
      <c r="HB21" t="n">
        <v>1</v>
      </c>
      <c r="HC21" t="n">
        <v>0.0526753</v>
      </c>
      <c r="HD21" t="n">
        <v>1.95136</v>
      </c>
      <c r="HE21" t="n">
        <v>20.1546</v>
      </c>
      <c r="HF21" t="n">
        <v>5.23466</v>
      </c>
      <c r="HG21" t="n">
        <v>11.962</v>
      </c>
      <c r="HH21" t="n">
        <v>4.9683</v>
      </c>
      <c r="HI21" t="n">
        <v>3.295</v>
      </c>
      <c r="HJ21" t="n">
        <v>999.9</v>
      </c>
      <c r="HK21" t="n">
        <v>9999</v>
      </c>
      <c r="HL21" t="n">
        <v>9999</v>
      </c>
      <c r="HM21" t="n">
        <v>9999</v>
      </c>
      <c r="HN21" t="n">
        <v>4.96974</v>
      </c>
      <c r="HO21" t="n">
        <v>1.86356</v>
      </c>
      <c r="HP21" t="n">
        <v>1.86508</v>
      </c>
      <c r="HQ21" t="n">
        <v>1.86707</v>
      </c>
      <c r="HR21" t="n">
        <v>1.86412</v>
      </c>
      <c r="HS21" t="n">
        <v>1.86773</v>
      </c>
      <c r="HT21" t="n">
        <v>1.86459</v>
      </c>
      <c r="HU21" t="n">
        <v>1.86646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-0.141</v>
      </c>
      <c r="IJ21" t="n">
        <v>-0.1279</v>
      </c>
      <c r="IK21" t="n">
        <v>-0.152786098589258</v>
      </c>
      <c r="IL21" t="n">
        <v>0.000216929631606078</v>
      </c>
      <c r="IM21" t="n">
        <v>2.72263024731635e-07</v>
      </c>
      <c r="IN21" t="n">
        <v>-5.43792051235154e-11</v>
      </c>
      <c r="IO21" t="n">
        <v>-0.029527678193369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0.9</v>
      </c>
      <c r="IX21" t="n">
        <v>0.9</v>
      </c>
      <c r="IY21" t="n">
        <v>0.3125</v>
      </c>
      <c r="IZ21" t="n">
        <v>2.5647</v>
      </c>
      <c r="JA21" t="n">
        <v>1.34644</v>
      </c>
      <c r="JB21" t="n">
        <v>2.26196</v>
      </c>
      <c r="JC21" t="n">
        <v>1.55029</v>
      </c>
      <c r="JD21" t="n">
        <v>2.69775</v>
      </c>
      <c r="JE21" t="n">
        <v>36.34</v>
      </c>
      <c r="JF21" t="n">
        <v>23.8423</v>
      </c>
      <c r="JG21" t="n">
        <v>18</v>
      </c>
      <c r="JH21" t="n">
        <v>497.242</v>
      </c>
      <c r="JI21" t="n">
        <v>489.255</v>
      </c>
      <c r="JJ21" t="n">
        <v>21.6441</v>
      </c>
      <c r="JK21" t="n">
        <v>27.8681</v>
      </c>
      <c r="JL21" t="n">
        <v>30.0001</v>
      </c>
      <c r="JM21" t="n">
        <v>27.8686</v>
      </c>
      <c r="JN21" t="n">
        <v>27.8833</v>
      </c>
      <c r="JO21" t="n">
        <v>6.28802</v>
      </c>
      <c r="JP21" t="n">
        <v>39.7376</v>
      </c>
      <c r="JQ21" t="n">
        <v>58.0274</v>
      </c>
      <c r="JR21" t="n">
        <v>21.6448</v>
      </c>
      <c r="JS21" t="n">
        <v>50</v>
      </c>
      <c r="JT21" t="n">
        <v>15.4101</v>
      </c>
      <c r="JU21" t="n">
        <v>101.705</v>
      </c>
      <c r="JV21" t="n">
        <v>97.3575</v>
      </c>
    </row>
    <row r="22">
      <c r="A22" t="n">
        <v>6</v>
      </c>
      <c r="B22" t="n">
        <v>1792374079.1</v>
      </c>
      <c r="C22" t="n">
        <v>627.099999904633</v>
      </c>
      <c r="D22" t="inlineStr">
        <is>
          <t>20261019 10:41:19</t>
        </is>
      </c>
      <c r="E22" t="inlineStr">
        <is>
          <t>10:41:19</t>
        </is>
      </c>
      <c r="F22" t="n">
        <v>5</v>
      </c>
      <c r="G22" t="n">
        <v>1792374071.1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1792374071.1</v>
      </c>
      <c r="DC22" t="n">
        <v>393.253866666667</v>
      </c>
      <c r="DD22" t="n">
        <v>399.983533333333</v>
      </c>
      <c r="DE22" t="n">
        <v>17.2406333333333</v>
      </c>
      <c r="DF22" t="n">
        <v>15.2591466666667</v>
      </c>
      <c r="DG22" t="n">
        <v>392.688333333333</v>
      </c>
      <c r="DH22" t="n">
        <v>17.3571666666667</v>
      </c>
      <c r="DI22" t="n">
        <v>500.032933333333</v>
      </c>
      <c r="DJ22" t="n">
        <v>101.4574</v>
      </c>
      <c r="DK22" t="n">
        <v>0.09997275999999999</v>
      </c>
      <c r="DL22" t="n">
        <v>25.00412</v>
      </c>
      <c r="DM22" t="n">
        <v>24.93488</v>
      </c>
      <c r="DN22" t="n">
        <v>999.9</v>
      </c>
      <c r="DO22" t="n">
        <v>0</v>
      </c>
      <c r="DP22" t="n">
        <v>0</v>
      </c>
      <c r="DQ22" t="n">
        <v>9997</v>
      </c>
      <c r="DR22" t="n">
        <v>0</v>
      </c>
      <c r="DS22" t="n">
        <v>6.49265</v>
      </c>
      <c r="DT22" t="n">
        <v>-6.72959933333333</v>
      </c>
      <c r="DU22" t="n">
        <v>400.152866666667</v>
      </c>
      <c r="DV22" t="n">
        <v>406.181533333333</v>
      </c>
      <c r="DW22" t="n">
        <v>1.98148533333333</v>
      </c>
      <c r="DX22" t="n">
        <v>399.983533333333</v>
      </c>
      <c r="DY22" t="n">
        <v>15.2591466666667</v>
      </c>
      <c r="DZ22" t="n">
        <v>1.74919</v>
      </c>
      <c r="EA22" t="n">
        <v>1.548154</v>
      </c>
      <c r="EB22" t="n">
        <v>15.3399933333333</v>
      </c>
      <c r="EC22" t="n">
        <v>13.4522</v>
      </c>
      <c r="ED22" t="n">
        <v>1499.956</v>
      </c>
      <c r="EE22" t="n">
        <v>0.972995133333333</v>
      </c>
      <c r="EF22" t="n">
        <v>0.0270045266666667</v>
      </c>
      <c r="EG22" t="n">
        <v>0</v>
      </c>
      <c r="EH22" t="n">
        <v>261.278333333333</v>
      </c>
      <c r="EI22" t="n">
        <v>5.00064</v>
      </c>
      <c r="EJ22" t="n">
        <v>4187.63066666667</v>
      </c>
      <c r="EK22" t="n">
        <v>15438.72</v>
      </c>
      <c r="EL22" t="n">
        <v>40.3456</v>
      </c>
      <c r="EM22" t="n">
        <v>41.0165333333333</v>
      </c>
      <c r="EN22" t="n">
        <v>40.687</v>
      </c>
      <c r="EO22" t="n">
        <v>40.625</v>
      </c>
      <c r="EP22" t="n">
        <v>41.875</v>
      </c>
      <c r="EQ22" t="n">
        <v>1454.586</v>
      </c>
      <c r="ER22" t="n">
        <v>40.37</v>
      </c>
      <c r="ES22" t="n">
        <v>0</v>
      </c>
      <c r="ET22" t="n">
        <v>1792374079.2</v>
      </c>
      <c r="EU22" t="n">
        <v>0</v>
      </c>
      <c r="EV22" t="n">
        <v>261.241769230769</v>
      </c>
      <c r="EW22" t="n">
        <v>0.46372649828601</v>
      </c>
      <c r="EX22" t="n">
        <v>10.940512810349</v>
      </c>
      <c r="EY22" t="n">
        <v>4187.85807692308</v>
      </c>
      <c r="EZ22" t="n">
        <v>15</v>
      </c>
      <c r="FA22" t="n">
        <v>1792374004.1</v>
      </c>
      <c r="FB22" t="inlineStr">
        <is>
          <t>10:40:04</t>
        </is>
      </c>
      <c r="FC22" t="n">
        <v>1792374003.1</v>
      </c>
      <c r="FD22" t="n">
        <v>1792374004.1</v>
      </c>
      <c r="FE22" t="n">
        <v>7</v>
      </c>
      <c r="FF22" t="n">
        <v>0.595</v>
      </c>
      <c r="FG22" t="n">
        <v>0.008999999999999999</v>
      </c>
      <c r="FH22" t="n">
        <v>0.569</v>
      </c>
      <c r="FI22" t="n">
        <v>-0.184</v>
      </c>
      <c r="FJ22" t="n">
        <v>400</v>
      </c>
      <c r="FK22" t="n">
        <v>15</v>
      </c>
      <c r="FL22" t="n">
        <v>0.41</v>
      </c>
      <c r="FM22" t="n">
        <v>0.03</v>
      </c>
      <c r="FN22" t="n">
        <v>14.8064626178138</v>
      </c>
      <c r="FO22" t="n">
        <v>0.53964031325957</v>
      </c>
      <c r="FP22" t="n">
        <v>0.116044439440966</v>
      </c>
      <c r="FQ22" t="n">
        <v>1</v>
      </c>
      <c r="FR22" t="n">
        <v>-6.71873619047619</v>
      </c>
      <c r="FS22" t="n">
        <v>-0.259459480519489</v>
      </c>
      <c r="FT22" t="n">
        <v>0.0493509139661775</v>
      </c>
      <c r="FU22" t="n">
        <v>1</v>
      </c>
      <c r="FV22" t="n">
        <v>261.303058823529</v>
      </c>
      <c r="FW22" t="n">
        <v>-0.530114589015189</v>
      </c>
      <c r="FX22" t="n">
        <v>0.194640987941516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3.12313</v>
      </c>
      <c r="GD22" t="n">
        <v>2.76517</v>
      </c>
      <c r="GE22" t="n">
        <v>0.0869442</v>
      </c>
      <c r="GF22" t="n">
        <v>0.0903549</v>
      </c>
      <c r="GG22" t="n">
        <v>0.0927504</v>
      </c>
      <c r="GH22" t="n">
        <v>0.0878135</v>
      </c>
      <c r="GI22" t="n">
        <v>17791.2</v>
      </c>
      <c r="GJ22" t="n">
        <v>26730.9</v>
      </c>
      <c r="GK22" t="n">
        <v>22767.6</v>
      </c>
      <c r="GL22" t="n">
        <v>30110.7</v>
      </c>
      <c r="GM22" t="n">
        <v>33878</v>
      </c>
      <c r="GN22" t="n">
        <v>34211.5</v>
      </c>
      <c r="GO22" t="n">
        <v>43074.2</v>
      </c>
      <c r="GP22" t="n">
        <v>42877.3</v>
      </c>
      <c r="GQ22" t="n">
        <v>1.97027</v>
      </c>
      <c r="GR22" t="n">
        <v>1.8343</v>
      </c>
      <c r="GS22" t="n">
        <v>0.08469450000000001</v>
      </c>
      <c r="GT22" t="n">
        <v>0</v>
      </c>
      <c r="GU22" t="n">
        <v>23.5515</v>
      </c>
      <c r="GV22" t="n">
        <v>999.9</v>
      </c>
      <c r="GW22" t="n">
        <v>52.069</v>
      </c>
      <c r="GX22" t="n">
        <v>29.729</v>
      </c>
      <c r="GY22" t="n">
        <v>21.5286</v>
      </c>
      <c r="GZ22" t="n">
        <v>63.5919</v>
      </c>
      <c r="HA22" t="n">
        <v>34.7035</v>
      </c>
      <c r="HB22" t="n">
        <v>1</v>
      </c>
      <c r="HC22" t="n">
        <v>0.0489253</v>
      </c>
      <c r="HD22" t="n">
        <v>1.4643</v>
      </c>
      <c r="HE22" t="n">
        <v>20.1589</v>
      </c>
      <c r="HF22" t="n">
        <v>5.23391</v>
      </c>
      <c r="HG22" t="n">
        <v>11.962</v>
      </c>
      <c r="HH22" t="n">
        <v>4.96885</v>
      </c>
      <c r="HI22" t="n">
        <v>3.295</v>
      </c>
      <c r="HJ22" t="n">
        <v>999.9</v>
      </c>
      <c r="HK22" t="n">
        <v>9999</v>
      </c>
      <c r="HL22" t="n">
        <v>9999</v>
      </c>
      <c r="HM22" t="n">
        <v>9999</v>
      </c>
      <c r="HN22" t="n">
        <v>4.96972</v>
      </c>
      <c r="HO22" t="n">
        <v>1.86356</v>
      </c>
      <c r="HP22" t="n">
        <v>1.86508</v>
      </c>
      <c r="HQ22" t="n">
        <v>1.86707</v>
      </c>
      <c r="HR22" t="n">
        <v>1.86413</v>
      </c>
      <c r="HS22" t="n">
        <v>1.86775</v>
      </c>
      <c r="HT22" t="n">
        <v>1.86455</v>
      </c>
      <c r="HU22" t="n">
        <v>1.86646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0.5659999999999999</v>
      </c>
      <c r="IJ22" t="n">
        <v>-0.1164</v>
      </c>
      <c r="IK22" t="n">
        <v>0.441840169670491</v>
      </c>
      <c r="IL22" t="n">
        <v>0.000216929631606078</v>
      </c>
      <c r="IM22" t="n">
        <v>2.72263024731635e-07</v>
      </c>
      <c r="IN22" t="n">
        <v>-5.43792051235154e-11</v>
      </c>
      <c r="IO22" t="n">
        <v>-0.0208563873908683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1.3</v>
      </c>
      <c r="IX22" t="n">
        <v>1.2</v>
      </c>
      <c r="IY22" t="n">
        <v>1.05469</v>
      </c>
      <c r="IZ22" t="n">
        <v>2.57446</v>
      </c>
      <c r="JA22" t="n">
        <v>1.34644</v>
      </c>
      <c r="JB22" t="n">
        <v>2.26196</v>
      </c>
      <c r="JC22" t="n">
        <v>1.55029</v>
      </c>
      <c r="JD22" t="n">
        <v>2.44629</v>
      </c>
      <c r="JE22" t="n">
        <v>36.5051</v>
      </c>
      <c r="JF22" t="n">
        <v>23.8336</v>
      </c>
      <c r="JG22" t="n">
        <v>18</v>
      </c>
      <c r="JH22" t="n">
        <v>497.528</v>
      </c>
      <c r="JI22" t="n">
        <v>488.644</v>
      </c>
      <c r="JJ22" t="n">
        <v>22.0752</v>
      </c>
      <c r="JK22" t="n">
        <v>27.8468</v>
      </c>
      <c r="JL22" t="n">
        <v>30</v>
      </c>
      <c r="JM22" t="n">
        <v>27.8497</v>
      </c>
      <c r="JN22" t="n">
        <v>27.8649</v>
      </c>
      <c r="JO22" t="n">
        <v>21.1262</v>
      </c>
      <c r="JP22" t="n">
        <v>39.8531</v>
      </c>
      <c r="JQ22" t="n">
        <v>55.3886</v>
      </c>
      <c r="JR22" t="n">
        <v>22.1003</v>
      </c>
      <c r="JS22" t="n">
        <v>400</v>
      </c>
      <c r="JT22" t="n">
        <v>15.1889</v>
      </c>
      <c r="JU22" t="n">
        <v>101.712</v>
      </c>
      <c r="JV22" t="n">
        <v>97.372</v>
      </c>
    </row>
    <row r="23">
      <c r="A23" t="n">
        <v>7</v>
      </c>
      <c r="B23" t="n">
        <v>1792374230.1</v>
      </c>
      <c r="C23" t="n">
        <v>778.099999904633</v>
      </c>
      <c r="D23" t="inlineStr">
        <is>
          <t>20261019 10:43:50</t>
        </is>
      </c>
      <c r="E23" t="inlineStr">
        <is>
          <t>10:43:50</t>
        </is>
      </c>
      <c r="F23" t="n">
        <v>5</v>
      </c>
      <c r="G23" t="n">
        <v>1792374221.6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1792374221.6</v>
      </c>
      <c r="DC23" t="n">
        <v>392.3864375</v>
      </c>
      <c r="DD23" t="n">
        <v>400.0055625</v>
      </c>
      <c r="DE23" t="n">
        <v>17.34503125</v>
      </c>
      <c r="DF23" t="n">
        <v>15.10194375</v>
      </c>
      <c r="DG23" t="n">
        <v>391.79775</v>
      </c>
      <c r="DH23" t="n">
        <v>17.4552875</v>
      </c>
      <c r="DI23" t="n">
        <v>500.0281875</v>
      </c>
      <c r="DJ23" t="n">
        <v>101.46</v>
      </c>
      <c r="DK23" t="n">
        <v>0.099969575</v>
      </c>
      <c r="DL23" t="n">
        <v>25.13734375</v>
      </c>
      <c r="DM23" t="n">
        <v>24.9788125</v>
      </c>
      <c r="DN23" t="n">
        <v>999.9</v>
      </c>
      <c r="DO23" t="n">
        <v>0</v>
      </c>
      <c r="DP23" t="n">
        <v>0</v>
      </c>
      <c r="DQ23" t="n">
        <v>10001.95625</v>
      </c>
      <c r="DR23" t="n">
        <v>0</v>
      </c>
      <c r="DS23" t="n">
        <v>6.397000625</v>
      </c>
      <c r="DT23" t="n">
        <v>-7.6191525</v>
      </c>
      <c r="DU23" t="n">
        <v>399.3124375</v>
      </c>
      <c r="DV23" t="n">
        <v>406.1390625</v>
      </c>
      <c r="DW23" t="n">
        <v>2.243088125</v>
      </c>
      <c r="DX23" t="n">
        <v>400.0055625</v>
      </c>
      <c r="DY23" t="n">
        <v>15.10194375</v>
      </c>
      <c r="DZ23" t="n">
        <v>1.759825</v>
      </c>
      <c r="EA23" t="n">
        <v>1.5322425</v>
      </c>
      <c r="EB23" t="n">
        <v>15.4344375</v>
      </c>
      <c r="EC23" t="n">
        <v>13.2937375</v>
      </c>
      <c r="ED23" t="n">
        <v>1499.9775</v>
      </c>
      <c r="EE23" t="n">
        <v>0.9729955</v>
      </c>
      <c r="EF23" t="n">
        <v>0.02700411875</v>
      </c>
      <c r="EG23" t="n">
        <v>0</v>
      </c>
      <c r="EH23" t="n">
        <v>267.0571875</v>
      </c>
      <c r="EI23" t="n">
        <v>5.00064</v>
      </c>
      <c r="EJ23" t="n">
        <v>4281.0325</v>
      </c>
      <c r="EK23" t="n">
        <v>15438.98125</v>
      </c>
      <c r="EL23" t="n">
        <v>40.42925</v>
      </c>
      <c r="EM23" t="n">
        <v>41.0738125</v>
      </c>
      <c r="EN23" t="n">
        <v>40.75</v>
      </c>
      <c r="EO23" t="n">
        <v>40.687</v>
      </c>
      <c r="EP23" t="n">
        <v>41.937</v>
      </c>
      <c r="EQ23" t="n">
        <v>1454.6075</v>
      </c>
      <c r="ER23" t="n">
        <v>40.37</v>
      </c>
      <c r="ES23" t="n">
        <v>0</v>
      </c>
      <c r="ET23" t="n">
        <v>1792374230.4</v>
      </c>
      <c r="EU23" t="n">
        <v>0</v>
      </c>
      <c r="EV23" t="n">
        <v>267.100884615385</v>
      </c>
      <c r="EW23" t="n">
        <v>1.79750426120812</v>
      </c>
      <c r="EX23" t="n">
        <v>30.957264920531</v>
      </c>
      <c r="EY23" t="n">
        <v>4281.65076923077</v>
      </c>
      <c r="EZ23" t="n">
        <v>15</v>
      </c>
      <c r="FA23" t="n">
        <v>1792374138.1</v>
      </c>
      <c r="FB23" t="inlineStr">
        <is>
          <t>10:42:18</t>
        </is>
      </c>
      <c r="FC23" t="n">
        <v>1792374136.1</v>
      </c>
      <c r="FD23" t="n">
        <v>1792374138.1</v>
      </c>
      <c r="FE23" t="n">
        <v>8</v>
      </c>
      <c r="FF23" t="n">
        <v>0.023</v>
      </c>
      <c r="FG23" t="n">
        <v>0.002</v>
      </c>
      <c r="FH23" t="n">
        <v>0.592</v>
      </c>
      <c r="FI23" t="n">
        <v>-0.187</v>
      </c>
      <c r="FJ23" t="n">
        <v>400</v>
      </c>
      <c r="FK23" t="n">
        <v>15</v>
      </c>
      <c r="FL23" t="n">
        <v>0.41</v>
      </c>
      <c r="FM23" t="n">
        <v>0.05</v>
      </c>
      <c r="FN23" t="n">
        <v>16.7670102458153</v>
      </c>
      <c r="FO23" t="n">
        <v>0.781646417326515</v>
      </c>
      <c r="FP23" t="n">
        <v>0.09809079348546069</v>
      </c>
      <c r="FQ23" t="n">
        <v>0</v>
      </c>
      <c r="FR23" t="n">
        <v>-7.60945</v>
      </c>
      <c r="FS23" t="n">
        <v>-0.237409624060154</v>
      </c>
      <c r="FT23" t="n">
        <v>0.0309830556917809</v>
      </c>
      <c r="FU23" t="n">
        <v>1</v>
      </c>
      <c r="FV23" t="n">
        <v>266.9665</v>
      </c>
      <c r="FW23" t="n">
        <v>1.78592818768783</v>
      </c>
      <c r="FX23" t="n">
        <v>0.244224974634646</v>
      </c>
      <c r="FY23" t="n">
        <v>0</v>
      </c>
      <c r="FZ23" t="n">
        <v>1</v>
      </c>
      <c r="GA23" t="n">
        <v>3</v>
      </c>
      <c r="GB23" t="inlineStr">
        <is>
          <t>1/3</t>
        </is>
      </c>
      <c r="GC23" t="n">
        <v>3.12325</v>
      </c>
      <c r="GD23" t="n">
        <v>2.76538</v>
      </c>
      <c r="GE23" t="n">
        <v>0.0868013</v>
      </c>
      <c r="GF23" t="n">
        <v>0.09035169999999999</v>
      </c>
      <c r="GG23" t="n">
        <v>0.0931019</v>
      </c>
      <c r="GH23" t="n">
        <v>0.0871343</v>
      </c>
      <c r="GI23" t="n">
        <v>17794.8</v>
      </c>
      <c r="GJ23" t="n">
        <v>26732.4</v>
      </c>
      <c r="GK23" t="n">
        <v>22768.7</v>
      </c>
      <c r="GL23" t="n">
        <v>30112.2</v>
      </c>
      <c r="GM23" t="n">
        <v>33865.9</v>
      </c>
      <c r="GN23" t="n">
        <v>34239.3</v>
      </c>
      <c r="GO23" t="n">
        <v>43075.9</v>
      </c>
      <c r="GP23" t="n">
        <v>42880</v>
      </c>
      <c r="GQ23" t="n">
        <v>1.97085</v>
      </c>
      <c r="GR23" t="n">
        <v>1.83267</v>
      </c>
      <c r="GS23" t="n">
        <v>0.07994469999999999</v>
      </c>
      <c r="GT23" t="n">
        <v>0</v>
      </c>
      <c r="GU23" t="n">
        <v>23.6574</v>
      </c>
      <c r="GV23" t="n">
        <v>999.9</v>
      </c>
      <c r="GW23" t="n">
        <v>51.099</v>
      </c>
      <c r="GX23" t="n">
        <v>29.91</v>
      </c>
      <c r="GY23" t="n">
        <v>21.3464</v>
      </c>
      <c r="GZ23" t="n">
        <v>63.3419</v>
      </c>
      <c r="HA23" t="n">
        <v>34.7115</v>
      </c>
      <c r="HB23" t="n">
        <v>1</v>
      </c>
      <c r="HC23" t="n">
        <v>0.048346</v>
      </c>
      <c r="HD23" t="n">
        <v>1.71659</v>
      </c>
      <c r="HE23" t="n">
        <v>20.1568</v>
      </c>
      <c r="HF23" t="n">
        <v>5.22942</v>
      </c>
      <c r="HG23" t="n">
        <v>11.962</v>
      </c>
      <c r="HH23" t="n">
        <v>4.9689</v>
      </c>
      <c r="HI23" t="n">
        <v>3.295</v>
      </c>
      <c r="HJ23" t="n">
        <v>999.9</v>
      </c>
      <c r="HK23" t="n">
        <v>9999</v>
      </c>
      <c r="HL23" t="n">
        <v>9999</v>
      </c>
      <c r="HM23" t="n">
        <v>9999</v>
      </c>
      <c r="HN23" t="n">
        <v>4.96973</v>
      </c>
      <c r="HO23" t="n">
        <v>1.86356</v>
      </c>
      <c r="HP23" t="n">
        <v>1.86508</v>
      </c>
      <c r="HQ23" t="n">
        <v>1.86707</v>
      </c>
      <c r="HR23" t="n">
        <v>1.86413</v>
      </c>
      <c r="HS23" t="n">
        <v>1.86774</v>
      </c>
      <c r="HT23" t="n">
        <v>1.86458</v>
      </c>
      <c r="HU23" t="n">
        <v>1.86646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0.589</v>
      </c>
      <c r="IJ23" t="n">
        <v>-0.1106</v>
      </c>
      <c r="IK23" t="n">
        <v>0.465077241301339</v>
      </c>
      <c r="IL23" t="n">
        <v>0.000216929631606078</v>
      </c>
      <c r="IM23" t="n">
        <v>2.72263024731635e-07</v>
      </c>
      <c r="IN23" t="n">
        <v>-5.43792051235154e-11</v>
      </c>
      <c r="IO23" t="n">
        <v>-0.0186241457712753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1.6</v>
      </c>
      <c r="IX23" t="n">
        <v>1.5</v>
      </c>
      <c r="IY23" t="n">
        <v>1.05469</v>
      </c>
      <c r="IZ23" t="n">
        <v>2.56958</v>
      </c>
      <c r="JA23" t="n">
        <v>1.34766</v>
      </c>
      <c r="JB23" t="n">
        <v>2.26318</v>
      </c>
      <c r="JC23" t="n">
        <v>1.55029</v>
      </c>
      <c r="JD23" t="n">
        <v>2.45117</v>
      </c>
      <c r="JE23" t="n">
        <v>36.6706</v>
      </c>
      <c r="JF23" t="n">
        <v>23.8423</v>
      </c>
      <c r="JG23" t="n">
        <v>18</v>
      </c>
      <c r="JH23" t="n">
        <v>497.742</v>
      </c>
      <c r="JI23" t="n">
        <v>487.363</v>
      </c>
      <c r="JJ23" t="n">
        <v>22.02</v>
      </c>
      <c r="JK23" t="n">
        <v>27.8302</v>
      </c>
      <c r="JL23" t="n">
        <v>30</v>
      </c>
      <c r="JM23" t="n">
        <v>27.8332</v>
      </c>
      <c r="JN23" t="n">
        <v>27.8503</v>
      </c>
      <c r="JO23" t="n">
        <v>21.1236</v>
      </c>
      <c r="JP23" t="n">
        <v>39.7089</v>
      </c>
      <c r="JQ23" t="n">
        <v>52.367</v>
      </c>
      <c r="JR23" t="n">
        <v>22.0269</v>
      </c>
      <c r="JS23" t="n">
        <v>400</v>
      </c>
      <c r="JT23" t="n">
        <v>15.1706</v>
      </c>
      <c r="JU23" t="n">
        <v>101.716</v>
      </c>
      <c r="JV23" t="n">
        <v>97.3777</v>
      </c>
    </row>
    <row r="24">
      <c r="A24" t="n">
        <v>8</v>
      </c>
      <c r="B24" t="n">
        <v>1792374378.1</v>
      </c>
      <c r="C24" t="n">
        <v>926.099999904633</v>
      </c>
      <c r="D24" t="inlineStr">
        <is>
          <t>20261019 10:46:18</t>
        </is>
      </c>
      <c r="E24" t="inlineStr">
        <is>
          <t>10:46:18</t>
        </is>
      </c>
      <c r="F24" t="n">
        <v>5</v>
      </c>
      <c r="G24" t="n">
        <v>1792374369.6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1792374369.6</v>
      </c>
      <c r="DC24" t="n">
        <v>690.241125</v>
      </c>
      <c r="DD24" t="n">
        <v>699.9925625</v>
      </c>
      <c r="DE24" t="n">
        <v>17.42145625</v>
      </c>
      <c r="DF24" t="n">
        <v>14.9985125</v>
      </c>
      <c r="DG24" t="n">
        <v>689.5828125</v>
      </c>
      <c r="DH24" t="n">
        <v>17.52178125</v>
      </c>
      <c r="DI24" t="n">
        <v>500.0365625</v>
      </c>
      <c r="DJ24" t="n">
        <v>101.457625</v>
      </c>
      <c r="DK24" t="n">
        <v>0.099992125</v>
      </c>
      <c r="DL24" t="n">
        <v>25.2154875</v>
      </c>
      <c r="DM24" t="n">
        <v>24.99174375</v>
      </c>
      <c r="DN24" t="n">
        <v>999.9</v>
      </c>
      <c r="DO24" t="n">
        <v>0</v>
      </c>
      <c r="DP24" t="n">
        <v>0</v>
      </c>
      <c r="DQ24" t="n">
        <v>10007.43125</v>
      </c>
      <c r="DR24" t="n">
        <v>0</v>
      </c>
      <c r="DS24" t="n">
        <v>6.54721</v>
      </c>
      <c r="DT24" t="n">
        <v>-9.75137625</v>
      </c>
      <c r="DU24" t="n">
        <v>702.4794375</v>
      </c>
      <c r="DV24" t="n">
        <v>710.6511875</v>
      </c>
      <c r="DW24" t="n">
        <v>2.422954375</v>
      </c>
      <c r="DX24" t="n">
        <v>699.9925625</v>
      </c>
      <c r="DY24" t="n">
        <v>14.9985125</v>
      </c>
      <c r="DZ24" t="n">
        <v>1.767540625</v>
      </c>
      <c r="EA24" t="n">
        <v>1.521713125</v>
      </c>
      <c r="EB24" t="n">
        <v>15.50265625</v>
      </c>
      <c r="EC24" t="n">
        <v>13.18810625</v>
      </c>
      <c r="ED24" t="n">
        <v>1500</v>
      </c>
      <c r="EE24" t="n">
        <v>0.9729955</v>
      </c>
      <c r="EF24" t="n">
        <v>0.0270041125</v>
      </c>
      <c r="EG24" t="n">
        <v>0</v>
      </c>
      <c r="EH24" t="n">
        <v>262.1169375</v>
      </c>
      <c r="EI24" t="n">
        <v>5.00064</v>
      </c>
      <c r="EJ24" t="n">
        <v>4205.2275</v>
      </c>
      <c r="EK24" t="n">
        <v>15439.2</v>
      </c>
      <c r="EL24" t="n">
        <v>40.437</v>
      </c>
      <c r="EM24" t="n">
        <v>41.125</v>
      </c>
      <c r="EN24" t="n">
        <v>40.80425</v>
      </c>
      <c r="EO24" t="n">
        <v>40.75</v>
      </c>
      <c r="EP24" t="n">
        <v>42</v>
      </c>
      <c r="EQ24" t="n">
        <v>1454.63</v>
      </c>
      <c r="ER24" t="n">
        <v>40.37</v>
      </c>
      <c r="ES24" t="n">
        <v>0</v>
      </c>
      <c r="ET24" t="n">
        <v>1792374378</v>
      </c>
      <c r="EU24" t="n">
        <v>0</v>
      </c>
      <c r="EV24" t="n">
        <v>262.097423076923</v>
      </c>
      <c r="EW24" t="n">
        <v>0.62875214389728</v>
      </c>
      <c r="EX24" t="n">
        <v>5.154871770939</v>
      </c>
      <c r="EY24" t="n">
        <v>4205.20307692308</v>
      </c>
      <c r="EZ24" t="n">
        <v>15</v>
      </c>
      <c r="FA24" t="n">
        <v>1792374308.1</v>
      </c>
      <c r="FB24" t="inlineStr">
        <is>
          <t>10:45:08</t>
        </is>
      </c>
      <c r="FC24" t="n">
        <v>1792374308.1</v>
      </c>
      <c r="FD24" t="n">
        <v>1792374302.1</v>
      </c>
      <c r="FE24" t="n">
        <v>9</v>
      </c>
      <c r="FF24" t="n">
        <v>-0.068</v>
      </c>
      <c r="FG24" t="n">
        <v>0.007</v>
      </c>
      <c r="FH24" t="n">
        <v>0.664</v>
      </c>
      <c r="FI24" t="n">
        <v>-0.184</v>
      </c>
      <c r="FJ24" t="n">
        <v>700</v>
      </c>
      <c r="FK24" t="n">
        <v>15</v>
      </c>
      <c r="FL24" t="n">
        <v>0.14</v>
      </c>
      <c r="FM24" t="n">
        <v>0.02</v>
      </c>
      <c r="FN24" t="n">
        <v>20.1370372050223</v>
      </c>
      <c r="FO24" t="n">
        <v>0.442498551439636</v>
      </c>
      <c r="FP24" t="n">
        <v>0.177545221340488</v>
      </c>
      <c r="FQ24" t="n">
        <v>1</v>
      </c>
      <c r="FR24" t="n">
        <v>-9.767799500000001</v>
      </c>
      <c r="FS24" t="n">
        <v>0.101403157894738</v>
      </c>
      <c r="FT24" t="n">
        <v>0.0640737783711091</v>
      </c>
      <c r="FU24" t="n">
        <v>1</v>
      </c>
      <c r="FV24" t="n">
        <v>262.145941176471</v>
      </c>
      <c r="FW24" t="n">
        <v>-0.592605039173424</v>
      </c>
      <c r="FX24" t="n">
        <v>0.173355625840012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3.12356</v>
      </c>
      <c r="GD24" t="n">
        <v>2.76537</v>
      </c>
      <c r="GE24" t="n">
        <v>0.130468</v>
      </c>
      <c r="GF24" t="n">
        <v>0.135096</v>
      </c>
      <c r="GG24" t="n">
        <v>0.09336220000000001</v>
      </c>
      <c r="GH24" t="n">
        <v>0.0866956</v>
      </c>
      <c r="GI24" t="n">
        <v>16943.7</v>
      </c>
      <c r="GJ24" t="n">
        <v>25418.2</v>
      </c>
      <c r="GK24" t="n">
        <v>22768.5</v>
      </c>
      <c r="GL24" t="n">
        <v>30113.3</v>
      </c>
      <c r="GM24" t="n">
        <v>33858.4</v>
      </c>
      <c r="GN24" t="n">
        <v>34261</v>
      </c>
      <c r="GO24" t="n">
        <v>43075.8</v>
      </c>
      <c r="GP24" t="n">
        <v>42882.6</v>
      </c>
      <c r="GQ24" t="n">
        <v>1.97138</v>
      </c>
      <c r="GR24" t="n">
        <v>1.83165</v>
      </c>
      <c r="GS24" t="n">
        <v>0.07741149999999999</v>
      </c>
      <c r="GT24" t="n">
        <v>0</v>
      </c>
      <c r="GU24" t="n">
        <v>23.7275</v>
      </c>
      <c r="GV24" t="n">
        <v>999.9</v>
      </c>
      <c r="GW24" t="n">
        <v>50.33</v>
      </c>
      <c r="GX24" t="n">
        <v>30.071</v>
      </c>
      <c r="GY24" t="n">
        <v>21.2203</v>
      </c>
      <c r="GZ24" t="n">
        <v>63.2119</v>
      </c>
      <c r="HA24" t="n">
        <v>34.1386</v>
      </c>
      <c r="HB24" t="n">
        <v>1</v>
      </c>
      <c r="HC24" t="n">
        <v>0.0471037</v>
      </c>
      <c r="HD24" t="n">
        <v>1.761</v>
      </c>
      <c r="HE24" t="n">
        <v>20.1555</v>
      </c>
      <c r="HF24" t="n">
        <v>5.23421</v>
      </c>
      <c r="HG24" t="n">
        <v>11.962</v>
      </c>
      <c r="HH24" t="n">
        <v>4.96925</v>
      </c>
      <c r="HI24" t="n">
        <v>3.295</v>
      </c>
      <c r="HJ24" t="n">
        <v>999.9</v>
      </c>
      <c r="HK24" t="n">
        <v>9999</v>
      </c>
      <c r="HL24" t="n">
        <v>9999</v>
      </c>
      <c r="HM24" t="n">
        <v>9999</v>
      </c>
      <c r="HN24" t="n">
        <v>4.96975</v>
      </c>
      <c r="HO24" t="n">
        <v>1.86361</v>
      </c>
      <c r="HP24" t="n">
        <v>1.86515</v>
      </c>
      <c r="HQ24" t="n">
        <v>1.86709</v>
      </c>
      <c r="HR24" t="n">
        <v>1.86417</v>
      </c>
      <c r="HS24" t="n">
        <v>1.86781</v>
      </c>
      <c r="HT24" t="n">
        <v>1.86462</v>
      </c>
      <c r="HU24" t="n">
        <v>1.86648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0.658</v>
      </c>
      <c r="IJ24" t="n">
        <v>-0.1006</v>
      </c>
      <c r="IK24" t="n">
        <v>0.39722029949524</v>
      </c>
      <c r="IL24" t="n">
        <v>0.000216929631606078</v>
      </c>
      <c r="IM24" t="n">
        <v>2.72263024731635e-07</v>
      </c>
      <c r="IN24" t="n">
        <v>-5.43792051235154e-11</v>
      </c>
      <c r="IO24" t="n">
        <v>-0.0114612558115872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1.2</v>
      </c>
      <c r="IX24" t="n">
        <v>1.3</v>
      </c>
      <c r="IY24" t="n">
        <v>1.63086</v>
      </c>
      <c r="IZ24" t="n">
        <v>2.55371</v>
      </c>
      <c r="JA24" t="n">
        <v>1.34644</v>
      </c>
      <c r="JB24" t="n">
        <v>2.26074</v>
      </c>
      <c r="JC24" t="n">
        <v>1.55029</v>
      </c>
      <c r="JD24" t="n">
        <v>2.69531</v>
      </c>
      <c r="JE24" t="n">
        <v>36.8366</v>
      </c>
      <c r="JF24" t="n">
        <v>23.8423</v>
      </c>
      <c r="JG24" t="n">
        <v>18</v>
      </c>
      <c r="JH24" t="n">
        <v>497.965</v>
      </c>
      <c r="JI24" t="n">
        <v>486.512</v>
      </c>
      <c r="JJ24" t="n">
        <v>22.0912</v>
      </c>
      <c r="JK24" t="n">
        <v>27.8207</v>
      </c>
      <c r="JL24" t="n">
        <v>30</v>
      </c>
      <c r="JM24" t="n">
        <v>27.8214</v>
      </c>
      <c r="JN24" t="n">
        <v>27.8362</v>
      </c>
      <c r="JO24" t="n">
        <v>32.6385</v>
      </c>
      <c r="JP24" t="n">
        <v>39.6286</v>
      </c>
      <c r="JQ24" t="n">
        <v>49.7237</v>
      </c>
      <c r="JR24" t="n">
        <v>22.0879</v>
      </c>
      <c r="JS24" t="n">
        <v>700</v>
      </c>
      <c r="JT24" t="n">
        <v>15.0304</v>
      </c>
      <c r="JU24" t="n">
        <v>101.716</v>
      </c>
      <c r="JV24" t="n">
        <v>97.3826</v>
      </c>
    </row>
    <row r="25">
      <c r="A25" t="n">
        <v>9</v>
      </c>
      <c r="B25" t="n">
        <v>1792374499.1</v>
      </c>
      <c r="C25" t="n">
        <v>1047.09999990463</v>
      </c>
      <c r="D25" t="inlineStr">
        <is>
          <t>20261019 10:48:19</t>
        </is>
      </c>
      <c r="E25" t="inlineStr">
        <is>
          <t>10:48:19</t>
        </is>
      </c>
      <c r="F25" t="n">
        <v>5</v>
      </c>
      <c r="G25" t="n">
        <v>1792374490.6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1792374490.6</v>
      </c>
      <c r="DC25" t="n">
        <v>989.360125</v>
      </c>
      <c r="DD25" t="n">
        <v>1000.0203125</v>
      </c>
      <c r="DE25" t="n">
        <v>17.485875</v>
      </c>
      <c r="DF25" t="n">
        <v>15.01665625</v>
      </c>
      <c r="DG25" t="n">
        <v>988.76975</v>
      </c>
      <c r="DH25" t="n">
        <v>17.57993125</v>
      </c>
      <c r="DI25" t="n">
        <v>500.04675</v>
      </c>
      <c r="DJ25" t="n">
        <v>101.4510625</v>
      </c>
      <c r="DK25" t="n">
        <v>0.0999812375</v>
      </c>
      <c r="DL25" t="n">
        <v>25.2383125</v>
      </c>
      <c r="DM25" t="n">
        <v>24.98965625</v>
      </c>
      <c r="DN25" t="n">
        <v>999.9</v>
      </c>
      <c r="DO25" t="n">
        <v>0</v>
      </c>
      <c r="DP25" t="n">
        <v>0</v>
      </c>
      <c r="DQ25" t="n">
        <v>10002.640625</v>
      </c>
      <c r="DR25" t="n">
        <v>0</v>
      </c>
      <c r="DS25" t="n">
        <v>6.54721</v>
      </c>
      <c r="DT25" t="n">
        <v>-10.6600125</v>
      </c>
      <c r="DU25" t="n">
        <v>1006.9675</v>
      </c>
      <c r="DV25" t="n">
        <v>1015.265</v>
      </c>
      <c r="DW25" t="n">
        <v>2.469215</v>
      </c>
      <c r="DX25" t="n">
        <v>1000.0203125</v>
      </c>
      <c r="DY25" t="n">
        <v>15.01665625</v>
      </c>
      <c r="DZ25" t="n">
        <v>1.773960625</v>
      </c>
      <c r="EA25" t="n">
        <v>1.5234575</v>
      </c>
      <c r="EB25" t="n">
        <v>15.55920625</v>
      </c>
      <c r="EC25" t="n">
        <v>13.20563125</v>
      </c>
      <c r="ED25" t="n">
        <v>1499.97625</v>
      </c>
      <c r="EE25" t="n">
        <v>0.97299475</v>
      </c>
      <c r="EF25" t="n">
        <v>0.02700485625</v>
      </c>
      <c r="EG25" t="n">
        <v>0</v>
      </c>
      <c r="EH25" t="n">
        <v>257.8544375</v>
      </c>
      <c r="EI25" t="n">
        <v>5.00064</v>
      </c>
      <c r="EJ25" t="n">
        <v>4136.994375</v>
      </c>
      <c r="EK25" t="n">
        <v>15438.9625</v>
      </c>
      <c r="EL25" t="n">
        <v>40.492125</v>
      </c>
      <c r="EM25" t="n">
        <v>41.136625</v>
      </c>
      <c r="EN25" t="n">
        <v>40.812</v>
      </c>
      <c r="EO25" t="n">
        <v>40.75</v>
      </c>
      <c r="EP25" t="n">
        <v>42</v>
      </c>
      <c r="EQ25" t="n">
        <v>1454.60625</v>
      </c>
      <c r="ER25" t="n">
        <v>40.37</v>
      </c>
      <c r="ES25" t="n">
        <v>0</v>
      </c>
      <c r="ET25" t="n">
        <v>1792374499.2</v>
      </c>
      <c r="EU25" t="n">
        <v>0</v>
      </c>
      <c r="EV25" t="n">
        <v>257.789961538462</v>
      </c>
      <c r="EW25" t="n">
        <v>-0.658427335682766</v>
      </c>
      <c r="EX25" t="n">
        <v>0.242393147794267</v>
      </c>
      <c r="EY25" t="n">
        <v>4137.22576923077</v>
      </c>
      <c r="EZ25" t="n">
        <v>15</v>
      </c>
      <c r="FA25" t="n">
        <v>1792374439.1</v>
      </c>
      <c r="FB25" t="inlineStr">
        <is>
          <t>10:47:19</t>
        </is>
      </c>
      <c r="FC25" t="n">
        <v>1792374438.1</v>
      </c>
      <c r="FD25" t="n">
        <v>1792374439.1</v>
      </c>
      <c r="FE25" t="n">
        <v>10</v>
      </c>
      <c r="FF25" t="n">
        <v>-0.236</v>
      </c>
      <c r="FG25" t="n">
        <v>0.004</v>
      </c>
      <c r="FH25" t="n">
        <v>0.597</v>
      </c>
      <c r="FI25" t="n">
        <v>-0.182</v>
      </c>
      <c r="FJ25" t="n">
        <v>1000</v>
      </c>
      <c r="FK25" t="n">
        <v>15</v>
      </c>
      <c r="FL25" t="n">
        <v>0.15</v>
      </c>
      <c r="FM25" t="n">
        <v>0.04</v>
      </c>
      <c r="FN25" t="n">
        <v>20.3507307731834</v>
      </c>
      <c r="FO25" t="n">
        <v>0.458584556609897</v>
      </c>
      <c r="FP25" t="n">
        <v>0.217301572807274</v>
      </c>
      <c r="FQ25" t="n">
        <v>1</v>
      </c>
      <c r="FR25" t="n">
        <v>-10.6291095238095</v>
      </c>
      <c r="FS25" t="n">
        <v>-0.0965142857143096</v>
      </c>
      <c r="FT25" t="n">
        <v>0.0868392159862498</v>
      </c>
      <c r="FU25" t="n">
        <v>1</v>
      </c>
      <c r="FV25" t="n">
        <v>257.784882352941</v>
      </c>
      <c r="FW25" t="n">
        <v>-0.178670732622917</v>
      </c>
      <c r="FX25" t="n">
        <v>0.225560317315355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3.12322</v>
      </c>
      <c r="GD25" t="n">
        <v>2.76525</v>
      </c>
      <c r="GE25" t="n">
        <v>0.165119</v>
      </c>
      <c r="GF25" t="n">
        <v>0.170493</v>
      </c>
      <c r="GG25" t="n">
        <v>0.0935243</v>
      </c>
      <c r="GH25" t="n">
        <v>0.086821</v>
      </c>
      <c r="GI25" t="n">
        <v>16269.1</v>
      </c>
      <c r="GJ25" t="n">
        <v>24379.6</v>
      </c>
      <c r="GK25" t="n">
        <v>22769.3</v>
      </c>
      <c r="GL25" t="n">
        <v>30115.2</v>
      </c>
      <c r="GM25" t="n">
        <v>33855.9</v>
      </c>
      <c r="GN25" t="n">
        <v>34260.9</v>
      </c>
      <c r="GO25" t="n">
        <v>43077.8</v>
      </c>
      <c r="GP25" t="n">
        <v>42885.4</v>
      </c>
      <c r="GQ25" t="n">
        <v>1.97158</v>
      </c>
      <c r="GR25" t="n">
        <v>1.83162</v>
      </c>
      <c r="GS25" t="n">
        <v>0.07465479999999999</v>
      </c>
      <c r="GT25" t="n">
        <v>0</v>
      </c>
      <c r="GU25" t="n">
        <v>23.7553</v>
      </c>
      <c r="GV25" t="n">
        <v>999.9</v>
      </c>
      <c r="GW25" t="n">
        <v>49.579</v>
      </c>
      <c r="GX25" t="n">
        <v>30.222</v>
      </c>
      <c r="GY25" t="n">
        <v>21.0855</v>
      </c>
      <c r="GZ25" t="n">
        <v>63.1419</v>
      </c>
      <c r="HA25" t="n">
        <v>34.6955</v>
      </c>
      <c r="HB25" t="n">
        <v>1</v>
      </c>
      <c r="HC25" t="n">
        <v>0.0461153</v>
      </c>
      <c r="HD25" t="n">
        <v>1.7463</v>
      </c>
      <c r="HE25" t="n">
        <v>20.1554</v>
      </c>
      <c r="HF25" t="n">
        <v>5.23496</v>
      </c>
      <c r="HG25" t="n">
        <v>11.962</v>
      </c>
      <c r="HH25" t="n">
        <v>4.96895</v>
      </c>
      <c r="HI25" t="n">
        <v>3.295</v>
      </c>
      <c r="HJ25" t="n">
        <v>999.9</v>
      </c>
      <c r="HK25" t="n">
        <v>9999</v>
      </c>
      <c r="HL25" t="n">
        <v>9999</v>
      </c>
      <c r="HM25" t="n">
        <v>9999</v>
      </c>
      <c r="HN25" t="n">
        <v>4.96972</v>
      </c>
      <c r="HO25" t="n">
        <v>1.86365</v>
      </c>
      <c r="HP25" t="n">
        <v>1.86517</v>
      </c>
      <c r="HQ25" t="n">
        <v>1.86707</v>
      </c>
      <c r="HR25" t="n">
        <v>1.86417</v>
      </c>
      <c r="HS25" t="n">
        <v>1.86782</v>
      </c>
      <c r="HT25" t="n">
        <v>1.86462</v>
      </c>
      <c r="HU25" t="n">
        <v>1.86648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0.591</v>
      </c>
      <c r="IJ25" t="n">
        <v>-0.095</v>
      </c>
      <c r="IK25" t="n">
        <v>0.162415840223135</v>
      </c>
      <c r="IL25" t="n">
        <v>0.000216929631606078</v>
      </c>
      <c r="IM25" t="n">
        <v>2.72263024731635e-07</v>
      </c>
      <c r="IN25" t="n">
        <v>-5.43792051235154e-11</v>
      </c>
      <c r="IO25" t="n">
        <v>-0.00763174957767981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</v>
      </c>
      <c r="IX25" t="n">
        <v>1</v>
      </c>
      <c r="IY25" t="n">
        <v>2.16553</v>
      </c>
      <c r="IZ25" t="n">
        <v>2.55371</v>
      </c>
      <c r="JA25" t="n">
        <v>1.34644</v>
      </c>
      <c r="JB25" t="n">
        <v>2.26074</v>
      </c>
      <c r="JC25" t="n">
        <v>1.55029</v>
      </c>
      <c r="JD25" t="n">
        <v>2.6123</v>
      </c>
      <c r="JE25" t="n">
        <v>36.908</v>
      </c>
      <c r="JF25" t="n">
        <v>23.8423</v>
      </c>
      <c r="JG25" t="n">
        <v>18</v>
      </c>
      <c r="JH25" t="n">
        <v>497.981</v>
      </c>
      <c r="JI25" t="n">
        <v>486.366</v>
      </c>
      <c r="JJ25" t="n">
        <v>22.0718</v>
      </c>
      <c r="JK25" t="n">
        <v>27.8092</v>
      </c>
      <c r="JL25" t="n">
        <v>29.9999</v>
      </c>
      <c r="JM25" t="n">
        <v>27.8088</v>
      </c>
      <c r="JN25" t="n">
        <v>27.8221</v>
      </c>
      <c r="JO25" t="n">
        <v>43.3526</v>
      </c>
      <c r="JP25" t="n">
        <v>38.9891</v>
      </c>
      <c r="JQ25" t="n">
        <v>47.4551</v>
      </c>
      <c r="JR25" t="n">
        <v>22.0851</v>
      </c>
      <c r="JS25" t="n">
        <v>1000</v>
      </c>
      <c r="JT25" t="n">
        <v>15.0291</v>
      </c>
      <c r="JU25" t="n">
        <v>101.72</v>
      </c>
      <c r="JV25" t="n">
        <v>97.38890000000001</v>
      </c>
    </row>
    <row r="26">
      <c r="A26" t="n">
        <v>10</v>
      </c>
      <c r="B26" t="n">
        <v>1792374620.1</v>
      </c>
      <c r="C26" t="n">
        <v>1168.09999990463</v>
      </c>
      <c r="D26" t="inlineStr">
        <is>
          <t>20261019 10:50:20</t>
        </is>
      </c>
      <c r="E26" t="inlineStr">
        <is>
          <t>10:50:20</t>
        </is>
      </c>
      <c r="F26" t="n">
        <v>5</v>
      </c>
      <c r="G26" t="n">
        <v>1792374612.1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1792374612.1</v>
      </c>
      <c r="DC26" t="n">
        <v>1188.69133333333</v>
      </c>
      <c r="DD26" t="n">
        <v>1199.992</v>
      </c>
      <c r="DE26" t="n">
        <v>17.5131733333333</v>
      </c>
      <c r="DF26" t="n">
        <v>15.04328</v>
      </c>
      <c r="DG26" t="n">
        <v>1187.46266666667</v>
      </c>
      <c r="DH26" t="n">
        <v>17.6066333333333</v>
      </c>
      <c r="DI26" t="n">
        <v>500.0236</v>
      </c>
      <c r="DJ26" t="n">
        <v>101.446133333333</v>
      </c>
      <c r="DK26" t="n">
        <v>0.100023993333333</v>
      </c>
      <c r="DL26" t="n">
        <v>25.2585666666667</v>
      </c>
      <c r="DM26" t="n">
        <v>25.0109733333333</v>
      </c>
      <c r="DN26" t="n">
        <v>999.9</v>
      </c>
      <c r="DO26" t="n">
        <v>0</v>
      </c>
      <c r="DP26" t="n">
        <v>0</v>
      </c>
      <c r="DQ26" t="n">
        <v>9995</v>
      </c>
      <c r="DR26" t="n">
        <v>0</v>
      </c>
      <c r="DS26" t="n">
        <v>6.60177</v>
      </c>
      <c r="DT26" t="n">
        <v>-11.3020666666667</v>
      </c>
      <c r="DU26" t="n">
        <v>1209.87866666667</v>
      </c>
      <c r="DV26" t="n">
        <v>1218.32066666667</v>
      </c>
      <c r="DW26" t="n">
        <v>2.46989866666667</v>
      </c>
      <c r="DX26" t="n">
        <v>1199.992</v>
      </c>
      <c r="DY26" t="n">
        <v>15.04328</v>
      </c>
      <c r="DZ26" t="n">
        <v>1.77664466666667</v>
      </c>
      <c r="EA26" t="n">
        <v>1.52608133333333</v>
      </c>
      <c r="EB26" t="n">
        <v>15.5828066666667</v>
      </c>
      <c r="EC26" t="n">
        <v>13.23202</v>
      </c>
      <c r="ED26" t="n">
        <v>1500.016</v>
      </c>
      <c r="EE26" t="n">
        <v>0.972995866666667</v>
      </c>
      <c r="EF26" t="n">
        <v>0.0270037466666667</v>
      </c>
      <c r="EG26" t="n">
        <v>0</v>
      </c>
      <c r="EH26" t="n">
        <v>257.730133333333</v>
      </c>
      <c r="EI26" t="n">
        <v>5.00064</v>
      </c>
      <c r="EJ26" t="n">
        <v>4137.20866666667</v>
      </c>
      <c r="EK26" t="n">
        <v>15439.3866666667</v>
      </c>
      <c r="EL26" t="n">
        <v>40.4958</v>
      </c>
      <c r="EM26" t="n">
        <v>41.1498</v>
      </c>
      <c r="EN26" t="n">
        <v>40.8162</v>
      </c>
      <c r="EO26" t="n">
        <v>40.75</v>
      </c>
      <c r="EP26" t="n">
        <v>42.0082666666667</v>
      </c>
      <c r="EQ26" t="n">
        <v>1454.646</v>
      </c>
      <c r="ER26" t="n">
        <v>40.37</v>
      </c>
      <c r="ES26" t="n">
        <v>0</v>
      </c>
      <c r="ET26" t="n">
        <v>1792374620.4</v>
      </c>
      <c r="EU26" t="n">
        <v>0</v>
      </c>
      <c r="EV26" t="n">
        <v>257.780961538462</v>
      </c>
      <c r="EW26" t="n">
        <v>-0.0738119678653298</v>
      </c>
      <c r="EX26" t="n">
        <v>1.77846158361711</v>
      </c>
      <c r="EY26" t="n">
        <v>4137.20461538462</v>
      </c>
      <c r="EZ26" t="n">
        <v>15</v>
      </c>
      <c r="FA26" t="n">
        <v>1792374559.1</v>
      </c>
      <c r="FB26" t="inlineStr">
        <is>
          <t>10:49:19</t>
        </is>
      </c>
      <c r="FC26" t="n">
        <v>1792374559.1</v>
      </c>
      <c r="FD26" t="n">
        <v>1792374556.1</v>
      </c>
      <c r="FE26" t="n">
        <v>11</v>
      </c>
      <c r="FF26" t="n">
        <v>0.519</v>
      </c>
      <c r="FG26" t="n">
        <v>-0.001</v>
      </c>
      <c r="FH26" t="n">
        <v>1.236</v>
      </c>
      <c r="FI26" t="n">
        <v>-0.183</v>
      </c>
      <c r="FJ26" t="n">
        <v>1200</v>
      </c>
      <c r="FK26" t="n">
        <v>15</v>
      </c>
      <c r="FL26" t="n">
        <v>0.13</v>
      </c>
      <c r="FM26" t="n">
        <v>0.03</v>
      </c>
      <c r="FN26" t="n">
        <v>20.7728272311099</v>
      </c>
      <c r="FO26" t="n">
        <v>-0.159237118218069</v>
      </c>
      <c r="FP26" t="n">
        <v>0.32193077778993</v>
      </c>
      <c r="FQ26" t="n">
        <v>1</v>
      </c>
      <c r="FR26" t="n">
        <v>-11.32373</v>
      </c>
      <c r="FS26" t="n">
        <v>0.379236090225559</v>
      </c>
      <c r="FT26" t="n">
        <v>0.126118345612365</v>
      </c>
      <c r="FU26" t="n">
        <v>1</v>
      </c>
      <c r="FV26" t="n">
        <v>257.717176470588</v>
      </c>
      <c r="FW26" t="n">
        <v>0.188571428124249</v>
      </c>
      <c r="FX26" t="n">
        <v>0.172469685416147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3.12347</v>
      </c>
      <c r="GD26" t="n">
        <v>2.76533</v>
      </c>
      <c r="GE26" t="n">
        <v>0.184946</v>
      </c>
      <c r="GF26" t="n">
        <v>0.190808</v>
      </c>
      <c r="GG26" t="n">
        <v>0.0936699</v>
      </c>
      <c r="GH26" t="n">
        <v>0.0868654</v>
      </c>
      <c r="GI26" t="n">
        <v>15882.8</v>
      </c>
      <c r="GJ26" t="n">
        <v>23783.8</v>
      </c>
      <c r="GK26" t="n">
        <v>22769.2</v>
      </c>
      <c r="GL26" t="n">
        <v>30116.6</v>
      </c>
      <c r="GM26" t="n">
        <v>33851.1</v>
      </c>
      <c r="GN26" t="n">
        <v>34262.6</v>
      </c>
      <c r="GO26" t="n">
        <v>43077.4</v>
      </c>
      <c r="GP26" t="n">
        <v>42887.9</v>
      </c>
      <c r="GQ26" t="n">
        <v>1.97202</v>
      </c>
      <c r="GR26" t="n">
        <v>1.83125</v>
      </c>
      <c r="GS26" t="n">
        <v>0.0758283</v>
      </c>
      <c r="GT26" t="n">
        <v>0</v>
      </c>
      <c r="GU26" t="n">
        <v>23.7749</v>
      </c>
      <c r="GV26" t="n">
        <v>999.9</v>
      </c>
      <c r="GW26" t="n">
        <v>48.865</v>
      </c>
      <c r="GX26" t="n">
        <v>30.363</v>
      </c>
      <c r="GY26" t="n">
        <v>20.9516</v>
      </c>
      <c r="GZ26" t="n">
        <v>63.2519</v>
      </c>
      <c r="HA26" t="n">
        <v>34.1226</v>
      </c>
      <c r="HB26" t="n">
        <v>1</v>
      </c>
      <c r="HC26" t="n">
        <v>0.0452515</v>
      </c>
      <c r="HD26" t="n">
        <v>1.77197</v>
      </c>
      <c r="HE26" t="n">
        <v>20.1552</v>
      </c>
      <c r="HF26" t="n">
        <v>5.23077</v>
      </c>
      <c r="HG26" t="n">
        <v>11.962</v>
      </c>
      <c r="HH26" t="n">
        <v>4.96895</v>
      </c>
      <c r="HI26" t="n">
        <v>3.295</v>
      </c>
      <c r="HJ26" t="n">
        <v>999.9</v>
      </c>
      <c r="HK26" t="n">
        <v>9999</v>
      </c>
      <c r="HL26" t="n">
        <v>9999</v>
      </c>
      <c r="HM26" t="n">
        <v>9999</v>
      </c>
      <c r="HN26" t="n">
        <v>4.96974</v>
      </c>
      <c r="HO26" t="n">
        <v>1.86364</v>
      </c>
      <c r="HP26" t="n">
        <v>1.8652</v>
      </c>
      <c r="HQ26" t="n">
        <v>1.86707</v>
      </c>
      <c r="HR26" t="n">
        <v>1.86416</v>
      </c>
      <c r="HS26" t="n">
        <v>1.86782</v>
      </c>
      <c r="HT26" t="n">
        <v>1.86459</v>
      </c>
      <c r="HU26" t="n">
        <v>1.86648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1.23</v>
      </c>
      <c r="IJ26" t="n">
        <v>-0.0939</v>
      </c>
      <c r="IK26" t="n">
        <v>0.678193377927464</v>
      </c>
      <c r="IL26" t="n">
        <v>0.000216929631606078</v>
      </c>
      <c r="IM26" t="n">
        <v>2.72263024731635e-07</v>
      </c>
      <c r="IN26" t="n">
        <v>-5.43792051235154e-11</v>
      </c>
      <c r="IO26" t="n">
        <v>-0.00815900437259395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1</v>
      </c>
      <c r="IX26" t="n">
        <v>1.1</v>
      </c>
      <c r="IY26" t="n">
        <v>2.50488</v>
      </c>
      <c r="IZ26" t="n">
        <v>2.53906</v>
      </c>
      <c r="JA26" t="n">
        <v>1.34644</v>
      </c>
      <c r="JB26" t="n">
        <v>2.26196</v>
      </c>
      <c r="JC26" t="n">
        <v>1.55029</v>
      </c>
      <c r="JD26" t="n">
        <v>2.62695</v>
      </c>
      <c r="JE26" t="n">
        <v>37.027</v>
      </c>
      <c r="JF26" t="n">
        <v>23.8423</v>
      </c>
      <c r="JG26" t="n">
        <v>18</v>
      </c>
      <c r="JH26" t="n">
        <v>498.144</v>
      </c>
      <c r="JI26" t="n">
        <v>485.993</v>
      </c>
      <c r="JJ26" t="n">
        <v>22.0636</v>
      </c>
      <c r="JK26" t="n">
        <v>27.7971</v>
      </c>
      <c r="JL26" t="n">
        <v>30</v>
      </c>
      <c r="JM26" t="n">
        <v>27.7955</v>
      </c>
      <c r="JN26" t="n">
        <v>27.8101</v>
      </c>
      <c r="JO26" t="n">
        <v>50.1421</v>
      </c>
      <c r="JP26" t="n">
        <v>38.433</v>
      </c>
      <c r="JQ26" t="n">
        <v>45.5596</v>
      </c>
      <c r="JR26" t="n">
        <v>22.0808</v>
      </c>
      <c r="JS26" t="n">
        <v>1200</v>
      </c>
      <c r="JT26" t="n">
        <v>15.055</v>
      </c>
      <c r="JU26" t="n">
        <v>101.719</v>
      </c>
      <c r="JV26" t="n">
        <v>97.39409999999999</v>
      </c>
    </row>
    <row r="27">
      <c r="A27" t="n">
        <v>11</v>
      </c>
      <c r="B27" t="n">
        <v>1792374743.1</v>
      </c>
      <c r="C27" t="n">
        <v>1291.09999990463</v>
      </c>
      <c r="D27" t="inlineStr">
        <is>
          <t>20261019 10:52:23</t>
        </is>
      </c>
      <c r="E27" t="inlineStr">
        <is>
          <t>10:52:23</t>
        </is>
      </c>
      <c r="F27" t="n">
        <v>5</v>
      </c>
      <c r="G27" t="n">
        <v>1792374734.6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1792374734.6</v>
      </c>
      <c r="DC27" t="n">
        <v>1488.159375</v>
      </c>
      <c r="DD27" t="n">
        <v>1500</v>
      </c>
      <c r="DE27" t="n">
        <v>17.4947875</v>
      </c>
      <c r="DF27" t="n">
        <v>15.08683125</v>
      </c>
      <c r="DG27" t="n">
        <v>1486.380625</v>
      </c>
      <c r="DH27" t="n">
        <v>17.58695</v>
      </c>
      <c r="DI27" t="n">
        <v>500.0221875</v>
      </c>
      <c r="DJ27" t="n">
        <v>101.4480625</v>
      </c>
      <c r="DK27" t="n">
        <v>0.0999621</v>
      </c>
      <c r="DL27" t="n">
        <v>25.23431875</v>
      </c>
      <c r="DM27" t="n">
        <v>25.021925</v>
      </c>
      <c r="DN27" t="n">
        <v>999.9</v>
      </c>
      <c r="DO27" t="n">
        <v>0</v>
      </c>
      <c r="DP27" t="n">
        <v>0</v>
      </c>
      <c r="DQ27" t="n">
        <v>10001.715625</v>
      </c>
      <c r="DR27" t="n">
        <v>0</v>
      </c>
      <c r="DS27" t="n">
        <v>6.65633</v>
      </c>
      <c r="DT27" t="n">
        <v>-11.8400125</v>
      </c>
      <c r="DU27" t="n">
        <v>1514.65875</v>
      </c>
      <c r="DV27" t="n">
        <v>1522.976875</v>
      </c>
      <c r="DW27" t="n">
        <v>2.407971875</v>
      </c>
      <c r="DX27" t="n">
        <v>1500</v>
      </c>
      <c r="DY27" t="n">
        <v>15.08683125</v>
      </c>
      <c r="DZ27" t="n">
        <v>1.77481125</v>
      </c>
      <c r="EA27" t="n">
        <v>1.5305275</v>
      </c>
      <c r="EB27" t="n">
        <v>15.5666875</v>
      </c>
      <c r="EC27" t="n">
        <v>13.2766</v>
      </c>
      <c r="ED27" t="n">
        <v>1499.978125</v>
      </c>
      <c r="EE27" t="n">
        <v>0.9729948125</v>
      </c>
      <c r="EF27" t="n">
        <v>0.02700485</v>
      </c>
      <c r="EG27" t="n">
        <v>0</v>
      </c>
      <c r="EH27" t="n">
        <v>256.9465</v>
      </c>
      <c r="EI27" t="n">
        <v>5.00064</v>
      </c>
      <c r="EJ27" t="n">
        <v>4124.73625</v>
      </c>
      <c r="EK27" t="n">
        <v>15438.96875</v>
      </c>
      <c r="EL27" t="n">
        <v>40.5</v>
      </c>
      <c r="EM27" t="n">
        <v>41.183125</v>
      </c>
      <c r="EN27" t="n">
        <v>40.812</v>
      </c>
      <c r="EO27" t="n">
        <v>40.75</v>
      </c>
      <c r="EP27" t="n">
        <v>42.042625</v>
      </c>
      <c r="EQ27" t="n">
        <v>1454.608125</v>
      </c>
      <c r="ER27" t="n">
        <v>40.37</v>
      </c>
      <c r="ES27" t="n">
        <v>0</v>
      </c>
      <c r="ET27" t="n">
        <v>1792374743.4</v>
      </c>
      <c r="EU27" t="n">
        <v>0</v>
      </c>
      <c r="EV27" t="n">
        <v>256.95804</v>
      </c>
      <c r="EW27" t="n">
        <v>-0.582538475059116</v>
      </c>
      <c r="EX27" t="n">
        <v>-13.7592307446514</v>
      </c>
      <c r="EY27" t="n">
        <v>4124.572</v>
      </c>
      <c r="EZ27" t="n">
        <v>15</v>
      </c>
      <c r="FA27" t="n">
        <v>1792374685.1</v>
      </c>
      <c r="FB27" t="inlineStr">
        <is>
          <t>10:51:25</t>
        </is>
      </c>
      <c r="FC27" t="n">
        <v>1792374685.1</v>
      </c>
      <c r="FD27" t="n">
        <v>1792374678.1</v>
      </c>
      <c r="FE27" t="n">
        <v>12</v>
      </c>
      <c r="FF27" t="n">
        <v>0.355</v>
      </c>
      <c r="FG27" t="n">
        <v>0.002</v>
      </c>
      <c r="FH27" t="n">
        <v>1.787</v>
      </c>
      <c r="FI27" t="n">
        <v>-0.18</v>
      </c>
      <c r="FJ27" t="n">
        <v>1500</v>
      </c>
      <c r="FK27" t="n">
        <v>15</v>
      </c>
      <c r="FL27" t="n">
        <v>0.25</v>
      </c>
      <c r="FM27" t="n">
        <v>0.03</v>
      </c>
      <c r="FN27" t="n">
        <v>20.5080698464465</v>
      </c>
      <c r="FO27" t="n">
        <v>-0.448867603384272</v>
      </c>
      <c r="FP27" t="n">
        <v>0.251114073575824</v>
      </c>
      <c r="FQ27" t="n">
        <v>1</v>
      </c>
      <c r="FR27" t="n">
        <v>-11.8437047619048</v>
      </c>
      <c r="FS27" t="n">
        <v>0.322924675324661</v>
      </c>
      <c r="FT27" t="n">
        <v>0.112074037927275</v>
      </c>
      <c r="FU27" t="n">
        <v>1</v>
      </c>
      <c r="FV27" t="n">
        <v>256.985117647059</v>
      </c>
      <c r="FW27" t="n">
        <v>-0.406080981051318</v>
      </c>
      <c r="FX27" t="n">
        <v>0.20829345316106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3.12315</v>
      </c>
      <c r="GD27" t="n">
        <v>2.76529</v>
      </c>
      <c r="GE27" t="n">
        <v>0.211413</v>
      </c>
      <c r="GF27" t="n">
        <v>0.217841</v>
      </c>
      <c r="GG27" t="n">
        <v>0.0935091</v>
      </c>
      <c r="GH27" t="n">
        <v>0.0870978</v>
      </c>
      <c r="GI27" t="n">
        <v>15367.6</v>
      </c>
      <c r="GJ27" t="n">
        <v>22990.7</v>
      </c>
      <c r="GK27" t="n">
        <v>22769.8</v>
      </c>
      <c r="GL27" t="n">
        <v>30118.3</v>
      </c>
      <c r="GM27" t="n">
        <v>33859.8</v>
      </c>
      <c r="GN27" t="n">
        <v>34257.7</v>
      </c>
      <c r="GO27" t="n">
        <v>43078.6</v>
      </c>
      <c r="GP27" t="n">
        <v>42890.4</v>
      </c>
      <c r="GQ27" t="n">
        <v>1.97218</v>
      </c>
      <c r="GR27" t="n">
        <v>1.8311</v>
      </c>
      <c r="GS27" t="n">
        <v>0.0741631</v>
      </c>
      <c r="GT27" t="n">
        <v>0</v>
      </c>
      <c r="GU27" t="n">
        <v>23.7773</v>
      </c>
      <c r="GV27" t="n">
        <v>999.9</v>
      </c>
      <c r="GW27" t="n">
        <v>48.199</v>
      </c>
      <c r="GX27" t="n">
        <v>30.494</v>
      </c>
      <c r="GY27" t="n">
        <v>20.8211</v>
      </c>
      <c r="GZ27" t="n">
        <v>63.4619</v>
      </c>
      <c r="HA27" t="n">
        <v>34.5913</v>
      </c>
      <c r="HB27" t="n">
        <v>1</v>
      </c>
      <c r="HC27" t="n">
        <v>0.045</v>
      </c>
      <c r="HD27" t="n">
        <v>2.05071</v>
      </c>
      <c r="HE27" t="n">
        <v>20.1523</v>
      </c>
      <c r="HF27" t="n">
        <v>5.23256</v>
      </c>
      <c r="HG27" t="n">
        <v>11.962</v>
      </c>
      <c r="HH27" t="n">
        <v>4.96775</v>
      </c>
      <c r="HI27" t="n">
        <v>3.295</v>
      </c>
      <c r="HJ27" t="n">
        <v>999.9</v>
      </c>
      <c r="HK27" t="n">
        <v>9999</v>
      </c>
      <c r="HL27" t="n">
        <v>9999</v>
      </c>
      <c r="HM27" t="n">
        <v>9999</v>
      </c>
      <c r="HN27" t="n">
        <v>4.96973</v>
      </c>
      <c r="HO27" t="n">
        <v>1.86359</v>
      </c>
      <c r="HP27" t="n">
        <v>1.86518</v>
      </c>
      <c r="HQ27" t="n">
        <v>1.86709</v>
      </c>
      <c r="HR27" t="n">
        <v>1.86417</v>
      </c>
      <c r="HS27" t="n">
        <v>1.86782</v>
      </c>
      <c r="HT27" t="n">
        <v>1.86462</v>
      </c>
      <c r="HU27" t="n">
        <v>1.8665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1.78</v>
      </c>
      <c r="IJ27" t="n">
        <v>-0.0936</v>
      </c>
      <c r="IK27" t="n">
        <v>1.03387620954807</v>
      </c>
      <c r="IL27" t="n">
        <v>0.000216929631606078</v>
      </c>
      <c r="IM27" t="n">
        <v>2.72263024731635e-07</v>
      </c>
      <c r="IN27" t="n">
        <v>-5.43792051235154e-11</v>
      </c>
      <c r="IO27" t="n">
        <v>-0.0060338134735206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1</v>
      </c>
      <c r="IX27" t="n">
        <v>1.1</v>
      </c>
      <c r="IY27" t="n">
        <v>2.99072</v>
      </c>
      <c r="IZ27" t="n">
        <v>2.51465</v>
      </c>
      <c r="JA27" t="n">
        <v>1.34644</v>
      </c>
      <c r="JB27" t="n">
        <v>2.26074</v>
      </c>
      <c r="JC27" t="n">
        <v>1.55029</v>
      </c>
      <c r="JD27" t="n">
        <v>2.7063</v>
      </c>
      <c r="JE27" t="n">
        <v>37.1225</v>
      </c>
      <c r="JF27" t="n">
        <v>23.8423</v>
      </c>
      <c r="JG27" t="n">
        <v>18</v>
      </c>
      <c r="JH27" t="n">
        <v>498.135</v>
      </c>
      <c r="JI27" t="n">
        <v>485.782</v>
      </c>
      <c r="JJ27" t="n">
        <v>21.8684</v>
      </c>
      <c r="JK27" t="n">
        <v>27.7877</v>
      </c>
      <c r="JL27" t="n">
        <v>30</v>
      </c>
      <c r="JM27" t="n">
        <v>27.7837</v>
      </c>
      <c r="JN27" t="n">
        <v>27.7986</v>
      </c>
      <c r="JO27" t="n">
        <v>59.874</v>
      </c>
      <c r="JP27" t="n">
        <v>37.762</v>
      </c>
      <c r="JQ27" t="n">
        <v>43.6855</v>
      </c>
      <c r="JR27" t="n">
        <v>21.8628</v>
      </c>
      <c r="JS27" t="n">
        <v>1500</v>
      </c>
      <c r="JT27" t="n">
        <v>15.1349</v>
      </c>
      <c r="JU27" t="n">
        <v>101.722</v>
      </c>
      <c r="JV27" t="n">
        <v>97.3997</v>
      </c>
    </row>
    <row r="28">
      <c r="A28" t="n">
        <v>12</v>
      </c>
      <c r="B28" t="n">
        <v>1792374866.1</v>
      </c>
      <c r="C28" t="n">
        <v>1414.09999990463</v>
      </c>
      <c r="D28" t="inlineStr">
        <is>
          <t>20261019 10:54:26</t>
        </is>
      </c>
      <c r="E28" t="inlineStr">
        <is>
          <t>10:54:26</t>
        </is>
      </c>
      <c r="F28" t="n">
        <v>5</v>
      </c>
      <c r="G28" t="n">
        <v>1792374857.6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1792374857.6</v>
      </c>
      <c r="DC28" t="n">
        <v>1787.483125</v>
      </c>
      <c r="DD28" t="n">
        <v>1799.99</v>
      </c>
      <c r="DE28" t="n">
        <v>17.5408375</v>
      </c>
      <c r="DF28" t="n">
        <v>15.1469875</v>
      </c>
      <c r="DG28" t="n">
        <v>1785.519375</v>
      </c>
      <c r="DH28" t="n">
        <v>17.628375</v>
      </c>
      <c r="DI28" t="n">
        <v>500.0193125</v>
      </c>
      <c r="DJ28" t="n">
        <v>101.4444375</v>
      </c>
      <c r="DK28" t="n">
        <v>0.1000236625</v>
      </c>
      <c r="DL28" t="n">
        <v>25.20991875</v>
      </c>
      <c r="DM28" t="n">
        <v>25.00654375</v>
      </c>
      <c r="DN28" t="n">
        <v>999.9</v>
      </c>
      <c r="DO28" t="n">
        <v>0</v>
      </c>
      <c r="DP28" t="n">
        <v>0</v>
      </c>
      <c r="DQ28" t="n">
        <v>9995.01125</v>
      </c>
      <c r="DR28" t="n">
        <v>0</v>
      </c>
      <c r="DS28" t="n">
        <v>6.71089</v>
      </c>
      <c r="DT28" t="n">
        <v>-12.50483125</v>
      </c>
      <c r="DU28" t="n">
        <v>1819.39875</v>
      </c>
      <c r="DV28" t="n">
        <v>1827.673125</v>
      </c>
      <c r="DW28" t="n">
        <v>2.3938525</v>
      </c>
      <c r="DX28" t="n">
        <v>1799.99</v>
      </c>
      <c r="DY28" t="n">
        <v>15.1469875</v>
      </c>
      <c r="DZ28" t="n">
        <v>1.779420625</v>
      </c>
      <c r="EA28" t="n">
        <v>1.536576875</v>
      </c>
      <c r="EB28" t="n">
        <v>15.60714375</v>
      </c>
      <c r="EC28" t="n">
        <v>13.3370625</v>
      </c>
      <c r="ED28" t="n">
        <v>1499.998125</v>
      </c>
      <c r="EE28" t="n">
        <v>0.97299525</v>
      </c>
      <c r="EF28" t="n">
        <v>0.02700435625</v>
      </c>
      <c r="EG28" t="n">
        <v>0</v>
      </c>
      <c r="EH28" t="n">
        <v>256.7830625</v>
      </c>
      <c r="EI28" t="n">
        <v>5.00064</v>
      </c>
      <c r="EJ28" t="n">
        <v>4122.530625</v>
      </c>
      <c r="EK28" t="n">
        <v>15439.20625</v>
      </c>
      <c r="EL28" t="n">
        <v>40.511625</v>
      </c>
      <c r="EM28" t="n">
        <v>41.187</v>
      </c>
      <c r="EN28" t="n">
        <v>40.867125</v>
      </c>
      <c r="EO28" t="n">
        <v>40.800375</v>
      </c>
      <c r="EP28" t="n">
        <v>42.062</v>
      </c>
      <c r="EQ28" t="n">
        <v>1454.628125</v>
      </c>
      <c r="ER28" t="n">
        <v>40.37</v>
      </c>
      <c r="ES28" t="n">
        <v>0</v>
      </c>
      <c r="ET28" t="n">
        <v>1792374866.4</v>
      </c>
      <c r="EU28" t="n">
        <v>0</v>
      </c>
      <c r="EV28" t="n">
        <v>256.787884615385</v>
      </c>
      <c r="EW28" t="n">
        <v>0.98615383596137</v>
      </c>
      <c r="EX28" t="n">
        <v>11.4735042724198</v>
      </c>
      <c r="EY28" t="n">
        <v>4122.59</v>
      </c>
      <c r="EZ28" t="n">
        <v>15</v>
      </c>
      <c r="FA28" t="n">
        <v>1792374826.1</v>
      </c>
      <c r="FB28" t="inlineStr">
        <is>
          <t>10:53:46</t>
        </is>
      </c>
      <c r="FC28" t="n">
        <v>1792374826.1</v>
      </c>
      <c r="FD28" t="n">
        <v>1792374812.1</v>
      </c>
      <c r="FE28" t="n">
        <v>13</v>
      </c>
      <c r="FF28" t="n">
        <v>-0.057</v>
      </c>
      <c r="FG28" t="n">
        <v>0.003</v>
      </c>
      <c r="FH28" t="n">
        <v>1.929</v>
      </c>
      <c r="FI28" t="n">
        <v>-0.174</v>
      </c>
      <c r="FJ28" t="n">
        <v>1800</v>
      </c>
      <c r="FK28" t="n">
        <v>15</v>
      </c>
      <c r="FL28" t="n">
        <v>0.39</v>
      </c>
      <c r="FM28" t="n">
        <v>0.02</v>
      </c>
      <c r="FN28" t="n">
        <v>20.3639633662996</v>
      </c>
      <c r="FO28" t="n">
        <v>-0.535313231586153</v>
      </c>
      <c r="FP28" t="n">
        <v>0.425745048884083</v>
      </c>
      <c r="FQ28" t="n">
        <v>1</v>
      </c>
      <c r="FR28" t="n">
        <v>-12.490415</v>
      </c>
      <c r="FS28" t="n">
        <v>-0.275039097744382</v>
      </c>
      <c r="FT28" t="n">
        <v>0.171101266140844</v>
      </c>
      <c r="FU28" t="n">
        <v>1</v>
      </c>
      <c r="FV28" t="n">
        <v>256.774558823529</v>
      </c>
      <c r="FW28" t="n">
        <v>0.227914435513306</v>
      </c>
      <c r="FX28" t="n">
        <v>0.192596223647615</v>
      </c>
      <c r="FY28" t="n">
        <v>1</v>
      </c>
      <c r="FZ28" t="n">
        <v>3</v>
      </c>
      <c r="GA28" t="n">
        <v>3</v>
      </c>
      <c r="GB28" t="inlineStr">
        <is>
          <t>3/3</t>
        </is>
      </c>
      <c r="GC28" t="n">
        <v>3.12316</v>
      </c>
      <c r="GD28" t="n">
        <v>2.76547</v>
      </c>
      <c r="GE28" t="n">
        <v>0.23477</v>
      </c>
      <c r="GF28" t="n">
        <v>0.241694</v>
      </c>
      <c r="GG28" t="n">
        <v>0.09362769999999999</v>
      </c>
      <c r="GH28" t="n">
        <v>0.0872266</v>
      </c>
      <c r="GI28" t="n">
        <v>14912.6</v>
      </c>
      <c r="GJ28" t="n">
        <v>22289.8</v>
      </c>
      <c r="GK28" t="n">
        <v>22769.7</v>
      </c>
      <c r="GL28" t="n">
        <v>30118.1</v>
      </c>
      <c r="GM28" t="n">
        <v>33856.7</v>
      </c>
      <c r="GN28" t="n">
        <v>34254.7</v>
      </c>
      <c r="GO28" t="n">
        <v>43078.6</v>
      </c>
      <c r="GP28" t="n">
        <v>42890.6</v>
      </c>
      <c r="GQ28" t="n">
        <v>1.9721</v>
      </c>
      <c r="GR28" t="n">
        <v>1.83125</v>
      </c>
      <c r="GS28" t="n">
        <v>0.0755787</v>
      </c>
      <c r="GT28" t="n">
        <v>0</v>
      </c>
      <c r="GU28" t="n">
        <v>23.7573</v>
      </c>
      <c r="GV28" t="n">
        <v>999.9</v>
      </c>
      <c r="GW28" t="n">
        <v>47.583</v>
      </c>
      <c r="GX28" t="n">
        <v>30.635</v>
      </c>
      <c r="GY28" t="n">
        <v>20.7245</v>
      </c>
      <c r="GZ28" t="n">
        <v>63.1019</v>
      </c>
      <c r="HA28" t="n">
        <v>34.5753</v>
      </c>
      <c r="HB28" t="n">
        <v>1</v>
      </c>
      <c r="HC28" t="n">
        <v>0.0438974</v>
      </c>
      <c r="HD28" t="n">
        <v>1.88102</v>
      </c>
      <c r="HE28" t="n">
        <v>20.1544</v>
      </c>
      <c r="HF28" t="n">
        <v>5.23376</v>
      </c>
      <c r="HG28" t="n">
        <v>11.962</v>
      </c>
      <c r="HH28" t="n">
        <v>4.9691</v>
      </c>
      <c r="HI28" t="n">
        <v>3.295</v>
      </c>
      <c r="HJ28" t="n">
        <v>999.9</v>
      </c>
      <c r="HK28" t="n">
        <v>9999</v>
      </c>
      <c r="HL28" t="n">
        <v>9999</v>
      </c>
      <c r="HM28" t="n">
        <v>9999</v>
      </c>
      <c r="HN28" t="n">
        <v>4.96975</v>
      </c>
      <c r="HO28" t="n">
        <v>1.86369</v>
      </c>
      <c r="HP28" t="n">
        <v>1.86522</v>
      </c>
      <c r="HQ28" t="n">
        <v>1.86709</v>
      </c>
      <c r="HR28" t="n">
        <v>1.86417</v>
      </c>
      <c r="HS28" t="n">
        <v>1.86783</v>
      </c>
      <c r="HT28" t="n">
        <v>1.86462</v>
      </c>
      <c r="HU28" t="n">
        <v>1.86648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1.97</v>
      </c>
      <c r="IJ28" t="n">
        <v>-0.08939999999999999</v>
      </c>
      <c r="IK28" t="n">
        <v>1.01804169655356</v>
      </c>
      <c r="IL28" t="n">
        <v>0.000216929631606078</v>
      </c>
      <c r="IM28" t="n">
        <v>2.72263024731635e-07</v>
      </c>
      <c r="IN28" t="n">
        <v>-5.43792051235154e-11</v>
      </c>
      <c r="IO28" t="n">
        <v>-0.0031744813713235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0.7</v>
      </c>
      <c r="IX28" t="n">
        <v>0.9</v>
      </c>
      <c r="IY28" t="n">
        <v>3.45215</v>
      </c>
      <c r="IZ28" t="n">
        <v>2.52075</v>
      </c>
      <c r="JA28" t="n">
        <v>1.34644</v>
      </c>
      <c r="JB28" t="n">
        <v>2.26074</v>
      </c>
      <c r="JC28" t="n">
        <v>1.55029</v>
      </c>
      <c r="JD28" t="n">
        <v>2.55371</v>
      </c>
      <c r="JE28" t="n">
        <v>37.2181</v>
      </c>
      <c r="JF28" t="n">
        <v>23.8336</v>
      </c>
      <c r="JG28" t="n">
        <v>18</v>
      </c>
      <c r="JH28" t="n">
        <v>498.028</v>
      </c>
      <c r="JI28" t="n">
        <v>485.802</v>
      </c>
      <c r="JJ28" t="n">
        <v>21.9638</v>
      </c>
      <c r="JK28" t="n">
        <v>27.781</v>
      </c>
      <c r="JL28" t="n">
        <v>30.0002</v>
      </c>
      <c r="JM28" t="n">
        <v>27.7767</v>
      </c>
      <c r="JN28" t="n">
        <v>27.7892</v>
      </c>
      <c r="JO28" t="n">
        <v>69.0971</v>
      </c>
      <c r="JP28" t="n">
        <v>36.7652</v>
      </c>
      <c r="JQ28" t="n">
        <v>42.1803</v>
      </c>
      <c r="JR28" t="n">
        <v>21.9645</v>
      </c>
      <c r="JS28" t="n">
        <v>1800</v>
      </c>
      <c r="JT28" t="n">
        <v>15.123</v>
      </c>
      <c r="JU28" t="n">
        <v>101.722</v>
      </c>
      <c r="JV28" t="n">
        <v>97.3998</v>
      </c>
    </row>
    <row r="29">
      <c r="A29" t="n">
        <v>13</v>
      </c>
      <c r="B29" t="n">
        <v>1792375017.1</v>
      </c>
      <c r="C29" t="n">
        <v>1565.09999990463</v>
      </c>
      <c r="D29" t="inlineStr">
        <is>
          <t>20261019 10:56:57</t>
        </is>
      </c>
      <c r="E29" t="inlineStr">
        <is>
          <t>10:56:57</t>
        </is>
      </c>
      <c r="F29" t="n">
        <v>5</v>
      </c>
      <c r="G29" t="n">
        <v>1792375008.6</v>
      </c>
      <c r="H29">
        <f>(I29)/1000</f>
        <v/>
      </c>
      <c r="I29">
        <f>1000*DI29*AG29*(DE29-DF29)/(100*CX29*(1000-AG29*DE29))</f>
        <v/>
      </c>
      <c r="J29">
        <f>DI29*AG29*(DD29-DC29*(1000-AG29*DF29)/(1000-AG29*DE29))/(100*CX29)</f>
        <v/>
      </c>
      <c r="K29">
        <f>DC29 - IF(AG29&gt;1, J29*CX29*100.0/(AI29), 0)</f>
        <v/>
      </c>
      <c r="L29">
        <f>((R29-H29/2)*K29-J29)/(R29+H29/2)</f>
        <v/>
      </c>
      <c r="M29">
        <f>L29*(DJ29+DK29)/1000.0</f>
        <v/>
      </c>
      <c r="N29">
        <f>(DC29 - IF(AG29&gt;1, J29*CX29*100.0/(AI29), 0))*(DJ29+DK29)/1000.0</f>
        <v/>
      </c>
      <c r="O29">
        <f>2.0/((1/Q29-1/P29)+SIGN(Q29)*SQRT((1/Q29-1/P29)*(1/Q29-1/P29) + 4*CY29/((CY29+1)*(CY29+1))*(2*1/Q29*1/P29-1/P29*1/P29)))</f>
        <v/>
      </c>
      <c r="P29">
        <f>IF(LEFT(CZ29,1)&lt;&gt;"0",IF(LEFT(CZ29,1)="1",3.0,DA29),$D$5+$E$5*(DQ29*DJ29/($K$5*1000))+$F$5*(DQ29*DJ29/($K$5*1000))*MAX(MIN(CX29,$J$5),$I$5)*MAX(MIN(CX29,$J$5),$I$5)+$G$5*MAX(MIN(CX29,$J$5),$I$5)*(DQ29*DJ29/($K$5*1000))+$H$5*(DQ29*DJ29/($K$5*1000))*(DQ29*DJ29/($K$5*1000)))</f>
        <v/>
      </c>
      <c r="Q29">
        <f>H29*(1000-(1000*0.61365*exp(17.502*U29/(240.97+U29))/(DJ29+DK29)+DE29)/2)/(1000*0.61365*exp(17.502*U29/(240.97+U29))/(DJ29+DK29)-DE29)</f>
        <v/>
      </c>
      <c r="R29">
        <f>1/((CY29+1)/(O29/1.6)+1/(P29/1.37)) + CY29/((CY29+1)/(O29/1.6) + CY29/(P29/1.37))</f>
        <v/>
      </c>
      <c r="S29">
        <f>(CT29*CW29)</f>
        <v/>
      </c>
      <c r="T29">
        <f>(DL29+(S29+2*0.95*5.67E-8*(((DL29+$B$7)+273)^4-(DL29+273)^4)-44100*H29)/(1.84*29.3*P29+8*0.95*5.67E-8*(DL29+273)^3))</f>
        <v/>
      </c>
      <c r="U29">
        <f>($C$7*DM29+$D$7*DN29+$E$7*T29)</f>
        <v/>
      </c>
      <c r="V29">
        <f>0.61365*exp(17.502*U29/(240.97+U29))</f>
        <v/>
      </c>
      <c r="W29">
        <f>(X29/Y29*100)</f>
        <v/>
      </c>
      <c r="X29">
        <f>DE29*(DJ29+DK29)/1000</f>
        <v/>
      </c>
      <c r="Y29">
        <f>0.61365*exp(17.502*DL29/(240.97+DL29))</f>
        <v/>
      </c>
      <c r="Z29">
        <f>(V29-DE29*(DJ29+DK29)/1000)</f>
        <v/>
      </c>
      <c r="AA29">
        <f>(-H29*44100)</f>
        <v/>
      </c>
      <c r="AB29">
        <f>2*29.3*P29*0.92*(DL29-U29)</f>
        <v/>
      </c>
      <c r="AC29">
        <f>2*0.95*5.67E-8*(((DL29+$B$7)+273)^4-(U29+273)^4)</f>
        <v/>
      </c>
      <c r="AD29">
        <f>S29+AC29+AA29+AB29</f>
        <v/>
      </c>
      <c r="AE29" t="n">
        <v>0</v>
      </c>
      <c r="AF29" t="n">
        <v>0</v>
      </c>
      <c r="AG29">
        <f>IF(AE29*$H$13&gt;=AI29,1.0,(AI29/(AI29-AE29*$H$13)))</f>
        <v/>
      </c>
      <c r="AH29">
        <f>(AG29-1)*100</f>
        <v/>
      </c>
      <c r="AI29">
        <f>MAX(0,($B$13+$C$13*DQ29)/(1+$D$13*DQ29)*DJ29/(DL29+273)*$E$13)</f>
        <v/>
      </c>
      <c r="AJ29" t="inlineStr">
        <is>
          <t>-</t>
        </is>
      </c>
      <c r="AK29" t="inlineStr">
        <is>
          <t>-</t>
        </is>
      </c>
      <c r="AL29" t="n">
        <v>0</v>
      </c>
      <c r="AM29" t="n">
        <v>0</v>
      </c>
      <c r="AN29">
        <f>1-AL29/AM29</f>
        <v/>
      </c>
      <c r="AO29" t="n">
        <v>0</v>
      </c>
      <c r="AP29" t="inlineStr">
        <is>
          <t>-</t>
        </is>
      </c>
      <c r="AQ29" t="inlineStr">
        <is>
          <t>-</t>
        </is>
      </c>
      <c r="AR29" t="n">
        <v>0</v>
      </c>
      <c r="AS29" t="n">
        <v>0</v>
      </c>
      <c r="AT29">
        <f>1-AR29/AS29</f>
        <v/>
      </c>
      <c r="AU29" t="n">
        <v>0.5</v>
      </c>
      <c r="AV29">
        <f>CU29</f>
        <v/>
      </c>
      <c r="AW29">
        <f>J29</f>
        <v/>
      </c>
      <c r="AX29">
        <f>AT29*AU29*AV29</f>
        <v/>
      </c>
      <c r="AY29">
        <f>(AW29-AO29)/AV29</f>
        <v/>
      </c>
      <c r="AZ29">
        <f>(AM29-AS29)/AS29</f>
        <v/>
      </c>
      <c r="BA29">
        <f>AL29/(AN29+AL29/AS29)</f>
        <v/>
      </c>
      <c r="BB29" t="inlineStr">
        <is>
          <t>-</t>
        </is>
      </c>
      <c r="BC29" t="n">
        <v>0</v>
      </c>
      <c r="BD29">
        <f>IF(BC29&lt;&gt;0, BC29, BA29)</f>
        <v/>
      </c>
      <c r="BE29">
        <f>1-BD29/AS29</f>
        <v/>
      </c>
      <c r="BF29">
        <f>(AS29-AR29)/(AS29-BD29)</f>
        <v/>
      </c>
      <c r="BG29">
        <f>(AM29-AS29)/(AM29-BD29)</f>
        <v/>
      </c>
      <c r="BH29">
        <f>(AS29-AR29)/(AS29-AL29)</f>
        <v/>
      </c>
      <c r="BI29">
        <f>(AM29-AS29)/(AM29-AL29)</f>
        <v/>
      </c>
      <c r="BJ29">
        <f>(BF29*BD29/AR29)</f>
        <v/>
      </c>
      <c r="BK29">
        <f>(1-BJ29)</f>
        <v/>
      </c>
      <c r="CT29">
        <f>$B$11*DR29+$C$11*DS29+$F$11*ED29*(1-EG29)</f>
        <v/>
      </c>
      <c r="CU29">
        <f>CT29*CV29</f>
        <v/>
      </c>
      <c r="CV29">
        <f>($B$11*$D$9+$C$11*$D$9+$F$11*((EQ29+EI29)/MAX(EQ29+EI29+ER29, 0.1)*$I$9+ER29/MAX(EQ29+EI29+ER29, 0.1)*$J$9))/($B$11+$C$11+$F$11)</f>
        <v/>
      </c>
      <c r="CW29">
        <f>($B$11*$K$9+$C$11*$K$9+$F$11*((EQ29+EI29)/MAX(EQ29+EI29+ER29, 0.1)*$P$9+ER29/MAX(EQ29+EI29+ER29, 0.1)*$Q$9))/($B$11+$C$11+$F$11)</f>
        <v/>
      </c>
      <c r="CX29" t="n">
        <v>2</v>
      </c>
      <c r="CY29" t="n">
        <v>0.5</v>
      </c>
      <c r="CZ29" t="inlineStr">
        <is>
          <t>0: Broadleaf</t>
        </is>
      </c>
      <c r="DA29" t="n">
        <v>2</v>
      </c>
      <c r="DB29" t="n">
        <v>1792375008.6</v>
      </c>
      <c r="DC29" t="n">
        <v>392.9513125</v>
      </c>
      <c r="DD29" t="n">
        <v>399.98675</v>
      </c>
      <c r="DE29" t="n">
        <v>17.43223125</v>
      </c>
      <c r="DF29" t="n">
        <v>15.123625</v>
      </c>
      <c r="DG29" t="n">
        <v>392.4308125</v>
      </c>
      <c r="DH29" t="n">
        <v>17.5344625</v>
      </c>
      <c r="DI29" t="n">
        <v>500.0240625</v>
      </c>
      <c r="DJ29" t="n">
        <v>101.4370625</v>
      </c>
      <c r="DK29" t="n">
        <v>0.09996670000000001</v>
      </c>
      <c r="DL29" t="n">
        <v>25.1649375</v>
      </c>
      <c r="DM29" t="n">
        <v>24.9784375</v>
      </c>
      <c r="DN29" t="n">
        <v>999.9</v>
      </c>
      <c r="DO29" t="n">
        <v>0</v>
      </c>
      <c r="DP29" t="n">
        <v>0</v>
      </c>
      <c r="DQ29" t="n">
        <v>10002.19375</v>
      </c>
      <c r="DR29" t="n">
        <v>0</v>
      </c>
      <c r="DS29" t="n">
        <v>6.71089</v>
      </c>
      <c r="DT29" t="n">
        <v>-7.035211875</v>
      </c>
      <c r="DU29" t="n">
        <v>399.9229375</v>
      </c>
      <c r="DV29" t="n">
        <v>406.1288125</v>
      </c>
      <c r="DW29" t="n">
        <v>2.30859375</v>
      </c>
      <c r="DX29" t="n">
        <v>399.98675</v>
      </c>
      <c r="DY29" t="n">
        <v>15.123625</v>
      </c>
      <c r="DZ29" t="n">
        <v>1.768273125</v>
      </c>
      <c r="EA29" t="n">
        <v>1.53409625</v>
      </c>
      <c r="EB29" t="n">
        <v>15.5091125</v>
      </c>
      <c r="EC29" t="n">
        <v>13.3123</v>
      </c>
      <c r="ED29" t="n">
        <v>1500.018125</v>
      </c>
      <c r="EE29" t="n">
        <v>0.972996</v>
      </c>
      <c r="EF29" t="n">
        <v>0.0270036125</v>
      </c>
      <c r="EG29" t="n">
        <v>0</v>
      </c>
      <c r="EH29" t="n">
        <v>253.00525</v>
      </c>
      <c r="EI29" t="n">
        <v>5.00064</v>
      </c>
      <c r="EJ29" t="n">
        <v>4061.43625</v>
      </c>
      <c r="EK29" t="n">
        <v>15439.39375</v>
      </c>
      <c r="EL29" t="n">
        <v>40.562</v>
      </c>
      <c r="EM29" t="n">
        <v>41.2145625</v>
      </c>
      <c r="EN29" t="n">
        <v>40.875</v>
      </c>
      <c r="EO29" t="n">
        <v>40.8238125</v>
      </c>
      <c r="EP29" t="n">
        <v>42.069875</v>
      </c>
      <c r="EQ29" t="n">
        <v>1454.648125</v>
      </c>
      <c r="ER29" t="n">
        <v>40.37</v>
      </c>
      <c r="ES29" t="n">
        <v>0</v>
      </c>
      <c r="ET29" t="n">
        <v>1792375017</v>
      </c>
      <c r="EU29" t="n">
        <v>0</v>
      </c>
      <c r="EV29" t="n">
        <v>253.08232</v>
      </c>
      <c r="EW29" t="n">
        <v>8.911307694216539</v>
      </c>
      <c r="EX29" t="n">
        <v>127.314615209782</v>
      </c>
      <c r="EY29" t="n">
        <v>4063.6884</v>
      </c>
      <c r="EZ29" t="n">
        <v>15</v>
      </c>
      <c r="FA29" t="n">
        <v>1792374953.1</v>
      </c>
      <c r="FB29" t="inlineStr">
        <is>
          <t>10:55:53</t>
        </is>
      </c>
      <c r="FC29" t="n">
        <v>1792374949.1</v>
      </c>
      <c r="FD29" t="n">
        <v>1792374953.1</v>
      </c>
      <c r="FE29" t="n">
        <v>14</v>
      </c>
      <c r="FF29" t="n">
        <v>-0.621</v>
      </c>
      <c r="FG29" t="n">
        <v>-0.011</v>
      </c>
      <c r="FH29" t="n">
        <v>0.524</v>
      </c>
      <c r="FI29" t="n">
        <v>-0.183</v>
      </c>
      <c r="FJ29" t="n">
        <v>400</v>
      </c>
      <c r="FK29" t="n">
        <v>15</v>
      </c>
      <c r="FL29" t="n">
        <v>0.41</v>
      </c>
      <c r="FM29" t="n">
        <v>0.02</v>
      </c>
      <c r="FN29" t="n">
        <v>15.2222042178209</v>
      </c>
      <c r="FO29" t="n">
        <v>1.14378811164808</v>
      </c>
      <c r="FP29" t="n">
        <v>0.163108271030468</v>
      </c>
      <c r="FQ29" t="n">
        <v>0</v>
      </c>
      <c r="FR29" t="n">
        <v>-7.017299</v>
      </c>
      <c r="FS29" t="n">
        <v>-0.495242706766917</v>
      </c>
      <c r="FT29" t="n">
        <v>0.06488103843959341</v>
      </c>
      <c r="FU29" t="n">
        <v>1</v>
      </c>
      <c r="FV29" t="n">
        <v>252.626617647059</v>
      </c>
      <c r="FW29" t="n">
        <v>8.41758594315707</v>
      </c>
      <c r="FX29" t="n">
        <v>0.857267719001204</v>
      </c>
      <c r="FY29" t="n">
        <v>0</v>
      </c>
      <c r="FZ29" t="n">
        <v>1</v>
      </c>
      <c r="GA29" t="n">
        <v>3</v>
      </c>
      <c r="GB29" t="inlineStr">
        <is>
          <t>1/3</t>
        </is>
      </c>
      <c r="GC29" t="n">
        <v>3.12317</v>
      </c>
      <c r="GD29" t="n">
        <v>2.76537</v>
      </c>
      <c r="GE29" t="n">
        <v>0.08690100000000001</v>
      </c>
      <c r="GF29" t="n">
        <v>0.0903432</v>
      </c>
      <c r="GG29" t="n">
        <v>0.0933662</v>
      </c>
      <c r="GH29" t="n">
        <v>0.08721719999999999</v>
      </c>
      <c r="GI29" t="n">
        <v>17794.4</v>
      </c>
      <c r="GJ29" t="n">
        <v>26738.7</v>
      </c>
      <c r="GK29" t="n">
        <v>22770.4</v>
      </c>
      <c r="GL29" t="n">
        <v>30118.9</v>
      </c>
      <c r="GM29" t="n">
        <v>33857.6</v>
      </c>
      <c r="GN29" t="n">
        <v>34245.3</v>
      </c>
      <c r="GO29" t="n">
        <v>43078.4</v>
      </c>
      <c r="GP29" t="n">
        <v>42891.4</v>
      </c>
      <c r="GQ29" t="n">
        <v>1.97123</v>
      </c>
      <c r="GR29" t="n">
        <v>1.8268</v>
      </c>
      <c r="GS29" t="n">
        <v>0.0742041</v>
      </c>
      <c r="GT29" t="n">
        <v>0</v>
      </c>
      <c r="GU29" t="n">
        <v>23.7493</v>
      </c>
      <c r="GV29" t="n">
        <v>999.9</v>
      </c>
      <c r="GW29" t="n">
        <v>46.722</v>
      </c>
      <c r="GX29" t="n">
        <v>30.816</v>
      </c>
      <c r="GY29" t="n">
        <v>20.5638</v>
      </c>
      <c r="GZ29" t="n">
        <v>63.3019</v>
      </c>
      <c r="HA29" t="n">
        <v>34.7436</v>
      </c>
      <c r="HB29" t="n">
        <v>1</v>
      </c>
      <c r="HC29" t="n">
        <v>0.043529</v>
      </c>
      <c r="HD29" t="n">
        <v>1.81585</v>
      </c>
      <c r="HE29" t="n">
        <v>20.1544</v>
      </c>
      <c r="HF29" t="n">
        <v>5.23077</v>
      </c>
      <c r="HG29" t="n">
        <v>11.962</v>
      </c>
      <c r="HH29" t="n">
        <v>4.9653</v>
      </c>
      <c r="HI29" t="n">
        <v>3.295</v>
      </c>
      <c r="HJ29" t="n">
        <v>999.9</v>
      </c>
      <c r="HK29" t="n">
        <v>9999</v>
      </c>
      <c r="HL29" t="n">
        <v>9999</v>
      </c>
      <c r="HM29" t="n">
        <v>9999</v>
      </c>
      <c r="HN29" t="n">
        <v>4.96977</v>
      </c>
      <c r="HO29" t="n">
        <v>1.8637</v>
      </c>
      <c r="HP29" t="n">
        <v>1.86523</v>
      </c>
      <c r="HQ29" t="n">
        <v>1.8671</v>
      </c>
      <c r="HR29" t="n">
        <v>1.86417</v>
      </c>
      <c r="HS29" t="n">
        <v>1.86783</v>
      </c>
      <c r="HT29" t="n">
        <v>1.86462</v>
      </c>
      <c r="HU29" t="n">
        <v>1.86651</v>
      </c>
      <c r="HV29" t="n">
        <v>0</v>
      </c>
      <c r="HW29" t="n">
        <v>0</v>
      </c>
      <c r="HX29" t="n">
        <v>0</v>
      </c>
      <c r="HY29" t="n">
        <v>0</v>
      </c>
      <c r="HZ29" t="inlineStr">
        <is>
          <t>11111111</t>
        </is>
      </c>
      <c r="IA29" t="inlineStr">
        <is>
          <t>oooooooo</t>
        </is>
      </c>
      <c r="IB29" t="inlineStr">
        <is>
          <t>on</t>
        </is>
      </c>
      <c r="IC29" t="inlineStr">
        <is>
          <t>on</t>
        </is>
      </c>
      <c r="ID29" t="inlineStr">
        <is>
          <t>on</t>
        </is>
      </c>
      <c r="IE29" t="inlineStr">
        <is>
          <t>on</t>
        </is>
      </c>
      <c r="IF29" t="n">
        <v>0</v>
      </c>
      <c r="IG29" t="n">
        <v>100</v>
      </c>
      <c r="IH29" t="n">
        <v>100</v>
      </c>
      <c r="II29" t="n">
        <v>0.521</v>
      </c>
      <c r="IJ29" t="n">
        <v>-0.1029</v>
      </c>
      <c r="IK29" t="n">
        <v>0.397064045930679</v>
      </c>
      <c r="IL29" t="n">
        <v>0.000216929631606078</v>
      </c>
      <c r="IM29" t="n">
        <v>2.72263024731635e-07</v>
      </c>
      <c r="IN29" t="n">
        <v>-5.43792051235154e-11</v>
      </c>
      <c r="IO29" t="n">
        <v>-0.0139321752478879</v>
      </c>
      <c r="IP29" t="n">
        <v>-0.0584433849545669</v>
      </c>
      <c r="IQ29" t="n">
        <v>0.00341568706061026</v>
      </c>
      <c r="IR29" t="n">
        <v>-2.10952612506686e-05</v>
      </c>
      <c r="IS29" t="n">
        <v>0</v>
      </c>
      <c r="IT29" t="n">
        <v>1734</v>
      </c>
      <c r="IU29" t="n">
        <v>2</v>
      </c>
      <c r="IV29" t="n">
        <v>19</v>
      </c>
      <c r="IW29" t="n">
        <v>1.1</v>
      </c>
      <c r="IX29" t="n">
        <v>1.1</v>
      </c>
      <c r="IY29" t="n">
        <v>1.05469</v>
      </c>
      <c r="IZ29" t="n">
        <v>2.56226</v>
      </c>
      <c r="JA29" t="n">
        <v>1.34644</v>
      </c>
      <c r="JB29" t="n">
        <v>2.26074</v>
      </c>
      <c r="JC29" t="n">
        <v>1.55029</v>
      </c>
      <c r="JD29" t="n">
        <v>2.44019</v>
      </c>
      <c r="JE29" t="n">
        <v>37.3618</v>
      </c>
      <c r="JF29" t="n">
        <v>23.8248</v>
      </c>
      <c r="JG29" t="n">
        <v>18</v>
      </c>
      <c r="JH29" t="n">
        <v>497.423</v>
      </c>
      <c r="JI29" t="n">
        <v>482.616</v>
      </c>
      <c r="JJ29" t="n">
        <v>21.9056</v>
      </c>
      <c r="JK29" t="n">
        <v>27.7805</v>
      </c>
      <c r="JL29" t="n">
        <v>30.0001</v>
      </c>
      <c r="JM29" t="n">
        <v>27.7697</v>
      </c>
      <c r="JN29" t="n">
        <v>27.7822</v>
      </c>
      <c r="JO29" t="n">
        <v>21.1096</v>
      </c>
      <c r="JP29" t="n">
        <v>35.671</v>
      </c>
      <c r="JQ29" t="n">
        <v>39.9366</v>
      </c>
      <c r="JR29" t="n">
        <v>21.9263</v>
      </c>
      <c r="JS29" t="n">
        <v>400</v>
      </c>
      <c r="JT29" t="n">
        <v>15.1126</v>
      </c>
      <c r="JU29" t="n">
        <v>101.723</v>
      </c>
      <c r="JV29" t="n">
        <v>97.4019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10:19:47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10:19:47</t>
        </is>
      </c>
      <c r="B17" t="inlineStr">
        <is>
          <t>Stability Definition:	F (FlrLS): Slp&lt;1 Per=20	ΔCO2 (Meas2): Slp&lt;0.5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Qin</t>
        </is>
      </c>
      <c r="W1" t="inlineStr">
        <is>
          <t>S</t>
        </is>
      </c>
      <c r="X1" t="inlineStr">
        <is>
          <t>K</t>
        </is>
      </c>
      <c r="Y1" t="inlineStr">
        <is>
          <t>Custom</t>
        </is>
      </c>
      <c r="Z1" t="inlineStr">
        <is>
          <t>TIME_2</t>
        </is>
      </c>
      <c r="AA1" t="inlineStr">
        <is>
          <t>CO2_s</t>
        </is>
      </c>
      <c r="AB1" t="inlineStr">
        <is>
          <t>CO2_r</t>
        </is>
      </c>
      <c r="AC1" t="inlineStr">
        <is>
          <t>H2O_s</t>
        </is>
      </c>
      <c r="AD1" t="inlineStr">
        <is>
          <t>H2O_r</t>
        </is>
      </c>
      <c r="AE1" t="inlineStr">
        <is>
          <t>CO2_a</t>
        </is>
      </c>
      <c r="AF1" t="inlineStr">
        <is>
          <t>H2O_a</t>
        </is>
      </c>
      <c r="AG1" t="inlineStr">
        <is>
          <t>Flow</t>
        </is>
      </c>
      <c r="AH1" t="inlineStr">
        <is>
          <t>Pa</t>
        </is>
      </c>
      <c r="AI1" t="inlineStr">
        <is>
          <t>ΔPcham</t>
        </is>
      </c>
      <c r="AJ1" t="inlineStr">
        <is>
          <t>Tair</t>
        </is>
      </c>
      <c r="AK1" t="inlineStr">
        <is>
          <t>Tleaf</t>
        </is>
      </c>
      <c r="AL1" t="inlineStr">
        <is>
          <t>Tleaf2</t>
        </is>
      </c>
      <c r="AM1" t="inlineStr">
        <is>
          <t>Fan_speed</t>
        </is>
      </c>
      <c r="AN1" t="inlineStr">
        <is>
          <t>Qamb_out</t>
        </is>
      </c>
      <c r="AO1" t="inlineStr">
        <is>
          <t>ΔCO2</t>
        </is>
      </c>
      <c r="AP1" t="inlineStr">
        <is>
          <t>CO2_s_d</t>
        </is>
      </c>
      <c r="AQ1" t="inlineStr">
        <is>
          <t>CO2_r_d</t>
        </is>
      </c>
      <c r="AR1" t="inlineStr">
        <is>
          <t>ΔH2O</t>
        </is>
      </c>
      <c r="AS1" t="inlineStr">
        <is>
          <t>CO2_b</t>
        </is>
      </c>
      <c r="AT1" t="inlineStr">
        <is>
          <t>H2O_b</t>
        </is>
      </c>
      <c r="AU1" t="inlineStr">
        <is>
          <t>e_s</t>
        </is>
      </c>
      <c r="AV1" t="inlineStr">
        <is>
          <t>e_r</t>
        </is>
      </c>
      <c r="AW1" t="inlineStr">
        <is>
          <t>Td_s</t>
        </is>
      </c>
      <c r="AX1" t="inlineStr">
        <is>
          <t>Td_r</t>
        </is>
      </c>
      <c r="AY1" t="inlineStr">
        <is>
          <t>Q</t>
        </is>
      </c>
      <c r="AZ1" t="inlineStr">
        <is>
          <t>f_red</t>
        </is>
      </c>
      <c r="BA1" t="inlineStr">
        <is>
          <t>f_blue</t>
        </is>
      </c>
      <c r="BB1" t="inlineStr">
        <is>
          <t>F</t>
        </is>
      </c>
      <c r="BC1" t="inlineStr">
        <is>
          <t>Q_modavg</t>
        </is>
      </c>
      <c r="BD1" t="inlineStr">
        <is>
          <t>F_dc</t>
        </is>
      </c>
      <c r="BE1" t="inlineStr">
        <is>
          <t>Pc</t>
        </is>
      </c>
      <c r="BF1" t="inlineStr">
        <is>
          <t>Tled</t>
        </is>
      </c>
      <c r="BG1" t="inlineStr">
        <is>
          <t>TDigital</t>
        </is>
      </c>
      <c r="BH1" t="inlineStr">
        <is>
          <t>TPreamp</t>
        </is>
      </c>
      <c r="BI1" t="inlineStr">
        <is>
          <t>TPwrSpy</t>
        </is>
      </c>
      <c r="BJ1" t="inlineStr">
        <is>
          <t>TDrive</t>
        </is>
      </c>
      <c r="BK1" t="inlineStr">
        <is>
          <t>Q_red</t>
        </is>
      </c>
      <c r="BL1" t="inlineStr">
        <is>
          <t>Q_blue</t>
        </is>
      </c>
      <c r="BM1" t="inlineStr">
        <is>
          <t>TSPF</t>
        </is>
      </c>
      <c r="BN1" t="inlineStr">
        <is>
          <t>F_avg</t>
        </is>
      </c>
      <c r="BO1" t="inlineStr">
        <is>
          <t>dF/dt</t>
        </is>
      </c>
      <c r="BP1" t="inlineStr">
        <is>
          <t>dF_dc/dt</t>
        </is>
      </c>
      <c r="BQ1" t="inlineStr">
        <is>
          <t>F_dc_avg</t>
        </is>
      </c>
      <c r="BR1" t="inlineStr">
        <is>
          <t>period</t>
        </is>
      </c>
      <c r="BS1" t="inlineStr">
        <is>
          <t>time_2</t>
        </is>
      </c>
      <c r="BT1" t="inlineStr">
        <is>
          <t>co2_t</t>
        </is>
      </c>
      <c r="BU1" t="inlineStr">
        <is>
          <t>h2o_t</t>
        </is>
      </c>
      <c r="BV1" t="inlineStr">
        <is>
          <t>count</t>
        </is>
      </c>
      <c r="BW1" t="inlineStr">
        <is>
          <t>co2_adj</t>
        </is>
      </c>
      <c r="BX1" t="inlineStr">
        <is>
          <t>h2o_adj</t>
        </is>
      </c>
      <c r="BY1" t="inlineStr">
        <is>
          <t>co2_match</t>
        </is>
      </c>
      <c r="BZ1" t="inlineStr">
        <is>
          <t>h2o_match</t>
        </is>
      </c>
      <c r="CA1" t="inlineStr">
        <is>
          <t>co2_at</t>
        </is>
      </c>
      <c r="CB1" t="inlineStr">
        <is>
          <t>h2o_at</t>
        </is>
      </c>
      <c r="CC1" t="inlineStr">
        <is>
          <t>co2_cv</t>
        </is>
      </c>
      <c r="CD1" t="inlineStr">
        <is>
          <t>h2o_cv</t>
        </is>
      </c>
      <c r="CE1" t="inlineStr">
        <is>
          <t>A:MN</t>
        </is>
      </c>
      <c r="CF1" t="inlineStr">
        <is>
          <t>A:SLP</t>
        </is>
      </c>
      <c r="CG1" t="inlineStr">
        <is>
          <t>A:SD</t>
        </is>
      </c>
      <c r="CH1" t="inlineStr">
        <is>
          <t>A:OK</t>
        </is>
      </c>
      <c r="CI1" t="inlineStr">
        <is>
          <t>ΔCO2:MN</t>
        </is>
      </c>
      <c r="CJ1" t="inlineStr">
        <is>
          <t>ΔCO2:SLP</t>
        </is>
      </c>
      <c r="CK1" t="inlineStr">
        <is>
          <t>ΔCO2:SD</t>
        </is>
      </c>
      <c r="CL1" t="inlineStr">
        <is>
          <t>ΔCO2:OK</t>
        </is>
      </c>
      <c r="CM1" t="inlineStr">
        <is>
          <t>F:MN</t>
        </is>
      </c>
      <c r="CN1" t="inlineStr">
        <is>
          <t>F:SLP</t>
        </is>
      </c>
      <c r="CO1" t="inlineStr">
        <is>
          <t>F:SD</t>
        </is>
      </c>
      <c r="CP1" t="inlineStr">
        <is>
          <t>F:OK</t>
        </is>
      </c>
      <c r="CQ1" t="inlineStr">
        <is>
          <t>Stable</t>
        </is>
      </c>
      <c r="CR1" t="inlineStr">
        <is>
          <t>Total</t>
        </is>
      </c>
      <c r="CS1" t="inlineStr">
        <is>
          <t>Vflow</t>
        </is>
      </c>
      <c r="CT1" t="inlineStr">
        <is>
          <t>VPchamber</t>
        </is>
      </c>
      <c r="CU1" t="inlineStr">
        <is>
          <t>abs_c_a</t>
        </is>
      </c>
      <c r="CV1" t="inlineStr">
        <is>
          <t>abs_c_b</t>
        </is>
      </c>
      <c r="CW1" t="inlineStr">
        <is>
          <t>abs_h_a</t>
        </is>
      </c>
      <c r="CX1" t="inlineStr">
        <is>
          <t>abs_h_b</t>
        </is>
      </c>
      <c r="CY1" t="inlineStr">
        <is>
          <t>Wc_s</t>
        </is>
      </c>
      <c r="CZ1" t="inlineStr">
        <is>
          <t>Wc_r</t>
        </is>
      </c>
      <c r="DA1" t="inlineStr">
        <is>
          <t>Wco_s</t>
        </is>
      </c>
      <c r="DB1" t="inlineStr">
        <is>
          <t>Wco_r</t>
        </is>
      </c>
      <c r="DC1" t="inlineStr">
        <is>
          <t>Ww_s</t>
        </is>
      </c>
      <c r="DD1" t="inlineStr">
        <is>
          <t>Ww_r</t>
        </is>
      </c>
      <c r="DE1" t="inlineStr">
        <is>
          <t>Wwo_s</t>
        </is>
      </c>
      <c r="DF1" t="inlineStr">
        <is>
          <t>Wwo_r</t>
        </is>
      </c>
      <c r="DG1" t="inlineStr">
        <is>
          <t>Flow_s_v</t>
        </is>
      </c>
      <c r="DH1" t="inlineStr">
        <is>
          <t>Flow_r_v</t>
        </is>
      </c>
      <c r="DI1" t="inlineStr">
        <is>
          <t>Tleaf_mv</t>
        </is>
      </c>
      <c r="DJ1" t="inlineStr">
        <is>
          <t>Tleaf_j</t>
        </is>
      </c>
      <c r="DK1" t="inlineStr">
        <is>
          <t>Tleaf2_j</t>
        </is>
      </c>
      <c r="DL1" t="inlineStr">
        <is>
          <t>Console_RH</t>
        </is>
      </c>
      <c r="DM1" t="inlineStr">
        <is>
          <t>Console_T</t>
        </is>
      </c>
      <c r="DN1" t="inlineStr">
        <is>
          <t>Console_H2O</t>
        </is>
      </c>
      <c r="DO1" t="inlineStr">
        <is>
          <t>Fan_%</t>
        </is>
      </c>
      <c r="DP1" t="inlineStr">
        <is>
          <t>Flow_%</t>
        </is>
      </c>
      <c r="DQ1" t="inlineStr">
        <is>
          <t>Pump</t>
        </is>
      </c>
      <c r="DR1" t="inlineStr">
        <is>
          <t>Tchp_pwm</t>
        </is>
      </c>
      <c r="DS1" t="inlineStr">
        <is>
          <t>Txchg_pwm</t>
        </is>
      </c>
      <c r="DT1" t="inlineStr">
        <is>
          <t>diag_20v</t>
        </is>
      </c>
      <c r="DU1" t="inlineStr">
        <is>
          <t>diag_5_4v</t>
        </is>
      </c>
      <c r="DV1" t="inlineStr">
        <is>
          <t>diag_12v</t>
        </is>
      </c>
      <c r="DW1" t="inlineStr">
        <is>
          <t>diag_5va</t>
        </is>
      </c>
      <c r="DX1" t="inlineStr">
        <is>
          <t>diag_3_3vf</t>
        </is>
      </c>
      <c r="DY1" t="inlineStr">
        <is>
          <t>CO2_hrs</t>
        </is>
      </c>
      <c r="DZ1" t="inlineStr">
        <is>
          <t>AccH2O_des</t>
        </is>
      </c>
      <c r="EA1" t="inlineStr">
        <is>
          <t>AccCO2_soda</t>
        </is>
      </c>
      <c r="EB1" t="inlineStr">
        <is>
          <t>AccH2O_hum</t>
        </is>
      </c>
      <c r="EC1" t="inlineStr">
        <is>
          <t>ADC_CH1</t>
        </is>
      </c>
      <c r="ED1" t="inlineStr">
        <is>
          <t>ADC_CH2</t>
        </is>
      </c>
      <c r="EE1" t="inlineStr">
        <is>
          <t>ADC_CH3</t>
        </is>
      </c>
      <c r="EF1" t="inlineStr">
        <is>
          <t>ADC_CH4</t>
        </is>
      </c>
      <c r="EG1" t="inlineStr">
        <is>
          <t>ADC_CH5</t>
        </is>
      </c>
      <c r="EH1" t="inlineStr">
        <is>
          <t>ADC_CH6</t>
        </is>
      </c>
      <c r="EI1" t="inlineStr">
        <is>
          <t>ADC_CH7</t>
        </is>
      </c>
      <c r="EJ1" t="inlineStr">
        <is>
          <t>ADC_CH8</t>
        </is>
      </c>
      <c r="EK1" t="inlineStr">
        <is>
          <t>MatchValveR</t>
        </is>
      </c>
      <c r="EL1" t="inlineStr">
        <is>
          <t>MatchValveS</t>
        </is>
      </c>
      <c r="EM1" t="inlineStr">
        <is>
          <t>MatchCO2</t>
        </is>
      </c>
      <c r="EN1" t="inlineStr">
        <is>
          <t>MatchH2O</t>
        </is>
      </c>
      <c r="EO1" t="inlineStr">
        <is>
          <t>cf_co2_a</t>
        </is>
      </c>
      <c r="EP1" t="inlineStr">
        <is>
          <t>cf_co2_b</t>
        </is>
      </c>
      <c r="EQ1" t="inlineStr">
        <is>
          <t>cf_co2_c</t>
        </is>
      </c>
      <c r="ER1" t="inlineStr">
        <is>
          <t>cf_co2_d</t>
        </is>
      </c>
      <c r="ES1" t="inlineStr">
        <is>
          <t>cf_h2o_a</t>
        </is>
      </c>
      <c r="ET1" t="inlineStr">
        <is>
          <t>cf_h2o_b</t>
        </is>
      </c>
      <c r="EU1" t="inlineStr">
        <is>
          <t>cf_h2o_c</t>
        </is>
      </c>
      <c r="EV1" t="inlineStr">
        <is>
          <t>cf_h2o_d</t>
        </is>
      </c>
      <c r="EW1" t="inlineStr">
        <is>
          <t>co2_fit_high</t>
        </is>
      </c>
      <c r="EX1" t="inlineStr">
        <is>
          <t>h2o_fit_low</t>
        </is>
      </c>
      <c r="EY1" t="inlineStr">
        <is>
          <t>h2o_fit_high</t>
        </is>
      </c>
      <c r="EZ1" t="inlineStr">
        <is>
          <t>co2_elapsed</t>
        </is>
      </c>
      <c r="FA1" t="inlineStr">
        <is>
          <t>h2o_elapsed</t>
        </is>
      </c>
      <c r="FB1" t="inlineStr">
        <is>
          <t>CO2_f</t>
        </is>
      </c>
      <c r="FC1" t="inlineStr">
        <is>
          <t>CO2_f_s</t>
        </is>
      </c>
      <c r="FD1" t="inlineStr">
        <is>
          <t>Pump_f</t>
        </is>
      </c>
      <c r="FE1" t="inlineStr">
        <is>
          <t>Pump_f_s</t>
        </is>
      </c>
      <c r="FF1" t="inlineStr">
        <is>
          <t>Pump_p</t>
        </is>
      </c>
      <c r="FG1" t="inlineStr">
        <is>
          <t>Pump_p_s</t>
        </is>
      </c>
      <c r="FH1" t="inlineStr">
        <is>
          <t>Tboard</t>
        </is>
      </c>
      <c r="FI1" t="inlineStr">
        <is>
          <t>V_system</t>
        </is>
      </c>
      <c r="FJ1" t="inlineStr">
        <is>
          <t>DIAG</t>
        </is>
      </c>
      <c r="FK1" t="inlineStr">
        <is>
          <t>Flow_s</t>
        </is>
      </c>
      <c r="FL1" t="inlineStr">
        <is>
          <t>Flow_r</t>
        </is>
      </c>
      <c r="FM1" t="inlineStr">
        <is>
          <t>Txchg</t>
        </is>
      </c>
      <c r="FN1" t="inlineStr">
        <is>
          <t>Tirga</t>
        </is>
      </c>
      <c r="FO1" t="inlineStr">
        <is>
          <t>Tchopper</t>
        </is>
      </c>
      <c r="FP1" t="inlineStr">
        <is>
          <t>Ts</t>
        </is>
      </c>
      <c r="FQ1" t="inlineStr">
        <is>
          <t>Tr</t>
        </is>
      </c>
      <c r="FR1" t="inlineStr">
        <is>
          <t>CO2_%</t>
        </is>
      </c>
      <c r="FS1" t="inlineStr">
        <is>
          <t>Desiccant_%</t>
        </is>
      </c>
      <c r="FT1" t="inlineStr">
        <is>
          <t>Humidifier_%</t>
        </is>
      </c>
      <c r="FU1" t="inlineStr">
        <is>
          <t>Txchg_sp</t>
        </is>
      </c>
      <c r="FV1" t="inlineStr">
        <is>
          <t>CO2_r_sp</t>
        </is>
      </c>
      <c r="FW1" t="inlineStr">
        <is>
          <t>H2O_r_sp</t>
        </is>
      </c>
      <c r="FX1" t="inlineStr">
        <is>
          <t>SS_s</t>
        </is>
      </c>
      <c r="FY1" t="inlineStr">
        <is>
          <t>SS_r</t>
        </is>
      </c>
    </row>
    <row r="2">
      <c r="A2" t="n">
        <v>1</v>
      </c>
      <c r="B2" t="n">
        <v>1792373452</v>
      </c>
      <c r="C2" t="n">
        <v>0</v>
      </c>
      <c r="D2" t="n">
        <v>5</v>
      </c>
      <c r="E2" t="n">
        <v>1792373443.5</v>
      </c>
      <c r="F2" t="n">
        <v>0.002491969072336128</v>
      </c>
      <c r="G2" t="n">
        <v>2.491969072336128</v>
      </c>
      <c r="H2" t="n">
        <v>12.10369738250072</v>
      </c>
      <c r="I2" t="n">
        <v>394.72325</v>
      </c>
      <c r="J2" t="n">
        <v>273.6524175680036</v>
      </c>
      <c r="K2" t="n">
        <v>0.0277938122200572</v>
      </c>
      <c r="L2" t="n">
        <v>0.04009050600353053</v>
      </c>
      <c r="M2" t="n">
        <v>0.1756573207784928</v>
      </c>
      <c r="N2" t="n">
        <v>3.035169406945103</v>
      </c>
      <c r="O2" t="n">
        <v>0.1701987768382046</v>
      </c>
      <c r="P2" t="n">
        <v>0.1068505342598324</v>
      </c>
      <c r="Q2" t="n">
        <v>3.169665535644698</v>
      </c>
      <c r="R2" t="n">
        <v>55.11194890976634</v>
      </c>
      <c r="S2" t="n">
        <v>1.718367221813244</v>
      </c>
      <c r="T2" t="n">
        <v>3.117957640414225</v>
      </c>
      <c r="U2" t="n">
        <v>0.5</v>
      </c>
      <c r="V2" t="n">
        <v>1499.9825</v>
      </c>
      <c r="W2" t="n">
        <v>2</v>
      </c>
      <c r="X2" t="n">
        <v>0.5</v>
      </c>
      <c r="Y2" t="n">
        <v>2</v>
      </c>
      <c r="Z2" t="n">
        <v>1792373443.5</v>
      </c>
      <c r="AA2" t="n">
        <v>394.72325</v>
      </c>
      <c r="AB2" t="n">
        <v>399.957125</v>
      </c>
      <c r="AC2" t="n">
        <v>16.91870625</v>
      </c>
      <c r="AD2" t="n">
        <v>15.93898125</v>
      </c>
      <c r="AE2" t="n">
        <v>394.3478125</v>
      </c>
      <c r="AF2" t="n">
        <v>17.05408125</v>
      </c>
      <c r="AG2" t="n">
        <v>500.1011875</v>
      </c>
      <c r="AH2" t="n">
        <v>101.4660625</v>
      </c>
      <c r="AI2" t="n">
        <v>0.10004996875</v>
      </c>
      <c r="AJ2" t="n">
        <v>24.671625</v>
      </c>
      <c r="AK2" t="n">
        <v>24.9471125</v>
      </c>
      <c r="AL2" t="n">
        <v>999.9</v>
      </c>
      <c r="AM2" t="n">
        <v>9999.696250000001</v>
      </c>
      <c r="AN2" t="n">
        <v>6.60177</v>
      </c>
      <c r="AO2" t="n">
        <v>-5.233901875</v>
      </c>
      <c r="AP2" t="n">
        <v>401.5163125</v>
      </c>
      <c r="AQ2" t="n">
        <v>406.4353125</v>
      </c>
      <c r="AR2" t="n">
        <v>0.979730875</v>
      </c>
      <c r="AS2" t="n">
        <v>399.957125</v>
      </c>
      <c r="AT2" t="n">
        <v>15.93898125</v>
      </c>
      <c r="AU2" t="n">
        <v>1.716675</v>
      </c>
      <c r="AV2" t="n">
        <v>1.61726375</v>
      </c>
      <c r="AW2" t="n">
        <v>15.04803125</v>
      </c>
      <c r="AX2" t="n">
        <v>14.12429375</v>
      </c>
      <c r="AY2" t="n">
        <v>1499.9825</v>
      </c>
      <c r="AZ2" t="n">
        <v>0.9729965</v>
      </c>
      <c r="BA2" t="n">
        <v>0.0270031</v>
      </c>
      <c r="BB2" t="n">
        <v>265.22875</v>
      </c>
      <c r="BC2" t="n">
        <v>5.00064</v>
      </c>
      <c r="BD2" t="n">
        <v>4241.801875</v>
      </c>
      <c r="BE2" t="n">
        <v>15439.0375</v>
      </c>
      <c r="BF2" t="n">
        <v>39.875</v>
      </c>
      <c r="BG2" t="n">
        <v>40.601375</v>
      </c>
      <c r="BH2" t="n">
        <v>40.226375</v>
      </c>
      <c r="BI2" t="n">
        <v>40.2224375</v>
      </c>
      <c r="BJ2" t="n">
        <v>41.437</v>
      </c>
      <c r="BK2" t="n">
        <v>1454.6125</v>
      </c>
      <c r="BL2" t="n">
        <v>40.37</v>
      </c>
      <c r="BM2" t="n">
        <v>1792373452.2</v>
      </c>
      <c r="BN2" t="n">
        <v>265.14712</v>
      </c>
      <c r="BO2" t="n">
        <v>-0.0643846260577904</v>
      </c>
      <c r="BP2" t="n">
        <v>-15.8961538275126</v>
      </c>
      <c r="BQ2" t="n">
        <v>4241.4628</v>
      </c>
      <c r="BR2" t="n">
        <v>15</v>
      </c>
      <c r="BS2" t="n">
        <v>1792373386</v>
      </c>
      <c r="BT2" t="n">
        <v>1792373386</v>
      </c>
      <c r="BU2" t="n">
        <v>1792373382</v>
      </c>
      <c r="BV2" t="n">
        <v>2</v>
      </c>
      <c r="BW2" t="n">
        <v>0.022</v>
      </c>
      <c r="BX2" t="n">
        <v>0.001</v>
      </c>
      <c r="BY2" t="n">
        <v>0.377</v>
      </c>
      <c r="BZ2" t="n">
        <v>-0.167</v>
      </c>
      <c r="CA2" t="n">
        <v>400</v>
      </c>
      <c r="CB2" t="n">
        <v>16</v>
      </c>
      <c r="CC2" t="n">
        <v>0.3</v>
      </c>
      <c r="CD2" t="n">
        <v>0.09</v>
      </c>
      <c r="CE2" t="n">
        <v>12.0771774548038</v>
      </c>
      <c r="CF2" t="n">
        <v>0.597451911414591</v>
      </c>
      <c r="CG2" t="n">
        <v>0.09085845425895971</v>
      </c>
      <c r="CH2" t="n">
        <v>1</v>
      </c>
      <c r="CI2" t="n">
        <v>-5.22355428571429</v>
      </c>
      <c r="CJ2" t="n">
        <v>-0.164627532467541</v>
      </c>
      <c r="CK2" t="n">
        <v>0.0333436537220716</v>
      </c>
      <c r="CL2" t="n">
        <v>1</v>
      </c>
      <c r="CM2" t="n">
        <v>265.189</v>
      </c>
      <c r="CN2" t="n">
        <v>-0.170878534424075</v>
      </c>
      <c r="CO2" t="n">
        <v>0.221874500827939</v>
      </c>
      <c r="CP2" t="n">
        <v>1</v>
      </c>
      <c r="CQ2" t="n">
        <v>3</v>
      </c>
      <c r="CR2" t="n">
        <v>3</v>
      </c>
      <c r="CS2" t="n">
        <v>3.12324</v>
      </c>
      <c r="CT2" t="n">
        <v>2.76517</v>
      </c>
      <c r="CU2" t="n">
        <v>0.0872238</v>
      </c>
      <c r="CV2" t="n">
        <v>0.0903578</v>
      </c>
      <c r="CW2" t="n">
        <v>0.0915513</v>
      </c>
      <c r="CX2" t="n">
        <v>0.0905823</v>
      </c>
      <c r="CY2" t="n">
        <v>17781.5</v>
      </c>
      <c r="CZ2" t="n">
        <v>26721.4</v>
      </c>
      <c r="DA2" t="n">
        <v>22762.5</v>
      </c>
      <c r="DB2" t="n">
        <v>30100.4</v>
      </c>
      <c r="DC2" t="n">
        <v>33917.1</v>
      </c>
      <c r="DD2" t="n">
        <v>34093.4</v>
      </c>
      <c r="DE2" t="n">
        <v>43065</v>
      </c>
      <c r="DF2" t="n">
        <v>42860</v>
      </c>
      <c r="DG2" t="n">
        <v>1.96907</v>
      </c>
      <c r="DH2" t="n">
        <v>1.84232</v>
      </c>
      <c r="DI2" t="n">
        <v>0.0974759</v>
      </c>
      <c r="DJ2" t="n">
        <v>23.3235</v>
      </c>
      <c r="DK2" t="n">
        <v>999.9</v>
      </c>
      <c r="DL2" t="n">
        <v>55.329</v>
      </c>
      <c r="DM2" t="n">
        <v>28.913</v>
      </c>
      <c r="DN2" t="n">
        <v>21.8213</v>
      </c>
      <c r="DO2" t="n">
        <v>63.66</v>
      </c>
      <c r="DP2" t="n">
        <v>34.6194</v>
      </c>
      <c r="DQ2" t="n">
        <v>1</v>
      </c>
      <c r="DR2" t="n">
        <v>0.0573247</v>
      </c>
      <c r="DS2" t="n">
        <v>2.06167</v>
      </c>
      <c r="DT2" t="n">
        <v>20.1542</v>
      </c>
      <c r="DU2" t="n">
        <v>5.23197</v>
      </c>
      <c r="DV2" t="n">
        <v>11.962</v>
      </c>
      <c r="DW2" t="n">
        <v>4.9688</v>
      </c>
      <c r="DX2" t="n">
        <v>3.2951</v>
      </c>
      <c r="DY2" t="n">
        <v>999.9</v>
      </c>
      <c r="DZ2" t="n">
        <v>9999</v>
      </c>
      <c r="EA2" t="n">
        <v>9999</v>
      </c>
      <c r="EB2" t="n">
        <v>9999</v>
      </c>
      <c r="EC2" t="n">
        <v>4.96971</v>
      </c>
      <c r="ED2" t="n">
        <v>1.86352</v>
      </c>
      <c r="EE2" t="n">
        <v>1.86506</v>
      </c>
      <c r="EF2" t="n">
        <v>1.86697</v>
      </c>
      <c r="EG2" t="n">
        <v>1.86401</v>
      </c>
      <c r="EH2" t="n">
        <v>1.86768</v>
      </c>
      <c r="EI2" t="n">
        <v>1.86449</v>
      </c>
      <c r="EJ2" t="n">
        <v>1.86639</v>
      </c>
      <c r="EK2" t="n">
        <v>100</v>
      </c>
      <c r="EL2" t="n">
        <v>100</v>
      </c>
      <c r="EM2" t="n">
        <v>0.375</v>
      </c>
      <c r="EN2" t="n">
        <v>-0.1355</v>
      </c>
      <c r="EO2" t="n">
        <v>0.250772164364733</v>
      </c>
      <c r="EP2" t="n">
        <v>0.000216929631606078</v>
      </c>
      <c r="EQ2" t="n">
        <v>2.72263024731635e-07</v>
      </c>
      <c r="ER2" t="n">
        <v>-5.43792051235154e-11</v>
      </c>
      <c r="ES2" t="n">
        <v>-0.0274616740855299</v>
      </c>
      <c r="ET2" t="n">
        <v>-0.0584433849545669</v>
      </c>
      <c r="EU2" t="n">
        <v>0.00341568706061026</v>
      </c>
      <c r="EV2" t="n">
        <v>-2.10952612506686e-05</v>
      </c>
      <c r="EW2" t="n">
        <v>1734</v>
      </c>
      <c r="EX2" t="n">
        <v>2</v>
      </c>
      <c r="EY2" t="n">
        <v>19</v>
      </c>
      <c r="EZ2" t="n">
        <v>1.1</v>
      </c>
      <c r="FA2" t="n">
        <v>1.2</v>
      </c>
      <c r="FB2" t="n">
        <v>1.05225</v>
      </c>
      <c r="FC2" t="n">
        <v>2.53296</v>
      </c>
      <c r="FD2" t="n">
        <v>1.34766</v>
      </c>
      <c r="FE2" t="n">
        <v>2.26318</v>
      </c>
      <c r="FF2" t="n">
        <v>1.55029</v>
      </c>
      <c r="FG2" t="n">
        <v>2.54639</v>
      </c>
      <c r="FH2" t="n">
        <v>35.7311</v>
      </c>
      <c r="FI2" t="n">
        <v>23.8336</v>
      </c>
      <c r="FJ2" t="n">
        <v>18</v>
      </c>
      <c r="FK2" t="n">
        <v>497.172</v>
      </c>
      <c r="FL2" t="n">
        <v>494.708</v>
      </c>
      <c r="FM2" t="n">
        <v>21.2252</v>
      </c>
      <c r="FN2" t="n">
        <v>27.9132</v>
      </c>
      <c r="FO2" t="n">
        <v>29.9999</v>
      </c>
      <c r="FP2" t="n">
        <v>27.8946</v>
      </c>
      <c r="FQ2" t="n">
        <v>27.9045</v>
      </c>
      <c r="FR2" t="n">
        <v>21.0747</v>
      </c>
      <c r="FS2" t="n">
        <v>39.326</v>
      </c>
      <c r="FT2" t="n">
        <v>65.91549999999999</v>
      </c>
      <c r="FU2" t="n">
        <v>21.2946</v>
      </c>
      <c r="FV2" t="n">
        <v>400</v>
      </c>
      <c r="FW2" t="n">
        <v>15.9772</v>
      </c>
      <c r="FX2" t="n">
        <v>101.69</v>
      </c>
      <c r="FY2" t="n">
        <v>97.3352</v>
      </c>
    </row>
    <row r="3">
      <c r="A3" t="n">
        <v>2</v>
      </c>
      <c r="B3" t="n">
        <v>1792373573</v>
      </c>
      <c r="C3" t="n">
        <v>121</v>
      </c>
      <c r="D3" t="n">
        <v>5</v>
      </c>
      <c r="E3" t="n">
        <v>1792373565</v>
      </c>
      <c r="F3" t="n">
        <v>0.00284587060566514</v>
      </c>
      <c r="G3" t="n">
        <v>2.84587060566514</v>
      </c>
      <c r="H3" t="n">
        <v>9.186721214403491</v>
      </c>
      <c r="I3" t="n">
        <v>295.9728</v>
      </c>
      <c r="J3" t="n">
        <v>214.9059323038559</v>
      </c>
      <c r="K3" t="n">
        <v>0.02182791046570946</v>
      </c>
      <c r="L3" t="n">
        <v>0.03006184012431478</v>
      </c>
      <c r="M3" t="n">
        <v>0.2018351114939124</v>
      </c>
      <c r="N3" t="n">
        <v>3.036697597945282</v>
      </c>
      <c r="O3" t="n">
        <v>0.1946675991872052</v>
      </c>
      <c r="P3" t="n">
        <v>0.1222900166221241</v>
      </c>
      <c r="Q3" t="n">
        <v>3.171008180679976</v>
      </c>
      <c r="R3" t="n">
        <v>55.08033939525104</v>
      </c>
      <c r="S3" t="n">
        <v>1.721914238448202</v>
      </c>
      <c r="T3" t="n">
        <v>3.12618668903239</v>
      </c>
      <c r="U3" t="n">
        <v>0.5</v>
      </c>
      <c r="V3" t="n">
        <v>1500.01333333333</v>
      </c>
      <c r="W3" t="n">
        <v>2</v>
      </c>
      <c r="X3" t="n">
        <v>0.5</v>
      </c>
      <c r="Y3" t="n">
        <v>2</v>
      </c>
      <c r="Z3" t="n">
        <v>1792373565</v>
      </c>
      <c r="AA3" t="n">
        <v>295.9728</v>
      </c>
      <c r="AB3" t="n">
        <v>299.9838</v>
      </c>
      <c r="AC3" t="n">
        <v>16.9530466666667</v>
      </c>
      <c r="AD3" t="n">
        <v>15.8341666666667</v>
      </c>
      <c r="AE3" t="n">
        <v>295.664266666667</v>
      </c>
      <c r="AF3" t="n">
        <v>17.0875266666667</v>
      </c>
      <c r="AG3" t="n">
        <v>500.075866666667</v>
      </c>
      <c r="AH3" t="n">
        <v>101.4696</v>
      </c>
      <c r="AI3" t="n">
        <v>0.100004113333333</v>
      </c>
      <c r="AJ3" t="n">
        <v>24.7157333333333</v>
      </c>
      <c r="AK3" t="n">
        <v>24.9542133333333</v>
      </c>
      <c r="AL3" t="n">
        <v>999.9</v>
      </c>
      <c r="AM3" t="n">
        <v>10008.5866666667</v>
      </c>
      <c r="AN3" t="n">
        <v>6.65633</v>
      </c>
      <c r="AO3" t="n">
        <v>-4.011048</v>
      </c>
      <c r="AP3" t="n">
        <v>301.076866666667</v>
      </c>
      <c r="AQ3" t="n">
        <v>304.810133333333</v>
      </c>
      <c r="AR3" t="n">
        <v>1.11888066666667</v>
      </c>
      <c r="AS3" t="n">
        <v>299.9838</v>
      </c>
      <c r="AT3" t="n">
        <v>15.8341666666667</v>
      </c>
      <c r="AU3" t="n">
        <v>1.72021533333333</v>
      </c>
      <c r="AV3" t="n">
        <v>1.60668333333333</v>
      </c>
      <c r="AW3" t="n">
        <v>15.0800666666667</v>
      </c>
      <c r="AX3" t="n">
        <v>14.0230533333333</v>
      </c>
      <c r="AY3" t="n">
        <v>1500.01333333333</v>
      </c>
      <c r="AZ3" t="n">
        <v>0.9729972</v>
      </c>
      <c r="BA3" t="n">
        <v>0.0270024066666667</v>
      </c>
      <c r="BB3" t="n">
        <v>253.136133333333</v>
      </c>
      <c r="BC3" t="n">
        <v>5.00064</v>
      </c>
      <c r="BD3" t="n">
        <v>4055.97066666667</v>
      </c>
      <c r="BE3" t="n">
        <v>15439.3533333333</v>
      </c>
      <c r="BF3" t="n">
        <v>40</v>
      </c>
      <c r="BG3" t="n">
        <v>40.687</v>
      </c>
      <c r="BH3" t="n">
        <v>40.312</v>
      </c>
      <c r="BI3" t="n">
        <v>40.312</v>
      </c>
      <c r="BJ3" t="n">
        <v>41.5</v>
      </c>
      <c r="BK3" t="n">
        <v>1454.64333333333</v>
      </c>
      <c r="BL3" t="n">
        <v>40.37</v>
      </c>
      <c r="BM3" t="n">
        <v>1792373572.8</v>
      </c>
      <c r="BN3" t="n">
        <v>253.146423076923</v>
      </c>
      <c r="BO3" t="n">
        <v>-0.389641031054702</v>
      </c>
      <c r="BP3" t="n">
        <v>-4.92923076905789</v>
      </c>
      <c r="BQ3" t="n">
        <v>4055.86461538462</v>
      </c>
      <c r="BR3" t="n">
        <v>15</v>
      </c>
      <c r="BS3" t="n">
        <v>1792373516</v>
      </c>
      <c r="BT3" t="n">
        <v>1792373516</v>
      </c>
      <c r="BU3" t="n">
        <v>1792373514</v>
      </c>
      <c r="BV3" t="n">
        <v>3</v>
      </c>
      <c r="BW3" t="n">
        <v>-0.029</v>
      </c>
      <c r="BX3" t="n">
        <v>0</v>
      </c>
      <c r="BY3" t="n">
        <v>0.31</v>
      </c>
      <c r="BZ3" t="n">
        <v>-0.172</v>
      </c>
      <c r="CA3" t="n">
        <v>300</v>
      </c>
      <c r="CB3" t="n">
        <v>16</v>
      </c>
      <c r="CC3" t="n">
        <v>0.26</v>
      </c>
      <c r="CD3" t="n">
        <v>0.09</v>
      </c>
      <c r="CE3" t="n">
        <v>9.175524096029189</v>
      </c>
      <c r="CF3" t="n">
        <v>0.135088082586414</v>
      </c>
      <c r="CG3" t="n">
        <v>0.069921814409084</v>
      </c>
      <c r="CH3" t="n">
        <v>1</v>
      </c>
      <c r="CI3" t="n">
        <v>-4.00709333333333</v>
      </c>
      <c r="CJ3" t="n">
        <v>-0.0587290909090923</v>
      </c>
      <c r="CK3" t="n">
        <v>0.0276021029794632</v>
      </c>
      <c r="CL3" t="n">
        <v>1</v>
      </c>
      <c r="CM3" t="n">
        <v>253.139676470588</v>
      </c>
      <c r="CN3" t="n">
        <v>0.0398930476408511</v>
      </c>
      <c r="CO3" t="n">
        <v>0.145413552363845</v>
      </c>
      <c r="CP3" t="n">
        <v>1</v>
      </c>
      <c r="CQ3" t="n">
        <v>3</v>
      </c>
      <c r="CR3" t="n">
        <v>3</v>
      </c>
      <c r="CS3" t="n">
        <v>3.12312</v>
      </c>
      <c r="CT3" t="n">
        <v>2.76501</v>
      </c>
      <c r="CU3" t="n">
        <v>0.0695161</v>
      </c>
      <c r="CV3" t="n">
        <v>0.0720707</v>
      </c>
      <c r="CW3" t="n">
        <v>0.09169190000000001</v>
      </c>
      <c r="CX3" t="n">
        <v>0.09015289999999999</v>
      </c>
      <c r="CY3" t="n">
        <v>18126.6</v>
      </c>
      <c r="CZ3" t="n">
        <v>27258.7</v>
      </c>
      <c r="DA3" t="n">
        <v>22762.5</v>
      </c>
      <c r="DB3" t="n">
        <v>30100.3</v>
      </c>
      <c r="DC3" t="n">
        <v>33909.9</v>
      </c>
      <c r="DD3" t="n">
        <v>34108.9</v>
      </c>
      <c r="DE3" t="n">
        <v>43064.1</v>
      </c>
      <c r="DF3" t="n">
        <v>42860.8</v>
      </c>
      <c r="DG3" t="n">
        <v>1.96885</v>
      </c>
      <c r="DH3" t="n">
        <v>1.84067</v>
      </c>
      <c r="DI3" t="n">
        <v>0.09685009999999999</v>
      </c>
      <c r="DJ3" t="n">
        <v>23.3521</v>
      </c>
      <c r="DK3" t="n">
        <v>999.9</v>
      </c>
      <c r="DL3" t="n">
        <v>54.639</v>
      </c>
      <c r="DM3" t="n">
        <v>29.074</v>
      </c>
      <c r="DN3" t="n">
        <v>21.748</v>
      </c>
      <c r="DO3" t="n">
        <v>63.5299</v>
      </c>
      <c r="DP3" t="n">
        <v>34.6835</v>
      </c>
      <c r="DQ3" t="n">
        <v>1</v>
      </c>
      <c r="DR3" t="n">
        <v>0.0565142</v>
      </c>
      <c r="DS3" t="n">
        <v>1.87561</v>
      </c>
      <c r="DT3" t="n">
        <v>20.156</v>
      </c>
      <c r="DU3" t="n">
        <v>5.23361</v>
      </c>
      <c r="DV3" t="n">
        <v>11.962</v>
      </c>
      <c r="DW3" t="n">
        <v>4.9678</v>
      </c>
      <c r="DX3" t="n">
        <v>3.29503</v>
      </c>
      <c r="DY3" t="n">
        <v>999.9</v>
      </c>
      <c r="DZ3" t="n">
        <v>9999</v>
      </c>
      <c r="EA3" t="n">
        <v>9999</v>
      </c>
      <c r="EB3" t="n">
        <v>9999</v>
      </c>
      <c r="EC3" t="n">
        <v>4.96975</v>
      </c>
      <c r="ED3" t="n">
        <v>1.86355</v>
      </c>
      <c r="EE3" t="n">
        <v>1.86507</v>
      </c>
      <c r="EF3" t="n">
        <v>1.86703</v>
      </c>
      <c r="EG3" t="n">
        <v>1.86403</v>
      </c>
      <c r="EH3" t="n">
        <v>1.86768</v>
      </c>
      <c r="EI3" t="n">
        <v>1.86449</v>
      </c>
      <c r="EJ3" t="n">
        <v>1.86642</v>
      </c>
      <c r="EK3" t="n">
        <v>100</v>
      </c>
      <c r="EL3" t="n">
        <v>100</v>
      </c>
      <c r="EM3" t="n">
        <v>0.308</v>
      </c>
      <c r="EN3" t="n">
        <v>-0.1345</v>
      </c>
      <c r="EO3" t="n">
        <v>0.222028228834075</v>
      </c>
      <c r="EP3" t="n">
        <v>0.000216929631606078</v>
      </c>
      <c r="EQ3" t="n">
        <v>2.72263024731635e-07</v>
      </c>
      <c r="ER3" t="n">
        <v>-5.43792051235154e-11</v>
      </c>
      <c r="ES3" t="n">
        <v>-0.0279094596501518</v>
      </c>
      <c r="ET3" t="n">
        <v>-0.0584433849545669</v>
      </c>
      <c r="EU3" t="n">
        <v>0.00341568706061026</v>
      </c>
      <c r="EV3" t="n">
        <v>-2.10952612506686e-05</v>
      </c>
      <c r="EW3" t="n">
        <v>1734</v>
      </c>
      <c r="EX3" t="n">
        <v>2</v>
      </c>
      <c r="EY3" t="n">
        <v>19</v>
      </c>
      <c r="EZ3" t="n">
        <v>0.9</v>
      </c>
      <c r="FA3" t="n">
        <v>1</v>
      </c>
      <c r="FB3" t="n">
        <v>0.85083</v>
      </c>
      <c r="FC3" t="n">
        <v>2.54517</v>
      </c>
      <c r="FD3" t="n">
        <v>1.34766</v>
      </c>
      <c r="FE3" t="n">
        <v>2.26318</v>
      </c>
      <c r="FF3" t="n">
        <v>1.55029</v>
      </c>
      <c r="FG3" t="n">
        <v>2.46826</v>
      </c>
      <c r="FH3" t="n">
        <v>35.9178</v>
      </c>
      <c r="FI3" t="n">
        <v>23.8336</v>
      </c>
      <c r="FJ3" t="n">
        <v>18</v>
      </c>
      <c r="FK3" t="n">
        <v>497.053</v>
      </c>
      <c r="FL3" t="n">
        <v>493.553</v>
      </c>
      <c r="FM3" t="n">
        <v>21.4845</v>
      </c>
      <c r="FN3" t="n">
        <v>27.9084</v>
      </c>
      <c r="FO3" t="n">
        <v>29.9998</v>
      </c>
      <c r="FP3" t="n">
        <v>27.897</v>
      </c>
      <c r="FQ3" t="n">
        <v>27.9069</v>
      </c>
      <c r="FR3" t="n">
        <v>17.04</v>
      </c>
      <c r="FS3" t="n">
        <v>39.2953</v>
      </c>
      <c r="FT3" t="n">
        <v>64.0343</v>
      </c>
      <c r="FU3" t="n">
        <v>21.5047</v>
      </c>
      <c r="FV3" t="n">
        <v>300</v>
      </c>
      <c r="FW3" t="n">
        <v>15.8184</v>
      </c>
      <c r="FX3" t="n">
        <v>101.688</v>
      </c>
      <c r="FY3" t="n">
        <v>97.3361</v>
      </c>
    </row>
    <row r="4">
      <c r="A4" t="n">
        <v>3</v>
      </c>
      <c r="B4" t="n">
        <v>1792373694.1</v>
      </c>
      <c r="C4" t="n">
        <v>242.099999904633</v>
      </c>
      <c r="D4" t="n">
        <v>5</v>
      </c>
      <c r="E4" t="n">
        <v>1792373685.6</v>
      </c>
      <c r="F4" t="n">
        <v>0.003280499048583658</v>
      </c>
      <c r="G4" t="n">
        <v>3.280499048583658</v>
      </c>
      <c r="H4" t="n">
        <v>5.887113809860879</v>
      </c>
      <c r="I4" t="n">
        <v>197.38</v>
      </c>
      <c r="J4" t="n">
        <v>151.7411484874487</v>
      </c>
      <c r="K4" t="n">
        <v>0.01541181168367989</v>
      </c>
      <c r="L4" t="n">
        <v>0.02004718838922162</v>
      </c>
      <c r="M4" t="n">
        <v>0.2347758245301476</v>
      </c>
      <c r="N4" t="n">
        <v>3.034658732882175</v>
      </c>
      <c r="O4" t="n">
        <v>0.2251317257225689</v>
      </c>
      <c r="P4" t="n">
        <v>0.1415408011704922</v>
      </c>
      <c r="Q4" t="n">
        <v>3.173394054498527</v>
      </c>
      <c r="R4" t="n">
        <v>55.03033322803905</v>
      </c>
      <c r="S4" t="n">
        <v>1.729140460303798</v>
      </c>
      <c r="T4" t="n">
        <v>3.142158803833604</v>
      </c>
      <c r="U4" t="n">
        <v>0.5</v>
      </c>
      <c r="V4" t="n">
        <v>1500.000625</v>
      </c>
      <c r="W4" t="n">
        <v>2</v>
      </c>
      <c r="X4" t="n">
        <v>0.5</v>
      </c>
      <c r="Y4" t="n">
        <v>2</v>
      </c>
      <c r="Z4" t="n">
        <v>1792373685.6</v>
      </c>
      <c r="AA4" t="n">
        <v>197.38</v>
      </c>
      <c r="AB4" t="n">
        <v>199.993625</v>
      </c>
      <c r="AC4" t="n">
        <v>17.02471875</v>
      </c>
      <c r="AD4" t="n">
        <v>15.73496875</v>
      </c>
      <c r="AE4" t="n">
        <v>197.22475</v>
      </c>
      <c r="AF4" t="n">
        <v>17.15823125</v>
      </c>
      <c r="AG4" t="n">
        <v>500.0425625</v>
      </c>
      <c r="AH4" t="n">
        <v>101.4665</v>
      </c>
      <c r="AI4" t="n">
        <v>0.09996260625</v>
      </c>
      <c r="AJ4" t="n">
        <v>24.80105625</v>
      </c>
      <c r="AK4" t="n">
        <v>24.966825</v>
      </c>
      <c r="AL4" t="n">
        <v>999.9</v>
      </c>
      <c r="AM4" t="n">
        <v>9996.567499999999</v>
      </c>
      <c r="AN4" t="n">
        <v>6.5359575</v>
      </c>
      <c r="AO4" t="n">
        <v>-2.61337125</v>
      </c>
      <c r="AP4" t="n">
        <v>200.79875</v>
      </c>
      <c r="AQ4" t="n">
        <v>203.190625</v>
      </c>
      <c r="AR4" t="n">
        <v>1.289743125</v>
      </c>
      <c r="AS4" t="n">
        <v>199.993625</v>
      </c>
      <c r="AT4" t="n">
        <v>15.73496875</v>
      </c>
      <c r="AU4" t="n">
        <v>1.7274375</v>
      </c>
      <c r="AV4" t="n">
        <v>1.5965725</v>
      </c>
      <c r="AW4" t="n">
        <v>15.14523125</v>
      </c>
      <c r="AX4" t="n">
        <v>13.92576875</v>
      </c>
      <c r="AY4" t="n">
        <v>1500.000625</v>
      </c>
      <c r="AZ4" t="n">
        <v>0.972997</v>
      </c>
      <c r="BA4" t="n">
        <v>0.02700260625</v>
      </c>
      <c r="BB4" t="n">
        <v>246.3298125</v>
      </c>
      <c r="BC4" t="n">
        <v>5.00064</v>
      </c>
      <c r="BD4" t="n">
        <v>3949.605</v>
      </c>
      <c r="BE4" t="n">
        <v>15439.21875</v>
      </c>
      <c r="BF4" t="n">
        <v>40.10925</v>
      </c>
      <c r="BG4" t="n">
        <v>40.808125</v>
      </c>
      <c r="BH4" t="n">
        <v>40.437</v>
      </c>
      <c r="BI4" t="n">
        <v>40.42925</v>
      </c>
      <c r="BJ4" t="n">
        <v>41.625</v>
      </c>
      <c r="BK4" t="n">
        <v>1454.630625</v>
      </c>
      <c r="BL4" t="n">
        <v>40.37</v>
      </c>
      <c r="BM4" t="n">
        <v>1792373694</v>
      </c>
      <c r="BN4" t="n">
        <v>246.347</v>
      </c>
      <c r="BO4" t="n">
        <v>-1.46625641834582</v>
      </c>
      <c r="BP4" t="n">
        <v>-6.93094017177118</v>
      </c>
      <c r="BQ4" t="n">
        <v>3949.465</v>
      </c>
      <c r="BR4" t="n">
        <v>15</v>
      </c>
      <c r="BS4" t="n">
        <v>1792373640.1</v>
      </c>
      <c r="BT4" t="n">
        <v>1792373640.1</v>
      </c>
      <c r="BU4" t="n">
        <v>1792373631.1</v>
      </c>
      <c r="BV4" t="n">
        <v>4</v>
      </c>
      <c r="BW4" t="n">
        <v>-0.12</v>
      </c>
      <c r="BX4" t="n">
        <v>-0.002</v>
      </c>
      <c r="BY4" t="n">
        <v>0.156</v>
      </c>
      <c r="BZ4" t="n">
        <v>-0.179</v>
      </c>
      <c r="CA4" t="n">
        <v>200</v>
      </c>
      <c r="CB4" t="n">
        <v>16</v>
      </c>
      <c r="CC4" t="n">
        <v>0.24</v>
      </c>
      <c r="CD4" t="n">
        <v>0.08</v>
      </c>
      <c r="CE4" t="n">
        <v>5.87707008969656</v>
      </c>
      <c r="CF4" t="n">
        <v>0.173466296020821</v>
      </c>
      <c r="CG4" t="n">
        <v>0.0914292222003346</v>
      </c>
      <c r="CH4" t="n">
        <v>1</v>
      </c>
      <c r="CI4" t="n">
        <v>-2.6085819047619</v>
      </c>
      <c r="CJ4" t="n">
        <v>-0.049828051948056</v>
      </c>
      <c r="CK4" t="n">
        <v>0.0347303832426509</v>
      </c>
      <c r="CL4" t="n">
        <v>1</v>
      </c>
      <c r="CM4" t="n">
        <v>246.375147058824</v>
      </c>
      <c r="CN4" t="n">
        <v>-0.939511076809202</v>
      </c>
      <c r="CO4" t="n">
        <v>0.210475949772238</v>
      </c>
      <c r="CP4" t="n">
        <v>1</v>
      </c>
      <c r="CQ4" t="n">
        <v>3</v>
      </c>
      <c r="CR4" t="n">
        <v>3</v>
      </c>
      <c r="CS4" t="n">
        <v>3.12339</v>
      </c>
      <c r="CT4" t="n">
        <v>2.76532</v>
      </c>
      <c r="CU4" t="n">
        <v>0.0494396</v>
      </c>
      <c r="CV4" t="n">
        <v>0.0512825</v>
      </c>
      <c r="CW4" t="n">
        <v>0.0919678</v>
      </c>
      <c r="CX4" t="n">
        <v>0.08971949999999999</v>
      </c>
      <c r="CY4" t="n">
        <v>18518.8</v>
      </c>
      <c r="CZ4" t="n">
        <v>27871.1</v>
      </c>
      <c r="DA4" t="n">
        <v>22763.7</v>
      </c>
      <c r="DB4" t="n">
        <v>30101.9</v>
      </c>
      <c r="DC4" t="n">
        <v>33899.5</v>
      </c>
      <c r="DD4" t="n">
        <v>34126.1</v>
      </c>
      <c r="DE4" t="n">
        <v>43066</v>
      </c>
      <c r="DF4" t="n">
        <v>42863.7</v>
      </c>
      <c r="DG4" t="n">
        <v>1.96933</v>
      </c>
      <c r="DH4" t="n">
        <v>1.8382</v>
      </c>
      <c r="DI4" t="n">
        <v>0.09499489999999999</v>
      </c>
      <c r="DJ4" t="n">
        <v>23.4028</v>
      </c>
      <c r="DK4" t="n">
        <v>999.9</v>
      </c>
      <c r="DL4" t="n">
        <v>54.047</v>
      </c>
      <c r="DM4" t="n">
        <v>29.245</v>
      </c>
      <c r="DN4" t="n">
        <v>21.7282</v>
      </c>
      <c r="DO4" t="n">
        <v>63.5118</v>
      </c>
      <c r="DP4" t="n">
        <v>34.6795</v>
      </c>
      <c r="DQ4" t="n">
        <v>1</v>
      </c>
      <c r="DR4" t="n">
        <v>0.0554395</v>
      </c>
      <c r="DS4" t="n">
        <v>1.86476</v>
      </c>
      <c r="DT4" t="n">
        <v>20.1565</v>
      </c>
      <c r="DU4" t="n">
        <v>5.23436</v>
      </c>
      <c r="DV4" t="n">
        <v>11.962</v>
      </c>
      <c r="DW4" t="n">
        <v>4.9686</v>
      </c>
      <c r="DX4" t="n">
        <v>3.29513</v>
      </c>
      <c r="DY4" t="n">
        <v>999.9</v>
      </c>
      <c r="DZ4" t="n">
        <v>9999</v>
      </c>
      <c r="EA4" t="n">
        <v>9999</v>
      </c>
      <c r="EB4" t="n">
        <v>9999</v>
      </c>
      <c r="EC4" t="n">
        <v>4.96973</v>
      </c>
      <c r="ED4" t="n">
        <v>1.86354</v>
      </c>
      <c r="EE4" t="n">
        <v>1.86508</v>
      </c>
      <c r="EF4" t="n">
        <v>1.86702</v>
      </c>
      <c r="EG4" t="n">
        <v>1.86404</v>
      </c>
      <c r="EH4" t="n">
        <v>1.86768</v>
      </c>
      <c r="EI4" t="n">
        <v>1.86449</v>
      </c>
      <c r="EJ4" t="n">
        <v>1.86645</v>
      </c>
      <c r="EK4" t="n">
        <v>100</v>
      </c>
      <c r="EL4" t="n">
        <v>100</v>
      </c>
      <c r="EM4" t="n">
        <v>0.155</v>
      </c>
      <c r="EN4" t="n">
        <v>-0.1336</v>
      </c>
      <c r="EO4" t="n">
        <v>0.102428457601479</v>
      </c>
      <c r="EP4" t="n">
        <v>0.000216929631606078</v>
      </c>
      <c r="EQ4" t="n">
        <v>2.72263024731635e-07</v>
      </c>
      <c r="ER4" t="n">
        <v>-5.43792051235154e-11</v>
      </c>
      <c r="ES4" t="n">
        <v>-0.0297708208102845</v>
      </c>
      <c r="ET4" t="n">
        <v>-0.0584433849545669</v>
      </c>
      <c r="EU4" t="n">
        <v>0.00341568706061026</v>
      </c>
      <c r="EV4" t="n">
        <v>-2.10952612506686e-05</v>
      </c>
      <c r="EW4" t="n">
        <v>1734</v>
      </c>
      <c r="EX4" t="n">
        <v>2</v>
      </c>
      <c r="EY4" t="n">
        <v>19</v>
      </c>
      <c r="EZ4" t="n">
        <v>0.9</v>
      </c>
      <c r="FA4" t="n">
        <v>1.1</v>
      </c>
      <c r="FB4" t="n">
        <v>0.639648</v>
      </c>
      <c r="FC4" t="n">
        <v>2.54272</v>
      </c>
      <c r="FD4" t="n">
        <v>1.34644</v>
      </c>
      <c r="FE4" t="n">
        <v>2.26196</v>
      </c>
      <c r="FF4" t="n">
        <v>1.55029</v>
      </c>
      <c r="FG4" t="n">
        <v>2.58667</v>
      </c>
      <c r="FH4" t="n">
        <v>36.0582</v>
      </c>
      <c r="FI4" t="n">
        <v>23.8423</v>
      </c>
      <c r="FJ4" t="n">
        <v>18</v>
      </c>
      <c r="FK4" t="n">
        <v>497.306</v>
      </c>
      <c r="FL4" t="n">
        <v>491.771</v>
      </c>
      <c r="FM4" t="n">
        <v>21.5653</v>
      </c>
      <c r="FN4" t="n">
        <v>27.8989</v>
      </c>
      <c r="FO4" t="n">
        <v>29.9999</v>
      </c>
      <c r="FP4" t="n">
        <v>27.8922</v>
      </c>
      <c r="FQ4" t="n">
        <v>27.9045</v>
      </c>
      <c r="FR4" t="n">
        <v>12.8336</v>
      </c>
      <c r="FS4" t="n">
        <v>39.3128</v>
      </c>
      <c r="FT4" t="n">
        <v>62.1613</v>
      </c>
      <c r="FU4" t="n">
        <v>21.5706</v>
      </c>
      <c r="FV4" t="n">
        <v>200</v>
      </c>
      <c r="FW4" t="n">
        <v>15.7555</v>
      </c>
      <c r="FX4" t="n">
        <v>101.693</v>
      </c>
      <c r="FY4" t="n">
        <v>97.34220000000001</v>
      </c>
    </row>
    <row r="5">
      <c r="A5" t="n">
        <v>4</v>
      </c>
      <c r="B5" t="n">
        <v>1792373815.1</v>
      </c>
      <c r="C5" t="n">
        <v>363.099999904633</v>
      </c>
      <c r="D5" t="n">
        <v>5</v>
      </c>
      <c r="E5" t="n">
        <v>1792373806.6</v>
      </c>
      <c r="F5" t="n">
        <v>0.003786777553383807</v>
      </c>
      <c r="G5" t="n">
        <v>3.786777553383808</v>
      </c>
      <c r="H5" t="n">
        <v>1.752505213880771</v>
      </c>
      <c r="I5" t="n">
        <v>99.1444875</v>
      </c>
      <c r="J5" t="n">
        <v>86.31461879365965</v>
      </c>
      <c r="K5" t="n">
        <v>0.008766089926216431</v>
      </c>
      <c r="L5" t="n">
        <v>0.01006908800919691</v>
      </c>
      <c r="M5" t="n">
        <v>0.2735532334167128</v>
      </c>
      <c r="N5" t="n">
        <v>3.035517436604711</v>
      </c>
      <c r="O5" t="n">
        <v>0.2605585342649941</v>
      </c>
      <c r="P5" t="n">
        <v>0.1639651544705908</v>
      </c>
      <c r="Q5" t="n">
        <v>3.180633856717336</v>
      </c>
      <c r="R5" t="n">
        <v>55.14706166276534</v>
      </c>
      <c r="S5" t="n">
        <v>1.740394290349268</v>
      </c>
      <c r="T5" t="n">
        <v>3.155914817351659</v>
      </c>
      <c r="U5" t="n">
        <v>0.5</v>
      </c>
      <c r="V5" t="n">
        <v>1499.980625</v>
      </c>
      <c r="W5" t="n">
        <v>2</v>
      </c>
      <c r="X5" t="n">
        <v>0.5</v>
      </c>
      <c r="Y5" t="n">
        <v>2</v>
      </c>
      <c r="Z5" t="n">
        <v>1792373806.6</v>
      </c>
      <c r="AA5" t="n">
        <v>99.1444875</v>
      </c>
      <c r="AB5" t="n">
        <v>99.9955125</v>
      </c>
      <c r="AC5" t="n">
        <v>17.13665625</v>
      </c>
      <c r="AD5" t="n">
        <v>15.64816875</v>
      </c>
      <c r="AE5" t="n">
        <v>99.25246249999999</v>
      </c>
      <c r="AF5" t="n">
        <v>17.26444375</v>
      </c>
      <c r="AG5" t="n">
        <v>500.0895</v>
      </c>
      <c r="AH5" t="n">
        <v>101.4596875</v>
      </c>
      <c r="AI5" t="n">
        <v>0.10004883125</v>
      </c>
      <c r="AJ5" t="n">
        <v>24.8742375</v>
      </c>
      <c r="AK5" t="n">
        <v>25.00504375</v>
      </c>
      <c r="AL5" t="n">
        <v>999.9</v>
      </c>
      <c r="AM5" t="n">
        <v>10002.428125</v>
      </c>
      <c r="AN5" t="n">
        <v>6.4068925</v>
      </c>
      <c r="AO5" t="n">
        <v>-0.8510403125</v>
      </c>
      <c r="AP5" t="n">
        <v>100.8731875</v>
      </c>
      <c r="AQ5" t="n">
        <v>101.5851875</v>
      </c>
      <c r="AR5" t="n">
        <v>1.48847625</v>
      </c>
      <c r="AS5" t="n">
        <v>99.9955125</v>
      </c>
      <c r="AT5" t="n">
        <v>15.64816875</v>
      </c>
      <c r="AU5" t="n">
        <v>1.73868</v>
      </c>
      <c r="AV5" t="n">
        <v>1.58766</v>
      </c>
      <c r="AW5" t="n">
        <v>15.2461375</v>
      </c>
      <c r="AX5" t="n">
        <v>13.839525</v>
      </c>
      <c r="AY5" t="n">
        <v>1499.980625</v>
      </c>
      <c r="AZ5" t="n">
        <v>0.9729965</v>
      </c>
      <c r="BA5" t="n">
        <v>0.0270031</v>
      </c>
      <c r="BB5" t="n">
        <v>244.33275</v>
      </c>
      <c r="BC5" t="n">
        <v>5.00064</v>
      </c>
      <c r="BD5" t="n">
        <v>3915.688125</v>
      </c>
      <c r="BE5" t="n">
        <v>15439</v>
      </c>
      <c r="BF5" t="n">
        <v>40.187</v>
      </c>
      <c r="BG5" t="n">
        <v>40.875</v>
      </c>
      <c r="BH5" t="n">
        <v>40.503875</v>
      </c>
      <c r="BI5" t="n">
        <v>40.5</v>
      </c>
      <c r="BJ5" t="n">
        <v>41.7185</v>
      </c>
      <c r="BK5" t="n">
        <v>1454.610625</v>
      </c>
      <c r="BL5" t="n">
        <v>40.37</v>
      </c>
      <c r="BM5" t="n">
        <v>1792373815.2</v>
      </c>
      <c r="BN5" t="n">
        <v>244.257615384615</v>
      </c>
      <c r="BO5" t="n">
        <v>-0.109538451638554</v>
      </c>
      <c r="BP5" t="n">
        <v>-5.43589742610499</v>
      </c>
      <c r="BQ5" t="n">
        <v>3915.64846153846</v>
      </c>
      <c r="BR5" t="n">
        <v>15</v>
      </c>
      <c r="BS5" t="n">
        <v>1792373763.1</v>
      </c>
      <c r="BT5" t="n">
        <v>1792373763.1</v>
      </c>
      <c r="BU5" t="n">
        <v>1792373757.1</v>
      </c>
      <c r="BV5" t="n">
        <v>5</v>
      </c>
      <c r="BW5" t="n">
        <v>-0.234</v>
      </c>
      <c r="BX5" t="n">
        <v>0.001</v>
      </c>
      <c r="BY5" t="n">
        <v>-0.108</v>
      </c>
      <c r="BZ5" t="n">
        <v>-0.18</v>
      </c>
      <c r="CA5" t="n">
        <v>100</v>
      </c>
      <c r="CB5" t="n">
        <v>16</v>
      </c>
      <c r="CC5" t="n">
        <v>0.26</v>
      </c>
      <c r="CD5" t="n">
        <v>0.04</v>
      </c>
      <c r="CE5" t="n">
        <v>1.75466891122029</v>
      </c>
      <c r="CF5" t="n">
        <v>-0.123221298286036</v>
      </c>
      <c r="CG5" t="n">
        <v>0.08343084485897791</v>
      </c>
      <c r="CH5" t="n">
        <v>1</v>
      </c>
      <c r="CI5" t="n">
        <v>-0.8530527142857141</v>
      </c>
      <c r="CJ5" t="n">
        <v>0.0407386753246736</v>
      </c>
      <c r="CK5" t="n">
        <v>0.0329722327943101</v>
      </c>
      <c r="CL5" t="n">
        <v>1</v>
      </c>
      <c r="CM5" t="n">
        <v>244.3015</v>
      </c>
      <c r="CN5" t="n">
        <v>-0.54388082135898</v>
      </c>
      <c r="CO5" t="n">
        <v>0.200730907084146</v>
      </c>
      <c r="CP5" t="n">
        <v>1</v>
      </c>
      <c r="CQ5" t="n">
        <v>3</v>
      </c>
      <c r="CR5" t="n">
        <v>3</v>
      </c>
      <c r="CS5" t="n">
        <v>3.12338</v>
      </c>
      <c r="CT5" t="n">
        <v>2.76536</v>
      </c>
      <c r="CU5" t="n">
        <v>0.0264557</v>
      </c>
      <c r="CV5" t="n">
        <v>0.0273473</v>
      </c>
      <c r="CW5" t="n">
        <v>0.09234439999999999</v>
      </c>
      <c r="CX5" t="n">
        <v>0.0893828</v>
      </c>
      <c r="CY5" t="n">
        <v>18967.9</v>
      </c>
      <c r="CZ5" t="n">
        <v>28576.3</v>
      </c>
      <c r="DA5" t="n">
        <v>22765</v>
      </c>
      <c r="DB5" t="n">
        <v>30103.7</v>
      </c>
      <c r="DC5" t="n">
        <v>33885.7</v>
      </c>
      <c r="DD5" t="n">
        <v>34139.8</v>
      </c>
      <c r="DE5" t="n">
        <v>43068.6</v>
      </c>
      <c r="DF5" t="n">
        <v>42867</v>
      </c>
      <c r="DG5" t="n">
        <v>1.96952</v>
      </c>
      <c r="DH5" t="n">
        <v>1.8364</v>
      </c>
      <c r="DI5" t="n">
        <v>0.0925362</v>
      </c>
      <c r="DJ5" t="n">
        <v>23.457</v>
      </c>
      <c r="DK5" t="n">
        <v>999.9</v>
      </c>
      <c r="DL5" t="n">
        <v>53.327</v>
      </c>
      <c r="DM5" t="n">
        <v>29.386</v>
      </c>
      <c r="DN5" t="n">
        <v>21.6143</v>
      </c>
      <c r="DO5" t="n">
        <v>63.2618</v>
      </c>
      <c r="DP5" t="n">
        <v>34.2909</v>
      </c>
      <c r="DQ5" t="n">
        <v>1</v>
      </c>
      <c r="DR5" t="n">
        <v>0.054187</v>
      </c>
      <c r="DS5" t="n">
        <v>1.95438</v>
      </c>
      <c r="DT5" t="n">
        <v>20.1548</v>
      </c>
      <c r="DU5" t="n">
        <v>5.23451</v>
      </c>
      <c r="DV5" t="n">
        <v>11.962</v>
      </c>
      <c r="DW5" t="n">
        <v>4.96785</v>
      </c>
      <c r="DX5" t="n">
        <v>3.295</v>
      </c>
      <c r="DY5" t="n">
        <v>999.9</v>
      </c>
      <c r="DZ5" t="n">
        <v>9999</v>
      </c>
      <c r="EA5" t="n">
        <v>9999</v>
      </c>
      <c r="EB5" t="n">
        <v>9999</v>
      </c>
      <c r="EC5" t="n">
        <v>4.96974</v>
      </c>
      <c r="ED5" t="n">
        <v>1.86356</v>
      </c>
      <c r="EE5" t="n">
        <v>1.86508</v>
      </c>
      <c r="EF5" t="n">
        <v>1.86707</v>
      </c>
      <c r="EG5" t="n">
        <v>1.86409</v>
      </c>
      <c r="EH5" t="n">
        <v>1.86776</v>
      </c>
      <c r="EI5" t="n">
        <v>1.86458</v>
      </c>
      <c r="EJ5" t="n">
        <v>1.86646</v>
      </c>
      <c r="EK5" t="n">
        <v>100</v>
      </c>
      <c r="EL5" t="n">
        <v>100</v>
      </c>
      <c r="EM5" t="n">
        <v>-0.108</v>
      </c>
      <c r="EN5" t="n">
        <v>-0.1281</v>
      </c>
      <c r="EO5" t="n">
        <v>-0.132125322872883</v>
      </c>
      <c r="EP5" t="n">
        <v>0.000216929631606078</v>
      </c>
      <c r="EQ5" t="n">
        <v>2.72263024731635e-07</v>
      </c>
      <c r="ER5" t="n">
        <v>-5.43792051235154e-11</v>
      </c>
      <c r="ES5" t="n">
        <v>-0.0283273261000433</v>
      </c>
      <c r="ET5" t="n">
        <v>-0.0584433849545669</v>
      </c>
      <c r="EU5" t="n">
        <v>0.00341568706061026</v>
      </c>
      <c r="EV5" t="n">
        <v>-2.10952612506686e-05</v>
      </c>
      <c r="EW5" t="n">
        <v>1734</v>
      </c>
      <c r="EX5" t="n">
        <v>2</v>
      </c>
      <c r="EY5" t="n">
        <v>19</v>
      </c>
      <c r="EZ5" t="n">
        <v>0.9</v>
      </c>
      <c r="FA5" t="n">
        <v>1</v>
      </c>
      <c r="FB5" t="n">
        <v>0.423584</v>
      </c>
      <c r="FC5" t="n">
        <v>2.55737</v>
      </c>
      <c r="FD5" t="n">
        <v>1.34644</v>
      </c>
      <c r="FE5" t="n">
        <v>2.26318</v>
      </c>
      <c r="FF5" t="n">
        <v>1.55029</v>
      </c>
      <c r="FG5" t="n">
        <v>2.72705</v>
      </c>
      <c r="FH5" t="n">
        <v>36.1989</v>
      </c>
      <c r="FI5" t="n">
        <v>23.8423</v>
      </c>
      <c r="FJ5" t="n">
        <v>18</v>
      </c>
      <c r="FK5" t="n">
        <v>497.349</v>
      </c>
      <c r="FL5" t="n">
        <v>490.416</v>
      </c>
      <c r="FM5" t="n">
        <v>21.5524</v>
      </c>
      <c r="FN5" t="n">
        <v>27.8823</v>
      </c>
      <c r="FO5" t="n">
        <v>29.9996</v>
      </c>
      <c r="FP5" t="n">
        <v>27.8828</v>
      </c>
      <c r="FQ5" t="n">
        <v>27.8961</v>
      </c>
      <c r="FR5" t="n">
        <v>8.49433</v>
      </c>
      <c r="FS5" t="n">
        <v>39.216</v>
      </c>
      <c r="FT5" t="n">
        <v>60.2954</v>
      </c>
      <c r="FU5" t="n">
        <v>21.5468</v>
      </c>
      <c r="FV5" t="n">
        <v>100</v>
      </c>
      <c r="FW5" t="n">
        <v>15.6285</v>
      </c>
      <c r="FX5" t="n">
        <v>101.699</v>
      </c>
      <c r="FY5" t="n">
        <v>97.34910000000001</v>
      </c>
    </row>
    <row r="6">
      <c r="A6" t="n">
        <v>5</v>
      </c>
      <c r="B6" t="n">
        <v>1792373936.1</v>
      </c>
      <c r="C6" t="n">
        <v>484.099999904633</v>
      </c>
      <c r="D6" t="n">
        <v>5</v>
      </c>
      <c r="E6" t="n">
        <v>1792373927.6</v>
      </c>
      <c r="F6" t="n">
        <v>0.004478161279371613</v>
      </c>
      <c r="G6" t="n">
        <v>4.478161279371613</v>
      </c>
      <c r="H6" t="n">
        <v>-0.4584572140350139</v>
      </c>
      <c r="I6" t="n">
        <v>50.0998125</v>
      </c>
      <c r="J6" t="n">
        <v>51.28593108546115</v>
      </c>
      <c r="K6" t="n">
        <v>0.005208440601928982</v>
      </c>
      <c r="L6" t="n">
        <v>0.005087982065475313</v>
      </c>
      <c r="M6" t="n">
        <v>0.3282027612613834</v>
      </c>
      <c r="N6" t="n">
        <v>3.035146361589347</v>
      </c>
      <c r="O6" t="n">
        <v>0.3096839657806328</v>
      </c>
      <c r="P6" t="n">
        <v>0.1951291896692392</v>
      </c>
      <c r="Q6" t="n">
        <v>3.177977785806418</v>
      </c>
      <c r="R6" t="n">
        <v>55.1876462489817</v>
      </c>
      <c r="S6" t="n">
        <v>1.745016176207276</v>
      </c>
      <c r="T6" t="n">
        <v>3.161968836892503</v>
      </c>
      <c r="U6" t="n">
        <v>0.5</v>
      </c>
      <c r="V6" t="n">
        <v>1499.986875</v>
      </c>
      <c r="W6" t="n">
        <v>2</v>
      </c>
      <c r="X6" t="n">
        <v>0.5</v>
      </c>
      <c r="Y6" t="n">
        <v>2</v>
      </c>
      <c r="Z6" t="n">
        <v>1792373927.6</v>
      </c>
      <c r="AA6" t="n">
        <v>50.0998125</v>
      </c>
      <c r="AB6" t="n">
        <v>50.0061875</v>
      </c>
      <c r="AC6" t="n">
        <v>17.18264375</v>
      </c>
      <c r="AD6" t="n">
        <v>15.42245625</v>
      </c>
      <c r="AE6" t="n">
        <v>50.241025</v>
      </c>
      <c r="AF6" t="n">
        <v>17.30979375</v>
      </c>
      <c r="AG6" t="n">
        <v>500.08475</v>
      </c>
      <c r="AH6" t="n">
        <v>101.456875</v>
      </c>
      <c r="AI6" t="n">
        <v>0.10003333125</v>
      </c>
      <c r="AJ6" t="n">
        <v>24.90635625</v>
      </c>
      <c r="AK6" t="n">
        <v>24.99103125</v>
      </c>
      <c r="AL6" t="n">
        <v>999.9</v>
      </c>
      <c r="AM6" t="n">
        <v>10000.4625</v>
      </c>
      <c r="AN6" t="n">
        <v>6.446275</v>
      </c>
      <c r="AO6" t="n">
        <v>0.09363956875</v>
      </c>
      <c r="AP6" t="n">
        <v>50.97571875</v>
      </c>
      <c r="AQ6" t="n">
        <v>50.7894875</v>
      </c>
      <c r="AR6" t="n">
        <v>1.760179375</v>
      </c>
      <c r="AS6" t="n">
        <v>50.0061875</v>
      </c>
      <c r="AT6" t="n">
        <v>15.42245625</v>
      </c>
      <c r="AU6" t="n">
        <v>1.74329625</v>
      </c>
      <c r="AV6" t="n">
        <v>1.564715625</v>
      </c>
      <c r="AW6" t="n">
        <v>15.28743125</v>
      </c>
      <c r="AX6" t="n">
        <v>13.615625</v>
      </c>
      <c r="AY6" t="n">
        <v>1499.986875</v>
      </c>
      <c r="AZ6" t="n">
        <v>0.97299625</v>
      </c>
      <c r="BA6" t="n">
        <v>0.02700335625</v>
      </c>
      <c r="BB6" t="n">
        <v>244.8675</v>
      </c>
      <c r="BC6" t="n">
        <v>5.00064</v>
      </c>
      <c r="BD6" t="n">
        <v>3925.243125</v>
      </c>
      <c r="BE6" t="n">
        <v>15439.06875</v>
      </c>
      <c r="BF6" t="n">
        <v>40.25</v>
      </c>
      <c r="BG6" t="n">
        <v>40.937</v>
      </c>
      <c r="BH6" t="n">
        <v>40.617125</v>
      </c>
      <c r="BI6" t="n">
        <v>40.562</v>
      </c>
      <c r="BJ6" t="n">
        <v>41.78875</v>
      </c>
      <c r="BK6" t="n">
        <v>1454.616875</v>
      </c>
      <c r="BL6" t="n">
        <v>40.37</v>
      </c>
      <c r="BM6" t="n">
        <v>1792373936.4</v>
      </c>
      <c r="BN6" t="n">
        <v>244.873230769231</v>
      </c>
      <c r="BO6" t="n">
        <v>0.919042727324266</v>
      </c>
      <c r="BP6" t="n">
        <v>6.19282050909482</v>
      </c>
      <c r="BQ6" t="n">
        <v>3925.23307692308</v>
      </c>
      <c r="BR6" t="n">
        <v>15</v>
      </c>
      <c r="BS6" t="n">
        <v>1792373884.1</v>
      </c>
      <c r="BT6" t="n">
        <v>1792373884.1</v>
      </c>
      <c r="BU6" t="n">
        <v>1792373879.1</v>
      </c>
      <c r="BV6" t="n">
        <v>6</v>
      </c>
      <c r="BW6" t="n">
        <v>-0.021</v>
      </c>
      <c r="BX6" t="n">
        <v>-0.001</v>
      </c>
      <c r="BY6" t="n">
        <v>-0.141</v>
      </c>
      <c r="BZ6" t="n">
        <v>-0.186</v>
      </c>
      <c r="CA6" t="n">
        <v>50</v>
      </c>
      <c r="CB6" t="n">
        <v>16</v>
      </c>
      <c r="CC6" t="n">
        <v>0.3</v>
      </c>
      <c r="CD6" t="n">
        <v>0.04</v>
      </c>
      <c r="CE6" t="n">
        <v>-0.482281877429223</v>
      </c>
      <c r="CF6" t="n">
        <v>0.456495971376141</v>
      </c>
      <c r="CG6" t="n">
        <v>0.070407383613438</v>
      </c>
      <c r="CH6" t="n">
        <v>1</v>
      </c>
      <c r="CI6" t="n">
        <v>0.100292205</v>
      </c>
      <c r="CJ6" t="n">
        <v>-0.106956933834587</v>
      </c>
      <c r="CK6" t="n">
        <v>0.0257368852096068</v>
      </c>
      <c r="CL6" t="n">
        <v>1</v>
      </c>
      <c r="CM6" t="n">
        <v>244.876176470588</v>
      </c>
      <c r="CN6" t="n">
        <v>-0.0862948857270136</v>
      </c>
      <c r="CO6" t="n">
        <v>0.196502427853321</v>
      </c>
      <c r="CP6" t="n">
        <v>1</v>
      </c>
      <c r="CQ6" t="n">
        <v>3</v>
      </c>
      <c r="CR6" t="n">
        <v>3</v>
      </c>
      <c r="CS6" t="n">
        <v>3.12326</v>
      </c>
      <c r="CT6" t="n">
        <v>2.76528</v>
      </c>
      <c r="CU6" t="n">
        <v>0.0137439</v>
      </c>
      <c r="CV6" t="n">
        <v>0.0140615</v>
      </c>
      <c r="CW6" t="n">
        <v>0.0924833</v>
      </c>
      <c r="CX6" t="n">
        <v>0.0884532</v>
      </c>
      <c r="CY6" t="n">
        <v>19216.7</v>
      </c>
      <c r="CZ6" t="n">
        <v>28969.1</v>
      </c>
      <c r="DA6" t="n">
        <v>22766.2</v>
      </c>
      <c r="DB6" t="n">
        <v>30106.1</v>
      </c>
      <c r="DC6" t="n">
        <v>33881.3</v>
      </c>
      <c r="DD6" t="n">
        <v>34177</v>
      </c>
      <c r="DE6" t="n">
        <v>43070.8</v>
      </c>
      <c r="DF6" t="n">
        <v>42870.9</v>
      </c>
      <c r="DG6" t="n">
        <v>1.96955</v>
      </c>
      <c r="DH6" t="n">
        <v>1.83493</v>
      </c>
      <c r="DI6" t="n">
        <v>0.0915676</v>
      </c>
      <c r="DJ6" t="n">
        <v>23.487</v>
      </c>
      <c r="DK6" t="n">
        <v>999.9</v>
      </c>
      <c r="DL6" t="n">
        <v>52.698</v>
      </c>
      <c r="DM6" t="n">
        <v>29.537</v>
      </c>
      <c r="DN6" t="n">
        <v>21.5466</v>
      </c>
      <c r="DO6" t="n">
        <v>63.3119</v>
      </c>
      <c r="DP6" t="n">
        <v>34.2147</v>
      </c>
      <c r="DQ6" t="n">
        <v>1</v>
      </c>
      <c r="DR6" t="n">
        <v>0.0526753</v>
      </c>
      <c r="DS6" t="n">
        <v>1.95136</v>
      </c>
      <c r="DT6" t="n">
        <v>20.1546</v>
      </c>
      <c r="DU6" t="n">
        <v>5.23466</v>
      </c>
      <c r="DV6" t="n">
        <v>11.962</v>
      </c>
      <c r="DW6" t="n">
        <v>4.9683</v>
      </c>
      <c r="DX6" t="n">
        <v>3.295</v>
      </c>
      <c r="DY6" t="n">
        <v>999.9</v>
      </c>
      <c r="DZ6" t="n">
        <v>9999</v>
      </c>
      <c r="EA6" t="n">
        <v>9999</v>
      </c>
      <c r="EB6" t="n">
        <v>9999</v>
      </c>
      <c r="EC6" t="n">
        <v>4.96974</v>
      </c>
      <c r="ED6" t="n">
        <v>1.86356</v>
      </c>
      <c r="EE6" t="n">
        <v>1.86508</v>
      </c>
      <c r="EF6" t="n">
        <v>1.86707</v>
      </c>
      <c r="EG6" t="n">
        <v>1.86412</v>
      </c>
      <c r="EH6" t="n">
        <v>1.86773</v>
      </c>
      <c r="EI6" t="n">
        <v>1.86459</v>
      </c>
      <c r="EJ6" t="n">
        <v>1.86646</v>
      </c>
      <c r="EK6" t="n">
        <v>100</v>
      </c>
      <c r="EL6" t="n">
        <v>100</v>
      </c>
      <c r="EM6" t="n">
        <v>-0.141</v>
      </c>
      <c r="EN6" t="n">
        <v>-0.1279</v>
      </c>
      <c r="EO6" t="n">
        <v>-0.152786098589258</v>
      </c>
      <c r="EP6" t="n">
        <v>0.000216929631606078</v>
      </c>
      <c r="EQ6" t="n">
        <v>2.72263024731635e-07</v>
      </c>
      <c r="ER6" t="n">
        <v>-5.43792051235154e-11</v>
      </c>
      <c r="ES6" t="n">
        <v>-0.029527678193369</v>
      </c>
      <c r="ET6" t="n">
        <v>-0.0584433849545669</v>
      </c>
      <c r="EU6" t="n">
        <v>0.00341568706061026</v>
      </c>
      <c r="EV6" t="n">
        <v>-2.10952612506686e-05</v>
      </c>
      <c r="EW6" t="n">
        <v>1734</v>
      </c>
      <c r="EX6" t="n">
        <v>2</v>
      </c>
      <c r="EY6" t="n">
        <v>19</v>
      </c>
      <c r="EZ6" t="n">
        <v>0.9</v>
      </c>
      <c r="FA6" t="n">
        <v>0.9</v>
      </c>
      <c r="FB6" t="n">
        <v>0.3125</v>
      </c>
      <c r="FC6" t="n">
        <v>2.5647</v>
      </c>
      <c r="FD6" t="n">
        <v>1.34644</v>
      </c>
      <c r="FE6" t="n">
        <v>2.26196</v>
      </c>
      <c r="FF6" t="n">
        <v>1.55029</v>
      </c>
      <c r="FG6" t="n">
        <v>2.69775</v>
      </c>
      <c r="FH6" t="n">
        <v>36.34</v>
      </c>
      <c r="FI6" t="n">
        <v>23.8423</v>
      </c>
      <c r="FJ6" t="n">
        <v>18</v>
      </c>
      <c r="FK6" t="n">
        <v>497.242</v>
      </c>
      <c r="FL6" t="n">
        <v>489.255</v>
      </c>
      <c r="FM6" t="n">
        <v>21.6441</v>
      </c>
      <c r="FN6" t="n">
        <v>27.8681</v>
      </c>
      <c r="FO6" t="n">
        <v>30.0001</v>
      </c>
      <c r="FP6" t="n">
        <v>27.8686</v>
      </c>
      <c r="FQ6" t="n">
        <v>27.8833</v>
      </c>
      <c r="FR6" t="n">
        <v>6.28802</v>
      </c>
      <c r="FS6" t="n">
        <v>39.7376</v>
      </c>
      <c r="FT6" t="n">
        <v>58.0274</v>
      </c>
      <c r="FU6" t="n">
        <v>21.6448</v>
      </c>
      <c r="FV6" t="n">
        <v>50</v>
      </c>
      <c r="FW6" t="n">
        <v>15.4101</v>
      </c>
      <c r="FX6" t="n">
        <v>101.705</v>
      </c>
      <c r="FY6" t="n">
        <v>97.3575</v>
      </c>
    </row>
    <row r="7">
      <c r="A7" t="n">
        <v>8</v>
      </c>
      <c r="B7" t="n">
        <v>1792374378.1</v>
      </c>
      <c r="C7" t="n">
        <v>926.099999904633</v>
      </c>
      <c r="D7" t="n">
        <v>5</v>
      </c>
      <c r="E7" t="n">
        <v>1792374369.6</v>
      </c>
      <c r="F7" t="n">
        <v>0.006165209242494506</v>
      </c>
      <c r="G7" t="n">
        <v>6.165209242494506</v>
      </c>
      <c r="H7" t="n">
        <v>20.12489547126787</v>
      </c>
      <c r="I7" t="n">
        <v>690.241125</v>
      </c>
      <c r="J7" t="n">
        <v>602.2805139196636</v>
      </c>
      <c r="K7" t="n">
        <v>0.06116617383450142</v>
      </c>
      <c r="L7" t="n">
        <v>0.07009924389667926</v>
      </c>
      <c r="M7" t="n">
        <v>0.4707062448307582</v>
      </c>
      <c r="N7" t="n">
        <v>3.036311265595172</v>
      </c>
      <c r="O7" t="n">
        <v>0.433602758579781</v>
      </c>
      <c r="P7" t="n">
        <v>0.2740911909586918</v>
      </c>
      <c r="Q7" t="n">
        <v>3.178112793471956</v>
      </c>
      <c r="R7" t="n">
        <v>54.93371033906194</v>
      </c>
      <c r="S7" t="n">
        <v>1.769281583597438</v>
      </c>
      <c r="T7" t="n">
        <v>3.220757477834786</v>
      </c>
      <c r="U7" t="n">
        <v>0.5</v>
      </c>
      <c r="V7" t="n">
        <v>1500</v>
      </c>
      <c r="W7" t="n">
        <v>2</v>
      </c>
      <c r="X7" t="n">
        <v>0.5</v>
      </c>
      <c r="Y7" t="n">
        <v>2</v>
      </c>
      <c r="Z7" t="n">
        <v>1792374369.6</v>
      </c>
      <c r="AA7" t="n">
        <v>690.241125</v>
      </c>
      <c r="AB7" t="n">
        <v>699.9925625</v>
      </c>
      <c r="AC7" t="n">
        <v>17.42145625</v>
      </c>
      <c r="AD7" t="n">
        <v>14.9985125</v>
      </c>
      <c r="AE7" t="n">
        <v>689.5828125</v>
      </c>
      <c r="AF7" t="n">
        <v>17.52178125</v>
      </c>
      <c r="AG7" t="n">
        <v>500.0365625</v>
      </c>
      <c r="AH7" t="n">
        <v>101.457625</v>
      </c>
      <c r="AI7" t="n">
        <v>0.099992125</v>
      </c>
      <c r="AJ7" t="n">
        <v>25.2154875</v>
      </c>
      <c r="AK7" t="n">
        <v>24.99174375</v>
      </c>
      <c r="AL7" t="n">
        <v>999.9</v>
      </c>
      <c r="AM7" t="n">
        <v>10007.43125</v>
      </c>
      <c r="AN7" t="n">
        <v>6.54721</v>
      </c>
      <c r="AO7" t="n">
        <v>-9.75137625</v>
      </c>
      <c r="AP7" t="n">
        <v>702.4794375</v>
      </c>
      <c r="AQ7" t="n">
        <v>710.6511875</v>
      </c>
      <c r="AR7" t="n">
        <v>2.422954375</v>
      </c>
      <c r="AS7" t="n">
        <v>699.9925625</v>
      </c>
      <c r="AT7" t="n">
        <v>14.9985125</v>
      </c>
      <c r="AU7" t="n">
        <v>1.767540625</v>
      </c>
      <c r="AV7" t="n">
        <v>1.521713125</v>
      </c>
      <c r="AW7" t="n">
        <v>15.50265625</v>
      </c>
      <c r="AX7" t="n">
        <v>13.18810625</v>
      </c>
      <c r="AY7" t="n">
        <v>1500</v>
      </c>
      <c r="AZ7" t="n">
        <v>0.9729955</v>
      </c>
      <c r="BA7" t="n">
        <v>0.0270041125</v>
      </c>
      <c r="BB7" t="n">
        <v>262.1169375</v>
      </c>
      <c r="BC7" t="n">
        <v>5.00064</v>
      </c>
      <c r="BD7" t="n">
        <v>4205.2275</v>
      </c>
      <c r="BE7" t="n">
        <v>15439.2</v>
      </c>
      <c r="BF7" t="n">
        <v>40.437</v>
      </c>
      <c r="BG7" t="n">
        <v>41.125</v>
      </c>
      <c r="BH7" t="n">
        <v>40.80425</v>
      </c>
      <c r="BI7" t="n">
        <v>40.75</v>
      </c>
      <c r="BJ7" t="n">
        <v>42</v>
      </c>
      <c r="BK7" t="n">
        <v>1454.63</v>
      </c>
      <c r="BL7" t="n">
        <v>40.37</v>
      </c>
      <c r="BM7" t="n">
        <v>1792374378</v>
      </c>
      <c r="BN7" t="n">
        <v>262.097423076923</v>
      </c>
      <c r="BO7" t="n">
        <v>0.62875214389728</v>
      </c>
      <c r="BP7" t="n">
        <v>5.154871770939</v>
      </c>
      <c r="BQ7" t="n">
        <v>4205.20307692308</v>
      </c>
      <c r="BR7" t="n">
        <v>15</v>
      </c>
      <c r="BS7" t="n">
        <v>1792374308.1</v>
      </c>
      <c r="BT7" t="n">
        <v>1792374308.1</v>
      </c>
      <c r="BU7" t="n">
        <v>1792374302.1</v>
      </c>
      <c r="BV7" t="n">
        <v>9</v>
      </c>
      <c r="BW7" t="n">
        <v>-0.068</v>
      </c>
      <c r="BX7" t="n">
        <v>0.007</v>
      </c>
      <c r="BY7" t="n">
        <v>0.664</v>
      </c>
      <c r="BZ7" t="n">
        <v>-0.184</v>
      </c>
      <c r="CA7" t="n">
        <v>700</v>
      </c>
      <c r="CB7" t="n">
        <v>15</v>
      </c>
      <c r="CC7" t="n">
        <v>0.14</v>
      </c>
      <c r="CD7" t="n">
        <v>0.02</v>
      </c>
      <c r="CE7" t="n">
        <v>20.1370372050223</v>
      </c>
      <c r="CF7" t="n">
        <v>0.442498551439636</v>
      </c>
      <c r="CG7" t="n">
        <v>0.177545221340488</v>
      </c>
      <c r="CH7" t="n">
        <v>1</v>
      </c>
      <c r="CI7" t="n">
        <v>-9.767799500000001</v>
      </c>
      <c r="CJ7" t="n">
        <v>0.101403157894738</v>
      </c>
      <c r="CK7" t="n">
        <v>0.0640737783711091</v>
      </c>
      <c r="CL7" t="n">
        <v>1</v>
      </c>
      <c r="CM7" t="n">
        <v>262.145941176471</v>
      </c>
      <c r="CN7" t="n">
        <v>-0.592605039173424</v>
      </c>
      <c r="CO7" t="n">
        <v>0.173355625840012</v>
      </c>
      <c r="CP7" t="n">
        <v>1</v>
      </c>
      <c r="CQ7" t="n">
        <v>3</v>
      </c>
      <c r="CR7" t="n">
        <v>3</v>
      </c>
      <c r="CS7" t="n">
        <v>3.12356</v>
      </c>
      <c r="CT7" t="n">
        <v>2.76537</v>
      </c>
      <c r="CU7" t="n">
        <v>0.130468</v>
      </c>
      <c r="CV7" t="n">
        <v>0.135096</v>
      </c>
      <c r="CW7" t="n">
        <v>0.09336220000000001</v>
      </c>
      <c r="CX7" t="n">
        <v>0.0866956</v>
      </c>
      <c r="CY7" t="n">
        <v>16943.7</v>
      </c>
      <c r="CZ7" t="n">
        <v>25418.2</v>
      </c>
      <c r="DA7" t="n">
        <v>22768.5</v>
      </c>
      <c r="DB7" t="n">
        <v>30113.3</v>
      </c>
      <c r="DC7" t="n">
        <v>33858.4</v>
      </c>
      <c r="DD7" t="n">
        <v>34261</v>
      </c>
      <c r="DE7" t="n">
        <v>43075.8</v>
      </c>
      <c r="DF7" t="n">
        <v>42882.6</v>
      </c>
      <c r="DG7" t="n">
        <v>1.97138</v>
      </c>
      <c r="DH7" t="n">
        <v>1.83165</v>
      </c>
      <c r="DI7" t="n">
        <v>0.07741149999999999</v>
      </c>
      <c r="DJ7" t="n">
        <v>23.7275</v>
      </c>
      <c r="DK7" t="n">
        <v>999.9</v>
      </c>
      <c r="DL7" t="n">
        <v>50.33</v>
      </c>
      <c r="DM7" t="n">
        <v>30.071</v>
      </c>
      <c r="DN7" t="n">
        <v>21.2203</v>
      </c>
      <c r="DO7" t="n">
        <v>63.2119</v>
      </c>
      <c r="DP7" t="n">
        <v>34.1386</v>
      </c>
      <c r="DQ7" t="n">
        <v>1</v>
      </c>
      <c r="DR7" t="n">
        <v>0.0471037</v>
      </c>
      <c r="DS7" t="n">
        <v>1.761</v>
      </c>
      <c r="DT7" t="n">
        <v>20.1555</v>
      </c>
      <c r="DU7" t="n">
        <v>5.23421</v>
      </c>
      <c r="DV7" t="n">
        <v>11.962</v>
      </c>
      <c r="DW7" t="n">
        <v>4.96925</v>
      </c>
      <c r="DX7" t="n">
        <v>3.295</v>
      </c>
      <c r="DY7" t="n">
        <v>999.9</v>
      </c>
      <c r="DZ7" t="n">
        <v>9999</v>
      </c>
      <c r="EA7" t="n">
        <v>9999</v>
      </c>
      <c r="EB7" t="n">
        <v>9999</v>
      </c>
      <c r="EC7" t="n">
        <v>4.96975</v>
      </c>
      <c r="ED7" t="n">
        <v>1.86361</v>
      </c>
      <c r="EE7" t="n">
        <v>1.86515</v>
      </c>
      <c r="EF7" t="n">
        <v>1.86709</v>
      </c>
      <c r="EG7" t="n">
        <v>1.86417</v>
      </c>
      <c r="EH7" t="n">
        <v>1.86781</v>
      </c>
      <c r="EI7" t="n">
        <v>1.86462</v>
      </c>
      <c r="EJ7" t="n">
        <v>1.86648</v>
      </c>
      <c r="EK7" t="n">
        <v>100</v>
      </c>
      <c r="EL7" t="n">
        <v>100</v>
      </c>
      <c r="EM7" t="n">
        <v>0.658</v>
      </c>
      <c r="EN7" t="n">
        <v>-0.1006</v>
      </c>
      <c r="EO7" t="n">
        <v>0.39722029949524</v>
      </c>
      <c r="EP7" t="n">
        <v>0.000216929631606078</v>
      </c>
      <c r="EQ7" t="n">
        <v>2.72263024731635e-07</v>
      </c>
      <c r="ER7" t="n">
        <v>-5.43792051235154e-11</v>
      </c>
      <c r="ES7" t="n">
        <v>-0.0114612558115872</v>
      </c>
      <c r="ET7" t="n">
        <v>-0.0584433849545669</v>
      </c>
      <c r="EU7" t="n">
        <v>0.00341568706061026</v>
      </c>
      <c r="EV7" t="n">
        <v>-2.10952612506686e-05</v>
      </c>
      <c r="EW7" t="n">
        <v>1734</v>
      </c>
      <c r="EX7" t="n">
        <v>2</v>
      </c>
      <c r="EY7" t="n">
        <v>19</v>
      </c>
      <c r="EZ7" t="n">
        <v>1.2</v>
      </c>
      <c r="FA7" t="n">
        <v>1.3</v>
      </c>
      <c r="FB7" t="n">
        <v>1.63086</v>
      </c>
      <c r="FC7" t="n">
        <v>2.55371</v>
      </c>
      <c r="FD7" t="n">
        <v>1.34644</v>
      </c>
      <c r="FE7" t="n">
        <v>2.26074</v>
      </c>
      <c r="FF7" t="n">
        <v>1.55029</v>
      </c>
      <c r="FG7" t="n">
        <v>2.69531</v>
      </c>
      <c r="FH7" t="n">
        <v>36.8366</v>
      </c>
      <c r="FI7" t="n">
        <v>23.8423</v>
      </c>
      <c r="FJ7" t="n">
        <v>18</v>
      </c>
      <c r="FK7" t="n">
        <v>497.965</v>
      </c>
      <c r="FL7" t="n">
        <v>486.512</v>
      </c>
      <c r="FM7" t="n">
        <v>22.0912</v>
      </c>
      <c r="FN7" t="n">
        <v>27.8207</v>
      </c>
      <c r="FO7" t="n">
        <v>30</v>
      </c>
      <c r="FP7" t="n">
        <v>27.8214</v>
      </c>
      <c r="FQ7" t="n">
        <v>27.8362</v>
      </c>
      <c r="FR7" t="n">
        <v>32.6385</v>
      </c>
      <c r="FS7" t="n">
        <v>39.6286</v>
      </c>
      <c r="FT7" t="n">
        <v>49.7237</v>
      </c>
      <c r="FU7" t="n">
        <v>22.0879</v>
      </c>
      <c r="FV7" t="n">
        <v>700</v>
      </c>
      <c r="FW7" t="n">
        <v>15.0304</v>
      </c>
      <c r="FX7" t="n">
        <v>101.716</v>
      </c>
      <c r="FY7" t="n">
        <v>97.3826</v>
      </c>
    </row>
    <row r="8">
      <c r="A8" t="n">
        <v>9</v>
      </c>
      <c r="B8" t="n">
        <v>1792374499.1</v>
      </c>
      <c r="C8" t="n">
        <v>1047.09999990463</v>
      </c>
      <c r="D8" t="n">
        <v>5</v>
      </c>
      <c r="E8" t="n">
        <v>1792374490.6</v>
      </c>
      <c r="F8" t="n">
        <v>0.006283496489053337</v>
      </c>
      <c r="G8" t="n">
        <v>6.283496489053337</v>
      </c>
      <c r="H8" t="n">
        <v>20.4363196969813</v>
      </c>
      <c r="I8" t="n">
        <v>989.360125</v>
      </c>
      <c r="J8" t="n">
        <v>895.4789481681792</v>
      </c>
      <c r="K8" t="n">
        <v>0.09093682183143727</v>
      </c>
      <c r="L8" t="n">
        <v>0.1004705533260135</v>
      </c>
      <c r="M8" t="n">
        <v>0.4830249682297506</v>
      </c>
      <c r="N8" t="n">
        <v>3.035411919141652</v>
      </c>
      <c r="O8" t="n">
        <v>0.4440295850678526</v>
      </c>
      <c r="P8" t="n">
        <v>0.280759257987792</v>
      </c>
      <c r="Q8" t="n">
        <v>3.177717258866023</v>
      </c>
      <c r="R8" t="n">
        <v>55.05842118404606</v>
      </c>
      <c r="S8" t="n">
        <v>1.775708856913458</v>
      </c>
      <c r="T8" t="n">
        <v>3.22513580797699</v>
      </c>
      <c r="U8" t="n">
        <v>0.5</v>
      </c>
      <c r="V8" t="n">
        <v>1499.97625</v>
      </c>
      <c r="W8" t="n">
        <v>2</v>
      </c>
      <c r="X8" t="n">
        <v>0.5</v>
      </c>
      <c r="Y8" t="n">
        <v>2</v>
      </c>
      <c r="Z8" t="n">
        <v>1792374490.6</v>
      </c>
      <c r="AA8" t="n">
        <v>989.360125</v>
      </c>
      <c r="AB8" t="n">
        <v>1000.0203125</v>
      </c>
      <c r="AC8" t="n">
        <v>17.485875</v>
      </c>
      <c r="AD8" t="n">
        <v>15.01665625</v>
      </c>
      <c r="AE8" t="n">
        <v>988.76975</v>
      </c>
      <c r="AF8" t="n">
        <v>17.57993125</v>
      </c>
      <c r="AG8" t="n">
        <v>500.04675</v>
      </c>
      <c r="AH8" t="n">
        <v>101.4510625</v>
      </c>
      <c r="AI8" t="n">
        <v>0.0999812375</v>
      </c>
      <c r="AJ8" t="n">
        <v>25.2383125</v>
      </c>
      <c r="AK8" t="n">
        <v>24.98965625</v>
      </c>
      <c r="AL8" t="n">
        <v>999.9</v>
      </c>
      <c r="AM8" t="n">
        <v>10002.640625</v>
      </c>
      <c r="AN8" t="n">
        <v>6.54721</v>
      </c>
      <c r="AO8" t="n">
        <v>-10.6600125</v>
      </c>
      <c r="AP8" t="n">
        <v>1006.9675</v>
      </c>
      <c r="AQ8" t="n">
        <v>1015.265</v>
      </c>
      <c r="AR8" t="n">
        <v>2.469215</v>
      </c>
      <c r="AS8" t="n">
        <v>1000.0203125</v>
      </c>
      <c r="AT8" t="n">
        <v>15.01665625</v>
      </c>
      <c r="AU8" t="n">
        <v>1.773960625</v>
      </c>
      <c r="AV8" t="n">
        <v>1.5234575</v>
      </c>
      <c r="AW8" t="n">
        <v>15.55920625</v>
      </c>
      <c r="AX8" t="n">
        <v>13.20563125</v>
      </c>
      <c r="AY8" t="n">
        <v>1499.97625</v>
      </c>
      <c r="AZ8" t="n">
        <v>0.97299475</v>
      </c>
      <c r="BA8" t="n">
        <v>0.02700485625</v>
      </c>
      <c r="BB8" t="n">
        <v>257.8544375</v>
      </c>
      <c r="BC8" t="n">
        <v>5.00064</v>
      </c>
      <c r="BD8" t="n">
        <v>4136.994375</v>
      </c>
      <c r="BE8" t="n">
        <v>15438.9625</v>
      </c>
      <c r="BF8" t="n">
        <v>40.492125</v>
      </c>
      <c r="BG8" t="n">
        <v>41.136625</v>
      </c>
      <c r="BH8" t="n">
        <v>40.812</v>
      </c>
      <c r="BI8" t="n">
        <v>40.75</v>
      </c>
      <c r="BJ8" t="n">
        <v>42</v>
      </c>
      <c r="BK8" t="n">
        <v>1454.60625</v>
      </c>
      <c r="BL8" t="n">
        <v>40.37</v>
      </c>
      <c r="BM8" t="n">
        <v>1792374499.2</v>
      </c>
      <c r="BN8" t="n">
        <v>257.789961538462</v>
      </c>
      <c r="BO8" t="n">
        <v>-0.658427335682766</v>
      </c>
      <c r="BP8" t="n">
        <v>0.242393147794267</v>
      </c>
      <c r="BQ8" t="n">
        <v>4137.22576923077</v>
      </c>
      <c r="BR8" t="n">
        <v>15</v>
      </c>
      <c r="BS8" t="n">
        <v>1792374439.1</v>
      </c>
      <c r="BT8" t="n">
        <v>1792374438.1</v>
      </c>
      <c r="BU8" t="n">
        <v>1792374439.1</v>
      </c>
      <c r="BV8" t="n">
        <v>10</v>
      </c>
      <c r="BW8" t="n">
        <v>-0.236</v>
      </c>
      <c r="BX8" t="n">
        <v>0.004</v>
      </c>
      <c r="BY8" t="n">
        <v>0.597</v>
      </c>
      <c r="BZ8" t="n">
        <v>-0.182</v>
      </c>
      <c r="CA8" t="n">
        <v>1000</v>
      </c>
      <c r="CB8" t="n">
        <v>15</v>
      </c>
      <c r="CC8" t="n">
        <v>0.15</v>
      </c>
      <c r="CD8" t="n">
        <v>0.04</v>
      </c>
      <c r="CE8" t="n">
        <v>20.3507307731834</v>
      </c>
      <c r="CF8" t="n">
        <v>0.458584556609897</v>
      </c>
      <c r="CG8" t="n">
        <v>0.217301572807274</v>
      </c>
      <c r="CH8" t="n">
        <v>1</v>
      </c>
      <c r="CI8" t="n">
        <v>-10.6291095238095</v>
      </c>
      <c r="CJ8" t="n">
        <v>-0.0965142857143096</v>
      </c>
      <c r="CK8" t="n">
        <v>0.0868392159862498</v>
      </c>
      <c r="CL8" t="n">
        <v>1</v>
      </c>
      <c r="CM8" t="n">
        <v>257.784882352941</v>
      </c>
      <c r="CN8" t="n">
        <v>-0.178670732622917</v>
      </c>
      <c r="CO8" t="n">
        <v>0.225560317315355</v>
      </c>
      <c r="CP8" t="n">
        <v>1</v>
      </c>
      <c r="CQ8" t="n">
        <v>3</v>
      </c>
      <c r="CR8" t="n">
        <v>3</v>
      </c>
      <c r="CS8" t="n">
        <v>3.12322</v>
      </c>
      <c r="CT8" t="n">
        <v>2.76525</v>
      </c>
      <c r="CU8" t="n">
        <v>0.165119</v>
      </c>
      <c r="CV8" t="n">
        <v>0.170493</v>
      </c>
      <c r="CW8" t="n">
        <v>0.0935243</v>
      </c>
      <c r="CX8" t="n">
        <v>0.086821</v>
      </c>
      <c r="CY8" t="n">
        <v>16269.1</v>
      </c>
      <c r="CZ8" t="n">
        <v>24379.6</v>
      </c>
      <c r="DA8" t="n">
        <v>22769.3</v>
      </c>
      <c r="DB8" t="n">
        <v>30115.2</v>
      </c>
      <c r="DC8" t="n">
        <v>33855.9</v>
      </c>
      <c r="DD8" t="n">
        <v>34260.9</v>
      </c>
      <c r="DE8" t="n">
        <v>43077.8</v>
      </c>
      <c r="DF8" t="n">
        <v>42885.4</v>
      </c>
      <c r="DG8" t="n">
        <v>1.97158</v>
      </c>
      <c r="DH8" t="n">
        <v>1.83162</v>
      </c>
      <c r="DI8" t="n">
        <v>0.07465479999999999</v>
      </c>
      <c r="DJ8" t="n">
        <v>23.7553</v>
      </c>
      <c r="DK8" t="n">
        <v>999.9</v>
      </c>
      <c r="DL8" t="n">
        <v>49.579</v>
      </c>
      <c r="DM8" t="n">
        <v>30.222</v>
      </c>
      <c r="DN8" t="n">
        <v>21.0855</v>
      </c>
      <c r="DO8" t="n">
        <v>63.1419</v>
      </c>
      <c r="DP8" t="n">
        <v>34.6955</v>
      </c>
      <c r="DQ8" t="n">
        <v>1</v>
      </c>
      <c r="DR8" t="n">
        <v>0.0461153</v>
      </c>
      <c r="DS8" t="n">
        <v>1.7463</v>
      </c>
      <c r="DT8" t="n">
        <v>20.1554</v>
      </c>
      <c r="DU8" t="n">
        <v>5.23496</v>
      </c>
      <c r="DV8" t="n">
        <v>11.962</v>
      </c>
      <c r="DW8" t="n">
        <v>4.96895</v>
      </c>
      <c r="DX8" t="n">
        <v>3.295</v>
      </c>
      <c r="DY8" t="n">
        <v>999.9</v>
      </c>
      <c r="DZ8" t="n">
        <v>9999</v>
      </c>
      <c r="EA8" t="n">
        <v>9999</v>
      </c>
      <c r="EB8" t="n">
        <v>9999</v>
      </c>
      <c r="EC8" t="n">
        <v>4.96972</v>
      </c>
      <c r="ED8" t="n">
        <v>1.86365</v>
      </c>
      <c r="EE8" t="n">
        <v>1.86517</v>
      </c>
      <c r="EF8" t="n">
        <v>1.86707</v>
      </c>
      <c r="EG8" t="n">
        <v>1.86417</v>
      </c>
      <c r="EH8" t="n">
        <v>1.86782</v>
      </c>
      <c r="EI8" t="n">
        <v>1.86462</v>
      </c>
      <c r="EJ8" t="n">
        <v>1.86648</v>
      </c>
      <c r="EK8" t="n">
        <v>100</v>
      </c>
      <c r="EL8" t="n">
        <v>100</v>
      </c>
      <c r="EM8" t="n">
        <v>0.591</v>
      </c>
      <c r="EN8" t="n">
        <v>-0.095</v>
      </c>
      <c r="EO8" t="n">
        <v>0.162415840223135</v>
      </c>
      <c r="EP8" t="n">
        <v>0.000216929631606078</v>
      </c>
      <c r="EQ8" t="n">
        <v>2.72263024731635e-07</v>
      </c>
      <c r="ER8" t="n">
        <v>-5.43792051235154e-11</v>
      </c>
      <c r="ES8" t="n">
        <v>-0.00763174957767981</v>
      </c>
      <c r="ET8" t="n">
        <v>-0.0584433849545669</v>
      </c>
      <c r="EU8" t="n">
        <v>0.00341568706061026</v>
      </c>
      <c r="EV8" t="n">
        <v>-2.10952612506686e-05</v>
      </c>
      <c r="EW8" t="n">
        <v>1734</v>
      </c>
      <c r="EX8" t="n">
        <v>2</v>
      </c>
      <c r="EY8" t="n">
        <v>19</v>
      </c>
      <c r="EZ8" t="n">
        <v>1</v>
      </c>
      <c r="FA8" t="n">
        <v>1</v>
      </c>
      <c r="FB8" t="n">
        <v>2.16553</v>
      </c>
      <c r="FC8" t="n">
        <v>2.55371</v>
      </c>
      <c r="FD8" t="n">
        <v>1.34644</v>
      </c>
      <c r="FE8" t="n">
        <v>2.26074</v>
      </c>
      <c r="FF8" t="n">
        <v>1.55029</v>
      </c>
      <c r="FG8" t="n">
        <v>2.6123</v>
      </c>
      <c r="FH8" t="n">
        <v>36.908</v>
      </c>
      <c r="FI8" t="n">
        <v>23.8423</v>
      </c>
      <c r="FJ8" t="n">
        <v>18</v>
      </c>
      <c r="FK8" t="n">
        <v>497.981</v>
      </c>
      <c r="FL8" t="n">
        <v>486.366</v>
      </c>
      <c r="FM8" t="n">
        <v>22.0718</v>
      </c>
      <c r="FN8" t="n">
        <v>27.8092</v>
      </c>
      <c r="FO8" t="n">
        <v>29.9999</v>
      </c>
      <c r="FP8" t="n">
        <v>27.8088</v>
      </c>
      <c r="FQ8" t="n">
        <v>27.8221</v>
      </c>
      <c r="FR8" t="n">
        <v>43.3526</v>
      </c>
      <c r="FS8" t="n">
        <v>38.9891</v>
      </c>
      <c r="FT8" t="n">
        <v>47.4551</v>
      </c>
      <c r="FU8" t="n">
        <v>22.0851</v>
      </c>
      <c r="FV8" t="n">
        <v>1000</v>
      </c>
      <c r="FW8" t="n">
        <v>15.0291</v>
      </c>
      <c r="FX8" t="n">
        <v>101.72</v>
      </c>
      <c r="FY8" t="n">
        <v>97.38890000000001</v>
      </c>
    </row>
    <row r="9">
      <c r="A9" t="n">
        <v>10</v>
      </c>
      <c r="B9" t="n">
        <v>1792374620.1</v>
      </c>
      <c r="C9" t="n">
        <v>1168.09999990463</v>
      </c>
      <c r="D9" t="n">
        <v>5</v>
      </c>
      <c r="E9" t="n">
        <v>1792374612.1</v>
      </c>
      <c r="F9" t="n">
        <v>0.006285096769894517</v>
      </c>
      <c r="G9" t="n">
        <v>6.285096769894517</v>
      </c>
      <c r="H9" t="n">
        <v>20.78196008580658</v>
      </c>
      <c r="I9" t="n">
        <v>1188.69133333333</v>
      </c>
      <c r="J9" t="n">
        <v>1089.09592934343</v>
      </c>
      <c r="K9" t="n">
        <v>0.1105935065849398</v>
      </c>
      <c r="L9" t="n">
        <v>0.1207070371475111</v>
      </c>
      <c r="M9" t="n">
        <v>0.4826266712242089</v>
      </c>
      <c r="N9" t="n">
        <v>3.034067086676606</v>
      </c>
      <c r="O9" t="n">
        <v>0.4436770307318991</v>
      </c>
      <c r="P9" t="n">
        <v>0.2805352019277739</v>
      </c>
      <c r="Q9" t="n">
        <v>3.18175839388588</v>
      </c>
      <c r="R9" t="n">
        <v>55.07530172544357</v>
      </c>
      <c r="S9" t="n">
        <v>1.778395454595841</v>
      </c>
      <c r="T9" t="n">
        <v>3.229025350530692</v>
      </c>
      <c r="U9" t="n">
        <v>0.5</v>
      </c>
      <c r="V9" t="n">
        <v>1500.016</v>
      </c>
      <c r="W9" t="n">
        <v>2</v>
      </c>
      <c r="X9" t="n">
        <v>0.5</v>
      </c>
      <c r="Y9" t="n">
        <v>2</v>
      </c>
      <c r="Z9" t="n">
        <v>1792374612.1</v>
      </c>
      <c r="AA9" t="n">
        <v>1188.69133333333</v>
      </c>
      <c r="AB9" t="n">
        <v>1199.992</v>
      </c>
      <c r="AC9" t="n">
        <v>17.5131733333333</v>
      </c>
      <c r="AD9" t="n">
        <v>15.04328</v>
      </c>
      <c r="AE9" t="n">
        <v>1187.46266666667</v>
      </c>
      <c r="AF9" t="n">
        <v>17.6066333333333</v>
      </c>
      <c r="AG9" t="n">
        <v>500.0236</v>
      </c>
      <c r="AH9" t="n">
        <v>101.446133333333</v>
      </c>
      <c r="AI9" t="n">
        <v>0.100023993333333</v>
      </c>
      <c r="AJ9" t="n">
        <v>25.2585666666667</v>
      </c>
      <c r="AK9" t="n">
        <v>25.0109733333333</v>
      </c>
      <c r="AL9" t="n">
        <v>999.9</v>
      </c>
      <c r="AM9" t="n">
        <v>9995</v>
      </c>
      <c r="AN9" t="n">
        <v>6.60177</v>
      </c>
      <c r="AO9" t="n">
        <v>-11.3020666666667</v>
      </c>
      <c r="AP9" t="n">
        <v>1209.87866666667</v>
      </c>
      <c r="AQ9" t="n">
        <v>1218.32066666667</v>
      </c>
      <c r="AR9" t="n">
        <v>2.46989866666667</v>
      </c>
      <c r="AS9" t="n">
        <v>1199.992</v>
      </c>
      <c r="AT9" t="n">
        <v>15.04328</v>
      </c>
      <c r="AU9" t="n">
        <v>1.77664466666667</v>
      </c>
      <c r="AV9" t="n">
        <v>1.52608133333333</v>
      </c>
      <c r="AW9" t="n">
        <v>15.5828066666667</v>
      </c>
      <c r="AX9" t="n">
        <v>13.23202</v>
      </c>
      <c r="AY9" t="n">
        <v>1500.016</v>
      </c>
      <c r="AZ9" t="n">
        <v>0.972995866666667</v>
      </c>
      <c r="BA9" t="n">
        <v>0.0270037466666667</v>
      </c>
      <c r="BB9" t="n">
        <v>257.730133333333</v>
      </c>
      <c r="BC9" t="n">
        <v>5.00064</v>
      </c>
      <c r="BD9" t="n">
        <v>4137.20866666667</v>
      </c>
      <c r="BE9" t="n">
        <v>15439.3866666667</v>
      </c>
      <c r="BF9" t="n">
        <v>40.4958</v>
      </c>
      <c r="BG9" t="n">
        <v>41.1498</v>
      </c>
      <c r="BH9" t="n">
        <v>40.8162</v>
      </c>
      <c r="BI9" t="n">
        <v>40.75</v>
      </c>
      <c r="BJ9" t="n">
        <v>42.0082666666667</v>
      </c>
      <c r="BK9" t="n">
        <v>1454.646</v>
      </c>
      <c r="BL9" t="n">
        <v>40.37</v>
      </c>
      <c r="BM9" t="n">
        <v>1792374620.4</v>
      </c>
      <c r="BN9" t="n">
        <v>257.780961538462</v>
      </c>
      <c r="BO9" t="n">
        <v>-0.0738119678653298</v>
      </c>
      <c r="BP9" t="n">
        <v>1.77846158361711</v>
      </c>
      <c r="BQ9" t="n">
        <v>4137.20461538462</v>
      </c>
      <c r="BR9" t="n">
        <v>15</v>
      </c>
      <c r="BS9" t="n">
        <v>1792374559.1</v>
      </c>
      <c r="BT9" t="n">
        <v>1792374559.1</v>
      </c>
      <c r="BU9" t="n">
        <v>1792374556.1</v>
      </c>
      <c r="BV9" t="n">
        <v>11</v>
      </c>
      <c r="BW9" t="n">
        <v>0.519</v>
      </c>
      <c r="BX9" t="n">
        <v>-0.001</v>
      </c>
      <c r="BY9" t="n">
        <v>1.236</v>
      </c>
      <c r="BZ9" t="n">
        <v>-0.183</v>
      </c>
      <c r="CA9" t="n">
        <v>1200</v>
      </c>
      <c r="CB9" t="n">
        <v>15</v>
      </c>
      <c r="CC9" t="n">
        <v>0.13</v>
      </c>
      <c r="CD9" t="n">
        <v>0.03</v>
      </c>
      <c r="CE9" t="n">
        <v>20.7728272311099</v>
      </c>
      <c r="CF9" t="n">
        <v>-0.159237118218069</v>
      </c>
      <c r="CG9" t="n">
        <v>0.32193077778993</v>
      </c>
      <c r="CH9" t="n">
        <v>1</v>
      </c>
      <c r="CI9" t="n">
        <v>-11.32373</v>
      </c>
      <c r="CJ9" t="n">
        <v>0.379236090225559</v>
      </c>
      <c r="CK9" t="n">
        <v>0.126118345612365</v>
      </c>
      <c r="CL9" t="n">
        <v>1</v>
      </c>
      <c r="CM9" t="n">
        <v>257.717176470588</v>
      </c>
      <c r="CN9" t="n">
        <v>0.188571428124249</v>
      </c>
      <c r="CO9" t="n">
        <v>0.172469685416147</v>
      </c>
      <c r="CP9" t="n">
        <v>1</v>
      </c>
      <c r="CQ9" t="n">
        <v>3</v>
      </c>
      <c r="CR9" t="n">
        <v>3</v>
      </c>
      <c r="CS9" t="n">
        <v>3.12347</v>
      </c>
      <c r="CT9" t="n">
        <v>2.76533</v>
      </c>
      <c r="CU9" t="n">
        <v>0.184946</v>
      </c>
      <c r="CV9" t="n">
        <v>0.190808</v>
      </c>
      <c r="CW9" t="n">
        <v>0.0936699</v>
      </c>
      <c r="CX9" t="n">
        <v>0.0868654</v>
      </c>
      <c r="CY9" t="n">
        <v>15882.8</v>
      </c>
      <c r="CZ9" t="n">
        <v>23783.8</v>
      </c>
      <c r="DA9" t="n">
        <v>22769.2</v>
      </c>
      <c r="DB9" t="n">
        <v>30116.6</v>
      </c>
      <c r="DC9" t="n">
        <v>33851.1</v>
      </c>
      <c r="DD9" t="n">
        <v>34262.6</v>
      </c>
      <c r="DE9" t="n">
        <v>43077.4</v>
      </c>
      <c r="DF9" t="n">
        <v>42887.9</v>
      </c>
      <c r="DG9" t="n">
        <v>1.97202</v>
      </c>
      <c r="DH9" t="n">
        <v>1.83125</v>
      </c>
      <c r="DI9" t="n">
        <v>0.0758283</v>
      </c>
      <c r="DJ9" t="n">
        <v>23.7749</v>
      </c>
      <c r="DK9" t="n">
        <v>999.9</v>
      </c>
      <c r="DL9" t="n">
        <v>48.865</v>
      </c>
      <c r="DM9" t="n">
        <v>30.363</v>
      </c>
      <c r="DN9" t="n">
        <v>20.9516</v>
      </c>
      <c r="DO9" t="n">
        <v>63.2519</v>
      </c>
      <c r="DP9" t="n">
        <v>34.1226</v>
      </c>
      <c r="DQ9" t="n">
        <v>1</v>
      </c>
      <c r="DR9" t="n">
        <v>0.0452515</v>
      </c>
      <c r="DS9" t="n">
        <v>1.77197</v>
      </c>
      <c r="DT9" t="n">
        <v>20.1552</v>
      </c>
      <c r="DU9" t="n">
        <v>5.23077</v>
      </c>
      <c r="DV9" t="n">
        <v>11.962</v>
      </c>
      <c r="DW9" t="n">
        <v>4.96895</v>
      </c>
      <c r="DX9" t="n">
        <v>3.295</v>
      </c>
      <c r="DY9" t="n">
        <v>999.9</v>
      </c>
      <c r="DZ9" t="n">
        <v>9999</v>
      </c>
      <c r="EA9" t="n">
        <v>9999</v>
      </c>
      <c r="EB9" t="n">
        <v>9999</v>
      </c>
      <c r="EC9" t="n">
        <v>4.96974</v>
      </c>
      <c r="ED9" t="n">
        <v>1.86364</v>
      </c>
      <c r="EE9" t="n">
        <v>1.8652</v>
      </c>
      <c r="EF9" t="n">
        <v>1.86707</v>
      </c>
      <c r="EG9" t="n">
        <v>1.86416</v>
      </c>
      <c r="EH9" t="n">
        <v>1.86782</v>
      </c>
      <c r="EI9" t="n">
        <v>1.86459</v>
      </c>
      <c r="EJ9" t="n">
        <v>1.86648</v>
      </c>
      <c r="EK9" t="n">
        <v>100</v>
      </c>
      <c r="EL9" t="n">
        <v>100</v>
      </c>
      <c r="EM9" t="n">
        <v>1.23</v>
      </c>
      <c r="EN9" t="n">
        <v>-0.0939</v>
      </c>
      <c r="EO9" t="n">
        <v>0.678193377927464</v>
      </c>
      <c r="EP9" t="n">
        <v>0.000216929631606078</v>
      </c>
      <c r="EQ9" t="n">
        <v>2.72263024731635e-07</v>
      </c>
      <c r="ER9" t="n">
        <v>-5.43792051235154e-11</v>
      </c>
      <c r="ES9" t="n">
        <v>-0.00815900437259395</v>
      </c>
      <c r="ET9" t="n">
        <v>-0.0584433849545669</v>
      </c>
      <c r="EU9" t="n">
        <v>0.00341568706061026</v>
      </c>
      <c r="EV9" t="n">
        <v>-2.10952612506686e-05</v>
      </c>
      <c r="EW9" t="n">
        <v>1734</v>
      </c>
      <c r="EX9" t="n">
        <v>2</v>
      </c>
      <c r="EY9" t="n">
        <v>19</v>
      </c>
      <c r="EZ9" t="n">
        <v>1</v>
      </c>
      <c r="FA9" t="n">
        <v>1.1</v>
      </c>
      <c r="FB9" t="n">
        <v>2.50488</v>
      </c>
      <c r="FC9" t="n">
        <v>2.53906</v>
      </c>
      <c r="FD9" t="n">
        <v>1.34644</v>
      </c>
      <c r="FE9" t="n">
        <v>2.26196</v>
      </c>
      <c r="FF9" t="n">
        <v>1.55029</v>
      </c>
      <c r="FG9" t="n">
        <v>2.62695</v>
      </c>
      <c r="FH9" t="n">
        <v>37.027</v>
      </c>
      <c r="FI9" t="n">
        <v>23.8423</v>
      </c>
      <c r="FJ9" t="n">
        <v>18</v>
      </c>
      <c r="FK9" t="n">
        <v>498.144</v>
      </c>
      <c r="FL9" t="n">
        <v>485.993</v>
      </c>
      <c r="FM9" t="n">
        <v>22.0636</v>
      </c>
      <c r="FN9" t="n">
        <v>27.7971</v>
      </c>
      <c r="FO9" t="n">
        <v>30</v>
      </c>
      <c r="FP9" t="n">
        <v>27.7955</v>
      </c>
      <c r="FQ9" t="n">
        <v>27.8101</v>
      </c>
      <c r="FR9" t="n">
        <v>50.1421</v>
      </c>
      <c r="FS9" t="n">
        <v>38.433</v>
      </c>
      <c r="FT9" t="n">
        <v>45.5596</v>
      </c>
      <c r="FU9" t="n">
        <v>22.0808</v>
      </c>
      <c r="FV9" t="n">
        <v>1200</v>
      </c>
      <c r="FW9" t="n">
        <v>15.055</v>
      </c>
      <c r="FX9" t="n">
        <v>101.719</v>
      </c>
      <c r="FY9" t="n">
        <v>97.39409999999999</v>
      </c>
    </row>
    <row r="10">
      <c r="A10" t="n">
        <v>11</v>
      </c>
      <c r="B10" t="n">
        <v>1792374743.1</v>
      </c>
      <c r="C10" t="n">
        <v>1291.09999990463</v>
      </c>
      <c r="D10" t="n">
        <v>5</v>
      </c>
      <c r="E10" t="n">
        <v>1792374734.6</v>
      </c>
      <c r="F10" t="n">
        <v>0.006127354522962889</v>
      </c>
      <c r="G10" t="n">
        <v>6.127354522962889</v>
      </c>
      <c r="H10" t="n">
        <v>20.48439599203983</v>
      </c>
      <c r="I10" t="n">
        <v>1488.159375</v>
      </c>
      <c r="J10" t="n">
        <v>1380.791307259075</v>
      </c>
      <c r="K10" t="n">
        <v>0.1402166296370107</v>
      </c>
      <c r="L10" t="n">
        <v>0.1511196448212206</v>
      </c>
      <c r="M10" t="n">
        <v>0.4680646295876218</v>
      </c>
      <c r="N10" t="n">
        <v>3.035209960794145</v>
      </c>
      <c r="O10" t="n">
        <v>0.431346837207548</v>
      </c>
      <c r="P10" t="n">
        <v>0.2726502914462945</v>
      </c>
      <c r="Q10" t="n">
        <v>3.183836275598193</v>
      </c>
      <c r="R10" t="n">
        <v>55.09794075587568</v>
      </c>
      <c r="S10" t="n">
        <v>1.776561111421773</v>
      </c>
      <c r="T10" t="n">
        <v>3.224369344932949</v>
      </c>
      <c r="U10" t="n">
        <v>0.5</v>
      </c>
      <c r="V10" t="n">
        <v>1499.978125</v>
      </c>
      <c r="W10" t="n">
        <v>2</v>
      </c>
      <c r="X10" t="n">
        <v>0.5</v>
      </c>
      <c r="Y10" t="n">
        <v>2</v>
      </c>
      <c r="Z10" t="n">
        <v>1792374734.6</v>
      </c>
      <c r="AA10" t="n">
        <v>1488.159375</v>
      </c>
      <c r="AB10" t="n">
        <v>1500</v>
      </c>
      <c r="AC10" t="n">
        <v>17.4947875</v>
      </c>
      <c r="AD10" t="n">
        <v>15.08683125</v>
      </c>
      <c r="AE10" t="n">
        <v>1486.380625</v>
      </c>
      <c r="AF10" t="n">
        <v>17.58695</v>
      </c>
      <c r="AG10" t="n">
        <v>500.0221875</v>
      </c>
      <c r="AH10" t="n">
        <v>101.4480625</v>
      </c>
      <c r="AI10" t="n">
        <v>0.0999621</v>
      </c>
      <c r="AJ10" t="n">
        <v>25.23431875</v>
      </c>
      <c r="AK10" t="n">
        <v>25.021925</v>
      </c>
      <c r="AL10" t="n">
        <v>999.9</v>
      </c>
      <c r="AM10" t="n">
        <v>10001.715625</v>
      </c>
      <c r="AN10" t="n">
        <v>6.65633</v>
      </c>
      <c r="AO10" t="n">
        <v>-11.8400125</v>
      </c>
      <c r="AP10" t="n">
        <v>1514.65875</v>
      </c>
      <c r="AQ10" t="n">
        <v>1522.976875</v>
      </c>
      <c r="AR10" t="n">
        <v>2.407971875</v>
      </c>
      <c r="AS10" t="n">
        <v>1500</v>
      </c>
      <c r="AT10" t="n">
        <v>15.08683125</v>
      </c>
      <c r="AU10" t="n">
        <v>1.77481125</v>
      </c>
      <c r="AV10" t="n">
        <v>1.5305275</v>
      </c>
      <c r="AW10" t="n">
        <v>15.5666875</v>
      </c>
      <c r="AX10" t="n">
        <v>13.2766</v>
      </c>
      <c r="AY10" t="n">
        <v>1499.978125</v>
      </c>
      <c r="AZ10" t="n">
        <v>0.9729948125</v>
      </c>
      <c r="BA10" t="n">
        <v>0.02700485</v>
      </c>
      <c r="BB10" t="n">
        <v>256.9465</v>
      </c>
      <c r="BC10" t="n">
        <v>5.00064</v>
      </c>
      <c r="BD10" t="n">
        <v>4124.73625</v>
      </c>
      <c r="BE10" t="n">
        <v>15438.96875</v>
      </c>
      <c r="BF10" t="n">
        <v>40.5</v>
      </c>
      <c r="BG10" t="n">
        <v>41.183125</v>
      </c>
      <c r="BH10" t="n">
        <v>40.812</v>
      </c>
      <c r="BI10" t="n">
        <v>40.75</v>
      </c>
      <c r="BJ10" t="n">
        <v>42.042625</v>
      </c>
      <c r="BK10" t="n">
        <v>1454.608125</v>
      </c>
      <c r="BL10" t="n">
        <v>40.37</v>
      </c>
      <c r="BM10" t="n">
        <v>1792374743.4</v>
      </c>
      <c r="BN10" t="n">
        <v>256.95804</v>
      </c>
      <c r="BO10" t="n">
        <v>-0.582538475059116</v>
      </c>
      <c r="BP10" t="n">
        <v>-13.7592307446514</v>
      </c>
      <c r="BQ10" t="n">
        <v>4124.572</v>
      </c>
      <c r="BR10" t="n">
        <v>15</v>
      </c>
      <c r="BS10" t="n">
        <v>1792374685.1</v>
      </c>
      <c r="BT10" t="n">
        <v>1792374685.1</v>
      </c>
      <c r="BU10" t="n">
        <v>1792374678.1</v>
      </c>
      <c r="BV10" t="n">
        <v>12</v>
      </c>
      <c r="BW10" t="n">
        <v>0.355</v>
      </c>
      <c r="BX10" t="n">
        <v>0.002</v>
      </c>
      <c r="BY10" t="n">
        <v>1.787</v>
      </c>
      <c r="BZ10" t="n">
        <v>-0.18</v>
      </c>
      <c r="CA10" t="n">
        <v>1500</v>
      </c>
      <c r="CB10" t="n">
        <v>15</v>
      </c>
      <c r="CC10" t="n">
        <v>0.25</v>
      </c>
      <c r="CD10" t="n">
        <v>0.03</v>
      </c>
      <c r="CE10" t="n">
        <v>20.5080698464465</v>
      </c>
      <c r="CF10" t="n">
        <v>-0.448867603384272</v>
      </c>
      <c r="CG10" t="n">
        <v>0.251114073575824</v>
      </c>
      <c r="CH10" t="n">
        <v>1</v>
      </c>
      <c r="CI10" t="n">
        <v>-11.8437047619048</v>
      </c>
      <c r="CJ10" t="n">
        <v>0.322924675324661</v>
      </c>
      <c r="CK10" t="n">
        <v>0.112074037927275</v>
      </c>
      <c r="CL10" t="n">
        <v>1</v>
      </c>
      <c r="CM10" t="n">
        <v>256.985117647059</v>
      </c>
      <c r="CN10" t="n">
        <v>-0.406080981051318</v>
      </c>
      <c r="CO10" t="n">
        <v>0.20829345316106</v>
      </c>
      <c r="CP10" t="n">
        <v>1</v>
      </c>
      <c r="CQ10" t="n">
        <v>3</v>
      </c>
      <c r="CR10" t="n">
        <v>3</v>
      </c>
      <c r="CS10" t="n">
        <v>3.12315</v>
      </c>
      <c r="CT10" t="n">
        <v>2.76529</v>
      </c>
      <c r="CU10" t="n">
        <v>0.211413</v>
      </c>
      <c r="CV10" t="n">
        <v>0.217841</v>
      </c>
      <c r="CW10" t="n">
        <v>0.0935091</v>
      </c>
      <c r="CX10" t="n">
        <v>0.0870978</v>
      </c>
      <c r="CY10" t="n">
        <v>15367.6</v>
      </c>
      <c r="CZ10" t="n">
        <v>22990.7</v>
      </c>
      <c r="DA10" t="n">
        <v>22769.8</v>
      </c>
      <c r="DB10" t="n">
        <v>30118.3</v>
      </c>
      <c r="DC10" t="n">
        <v>33859.8</v>
      </c>
      <c r="DD10" t="n">
        <v>34257.7</v>
      </c>
      <c r="DE10" t="n">
        <v>43078.6</v>
      </c>
      <c r="DF10" t="n">
        <v>42890.4</v>
      </c>
      <c r="DG10" t="n">
        <v>1.97218</v>
      </c>
      <c r="DH10" t="n">
        <v>1.8311</v>
      </c>
      <c r="DI10" t="n">
        <v>0.0741631</v>
      </c>
      <c r="DJ10" t="n">
        <v>23.7773</v>
      </c>
      <c r="DK10" t="n">
        <v>999.9</v>
      </c>
      <c r="DL10" t="n">
        <v>48.199</v>
      </c>
      <c r="DM10" t="n">
        <v>30.494</v>
      </c>
      <c r="DN10" t="n">
        <v>20.8211</v>
      </c>
      <c r="DO10" t="n">
        <v>63.4619</v>
      </c>
      <c r="DP10" t="n">
        <v>34.5913</v>
      </c>
      <c r="DQ10" t="n">
        <v>1</v>
      </c>
      <c r="DR10" t="n">
        <v>0.045</v>
      </c>
      <c r="DS10" t="n">
        <v>2.05071</v>
      </c>
      <c r="DT10" t="n">
        <v>20.1523</v>
      </c>
      <c r="DU10" t="n">
        <v>5.23256</v>
      </c>
      <c r="DV10" t="n">
        <v>11.962</v>
      </c>
      <c r="DW10" t="n">
        <v>4.96775</v>
      </c>
      <c r="DX10" t="n">
        <v>3.295</v>
      </c>
      <c r="DY10" t="n">
        <v>999.9</v>
      </c>
      <c r="DZ10" t="n">
        <v>9999</v>
      </c>
      <c r="EA10" t="n">
        <v>9999</v>
      </c>
      <c r="EB10" t="n">
        <v>9999</v>
      </c>
      <c r="EC10" t="n">
        <v>4.96973</v>
      </c>
      <c r="ED10" t="n">
        <v>1.86359</v>
      </c>
      <c r="EE10" t="n">
        <v>1.86518</v>
      </c>
      <c r="EF10" t="n">
        <v>1.86709</v>
      </c>
      <c r="EG10" t="n">
        <v>1.86417</v>
      </c>
      <c r="EH10" t="n">
        <v>1.86782</v>
      </c>
      <c r="EI10" t="n">
        <v>1.86462</v>
      </c>
      <c r="EJ10" t="n">
        <v>1.8665</v>
      </c>
      <c r="EK10" t="n">
        <v>100</v>
      </c>
      <c r="EL10" t="n">
        <v>100</v>
      </c>
      <c r="EM10" t="n">
        <v>1.78</v>
      </c>
      <c r="EN10" t="n">
        <v>-0.0936</v>
      </c>
      <c r="EO10" t="n">
        <v>1.03387620954807</v>
      </c>
      <c r="EP10" t="n">
        <v>0.000216929631606078</v>
      </c>
      <c r="EQ10" t="n">
        <v>2.72263024731635e-07</v>
      </c>
      <c r="ER10" t="n">
        <v>-5.43792051235154e-11</v>
      </c>
      <c r="ES10" t="n">
        <v>-0.0060338134735206</v>
      </c>
      <c r="ET10" t="n">
        <v>-0.0584433849545669</v>
      </c>
      <c r="EU10" t="n">
        <v>0.00341568706061026</v>
      </c>
      <c r="EV10" t="n">
        <v>-2.10952612506686e-05</v>
      </c>
      <c r="EW10" t="n">
        <v>1734</v>
      </c>
      <c r="EX10" t="n">
        <v>2</v>
      </c>
      <c r="EY10" t="n">
        <v>19</v>
      </c>
      <c r="EZ10" t="n">
        <v>1</v>
      </c>
      <c r="FA10" t="n">
        <v>1.1</v>
      </c>
      <c r="FB10" t="n">
        <v>2.99072</v>
      </c>
      <c r="FC10" t="n">
        <v>2.51465</v>
      </c>
      <c r="FD10" t="n">
        <v>1.34644</v>
      </c>
      <c r="FE10" t="n">
        <v>2.26074</v>
      </c>
      <c r="FF10" t="n">
        <v>1.55029</v>
      </c>
      <c r="FG10" t="n">
        <v>2.7063</v>
      </c>
      <c r="FH10" t="n">
        <v>37.1225</v>
      </c>
      <c r="FI10" t="n">
        <v>23.8423</v>
      </c>
      <c r="FJ10" t="n">
        <v>18</v>
      </c>
      <c r="FK10" t="n">
        <v>498.135</v>
      </c>
      <c r="FL10" t="n">
        <v>485.782</v>
      </c>
      <c r="FM10" t="n">
        <v>21.8684</v>
      </c>
      <c r="FN10" t="n">
        <v>27.7877</v>
      </c>
      <c r="FO10" t="n">
        <v>30</v>
      </c>
      <c r="FP10" t="n">
        <v>27.7837</v>
      </c>
      <c r="FQ10" t="n">
        <v>27.7986</v>
      </c>
      <c r="FR10" t="n">
        <v>59.874</v>
      </c>
      <c r="FS10" t="n">
        <v>37.762</v>
      </c>
      <c r="FT10" t="n">
        <v>43.6855</v>
      </c>
      <c r="FU10" t="n">
        <v>21.8628</v>
      </c>
      <c r="FV10" t="n">
        <v>1500</v>
      </c>
      <c r="FW10" t="n">
        <v>15.1349</v>
      </c>
      <c r="FX10" t="n">
        <v>101.722</v>
      </c>
      <c r="FY10" t="n">
        <v>97.3997</v>
      </c>
    </row>
    <row r="11">
      <c r="A11" t="n">
        <v>12</v>
      </c>
      <c r="B11" t="n">
        <v>1792374866.1</v>
      </c>
      <c r="C11" t="n">
        <v>1414.09999990463</v>
      </c>
      <c r="D11" t="n">
        <v>5</v>
      </c>
      <c r="E11" t="n">
        <v>1792374857.6</v>
      </c>
      <c r="F11" t="n">
        <v>0.006091709848693707</v>
      </c>
      <c r="G11" t="n">
        <v>6.091709848693707</v>
      </c>
      <c r="H11" t="n">
        <v>20.37956663818123</v>
      </c>
      <c r="I11" t="n">
        <v>1787.483125</v>
      </c>
      <c r="J11" t="n">
        <v>1674.009325868061</v>
      </c>
      <c r="K11" t="n">
        <v>0.1699863749762722</v>
      </c>
      <c r="L11" t="n">
        <v>0.1815090107651867</v>
      </c>
      <c r="M11" t="n">
        <v>0.467819804815599</v>
      </c>
      <c r="N11" t="n">
        <v>3.03404128840258</v>
      </c>
      <c r="O11" t="n">
        <v>0.4311258593695481</v>
      </c>
      <c r="P11" t="n">
        <v>0.2725102244024851</v>
      </c>
      <c r="Q11" t="n">
        <v>3.180918296792671</v>
      </c>
      <c r="R11" t="n">
        <v>55.32131539072333</v>
      </c>
      <c r="S11" t="n">
        <v>1.781174892276474</v>
      </c>
      <c r="T11" t="n">
        <v>3.219690059240987</v>
      </c>
      <c r="U11" t="n">
        <v>0.5</v>
      </c>
      <c r="V11" t="n">
        <v>1499.998125</v>
      </c>
      <c r="W11" t="n">
        <v>2</v>
      </c>
      <c r="X11" t="n">
        <v>0.5</v>
      </c>
      <c r="Y11" t="n">
        <v>2</v>
      </c>
      <c r="Z11" t="n">
        <v>1792374857.6</v>
      </c>
      <c r="AA11" t="n">
        <v>1787.483125</v>
      </c>
      <c r="AB11" t="n">
        <v>1799.99</v>
      </c>
      <c r="AC11" t="n">
        <v>17.5408375</v>
      </c>
      <c r="AD11" t="n">
        <v>15.1469875</v>
      </c>
      <c r="AE11" t="n">
        <v>1785.519375</v>
      </c>
      <c r="AF11" t="n">
        <v>17.628375</v>
      </c>
      <c r="AG11" t="n">
        <v>500.0193125</v>
      </c>
      <c r="AH11" t="n">
        <v>101.4444375</v>
      </c>
      <c r="AI11" t="n">
        <v>0.1000236625</v>
      </c>
      <c r="AJ11" t="n">
        <v>25.20991875</v>
      </c>
      <c r="AK11" t="n">
        <v>25.00654375</v>
      </c>
      <c r="AL11" t="n">
        <v>999.9</v>
      </c>
      <c r="AM11" t="n">
        <v>9995.01125</v>
      </c>
      <c r="AN11" t="n">
        <v>6.71089</v>
      </c>
      <c r="AO11" t="n">
        <v>-12.50483125</v>
      </c>
      <c r="AP11" t="n">
        <v>1819.39875</v>
      </c>
      <c r="AQ11" t="n">
        <v>1827.673125</v>
      </c>
      <c r="AR11" t="n">
        <v>2.3938525</v>
      </c>
      <c r="AS11" t="n">
        <v>1799.99</v>
      </c>
      <c r="AT11" t="n">
        <v>15.1469875</v>
      </c>
      <c r="AU11" t="n">
        <v>1.779420625</v>
      </c>
      <c r="AV11" t="n">
        <v>1.536576875</v>
      </c>
      <c r="AW11" t="n">
        <v>15.60714375</v>
      </c>
      <c r="AX11" t="n">
        <v>13.3370625</v>
      </c>
      <c r="AY11" t="n">
        <v>1499.998125</v>
      </c>
      <c r="AZ11" t="n">
        <v>0.97299525</v>
      </c>
      <c r="BA11" t="n">
        <v>0.02700435625</v>
      </c>
      <c r="BB11" t="n">
        <v>256.7830625</v>
      </c>
      <c r="BC11" t="n">
        <v>5.00064</v>
      </c>
      <c r="BD11" t="n">
        <v>4122.530625</v>
      </c>
      <c r="BE11" t="n">
        <v>15439.20625</v>
      </c>
      <c r="BF11" t="n">
        <v>40.511625</v>
      </c>
      <c r="BG11" t="n">
        <v>41.187</v>
      </c>
      <c r="BH11" t="n">
        <v>40.867125</v>
      </c>
      <c r="BI11" t="n">
        <v>40.800375</v>
      </c>
      <c r="BJ11" t="n">
        <v>42.062</v>
      </c>
      <c r="BK11" t="n">
        <v>1454.628125</v>
      </c>
      <c r="BL11" t="n">
        <v>40.37</v>
      </c>
      <c r="BM11" t="n">
        <v>1792374866.4</v>
      </c>
      <c r="BN11" t="n">
        <v>256.787884615385</v>
      </c>
      <c r="BO11" t="n">
        <v>0.98615383596137</v>
      </c>
      <c r="BP11" t="n">
        <v>11.4735042724198</v>
      </c>
      <c r="BQ11" t="n">
        <v>4122.59</v>
      </c>
      <c r="BR11" t="n">
        <v>15</v>
      </c>
      <c r="BS11" t="n">
        <v>1792374826.1</v>
      </c>
      <c r="BT11" t="n">
        <v>1792374826.1</v>
      </c>
      <c r="BU11" t="n">
        <v>1792374812.1</v>
      </c>
      <c r="BV11" t="n">
        <v>13</v>
      </c>
      <c r="BW11" t="n">
        <v>-0.057</v>
      </c>
      <c r="BX11" t="n">
        <v>0.003</v>
      </c>
      <c r="BY11" t="n">
        <v>1.929</v>
      </c>
      <c r="BZ11" t="n">
        <v>-0.174</v>
      </c>
      <c r="CA11" t="n">
        <v>1800</v>
      </c>
      <c r="CB11" t="n">
        <v>15</v>
      </c>
      <c r="CC11" t="n">
        <v>0.39</v>
      </c>
      <c r="CD11" t="n">
        <v>0.02</v>
      </c>
      <c r="CE11" t="n">
        <v>20.3639633662996</v>
      </c>
      <c r="CF11" t="n">
        <v>-0.535313231586153</v>
      </c>
      <c r="CG11" t="n">
        <v>0.425745048884083</v>
      </c>
      <c r="CH11" t="n">
        <v>1</v>
      </c>
      <c r="CI11" t="n">
        <v>-12.490415</v>
      </c>
      <c r="CJ11" t="n">
        <v>-0.275039097744382</v>
      </c>
      <c r="CK11" t="n">
        <v>0.171101266140844</v>
      </c>
      <c r="CL11" t="n">
        <v>1</v>
      </c>
      <c r="CM11" t="n">
        <v>256.774558823529</v>
      </c>
      <c r="CN11" t="n">
        <v>0.227914435513306</v>
      </c>
      <c r="CO11" t="n">
        <v>0.192596223647615</v>
      </c>
      <c r="CP11" t="n">
        <v>1</v>
      </c>
      <c r="CQ11" t="n">
        <v>3</v>
      </c>
      <c r="CR11" t="n">
        <v>3</v>
      </c>
      <c r="CS11" t="n">
        <v>3.12316</v>
      </c>
      <c r="CT11" t="n">
        <v>2.76547</v>
      </c>
      <c r="CU11" t="n">
        <v>0.23477</v>
      </c>
      <c r="CV11" t="n">
        <v>0.241694</v>
      </c>
      <c r="CW11" t="n">
        <v>0.09362769999999999</v>
      </c>
      <c r="CX11" t="n">
        <v>0.0872266</v>
      </c>
      <c r="CY11" t="n">
        <v>14912.6</v>
      </c>
      <c r="CZ11" t="n">
        <v>22289.8</v>
      </c>
      <c r="DA11" t="n">
        <v>22769.7</v>
      </c>
      <c r="DB11" t="n">
        <v>30118.1</v>
      </c>
      <c r="DC11" t="n">
        <v>33856.7</v>
      </c>
      <c r="DD11" t="n">
        <v>34254.7</v>
      </c>
      <c r="DE11" t="n">
        <v>43078.6</v>
      </c>
      <c r="DF11" t="n">
        <v>42890.6</v>
      </c>
      <c r="DG11" t="n">
        <v>1.9721</v>
      </c>
      <c r="DH11" t="n">
        <v>1.83125</v>
      </c>
      <c r="DI11" t="n">
        <v>0.0755787</v>
      </c>
      <c r="DJ11" t="n">
        <v>23.7573</v>
      </c>
      <c r="DK11" t="n">
        <v>999.9</v>
      </c>
      <c r="DL11" t="n">
        <v>47.583</v>
      </c>
      <c r="DM11" t="n">
        <v>30.635</v>
      </c>
      <c r="DN11" t="n">
        <v>20.7245</v>
      </c>
      <c r="DO11" t="n">
        <v>63.1019</v>
      </c>
      <c r="DP11" t="n">
        <v>34.5753</v>
      </c>
      <c r="DQ11" t="n">
        <v>1</v>
      </c>
      <c r="DR11" t="n">
        <v>0.0438974</v>
      </c>
      <c r="DS11" t="n">
        <v>1.88102</v>
      </c>
      <c r="DT11" t="n">
        <v>20.1544</v>
      </c>
      <c r="DU11" t="n">
        <v>5.23376</v>
      </c>
      <c r="DV11" t="n">
        <v>11.962</v>
      </c>
      <c r="DW11" t="n">
        <v>4.9691</v>
      </c>
      <c r="DX11" t="n">
        <v>3.295</v>
      </c>
      <c r="DY11" t="n">
        <v>999.9</v>
      </c>
      <c r="DZ11" t="n">
        <v>9999</v>
      </c>
      <c r="EA11" t="n">
        <v>9999</v>
      </c>
      <c r="EB11" t="n">
        <v>9999</v>
      </c>
      <c r="EC11" t="n">
        <v>4.96975</v>
      </c>
      <c r="ED11" t="n">
        <v>1.86369</v>
      </c>
      <c r="EE11" t="n">
        <v>1.86522</v>
      </c>
      <c r="EF11" t="n">
        <v>1.86709</v>
      </c>
      <c r="EG11" t="n">
        <v>1.86417</v>
      </c>
      <c r="EH11" t="n">
        <v>1.86783</v>
      </c>
      <c r="EI11" t="n">
        <v>1.86462</v>
      </c>
      <c r="EJ11" t="n">
        <v>1.86648</v>
      </c>
      <c r="EK11" t="n">
        <v>100</v>
      </c>
      <c r="EL11" t="n">
        <v>100</v>
      </c>
      <c r="EM11" t="n">
        <v>1.97</v>
      </c>
      <c r="EN11" t="n">
        <v>-0.08939999999999999</v>
      </c>
      <c r="EO11" t="n">
        <v>1.01804169655356</v>
      </c>
      <c r="EP11" t="n">
        <v>0.000216929631606078</v>
      </c>
      <c r="EQ11" t="n">
        <v>2.72263024731635e-07</v>
      </c>
      <c r="ER11" t="n">
        <v>-5.43792051235154e-11</v>
      </c>
      <c r="ES11" t="n">
        <v>-0.0031744813713235</v>
      </c>
      <c r="ET11" t="n">
        <v>-0.0584433849545669</v>
      </c>
      <c r="EU11" t="n">
        <v>0.00341568706061026</v>
      </c>
      <c r="EV11" t="n">
        <v>-2.10952612506686e-05</v>
      </c>
      <c r="EW11" t="n">
        <v>1734</v>
      </c>
      <c r="EX11" t="n">
        <v>2</v>
      </c>
      <c r="EY11" t="n">
        <v>19</v>
      </c>
      <c r="EZ11" t="n">
        <v>0.7</v>
      </c>
      <c r="FA11" t="n">
        <v>0.9</v>
      </c>
      <c r="FB11" t="n">
        <v>3.45215</v>
      </c>
      <c r="FC11" t="n">
        <v>2.52075</v>
      </c>
      <c r="FD11" t="n">
        <v>1.34644</v>
      </c>
      <c r="FE11" t="n">
        <v>2.26074</v>
      </c>
      <c r="FF11" t="n">
        <v>1.55029</v>
      </c>
      <c r="FG11" t="n">
        <v>2.55371</v>
      </c>
      <c r="FH11" t="n">
        <v>37.2181</v>
      </c>
      <c r="FI11" t="n">
        <v>23.8336</v>
      </c>
      <c r="FJ11" t="n">
        <v>18</v>
      </c>
      <c r="FK11" t="n">
        <v>498.028</v>
      </c>
      <c r="FL11" t="n">
        <v>485.802</v>
      </c>
      <c r="FM11" t="n">
        <v>21.9638</v>
      </c>
      <c r="FN11" t="n">
        <v>27.781</v>
      </c>
      <c r="FO11" t="n">
        <v>30.0002</v>
      </c>
      <c r="FP11" t="n">
        <v>27.7767</v>
      </c>
      <c r="FQ11" t="n">
        <v>27.7892</v>
      </c>
      <c r="FR11" t="n">
        <v>69.0971</v>
      </c>
      <c r="FS11" t="n">
        <v>36.7652</v>
      </c>
      <c r="FT11" t="n">
        <v>42.1803</v>
      </c>
      <c r="FU11" t="n">
        <v>21.9645</v>
      </c>
      <c r="FV11" t="n">
        <v>1800</v>
      </c>
      <c r="FW11" t="n">
        <v>15.123</v>
      </c>
      <c r="FX11" t="n">
        <v>101.722</v>
      </c>
      <c r="FY11" t="n">
        <v>97.3998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12.10369738250072</v>
      </c>
      <c r="B2" t="n">
        <v>273.6524175680036</v>
      </c>
      <c r="C2" t="n">
        <v>0.1756573207784928</v>
      </c>
      <c r="D2" t="n">
        <v>55.1</v>
      </c>
      <c r="E2" t="n">
        <v>0</v>
      </c>
      <c r="F2" t="n">
        <v>1500</v>
      </c>
      <c r="G2" t="n">
        <v>400</v>
      </c>
      <c r="H2" t="n">
        <v>394.7</v>
      </c>
      <c r="I2" t="n">
        <v>500.1</v>
      </c>
      <c r="J2" t="n">
        <v>24.7</v>
      </c>
      <c r="K2" t="n">
        <v>24.9</v>
      </c>
      <c r="L2" t="n">
        <v>9999.700000000001</v>
      </c>
    </row>
    <row r="3">
      <c r="A3" t="n">
        <v>9.186721214403491</v>
      </c>
      <c r="B3" t="n">
        <v>214.9059323038559</v>
      </c>
      <c r="C3" t="n">
        <v>0.2018351114939124</v>
      </c>
      <c r="D3" t="n">
        <v>55.1</v>
      </c>
      <c r="E3" t="n">
        <v>0</v>
      </c>
      <c r="F3" t="n">
        <v>1500</v>
      </c>
      <c r="G3" t="n">
        <v>300</v>
      </c>
      <c r="H3" t="n">
        <v>296</v>
      </c>
      <c r="I3" t="n">
        <v>500.1</v>
      </c>
      <c r="J3" t="n">
        <v>24.7</v>
      </c>
      <c r="K3" t="n">
        <v>25</v>
      </c>
      <c r="L3" t="n">
        <v>10008.6</v>
      </c>
    </row>
    <row r="4">
      <c r="A4" t="n">
        <v>5.887113809860879</v>
      </c>
      <c r="B4" t="n">
        <v>151.7411484874487</v>
      </c>
      <c r="C4" t="n">
        <v>0.2347758245301476</v>
      </c>
      <c r="D4" t="n">
        <v>55</v>
      </c>
      <c r="E4" t="n">
        <v>0</v>
      </c>
      <c r="F4" t="n">
        <v>1500</v>
      </c>
      <c r="G4" t="n">
        <v>200</v>
      </c>
      <c r="H4" t="n">
        <v>197.4</v>
      </c>
      <c r="I4" t="n">
        <v>500</v>
      </c>
      <c r="J4" t="n">
        <v>24.8</v>
      </c>
      <c r="K4" t="n">
        <v>25</v>
      </c>
      <c r="L4" t="n">
        <v>9996.6</v>
      </c>
    </row>
    <row r="5">
      <c r="A5" t="n">
        <v>1.752505213880771</v>
      </c>
      <c r="B5" t="n">
        <v>86.31461879365965</v>
      </c>
      <c r="C5" t="n">
        <v>0.2735532334167128</v>
      </c>
      <c r="D5" t="n">
        <v>55.1</v>
      </c>
      <c r="E5" t="n">
        <v>0</v>
      </c>
      <c r="F5" t="n">
        <v>1500</v>
      </c>
      <c r="G5" t="n">
        <v>100</v>
      </c>
      <c r="H5" t="n">
        <v>99.09999999999999</v>
      </c>
      <c r="I5" t="n">
        <v>500.1</v>
      </c>
      <c r="J5" t="n">
        <v>24.9</v>
      </c>
      <c r="K5" t="n">
        <v>25</v>
      </c>
      <c r="L5" t="n">
        <v>10002.4</v>
      </c>
    </row>
    <row r="6">
      <c r="A6" t="n">
        <v>-0.4584572140350139</v>
      </c>
      <c r="B6" t="n">
        <v>51.28593108546115</v>
      </c>
      <c r="C6" t="n">
        <v>0.3282027612613834</v>
      </c>
      <c r="D6" t="n">
        <v>55.2</v>
      </c>
      <c r="E6" t="n">
        <v>0</v>
      </c>
      <c r="F6" t="n">
        <v>1500</v>
      </c>
      <c r="G6" t="n">
        <v>50</v>
      </c>
      <c r="H6" t="n">
        <v>50.1</v>
      </c>
      <c r="I6" t="n">
        <v>500.1</v>
      </c>
      <c r="J6" t="n">
        <v>24.9</v>
      </c>
      <c r="K6" t="n">
        <v>25</v>
      </c>
      <c r="L6" t="n">
        <v>10000.5</v>
      </c>
    </row>
    <row r="7">
      <c r="A7" t="n">
        <v>14.84290089011617</v>
      </c>
      <c r="B7" t="n">
        <v>318.4716723320277</v>
      </c>
      <c r="C7" t="n">
        <v>0.3768865537327914</v>
      </c>
      <c r="D7" t="n">
        <v>55.1</v>
      </c>
      <c r="E7" t="n">
        <v>0</v>
      </c>
      <c r="F7" t="n">
        <v>1500</v>
      </c>
      <c r="G7" t="n">
        <v>400</v>
      </c>
      <c r="H7" t="n">
        <v>393.3</v>
      </c>
      <c r="I7" t="n">
        <v>500</v>
      </c>
      <c r="J7" t="n">
        <v>25</v>
      </c>
      <c r="K7" t="n">
        <v>24.9</v>
      </c>
      <c r="L7" t="n">
        <v>9997</v>
      </c>
    </row>
    <row r="8">
      <c r="A8" t="n">
        <v>16.80952774601892</v>
      </c>
      <c r="B8" t="n">
        <v>317.8099268459583</v>
      </c>
      <c r="C8" t="n">
        <v>0.4312921867105249</v>
      </c>
      <c r="D8" t="n">
        <v>54.9</v>
      </c>
      <c r="E8" t="n">
        <v>0</v>
      </c>
      <c r="F8" t="n">
        <v>1500</v>
      </c>
      <c r="G8" t="n">
        <v>400</v>
      </c>
      <c r="H8" t="n">
        <v>392.4</v>
      </c>
      <c r="I8" t="n">
        <v>500</v>
      </c>
      <c r="J8" t="n">
        <v>25.1</v>
      </c>
      <c r="K8" t="n">
        <v>25</v>
      </c>
      <c r="L8" t="n">
        <v>10002</v>
      </c>
    </row>
    <row r="9">
      <c r="A9" t="n">
        <v>20.12489547126787</v>
      </c>
      <c r="B9" t="n">
        <v>602.2805139196636</v>
      </c>
      <c r="C9" t="n">
        <v>0.4707062448307582</v>
      </c>
      <c r="D9" t="n">
        <v>54.9</v>
      </c>
      <c r="E9" t="n">
        <v>0</v>
      </c>
      <c r="F9" t="n">
        <v>1500</v>
      </c>
      <c r="G9" t="n">
        <v>700</v>
      </c>
      <c r="H9" t="n">
        <v>690.2</v>
      </c>
      <c r="I9" t="n">
        <v>500</v>
      </c>
      <c r="J9" t="n">
        <v>25.2</v>
      </c>
      <c r="K9" t="n">
        <v>25</v>
      </c>
      <c r="L9" t="n">
        <v>10007.4</v>
      </c>
    </row>
    <row r="10">
      <c r="A10" t="n">
        <v>20.4363196969813</v>
      </c>
      <c r="B10" t="n">
        <v>895.4789481681792</v>
      </c>
      <c r="C10" t="n">
        <v>0.4830249682297506</v>
      </c>
      <c r="D10" t="n">
        <v>55.1</v>
      </c>
      <c r="E10" t="n">
        <v>0</v>
      </c>
      <c r="F10" t="n">
        <v>1500</v>
      </c>
      <c r="G10" t="n">
        <v>1000</v>
      </c>
      <c r="H10" t="n">
        <v>989.4</v>
      </c>
      <c r="I10" t="n">
        <v>500</v>
      </c>
      <c r="J10" t="n">
        <v>25.2</v>
      </c>
      <c r="K10" t="n">
        <v>25</v>
      </c>
      <c r="L10" t="n">
        <v>10002.6</v>
      </c>
    </row>
    <row r="11">
      <c r="A11" t="n">
        <v>20.78196008580658</v>
      </c>
      <c r="B11" t="n">
        <v>1089.09592934343</v>
      </c>
      <c r="C11" t="n">
        <v>0.4826266712242089</v>
      </c>
      <c r="D11" t="n">
        <v>55.1</v>
      </c>
      <c r="E11" t="n">
        <v>0</v>
      </c>
      <c r="F11" t="n">
        <v>1500</v>
      </c>
      <c r="G11" t="n">
        <v>1200</v>
      </c>
      <c r="H11" t="n">
        <v>1188.7</v>
      </c>
      <c r="I11" t="n">
        <v>500</v>
      </c>
      <c r="J11" t="n">
        <v>25.3</v>
      </c>
      <c r="K11" t="n">
        <v>25</v>
      </c>
      <c r="L11" t="n">
        <v>9995</v>
      </c>
    </row>
    <row r="12">
      <c r="A12" t="n">
        <v>20.48439599203983</v>
      </c>
      <c r="B12" t="n">
        <v>1380.791307259075</v>
      </c>
      <c r="C12" t="n">
        <v>0.4680646295876218</v>
      </c>
      <c r="D12" t="n">
        <v>55.1</v>
      </c>
      <c r="E12" t="n">
        <v>0</v>
      </c>
      <c r="F12" t="n">
        <v>1500</v>
      </c>
      <c r="G12" t="n">
        <v>1500</v>
      </c>
      <c r="H12" t="n">
        <v>1488.2</v>
      </c>
      <c r="I12" t="n">
        <v>500</v>
      </c>
      <c r="J12" t="n">
        <v>25.2</v>
      </c>
      <c r="K12" t="n">
        <v>25</v>
      </c>
      <c r="L12" t="n">
        <v>10001.7</v>
      </c>
    </row>
    <row r="13">
      <c r="A13" t="n">
        <v>20.37956663818123</v>
      </c>
      <c r="B13" t="n">
        <v>1674.009325868061</v>
      </c>
      <c r="C13" t="n">
        <v>0.467819804815599</v>
      </c>
      <c r="D13" t="n">
        <v>55.3</v>
      </c>
      <c r="E13" t="n">
        <v>0</v>
      </c>
      <c r="F13" t="n">
        <v>1500</v>
      </c>
      <c r="G13" t="n">
        <v>1800</v>
      </c>
      <c r="H13" t="n">
        <v>1787.5</v>
      </c>
      <c r="I13" t="n">
        <v>500</v>
      </c>
      <c r="J13" t="n">
        <v>25.2</v>
      </c>
      <c r="K13" t="n">
        <v>25</v>
      </c>
      <c r="L13" t="n">
        <v>9995</v>
      </c>
    </row>
    <row r="14">
      <c r="A14" t="n">
        <v>15.28116808390851</v>
      </c>
      <c r="B14" t="n">
        <v>326.4534034954248</v>
      </c>
      <c r="C14" t="n">
        <v>0.4477311889527902</v>
      </c>
      <c r="D14" t="n">
        <v>55.1</v>
      </c>
      <c r="E14" t="n">
        <v>0</v>
      </c>
      <c r="F14" t="n">
        <v>1500</v>
      </c>
      <c r="G14" t="n">
        <v>400</v>
      </c>
      <c r="H14" t="n">
        <v>393</v>
      </c>
      <c r="I14" t="n">
        <v>500</v>
      </c>
      <c r="J14" t="n">
        <v>25.2</v>
      </c>
      <c r="K14" t="n">
        <v>25</v>
      </c>
      <c r="L14" t="n">
        <v>10002.2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2026-10-19T11:02:37Z</dcterms:created>
  <dcterms:modified xmlns:dcterms="http://purl.org/dc/terms/" xmlns:xsi="http://www.w3.org/2001/XMLSchema-instance" xsi:type="dcterms:W3CDTF">2026-10-19T09:23:52Z</dcterms:modified>
</cp:coreProperties>
</file>