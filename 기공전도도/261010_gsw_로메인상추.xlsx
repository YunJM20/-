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11" documentId="13_ncr:1_{1EA707A6-4E51-4C0F-B63E-24DCC07C8C55}" xr6:coauthVersionLast="47" xr6:coauthVersionMax="47" xr10:uidLastSave="{FA6D0BA4-5902-450C-AFE3-84209EF84A1A}"/>
  <bookViews>
    <workbookView xWindow="-120" yWindow="-120" windowWidth="29040" windowHeight="15720" xr2:uid="{00000000-000D-0000-FFFF-FFFF00000000}"/>
  </bookViews>
  <sheets>
    <sheet name="lightfluorom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7" i="1" l="1"/>
  <c r="AF27" i="1"/>
  <c r="U27" i="1"/>
  <c r="M27" i="1" s="1"/>
  <c r="P27" i="1"/>
  <c r="Q27" i="1" s="1"/>
  <c r="K27" i="1"/>
  <c r="AL26" i="1"/>
  <c r="P26" i="1" s="1"/>
  <c r="AF26" i="1"/>
  <c r="U26" i="1"/>
  <c r="M26" i="1" s="1"/>
  <c r="K26" i="1"/>
  <c r="AL25" i="1"/>
  <c r="AF25" i="1"/>
  <c r="U25" i="1"/>
  <c r="P25" i="1"/>
  <c r="T25" i="1" s="1"/>
  <c r="M25" i="1"/>
  <c r="K25" i="1"/>
  <c r="AL24" i="1"/>
  <c r="P24" i="1" s="1"/>
  <c r="AF24" i="1"/>
  <c r="U24" i="1"/>
  <c r="M24" i="1" s="1"/>
  <c r="K24" i="1"/>
  <c r="AL23" i="1"/>
  <c r="P23" i="1" s="1"/>
  <c r="T23" i="1" s="1"/>
  <c r="L23" i="1" s="1"/>
  <c r="J23" i="1" s="1"/>
  <c r="AF23" i="1"/>
  <c r="U23" i="1"/>
  <c r="M23" i="1"/>
  <c r="K23" i="1"/>
  <c r="AL22" i="1"/>
  <c r="AF22" i="1"/>
  <c r="U22" i="1"/>
  <c r="P22" i="1"/>
  <c r="T22" i="1" s="1"/>
  <c r="M22" i="1"/>
  <c r="K22" i="1"/>
  <c r="AL21" i="1"/>
  <c r="P21" i="1" s="1"/>
  <c r="T21" i="1" s="1"/>
  <c r="AF21" i="1"/>
  <c r="U21" i="1"/>
  <c r="M21" i="1" s="1"/>
  <c r="K21" i="1"/>
  <c r="AL20" i="1"/>
  <c r="P20" i="1" s="1"/>
  <c r="Q20" i="1" s="1"/>
  <c r="AF20" i="1"/>
  <c r="U20" i="1"/>
  <c r="M20" i="1"/>
  <c r="K20" i="1"/>
  <c r="AL19" i="1"/>
  <c r="P19" i="1" s="1"/>
  <c r="AF19" i="1"/>
  <c r="U19" i="1"/>
  <c r="M19" i="1" s="1"/>
  <c r="K19" i="1"/>
  <c r="AL18" i="1"/>
  <c r="P18" i="1" s="1"/>
  <c r="AF18" i="1"/>
  <c r="U18" i="1"/>
  <c r="M18" i="1" s="1"/>
  <c r="K18" i="1"/>
  <c r="AL17" i="1"/>
  <c r="AF17" i="1"/>
  <c r="U17" i="1"/>
  <c r="P17" i="1"/>
  <c r="Q17" i="1" s="1"/>
  <c r="M17" i="1"/>
  <c r="K17" i="1"/>
  <c r="AL16" i="1"/>
  <c r="P16" i="1" s="1"/>
  <c r="AF16" i="1"/>
  <c r="U16" i="1"/>
  <c r="M16" i="1"/>
  <c r="K16" i="1"/>
  <c r="AL15" i="1"/>
  <c r="AF15" i="1"/>
  <c r="U15" i="1"/>
  <c r="P15" i="1"/>
  <c r="T15" i="1" s="1"/>
  <c r="M15" i="1"/>
  <c r="K15" i="1"/>
  <c r="AL14" i="1"/>
  <c r="P14" i="1" s="1"/>
  <c r="Q14" i="1" s="1"/>
  <c r="AF14" i="1"/>
  <c r="U14" i="1"/>
  <c r="M14" i="1"/>
  <c r="K14" i="1"/>
  <c r="AL13" i="1"/>
  <c r="P13" i="1" s="1"/>
  <c r="T13" i="1" s="1"/>
  <c r="AF13" i="1"/>
  <c r="U13" i="1"/>
  <c r="M13" i="1" s="1"/>
  <c r="K13" i="1"/>
  <c r="AL12" i="1"/>
  <c r="AF12" i="1"/>
  <c r="U12" i="1"/>
  <c r="P12" i="1"/>
  <c r="Q12" i="1" s="1"/>
  <c r="M12" i="1"/>
  <c r="K12" i="1"/>
  <c r="AL11" i="1"/>
  <c r="P11" i="1" s="1"/>
  <c r="AF11" i="1"/>
  <c r="U11" i="1"/>
  <c r="M11" i="1" s="1"/>
  <c r="K11" i="1"/>
  <c r="AL10" i="1"/>
  <c r="AF10" i="1"/>
  <c r="U10" i="1"/>
  <c r="M10" i="1" s="1"/>
  <c r="P10" i="1"/>
  <c r="Q10" i="1" s="1"/>
  <c r="K10" i="1"/>
  <c r="AL9" i="1"/>
  <c r="P9" i="1" s="1"/>
  <c r="AF9" i="1"/>
  <c r="U9" i="1"/>
  <c r="M9" i="1" s="1"/>
  <c r="K9" i="1"/>
  <c r="AL8" i="1"/>
  <c r="AF8" i="1"/>
  <c r="U8" i="1"/>
  <c r="P8" i="1"/>
  <c r="T8" i="1" s="1"/>
  <c r="M8" i="1"/>
  <c r="K8" i="1"/>
  <c r="AL7" i="1"/>
  <c r="P7" i="1" s="1"/>
  <c r="AF7" i="1"/>
  <c r="U7" i="1"/>
  <c r="M7" i="1" s="1"/>
  <c r="K7" i="1"/>
  <c r="AL6" i="1"/>
  <c r="P6" i="1" s="1"/>
  <c r="T6" i="1" s="1"/>
  <c r="L6" i="1" s="1"/>
  <c r="J6" i="1" s="1"/>
  <c r="AF6" i="1"/>
  <c r="U6" i="1"/>
  <c r="M6" i="1"/>
  <c r="K6" i="1"/>
  <c r="AL5" i="1"/>
  <c r="AF5" i="1"/>
  <c r="U5" i="1"/>
  <c r="P5" i="1"/>
  <c r="T5" i="1" s="1"/>
  <c r="M5" i="1"/>
  <c r="K5" i="1"/>
  <c r="AL4" i="1"/>
  <c r="P4" i="1" s="1"/>
  <c r="T4" i="1" s="1"/>
  <c r="AF4" i="1"/>
  <c r="U4" i="1"/>
  <c r="M4" i="1" s="1"/>
  <c r="K4" i="1"/>
  <c r="L8" i="1" l="1"/>
  <c r="J8" i="1" s="1"/>
  <c r="L15" i="1"/>
  <c r="J15" i="1" s="1"/>
  <c r="L25" i="1"/>
  <c r="J25" i="1" s="1"/>
  <c r="L5" i="1"/>
  <c r="J5" i="1" s="1"/>
  <c r="L22" i="1"/>
  <c r="J22" i="1" s="1"/>
  <c r="Q19" i="1"/>
  <c r="T19" i="1"/>
  <c r="L19" i="1" s="1"/>
  <c r="J19" i="1" s="1"/>
  <c r="T26" i="1"/>
  <c r="L26" i="1" s="1"/>
  <c r="J26" i="1" s="1"/>
  <c r="Q26" i="1"/>
  <c r="T7" i="1"/>
  <c r="L7" i="1" s="1"/>
  <c r="J7" i="1" s="1"/>
  <c r="Q7" i="1"/>
  <c r="T9" i="1"/>
  <c r="L9" i="1" s="1"/>
  <c r="J9" i="1" s="1"/>
  <c r="Q9" i="1"/>
  <c r="L4" i="1"/>
  <c r="J4" i="1" s="1"/>
  <c r="Q11" i="1"/>
  <c r="T11" i="1"/>
  <c r="L11" i="1" s="1"/>
  <c r="J11" i="1" s="1"/>
  <c r="L21" i="1"/>
  <c r="J21" i="1" s="1"/>
  <c r="L13" i="1"/>
  <c r="J13" i="1" s="1"/>
  <c r="T16" i="1"/>
  <c r="L16" i="1" s="1"/>
  <c r="J16" i="1" s="1"/>
  <c r="Q16" i="1"/>
  <c r="T18" i="1"/>
  <c r="L18" i="1" s="1"/>
  <c r="J18" i="1" s="1"/>
  <c r="Q18" i="1"/>
  <c r="T24" i="1"/>
  <c r="L24" i="1" s="1"/>
  <c r="J24" i="1" s="1"/>
  <c r="Q24" i="1"/>
  <c r="Q4" i="1"/>
  <c r="Q23" i="1"/>
  <c r="Q8" i="1"/>
  <c r="Q25" i="1"/>
  <c r="T27" i="1"/>
  <c r="L27" i="1" s="1"/>
  <c r="J27" i="1" s="1"/>
  <c r="Q22" i="1"/>
  <c r="Q21" i="1"/>
  <c r="Q15" i="1"/>
  <c r="T10" i="1"/>
  <c r="L10" i="1" s="1"/>
  <c r="J10" i="1" s="1"/>
  <c r="T12" i="1"/>
  <c r="L12" i="1" s="1"/>
  <c r="J12" i="1" s="1"/>
  <c r="T20" i="1"/>
  <c r="L20" i="1" s="1"/>
  <c r="J20" i="1" s="1"/>
  <c r="T14" i="1"/>
  <c r="L14" i="1" s="1"/>
  <c r="J14" i="1" s="1"/>
  <c r="Q13" i="1"/>
  <c r="Q6" i="1"/>
  <c r="T17" i="1"/>
  <c r="L17" i="1" s="1"/>
  <c r="J17" i="1" s="1"/>
  <c r="Q5" i="1"/>
</calcChain>
</file>

<file path=xl/sharedStrings.xml><?xml version="1.0" encoding="utf-8"?>
<sst xmlns="http://schemas.openxmlformats.org/spreadsheetml/2006/main" count="3108" uniqueCount="1177">
  <si>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</si>
  <si>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</si>
  <si>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</si>
  <si>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</si>
  <si>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</si>
  <si>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</si>
  <si>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</si>
  <si>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</si>
  <si>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</si>
  <si>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</si>
  <si>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</si>
  <si>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</si>
  <si>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</si>
  <si>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</si>
  <si>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</si>
  <si>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</si>
  <si>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</si>
  <si>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</si>
  <si>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</si>
  <si>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</si>
  <si>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</si>
  <si>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</si>
  <si>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</si>
  <si>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</si>
  <si>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</si>
  <si>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</si>
  <si>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</si>
  <si>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</si>
  <si>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</si>
  <si>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</si>
  <si>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</si>
  <si>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</si>
  <si>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</si>
  <si>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</si>
  <si>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</si>
  <si>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</si>
  <si>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</si>
  <si>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</si>
  <si>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</si>
  <si>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</si>
  <si>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</si>
  <si>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</si>
  <si>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</si>
  <si>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</si>
  <si>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</si>
  <si>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</si>
  <si>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</si>
  <si>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</si>
  <si>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</si>
  <si>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</si>
  <si>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</si>
  <si>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</si>
  <si>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</si>
  <si>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</si>
  <si>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</si>
  <si>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</si>
  <si>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</si>
  <si>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</si>
  <si>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</si>
  <si>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</si>
  <si>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</si>
  <si>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</si>
  <si>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</si>
  <si>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</si>
  <si>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</si>
  <si>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</si>
  <si>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</si>
  <si>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</si>
  <si>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</si>
  <si>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</si>
  <si>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</si>
  <si>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</si>
  <si>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</si>
  <si>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</si>
  <si>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</si>
  <si>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</si>
  <si>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</si>
  <si>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</si>
  <si>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</si>
  <si>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</si>
  <si>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</si>
  <si>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</si>
  <si>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</si>
  <si>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</si>
  <si>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</si>
  <si>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</si>
  <si>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</si>
  <si>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</si>
  <si>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</si>
  <si>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</si>
  <si>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</si>
  <si>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</si>
  <si>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</si>
  <si>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</si>
  <si>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</si>
  <si>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</si>
  <si>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</si>
  <si>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</si>
  <si>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</si>
  <si>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</si>
  <si>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</si>
  <si>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</si>
  <si>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</si>
  <si>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</si>
  <si>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</si>
  <si>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</si>
  <si>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</si>
  <si>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</si>
  <si>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</si>
  <si>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</si>
  <si>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</si>
  <si>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</si>
  <si>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</si>
  <si>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</si>
  <si>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</si>
  <si>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</si>
  <si>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</si>
  <si>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</si>
  <si>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</si>
  <si>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</si>
  <si>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</si>
  <si>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</si>
  <si>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</si>
  <si>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</si>
  <si>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</si>
  <si>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</si>
  <si>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</si>
  <si>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</si>
  <si>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</si>
  <si>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</si>
  <si>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</si>
  <si>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</si>
  <si>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</si>
  <si>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</si>
  <si>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</si>
  <si>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</si>
  <si>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</si>
  <si>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</si>
  <si>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</si>
  <si>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</si>
  <si>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</si>
  <si>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</si>
  <si>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</si>
  <si>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</si>
  <si>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</si>
  <si>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</si>
  <si>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</si>
  <si>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</si>
  <si>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</si>
  <si>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</si>
  <si>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</si>
  <si>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</si>
  <si>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</si>
  <si>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</si>
  <si>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</si>
  <si>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</si>
  <si>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</si>
  <si>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</si>
  <si>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</si>
  <si>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</si>
  <si>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</si>
  <si>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09:44:06</t>
  </si>
  <si>
    <t>2026-10-10</t>
  </si>
  <si>
    <t>lightfluoromete</t>
  </si>
  <si>
    <t>yun</t>
  </si>
  <si>
    <t>001</t>
  </si>
  <si>
    <t>1.401330</t>
  </si>
  <si>
    <t>1.326821</t>
  </si>
  <si>
    <t>13.028707</t>
  </si>
  <si>
    <t>13.760355</t>
  </si>
  <si>
    <t>7.500000</t>
  </si>
  <si>
    <t>PSF-01106_20261010094406_e6c</t>
  </si>
  <si>
    <t>0.000000</t>
  </si>
  <si>
    <t>137.612335</t>
  </si>
  <si>
    <t>498.078705</t>
  </si>
  <si>
    <t>0.723714</t>
  </si>
  <si>
    <t>0.5</t>
  </si>
  <si>
    <t>0.84</t>
  </si>
  <si>
    <t>1.000000</t>
  </si>
  <si>
    <t>48.89</t>
  </si>
  <si>
    <t>46.29</t>
  </si>
  <si>
    <t>23.27</t>
  </si>
  <si>
    <t>22.19</t>
  </si>
  <si>
    <t>101.84</t>
  </si>
  <si>
    <t>155.9</t>
  </si>
  <si>
    <t>154.1</t>
  </si>
  <si>
    <t>1.2</t>
  </si>
  <si>
    <t>720</t>
  </si>
  <si>
    <t>3.802</t>
  </si>
  <si>
    <t>-22</t>
  </si>
  <si>
    <t>41</t>
  </si>
  <si>
    <t>57.91</t>
  </si>
  <si>
    <t>53.12</t>
  </si>
  <si>
    <t>22.02</t>
  </si>
  <si>
    <t>-136.33</t>
  </si>
  <si>
    <t>-6.57</t>
  </si>
  <si>
    <t>130.70</t>
  </si>
  <si>
    <t>56.25</t>
  </si>
  <si>
    <t>00:41:42</t>
  </si>
  <si>
    <t>35.850471</t>
  </si>
  <si>
    <t>127.130440</t>
  </si>
  <si>
    <t>28.400000</t>
  </si>
  <si>
    <t>11</t>
  </si>
  <si>
    <t>1.020000</t>
  </si>
  <si>
    <t>09:43:43</t>
  </si>
  <si>
    <t>-1.20</t>
  </si>
  <si>
    <t>0.001</t>
  </si>
  <si>
    <t>-0.000</t>
  </si>
  <si>
    <t>-0.524</t>
  </si>
  <si>
    <t>-0.926</t>
  </si>
  <si>
    <t>-2.129</t>
  </si>
  <si>
    <t>150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</si>
  <si>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</si>
  <si>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</si>
  <si>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</si>
  <si>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</si>
  <si>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</si>
  <si>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</si>
  <si>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</si>
  <si>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</si>
  <si>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</si>
  <si>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</si>
  <si>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</si>
  <si>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2.499958</t>
  </si>
  <si>
    <t>2.443717</t>
  </si>
  <si>
    <t>1.669381</t>
  </si>
  <si>
    <t>0.939041</t>
  </si>
  <si>
    <t>0.292251</t>
  </si>
  <si>
    <t>-0.011402</t>
  </si>
  <si>
    <t>0.183537</t>
  </si>
  <si>
    <t>0.735222</t>
  </si>
  <si>
    <t>0.000344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</si>
  <si>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</si>
  <si>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</si>
  <si>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</si>
  <si>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</si>
  <si>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</si>
  <si>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</si>
  <si>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</si>
  <si>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</si>
  <si>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</si>
  <si>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</si>
  <si>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</si>
  <si>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</si>
  <si>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</si>
  <si>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</si>
  <si>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09:44:26</t>
  </si>
  <si>
    <t>002</t>
  </si>
  <si>
    <t>1.482717</t>
  </si>
  <si>
    <t>1.375752</t>
  </si>
  <si>
    <t>13.508725</t>
  </si>
  <si>
    <t>14.559027</t>
  </si>
  <si>
    <t>PSF-01106_20261010094426_701</t>
  </si>
  <si>
    <t>207.559708</t>
  </si>
  <si>
    <t>492.216461</t>
  </si>
  <si>
    <t>0.578316</t>
  </si>
  <si>
    <t>51.26</t>
  </si>
  <si>
    <t>47.56</t>
  </si>
  <si>
    <t>23.42</t>
  </si>
  <si>
    <t>22.60</t>
  </si>
  <si>
    <t>156.2</t>
  </si>
  <si>
    <t>153.2</t>
  </si>
  <si>
    <t>1.9</t>
  </si>
  <si>
    <t>481</t>
  </si>
  <si>
    <t>3.803</t>
  </si>
  <si>
    <t>-36</t>
  </si>
  <si>
    <t>12</t>
  </si>
  <si>
    <t>33</t>
  </si>
  <si>
    <t>56.88</t>
  </si>
  <si>
    <t>54.64</t>
  </si>
  <si>
    <t>37.69</t>
  </si>
  <si>
    <t>-127.12</t>
  </si>
  <si>
    <t>130.94</t>
  </si>
  <si>
    <t>56.10</t>
  </si>
  <si>
    <t>00:42:02</t>
  </si>
  <si>
    <t>35.850479</t>
  </si>
  <si>
    <t>127.130432</t>
  </si>
  <si>
    <t>28.600000</t>
  </si>
  <si>
    <t>1.010000</t>
  </si>
  <si>
    <t>0.002</t>
  </si>
  <si>
    <t>0.005</t>
  </si>
  <si>
    <t>0.248</t>
  </si>
  <si>
    <t>0.254</t>
  </si>
  <si>
    <t>-1.580</t>
  </si>
  <si>
    <t>2.501751</t>
  </si>
  <si>
    <t>2.446759</t>
  </si>
  <si>
    <t>1.672160</t>
  </si>
  <si>
    <t>0.936953</t>
  </si>
  <si>
    <t>0.290476</t>
  </si>
  <si>
    <t>-0.008424</t>
  </si>
  <si>
    <t>0.186307</t>
  </si>
  <si>
    <t>0.526931</t>
  </si>
  <si>
    <t>0.000340</t>
  </si>
  <si>
    <t>3</t>
  </si>
  <si>
    <t>09:44:46</t>
  </si>
  <si>
    <t>003</t>
  </si>
  <si>
    <t>1.365380</t>
  </si>
  <si>
    <t>1.359180</t>
  </si>
  <si>
    <t>13.347145</t>
  </si>
  <si>
    <t>13.408031</t>
  </si>
  <si>
    <t>PSF-01106_20261010094446_0de</t>
  </si>
  <si>
    <t>143.044357</t>
  </si>
  <si>
    <t>436.480530</t>
  </si>
  <si>
    <t>0.672278</t>
  </si>
  <si>
    <t>46.76</t>
  </si>
  <si>
    <t>46.55</t>
  </si>
  <si>
    <t>23.58</t>
  </si>
  <si>
    <t>24.83</t>
  </si>
  <si>
    <t>101.83</t>
  </si>
  <si>
    <t>155.7</t>
  </si>
  <si>
    <t>156.6</t>
  </si>
  <si>
    <t>-0.6</t>
  </si>
  <si>
    <t>454</t>
  </si>
  <si>
    <t>-26</t>
  </si>
  <si>
    <t>-15</t>
  </si>
  <si>
    <t>35</t>
  </si>
  <si>
    <t>76.45</t>
  </si>
  <si>
    <t>23.43</t>
  </si>
  <si>
    <t>29.75</t>
  </si>
  <si>
    <t>-176.43</t>
  </si>
  <si>
    <t>00:42:22</t>
  </si>
  <si>
    <t>35.850494</t>
  </si>
  <si>
    <t>28.700001</t>
  </si>
  <si>
    <t>-0.001</t>
  </si>
  <si>
    <t>-0.003</t>
  </si>
  <si>
    <t>0.358</t>
  </si>
  <si>
    <t>0.833</t>
  </si>
  <si>
    <t>0.715</t>
  </si>
  <si>
    <t>2.500268</t>
  </si>
  <si>
    <t>2.440878</t>
  </si>
  <si>
    <t>1.667640</t>
  </si>
  <si>
    <t>0.945671</t>
  </si>
  <si>
    <t>0.288670</t>
  </si>
  <si>
    <t>0.015684</t>
  </si>
  <si>
    <t>0.189070</t>
  </si>
  <si>
    <t>0.502965</t>
  </si>
  <si>
    <t>4</t>
  </si>
  <si>
    <t>09:45:14</t>
  </si>
  <si>
    <t>004</t>
  </si>
  <si>
    <t>1.367156</t>
  </si>
  <si>
    <t>1.364050</t>
  </si>
  <si>
    <t>13.395821</t>
  </si>
  <si>
    <t>13.426328</t>
  </si>
  <si>
    <t>PSF-01106_20261010094514_c99</t>
  </si>
  <si>
    <t>157.920593</t>
  </si>
  <si>
    <t>501.348511</t>
  </si>
  <si>
    <t>0.685008</t>
  </si>
  <si>
    <t>46.20</t>
  </si>
  <si>
    <t>46.10</t>
  </si>
  <si>
    <t>23.80</t>
  </si>
  <si>
    <t>24.59</t>
  </si>
  <si>
    <t>156.1</t>
  </si>
  <si>
    <t>152.6</t>
  </si>
  <si>
    <t>2.2</t>
  </si>
  <si>
    <t>359</t>
  </si>
  <si>
    <t>3.801</t>
  </si>
  <si>
    <t>-19</t>
  </si>
  <si>
    <t>-24</t>
  </si>
  <si>
    <t>36</t>
  </si>
  <si>
    <t>82.86</t>
  </si>
  <si>
    <t>12.43</t>
  </si>
  <si>
    <t>30.26</t>
  </si>
  <si>
    <t>162.18</t>
  </si>
  <si>
    <t>00:42:48</t>
  </si>
  <si>
    <t>127.130424</t>
  </si>
  <si>
    <t>29.600000</t>
  </si>
  <si>
    <t>0.880000</t>
  </si>
  <si>
    <t>0.000</t>
  </si>
  <si>
    <t>-0.067</t>
  </si>
  <si>
    <t>-0.198</t>
  </si>
  <si>
    <t>-0.500</t>
  </si>
  <si>
    <t>2.499573</t>
  </si>
  <si>
    <t>2.440102</t>
  </si>
  <si>
    <t>1.670583</t>
  </si>
  <si>
    <t>0.935242</t>
  </si>
  <si>
    <t>0.286115</t>
  </si>
  <si>
    <t>0.010190</t>
  </si>
  <si>
    <t>0.192774</t>
  </si>
  <si>
    <t>0.420265</t>
  </si>
  <si>
    <t>0.000337</t>
  </si>
  <si>
    <t>5</t>
  </si>
  <si>
    <t>09:45:41</t>
  </si>
  <si>
    <t>005</t>
  </si>
  <si>
    <t>1.483159</t>
  </si>
  <si>
    <t>1.353989</t>
  </si>
  <si>
    <t>13.296730</t>
  </si>
  <si>
    <t>14.565226</t>
  </si>
  <si>
    <t>PSF-01106_20261010094541_e24</t>
  </si>
  <si>
    <t>163.704163</t>
  </si>
  <si>
    <t>297.922241</t>
  </si>
  <si>
    <t>0.450514</t>
  </si>
  <si>
    <t>49.53</t>
  </si>
  <si>
    <t>45.21</t>
  </si>
  <si>
    <t>24.00</t>
  </si>
  <si>
    <t>24.33</t>
  </si>
  <si>
    <t>151.5</t>
  </si>
  <si>
    <t>2.9</t>
  </si>
  <si>
    <t>1107</t>
  </si>
  <si>
    <t>3.800</t>
  </si>
  <si>
    <t>-23</t>
  </si>
  <si>
    <t>40</t>
  </si>
  <si>
    <t>26.88</t>
  </si>
  <si>
    <t>89.19</t>
  </si>
  <si>
    <t>41.06</t>
  </si>
  <si>
    <t>-79.16</t>
  </si>
  <si>
    <t>131.17</t>
  </si>
  <si>
    <t>55.94</t>
  </si>
  <si>
    <t>00:43:17</t>
  </si>
  <si>
    <t>127.130417</t>
  </si>
  <si>
    <t>30.100000</t>
  </si>
  <si>
    <t>14</t>
  </si>
  <si>
    <t>0.780000</t>
  </si>
  <si>
    <t>0.003</t>
  </si>
  <si>
    <t>-0.852</t>
  </si>
  <si>
    <t>0.586</t>
  </si>
  <si>
    <t>-3.463</t>
  </si>
  <si>
    <t>2.498267</t>
  </si>
  <si>
    <t>2.444410</t>
  </si>
  <si>
    <t>1.670630</t>
  </si>
  <si>
    <t>0.932389</t>
  </si>
  <si>
    <t>0.283861</t>
  </si>
  <si>
    <t>0.004910</t>
  </si>
  <si>
    <t>0.196418</t>
  </si>
  <si>
    <t>1.072048</t>
  </si>
  <si>
    <t>0.000335</t>
  </si>
  <si>
    <t>6</t>
  </si>
  <si>
    <t>09:46:07</t>
  </si>
  <si>
    <t>006</t>
  </si>
  <si>
    <t>1.507783</t>
  </si>
  <si>
    <t>1.403323</t>
  </si>
  <si>
    <t>13.782217</t>
  </si>
  <si>
    <t>14.808135</t>
  </si>
  <si>
    <t>PSF-01106_20261010094607_60d</t>
  </si>
  <si>
    <t>189.625381</t>
  </si>
  <si>
    <t>465.608246</t>
  </si>
  <si>
    <t>0.592736</t>
  </si>
  <si>
    <t>49.89</t>
  </si>
  <si>
    <t>46.43</t>
  </si>
  <si>
    <t>24.15</t>
  </si>
  <si>
    <t>23.78</t>
  </si>
  <si>
    <t>101.82</t>
  </si>
  <si>
    <t>156.0</t>
  </si>
  <si>
    <t>154.3</t>
  </si>
  <si>
    <t>1.1</t>
  </si>
  <si>
    <t>572</t>
  </si>
  <si>
    <t>3.799</t>
  </si>
  <si>
    <t>-6</t>
  </si>
  <si>
    <t>45.85</t>
  </si>
  <si>
    <t>69.65</t>
  </si>
  <si>
    <t>12.51</t>
  </si>
  <si>
    <t>-82.27</t>
  </si>
  <si>
    <t>00:43:42</t>
  </si>
  <si>
    <t>35.850502</t>
  </si>
  <si>
    <t>30.200001</t>
  </si>
  <si>
    <t>-1.019</t>
  </si>
  <si>
    <t>-0.489</t>
  </si>
  <si>
    <t>-0.394</t>
  </si>
  <si>
    <t>2.499989</t>
  </si>
  <si>
    <t>2.444847</t>
  </si>
  <si>
    <t>1.670165</t>
  </si>
  <si>
    <t>0.939656</t>
  </si>
  <si>
    <t>0.282117</t>
  </si>
  <si>
    <t>-0.003276</t>
  </si>
  <si>
    <t>0.199833</t>
  </si>
  <si>
    <t>0.605451</t>
  </si>
  <si>
    <t>0.000336</t>
  </si>
  <si>
    <t>7</t>
  </si>
  <si>
    <t>09:46:27</t>
  </si>
  <si>
    <t>007</t>
  </si>
  <si>
    <t>1.380581</t>
  </si>
  <si>
    <t>1.369223</t>
  </si>
  <si>
    <t>13.447622</t>
  </si>
  <si>
    <t>13.559171</t>
  </si>
  <si>
    <t>PSF-01106_20261010094627_061</t>
  </si>
  <si>
    <t>165.447586</t>
  </si>
  <si>
    <t>340.793610</t>
  </si>
  <si>
    <t>0.514523</t>
  </si>
  <si>
    <t>45.34</t>
  </si>
  <si>
    <t>44.96</t>
  </si>
  <si>
    <t>24.28</t>
  </si>
  <si>
    <t>26.06</t>
  </si>
  <si>
    <t>156.5</t>
  </si>
  <si>
    <t>-0.4</t>
  </si>
  <si>
    <t>722</t>
  </si>
  <si>
    <t>3.798</t>
  </si>
  <si>
    <t>-21</t>
  </si>
  <si>
    <t>15</t>
  </si>
  <si>
    <t>69</t>
  </si>
  <si>
    <t>33.98</t>
  </si>
  <si>
    <t>82.93</t>
  </si>
  <si>
    <t>25.61</t>
  </si>
  <si>
    <t>-74.21</t>
  </si>
  <si>
    <t>131.41</t>
  </si>
  <si>
    <t>55.79</t>
  </si>
  <si>
    <t>00:44:02</t>
  </si>
  <si>
    <t>35.850498</t>
  </si>
  <si>
    <t>30.400000</t>
  </si>
  <si>
    <t>-0.189</t>
  </si>
  <si>
    <t>-0.362</t>
  </si>
  <si>
    <t>-0.658</t>
  </si>
  <si>
    <t>2.497853</t>
  </si>
  <si>
    <t>2.438884</t>
  </si>
  <si>
    <t>1.669188</t>
  </si>
  <si>
    <t>0.945418</t>
  </si>
  <si>
    <t>0.280710</t>
  </si>
  <si>
    <t>0.022023</t>
  </si>
  <si>
    <t>0.202388</t>
  </si>
  <si>
    <t>0.736760</t>
  </si>
  <si>
    <t>8</t>
  </si>
  <si>
    <t>09:46:48</t>
  </si>
  <si>
    <t>008</t>
  </si>
  <si>
    <t>1.427330</t>
  </si>
  <si>
    <t>1.420681</t>
  </si>
  <si>
    <t>13.953104</t>
  </si>
  <si>
    <t>14.018408</t>
  </si>
  <si>
    <t>PSF-01106_20261010094648_438</t>
  </si>
  <si>
    <t>300.016510</t>
  </si>
  <si>
    <t>542.699219</t>
  </si>
  <si>
    <t>0.447177</t>
  </si>
  <si>
    <t>46.50</t>
  </si>
  <si>
    <t>24.41</t>
  </si>
  <si>
    <t>25.32</t>
  </si>
  <si>
    <t>1.7</t>
  </si>
  <si>
    <t>3.773</t>
  </si>
  <si>
    <t>9</t>
  </si>
  <si>
    <t>74</t>
  </si>
  <si>
    <t>37.32</t>
  </si>
  <si>
    <t>79.52</t>
  </si>
  <si>
    <t>25.54</t>
  </si>
  <si>
    <t>-84.72</t>
  </si>
  <si>
    <t>00:44:24</t>
  </si>
  <si>
    <t>127.130447</t>
  </si>
  <si>
    <t>30.600000</t>
  </si>
  <si>
    <t>-1.099</t>
  </si>
  <si>
    <t>0.273</t>
  </si>
  <si>
    <t>-2.344</t>
  </si>
  <si>
    <t>2.499734</t>
  </si>
  <si>
    <t>2.440392</t>
  </si>
  <si>
    <t>1.669426</t>
  </si>
  <si>
    <t>0.936937</t>
  </si>
  <si>
    <t>0.279234</t>
  </si>
  <si>
    <t>0.011663</t>
  </si>
  <si>
    <t>0.205145</t>
  </si>
  <si>
    <t>0.526792</t>
  </si>
  <si>
    <t>0.000333</t>
  </si>
  <si>
    <t>09:47:18</t>
  </si>
  <si>
    <t>009</t>
  </si>
  <si>
    <t>1.490219</t>
  </si>
  <si>
    <t>1.381957</t>
  </si>
  <si>
    <t>13.572353</t>
  </si>
  <si>
    <t>14.635602</t>
  </si>
  <si>
    <t>PSF-01106_20261010094718_8d8</t>
  </si>
  <si>
    <t>194.720505</t>
  </si>
  <si>
    <t>442.976837</t>
  </si>
  <si>
    <t>0.560427</t>
  </si>
  <si>
    <t>48.04</t>
  </si>
  <si>
    <t>44.55</t>
  </si>
  <si>
    <t>23.84</t>
  </si>
  <si>
    <t>151.7</t>
  </si>
  <si>
    <t>2.8</t>
  </si>
  <si>
    <t>789</t>
  </si>
  <si>
    <t>3.797</t>
  </si>
  <si>
    <t>-12</t>
  </si>
  <si>
    <t>37</t>
  </si>
  <si>
    <t>57.54</t>
  </si>
  <si>
    <t>53.67</t>
  </si>
  <si>
    <t>12.00</t>
  </si>
  <si>
    <t>-143.00</t>
  </si>
  <si>
    <t>00:44:54</t>
  </si>
  <si>
    <t>127.130455</t>
  </si>
  <si>
    <t>31.799999</t>
  </si>
  <si>
    <t>0.770000</t>
  </si>
  <si>
    <t>-0.340</t>
  </si>
  <si>
    <t>-0.447</t>
  </si>
  <si>
    <t>-0.904</t>
  </si>
  <si>
    <t>2.497199</t>
  </si>
  <si>
    <t>2.442368</t>
  </si>
  <si>
    <t>1.670521</t>
  </si>
  <si>
    <t>0.932871</t>
  </si>
  <si>
    <t>0.277265</t>
  </si>
  <si>
    <t>-0.007709</t>
  </si>
  <si>
    <t>0.208986</t>
  </si>
  <si>
    <t>0.795302</t>
  </si>
  <si>
    <t>0.000328</t>
  </si>
  <si>
    <t>10</t>
  </si>
  <si>
    <t>09:47:48</t>
  </si>
  <si>
    <t>010</t>
  </si>
  <si>
    <t>1.443882</t>
  </si>
  <si>
    <t>1.372169</t>
  </si>
  <si>
    <t>13.476216</t>
  </si>
  <si>
    <t>14.180526</t>
  </si>
  <si>
    <t>PSF-01106_20261010094748_383</t>
  </si>
  <si>
    <t>149.285675</t>
  </si>
  <si>
    <t>422.077789</t>
  </si>
  <si>
    <t>0.646308</t>
  </si>
  <si>
    <t>43.81</t>
  </si>
  <si>
    <t>24.75</t>
  </si>
  <si>
    <t>23.62</t>
  </si>
  <si>
    <t>462</t>
  </si>
  <si>
    <t>3.771</t>
  </si>
  <si>
    <t>-31</t>
  </si>
  <si>
    <t>19</t>
  </si>
  <si>
    <t>38</t>
  </si>
  <si>
    <t>45.57</t>
  </si>
  <si>
    <t>70.01</t>
  </si>
  <si>
    <t>35.86</t>
  </si>
  <si>
    <t>-108.24</t>
  </si>
  <si>
    <t>131.65</t>
  </si>
  <si>
    <t>55.64</t>
  </si>
  <si>
    <t>00:45:22</t>
  </si>
  <si>
    <t>35.850506</t>
  </si>
  <si>
    <t>32.200001</t>
  </si>
  <si>
    <t>13</t>
  </si>
  <si>
    <t>-0.366</t>
  </si>
  <si>
    <t>-0.704</t>
  </si>
  <si>
    <t>-1.101</t>
  </si>
  <si>
    <t>2.496100</t>
  </si>
  <si>
    <t>2.439805</t>
  </si>
  <si>
    <t>1.671686</t>
  </si>
  <si>
    <t>0.932972</t>
  </si>
  <si>
    <t>0.275490</t>
  </si>
  <si>
    <t>-0.012118</t>
  </si>
  <si>
    <t>0.212840</t>
  </si>
  <si>
    <t>0.509932</t>
  </si>
  <si>
    <t>0.000342</t>
  </si>
  <si>
    <t>09:48:17</t>
  </si>
  <si>
    <t>011</t>
  </si>
  <si>
    <t>1.429923</t>
  </si>
  <si>
    <t>1.421889</t>
  </si>
  <si>
    <t>13.964700</t>
  </si>
  <si>
    <t>14.043604</t>
  </si>
  <si>
    <t>PSF-01106_20261010094817_a61</t>
  </si>
  <si>
    <t>223.116516</t>
  </si>
  <si>
    <t>505.561707</t>
  </si>
  <si>
    <t>0.558676</t>
  </si>
  <si>
    <t>24.91</t>
  </si>
  <si>
    <t>25.35</t>
  </si>
  <si>
    <t>156.4</t>
  </si>
  <si>
    <t>-0.3</t>
  </si>
  <si>
    <t>564</t>
  </si>
  <si>
    <t>3.795</t>
  </si>
  <si>
    <t>-18</t>
  </si>
  <si>
    <t>-11</t>
  </si>
  <si>
    <t>69.79</t>
  </si>
  <si>
    <t>34.55</t>
  </si>
  <si>
    <t>21.00</t>
  </si>
  <si>
    <t>-176.17</t>
  </si>
  <si>
    <t>00:45:52</t>
  </si>
  <si>
    <t>35.850510</t>
  </si>
  <si>
    <t>32.599998</t>
  </si>
  <si>
    <t>0.216</t>
  </si>
  <si>
    <t>-0.849</t>
  </si>
  <si>
    <t>5.582</t>
  </si>
  <si>
    <t>2.497730</t>
  </si>
  <si>
    <t>2.438611</t>
  </si>
  <si>
    <t>1.669354</t>
  </si>
  <si>
    <t>0.945026</t>
  </si>
  <si>
    <t>0.273702</t>
  </si>
  <si>
    <t>0.006114</t>
  </si>
  <si>
    <t>0.216609</t>
  </si>
  <si>
    <t>0.599106</t>
  </si>
  <si>
    <t>09:48:41</t>
  </si>
  <si>
    <t>012</t>
  </si>
  <si>
    <t>1.436295</t>
  </si>
  <si>
    <t>1.422107</t>
  </si>
  <si>
    <t>13.968489</t>
  </si>
  <si>
    <t>14.107842</t>
  </si>
  <si>
    <t>PSF-01106_20261010094841_182</t>
  </si>
  <si>
    <t>175.614594</t>
  </si>
  <si>
    <t>280.685669</t>
  </si>
  <si>
    <t>0.374337</t>
  </si>
  <si>
    <t>45.02</t>
  </si>
  <si>
    <t>44.57</t>
  </si>
  <si>
    <t>25.06</t>
  </si>
  <si>
    <t>27.69</t>
  </si>
  <si>
    <t>101.81</t>
  </si>
  <si>
    <t>0.0</t>
  </si>
  <si>
    <t>1111</t>
  </si>
  <si>
    <t>3.794</t>
  </si>
  <si>
    <t>50</t>
  </si>
  <si>
    <t>78</t>
  </si>
  <si>
    <t>15.88</t>
  </si>
  <si>
    <t>96.18</t>
  </si>
  <si>
    <t>-28.74</t>
  </si>
  <si>
    <t>131.89</t>
  </si>
  <si>
    <t>55.49</t>
  </si>
  <si>
    <t>00:46:15</t>
  </si>
  <si>
    <t>35.850513</t>
  </si>
  <si>
    <t>32.700001</t>
  </si>
  <si>
    <t>0.740000</t>
  </si>
  <si>
    <t>-0.479</t>
  </si>
  <si>
    <t>-0.969</t>
  </si>
  <si>
    <t>-1.994</t>
  </si>
  <si>
    <t>2.497146</t>
  </si>
  <si>
    <t>2.438329</t>
  </si>
  <si>
    <t>1.672016</t>
  </si>
  <si>
    <t>0.944454</t>
  </si>
  <si>
    <t>0.272099</t>
  </si>
  <si>
    <t>0.032369</t>
  </si>
  <si>
    <t>0.219614</t>
  </si>
  <si>
    <t>1.076048</t>
  </si>
  <si>
    <t>0.000332</t>
  </si>
  <si>
    <t>09:49:09</t>
  </si>
  <si>
    <t>013</t>
  </si>
  <si>
    <t>1.556812</t>
  </si>
  <si>
    <t>1.443252</t>
  </si>
  <si>
    <t>14.175104</t>
  </si>
  <si>
    <t>15.290448</t>
  </si>
  <si>
    <t>PSF-01106_20261010094909_3fd</t>
  </si>
  <si>
    <t>172.591568</t>
  </si>
  <si>
    <t>374.315491</t>
  </si>
  <si>
    <t>0.538914</t>
  </si>
  <si>
    <t>48.36</t>
  </si>
  <si>
    <t>44.83</t>
  </si>
  <si>
    <t>25.21</t>
  </si>
  <si>
    <t>24.80</t>
  </si>
  <si>
    <t>152.1</t>
  </si>
  <si>
    <t>2.5</t>
  </si>
  <si>
    <t>871</t>
  </si>
  <si>
    <t>21</t>
  </si>
  <si>
    <t>22</t>
  </si>
  <si>
    <t>82.36</t>
  </si>
  <si>
    <t>21.36</t>
  </si>
  <si>
    <t>-57.70</t>
  </si>
  <si>
    <t>00:46:45</t>
  </si>
  <si>
    <t>35.850529</t>
  </si>
  <si>
    <t>32.900002</t>
  </si>
  <si>
    <t>0.710000</t>
  </si>
  <si>
    <t>0.050</t>
  </si>
  <si>
    <t>0.526</t>
  </si>
  <si>
    <t>0.940</t>
  </si>
  <si>
    <t>2.497497</t>
  </si>
  <si>
    <t>2.442677</t>
  </si>
  <si>
    <t>1.669778</t>
  </si>
  <si>
    <t>0.934007</t>
  </si>
  <si>
    <t>0.270483</t>
  </si>
  <si>
    <t>-0.003832</t>
  </si>
  <si>
    <t>0.223215</t>
  </si>
  <si>
    <t>0.866307</t>
  </si>
  <si>
    <t>09:49:29</t>
  </si>
  <si>
    <t>014</t>
  </si>
  <si>
    <t>1.554447</t>
  </si>
  <si>
    <t>1.445107</t>
  </si>
  <si>
    <t>14.192896</t>
  </si>
  <si>
    <t>15.266771</t>
  </si>
  <si>
    <t>PSF-01106_20261010094929_e20</t>
  </si>
  <si>
    <t>177.792908</t>
  </si>
  <si>
    <t>434.944855</t>
  </si>
  <si>
    <t>0.591229</t>
  </si>
  <si>
    <t>48.01</t>
  </si>
  <si>
    <t>44.63</t>
  </si>
  <si>
    <t>25.30</t>
  </si>
  <si>
    <t>24.23</t>
  </si>
  <si>
    <t>2.4</t>
  </si>
  <si>
    <t>644</t>
  </si>
  <si>
    <t>28</t>
  </si>
  <si>
    <t>46.62</t>
  </si>
  <si>
    <t>68.68</t>
  </si>
  <si>
    <t>-90.27</t>
  </si>
  <si>
    <t>132.13</t>
  </si>
  <si>
    <t>55.34</t>
  </si>
  <si>
    <t>00:47:05</t>
  </si>
  <si>
    <t>35.850533</t>
  </si>
  <si>
    <t>33.000000</t>
  </si>
  <si>
    <t>0.720000</t>
  </si>
  <si>
    <t>0.044</t>
  </si>
  <si>
    <t>0.116</t>
  </si>
  <si>
    <t>0.026</t>
  </si>
  <si>
    <t>2.497187</t>
  </si>
  <si>
    <t>2.442201</t>
  </si>
  <si>
    <t>1.669384</t>
  </si>
  <si>
    <t>0.934012</t>
  </si>
  <si>
    <t>0.269431</t>
  </si>
  <si>
    <t>-0.011645</t>
  </si>
  <si>
    <t>0.225730</t>
  </si>
  <si>
    <t>0.668491</t>
  </si>
  <si>
    <t>0.000334</t>
  </si>
  <si>
    <t>09:49:47</t>
  </si>
  <si>
    <t>015</t>
  </si>
  <si>
    <t>1.490040</t>
  </si>
  <si>
    <t>1.480201</t>
  </si>
  <si>
    <t>14.536715</t>
  </si>
  <si>
    <t>14.633342</t>
  </si>
  <si>
    <t>PSF-01106_20261010094947_145</t>
  </si>
  <si>
    <t>199.957962</t>
  </si>
  <si>
    <t>504.747375</t>
  </si>
  <si>
    <t>0.603845</t>
  </si>
  <si>
    <t>45.78</t>
  </si>
  <si>
    <t>45.48</t>
  </si>
  <si>
    <t>25.39</t>
  </si>
  <si>
    <t>25.70</t>
  </si>
  <si>
    <t>726</t>
  </si>
  <si>
    <t>-17</t>
  </si>
  <si>
    <t>31</t>
  </si>
  <si>
    <t>60.17</t>
  </si>
  <si>
    <t>49.75</t>
  </si>
  <si>
    <t>17.00</t>
  </si>
  <si>
    <t>-149.00</t>
  </si>
  <si>
    <t>00:47:22</t>
  </si>
  <si>
    <t>35.850536</t>
  </si>
  <si>
    <t>33.099998</t>
  </si>
  <si>
    <t>0.730000</t>
  </si>
  <si>
    <t>-0.002</t>
  </si>
  <si>
    <t>0.121</t>
  </si>
  <si>
    <t>0.517</t>
  </si>
  <si>
    <t>3.891</t>
  </si>
  <si>
    <t>2.498397</t>
  </si>
  <si>
    <t>2.439280</t>
  </si>
  <si>
    <t>1.671603</t>
  </si>
  <si>
    <t>0.944398</t>
  </si>
  <si>
    <t>0.268510</t>
  </si>
  <si>
    <t>0.004597</t>
  </si>
  <si>
    <t>0.227847</t>
  </si>
  <si>
    <t>0.740050</t>
  </si>
  <si>
    <t>0.000345</t>
  </si>
  <si>
    <t>-0.1</t>
  </si>
  <si>
    <t>17</t>
  </si>
  <si>
    <t>09:50:27</t>
  </si>
  <si>
    <t>017</t>
  </si>
  <si>
    <t>1.460022</t>
  </si>
  <si>
    <t>1.453952</t>
  </si>
  <si>
    <t>14.278226</t>
  </si>
  <si>
    <t>14.337840</t>
  </si>
  <si>
    <t>PSF-01106_20261010095027_49b</t>
  </si>
  <si>
    <t>247.498154</t>
  </si>
  <si>
    <t>403.372406</t>
  </si>
  <si>
    <t>0.386428</t>
  </si>
  <si>
    <t>44.29</t>
  </si>
  <si>
    <t>44.10</t>
  </si>
  <si>
    <t>26.96</t>
  </si>
  <si>
    <t>155.8</t>
  </si>
  <si>
    <t>155.3</t>
  </si>
  <si>
    <t>0.4</t>
  </si>
  <si>
    <t>997</t>
  </si>
  <si>
    <t>3.788</t>
  </si>
  <si>
    <t>-28</t>
  </si>
  <si>
    <t>79</t>
  </si>
  <si>
    <t>42.77</t>
  </si>
  <si>
    <t>73.40</t>
  </si>
  <si>
    <t>28.00</t>
  </si>
  <si>
    <t>-101.00</t>
  </si>
  <si>
    <t>132.37</t>
  </si>
  <si>
    <t>55.19</t>
  </si>
  <si>
    <t>00:48:03</t>
  </si>
  <si>
    <t>33.200001</t>
  </si>
  <si>
    <t>-1.425</t>
  </si>
  <si>
    <t>0.955</t>
  </si>
  <si>
    <t>-3.440</t>
  </si>
  <si>
    <t>2.496373</t>
  </si>
  <si>
    <t>2.437278</t>
  </si>
  <si>
    <t>1.668643</t>
  </si>
  <si>
    <t>0.942157</t>
  </si>
  <si>
    <t>0.266203</t>
  </si>
  <si>
    <t>0.016991</t>
  </si>
  <si>
    <t>0.232804</t>
  </si>
  <si>
    <t>0.976358</t>
  </si>
  <si>
    <t>09:51:16</t>
  </si>
  <si>
    <t>1.634377</t>
  </si>
  <si>
    <t>1.495743</t>
  </si>
  <si>
    <t>14.687761</t>
  </si>
  <si>
    <t>16.049109</t>
  </si>
  <si>
    <t>PSF-01106_20261010095116_330</t>
  </si>
  <si>
    <t>197.588684</t>
  </si>
  <si>
    <t>402.181152</t>
  </si>
  <si>
    <t>0.508707</t>
  </si>
  <si>
    <t>48.71</t>
  </si>
  <si>
    <t>44.58</t>
  </si>
  <si>
    <t>25.90</t>
  </si>
  <si>
    <t>25.97</t>
  </si>
  <si>
    <t>151.8</t>
  </si>
  <si>
    <t>2.7</t>
  </si>
  <si>
    <t>1060</t>
  </si>
  <si>
    <t>3.791</t>
  </si>
  <si>
    <t>-33</t>
  </si>
  <si>
    <t>136</t>
  </si>
  <si>
    <t>41.08</t>
  </si>
  <si>
    <t>-85.84</t>
  </si>
  <si>
    <t>00:00:00</t>
  </si>
  <si>
    <t>0000-00-00</t>
  </si>
  <si>
    <t>35.850105</t>
  </si>
  <si>
    <t>127.130287</t>
  </si>
  <si>
    <t>49.700001</t>
  </si>
  <si>
    <t>2.810000</t>
  </si>
  <si>
    <t>09:50:55</t>
  </si>
  <si>
    <t>-0.88</t>
  </si>
  <si>
    <t>-0.507</t>
  </si>
  <si>
    <t>-0.187</t>
  </si>
  <si>
    <t>0.828</t>
  </si>
  <si>
    <t>2.497011</t>
  </si>
  <si>
    <t>2.442607</t>
  </si>
  <si>
    <t>1.670977</t>
  </si>
  <si>
    <t>0.933299</t>
  </si>
  <si>
    <t>0.263085</t>
  </si>
  <si>
    <t>0.001717</t>
  </si>
  <si>
    <t>0.325449</t>
  </si>
  <si>
    <t>1.031709</t>
  </si>
  <si>
    <t>09:51:32</t>
  </si>
  <si>
    <t>1.491513</t>
  </si>
  <si>
    <t>1.462564</t>
  </si>
  <si>
    <t>14.363044</t>
  </si>
  <si>
    <t>14.647344</t>
  </si>
  <si>
    <t>PSF-01106_20261010095132_38c</t>
  </si>
  <si>
    <t>156.255844</t>
  </si>
  <si>
    <t>296.933044</t>
  </si>
  <si>
    <t>0.473767</t>
  </si>
  <si>
    <t>44.22</t>
  </si>
  <si>
    <t>43.36</t>
  </si>
  <si>
    <t>26.00</t>
  </si>
  <si>
    <t>27.74</t>
  </si>
  <si>
    <t>-0.2</t>
  </si>
  <si>
    <t>756</t>
  </si>
  <si>
    <t>3.790</t>
  </si>
  <si>
    <t>-43</t>
  </si>
  <si>
    <t>129</t>
  </si>
  <si>
    <t>23.20</t>
  </si>
  <si>
    <t>91.91</t>
  </si>
  <si>
    <t>45.62</t>
  </si>
  <si>
    <t>-75.15</t>
  </si>
  <si>
    <t>132.61</t>
  </si>
  <si>
    <t>55.04</t>
  </si>
  <si>
    <t>00:49:08</t>
  </si>
  <si>
    <t>35.850437</t>
  </si>
  <si>
    <t>127.130402</t>
  </si>
  <si>
    <t>32.000000</t>
  </si>
  <si>
    <t>1.250000</t>
  </si>
  <si>
    <t>-0.006</t>
  </si>
  <si>
    <t>-0.405</t>
  </si>
  <si>
    <t>-2.952</t>
  </si>
  <si>
    <t>2.495224</t>
  </si>
  <si>
    <t>2.436702</t>
  </si>
  <si>
    <t>1.671070</t>
  </si>
  <si>
    <t>0.945016</t>
  </si>
  <si>
    <t>0.262122</t>
  </si>
  <si>
    <t>0.021748</t>
  </si>
  <si>
    <t>0.327114</t>
  </si>
  <si>
    <t>0.766715</t>
  </si>
  <si>
    <t>0.000329</t>
  </si>
  <si>
    <t>09:51:59</t>
  </si>
  <si>
    <t>1.649256</t>
  </si>
  <si>
    <t>1.517586</t>
  </si>
  <si>
    <t>14.903720</t>
  </si>
  <si>
    <t>16.196810</t>
  </si>
  <si>
    <t>PSF-01106_20261010095159_756</t>
  </si>
  <si>
    <t>188.752060</t>
  </si>
  <si>
    <t>376.486664</t>
  </si>
  <si>
    <t>0.498649</t>
  </si>
  <si>
    <t>48.50</t>
  </si>
  <si>
    <t>26.13</t>
  </si>
  <si>
    <t>26.07</t>
  </si>
  <si>
    <t>152.5</t>
  </si>
  <si>
    <t>2.1</t>
  </si>
  <si>
    <t>1265</t>
  </si>
  <si>
    <t>3.764</t>
  </si>
  <si>
    <t>-34</t>
  </si>
  <si>
    <t>142</t>
  </si>
  <si>
    <t>22.79</t>
  </si>
  <si>
    <t>92.20</t>
  </si>
  <si>
    <t>34.05</t>
  </si>
  <si>
    <t>-34.43</t>
  </si>
  <si>
    <t>00:49:35</t>
  </si>
  <si>
    <t>35.850544</t>
  </si>
  <si>
    <t>30.299999</t>
  </si>
  <si>
    <t>1.190000</t>
  </si>
  <si>
    <t>0.750</t>
  </si>
  <si>
    <t>0.651</t>
  </si>
  <si>
    <t>2.016</t>
  </si>
  <si>
    <t>2.497032</t>
  </si>
  <si>
    <t>2.442284</t>
  </si>
  <si>
    <t>1.668673</t>
  </si>
  <si>
    <t>0.935030</t>
  </si>
  <si>
    <t>0.260700</t>
  </si>
  <si>
    <t>0.000169</t>
  </si>
  <si>
    <t>0.330025</t>
  </si>
  <si>
    <t>1.210498</t>
  </si>
  <si>
    <t>09:52:11</t>
  </si>
  <si>
    <t>1.535984</t>
  </si>
  <si>
    <t>1.502202</t>
  </si>
  <si>
    <t>14.752965</t>
  </si>
  <si>
    <t>15.084728</t>
  </si>
  <si>
    <t>PSF-01106_20261010095211_a44</t>
  </si>
  <si>
    <t>138.844727</t>
  </si>
  <si>
    <t>209.583160</t>
  </si>
  <si>
    <t>0.337520</t>
  </si>
  <si>
    <t>44.99</t>
  </si>
  <si>
    <t>44.00</t>
  </si>
  <si>
    <t>26.20</t>
  </si>
  <si>
    <t>30.81</t>
  </si>
  <si>
    <t>155.5</t>
  </si>
  <si>
    <t>1279</t>
  </si>
  <si>
    <t>3.789</t>
  </si>
  <si>
    <t>-40</t>
  </si>
  <si>
    <t>165</t>
  </si>
  <si>
    <t>17.11</t>
  </si>
  <si>
    <t>95.58</t>
  </si>
  <si>
    <t>41.47</t>
  </si>
  <si>
    <t>-33.30</t>
  </si>
  <si>
    <t>00:49:47</t>
  </si>
  <si>
    <t>29.799999</t>
  </si>
  <si>
    <t>-9999.000</t>
  </si>
  <si>
    <t>-0.729</t>
  </si>
  <si>
    <t>-0.480</t>
  </si>
  <si>
    <t>2.496121</t>
  </si>
  <si>
    <t>2.437691</t>
  </si>
  <si>
    <t>1.670437</t>
  </si>
  <si>
    <t>0.942748</t>
  </si>
  <si>
    <t>0.260020</t>
  </si>
  <si>
    <t>0.057158</t>
  </si>
  <si>
    <t>0.331343</t>
  </si>
  <si>
    <t>1.222707</t>
  </si>
  <si>
    <t>09:52:47</t>
  </si>
  <si>
    <t>1.752596</t>
  </si>
  <si>
    <t>1.580157</t>
  </si>
  <si>
    <t>15.516796</t>
  </si>
  <si>
    <t>17.210110</t>
  </si>
  <si>
    <t>PSF-01106_20261010095247_c4c</t>
  </si>
  <si>
    <t>267.284271</t>
  </si>
  <si>
    <t>406.770599</t>
  </si>
  <si>
    <t>0.342912</t>
  </si>
  <si>
    <t>50.77</t>
  </si>
  <si>
    <t>45.77</t>
  </si>
  <si>
    <t>26.39</t>
  </si>
  <si>
    <t>27.07</t>
  </si>
  <si>
    <t>152.0</t>
  </si>
  <si>
    <t>1281</t>
  </si>
  <si>
    <t>-48</t>
  </si>
  <si>
    <t>138</t>
  </si>
  <si>
    <t>16.21</t>
  </si>
  <si>
    <t>96.03</t>
  </si>
  <si>
    <t>50.75</t>
  </si>
  <si>
    <t>-66.86</t>
  </si>
  <si>
    <t>132.85</t>
  </si>
  <si>
    <t>54.89</t>
  </si>
  <si>
    <t>00:50:23</t>
  </si>
  <si>
    <t>35.850540</t>
  </si>
  <si>
    <t>28.799999</t>
  </si>
  <si>
    <t>-1.046</t>
  </si>
  <si>
    <t>-0.821</t>
  </si>
  <si>
    <t>-2.494</t>
  </si>
  <si>
    <t>2.498631</t>
  </si>
  <si>
    <t>2.445177</t>
  </si>
  <si>
    <t>1.669565</t>
  </si>
  <si>
    <t>0.933735</t>
  </si>
  <si>
    <t>0.258066</t>
  </si>
  <si>
    <t>0.009053</t>
  </si>
  <si>
    <t>0.335373</t>
  </si>
  <si>
    <t>1.223970</t>
  </si>
  <si>
    <t>09:53:09</t>
  </si>
  <si>
    <t>1.557514</t>
  </si>
  <si>
    <t>1.523138</t>
  </si>
  <si>
    <t>14.955636</t>
  </si>
  <si>
    <t>15.293177</t>
  </si>
  <si>
    <t>PSF-01106_20261010095309_bf3</t>
  </si>
  <si>
    <t>200.622803</t>
  </si>
  <si>
    <t>437.045227</t>
  </si>
  <si>
    <t>0.540956</t>
  </si>
  <si>
    <t>44.82</t>
  </si>
  <si>
    <t>43.83</t>
  </si>
  <si>
    <t>26.50</t>
  </si>
  <si>
    <t>27.88</t>
  </si>
  <si>
    <t>741</t>
  </si>
  <si>
    <t>-29</t>
  </si>
  <si>
    <t>-4</t>
  </si>
  <si>
    <t>212</t>
  </si>
  <si>
    <t>50.78</t>
  </si>
  <si>
    <t>63.23</t>
  </si>
  <si>
    <t>29.25</t>
  </si>
  <si>
    <t>23.79</t>
  </si>
  <si>
    <t>00:50:44</t>
  </si>
  <si>
    <t>35.850464</t>
  </si>
  <si>
    <t>127.130379</t>
  </si>
  <si>
    <t>28.500000</t>
  </si>
  <si>
    <t>1.390000</t>
  </si>
  <si>
    <t>0.366</t>
  </si>
  <si>
    <t>-0.880</t>
  </si>
  <si>
    <t>3.071</t>
  </si>
  <si>
    <t>2.495821</t>
  </si>
  <si>
    <t>2.437415</t>
  </si>
  <si>
    <t>1.669889</t>
  </si>
  <si>
    <t>0.944613</t>
  </si>
  <si>
    <t>0.256930</t>
  </si>
  <si>
    <t>0.017426</t>
  </si>
  <si>
    <t>0.337794</t>
  </si>
  <si>
    <t>0.753613</t>
  </si>
  <si>
    <t>09:53:35</t>
  </si>
  <si>
    <t>1.598468</t>
  </si>
  <si>
    <t>1.488699</t>
  </si>
  <si>
    <t>14.618740</t>
  </si>
  <si>
    <t>15.696649</t>
  </si>
  <si>
    <t>PSF-01106_20261010095335_62a</t>
  </si>
  <si>
    <t>179.425476</t>
  </si>
  <si>
    <t>364.842651</t>
  </si>
  <si>
    <t>0.508211</t>
  </si>
  <si>
    <t>45.73</t>
  </si>
  <si>
    <t>42.59</t>
  </si>
  <si>
    <t>26.60</t>
  </si>
  <si>
    <t>26.25</t>
  </si>
  <si>
    <t>153.4</t>
  </si>
  <si>
    <t>864</t>
  </si>
  <si>
    <t>-41</t>
  </si>
  <si>
    <t>161</t>
  </si>
  <si>
    <t>10.07</t>
  </si>
  <si>
    <t>98.46</t>
  </si>
  <si>
    <t>47.29</t>
  </si>
  <si>
    <t>-55.63</t>
  </si>
  <si>
    <t>133.10</t>
  </si>
  <si>
    <t>54.74</t>
  </si>
  <si>
    <t>00:51:11</t>
  </si>
  <si>
    <t>127.130409</t>
  </si>
  <si>
    <t>-0.063</t>
  </si>
  <si>
    <t>-0.614</t>
  </si>
  <si>
    <t>-1.926</t>
  </si>
  <si>
    <t>2.494003</t>
  </si>
  <si>
    <t>2.438588</t>
  </si>
  <si>
    <t>1.669590</t>
  </si>
  <si>
    <t>0.937267</t>
  </si>
  <si>
    <t>0.255905</t>
  </si>
  <si>
    <t>-0.003187</t>
  </si>
  <si>
    <t>0.340582</t>
  </si>
  <si>
    <t>0.860858</t>
  </si>
  <si>
    <t>0.000341</t>
  </si>
  <si>
    <t>09:53:48</t>
  </si>
  <si>
    <t>1.504116</t>
  </si>
  <si>
    <t>1.478544</t>
  </si>
  <si>
    <t>14.517843</t>
  </si>
  <si>
    <t>14.768934</t>
  </si>
  <si>
    <t>PSF-01106_20261010095348_09f</t>
  </si>
  <si>
    <t>139.630081</t>
  </si>
  <si>
    <t>200.515152</t>
  </si>
  <si>
    <t>0.303643</t>
  </si>
  <si>
    <t>42.90</t>
  </si>
  <si>
    <t>42.17</t>
  </si>
  <si>
    <t>26.65</t>
  </si>
  <si>
    <t>30.63</t>
  </si>
  <si>
    <t>1183</t>
  </si>
  <si>
    <t>-45</t>
  </si>
  <si>
    <t>157</t>
  </si>
  <si>
    <t>16.89</t>
  </si>
  <si>
    <t>95.69</t>
  </si>
  <si>
    <t>45.14</t>
  </si>
  <si>
    <t>-28.65</t>
  </si>
  <si>
    <t>00:51:19</t>
  </si>
  <si>
    <t>0.008</t>
  </si>
  <si>
    <t>-0.433</t>
  </si>
  <si>
    <t>-0.324</t>
  </si>
  <si>
    <t>2.666</t>
  </si>
  <si>
    <t>2.493389</t>
  </si>
  <si>
    <t>2.434856</t>
  </si>
  <si>
    <t>1.671068</t>
  </si>
  <si>
    <t>0.944972</t>
  </si>
  <si>
    <t>0.255388</t>
  </si>
  <si>
    <t>0.049373</t>
  </si>
  <si>
    <t>0.341848</t>
  </si>
  <si>
    <t>1.138568</t>
  </si>
  <si>
    <t>CR-1</t>
    <phoneticPr fontId="1" type="noConversion"/>
  </si>
  <si>
    <t>CR-2</t>
  </si>
  <si>
    <t>WR-1</t>
    <phoneticPr fontId="1" type="noConversion"/>
  </si>
  <si>
    <t>WR-2</t>
  </si>
  <si>
    <t>CR-4</t>
  </si>
  <si>
    <t>WR-4</t>
  </si>
  <si>
    <t>CR-6</t>
  </si>
  <si>
    <t>WR-6</t>
  </si>
  <si>
    <t>CR-8</t>
  </si>
  <si>
    <t>WR-8</t>
  </si>
  <si>
    <t>WR-9</t>
    <phoneticPr fontId="1" type="noConversion"/>
  </si>
  <si>
    <t>CR-10</t>
  </si>
  <si>
    <t>WR-10</t>
  </si>
  <si>
    <t>CR-11</t>
  </si>
  <si>
    <t>WR-11</t>
  </si>
  <si>
    <t>CR-12</t>
  </si>
  <si>
    <t>WR-12</t>
  </si>
  <si>
    <t>CR-3</t>
  </si>
  <si>
    <t>WR-3</t>
  </si>
  <si>
    <t>CR-5</t>
  </si>
  <si>
    <t>WR-5</t>
  </si>
  <si>
    <t>CR-7</t>
  </si>
  <si>
    <t>WR-7</t>
  </si>
  <si>
    <t>CR-9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</si>
</sst>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7"/>
  <sheetViews>
    <sheetView tabSelected="1" workbookViewId="0">
      <selection activeCell="G4" sqref="G4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1153</v>
      </c>
      <c r="I4" t="s">
        <v>165</v>
      </c>
      <c r="J4">
        <f t="shared" ref="J4:J27" si="0">1/((1/L4)-(1/K4))</f>
        <v>0.21897480981010686</v>
      </c>
      <c r="K4">
        <f t="shared" ref="K4:K27" si="1">BY4+(BZ4*AN4)+(CA4*AN4*POWER(V4,2))+(CB4*AN4*V4)+(CC4*POWER(AN4,2))</f>
        <v>2.9042299199999997</v>
      </c>
      <c r="L4">
        <f t="shared" ref="L4:L27" si="2">((M4/1000)*(1000-((T4+S4)/2)))/(T4-S4)</f>
        <v>0.20362200028285954</v>
      </c>
      <c r="M4">
        <f t="shared" ref="M4:M27" si="3">(AN4*(S4-R4))/(100*U4*(1000-S4))*1000</f>
        <v>2.6178962129612393</v>
      </c>
      <c r="N4" t="s">
        <v>166</v>
      </c>
      <c r="O4" t="s">
        <v>167</v>
      </c>
      <c r="P4">
        <f t="shared" ref="P4:P27" si="4">0.61365*EXP((17.502*AL4)/(240.97+AL4))</f>
        <v>2.6844108783509917</v>
      </c>
      <c r="Q4">
        <f t="shared" ref="Q4:Q27" si="5">P4-N4</f>
        <v>1.2830808783509917</v>
      </c>
      <c r="R4" t="s">
        <v>168</v>
      </c>
      <c r="S4" t="s">
        <v>169</v>
      </c>
      <c r="T4">
        <f t="shared" ref="T4:T27" si="6">(P4/AM4)*1000</f>
        <v>26.359101319235975</v>
      </c>
      <c r="U4">
        <f t="shared" ref="U4:U27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27" si="8">AC4*AD4*AE4*AQ4</f>
        <v>218.85111359999996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27" si="9">(AK4-AJ4)*(AJ4*0+0)+AK4</f>
        <v>22.19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160</v>
      </c>
      <c r="AU4" t="s">
        <v>190</v>
      </c>
      <c r="AV4" t="s">
        <v>191</v>
      </c>
      <c r="AW4" t="s">
        <v>192</v>
      </c>
      <c r="AX4" t="s">
        <v>193</v>
      </c>
      <c r="AY4" t="s">
        <v>194</v>
      </c>
      <c r="AZ4" t="s">
        <v>195</v>
      </c>
      <c r="BA4" t="s">
        <v>196</v>
      </c>
      <c r="BB4" t="s">
        <v>197</v>
      </c>
      <c r="BC4" t="s">
        <v>198</v>
      </c>
      <c r="BD4" t="s">
        <v>162</v>
      </c>
      <c r="BE4" t="s">
        <v>199</v>
      </c>
      <c r="BF4" t="s">
        <v>200</v>
      </c>
      <c r="BG4" t="s">
        <v>201</v>
      </c>
      <c r="BH4" t="s">
        <v>202</v>
      </c>
      <c r="BI4" t="s">
        <v>203</v>
      </c>
      <c r="BJ4" t="s">
        <v>204</v>
      </c>
      <c r="BK4" t="s">
        <v>162</v>
      </c>
      <c r="BL4" t="s">
        <v>205</v>
      </c>
      <c r="BM4" t="s">
        <v>160</v>
      </c>
      <c r="BN4" t="s">
        <v>206</v>
      </c>
      <c r="BO4" t="s">
        <v>207</v>
      </c>
      <c r="BP4" t="s">
        <v>206</v>
      </c>
      <c r="BQ4" t="s">
        <v>208</v>
      </c>
      <c r="BR4" t="s">
        <v>209</v>
      </c>
      <c r="BS4" t="s">
        <v>210</v>
      </c>
      <c r="BT4" t="s">
        <v>160</v>
      </c>
      <c r="BU4" t="s">
        <v>211</v>
      </c>
      <c r="BV4" t="s">
        <v>206</v>
      </c>
      <c r="BW4" t="s">
        <v>212</v>
      </c>
      <c r="BX4" t="s">
        <v>213</v>
      </c>
      <c r="BY4" t="s">
        <v>172</v>
      </c>
      <c r="BZ4" t="s">
        <v>214</v>
      </c>
      <c r="CA4" t="s">
        <v>172</v>
      </c>
      <c r="CB4" t="s">
        <v>172</v>
      </c>
      <c r="CC4" t="s">
        <v>215</v>
      </c>
      <c r="CD4" t="s">
        <v>216</v>
      </c>
      <c r="CE4" t="s">
        <v>217</v>
      </c>
      <c r="CF4" t="s">
        <v>218</v>
      </c>
      <c r="CG4" t="s">
        <v>219</v>
      </c>
      <c r="CH4" t="s">
        <v>220</v>
      </c>
      <c r="CI4" t="s">
        <v>178</v>
      </c>
      <c r="CJ4" t="s">
        <v>212</v>
      </c>
      <c r="CK4" t="s">
        <v>221</v>
      </c>
      <c r="CL4" t="s">
        <v>221</v>
      </c>
      <c r="CM4" t="s">
        <v>221</v>
      </c>
      <c r="CN4" t="s">
        <v>172</v>
      </c>
      <c r="CO4" t="s">
        <v>222</v>
      </c>
      <c r="CP4" t="s">
        <v>172</v>
      </c>
      <c r="CQ4" t="s">
        <v>172</v>
      </c>
      <c r="CR4" t="s">
        <v>172</v>
      </c>
      <c r="CS4" t="s">
        <v>172</v>
      </c>
      <c r="CT4" t="s">
        <v>223</v>
      </c>
      <c r="CU4" t="s">
        <v>224</v>
      </c>
      <c r="CV4" t="s">
        <v>225</v>
      </c>
      <c r="CW4" t="s">
        <v>226</v>
      </c>
      <c r="CX4" t="s">
        <v>227</v>
      </c>
      <c r="CY4" t="s">
        <v>228</v>
      </c>
      <c r="CZ4" t="s">
        <v>229</v>
      </c>
      <c r="DA4" t="s">
        <v>230</v>
      </c>
      <c r="DB4" t="s">
        <v>173</v>
      </c>
      <c r="DC4" t="s">
        <v>231</v>
      </c>
      <c r="DD4" t="s">
        <v>232</v>
      </c>
      <c r="DE4" t="s">
        <v>233</v>
      </c>
      <c r="DF4" t="s">
        <v>178</v>
      </c>
      <c r="DG4" t="s">
        <v>234</v>
      </c>
      <c r="DH4" t="s">
        <v>235</v>
      </c>
      <c r="DI4" t="s">
        <v>178</v>
      </c>
      <c r="DJ4" t="s">
        <v>236</v>
      </c>
      <c r="DK4" t="s">
        <v>237</v>
      </c>
      <c r="DL4" t="s">
        <v>238</v>
      </c>
      <c r="DM4" t="s">
        <v>172</v>
      </c>
      <c r="DN4" t="s">
        <v>171</v>
      </c>
      <c r="DO4" t="s">
        <v>239</v>
      </c>
      <c r="DP4" t="s">
        <v>240</v>
      </c>
      <c r="DQ4" t="s">
        <v>241</v>
      </c>
      <c r="DR4" t="s">
        <v>242</v>
      </c>
      <c r="DS4" t="s">
        <v>243</v>
      </c>
      <c r="DT4" t="s">
        <v>244</v>
      </c>
    </row>
    <row r="5" spans="1:124" x14ac:dyDescent="0.3">
      <c r="A5" t="s">
        <v>245</v>
      </c>
      <c r="B5" t="s">
        <v>246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1154</v>
      </c>
      <c r="I5" t="s">
        <v>247</v>
      </c>
      <c r="J5">
        <f t="shared" si="0"/>
        <v>0.32958335479202333</v>
      </c>
      <c r="K5">
        <f t="shared" si="1"/>
        <v>2.9066320800000001</v>
      </c>
      <c r="L5">
        <f t="shared" si="2"/>
        <v>0.29601785523097646</v>
      </c>
      <c r="M5">
        <f t="shared" si="3"/>
        <v>3.7683495659456341</v>
      </c>
      <c r="N5" t="s">
        <v>248</v>
      </c>
      <c r="O5" t="s">
        <v>249</v>
      </c>
      <c r="P5">
        <f t="shared" si="4"/>
        <v>2.7521738325917475</v>
      </c>
      <c r="Q5">
        <f t="shared" si="5"/>
        <v>1.2694568325917475</v>
      </c>
      <c r="R5" t="s">
        <v>250</v>
      </c>
      <c r="S5" t="s">
        <v>251</v>
      </c>
      <c r="T5">
        <f t="shared" si="6"/>
        <v>27.02448775129367</v>
      </c>
      <c r="U5">
        <f t="shared" si="7"/>
        <v>0.4417875</v>
      </c>
      <c r="V5" t="s">
        <v>170</v>
      </c>
      <c r="W5" t="s">
        <v>252</v>
      </c>
      <c r="X5" t="s">
        <v>172</v>
      </c>
      <c r="Y5" t="s">
        <v>172</v>
      </c>
      <c r="Z5" t="s">
        <v>172</v>
      </c>
      <c r="AA5" t="s">
        <v>253</v>
      </c>
      <c r="AB5" t="s">
        <v>254</v>
      </c>
      <c r="AC5" t="s">
        <v>255</v>
      </c>
      <c r="AD5" t="s">
        <v>176</v>
      </c>
      <c r="AE5" t="s">
        <v>177</v>
      </c>
      <c r="AF5">
        <f t="shared" si="8"/>
        <v>116.83139832000001</v>
      </c>
      <c r="AG5" t="s">
        <v>178</v>
      </c>
      <c r="AH5" t="s">
        <v>256</v>
      </c>
      <c r="AI5" t="s">
        <v>257</v>
      </c>
      <c r="AJ5" t="s">
        <v>258</v>
      </c>
      <c r="AK5" t="s">
        <v>259</v>
      </c>
      <c r="AL5">
        <f t="shared" si="9"/>
        <v>22.6</v>
      </c>
      <c r="AM5" t="s">
        <v>183</v>
      </c>
      <c r="AN5" t="s">
        <v>260</v>
      </c>
      <c r="AO5" t="s">
        <v>261</v>
      </c>
      <c r="AP5" t="s">
        <v>262</v>
      </c>
      <c r="AQ5" t="s">
        <v>263</v>
      </c>
      <c r="AR5" t="s">
        <v>264</v>
      </c>
      <c r="AS5" t="s">
        <v>265</v>
      </c>
      <c r="AT5" t="s">
        <v>266</v>
      </c>
      <c r="AU5" t="s">
        <v>267</v>
      </c>
      <c r="AV5" t="s">
        <v>268</v>
      </c>
      <c r="AW5" t="s">
        <v>269</v>
      </c>
      <c r="AX5" t="s">
        <v>270</v>
      </c>
      <c r="AY5" t="s">
        <v>271</v>
      </c>
      <c r="AZ5" t="s">
        <v>195</v>
      </c>
      <c r="BA5" t="s">
        <v>272</v>
      </c>
      <c r="BB5" t="s">
        <v>273</v>
      </c>
      <c r="BC5" t="s">
        <v>274</v>
      </c>
      <c r="BD5" t="s">
        <v>162</v>
      </c>
      <c r="BE5" t="s">
        <v>275</v>
      </c>
      <c r="BF5" t="s">
        <v>276</v>
      </c>
      <c r="BG5" t="s">
        <v>277</v>
      </c>
      <c r="BH5" t="s">
        <v>266</v>
      </c>
      <c r="BI5" t="s">
        <v>278</v>
      </c>
      <c r="BJ5" t="s">
        <v>204</v>
      </c>
      <c r="BK5" t="s">
        <v>162</v>
      </c>
      <c r="BL5" t="s">
        <v>205</v>
      </c>
      <c r="BM5" t="s">
        <v>160</v>
      </c>
      <c r="BN5" t="s">
        <v>279</v>
      </c>
      <c r="BO5" t="s">
        <v>206</v>
      </c>
      <c r="BP5" t="s">
        <v>280</v>
      </c>
      <c r="BQ5" t="s">
        <v>281</v>
      </c>
      <c r="BR5" t="s">
        <v>282</v>
      </c>
      <c r="BS5" t="s">
        <v>283</v>
      </c>
      <c r="BT5" t="s">
        <v>160</v>
      </c>
      <c r="BU5" t="s">
        <v>211</v>
      </c>
      <c r="BV5" t="s">
        <v>206</v>
      </c>
      <c r="BW5" t="s">
        <v>212</v>
      </c>
      <c r="BX5" t="s">
        <v>213</v>
      </c>
      <c r="BY5" t="s">
        <v>172</v>
      </c>
      <c r="BZ5" t="s">
        <v>214</v>
      </c>
      <c r="CA5" t="s">
        <v>172</v>
      </c>
      <c r="CB5" t="s">
        <v>172</v>
      </c>
      <c r="CC5" t="s">
        <v>215</v>
      </c>
      <c r="CD5" t="s">
        <v>216</v>
      </c>
      <c r="CE5" t="s">
        <v>217</v>
      </c>
      <c r="CF5" t="s">
        <v>218</v>
      </c>
      <c r="CG5" t="s">
        <v>219</v>
      </c>
      <c r="CH5" t="s">
        <v>220</v>
      </c>
      <c r="CI5" t="s">
        <v>178</v>
      </c>
      <c r="CJ5" t="s">
        <v>212</v>
      </c>
      <c r="CK5" t="s">
        <v>221</v>
      </c>
      <c r="CL5" t="s">
        <v>221</v>
      </c>
      <c r="CM5" t="s">
        <v>221</v>
      </c>
      <c r="CN5" t="s">
        <v>172</v>
      </c>
      <c r="CO5" t="s">
        <v>222</v>
      </c>
      <c r="CP5" t="s">
        <v>172</v>
      </c>
      <c r="CQ5" t="s">
        <v>172</v>
      </c>
      <c r="CR5" t="s">
        <v>172</v>
      </c>
      <c r="CS5" t="s">
        <v>172</v>
      </c>
      <c r="CT5" t="s">
        <v>284</v>
      </c>
      <c r="CU5" t="s">
        <v>285</v>
      </c>
      <c r="CV5" t="s">
        <v>286</v>
      </c>
      <c r="CW5" t="s">
        <v>287</v>
      </c>
      <c r="CX5" t="s">
        <v>288</v>
      </c>
      <c r="CY5" t="s">
        <v>289</v>
      </c>
      <c r="CZ5" t="s">
        <v>290</v>
      </c>
      <c r="DA5" t="s">
        <v>291</v>
      </c>
      <c r="DB5" t="s">
        <v>253</v>
      </c>
      <c r="DC5" t="s">
        <v>292</v>
      </c>
      <c r="DD5" t="s">
        <v>232</v>
      </c>
      <c r="DE5" t="s">
        <v>233</v>
      </c>
      <c r="DF5" t="s">
        <v>178</v>
      </c>
      <c r="DG5" t="s">
        <v>234</v>
      </c>
      <c r="DH5" t="s">
        <v>235</v>
      </c>
      <c r="DI5" t="s">
        <v>178</v>
      </c>
      <c r="DJ5" t="s">
        <v>236</v>
      </c>
      <c r="DK5" t="s">
        <v>237</v>
      </c>
      <c r="DL5" t="s">
        <v>238</v>
      </c>
      <c r="DM5" t="s">
        <v>172</v>
      </c>
      <c r="DN5" t="s">
        <v>252</v>
      </c>
      <c r="DO5" t="s">
        <v>239</v>
      </c>
      <c r="DP5" t="s">
        <v>240</v>
      </c>
      <c r="DQ5" t="s">
        <v>241</v>
      </c>
      <c r="DR5" t="s">
        <v>242</v>
      </c>
      <c r="DS5" t="s">
        <v>243</v>
      </c>
      <c r="DT5" t="s">
        <v>244</v>
      </c>
    </row>
    <row r="6" spans="1:124" x14ac:dyDescent="0.3">
      <c r="A6" t="s">
        <v>293</v>
      </c>
      <c r="B6" t="s">
        <v>294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1155</v>
      </c>
      <c r="I6" t="s">
        <v>295</v>
      </c>
      <c r="J6">
        <f t="shared" si="0"/>
        <v>1.2202574789958886E-2</v>
      </c>
      <c r="K6">
        <f t="shared" si="1"/>
        <v>2.9026216799999998</v>
      </c>
      <c r="L6">
        <f t="shared" si="2"/>
        <v>1.2151490121214333E-2</v>
      </c>
      <c r="M6">
        <f t="shared" si="3"/>
        <v>0.21749789408565784</v>
      </c>
      <c r="N6" t="s">
        <v>296</v>
      </c>
      <c r="O6" t="s">
        <v>297</v>
      </c>
      <c r="P6">
        <f t="shared" si="4"/>
        <v>3.1475931363745913</v>
      </c>
      <c r="Q6">
        <f t="shared" si="5"/>
        <v>1.7822131363745912</v>
      </c>
      <c r="R6" t="s">
        <v>298</v>
      </c>
      <c r="S6" t="s">
        <v>299</v>
      </c>
      <c r="T6">
        <f t="shared" si="6"/>
        <v>30.910273361235308</v>
      </c>
      <c r="U6">
        <f t="shared" si="7"/>
        <v>0.4417875</v>
      </c>
      <c r="V6" t="s">
        <v>170</v>
      </c>
      <c r="W6" t="s">
        <v>300</v>
      </c>
      <c r="X6" t="s">
        <v>172</v>
      </c>
      <c r="Y6" t="s">
        <v>172</v>
      </c>
      <c r="Z6" t="s">
        <v>172</v>
      </c>
      <c r="AA6" t="s">
        <v>301</v>
      </c>
      <c r="AB6" t="s">
        <v>302</v>
      </c>
      <c r="AC6" t="s">
        <v>303</v>
      </c>
      <c r="AD6" t="s">
        <v>176</v>
      </c>
      <c r="AE6" t="s">
        <v>177</v>
      </c>
      <c r="AF6">
        <f t="shared" si="8"/>
        <v>128.18996903999999</v>
      </c>
      <c r="AG6" t="s">
        <v>178</v>
      </c>
      <c r="AH6" t="s">
        <v>304</v>
      </c>
      <c r="AI6" t="s">
        <v>305</v>
      </c>
      <c r="AJ6" t="s">
        <v>306</v>
      </c>
      <c r="AK6" t="s">
        <v>307</v>
      </c>
      <c r="AL6">
        <f t="shared" si="9"/>
        <v>24.83</v>
      </c>
      <c r="AM6" t="s">
        <v>308</v>
      </c>
      <c r="AN6" t="s">
        <v>309</v>
      </c>
      <c r="AO6" t="s">
        <v>310</v>
      </c>
      <c r="AP6" t="s">
        <v>311</v>
      </c>
      <c r="AQ6" t="s">
        <v>312</v>
      </c>
      <c r="AR6" t="s">
        <v>188</v>
      </c>
      <c r="AS6" t="s">
        <v>313</v>
      </c>
      <c r="AT6" t="s">
        <v>314</v>
      </c>
      <c r="AU6" t="s">
        <v>315</v>
      </c>
      <c r="AV6" t="s">
        <v>316</v>
      </c>
      <c r="AW6" t="s">
        <v>317</v>
      </c>
      <c r="AX6" t="s">
        <v>318</v>
      </c>
      <c r="AY6" t="s">
        <v>319</v>
      </c>
      <c r="AZ6" t="s">
        <v>195</v>
      </c>
      <c r="BA6" t="s">
        <v>272</v>
      </c>
      <c r="BB6" t="s">
        <v>273</v>
      </c>
      <c r="BC6" t="s">
        <v>320</v>
      </c>
      <c r="BD6" t="s">
        <v>162</v>
      </c>
      <c r="BE6" t="s">
        <v>321</v>
      </c>
      <c r="BF6" t="s">
        <v>276</v>
      </c>
      <c r="BG6" t="s">
        <v>322</v>
      </c>
      <c r="BH6" t="s">
        <v>266</v>
      </c>
      <c r="BI6" t="s">
        <v>278</v>
      </c>
      <c r="BJ6" t="s">
        <v>204</v>
      </c>
      <c r="BK6" t="s">
        <v>162</v>
      </c>
      <c r="BL6" t="s">
        <v>205</v>
      </c>
      <c r="BM6" t="s">
        <v>160</v>
      </c>
      <c r="BN6" t="s">
        <v>207</v>
      </c>
      <c r="BO6" t="s">
        <v>323</v>
      </c>
      <c r="BP6" t="s">
        <v>324</v>
      </c>
      <c r="BQ6" t="s">
        <v>325</v>
      </c>
      <c r="BR6" t="s">
        <v>326</v>
      </c>
      <c r="BS6" t="s">
        <v>327</v>
      </c>
      <c r="BT6" t="s">
        <v>160</v>
      </c>
      <c r="BU6" t="s">
        <v>211</v>
      </c>
      <c r="BV6" t="s">
        <v>206</v>
      </c>
      <c r="BW6" t="s">
        <v>212</v>
      </c>
      <c r="BX6" t="s">
        <v>213</v>
      </c>
      <c r="BY6" t="s">
        <v>172</v>
      </c>
      <c r="BZ6" t="s">
        <v>214</v>
      </c>
      <c r="CA6" t="s">
        <v>172</v>
      </c>
      <c r="CB6" t="s">
        <v>172</v>
      </c>
      <c r="CC6" t="s">
        <v>215</v>
      </c>
      <c r="CD6" t="s">
        <v>216</v>
      </c>
      <c r="CE6" t="s">
        <v>217</v>
      </c>
      <c r="CF6" t="s">
        <v>218</v>
      </c>
      <c r="CG6" t="s">
        <v>219</v>
      </c>
      <c r="CH6" t="s">
        <v>220</v>
      </c>
      <c r="CI6" t="s">
        <v>178</v>
      </c>
      <c r="CJ6" t="s">
        <v>212</v>
      </c>
      <c r="CK6" t="s">
        <v>221</v>
      </c>
      <c r="CL6" t="s">
        <v>221</v>
      </c>
      <c r="CM6" t="s">
        <v>221</v>
      </c>
      <c r="CN6" t="s">
        <v>172</v>
      </c>
      <c r="CO6" t="s">
        <v>222</v>
      </c>
      <c r="CP6" t="s">
        <v>172</v>
      </c>
      <c r="CQ6" t="s">
        <v>172</v>
      </c>
      <c r="CR6" t="s">
        <v>172</v>
      </c>
      <c r="CS6" t="s">
        <v>172</v>
      </c>
      <c r="CT6" t="s">
        <v>328</v>
      </c>
      <c r="CU6" t="s">
        <v>329</v>
      </c>
      <c r="CV6" t="s">
        <v>330</v>
      </c>
      <c r="CW6" t="s">
        <v>331</v>
      </c>
      <c r="CX6" t="s">
        <v>332</v>
      </c>
      <c r="CY6" t="s">
        <v>333</v>
      </c>
      <c r="CZ6" t="s">
        <v>334</v>
      </c>
      <c r="DA6" t="s">
        <v>335</v>
      </c>
      <c r="DB6" t="s">
        <v>301</v>
      </c>
      <c r="DC6" t="s">
        <v>292</v>
      </c>
      <c r="DD6" t="s">
        <v>232</v>
      </c>
      <c r="DE6" t="s">
        <v>233</v>
      </c>
      <c r="DF6" t="s">
        <v>178</v>
      </c>
      <c r="DG6" t="s">
        <v>234</v>
      </c>
      <c r="DH6" t="s">
        <v>235</v>
      </c>
      <c r="DI6" t="s">
        <v>178</v>
      </c>
      <c r="DJ6" t="s">
        <v>236</v>
      </c>
      <c r="DK6" t="s">
        <v>237</v>
      </c>
      <c r="DL6" t="s">
        <v>238</v>
      </c>
      <c r="DM6" t="s">
        <v>172</v>
      </c>
      <c r="DN6" t="s">
        <v>300</v>
      </c>
      <c r="DO6" t="s">
        <v>239</v>
      </c>
      <c r="DP6" t="s">
        <v>240</v>
      </c>
      <c r="DQ6" t="s">
        <v>241</v>
      </c>
      <c r="DR6" t="s">
        <v>242</v>
      </c>
      <c r="DS6" t="s">
        <v>243</v>
      </c>
      <c r="DT6" t="s">
        <v>244</v>
      </c>
    </row>
    <row r="7" spans="1:124" x14ac:dyDescent="0.3">
      <c r="A7" t="s">
        <v>336</v>
      </c>
      <c r="B7" t="s">
        <v>337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1156</v>
      </c>
      <c r="I7" t="s">
        <v>338</v>
      </c>
      <c r="J7">
        <f t="shared" si="0"/>
        <v>6.2833522232472782E-3</v>
      </c>
      <c r="K7">
        <f t="shared" si="1"/>
        <v>2.9058327199999998</v>
      </c>
      <c r="L7">
        <f t="shared" si="2"/>
        <v>6.2697948944244455E-3</v>
      </c>
      <c r="M7">
        <f t="shared" si="3"/>
        <v>0.10925956316956587</v>
      </c>
      <c r="N7" t="s">
        <v>339</v>
      </c>
      <c r="O7" t="s">
        <v>340</v>
      </c>
      <c r="P7">
        <f t="shared" si="4"/>
        <v>3.10277923886943</v>
      </c>
      <c r="Q7">
        <f t="shared" si="5"/>
        <v>1.7356232388694299</v>
      </c>
      <c r="R7" t="s">
        <v>341</v>
      </c>
      <c r="S7" t="s">
        <v>342</v>
      </c>
      <c r="T7">
        <f t="shared" si="6"/>
        <v>30.470187949223511</v>
      </c>
      <c r="U7">
        <f t="shared" si="7"/>
        <v>0.4417875</v>
      </c>
      <c r="V7" t="s">
        <v>170</v>
      </c>
      <c r="W7" t="s">
        <v>343</v>
      </c>
      <c r="X7" t="s">
        <v>172</v>
      </c>
      <c r="Y7" t="s">
        <v>172</v>
      </c>
      <c r="Z7" t="s">
        <v>172</v>
      </c>
      <c r="AA7" t="s">
        <v>344</v>
      </c>
      <c r="AB7" t="s">
        <v>345</v>
      </c>
      <c r="AC7" t="s">
        <v>346</v>
      </c>
      <c r="AD7" t="s">
        <v>176</v>
      </c>
      <c r="AE7" t="s">
        <v>177</v>
      </c>
      <c r="AF7">
        <f t="shared" si="8"/>
        <v>103.28550623999999</v>
      </c>
      <c r="AG7" t="s">
        <v>178</v>
      </c>
      <c r="AH7" t="s">
        <v>347</v>
      </c>
      <c r="AI7" t="s">
        <v>348</v>
      </c>
      <c r="AJ7" t="s">
        <v>349</v>
      </c>
      <c r="AK7" t="s">
        <v>350</v>
      </c>
      <c r="AL7">
        <f t="shared" si="9"/>
        <v>24.59</v>
      </c>
      <c r="AM7" t="s">
        <v>308</v>
      </c>
      <c r="AN7" t="s">
        <v>351</v>
      </c>
      <c r="AO7" t="s">
        <v>352</v>
      </c>
      <c r="AP7" t="s">
        <v>353</v>
      </c>
      <c r="AQ7" t="s">
        <v>354</v>
      </c>
      <c r="AR7" t="s">
        <v>355</v>
      </c>
      <c r="AS7" t="s">
        <v>356</v>
      </c>
      <c r="AT7" t="s">
        <v>357</v>
      </c>
      <c r="AU7" t="s">
        <v>358</v>
      </c>
      <c r="AV7" t="s">
        <v>359</v>
      </c>
      <c r="AW7" t="s">
        <v>360</v>
      </c>
      <c r="AX7" t="s">
        <v>361</v>
      </c>
      <c r="AY7" t="s">
        <v>362</v>
      </c>
      <c r="AZ7" t="s">
        <v>195</v>
      </c>
      <c r="BA7" t="s">
        <v>272</v>
      </c>
      <c r="BB7" t="s">
        <v>273</v>
      </c>
      <c r="BC7" t="s">
        <v>363</v>
      </c>
      <c r="BD7" t="s">
        <v>162</v>
      </c>
      <c r="BE7" t="s">
        <v>321</v>
      </c>
      <c r="BF7" t="s">
        <v>364</v>
      </c>
      <c r="BG7" t="s">
        <v>365</v>
      </c>
      <c r="BH7" t="s">
        <v>266</v>
      </c>
      <c r="BI7" t="s">
        <v>366</v>
      </c>
      <c r="BJ7" t="s">
        <v>204</v>
      </c>
      <c r="BK7" t="s">
        <v>162</v>
      </c>
      <c r="BL7" t="s">
        <v>205</v>
      </c>
      <c r="BM7" t="s">
        <v>160</v>
      </c>
      <c r="BN7" t="s">
        <v>207</v>
      </c>
      <c r="BO7" t="s">
        <v>367</v>
      </c>
      <c r="BP7" t="s">
        <v>367</v>
      </c>
      <c r="BQ7" t="s">
        <v>368</v>
      </c>
      <c r="BR7" t="s">
        <v>369</v>
      </c>
      <c r="BS7" t="s">
        <v>370</v>
      </c>
      <c r="BT7" t="s">
        <v>160</v>
      </c>
      <c r="BU7" t="s">
        <v>211</v>
      </c>
      <c r="BV7" t="s">
        <v>206</v>
      </c>
      <c r="BW7" t="s">
        <v>212</v>
      </c>
      <c r="BX7" t="s">
        <v>213</v>
      </c>
      <c r="BY7" t="s">
        <v>172</v>
      </c>
      <c r="BZ7" t="s">
        <v>214</v>
      </c>
      <c r="CA7" t="s">
        <v>172</v>
      </c>
      <c r="CB7" t="s">
        <v>172</v>
      </c>
      <c r="CC7" t="s">
        <v>215</v>
      </c>
      <c r="CD7" t="s">
        <v>216</v>
      </c>
      <c r="CE7" t="s">
        <v>217</v>
      </c>
      <c r="CF7" t="s">
        <v>218</v>
      </c>
      <c r="CG7" t="s">
        <v>219</v>
      </c>
      <c r="CH7" t="s">
        <v>220</v>
      </c>
      <c r="CI7" t="s">
        <v>178</v>
      </c>
      <c r="CJ7" t="s">
        <v>212</v>
      </c>
      <c r="CK7" t="s">
        <v>221</v>
      </c>
      <c r="CL7" t="s">
        <v>221</v>
      </c>
      <c r="CM7" t="s">
        <v>221</v>
      </c>
      <c r="CN7" t="s">
        <v>172</v>
      </c>
      <c r="CO7" t="s">
        <v>222</v>
      </c>
      <c r="CP7" t="s">
        <v>172</v>
      </c>
      <c r="CQ7" t="s">
        <v>172</v>
      </c>
      <c r="CR7" t="s">
        <v>172</v>
      </c>
      <c r="CS7" t="s">
        <v>172</v>
      </c>
      <c r="CT7" t="s">
        <v>371</v>
      </c>
      <c r="CU7" t="s">
        <v>372</v>
      </c>
      <c r="CV7" t="s">
        <v>373</v>
      </c>
      <c r="CW7" t="s">
        <v>374</v>
      </c>
      <c r="CX7" t="s">
        <v>375</v>
      </c>
      <c r="CY7" t="s">
        <v>376</v>
      </c>
      <c r="CZ7" t="s">
        <v>377</v>
      </c>
      <c r="DA7" t="s">
        <v>378</v>
      </c>
      <c r="DB7" t="s">
        <v>344</v>
      </c>
      <c r="DC7" t="s">
        <v>379</v>
      </c>
      <c r="DD7" t="s">
        <v>232</v>
      </c>
      <c r="DE7" t="s">
        <v>233</v>
      </c>
      <c r="DF7" t="s">
        <v>178</v>
      </c>
      <c r="DG7" t="s">
        <v>234</v>
      </c>
      <c r="DH7" t="s">
        <v>235</v>
      </c>
      <c r="DI7" t="s">
        <v>178</v>
      </c>
      <c r="DJ7" t="s">
        <v>236</v>
      </c>
      <c r="DK7" t="s">
        <v>237</v>
      </c>
      <c r="DL7" t="s">
        <v>238</v>
      </c>
      <c r="DM7" t="s">
        <v>172</v>
      </c>
      <c r="DN7" t="s">
        <v>343</v>
      </c>
      <c r="DO7" t="s">
        <v>239</v>
      </c>
      <c r="DP7" t="s">
        <v>240</v>
      </c>
      <c r="DQ7" t="s">
        <v>241</v>
      </c>
      <c r="DR7" t="s">
        <v>242</v>
      </c>
      <c r="DS7" t="s">
        <v>243</v>
      </c>
      <c r="DT7" t="s">
        <v>244</v>
      </c>
    </row>
    <row r="8" spans="1:124" x14ac:dyDescent="0.3">
      <c r="A8" t="s">
        <v>380</v>
      </c>
      <c r="B8" t="s">
        <v>381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1170</v>
      </c>
      <c r="I8" t="s">
        <v>382</v>
      </c>
      <c r="J8">
        <f t="shared" si="0"/>
        <v>0.31983305216233898</v>
      </c>
      <c r="K8">
        <f t="shared" si="1"/>
        <v>2.9058327199999998</v>
      </c>
      <c r="L8">
        <f t="shared" si="2"/>
        <v>0.28812078298111354</v>
      </c>
      <c r="M8">
        <f t="shared" si="3"/>
        <v>4.5483167081896845</v>
      </c>
      <c r="N8" t="s">
        <v>383</v>
      </c>
      <c r="O8" t="s">
        <v>384</v>
      </c>
      <c r="P8">
        <f t="shared" si="4"/>
        <v>3.0548611318088841</v>
      </c>
      <c r="Q8">
        <f t="shared" si="5"/>
        <v>1.5717021318088842</v>
      </c>
      <c r="R8" t="s">
        <v>385</v>
      </c>
      <c r="S8" t="s">
        <v>386</v>
      </c>
      <c r="T8">
        <f t="shared" si="6"/>
        <v>29.999618303141354</v>
      </c>
      <c r="U8">
        <f t="shared" si="7"/>
        <v>0.4417875</v>
      </c>
      <c r="V8" t="s">
        <v>170</v>
      </c>
      <c r="W8" t="s">
        <v>387</v>
      </c>
      <c r="X8" t="s">
        <v>172</v>
      </c>
      <c r="Y8" t="s">
        <v>172</v>
      </c>
      <c r="Z8" t="s">
        <v>172</v>
      </c>
      <c r="AA8" t="s">
        <v>388</v>
      </c>
      <c r="AB8" t="s">
        <v>389</v>
      </c>
      <c r="AC8" t="s">
        <v>390</v>
      </c>
      <c r="AD8" t="s">
        <v>176</v>
      </c>
      <c r="AE8" t="s">
        <v>177</v>
      </c>
      <c r="AF8">
        <f t="shared" si="8"/>
        <v>209.46197916</v>
      </c>
      <c r="AG8" t="s">
        <v>178</v>
      </c>
      <c r="AH8" t="s">
        <v>391</v>
      </c>
      <c r="AI8" t="s">
        <v>392</v>
      </c>
      <c r="AJ8" t="s">
        <v>393</v>
      </c>
      <c r="AK8" t="s">
        <v>394</v>
      </c>
      <c r="AL8">
        <f t="shared" si="9"/>
        <v>24.33</v>
      </c>
      <c r="AM8" t="s">
        <v>308</v>
      </c>
      <c r="AN8" t="s">
        <v>351</v>
      </c>
      <c r="AO8" t="s">
        <v>395</v>
      </c>
      <c r="AP8" t="s">
        <v>396</v>
      </c>
      <c r="AQ8" t="s">
        <v>397</v>
      </c>
      <c r="AR8" t="s">
        <v>398</v>
      </c>
      <c r="AS8" t="s">
        <v>399</v>
      </c>
      <c r="AT8" t="s">
        <v>315</v>
      </c>
      <c r="AU8" t="s">
        <v>400</v>
      </c>
      <c r="AV8" t="s">
        <v>401</v>
      </c>
      <c r="AW8" t="s">
        <v>402</v>
      </c>
      <c r="AX8" t="s">
        <v>403</v>
      </c>
      <c r="AY8" t="s">
        <v>404</v>
      </c>
      <c r="AZ8" t="s">
        <v>195</v>
      </c>
      <c r="BA8" t="s">
        <v>405</v>
      </c>
      <c r="BB8" t="s">
        <v>406</v>
      </c>
      <c r="BC8" t="s">
        <v>407</v>
      </c>
      <c r="BD8" t="s">
        <v>162</v>
      </c>
      <c r="BE8" t="s">
        <v>321</v>
      </c>
      <c r="BF8" t="s">
        <v>408</v>
      </c>
      <c r="BG8" t="s">
        <v>409</v>
      </c>
      <c r="BH8" t="s">
        <v>410</v>
      </c>
      <c r="BI8" t="s">
        <v>411</v>
      </c>
      <c r="BJ8" t="s">
        <v>204</v>
      </c>
      <c r="BK8" t="s">
        <v>162</v>
      </c>
      <c r="BL8" t="s">
        <v>205</v>
      </c>
      <c r="BM8" t="s">
        <v>160</v>
      </c>
      <c r="BN8" t="s">
        <v>207</v>
      </c>
      <c r="BO8" t="s">
        <v>206</v>
      </c>
      <c r="BP8" t="s">
        <v>412</v>
      </c>
      <c r="BQ8" t="s">
        <v>413</v>
      </c>
      <c r="BR8" t="s">
        <v>414</v>
      </c>
      <c r="BS8" t="s">
        <v>415</v>
      </c>
      <c r="BT8" t="s">
        <v>160</v>
      </c>
      <c r="BU8" t="s">
        <v>211</v>
      </c>
      <c r="BV8" t="s">
        <v>206</v>
      </c>
      <c r="BW8" t="s">
        <v>212</v>
      </c>
      <c r="BX8" t="s">
        <v>213</v>
      </c>
      <c r="BY8" t="s">
        <v>172</v>
      </c>
      <c r="BZ8" t="s">
        <v>214</v>
      </c>
      <c r="CA8" t="s">
        <v>172</v>
      </c>
      <c r="CB8" t="s">
        <v>172</v>
      </c>
      <c r="CC8" t="s">
        <v>215</v>
      </c>
      <c r="CD8" t="s">
        <v>216</v>
      </c>
      <c r="CE8" t="s">
        <v>217</v>
      </c>
      <c r="CF8" t="s">
        <v>218</v>
      </c>
      <c r="CG8" t="s">
        <v>219</v>
      </c>
      <c r="CH8" t="s">
        <v>220</v>
      </c>
      <c r="CI8" t="s">
        <v>178</v>
      </c>
      <c r="CJ8" t="s">
        <v>212</v>
      </c>
      <c r="CK8" t="s">
        <v>221</v>
      </c>
      <c r="CL8" t="s">
        <v>221</v>
      </c>
      <c r="CM8" t="s">
        <v>221</v>
      </c>
      <c r="CN8" t="s">
        <v>172</v>
      </c>
      <c r="CO8" t="s">
        <v>222</v>
      </c>
      <c r="CP8" t="s">
        <v>172</v>
      </c>
      <c r="CQ8" t="s">
        <v>172</v>
      </c>
      <c r="CR8" t="s">
        <v>172</v>
      </c>
      <c r="CS8" t="s">
        <v>172</v>
      </c>
      <c r="CT8" t="s">
        <v>416</v>
      </c>
      <c r="CU8" t="s">
        <v>417</v>
      </c>
      <c r="CV8" t="s">
        <v>418</v>
      </c>
      <c r="CW8" t="s">
        <v>419</v>
      </c>
      <c r="CX8" t="s">
        <v>420</v>
      </c>
      <c r="CY8" t="s">
        <v>421</v>
      </c>
      <c r="CZ8" t="s">
        <v>422</v>
      </c>
      <c r="DA8" t="s">
        <v>423</v>
      </c>
      <c r="DB8" t="s">
        <v>388</v>
      </c>
      <c r="DC8" t="s">
        <v>424</v>
      </c>
      <c r="DD8" t="s">
        <v>232</v>
      </c>
      <c r="DE8" t="s">
        <v>233</v>
      </c>
      <c r="DF8" t="s">
        <v>178</v>
      </c>
      <c r="DG8" t="s">
        <v>234</v>
      </c>
      <c r="DH8" t="s">
        <v>235</v>
      </c>
      <c r="DI8" t="s">
        <v>178</v>
      </c>
      <c r="DJ8" t="s">
        <v>236</v>
      </c>
      <c r="DK8" t="s">
        <v>237</v>
      </c>
      <c r="DL8" t="s">
        <v>238</v>
      </c>
      <c r="DM8" t="s">
        <v>172</v>
      </c>
      <c r="DN8" t="s">
        <v>387</v>
      </c>
      <c r="DO8" t="s">
        <v>239</v>
      </c>
      <c r="DP8" t="s">
        <v>240</v>
      </c>
      <c r="DQ8" t="s">
        <v>241</v>
      </c>
      <c r="DR8" t="s">
        <v>242</v>
      </c>
      <c r="DS8" t="s">
        <v>243</v>
      </c>
      <c r="DT8" t="s">
        <v>244</v>
      </c>
    </row>
    <row r="9" spans="1:124" x14ac:dyDescent="0.3">
      <c r="A9" t="s">
        <v>425</v>
      </c>
      <c r="B9" t="s">
        <v>426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1157</v>
      </c>
      <c r="I9" t="s">
        <v>427</v>
      </c>
      <c r="J9">
        <f t="shared" si="0"/>
        <v>0.27704131560373157</v>
      </c>
      <c r="K9">
        <f t="shared" si="1"/>
        <v>2.9050319999999994</v>
      </c>
      <c r="L9">
        <f t="shared" si="2"/>
        <v>0.25292122692598712</v>
      </c>
      <c r="M9">
        <f t="shared" si="3"/>
        <v>3.6770793953322727</v>
      </c>
      <c r="N9" t="s">
        <v>428</v>
      </c>
      <c r="O9" t="s">
        <v>429</v>
      </c>
      <c r="P9">
        <f t="shared" si="4"/>
        <v>2.9556226542127848</v>
      </c>
      <c r="Q9">
        <f t="shared" si="5"/>
        <v>1.4478396542127847</v>
      </c>
      <c r="R9" t="s">
        <v>430</v>
      </c>
      <c r="S9" t="s">
        <v>431</v>
      </c>
      <c r="T9">
        <f t="shared" si="6"/>
        <v>29.027918426760802</v>
      </c>
      <c r="U9">
        <f t="shared" si="7"/>
        <v>0.4417875</v>
      </c>
      <c r="V9" t="s">
        <v>170</v>
      </c>
      <c r="W9" t="s">
        <v>432</v>
      </c>
      <c r="X9" t="s">
        <v>172</v>
      </c>
      <c r="Y9" t="s">
        <v>172</v>
      </c>
      <c r="Z9" t="s">
        <v>172</v>
      </c>
      <c r="AA9" t="s">
        <v>433</v>
      </c>
      <c r="AB9" t="s">
        <v>434</v>
      </c>
      <c r="AC9" t="s">
        <v>435</v>
      </c>
      <c r="AD9" t="s">
        <v>176</v>
      </c>
      <c r="AE9" t="s">
        <v>177</v>
      </c>
      <c r="AF9">
        <f t="shared" si="8"/>
        <v>142.39889664</v>
      </c>
      <c r="AG9" t="s">
        <v>178</v>
      </c>
      <c r="AH9" t="s">
        <v>436</v>
      </c>
      <c r="AI9" t="s">
        <v>437</v>
      </c>
      <c r="AJ9" t="s">
        <v>438</v>
      </c>
      <c r="AK9" t="s">
        <v>439</v>
      </c>
      <c r="AL9">
        <f t="shared" si="9"/>
        <v>23.78</v>
      </c>
      <c r="AM9" t="s">
        <v>440</v>
      </c>
      <c r="AN9" t="s">
        <v>441</v>
      </c>
      <c r="AO9" t="s">
        <v>442</v>
      </c>
      <c r="AP9" t="s">
        <v>443</v>
      </c>
      <c r="AQ9" t="s">
        <v>444</v>
      </c>
      <c r="AR9" t="s">
        <v>445</v>
      </c>
      <c r="AS9" t="s">
        <v>446</v>
      </c>
      <c r="AT9" t="s">
        <v>202</v>
      </c>
      <c r="AU9" t="s">
        <v>358</v>
      </c>
      <c r="AV9" t="s">
        <v>447</v>
      </c>
      <c r="AW9" t="s">
        <v>448</v>
      </c>
      <c r="AX9" t="s">
        <v>449</v>
      </c>
      <c r="AY9" t="s">
        <v>450</v>
      </c>
      <c r="AZ9" t="s">
        <v>195</v>
      </c>
      <c r="BA9" t="s">
        <v>405</v>
      </c>
      <c r="BB9" t="s">
        <v>406</v>
      </c>
      <c r="BC9" t="s">
        <v>451</v>
      </c>
      <c r="BD9" t="s">
        <v>162</v>
      </c>
      <c r="BE9" t="s">
        <v>452</v>
      </c>
      <c r="BF9" t="s">
        <v>408</v>
      </c>
      <c r="BG9" t="s">
        <v>453</v>
      </c>
      <c r="BH9" t="s">
        <v>410</v>
      </c>
      <c r="BI9" t="s">
        <v>411</v>
      </c>
      <c r="BJ9" t="s">
        <v>204</v>
      </c>
      <c r="BK9" t="s">
        <v>162</v>
      </c>
      <c r="BL9" t="s">
        <v>205</v>
      </c>
      <c r="BM9" t="s">
        <v>160</v>
      </c>
      <c r="BN9" t="s">
        <v>207</v>
      </c>
      <c r="BO9" t="s">
        <v>207</v>
      </c>
      <c r="BP9" t="s">
        <v>207</v>
      </c>
      <c r="BQ9" t="s">
        <v>454</v>
      </c>
      <c r="BR9" t="s">
        <v>455</v>
      </c>
      <c r="BS9" t="s">
        <v>456</v>
      </c>
      <c r="BT9" t="s">
        <v>160</v>
      </c>
      <c r="BU9" t="s">
        <v>211</v>
      </c>
      <c r="BV9" t="s">
        <v>206</v>
      </c>
      <c r="BW9" t="s">
        <v>212</v>
      </c>
      <c r="BX9" t="s">
        <v>213</v>
      </c>
      <c r="BY9" t="s">
        <v>172</v>
      </c>
      <c r="BZ9" t="s">
        <v>214</v>
      </c>
      <c r="CA9" t="s">
        <v>172</v>
      </c>
      <c r="CB9" t="s">
        <v>172</v>
      </c>
      <c r="CC9" t="s">
        <v>215</v>
      </c>
      <c r="CD9" t="s">
        <v>216</v>
      </c>
      <c r="CE9" t="s">
        <v>217</v>
      </c>
      <c r="CF9" t="s">
        <v>218</v>
      </c>
      <c r="CG9" t="s">
        <v>219</v>
      </c>
      <c r="CH9" t="s">
        <v>220</v>
      </c>
      <c r="CI9" t="s">
        <v>178</v>
      </c>
      <c r="CJ9" t="s">
        <v>212</v>
      </c>
      <c r="CK9" t="s">
        <v>221</v>
      </c>
      <c r="CL9" t="s">
        <v>221</v>
      </c>
      <c r="CM9" t="s">
        <v>221</v>
      </c>
      <c r="CN9" t="s">
        <v>172</v>
      </c>
      <c r="CO9" t="s">
        <v>222</v>
      </c>
      <c r="CP9" t="s">
        <v>172</v>
      </c>
      <c r="CQ9" t="s">
        <v>172</v>
      </c>
      <c r="CR9" t="s">
        <v>172</v>
      </c>
      <c r="CS9" t="s">
        <v>172</v>
      </c>
      <c r="CT9" t="s">
        <v>457</v>
      </c>
      <c r="CU9" t="s">
        <v>458</v>
      </c>
      <c r="CV9" t="s">
        <v>459</v>
      </c>
      <c r="CW9" t="s">
        <v>460</v>
      </c>
      <c r="CX9" t="s">
        <v>461</v>
      </c>
      <c r="CY9" t="s">
        <v>462</v>
      </c>
      <c r="CZ9" t="s">
        <v>463</v>
      </c>
      <c r="DA9" t="s">
        <v>464</v>
      </c>
      <c r="DB9" t="s">
        <v>433</v>
      </c>
      <c r="DC9" t="s">
        <v>465</v>
      </c>
      <c r="DD9" t="s">
        <v>232</v>
      </c>
      <c r="DE9" t="s">
        <v>233</v>
      </c>
      <c r="DF9" t="s">
        <v>178</v>
      </c>
      <c r="DG9" t="s">
        <v>234</v>
      </c>
      <c r="DH9" t="s">
        <v>235</v>
      </c>
      <c r="DI9" t="s">
        <v>178</v>
      </c>
      <c r="DJ9" t="s">
        <v>236</v>
      </c>
      <c r="DK9" t="s">
        <v>237</v>
      </c>
      <c r="DL9" t="s">
        <v>238</v>
      </c>
      <c r="DM9" t="s">
        <v>172</v>
      </c>
      <c r="DN9" t="s">
        <v>432</v>
      </c>
      <c r="DO9" t="s">
        <v>239</v>
      </c>
      <c r="DP9" t="s">
        <v>240</v>
      </c>
      <c r="DQ9" t="s">
        <v>241</v>
      </c>
      <c r="DR9" t="s">
        <v>242</v>
      </c>
      <c r="DS9" t="s">
        <v>243</v>
      </c>
      <c r="DT9" t="s">
        <v>244</v>
      </c>
    </row>
    <row r="10" spans="1:124" x14ac:dyDescent="0.3">
      <c r="A10" t="s">
        <v>466</v>
      </c>
      <c r="B10" t="s">
        <v>467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1171</v>
      </c>
      <c r="I10" t="s">
        <v>468</v>
      </c>
      <c r="J10">
        <f t="shared" si="0"/>
        <v>1.9919769231952635E-2</v>
      </c>
      <c r="K10">
        <f t="shared" si="1"/>
        <v>2.9042299199999997</v>
      </c>
      <c r="L10">
        <f t="shared" si="2"/>
        <v>1.9784072619800586E-2</v>
      </c>
      <c r="M10">
        <f t="shared" si="3"/>
        <v>0.39905001668119194</v>
      </c>
      <c r="N10" t="s">
        <v>469</v>
      </c>
      <c r="O10" t="s">
        <v>470</v>
      </c>
      <c r="P10">
        <f t="shared" si="4"/>
        <v>3.3862569882795999</v>
      </c>
      <c r="Q10">
        <f t="shared" si="5"/>
        <v>2.0056759882795996</v>
      </c>
      <c r="R10" t="s">
        <v>471</v>
      </c>
      <c r="S10" t="s">
        <v>472</v>
      </c>
      <c r="T10">
        <f t="shared" si="6"/>
        <v>33.257287254759376</v>
      </c>
      <c r="U10">
        <f t="shared" si="7"/>
        <v>0.4417875</v>
      </c>
      <c r="V10" t="s">
        <v>170</v>
      </c>
      <c r="W10" t="s">
        <v>473</v>
      </c>
      <c r="X10" t="s">
        <v>172</v>
      </c>
      <c r="Y10" t="s">
        <v>172</v>
      </c>
      <c r="Z10" t="s">
        <v>172</v>
      </c>
      <c r="AA10" t="s">
        <v>474</v>
      </c>
      <c r="AB10" t="s">
        <v>475</v>
      </c>
      <c r="AC10" t="s">
        <v>476</v>
      </c>
      <c r="AD10" t="s">
        <v>176</v>
      </c>
      <c r="AE10" t="s">
        <v>177</v>
      </c>
      <c r="AF10">
        <f t="shared" si="8"/>
        <v>156.02395451999999</v>
      </c>
      <c r="AG10" t="s">
        <v>178</v>
      </c>
      <c r="AH10" t="s">
        <v>477</v>
      </c>
      <c r="AI10" t="s">
        <v>478</v>
      </c>
      <c r="AJ10" t="s">
        <v>479</v>
      </c>
      <c r="AK10" t="s">
        <v>480</v>
      </c>
      <c r="AL10">
        <f t="shared" si="9"/>
        <v>26.06</v>
      </c>
      <c r="AM10" t="s">
        <v>440</v>
      </c>
      <c r="AN10" t="s">
        <v>184</v>
      </c>
      <c r="AO10" t="s">
        <v>481</v>
      </c>
      <c r="AP10" t="s">
        <v>482</v>
      </c>
      <c r="AQ10" t="s">
        <v>483</v>
      </c>
      <c r="AR10" t="s">
        <v>484</v>
      </c>
      <c r="AS10" t="s">
        <v>485</v>
      </c>
      <c r="AT10" t="s">
        <v>486</v>
      </c>
      <c r="AU10" t="s">
        <v>487</v>
      </c>
      <c r="AV10" t="s">
        <v>488</v>
      </c>
      <c r="AW10" t="s">
        <v>489</v>
      </c>
      <c r="AX10" t="s">
        <v>490</v>
      </c>
      <c r="AY10" t="s">
        <v>491</v>
      </c>
      <c r="AZ10" t="s">
        <v>195</v>
      </c>
      <c r="BA10" t="s">
        <v>492</v>
      </c>
      <c r="BB10" t="s">
        <v>493</v>
      </c>
      <c r="BC10" t="s">
        <v>494</v>
      </c>
      <c r="BD10" t="s">
        <v>162</v>
      </c>
      <c r="BE10" t="s">
        <v>495</v>
      </c>
      <c r="BF10" t="s">
        <v>200</v>
      </c>
      <c r="BG10" t="s">
        <v>496</v>
      </c>
      <c r="BH10" t="s">
        <v>410</v>
      </c>
      <c r="BI10" t="s">
        <v>411</v>
      </c>
      <c r="BJ10" t="s">
        <v>204</v>
      </c>
      <c r="BK10" t="s">
        <v>162</v>
      </c>
      <c r="BL10" t="s">
        <v>205</v>
      </c>
      <c r="BM10" t="s">
        <v>160</v>
      </c>
      <c r="BN10" t="s">
        <v>367</v>
      </c>
      <c r="BO10" t="s">
        <v>206</v>
      </c>
      <c r="BP10" t="s">
        <v>324</v>
      </c>
      <c r="BQ10" t="s">
        <v>497</v>
      </c>
      <c r="BR10" t="s">
        <v>498</v>
      </c>
      <c r="BS10" t="s">
        <v>499</v>
      </c>
      <c r="BT10" t="s">
        <v>160</v>
      </c>
      <c r="BU10" t="s">
        <v>211</v>
      </c>
      <c r="BV10" t="s">
        <v>206</v>
      </c>
      <c r="BW10" t="s">
        <v>212</v>
      </c>
      <c r="BX10" t="s">
        <v>213</v>
      </c>
      <c r="BY10" t="s">
        <v>172</v>
      </c>
      <c r="BZ10" t="s">
        <v>214</v>
      </c>
      <c r="CA10" t="s">
        <v>172</v>
      </c>
      <c r="CB10" t="s">
        <v>172</v>
      </c>
      <c r="CC10" t="s">
        <v>215</v>
      </c>
      <c r="CD10" t="s">
        <v>216</v>
      </c>
      <c r="CE10" t="s">
        <v>217</v>
      </c>
      <c r="CF10" t="s">
        <v>218</v>
      </c>
      <c r="CG10" t="s">
        <v>219</v>
      </c>
      <c r="CH10" t="s">
        <v>220</v>
      </c>
      <c r="CI10" t="s">
        <v>178</v>
      </c>
      <c r="CJ10" t="s">
        <v>212</v>
      </c>
      <c r="CK10" t="s">
        <v>221</v>
      </c>
      <c r="CL10" t="s">
        <v>221</v>
      </c>
      <c r="CM10" t="s">
        <v>221</v>
      </c>
      <c r="CN10" t="s">
        <v>172</v>
      </c>
      <c r="CO10" t="s">
        <v>222</v>
      </c>
      <c r="CP10" t="s">
        <v>172</v>
      </c>
      <c r="CQ10" t="s">
        <v>172</v>
      </c>
      <c r="CR10" t="s">
        <v>172</v>
      </c>
      <c r="CS10" t="s">
        <v>172</v>
      </c>
      <c r="CT10" t="s">
        <v>500</v>
      </c>
      <c r="CU10" t="s">
        <v>501</v>
      </c>
      <c r="CV10" t="s">
        <v>502</v>
      </c>
      <c r="CW10" t="s">
        <v>503</v>
      </c>
      <c r="CX10" t="s">
        <v>504</v>
      </c>
      <c r="CY10" t="s">
        <v>505</v>
      </c>
      <c r="CZ10" t="s">
        <v>506</v>
      </c>
      <c r="DA10" t="s">
        <v>507</v>
      </c>
      <c r="DB10" t="s">
        <v>474</v>
      </c>
      <c r="DC10" t="s">
        <v>379</v>
      </c>
      <c r="DD10" t="s">
        <v>232</v>
      </c>
      <c r="DE10" t="s">
        <v>233</v>
      </c>
      <c r="DF10" t="s">
        <v>178</v>
      </c>
      <c r="DG10" t="s">
        <v>234</v>
      </c>
      <c r="DH10" t="s">
        <v>235</v>
      </c>
      <c r="DI10" t="s">
        <v>178</v>
      </c>
      <c r="DJ10" t="s">
        <v>236</v>
      </c>
      <c r="DK10" t="s">
        <v>237</v>
      </c>
      <c r="DL10" t="s">
        <v>238</v>
      </c>
      <c r="DM10" t="s">
        <v>172</v>
      </c>
      <c r="DN10" t="s">
        <v>473</v>
      </c>
      <c r="DO10" t="s">
        <v>239</v>
      </c>
      <c r="DP10" t="s">
        <v>240</v>
      </c>
      <c r="DQ10" t="s">
        <v>241</v>
      </c>
      <c r="DR10" t="s">
        <v>242</v>
      </c>
      <c r="DS10" t="s">
        <v>243</v>
      </c>
      <c r="DT10" t="s">
        <v>244</v>
      </c>
    </row>
    <row r="11" spans="1:124" x14ac:dyDescent="0.3">
      <c r="A11" t="s">
        <v>508</v>
      </c>
      <c r="B11" t="s">
        <v>509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1158</v>
      </c>
      <c r="I11" t="s">
        <v>510</v>
      </c>
      <c r="J11">
        <f t="shared" si="0"/>
        <v>1.2878662840524253E-2</v>
      </c>
      <c r="K11">
        <f t="shared" si="1"/>
        <v>2.9042299199999997</v>
      </c>
      <c r="L11">
        <f t="shared" si="2"/>
        <v>1.2821805184441258E-2</v>
      </c>
      <c r="M11">
        <f t="shared" si="3"/>
        <v>0.23372419255493171</v>
      </c>
      <c r="N11" t="s">
        <v>511</v>
      </c>
      <c r="O11" t="s">
        <v>512</v>
      </c>
      <c r="P11">
        <f t="shared" si="4"/>
        <v>3.2408478830815408</v>
      </c>
      <c r="Q11">
        <f t="shared" si="5"/>
        <v>1.8135178830815408</v>
      </c>
      <c r="R11" t="s">
        <v>513</v>
      </c>
      <c r="S11" t="s">
        <v>514</v>
      </c>
      <c r="T11">
        <f t="shared" si="6"/>
        <v>31.829187616200556</v>
      </c>
      <c r="U11">
        <f t="shared" si="7"/>
        <v>0.4417875</v>
      </c>
      <c r="V11" t="s">
        <v>170</v>
      </c>
      <c r="W11" t="s">
        <v>515</v>
      </c>
      <c r="X11" t="s">
        <v>172</v>
      </c>
      <c r="Y11" t="s">
        <v>172</v>
      </c>
      <c r="Z11" t="s">
        <v>172</v>
      </c>
      <c r="AA11" t="s">
        <v>516</v>
      </c>
      <c r="AB11" t="s">
        <v>517</v>
      </c>
      <c r="AC11" t="s">
        <v>518</v>
      </c>
      <c r="AD11" t="s">
        <v>176</v>
      </c>
      <c r="AE11" t="s">
        <v>177</v>
      </c>
      <c r="AF11">
        <f t="shared" si="8"/>
        <v>90.338697539999998</v>
      </c>
      <c r="AG11" t="s">
        <v>178</v>
      </c>
      <c r="AH11" t="s">
        <v>519</v>
      </c>
      <c r="AI11" t="s">
        <v>180</v>
      </c>
      <c r="AJ11" t="s">
        <v>520</v>
      </c>
      <c r="AK11" t="s">
        <v>521</v>
      </c>
      <c r="AL11">
        <f t="shared" si="9"/>
        <v>25.32</v>
      </c>
      <c r="AM11" t="s">
        <v>440</v>
      </c>
      <c r="AN11" t="s">
        <v>184</v>
      </c>
      <c r="AO11" t="s">
        <v>261</v>
      </c>
      <c r="AP11" t="s">
        <v>522</v>
      </c>
      <c r="AQ11" t="s">
        <v>263</v>
      </c>
      <c r="AR11" t="s">
        <v>523</v>
      </c>
      <c r="AS11" t="s">
        <v>357</v>
      </c>
      <c r="AT11" t="s">
        <v>524</v>
      </c>
      <c r="AU11" t="s">
        <v>525</v>
      </c>
      <c r="AV11" t="s">
        <v>526</v>
      </c>
      <c r="AW11" t="s">
        <v>527</v>
      </c>
      <c r="AX11" t="s">
        <v>528</v>
      </c>
      <c r="AY11" t="s">
        <v>529</v>
      </c>
      <c r="AZ11" t="s">
        <v>195</v>
      </c>
      <c r="BA11" t="s">
        <v>492</v>
      </c>
      <c r="BB11" t="s">
        <v>493</v>
      </c>
      <c r="BC11" t="s">
        <v>530</v>
      </c>
      <c r="BD11" t="s">
        <v>162</v>
      </c>
      <c r="BE11" t="s">
        <v>495</v>
      </c>
      <c r="BF11" t="s">
        <v>531</v>
      </c>
      <c r="BG11" t="s">
        <v>532</v>
      </c>
      <c r="BH11" t="s">
        <v>410</v>
      </c>
      <c r="BI11" t="s">
        <v>411</v>
      </c>
      <c r="BJ11" t="s">
        <v>204</v>
      </c>
      <c r="BK11" t="s">
        <v>162</v>
      </c>
      <c r="BL11" t="s">
        <v>205</v>
      </c>
      <c r="BM11" t="s">
        <v>160</v>
      </c>
      <c r="BN11" t="s">
        <v>207</v>
      </c>
      <c r="BO11" t="s">
        <v>207</v>
      </c>
      <c r="BP11" t="s">
        <v>323</v>
      </c>
      <c r="BQ11" t="s">
        <v>533</v>
      </c>
      <c r="BR11" t="s">
        <v>534</v>
      </c>
      <c r="BS11" t="s">
        <v>535</v>
      </c>
      <c r="BT11" t="s">
        <v>160</v>
      </c>
      <c r="BU11" t="s">
        <v>211</v>
      </c>
      <c r="BV11" t="s">
        <v>206</v>
      </c>
      <c r="BW11" t="s">
        <v>212</v>
      </c>
      <c r="BX11" t="s">
        <v>213</v>
      </c>
      <c r="BY11" t="s">
        <v>172</v>
      </c>
      <c r="BZ11" t="s">
        <v>214</v>
      </c>
      <c r="CA11" t="s">
        <v>172</v>
      </c>
      <c r="CB11" t="s">
        <v>172</v>
      </c>
      <c r="CC11" t="s">
        <v>215</v>
      </c>
      <c r="CD11" t="s">
        <v>216</v>
      </c>
      <c r="CE11" t="s">
        <v>217</v>
      </c>
      <c r="CF11" t="s">
        <v>218</v>
      </c>
      <c r="CG11" t="s">
        <v>219</v>
      </c>
      <c r="CH11" t="s">
        <v>220</v>
      </c>
      <c r="CI11" t="s">
        <v>178</v>
      </c>
      <c r="CJ11" t="s">
        <v>212</v>
      </c>
      <c r="CK11" t="s">
        <v>221</v>
      </c>
      <c r="CL11" t="s">
        <v>221</v>
      </c>
      <c r="CM11" t="s">
        <v>221</v>
      </c>
      <c r="CN11" t="s">
        <v>172</v>
      </c>
      <c r="CO11" t="s">
        <v>222</v>
      </c>
      <c r="CP11" t="s">
        <v>172</v>
      </c>
      <c r="CQ11" t="s">
        <v>172</v>
      </c>
      <c r="CR11" t="s">
        <v>172</v>
      </c>
      <c r="CS11" t="s">
        <v>172</v>
      </c>
      <c r="CT11" t="s">
        <v>536</v>
      </c>
      <c r="CU11" t="s">
        <v>537</v>
      </c>
      <c r="CV11" t="s">
        <v>538</v>
      </c>
      <c r="CW11" t="s">
        <v>539</v>
      </c>
      <c r="CX11" t="s">
        <v>540</v>
      </c>
      <c r="CY11" t="s">
        <v>541</v>
      </c>
      <c r="CZ11" t="s">
        <v>542</v>
      </c>
      <c r="DA11" t="s">
        <v>543</v>
      </c>
      <c r="DB11" t="s">
        <v>516</v>
      </c>
      <c r="DC11" t="s">
        <v>544</v>
      </c>
      <c r="DD11" t="s">
        <v>232</v>
      </c>
      <c r="DE11" t="s">
        <v>233</v>
      </c>
      <c r="DF11" t="s">
        <v>178</v>
      </c>
      <c r="DG11" t="s">
        <v>234</v>
      </c>
      <c r="DH11" t="s">
        <v>235</v>
      </c>
      <c r="DI11" t="s">
        <v>178</v>
      </c>
      <c r="DJ11" t="s">
        <v>236</v>
      </c>
      <c r="DK11" t="s">
        <v>237</v>
      </c>
      <c r="DL11" t="s">
        <v>238</v>
      </c>
      <c r="DM11" t="s">
        <v>172</v>
      </c>
      <c r="DN11" t="s">
        <v>515</v>
      </c>
      <c r="DO11" t="s">
        <v>239</v>
      </c>
      <c r="DP11" t="s">
        <v>240</v>
      </c>
      <c r="DQ11" t="s">
        <v>241</v>
      </c>
      <c r="DR11" t="s">
        <v>242</v>
      </c>
      <c r="DS11" t="s">
        <v>243</v>
      </c>
      <c r="DT11" t="s">
        <v>244</v>
      </c>
    </row>
    <row r="12" spans="1:124" x14ac:dyDescent="0.3">
      <c r="A12" t="s">
        <v>524</v>
      </c>
      <c r="B12" t="s">
        <v>545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1172</v>
      </c>
      <c r="I12" t="s">
        <v>546</v>
      </c>
      <c r="J12">
        <f t="shared" si="0"/>
        <v>0.28221891190298609</v>
      </c>
      <c r="K12">
        <f t="shared" si="1"/>
        <v>2.9058327199999998</v>
      </c>
      <c r="L12">
        <f t="shared" si="2"/>
        <v>0.25723578006199926</v>
      </c>
      <c r="M12">
        <f t="shared" si="3"/>
        <v>3.812655762852784</v>
      </c>
      <c r="N12" t="s">
        <v>547</v>
      </c>
      <c r="O12" t="s">
        <v>548</v>
      </c>
      <c r="P12">
        <f t="shared" si="4"/>
        <v>2.966309869175658</v>
      </c>
      <c r="Q12">
        <f t="shared" si="5"/>
        <v>1.476090869175658</v>
      </c>
      <c r="R12" t="s">
        <v>549</v>
      </c>
      <c r="S12" t="s">
        <v>550</v>
      </c>
      <c r="T12">
        <f t="shared" si="6"/>
        <v>29.132880270827521</v>
      </c>
      <c r="U12">
        <f t="shared" si="7"/>
        <v>0.4417875</v>
      </c>
      <c r="V12" t="s">
        <v>170</v>
      </c>
      <c r="W12" t="s">
        <v>551</v>
      </c>
      <c r="X12" t="s">
        <v>172</v>
      </c>
      <c r="Y12" t="s">
        <v>172</v>
      </c>
      <c r="Z12" t="s">
        <v>172</v>
      </c>
      <c r="AA12" t="s">
        <v>552</v>
      </c>
      <c r="AB12" t="s">
        <v>553</v>
      </c>
      <c r="AC12" t="s">
        <v>554</v>
      </c>
      <c r="AD12" t="s">
        <v>176</v>
      </c>
      <c r="AE12" t="s">
        <v>177</v>
      </c>
      <c r="AF12">
        <f t="shared" si="8"/>
        <v>185.71429925999999</v>
      </c>
      <c r="AG12" t="s">
        <v>178</v>
      </c>
      <c r="AH12" t="s">
        <v>555</v>
      </c>
      <c r="AI12" t="s">
        <v>556</v>
      </c>
      <c r="AJ12" t="s">
        <v>350</v>
      </c>
      <c r="AK12" t="s">
        <v>557</v>
      </c>
      <c r="AL12">
        <f t="shared" si="9"/>
        <v>23.84</v>
      </c>
      <c r="AM12" t="s">
        <v>440</v>
      </c>
      <c r="AN12" t="s">
        <v>351</v>
      </c>
      <c r="AO12" t="s">
        <v>558</v>
      </c>
      <c r="AP12" t="s">
        <v>559</v>
      </c>
      <c r="AQ12" t="s">
        <v>560</v>
      </c>
      <c r="AR12" t="s">
        <v>561</v>
      </c>
      <c r="AS12" t="s">
        <v>562</v>
      </c>
      <c r="AT12" t="s">
        <v>217</v>
      </c>
      <c r="AU12" t="s">
        <v>563</v>
      </c>
      <c r="AV12" t="s">
        <v>564</v>
      </c>
      <c r="AW12" t="s">
        <v>565</v>
      </c>
      <c r="AX12" t="s">
        <v>566</v>
      </c>
      <c r="AY12" t="s">
        <v>567</v>
      </c>
      <c r="AZ12" t="s">
        <v>195</v>
      </c>
      <c r="BA12" t="s">
        <v>492</v>
      </c>
      <c r="BB12" t="s">
        <v>493</v>
      </c>
      <c r="BC12" t="s">
        <v>568</v>
      </c>
      <c r="BD12" t="s">
        <v>162</v>
      </c>
      <c r="BE12" t="s">
        <v>452</v>
      </c>
      <c r="BF12" t="s">
        <v>569</v>
      </c>
      <c r="BG12" t="s">
        <v>570</v>
      </c>
      <c r="BH12" t="s">
        <v>410</v>
      </c>
      <c r="BI12" t="s">
        <v>571</v>
      </c>
      <c r="BJ12" t="s">
        <v>204</v>
      </c>
      <c r="BK12" t="s">
        <v>162</v>
      </c>
      <c r="BL12" t="s">
        <v>205</v>
      </c>
      <c r="BM12" t="s">
        <v>160</v>
      </c>
      <c r="BN12" t="s">
        <v>206</v>
      </c>
      <c r="BO12" t="s">
        <v>367</v>
      </c>
      <c r="BP12" t="s">
        <v>412</v>
      </c>
      <c r="BQ12" t="s">
        <v>572</v>
      </c>
      <c r="BR12" t="s">
        <v>573</v>
      </c>
      <c r="BS12" t="s">
        <v>574</v>
      </c>
      <c r="BT12" t="s">
        <v>160</v>
      </c>
      <c r="BU12" t="s">
        <v>211</v>
      </c>
      <c r="BV12" t="s">
        <v>206</v>
      </c>
      <c r="BW12" t="s">
        <v>212</v>
      </c>
      <c r="BX12" t="s">
        <v>213</v>
      </c>
      <c r="BY12" t="s">
        <v>172</v>
      </c>
      <c r="BZ12" t="s">
        <v>214</v>
      </c>
      <c r="CA12" t="s">
        <v>172</v>
      </c>
      <c r="CB12" t="s">
        <v>172</v>
      </c>
      <c r="CC12" t="s">
        <v>215</v>
      </c>
      <c r="CD12" t="s">
        <v>216</v>
      </c>
      <c r="CE12" t="s">
        <v>217</v>
      </c>
      <c r="CF12" t="s">
        <v>218</v>
      </c>
      <c r="CG12" t="s">
        <v>219</v>
      </c>
      <c r="CH12" t="s">
        <v>220</v>
      </c>
      <c r="CI12" t="s">
        <v>178</v>
      </c>
      <c r="CJ12" t="s">
        <v>212</v>
      </c>
      <c r="CK12" t="s">
        <v>221</v>
      </c>
      <c r="CL12" t="s">
        <v>221</v>
      </c>
      <c r="CM12" t="s">
        <v>221</v>
      </c>
      <c r="CN12" t="s">
        <v>172</v>
      </c>
      <c r="CO12" t="s">
        <v>222</v>
      </c>
      <c r="CP12" t="s">
        <v>172</v>
      </c>
      <c r="CQ12" t="s">
        <v>172</v>
      </c>
      <c r="CR12" t="s">
        <v>172</v>
      </c>
      <c r="CS12" t="s">
        <v>172</v>
      </c>
      <c r="CT12" t="s">
        <v>575</v>
      </c>
      <c r="CU12" t="s">
        <v>576</v>
      </c>
      <c r="CV12" t="s">
        <v>577</v>
      </c>
      <c r="CW12" t="s">
        <v>578</v>
      </c>
      <c r="CX12" t="s">
        <v>579</v>
      </c>
      <c r="CY12" t="s">
        <v>580</v>
      </c>
      <c r="CZ12" t="s">
        <v>581</v>
      </c>
      <c r="DA12" t="s">
        <v>582</v>
      </c>
      <c r="DB12" t="s">
        <v>552</v>
      </c>
      <c r="DC12" t="s">
        <v>583</v>
      </c>
      <c r="DD12" t="s">
        <v>232</v>
      </c>
      <c r="DE12" t="s">
        <v>233</v>
      </c>
      <c r="DF12" t="s">
        <v>178</v>
      </c>
      <c r="DG12" t="s">
        <v>234</v>
      </c>
      <c r="DH12" t="s">
        <v>235</v>
      </c>
      <c r="DI12" t="s">
        <v>178</v>
      </c>
      <c r="DJ12" t="s">
        <v>236</v>
      </c>
      <c r="DK12" t="s">
        <v>237</v>
      </c>
      <c r="DL12" t="s">
        <v>238</v>
      </c>
      <c r="DM12" t="s">
        <v>172</v>
      </c>
      <c r="DN12" t="s">
        <v>551</v>
      </c>
      <c r="DO12" t="s">
        <v>239</v>
      </c>
      <c r="DP12" t="s">
        <v>240</v>
      </c>
      <c r="DQ12" t="s">
        <v>241</v>
      </c>
      <c r="DR12" t="s">
        <v>242</v>
      </c>
      <c r="DS12" t="s">
        <v>243</v>
      </c>
      <c r="DT12" t="s">
        <v>244</v>
      </c>
    </row>
    <row r="13" spans="1:124" x14ac:dyDescent="0.3">
      <c r="A13" t="s">
        <v>584</v>
      </c>
      <c r="B13" t="s">
        <v>585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1159</v>
      </c>
      <c r="I13" t="s">
        <v>586</v>
      </c>
      <c r="J13">
        <f t="shared" si="0"/>
        <v>0.18017600978382328</v>
      </c>
      <c r="K13">
        <f t="shared" si="1"/>
        <v>2.9066320800000001</v>
      </c>
      <c r="L13">
        <f t="shared" si="2"/>
        <v>0.16965919320262343</v>
      </c>
      <c r="M13">
        <f t="shared" si="3"/>
        <v>2.5260041951495524</v>
      </c>
      <c r="N13" t="s">
        <v>587</v>
      </c>
      <c r="O13" t="s">
        <v>588</v>
      </c>
      <c r="P13">
        <f t="shared" si="4"/>
        <v>2.9272878554395834</v>
      </c>
      <c r="Q13">
        <f t="shared" si="5"/>
        <v>1.4834058554395833</v>
      </c>
      <c r="R13" t="s">
        <v>589</v>
      </c>
      <c r="S13" t="s">
        <v>590</v>
      </c>
      <c r="T13">
        <f t="shared" si="6"/>
        <v>28.749635193867448</v>
      </c>
      <c r="U13">
        <f t="shared" si="7"/>
        <v>0.4417875</v>
      </c>
      <c r="V13" t="s">
        <v>170</v>
      </c>
      <c r="W13" t="s">
        <v>591</v>
      </c>
      <c r="X13" t="s">
        <v>172</v>
      </c>
      <c r="Y13" t="s">
        <v>172</v>
      </c>
      <c r="Z13" t="s">
        <v>172</v>
      </c>
      <c r="AA13" t="s">
        <v>592</v>
      </c>
      <c r="AB13" t="s">
        <v>593</v>
      </c>
      <c r="AC13" t="s">
        <v>594</v>
      </c>
      <c r="AD13" t="s">
        <v>176</v>
      </c>
      <c r="AE13" t="s">
        <v>177</v>
      </c>
      <c r="AF13">
        <f t="shared" si="8"/>
        <v>125.40960431999999</v>
      </c>
      <c r="AG13" t="s">
        <v>178</v>
      </c>
      <c r="AH13" t="s">
        <v>348</v>
      </c>
      <c r="AI13" t="s">
        <v>595</v>
      </c>
      <c r="AJ13" t="s">
        <v>596</v>
      </c>
      <c r="AK13" t="s">
        <v>597</v>
      </c>
      <c r="AL13">
        <f t="shared" si="9"/>
        <v>23.62</v>
      </c>
      <c r="AM13" t="s">
        <v>440</v>
      </c>
      <c r="AN13" t="s">
        <v>260</v>
      </c>
      <c r="AO13" t="s">
        <v>558</v>
      </c>
      <c r="AP13" t="s">
        <v>396</v>
      </c>
      <c r="AQ13" t="s">
        <v>598</v>
      </c>
      <c r="AR13" t="s">
        <v>599</v>
      </c>
      <c r="AS13" t="s">
        <v>600</v>
      </c>
      <c r="AT13" t="s">
        <v>601</v>
      </c>
      <c r="AU13" t="s">
        <v>602</v>
      </c>
      <c r="AV13" t="s">
        <v>603</v>
      </c>
      <c r="AW13" t="s">
        <v>604</v>
      </c>
      <c r="AX13" t="s">
        <v>605</v>
      </c>
      <c r="AY13" t="s">
        <v>606</v>
      </c>
      <c r="AZ13" t="s">
        <v>195</v>
      </c>
      <c r="BA13" t="s">
        <v>607</v>
      </c>
      <c r="BB13" t="s">
        <v>608</v>
      </c>
      <c r="BC13" t="s">
        <v>609</v>
      </c>
      <c r="BD13" t="s">
        <v>162</v>
      </c>
      <c r="BE13" t="s">
        <v>610</v>
      </c>
      <c r="BF13" t="s">
        <v>531</v>
      </c>
      <c r="BG13" t="s">
        <v>611</v>
      </c>
      <c r="BH13" t="s">
        <v>612</v>
      </c>
      <c r="BI13" t="s">
        <v>411</v>
      </c>
      <c r="BJ13" t="s">
        <v>204</v>
      </c>
      <c r="BK13" t="s">
        <v>162</v>
      </c>
      <c r="BL13" t="s">
        <v>205</v>
      </c>
      <c r="BM13" t="s">
        <v>160</v>
      </c>
      <c r="BN13" t="s">
        <v>206</v>
      </c>
      <c r="BO13" t="s">
        <v>206</v>
      </c>
      <c r="BP13" t="s">
        <v>279</v>
      </c>
      <c r="BQ13" t="s">
        <v>613</v>
      </c>
      <c r="BR13" t="s">
        <v>614</v>
      </c>
      <c r="BS13" t="s">
        <v>615</v>
      </c>
      <c r="BT13" t="s">
        <v>160</v>
      </c>
      <c r="BU13" t="s">
        <v>211</v>
      </c>
      <c r="BV13" t="s">
        <v>206</v>
      </c>
      <c r="BW13" t="s">
        <v>212</v>
      </c>
      <c r="BX13" t="s">
        <v>213</v>
      </c>
      <c r="BY13" t="s">
        <v>172</v>
      </c>
      <c r="BZ13" t="s">
        <v>214</v>
      </c>
      <c r="CA13" t="s">
        <v>172</v>
      </c>
      <c r="CB13" t="s">
        <v>172</v>
      </c>
      <c r="CC13" t="s">
        <v>215</v>
      </c>
      <c r="CD13" t="s">
        <v>216</v>
      </c>
      <c r="CE13" t="s">
        <v>217</v>
      </c>
      <c r="CF13" t="s">
        <v>218</v>
      </c>
      <c r="CG13" t="s">
        <v>219</v>
      </c>
      <c r="CH13" t="s">
        <v>220</v>
      </c>
      <c r="CI13" t="s">
        <v>178</v>
      </c>
      <c r="CJ13" t="s">
        <v>212</v>
      </c>
      <c r="CK13" t="s">
        <v>221</v>
      </c>
      <c r="CL13" t="s">
        <v>221</v>
      </c>
      <c r="CM13" t="s">
        <v>221</v>
      </c>
      <c r="CN13" t="s">
        <v>172</v>
      </c>
      <c r="CO13" t="s">
        <v>222</v>
      </c>
      <c r="CP13" t="s">
        <v>172</v>
      </c>
      <c r="CQ13" t="s">
        <v>172</v>
      </c>
      <c r="CR13" t="s">
        <v>172</v>
      </c>
      <c r="CS13" t="s">
        <v>172</v>
      </c>
      <c r="CT13" t="s">
        <v>616</v>
      </c>
      <c r="CU13" t="s">
        <v>617</v>
      </c>
      <c r="CV13" t="s">
        <v>618</v>
      </c>
      <c r="CW13" t="s">
        <v>619</v>
      </c>
      <c r="CX13" t="s">
        <v>620</v>
      </c>
      <c r="CY13" t="s">
        <v>621</v>
      </c>
      <c r="CZ13" t="s">
        <v>622</v>
      </c>
      <c r="DA13" t="s">
        <v>623</v>
      </c>
      <c r="DB13" t="s">
        <v>592</v>
      </c>
      <c r="DC13" t="s">
        <v>624</v>
      </c>
      <c r="DD13" t="s">
        <v>232</v>
      </c>
      <c r="DE13" t="s">
        <v>233</v>
      </c>
      <c r="DF13" t="s">
        <v>178</v>
      </c>
      <c r="DG13" t="s">
        <v>234</v>
      </c>
      <c r="DH13" t="s">
        <v>235</v>
      </c>
      <c r="DI13" t="s">
        <v>178</v>
      </c>
      <c r="DJ13" t="s">
        <v>236</v>
      </c>
      <c r="DK13" t="s">
        <v>237</v>
      </c>
      <c r="DL13" t="s">
        <v>238</v>
      </c>
      <c r="DM13" t="s">
        <v>172</v>
      </c>
      <c r="DN13" t="s">
        <v>591</v>
      </c>
      <c r="DO13" t="s">
        <v>239</v>
      </c>
      <c r="DP13" t="s">
        <v>240</v>
      </c>
      <c r="DQ13" t="s">
        <v>241</v>
      </c>
      <c r="DR13" t="s">
        <v>242</v>
      </c>
      <c r="DS13" t="s">
        <v>243</v>
      </c>
      <c r="DT13" t="s">
        <v>244</v>
      </c>
    </row>
    <row r="14" spans="1:124" x14ac:dyDescent="0.3">
      <c r="A14" t="s">
        <v>202</v>
      </c>
      <c r="B14" t="s">
        <v>625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1173</v>
      </c>
      <c r="I14" t="s">
        <v>626</v>
      </c>
      <c r="J14">
        <f t="shared" si="0"/>
        <v>1.5547090942515896E-2</v>
      </c>
      <c r="K14">
        <f t="shared" si="1"/>
        <v>2.9042299199999997</v>
      </c>
      <c r="L14">
        <f t="shared" si="2"/>
        <v>1.5464306525805651E-2</v>
      </c>
      <c r="M14">
        <f t="shared" si="3"/>
        <v>0.28240605424960885</v>
      </c>
      <c r="N14" t="s">
        <v>627</v>
      </c>
      <c r="O14" t="s">
        <v>628</v>
      </c>
      <c r="P14">
        <f t="shared" si="4"/>
        <v>3.2466349617169206</v>
      </c>
      <c r="Q14">
        <f t="shared" si="5"/>
        <v>1.8167119617169205</v>
      </c>
      <c r="R14" t="s">
        <v>629</v>
      </c>
      <c r="S14" t="s">
        <v>630</v>
      </c>
      <c r="T14">
        <f t="shared" si="6"/>
        <v>31.8860239807201</v>
      </c>
      <c r="U14">
        <f t="shared" si="7"/>
        <v>0.4417875</v>
      </c>
      <c r="V14" t="s">
        <v>170</v>
      </c>
      <c r="W14" t="s">
        <v>631</v>
      </c>
      <c r="X14" t="s">
        <v>172</v>
      </c>
      <c r="Y14" t="s">
        <v>172</v>
      </c>
      <c r="Z14" t="s">
        <v>172</v>
      </c>
      <c r="AA14" t="s">
        <v>632</v>
      </c>
      <c r="AB14" t="s">
        <v>633</v>
      </c>
      <c r="AC14" t="s">
        <v>634</v>
      </c>
      <c r="AD14" t="s">
        <v>176</v>
      </c>
      <c r="AE14" t="s">
        <v>177</v>
      </c>
      <c r="AF14">
        <f t="shared" si="8"/>
        <v>132.33917087999998</v>
      </c>
      <c r="AG14" t="s">
        <v>178</v>
      </c>
      <c r="AH14" t="s">
        <v>392</v>
      </c>
      <c r="AI14" t="s">
        <v>478</v>
      </c>
      <c r="AJ14" t="s">
        <v>635</v>
      </c>
      <c r="AK14" t="s">
        <v>636</v>
      </c>
      <c r="AL14">
        <f t="shared" si="9"/>
        <v>25.35</v>
      </c>
      <c r="AM14" t="s">
        <v>440</v>
      </c>
      <c r="AN14" t="s">
        <v>184</v>
      </c>
      <c r="AO14" t="s">
        <v>637</v>
      </c>
      <c r="AP14" t="s">
        <v>638</v>
      </c>
      <c r="AQ14" t="s">
        <v>639</v>
      </c>
      <c r="AR14" t="s">
        <v>640</v>
      </c>
      <c r="AS14" t="s">
        <v>641</v>
      </c>
      <c r="AT14" t="s">
        <v>642</v>
      </c>
      <c r="AU14" t="s">
        <v>358</v>
      </c>
      <c r="AV14" t="s">
        <v>643</v>
      </c>
      <c r="AW14" t="s">
        <v>644</v>
      </c>
      <c r="AX14" t="s">
        <v>645</v>
      </c>
      <c r="AY14" t="s">
        <v>646</v>
      </c>
      <c r="AZ14" t="s">
        <v>195</v>
      </c>
      <c r="BA14" t="s">
        <v>607</v>
      </c>
      <c r="BB14" t="s">
        <v>608</v>
      </c>
      <c r="BC14" t="s">
        <v>647</v>
      </c>
      <c r="BD14" t="s">
        <v>162</v>
      </c>
      <c r="BE14" t="s">
        <v>648</v>
      </c>
      <c r="BF14" t="s">
        <v>200</v>
      </c>
      <c r="BG14" t="s">
        <v>649</v>
      </c>
      <c r="BH14" t="s">
        <v>410</v>
      </c>
      <c r="BI14" t="s">
        <v>571</v>
      </c>
      <c r="BJ14" t="s">
        <v>204</v>
      </c>
      <c r="BK14" t="s">
        <v>162</v>
      </c>
      <c r="BL14" t="s">
        <v>205</v>
      </c>
      <c r="BM14" t="s">
        <v>160</v>
      </c>
      <c r="BN14" t="s">
        <v>367</v>
      </c>
      <c r="BO14" t="s">
        <v>207</v>
      </c>
      <c r="BP14" t="s">
        <v>323</v>
      </c>
      <c r="BQ14" t="s">
        <v>650</v>
      </c>
      <c r="BR14" t="s">
        <v>651</v>
      </c>
      <c r="BS14" t="s">
        <v>652</v>
      </c>
      <c r="BT14" t="s">
        <v>160</v>
      </c>
      <c r="BU14" t="s">
        <v>211</v>
      </c>
      <c r="BV14" t="s">
        <v>206</v>
      </c>
      <c r="BW14" t="s">
        <v>212</v>
      </c>
      <c r="BX14" t="s">
        <v>213</v>
      </c>
      <c r="BY14" t="s">
        <v>172</v>
      </c>
      <c r="BZ14" t="s">
        <v>214</v>
      </c>
      <c r="CA14" t="s">
        <v>172</v>
      </c>
      <c r="CB14" t="s">
        <v>172</v>
      </c>
      <c r="CC14" t="s">
        <v>215</v>
      </c>
      <c r="CD14" t="s">
        <v>216</v>
      </c>
      <c r="CE14" t="s">
        <v>217</v>
      </c>
      <c r="CF14" t="s">
        <v>218</v>
      </c>
      <c r="CG14" t="s">
        <v>219</v>
      </c>
      <c r="CH14" t="s">
        <v>220</v>
      </c>
      <c r="CI14" t="s">
        <v>178</v>
      </c>
      <c r="CJ14" t="s">
        <v>212</v>
      </c>
      <c r="CK14" t="s">
        <v>221</v>
      </c>
      <c r="CL14" t="s">
        <v>221</v>
      </c>
      <c r="CM14" t="s">
        <v>221</v>
      </c>
      <c r="CN14" t="s">
        <v>172</v>
      </c>
      <c r="CO14" t="s">
        <v>222</v>
      </c>
      <c r="CP14" t="s">
        <v>172</v>
      </c>
      <c r="CQ14" t="s">
        <v>172</v>
      </c>
      <c r="CR14" t="s">
        <v>172</v>
      </c>
      <c r="CS14" t="s">
        <v>172</v>
      </c>
      <c r="CT14" t="s">
        <v>653</v>
      </c>
      <c r="CU14" t="s">
        <v>654</v>
      </c>
      <c r="CV14" t="s">
        <v>655</v>
      </c>
      <c r="CW14" t="s">
        <v>656</v>
      </c>
      <c r="CX14" t="s">
        <v>657</v>
      </c>
      <c r="CY14" t="s">
        <v>658</v>
      </c>
      <c r="CZ14" t="s">
        <v>659</v>
      </c>
      <c r="DA14" t="s">
        <v>660</v>
      </c>
      <c r="DB14" t="s">
        <v>632</v>
      </c>
      <c r="DC14" t="s">
        <v>544</v>
      </c>
      <c r="DD14" t="s">
        <v>232</v>
      </c>
      <c r="DE14" t="s">
        <v>233</v>
      </c>
      <c r="DF14" t="s">
        <v>178</v>
      </c>
      <c r="DG14" t="s">
        <v>234</v>
      </c>
      <c r="DH14" t="s">
        <v>235</v>
      </c>
      <c r="DI14" t="s">
        <v>178</v>
      </c>
      <c r="DJ14" t="s">
        <v>236</v>
      </c>
      <c r="DK14" t="s">
        <v>237</v>
      </c>
      <c r="DL14" t="s">
        <v>238</v>
      </c>
      <c r="DM14" t="s">
        <v>172</v>
      </c>
      <c r="DN14" t="s">
        <v>631</v>
      </c>
      <c r="DO14" t="s">
        <v>239</v>
      </c>
      <c r="DP14" t="s">
        <v>240</v>
      </c>
      <c r="DQ14" t="s">
        <v>241</v>
      </c>
      <c r="DR14" t="s">
        <v>242</v>
      </c>
      <c r="DS14" t="s">
        <v>243</v>
      </c>
      <c r="DT14" t="s">
        <v>244</v>
      </c>
    </row>
    <row r="15" spans="1:124" x14ac:dyDescent="0.3">
      <c r="A15" t="s">
        <v>266</v>
      </c>
      <c r="B15" t="s">
        <v>661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1160</v>
      </c>
      <c r="I15" t="s">
        <v>662</v>
      </c>
      <c r="J15">
        <f t="shared" si="0"/>
        <v>2.1812802594513899E-2</v>
      </c>
      <c r="K15">
        <f t="shared" si="1"/>
        <v>2.9066320800000001</v>
      </c>
      <c r="L15">
        <f t="shared" si="2"/>
        <v>2.165032784217856E-2</v>
      </c>
      <c r="M15">
        <f t="shared" si="3"/>
        <v>0.49975197181080944</v>
      </c>
      <c r="N15" t="s">
        <v>663</v>
      </c>
      <c r="O15" t="s">
        <v>664</v>
      </c>
      <c r="P15">
        <f t="shared" si="4"/>
        <v>3.7267978386279528</v>
      </c>
      <c r="Q15">
        <f t="shared" si="5"/>
        <v>2.2905028386279529</v>
      </c>
      <c r="R15" t="s">
        <v>665</v>
      </c>
      <c r="S15" t="s">
        <v>666</v>
      </c>
      <c r="T15">
        <f t="shared" si="6"/>
        <v>36.605420279225548</v>
      </c>
      <c r="U15">
        <f t="shared" si="7"/>
        <v>0.4417875</v>
      </c>
      <c r="V15" t="s">
        <v>170</v>
      </c>
      <c r="W15" t="s">
        <v>667</v>
      </c>
      <c r="X15" t="s">
        <v>172</v>
      </c>
      <c r="Y15" t="s">
        <v>172</v>
      </c>
      <c r="Z15" t="s">
        <v>172</v>
      </c>
      <c r="AA15" t="s">
        <v>668</v>
      </c>
      <c r="AB15" t="s">
        <v>669</v>
      </c>
      <c r="AC15" t="s">
        <v>670</v>
      </c>
      <c r="AD15" t="s">
        <v>176</v>
      </c>
      <c r="AE15" t="s">
        <v>177</v>
      </c>
      <c r="AF15">
        <f t="shared" si="8"/>
        <v>174.67313093999999</v>
      </c>
      <c r="AG15" t="s">
        <v>178</v>
      </c>
      <c r="AH15" t="s">
        <v>671</v>
      </c>
      <c r="AI15" t="s">
        <v>672</v>
      </c>
      <c r="AJ15" t="s">
        <v>673</v>
      </c>
      <c r="AK15" t="s">
        <v>674</v>
      </c>
      <c r="AL15">
        <f t="shared" si="9"/>
        <v>27.69</v>
      </c>
      <c r="AM15" t="s">
        <v>675</v>
      </c>
      <c r="AN15" t="s">
        <v>260</v>
      </c>
      <c r="AO15" t="s">
        <v>260</v>
      </c>
      <c r="AP15" t="s">
        <v>676</v>
      </c>
      <c r="AQ15" t="s">
        <v>677</v>
      </c>
      <c r="AR15" t="s">
        <v>678</v>
      </c>
      <c r="AS15" t="s">
        <v>485</v>
      </c>
      <c r="AT15" t="s">
        <v>679</v>
      </c>
      <c r="AU15" t="s">
        <v>680</v>
      </c>
      <c r="AV15" t="s">
        <v>681</v>
      </c>
      <c r="AW15" t="s">
        <v>682</v>
      </c>
      <c r="AX15" t="s">
        <v>192</v>
      </c>
      <c r="AY15" t="s">
        <v>683</v>
      </c>
      <c r="AZ15" t="s">
        <v>195</v>
      </c>
      <c r="BA15" t="s">
        <v>684</v>
      </c>
      <c r="BB15" t="s">
        <v>685</v>
      </c>
      <c r="BC15" t="s">
        <v>686</v>
      </c>
      <c r="BD15" t="s">
        <v>162</v>
      </c>
      <c r="BE15" t="s">
        <v>687</v>
      </c>
      <c r="BF15" t="s">
        <v>276</v>
      </c>
      <c r="BG15" t="s">
        <v>688</v>
      </c>
      <c r="BH15" t="s">
        <v>410</v>
      </c>
      <c r="BI15" t="s">
        <v>689</v>
      </c>
      <c r="BJ15" t="s">
        <v>204</v>
      </c>
      <c r="BK15" t="s">
        <v>162</v>
      </c>
      <c r="BL15" t="s">
        <v>205</v>
      </c>
      <c r="BM15" t="s">
        <v>160</v>
      </c>
      <c r="BN15" t="s">
        <v>206</v>
      </c>
      <c r="BO15" t="s">
        <v>323</v>
      </c>
      <c r="BP15" t="s">
        <v>206</v>
      </c>
      <c r="BQ15" t="s">
        <v>690</v>
      </c>
      <c r="BR15" t="s">
        <v>691</v>
      </c>
      <c r="BS15" t="s">
        <v>692</v>
      </c>
      <c r="BT15" t="s">
        <v>160</v>
      </c>
      <c r="BU15" t="s">
        <v>211</v>
      </c>
      <c r="BV15" t="s">
        <v>206</v>
      </c>
      <c r="BW15" t="s">
        <v>212</v>
      </c>
      <c r="BX15" t="s">
        <v>213</v>
      </c>
      <c r="BY15" t="s">
        <v>172</v>
      </c>
      <c r="BZ15" t="s">
        <v>214</v>
      </c>
      <c r="CA15" t="s">
        <v>172</v>
      </c>
      <c r="CB15" t="s">
        <v>172</v>
      </c>
      <c r="CC15" t="s">
        <v>215</v>
      </c>
      <c r="CD15" t="s">
        <v>216</v>
      </c>
      <c r="CE15" t="s">
        <v>217</v>
      </c>
      <c r="CF15" t="s">
        <v>218</v>
      </c>
      <c r="CG15" t="s">
        <v>219</v>
      </c>
      <c r="CH15" t="s">
        <v>220</v>
      </c>
      <c r="CI15" t="s">
        <v>178</v>
      </c>
      <c r="CJ15" t="s">
        <v>212</v>
      </c>
      <c r="CK15" t="s">
        <v>221</v>
      </c>
      <c r="CL15" t="s">
        <v>221</v>
      </c>
      <c r="CM15" t="s">
        <v>221</v>
      </c>
      <c r="CN15" t="s">
        <v>172</v>
      </c>
      <c r="CO15" t="s">
        <v>222</v>
      </c>
      <c r="CP15" t="s">
        <v>172</v>
      </c>
      <c r="CQ15" t="s">
        <v>172</v>
      </c>
      <c r="CR15" t="s">
        <v>172</v>
      </c>
      <c r="CS15" t="s">
        <v>172</v>
      </c>
      <c r="CT15" t="s">
        <v>693</v>
      </c>
      <c r="CU15" t="s">
        <v>694</v>
      </c>
      <c r="CV15" t="s">
        <v>695</v>
      </c>
      <c r="CW15" t="s">
        <v>696</v>
      </c>
      <c r="CX15" t="s">
        <v>697</v>
      </c>
      <c r="CY15" t="s">
        <v>698</v>
      </c>
      <c r="CZ15" t="s">
        <v>699</v>
      </c>
      <c r="DA15" t="s">
        <v>700</v>
      </c>
      <c r="DB15" t="s">
        <v>668</v>
      </c>
      <c r="DC15" t="s">
        <v>701</v>
      </c>
      <c r="DD15" t="s">
        <v>232</v>
      </c>
      <c r="DE15" t="s">
        <v>233</v>
      </c>
      <c r="DF15" t="s">
        <v>178</v>
      </c>
      <c r="DG15" t="s">
        <v>234</v>
      </c>
      <c r="DH15" t="s">
        <v>235</v>
      </c>
      <c r="DI15" t="s">
        <v>178</v>
      </c>
      <c r="DJ15" t="s">
        <v>236</v>
      </c>
      <c r="DK15" t="s">
        <v>237</v>
      </c>
      <c r="DL15" t="s">
        <v>238</v>
      </c>
      <c r="DM15" t="s">
        <v>172</v>
      </c>
      <c r="DN15" t="s">
        <v>667</v>
      </c>
      <c r="DO15" t="s">
        <v>239</v>
      </c>
      <c r="DP15" t="s">
        <v>240</v>
      </c>
      <c r="DQ15" t="s">
        <v>241</v>
      </c>
      <c r="DR15" t="s">
        <v>242</v>
      </c>
      <c r="DS15" t="s">
        <v>243</v>
      </c>
      <c r="DT15" t="s">
        <v>244</v>
      </c>
    </row>
    <row r="16" spans="1:124" x14ac:dyDescent="0.3">
      <c r="A16" t="s">
        <v>612</v>
      </c>
      <c r="B16" t="s">
        <v>702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1174</v>
      </c>
      <c r="I16" t="s">
        <v>703</v>
      </c>
      <c r="J16">
        <f t="shared" si="0"/>
        <v>0.27472374352874762</v>
      </c>
      <c r="K16">
        <f t="shared" si="1"/>
        <v>2.9050319999999994</v>
      </c>
      <c r="L16">
        <f t="shared" si="2"/>
        <v>0.25098823006610271</v>
      </c>
      <c r="M16">
        <f t="shared" si="3"/>
        <v>3.9995567115700705</v>
      </c>
      <c r="N16" t="s">
        <v>704</v>
      </c>
      <c r="O16" t="s">
        <v>705</v>
      </c>
      <c r="P16">
        <f t="shared" si="4"/>
        <v>3.1419606428378635</v>
      </c>
      <c r="Q16">
        <f t="shared" si="5"/>
        <v>1.5851486428378634</v>
      </c>
      <c r="R16" t="s">
        <v>706</v>
      </c>
      <c r="S16" t="s">
        <v>707</v>
      </c>
      <c r="T16">
        <f t="shared" si="6"/>
        <v>30.857990992318442</v>
      </c>
      <c r="U16">
        <f t="shared" si="7"/>
        <v>0.4417875</v>
      </c>
      <c r="V16" t="s">
        <v>170</v>
      </c>
      <c r="W16" t="s">
        <v>708</v>
      </c>
      <c r="X16" t="s">
        <v>172</v>
      </c>
      <c r="Y16" t="s">
        <v>172</v>
      </c>
      <c r="Z16" t="s">
        <v>172</v>
      </c>
      <c r="AA16" t="s">
        <v>709</v>
      </c>
      <c r="AB16" t="s">
        <v>710</v>
      </c>
      <c r="AC16" t="s">
        <v>711</v>
      </c>
      <c r="AD16" t="s">
        <v>176</v>
      </c>
      <c r="AE16" t="s">
        <v>177</v>
      </c>
      <c r="AF16">
        <f t="shared" si="8"/>
        <v>197.14551947999999</v>
      </c>
      <c r="AG16" t="s">
        <v>178</v>
      </c>
      <c r="AH16" t="s">
        <v>712</v>
      </c>
      <c r="AI16" t="s">
        <v>713</v>
      </c>
      <c r="AJ16" t="s">
        <v>714</v>
      </c>
      <c r="AK16" t="s">
        <v>715</v>
      </c>
      <c r="AL16">
        <f t="shared" si="9"/>
        <v>24.8</v>
      </c>
      <c r="AM16" t="s">
        <v>440</v>
      </c>
      <c r="AN16" t="s">
        <v>441</v>
      </c>
      <c r="AO16" t="s">
        <v>716</v>
      </c>
      <c r="AP16" t="s">
        <v>717</v>
      </c>
      <c r="AQ16" t="s">
        <v>718</v>
      </c>
      <c r="AR16" t="s">
        <v>678</v>
      </c>
      <c r="AS16" t="s">
        <v>336</v>
      </c>
      <c r="AT16" t="s">
        <v>719</v>
      </c>
      <c r="AU16" t="s">
        <v>720</v>
      </c>
      <c r="AV16" t="s">
        <v>644</v>
      </c>
      <c r="AW16" t="s">
        <v>721</v>
      </c>
      <c r="AX16" t="s">
        <v>722</v>
      </c>
      <c r="AY16" t="s">
        <v>723</v>
      </c>
      <c r="AZ16" t="s">
        <v>195</v>
      </c>
      <c r="BA16" t="s">
        <v>684</v>
      </c>
      <c r="BB16" t="s">
        <v>685</v>
      </c>
      <c r="BC16" t="s">
        <v>724</v>
      </c>
      <c r="BD16" t="s">
        <v>162</v>
      </c>
      <c r="BE16" t="s">
        <v>725</v>
      </c>
      <c r="BF16" t="s">
        <v>408</v>
      </c>
      <c r="BG16" t="s">
        <v>726</v>
      </c>
      <c r="BH16" t="s">
        <v>486</v>
      </c>
      <c r="BI16" t="s">
        <v>727</v>
      </c>
      <c r="BJ16" t="s">
        <v>204</v>
      </c>
      <c r="BK16" t="s">
        <v>162</v>
      </c>
      <c r="BL16" t="s">
        <v>205</v>
      </c>
      <c r="BM16" t="s">
        <v>160</v>
      </c>
      <c r="BN16" t="s">
        <v>279</v>
      </c>
      <c r="BO16" t="s">
        <v>207</v>
      </c>
      <c r="BP16" t="s">
        <v>206</v>
      </c>
      <c r="BQ16" t="s">
        <v>728</v>
      </c>
      <c r="BR16" t="s">
        <v>729</v>
      </c>
      <c r="BS16" t="s">
        <v>730</v>
      </c>
      <c r="BT16" t="s">
        <v>160</v>
      </c>
      <c r="BU16" t="s">
        <v>211</v>
      </c>
      <c r="BV16" t="s">
        <v>206</v>
      </c>
      <c r="BW16" t="s">
        <v>212</v>
      </c>
      <c r="BX16" t="s">
        <v>213</v>
      </c>
      <c r="BY16" t="s">
        <v>172</v>
      </c>
      <c r="BZ16" t="s">
        <v>214</v>
      </c>
      <c r="CA16" t="s">
        <v>172</v>
      </c>
      <c r="CB16" t="s">
        <v>172</v>
      </c>
      <c r="CC16" t="s">
        <v>215</v>
      </c>
      <c r="CD16" t="s">
        <v>216</v>
      </c>
      <c r="CE16" t="s">
        <v>217</v>
      </c>
      <c r="CF16" t="s">
        <v>218</v>
      </c>
      <c r="CG16" t="s">
        <v>219</v>
      </c>
      <c r="CH16" t="s">
        <v>220</v>
      </c>
      <c r="CI16" t="s">
        <v>178</v>
      </c>
      <c r="CJ16" t="s">
        <v>212</v>
      </c>
      <c r="CK16" t="s">
        <v>221</v>
      </c>
      <c r="CL16" t="s">
        <v>221</v>
      </c>
      <c r="CM16" t="s">
        <v>221</v>
      </c>
      <c r="CN16" t="s">
        <v>172</v>
      </c>
      <c r="CO16" t="s">
        <v>222</v>
      </c>
      <c r="CP16" t="s">
        <v>172</v>
      </c>
      <c r="CQ16" t="s">
        <v>172</v>
      </c>
      <c r="CR16" t="s">
        <v>172</v>
      </c>
      <c r="CS16" t="s">
        <v>172</v>
      </c>
      <c r="CT16" t="s">
        <v>731</v>
      </c>
      <c r="CU16" t="s">
        <v>732</v>
      </c>
      <c r="CV16" t="s">
        <v>733</v>
      </c>
      <c r="CW16" t="s">
        <v>734</v>
      </c>
      <c r="CX16" t="s">
        <v>735</v>
      </c>
      <c r="CY16" t="s">
        <v>736</v>
      </c>
      <c r="CZ16" t="s">
        <v>737</v>
      </c>
      <c r="DA16" t="s">
        <v>738</v>
      </c>
      <c r="DB16" t="s">
        <v>709</v>
      </c>
      <c r="DC16" t="s">
        <v>544</v>
      </c>
      <c r="DD16" t="s">
        <v>232</v>
      </c>
      <c r="DE16" t="s">
        <v>233</v>
      </c>
      <c r="DF16" t="s">
        <v>178</v>
      </c>
      <c r="DG16" t="s">
        <v>234</v>
      </c>
      <c r="DH16" t="s">
        <v>235</v>
      </c>
      <c r="DI16" t="s">
        <v>178</v>
      </c>
      <c r="DJ16" t="s">
        <v>236</v>
      </c>
      <c r="DK16" t="s">
        <v>237</v>
      </c>
      <c r="DL16" t="s">
        <v>238</v>
      </c>
      <c r="DM16" t="s">
        <v>172</v>
      </c>
      <c r="DN16" t="s">
        <v>708</v>
      </c>
      <c r="DO16" t="s">
        <v>239</v>
      </c>
      <c r="DP16" t="s">
        <v>240</v>
      </c>
      <c r="DQ16" t="s">
        <v>241</v>
      </c>
      <c r="DR16" t="s">
        <v>242</v>
      </c>
      <c r="DS16" t="s">
        <v>243</v>
      </c>
      <c r="DT16" t="s">
        <v>244</v>
      </c>
    </row>
    <row r="17" spans="1:124" x14ac:dyDescent="0.3">
      <c r="A17" t="s">
        <v>410</v>
      </c>
      <c r="B17" t="s">
        <v>739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1161</v>
      </c>
      <c r="I17" t="s">
        <v>740</v>
      </c>
      <c r="J17">
        <f t="shared" si="0"/>
        <v>0.28364727693303932</v>
      </c>
      <c r="K17">
        <f t="shared" si="1"/>
        <v>2.9042299199999997</v>
      </c>
      <c r="L17">
        <f t="shared" si="2"/>
        <v>0.25840923520767661</v>
      </c>
      <c r="M17">
        <f t="shared" si="3"/>
        <v>3.8482903386456973</v>
      </c>
      <c r="N17" t="s">
        <v>741</v>
      </c>
      <c r="O17" t="s">
        <v>742</v>
      </c>
      <c r="P17">
        <f t="shared" si="4"/>
        <v>3.0366040920835586</v>
      </c>
      <c r="Q17">
        <f t="shared" si="5"/>
        <v>1.4821570920835587</v>
      </c>
      <c r="R17" t="s">
        <v>743</v>
      </c>
      <c r="S17" t="s">
        <v>744</v>
      </c>
      <c r="T17">
        <f t="shared" si="6"/>
        <v>29.823257631934382</v>
      </c>
      <c r="U17">
        <f t="shared" si="7"/>
        <v>0.4417875</v>
      </c>
      <c r="V17" t="s">
        <v>170</v>
      </c>
      <c r="W17" t="s">
        <v>745</v>
      </c>
      <c r="X17" t="s">
        <v>172</v>
      </c>
      <c r="Y17" t="s">
        <v>172</v>
      </c>
      <c r="Z17" t="s">
        <v>172</v>
      </c>
      <c r="AA17" t="s">
        <v>746</v>
      </c>
      <c r="AB17" t="s">
        <v>747</v>
      </c>
      <c r="AC17" t="s">
        <v>748</v>
      </c>
      <c r="AD17" t="s">
        <v>176</v>
      </c>
      <c r="AE17" t="s">
        <v>177</v>
      </c>
      <c r="AF17">
        <f t="shared" si="8"/>
        <v>159.91561992000001</v>
      </c>
      <c r="AG17" t="s">
        <v>178</v>
      </c>
      <c r="AH17" t="s">
        <v>749</v>
      </c>
      <c r="AI17" t="s">
        <v>750</v>
      </c>
      <c r="AJ17" t="s">
        <v>751</v>
      </c>
      <c r="AK17" t="s">
        <v>752</v>
      </c>
      <c r="AL17">
        <f t="shared" si="9"/>
        <v>24.23</v>
      </c>
      <c r="AM17" t="s">
        <v>440</v>
      </c>
      <c r="AN17" t="s">
        <v>184</v>
      </c>
      <c r="AO17" t="s">
        <v>716</v>
      </c>
      <c r="AP17" t="s">
        <v>753</v>
      </c>
      <c r="AQ17" t="s">
        <v>754</v>
      </c>
      <c r="AR17" t="s">
        <v>678</v>
      </c>
      <c r="AS17" t="s">
        <v>446</v>
      </c>
      <c r="AT17" t="s">
        <v>202</v>
      </c>
      <c r="AU17" t="s">
        <v>755</v>
      </c>
      <c r="AV17" t="s">
        <v>756</v>
      </c>
      <c r="AW17" t="s">
        <v>757</v>
      </c>
      <c r="AX17" t="s">
        <v>449</v>
      </c>
      <c r="AY17" t="s">
        <v>758</v>
      </c>
      <c r="AZ17" t="s">
        <v>195</v>
      </c>
      <c r="BA17" t="s">
        <v>759</v>
      </c>
      <c r="BB17" t="s">
        <v>760</v>
      </c>
      <c r="BC17" t="s">
        <v>761</v>
      </c>
      <c r="BD17" t="s">
        <v>162</v>
      </c>
      <c r="BE17" t="s">
        <v>762</v>
      </c>
      <c r="BF17" t="s">
        <v>364</v>
      </c>
      <c r="BG17" t="s">
        <v>763</v>
      </c>
      <c r="BH17" t="s">
        <v>410</v>
      </c>
      <c r="BI17" t="s">
        <v>764</v>
      </c>
      <c r="BJ17" t="s">
        <v>204</v>
      </c>
      <c r="BK17" t="s">
        <v>162</v>
      </c>
      <c r="BL17" t="s">
        <v>205</v>
      </c>
      <c r="BM17" t="s">
        <v>160</v>
      </c>
      <c r="BN17" t="s">
        <v>323</v>
      </c>
      <c r="BO17" t="s">
        <v>207</v>
      </c>
      <c r="BP17" t="s">
        <v>279</v>
      </c>
      <c r="BQ17" t="s">
        <v>765</v>
      </c>
      <c r="BR17" t="s">
        <v>766</v>
      </c>
      <c r="BS17" t="s">
        <v>767</v>
      </c>
      <c r="BT17" t="s">
        <v>160</v>
      </c>
      <c r="BU17" t="s">
        <v>211</v>
      </c>
      <c r="BV17" t="s">
        <v>206</v>
      </c>
      <c r="BW17" t="s">
        <v>212</v>
      </c>
      <c r="BX17" t="s">
        <v>213</v>
      </c>
      <c r="BY17" t="s">
        <v>172</v>
      </c>
      <c r="BZ17" t="s">
        <v>214</v>
      </c>
      <c r="CA17" t="s">
        <v>172</v>
      </c>
      <c r="CB17" t="s">
        <v>172</v>
      </c>
      <c r="CC17" t="s">
        <v>215</v>
      </c>
      <c r="CD17" t="s">
        <v>216</v>
      </c>
      <c r="CE17" t="s">
        <v>217</v>
      </c>
      <c r="CF17" t="s">
        <v>218</v>
      </c>
      <c r="CG17" t="s">
        <v>219</v>
      </c>
      <c r="CH17" t="s">
        <v>220</v>
      </c>
      <c r="CI17" t="s">
        <v>178</v>
      </c>
      <c r="CJ17" t="s">
        <v>212</v>
      </c>
      <c r="CK17" t="s">
        <v>221</v>
      </c>
      <c r="CL17" t="s">
        <v>221</v>
      </c>
      <c r="CM17" t="s">
        <v>221</v>
      </c>
      <c r="CN17" t="s">
        <v>172</v>
      </c>
      <c r="CO17" t="s">
        <v>222</v>
      </c>
      <c r="CP17" t="s">
        <v>172</v>
      </c>
      <c r="CQ17" t="s">
        <v>172</v>
      </c>
      <c r="CR17" t="s">
        <v>172</v>
      </c>
      <c r="CS17" t="s">
        <v>172</v>
      </c>
      <c r="CT17" t="s">
        <v>768</v>
      </c>
      <c r="CU17" t="s">
        <v>769</v>
      </c>
      <c r="CV17" t="s">
        <v>770</v>
      </c>
      <c r="CW17" t="s">
        <v>771</v>
      </c>
      <c r="CX17" t="s">
        <v>772</v>
      </c>
      <c r="CY17" t="s">
        <v>773</v>
      </c>
      <c r="CZ17" t="s">
        <v>774</v>
      </c>
      <c r="DA17" t="s">
        <v>775</v>
      </c>
      <c r="DB17" t="s">
        <v>746</v>
      </c>
      <c r="DC17" t="s">
        <v>776</v>
      </c>
      <c r="DD17" t="s">
        <v>232</v>
      </c>
      <c r="DE17" t="s">
        <v>233</v>
      </c>
      <c r="DF17" t="s">
        <v>178</v>
      </c>
      <c r="DG17" t="s">
        <v>234</v>
      </c>
      <c r="DH17" t="s">
        <v>235</v>
      </c>
      <c r="DI17" t="s">
        <v>178</v>
      </c>
      <c r="DJ17" t="s">
        <v>236</v>
      </c>
      <c r="DK17" t="s">
        <v>237</v>
      </c>
      <c r="DL17" t="s">
        <v>238</v>
      </c>
      <c r="DM17" t="s">
        <v>172</v>
      </c>
      <c r="DN17" t="s">
        <v>745</v>
      </c>
      <c r="DO17" t="s">
        <v>239</v>
      </c>
      <c r="DP17" t="s">
        <v>240</v>
      </c>
      <c r="DQ17" t="s">
        <v>241</v>
      </c>
      <c r="DR17" t="s">
        <v>242</v>
      </c>
      <c r="DS17" t="s">
        <v>243</v>
      </c>
      <c r="DT17" t="s">
        <v>244</v>
      </c>
    </row>
    <row r="18" spans="1:124" x14ac:dyDescent="0.3">
      <c r="A18" t="s">
        <v>486</v>
      </c>
      <c r="B18" t="s">
        <v>777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1175</v>
      </c>
      <c r="I18" t="s">
        <v>778</v>
      </c>
      <c r="J18">
        <f t="shared" si="0"/>
        <v>1.9012309122973577E-2</v>
      </c>
      <c r="K18">
        <f t="shared" si="1"/>
        <v>2.9066320800000001</v>
      </c>
      <c r="L18">
        <f t="shared" si="2"/>
        <v>1.8888757573259821E-2</v>
      </c>
      <c r="M18">
        <f t="shared" si="3"/>
        <v>0.34671149370776683</v>
      </c>
      <c r="N18" t="s">
        <v>779</v>
      </c>
      <c r="O18" t="s">
        <v>780</v>
      </c>
      <c r="P18">
        <f t="shared" si="4"/>
        <v>3.3148209823909407</v>
      </c>
      <c r="Q18">
        <f t="shared" si="5"/>
        <v>1.8247809823909407</v>
      </c>
      <c r="R18" t="s">
        <v>781</v>
      </c>
      <c r="S18" t="s">
        <v>782</v>
      </c>
      <c r="T18">
        <f t="shared" si="6"/>
        <v>32.555696153908279</v>
      </c>
      <c r="U18">
        <f t="shared" si="7"/>
        <v>0.4417875</v>
      </c>
      <c r="V18" t="s">
        <v>170</v>
      </c>
      <c r="W18" t="s">
        <v>783</v>
      </c>
      <c r="X18" t="s">
        <v>172</v>
      </c>
      <c r="Y18" t="s">
        <v>172</v>
      </c>
      <c r="Z18" t="s">
        <v>172</v>
      </c>
      <c r="AA18" t="s">
        <v>784</v>
      </c>
      <c r="AB18" t="s">
        <v>785</v>
      </c>
      <c r="AC18" t="s">
        <v>786</v>
      </c>
      <c r="AD18" t="s">
        <v>176</v>
      </c>
      <c r="AE18" t="s">
        <v>177</v>
      </c>
      <c r="AF18">
        <f t="shared" si="8"/>
        <v>184.12441739999997</v>
      </c>
      <c r="AG18" t="s">
        <v>178</v>
      </c>
      <c r="AH18" t="s">
        <v>787</v>
      </c>
      <c r="AI18" t="s">
        <v>788</v>
      </c>
      <c r="AJ18" t="s">
        <v>789</v>
      </c>
      <c r="AK18" t="s">
        <v>790</v>
      </c>
      <c r="AL18">
        <f t="shared" si="9"/>
        <v>25.7</v>
      </c>
      <c r="AM18" t="s">
        <v>440</v>
      </c>
      <c r="AN18" t="s">
        <v>260</v>
      </c>
      <c r="AO18" t="s">
        <v>351</v>
      </c>
      <c r="AP18" t="s">
        <v>676</v>
      </c>
      <c r="AQ18" t="s">
        <v>791</v>
      </c>
      <c r="AR18" t="s">
        <v>678</v>
      </c>
      <c r="AS18" t="s">
        <v>792</v>
      </c>
      <c r="AT18" t="s">
        <v>217</v>
      </c>
      <c r="AU18" t="s">
        <v>793</v>
      </c>
      <c r="AV18" t="s">
        <v>794</v>
      </c>
      <c r="AW18" t="s">
        <v>795</v>
      </c>
      <c r="AX18" t="s">
        <v>796</v>
      </c>
      <c r="AY18" t="s">
        <v>797</v>
      </c>
      <c r="AZ18" t="s">
        <v>195</v>
      </c>
      <c r="BA18" t="s">
        <v>759</v>
      </c>
      <c r="BB18" t="s">
        <v>760</v>
      </c>
      <c r="BC18" t="s">
        <v>798</v>
      </c>
      <c r="BD18" t="s">
        <v>162</v>
      </c>
      <c r="BE18" t="s">
        <v>799</v>
      </c>
      <c r="BF18" t="s">
        <v>276</v>
      </c>
      <c r="BG18" t="s">
        <v>800</v>
      </c>
      <c r="BH18" t="s">
        <v>410</v>
      </c>
      <c r="BI18" t="s">
        <v>801</v>
      </c>
      <c r="BJ18" t="s">
        <v>204</v>
      </c>
      <c r="BK18" t="s">
        <v>162</v>
      </c>
      <c r="BL18" t="s">
        <v>205</v>
      </c>
      <c r="BM18" t="s">
        <v>160</v>
      </c>
      <c r="BN18" t="s">
        <v>323</v>
      </c>
      <c r="BO18" t="s">
        <v>367</v>
      </c>
      <c r="BP18" t="s">
        <v>802</v>
      </c>
      <c r="BQ18" t="s">
        <v>803</v>
      </c>
      <c r="BR18" t="s">
        <v>804</v>
      </c>
      <c r="BS18" t="s">
        <v>805</v>
      </c>
      <c r="BT18" t="s">
        <v>160</v>
      </c>
      <c r="BU18" t="s">
        <v>211</v>
      </c>
      <c r="BV18" t="s">
        <v>206</v>
      </c>
      <c r="BW18" t="s">
        <v>212</v>
      </c>
      <c r="BX18" t="s">
        <v>213</v>
      </c>
      <c r="BY18" t="s">
        <v>172</v>
      </c>
      <c r="BZ18" t="s">
        <v>214</v>
      </c>
      <c r="CA18" t="s">
        <v>172</v>
      </c>
      <c r="CB18" t="s">
        <v>172</v>
      </c>
      <c r="CC18" t="s">
        <v>215</v>
      </c>
      <c r="CD18" t="s">
        <v>216</v>
      </c>
      <c r="CE18" t="s">
        <v>217</v>
      </c>
      <c r="CF18" t="s">
        <v>218</v>
      </c>
      <c r="CG18" t="s">
        <v>219</v>
      </c>
      <c r="CH18" t="s">
        <v>220</v>
      </c>
      <c r="CI18" t="s">
        <v>178</v>
      </c>
      <c r="CJ18" t="s">
        <v>212</v>
      </c>
      <c r="CK18" t="s">
        <v>221</v>
      </c>
      <c r="CL18" t="s">
        <v>221</v>
      </c>
      <c r="CM18" t="s">
        <v>221</v>
      </c>
      <c r="CN18" t="s">
        <v>172</v>
      </c>
      <c r="CO18" t="s">
        <v>222</v>
      </c>
      <c r="CP18" t="s">
        <v>172</v>
      </c>
      <c r="CQ18" t="s">
        <v>172</v>
      </c>
      <c r="CR18" t="s">
        <v>172</v>
      </c>
      <c r="CS18" t="s">
        <v>172</v>
      </c>
      <c r="CT18" t="s">
        <v>806</v>
      </c>
      <c r="CU18" t="s">
        <v>807</v>
      </c>
      <c r="CV18" t="s">
        <v>808</v>
      </c>
      <c r="CW18" t="s">
        <v>809</v>
      </c>
      <c r="CX18" t="s">
        <v>810</v>
      </c>
      <c r="CY18" t="s">
        <v>811</v>
      </c>
      <c r="CZ18" t="s">
        <v>812</v>
      </c>
      <c r="DA18" t="s">
        <v>813</v>
      </c>
      <c r="DB18" t="s">
        <v>784</v>
      </c>
      <c r="DC18" t="s">
        <v>814</v>
      </c>
      <c r="DD18" t="s">
        <v>232</v>
      </c>
      <c r="DE18" t="s">
        <v>233</v>
      </c>
      <c r="DF18" t="s">
        <v>178</v>
      </c>
      <c r="DG18" t="s">
        <v>234</v>
      </c>
      <c r="DH18" t="s">
        <v>235</v>
      </c>
      <c r="DI18" t="s">
        <v>178</v>
      </c>
      <c r="DJ18" t="s">
        <v>236</v>
      </c>
      <c r="DK18" t="s">
        <v>237</v>
      </c>
      <c r="DL18" t="s">
        <v>238</v>
      </c>
      <c r="DM18" t="s">
        <v>172</v>
      </c>
      <c r="DN18" t="s">
        <v>783</v>
      </c>
      <c r="DO18" t="s">
        <v>239</v>
      </c>
      <c r="DP18" t="s">
        <v>240</v>
      </c>
      <c r="DQ18" t="s">
        <v>241</v>
      </c>
      <c r="DR18" t="s">
        <v>242</v>
      </c>
      <c r="DS18" t="s">
        <v>243</v>
      </c>
      <c r="DT18" t="s">
        <v>244</v>
      </c>
    </row>
    <row r="19" spans="1:124" x14ac:dyDescent="0.3">
      <c r="A19" t="s">
        <v>816</v>
      </c>
      <c r="B19" t="s">
        <v>817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t="s">
        <v>1162</v>
      </c>
      <c r="I19" t="s">
        <v>818</v>
      </c>
      <c r="J19">
        <f t="shared" si="0"/>
        <v>1.0070635315639093E-2</v>
      </c>
      <c r="K19">
        <f t="shared" si="1"/>
        <v>2.9034264800000003</v>
      </c>
      <c r="L19">
        <f t="shared" si="2"/>
        <v>1.003582570655197E-2</v>
      </c>
      <c r="M19">
        <f t="shared" si="3"/>
        <v>0.21329182426924251</v>
      </c>
      <c r="N19" t="s">
        <v>819</v>
      </c>
      <c r="O19" t="s">
        <v>820</v>
      </c>
      <c r="P19">
        <f t="shared" si="4"/>
        <v>3.5707597933929329</v>
      </c>
      <c r="Q19">
        <f t="shared" si="5"/>
        <v>2.110737793392933</v>
      </c>
      <c r="R19" t="s">
        <v>821</v>
      </c>
      <c r="S19" t="s">
        <v>822</v>
      </c>
      <c r="T19">
        <f t="shared" si="6"/>
        <v>35.065892108346588</v>
      </c>
      <c r="U19">
        <f t="shared" si="7"/>
        <v>0.4417875</v>
      </c>
      <c r="V19" t="s">
        <v>170</v>
      </c>
      <c r="W19" t="s">
        <v>823</v>
      </c>
      <c r="X19" t="s">
        <v>172</v>
      </c>
      <c r="Y19" t="s">
        <v>172</v>
      </c>
      <c r="Z19" t="s">
        <v>172</v>
      </c>
      <c r="AA19" t="s">
        <v>824</v>
      </c>
      <c r="AB19" t="s">
        <v>825</v>
      </c>
      <c r="AC19" t="s">
        <v>826</v>
      </c>
      <c r="AD19" t="s">
        <v>176</v>
      </c>
      <c r="AE19" t="s">
        <v>177</v>
      </c>
      <c r="AF19">
        <f t="shared" si="8"/>
        <v>161.81286071999997</v>
      </c>
      <c r="AG19" t="s">
        <v>178</v>
      </c>
      <c r="AH19" t="s">
        <v>827</v>
      </c>
      <c r="AI19" t="s">
        <v>828</v>
      </c>
      <c r="AJ19" t="s">
        <v>490</v>
      </c>
      <c r="AK19" t="s">
        <v>829</v>
      </c>
      <c r="AL19">
        <f t="shared" si="9"/>
        <v>26.96</v>
      </c>
      <c r="AM19" t="s">
        <v>308</v>
      </c>
      <c r="AN19" t="s">
        <v>830</v>
      </c>
      <c r="AO19" t="s">
        <v>831</v>
      </c>
      <c r="AP19" t="s">
        <v>832</v>
      </c>
      <c r="AQ19" t="s">
        <v>833</v>
      </c>
      <c r="AR19" t="s">
        <v>834</v>
      </c>
      <c r="AS19" t="s">
        <v>835</v>
      </c>
      <c r="AT19" t="s">
        <v>217</v>
      </c>
      <c r="AU19" t="s">
        <v>836</v>
      </c>
      <c r="AV19" t="s">
        <v>837</v>
      </c>
      <c r="AW19" t="s">
        <v>838</v>
      </c>
      <c r="AX19" t="s">
        <v>839</v>
      </c>
      <c r="AY19" t="s">
        <v>840</v>
      </c>
      <c r="AZ19" t="s">
        <v>195</v>
      </c>
      <c r="BA19" t="s">
        <v>841</v>
      </c>
      <c r="BB19" t="s">
        <v>842</v>
      </c>
      <c r="BC19" t="s">
        <v>843</v>
      </c>
      <c r="BD19" t="s">
        <v>162</v>
      </c>
      <c r="BE19" t="s">
        <v>687</v>
      </c>
      <c r="BF19" t="s">
        <v>276</v>
      </c>
      <c r="BG19" t="s">
        <v>844</v>
      </c>
      <c r="BH19" t="s">
        <v>410</v>
      </c>
      <c r="BI19" t="s">
        <v>801</v>
      </c>
      <c r="BJ19" t="s">
        <v>204</v>
      </c>
      <c r="BK19" t="s">
        <v>162</v>
      </c>
      <c r="BL19" t="s">
        <v>205</v>
      </c>
      <c r="BM19" t="s">
        <v>160</v>
      </c>
      <c r="BN19" t="s">
        <v>802</v>
      </c>
      <c r="BO19" t="s">
        <v>207</v>
      </c>
      <c r="BP19" t="s">
        <v>323</v>
      </c>
      <c r="BQ19" t="s">
        <v>845</v>
      </c>
      <c r="BR19" t="s">
        <v>846</v>
      </c>
      <c r="BS19" t="s">
        <v>847</v>
      </c>
      <c r="BT19" t="s">
        <v>160</v>
      </c>
      <c r="BU19" t="s">
        <v>211</v>
      </c>
      <c r="BV19" t="s">
        <v>206</v>
      </c>
      <c r="BW19" t="s">
        <v>212</v>
      </c>
      <c r="BX19" t="s">
        <v>213</v>
      </c>
      <c r="BY19" t="s">
        <v>172</v>
      </c>
      <c r="BZ19" t="s">
        <v>214</v>
      </c>
      <c r="CA19" t="s">
        <v>172</v>
      </c>
      <c r="CB19" t="s">
        <v>172</v>
      </c>
      <c r="CC19" t="s">
        <v>215</v>
      </c>
      <c r="CD19" t="s">
        <v>216</v>
      </c>
      <c r="CE19" t="s">
        <v>217</v>
      </c>
      <c r="CF19" t="s">
        <v>218</v>
      </c>
      <c r="CG19" t="s">
        <v>219</v>
      </c>
      <c r="CH19" t="s">
        <v>220</v>
      </c>
      <c r="CI19" t="s">
        <v>178</v>
      </c>
      <c r="CJ19" t="s">
        <v>212</v>
      </c>
      <c r="CK19" t="s">
        <v>221</v>
      </c>
      <c r="CL19" t="s">
        <v>221</v>
      </c>
      <c r="CM19" t="s">
        <v>221</v>
      </c>
      <c r="CN19" t="s">
        <v>172</v>
      </c>
      <c r="CO19" t="s">
        <v>222</v>
      </c>
      <c r="CP19" t="s">
        <v>172</v>
      </c>
      <c r="CQ19" t="s">
        <v>172</v>
      </c>
      <c r="CR19" t="s">
        <v>172</v>
      </c>
      <c r="CS19" t="s">
        <v>172</v>
      </c>
      <c r="CT19" t="s">
        <v>848</v>
      </c>
      <c r="CU19" t="s">
        <v>849</v>
      </c>
      <c r="CV19" t="s">
        <v>850</v>
      </c>
      <c r="CW19" t="s">
        <v>851</v>
      </c>
      <c r="CX19" t="s">
        <v>852</v>
      </c>
      <c r="CY19" t="s">
        <v>853</v>
      </c>
      <c r="CZ19" t="s">
        <v>854</v>
      </c>
      <c r="DA19" t="s">
        <v>855</v>
      </c>
      <c r="DB19" t="s">
        <v>824</v>
      </c>
      <c r="DC19" t="s">
        <v>379</v>
      </c>
      <c r="DD19" t="s">
        <v>232</v>
      </c>
      <c r="DE19" t="s">
        <v>233</v>
      </c>
      <c r="DF19" t="s">
        <v>178</v>
      </c>
      <c r="DG19" t="s">
        <v>234</v>
      </c>
      <c r="DH19" t="s">
        <v>235</v>
      </c>
      <c r="DI19" t="s">
        <v>178</v>
      </c>
      <c r="DJ19" t="s">
        <v>236</v>
      </c>
      <c r="DK19" t="s">
        <v>237</v>
      </c>
      <c r="DL19" t="s">
        <v>238</v>
      </c>
      <c r="DM19" t="s">
        <v>172</v>
      </c>
      <c r="DN19" t="s">
        <v>823</v>
      </c>
      <c r="DO19" t="s">
        <v>239</v>
      </c>
      <c r="DP19" t="s">
        <v>240</v>
      </c>
      <c r="DQ19" t="s">
        <v>241</v>
      </c>
      <c r="DR19" t="s">
        <v>242</v>
      </c>
      <c r="DS19" t="s">
        <v>243</v>
      </c>
      <c r="DT19" t="s">
        <v>244</v>
      </c>
    </row>
    <row r="20" spans="1:124" x14ac:dyDescent="0.3">
      <c r="A20" t="s">
        <v>160</v>
      </c>
      <c r="B20" t="s">
        <v>856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1176</v>
      </c>
      <c r="I20" t="s">
        <v>165</v>
      </c>
      <c r="J20">
        <f t="shared" si="0"/>
        <v>0.30996651438877093</v>
      </c>
      <c r="K20">
        <f t="shared" si="1"/>
        <v>2.9058327199999998</v>
      </c>
      <c r="L20">
        <f t="shared" si="2"/>
        <v>0.28008926365281633</v>
      </c>
      <c r="M20">
        <f t="shared" si="3"/>
        <v>4.8886079946821805</v>
      </c>
      <c r="N20" t="s">
        <v>857</v>
      </c>
      <c r="O20" t="s">
        <v>858</v>
      </c>
      <c r="P20">
        <f t="shared" si="4"/>
        <v>3.3682731009301663</v>
      </c>
      <c r="Q20">
        <f t="shared" si="5"/>
        <v>1.7338961009301663</v>
      </c>
      <c r="R20" t="s">
        <v>859</v>
      </c>
      <c r="S20" t="s">
        <v>860</v>
      </c>
      <c r="T20">
        <f t="shared" si="6"/>
        <v>33.074166348489456</v>
      </c>
      <c r="U20">
        <f t="shared" si="7"/>
        <v>0.4417875</v>
      </c>
      <c r="V20" t="s">
        <v>170</v>
      </c>
      <c r="W20" t="s">
        <v>861</v>
      </c>
      <c r="X20" t="s">
        <v>172</v>
      </c>
      <c r="Y20" t="s">
        <v>172</v>
      </c>
      <c r="Z20" t="s">
        <v>172</v>
      </c>
      <c r="AA20" t="s">
        <v>862</v>
      </c>
      <c r="AB20" t="s">
        <v>863</v>
      </c>
      <c r="AC20" t="s">
        <v>864</v>
      </c>
      <c r="AD20" t="s">
        <v>176</v>
      </c>
      <c r="AE20" t="s">
        <v>177</v>
      </c>
      <c r="AF20">
        <f t="shared" si="8"/>
        <v>226.47635639999999</v>
      </c>
      <c r="AG20" t="s">
        <v>178</v>
      </c>
      <c r="AH20" t="s">
        <v>865</v>
      </c>
      <c r="AI20" t="s">
        <v>866</v>
      </c>
      <c r="AJ20" t="s">
        <v>867</v>
      </c>
      <c r="AK20" t="s">
        <v>868</v>
      </c>
      <c r="AL20">
        <f t="shared" si="9"/>
        <v>25.97</v>
      </c>
      <c r="AM20" t="s">
        <v>183</v>
      </c>
      <c r="AN20" t="s">
        <v>351</v>
      </c>
      <c r="AO20" t="s">
        <v>869</v>
      </c>
      <c r="AP20" t="s">
        <v>870</v>
      </c>
      <c r="AQ20" t="s">
        <v>871</v>
      </c>
      <c r="AR20" t="s">
        <v>872</v>
      </c>
      <c r="AS20" t="s">
        <v>873</v>
      </c>
      <c r="AT20" t="s">
        <v>313</v>
      </c>
      <c r="AU20" t="s">
        <v>874</v>
      </c>
      <c r="AV20" t="s">
        <v>138</v>
      </c>
      <c r="AW20" t="s">
        <v>138</v>
      </c>
      <c r="AX20" t="s">
        <v>875</v>
      </c>
      <c r="AY20" t="s">
        <v>876</v>
      </c>
      <c r="AZ20" t="s">
        <v>138</v>
      </c>
      <c r="BA20" t="s">
        <v>138</v>
      </c>
      <c r="BB20" t="s">
        <v>138</v>
      </c>
      <c r="BC20" t="s">
        <v>877</v>
      </c>
      <c r="BD20" t="s">
        <v>878</v>
      </c>
      <c r="BE20" t="s">
        <v>879</v>
      </c>
      <c r="BF20" t="s">
        <v>880</v>
      </c>
      <c r="BG20" t="s">
        <v>881</v>
      </c>
      <c r="BH20" t="s">
        <v>336</v>
      </c>
      <c r="BI20" t="s">
        <v>882</v>
      </c>
      <c r="BJ20" t="s">
        <v>883</v>
      </c>
      <c r="BK20" t="s">
        <v>162</v>
      </c>
      <c r="BL20" t="s">
        <v>884</v>
      </c>
      <c r="BM20" t="s">
        <v>160</v>
      </c>
      <c r="BN20" t="s">
        <v>323</v>
      </c>
      <c r="BO20" t="s">
        <v>323</v>
      </c>
      <c r="BP20" t="s">
        <v>279</v>
      </c>
      <c r="BQ20" t="s">
        <v>885</v>
      </c>
      <c r="BR20" t="s">
        <v>886</v>
      </c>
      <c r="BS20" t="s">
        <v>887</v>
      </c>
      <c r="BT20" t="s">
        <v>160</v>
      </c>
      <c r="BU20" t="s">
        <v>211</v>
      </c>
      <c r="BV20" t="s">
        <v>206</v>
      </c>
      <c r="BW20" t="s">
        <v>212</v>
      </c>
      <c r="BX20" t="s">
        <v>213</v>
      </c>
      <c r="BY20" t="s">
        <v>172</v>
      </c>
      <c r="BZ20" t="s">
        <v>214</v>
      </c>
      <c r="CA20" t="s">
        <v>172</v>
      </c>
      <c r="CB20" t="s">
        <v>172</v>
      </c>
      <c r="CC20" t="s">
        <v>215</v>
      </c>
      <c r="CD20" t="s">
        <v>216</v>
      </c>
      <c r="CE20" t="s">
        <v>217</v>
      </c>
      <c r="CF20" t="s">
        <v>218</v>
      </c>
      <c r="CG20" t="s">
        <v>219</v>
      </c>
      <c r="CH20" t="s">
        <v>220</v>
      </c>
      <c r="CI20" t="s">
        <v>178</v>
      </c>
      <c r="CJ20" t="s">
        <v>212</v>
      </c>
      <c r="CK20" t="s">
        <v>221</v>
      </c>
      <c r="CL20" t="s">
        <v>221</v>
      </c>
      <c r="CM20" t="s">
        <v>221</v>
      </c>
      <c r="CN20" t="s">
        <v>172</v>
      </c>
      <c r="CO20" t="s">
        <v>222</v>
      </c>
      <c r="CP20" t="s">
        <v>172</v>
      </c>
      <c r="CQ20" t="s">
        <v>172</v>
      </c>
      <c r="CR20" t="s">
        <v>172</v>
      </c>
      <c r="CS20" t="s">
        <v>172</v>
      </c>
      <c r="CT20" t="s">
        <v>888</v>
      </c>
      <c r="CU20" t="s">
        <v>889</v>
      </c>
      <c r="CV20" t="s">
        <v>890</v>
      </c>
      <c r="CW20" t="s">
        <v>891</v>
      </c>
      <c r="CX20" t="s">
        <v>892</v>
      </c>
      <c r="CY20" t="s">
        <v>893</v>
      </c>
      <c r="CZ20" t="s">
        <v>894</v>
      </c>
      <c r="DA20" t="s">
        <v>895</v>
      </c>
      <c r="DB20" t="s">
        <v>862</v>
      </c>
      <c r="DC20" t="s">
        <v>379</v>
      </c>
      <c r="DD20" t="s">
        <v>232</v>
      </c>
      <c r="DE20" t="s">
        <v>233</v>
      </c>
      <c r="DF20" t="s">
        <v>178</v>
      </c>
      <c r="DG20" t="s">
        <v>234</v>
      </c>
      <c r="DH20" t="s">
        <v>235</v>
      </c>
      <c r="DI20" t="s">
        <v>178</v>
      </c>
      <c r="DJ20" t="s">
        <v>236</v>
      </c>
      <c r="DK20" t="s">
        <v>237</v>
      </c>
      <c r="DL20" t="s">
        <v>238</v>
      </c>
      <c r="DM20" t="s">
        <v>172</v>
      </c>
      <c r="DN20" t="s">
        <v>861</v>
      </c>
      <c r="DO20" t="s">
        <v>239</v>
      </c>
      <c r="DP20" t="s">
        <v>240</v>
      </c>
      <c r="DQ20" t="s">
        <v>241</v>
      </c>
      <c r="DR20" t="s">
        <v>242</v>
      </c>
      <c r="DS20" t="s">
        <v>243</v>
      </c>
      <c r="DT20" t="s">
        <v>244</v>
      </c>
    </row>
    <row r="21" spans="1:124" x14ac:dyDescent="0.3">
      <c r="A21" t="s">
        <v>245</v>
      </c>
      <c r="B21" t="s">
        <v>896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1163</v>
      </c>
      <c r="I21" t="s">
        <v>247</v>
      </c>
      <c r="J21">
        <f t="shared" si="0"/>
        <v>4.5739950201431387E-2</v>
      </c>
      <c r="K21">
        <f t="shared" si="1"/>
        <v>2.9058327199999998</v>
      </c>
      <c r="L21">
        <f t="shared" si="2"/>
        <v>4.5031127049099298E-2</v>
      </c>
      <c r="M21">
        <f t="shared" si="3"/>
        <v>1.0194704628701321</v>
      </c>
      <c r="N21" t="s">
        <v>897</v>
      </c>
      <c r="O21" t="s">
        <v>898</v>
      </c>
      <c r="P21">
        <f t="shared" si="4"/>
        <v>3.7376997865197379</v>
      </c>
      <c r="Q21">
        <f t="shared" si="5"/>
        <v>2.246186786519738</v>
      </c>
      <c r="R21" t="s">
        <v>899</v>
      </c>
      <c r="S21" t="s">
        <v>900</v>
      </c>
      <c r="T21">
        <f t="shared" si="6"/>
        <v>36.705291039180374</v>
      </c>
      <c r="U21">
        <f t="shared" si="7"/>
        <v>0.4417875</v>
      </c>
      <c r="V21" t="s">
        <v>170</v>
      </c>
      <c r="W21" t="s">
        <v>901</v>
      </c>
      <c r="X21" t="s">
        <v>172</v>
      </c>
      <c r="Y21" t="s">
        <v>172</v>
      </c>
      <c r="Z21" t="s">
        <v>172</v>
      </c>
      <c r="AA21" t="s">
        <v>902</v>
      </c>
      <c r="AB21" t="s">
        <v>903</v>
      </c>
      <c r="AC21" t="s">
        <v>904</v>
      </c>
      <c r="AD21" t="s">
        <v>176</v>
      </c>
      <c r="AE21" t="s">
        <v>177</v>
      </c>
      <c r="AF21">
        <f t="shared" si="8"/>
        <v>150.43049784000002</v>
      </c>
      <c r="AG21" t="s">
        <v>178</v>
      </c>
      <c r="AH21" t="s">
        <v>905</v>
      </c>
      <c r="AI21" t="s">
        <v>906</v>
      </c>
      <c r="AJ21" t="s">
        <v>907</v>
      </c>
      <c r="AK21" t="s">
        <v>908</v>
      </c>
      <c r="AL21">
        <f t="shared" si="9"/>
        <v>27.74</v>
      </c>
      <c r="AM21" t="s">
        <v>308</v>
      </c>
      <c r="AN21" t="s">
        <v>351</v>
      </c>
      <c r="AO21" t="s">
        <v>637</v>
      </c>
      <c r="AP21" t="s">
        <v>909</v>
      </c>
      <c r="AQ21" t="s">
        <v>910</v>
      </c>
      <c r="AR21" t="s">
        <v>911</v>
      </c>
      <c r="AS21" t="s">
        <v>912</v>
      </c>
      <c r="AT21" t="s">
        <v>792</v>
      </c>
      <c r="AU21" t="s">
        <v>913</v>
      </c>
      <c r="AV21" t="s">
        <v>914</v>
      </c>
      <c r="AW21" t="s">
        <v>915</v>
      </c>
      <c r="AX21" t="s">
        <v>916</v>
      </c>
      <c r="AY21" t="s">
        <v>917</v>
      </c>
      <c r="AZ21" t="s">
        <v>195</v>
      </c>
      <c r="BA21" t="s">
        <v>918</v>
      </c>
      <c r="BB21" t="s">
        <v>919</v>
      </c>
      <c r="BC21" t="s">
        <v>920</v>
      </c>
      <c r="BD21" t="s">
        <v>162</v>
      </c>
      <c r="BE21" t="s">
        <v>921</v>
      </c>
      <c r="BF21" t="s">
        <v>922</v>
      </c>
      <c r="BG21" t="s">
        <v>923</v>
      </c>
      <c r="BH21" t="s">
        <v>466</v>
      </c>
      <c r="BI21" t="s">
        <v>924</v>
      </c>
      <c r="BJ21" t="s">
        <v>883</v>
      </c>
      <c r="BK21" t="s">
        <v>162</v>
      </c>
      <c r="BL21" t="s">
        <v>884</v>
      </c>
      <c r="BM21" t="s">
        <v>160</v>
      </c>
      <c r="BN21" t="s">
        <v>323</v>
      </c>
      <c r="BO21" t="s">
        <v>323</v>
      </c>
      <c r="BP21" t="s">
        <v>367</v>
      </c>
      <c r="BQ21" t="s">
        <v>925</v>
      </c>
      <c r="BR21" t="s">
        <v>926</v>
      </c>
      <c r="BS21" t="s">
        <v>927</v>
      </c>
      <c r="BT21" t="s">
        <v>160</v>
      </c>
      <c r="BU21" t="s">
        <v>211</v>
      </c>
      <c r="BV21" t="s">
        <v>206</v>
      </c>
      <c r="BW21" t="s">
        <v>212</v>
      </c>
      <c r="BX21" t="s">
        <v>213</v>
      </c>
      <c r="BY21" t="s">
        <v>172</v>
      </c>
      <c r="BZ21" t="s">
        <v>214</v>
      </c>
      <c r="CA21" t="s">
        <v>172</v>
      </c>
      <c r="CB21" t="s">
        <v>172</v>
      </c>
      <c r="CC21" t="s">
        <v>215</v>
      </c>
      <c r="CD21" t="s">
        <v>216</v>
      </c>
      <c r="CE21" t="s">
        <v>217</v>
      </c>
      <c r="CF21" t="s">
        <v>218</v>
      </c>
      <c r="CG21" t="s">
        <v>219</v>
      </c>
      <c r="CH21" t="s">
        <v>220</v>
      </c>
      <c r="CI21" t="s">
        <v>178</v>
      </c>
      <c r="CJ21" t="s">
        <v>212</v>
      </c>
      <c r="CK21" t="s">
        <v>221</v>
      </c>
      <c r="CL21" t="s">
        <v>221</v>
      </c>
      <c r="CM21" t="s">
        <v>221</v>
      </c>
      <c r="CN21" t="s">
        <v>172</v>
      </c>
      <c r="CO21" t="s">
        <v>222</v>
      </c>
      <c r="CP21" t="s">
        <v>172</v>
      </c>
      <c r="CQ21" t="s">
        <v>172</v>
      </c>
      <c r="CR21" t="s">
        <v>172</v>
      </c>
      <c r="CS21" t="s">
        <v>172</v>
      </c>
      <c r="CT21" t="s">
        <v>928</v>
      </c>
      <c r="CU21" t="s">
        <v>929</v>
      </c>
      <c r="CV21" t="s">
        <v>930</v>
      </c>
      <c r="CW21" t="s">
        <v>931</v>
      </c>
      <c r="CX21" t="s">
        <v>932</v>
      </c>
      <c r="CY21" t="s">
        <v>933</v>
      </c>
      <c r="CZ21" t="s">
        <v>934</v>
      </c>
      <c r="DA21" t="s">
        <v>935</v>
      </c>
      <c r="DB21" t="s">
        <v>902</v>
      </c>
      <c r="DC21" t="s">
        <v>936</v>
      </c>
      <c r="DD21" t="s">
        <v>232</v>
      </c>
      <c r="DE21" t="s">
        <v>233</v>
      </c>
      <c r="DF21" t="s">
        <v>178</v>
      </c>
      <c r="DG21" t="s">
        <v>234</v>
      </c>
      <c r="DH21" t="s">
        <v>235</v>
      </c>
      <c r="DI21" t="s">
        <v>178</v>
      </c>
      <c r="DJ21" t="s">
        <v>236</v>
      </c>
      <c r="DK21" t="s">
        <v>237</v>
      </c>
      <c r="DL21" t="s">
        <v>238</v>
      </c>
      <c r="DM21" t="s">
        <v>172</v>
      </c>
      <c r="DN21" t="s">
        <v>901</v>
      </c>
      <c r="DO21" t="s">
        <v>239</v>
      </c>
      <c r="DP21" t="s">
        <v>240</v>
      </c>
      <c r="DQ21" t="s">
        <v>241</v>
      </c>
      <c r="DR21" t="s">
        <v>242</v>
      </c>
      <c r="DS21" t="s">
        <v>243</v>
      </c>
      <c r="DT21" t="s">
        <v>244</v>
      </c>
    </row>
    <row r="22" spans="1:124" x14ac:dyDescent="0.3">
      <c r="A22" t="s">
        <v>293</v>
      </c>
      <c r="B22" t="s">
        <v>937</v>
      </c>
      <c r="C22" t="s">
        <v>162</v>
      </c>
      <c r="D22" t="s">
        <v>163</v>
      </c>
      <c r="E22" t="s">
        <v>164</v>
      </c>
      <c r="F22" t="s">
        <v>138</v>
      </c>
      <c r="G22" t="s">
        <v>138</v>
      </c>
      <c r="H22" t="s">
        <v>1164</v>
      </c>
      <c r="I22" t="s">
        <v>295</v>
      </c>
      <c r="J22">
        <f t="shared" si="0"/>
        <v>0.29127844383186635</v>
      </c>
      <c r="K22">
        <f t="shared" si="1"/>
        <v>2.9034264800000003</v>
      </c>
      <c r="L22">
        <f t="shared" si="2"/>
        <v>0.26472102026257183</v>
      </c>
      <c r="M22">
        <f t="shared" si="3"/>
        <v>4.6352648755957144</v>
      </c>
      <c r="N22" t="s">
        <v>938</v>
      </c>
      <c r="O22" t="s">
        <v>939</v>
      </c>
      <c r="P22">
        <f t="shared" si="4"/>
        <v>3.388260365048168</v>
      </c>
      <c r="Q22">
        <f t="shared" si="5"/>
        <v>1.7390043650481679</v>
      </c>
      <c r="R22" t="s">
        <v>940</v>
      </c>
      <c r="S22" t="s">
        <v>941</v>
      </c>
      <c r="T22">
        <f t="shared" si="6"/>
        <v>33.27369503140693</v>
      </c>
      <c r="U22">
        <f t="shared" si="7"/>
        <v>0.4417875</v>
      </c>
      <c r="V22" t="s">
        <v>170</v>
      </c>
      <c r="W22" t="s">
        <v>942</v>
      </c>
      <c r="X22" t="s">
        <v>172</v>
      </c>
      <c r="Y22" t="s">
        <v>172</v>
      </c>
      <c r="Z22" t="s">
        <v>172</v>
      </c>
      <c r="AA22" t="s">
        <v>943</v>
      </c>
      <c r="AB22" t="s">
        <v>944</v>
      </c>
      <c r="AC22" t="s">
        <v>945</v>
      </c>
      <c r="AD22" t="s">
        <v>176</v>
      </c>
      <c r="AE22" t="s">
        <v>177</v>
      </c>
      <c r="AF22">
        <f t="shared" si="8"/>
        <v>264.93221370000003</v>
      </c>
      <c r="AG22" t="s">
        <v>178</v>
      </c>
      <c r="AH22" t="s">
        <v>946</v>
      </c>
      <c r="AI22" t="s">
        <v>750</v>
      </c>
      <c r="AJ22" t="s">
        <v>947</v>
      </c>
      <c r="AK22" t="s">
        <v>948</v>
      </c>
      <c r="AL22">
        <f t="shared" si="9"/>
        <v>26.07</v>
      </c>
      <c r="AM22" t="s">
        <v>308</v>
      </c>
      <c r="AN22" t="s">
        <v>830</v>
      </c>
      <c r="AO22" t="s">
        <v>949</v>
      </c>
      <c r="AP22" t="s">
        <v>950</v>
      </c>
      <c r="AQ22" t="s">
        <v>951</v>
      </c>
      <c r="AR22" t="s">
        <v>952</v>
      </c>
      <c r="AS22" t="s">
        <v>953</v>
      </c>
      <c r="AT22" t="s">
        <v>245</v>
      </c>
      <c r="AU22" t="s">
        <v>954</v>
      </c>
      <c r="AV22" t="s">
        <v>955</v>
      </c>
      <c r="AW22" t="s">
        <v>956</v>
      </c>
      <c r="AX22" t="s">
        <v>957</v>
      </c>
      <c r="AY22" t="s">
        <v>958</v>
      </c>
      <c r="AZ22" t="s">
        <v>195</v>
      </c>
      <c r="BA22" t="s">
        <v>918</v>
      </c>
      <c r="BB22" t="s">
        <v>919</v>
      </c>
      <c r="BC22" t="s">
        <v>959</v>
      </c>
      <c r="BD22" t="s">
        <v>162</v>
      </c>
      <c r="BE22" t="s">
        <v>960</v>
      </c>
      <c r="BF22" t="s">
        <v>408</v>
      </c>
      <c r="BG22" t="s">
        <v>961</v>
      </c>
      <c r="BH22" t="s">
        <v>508</v>
      </c>
      <c r="BI22" t="s">
        <v>962</v>
      </c>
      <c r="BJ22" t="s">
        <v>883</v>
      </c>
      <c r="BK22" t="s">
        <v>162</v>
      </c>
      <c r="BL22" t="s">
        <v>884</v>
      </c>
      <c r="BM22" t="s">
        <v>160</v>
      </c>
      <c r="BN22" t="s">
        <v>206</v>
      </c>
      <c r="BO22" t="s">
        <v>207</v>
      </c>
      <c r="BP22" t="s">
        <v>279</v>
      </c>
      <c r="BQ22" t="s">
        <v>963</v>
      </c>
      <c r="BR22" t="s">
        <v>964</v>
      </c>
      <c r="BS22" t="s">
        <v>965</v>
      </c>
      <c r="BT22" t="s">
        <v>160</v>
      </c>
      <c r="BU22" t="s">
        <v>211</v>
      </c>
      <c r="BV22" t="s">
        <v>206</v>
      </c>
      <c r="BW22" t="s">
        <v>212</v>
      </c>
      <c r="BX22" t="s">
        <v>213</v>
      </c>
      <c r="BY22" t="s">
        <v>172</v>
      </c>
      <c r="BZ22" t="s">
        <v>214</v>
      </c>
      <c r="CA22" t="s">
        <v>172</v>
      </c>
      <c r="CB22" t="s">
        <v>172</v>
      </c>
      <c r="CC22" t="s">
        <v>215</v>
      </c>
      <c r="CD22" t="s">
        <v>216</v>
      </c>
      <c r="CE22" t="s">
        <v>217</v>
      </c>
      <c r="CF22" t="s">
        <v>218</v>
      </c>
      <c r="CG22" t="s">
        <v>219</v>
      </c>
      <c r="CH22" t="s">
        <v>220</v>
      </c>
      <c r="CI22" t="s">
        <v>178</v>
      </c>
      <c r="CJ22" t="s">
        <v>212</v>
      </c>
      <c r="CK22" t="s">
        <v>221</v>
      </c>
      <c r="CL22" t="s">
        <v>221</v>
      </c>
      <c r="CM22" t="s">
        <v>221</v>
      </c>
      <c r="CN22" t="s">
        <v>172</v>
      </c>
      <c r="CO22" t="s">
        <v>222</v>
      </c>
      <c r="CP22" t="s">
        <v>172</v>
      </c>
      <c r="CQ22" t="s">
        <v>172</v>
      </c>
      <c r="CR22" t="s">
        <v>172</v>
      </c>
      <c r="CS22" t="s">
        <v>172</v>
      </c>
      <c r="CT22" t="s">
        <v>966</v>
      </c>
      <c r="CU22" t="s">
        <v>967</v>
      </c>
      <c r="CV22" t="s">
        <v>968</v>
      </c>
      <c r="CW22" t="s">
        <v>969</v>
      </c>
      <c r="CX22" t="s">
        <v>970</v>
      </c>
      <c r="CY22" t="s">
        <v>971</v>
      </c>
      <c r="CZ22" t="s">
        <v>972</v>
      </c>
      <c r="DA22" t="s">
        <v>973</v>
      </c>
      <c r="DB22" t="s">
        <v>943</v>
      </c>
      <c r="DC22" t="s">
        <v>776</v>
      </c>
      <c r="DD22" t="s">
        <v>232</v>
      </c>
      <c r="DE22" t="s">
        <v>233</v>
      </c>
      <c r="DF22" t="s">
        <v>178</v>
      </c>
      <c r="DG22" t="s">
        <v>234</v>
      </c>
      <c r="DH22" t="s">
        <v>235</v>
      </c>
      <c r="DI22" t="s">
        <v>178</v>
      </c>
      <c r="DJ22" t="s">
        <v>236</v>
      </c>
      <c r="DK22" t="s">
        <v>237</v>
      </c>
      <c r="DL22" t="s">
        <v>238</v>
      </c>
      <c r="DM22" t="s">
        <v>172</v>
      </c>
      <c r="DN22" t="s">
        <v>942</v>
      </c>
      <c r="DO22" t="s">
        <v>239</v>
      </c>
      <c r="DP22" t="s">
        <v>240</v>
      </c>
      <c r="DQ22" t="s">
        <v>241</v>
      </c>
      <c r="DR22" t="s">
        <v>242</v>
      </c>
      <c r="DS22" t="s">
        <v>243</v>
      </c>
      <c r="DT22" t="s">
        <v>244</v>
      </c>
    </row>
    <row r="23" spans="1:124" x14ac:dyDescent="0.3">
      <c r="A23" t="s">
        <v>336</v>
      </c>
      <c r="B23" t="s">
        <v>974</v>
      </c>
      <c r="C23" t="s">
        <v>162</v>
      </c>
      <c r="D23" t="s">
        <v>163</v>
      </c>
      <c r="E23" t="s">
        <v>164</v>
      </c>
      <c r="F23" t="s">
        <v>138</v>
      </c>
      <c r="G23" t="s">
        <v>138</v>
      </c>
      <c r="H23" t="s">
        <v>1165</v>
      </c>
      <c r="I23" t="s">
        <v>338</v>
      </c>
      <c r="J23">
        <f t="shared" si="0"/>
        <v>4.0722975952060342E-2</v>
      </c>
      <c r="K23">
        <f t="shared" si="1"/>
        <v>2.9050319999999994</v>
      </c>
      <c r="L23">
        <f t="shared" si="2"/>
        <v>4.0160009655158438E-2</v>
      </c>
      <c r="M23">
        <f t="shared" si="3"/>
        <v>1.1894337367311254</v>
      </c>
      <c r="N23" t="s">
        <v>975</v>
      </c>
      <c r="O23" t="s">
        <v>976</v>
      </c>
      <c r="P23">
        <f t="shared" si="4"/>
        <v>4.4627350061928661</v>
      </c>
      <c r="Q23">
        <f t="shared" si="5"/>
        <v>2.9267510061928661</v>
      </c>
      <c r="R23" t="s">
        <v>977</v>
      </c>
      <c r="S23" t="s">
        <v>978</v>
      </c>
      <c r="T23">
        <f t="shared" si="6"/>
        <v>43.829650424208076</v>
      </c>
      <c r="U23">
        <f t="shared" si="7"/>
        <v>0.4417875</v>
      </c>
      <c r="V23" t="s">
        <v>170</v>
      </c>
      <c r="W23" t="s">
        <v>979</v>
      </c>
      <c r="X23" t="s">
        <v>172</v>
      </c>
      <c r="Y23" t="s">
        <v>172</v>
      </c>
      <c r="Z23" t="s">
        <v>172</v>
      </c>
      <c r="AA23" t="s">
        <v>980</v>
      </c>
      <c r="AB23" t="s">
        <v>981</v>
      </c>
      <c r="AC23" t="s">
        <v>982</v>
      </c>
      <c r="AD23" t="s">
        <v>176</v>
      </c>
      <c r="AE23" t="s">
        <v>177</v>
      </c>
      <c r="AF23">
        <f t="shared" si="8"/>
        <v>181.30899359999998</v>
      </c>
      <c r="AG23" t="s">
        <v>178</v>
      </c>
      <c r="AH23" t="s">
        <v>983</v>
      </c>
      <c r="AI23" t="s">
        <v>984</v>
      </c>
      <c r="AJ23" t="s">
        <v>985</v>
      </c>
      <c r="AK23" t="s">
        <v>986</v>
      </c>
      <c r="AL23">
        <f t="shared" si="9"/>
        <v>30.81</v>
      </c>
      <c r="AM23" t="s">
        <v>440</v>
      </c>
      <c r="AN23" t="s">
        <v>441</v>
      </c>
      <c r="AO23" t="s">
        <v>987</v>
      </c>
      <c r="AP23" t="s">
        <v>832</v>
      </c>
      <c r="AQ23" t="s">
        <v>988</v>
      </c>
      <c r="AR23" t="s">
        <v>989</v>
      </c>
      <c r="AS23" t="s">
        <v>990</v>
      </c>
      <c r="AT23" t="s">
        <v>562</v>
      </c>
      <c r="AU23" t="s">
        <v>991</v>
      </c>
      <c r="AV23" t="s">
        <v>992</v>
      </c>
      <c r="AW23" t="s">
        <v>993</v>
      </c>
      <c r="AX23" t="s">
        <v>994</v>
      </c>
      <c r="AY23" t="s">
        <v>995</v>
      </c>
      <c r="AZ23" t="s">
        <v>195</v>
      </c>
      <c r="BA23" t="s">
        <v>918</v>
      </c>
      <c r="BB23" t="s">
        <v>919</v>
      </c>
      <c r="BC23" t="s">
        <v>996</v>
      </c>
      <c r="BD23" t="s">
        <v>162</v>
      </c>
      <c r="BE23" t="s">
        <v>452</v>
      </c>
      <c r="BF23" t="s">
        <v>364</v>
      </c>
      <c r="BG23" t="s">
        <v>997</v>
      </c>
      <c r="BH23" t="s">
        <v>508</v>
      </c>
      <c r="BI23" t="s">
        <v>962</v>
      </c>
      <c r="BJ23" t="s">
        <v>883</v>
      </c>
      <c r="BK23" t="s">
        <v>162</v>
      </c>
      <c r="BL23" t="s">
        <v>884</v>
      </c>
      <c r="BM23" t="s">
        <v>160</v>
      </c>
      <c r="BN23" t="s">
        <v>367</v>
      </c>
      <c r="BO23" t="s">
        <v>207</v>
      </c>
      <c r="BP23" t="s">
        <v>998</v>
      </c>
      <c r="BQ23" t="s">
        <v>999</v>
      </c>
      <c r="BR23" t="s">
        <v>1000</v>
      </c>
      <c r="BS23" t="s">
        <v>998</v>
      </c>
      <c r="BT23" t="s">
        <v>160</v>
      </c>
      <c r="BU23" t="s">
        <v>211</v>
      </c>
      <c r="BV23" t="s">
        <v>206</v>
      </c>
      <c r="BW23" t="s">
        <v>212</v>
      </c>
      <c r="BX23" t="s">
        <v>213</v>
      </c>
      <c r="BY23" t="s">
        <v>172</v>
      </c>
      <c r="BZ23" t="s">
        <v>214</v>
      </c>
      <c r="CA23" t="s">
        <v>172</v>
      </c>
      <c r="CB23" t="s">
        <v>172</v>
      </c>
      <c r="CC23" t="s">
        <v>215</v>
      </c>
      <c r="CD23" t="s">
        <v>216</v>
      </c>
      <c r="CE23" t="s">
        <v>217</v>
      </c>
      <c r="CF23" t="s">
        <v>218</v>
      </c>
      <c r="CG23" t="s">
        <v>219</v>
      </c>
      <c r="CH23" t="s">
        <v>220</v>
      </c>
      <c r="CI23" t="s">
        <v>178</v>
      </c>
      <c r="CJ23" t="s">
        <v>212</v>
      </c>
      <c r="CK23" t="s">
        <v>221</v>
      </c>
      <c r="CL23" t="s">
        <v>221</v>
      </c>
      <c r="CM23" t="s">
        <v>221</v>
      </c>
      <c r="CN23" t="s">
        <v>172</v>
      </c>
      <c r="CO23" t="s">
        <v>222</v>
      </c>
      <c r="CP23" t="s">
        <v>172</v>
      </c>
      <c r="CQ23" t="s">
        <v>172</v>
      </c>
      <c r="CR23" t="s">
        <v>172</v>
      </c>
      <c r="CS23" t="s">
        <v>172</v>
      </c>
      <c r="CT23" t="s">
        <v>1001</v>
      </c>
      <c r="CU23" t="s">
        <v>1002</v>
      </c>
      <c r="CV23" t="s">
        <v>1003</v>
      </c>
      <c r="CW23" t="s">
        <v>1004</v>
      </c>
      <c r="CX23" t="s">
        <v>1005</v>
      </c>
      <c r="CY23" t="s">
        <v>1006</v>
      </c>
      <c r="CZ23" t="s">
        <v>1007</v>
      </c>
      <c r="DA23" t="s">
        <v>1008</v>
      </c>
      <c r="DB23" t="s">
        <v>980</v>
      </c>
      <c r="DC23" t="s">
        <v>583</v>
      </c>
      <c r="DD23" t="s">
        <v>232</v>
      </c>
      <c r="DE23" t="s">
        <v>233</v>
      </c>
      <c r="DF23" t="s">
        <v>178</v>
      </c>
      <c r="DG23" t="s">
        <v>234</v>
      </c>
      <c r="DH23" t="s">
        <v>235</v>
      </c>
      <c r="DI23" t="s">
        <v>178</v>
      </c>
      <c r="DJ23" t="s">
        <v>236</v>
      </c>
      <c r="DK23" t="s">
        <v>237</v>
      </c>
      <c r="DL23" t="s">
        <v>238</v>
      </c>
      <c r="DM23" t="s">
        <v>172</v>
      </c>
      <c r="DN23" t="s">
        <v>979</v>
      </c>
      <c r="DO23" t="s">
        <v>239</v>
      </c>
      <c r="DP23" t="s">
        <v>240</v>
      </c>
      <c r="DQ23" t="s">
        <v>241</v>
      </c>
      <c r="DR23" t="s">
        <v>242</v>
      </c>
      <c r="DS23" t="s">
        <v>243</v>
      </c>
      <c r="DT23" t="s">
        <v>244</v>
      </c>
    </row>
    <row r="24" spans="1:124" x14ac:dyDescent="0.3">
      <c r="A24" t="s">
        <v>380</v>
      </c>
      <c r="B24" t="s">
        <v>1009</v>
      </c>
      <c r="C24" t="s">
        <v>162</v>
      </c>
      <c r="D24" t="s">
        <v>163</v>
      </c>
      <c r="E24" t="s">
        <v>164</v>
      </c>
      <c r="F24" t="s">
        <v>138</v>
      </c>
      <c r="G24" t="s">
        <v>138</v>
      </c>
      <c r="H24" t="s">
        <v>1166</v>
      </c>
      <c r="I24" t="s">
        <v>382</v>
      </c>
      <c r="J24">
        <f t="shared" si="0"/>
        <v>0.36908435455462474</v>
      </c>
      <c r="K24">
        <f t="shared" si="1"/>
        <v>2.9042299199999997</v>
      </c>
      <c r="L24">
        <f t="shared" si="2"/>
        <v>0.32746804479911285</v>
      </c>
      <c r="M24">
        <f t="shared" si="3"/>
        <v>6.080083033284331</v>
      </c>
      <c r="N24" t="s">
        <v>1010</v>
      </c>
      <c r="O24" t="s">
        <v>1011</v>
      </c>
      <c r="P24">
        <f t="shared" si="4"/>
        <v>3.5939010276421017</v>
      </c>
      <c r="Q24">
        <f t="shared" si="5"/>
        <v>1.8413050276421017</v>
      </c>
      <c r="R24" t="s">
        <v>1012</v>
      </c>
      <c r="S24" t="s">
        <v>1013</v>
      </c>
      <c r="T24">
        <f t="shared" si="6"/>
        <v>35.289680161450327</v>
      </c>
      <c r="U24">
        <f t="shared" si="7"/>
        <v>0.4417875</v>
      </c>
      <c r="V24" t="s">
        <v>170</v>
      </c>
      <c r="W24" t="s">
        <v>1014</v>
      </c>
      <c r="X24" t="s">
        <v>172</v>
      </c>
      <c r="Y24" t="s">
        <v>172</v>
      </c>
      <c r="Z24" t="s">
        <v>172</v>
      </c>
      <c r="AA24" t="s">
        <v>1015</v>
      </c>
      <c r="AB24" t="s">
        <v>1016</v>
      </c>
      <c r="AC24" t="s">
        <v>1017</v>
      </c>
      <c r="AD24" t="s">
        <v>176</v>
      </c>
      <c r="AE24" t="s">
        <v>177</v>
      </c>
      <c r="AF24">
        <f t="shared" si="8"/>
        <v>184.49351424</v>
      </c>
      <c r="AG24" t="s">
        <v>178</v>
      </c>
      <c r="AH24" t="s">
        <v>1018</v>
      </c>
      <c r="AI24" t="s">
        <v>1019</v>
      </c>
      <c r="AJ24" t="s">
        <v>1020</v>
      </c>
      <c r="AK24" t="s">
        <v>1021</v>
      </c>
      <c r="AL24">
        <f t="shared" si="9"/>
        <v>27.07</v>
      </c>
      <c r="AM24" t="s">
        <v>183</v>
      </c>
      <c r="AN24" t="s">
        <v>184</v>
      </c>
      <c r="AO24" t="s">
        <v>1022</v>
      </c>
      <c r="AP24" t="s">
        <v>717</v>
      </c>
      <c r="AQ24" t="s">
        <v>1023</v>
      </c>
      <c r="AR24" t="s">
        <v>834</v>
      </c>
      <c r="AS24" t="s">
        <v>1024</v>
      </c>
      <c r="AT24" t="s">
        <v>356</v>
      </c>
      <c r="AU24" t="s">
        <v>1025</v>
      </c>
      <c r="AV24" t="s">
        <v>1026</v>
      </c>
      <c r="AW24" t="s">
        <v>1027</v>
      </c>
      <c r="AX24" t="s">
        <v>1028</v>
      </c>
      <c r="AY24" t="s">
        <v>1029</v>
      </c>
      <c r="AZ24" t="s">
        <v>195</v>
      </c>
      <c r="BA24" t="s">
        <v>1030</v>
      </c>
      <c r="BB24" t="s">
        <v>1031</v>
      </c>
      <c r="BC24" t="s">
        <v>1032</v>
      </c>
      <c r="BD24" t="s">
        <v>162</v>
      </c>
      <c r="BE24" t="s">
        <v>1033</v>
      </c>
      <c r="BF24" t="s">
        <v>276</v>
      </c>
      <c r="BG24" t="s">
        <v>1034</v>
      </c>
      <c r="BH24" t="s">
        <v>508</v>
      </c>
      <c r="BI24" t="s">
        <v>962</v>
      </c>
      <c r="BJ24" t="s">
        <v>883</v>
      </c>
      <c r="BK24" t="s">
        <v>162</v>
      </c>
      <c r="BL24" t="s">
        <v>884</v>
      </c>
      <c r="BM24" t="s">
        <v>160</v>
      </c>
      <c r="BN24" t="s">
        <v>279</v>
      </c>
      <c r="BO24" t="s">
        <v>206</v>
      </c>
      <c r="BP24" t="s">
        <v>802</v>
      </c>
      <c r="BQ24" t="s">
        <v>1035</v>
      </c>
      <c r="BR24" t="s">
        <v>1036</v>
      </c>
      <c r="BS24" t="s">
        <v>1037</v>
      </c>
      <c r="BT24" t="s">
        <v>160</v>
      </c>
      <c r="BU24" t="s">
        <v>211</v>
      </c>
      <c r="BV24" t="s">
        <v>206</v>
      </c>
      <c r="BW24" t="s">
        <v>212</v>
      </c>
      <c r="BX24" t="s">
        <v>213</v>
      </c>
      <c r="BY24" t="s">
        <v>172</v>
      </c>
      <c r="BZ24" t="s">
        <v>214</v>
      </c>
      <c r="CA24" t="s">
        <v>172</v>
      </c>
      <c r="CB24" t="s">
        <v>172</v>
      </c>
      <c r="CC24" t="s">
        <v>215</v>
      </c>
      <c r="CD24" t="s">
        <v>216</v>
      </c>
      <c r="CE24" t="s">
        <v>217</v>
      </c>
      <c r="CF24" t="s">
        <v>218</v>
      </c>
      <c r="CG24" t="s">
        <v>219</v>
      </c>
      <c r="CH24" t="s">
        <v>220</v>
      </c>
      <c r="CI24" t="s">
        <v>178</v>
      </c>
      <c r="CJ24" t="s">
        <v>212</v>
      </c>
      <c r="CK24" t="s">
        <v>221</v>
      </c>
      <c r="CL24" t="s">
        <v>221</v>
      </c>
      <c r="CM24" t="s">
        <v>221</v>
      </c>
      <c r="CN24" t="s">
        <v>172</v>
      </c>
      <c r="CO24" t="s">
        <v>222</v>
      </c>
      <c r="CP24" t="s">
        <v>172</v>
      </c>
      <c r="CQ24" t="s">
        <v>172</v>
      </c>
      <c r="CR24" t="s">
        <v>172</v>
      </c>
      <c r="CS24" t="s">
        <v>172</v>
      </c>
      <c r="CT24" t="s">
        <v>1038</v>
      </c>
      <c r="CU24" t="s">
        <v>1039</v>
      </c>
      <c r="CV24" t="s">
        <v>1040</v>
      </c>
      <c r="CW24" t="s">
        <v>1041</v>
      </c>
      <c r="CX24" t="s">
        <v>1042</v>
      </c>
      <c r="CY24" t="s">
        <v>1043</v>
      </c>
      <c r="CZ24" t="s">
        <v>1044</v>
      </c>
      <c r="DA24" t="s">
        <v>1045</v>
      </c>
      <c r="DB24" t="s">
        <v>1015</v>
      </c>
      <c r="DC24" t="s">
        <v>624</v>
      </c>
      <c r="DD24" t="s">
        <v>232</v>
      </c>
      <c r="DE24" t="s">
        <v>233</v>
      </c>
      <c r="DF24" t="s">
        <v>178</v>
      </c>
      <c r="DG24" t="s">
        <v>234</v>
      </c>
      <c r="DH24" t="s">
        <v>235</v>
      </c>
      <c r="DI24" t="s">
        <v>178</v>
      </c>
      <c r="DJ24" t="s">
        <v>236</v>
      </c>
      <c r="DK24" t="s">
        <v>237</v>
      </c>
      <c r="DL24" t="s">
        <v>238</v>
      </c>
      <c r="DM24" t="s">
        <v>172</v>
      </c>
      <c r="DN24" t="s">
        <v>1014</v>
      </c>
      <c r="DO24" t="s">
        <v>239</v>
      </c>
      <c r="DP24" t="s">
        <v>240</v>
      </c>
      <c r="DQ24" t="s">
        <v>241</v>
      </c>
      <c r="DR24" t="s">
        <v>242</v>
      </c>
      <c r="DS24" t="s">
        <v>243</v>
      </c>
      <c r="DT24" t="s">
        <v>244</v>
      </c>
    </row>
    <row r="25" spans="1:124" x14ac:dyDescent="0.3">
      <c r="A25" t="s">
        <v>425</v>
      </c>
      <c r="B25" t="s">
        <v>1046</v>
      </c>
      <c r="C25" t="s">
        <v>162</v>
      </c>
      <c r="D25" t="s">
        <v>163</v>
      </c>
      <c r="E25" t="s">
        <v>164</v>
      </c>
      <c r="F25" t="s">
        <v>138</v>
      </c>
      <c r="G25" t="s">
        <v>138</v>
      </c>
      <c r="H25" t="s">
        <v>1167</v>
      </c>
      <c r="I25" t="s">
        <v>427</v>
      </c>
      <c r="J25">
        <f t="shared" si="0"/>
        <v>5.5330393655222541E-2</v>
      </c>
      <c r="K25">
        <f t="shared" si="1"/>
        <v>2.9050319999999994</v>
      </c>
      <c r="L25">
        <f t="shared" si="2"/>
        <v>5.4296245785825432E-2</v>
      </c>
      <c r="M25">
        <f t="shared" si="3"/>
        <v>1.2104051426172522</v>
      </c>
      <c r="N25" t="s">
        <v>1047</v>
      </c>
      <c r="O25" t="s">
        <v>1048</v>
      </c>
      <c r="P25">
        <f t="shared" si="4"/>
        <v>3.7683734187081792</v>
      </c>
      <c r="Q25">
        <f t="shared" si="5"/>
        <v>2.2108594187081794</v>
      </c>
      <c r="R25" t="s">
        <v>1049</v>
      </c>
      <c r="S25" t="s">
        <v>1050</v>
      </c>
      <c r="T25">
        <f t="shared" si="6"/>
        <v>37.002881173489584</v>
      </c>
      <c r="U25">
        <f t="shared" si="7"/>
        <v>0.4417875</v>
      </c>
      <c r="V25" t="s">
        <v>170</v>
      </c>
      <c r="W25" t="s">
        <v>1051</v>
      </c>
      <c r="X25" t="s">
        <v>172</v>
      </c>
      <c r="Y25" t="s">
        <v>172</v>
      </c>
      <c r="Z25" t="s">
        <v>172</v>
      </c>
      <c r="AA25" t="s">
        <v>1052</v>
      </c>
      <c r="AB25" t="s">
        <v>1053</v>
      </c>
      <c r="AC25" t="s">
        <v>1054</v>
      </c>
      <c r="AD25" t="s">
        <v>176</v>
      </c>
      <c r="AE25" t="s">
        <v>177</v>
      </c>
      <c r="AF25">
        <f t="shared" si="8"/>
        <v>168.35632631999999</v>
      </c>
      <c r="AG25" t="s">
        <v>178</v>
      </c>
      <c r="AH25" t="s">
        <v>1055</v>
      </c>
      <c r="AI25" t="s">
        <v>1056</v>
      </c>
      <c r="AJ25" t="s">
        <v>1057</v>
      </c>
      <c r="AK25" t="s">
        <v>1058</v>
      </c>
      <c r="AL25">
        <f t="shared" si="9"/>
        <v>27.88</v>
      </c>
      <c r="AM25" t="s">
        <v>183</v>
      </c>
      <c r="AN25" t="s">
        <v>441</v>
      </c>
      <c r="AO25" t="s">
        <v>260</v>
      </c>
      <c r="AP25" t="s">
        <v>815</v>
      </c>
      <c r="AQ25" t="s">
        <v>1059</v>
      </c>
      <c r="AR25" t="s">
        <v>952</v>
      </c>
      <c r="AS25" t="s">
        <v>1060</v>
      </c>
      <c r="AT25" t="s">
        <v>1061</v>
      </c>
      <c r="AU25" t="s">
        <v>1062</v>
      </c>
      <c r="AV25" t="s">
        <v>1063</v>
      </c>
      <c r="AW25" t="s">
        <v>1064</v>
      </c>
      <c r="AX25" t="s">
        <v>1065</v>
      </c>
      <c r="AY25" t="s">
        <v>1066</v>
      </c>
      <c r="AZ25" t="s">
        <v>195</v>
      </c>
      <c r="BA25" t="s">
        <v>1030</v>
      </c>
      <c r="BB25" t="s">
        <v>1031</v>
      </c>
      <c r="BC25" t="s">
        <v>1067</v>
      </c>
      <c r="BD25" t="s">
        <v>162</v>
      </c>
      <c r="BE25" t="s">
        <v>1068</v>
      </c>
      <c r="BF25" t="s">
        <v>1069</v>
      </c>
      <c r="BG25" t="s">
        <v>1070</v>
      </c>
      <c r="BH25" t="s">
        <v>466</v>
      </c>
      <c r="BI25" t="s">
        <v>1071</v>
      </c>
      <c r="BJ25" t="s">
        <v>883</v>
      </c>
      <c r="BK25" t="s">
        <v>162</v>
      </c>
      <c r="BL25" t="s">
        <v>884</v>
      </c>
      <c r="BM25" t="s">
        <v>160</v>
      </c>
      <c r="BN25" t="s">
        <v>206</v>
      </c>
      <c r="BO25" t="s">
        <v>206</v>
      </c>
      <c r="BP25" t="s">
        <v>367</v>
      </c>
      <c r="BQ25" t="s">
        <v>1072</v>
      </c>
      <c r="BR25" t="s">
        <v>1073</v>
      </c>
      <c r="BS25" t="s">
        <v>1074</v>
      </c>
      <c r="BT25" t="s">
        <v>160</v>
      </c>
      <c r="BU25" t="s">
        <v>211</v>
      </c>
      <c r="BV25" t="s">
        <v>206</v>
      </c>
      <c r="BW25" t="s">
        <v>212</v>
      </c>
      <c r="BX25" t="s">
        <v>213</v>
      </c>
      <c r="BY25" t="s">
        <v>172</v>
      </c>
      <c r="BZ25" t="s">
        <v>214</v>
      </c>
      <c r="CA25" t="s">
        <v>172</v>
      </c>
      <c r="CB25" t="s">
        <v>172</v>
      </c>
      <c r="CC25" t="s">
        <v>215</v>
      </c>
      <c r="CD25" t="s">
        <v>216</v>
      </c>
      <c r="CE25" t="s">
        <v>217</v>
      </c>
      <c r="CF25" t="s">
        <v>218</v>
      </c>
      <c r="CG25" t="s">
        <v>219</v>
      </c>
      <c r="CH25" t="s">
        <v>220</v>
      </c>
      <c r="CI25" t="s">
        <v>178</v>
      </c>
      <c r="CJ25" t="s">
        <v>212</v>
      </c>
      <c r="CK25" t="s">
        <v>221</v>
      </c>
      <c r="CL25" t="s">
        <v>221</v>
      </c>
      <c r="CM25" t="s">
        <v>221</v>
      </c>
      <c r="CN25" t="s">
        <v>172</v>
      </c>
      <c r="CO25" t="s">
        <v>222</v>
      </c>
      <c r="CP25" t="s">
        <v>172</v>
      </c>
      <c r="CQ25" t="s">
        <v>172</v>
      </c>
      <c r="CR25" t="s">
        <v>172</v>
      </c>
      <c r="CS25" t="s">
        <v>172</v>
      </c>
      <c r="CT25" t="s">
        <v>1075</v>
      </c>
      <c r="CU25" t="s">
        <v>1076</v>
      </c>
      <c r="CV25" t="s">
        <v>1077</v>
      </c>
      <c r="CW25" t="s">
        <v>1078</v>
      </c>
      <c r="CX25" t="s">
        <v>1079</v>
      </c>
      <c r="CY25" t="s">
        <v>1080</v>
      </c>
      <c r="CZ25" t="s">
        <v>1081</v>
      </c>
      <c r="DA25" t="s">
        <v>1082</v>
      </c>
      <c r="DB25" t="s">
        <v>1052</v>
      </c>
      <c r="DC25" t="s">
        <v>231</v>
      </c>
      <c r="DD25" t="s">
        <v>232</v>
      </c>
      <c r="DE25" t="s">
        <v>233</v>
      </c>
      <c r="DF25" t="s">
        <v>178</v>
      </c>
      <c r="DG25" t="s">
        <v>234</v>
      </c>
      <c r="DH25" t="s">
        <v>235</v>
      </c>
      <c r="DI25" t="s">
        <v>178</v>
      </c>
      <c r="DJ25" t="s">
        <v>236</v>
      </c>
      <c r="DK25" t="s">
        <v>237</v>
      </c>
      <c r="DL25" t="s">
        <v>238</v>
      </c>
      <c r="DM25" t="s">
        <v>172</v>
      </c>
      <c r="DN25" t="s">
        <v>1051</v>
      </c>
      <c r="DO25" t="s">
        <v>239</v>
      </c>
      <c r="DP25" t="s">
        <v>240</v>
      </c>
      <c r="DQ25" t="s">
        <v>241</v>
      </c>
      <c r="DR25" t="s">
        <v>242</v>
      </c>
      <c r="DS25" t="s">
        <v>243</v>
      </c>
      <c r="DT25" t="s">
        <v>244</v>
      </c>
    </row>
    <row r="26" spans="1:124" x14ac:dyDescent="0.3">
      <c r="A26" t="s">
        <v>466</v>
      </c>
      <c r="B26" t="s">
        <v>1083</v>
      </c>
      <c r="C26" t="s">
        <v>162</v>
      </c>
      <c r="D26" t="s">
        <v>163</v>
      </c>
      <c r="E26" t="s">
        <v>164</v>
      </c>
      <c r="F26" t="s">
        <v>138</v>
      </c>
      <c r="G26" t="s">
        <v>138</v>
      </c>
      <c r="H26" t="s">
        <v>1168</v>
      </c>
      <c r="I26" t="s">
        <v>468</v>
      </c>
      <c r="J26">
        <f t="shared" si="0"/>
        <v>0.22657645826741571</v>
      </c>
      <c r="K26">
        <f t="shared" si="1"/>
        <v>2.9042299199999997</v>
      </c>
      <c r="L26">
        <f t="shared" si="2"/>
        <v>0.21017911993395549</v>
      </c>
      <c r="M26">
        <f t="shared" si="3"/>
        <v>3.8644333900994781</v>
      </c>
      <c r="N26" t="s">
        <v>1084</v>
      </c>
      <c r="O26" t="s">
        <v>1085</v>
      </c>
      <c r="P26">
        <f t="shared" si="4"/>
        <v>3.4244985814706008</v>
      </c>
      <c r="Q26">
        <f t="shared" si="5"/>
        <v>1.8260305814706008</v>
      </c>
      <c r="R26" t="s">
        <v>1086</v>
      </c>
      <c r="S26" t="s">
        <v>1087</v>
      </c>
      <c r="T26">
        <f t="shared" si="6"/>
        <v>33.629564779245804</v>
      </c>
      <c r="U26">
        <f t="shared" si="7"/>
        <v>0.4417875</v>
      </c>
      <c r="V26" t="s">
        <v>170</v>
      </c>
      <c r="W26" t="s">
        <v>1088</v>
      </c>
      <c r="X26" t="s">
        <v>172</v>
      </c>
      <c r="Y26" t="s">
        <v>172</v>
      </c>
      <c r="Z26" t="s">
        <v>172</v>
      </c>
      <c r="AA26" t="s">
        <v>1089</v>
      </c>
      <c r="AB26" t="s">
        <v>1090</v>
      </c>
      <c r="AC26" t="s">
        <v>1091</v>
      </c>
      <c r="AD26" t="s">
        <v>176</v>
      </c>
      <c r="AE26" t="s">
        <v>177</v>
      </c>
      <c r="AF26">
        <f t="shared" si="8"/>
        <v>184.41960767999998</v>
      </c>
      <c r="AG26" t="s">
        <v>178</v>
      </c>
      <c r="AH26" t="s">
        <v>1092</v>
      </c>
      <c r="AI26" t="s">
        <v>1093</v>
      </c>
      <c r="AJ26" t="s">
        <v>1094</v>
      </c>
      <c r="AK26" t="s">
        <v>1095</v>
      </c>
      <c r="AL26">
        <f t="shared" si="9"/>
        <v>26.25</v>
      </c>
      <c r="AM26" t="s">
        <v>308</v>
      </c>
      <c r="AN26" t="s">
        <v>184</v>
      </c>
      <c r="AO26" t="s">
        <v>1096</v>
      </c>
      <c r="AP26" t="s">
        <v>522</v>
      </c>
      <c r="AQ26" t="s">
        <v>1097</v>
      </c>
      <c r="AR26" t="s">
        <v>834</v>
      </c>
      <c r="AS26" t="s">
        <v>1098</v>
      </c>
      <c r="AT26" t="s">
        <v>313</v>
      </c>
      <c r="AU26" t="s">
        <v>1099</v>
      </c>
      <c r="AV26" t="s">
        <v>1100</v>
      </c>
      <c r="AW26" t="s">
        <v>1101</v>
      </c>
      <c r="AX26" t="s">
        <v>1102</v>
      </c>
      <c r="AY26" t="s">
        <v>1103</v>
      </c>
      <c r="AZ26" t="s">
        <v>195</v>
      </c>
      <c r="BA26" t="s">
        <v>1104</v>
      </c>
      <c r="BB26" t="s">
        <v>1105</v>
      </c>
      <c r="BC26" t="s">
        <v>1106</v>
      </c>
      <c r="BD26" t="s">
        <v>162</v>
      </c>
      <c r="BE26" t="s">
        <v>687</v>
      </c>
      <c r="BF26" t="s">
        <v>1107</v>
      </c>
      <c r="BG26" t="s">
        <v>1034</v>
      </c>
      <c r="BH26" t="s">
        <v>584</v>
      </c>
      <c r="BI26" t="s">
        <v>203</v>
      </c>
      <c r="BJ26" t="s">
        <v>883</v>
      </c>
      <c r="BK26" t="s">
        <v>162</v>
      </c>
      <c r="BL26" t="s">
        <v>884</v>
      </c>
      <c r="BM26" t="s">
        <v>160</v>
      </c>
      <c r="BN26" t="s">
        <v>207</v>
      </c>
      <c r="BO26" t="s">
        <v>367</v>
      </c>
      <c r="BP26" t="s">
        <v>412</v>
      </c>
      <c r="BQ26" t="s">
        <v>1108</v>
      </c>
      <c r="BR26" t="s">
        <v>1109</v>
      </c>
      <c r="BS26" t="s">
        <v>1110</v>
      </c>
      <c r="BT26" t="s">
        <v>160</v>
      </c>
      <c r="BU26" t="s">
        <v>211</v>
      </c>
      <c r="BV26" t="s">
        <v>206</v>
      </c>
      <c r="BW26" t="s">
        <v>212</v>
      </c>
      <c r="BX26" t="s">
        <v>213</v>
      </c>
      <c r="BY26" t="s">
        <v>172</v>
      </c>
      <c r="BZ26" t="s">
        <v>214</v>
      </c>
      <c r="CA26" t="s">
        <v>172</v>
      </c>
      <c r="CB26" t="s">
        <v>172</v>
      </c>
      <c r="CC26" t="s">
        <v>215</v>
      </c>
      <c r="CD26" t="s">
        <v>216</v>
      </c>
      <c r="CE26" t="s">
        <v>217</v>
      </c>
      <c r="CF26" t="s">
        <v>218</v>
      </c>
      <c r="CG26" t="s">
        <v>219</v>
      </c>
      <c r="CH26" t="s">
        <v>220</v>
      </c>
      <c r="CI26" t="s">
        <v>178</v>
      </c>
      <c r="CJ26" t="s">
        <v>212</v>
      </c>
      <c r="CK26" t="s">
        <v>221</v>
      </c>
      <c r="CL26" t="s">
        <v>221</v>
      </c>
      <c r="CM26" t="s">
        <v>221</v>
      </c>
      <c r="CN26" t="s">
        <v>172</v>
      </c>
      <c r="CO26" t="s">
        <v>222</v>
      </c>
      <c r="CP26" t="s">
        <v>172</v>
      </c>
      <c r="CQ26" t="s">
        <v>172</v>
      </c>
      <c r="CR26" t="s">
        <v>172</v>
      </c>
      <c r="CS26" t="s">
        <v>172</v>
      </c>
      <c r="CT26" t="s">
        <v>1111</v>
      </c>
      <c r="CU26" t="s">
        <v>1112</v>
      </c>
      <c r="CV26" t="s">
        <v>1113</v>
      </c>
      <c r="CW26" t="s">
        <v>1114</v>
      </c>
      <c r="CX26" t="s">
        <v>1115</v>
      </c>
      <c r="CY26" t="s">
        <v>1116</v>
      </c>
      <c r="CZ26" t="s">
        <v>1117</v>
      </c>
      <c r="DA26" t="s">
        <v>1118</v>
      </c>
      <c r="DB26" t="s">
        <v>1089</v>
      </c>
      <c r="DC26" t="s">
        <v>1119</v>
      </c>
      <c r="DD26" t="s">
        <v>232</v>
      </c>
      <c r="DE26" t="s">
        <v>233</v>
      </c>
      <c r="DF26" t="s">
        <v>178</v>
      </c>
      <c r="DG26" t="s">
        <v>234</v>
      </c>
      <c r="DH26" t="s">
        <v>235</v>
      </c>
      <c r="DI26" t="s">
        <v>178</v>
      </c>
      <c r="DJ26" t="s">
        <v>236</v>
      </c>
      <c r="DK26" t="s">
        <v>237</v>
      </c>
      <c r="DL26" t="s">
        <v>238</v>
      </c>
      <c r="DM26" t="s">
        <v>172</v>
      </c>
      <c r="DN26" t="s">
        <v>1088</v>
      </c>
      <c r="DO26" t="s">
        <v>239</v>
      </c>
      <c r="DP26" t="s">
        <v>240</v>
      </c>
      <c r="DQ26" t="s">
        <v>241</v>
      </c>
      <c r="DR26" t="s">
        <v>242</v>
      </c>
      <c r="DS26" t="s">
        <v>243</v>
      </c>
      <c r="DT26" t="s">
        <v>244</v>
      </c>
    </row>
    <row r="27" spans="1:124" x14ac:dyDescent="0.3">
      <c r="A27" t="s">
        <v>508</v>
      </c>
      <c r="B27" t="s">
        <v>1120</v>
      </c>
      <c r="C27" t="s">
        <v>162</v>
      </c>
      <c r="D27" t="s">
        <v>163</v>
      </c>
      <c r="E27" t="s">
        <v>164</v>
      </c>
      <c r="F27" t="s">
        <v>138</v>
      </c>
      <c r="G27" t="s">
        <v>138</v>
      </c>
      <c r="H27" t="s">
        <v>1169</v>
      </c>
      <c r="I27" t="s">
        <v>510</v>
      </c>
      <c r="J27">
        <f t="shared" si="0"/>
        <v>3.089155003285456E-2</v>
      </c>
      <c r="K27">
        <f t="shared" si="1"/>
        <v>2.9058327199999998</v>
      </c>
      <c r="L27">
        <f t="shared" si="2"/>
        <v>3.056660026716829E-2</v>
      </c>
      <c r="M27">
        <f t="shared" si="3"/>
        <v>0.90049753482657646</v>
      </c>
      <c r="N27" t="s">
        <v>1121</v>
      </c>
      <c r="O27" t="s">
        <v>1122</v>
      </c>
      <c r="P27">
        <f t="shared" si="4"/>
        <v>4.4170739763436151</v>
      </c>
      <c r="Q27">
        <f t="shared" si="5"/>
        <v>2.9129579763436153</v>
      </c>
      <c r="R27" t="s">
        <v>1123</v>
      </c>
      <c r="S27" t="s">
        <v>1124</v>
      </c>
      <c r="T27">
        <f t="shared" si="6"/>
        <v>43.372682407144687</v>
      </c>
      <c r="U27">
        <f t="shared" si="7"/>
        <v>0.4417875</v>
      </c>
      <c r="V27" t="s">
        <v>170</v>
      </c>
      <c r="W27" t="s">
        <v>1125</v>
      </c>
      <c r="X27" t="s">
        <v>172</v>
      </c>
      <c r="Y27" t="s">
        <v>172</v>
      </c>
      <c r="Z27" t="s">
        <v>172</v>
      </c>
      <c r="AA27" t="s">
        <v>1126</v>
      </c>
      <c r="AB27" t="s">
        <v>1127</v>
      </c>
      <c r="AC27" t="s">
        <v>1128</v>
      </c>
      <c r="AD27" t="s">
        <v>176</v>
      </c>
      <c r="AE27" t="s">
        <v>177</v>
      </c>
      <c r="AF27">
        <f t="shared" si="8"/>
        <v>150.86806098</v>
      </c>
      <c r="AG27" t="s">
        <v>178</v>
      </c>
      <c r="AH27" t="s">
        <v>1129</v>
      </c>
      <c r="AI27" t="s">
        <v>1130</v>
      </c>
      <c r="AJ27" t="s">
        <v>1131</v>
      </c>
      <c r="AK27" t="s">
        <v>1132</v>
      </c>
      <c r="AL27">
        <f t="shared" si="9"/>
        <v>30.63</v>
      </c>
      <c r="AM27" t="s">
        <v>183</v>
      </c>
      <c r="AN27" t="s">
        <v>351</v>
      </c>
      <c r="AO27" t="s">
        <v>637</v>
      </c>
      <c r="AP27" t="s">
        <v>909</v>
      </c>
      <c r="AQ27" t="s">
        <v>1133</v>
      </c>
      <c r="AR27" t="s">
        <v>834</v>
      </c>
      <c r="AS27" t="s">
        <v>1134</v>
      </c>
      <c r="AT27" t="s">
        <v>1061</v>
      </c>
      <c r="AU27" t="s">
        <v>1135</v>
      </c>
      <c r="AV27" t="s">
        <v>1136</v>
      </c>
      <c r="AW27" t="s">
        <v>1137</v>
      </c>
      <c r="AX27" t="s">
        <v>1138</v>
      </c>
      <c r="AY27" t="s">
        <v>1139</v>
      </c>
      <c r="AZ27" t="s">
        <v>195</v>
      </c>
      <c r="BA27" t="s">
        <v>1104</v>
      </c>
      <c r="BB27" t="s">
        <v>1105</v>
      </c>
      <c r="BC27" t="s">
        <v>1140</v>
      </c>
      <c r="BD27" t="s">
        <v>162</v>
      </c>
      <c r="BE27" t="s">
        <v>687</v>
      </c>
      <c r="BF27" t="s">
        <v>1107</v>
      </c>
      <c r="BG27" t="s">
        <v>1034</v>
      </c>
      <c r="BH27" t="s">
        <v>584</v>
      </c>
      <c r="BI27" t="s">
        <v>203</v>
      </c>
      <c r="BJ27" t="s">
        <v>883</v>
      </c>
      <c r="BK27" t="s">
        <v>162</v>
      </c>
      <c r="BL27" t="s">
        <v>884</v>
      </c>
      <c r="BM27" t="s">
        <v>160</v>
      </c>
      <c r="BN27" t="s">
        <v>207</v>
      </c>
      <c r="BO27" t="s">
        <v>323</v>
      </c>
      <c r="BP27" t="s">
        <v>1141</v>
      </c>
      <c r="BQ27" t="s">
        <v>1142</v>
      </c>
      <c r="BR27" t="s">
        <v>1143</v>
      </c>
      <c r="BS27" t="s">
        <v>1144</v>
      </c>
      <c r="BT27" t="s">
        <v>160</v>
      </c>
      <c r="BU27" t="s">
        <v>211</v>
      </c>
      <c r="BV27" t="s">
        <v>206</v>
      </c>
      <c r="BW27" t="s">
        <v>212</v>
      </c>
      <c r="BX27" t="s">
        <v>213</v>
      </c>
      <c r="BY27" t="s">
        <v>172</v>
      </c>
      <c r="BZ27" t="s">
        <v>214</v>
      </c>
      <c r="CA27" t="s">
        <v>172</v>
      </c>
      <c r="CB27" t="s">
        <v>172</v>
      </c>
      <c r="CC27" t="s">
        <v>215</v>
      </c>
      <c r="CD27" t="s">
        <v>216</v>
      </c>
      <c r="CE27" t="s">
        <v>217</v>
      </c>
      <c r="CF27" t="s">
        <v>218</v>
      </c>
      <c r="CG27" t="s">
        <v>219</v>
      </c>
      <c r="CH27" t="s">
        <v>220</v>
      </c>
      <c r="CI27" t="s">
        <v>178</v>
      </c>
      <c r="CJ27" t="s">
        <v>212</v>
      </c>
      <c r="CK27" t="s">
        <v>221</v>
      </c>
      <c r="CL27" t="s">
        <v>221</v>
      </c>
      <c r="CM27" t="s">
        <v>221</v>
      </c>
      <c r="CN27" t="s">
        <v>172</v>
      </c>
      <c r="CO27" t="s">
        <v>222</v>
      </c>
      <c r="CP27" t="s">
        <v>172</v>
      </c>
      <c r="CQ27" t="s">
        <v>172</v>
      </c>
      <c r="CR27" t="s">
        <v>172</v>
      </c>
      <c r="CS27" t="s">
        <v>172</v>
      </c>
      <c r="CT27" t="s">
        <v>1145</v>
      </c>
      <c r="CU27" t="s">
        <v>1146</v>
      </c>
      <c r="CV27" t="s">
        <v>1147</v>
      </c>
      <c r="CW27" t="s">
        <v>1148</v>
      </c>
      <c r="CX27" t="s">
        <v>1149</v>
      </c>
      <c r="CY27" t="s">
        <v>1150</v>
      </c>
      <c r="CZ27" t="s">
        <v>1151</v>
      </c>
      <c r="DA27" t="s">
        <v>1152</v>
      </c>
      <c r="DB27" t="s">
        <v>1126</v>
      </c>
      <c r="DC27" t="s">
        <v>292</v>
      </c>
      <c r="DD27" t="s">
        <v>232</v>
      </c>
      <c r="DE27" t="s">
        <v>233</v>
      </c>
      <c r="DF27" t="s">
        <v>178</v>
      </c>
      <c r="DG27" t="s">
        <v>234</v>
      </c>
      <c r="DH27" t="s">
        <v>235</v>
      </c>
      <c r="DI27" t="s">
        <v>178</v>
      </c>
      <c r="DJ27" t="s">
        <v>236</v>
      </c>
      <c r="DK27" t="s">
        <v>237</v>
      </c>
      <c r="DL27" t="s">
        <v>238</v>
      </c>
      <c r="DM27" t="s">
        <v>172</v>
      </c>
      <c r="DN27" t="s">
        <v>1125</v>
      </c>
      <c r="DO27" t="s">
        <v>239</v>
      </c>
      <c r="DP27" t="s">
        <v>240</v>
      </c>
      <c r="DQ27" t="s">
        <v>241</v>
      </c>
      <c r="DR27" t="s">
        <v>242</v>
      </c>
      <c r="DS27" t="s">
        <v>243</v>
      </c>
      <c r="DT27" t="s">
        <v>244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DT3 A22:G27 A4:G18 I4:DT18 A19:G19 I19:DT19 A20:G21 I20:DT21 I22:DT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lightfluoromete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created xsi:type="dcterms:W3CDTF">2026-10-10T13:00:43Z</dcterms:created>
  <dcterms:modified xsi:type="dcterms:W3CDTF">2026-10-11T04:59:55Z</dcterms:modified>
</cp:coreProperties>
</file>