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jbnuackr-my.sharepoint.com/personal/eunbin23_jbnu_ac_kr/Documents/바탕 화면/CEPLAB/과제 및 실험/개인실험/260708-2601023 상추_재해처리 실험/작기2 (260822-261023)/기공전도도/RAW/"/>
    </mc:Choice>
  </mc:AlternateContent>
  <xr:revisionPtr revIDLastSave="55" documentId="11_A4E7011E40F9BF76666102B9A8108195A0296E55" xr6:coauthVersionLast="47" xr6:coauthVersionMax="47" xr10:uidLastSave="{85221844-69A4-4455-BE03-DB3F04E3DDAB}"/>
  <bookViews>
    <workbookView xWindow="-98" yWindow="-98" windowWidth="24196" windowHeight="14476" xr2:uid="{00000000-000D-0000-FFFF-FFFF00000000}"/>
  </bookViews>
  <sheets>
    <sheet name="lightfluoromete" sheetId="1" r:id="rId1"/>
    <sheet name="정리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35" i="1" l="1"/>
  <c r="P35" i="1" s="1"/>
  <c r="AF35" i="1"/>
  <c r="U35" i="1"/>
  <c r="M35" i="1"/>
  <c r="K35" i="1"/>
  <c r="AL34" i="1"/>
  <c r="P34" i="1" s="1"/>
  <c r="T34" i="1" s="1"/>
  <c r="AF34" i="1"/>
  <c r="U34" i="1"/>
  <c r="M34" i="1" s="1"/>
  <c r="K34" i="1"/>
  <c r="AL33" i="1"/>
  <c r="P33" i="1" s="1"/>
  <c r="T33" i="1" s="1"/>
  <c r="L33" i="1" s="1"/>
  <c r="J33" i="1" s="1"/>
  <c r="AF33" i="1"/>
  <c r="U33" i="1"/>
  <c r="M33" i="1"/>
  <c r="K33" i="1"/>
  <c r="AL31" i="1"/>
  <c r="AF31" i="1"/>
  <c r="U31" i="1"/>
  <c r="M31" i="1" s="1"/>
  <c r="P31" i="1"/>
  <c r="Q31" i="1" s="1"/>
  <c r="K31" i="1"/>
  <c r="AL32" i="1"/>
  <c r="P32" i="1" s="1"/>
  <c r="T32" i="1" s="1"/>
  <c r="AF32" i="1"/>
  <c r="U32" i="1"/>
  <c r="M32" i="1" s="1"/>
  <c r="K32" i="1"/>
  <c r="AL30" i="1"/>
  <c r="P30" i="1" s="1"/>
  <c r="AF30" i="1"/>
  <c r="U30" i="1"/>
  <c r="M30" i="1" s="1"/>
  <c r="K30" i="1"/>
  <c r="AL29" i="1"/>
  <c r="P29" i="1" s="1"/>
  <c r="AF29" i="1"/>
  <c r="U29" i="1"/>
  <c r="M29" i="1" s="1"/>
  <c r="K29" i="1"/>
  <c r="AL28" i="1"/>
  <c r="P28" i="1" s="1"/>
  <c r="AF28" i="1"/>
  <c r="U28" i="1"/>
  <c r="M28" i="1" s="1"/>
  <c r="K28" i="1"/>
  <c r="AL27" i="1"/>
  <c r="P27" i="1" s="1"/>
  <c r="AF27" i="1"/>
  <c r="U27" i="1"/>
  <c r="M27" i="1" s="1"/>
  <c r="K27" i="1"/>
  <c r="AL26" i="1"/>
  <c r="P26" i="1" s="1"/>
  <c r="AF26" i="1"/>
  <c r="U26" i="1"/>
  <c r="M26" i="1"/>
  <c r="K26" i="1"/>
  <c r="AL25" i="1"/>
  <c r="AF25" i="1"/>
  <c r="U25" i="1"/>
  <c r="P25" i="1"/>
  <c r="T25" i="1" s="1"/>
  <c r="M25" i="1"/>
  <c r="K25" i="1"/>
  <c r="AL24" i="1"/>
  <c r="AF24" i="1"/>
  <c r="U24" i="1"/>
  <c r="P24" i="1"/>
  <c r="T24" i="1" s="1"/>
  <c r="M24" i="1"/>
  <c r="K24" i="1"/>
  <c r="AL23" i="1"/>
  <c r="P23" i="1" s="1"/>
  <c r="T23" i="1" s="1"/>
  <c r="AF23" i="1"/>
  <c r="U23" i="1"/>
  <c r="M23" i="1"/>
  <c r="K23" i="1"/>
  <c r="AL22" i="1"/>
  <c r="AF22" i="1"/>
  <c r="U22" i="1"/>
  <c r="M22" i="1" s="1"/>
  <c r="P22" i="1"/>
  <c r="T22" i="1" s="1"/>
  <c r="K22" i="1"/>
  <c r="AL21" i="1"/>
  <c r="P21" i="1" s="1"/>
  <c r="AF21" i="1"/>
  <c r="U21" i="1"/>
  <c r="M21" i="1" s="1"/>
  <c r="K21" i="1"/>
  <c r="AL20" i="1"/>
  <c r="P20" i="1" s="1"/>
  <c r="AF20" i="1"/>
  <c r="U20" i="1"/>
  <c r="M20" i="1" s="1"/>
  <c r="K20" i="1"/>
  <c r="AL19" i="1"/>
  <c r="P19" i="1" s="1"/>
  <c r="AF19" i="1"/>
  <c r="U19" i="1"/>
  <c r="M19" i="1" s="1"/>
  <c r="K19" i="1"/>
  <c r="AL18" i="1"/>
  <c r="P18" i="1" s="1"/>
  <c r="AF18" i="1"/>
  <c r="U18" i="1"/>
  <c r="M18" i="1" s="1"/>
  <c r="K18" i="1"/>
  <c r="AL17" i="1"/>
  <c r="P17" i="1" s="1"/>
  <c r="AF17" i="1"/>
  <c r="U17" i="1"/>
  <c r="M17" i="1" s="1"/>
  <c r="K17" i="1"/>
  <c r="AL16" i="1"/>
  <c r="P16" i="1" s="1"/>
  <c r="T16" i="1" s="1"/>
  <c r="AF16" i="1"/>
  <c r="U16" i="1"/>
  <c r="M16" i="1" s="1"/>
  <c r="K16" i="1"/>
  <c r="AL15" i="1"/>
  <c r="P15" i="1" s="1"/>
  <c r="T15" i="1" s="1"/>
  <c r="AF15" i="1"/>
  <c r="U15" i="1"/>
  <c r="M15" i="1"/>
  <c r="K15" i="1"/>
  <c r="AL14" i="1"/>
  <c r="AF14" i="1"/>
  <c r="U14" i="1"/>
  <c r="P14" i="1"/>
  <c r="T14" i="1" s="1"/>
  <c r="M14" i="1"/>
  <c r="K14" i="1"/>
  <c r="AL13" i="1"/>
  <c r="P13" i="1" s="1"/>
  <c r="Q13" i="1" s="1"/>
  <c r="AF13" i="1"/>
  <c r="U13" i="1"/>
  <c r="M13" i="1" s="1"/>
  <c r="K13" i="1"/>
  <c r="AL12" i="1"/>
  <c r="P12" i="1" s="1"/>
  <c r="AF12" i="1"/>
  <c r="U12" i="1"/>
  <c r="M12" i="1" s="1"/>
  <c r="K12" i="1"/>
  <c r="AL11" i="1"/>
  <c r="P11" i="1" s="1"/>
  <c r="AF11" i="1"/>
  <c r="U11" i="1"/>
  <c r="M11" i="1" s="1"/>
  <c r="K11" i="1"/>
  <c r="AL10" i="1"/>
  <c r="P10" i="1" s="1"/>
  <c r="AF10" i="1"/>
  <c r="U10" i="1"/>
  <c r="M10" i="1" s="1"/>
  <c r="K10" i="1"/>
  <c r="AL9" i="1"/>
  <c r="P9" i="1" s="1"/>
  <c r="AF9" i="1"/>
  <c r="U9" i="1"/>
  <c r="M9" i="1" s="1"/>
  <c r="K9" i="1"/>
  <c r="AL8" i="1"/>
  <c r="P8" i="1" s="1"/>
  <c r="AF8" i="1"/>
  <c r="U8" i="1"/>
  <c r="M8" i="1"/>
  <c r="K8" i="1"/>
  <c r="AL7" i="1"/>
  <c r="AF7" i="1"/>
  <c r="U7" i="1"/>
  <c r="P7" i="1"/>
  <c r="T7" i="1" s="1"/>
  <c r="M7" i="1"/>
  <c r="K7" i="1"/>
  <c r="AL6" i="1"/>
  <c r="AF6" i="1"/>
  <c r="U6" i="1"/>
  <c r="P6" i="1"/>
  <c r="T6" i="1" s="1"/>
  <c r="M6" i="1"/>
  <c r="K6" i="1"/>
  <c r="AL5" i="1"/>
  <c r="P5" i="1" s="1"/>
  <c r="Q5" i="1" s="1"/>
  <c r="AF5" i="1"/>
  <c r="U5" i="1"/>
  <c r="M5" i="1"/>
  <c r="K5" i="1"/>
  <c r="AL4" i="1"/>
  <c r="AF4" i="1"/>
  <c r="U4" i="1"/>
  <c r="M4" i="1" s="1"/>
  <c r="P4" i="1"/>
  <c r="T4" i="1" s="1"/>
  <c r="K4" i="1"/>
  <c r="L14" i="1" l="1"/>
  <c r="L15" i="1"/>
  <c r="J15" i="1" s="1"/>
  <c r="L34" i="1"/>
  <c r="J34" i="1" s="1"/>
  <c r="L16" i="1"/>
  <c r="J16" i="1" s="1"/>
  <c r="L7" i="1"/>
  <c r="J7" i="1" s="1"/>
  <c r="L24" i="1"/>
  <c r="J24" i="1" s="1"/>
  <c r="L6" i="1"/>
  <c r="J6" i="1" s="1"/>
  <c r="L25" i="1"/>
  <c r="J25" i="1" s="1"/>
  <c r="J14" i="1"/>
  <c r="L23" i="1"/>
  <c r="J23" i="1" s="1"/>
  <c r="T27" i="1"/>
  <c r="L27" i="1" s="1"/>
  <c r="J27" i="1" s="1"/>
  <c r="Q27" i="1"/>
  <c r="T21" i="1"/>
  <c r="L21" i="1" s="1"/>
  <c r="J21" i="1" s="1"/>
  <c r="Q21" i="1"/>
  <c r="Q17" i="1"/>
  <c r="T17" i="1"/>
  <c r="L17" i="1" s="1"/>
  <c r="J17" i="1" s="1"/>
  <c r="T28" i="1"/>
  <c r="L28" i="1" s="1"/>
  <c r="J28" i="1" s="1"/>
  <c r="Q28" i="1"/>
  <c r="Q35" i="1"/>
  <c r="T35" i="1"/>
  <c r="L35" i="1" s="1"/>
  <c r="J35" i="1" s="1"/>
  <c r="L4" i="1"/>
  <c r="J4" i="1" s="1"/>
  <c r="L22" i="1"/>
  <c r="J22" i="1" s="1"/>
  <c r="Q11" i="1"/>
  <c r="T11" i="1"/>
  <c r="L11" i="1" s="1"/>
  <c r="J11" i="1" s="1"/>
  <c r="T29" i="1"/>
  <c r="L29" i="1" s="1"/>
  <c r="J29" i="1" s="1"/>
  <c r="Q29" i="1"/>
  <c r="T20" i="1"/>
  <c r="L20" i="1" s="1"/>
  <c r="J20" i="1" s="1"/>
  <c r="Q20" i="1"/>
  <c r="T9" i="1"/>
  <c r="L9" i="1" s="1"/>
  <c r="J9" i="1" s="1"/>
  <c r="Q9" i="1"/>
  <c r="Q8" i="1"/>
  <c r="T8" i="1"/>
  <c r="L8" i="1" s="1"/>
  <c r="J8" i="1" s="1"/>
  <c r="T10" i="1"/>
  <c r="L10" i="1" s="1"/>
  <c r="J10" i="1" s="1"/>
  <c r="Q10" i="1"/>
  <c r="T18" i="1"/>
  <c r="L18" i="1" s="1"/>
  <c r="J18" i="1" s="1"/>
  <c r="Q18" i="1"/>
  <c r="Q26" i="1"/>
  <c r="T26" i="1"/>
  <c r="L26" i="1" s="1"/>
  <c r="J26" i="1" s="1"/>
  <c r="L32" i="1"/>
  <c r="J32" i="1" s="1"/>
  <c r="T12" i="1"/>
  <c r="L12" i="1" s="1"/>
  <c r="J12" i="1" s="1"/>
  <c r="Q12" i="1"/>
  <c r="T30" i="1"/>
  <c r="L30" i="1" s="1"/>
  <c r="J30" i="1" s="1"/>
  <c r="Q30" i="1"/>
  <c r="T19" i="1"/>
  <c r="L19" i="1" s="1"/>
  <c r="J19" i="1" s="1"/>
  <c r="Q19" i="1"/>
  <c r="Q6" i="1"/>
  <c r="Q22" i="1"/>
  <c r="T13" i="1"/>
  <c r="L13" i="1" s="1"/>
  <c r="J13" i="1" s="1"/>
  <c r="Q23" i="1"/>
  <c r="Q7" i="1"/>
  <c r="Q16" i="1"/>
  <c r="Q25" i="1"/>
  <c r="Q34" i="1"/>
  <c r="T5" i="1"/>
  <c r="L5" i="1" s="1"/>
  <c r="J5" i="1" s="1"/>
  <c r="T31" i="1"/>
  <c r="L31" i="1" s="1"/>
  <c r="J31" i="1" s="1"/>
  <c r="Q14" i="1"/>
  <c r="Q4" i="1"/>
  <c r="Q15" i="1"/>
  <c r="Q24" i="1"/>
  <c r="Q33" i="1"/>
  <c r="Q32" i="1"/>
</calcChain>
</file>

<file path=xl/sharedStrings.xml><?xml version="1.0" encoding="utf-8"?>
<sst xmlns="http://schemas.openxmlformats.org/spreadsheetml/2006/main" count="7788" uniqueCount="1510">
  <si>
    <t>SYS</t>
  </si>
  <si>
    <t>USERDEF</t>
  </si>
  <si>
    <t>PORO</t>
  </si>
  <si>
    <t>FLUORO</t>
  </si>
  <si>
    <t>SENSOR</t>
  </si>
  <si>
    <t>LEAF_ANGLE</t>
  </si>
  <si>
    <t>GPS</t>
  </si>
  <si>
    <t>MATCH</t>
  </si>
  <si>
    <t>STABILITY</t>
  </si>
  <si>
    <t>P_CONFIG</t>
  </si>
  <si>
    <t>FL_CONFIG</t>
  </si>
  <si>
    <t>SENSOR_V</t>
  </si>
  <si>
    <t>USERCAL</t>
  </si>
  <si>
    <t>META</t>
  </si>
  <si>
    <t>Obs#</t>
  </si>
  <si>
    <t>Time</t>
  </si>
  <si>
    <t>Date</t>
  </si>
  <si>
    <t>configName</t>
  </si>
  <si>
    <t>configAuthor</t>
  </si>
  <si>
    <t>remark</t>
  </si>
  <si>
    <t>Species</t>
  </si>
  <si>
    <t>Treatment</t>
  </si>
  <si>
    <t>Number</t>
  </si>
  <si>
    <t>gsw</t>
  </si>
  <si>
    <t>gbw</t>
  </si>
  <si>
    <t>gtw</t>
  </si>
  <si>
    <t>E_apparent</t>
  </si>
  <si>
    <t>VPcham</t>
  </si>
  <si>
    <t>VPref</t>
  </si>
  <si>
    <t>VPleaf</t>
  </si>
  <si>
    <t>VPDleaf</t>
  </si>
  <si>
    <t>H2O_r</t>
  </si>
  <si>
    <t>H2O_s</t>
  </si>
  <si>
    <t>H2O_leaf</t>
  </si>
  <si>
    <t>leaf_area</t>
  </si>
  <si>
    <t>leaf_width</t>
  </si>
  <si>
    <t>flashID</t>
  </si>
  <si>
    <t>Fo</t>
  </si>
  <si>
    <t>Fm</t>
  </si>
  <si>
    <t>Fv/Fm</t>
  </si>
  <si>
    <t>Fs</t>
  </si>
  <si>
    <t>Fm'</t>
  </si>
  <si>
    <t>PhiPS2</t>
  </si>
  <si>
    <t>PS2/1</t>
  </si>
  <si>
    <t>abs</t>
  </si>
  <si>
    <t>ETR</t>
  </si>
  <si>
    <t>TRANS</t>
  </si>
  <si>
    <t>rh_s</t>
  </si>
  <si>
    <t>rh_r</t>
  </si>
  <si>
    <t>Tref</t>
  </si>
  <si>
    <t>Tmeas</t>
  </si>
  <si>
    <t>Tleaf</t>
  </si>
  <si>
    <t>P_atm</t>
  </si>
  <si>
    <t>flow</t>
  </si>
  <si>
    <t>flow_s</t>
  </si>
  <si>
    <t>leak_pct</t>
  </si>
  <si>
    <t>Qamb</t>
  </si>
  <si>
    <t>batt</t>
  </si>
  <si>
    <t>pitch</t>
  </si>
  <si>
    <t>roll</t>
  </si>
  <si>
    <t>heading</t>
  </si>
  <si>
    <t>angle_inc_leaf</t>
  </si>
  <si>
    <t>direct_pct</t>
  </si>
  <si>
    <t>slope_leaf</t>
  </si>
  <si>
    <t>az_leaf</t>
  </si>
  <si>
    <t>dec_solar</t>
  </si>
  <si>
    <t>az_solar</t>
  </si>
  <si>
    <t>zenith_solar</t>
  </si>
  <si>
    <t>gps_time</t>
  </si>
  <si>
    <t>gps_date</t>
  </si>
  <si>
    <t>latitude</t>
  </si>
  <si>
    <t>longitude</t>
  </si>
  <si>
    <t>altitude</t>
  </si>
  <si>
    <t>gps_sats</t>
  </si>
  <si>
    <t>gps_HDOP</t>
  </si>
  <si>
    <t>match_time</t>
  </si>
  <si>
    <t>match_date</t>
  </si>
  <si>
    <t>rh_adj</t>
  </si>
  <si>
    <t>type</t>
  </si>
  <si>
    <t>gsw1sec</t>
  </si>
  <si>
    <t>gsw2sec</t>
  </si>
  <si>
    <t>gsw4sec</t>
  </si>
  <si>
    <t>flr1sec</t>
  </si>
  <si>
    <t>flr2sec</t>
  </si>
  <si>
    <t>flr4sec</t>
  </si>
  <si>
    <t>auto</t>
  </si>
  <si>
    <t>flow_set</t>
  </si>
  <si>
    <t>gsw_limit</t>
  </si>
  <si>
    <t>gsw_period</t>
  </si>
  <si>
    <t>aw</t>
  </si>
  <si>
    <t>Bla</t>
  </si>
  <si>
    <t>Blb</t>
  </si>
  <si>
    <t>Blc</t>
  </si>
  <si>
    <t>Bld</t>
  </si>
  <si>
    <t>Ble</t>
  </si>
  <si>
    <t>chamber</t>
  </si>
  <si>
    <t>dark</t>
  </si>
  <si>
    <t>flash_type</t>
  </si>
  <si>
    <t>flash_intensity</t>
  </si>
  <si>
    <t>modrate</t>
  </si>
  <si>
    <t>flr_limit</t>
  </si>
  <si>
    <t>flr_period</t>
  </si>
  <si>
    <t>P1_dur</t>
  </si>
  <si>
    <t>P2_dur</t>
  </si>
  <si>
    <t>P3_dur</t>
  </si>
  <si>
    <t>P1_Fmax</t>
  </si>
  <si>
    <t>P2_ramp</t>
  </si>
  <si>
    <t>P2_slp</t>
  </si>
  <si>
    <t>P3_Fmax</t>
  </si>
  <si>
    <t>P3_Pred</t>
  </si>
  <si>
    <t>P3_DeltaF</t>
  </si>
  <si>
    <t>v_humA</t>
  </si>
  <si>
    <t>v_humB</t>
  </si>
  <si>
    <t>v_flowIn</t>
  </si>
  <si>
    <t>v_flowOut</t>
  </si>
  <si>
    <t>v_temp</t>
  </si>
  <si>
    <t>v_irt</t>
  </si>
  <si>
    <t>v_pres</t>
  </si>
  <si>
    <t>v_par</t>
  </si>
  <si>
    <t>v_F</t>
  </si>
  <si>
    <t>i_LED</t>
  </si>
  <si>
    <t>b_rhr</t>
  </si>
  <si>
    <t>m_rhr</t>
  </si>
  <si>
    <t>span_rhr</t>
  </si>
  <si>
    <t>b_rhs</t>
  </si>
  <si>
    <t>m_rhs</t>
  </si>
  <si>
    <t>span_rhs</t>
  </si>
  <si>
    <t>z_flowIn</t>
  </si>
  <si>
    <t>z_flowOut</t>
  </si>
  <si>
    <t>z_quantum</t>
  </si>
  <si>
    <t>z_flr</t>
  </si>
  <si>
    <t>flashId</t>
  </si>
  <si>
    <t>lciSerNum</t>
  </si>
  <si>
    <t>lcpSerNum</t>
  </si>
  <si>
    <t>lcfSerNum</t>
  </si>
  <si>
    <t>lcrhSerNum</t>
  </si>
  <si>
    <t>version</t>
  </si>
  <si>
    <t>configUpdatedAt</t>
  </si>
  <si>
    <t/>
  </si>
  <si>
    <t>HHMMSS</t>
  </si>
  <si>
    <t>YYYYMMDD</t>
  </si>
  <si>
    <t>mol+1m-2s-1</t>
  </si>
  <si>
    <t>mmol+1m-2s-1</t>
  </si>
  <si>
    <t>kPa</t>
  </si>
  <si>
    <t>mmol+1mol-1</t>
  </si>
  <si>
    <t>cm+2</t>
  </si>
  <si>
    <t>mm</t>
  </si>
  <si>
    <t>umol+1m-2s-1</t>
  </si>
  <si>
    <t>%</t>
  </si>
  <si>
    <t>C</t>
  </si>
  <si>
    <t>umol+1sec-1</t>
  </si>
  <si>
    <t>V</t>
  </si>
  <si>
    <t>degrees</t>
  </si>
  <si>
    <t>m</t>
  </si>
  <si>
    <t>(umol+1m-2s-1)s-1</t>
  </si>
  <si>
    <t>s</t>
  </si>
  <si>
    <t>Hz</t>
  </si>
  <si>
    <t>s-1</t>
  </si>
  <si>
    <t>ms</t>
  </si>
  <si>
    <t>A</t>
  </si>
  <si>
    <t>1</t>
  </si>
  <si>
    <t>09:31:46</t>
  </si>
  <si>
    <t>2026-10-15</t>
  </si>
  <si>
    <t>lightfluoromete</t>
  </si>
  <si>
    <t>yun</t>
  </si>
  <si>
    <t>001</t>
  </si>
  <si>
    <t>1.157221</t>
  </si>
  <si>
    <t>1.006817</t>
  </si>
  <si>
    <t>9.877820</t>
  </si>
  <si>
    <t>11.353427</t>
  </si>
  <si>
    <t>7.500000</t>
  </si>
  <si>
    <t>PSF-01106_20261015093146_e2d</t>
  </si>
  <si>
    <t>0.000000</t>
  </si>
  <si>
    <t>180.773376</t>
  </si>
  <si>
    <t>408.298004</t>
  </si>
  <si>
    <t>0.557251</t>
  </si>
  <si>
    <t>0.5</t>
  </si>
  <si>
    <t>0.84</t>
  </si>
  <si>
    <t>1.000000</t>
  </si>
  <si>
    <t>38.79</t>
  </si>
  <si>
    <t>33.75</t>
  </si>
  <si>
    <t>23.93</t>
  </si>
  <si>
    <t>23.10</t>
  </si>
  <si>
    <t>101.93</t>
  </si>
  <si>
    <t>156.2</t>
  </si>
  <si>
    <t>152.7</t>
  </si>
  <si>
    <t>2.2</t>
  </si>
  <si>
    <t>655</t>
  </si>
  <si>
    <t>3.997</t>
  </si>
  <si>
    <t>-26</t>
  </si>
  <si>
    <t>-23</t>
  </si>
  <si>
    <t>171</t>
  </si>
  <si>
    <t>34.17</t>
  </si>
  <si>
    <t>-53.08</t>
  </si>
  <si>
    <t>00:00:00</t>
  </si>
  <si>
    <t>0000-00-00</t>
  </si>
  <si>
    <t>nan</t>
  </si>
  <si>
    <t>0</t>
  </si>
  <si>
    <t>09:31:18</t>
  </si>
  <si>
    <t>-0.48</t>
  </si>
  <si>
    <t>0.001</t>
  </si>
  <si>
    <t>-0.000</t>
  </si>
  <si>
    <t>0.070</t>
  </si>
  <si>
    <t>0.394</t>
  </si>
  <si>
    <t>1.250</t>
  </si>
  <si>
    <t>150</t>
  </si>
  <si>
    <t>2.000000</t>
  </si>
  <si>
    <t>0.058905</t>
  </si>
  <si>
    <t>0.029230</t>
  </si>
  <si>
    <t>-0.000068</t>
  </si>
  <si>
    <t>standard</t>
  </si>
  <si>
    <t>rectangular</t>
  </si>
  <si>
    <t>6000</t>
  </si>
  <si>
    <t>500</t>
  </si>
  <si>
    <t>55537</t>
  </si>
  <si>
    <t>-9999</t>
  </si>
  <si>
    <t>2.481334</t>
  </si>
  <si>
    <t>2.429249</t>
  </si>
  <si>
    <t>1.671745</t>
  </si>
  <si>
    <t>0.935647</t>
  </si>
  <si>
    <t>0.284597</t>
  </si>
  <si>
    <t>-0.008665</t>
  </si>
  <si>
    <t>0.093002</t>
  </si>
  <si>
    <t>0.678497</t>
  </si>
  <si>
    <t>0.000330</t>
  </si>
  <si>
    <t>2.422871</t>
  </si>
  <si>
    <t>-0.000027</t>
  </si>
  <si>
    <t>2.366660</t>
  </si>
  <si>
    <t>-0.000011</t>
  </si>
  <si>
    <t>0.600352</t>
  </si>
  <si>
    <t>0.601307</t>
  </si>
  <si>
    <t>0.107059</t>
  </si>
  <si>
    <t>PFA-01006</t>
  </si>
  <si>
    <t>PSA-01011</t>
  </si>
  <si>
    <t>PSF-01106</t>
  </si>
  <si>
    <t>RHS-01988</t>
  </si>
  <si>
    <t>3.0.0</t>
  </si>
  <si>
    <t>2026-02-03T01:17:36.552Z</t>
  </si>
  <si>
    <t>2</t>
  </si>
  <si>
    <t>09:32:25</t>
  </si>
  <si>
    <t>002</t>
  </si>
  <si>
    <t>1.112634</t>
  </si>
  <si>
    <t>1.001918</t>
  </si>
  <si>
    <t>9.828628</t>
  </si>
  <si>
    <t>10.914728</t>
  </si>
  <si>
    <t>PSF-01106_20261015093225_a6f</t>
  </si>
  <si>
    <t>153.175949</t>
  </si>
  <si>
    <t>346.328247</t>
  </si>
  <si>
    <t>0.557715</t>
  </si>
  <si>
    <t>37.26</t>
  </si>
  <si>
    <t>33.55</t>
  </si>
  <si>
    <t>23.95</t>
  </si>
  <si>
    <t>23.03</t>
  </si>
  <si>
    <t>101.94</t>
  </si>
  <si>
    <t>155.9</t>
  </si>
  <si>
    <t>155.8</t>
  </si>
  <si>
    <t>0.0</t>
  </si>
  <si>
    <t>781</t>
  </si>
  <si>
    <t>3.995</t>
  </si>
  <si>
    <t>-20</t>
  </si>
  <si>
    <t>227</t>
  </si>
  <si>
    <t>46.21</t>
  </si>
  <si>
    <t>69.20</t>
  </si>
  <si>
    <t>30.12</t>
  </si>
  <si>
    <t>4.03</t>
  </si>
  <si>
    <t>-8.44</t>
  </si>
  <si>
    <t>129.62</t>
  </si>
  <si>
    <t>59.37</t>
  </si>
  <si>
    <t>00:29:50</t>
  </si>
  <si>
    <t>35.850544</t>
  </si>
  <si>
    <t>127.130486</t>
  </si>
  <si>
    <t>26.799999</t>
  </si>
  <si>
    <t>6</t>
  </si>
  <si>
    <t>1.370000</t>
  </si>
  <si>
    <t>0.004</t>
  </si>
  <si>
    <t>-0.773</t>
  </si>
  <si>
    <t>-0.316</t>
  </si>
  <si>
    <t>0.414</t>
  </si>
  <si>
    <t>2.481022</t>
  </si>
  <si>
    <t>2.427154</t>
  </si>
  <si>
    <t>1.668879</t>
  </si>
  <si>
    <t>0.943539</t>
  </si>
  <si>
    <t>0.284377</t>
  </si>
  <si>
    <t>-0.009621</t>
  </si>
  <si>
    <t>0.100004</t>
  </si>
  <si>
    <t>0.787843</t>
  </si>
  <si>
    <t>0.000334</t>
  </si>
  <si>
    <t>3</t>
  </si>
  <si>
    <t>09:33:09</t>
  </si>
  <si>
    <t>003</t>
  </si>
  <si>
    <t>1.192738</t>
  </si>
  <si>
    <t>1.005282</t>
  </si>
  <si>
    <t>9.861069</t>
  </si>
  <si>
    <t>11.699877</t>
  </si>
  <si>
    <t>PSF-01106_20261015093309_0f0</t>
  </si>
  <si>
    <t>184.705856</t>
  </si>
  <si>
    <t>343.484772</t>
  </si>
  <si>
    <t>0.462259</t>
  </si>
  <si>
    <t>39.93</t>
  </si>
  <si>
    <t>33.65</t>
  </si>
  <si>
    <t>23.96</t>
  </si>
  <si>
    <t>23.32</t>
  </si>
  <si>
    <t>156.0</t>
  </si>
  <si>
    <t>152.4</t>
  </si>
  <si>
    <t>2.3</t>
  </si>
  <si>
    <t>821</t>
  </si>
  <si>
    <t>3.993</t>
  </si>
  <si>
    <t>-48</t>
  </si>
  <si>
    <t>128</t>
  </si>
  <si>
    <t>11.31</t>
  </si>
  <si>
    <t>98.06</t>
  </si>
  <si>
    <t>48.00</t>
  </si>
  <si>
    <t>-52.00</t>
  </si>
  <si>
    <t>129.84</t>
  </si>
  <si>
    <t>59.22</t>
  </si>
  <si>
    <t>00:30:34</t>
  </si>
  <si>
    <t>35.850494</t>
  </si>
  <si>
    <t>127.130417</t>
  </si>
  <si>
    <t>20.299999</t>
  </si>
  <si>
    <t>8</t>
  </si>
  <si>
    <t>1.160000</t>
  </si>
  <si>
    <t>0.000</t>
  </si>
  <si>
    <t>0.005</t>
  </si>
  <si>
    <t>-0.050</t>
  </si>
  <si>
    <t>-0.205</t>
  </si>
  <si>
    <t>-0.505</t>
  </si>
  <si>
    <t>2.481177</t>
  </si>
  <si>
    <t>2.430776</t>
  </si>
  <si>
    <t>1.669974</t>
  </si>
  <si>
    <t>0.934754</t>
  </si>
  <si>
    <t>0.284320</t>
  </si>
  <si>
    <t>-0.006400</t>
  </si>
  <si>
    <t>0.107522</t>
  </si>
  <si>
    <t>0.823017</t>
  </si>
  <si>
    <t>4</t>
  </si>
  <si>
    <t>09:34:14</t>
  </si>
  <si>
    <t>004</t>
  </si>
  <si>
    <t>1.139670</t>
  </si>
  <si>
    <t>1.042396</t>
  </si>
  <si>
    <t>10.225454</t>
  </si>
  <si>
    <t>11.179673</t>
  </si>
  <si>
    <t>PSF-01106_20261015093414_465</t>
  </si>
  <si>
    <t>149.804230</t>
  </si>
  <si>
    <t>462.687500</t>
  </si>
  <si>
    <t>0.676230</t>
  </si>
  <si>
    <t>38.08</t>
  </si>
  <si>
    <t>34.83</t>
  </si>
  <si>
    <t>23.99</t>
  </si>
  <si>
    <t>22.68</t>
  </si>
  <si>
    <t>155.4</t>
  </si>
  <si>
    <t>0.4</t>
  </si>
  <si>
    <t>563</t>
  </si>
  <si>
    <t>3.991</t>
  </si>
  <si>
    <t>-28</t>
  </si>
  <si>
    <t>28</t>
  </si>
  <si>
    <t>64.70</t>
  </si>
  <si>
    <t>42.73</t>
  </si>
  <si>
    <t>28.26</t>
  </si>
  <si>
    <t>-143.53</t>
  </si>
  <si>
    <t>130.07</t>
  </si>
  <si>
    <t>59.06</t>
  </si>
  <si>
    <t>00:31:39</t>
  </si>
  <si>
    <t>35.850525</t>
  </si>
  <si>
    <t>127.130440</t>
  </si>
  <si>
    <t>25.500000</t>
  </si>
  <si>
    <t>1.310000</t>
  </si>
  <si>
    <t>0.002</t>
  </si>
  <si>
    <t>-0.116</t>
  </si>
  <si>
    <t>-0.286</t>
  </si>
  <si>
    <t>-0.632</t>
  </si>
  <si>
    <t>2.482953</t>
  </si>
  <si>
    <t>2.428266</t>
  </si>
  <si>
    <t>1.670104</t>
  </si>
  <si>
    <t>0.942410</t>
  </si>
  <si>
    <t>0.283957</t>
  </si>
  <si>
    <t>-0.014145</t>
  </si>
  <si>
    <t>0.118062</t>
  </si>
  <si>
    <t>0.598390</t>
  </si>
  <si>
    <t>0.000335</t>
  </si>
  <si>
    <t>5</t>
  </si>
  <si>
    <t>09:34:44</t>
  </si>
  <si>
    <t>005</t>
  </si>
  <si>
    <t>1.165757</t>
  </si>
  <si>
    <t>1.018259</t>
  </si>
  <si>
    <t>9.988168</t>
  </si>
  <si>
    <t>11.434986</t>
  </si>
  <si>
    <t>PSF-01106_20261015093444_7e0</t>
  </si>
  <si>
    <t>160.436874</t>
  </si>
  <si>
    <t>414.058319</t>
  </si>
  <si>
    <t>0.612526</t>
  </si>
  <si>
    <t>38.90</t>
  </si>
  <si>
    <t>33.98</t>
  </si>
  <si>
    <t>24.01</t>
  </si>
  <si>
    <t>22.56</t>
  </si>
  <si>
    <t>101.95</t>
  </si>
  <si>
    <t>154.7</t>
  </si>
  <si>
    <t>0.8</t>
  </si>
  <si>
    <t>599</t>
  </si>
  <si>
    <t>3.990</t>
  </si>
  <si>
    <t>-25</t>
  </si>
  <si>
    <t>-1</t>
  </si>
  <si>
    <t>34</t>
  </si>
  <si>
    <t>65.58</t>
  </si>
  <si>
    <t>41.34</t>
  </si>
  <si>
    <t>25.02</t>
  </si>
  <si>
    <t>-148.37</t>
  </si>
  <si>
    <t>130.29</t>
  </si>
  <si>
    <t>58.91</t>
  </si>
  <si>
    <t>00:32:06</t>
  </si>
  <si>
    <t>35.850540</t>
  </si>
  <si>
    <t>127.130478</t>
  </si>
  <si>
    <t>25.700001</t>
  </si>
  <si>
    <t>7</t>
  </si>
  <si>
    <t>1.240000</t>
  </si>
  <si>
    <t>-0.580</t>
  </si>
  <si>
    <t>-0.065</t>
  </si>
  <si>
    <t>-1.445</t>
  </si>
  <si>
    <t>2.481666</t>
  </si>
  <si>
    <t>2.429381</t>
  </si>
  <si>
    <t>1.669988</t>
  </si>
  <si>
    <t>0.940809</t>
  </si>
  <si>
    <t>0.283726</t>
  </si>
  <si>
    <t>-0.015680</t>
  </si>
  <si>
    <t>0.122755</t>
  </si>
  <si>
    <t>0.629501</t>
  </si>
  <si>
    <t>09:35:04</t>
  </si>
  <si>
    <t>006</t>
  </si>
  <si>
    <t>1.160691</t>
  </si>
  <si>
    <t>1.055728</t>
  </si>
  <si>
    <t>10.355373</t>
  </si>
  <si>
    <t>11.384933</t>
  </si>
  <si>
    <t>PSF-01106_20261015093504_355</t>
  </si>
  <si>
    <t>132.317307</t>
  </si>
  <si>
    <t>468.231812</t>
  </si>
  <si>
    <t>0.717411</t>
  </si>
  <si>
    <t>38.72</t>
  </si>
  <si>
    <t>35.22</t>
  </si>
  <si>
    <t>21.59</t>
  </si>
  <si>
    <t>153.1</t>
  </si>
  <si>
    <t>1.7</t>
  </si>
  <si>
    <t>216</t>
  </si>
  <si>
    <t>-45</t>
  </si>
  <si>
    <t>-21</t>
  </si>
  <si>
    <t>24</t>
  </si>
  <si>
    <t>96.45</t>
  </si>
  <si>
    <t>48.69</t>
  </si>
  <si>
    <t>175.50</t>
  </si>
  <si>
    <t>00:32:29</t>
  </si>
  <si>
    <t>35.850498</t>
  </si>
  <si>
    <t>25.200001</t>
  </si>
  <si>
    <t>9</t>
  </si>
  <si>
    <t>0.970000</t>
  </si>
  <si>
    <t>0.003</t>
  </si>
  <si>
    <t>-0.291</t>
  </si>
  <si>
    <t>-0.514</t>
  </si>
  <si>
    <t>0.265</t>
  </si>
  <si>
    <t>2.483543</t>
  </si>
  <si>
    <t>2.429139</t>
  </si>
  <si>
    <t>1.668286</t>
  </si>
  <si>
    <t>0.936556</t>
  </si>
  <si>
    <t>0.283680</t>
  </si>
  <si>
    <t>-0.026777</t>
  </si>
  <si>
    <t>0.125796</t>
  </si>
  <si>
    <t>0.295843</t>
  </si>
  <si>
    <t>09:35:25</t>
  </si>
  <si>
    <t>007</t>
  </si>
  <si>
    <t>1.159844</t>
  </si>
  <si>
    <t>1.075912</t>
  </si>
  <si>
    <t>10.552688</t>
  </si>
  <si>
    <t>11.375902</t>
  </si>
  <si>
    <t>PSF-01106_20261015093525_3d3</t>
  </si>
  <si>
    <t>147.524353</t>
  </si>
  <si>
    <t>499.349701</t>
  </si>
  <si>
    <t>0.704567</t>
  </si>
  <si>
    <t>38.65</t>
  </si>
  <si>
    <t>35.85</t>
  </si>
  <si>
    <t>24.03</t>
  </si>
  <si>
    <t>22.00</t>
  </si>
  <si>
    <t>101.96</t>
  </si>
  <si>
    <t>156.1</t>
  </si>
  <si>
    <t>-0.1</t>
  </si>
  <si>
    <t>410</t>
  </si>
  <si>
    <t>3.989</t>
  </si>
  <si>
    <t>-40</t>
  </si>
  <si>
    <t>-10</t>
  </si>
  <si>
    <t>42</t>
  </si>
  <si>
    <t>75.10</t>
  </si>
  <si>
    <t>25.71</t>
  </si>
  <si>
    <t>41.03</t>
  </si>
  <si>
    <t>-153.34</t>
  </si>
  <si>
    <t>00:32:50</t>
  </si>
  <si>
    <t>35.850479</t>
  </si>
  <si>
    <t>127.130447</t>
  </si>
  <si>
    <t>24.700001</t>
  </si>
  <si>
    <t>-0.001</t>
  </si>
  <si>
    <t>-0.435</t>
  </si>
  <si>
    <t>-0.718</t>
  </si>
  <si>
    <t>-1.868</t>
  </si>
  <si>
    <t>2.484494</t>
  </si>
  <si>
    <t>2.429040</t>
  </si>
  <si>
    <t>1.669821</t>
  </si>
  <si>
    <t>0.944235</t>
  </si>
  <si>
    <t>0.283473</t>
  </si>
  <si>
    <t>-0.022368</t>
  </si>
  <si>
    <t>0.128818</t>
  </si>
  <si>
    <t>0.464762</t>
  </si>
  <si>
    <t>09:36:06</t>
  </si>
  <si>
    <t>008</t>
  </si>
  <si>
    <t>1.235058</t>
  </si>
  <si>
    <t>1.084334</t>
  </si>
  <si>
    <t>10.635158</t>
  </si>
  <si>
    <t>12.113461</t>
  </si>
  <si>
    <t>PSF-01106_20261015093606_ef5</t>
  </si>
  <si>
    <t>168.978455</t>
  </si>
  <si>
    <t>546.423889</t>
  </si>
  <si>
    <t>0.690756</t>
  </si>
  <si>
    <t>41.01</t>
  </si>
  <si>
    <t>36.00</t>
  </si>
  <si>
    <t>24.09</t>
  </si>
  <si>
    <t>21.93</t>
  </si>
  <si>
    <t>154.9</t>
  </si>
  <si>
    <t>0.6</t>
  </si>
  <si>
    <t>183</t>
  </si>
  <si>
    <t>-33</t>
  </si>
  <si>
    <t>-37</t>
  </si>
  <si>
    <t>43</t>
  </si>
  <si>
    <t>98.66</t>
  </si>
  <si>
    <t>47.95</t>
  </si>
  <si>
    <t>168.86</t>
  </si>
  <si>
    <t>130.52</t>
  </si>
  <si>
    <t>58.75</t>
  </si>
  <si>
    <t>00:33:30</t>
  </si>
  <si>
    <t>35.850468</t>
  </si>
  <si>
    <t>127.130394</t>
  </si>
  <si>
    <t>24.900000</t>
  </si>
  <si>
    <t>10</t>
  </si>
  <si>
    <t>0.890000</t>
  </si>
  <si>
    <t>0.176</t>
  </si>
  <si>
    <t>0.491</t>
  </si>
  <si>
    <t>-1.669</t>
  </si>
  <si>
    <t>2.484709</t>
  </si>
  <si>
    <t>2.432209</t>
  </si>
  <si>
    <t>1.668983</t>
  </si>
  <si>
    <t>0.941264</t>
  </si>
  <si>
    <t>0.282787</t>
  </si>
  <si>
    <t>-0.023824</t>
  </si>
  <si>
    <t>0.134752</t>
  </si>
  <si>
    <t>0.266378</t>
  </si>
  <si>
    <t>0.000332</t>
  </si>
  <si>
    <t>09:36:41</t>
  </si>
  <si>
    <t>009</t>
  </si>
  <si>
    <t>1.208613</t>
  </si>
  <si>
    <t>1.048695</t>
  </si>
  <si>
    <t>10.286137</t>
  </si>
  <si>
    <t>11.854696</t>
  </si>
  <si>
    <t>PSF-01106_20261015093641_e6c</t>
  </si>
  <si>
    <t>213.503128</t>
  </si>
  <si>
    <t>422.984009</t>
  </si>
  <si>
    <t>0.495245</t>
  </si>
  <si>
    <t>39.99</t>
  </si>
  <si>
    <t>34.70</t>
  </si>
  <si>
    <t>24.15</t>
  </si>
  <si>
    <t>23.49</t>
  </si>
  <si>
    <t>153.6</t>
  </si>
  <si>
    <t>1.5</t>
  </si>
  <si>
    <t>663</t>
  </si>
  <si>
    <t>3.962</t>
  </si>
  <si>
    <t>-43</t>
  </si>
  <si>
    <t>-52</t>
  </si>
  <si>
    <t>151</t>
  </si>
  <si>
    <t>36.52</t>
  </si>
  <si>
    <t>80.37</t>
  </si>
  <si>
    <t>63.24</t>
  </si>
  <si>
    <t>-90.95</t>
  </si>
  <si>
    <t>130.75</t>
  </si>
  <si>
    <t>58.60</t>
  </si>
  <si>
    <t>00:34:06</t>
  </si>
  <si>
    <t>35.850471</t>
  </si>
  <si>
    <t>127.130409</t>
  </si>
  <si>
    <t>0.011</t>
  </si>
  <si>
    <t>0.214</t>
  </si>
  <si>
    <t>-1.838</t>
  </si>
  <si>
    <t>2.482738</t>
  </si>
  <si>
    <t>2.430835</t>
  </si>
  <si>
    <t>1.669310</t>
  </si>
  <si>
    <t>0.937950</t>
  </si>
  <si>
    <t>0.282140</t>
  </si>
  <si>
    <t>-0.006642</t>
  </si>
  <si>
    <t>0.139869</t>
  </si>
  <si>
    <t>0.685049</t>
  </si>
  <si>
    <t>0.000325</t>
  </si>
  <si>
    <t>09:37:00</t>
  </si>
  <si>
    <t>010</t>
  </si>
  <si>
    <t>1.257470</t>
  </si>
  <si>
    <t>1.085398</t>
  </si>
  <si>
    <t>10.645928</t>
  </si>
  <si>
    <t>12.333673</t>
  </si>
  <si>
    <t>PSF-01106_20261015093700_8f8</t>
  </si>
  <si>
    <t>149.729843</t>
  </si>
  <si>
    <t>234.484436</t>
  </si>
  <si>
    <t>0.361451</t>
  </si>
  <si>
    <t>41.51</t>
  </si>
  <si>
    <t>35.83</t>
  </si>
  <si>
    <t>24.19</t>
  </si>
  <si>
    <t>24.42</t>
  </si>
  <si>
    <t>0.7</t>
  </si>
  <si>
    <t>1220</t>
  </si>
  <si>
    <t>3.987</t>
  </si>
  <si>
    <t>-30</t>
  </si>
  <si>
    <t>50</t>
  </si>
  <si>
    <t>17.41</t>
  </si>
  <si>
    <t>95.42</t>
  </si>
  <si>
    <t>56.17</t>
  </si>
  <si>
    <t>-69.76</t>
  </si>
  <si>
    <t>00:34:25</t>
  </si>
  <si>
    <t>0.930000</t>
  </si>
  <si>
    <t>0.006</t>
  </si>
  <si>
    <t>-0.371</t>
  </si>
  <si>
    <t>-0.522</t>
  </si>
  <si>
    <t>0.315</t>
  </si>
  <si>
    <t>2.484437</t>
  </si>
  <si>
    <t>2.432871</t>
  </si>
  <si>
    <t>1.670683</t>
  </si>
  <si>
    <t>0.941268</t>
  </si>
  <si>
    <t>0.281707</t>
  </si>
  <si>
    <t>0.003724</t>
  </si>
  <si>
    <t>0.142576</t>
  </si>
  <si>
    <t>1.171180</t>
  </si>
  <si>
    <t>0.000328</t>
  </si>
  <si>
    <t>11</t>
  </si>
  <si>
    <t>09:37:28</t>
  </si>
  <si>
    <t>011</t>
  </si>
  <si>
    <t>1.240784</t>
  </si>
  <si>
    <t>1.060632</t>
  </si>
  <si>
    <t>10.402818</t>
  </si>
  <si>
    <t>12.169771</t>
  </si>
  <si>
    <t>PSF-01106_20261015093728_88b</t>
  </si>
  <si>
    <t>165.678986</t>
  </si>
  <si>
    <t>309.367767</t>
  </si>
  <si>
    <t>0.464459</t>
  </si>
  <si>
    <t>40.86</t>
  </si>
  <si>
    <t>34.93</t>
  </si>
  <si>
    <t>24.23</t>
  </si>
  <si>
    <t>23.37</t>
  </si>
  <si>
    <t>154.1</t>
  </si>
  <si>
    <t>1.2</t>
  </si>
  <si>
    <t>952</t>
  </si>
  <si>
    <t>-39</t>
  </si>
  <si>
    <t>41</t>
  </si>
  <si>
    <t>46</t>
  </si>
  <si>
    <t>25.80</t>
  </si>
  <si>
    <t>90.03</t>
  </si>
  <si>
    <t>54.09</t>
  </si>
  <si>
    <t>-79.90</t>
  </si>
  <si>
    <t>00:34:53</t>
  </si>
  <si>
    <t>127.130424</t>
  </si>
  <si>
    <t>0.880000</t>
  </si>
  <si>
    <t>-0.570</t>
  </si>
  <si>
    <t>-0.600</t>
  </si>
  <si>
    <t>-1.355</t>
  </si>
  <si>
    <t>2.483070</t>
  </si>
  <si>
    <t>2.431990</t>
  </si>
  <si>
    <t>1.670528</t>
  </si>
  <si>
    <t>0.939181</t>
  </si>
  <si>
    <t>0.281245</t>
  </si>
  <si>
    <t>-0.008937</t>
  </si>
  <si>
    <t>0.146482</t>
  </si>
  <si>
    <t>0.937471</t>
  </si>
  <si>
    <t>0.000333</t>
  </si>
  <si>
    <t>12</t>
  </si>
  <si>
    <t>09:38:03</t>
  </si>
  <si>
    <t>012</t>
  </si>
  <si>
    <t>1.226788</t>
  </si>
  <si>
    <t>1.053093</t>
  </si>
  <si>
    <t>10.328369</t>
  </si>
  <si>
    <t>12.031903</t>
  </si>
  <si>
    <t>PSF-01106_20261015093803_3ae</t>
  </si>
  <si>
    <t>185.396072</t>
  </si>
  <si>
    <t>350.832947</t>
  </si>
  <si>
    <t>0.471555</t>
  </si>
  <si>
    <t>40.29</t>
  </si>
  <si>
    <t>34.59</t>
  </si>
  <si>
    <t>24.27</t>
  </si>
  <si>
    <t>23.27</t>
  </si>
  <si>
    <t>153.2</t>
  </si>
  <si>
    <t>1.9</t>
  </si>
  <si>
    <t>1249</t>
  </si>
  <si>
    <t>3.985</t>
  </si>
  <si>
    <t>-46</t>
  </si>
  <si>
    <t>83</t>
  </si>
  <si>
    <t>15.32</t>
  </si>
  <si>
    <t>96.44</t>
  </si>
  <si>
    <t>50.61</t>
  </si>
  <si>
    <t>-65.24</t>
  </si>
  <si>
    <t>130.97</t>
  </si>
  <si>
    <t>58.45</t>
  </si>
  <si>
    <t>00:35:26</t>
  </si>
  <si>
    <t>35.850456</t>
  </si>
  <si>
    <t>0.920000</t>
  </si>
  <si>
    <t>-1.089</t>
  </si>
  <si>
    <t>-0.764</t>
  </si>
  <si>
    <t>0.071</t>
  </si>
  <si>
    <t>2.482550</t>
  </si>
  <si>
    <t>2.431220</t>
  </si>
  <si>
    <t>1.670700</t>
  </si>
  <si>
    <t>0.936783</t>
  </si>
  <si>
    <t>0.280748</t>
  </si>
  <si>
    <t>-0.010644</t>
  </si>
  <si>
    <t>0.151234</t>
  </si>
  <si>
    <t>1.196537</t>
  </si>
  <si>
    <t>13</t>
  </si>
  <si>
    <t>09:38:38</t>
  </si>
  <si>
    <t>013</t>
  </si>
  <si>
    <t>1.153665</t>
  </si>
  <si>
    <t>1.007995</t>
  </si>
  <si>
    <t>9.885747</t>
  </si>
  <si>
    <t>11.314380</t>
  </si>
  <si>
    <t>PSF-01106_20261015093838_753</t>
  </si>
  <si>
    <t>167.977097</t>
  </si>
  <si>
    <t>524.095764</t>
  </si>
  <si>
    <t>0.679492</t>
  </si>
  <si>
    <t>37.79</t>
  </si>
  <si>
    <t>33.02</t>
  </si>
  <si>
    <t>24.32</t>
  </si>
  <si>
    <t>22.39</t>
  </si>
  <si>
    <t>-0.2</t>
  </si>
  <si>
    <t>428</t>
  </si>
  <si>
    <t>3.984</t>
  </si>
  <si>
    <t>17</t>
  </si>
  <si>
    <t>72.89</t>
  </si>
  <si>
    <t>29.42</t>
  </si>
  <si>
    <t>30.02</t>
  </si>
  <si>
    <t>-161.00</t>
  </si>
  <si>
    <t>131.20</t>
  </si>
  <si>
    <t>58.29</t>
  </si>
  <si>
    <t>00:36:03</t>
  </si>
  <si>
    <t>25.400000</t>
  </si>
  <si>
    <t>0.870000</t>
  </si>
  <si>
    <t>-0.129</t>
  </si>
  <si>
    <t>0.235</t>
  </si>
  <si>
    <t>0.594</t>
  </si>
  <si>
    <t>2.480167</t>
  </si>
  <si>
    <t>2.427832</t>
  </si>
  <si>
    <t>1.669233</t>
  </si>
  <si>
    <t>0.944607</t>
  </si>
  <si>
    <t>0.280264</t>
  </si>
  <si>
    <t>-0.021188</t>
  </si>
  <si>
    <t>0.156108</t>
  </si>
  <si>
    <t>0.480659</t>
  </si>
  <si>
    <t>0.000338</t>
  </si>
  <si>
    <t>14</t>
  </si>
  <si>
    <t>09:39:08</t>
  </si>
  <si>
    <t>014</t>
  </si>
  <si>
    <t>1.194956</t>
  </si>
  <si>
    <t>1.026073</t>
  </si>
  <si>
    <t>10.063117</t>
  </si>
  <si>
    <t>11.719418</t>
  </si>
  <si>
    <t>PSF-01106_20261015093908_e66</t>
  </si>
  <si>
    <t>187.550781</t>
  </si>
  <si>
    <t>291.654114</t>
  </si>
  <si>
    <t>0.356941</t>
  </si>
  <si>
    <t>39.07</t>
  </si>
  <si>
    <t>24.35</t>
  </si>
  <si>
    <t>24.10</t>
  </si>
  <si>
    <t>1.6</t>
  </si>
  <si>
    <t>1234</t>
  </si>
  <si>
    <t>3.983</t>
  </si>
  <si>
    <t>106</t>
  </si>
  <si>
    <t>17.87</t>
  </si>
  <si>
    <t>95.18</t>
  </si>
  <si>
    <t>48.20</t>
  </si>
  <si>
    <t>-67.29</t>
  </si>
  <si>
    <t>00:36:33</t>
  </si>
  <si>
    <t>35.850475</t>
  </si>
  <si>
    <t>-0.080</t>
  </si>
  <si>
    <t>-0.380</t>
  </si>
  <si>
    <t>-1.542</t>
  </si>
  <si>
    <t>2.480960</t>
  </si>
  <si>
    <t>2.429554</t>
  </si>
  <si>
    <t>1.671696</t>
  </si>
  <si>
    <t>0.937947</t>
  </si>
  <si>
    <t>0.279886</t>
  </si>
  <si>
    <t>-0.001905</t>
  </si>
  <si>
    <t>0.160163</t>
  </si>
  <si>
    <t>1.183485</t>
  </si>
  <si>
    <t>15</t>
  </si>
  <si>
    <t>09:39:34</t>
  </si>
  <si>
    <t>015</t>
  </si>
  <si>
    <t>1.090110</t>
  </si>
  <si>
    <t>1.013247</t>
  </si>
  <si>
    <t>9.936570</t>
  </si>
  <si>
    <t>10.690340</t>
  </si>
  <si>
    <t>PSF-01106_20261015093934_f3c</t>
  </si>
  <si>
    <t>158.105133</t>
  </si>
  <si>
    <t>542.584778</t>
  </si>
  <si>
    <t>0.708607</t>
  </si>
  <si>
    <t>35.59</t>
  </si>
  <si>
    <t>33.08</t>
  </si>
  <si>
    <t>24.37</t>
  </si>
  <si>
    <t>22.11</t>
  </si>
  <si>
    <t>101.97</t>
  </si>
  <si>
    <t>155.7</t>
  </si>
  <si>
    <t>0.3</t>
  </si>
  <si>
    <t>349</t>
  </si>
  <si>
    <t>-42</t>
  </si>
  <si>
    <t>85</t>
  </si>
  <si>
    <t>63.16</t>
  </si>
  <si>
    <t>45.15</t>
  </si>
  <si>
    <t>47.66</t>
  </si>
  <si>
    <t>-129.87</t>
  </si>
  <si>
    <t>00:36:59</t>
  </si>
  <si>
    <t>-0.592</t>
  </si>
  <si>
    <t>-0.747</t>
  </si>
  <si>
    <t>-0.825</t>
  </si>
  <si>
    <t>2.480253</t>
  </si>
  <si>
    <t>2.424813</t>
  </si>
  <si>
    <t>1.671184</t>
  </si>
  <si>
    <t>0.943241</t>
  </si>
  <si>
    <t>0.279643</t>
  </si>
  <si>
    <t>-0.025056</t>
  </si>
  <si>
    <t>0.163764</t>
  </si>
  <si>
    <t>0.411614</t>
  </si>
  <si>
    <t>0.000344</t>
  </si>
  <si>
    <t>16</t>
  </si>
  <si>
    <t>09:40:06</t>
  </si>
  <si>
    <t>016</t>
  </si>
  <si>
    <t>1.214257</t>
  </si>
  <si>
    <t>1.057890</t>
  </si>
  <si>
    <t>10.374883</t>
  </si>
  <si>
    <t>11.908392</t>
  </si>
  <si>
    <t>PSF-01106_20261015094006_27c</t>
  </si>
  <si>
    <t>166.966797</t>
  </si>
  <si>
    <t>282.333618</t>
  </si>
  <si>
    <t>0.408619</t>
  </si>
  <si>
    <t>39.57</t>
  </si>
  <si>
    <t>34.48</t>
  </si>
  <si>
    <t>24.40</t>
  </si>
  <si>
    <t>23.84</t>
  </si>
  <si>
    <t>153.7</t>
  </si>
  <si>
    <t>1.4</t>
  </si>
  <si>
    <t>1036</t>
  </si>
  <si>
    <t>3.981</t>
  </si>
  <si>
    <t>-53</t>
  </si>
  <si>
    <t>66</t>
  </si>
  <si>
    <t>30.46</t>
  </si>
  <si>
    <t>86.20</t>
  </si>
  <si>
    <t>56.65</t>
  </si>
  <si>
    <t>-84.86</t>
  </si>
  <si>
    <t>131.43</t>
  </si>
  <si>
    <t>58.14</t>
  </si>
  <si>
    <t>00:37:31</t>
  </si>
  <si>
    <t>35.850464</t>
  </si>
  <si>
    <t>-0.164</t>
  </si>
  <si>
    <t>-0.909</t>
  </si>
  <si>
    <t>-1.616</t>
  </si>
  <si>
    <t>2.482364</t>
  </si>
  <si>
    <t>2.430231</t>
  </si>
  <si>
    <t>1.669456</t>
  </si>
  <si>
    <t>0.938075</t>
  </si>
  <si>
    <t>0.279303</t>
  </si>
  <si>
    <t>-0.005507</t>
  </si>
  <si>
    <t>0.168041</t>
  </si>
  <si>
    <t>1.010188</t>
  </si>
  <si>
    <t>09:40:27</t>
  </si>
  <si>
    <t>017</t>
  </si>
  <si>
    <t>1.161632</t>
  </si>
  <si>
    <t>1.040313</t>
  </si>
  <si>
    <t>10.202500</t>
  </si>
  <si>
    <t>11.392293</t>
  </si>
  <si>
    <t>PSF-01106_20261015094027_dbc</t>
  </si>
  <si>
    <t>170.298096</t>
  </si>
  <si>
    <t>334.276917</t>
  </si>
  <si>
    <t>0.490548</t>
  </si>
  <si>
    <t>33.84</t>
  </si>
  <si>
    <t>24.43</t>
  </si>
  <si>
    <t>24.97</t>
  </si>
  <si>
    <t>0.1</t>
  </si>
  <si>
    <t>968</t>
  </si>
  <si>
    <t>-27</t>
  </si>
  <si>
    <t>23</t>
  </si>
  <si>
    <t>78</t>
  </si>
  <si>
    <t>91.09</t>
  </si>
  <si>
    <t>34.90</t>
  </si>
  <si>
    <t>-58.92</t>
  </si>
  <si>
    <t>00:37:51</t>
  </si>
  <si>
    <t>127.130432</t>
  </si>
  <si>
    <t>25.900000</t>
  </si>
  <si>
    <t>-0.094</t>
  </si>
  <si>
    <t>0.033</t>
  </si>
  <si>
    <t>2.329</t>
  </si>
  <si>
    <t>2.481400</t>
  </si>
  <si>
    <t>2.427810</t>
  </si>
  <si>
    <t>1.670406</t>
  </si>
  <si>
    <t>0.943564</t>
  </si>
  <si>
    <t>0.278967</t>
  </si>
  <si>
    <t>0.007227</t>
  </si>
  <si>
    <t>0.170686</t>
  </si>
  <si>
    <t>0.951087</t>
  </si>
  <si>
    <t>18</t>
  </si>
  <si>
    <t>09:41:01</t>
  </si>
  <si>
    <t>018</t>
  </si>
  <si>
    <t>1.207582</t>
  </si>
  <si>
    <t>1.035621</t>
  </si>
  <si>
    <t>10.156183</t>
  </si>
  <si>
    <t>11.842586</t>
  </si>
  <si>
    <t>PSF-01106_20261015094101_ffd</t>
  </si>
  <si>
    <t>179.290298</t>
  </si>
  <si>
    <t>425.005676</t>
  </si>
  <si>
    <t>0.578146</t>
  </si>
  <si>
    <t>39.23</t>
  </si>
  <si>
    <t>24.46</t>
  </si>
  <si>
    <t>22.65</t>
  </si>
  <si>
    <t>151.6</t>
  </si>
  <si>
    <t>2.9</t>
  </si>
  <si>
    <t>944</t>
  </si>
  <si>
    <t>3.979</t>
  </si>
  <si>
    <t>40</t>
  </si>
  <si>
    <t>81</t>
  </si>
  <si>
    <t>4.22</t>
  </si>
  <si>
    <t>99.73</t>
  </si>
  <si>
    <t>54.07</t>
  </si>
  <si>
    <t>-46.45</t>
  </si>
  <si>
    <t>131.66</t>
  </si>
  <si>
    <t>57.99</t>
  </si>
  <si>
    <t>00:38:25</t>
  </si>
  <si>
    <t>26.299999</t>
  </si>
  <si>
    <t>0.780000</t>
  </si>
  <si>
    <t>-0.341</t>
  </si>
  <si>
    <t>-0.678</t>
  </si>
  <si>
    <t>1.273</t>
  </si>
  <si>
    <t>2.481095</t>
  </si>
  <si>
    <t>2.429760</t>
  </si>
  <si>
    <t>1.671170</t>
  </si>
  <si>
    <t>0.932639</t>
  </si>
  <si>
    <t>0.278711</t>
  </si>
  <si>
    <t>-0.019844</t>
  </si>
  <si>
    <t>0.175163</t>
  </si>
  <si>
    <t>0.929883</t>
  </si>
  <si>
    <t>0.000342</t>
  </si>
  <si>
    <t>19</t>
  </si>
  <si>
    <t>09:41:41</t>
  </si>
  <si>
    <t>019</t>
  </si>
  <si>
    <t>1.151716</t>
  </si>
  <si>
    <t>1.035752</t>
  </si>
  <si>
    <t>10.158687</t>
  </si>
  <si>
    <t>11.296064</t>
  </si>
  <si>
    <t>PSF-01106_20261015094141_6f5</t>
  </si>
  <si>
    <t>165.037750</t>
  </si>
  <si>
    <t>392.040619</t>
  </si>
  <si>
    <t>0.579029</t>
  </si>
  <si>
    <t>37.37</t>
  </si>
  <si>
    <t>33.60</t>
  </si>
  <si>
    <t>24.48</t>
  </si>
  <si>
    <t>23.43</t>
  </si>
  <si>
    <t>154.2</t>
  </si>
  <si>
    <t>1.1</t>
  </si>
  <si>
    <t>722</t>
  </si>
  <si>
    <t>3.955</t>
  </si>
  <si>
    <t>64</t>
  </si>
  <si>
    <t>11.05</t>
  </si>
  <si>
    <t>98.14</t>
  </si>
  <si>
    <t>46.84</t>
  </si>
  <si>
    <t>-49.46</t>
  </si>
  <si>
    <t>131.89</t>
  </si>
  <si>
    <t>57.84</t>
  </si>
  <si>
    <t>00:39:06</t>
  </si>
  <si>
    <t>26.500000</t>
  </si>
  <si>
    <t>0.900000</t>
  </si>
  <si>
    <t>-0.123</t>
  </si>
  <si>
    <t>0.060</t>
  </si>
  <si>
    <t>0.855</t>
  </si>
  <si>
    <t>2.481028</t>
  </si>
  <si>
    <t>2.427224</t>
  </si>
  <si>
    <t>1.669860</t>
  </si>
  <si>
    <t>0.939435</t>
  </si>
  <si>
    <t>0.278454</t>
  </si>
  <si>
    <t>-0.011236</t>
  </si>
  <si>
    <t>0.180493</t>
  </si>
  <si>
    <t>0.736900</t>
  </si>
  <si>
    <t>20</t>
  </si>
  <si>
    <t>09:42:19</t>
  </si>
  <si>
    <t>020</t>
  </si>
  <si>
    <t>1.215478</t>
  </si>
  <si>
    <t>1.058949</t>
  </si>
  <si>
    <t>10.385750</t>
  </si>
  <si>
    <t>11.920922</t>
  </si>
  <si>
    <t>PSF-01106_20261015094219_761</t>
  </si>
  <si>
    <t>167.511826</t>
  </si>
  <si>
    <t>370.408417</t>
  </si>
  <si>
    <t>0.547765</t>
  </si>
  <si>
    <t>39.34</t>
  </si>
  <si>
    <t>34.27</t>
  </si>
  <si>
    <t>24.52</t>
  </si>
  <si>
    <t>23.30</t>
  </si>
  <si>
    <t>155.6</t>
  </si>
  <si>
    <t>0.2</t>
  </si>
  <si>
    <t>657</t>
  </si>
  <si>
    <t>3.977</t>
  </si>
  <si>
    <t>22</t>
  </si>
  <si>
    <t>74</t>
  </si>
  <si>
    <t>23.82</t>
  </si>
  <si>
    <t>91.48</t>
  </si>
  <si>
    <t>44.74</t>
  </si>
  <si>
    <t>-73.85</t>
  </si>
  <si>
    <t>00:39:44</t>
  </si>
  <si>
    <t>26.900000</t>
  </si>
  <si>
    <t>0.730000</t>
  </si>
  <si>
    <t>09:41:56</t>
  </si>
  <si>
    <t>-0.49</t>
  </si>
  <si>
    <t>-0.128</t>
  </si>
  <si>
    <t>-0.085</t>
  </si>
  <si>
    <t>-0.370</t>
  </si>
  <si>
    <t>2.482035</t>
  </si>
  <si>
    <t>2.429904</t>
  </si>
  <si>
    <t>1.669523</t>
  </si>
  <si>
    <t>0.943043</t>
  </si>
  <si>
    <t>0.278001</t>
  </si>
  <si>
    <t>-0.013142</t>
  </si>
  <si>
    <t>0.185389</t>
  </si>
  <si>
    <t>0.680437</t>
  </si>
  <si>
    <t>0.000337</t>
  </si>
  <si>
    <t>21</t>
  </si>
  <si>
    <t>09:43:10</t>
  </si>
  <si>
    <t>021</t>
  </si>
  <si>
    <t>1.253869</t>
  </si>
  <si>
    <t>1.073234</t>
  </si>
  <si>
    <t>10.525381</t>
  </si>
  <si>
    <t>12.296902</t>
  </si>
  <si>
    <t>PSF-01106_20261015094310_520</t>
  </si>
  <si>
    <t>170.937180</t>
  </si>
  <si>
    <t>337.314240</t>
  </si>
  <si>
    <t>0.493241</t>
  </si>
  <si>
    <t>40.47</t>
  </si>
  <si>
    <t>34.64</t>
  </si>
  <si>
    <t>24.57</t>
  </si>
  <si>
    <t>23.52</t>
  </si>
  <si>
    <t>581</t>
  </si>
  <si>
    <t>75</t>
  </si>
  <si>
    <t>26.23</t>
  </si>
  <si>
    <t>89.71</t>
  </si>
  <si>
    <t>43.59</t>
  </si>
  <si>
    <t>-76.82</t>
  </si>
  <si>
    <t>132.13</t>
  </si>
  <si>
    <t>57.69</t>
  </si>
  <si>
    <t>00:40:35</t>
  </si>
  <si>
    <t>27.000000</t>
  </si>
  <si>
    <t>1.462</t>
  </si>
  <si>
    <t>-0.280</t>
  </si>
  <si>
    <t>3.369</t>
  </si>
  <si>
    <t>2.482579</t>
  </si>
  <si>
    <t>2.431417</t>
  </si>
  <si>
    <t>1.669448</t>
  </si>
  <si>
    <t>0.936847</t>
  </si>
  <si>
    <t>0.277480</t>
  </si>
  <si>
    <t>-0.011191</t>
  </si>
  <si>
    <t>0.191908</t>
  </si>
  <si>
    <t>0.614161</t>
  </si>
  <si>
    <t>0.000331</t>
  </si>
  <si>
    <t>09:44:03</t>
  </si>
  <si>
    <t>022</t>
  </si>
  <si>
    <t>1.210566</t>
  </si>
  <si>
    <t>1.056308</t>
  </si>
  <si>
    <t>10.359158</t>
  </si>
  <si>
    <t>11.871962</t>
  </si>
  <si>
    <t>PSF-01106_20261015094403_f3b</t>
  </si>
  <si>
    <t>185.192581</t>
  </si>
  <si>
    <t>431.458344</t>
  </si>
  <si>
    <t>0.570775</t>
  </si>
  <si>
    <t>38.96</t>
  </si>
  <si>
    <t>34.00</t>
  </si>
  <si>
    <t>24.61</t>
  </si>
  <si>
    <t>23.11</t>
  </si>
  <si>
    <t>712</t>
  </si>
  <si>
    <t>3.974</t>
  </si>
  <si>
    <t>73</t>
  </si>
  <si>
    <t>25.87</t>
  </si>
  <si>
    <t>89.97</t>
  </si>
  <si>
    <t>55.48</t>
  </si>
  <si>
    <t>-78.69</t>
  </si>
  <si>
    <t>132.36</t>
  </si>
  <si>
    <t>57.54</t>
  </si>
  <si>
    <t>00:41:28</t>
  </si>
  <si>
    <t>28.100000</t>
  </si>
  <si>
    <t>0.690000</t>
  </si>
  <si>
    <t>-0.127</t>
  </si>
  <si>
    <t>-0.247</t>
  </si>
  <si>
    <t>-0.699</t>
  </si>
  <si>
    <t>2.481608</t>
  </si>
  <si>
    <t>2.429385</t>
  </si>
  <si>
    <t>1.669865</t>
  </si>
  <si>
    <t>0.941217</t>
  </si>
  <si>
    <t>0.276983</t>
  </si>
  <si>
    <t>-0.016477</t>
  </si>
  <si>
    <t>0.198700</t>
  </si>
  <si>
    <t>0.727937</t>
  </si>
  <si>
    <t>09:44:37</t>
  </si>
  <si>
    <t>023</t>
  </si>
  <si>
    <t>1.162273</t>
  </si>
  <si>
    <t>1.024027</t>
  </si>
  <si>
    <t>10.042488</t>
  </si>
  <si>
    <t>11.398239</t>
  </si>
  <si>
    <t>PSF-01106_20261015094437_dc2</t>
  </si>
  <si>
    <t>133.517151</t>
  </si>
  <si>
    <t>398.632751</t>
  </si>
  <si>
    <t>0.665062</t>
  </si>
  <si>
    <t>37.36</t>
  </si>
  <si>
    <t>32.92</t>
  </si>
  <si>
    <t>24.63</t>
  </si>
  <si>
    <t>405</t>
  </si>
  <si>
    <t>45</t>
  </si>
  <si>
    <t>42.71</t>
  </si>
  <si>
    <t>73.48</t>
  </si>
  <si>
    <t>51.37</t>
  </si>
  <si>
    <t>-100.15</t>
  </si>
  <si>
    <t>132.59</t>
  </si>
  <si>
    <t>57.39</t>
  </si>
  <si>
    <t>00:42:02</t>
  </si>
  <si>
    <t>127.130455</t>
  </si>
  <si>
    <t>28.200001</t>
  </si>
  <si>
    <t>-0.098</t>
  </si>
  <si>
    <t>-0.150</t>
  </si>
  <si>
    <t>-0.241</t>
  </si>
  <si>
    <t>2.479959</t>
  </si>
  <si>
    <t>2.427203</t>
  </si>
  <si>
    <t>1.669457</t>
  </si>
  <si>
    <t>0.940684</t>
  </si>
  <si>
    <t>0.276731</t>
  </si>
  <si>
    <t>-0.029334</t>
  </si>
  <si>
    <t>0.202995</t>
  </si>
  <si>
    <t>0.459884</t>
  </si>
  <si>
    <t>0.000339</t>
  </si>
  <si>
    <t>09:45:17</t>
  </si>
  <si>
    <t>024</t>
  </si>
  <si>
    <t>1.217332</t>
  </si>
  <si>
    <t>1.064556</t>
  </si>
  <si>
    <t>10.439610</t>
  </si>
  <si>
    <t>11.937817</t>
  </si>
  <si>
    <t>PSF-01106_20261015094517_de8</t>
  </si>
  <si>
    <t>185.751556</t>
  </si>
  <si>
    <t>386.666534</t>
  </si>
  <si>
    <t>0.519608</t>
  </si>
  <si>
    <t>39.05</t>
  </si>
  <si>
    <t>34.15</t>
  </si>
  <si>
    <t>24.67</t>
  </si>
  <si>
    <t>23.17</t>
  </si>
  <si>
    <t>849</t>
  </si>
  <si>
    <t>3.973</t>
  </si>
  <si>
    <t>-36</t>
  </si>
  <si>
    <t>-9</t>
  </si>
  <si>
    <t>87</t>
  </si>
  <si>
    <t>47.26</t>
  </si>
  <si>
    <t>67.87</t>
  </si>
  <si>
    <t>36.96</t>
  </si>
  <si>
    <t>-108.08</t>
  </si>
  <si>
    <t>00:42:42</t>
  </si>
  <si>
    <t>28.299999</t>
  </si>
  <si>
    <t>0.720000</t>
  </si>
  <si>
    <t>0.561</t>
  </si>
  <si>
    <t>0.333</t>
  </si>
  <si>
    <t>-2.613</t>
  </si>
  <si>
    <t>2.481832</t>
  </si>
  <si>
    <t>2.429497</t>
  </si>
  <si>
    <t>1.669070</t>
  </si>
  <si>
    <t>0.937935</t>
  </si>
  <si>
    <t>0.276374</t>
  </si>
  <si>
    <t>-0.016399</t>
  </si>
  <si>
    <t>0.207878</t>
  </si>
  <si>
    <t>0.847214</t>
  </si>
  <si>
    <t>0.000336</t>
  </si>
  <si>
    <t>25</t>
  </si>
  <si>
    <t>09:46:04</t>
  </si>
  <si>
    <t>025</t>
  </si>
  <si>
    <t>1.244218</t>
  </si>
  <si>
    <t>1.075105</t>
  </si>
  <si>
    <t>10.544228</t>
  </si>
  <si>
    <t>12.202826</t>
  </si>
  <si>
    <t>PSF-01106_20261015094604_f2d</t>
  </si>
  <si>
    <t>184.317825</t>
  </si>
  <si>
    <t>430.311798</t>
  </si>
  <si>
    <t>0.571665</t>
  </si>
  <si>
    <t>39.76</t>
  </si>
  <si>
    <t>34.35</t>
  </si>
  <si>
    <t>24.73</t>
  </si>
  <si>
    <t>22.85</t>
  </si>
  <si>
    <t>153.0</t>
  </si>
  <si>
    <t>1017</t>
  </si>
  <si>
    <t>3.972</t>
  </si>
  <si>
    <t>-35</t>
  </si>
  <si>
    <t>77</t>
  </si>
  <si>
    <t>26.59</t>
  </si>
  <si>
    <t>89.42</t>
  </si>
  <si>
    <t>38.83</t>
  </si>
  <si>
    <t>-73.47</t>
  </si>
  <si>
    <t>132.83</t>
  </si>
  <si>
    <t>57.24</t>
  </si>
  <si>
    <t>00:43:29</t>
  </si>
  <si>
    <t>35.850491</t>
  </si>
  <si>
    <t>28.400000</t>
  </si>
  <si>
    <t>0.740000</t>
  </si>
  <si>
    <t>1.345</t>
  </si>
  <si>
    <t>0.390</t>
  </si>
  <si>
    <t>1.317</t>
  </si>
  <si>
    <t>2.482123</t>
  </si>
  <si>
    <t>2.430434</t>
  </si>
  <si>
    <t>1.669302</t>
  </si>
  <si>
    <t>0.936391</t>
  </si>
  <si>
    <t>0.275631</t>
  </si>
  <si>
    <t>-0.020834</t>
  </si>
  <si>
    <t>0.213789</t>
  </si>
  <si>
    <t>0.993590</t>
  </si>
  <si>
    <t>26</t>
  </si>
  <si>
    <t>09:46:28</t>
  </si>
  <si>
    <t>026</t>
  </si>
  <si>
    <t>1.198096</t>
  </si>
  <si>
    <t>1.043392</t>
  </si>
  <si>
    <t>10.232294</t>
  </si>
  <si>
    <t>11.749442</t>
  </si>
  <si>
    <t>PSF-01106_20261015094628_84b</t>
  </si>
  <si>
    <t>181.277985</t>
  </si>
  <si>
    <t>295.242920</t>
  </si>
  <si>
    <t>0.386004</t>
  </si>
  <si>
    <t>38.18</t>
  </si>
  <si>
    <t>33.25</t>
  </si>
  <si>
    <t>24.78</t>
  </si>
  <si>
    <t>153.3</t>
  </si>
  <si>
    <t>1013</t>
  </si>
  <si>
    <t>3.970</t>
  </si>
  <si>
    <t>-41</t>
  </si>
  <si>
    <t>67</t>
  </si>
  <si>
    <t>28.90</t>
  </si>
  <si>
    <t>87.55</t>
  </si>
  <si>
    <t>45.59</t>
  </si>
  <si>
    <t>-81.37</t>
  </si>
  <si>
    <t>00:43:53</t>
  </si>
  <si>
    <t>35.850487</t>
  </si>
  <si>
    <t>0.800000</t>
  </si>
  <si>
    <t>-0.782</t>
  </si>
  <si>
    <t>-0.772</t>
  </si>
  <si>
    <t>-2.167</t>
  </si>
  <si>
    <t>2.480449</t>
  </si>
  <si>
    <t>2.428299</t>
  </si>
  <si>
    <t>1.670344</t>
  </si>
  <si>
    <t>0.937220</t>
  </si>
  <si>
    <t>0.275148</t>
  </si>
  <si>
    <t>-0.007735</t>
  </si>
  <si>
    <t>0.216679</t>
  </si>
  <si>
    <t>0.990631</t>
  </si>
  <si>
    <t>27</t>
  </si>
  <si>
    <t>09:47:03</t>
  </si>
  <si>
    <t>027</t>
  </si>
  <si>
    <t>1.196980</t>
  </si>
  <si>
    <t>1.052658</t>
  </si>
  <si>
    <t>10.324398</t>
  </si>
  <si>
    <t>11.739907</t>
  </si>
  <si>
    <t>PSF-01106_20261015094703_531</t>
  </si>
  <si>
    <t>169.230225</t>
  </si>
  <si>
    <t>317.242371</t>
  </si>
  <si>
    <t>0.466559</t>
  </si>
  <si>
    <t>37.95</t>
  </si>
  <si>
    <t>33.38</t>
  </si>
  <si>
    <t>24.86</t>
  </si>
  <si>
    <t>24.56</t>
  </si>
  <si>
    <t>155.1</t>
  </si>
  <si>
    <t>1097</t>
  </si>
  <si>
    <t>-32</t>
  </si>
  <si>
    <t>56</t>
  </si>
  <si>
    <t>22.77</t>
  </si>
  <si>
    <t>92.21</t>
  </si>
  <si>
    <t>45.33</t>
  </si>
  <si>
    <t>-72.15</t>
  </si>
  <si>
    <t>-8.45</t>
  </si>
  <si>
    <t>133.06</t>
  </si>
  <si>
    <t>57.10</t>
  </si>
  <si>
    <t>00:44:28</t>
  </si>
  <si>
    <t>28.000000</t>
  </si>
  <si>
    <t>-0.027</t>
  </si>
  <si>
    <t>0.126</t>
  </si>
  <si>
    <t>-0.278</t>
  </si>
  <si>
    <t>2.480629</t>
  </si>
  <si>
    <t>2.427978</t>
  </si>
  <si>
    <t>1.670628</t>
  </si>
  <si>
    <t>0.941670</t>
  </si>
  <si>
    <t>0.274224</t>
  </si>
  <si>
    <t>-0.002549</t>
  </si>
  <si>
    <t>0.221140</t>
  </si>
  <si>
    <t>1.063716</t>
  </si>
  <si>
    <t>09:47:48</t>
  </si>
  <si>
    <t>029</t>
  </si>
  <si>
    <t>1.194142</t>
  </si>
  <si>
    <t>1.030664</t>
  </si>
  <si>
    <t>10.108312</t>
  </si>
  <si>
    <t>11.711641</t>
  </si>
  <si>
    <t>PSF-01106_20261015094748_d65</t>
  </si>
  <si>
    <t>178.005692</t>
  </si>
  <si>
    <t>424.644104</t>
  </si>
  <si>
    <t>0.580812</t>
  </si>
  <si>
    <t>37.75</t>
  </si>
  <si>
    <t>32.58</t>
  </si>
  <si>
    <t>24.92</t>
  </si>
  <si>
    <t>23.12</t>
  </si>
  <si>
    <t>658</t>
  </si>
  <si>
    <t>3.968</t>
  </si>
  <si>
    <t>32</t>
  </si>
  <si>
    <t>92</t>
  </si>
  <si>
    <t>23.61</t>
  </si>
  <si>
    <t>91.63</t>
  </si>
  <si>
    <t>37.65</t>
  </si>
  <si>
    <t>-27.83</t>
  </si>
  <si>
    <t>133.30</t>
  </si>
  <si>
    <t>56.95</t>
  </si>
  <si>
    <t>00:45:13</t>
  </si>
  <si>
    <t>27.400000</t>
  </si>
  <si>
    <t>0.670000</t>
  </si>
  <si>
    <t>-2.518</t>
  </si>
  <si>
    <t>-0.794</t>
  </si>
  <si>
    <t>-2.656</t>
  </si>
  <si>
    <t>2.479405</t>
  </si>
  <si>
    <t>2.427686</t>
  </si>
  <si>
    <t>1.669716</t>
  </si>
  <si>
    <t>0.939036</t>
  </si>
  <si>
    <t>0.273648</t>
  </si>
  <si>
    <t>-0.019837</t>
  </si>
  <si>
    <t>0.226431</t>
  </si>
  <si>
    <t>0.681250</t>
  </si>
  <si>
    <t>09:48:59</t>
  </si>
  <si>
    <t>030</t>
  </si>
  <si>
    <t>1.143282</t>
  </si>
  <si>
    <t>1.034479</t>
  </si>
  <si>
    <t>10.145578</t>
  </si>
  <si>
    <t>11.212664</t>
  </si>
  <si>
    <t>PSF-01106_20261015094859_2b8</t>
  </si>
  <si>
    <t>158.452393</t>
  </si>
  <si>
    <t>483.604431</t>
  </si>
  <si>
    <t>0.672351</t>
  </si>
  <si>
    <t>35.82</t>
  </si>
  <si>
    <t>32.42</t>
  </si>
  <si>
    <t>25.06</t>
  </si>
  <si>
    <t>23.01</t>
  </si>
  <si>
    <t>155.0</t>
  </si>
  <si>
    <t>381</t>
  </si>
  <si>
    <t>3.967</t>
  </si>
  <si>
    <t>72.40</t>
  </si>
  <si>
    <t>30.24</t>
  </si>
  <si>
    <t>37.00</t>
  </si>
  <si>
    <t>-152.00</t>
  </si>
  <si>
    <t>133.54</t>
  </si>
  <si>
    <t>56.80</t>
  </si>
  <si>
    <t>00:46:24</t>
  </si>
  <si>
    <t>27.299999</t>
  </si>
  <si>
    <t>2.465</t>
  </si>
  <si>
    <t>0.908</t>
  </si>
  <si>
    <t>4.173</t>
  </si>
  <si>
    <t>2.479136</t>
  </si>
  <si>
    <t>2.425043</t>
  </si>
  <si>
    <t>1.669559</t>
  </si>
  <si>
    <t>0.941554</t>
  </si>
  <si>
    <t>0.272060</t>
  </si>
  <si>
    <t>-0.022848</t>
  </si>
  <si>
    <t>0.235135</t>
  </si>
  <si>
    <t>0.439207</t>
  </si>
  <si>
    <t>30</t>
  </si>
  <si>
    <t>09:50:11</t>
  </si>
  <si>
    <t>1.220408</t>
  </si>
  <si>
    <t>1.052060</t>
  </si>
  <si>
    <t>10.317648</t>
  </si>
  <si>
    <t>11.968657</t>
  </si>
  <si>
    <t>PSF-01106_20261015095011_c3e</t>
  </si>
  <si>
    <t>210.832001</t>
  </si>
  <si>
    <t>417.323822</t>
  </si>
  <si>
    <t>0.494800</t>
  </si>
  <si>
    <t>37.97</t>
  </si>
  <si>
    <t>32.73</t>
  </si>
  <si>
    <t>25.18</t>
  </si>
  <si>
    <t>24.25</t>
  </si>
  <si>
    <t>155.5</t>
  </si>
  <si>
    <t>917</t>
  </si>
  <si>
    <t>3.958</t>
  </si>
  <si>
    <t>52</t>
  </si>
  <si>
    <t>49.28</t>
  </si>
  <si>
    <t>65.23</t>
  </si>
  <si>
    <t>33.11</t>
  </si>
  <si>
    <t>-111.36</t>
  </si>
  <si>
    <t>133.78</t>
  </si>
  <si>
    <t>00:47:35</t>
  </si>
  <si>
    <t>-0.264</t>
  </si>
  <si>
    <t>-0.322</t>
  </si>
  <si>
    <t>-2.583</t>
  </si>
  <si>
    <t>2.479606</t>
  </si>
  <si>
    <t>2.427955</t>
  </si>
  <si>
    <t>1.670194</t>
  </si>
  <si>
    <t>0.942717</t>
  </si>
  <si>
    <t>0.270778</t>
  </si>
  <si>
    <t>-0.009918</t>
  </si>
  <si>
    <t>0.243827</t>
  </si>
  <si>
    <t>0.907174</t>
  </si>
  <si>
    <t>0.000341</t>
  </si>
  <si>
    <t>31</t>
  </si>
  <si>
    <t>09:51:10</t>
  </si>
  <si>
    <t>031</t>
  </si>
  <si>
    <t>1.224914</t>
  </si>
  <si>
    <t>1.036623</t>
  </si>
  <si>
    <t>10.166340</t>
  </si>
  <si>
    <t>12.012933</t>
  </si>
  <si>
    <t>PSF-01106_20261015095110_c03</t>
  </si>
  <si>
    <t>168.109772</t>
  </si>
  <si>
    <t>265.672791</t>
  </si>
  <si>
    <t>0.367230</t>
  </si>
  <si>
    <t>37.85</t>
  </si>
  <si>
    <t>32.03</t>
  </si>
  <si>
    <t>25.30</t>
  </si>
  <si>
    <t>25.40</t>
  </si>
  <si>
    <t>151.5</t>
  </si>
  <si>
    <t>2.8</t>
  </si>
  <si>
    <t>1248</t>
  </si>
  <si>
    <t>3.964</t>
  </si>
  <si>
    <t>33</t>
  </si>
  <si>
    <t>57</t>
  </si>
  <si>
    <t>23.31</t>
  </si>
  <si>
    <t>91.83</t>
  </si>
  <si>
    <t>44.66</t>
  </si>
  <si>
    <t>-72.21</t>
  </si>
  <si>
    <t>134.01</t>
  </si>
  <si>
    <t>56.51</t>
  </si>
  <si>
    <t>00:48:34</t>
  </si>
  <si>
    <t>29.000000</t>
  </si>
  <si>
    <t>-0.044</t>
  </si>
  <si>
    <t>-0.304</t>
  </si>
  <si>
    <t>-0.308</t>
  </si>
  <si>
    <t>2.478515</t>
  </si>
  <si>
    <t>2.427768</t>
  </si>
  <si>
    <t>0.932451</t>
  </si>
  <si>
    <t>0.269516</t>
  </si>
  <si>
    <t>0.002216</t>
  </si>
  <si>
    <t>0.250807</t>
  </si>
  <si>
    <t>1.195584</t>
  </si>
  <si>
    <t>09:51:38</t>
  </si>
  <si>
    <t>032</t>
  </si>
  <si>
    <t>1.131943</t>
  </si>
  <si>
    <t>1.029103</t>
  </si>
  <si>
    <t>10.093722</t>
  </si>
  <si>
    <t>11.102409</t>
  </si>
  <si>
    <t>PSF-01106_20261015095138_a7d</t>
  </si>
  <si>
    <t>146.322372</t>
  </si>
  <si>
    <t>275.398132</t>
  </si>
  <si>
    <t>0.468688</t>
  </si>
  <si>
    <t>34.86</t>
  </si>
  <si>
    <t>31.69</t>
  </si>
  <si>
    <t>25.35</t>
  </si>
  <si>
    <t>156.3</t>
  </si>
  <si>
    <t>1066</t>
  </si>
  <si>
    <t>3.963</t>
  </si>
  <si>
    <t>-16</t>
  </si>
  <si>
    <t>206</t>
  </si>
  <si>
    <t>41.99</t>
  </si>
  <si>
    <t>74.33</t>
  </si>
  <si>
    <t>53.71</t>
  </si>
  <si>
    <t>6.00</t>
  </si>
  <si>
    <t>134.25</t>
  </si>
  <si>
    <t>56.36</t>
  </si>
  <si>
    <t>00:49:03</t>
  </si>
  <si>
    <t>127.130470</t>
  </si>
  <si>
    <t>29.900000</t>
  </si>
  <si>
    <t>0.963</t>
  </si>
  <si>
    <t>0.336</t>
  </si>
  <si>
    <t>1.132</t>
  </si>
  <si>
    <t>2.477990</t>
  </si>
  <si>
    <t>2.423673</t>
  </si>
  <si>
    <t>1.672339</t>
  </si>
  <si>
    <t>0.941505</t>
  </si>
  <si>
    <t>0.268913</t>
  </si>
  <si>
    <t>-0.009234</t>
  </si>
  <si>
    <t>0.254111</t>
  </si>
  <si>
    <t>1.036550</t>
  </si>
  <si>
    <t>로메인</t>
    <phoneticPr fontId="1" type="noConversion"/>
  </si>
  <si>
    <t>ETc</t>
    <phoneticPr fontId="1" type="noConversion"/>
  </si>
  <si>
    <t>ETc50</t>
    <phoneticPr fontId="1" type="noConversion"/>
  </si>
  <si>
    <t>침수ETc</t>
    <phoneticPr fontId="1" type="noConversion"/>
  </si>
  <si>
    <t>침수ETc50</t>
    <phoneticPr fontId="1" type="noConversion"/>
  </si>
  <si>
    <t>CR-1</t>
    <phoneticPr fontId="1" type="noConversion"/>
  </si>
  <si>
    <t>DR-1</t>
    <phoneticPr fontId="1" type="noConversion"/>
  </si>
  <si>
    <t>WR-1</t>
    <phoneticPr fontId="1" type="noConversion"/>
  </si>
  <si>
    <t>WDR-1</t>
    <phoneticPr fontId="1" type="noConversion"/>
  </si>
  <si>
    <t>CR-2</t>
  </si>
  <si>
    <t>DR-2</t>
  </si>
  <si>
    <t>CR-3</t>
  </si>
  <si>
    <t>DR-3</t>
  </si>
  <si>
    <t>WR-3</t>
  </si>
  <si>
    <t>WDR-3</t>
  </si>
  <si>
    <t>CR-4</t>
  </si>
  <si>
    <t>DR-4</t>
  </si>
  <si>
    <t>WR-4</t>
  </si>
  <si>
    <t>WDR-4</t>
  </si>
  <si>
    <t>CR-5</t>
  </si>
  <si>
    <t>DR-5</t>
  </si>
  <si>
    <t>WDR-5</t>
  </si>
  <si>
    <t>CR-6</t>
  </si>
  <si>
    <t>DR-6</t>
  </si>
  <si>
    <t>WDR-6</t>
  </si>
  <si>
    <t>CR-7</t>
  </si>
  <si>
    <t>DR-7</t>
  </si>
  <si>
    <t>WDR-7</t>
  </si>
  <si>
    <t>CR-8</t>
  </si>
  <si>
    <t>DR-8</t>
  </si>
  <si>
    <t>WDR-8</t>
  </si>
  <si>
    <t>WR-2</t>
    <phoneticPr fontId="1" type="noConversion"/>
  </si>
  <si>
    <t>WDR-2</t>
    <phoneticPr fontId="1" type="noConversion"/>
  </si>
  <si>
    <t>WR-5</t>
  </si>
  <si>
    <t>WR-6</t>
  </si>
  <si>
    <t>WR-7</t>
  </si>
  <si>
    <t>WR-8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</si>
</sst>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2" xfId="0" applyBorder="1"/>
    <xf numFmtId="0" fontId="0" fillId="0" borderId="3" xfId="0" applyBorder="1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T35"/>
  <sheetViews>
    <sheetView tabSelected="1" workbookViewId="0">
      <selection activeCell="H3" sqref="H3"/>
    </sheetView>
  </sheetViews>
  <sheetFormatPr defaultRowHeight="19.149999999999999" x14ac:dyDescent="0.7"/>
  <sheetData>
    <row r="1" spans="1:124" x14ac:dyDescent="0.7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1</v>
      </c>
      <c r="G1" t="s">
        <v>1</v>
      </c>
      <c r="H1" t="s">
        <v>1</v>
      </c>
      <c r="I1" t="s">
        <v>1</v>
      </c>
      <c r="J1" t="s">
        <v>2</v>
      </c>
      <c r="K1" t="s">
        <v>2</v>
      </c>
      <c r="L1" t="s">
        <v>2</v>
      </c>
      <c r="M1" t="s">
        <v>2</v>
      </c>
      <c r="N1" t="s">
        <v>2</v>
      </c>
      <c r="O1" t="s">
        <v>2</v>
      </c>
      <c r="P1" t="s">
        <v>2</v>
      </c>
      <c r="Q1" t="s">
        <v>2</v>
      </c>
      <c r="R1" t="s">
        <v>2</v>
      </c>
      <c r="S1" t="s">
        <v>2</v>
      </c>
      <c r="T1" t="s">
        <v>2</v>
      </c>
      <c r="U1" t="s">
        <v>2</v>
      </c>
      <c r="V1" t="s">
        <v>2</v>
      </c>
      <c r="W1" t="s">
        <v>3</v>
      </c>
      <c r="X1" t="s">
        <v>3</v>
      </c>
      <c r="Y1" t="s">
        <v>3</v>
      </c>
      <c r="Z1" t="s">
        <v>3</v>
      </c>
      <c r="AA1" t="s">
        <v>3</v>
      </c>
      <c r="AB1" t="s">
        <v>3</v>
      </c>
      <c r="AC1" t="s">
        <v>3</v>
      </c>
      <c r="AD1" t="s">
        <v>3</v>
      </c>
      <c r="AE1" t="s">
        <v>3</v>
      </c>
      <c r="AF1" t="s">
        <v>3</v>
      </c>
      <c r="AG1" t="s">
        <v>3</v>
      </c>
      <c r="AH1" t="s">
        <v>4</v>
      </c>
      <c r="AI1" t="s">
        <v>4</v>
      </c>
      <c r="AJ1" t="s">
        <v>4</v>
      </c>
      <c r="AK1" t="s">
        <v>4</v>
      </c>
      <c r="AL1" t="s">
        <v>4</v>
      </c>
      <c r="AM1" t="s">
        <v>4</v>
      </c>
      <c r="AN1" t="s">
        <v>4</v>
      </c>
      <c r="AO1" t="s">
        <v>4</v>
      </c>
      <c r="AP1" t="s">
        <v>4</v>
      </c>
      <c r="AQ1" t="s">
        <v>4</v>
      </c>
      <c r="AR1" t="s">
        <v>4</v>
      </c>
      <c r="AS1" t="s">
        <v>5</v>
      </c>
      <c r="AT1" t="s">
        <v>5</v>
      </c>
      <c r="AU1" t="s">
        <v>5</v>
      </c>
      <c r="AV1" t="s">
        <v>5</v>
      </c>
      <c r="AW1" t="s">
        <v>5</v>
      </c>
      <c r="AX1" t="s">
        <v>5</v>
      </c>
      <c r="AY1" t="s">
        <v>5</v>
      </c>
      <c r="AZ1" t="s">
        <v>5</v>
      </c>
      <c r="BA1" t="s">
        <v>5</v>
      </c>
      <c r="BB1" t="s">
        <v>5</v>
      </c>
      <c r="BC1" t="s">
        <v>6</v>
      </c>
      <c r="BD1" t="s">
        <v>6</v>
      </c>
      <c r="BE1" t="s">
        <v>6</v>
      </c>
      <c r="BF1" t="s">
        <v>6</v>
      </c>
      <c r="BG1" t="s">
        <v>6</v>
      </c>
      <c r="BH1" t="s">
        <v>6</v>
      </c>
      <c r="BI1" t="s">
        <v>6</v>
      </c>
      <c r="BJ1" t="s">
        <v>7</v>
      </c>
      <c r="BK1" t="s">
        <v>7</v>
      </c>
      <c r="BL1" t="s">
        <v>7</v>
      </c>
      <c r="BM1" t="s">
        <v>7</v>
      </c>
      <c r="BN1" t="s">
        <v>8</v>
      </c>
      <c r="BO1" t="s">
        <v>8</v>
      </c>
      <c r="BP1" t="s">
        <v>8</v>
      </c>
      <c r="BQ1" t="s">
        <v>8</v>
      </c>
      <c r="BR1" t="s">
        <v>8</v>
      </c>
      <c r="BS1" t="s">
        <v>8</v>
      </c>
      <c r="BT1" t="s">
        <v>9</v>
      </c>
      <c r="BU1" t="s">
        <v>9</v>
      </c>
      <c r="BV1" t="s">
        <v>9</v>
      </c>
      <c r="BW1" t="s">
        <v>9</v>
      </c>
      <c r="BX1" t="s">
        <v>9</v>
      </c>
      <c r="BY1" t="s">
        <v>9</v>
      </c>
      <c r="BZ1" t="s">
        <v>9</v>
      </c>
      <c r="CA1" t="s">
        <v>9</v>
      </c>
      <c r="CB1" t="s">
        <v>9</v>
      </c>
      <c r="CC1" t="s">
        <v>9</v>
      </c>
      <c r="CD1" t="s">
        <v>9</v>
      </c>
      <c r="CE1" t="s">
        <v>10</v>
      </c>
      <c r="CF1" t="s">
        <v>10</v>
      </c>
      <c r="CG1" t="s">
        <v>10</v>
      </c>
      <c r="CH1" t="s">
        <v>10</v>
      </c>
      <c r="CI1" t="s">
        <v>10</v>
      </c>
      <c r="CJ1" t="s">
        <v>10</v>
      </c>
      <c r="CK1" t="s">
        <v>10</v>
      </c>
      <c r="CL1" t="s">
        <v>10</v>
      </c>
      <c r="CM1" t="s">
        <v>10</v>
      </c>
      <c r="CN1" t="s">
        <v>10</v>
      </c>
      <c r="CO1" t="s">
        <v>10</v>
      </c>
      <c r="CP1" t="s">
        <v>10</v>
      </c>
      <c r="CQ1" t="s">
        <v>10</v>
      </c>
      <c r="CR1" t="s">
        <v>10</v>
      </c>
      <c r="CS1" t="s">
        <v>10</v>
      </c>
      <c r="CT1" t="s">
        <v>11</v>
      </c>
      <c r="CU1" t="s">
        <v>11</v>
      </c>
      <c r="CV1" t="s">
        <v>11</v>
      </c>
      <c r="CW1" t="s">
        <v>11</v>
      </c>
      <c r="CX1" t="s">
        <v>11</v>
      </c>
      <c r="CY1" t="s">
        <v>11</v>
      </c>
      <c r="CZ1" t="s">
        <v>11</v>
      </c>
      <c r="DA1" t="s">
        <v>11</v>
      </c>
      <c r="DB1" t="s">
        <v>11</v>
      </c>
      <c r="DC1" t="s">
        <v>11</v>
      </c>
      <c r="DD1" t="s">
        <v>12</v>
      </c>
      <c r="DE1" t="s">
        <v>12</v>
      </c>
      <c r="DF1" t="s">
        <v>12</v>
      </c>
      <c r="DG1" t="s">
        <v>12</v>
      </c>
      <c r="DH1" t="s">
        <v>12</v>
      </c>
      <c r="DI1" t="s">
        <v>12</v>
      </c>
      <c r="DJ1" t="s">
        <v>12</v>
      </c>
      <c r="DK1" t="s">
        <v>12</v>
      </c>
      <c r="DL1" t="s">
        <v>12</v>
      </c>
      <c r="DM1" t="s">
        <v>12</v>
      </c>
      <c r="DN1" t="s">
        <v>13</v>
      </c>
      <c r="DO1" t="s">
        <v>13</v>
      </c>
      <c r="DP1" t="s">
        <v>13</v>
      </c>
      <c r="DQ1" t="s">
        <v>13</v>
      </c>
      <c r="DR1" t="s">
        <v>13</v>
      </c>
      <c r="DS1" t="s">
        <v>13</v>
      </c>
      <c r="DT1" t="s">
        <v>13</v>
      </c>
    </row>
    <row r="2" spans="1:124" x14ac:dyDescent="0.7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 t="s">
        <v>33</v>
      </c>
      <c r="U2" t="s">
        <v>34</v>
      </c>
      <c r="V2" t="s">
        <v>35</v>
      </c>
      <c r="W2" t="s">
        <v>36</v>
      </c>
      <c r="X2" t="s">
        <v>37</v>
      </c>
      <c r="Y2" t="s">
        <v>38</v>
      </c>
      <c r="Z2" t="s">
        <v>39</v>
      </c>
      <c r="AA2" t="s">
        <v>40</v>
      </c>
      <c r="AB2" t="s">
        <v>41</v>
      </c>
      <c r="AC2" t="s">
        <v>42</v>
      </c>
      <c r="AD2" t="s">
        <v>43</v>
      </c>
      <c r="AE2" t="s">
        <v>44</v>
      </c>
      <c r="AF2" t="s">
        <v>45</v>
      </c>
      <c r="AG2" t="s">
        <v>46</v>
      </c>
      <c r="AH2" t="s">
        <v>47</v>
      </c>
      <c r="AI2" t="s">
        <v>48</v>
      </c>
      <c r="AJ2" t="s">
        <v>49</v>
      </c>
      <c r="AK2" t="s">
        <v>50</v>
      </c>
      <c r="AL2" t="s">
        <v>51</v>
      </c>
      <c r="AM2" t="s">
        <v>52</v>
      </c>
      <c r="AN2" t="s">
        <v>53</v>
      </c>
      <c r="AO2" t="s">
        <v>54</v>
      </c>
      <c r="AP2" t="s">
        <v>55</v>
      </c>
      <c r="AQ2" t="s">
        <v>56</v>
      </c>
      <c r="AR2" t="s">
        <v>57</v>
      </c>
      <c r="AS2" t="s">
        <v>58</v>
      </c>
      <c r="AT2" t="s">
        <v>59</v>
      </c>
      <c r="AU2" t="s">
        <v>60</v>
      </c>
      <c r="AV2" t="s">
        <v>61</v>
      </c>
      <c r="AW2" t="s">
        <v>62</v>
      </c>
      <c r="AX2" t="s">
        <v>63</v>
      </c>
      <c r="AY2" t="s">
        <v>64</v>
      </c>
      <c r="AZ2" t="s">
        <v>65</v>
      </c>
      <c r="BA2" t="s">
        <v>66</v>
      </c>
      <c r="BB2" t="s">
        <v>67</v>
      </c>
      <c r="BC2" t="s">
        <v>68</v>
      </c>
      <c r="BD2" t="s">
        <v>69</v>
      </c>
      <c r="BE2" t="s">
        <v>70</v>
      </c>
      <c r="BF2" t="s">
        <v>71</v>
      </c>
      <c r="BG2" t="s">
        <v>72</v>
      </c>
      <c r="BH2" t="s">
        <v>73</v>
      </c>
      <c r="BI2" t="s">
        <v>74</v>
      </c>
      <c r="BJ2" t="s">
        <v>75</v>
      </c>
      <c r="BK2" t="s">
        <v>76</v>
      </c>
      <c r="BL2" t="s">
        <v>77</v>
      </c>
      <c r="BM2" t="s">
        <v>78</v>
      </c>
      <c r="BN2" t="s">
        <v>79</v>
      </c>
      <c r="BO2" t="s">
        <v>80</v>
      </c>
      <c r="BP2" t="s">
        <v>81</v>
      </c>
      <c r="BQ2" t="s">
        <v>82</v>
      </c>
      <c r="BR2" t="s">
        <v>83</v>
      </c>
      <c r="BS2" t="s">
        <v>84</v>
      </c>
      <c r="BT2" t="s">
        <v>85</v>
      </c>
      <c r="BU2" t="s">
        <v>86</v>
      </c>
      <c r="BV2" t="s">
        <v>87</v>
      </c>
      <c r="BW2" t="s">
        <v>88</v>
      </c>
      <c r="BX2" t="s">
        <v>89</v>
      </c>
      <c r="BY2" t="s">
        <v>90</v>
      </c>
      <c r="BZ2" t="s">
        <v>91</v>
      </c>
      <c r="CA2" t="s">
        <v>92</v>
      </c>
      <c r="CB2" t="s">
        <v>93</v>
      </c>
      <c r="CC2" t="s">
        <v>94</v>
      </c>
      <c r="CD2" t="s">
        <v>95</v>
      </c>
      <c r="CE2" t="s">
        <v>96</v>
      </c>
      <c r="CF2" t="s">
        <v>97</v>
      </c>
      <c r="CG2" t="s">
        <v>98</v>
      </c>
      <c r="CH2" t="s">
        <v>99</v>
      </c>
      <c r="CI2" t="s">
        <v>100</v>
      </c>
      <c r="CJ2" t="s">
        <v>101</v>
      </c>
      <c r="CK2" t="s">
        <v>102</v>
      </c>
      <c r="CL2" t="s">
        <v>103</v>
      </c>
      <c r="CM2" t="s">
        <v>104</v>
      </c>
      <c r="CN2" t="s">
        <v>105</v>
      </c>
      <c r="CO2" t="s">
        <v>106</v>
      </c>
      <c r="CP2" t="s">
        <v>107</v>
      </c>
      <c r="CQ2" t="s">
        <v>108</v>
      </c>
      <c r="CR2" t="s">
        <v>109</v>
      </c>
      <c r="CS2" t="s">
        <v>110</v>
      </c>
      <c r="CT2" t="s">
        <v>111</v>
      </c>
      <c r="CU2" t="s">
        <v>112</v>
      </c>
      <c r="CV2" t="s">
        <v>113</v>
      </c>
      <c r="CW2" t="s">
        <v>114</v>
      </c>
      <c r="CX2" t="s">
        <v>115</v>
      </c>
      <c r="CY2" t="s">
        <v>116</v>
      </c>
      <c r="CZ2" t="s">
        <v>117</v>
      </c>
      <c r="DA2" t="s">
        <v>118</v>
      </c>
      <c r="DB2" t="s">
        <v>119</v>
      </c>
      <c r="DC2" t="s">
        <v>120</v>
      </c>
      <c r="DD2" t="s">
        <v>121</v>
      </c>
      <c r="DE2" t="s">
        <v>122</v>
      </c>
      <c r="DF2" t="s">
        <v>123</v>
      </c>
      <c r="DG2" t="s">
        <v>124</v>
      </c>
      <c r="DH2" t="s">
        <v>125</v>
      </c>
      <c r="DI2" t="s">
        <v>126</v>
      </c>
      <c r="DJ2" t="s">
        <v>127</v>
      </c>
      <c r="DK2" t="s">
        <v>128</v>
      </c>
      <c r="DL2" t="s">
        <v>129</v>
      </c>
      <c r="DM2" t="s">
        <v>130</v>
      </c>
      <c r="DN2" t="s">
        <v>131</v>
      </c>
      <c r="DO2" t="s">
        <v>132</v>
      </c>
      <c r="DP2" t="s">
        <v>133</v>
      </c>
      <c r="DQ2" t="s">
        <v>134</v>
      </c>
      <c r="DR2" t="s">
        <v>135</v>
      </c>
      <c r="DS2" t="s">
        <v>136</v>
      </c>
      <c r="DT2" t="s">
        <v>137</v>
      </c>
    </row>
    <row r="3" spans="1:124" x14ac:dyDescent="0.7">
      <c r="A3" t="s">
        <v>138</v>
      </c>
      <c r="B3" t="s">
        <v>139</v>
      </c>
      <c r="C3" t="s">
        <v>140</v>
      </c>
      <c r="D3" t="s">
        <v>138</v>
      </c>
      <c r="E3" t="s">
        <v>138</v>
      </c>
      <c r="F3" t="s">
        <v>138</v>
      </c>
      <c r="G3" t="s">
        <v>138</v>
      </c>
      <c r="H3" t="s">
        <v>138</v>
      </c>
      <c r="I3" t="s">
        <v>138</v>
      </c>
      <c r="J3" t="s">
        <v>141</v>
      </c>
      <c r="K3" t="s">
        <v>141</v>
      </c>
      <c r="L3" t="s">
        <v>141</v>
      </c>
      <c r="M3" t="s">
        <v>142</v>
      </c>
      <c r="N3" t="s">
        <v>143</v>
      </c>
      <c r="O3" t="s">
        <v>143</v>
      </c>
      <c r="P3" t="s">
        <v>143</v>
      </c>
      <c r="Q3" t="s">
        <v>143</v>
      </c>
      <c r="R3" t="s">
        <v>144</v>
      </c>
      <c r="S3" t="s">
        <v>144</v>
      </c>
      <c r="T3" t="s">
        <v>144</v>
      </c>
      <c r="U3" t="s">
        <v>145</v>
      </c>
      <c r="V3" t="s">
        <v>146</v>
      </c>
      <c r="W3" t="s">
        <v>138</v>
      </c>
      <c r="X3" t="s">
        <v>138</v>
      </c>
      <c r="Y3" t="s">
        <v>138</v>
      </c>
      <c r="Z3" t="s">
        <v>138</v>
      </c>
      <c r="AA3" t="s">
        <v>138</v>
      </c>
      <c r="AB3" t="s">
        <v>138</v>
      </c>
      <c r="AC3" t="s">
        <v>138</v>
      </c>
      <c r="AD3" t="s">
        <v>138</v>
      </c>
      <c r="AE3" t="s">
        <v>138</v>
      </c>
      <c r="AF3" t="s">
        <v>147</v>
      </c>
      <c r="AG3" t="s">
        <v>138</v>
      </c>
      <c r="AH3" t="s">
        <v>148</v>
      </c>
      <c r="AI3" t="s">
        <v>148</v>
      </c>
      <c r="AJ3" t="s">
        <v>149</v>
      </c>
      <c r="AK3" t="s">
        <v>149</v>
      </c>
      <c r="AL3" t="s">
        <v>149</v>
      </c>
      <c r="AM3" t="s">
        <v>143</v>
      </c>
      <c r="AN3" t="s">
        <v>150</v>
      </c>
      <c r="AO3" t="s">
        <v>150</v>
      </c>
      <c r="AP3" t="s">
        <v>148</v>
      </c>
      <c r="AQ3" t="s">
        <v>147</v>
      </c>
      <c r="AR3" t="s">
        <v>151</v>
      </c>
      <c r="AS3" t="s">
        <v>152</v>
      </c>
      <c r="AT3" t="s">
        <v>152</v>
      </c>
      <c r="AU3" t="s">
        <v>152</v>
      </c>
      <c r="AV3" t="s">
        <v>152</v>
      </c>
      <c r="AW3" t="s">
        <v>148</v>
      </c>
      <c r="AX3" t="s">
        <v>152</v>
      </c>
      <c r="AY3" t="s">
        <v>152</v>
      </c>
      <c r="AZ3" t="s">
        <v>152</v>
      </c>
      <c r="BA3" t="s">
        <v>152</v>
      </c>
      <c r="BB3" t="s">
        <v>152</v>
      </c>
      <c r="BC3" t="s">
        <v>139</v>
      </c>
      <c r="BD3" t="s">
        <v>140</v>
      </c>
      <c r="BE3" t="s">
        <v>152</v>
      </c>
      <c r="BF3" t="s">
        <v>152</v>
      </c>
      <c r="BG3" t="s">
        <v>153</v>
      </c>
      <c r="BH3" t="s">
        <v>138</v>
      </c>
      <c r="BI3" t="s">
        <v>138</v>
      </c>
      <c r="BJ3" t="s">
        <v>139</v>
      </c>
      <c r="BK3" t="s">
        <v>140</v>
      </c>
      <c r="BL3" t="s">
        <v>148</v>
      </c>
      <c r="BM3" t="s">
        <v>138</v>
      </c>
      <c r="BN3" t="s">
        <v>138</v>
      </c>
      <c r="BO3" t="s">
        <v>138</v>
      </c>
      <c r="BP3" t="s">
        <v>138</v>
      </c>
      <c r="BQ3" t="s">
        <v>138</v>
      </c>
      <c r="BR3" t="s">
        <v>138</v>
      </c>
      <c r="BS3" t="s">
        <v>138</v>
      </c>
      <c r="BT3" t="s">
        <v>138</v>
      </c>
      <c r="BU3" t="s">
        <v>150</v>
      </c>
      <c r="BV3" t="s">
        <v>154</v>
      </c>
      <c r="BW3" t="s">
        <v>155</v>
      </c>
      <c r="BX3" t="s">
        <v>138</v>
      </c>
      <c r="BY3" t="s">
        <v>138</v>
      </c>
      <c r="BZ3" t="s">
        <v>138</v>
      </c>
      <c r="CA3" t="s">
        <v>138</v>
      </c>
      <c r="CB3" t="s">
        <v>138</v>
      </c>
      <c r="CC3" t="s">
        <v>138</v>
      </c>
      <c r="CD3" t="s">
        <v>138</v>
      </c>
      <c r="CE3" t="s">
        <v>138</v>
      </c>
      <c r="CF3" t="s">
        <v>138</v>
      </c>
      <c r="CG3" t="s">
        <v>147</v>
      </c>
      <c r="CH3" t="s">
        <v>156</v>
      </c>
      <c r="CI3" t="s">
        <v>157</v>
      </c>
      <c r="CJ3" t="s">
        <v>155</v>
      </c>
      <c r="CK3" t="s">
        <v>158</v>
      </c>
      <c r="CL3" t="s">
        <v>158</v>
      </c>
      <c r="CM3" t="s">
        <v>158</v>
      </c>
      <c r="CN3" t="s">
        <v>138</v>
      </c>
      <c r="CO3" t="s">
        <v>148</v>
      </c>
      <c r="CP3" t="s">
        <v>138</v>
      </c>
      <c r="CQ3" t="s">
        <v>138</v>
      </c>
      <c r="CR3" t="s">
        <v>138</v>
      </c>
      <c r="CS3" t="s">
        <v>138</v>
      </c>
      <c r="CT3" t="s">
        <v>151</v>
      </c>
      <c r="CU3" t="s">
        <v>151</v>
      </c>
      <c r="CV3" t="s">
        <v>151</v>
      </c>
      <c r="CW3" t="s">
        <v>151</v>
      </c>
      <c r="CX3" t="s">
        <v>151</v>
      </c>
      <c r="CY3" t="s">
        <v>151</v>
      </c>
      <c r="CZ3" t="s">
        <v>151</v>
      </c>
      <c r="DA3" t="s">
        <v>151</v>
      </c>
      <c r="DB3" t="s">
        <v>151</v>
      </c>
      <c r="DC3" t="s">
        <v>159</v>
      </c>
      <c r="DD3" t="s">
        <v>138</v>
      </c>
      <c r="DE3" t="s">
        <v>138</v>
      </c>
      <c r="DF3" t="s">
        <v>138</v>
      </c>
      <c r="DG3" t="s">
        <v>138</v>
      </c>
      <c r="DH3" t="s">
        <v>138</v>
      </c>
      <c r="DI3" t="s">
        <v>138</v>
      </c>
      <c r="DJ3" t="s">
        <v>138</v>
      </c>
      <c r="DK3" t="s">
        <v>138</v>
      </c>
      <c r="DL3" t="s">
        <v>138</v>
      </c>
      <c r="DM3" t="s">
        <v>138</v>
      </c>
      <c r="DN3" t="s">
        <v>138</v>
      </c>
      <c r="DO3" t="s">
        <v>138</v>
      </c>
      <c r="DP3" t="s">
        <v>138</v>
      </c>
      <c r="DQ3" t="s">
        <v>138</v>
      </c>
      <c r="DR3" t="s">
        <v>138</v>
      </c>
      <c r="DS3" t="s">
        <v>138</v>
      </c>
      <c r="DT3" t="s">
        <v>138</v>
      </c>
    </row>
    <row r="4" spans="1:124" x14ac:dyDescent="0.7">
      <c r="A4" t="s">
        <v>160</v>
      </c>
      <c r="B4" t="s">
        <v>161</v>
      </c>
      <c r="C4" t="s">
        <v>162</v>
      </c>
      <c r="D4" t="s">
        <v>163</v>
      </c>
      <c r="E4" t="s">
        <v>164</v>
      </c>
      <c r="F4" t="s">
        <v>138</v>
      </c>
      <c r="G4" t="s">
        <v>138</v>
      </c>
      <c r="H4" t="s">
        <v>1478</v>
      </c>
      <c r="I4" t="s">
        <v>165</v>
      </c>
      <c r="J4">
        <f t="shared" ref="J4:J35" si="0">1/((1/L4)-(1/K4))</f>
        <v>0.35200745242691694</v>
      </c>
      <c r="K4">
        <f t="shared" ref="K4:K35" si="1">BY4+(BZ4*AN4)+(CA4*AN4*POWER(V4,2))+(CB4*AN4*V4)+(CC4*POWER(AN4,2))</f>
        <v>2.9066320800000001</v>
      </c>
      <c r="L4">
        <f t="shared" ref="L4:L35" si="2">((M4/1000)*(1000-((T4+S4)/2)))/(T4-S4)</f>
        <v>0.31398261251103798</v>
      </c>
      <c r="M4">
        <f t="shared" ref="M4:M35" si="3">(AN4*(S4-R4))/(100*U4*(1000-S4))*1000</f>
        <v>5.2771233695871249</v>
      </c>
      <c r="N4" t="s">
        <v>166</v>
      </c>
      <c r="O4" t="s">
        <v>167</v>
      </c>
      <c r="P4">
        <f t="shared" ref="P4:P35" si="4">0.61365*EXP((17.502*AL4)/(240.97+AL4))</f>
        <v>2.8368336040900854</v>
      </c>
      <c r="Q4">
        <f t="shared" ref="Q4:Q35" si="5">P4-N4</f>
        <v>1.6796126040900854</v>
      </c>
      <c r="R4" t="s">
        <v>168</v>
      </c>
      <c r="S4" t="s">
        <v>169</v>
      </c>
      <c r="T4">
        <f t="shared" ref="T4:T35" si="6">(P4/AM4)*1000</f>
        <v>27.831193996763322</v>
      </c>
      <c r="U4">
        <f t="shared" ref="U4:U35" si="7">V4*BX4</f>
        <v>0.4417875</v>
      </c>
      <c r="V4" t="s">
        <v>170</v>
      </c>
      <c r="W4" t="s">
        <v>171</v>
      </c>
      <c r="X4" t="s">
        <v>172</v>
      </c>
      <c r="Y4" t="s">
        <v>172</v>
      </c>
      <c r="Z4" t="s">
        <v>172</v>
      </c>
      <c r="AA4" t="s">
        <v>173</v>
      </c>
      <c r="AB4" t="s">
        <v>174</v>
      </c>
      <c r="AC4" t="s">
        <v>175</v>
      </c>
      <c r="AD4" t="s">
        <v>176</v>
      </c>
      <c r="AE4" t="s">
        <v>177</v>
      </c>
      <c r="AF4">
        <f t="shared" ref="AF4:AF35" si="8">AC4*AD4*AE4*AQ4</f>
        <v>153.29975010000001</v>
      </c>
      <c r="AG4" t="s">
        <v>178</v>
      </c>
      <c r="AH4" t="s">
        <v>179</v>
      </c>
      <c r="AI4" t="s">
        <v>180</v>
      </c>
      <c r="AJ4" t="s">
        <v>181</v>
      </c>
      <c r="AK4" t="s">
        <v>182</v>
      </c>
      <c r="AL4">
        <f t="shared" ref="AL4:AL35" si="9">(AK4-AJ4)*(AJ4*0+0)+AK4</f>
        <v>23.1</v>
      </c>
      <c r="AM4" t="s">
        <v>183</v>
      </c>
      <c r="AN4" t="s">
        <v>184</v>
      </c>
      <c r="AO4" t="s">
        <v>185</v>
      </c>
      <c r="AP4" t="s">
        <v>186</v>
      </c>
      <c r="AQ4" t="s">
        <v>187</v>
      </c>
      <c r="AR4" t="s">
        <v>188</v>
      </c>
      <c r="AS4" t="s">
        <v>189</v>
      </c>
      <c r="AT4" t="s">
        <v>190</v>
      </c>
      <c r="AU4" t="s">
        <v>191</v>
      </c>
      <c r="AV4" t="s">
        <v>138</v>
      </c>
      <c r="AW4" t="s">
        <v>138</v>
      </c>
      <c r="AX4" t="s">
        <v>192</v>
      </c>
      <c r="AY4" t="s">
        <v>193</v>
      </c>
      <c r="AZ4" t="s">
        <v>138</v>
      </c>
      <c r="BA4" t="s">
        <v>138</v>
      </c>
      <c r="BB4" t="s">
        <v>138</v>
      </c>
      <c r="BC4" t="s">
        <v>194</v>
      </c>
      <c r="BD4" t="s">
        <v>195</v>
      </c>
      <c r="BE4" t="s">
        <v>196</v>
      </c>
      <c r="BF4" t="s">
        <v>196</v>
      </c>
      <c r="BG4" t="s">
        <v>196</v>
      </c>
      <c r="BH4" t="s">
        <v>197</v>
      </c>
      <c r="BI4" t="s">
        <v>196</v>
      </c>
      <c r="BJ4" t="s">
        <v>198</v>
      </c>
      <c r="BK4" t="s">
        <v>162</v>
      </c>
      <c r="BL4" t="s">
        <v>199</v>
      </c>
      <c r="BM4" t="s">
        <v>160</v>
      </c>
      <c r="BN4" t="s">
        <v>200</v>
      </c>
      <c r="BO4" t="s">
        <v>201</v>
      </c>
      <c r="BP4" t="s">
        <v>200</v>
      </c>
      <c r="BQ4" t="s">
        <v>202</v>
      </c>
      <c r="BR4" t="s">
        <v>203</v>
      </c>
      <c r="BS4" t="s">
        <v>204</v>
      </c>
      <c r="BT4" t="s">
        <v>160</v>
      </c>
      <c r="BU4" t="s">
        <v>205</v>
      </c>
      <c r="BV4" t="s">
        <v>200</v>
      </c>
      <c r="BW4" t="s">
        <v>206</v>
      </c>
      <c r="BX4" t="s">
        <v>207</v>
      </c>
      <c r="BY4" t="s">
        <v>172</v>
      </c>
      <c r="BZ4" t="s">
        <v>208</v>
      </c>
      <c r="CA4" t="s">
        <v>172</v>
      </c>
      <c r="CB4" t="s">
        <v>172</v>
      </c>
      <c r="CC4" t="s">
        <v>209</v>
      </c>
      <c r="CD4" t="s">
        <v>210</v>
      </c>
      <c r="CE4" t="s">
        <v>197</v>
      </c>
      <c r="CF4" t="s">
        <v>211</v>
      </c>
      <c r="CG4" t="s">
        <v>212</v>
      </c>
      <c r="CH4" t="s">
        <v>213</v>
      </c>
      <c r="CI4" t="s">
        <v>178</v>
      </c>
      <c r="CJ4" t="s">
        <v>206</v>
      </c>
      <c r="CK4" t="s">
        <v>214</v>
      </c>
      <c r="CL4" t="s">
        <v>214</v>
      </c>
      <c r="CM4" t="s">
        <v>214</v>
      </c>
      <c r="CN4" t="s">
        <v>172</v>
      </c>
      <c r="CO4" t="s">
        <v>215</v>
      </c>
      <c r="CP4" t="s">
        <v>172</v>
      </c>
      <c r="CQ4" t="s">
        <v>172</v>
      </c>
      <c r="CR4" t="s">
        <v>172</v>
      </c>
      <c r="CS4" t="s">
        <v>172</v>
      </c>
      <c r="CT4" t="s">
        <v>216</v>
      </c>
      <c r="CU4" t="s">
        <v>217</v>
      </c>
      <c r="CV4" t="s">
        <v>218</v>
      </c>
      <c r="CW4" t="s">
        <v>219</v>
      </c>
      <c r="CX4" t="s">
        <v>220</v>
      </c>
      <c r="CY4" t="s">
        <v>221</v>
      </c>
      <c r="CZ4" t="s">
        <v>222</v>
      </c>
      <c r="DA4" t="s">
        <v>223</v>
      </c>
      <c r="DB4" t="s">
        <v>173</v>
      </c>
      <c r="DC4" t="s">
        <v>224</v>
      </c>
      <c r="DD4" t="s">
        <v>225</v>
      </c>
      <c r="DE4" t="s">
        <v>226</v>
      </c>
      <c r="DF4" t="s">
        <v>178</v>
      </c>
      <c r="DG4" t="s">
        <v>227</v>
      </c>
      <c r="DH4" t="s">
        <v>228</v>
      </c>
      <c r="DI4" t="s">
        <v>178</v>
      </c>
      <c r="DJ4" t="s">
        <v>229</v>
      </c>
      <c r="DK4" t="s">
        <v>230</v>
      </c>
      <c r="DL4" t="s">
        <v>231</v>
      </c>
      <c r="DM4" t="s">
        <v>172</v>
      </c>
      <c r="DN4" t="s">
        <v>171</v>
      </c>
      <c r="DO4" t="s">
        <v>232</v>
      </c>
      <c r="DP4" t="s">
        <v>233</v>
      </c>
      <c r="DQ4" t="s">
        <v>234</v>
      </c>
      <c r="DR4" t="s">
        <v>235</v>
      </c>
      <c r="DS4" t="s">
        <v>236</v>
      </c>
      <c r="DT4" t="s">
        <v>237</v>
      </c>
    </row>
    <row r="5" spans="1:124" x14ac:dyDescent="0.7">
      <c r="A5" t="s">
        <v>238</v>
      </c>
      <c r="B5" t="s">
        <v>239</v>
      </c>
      <c r="C5" t="s">
        <v>162</v>
      </c>
      <c r="D5" t="s">
        <v>163</v>
      </c>
      <c r="E5" t="s">
        <v>164</v>
      </c>
      <c r="F5" t="s">
        <v>138</v>
      </c>
      <c r="G5" t="s">
        <v>138</v>
      </c>
      <c r="H5" t="s">
        <v>1482</v>
      </c>
      <c r="I5" t="s">
        <v>240</v>
      </c>
      <c r="J5">
        <f t="shared" si="0"/>
        <v>0.24536555837385854</v>
      </c>
      <c r="K5">
        <f t="shared" si="1"/>
        <v>2.9042299199999997</v>
      </c>
      <c r="L5">
        <f t="shared" si="2"/>
        <v>0.2262506410298703</v>
      </c>
      <c r="M5">
        <f t="shared" si="3"/>
        <v>3.8749737972126264</v>
      </c>
      <c r="N5" t="s">
        <v>241</v>
      </c>
      <c r="O5" t="s">
        <v>242</v>
      </c>
      <c r="P5">
        <f t="shared" si="4"/>
        <v>2.8248457808061764</v>
      </c>
      <c r="Q5">
        <f t="shared" si="5"/>
        <v>1.7122117808061765</v>
      </c>
      <c r="R5" t="s">
        <v>243</v>
      </c>
      <c r="S5" t="s">
        <v>244</v>
      </c>
      <c r="T5">
        <f t="shared" si="6"/>
        <v>27.710866988485151</v>
      </c>
      <c r="U5">
        <f t="shared" si="7"/>
        <v>0.4417875</v>
      </c>
      <c r="V5" t="s">
        <v>170</v>
      </c>
      <c r="W5" t="s">
        <v>245</v>
      </c>
      <c r="X5" t="s">
        <v>172</v>
      </c>
      <c r="Y5" t="s">
        <v>172</v>
      </c>
      <c r="Z5" t="s">
        <v>172</v>
      </c>
      <c r="AA5" t="s">
        <v>246</v>
      </c>
      <c r="AB5" t="s">
        <v>247</v>
      </c>
      <c r="AC5" t="s">
        <v>248</v>
      </c>
      <c r="AD5" t="s">
        <v>176</v>
      </c>
      <c r="AE5" t="s">
        <v>177</v>
      </c>
      <c r="AF5">
        <f t="shared" si="8"/>
        <v>182.94167429999999</v>
      </c>
      <c r="AG5" t="s">
        <v>178</v>
      </c>
      <c r="AH5" t="s">
        <v>249</v>
      </c>
      <c r="AI5" t="s">
        <v>250</v>
      </c>
      <c r="AJ5" t="s">
        <v>251</v>
      </c>
      <c r="AK5" t="s">
        <v>252</v>
      </c>
      <c r="AL5">
        <f t="shared" si="9"/>
        <v>23.03</v>
      </c>
      <c r="AM5" t="s">
        <v>253</v>
      </c>
      <c r="AN5" t="s">
        <v>254</v>
      </c>
      <c r="AO5" t="s">
        <v>255</v>
      </c>
      <c r="AP5" t="s">
        <v>256</v>
      </c>
      <c r="AQ5" t="s">
        <v>257</v>
      </c>
      <c r="AR5" t="s">
        <v>258</v>
      </c>
      <c r="AS5" t="s">
        <v>190</v>
      </c>
      <c r="AT5" t="s">
        <v>259</v>
      </c>
      <c r="AU5" t="s">
        <v>260</v>
      </c>
      <c r="AV5" t="s">
        <v>261</v>
      </c>
      <c r="AW5" t="s">
        <v>262</v>
      </c>
      <c r="AX5" t="s">
        <v>263</v>
      </c>
      <c r="AY5" t="s">
        <v>264</v>
      </c>
      <c r="AZ5" t="s">
        <v>265</v>
      </c>
      <c r="BA5" t="s">
        <v>266</v>
      </c>
      <c r="BB5" t="s">
        <v>267</v>
      </c>
      <c r="BC5" t="s">
        <v>268</v>
      </c>
      <c r="BD5" t="s">
        <v>162</v>
      </c>
      <c r="BE5" t="s">
        <v>269</v>
      </c>
      <c r="BF5" t="s">
        <v>270</v>
      </c>
      <c r="BG5" t="s">
        <v>271</v>
      </c>
      <c r="BH5" t="s">
        <v>272</v>
      </c>
      <c r="BI5" t="s">
        <v>273</v>
      </c>
      <c r="BJ5" t="s">
        <v>198</v>
      </c>
      <c r="BK5" t="s">
        <v>162</v>
      </c>
      <c r="BL5" t="s">
        <v>199</v>
      </c>
      <c r="BM5" t="s">
        <v>160</v>
      </c>
      <c r="BN5" t="s">
        <v>200</v>
      </c>
      <c r="BO5" t="s">
        <v>200</v>
      </c>
      <c r="BP5" t="s">
        <v>274</v>
      </c>
      <c r="BQ5" t="s">
        <v>275</v>
      </c>
      <c r="BR5" t="s">
        <v>276</v>
      </c>
      <c r="BS5" t="s">
        <v>277</v>
      </c>
      <c r="BT5" t="s">
        <v>160</v>
      </c>
      <c r="BU5" t="s">
        <v>205</v>
      </c>
      <c r="BV5" t="s">
        <v>200</v>
      </c>
      <c r="BW5" t="s">
        <v>206</v>
      </c>
      <c r="BX5" t="s">
        <v>207</v>
      </c>
      <c r="BY5" t="s">
        <v>172</v>
      </c>
      <c r="BZ5" t="s">
        <v>208</v>
      </c>
      <c r="CA5" t="s">
        <v>172</v>
      </c>
      <c r="CB5" t="s">
        <v>172</v>
      </c>
      <c r="CC5" t="s">
        <v>209</v>
      </c>
      <c r="CD5" t="s">
        <v>210</v>
      </c>
      <c r="CE5" t="s">
        <v>197</v>
      </c>
      <c r="CF5" t="s">
        <v>211</v>
      </c>
      <c r="CG5" t="s">
        <v>212</v>
      </c>
      <c r="CH5" t="s">
        <v>213</v>
      </c>
      <c r="CI5" t="s">
        <v>178</v>
      </c>
      <c r="CJ5" t="s">
        <v>206</v>
      </c>
      <c r="CK5" t="s">
        <v>214</v>
      </c>
      <c r="CL5" t="s">
        <v>214</v>
      </c>
      <c r="CM5" t="s">
        <v>214</v>
      </c>
      <c r="CN5" t="s">
        <v>172</v>
      </c>
      <c r="CO5" t="s">
        <v>215</v>
      </c>
      <c r="CP5" t="s">
        <v>172</v>
      </c>
      <c r="CQ5" t="s">
        <v>172</v>
      </c>
      <c r="CR5" t="s">
        <v>172</v>
      </c>
      <c r="CS5" t="s">
        <v>172</v>
      </c>
      <c r="CT5" t="s">
        <v>278</v>
      </c>
      <c r="CU5" t="s">
        <v>279</v>
      </c>
      <c r="CV5" t="s">
        <v>280</v>
      </c>
      <c r="CW5" t="s">
        <v>281</v>
      </c>
      <c r="CX5" t="s">
        <v>282</v>
      </c>
      <c r="CY5" t="s">
        <v>283</v>
      </c>
      <c r="CZ5" t="s">
        <v>284</v>
      </c>
      <c r="DA5" t="s">
        <v>285</v>
      </c>
      <c r="DB5" t="s">
        <v>246</v>
      </c>
      <c r="DC5" t="s">
        <v>286</v>
      </c>
      <c r="DD5" t="s">
        <v>225</v>
      </c>
      <c r="DE5" t="s">
        <v>226</v>
      </c>
      <c r="DF5" t="s">
        <v>178</v>
      </c>
      <c r="DG5" t="s">
        <v>227</v>
      </c>
      <c r="DH5" t="s">
        <v>228</v>
      </c>
      <c r="DI5" t="s">
        <v>178</v>
      </c>
      <c r="DJ5" t="s">
        <v>229</v>
      </c>
      <c r="DK5" t="s">
        <v>230</v>
      </c>
      <c r="DL5" t="s">
        <v>231</v>
      </c>
      <c r="DM5" t="s">
        <v>172</v>
      </c>
      <c r="DN5" t="s">
        <v>245</v>
      </c>
      <c r="DO5" t="s">
        <v>232</v>
      </c>
      <c r="DP5" t="s">
        <v>233</v>
      </c>
      <c r="DQ5" t="s">
        <v>234</v>
      </c>
      <c r="DR5" t="s">
        <v>235</v>
      </c>
      <c r="DS5" t="s">
        <v>236</v>
      </c>
      <c r="DT5" t="s">
        <v>237</v>
      </c>
    </row>
    <row r="6" spans="1:124" x14ac:dyDescent="0.7">
      <c r="A6" t="s">
        <v>287</v>
      </c>
      <c r="B6" t="s">
        <v>288</v>
      </c>
      <c r="C6" t="s">
        <v>162</v>
      </c>
      <c r="D6" t="s">
        <v>163</v>
      </c>
      <c r="E6" t="s">
        <v>164</v>
      </c>
      <c r="F6" t="s">
        <v>138</v>
      </c>
      <c r="G6" t="s">
        <v>138</v>
      </c>
      <c r="H6" t="s">
        <v>1479</v>
      </c>
      <c r="I6" t="s">
        <v>289</v>
      </c>
      <c r="J6">
        <f t="shared" si="0"/>
        <v>0.45075355141992191</v>
      </c>
      <c r="K6">
        <f t="shared" si="1"/>
        <v>2.9050319999999994</v>
      </c>
      <c r="L6">
        <f t="shared" si="2"/>
        <v>0.39020773852323609</v>
      </c>
      <c r="M6">
        <f t="shared" si="3"/>
        <v>6.5698992514947676</v>
      </c>
      <c r="N6" t="s">
        <v>290</v>
      </c>
      <c r="O6" t="s">
        <v>291</v>
      </c>
      <c r="P6">
        <f t="shared" si="4"/>
        <v>2.8747998343077636</v>
      </c>
      <c r="Q6">
        <f t="shared" si="5"/>
        <v>1.6820618343077636</v>
      </c>
      <c r="R6" t="s">
        <v>292</v>
      </c>
      <c r="S6" t="s">
        <v>293</v>
      </c>
      <c r="T6">
        <f t="shared" si="6"/>
        <v>28.200900866271962</v>
      </c>
      <c r="U6">
        <f t="shared" si="7"/>
        <v>0.4417875</v>
      </c>
      <c r="V6" t="s">
        <v>170</v>
      </c>
      <c r="W6" t="s">
        <v>294</v>
      </c>
      <c r="X6" t="s">
        <v>172</v>
      </c>
      <c r="Y6" t="s">
        <v>172</v>
      </c>
      <c r="Z6" t="s">
        <v>172</v>
      </c>
      <c r="AA6" t="s">
        <v>295</v>
      </c>
      <c r="AB6" t="s">
        <v>296</v>
      </c>
      <c r="AC6" t="s">
        <v>297</v>
      </c>
      <c r="AD6" t="s">
        <v>176</v>
      </c>
      <c r="AE6" t="s">
        <v>177</v>
      </c>
      <c r="AF6">
        <f t="shared" si="8"/>
        <v>159.39614838</v>
      </c>
      <c r="AG6" t="s">
        <v>178</v>
      </c>
      <c r="AH6" t="s">
        <v>298</v>
      </c>
      <c r="AI6" t="s">
        <v>299</v>
      </c>
      <c r="AJ6" t="s">
        <v>300</v>
      </c>
      <c r="AK6" t="s">
        <v>301</v>
      </c>
      <c r="AL6">
        <f t="shared" si="9"/>
        <v>23.32</v>
      </c>
      <c r="AM6" t="s">
        <v>253</v>
      </c>
      <c r="AN6" t="s">
        <v>302</v>
      </c>
      <c r="AO6" t="s">
        <v>303</v>
      </c>
      <c r="AP6" t="s">
        <v>304</v>
      </c>
      <c r="AQ6" t="s">
        <v>305</v>
      </c>
      <c r="AR6" t="s">
        <v>306</v>
      </c>
      <c r="AS6" t="s">
        <v>307</v>
      </c>
      <c r="AT6" t="s">
        <v>197</v>
      </c>
      <c r="AU6" t="s">
        <v>308</v>
      </c>
      <c r="AV6" t="s">
        <v>309</v>
      </c>
      <c r="AW6" t="s">
        <v>310</v>
      </c>
      <c r="AX6" t="s">
        <v>311</v>
      </c>
      <c r="AY6" t="s">
        <v>312</v>
      </c>
      <c r="AZ6" t="s">
        <v>265</v>
      </c>
      <c r="BA6" t="s">
        <v>313</v>
      </c>
      <c r="BB6" t="s">
        <v>314</v>
      </c>
      <c r="BC6" t="s">
        <v>315</v>
      </c>
      <c r="BD6" t="s">
        <v>162</v>
      </c>
      <c r="BE6" t="s">
        <v>316</v>
      </c>
      <c r="BF6" t="s">
        <v>317</v>
      </c>
      <c r="BG6" t="s">
        <v>318</v>
      </c>
      <c r="BH6" t="s">
        <v>319</v>
      </c>
      <c r="BI6" t="s">
        <v>320</v>
      </c>
      <c r="BJ6" t="s">
        <v>198</v>
      </c>
      <c r="BK6" t="s">
        <v>162</v>
      </c>
      <c r="BL6" t="s">
        <v>199</v>
      </c>
      <c r="BM6" t="s">
        <v>160</v>
      </c>
      <c r="BN6" t="s">
        <v>321</v>
      </c>
      <c r="BO6" t="s">
        <v>321</v>
      </c>
      <c r="BP6" t="s">
        <v>322</v>
      </c>
      <c r="BQ6" t="s">
        <v>323</v>
      </c>
      <c r="BR6" t="s">
        <v>324</v>
      </c>
      <c r="BS6" t="s">
        <v>325</v>
      </c>
      <c r="BT6" t="s">
        <v>160</v>
      </c>
      <c r="BU6" t="s">
        <v>205</v>
      </c>
      <c r="BV6" t="s">
        <v>200</v>
      </c>
      <c r="BW6" t="s">
        <v>206</v>
      </c>
      <c r="BX6" t="s">
        <v>207</v>
      </c>
      <c r="BY6" t="s">
        <v>172</v>
      </c>
      <c r="BZ6" t="s">
        <v>208</v>
      </c>
      <c r="CA6" t="s">
        <v>172</v>
      </c>
      <c r="CB6" t="s">
        <v>172</v>
      </c>
      <c r="CC6" t="s">
        <v>209</v>
      </c>
      <c r="CD6" t="s">
        <v>210</v>
      </c>
      <c r="CE6" t="s">
        <v>197</v>
      </c>
      <c r="CF6" t="s">
        <v>211</v>
      </c>
      <c r="CG6" t="s">
        <v>212</v>
      </c>
      <c r="CH6" t="s">
        <v>213</v>
      </c>
      <c r="CI6" t="s">
        <v>178</v>
      </c>
      <c r="CJ6" t="s">
        <v>206</v>
      </c>
      <c r="CK6" t="s">
        <v>214</v>
      </c>
      <c r="CL6" t="s">
        <v>214</v>
      </c>
      <c r="CM6" t="s">
        <v>214</v>
      </c>
      <c r="CN6" t="s">
        <v>172</v>
      </c>
      <c r="CO6" t="s">
        <v>215</v>
      </c>
      <c r="CP6" t="s">
        <v>172</v>
      </c>
      <c r="CQ6" t="s">
        <v>172</v>
      </c>
      <c r="CR6" t="s">
        <v>172</v>
      </c>
      <c r="CS6" t="s">
        <v>172</v>
      </c>
      <c r="CT6" t="s">
        <v>326</v>
      </c>
      <c r="CU6" t="s">
        <v>327</v>
      </c>
      <c r="CV6" t="s">
        <v>328</v>
      </c>
      <c r="CW6" t="s">
        <v>329</v>
      </c>
      <c r="CX6" t="s">
        <v>330</v>
      </c>
      <c r="CY6" t="s">
        <v>331</v>
      </c>
      <c r="CZ6" t="s">
        <v>332</v>
      </c>
      <c r="DA6" t="s">
        <v>333</v>
      </c>
      <c r="DB6" t="s">
        <v>295</v>
      </c>
      <c r="DC6" t="s">
        <v>224</v>
      </c>
      <c r="DD6" t="s">
        <v>225</v>
      </c>
      <c r="DE6" t="s">
        <v>226</v>
      </c>
      <c r="DF6" t="s">
        <v>178</v>
      </c>
      <c r="DG6" t="s">
        <v>227</v>
      </c>
      <c r="DH6" t="s">
        <v>228</v>
      </c>
      <c r="DI6" t="s">
        <v>178</v>
      </c>
      <c r="DJ6" t="s">
        <v>229</v>
      </c>
      <c r="DK6" t="s">
        <v>230</v>
      </c>
      <c r="DL6" t="s">
        <v>231</v>
      </c>
      <c r="DM6" t="s">
        <v>172</v>
      </c>
      <c r="DN6" t="s">
        <v>294</v>
      </c>
      <c r="DO6" t="s">
        <v>232</v>
      </c>
      <c r="DP6" t="s">
        <v>233</v>
      </c>
      <c r="DQ6" t="s">
        <v>234</v>
      </c>
      <c r="DR6" t="s">
        <v>235</v>
      </c>
      <c r="DS6" t="s">
        <v>236</v>
      </c>
      <c r="DT6" t="s">
        <v>237</v>
      </c>
    </row>
    <row r="7" spans="1:124" x14ac:dyDescent="0.7">
      <c r="A7" t="s">
        <v>334</v>
      </c>
      <c r="B7" t="s">
        <v>335</v>
      </c>
      <c r="C7" t="s">
        <v>162</v>
      </c>
      <c r="D7" t="s">
        <v>163</v>
      </c>
      <c r="E7" t="s">
        <v>164</v>
      </c>
      <c r="F7" t="s">
        <v>138</v>
      </c>
      <c r="G7" t="s">
        <v>138</v>
      </c>
      <c r="H7" t="s">
        <v>1483</v>
      </c>
      <c r="I7" t="s">
        <v>336</v>
      </c>
      <c r="J7">
        <f t="shared" si="0"/>
        <v>0.22584182883236972</v>
      </c>
      <c r="K7">
        <f t="shared" si="1"/>
        <v>2.9050319999999994</v>
      </c>
      <c r="L7">
        <f t="shared" si="2"/>
        <v>0.20955099935829569</v>
      </c>
      <c r="M7">
        <f t="shared" si="3"/>
        <v>3.4075469540834336</v>
      </c>
      <c r="N7" t="s">
        <v>337</v>
      </c>
      <c r="O7" t="s">
        <v>338</v>
      </c>
      <c r="P7">
        <f t="shared" si="4"/>
        <v>2.7655689799873402</v>
      </c>
      <c r="Q7">
        <f t="shared" si="5"/>
        <v>1.6258989799873402</v>
      </c>
      <c r="R7" t="s">
        <v>339</v>
      </c>
      <c r="S7" t="s">
        <v>340</v>
      </c>
      <c r="T7">
        <f t="shared" si="6"/>
        <v>27.129379831149109</v>
      </c>
      <c r="U7">
        <f t="shared" si="7"/>
        <v>0.4417875</v>
      </c>
      <c r="V7" t="s">
        <v>170</v>
      </c>
      <c r="W7" t="s">
        <v>341</v>
      </c>
      <c r="X7" t="s">
        <v>172</v>
      </c>
      <c r="Y7" t="s">
        <v>172</v>
      </c>
      <c r="Z7" t="s">
        <v>172</v>
      </c>
      <c r="AA7" t="s">
        <v>342</v>
      </c>
      <c r="AB7" t="s">
        <v>343</v>
      </c>
      <c r="AC7" t="s">
        <v>344</v>
      </c>
      <c r="AD7" t="s">
        <v>176</v>
      </c>
      <c r="AE7" t="s">
        <v>177</v>
      </c>
      <c r="AF7">
        <f t="shared" si="8"/>
        <v>159.9013458</v>
      </c>
      <c r="AG7" t="s">
        <v>178</v>
      </c>
      <c r="AH7" t="s">
        <v>345</v>
      </c>
      <c r="AI7" t="s">
        <v>346</v>
      </c>
      <c r="AJ7" t="s">
        <v>347</v>
      </c>
      <c r="AK7" t="s">
        <v>348</v>
      </c>
      <c r="AL7">
        <f t="shared" si="9"/>
        <v>22.68</v>
      </c>
      <c r="AM7" t="s">
        <v>253</v>
      </c>
      <c r="AN7" t="s">
        <v>302</v>
      </c>
      <c r="AO7" t="s">
        <v>349</v>
      </c>
      <c r="AP7" t="s">
        <v>350</v>
      </c>
      <c r="AQ7" t="s">
        <v>351</v>
      </c>
      <c r="AR7" t="s">
        <v>352</v>
      </c>
      <c r="AS7" t="s">
        <v>353</v>
      </c>
      <c r="AT7" t="s">
        <v>334</v>
      </c>
      <c r="AU7" t="s">
        <v>354</v>
      </c>
      <c r="AV7" t="s">
        <v>355</v>
      </c>
      <c r="AW7" t="s">
        <v>356</v>
      </c>
      <c r="AX7" t="s">
        <v>357</v>
      </c>
      <c r="AY7" t="s">
        <v>358</v>
      </c>
      <c r="AZ7" t="s">
        <v>265</v>
      </c>
      <c r="BA7" t="s">
        <v>359</v>
      </c>
      <c r="BB7" t="s">
        <v>360</v>
      </c>
      <c r="BC7" t="s">
        <v>361</v>
      </c>
      <c r="BD7" t="s">
        <v>162</v>
      </c>
      <c r="BE7" t="s">
        <v>362</v>
      </c>
      <c r="BF7" t="s">
        <v>363</v>
      </c>
      <c r="BG7" t="s">
        <v>364</v>
      </c>
      <c r="BH7" t="s">
        <v>272</v>
      </c>
      <c r="BI7" t="s">
        <v>365</v>
      </c>
      <c r="BJ7" t="s">
        <v>198</v>
      </c>
      <c r="BK7" t="s">
        <v>162</v>
      </c>
      <c r="BL7" t="s">
        <v>199</v>
      </c>
      <c r="BM7" t="s">
        <v>160</v>
      </c>
      <c r="BN7" t="s">
        <v>200</v>
      </c>
      <c r="BO7" t="s">
        <v>200</v>
      </c>
      <c r="BP7" t="s">
        <v>366</v>
      </c>
      <c r="BQ7" t="s">
        <v>367</v>
      </c>
      <c r="BR7" t="s">
        <v>368</v>
      </c>
      <c r="BS7" t="s">
        <v>369</v>
      </c>
      <c r="BT7" t="s">
        <v>160</v>
      </c>
      <c r="BU7" t="s">
        <v>205</v>
      </c>
      <c r="BV7" t="s">
        <v>200</v>
      </c>
      <c r="BW7" t="s">
        <v>206</v>
      </c>
      <c r="BX7" t="s">
        <v>207</v>
      </c>
      <c r="BY7" t="s">
        <v>172</v>
      </c>
      <c r="BZ7" t="s">
        <v>208</v>
      </c>
      <c r="CA7" t="s">
        <v>172</v>
      </c>
      <c r="CB7" t="s">
        <v>172</v>
      </c>
      <c r="CC7" t="s">
        <v>209</v>
      </c>
      <c r="CD7" t="s">
        <v>210</v>
      </c>
      <c r="CE7" t="s">
        <v>197</v>
      </c>
      <c r="CF7" t="s">
        <v>211</v>
      </c>
      <c r="CG7" t="s">
        <v>212</v>
      </c>
      <c r="CH7" t="s">
        <v>213</v>
      </c>
      <c r="CI7" t="s">
        <v>178</v>
      </c>
      <c r="CJ7" t="s">
        <v>206</v>
      </c>
      <c r="CK7" t="s">
        <v>214</v>
      </c>
      <c r="CL7" t="s">
        <v>214</v>
      </c>
      <c r="CM7" t="s">
        <v>214</v>
      </c>
      <c r="CN7" t="s">
        <v>172</v>
      </c>
      <c r="CO7" t="s">
        <v>215</v>
      </c>
      <c r="CP7" t="s">
        <v>172</v>
      </c>
      <c r="CQ7" t="s">
        <v>172</v>
      </c>
      <c r="CR7" t="s">
        <v>172</v>
      </c>
      <c r="CS7" t="s">
        <v>172</v>
      </c>
      <c r="CT7" t="s">
        <v>370</v>
      </c>
      <c r="CU7" t="s">
        <v>371</v>
      </c>
      <c r="CV7" t="s">
        <v>372</v>
      </c>
      <c r="CW7" t="s">
        <v>373</v>
      </c>
      <c r="CX7" t="s">
        <v>374</v>
      </c>
      <c r="CY7" t="s">
        <v>375</v>
      </c>
      <c r="CZ7" t="s">
        <v>376</v>
      </c>
      <c r="DA7" t="s">
        <v>377</v>
      </c>
      <c r="DB7" t="s">
        <v>342</v>
      </c>
      <c r="DC7" t="s">
        <v>378</v>
      </c>
      <c r="DD7" t="s">
        <v>225</v>
      </c>
      <c r="DE7" t="s">
        <v>226</v>
      </c>
      <c r="DF7" t="s">
        <v>178</v>
      </c>
      <c r="DG7" t="s">
        <v>227</v>
      </c>
      <c r="DH7" t="s">
        <v>228</v>
      </c>
      <c r="DI7" t="s">
        <v>178</v>
      </c>
      <c r="DJ7" t="s">
        <v>229</v>
      </c>
      <c r="DK7" t="s">
        <v>230</v>
      </c>
      <c r="DL7" t="s">
        <v>231</v>
      </c>
      <c r="DM7" t="s">
        <v>172</v>
      </c>
      <c r="DN7" t="s">
        <v>341</v>
      </c>
      <c r="DO7" t="s">
        <v>232</v>
      </c>
      <c r="DP7" t="s">
        <v>233</v>
      </c>
      <c r="DQ7" t="s">
        <v>234</v>
      </c>
      <c r="DR7" t="s">
        <v>235</v>
      </c>
      <c r="DS7" t="s">
        <v>236</v>
      </c>
      <c r="DT7" t="s">
        <v>237</v>
      </c>
    </row>
    <row r="8" spans="1:124" x14ac:dyDescent="0.7">
      <c r="A8" t="s">
        <v>379</v>
      </c>
      <c r="B8" t="s">
        <v>380</v>
      </c>
      <c r="C8" t="s">
        <v>162</v>
      </c>
      <c r="D8" t="s">
        <v>163</v>
      </c>
      <c r="E8" t="s">
        <v>164</v>
      </c>
      <c r="F8" t="s">
        <v>138</v>
      </c>
      <c r="G8" t="s">
        <v>138</v>
      </c>
      <c r="H8" t="s">
        <v>1480</v>
      </c>
      <c r="I8" t="s">
        <v>381</v>
      </c>
      <c r="J8">
        <f t="shared" si="0"/>
        <v>0.36864217756195217</v>
      </c>
      <c r="K8">
        <f t="shared" si="1"/>
        <v>2.9050319999999994</v>
      </c>
      <c r="L8">
        <f t="shared" si="2"/>
        <v>0.32713008817655514</v>
      </c>
      <c r="M8">
        <f t="shared" si="3"/>
        <v>5.1679683045780722</v>
      </c>
      <c r="N8" t="s">
        <v>382</v>
      </c>
      <c r="O8" t="s">
        <v>383</v>
      </c>
      <c r="P8">
        <f t="shared" si="4"/>
        <v>2.745497573546229</v>
      </c>
      <c r="Q8">
        <f t="shared" si="5"/>
        <v>1.5797405735462291</v>
      </c>
      <c r="R8" t="s">
        <v>384</v>
      </c>
      <c r="S8" t="s">
        <v>385</v>
      </c>
      <c r="T8">
        <f t="shared" si="6"/>
        <v>26.929843781718773</v>
      </c>
      <c r="U8">
        <f t="shared" si="7"/>
        <v>0.4417875</v>
      </c>
      <c r="V8" t="s">
        <v>170</v>
      </c>
      <c r="W8" t="s">
        <v>386</v>
      </c>
      <c r="X8" t="s">
        <v>172</v>
      </c>
      <c r="Y8" t="s">
        <v>172</v>
      </c>
      <c r="Z8" t="s">
        <v>172</v>
      </c>
      <c r="AA8" t="s">
        <v>387</v>
      </c>
      <c r="AB8" t="s">
        <v>388</v>
      </c>
      <c r="AC8" t="s">
        <v>389</v>
      </c>
      <c r="AD8" t="s">
        <v>176</v>
      </c>
      <c r="AE8" t="s">
        <v>177</v>
      </c>
      <c r="AF8">
        <f t="shared" si="8"/>
        <v>154.09929108</v>
      </c>
      <c r="AG8" t="s">
        <v>178</v>
      </c>
      <c r="AH8" t="s">
        <v>390</v>
      </c>
      <c r="AI8" t="s">
        <v>391</v>
      </c>
      <c r="AJ8" t="s">
        <v>392</v>
      </c>
      <c r="AK8" t="s">
        <v>393</v>
      </c>
      <c r="AL8">
        <f t="shared" si="9"/>
        <v>22.56</v>
      </c>
      <c r="AM8" t="s">
        <v>394</v>
      </c>
      <c r="AN8" t="s">
        <v>302</v>
      </c>
      <c r="AO8" t="s">
        <v>395</v>
      </c>
      <c r="AP8" t="s">
        <v>396</v>
      </c>
      <c r="AQ8" t="s">
        <v>397</v>
      </c>
      <c r="AR8" t="s">
        <v>398</v>
      </c>
      <c r="AS8" t="s">
        <v>399</v>
      </c>
      <c r="AT8" t="s">
        <v>400</v>
      </c>
      <c r="AU8" t="s">
        <v>401</v>
      </c>
      <c r="AV8" t="s">
        <v>402</v>
      </c>
      <c r="AW8" t="s">
        <v>403</v>
      </c>
      <c r="AX8" t="s">
        <v>404</v>
      </c>
      <c r="AY8" t="s">
        <v>405</v>
      </c>
      <c r="AZ8" t="s">
        <v>265</v>
      </c>
      <c r="BA8" t="s">
        <v>406</v>
      </c>
      <c r="BB8" t="s">
        <v>407</v>
      </c>
      <c r="BC8" t="s">
        <v>408</v>
      </c>
      <c r="BD8" t="s">
        <v>162</v>
      </c>
      <c r="BE8" t="s">
        <v>409</v>
      </c>
      <c r="BF8" t="s">
        <v>410</v>
      </c>
      <c r="BG8" t="s">
        <v>411</v>
      </c>
      <c r="BH8" t="s">
        <v>412</v>
      </c>
      <c r="BI8" t="s">
        <v>413</v>
      </c>
      <c r="BJ8" t="s">
        <v>198</v>
      </c>
      <c r="BK8" t="s">
        <v>162</v>
      </c>
      <c r="BL8" t="s">
        <v>199</v>
      </c>
      <c r="BM8" t="s">
        <v>160</v>
      </c>
      <c r="BN8" t="s">
        <v>200</v>
      </c>
      <c r="BO8" t="s">
        <v>200</v>
      </c>
      <c r="BP8" t="s">
        <v>274</v>
      </c>
      <c r="BQ8" t="s">
        <v>414</v>
      </c>
      <c r="BR8" t="s">
        <v>415</v>
      </c>
      <c r="BS8" t="s">
        <v>416</v>
      </c>
      <c r="BT8" t="s">
        <v>160</v>
      </c>
      <c r="BU8" t="s">
        <v>205</v>
      </c>
      <c r="BV8" t="s">
        <v>200</v>
      </c>
      <c r="BW8" t="s">
        <v>206</v>
      </c>
      <c r="BX8" t="s">
        <v>207</v>
      </c>
      <c r="BY8" t="s">
        <v>172</v>
      </c>
      <c r="BZ8" t="s">
        <v>208</v>
      </c>
      <c r="CA8" t="s">
        <v>172</v>
      </c>
      <c r="CB8" t="s">
        <v>172</v>
      </c>
      <c r="CC8" t="s">
        <v>209</v>
      </c>
      <c r="CD8" t="s">
        <v>210</v>
      </c>
      <c r="CE8" t="s">
        <v>197</v>
      </c>
      <c r="CF8" t="s">
        <v>211</v>
      </c>
      <c r="CG8" t="s">
        <v>212</v>
      </c>
      <c r="CH8" t="s">
        <v>213</v>
      </c>
      <c r="CI8" t="s">
        <v>178</v>
      </c>
      <c r="CJ8" t="s">
        <v>206</v>
      </c>
      <c r="CK8" t="s">
        <v>214</v>
      </c>
      <c r="CL8" t="s">
        <v>214</v>
      </c>
      <c r="CM8" t="s">
        <v>214</v>
      </c>
      <c r="CN8" t="s">
        <v>172</v>
      </c>
      <c r="CO8" t="s">
        <v>215</v>
      </c>
      <c r="CP8" t="s">
        <v>172</v>
      </c>
      <c r="CQ8" t="s">
        <v>172</v>
      </c>
      <c r="CR8" t="s">
        <v>172</v>
      </c>
      <c r="CS8" t="s">
        <v>172</v>
      </c>
      <c r="CT8" t="s">
        <v>417</v>
      </c>
      <c r="CU8" t="s">
        <v>418</v>
      </c>
      <c r="CV8" t="s">
        <v>419</v>
      </c>
      <c r="CW8" t="s">
        <v>420</v>
      </c>
      <c r="CX8" t="s">
        <v>421</v>
      </c>
      <c r="CY8" t="s">
        <v>422</v>
      </c>
      <c r="CZ8" t="s">
        <v>423</v>
      </c>
      <c r="DA8" t="s">
        <v>424</v>
      </c>
      <c r="DB8" t="s">
        <v>387</v>
      </c>
      <c r="DC8" t="s">
        <v>378</v>
      </c>
      <c r="DD8" t="s">
        <v>225</v>
      </c>
      <c r="DE8" t="s">
        <v>226</v>
      </c>
      <c r="DF8" t="s">
        <v>178</v>
      </c>
      <c r="DG8" t="s">
        <v>227</v>
      </c>
      <c r="DH8" t="s">
        <v>228</v>
      </c>
      <c r="DI8" t="s">
        <v>178</v>
      </c>
      <c r="DJ8" t="s">
        <v>229</v>
      </c>
      <c r="DK8" t="s">
        <v>230</v>
      </c>
      <c r="DL8" t="s">
        <v>231</v>
      </c>
      <c r="DM8" t="s">
        <v>172</v>
      </c>
      <c r="DN8" t="s">
        <v>386</v>
      </c>
      <c r="DO8" t="s">
        <v>232</v>
      </c>
      <c r="DP8" t="s">
        <v>233</v>
      </c>
      <c r="DQ8" t="s">
        <v>234</v>
      </c>
      <c r="DR8" t="s">
        <v>235</v>
      </c>
      <c r="DS8" t="s">
        <v>236</v>
      </c>
      <c r="DT8" t="s">
        <v>237</v>
      </c>
    </row>
    <row r="9" spans="1:124" x14ac:dyDescent="0.7">
      <c r="A9" t="s">
        <v>272</v>
      </c>
      <c r="B9" t="s">
        <v>425</v>
      </c>
      <c r="C9" t="s">
        <v>162</v>
      </c>
      <c r="D9" t="s">
        <v>163</v>
      </c>
      <c r="E9" t="s">
        <v>164</v>
      </c>
      <c r="F9" t="s">
        <v>138</v>
      </c>
      <c r="G9" t="s">
        <v>138</v>
      </c>
      <c r="H9" t="s">
        <v>1504</v>
      </c>
      <c r="I9" t="s">
        <v>426</v>
      </c>
      <c r="J9">
        <f t="shared" si="0"/>
        <v>0.28259534829854099</v>
      </c>
      <c r="K9">
        <f t="shared" si="1"/>
        <v>2.9034264800000003</v>
      </c>
      <c r="L9">
        <f t="shared" si="2"/>
        <v>0.25752956558147089</v>
      </c>
      <c r="M9">
        <f t="shared" si="3"/>
        <v>3.6726408949025919</v>
      </c>
      <c r="N9" t="s">
        <v>427</v>
      </c>
      <c r="O9" t="s">
        <v>428</v>
      </c>
      <c r="P9">
        <f t="shared" si="4"/>
        <v>2.587878245508346</v>
      </c>
      <c r="Q9">
        <f t="shared" si="5"/>
        <v>1.4271872455083461</v>
      </c>
      <c r="R9" t="s">
        <v>429</v>
      </c>
      <c r="S9" t="s">
        <v>430</v>
      </c>
      <c r="T9">
        <f t="shared" si="6"/>
        <v>25.383798386545816</v>
      </c>
      <c r="U9">
        <f t="shared" si="7"/>
        <v>0.4417875</v>
      </c>
      <c r="V9" t="s">
        <v>170</v>
      </c>
      <c r="W9" t="s">
        <v>431</v>
      </c>
      <c r="X9" t="s">
        <v>172</v>
      </c>
      <c r="Y9" t="s">
        <v>172</v>
      </c>
      <c r="Z9" t="s">
        <v>172</v>
      </c>
      <c r="AA9" t="s">
        <v>432</v>
      </c>
      <c r="AB9" t="s">
        <v>433</v>
      </c>
      <c r="AC9" t="s">
        <v>434</v>
      </c>
      <c r="AD9" t="s">
        <v>176</v>
      </c>
      <c r="AE9" t="s">
        <v>177</v>
      </c>
      <c r="AF9">
        <f t="shared" si="8"/>
        <v>65.08352592</v>
      </c>
      <c r="AG9" t="s">
        <v>178</v>
      </c>
      <c r="AH9" t="s">
        <v>435</v>
      </c>
      <c r="AI9" t="s">
        <v>436</v>
      </c>
      <c r="AJ9" t="s">
        <v>392</v>
      </c>
      <c r="AK9" t="s">
        <v>437</v>
      </c>
      <c r="AL9">
        <f t="shared" si="9"/>
        <v>21.59</v>
      </c>
      <c r="AM9" t="s">
        <v>394</v>
      </c>
      <c r="AN9" t="s">
        <v>255</v>
      </c>
      <c r="AO9" t="s">
        <v>438</v>
      </c>
      <c r="AP9" t="s">
        <v>439</v>
      </c>
      <c r="AQ9" t="s">
        <v>440</v>
      </c>
      <c r="AR9" t="s">
        <v>352</v>
      </c>
      <c r="AS9" t="s">
        <v>441</v>
      </c>
      <c r="AT9" t="s">
        <v>442</v>
      </c>
      <c r="AU9" t="s">
        <v>443</v>
      </c>
      <c r="AV9" t="s">
        <v>444</v>
      </c>
      <c r="AW9" t="s">
        <v>215</v>
      </c>
      <c r="AX9" t="s">
        <v>445</v>
      </c>
      <c r="AY9" t="s">
        <v>446</v>
      </c>
      <c r="AZ9" t="s">
        <v>265</v>
      </c>
      <c r="BA9" t="s">
        <v>406</v>
      </c>
      <c r="BB9" t="s">
        <v>407</v>
      </c>
      <c r="BC9" t="s">
        <v>447</v>
      </c>
      <c r="BD9" t="s">
        <v>162</v>
      </c>
      <c r="BE9" t="s">
        <v>448</v>
      </c>
      <c r="BF9" t="s">
        <v>363</v>
      </c>
      <c r="BG9" t="s">
        <v>449</v>
      </c>
      <c r="BH9" t="s">
        <v>450</v>
      </c>
      <c r="BI9" t="s">
        <v>451</v>
      </c>
      <c r="BJ9" t="s">
        <v>198</v>
      </c>
      <c r="BK9" t="s">
        <v>162</v>
      </c>
      <c r="BL9" t="s">
        <v>199</v>
      </c>
      <c r="BM9" t="s">
        <v>160</v>
      </c>
      <c r="BN9" t="s">
        <v>321</v>
      </c>
      <c r="BO9" t="s">
        <v>321</v>
      </c>
      <c r="BP9" t="s">
        <v>452</v>
      </c>
      <c r="BQ9" t="s">
        <v>453</v>
      </c>
      <c r="BR9" t="s">
        <v>454</v>
      </c>
      <c r="BS9" t="s">
        <v>455</v>
      </c>
      <c r="BT9" t="s">
        <v>160</v>
      </c>
      <c r="BU9" t="s">
        <v>205</v>
      </c>
      <c r="BV9" t="s">
        <v>200</v>
      </c>
      <c r="BW9" t="s">
        <v>206</v>
      </c>
      <c r="BX9" t="s">
        <v>207</v>
      </c>
      <c r="BY9" t="s">
        <v>172</v>
      </c>
      <c r="BZ9" t="s">
        <v>208</v>
      </c>
      <c r="CA9" t="s">
        <v>172</v>
      </c>
      <c r="CB9" t="s">
        <v>172</v>
      </c>
      <c r="CC9" t="s">
        <v>209</v>
      </c>
      <c r="CD9" t="s">
        <v>210</v>
      </c>
      <c r="CE9" t="s">
        <v>197</v>
      </c>
      <c r="CF9" t="s">
        <v>211</v>
      </c>
      <c r="CG9" t="s">
        <v>212</v>
      </c>
      <c r="CH9" t="s">
        <v>213</v>
      </c>
      <c r="CI9" t="s">
        <v>178</v>
      </c>
      <c r="CJ9" t="s">
        <v>206</v>
      </c>
      <c r="CK9" t="s">
        <v>214</v>
      </c>
      <c r="CL9" t="s">
        <v>214</v>
      </c>
      <c r="CM9" t="s">
        <v>214</v>
      </c>
      <c r="CN9" t="s">
        <v>172</v>
      </c>
      <c r="CO9" t="s">
        <v>215</v>
      </c>
      <c r="CP9" t="s">
        <v>172</v>
      </c>
      <c r="CQ9" t="s">
        <v>172</v>
      </c>
      <c r="CR9" t="s">
        <v>172</v>
      </c>
      <c r="CS9" t="s">
        <v>172</v>
      </c>
      <c r="CT9" t="s">
        <v>456</v>
      </c>
      <c r="CU9" t="s">
        <v>457</v>
      </c>
      <c r="CV9" t="s">
        <v>458</v>
      </c>
      <c r="CW9" t="s">
        <v>459</v>
      </c>
      <c r="CX9" t="s">
        <v>460</v>
      </c>
      <c r="CY9" t="s">
        <v>461</v>
      </c>
      <c r="CZ9" t="s">
        <v>462</v>
      </c>
      <c r="DA9" t="s">
        <v>463</v>
      </c>
      <c r="DB9" t="s">
        <v>432</v>
      </c>
      <c r="DC9" t="s">
        <v>224</v>
      </c>
      <c r="DD9" t="s">
        <v>225</v>
      </c>
      <c r="DE9" t="s">
        <v>226</v>
      </c>
      <c r="DF9" t="s">
        <v>178</v>
      </c>
      <c r="DG9" t="s">
        <v>227</v>
      </c>
      <c r="DH9" t="s">
        <v>228</v>
      </c>
      <c r="DI9" t="s">
        <v>178</v>
      </c>
      <c r="DJ9" t="s">
        <v>229</v>
      </c>
      <c r="DK9" t="s">
        <v>230</v>
      </c>
      <c r="DL9" t="s">
        <v>231</v>
      </c>
      <c r="DM9" t="s">
        <v>172</v>
      </c>
      <c r="DN9" t="s">
        <v>431</v>
      </c>
      <c r="DO9" t="s">
        <v>232</v>
      </c>
      <c r="DP9" t="s">
        <v>233</v>
      </c>
      <c r="DQ9" t="s">
        <v>234</v>
      </c>
      <c r="DR9" t="s">
        <v>235</v>
      </c>
      <c r="DS9" t="s">
        <v>236</v>
      </c>
      <c r="DT9" t="s">
        <v>237</v>
      </c>
    </row>
    <row r="10" spans="1:124" x14ac:dyDescent="0.7">
      <c r="A10" t="s">
        <v>412</v>
      </c>
      <c r="B10" t="s">
        <v>464</v>
      </c>
      <c r="C10" t="s">
        <v>162</v>
      </c>
      <c r="D10" t="s">
        <v>163</v>
      </c>
      <c r="E10" t="s">
        <v>164</v>
      </c>
      <c r="F10" t="s">
        <v>138</v>
      </c>
      <c r="G10" t="s">
        <v>138</v>
      </c>
      <c r="H10" t="s">
        <v>1481</v>
      </c>
      <c r="I10" t="s">
        <v>465</v>
      </c>
      <c r="J10">
        <f t="shared" si="0"/>
        <v>0.21128819359792794</v>
      </c>
      <c r="K10">
        <f t="shared" si="1"/>
        <v>2.9050319999999994</v>
      </c>
      <c r="L10">
        <f t="shared" si="2"/>
        <v>0.19696273986387711</v>
      </c>
      <c r="M10">
        <f t="shared" si="3"/>
        <v>2.94030735299151</v>
      </c>
      <c r="N10" t="s">
        <v>466</v>
      </c>
      <c r="O10" t="s">
        <v>467</v>
      </c>
      <c r="P10">
        <f t="shared" si="4"/>
        <v>2.6535068423401573</v>
      </c>
      <c r="Q10">
        <f t="shared" si="5"/>
        <v>1.4936628423401572</v>
      </c>
      <c r="R10" t="s">
        <v>468</v>
      </c>
      <c r="S10" t="s">
        <v>469</v>
      </c>
      <c r="T10">
        <f t="shared" si="6"/>
        <v>26.024978838173375</v>
      </c>
      <c r="U10">
        <f t="shared" si="7"/>
        <v>0.4417875</v>
      </c>
      <c r="V10" t="s">
        <v>170</v>
      </c>
      <c r="W10" t="s">
        <v>470</v>
      </c>
      <c r="X10" t="s">
        <v>172</v>
      </c>
      <c r="Y10" t="s">
        <v>172</v>
      </c>
      <c r="Z10" t="s">
        <v>172</v>
      </c>
      <c r="AA10" t="s">
        <v>471</v>
      </c>
      <c r="AB10" t="s">
        <v>472</v>
      </c>
      <c r="AC10" t="s">
        <v>473</v>
      </c>
      <c r="AD10" t="s">
        <v>176</v>
      </c>
      <c r="AE10" t="s">
        <v>177</v>
      </c>
      <c r="AF10">
        <f t="shared" si="8"/>
        <v>121.3264374</v>
      </c>
      <c r="AG10" t="s">
        <v>178</v>
      </c>
      <c r="AH10" t="s">
        <v>474</v>
      </c>
      <c r="AI10" t="s">
        <v>475</v>
      </c>
      <c r="AJ10" t="s">
        <v>476</v>
      </c>
      <c r="AK10" t="s">
        <v>477</v>
      </c>
      <c r="AL10">
        <f t="shared" si="9"/>
        <v>22</v>
      </c>
      <c r="AM10" t="s">
        <v>478</v>
      </c>
      <c r="AN10" t="s">
        <v>302</v>
      </c>
      <c r="AO10" t="s">
        <v>479</v>
      </c>
      <c r="AP10" t="s">
        <v>480</v>
      </c>
      <c r="AQ10" t="s">
        <v>481</v>
      </c>
      <c r="AR10" t="s">
        <v>482</v>
      </c>
      <c r="AS10" t="s">
        <v>483</v>
      </c>
      <c r="AT10" t="s">
        <v>484</v>
      </c>
      <c r="AU10" t="s">
        <v>485</v>
      </c>
      <c r="AV10" t="s">
        <v>486</v>
      </c>
      <c r="AW10" t="s">
        <v>487</v>
      </c>
      <c r="AX10" t="s">
        <v>488</v>
      </c>
      <c r="AY10" t="s">
        <v>489</v>
      </c>
      <c r="AZ10" t="s">
        <v>265</v>
      </c>
      <c r="BA10" t="s">
        <v>406</v>
      </c>
      <c r="BB10" t="s">
        <v>407</v>
      </c>
      <c r="BC10" t="s">
        <v>490</v>
      </c>
      <c r="BD10" t="s">
        <v>162</v>
      </c>
      <c r="BE10" t="s">
        <v>491</v>
      </c>
      <c r="BF10" t="s">
        <v>492</v>
      </c>
      <c r="BG10" t="s">
        <v>493</v>
      </c>
      <c r="BH10" t="s">
        <v>450</v>
      </c>
      <c r="BI10" t="s">
        <v>451</v>
      </c>
      <c r="BJ10" t="s">
        <v>198</v>
      </c>
      <c r="BK10" t="s">
        <v>162</v>
      </c>
      <c r="BL10" t="s">
        <v>199</v>
      </c>
      <c r="BM10" t="s">
        <v>160</v>
      </c>
      <c r="BN10" t="s">
        <v>494</v>
      </c>
      <c r="BO10" t="s">
        <v>200</v>
      </c>
      <c r="BP10" t="s">
        <v>274</v>
      </c>
      <c r="BQ10" t="s">
        <v>495</v>
      </c>
      <c r="BR10" t="s">
        <v>496</v>
      </c>
      <c r="BS10" t="s">
        <v>497</v>
      </c>
      <c r="BT10" t="s">
        <v>160</v>
      </c>
      <c r="BU10" t="s">
        <v>205</v>
      </c>
      <c r="BV10" t="s">
        <v>200</v>
      </c>
      <c r="BW10" t="s">
        <v>206</v>
      </c>
      <c r="BX10" t="s">
        <v>207</v>
      </c>
      <c r="BY10" t="s">
        <v>172</v>
      </c>
      <c r="BZ10" t="s">
        <v>208</v>
      </c>
      <c r="CA10" t="s">
        <v>172</v>
      </c>
      <c r="CB10" t="s">
        <v>172</v>
      </c>
      <c r="CC10" t="s">
        <v>209</v>
      </c>
      <c r="CD10" t="s">
        <v>210</v>
      </c>
      <c r="CE10" t="s">
        <v>197</v>
      </c>
      <c r="CF10" t="s">
        <v>211</v>
      </c>
      <c r="CG10" t="s">
        <v>212</v>
      </c>
      <c r="CH10" t="s">
        <v>213</v>
      </c>
      <c r="CI10" t="s">
        <v>178</v>
      </c>
      <c r="CJ10" t="s">
        <v>206</v>
      </c>
      <c r="CK10" t="s">
        <v>214</v>
      </c>
      <c r="CL10" t="s">
        <v>214</v>
      </c>
      <c r="CM10" t="s">
        <v>214</v>
      </c>
      <c r="CN10" t="s">
        <v>172</v>
      </c>
      <c r="CO10" t="s">
        <v>215</v>
      </c>
      <c r="CP10" t="s">
        <v>172</v>
      </c>
      <c r="CQ10" t="s">
        <v>172</v>
      </c>
      <c r="CR10" t="s">
        <v>172</v>
      </c>
      <c r="CS10" t="s">
        <v>172</v>
      </c>
      <c r="CT10" t="s">
        <v>498</v>
      </c>
      <c r="CU10" t="s">
        <v>499</v>
      </c>
      <c r="CV10" t="s">
        <v>500</v>
      </c>
      <c r="CW10" t="s">
        <v>501</v>
      </c>
      <c r="CX10" t="s">
        <v>502</v>
      </c>
      <c r="CY10" t="s">
        <v>503</v>
      </c>
      <c r="CZ10" t="s">
        <v>504</v>
      </c>
      <c r="DA10" t="s">
        <v>505</v>
      </c>
      <c r="DB10" t="s">
        <v>471</v>
      </c>
      <c r="DC10" t="s">
        <v>286</v>
      </c>
      <c r="DD10" t="s">
        <v>225</v>
      </c>
      <c r="DE10" t="s">
        <v>226</v>
      </c>
      <c r="DF10" t="s">
        <v>178</v>
      </c>
      <c r="DG10" t="s">
        <v>227</v>
      </c>
      <c r="DH10" t="s">
        <v>228</v>
      </c>
      <c r="DI10" t="s">
        <v>178</v>
      </c>
      <c r="DJ10" t="s">
        <v>229</v>
      </c>
      <c r="DK10" t="s">
        <v>230</v>
      </c>
      <c r="DL10" t="s">
        <v>231</v>
      </c>
      <c r="DM10" t="s">
        <v>172</v>
      </c>
      <c r="DN10" t="s">
        <v>470</v>
      </c>
      <c r="DO10" t="s">
        <v>232</v>
      </c>
      <c r="DP10" t="s">
        <v>233</v>
      </c>
      <c r="DQ10" t="s">
        <v>234</v>
      </c>
      <c r="DR10" t="s">
        <v>235</v>
      </c>
      <c r="DS10" t="s">
        <v>236</v>
      </c>
      <c r="DT10" t="s">
        <v>237</v>
      </c>
    </row>
    <row r="11" spans="1:124" x14ac:dyDescent="0.7">
      <c r="A11" t="s">
        <v>319</v>
      </c>
      <c r="B11" t="s">
        <v>506</v>
      </c>
      <c r="C11" t="s">
        <v>162</v>
      </c>
      <c r="D11" t="s">
        <v>163</v>
      </c>
      <c r="E11" t="s">
        <v>164</v>
      </c>
      <c r="F11" t="s">
        <v>138</v>
      </c>
      <c r="G11" t="s">
        <v>138</v>
      </c>
      <c r="H11" t="s">
        <v>1505</v>
      </c>
      <c r="I11" t="s">
        <v>507</v>
      </c>
      <c r="J11">
        <f t="shared" si="0"/>
        <v>0.43108075026789638</v>
      </c>
      <c r="K11">
        <f t="shared" si="1"/>
        <v>2.9042299199999997</v>
      </c>
      <c r="L11">
        <f t="shared" si="2"/>
        <v>0.37536461716278863</v>
      </c>
      <c r="M11">
        <f t="shared" si="3"/>
        <v>5.2806706515751483</v>
      </c>
      <c r="N11" t="s">
        <v>508</v>
      </c>
      <c r="O11" t="s">
        <v>509</v>
      </c>
      <c r="P11">
        <f t="shared" si="4"/>
        <v>2.6421999000260126</v>
      </c>
      <c r="Q11">
        <f t="shared" si="5"/>
        <v>1.4071419000260126</v>
      </c>
      <c r="R11" t="s">
        <v>510</v>
      </c>
      <c r="S11" t="s">
        <v>511</v>
      </c>
      <c r="T11">
        <f t="shared" si="6"/>
        <v>25.914082973970309</v>
      </c>
      <c r="U11">
        <f t="shared" si="7"/>
        <v>0.4417875</v>
      </c>
      <c r="V11" t="s">
        <v>170</v>
      </c>
      <c r="W11" t="s">
        <v>512</v>
      </c>
      <c r="X11" t="s">
        <v>172</v>
      </c>
      <c r="Y11" t="s">
        <v>172</v>
      </c>
      <c r="Z11" t="s">
        <v>172</v>
      </c>
      <c r="AA11" t="s">
        <v>513</v>
      </c>
      <c r="AB11" t="s">
        <v>514</v>
      </c>
      <c r="AC11" t="s">
        <v>515</v>
      </c>
      <c r="AD11" t="s">
        <v>176</v>
      </c>
      <c r="AE11" t="s">
        <v>177</v>
      </c>
      <c r="AF11">
        <f t="shared" si="8"/>
        <v>53.091506160000002</v>
      </c>
      <c r="AG11" t="s">
        <v>178</v>
      </c>
      <c r="AH11" t="s">
        <v>516</v>
      </c>
      <c r="AI11" t="s">
        <v>517</v>
      </c>
      <c r="AJ11" t="s">
        <v>518</v>
      </c>
      <c r="AK11" t="s">
        <v>519</v>
      </c>
      <c r="AL11">
        <f t="shared" si="9"/>
        <v>21.93</v>
      </c>
      <c r="AM11" t="s">
        <v>478</v>
      </c>
      <c r="AN11" t="s">
        <v>254</v>
      </c>
      <c r="AO11" t="s">
        <v>520</v>
      </c>
      <c r="AP11" t="s">
        <v>521</v>
      </c>
      <c r="AQ11" t="s">
        <v>522</v>
      </c>
      <c r="AR11" t="s">
        <v>482</v>
      </c>
      <c r="AS11" t="s">
        <v>523</v>
      </c>
      <c r="AT11" t="s">
        <v>524</v>
      </c>
      <c r="AU11" t="s">
        <v>525</v>
      </c>
      <c r="AV11" t="s">
        <v>526</v>
      </c>
      <c r="AW11" t="s">
        <v>215</v>
      </c>
      <c r="AX11" t="s">
        <v>527</v>
      </c>
      <c r="AY11" t="s">
        <v>528</v>
      </c>
      <c r="AZ11" t="s">
        <v>265</v>
      </c>
      <c r="BA11" t="s">
        <v>529</v>
      </c>
      <c r="BB11" t="s">
        <v>530</v>
      </c>
      <c r="BC11" t="s">
        <v>531</v>
      </c>
      <c r="BD11" t="s">
        <v>162</v>
      </c>
      <c r="BE11" t="s">
        <v>532</v>
      </c>
      <c r="BF11" t="s">
        <v>533</v>
      </c>
      <c r="BG11" t="s">
        <v>534</v>
      </c>
      <c r="BH11" t="s">
        <v>535</v>
      </c>
      <c r="BI11" t="s">
        <v>536</v>
      </c>
      <c r="BJ11" t="s">
        <v>198</v>
      </c>
      <c r="BK11" t="s">
        <v>162</v>
      </c>
      <c r="BL11" t="s">
        <v>199</v>
      </c>
      <c r="BM11" t="s">
        <v>160</v>
      </c>
      <c r="BN11" t="s">
        <v>494</v>
      </c>
      <c r="BO11" t="s">
        <v>200</v>
      </c>
      <c r="BP11" t="s">
        <v>452</v>
      </c>
      <c r="BQ11" t="s">
        <v>537</v>
      </c>
      <c r="BR11" t="s">
        <v>538</v>
      </c>
      <c r="BS11" t="s">
        <v>539</v>
      </c>
      <c r="BT11" t="s">
        <v>160</v>
      </c>
      <c r="BU11" t="s">
        <v>205</v>
      </c>
      <c r="BV11" t="s">
        <v>200</v>
      </c>
      <c r="BW11" t="s">
        <v>206</v>
      </c>
      <c r="BX11" t="s">
        <v>207</v>
      </c>
      <c r="BY11" t="s">
        <v>172</v>
      </c>
      <c r="BZ11" t="s">
        <v>208</v>
      </c>
      <c r="CA11" t="s">
        <v>172</v>
      </c>
      <c r="CB11" t="s">
        <v>172</v>
      </c>
      <c r="CC11" t="s">
        <v>209</v>
      </c>
      <c r="CD11" t="s">
        <v>210</v>
      </c>
      <c r="CE11" t="s">
        <v>197</v>
      </c>
      <c r="CF11" t="s">
        <v>211</v>
      </c>
      <c r="CG11" t="s">
        <v>212</v>
      </c>
      <c r="CH11" t="s">
        <v>213</v>
      </c>
      <c r="CI11" t="s">
        <v>178</v>
      </c>
      <c r="CJ11" t="s">
        <v>206</v>
      </c>
      <c r="CK11" t="s">
        <v>214</v>
      </c>
      <c r="CL11" t="s">
        <v>214</v>
      </c>
      <c r="CM11" t="s">
        <v>214</v>
      </c>
      <c r="CN11" t="s">
        <v>172</v>
      </c>
      <c r="CO11" t="s">
        <v>215</v>
      </c>
      <c r="CP11" t="s">
        <v>172</v>
      </c>
      <c r="CQ11" t="s">
        <v>172</v>
      </c>
      <c r="CR11" t="s">
        <v>172</v>
      </c>
      <c r="CS11" t="s">
        <v>172</v>
      </c>
      <c r="CT11" t="s">
        <v>540</v>
      </c>
      <c r="CU11" t="s">
        <v>541</v>
      </c>
      <c r="CV11" t="s">
        <v>542</v>
      </c>
      <c r="CW11" t="s">
        <v>543</v>
      </c>
      <c r="CX11" t="s">
        <v>544</v>
      </c>
      <c r="CY11" t="s">
        <v>545</v>
      </c>
      <c r="CZ11" t="s">
        <v>546</v>
      </c>
      <c r="DA11" t="s">
        <v>547</v>
      </c>
      <c r="DB11" t="s">
        <v>513</v>
      </c>
      <c r="DC11" t="s">
        <v>548</v>
      </c>
      <c r="DD11" t="s">
        <v>225</v>
      </c>
      <c r="DE11" t="s">
        <v>226</v>
      </c>
      <c r="DF11" t="s">
        <v>178</v>
      </c>
      <c r="DG11" t="s">
        <v>227</v>
      </c>
      <c r="DH11" t="s">
        <v>228</v>
      </c>
      <c r="DI11" t="s">
        <v>178</v>
      </c>
      <c r="DJ11" t="s">
        <v>229</v>
      </c>
      <c r="DK11" t="s">
        <v>230</v>
      </c>
      <c r="DL11" t="s">
        <v>231</v>
      </c>
      <c r="DM11" t="s">
        <v>172</v>
      </c>
      <c r="DN11" t="s">
        <v>512</v>
      </c>
      <c r="DO11" t="s">
        <v>232</v>
      </c>
      <c r="DP11" t="s">
        <v>233</v>
      </c>
      <c r="DQ11" t="s">
        <v>234</v>
      </c>
      <c r="DR11" t="s">
        <v>235</v>
      </c>
      <c r="DS11" t="s">
        <v>236</v>
      </c>
      <c r="DT11" t="s">
        <v>237</v>
      </c>
    </row>
    <row r="12" spans="1:124" x14ac:dyDescent="0.7">
      <c r="A12" t="s">
        <v>450</v>
      </c>
      <c r="B12" t="s">
        <v>549</v>
      </c>
      <c r="C12" t="s">
        <v>162</v>
      </c>
      <c r="D12" t="s">
        <v>163</v>
      </c>
      <c r="E12" t="s">
        <v>164</v>
      </c>
      <c r="F12" t="s">
        <v>138</v>
      </c>
      <c r="G12" t="s">
        <v>138</v>
      </c>
      <c r="H12" t="s">
        <v>1484</v>
      </c>
      <c r="I12" t="s">
        <v>550</v>
      </c>
      <c r="J12">
        <f t="shared" si="0"/>
        <v>0.3722529577478304</v>
      </c>
      <c r="K12">
        <f t="shared" si="1"/>
        <v>2.9042299199999997</v>
      </c>
      <c r="L12">
        <f t="shared" si="2"/>
        <v>0.32995996562108409</v>
      </c>
      <c r="M12">
        <f t="shared" si="3"/>
        <v>5.6016083313694809</v>
      </c>
      <c r="N12" t="s">
        <v>551</v>
      </c>
      <c r="O12" t="s">
        <v>552</v>
      </c>
      <c r="P12">
        <f t="shared" si="4"/>
        <v>2.9044410386912718</v>
      </c>
      <c r="Q12">
        <f t="shared" si="5"/>
        <v>1.6958280386912719</v>
      </c>
      <c r="R12" t="s">
        <v>553</v>
      </c>
      <c r="S12" t="s">
        <v>554</v>
      </c>
      <c r="T12">
        <f t="shared" si="6"/>
        <v>28.488877279953623</v>
      </c>
      <c r="U12">
        <f t="shared" si="7"/>
        <v>0.4417875</v>
      </c>
      <c r="V12" t="s">
        <v>170</v>
      </c>
      <c r="W12" t="s">
        <v>555</v>
      </c>
      <c r="X12" t="s">
        <v>172</v>
      </c>
      <c r="Y12" t="s">
        <v>172</v>
      </c>
      <c r="Z12" t="s">
        <v>172</v>
      </c>
      <c r="AA12" t="s">
        <v>556</v>
      </c>
      <c r="AB12" t="s">
        <v>557</v>
      </c>
      <c r="AC12" t="s">
        <v>558</v>
      </c>
      <c r="AD12" t="s">
        <v>176</v>
      </c>
      <c r="AE12" t="s">
        <v>177</v>
      </c>
      <c r="AF12">
        <f t="shared" si="8"/>
        <v>137.90592269999999</v>
      </c>
      <c r="AG12" t="s">
        <v>178</v>
      </c>
      <c r="AH12" t="s">
        <v>559</v>
      </c>
      <c r="AI12" t="s">
        <v>560</v>
      </c>
      <c r="AJ12" t="s">
        <v>561</v>
      </c>
      <c r="AK12" t="s">
        <v>562</v>
      </c>
      <c r="AL12">
        <f t="shared" si="9"/>
        <v>23.49</v>
      </c>
      <c r="AM12" t="s">
        <v>394</v>
      </c>
      <c r="AN12" t="s">
        <v>254</v>
      </c>
      <c r="AO12" t="s">
        <v>563</v>
      </c>
      <c r="AP12" t="s">
        <v>564</v>
      </c>
      <c r="AQ12" t="s">
        <v>565</v>
      </c>
      <c r="AR12" t="s">
        <v>566</v>
      </c>
      <c r="AS12" t="s">
        <v>567</v>
      </c>
      <c r="AT12" t="s">
        <v>568</v>
      </c>
      <c r="AU12" t="s">
        <v>569</v>
      </c>
      <c r="AV12" t="s">
        <v>570</v>
      </c>
      <c r="AW12" t="s">
        <v>571</v>
      </c>
      <c r="AX12" t="s">
        <v>572</v>
      </c>
      <c r="AY12" t="s">
        <v>573</v>
      </c>
      <c r="AZ12" t="s">
        <v>265</v>
      </c>
      <c r="BA12" t="s">
        <v>574</v>
      </c>
      <c r="BB12" t="s">
        <v>575</v>
      </c>
      <c r="BC12" t="s">
        <v>576</v>
      </c>
      <c r="BD12" t="s">
        <v>162</v>
      </c>
      <c r="BE12" t="s">
        <v>577</v>
      </c>
      <c r="BF12" t="s">
        <v>578</v>
      </c>
      <c r="BG12" t="s">
        <v>364</v>
      </c>
      <c r="BH12" t="s">
        <v>535</v>
      </c>
      <c r="BI12" t="s">
        <v>536</v>
      </c>
      <c r="BJ12" t="s">
        <v>198</v>
      </c>
      <c r="BK12" t="s">
        <v>162</v>
      </c>
      <c r="BL12" t="s">
        <v>199</v>
      </c>
      <c r="BM12" t="s">
        <v>160</v>
      </c>
      <c r="BN12" t="s">
        <v>201</v>
      </c>
      <c r="BO12" t="s">
        <v>321</v>
      </c>
      <c r="BP12" t="s">
        <v>366</v>
      </c>
      <c r="BQ12" t="s">
        <v>579</v>
      </c>
      <c r="BR12" t="s">
        <v>580</v>
      </c>
      <c r="BS12" t="s">
        <v>581</v>
      </c>
      <c r="BT12" t="s">
        <v>160</v>
      </c>
      <c r="BU12" t="s">
        <v>205</v>
      </c>
      <c r="BV12" t="s">
        <v>200</v>
      </c>
      <c r="BW12" t="s">
        <v>206</v>
      </c>
      <c r="BX12" t="s">
        <v>207</v>
      </c>
      <c r="BY12" t="s">
        <v>172</v>
      </c>
      <c r="BZ12" t="s">
        <v>208</v>
      </c>
      <c r="CA12" t="s">
        <v>172</v>
      </c>
      <c r="CB12" t="s">
        <v>172</v>
      </c>
      <c r="CC12" t="s">
        <v>209</v>
      </c>
      <c r="CD12" t="s">
        <v>210</v>
      </c>
      <c r="CE12" t="s">
        <v>197</v>
      </c>
      <c r="CF12" t="s">
        <v>211</v>
      </c>
      <c r="CG12" t="s">
        <v>212</v>
      </c>
      <c r="CH12" t="s">
        <v>213</v>
      </c>
      <c r="CI12" t="s">
        <v>178</v>
      </c>
      <c r="CJ12" t="s">
        <v>206</v>
      </c>
      <c r="CK12" t="s">
        <v>214</v>
      </c>
      <c r="CL12" t="s">
        <v>214</v>
      </c>
      <c r="CM12" t="s">
        <v>214</v>
      </c>
      <c r="CN12" t="s">
        <v>172</v>
      </c>
      <c r="CO12" t="s">
        <v>215</v>
      </c>
      <c r="CP12" t="s">
        <v>172</v>
      </c>
      <c r="CQ12" t="s">
        <v>172</v>
      </c>
      <c r="CR12" t="s">
        <v>172</v>
      </c>
      <c r="CS12" t="s">
        <v>172</v>
      </c>
      <c r="CT12" t="s">
        <v>582</v>
      </c>
      <c r="CU12" t="s">
        <v>583</v>
      </c>
      <c r="CV12" t="s">
        <v>584</v>
      </c>
      <c r="CW12" t="s">
        <v>585</v>
      </c>
      <c r="CX12" t="s">
        <v>586</v>
      </c>
      <c r="CY12" t="s">
        <v>587</v>
      </c>
      <c r="CZ12" t="s">
        <v>588</v>
      </c>
      <c r="DA12" t="s">
        <v>589</v>
      </c>
      <c r="DB12" t="s">
        <v>556</v>
      </c>
      <c r="DC12" t="s">
        <v>590</v>
      </c>
      <c r="DD12" t="s">
        <v>225</v>
      </c>
      <c r="DE12" t="s">
        <v>226</v>
      </c>
      <c r="DF12" t="s">
        <v>178</v>
      </c>
      <c r="DG12" t="s">
        <v>227</v>
      </c>
      <c r="DH12" t="s">
        <v>228</v>
      </c>
      <c r="DI12" t="s">
        <v>178</v>
      </c>
      <c r="DJ12" t="s">
        <v>229</v>
      </c>
      <c r="DK12" t="s">
        <v>230</v>
      </c>
      <c r="DL12" t="s">
        <v>231</v>
      </c>
      <c r="DM12" t="s">
        <v>172</v>
      </c>
      <c r="DN12" t="s">
        <v>555</v>
      </c>
      <c r="DO12" t="s">
        <v>232</v>
      </c>
      <c r="DP12" t="s">
        <v>233</v>
      </c>
      <c r="DQ12" t="s">
        <v>234</v>
      </c>
      <c r="DR12" t="s">
        <v>235</v>
      </c>
      <c r="DS12" t="s">
        <v>236</v>
      </c>
      <c r="DT12" t="s">
        <v>237</v>
      </c>
    </row>
    <row r="13" spans="1:124" x14ac:dyDescent="0.7">
      <c r="A13" t="s">
        <v>535</v>
      </c>
      <c r="B13" t="s">
        <v>591</v>
      </c>
      <c r="C13" t="s">
        <v>162</v>
      </c>
      <c r="D13" t="s">
        <v>163</v>
      </c>
      <c r="E13" t="s">
        <v>164</v>
      </c>
      <c r="F13" t="s">
        <v>138</v>
      </c>
      <c r="G13" t="s">
        <v>138</v>
      </c>
      <c r="H13" t="s">
        <v>1488</v>
      </c>
      <c r="I13" t="s">
        <v>592</v>
      </c>
      <c r="J13">
        <f t="shared" si="0"/>
        <v>0.37500906635958853</v>
      </c>
      <c r="K13">
        <f t="shared" si="1"/>
        <v>2.9058327199999998</v>
      </c>
      <c r="L13">
        <f t="shared" si="2"/>
        <v>0.33214451847538989</v>
      </c>
      <c r="M13">
        <f t="shared" si="3"/>
        <v>6.0379020305420861</v>
      </c>
      <c r="N13" t="s">
        <v>593</v>
      </c>
      <c r="O13" t="s">
        <v>594</v>
      </c>
      <c r="P13">
        <f t="shared" si="4"/>
        <v>3.0713744369907809</v>
      </c>
      <c r="Q13">
        <f t="shared" si="5"/>
        <v>1.8139044369907809</v>
      </c>
      <c r="R13" t="s">
        <v>595</v>
      </c>
      <c r="S13" t="s">
        <v>596</v>
      </c>
      <c r="T13">
        <f t="shared" si="6"/>
        <v>30.126281873376961</v>
      </c>
      <c r="U13">
        <f t="shared" si="7"/>
        <v>0.4417875</v>
      </c>
      <c r="V13" t="s">
        <v>170</v>
      </c>
      <c r="W13" t="s">
        <v>597</v>
      </c>
      <c r="X13" t="s">
        <v>172</v>
      </c>
      <c r="Y13" t="s">
        <v>172</v>
      </c>
      <c r="Z13" t="s">
        <v>172</v>
      </c>
      <c r="AA13" t="s">
        <v>598</v>
      </c>
      <c r="AB13" t="s">
        <v>599</v>
      </c>
      <c r="AC13" t="s">
        <v>600</v>
      </c>
      <c r="AD13" t="s">
        <v>176</v>
      </c>
      <c r="AE13" t="s">
        <v>177</v>
      </c>
      <c r="AF13">
        <f t="shared" si="8"/>
        <v>185.20749240000001</v>
      </c>
      <c r="AG13" t="s">
        <v>178</v>
      </c>
      <c r="AH13" t="s">
        <v>601</v>
      </c>
      <c r="AI13" t="s">
        <v>602</v>
      </c>
      <c r="AJ13" t="s">
        <v>603</v>
      </c>
      <c r="AK13" t="s">
        <v>604</v>
      </c>
      <c r="AL13">
        <f t="shared" si="9"/>
        <v>24.42</v>
      </c>
      <c r="AM13" t="s">
        <v>394</v>
      </c>
      <c r="AN13" t="s">
        <v>479</v>
      </c>
      <c r="AO13" t="s">
        <v>520</v>
      </c>
      <c r="AP13" t="s">
        <v>605</v>
      </c>
      <c r="AQ13" t="s">
        <v>606</v>
      </c>
      <c r="AR13" t="s">
        <v>607</v>
      </c>
      <c r="AS13" t="s">
        <v>608</v>
      </c>
      <c r="AT13" t="s">
        <v>609</v>
      </c>
      <c r="AU13" t="s">
        <v>525</v>
      </c>
      <c r="AV13" t="s">
        <v>610</v>
      </c>
      <c r="AW13" t="s">
        <v>611</v>
      </c>
      <c r="AX13" t="s">
        <v>612</v>
      </c>
      <c r="AY13" t="s">
        <v>613</v>
      </c>
      <c r="AZ13" t="s">
        <v>265</v>
      </c>
      <c r="BA13" t="s">
        <v>574</v>
      </c>
      <c r="BB13" t="s">
        <v>575</v>
      </c>
      <c r="BC13" t="s">
        <v>614</v>
      </c>
      <c r="BD13" t="s">
        <v>162</v>
      </c>
      <c r="BE13" t="s">
        <v>577</v>
      </c>
      <c r="BF13" t="s">
        <v>317</v>
      </c>
      <c r="BG13" t="s">
        <v>449</v>
      </c>
      <c r="BH13" t="s">
        <v>535</v>
      </c>
      <c r="BI13" t="s">
        <v>615</v>
      </c>
      <c r="BJ13" t="s">
        <v>198</v>
      </c>
      <c r="BK13" t="s">
        <v>162</v>
      </c>
      <c r="BL13" t="s">
        <v>199</v>
      </c>
      <c r="BM13" t="s">
        <v>160</v>
      </c>
      <c r="BN13" t="s">
        <v>200</v>
      </c>
      <c r="BO13" t="s">
        <v>201</v>
      </c>
      <c r="BP13" t="s">
        <v>616</v>
      </c>
      <c r="BQ13" t="s">
        <v>617</v>
      </c>
      <c r="BR13" t="s">
        <v>618</v>
      </c>
      <c r="BS13" t="s">
        <v>619</v>
      </c>
      <c r="BT13" t="s">
        <v>160</v>
      </c>
      <c r="BU13" t="s">
        <v>205</v>
      </c>
      <c r="BV13" t="s">
        <v>200</v>
      </c>
      <c r="BW13" t="s">
        <v>206</v>
      </c>
      <c r="BX13" t="s">
        <v>207</v>
      </c>
      <c r="BY13" t="s">
        <v>172</v>
      </c>
      <c r="BZ13" t="s">
        <v>208</v>
      </c>
      <c r="CA13" t="s">
        <v>172</v>
      </c>
      <c r="CB13" t="s">
        <v>172</v>
      </c>
      <c r="CC13" t="s">
        <v>209</v>
      </c>
      <c r="CD13" t="s">
        <v>210</v>
      </c>
      <c r="CE13" t="s">
        <v>197</v>
      </c>
      <c r="CF13" t="s">
        <v>211</v>
      </c>
      <c r="CG13" t="s">
        <v>212</v>
      </c>
      <c r="CH13" t="s">
        <v>213</v>
      </c>
      <c r="CI13" t="s">
        <v>178</v>
      </c>
      <c r="CJ13" t="s">
        <v>206</v>
      </c>
      <c r="CK13" t="s">
        <v>214</v>
      </c>
      <c r="CL13" t="s">
        <v>214</v>
      </c>
      <c r="CM13" t="s">
        <v>214</v>
      </c>
      <c r="CN13" t="s">
        <v>172</v>
      </c>
      <c r="CO13" t="s">
        <v>215</v>
      </c>
      <c r="CP13" t="s">
        <v>172</v>
      </c>
      <c r="CQ13" t="s">
        <v>172</v>
      </c>
      <c r="CR13" t="s">
        <v>172</v>
      </c>
      <c r="CS13" t="s">
        <v>172</v>
      </c>
      <c r="CT13" t="s">
        <v>620</v>
      </c>
      <c r="CU13" t="s">
        <v>621</v>
      </c>
      <c r="CV13" t="s">
        <v>622</v>
      </c>
      <c r="CW13" t="s">
        <v>623</v>
      </c>
      <c r="CX13" t="s">
        <v>624</v>
      </c>
      <c r="CY13" t="s">
        <v>625</v>
      </c>
      <c r="CZ13" t="s">
        <v>626</v>
      </c>
      <c r="DA13" t="s">
        <v>627</v>
      </c>
      <c r="DB13" t="s">
        <v>598</v>
      </c>
      <c r="DC13" t="s">
        <v>628</v>
      </c>
      <c r="DD13" t="s">
        <v>225</v>
      </c>
      <c r="DE13" t="s">
        <v>226</v>
      </c>
      <c r="DF13" t="s">
        <v>178</v>
      </c>
      <c r="DG13" t="s">
        <v>227</v>
      </c>
      <c r="DH13" t="s">
        <v>228</v>
      </c>
      <c r="DI13" t="s">
        <v>178</v>
      </c>
      <c r="DJ13" t="s">
        <v>229</v>
      </c>
      <c r="DK13" t="s">
        <v>230</v>
      </c>
      <c r="DL13" t="s">
        <v>231</v>
      </c>
      <c r="DM13" t="s">
        <v>172</v>
      </c>
      <c r="DN13" t="s">
        <v>597</v>
      </c>
      <c r="DO13" t="s">
        <v>232</v>
      </c>
      <c r="DP13" t="s">
        <v>233</v>
      </c>
      <c r="DQ13" t="s">
        <v>234</v>
      </c>
      <c r="DR13" t="s">
        <v>235</v>
      </c>
      <c r="DS13" t="s">
        <v>236</v>
      </c>
      <c r="DT13" t="s">
        <v>237</v>
      </c>
    </row>
    <row r="14" spans="1:124" x14ac:dyDescent="0.7">
      <c r="A14" t="s">
        <v>629</v>
      </c>
      <c r="B14" t="s">
        <v>630</v>
      </c>
      <c r="C14" t="s">
        <v>162</v>
      </c>
      <c r="D14" t="s">
        <v>163</v>
      </c>
      <c r="E14" t="s">
        <v>164</v>
      </c>
      <c r="F14" t="s">
        <v>138</v>
      </c>
      <c r="G14" t="s">
        <v>138</v>
      </c>
      <c r="H14" t="s">
        <v>1485</v>
      </c>
      <c r="I14" t="s">
        <v>631</v>
      </c>
      <c r="J14">
        <f t="shared" si="0"/>
        <v>0.44295250510219752</v>
      </c>
      <c r="K14">
        <f t="shared" si="1"/>
        <v>2.9058327199999998</v>
      </c>
      <c r="L14">
        <f t="shared" si="2"/>
        <v>0.3843620286794151</v>
      </c>
      <c r="M14">
        <f t="shared" si="3"/>
        <v>6.3202195501245493</v>
      </c>
      <c r="N14" t="s">
        <v>632</v>
      </c>
      <c r="O14" t="s">
        <v>633</v>
      </c>
      <c r="P14">
        <f t="shared" si="4"/>
        <v>2.8834902441527417</v>
      </c>
      <c r="Q14">
        <f t="shared" si="5"/>
        <v>1.6427062441527416</v>
      </c>
      <c r="R14" t="s">
        <v>634</v>
      </c>
      <c r="S14" t="s">
        <v>635</v>
      </c>
      <c r="T14">
        <f t="shared" si="6"/>
        <v>28.280602629979814</v>
      </c>
      <c r="U14">
        <f t="shared" si="7"/>
        <v>0.4417875</v>
      </c>
      <c r="V14" t="s">
        <v>170</v>
      </c>
      <c r="W14" t="s">
        <v>636</v>
      </c>
      <c r="X14" t="s">
        <v>172</v>
      </c>
      <c r="Y14" t="s">
        <v>172</v>
      </c>
      <c r="Z14" t="s">
        <v>172</v>
      </c>
      <c r="AA14" t="s">
        <v>637</v>
      </c>
      <c r="AB14" t="s">
        <v>638</v>
      </c>
      <c r="AC14" t="s">
        <v>639</v>
      </c>
      <c r="AD14" t="s">
        <v>176</v>
      </c>
      <c r="AE14" t="s">
        <v>177</v>
      </c>
      <c r="AF14">
        <f t="shared" si="8"/>
        <v>185.70928656000001</v>
      </c>
      <c r="AG14" t="s">
        <v>178</v>
      </c>
      <c r="AH14" t="s">
        <v>640</v>
      </c>
      <c r="AI14" t="s">
        <v>641</v>
      </c>
      <c r="AJ14" t="s">
        <v>642</v>
      </c>
      <c r="AK14" t="s">
        <v>643</v>
      </c>
      <c r="AL14">
        <f t="shared" si="9"/>
        <v>23.37</v>
      </c>
      <c r="AM14" t="s">
        <v>478</v>
      </c>
      <c r="AN14" t="s">
        <v>479</v>
      </c>
      <c r="AO14" t="s">
        <v>644</v>
      </c>
      <c r="AP14" t="s">
        <v>645</v>
      </c>
      <c r="AQ14" t="s">
        <v>646</v>
      </c>
      <c r="AR14" t="s">
        <v>607</v>
      </c>
      <c r="AS14" t="s">
        <v>647</v>
      </c>
      <c r="AT14" t="s">
        <v>648</v>
      </c>
      <c r="AU14" t="s">
        <v>649</v>
      </c>
      <c r="AV14" t="s">
        <v>650</v>
      </c>
      <c r="AW14" t="s">
        <v>651</v>
      </c>
      <c r="AX14" t="s">
        <v>652</v>
      </c>
      <c r="AY14" t="s">
        <v>653</v>
      </c>
      <c r="AZ14" t="s">
        <v>265</v>
      </c>
      <c r="BA14" t="s">
        <v>574</v>
      </c>
      <c r="BB14" t="s">
        <v>575</v>
      </c>
      <c r="BC14" t="s">
        <v>654</v>
      </c>
      <c r="BD14" t="s">
        <v>162</v>
      </c>
      <c r="BE14" t="s">
        <v>491</v>
      </c>
      <c r="BF14" t="s">
        <v>655</v>
      </c>
      <c r="BG14" t="s">
        <v>364</v>
      </c>
      <c r="BH14" t="s">
        <v>629</v>
      </c>
      <c r="BI14" t="s">
        <v>656</v>
      </c>
      <c r="BJ14" t="s">
        <v>198</v>
      </c>
      <c r="BK14" t="s">
        <v>162</v>
      </c>
      <c r="BL14" t="s">
        <v>199</v>
      </c>
      <c r="BM14" t="s">
        <v>160</v>
      </c>
      <c r="BN14" t="s">
        <v>200</v>
      </c>
      <c r="BO14" t="s">
        <v>200</v>
      </c>
      <c r="BP14" t="s">
        <v>366</v>
      </c>
      <c r="BQ14" t="s">
        <v>657</v>
      </c>
      <c r="BR14" t="s">
        <v>658</v>
      </c>
      <c r="BS14" t="s">
        <v>659</v>
      </c>
      <c r="BT14" t="s">
        <v>160</v>
      </c>
      <c r="BU14" t="s">
        <v>205</v>
      </c>
      <c r="BV14" t="s">
        <v>200</v>
      </c>
      <c r="BW14" t="s">
        <v>206</v>
      </c>
      <c r="BX14" t="s">
        <v>207</v>
      </c>
      <c r="BY14" t="s">
        <v>172</v>
      </c>
      <c r="BZ14" t="s">
        <v>208</v>
      </c>
      <c r="CA14" t="s">
        <v>172</v>
      </c>
      <c r="CB14" t="s">
        <v>172</v>
      </c>
      <c r="CC14" t="s">
        <v>209</v>
      </c>
      <c r="CD14" t="s">
        <v>210</v>
      </c>
      <c r="CE14" t="s">
        <v>197</v>
      </c>
      <c r="CF14" t="s">
        <v>211</v>
      </c>
      <c r="CG14" t="s">
        <v>212</v>
      </c>
      <c r="CH14" t="s">
        <v>213</v>
      </c>
      <c r="CI14" t="s">
        <v>178</v>
      </c>
      <c r="CJ14" t="s">
        <v>206</v>
      </c>
      <c r="CK14" t="s">
        <v>214</v>
      </c>
      <c r="CL14" t="s">
        <v>214</v>
      </c>
      <c r="CM14" t="s">
        <v>214</v>
      </c>
      <c r="CN14" t="s">
        <v>172</v>
      </c>
      <c r="CO14" t="s">
        <v>215</v>
      </c>
      <c r="CP14" t="s">
        <v>172</v>
      </c>
      <c r="CQ14" t="s">
        <v>172</v>
      </c>
      <c r="CR14" t="s">
        <v>172</v>
      </c>
      <c r="CS14" t="s">
        <v>172</v>
      </c>
      <c r="CT14" t="s">
        <v>660</v>
      </c>
      <c r="CU14" t="s">
        <v>661</v>
      </c>
      <c r="CV14" t="s">
        <v>662</v>
      </c>
      <c r="CW14" t="s">
        <v>663</v>
      </c>
      <c r="CX14" t="s">
        <v>664</v>
      </c>
      <c r="CY14" t="s">
        <v>665</v>
      </c>
      <c r="CZ14" t="s">
        <v>666</v>
      </c>
      <c r="DA14" t="s">
        <v>667</v>
      </c>
      <c r="DB14" t="s">
        <v>637</v>
      </c>
      <c r="DC14" t="s">
        <v>668</v>
      </c>
      <c r="DD14" t="s">
        <v>225</v>
      </c>
      <c r="DE14" t="s">
        <v>226</v>
      </c>
      <c r="DF14" t="s">
        <v>178</v>
      </c>
      <c r="DG14" t="s">
        <v>227</v>
      </c>
      <c r="DH14" t="s">
        <v>228</v>
      </c>
      <c r="DI14" t="s">
        <v>178</v>
      </c>
      <c r="DJ14" t="s">
        <v>229</v>
      </c>
      <c r="DK14" t="s">
        <v>230</v>
      </c>
      <c r="DL14" t="s">
        <v>231</v>
      </c>
      <c r="DM14" t="s">
        <v>172</v>
      </c>
      <c r="DN14" t="s">
        <v>636</v>
      </c>
      <c r="DO14" t="s">
        <v>232</v>
      </c>
      <c r="DP14" t="s">
        <v>233</v>
      </c>
      <c r="DQ14" t="s">
        <v>234</v>
      </c>
      <c r="DR14" t="s">
        <v>235</v>
      </c>
      <c r="DS14" t="s">
        <v>236</v>
      </c>
      <c r="DT14" t="s">
        <v>237</v>
      </c>
    </row>
    <row r="15" spans="1:124" x14ac:dyDescent="0.7">
      <c r="A15" t="s">
        <v>669</v>
      </c>
      <c r="B15" t="s">
        <v>670</v>
      </c>
      <c r="C15" t="s">
        <v>162</v>
      </c>
      <c r="D15" t="s">
        <v>163</v>
      </c>
      <c r="E15" t="s">
        <v>164</v>
      </c>
      <c r="F15" t="s">
        <v>138</v>
      </c>
      <c r="G15" t="s">
        <v>138</v>
      </c>
      <c r="H15" t="s">
        <v>1489</v>
      </c>
      <c r="I15" t="s">
        <v>671</v>
      </c>
      <c r="J15">
        <f t="shared" si="0"/>
        <v>0.42571951138813069</v>
      </c>
      <c r="K15">
        <f t="shared" si="1"/>
        <v>2.9058327199999998</v>
      </c>
      <c r="L15">
        <f t="shared" si="2"/>
        <v>0.37131931298540771</v>
      </c>
      <c r="M15">
        <f t="shared" si="3"/>
        <v>6.0925256240557744</v>
      </c>
      <c r="N15" t="s">
        <v>672</v>
      </c>
      <c r="O15" t="s">
        <v>673</v>
      </c>
      <c r="P15">
        <f t="shared" si="4"/>
        <v>2.8661323420907685</v>
      </c>
      <c r="Q15">
        <f t="shared" si="5"/>
        <v>1.6393443420907685</v>
      </c>
      <c r="R15" t="s">
        <v>674</v>
      </c>
      <c r="S15" t="s">
        <v>675</v>
      </c>
      <c r="T15">
        <f t="shared" si="6"/>
        <v>28.110360357892983</v>
      </c>
      <c r="U15">
        <f t="shared" si="7"/>
        <v>0.4417875</v>
      </c>
      <c r="V15" t="s">
        <v>170</v>
      </c>
      <c r="W15" t="s">
        <v>676</v>
      </c>
      <c r="X15" t="s">
        <v>172</v>
      </c>
      <c r="Y15" t="s">
        <v>172</v>
      </c>
      <c r="Z15" t="s">
        <v>172</v>
      </c>
      <c r="AA15" t="s">
        <v>677</v>
      </c>
      <c r="AB15" t="s">
        <v>678</v>
      </c>
      <c r="AC15" t="s">
        <v>679</v>
      </c>
      <c r="AD15" t="s">
        <v>176</v>
      </c>
      <c r="AE15" t="s">
        <v>177</v>
      </c>
      <c r="AF15">
        <f t="shared" si="8"/>
        <v>247.36832189999998</v>
      </c>
      <c r="AG15" t="s">
        <v>178</v>
      </c>
      <c r="AH15" t="s">
        <v>680</v>
      </c>
      <c r="AI15" t="s">
        <v>681</v>
      </c>
      <c r="AJ15" t="s">
        <v>682</v>
      </c>
      <c r="AK15" t="s">
        <v>683</v>
      </c>
      <c r="AL15">
        <f t="shared" si="9"/>
        <v>23.27</v>
      </c>
      <c r="AM15" t="s">
        <v>478</v>
      </c>
      <c r="AN15" t="s">
        <v>479</v>
      </c>
      <c r="AO15" t="s">
        <v>684</v>
      </c>
      <c r="AP15" t="s">
        <v>685</v>
      </c>
      <c r="AQ15" t="s">
        <v>686</v>
      </c>
      <c r="AR15" t="s">
        <v>687</v>
      </c>
      <c r="AS15" t="s">
        <v>688</v>
      </c>
      <c r="AT15" t="s">
        <v>443</v>
      </c>
      <c r="AU15" t="s">
        <v>689</v>
      </c>
      <c r="AV15" t="s">
        <v>690</v>
      </c>
      <c r="AW15" t="s">
        <v>691</v>
      </c>
      <c r="AX15" t="s">
        <v>692</v>
      </c>
      <c r="AY15" t="s">
        <v>693</v>
      </c>
      <c r="AZ15" t="s">
        <v>265</v>
      </c>
      <c r="BA15" t="s">
        <v>694</v>
      </c>
      <c r="BB15" t="s">
        <v>695</v>
      </c>
      <c r="BC15" t="s">
        <v>696</v>
      </c>
      <c r="BD15" t="s">
        <v>162</v>
      </c>
      <c r="BE15" t="s">
        <v>697</v>
      </c>
      <c r="BF15" t="s">
        <v>317</v>
      </c>
      <c r="BG15" t="s">
        <v>364</v>
      </c>
      <c r="BH15" t="s">
        <v>535</v>
      </c>
      <c r="BI15" t="s">
        <v>698</v>
      </c>
      <c r="BJ15" t="s">
        <v>198</v>
      </c>
      <c r="BK15" t="s">
        <v>162</v>
      </c>
      <c r="BL15" t="s">
        <v>199</v>
      </c>
      <c r="BM15" t="s">
        <v>160</v>
      </c>
      <c r="BN15" t="s">
        <v>200</v>
      </c>
      <c r="BO15" t="s">
        <v>321</v>
      </c>
      <c r="BP15" t="s">
        <v>322</v>
      </c>
      <c r="BQ15" t="s">
        <v>699</v>
      </c>
      <c r="BR15" t="s">
        <v>700</v>
      </c>
      <c r="BS15" t="s">
        <v>701</v>
      </c>
      <c r="BT15" t="s">
        <v>160</v>
      </c>
      <c r="BU15" t="s">
        <v>205</v>
      </c>
      <c r="BV15" t="s">
        <v>200</v>
      </c>
      <c r="BW15" t="s">
        <v>206</v>
      </c>
      <c r="BX15" t="s">
        <v>207</v>
      </c>
      <c r="BY15" t="s">
        <v>172</v>
      </c>
      <c r="BZ15" t="s">
        <v>208</v>
      </c>
      <c r="CA15" t="s">
        <v>172</v>
      </c>
      <c r="CB15" t="s">
        <v>172</v>
      </c>
      <c r="CC15" t="s">
        <v>209</v>
      </c>
      <c r="CD15" t="s">
        <v>210</v>
      </c>
      <c r="CE15" t="s">
        <v>197</v>
      </c>
      <c r="CF15" t="s">
        <v>211</v>
      </c>
      <c r="CG15" t="s">
        <v>212</v>
      </c>
      <c r="CH15" t="s">
        <v>213</v>
      </c>
      <c r="CI15" t="s">
        <v>178</v>
      </c>
      <c r="CJ15" t="s">
        <v>206</v>
      </c>
      <c r="CK15" t="s">
        <v>214</v>
      </c>
      <c r="CL15" t="s">
        <v>214</v>
      </c>
      <c r="CM15" t="s">
        <v>214</v>
      </c>
      <c r="CN15" t="s">
        <v>172</v>
      </c>
      <c r="CO15" t="s">
        <v>215</v>
      </c>
      <c r="CP15" t="s">
        <v>172</v>
      </c>
      <c r="CQ15" t="s">
        <v>172</v>
      </c>
      <c r="CR15" t="s">
        <v>172</v>
      </c>
      <c r="CS15" t="s">
        <v>172</v>
      </c>
      <c r="CT15" t="s">
        <v>702</v>
      </c>
      <c r="CU15" t="s">
        <v>703</v>
      </c>
      <c r="CV15" t="s">
        <v>704</v>
      </c>
      <c r="CW15" t="s">
        <v>705</v>
      </c>
      <c r="CX15" t="s">
        <v>706</v>
      </c>
      <c r="CY15" t="s">
        <v>707</v>
      </c>
      <c r="CZ15" t="s">
        <v>708</v>
      </c>
      <c r="DA15" t="s">
        <v>709</v>
      </c>
      <c r="DB15" t="s">
        <v>677</v>
      </c>
      <c r="DC15" t="s">
        <v>668</v>
      </c>
      <c r="DD15" t="s">
        <v>225</v>
      </c>
      <c r="DE15" t="s">
        <v>226</v>
      </c>
      <c r="DF15" t="s">
        <v>178</v>
      </c>
      <c r="DG15" t="s">
        <v>227</v>
      </c>
      <c r="DH15" t="s">
        <v>228</v>
      </c>
      <c r="DI15" t="s">
        <v>178</v>
      </c>
      <c r="DJ15" t="s">
        <v>229</v>
      </c>
      <c r="DK15" t="s">
        <v>230</v>
      </c>
      <c r="DL15" t="s">
        <v>231</v>
      </c>
      <c r="DM15" t="s">
        <v>172</v>
      </c>
      <c r="DN15" t="s">
        <v>676</v>
      </c>
      <c r="DO15" t="s">
        <v>232</v>
      </c>
      <c r="DP15" t="s">
        <v>233</v>
      </c>
      <c r="DQ15" t="s">
        <v>234</v>
      </c>
      <c r="DR15" t="s">
        <v>235</v>
      </c>
      <c r="DS15" t="s">
        <v>236</v>
      </c>
      <c r="DT15" t="s">
        <v>237</v>
      </c>
    </row>
    <row r="16" spans="1:124" x14ac:dyDescent="0.7">
      <c r="A16" t="s">
        <v>710</v>
      </c>
      <c r="B16" t="s">
        <v>711</v>
      </c>
      <c r="C16" t="s">
        <v>162</v>
      </c>
      <c r="D16" t="s">
        <v>163</v>
      </c>
      <c r="E16" t="s">
        <v>164</v>
      </c>
      <c r="F16" t="s">
        <v>138</v>
      </c>
      <c r="G16" t="s">
        <v>138</v>
      </c>
      <c r="H16" t="s">
        <v>1486</v>
      </c>
      <c r="I16" t="s">
        <v>712</v>
      </c>
      <c r="J16">
        <f t="shared" si="0"/>
        <v>0.36744906861708548</v>
      </c>
      <c r="K16">
        <f t="shared" si="1"/>
        <v>2.9042299199999997</v>
      </c>
      <c r="L16">
        <f t="shared" si="2"/>
        <v>0.32618009984070956</v>
      </c>
      <c r="M16">
        <f t="shared" si="3"/>
        <v>5.0991190492232397</v>
      </c>
      <c r="N16" t="s">
        <v>713</v>
      </c>
      <c r="O16" t="s">
        <v>714</v>
      </c>
      <c r="P16">
        <f t="shared" si="4"/>
        <v>2.7172813123298374</v>
      </c>
      <c r="Q16">
        <f t="shared" si="5"/>
        <v>1.5636163123298374</v>
      </c>
      <c r="R16" t="s">
        <v>715</v>
      </c>
      <c r="S16" t="s">
        <v>716</v>
      </c>
      <c r="T16">
        <f t="shared" si="6"/>
        <v>26.650464028342853</v>
      </c>
      <c r="U16">
        <f t="shared" si="7"/>
        <v>0.4417875</v>
      </c>
      <c r="V16" t="s">
        <v>170</v>
      </c>
      <c r="W16" t="s">
        <v>717</v>
      </c>
      <c r="X16" t="s">
        <v>172</v>
      </c>
      <c r="Y16" t="s">
        <v>172</v>
      </c>
      <c r="Z16" t="s">
        <v>172</v>
      </c>
      <c r="AA16" t="s">
        <v>718</v>
      </c>
      <c r="AB16" t="s">
        <v>719</v>
      </c>
      <c r="AC16" t="s">
        <v>720</v>
      </c>
      <c r="AD16" t="s">
        <v>176</v>
      </c>
      <c r="AE16" t="s">
        <v>177</v>
      </c>
      <c r="AF16">
        <f t="shared" si="8"/>
        <v>122.14548191999998</v>
      </c>
      <c r="AG16" t="s">
        <v>178</v>
      </c>
      <c r="AH16" t="s">
        <v>721</v>
      </c>
      <c r="AI16" t="s">
        <v>722</v>
      </c>
      <c r="AJ16" t="s">
        <v>723</v>
      </c>
      <c r="AK16" t="s">
        <v>724</v>
      </c>
      <c r="AL16">
        <f t="shared" si="9"/>
        <v>22.39</v>
      </c>
      <c r="AM16" t="s">
        <v>478</v>
      </c>
      <c r="AN16" t="s">
        <v>254</v>
      </c>
      <c r="AO16" t="s">
        <v>184</v>
      </c>
      <c r="AP16" t="s">
        <v>725</v>
      </c>
      <c r="AQ16" t="s">
        <v>726</v>
      </c>
      <c r="AR16" t="s">
        <v>727</v>
      </c>
      <c r="AS16" t="s">
        <v>608</v>
      </c>
      <c r="AT16" t="s">
        <v>160</v>
      </c>
      <c r="AU16" t="s">
        <v>728</v>
      </c>
      <c r="AV16" t="s">
        <v>729</v>
      </c>
      <c r="AW16" t="s">
        <v>730</v>
      </c>
      <c r="AX16" t="s">
        <v>731</v>
      </c>
      <c r="AY16" t="s">
        <v>732</v>
      </c>
      <c r="AZ16" t="s">
        <v>265</v>
      </c>
      <c r="BA16" t="s">
        <v>733</v>
      </c>
      <c r="BB16" t="s">
        <v>734</v>
      </c>
      <c r="BC16" t="s">
        <v>735</v>
      </c>
      <c r="BD16" t="s">
        <v>162</v>
      </c>
      <c r="BE16" t="s">
        <v>577</v>
      </c>
      <c r="BF16" t="s">
        <v>363</v>
      </c>
      <c r="BG16" t="s">
        <v>736</v>
      </c>
      <c r="BH16" t="s">
        <v>629</v>
      </c>
      <c r="BI16" t="s">
        <v>737</v>
      </c>
      <c r="BJ16" t="s">
        <v>198</v>
      </c>
      <c r="BK16" t="s">
        <v>162</v>
      </c>
      <c r="BL16" t="s">
        <v>199</v>
      </c>
      <c r="BM16" t="s">
        <v>160</v>
      </c>
      <c r="BN16" t="s">
        <v>494</v>
      </c>
      <c r="BO16" t="s">
        <v>200</v>
      </c>
      <c r="BP16" t="s">
        <v>452</v>
      </c>
      <c r="BQ16" t="s">
        <v>738</v>
      </c>
      <c r="BR16" t="s">
        <v>739</v>
      </c>
      <c r="BS16" t="s">
        <v>740</v>
      </c>
      <c r="BT16" t="s">
        <v>160</v>
      </c>
      <c r="BU16" t="s">
        <v>205</v>
      </c>
      <c r="BV16" t="s">
        <v>200</v>
      </c>
      <c r="BW16" t="s">
        <v>206</v>
      </c>
      <c r="BX16" t="s">
        <v>207</v>
      </c>
      <c r="BY16" t="s">
        <v>172</v>
      </c>
      <c r="BZ16" t="s">
        <v>208</v>
      </c>
      <c r="CA16" t="s">
        <v>172</v>
      </c>
      <c r="CB16" t="s">
        <v>172</v>
      </c>
      <c r="CC16" t="s">
        <v>209</v>
      </c>
      <c r="CD16" t="s">
        <v>210</v>
      </c>
      <c r="CE16" t="s">
        <v>197</v>
      </c>
      <c r="CF16" t="s">
        <v>211</v>
      </c>
      <c r="CG16" t="s">
        <v>212</v>
      </c>
      <c r="CH16" t="s">
        <v>213</v>
      </c>
      <c r="CI16" t="s">
        <v>178</v>
      </c>
      <c r="CJ16" t="s">
        <v>206</v>
      </c>
      <c r="CK16" t="s">
        <v>214</v>
      </c>
      <c r="CL16" t="s">
        <v>214</v>
      </c>
      <c r="CM16" t="s">
        <v>214</v>
      </c>
      <c r="CN16" t="s">
        <v>172</v>
      </c>
      <c r="CO16" t="s">
        <v>215</v>
      </c>
      <c r="CP16" t="s">
        <v>172</v>
      </c>
      <c r="CQ16" t="s">
        <v>172</v>
      </c>
      <c r="CR16" t="s">
        <v>172</v>
      </c>
      <c r="CS16" t="s">
        <v>172</v>
      </c>
      <c r="CT16" t="s">
        <v>741</v>
      </c>
      <c r="CU16" t="s">
        <v>742</v>
      </c>
      <c r="CV16" t="s">
        <v>743</v>
      </c>
      <c r="CW16" t="s">
        <v>744</v>
      </c>
      <c r="CX16" t="s">
        <v>745</v>
      </c>
      <c r="CY16" t="s">
        <v>746</v>
      </c>
      <c r="CZ16" t="s">
        <v>747</v>
      </c>
      <c r="DA16" t="s">
        <v>748</v>
      </c>
      <c r="DB16" t="s">
        <v>718</v>
      </c>
      <c r="DC16" t="s">
        <v>749</v>
      </c>
      <c r="DD16" t="s">
        <v>225</v>
      </c>
      <c r="DE16" t="s">
        <v>226</v>
      </c>
      <c r="DF16" t="s">
        <v>178</v>
      </c>
      <c r="DG16" t="s">
        <v>227</v>
      </c>
      <c r="DH16" t="s">
        <v>228</v>
      </c>
      <c r="DI16" t="s">
        <v>178</v>
      </c>
      <c r="DJ16" t="s">
        <v>229</v>
      </c>
      <c r="DK16" t="s">
        <v>230</v>
      </c>
      <c r="DL16" t="s">
        <v>231</v>
      </c>
      <c r="DM16" t="s">
        <v>172</v>
      </c>
      <c r="DN16" t="s">
        <v>717</v>
      </c>
      <c r="DO16" t="s">
        <v>232</v>
      </c>
      <c r="DP16" t="s">
        <v>233</v>
      </c>
      <c r="DQ16" t="s">
        <v>234</v>
      </c>
      <c r="DR16" t="s">
        <v>235</v>
      </c>
      <c r="DS16" t="s">
        <v>236</v>
      </c>
      <c r="DT16" t="s">
        <v>237</v>
      </c>
    </row>
    <row r="17" spans="1:124" x14ac:dyDescent="0.7">
      <c r="A17" t="s">
        <v>750</v>
      </c>
      <c r="B17" t="s">
        <v>751</v>
      </c>
      <c r="C17" t="s">
        <v>162</v>
      </c>
      <c r="D17" t="s">
        <v>163</v>
      </c>
      <c r="E17" t="s">
        <v>164</v>
      </c>
      <c r="F17" t="s">
        <v>138</v>
      </c>
      <c r="G17" t="s">
        <v>138</v>
      </c>
      <c r="H17" t="s">
        <v>1490</v>
      </c>
      <c r="I17" t="s">
        <v>752</v>
      </c>
      <c r="J17">
        <f t="shared" si="0"/>
        <v>0.36648335550323324</v>
      </c>
      <c r="K17">
        <f t="shared" si="1"/>
        <v>2.9066320800000001</v>
      </c>
      <c r="L17">
        <f t="shared" si="2"/>
        <v>0.32544904048822998</v>
      </c>
      <c r="M17">
        <f t="shared" si="3"/>
        <v>5.9255219001983361</v>
      </c>
      <c r="N17" t="s">
        <v>753</v>
      </c>
      <c r="O17" t="s">
        <v>754</v>
      </c>
      <c r="P17">
        <f t="shared" si="4"/>
        <v>3.0130125911605981</v>
      </c>
      <c r="Q17">
        <f t="shared" si="5"/>
        <v>1.8180565911605981</v>
      </c>
      <c r="R17" t="s">
        <v>755</v>
      </c>
      <c r="S17" t="s">
        <v>756</v>
      </c>
      <c r="T17">
        <f t="shared" si="6"/>
        <v>29.550927728134546</v>
      </c>
      <c r="U17">
        <f t="shared" si="7"/>
        <v>0.4417875</v>
      </c>
      <c r="V17" t="s">
        <v>170</v>
      </c>
      <c r="W17" t="s">
        <v>757</v>
      </c>
      <c r="X17" t="s">
        <v>172</v>
      </c>
      <c r="Y17" t="s">
        <v>172</v>
      </c>
      <c r="Z17" t="s">
        <v>172</v>
      </c>
      <c r="AA17" t="s">
        <v>758</v>
      </c>
      <c r="AB17" t="s">
        <v>759</v>
      </c>
      <c r="AC17" t="s">
        <v>760</v>
      </c>
      <c r="AD17" t="s">
        <v>176</v>
      </c>
      <c r="AE17" t="s">
        <v>177</v>
      </c>
      <c r="AF17">
        <f t="shared" si="8"/>
        <v>184.99538147999999</v>
      </c>
      <c r="AG17" t="s">
        <v>178</v>
      </c>
      <c r="AH17" t="s">
        <v>761</v>
      </c>
      <c r="AI17" t="s">
        <v>250</v>
      </c>
      <c r="AJ17" t="s">
        <v>762</v>
      </c>
      <c r="AK17" t="s">
        <v>763</v>
      </c>
      <c r="AL17">
        <f t="shared" si="9"/>
        <v>24.1</v>
      </c>
      <c r="AM17" t="s">
        <v>478</v>
      </c>
      <c r="AN17" t="s">
        <v>184</v>
      </c>
      <c r="AO17" t="s">
        <v>563</v>
      </c>
      <c r="AP17" t="s">
        <v>764</v>
      </c>
      <c r="AQ17" t="s">
        <v>765</v>
      </c>
      <c r="AR17" t="s">
        <v>766</v>
      </c>
      <c r="AS17" t="s">
        <v>307</v>
      </c>
      <c r="AT17" t="s">
        <v>379</v>
      </c>
      <c r="AU17" t="s">
        <v>767</v>
      </c>
      <c r="AV17" t="s">
        <v>768</v>
      </c>
      <c r="AW17" t="s">
        <v>769</v>
      </c>
      <c r="AX17" t="s">
        <v>770</v>
      </c>
      <c r="AY17" t="s">
        <v>771</v>
      </c>
      <c r="AZ17" t="s">
        <v>265</v>
      </c>
      <c r="BA17" t="s">
        <v>733</v>
      </c>
      <c r="BB17" t="s">
        <v>734</v>
      </c>
      <c r="BC17" t="s">
        <v>772</v>
      </c>
      <c r="BD17" t="s">
        <v>162</v>
      </c>
      <c r="BE17" t="s">
        <v>773</v>
      </c>
      <c r="BF17" t="s">
        <v>363</v>
      </c>
      <c r="BG17" t="s">
        <v>364</v>
      </c>
      <c r="BH17" t="s">
        <v>629</v>
      </c>
      <c r="BI17" t="s">
        <v>737</v>
      </c>
      <c r="BJ17" t="s">
        <v>198</v>
      </c>
      <c r="BK17" t="s">
        <v>162</v>
      </c>
      <c r="BL17" t="s">
        <v>199</v>
      </c>
      <c r="BM17" t="s">
        <v>160</v>
      </c>
      <c r="BN17" t="s">
        <v>494</v>
      </c>
      <c r="BO17" t="s">
        <v>494</v>
      </c>
      <c r="BP17" t="s">
        <v>452</v>
      </c>
      <c r="BQ17" t="s">
        <v>774</v>
      </c>
      <c r="BR17" t="s">
        <v>775</v>
      </c>
      <c r="BS17" t="s">
        <v>776</v>
      </c>
      <c r="BT17" t="s">
        <v>160</v>
      </c>
      <c r="BU17" t="s">
        <v>205</v>
      </c>
      <c r="BV17" t="s">
        <v>200</v>
      </c>
      <c r="BW17" t="s">
        <v>206</v>
      </c>
      <c r="BX17" t="s">
        <v>207</v>
      </c>
      <c r="BY17" t="s">
        <v>172</v>
      </c>
      <c r="BZ17" t="s">
        <v>208</v>
      </c>
      <c r="CA17" t="s">
        <v>172</v>
      </c>
      <c r="CB17" t="s">
        <v>172</v>
      </c>
      <c r="CC17" t="s">
        <v>209</v>
      </c>
      <c r="CD17" t="s">
        <v>210</v>
      </c>
      <c r="CE17" t="s">
        <v>197</v>
      </c>
      <c r="CF17" t="s">
        <v>211</v>
      </c>
      <c r="CG17" t="s">
        <v>212</v>
      </c>
      <c r="CH17" t="s">
        <v>213</v>
      </c>
      <c r="CI17" t="s">
        <v>178</v>
      </c>
      <c r="CJ17" t="s">
        <v>206</v>
      </c>
      <c r="CK17" t="s">
        <v>214</v>
      </c>
      <c r="CL17" t="s">
        <v>214</v>
      </c>
      <c r="CM17" t="s">
        <v>214</v>
      </c>
      <c r="CN17" t="s">
        <v>172</v>
      </c>
      <c r="CO17" t="s">
        <v>215</v>
      </c>
      <c r="CP17" t="s">
        <v>172</v>
      </c>
      <c r="CQ17" t="s">
        <v>172</v>
      </c>
      <c r="CR17" t="s">
        <v>172</v>
      </c>
      <c r="CS17" t="s">
        <v>172</v>
      </c>
      <c r="CT17" t="s">
        <v>777</v>
      </c>
      <c r="CU17" t="s">
        <v>778</v>
      </c>
      <c r="CV17" t="s">
        <v>779</v>
      </c>
      <c r="CW17" t="s">
        <v>780</v>
      </c>
      <c r="CX17" t="s">
        <v>781</v>
      </c>
      <c r="CY17" t="s">
        <v>782</v>
      </c>
      <c r="CZ17" t="s">
        <v>783</v>
      </c>
      <c r="DA17" t="s">
        <v>784</v>
      </c>
      <c r="DB17" t="s">
        <v>758</v>
      </c>
      <c r="DC17" t="s">
        <v>224</v>
      </c>
      <c r="DD17" t="s">
        <v>225</v>
      </c>
      <c r="DE17" t="s">
        <v>226</v>
      </c>
      <c r="DF17" t="s">
        <v>178</v>
      </c>
      <c r="DG17" t="s">
        <v>227</v>
      </c>
      <c r="DH17" t="s">
        <v>228</v>
      </c>
      <c r="DI17" t="s">
        <v>178</v>
      </c>
      <c r="DJ17" t="s">
        <v>229</v>
      </c>
      <c r="DK17" t="s">
        <v>230</v>
      </c>
      <c r="DL17" t="s">
        <v>231</v>
      </c>
      <c r="DM17" t="s">
        <v>172</v>
      </c>
      <c r="DN17" t="s">
        <v>757</v>
      </c>
      <c r="DO17" t="s">
        <v>232</v>
      </c>
      <c r="DP17" t="s">
        <v>233</v>
      </c>
      <c r="DQ17" t="s">
        <v>234</v>
      </c>
      <c r="DR17" t="s">
        <v>235</v>
      </c>
      <c r="DS17" t="s">
        <v>236</v>
      </c>
      <c r="DT17" t="s">
        <v>237</v>
      </c>
    </row>
    <row r="18" spans="1:124" x14ac:dyDescent="0.7">
      <c r="A18" t="s">
        <v>785</v>
      </c>
      <c r="B18" t="s">
        <v>786</v>
      </c>
      <c r="C18" t="s">
        <v>162</v>
      </c>
      <c r="D18" t="s">
        <v>163</v>
      </c>
      <c r="E18" t="s">
        <v>164</v>
      </c>
      <c r="F18" t="s">
        <v>138</v>
      </c>
      <c r="G18" t="s">
        <v>138</v>
      </c>
      <c r="H18" t="s">
        <v>1487</v>
      </c>
      <c r="I18" t="s">
        <v>787</v>
      </c>
      <c r="J18">
        <f t="shared" si="0"/>
        <v>0.18101879582012773</v>
      </c>
      <c r="K18">
        <f t="shared" si="1"/>
        <v>2.9058327199999998</v>
      </c>
      <c r="L18">
        <f t="shared" si="2"/>
        <v>0.17040351216549324</v>
      </c>
      <c r="M18">
        <f t="shared" si="3"/>
        <v>2.692130313229137</v>
      </c>
      <c r="N18" t="s">
        <v>788</v>
      </c>
      <c r="O18" t="s">
        <v>789</v>
      </c>
      <c r="P18">
        <f t="shared" si="4"/>
        <v>2.6713604698640436</v>
      </c>
      <c r="Q18">
        <f t="shared" si="5"/>
        <v>1.5812504698640437</v>
      </c>
      <c r="R18" t="s">
        <v>790</v>
      </c>
      <c r="S18" t="s">
        <v>791</v>
      </c>
      <c r="T18">
        <f t="shared" si="6"/>
        <v>26.197513679160966</v>
      </c>
      <c r="U18">
        <f t="shared" si="7"/>
        <v>0.4417875</v>
      </c>
      <c r="V18" t="s">
        <v>170</v>
      </c>
      <c r="W18" t="s">
        <v>792</v>
      </c>
      <c r="X18" t="s">
        <v>172</v>
      </c>
      <c r="Y18" t="s">
        <v>172</v>
      </c>
      <c r="Z18" t="s">
        <v>172</v>
      </c>
      <c r="AA18" t="s">
        <v>793</v>
      </c>
      <c r="AB18" t="s">
        <v>794</v>
      </c>
      <c r="AC18" t="s">
        <v>795</v>
      </c>
      <c r="AD18" t="s">
        <v>176</v>
      </c>
      <c r="AE18" t="s">
        <v>177</v>
      </c>
      <c r="AF18">
        <f t="shared" si="8"/>
        <v>103.86761405999999</v>
      </c>
      <c r="AG18" t="s">
        <v>178</v>
      </c>
      <c r="AH18" t="s">
        <v>796</v>
      </c>
      <c r="AI18" t="s">
        <v>797</v>
      </c>
      <c r="AJ18" t="s">
        <v>798</v>
      </c>
      <c r="AK18" t="s">
        <v>799</v>
      </c>
      <c r="AL18">
        <f t="shared" si="9"/>
        <v>22.11</v>
      </c>
      <c r="AM18" t="s">
        <v>800</v>
      </c>
      <c r="AN18" t="s">
        <v>479</v>
      </c>
      <c r="AO18" t="s">
        <v>801</v>
      </c>
      <c r="AP18" t="s">
        <v>802</v>
      </c>
      <c r="AQ18" t="s">
        <v>803</v>
      </c>
      <c r="AR18" t="s">
        <v>766</v>
      </c>
      <c r="AS18" t="s">
        <v>804</v>
      </c>
      <c r="AT18" t="s">
        <v>399</v>
      </c>
      <c r="AU18" t="s">
        <v>805</v>
      </c>
      <c r="AV18" t="s">
        <v>806</v>
      </c>
      <c r="AW18" t="s">
        <v>807</v>
      </c>
      <c r="AX18" t="s">
        <v>808</v>
      </c>
      <c r="AY18" t="s">
        <v>809</v>
      </c>
      <c r="AZ18" t="s">
        <v>265</v>
      </c>
      <c r="BA18" t="s">
        <v>733</v>
      </c>
      <c r="BB18" t="s">
        <v>734</v>
      </c>
      <c r="BC18" t="s">
        <v>810</v>
      </c>
      <c r="BD18" t="s">
        <v>162</v>
      </c>
      <c r="BE18" t="s">
        <v>577</v>
      </c>
      <c r="BF18" t="s">
        <v>492</v>
      </c>
      <c r="BG18" t="s">
        <v>736</v>
      </c>
      <c r="BH18" t="s">
        <v>629</v>
      </c>
      <c r="BI18" t="s">
        <v>737</v>
      </c>
      <c r="BJ18" t="s">
        <v>198</v>
      </c>
      <c r="BK18" t="s">
        <v>162</v>
      </c>
      <c r="BL18" t="s">
        <v>199</v>
      </c>
      <c r="BM18" t="s">
        <v>160</v>
      </c>
      <c r="BN18" t="s">
        <v>200</v>
      </c>
      <c r="BO18" t="s">
        <v>321</v>
      </c>
      <c r="BP18" t="s">
        <v>274</v>
      </c>
      <c r="BQ18" t="s">
        <v>811</v>
      </c>
      <c r="BR18" t="s">
        <v>812</v>
      </c>
      <c r="BS18" t="s">
        <v>813</v>
      </c>
      <c r="BT18" t="s">
        <v>160</v>
      </c>
      <c r="BU18" t="s">
        <v>205</v>
      </c>
      <c r="BV18" t="s">
        <v>200</v>
      </c>
      <c r="BW18" t="s">
        <v>206</v>
      </c>
      <c r="BX18" t="s">
        <v>207</v>
      </c>
      <c r="BY18" t="s">
        <v>172</v>
      </c>
      <c r="BZ18" t="s">
        <v>208</v>
      </c>
      <c r="CA18" t="s">
        <v>172</v>
      </c>
      <c r="CB18" t="s">
        <v>172</v>
      </c>
      <c r="CC18" t="s">
        <v>209</v>
      </c>
      <c r="CD18" t="s">
        <v>210</v>
      </c>
      <c r="CE18" t="s">
        <v>197</v>
      </c>
      <c r="CF18" t="s">
        <v>211</v>
      </c>
      <c r="CG18" t="s">
        <v>212</v>
      </c>
      <c r="CH18" t="s">
        <v>213</v>
      </c>
      <c r="CI18" t="s">
        <v>178</v>
      </c>
      <c r="CJ18" t="s">
        <v>206</v>
      </c>
      <c r="CK18" t="s">
        <v>214</v>
      </c>
      <c r="CL18" t="s">
        <v>214</v>
      </c>
      <c r="CM18" t="s">
        <v>214</v>
      </c>
      <c r="CN18" t="s">
        <v>172</v>
      </c>
      <c r="CO18" t="s">
        <v>215</v>
      </c>
      <c r="CP18" t="s">
        <v>172</v>
      </c>
      <c r="CQ18" t="s">
        <v>172</v>
      </c>
      <c r="CR18" t="s">
        <v>172</v>
      </c>
      <c r="CS18" t="s">
        <v>172</v>
      </c>
      <c r="CT18" t="s">
        <v>814</v>
      </c>
      <c r="CU18" t="s">
        <v>815</v>
      </c>
      <c r="CV18" t="s">
        <v>816</v>
      </c>
      <c r="CW18" t="s">
        <v>817</v>
      </c>
      <c r="CX18" t="s">
        <v>818</v>
      </c>
      <c r="CY18" t="s">
        <v>819</v>
      </c>
      <c r="CZ18" t="s">
        <v>820</v>
      </c>
      <c r="DA18" t="s">
        <v>821</v>
      </c>
      <c r="DB18" t="s">
        <v>793</v>
      </c>
      <c r="DC18" t="s">
        <v>822</v>
      </c>
      <c r="DD18" t="s">
        <v>225</v>
      </c>
      <c r="DE18" t="s">
        <v>226</v>
      </c>
      <c r="DF18" t="s">
        <v>178</v>
      </c>
      <c r="DG18" t="s">
        <v>227</v>
      </c>
      <c r="DH18" t="s">
        <v>228</v>
      </c>
      <c r="DI18" t="s">
        <v>178</v>
      </c>
      <c r="DJ18" t="s">
        <v>229</v>
      </c>
      <c r="DK18" t="s">
        <v>230</v>
      </c>
      <c r="DL18" t="s">
        <v>231</v>
      </c>
      <c r="DM18" t="s">
        <v>172</v>
      </c>
      <c r="DN18" t="s">
        <v>792</v>
      </c>
      <c r="DO18" t="s">
        <v>232</v>
      </c>
      <c r="DP18" t="s">
        <v>233</v>
      </c>
      <c r="DQ18" t="s">
        <v>234</v>
      </c>
      <c r="DR18" t="s">
        <v>235</v>
      </c>
      <c r="DS18" t="s">
        <v>236</v>
      </c>
      <c r="DT18" t="s">
        <v>237</v>
      </c>
    </row>
    <row r="19" spans="1:124" x14ac:dyDescent="0.7">
      <c r="A19" t="s">
        <v>823</v>
      </c>
      <c r="B19" t="s">
        <v>824</v>
      </c>
      <c r="C19" t="s">
        <v>162</v>
      </c>
      <c r="D19" t="s">
        <v>163</v>
      </c>
      <c r="E19" t="s">
        <v>164</v>
      </c>
      <c r="F19" t="s">
        <v>138</v>
      </c>
      <c r="G19" t="s">
        <v>138</v>
      </c>
      <c r="H19" t="s">
        <v>1491</v>
      </c>
      <c r="I19" t="s">
        <v>825</v>
      </c>
      <c r="J19">
        <f t="shared" si="0"/>
        <v>0.34982969153631238</v>
      </c>
      <c r="K19">
        <f t="shared" si="1"/>
        <v>2.9042299199999997</v>
      </c>
      <c r="L19">
        <f t="shared" si="2"/>
        <v>0.31222103413909502</v>
      </c>
      <c r="M19">
        <f t="shared" si="3"/>
        <v>5.4767360389659192</v>
      </c>
      <c r="N19" t="s">
        <v>826</v>
      </c>
      <c r="O19" t="s">
        <v>827</v>
      </c>
      <c r="P19">
        <f t="shared" si="4"/>
        <v>2.966309869175658</v>
      </c>
      <c r="Q19">
        <f t="shared" si="5"/>
        <v>1.7520528691756581</v>
      </c>
      <c r="R19" t="s">
        <v>828</v>
      </c>
      <c r="S19" t="s">
        <v>829</v>
      </c>
      <c r="T19">
        <f t="shared" si="6"/>
        <v>29.090025195407062</v>
      </c>
      <c r="U19">
        <f t="shared" si="7"/>
        <v>0.4417875</v>
      </c>
      <c r="V19" t="s">
        <v>170</v>
      </c>
      <c r="W19" t="s">
        <v>830</v>
      </c>
      <c r="X19" t="s">
        <v>172</v>
      </c>
      <c r="Y19" t="s">
        <v>172</v>
      </c>
      <c r="Z19" t="s">
        <v>172</v>
      </c>
      <c r="AA19" t="s">
        <v>831</v>
      </c>
      <c r="AB19" t="s">
        <v>832</v>
      </c>
      <c r="AC19" t="s">
        <v>833</v>
      </c>
      <c r="AD19" t="s">
        <v>176</v>
      </c>
      <c r="AE19" t="s">
        <v>177</v>
      </c>
      <c r="AF19">
        <f t="shared" si="8"/>
        <v>177.79829928000001</v>
      </c>
      <c r="AG19" t="s">
        <v>178</v>
      </c>
      <c r="AH19" t="s">
        <v>834</v>
      </c>
      <c r="AI19" t="s">
        <v>835</v>
      </c>
      <c r="AJ19" t="s">
        <v>836</v>
      </c>
      <c r="AK19" t="s">
        <v>837</v>
      </c>
      <c r="AL19">
        <f t="shared" si="9"/>
        <v>23.84</v>
      </c>
      <c r="AM19" t="s">
        <v>800</v>
      </c>
      <c r="AN19" t="s">
        <v>254</v>
      </c>
      <c r="AO19" t="s">
        <v>838</v>
      </c>
      <c r="AP19" t="s">
        <v>839</v>
      </c>
      <c r="AQ19" t="s">
        <v>840</v>
      </c>
      <c r="AR19" t="s">
        <v>841</v>
      </c>
      <c r="AS19" t="s">
        <v>842</v>
      </c>
      <c r="AT19" t="s">
        <v>443</v>
      </c>
      <c r="AU19" t="s">
        <v>843</v>
      </c>
      <c r="AV19" t="s">
        <v>844</v>
      </c>
      <c r="AW19" t="s">
        <v>845</v>
      </c>
      <c r="AX19" t="s">
        <v>846</v>
      </c>
      <c r="AY19" t="s">
        <v>847</v>
      </c>
      <c r="AZ19" t="s">
        <v>265</v>
      </c>
      <c r="BA19" t="s">
        <v>848</v>
      </c>
      <c r="BB19" t="s">
        <v>849</v>
      </c>
      <c r="BC19" t="s">
        <v>850</v>
      </c>
      <c r="BD19" t="s">
        <v>162</v>
      </c>
      <c r="BE19" t="s">
        <v>851</v>
      </c>
      <c r="BF19" t="s">
        <v>363</v>
      </c>
      <c r="BG19" t="s">
        <v>411</v>
      </c>
      <c r="BH19" t="s">
        <v>535</v>
      </c>
      <c r="BI19" t="s">
        <v>451</v>
      </c>
      <c r="BJ19" t="s">
        <v>198</v>
      </c>
      <c r="BK19" t="s">
        <v>162</v>
      </c>
      <c r="BL19" t="s">
        <v>199</v>
      </c>
      <c r="BM19" t="s">
        <v>160</v>
      </c>
      <c r="BN19" t="s">
        <v>200</v>
      </c>
      <c r="BO19" t="s">
        <v>200</v>
      </c>
      <c r="BP19" t="s">
        <v>452</v>
      </c>
      <c r="BQ19" t="s">
        <v>852</v>
      </c>
      <c r="BR19" t="s">
        <v>853</v>
      </c>
      <c r="BS19" t="s">
        <v>854</v>
      </c>
      <c r="BT19" t="s">
        <v>160</v>
      </c>
      <c r="BU19" t="s">
        <v>205</v>
      </c>
      <c r="BV19" t="s">
        <v>200</v>
      </c>
      <c r="BW19" t="s">
        <v>206</v>
      </c>
      <c r="BX19" t="s">
        <v>207</v>
      </c>
      <c r="BY19" t="s">
        <v>172</v>
      </c>
      <c r="BZ19" t="s">
        <v>208</v>
      </c>
      <c r="CA19" t="s">
        <v>172</v>
      </c>
      <c r="CB19" t="s">
        <v>172</v>
      </c>
      <c r="CC19" t="s">
        <v>209</v>
      </c>
      <c r="CD19" t="s">
        <v>210</v>
      </c>
      <c r="CE19" t="s">
        <v>197</v>
      </c>
      <c r="CF19" t="s">
        <v>211</v>
      </c>
      <c r="CG19" t="s">
        <v>212</v>
      </c>
      <c r="CH19" t="s">
        <v>213</v>
      </c>
      <c r="CI19" t="s">
        <v>178</v>
      </c>
      <c r="CJ19" t="s">
        <v>206</v>
      </c>
      <c r="CK19" t="s">
        <v>214</v>
      </c>
      <c r="CL19" t="s">
        <v>214</v>
      </c>
      <c r="CM19" t="s">
        <v>214</v>
      </c>
      <c r="CN19" t="s">
        <v>172</v>
      </c>
      <c r="CO19" t="s">
        <v>215</v>
      </c>
      <c r="CP19" t="s">
        <v>172</v>
      </c>
      <c r="CQ19" t="s">
        <v>172</v>
      </c>
      <c r="CR19" t="s">
        <v>172</v>
      </c>
      <c r="CS19" t="s">
        <v>172</v>
      </c>
      <c r="CT19" t="s">
        <v>855</v>
      </c>
      <c r="CU19" t="s">
        <v>856</v>
      </c>
      <c r="CV19" t="s">
        <v>857</v>
      </c>
      <c r="CW19" t="s">
        <v>858</v>
      </c>
      <c r="CX19" t="s">
        <v>859</v>
      </c>
      <c r="CY19" t="s">
        <v>860</v>
      </c>
      <c r="CZ19" t="s">
        <v>861</v>
      </c>
      <c r="DA19" t="s">
        <v>862</v>
      </c>
      <c r="DB19" t="s">
        <v>831</v>
      </c>
      <c r="DC19" t="s">
        <v>548</v>
      </c>
      <c r="DD19" t="s">
        <v>225</v>
      </c>
      <c r="DE19" t="s">
        <v>226</v>
      </c>
      <c r="DF19" t="s">
        <v>178</v>
      </c>
      <c r="DG19" t="s">
        <v>227</v>
      </c>
      <c r="DH19" t="s">
        <v>228</v>
      </c>
      <c r="DI19" t="s">
        <v>178</v>
      </c>
      <c r="DJ19" t="s">
        <v>229</v>
      </c>
      <c r="DK19" t="s">
        <v>230</v>
      </c>
      <c r="DL19" t="s">
        <v>231</v>
      </c>
      <c r="DM19" t="s">
        <v>172</v>
      </c>
      <c r="DN19" t="s">
        <v>830</v>
      </c>
      <c r="DO19" t="s">
        <v>232</v>
      </c>
      <c r="DP19" t="s">
        <v>233</v>
      </c>
      <c r="DQ19" t="s">
        <v>234</v>
      </c>
      <c r="DR19" t="s">
        <v>235</v>
      </c>
      <c r="DS19" t="s">
        <v>236</v>
      </c>
      <c r="DT19" t="s">
        <v>237</v>
      </c>
    </row>
    <row r="20" spans="1:124" x14ac:dyDescent="0.7">
      <c r="A20" t="s">
        <v>728</v>
      </c>
      <c r="B20" t="s">
        <v>863</v>
      </c>
      <c r="C20" t="s">
        <v>162</v>
      </c>
      <c r="D20" t="s">
        <v>163</v>
      </c>
      <c r="E20" t="s">
        <v>164</v>
      </c>
      <c r="F20" t="s">
        <v>138</v>
      </c>
      <c r="G20" t="s">
        <v>138</v>
      </c>
      <c r="H20" t="s">
        <v>1492</v>
      </c>
      <c r="I20" t="s">
        <v>864</v>
      </c>
      <c r="J20">
        <f t="shared" si="0"/>
        <v>0.22725392059193741</v>
      </c>
      <c r="K20">
        <f t="shared" si="1"/>
        <v>2.9050319999999994</v>
      </c>
      <c r="L20">
        <f t="shared" si="2"/>
        <v>0.21076617147398752</v>
      </c>
      <c r="M20">
        <f t="shared" si="3"/>
        <v>4.2497031255407922</v>
      </c>
      <c r="N20" t="s">
        <v>865</v>
      </c>
      <c r="O20" t="s">
        <v>866</v>
      </c>
      <c r="P20">
        <f t="shared" si="4"/>
        <v>3.1739949477976706</v>
      </c>
      <c r="Q20">
        <f t="shared" si="5"/>
        <v>2.0123629477976706</v>
      </c>
      <c r="R20" t="s">
        <v>867</v>
      </c>
      <c r="S20" t="s">
        <v>868</v>
      </c>
      <c r="T20">
        <f t="shared" si="6"/>
        <v>31.126752454620679</v>
      </c>
      <c r="U20">
        <f t="shared" si="7"/>
        <v>0.4417875</v>
      </c>
      <c r="V20" t="s">
        <v>170</v>
      </c>
      <c r="W20" t="s">
        <v>869</v>
      </c>
      <c r="X20" t="s">
        <v>172</v>
      </c>
      <c r="Y20" t="s">
        <v>172</v>
      </c>
      <c r="Z20" t="s">
        <v>172</v>
      </c>
      <c r="AA20" t="s">
        <v>870</v>
      </c>
      <c r="AB20" t="s">
        <v>871</v>
      </c>
      <c r="AC20" t="s">
        <v>872</v>
      </c>
      <c r="AD20" t="s">
        <v>176</v>
      </c>
      <c r="AE20" t="s">
        <v>177</v>
      </c>
      <c r="AF20">
        <f t="shared" si="8"/>
        <v>199.43719487999999</v>
      </c>
      <c r="AG20" t="s">
        <v>178</v>
      </c>
      <c r="AH20" t="s">
        <v>721</v>
      </c>
      <c r="AI20" t="s">
        <v>873</v>
      </c>
      <c r="AJ20" t="s">
        <v>874</v>
      </c>
      <c r="AK20" t="s">
        <v>875</v>
      </c>
      <c r="AL20">
        <f t="shared" si="9"/>
        <v>24.97</v>
      </c>
      <c r="AM20" t="s">
        <v>800</v>
      </c>
      <c r="AN20" t="s">
        <v>302</v>
      </c>
      <c r="AO20" t="s">
        <v>255</v>
      </c>
      <c r="AP20" t="s">
        <v>876</v>
      </c>
      <c r="AQ20" t="s">
        <v>877</v>
      </c>
      <c r="AR20" t="s">
        <v>841</v>
      </c>
      <c r="AS20" t="s">
        <v>878</v>
      </c>
      <c r="AT20" t="s">
        <v>879</v>
      </c>
      <c r="AU20" t="s">
        <v>880</v>
      </c>
      <c r="AV20" t="s">
        <v>798</v>
      </c>
      <c r="AW20" t="s">
        <v>881</v>
      </c>
      <c r="AX20" t="s">
        <v>882</v>
      </c>
      <c r="AY20" t="s">
        <v>883</v>
      </c>
      <c r="AZ20" t="s">
        <v>265</v>
      </c>
      <c r="BA20" t="s">
        <v>848</v>
      </c>
      <c r="BB20" t="s">
        <v>849</v>
      </c>
      <c r="BC20" t="s">
        <v>884</v>
      </c>
      <c r="BD20" t="s">
        <v>162</v>
      </c>
      <c r="BE20" t="s">
        <v>577</v>
      </c>
      <c r="BF20" t="s">
        <v>885</v>
      </c>
      <c r="BG20" t="s">
        <v>886</v>
      </c>
      <c r="BH20" t="s">
        <v>629</v>
      </c>
      <c r="BI20" t="s">
        <v>737</v>
      </c>
      <c r="BJ20" t="s">
        <v>198</v>
      </c>
      <c r="BK20" t="s">
        <v>162</v>
      </c>
      <c r="BL20" t="s">
        <v>199</v>
      </c>
      <c r="BM20" t="s">
        <v>160</v>
      </c>
      <c r="BN20" t="s">
        <v>494</v>
      </c>
      <c r="BO20" t="s">
        <v>321</v>
      </c>
      <c r="BP20" t="s">
        <v>200</v>
      </c>
      <c r="BQ20" t="s">
        <v>887</v>
      </c>
      <c r="BR20" t="s">
        <v>888</v>
      </c>
      <c r="BS20" t="s">
        <v>889</v>
      </c>
      <c r="BT20" t="s">
        <v>160</v>
      </c>
      <c r="BU20" t="s">
        <v>205</v>
      </c>
      <c r="BV20" t="s">
        <v>200</v>
      </c>
      <c r="BW20" t="s">
        <v>206</v>
      </c>
      <c r="BX20" t="s">
        <v>207</v>
      </c>
      <c r="BY20" t="s">
        <v>172</v>
      </c>
      <c r="BZ20" t="s">
        <v>208</v>
      </c>
      <c r="CA20" t="s">
        <v>172</v>
      </c>
      <c r="CB20" t="s">
        <v>172</v>
      </c>
      <c r="CC20" t="s">
        <v>209</v>
      </c>
      <c r="CD20" t="s">
        <v>210</v>
      </c>
      <c r="CE20" t="s">
        <v>197</v>
      </c>
      <c r="CF20" t="s">
        <v>211</v>
      </c>
      <c r="CG20" t="s">
        <v>212</v>
      </c>
      <c r="CH20" t="s">
        <v>213</v>
      </c>
      <c r="CI20" t="s">
        <v>178</v>
      </c>
      <c r="CJ20" t="s">
        <v>206</v>
      </c>
      <c r="CK20" t="s">
        <v>214</v>
      </c>
      <c r="CL20" t="s">
        <v>214</v>
      </c>
      <c r="CM20" t="s">
        <v>214</v>
      </c>
      <c r="CN20" t="s">
        <v>172</v>
      </c>
      <c r="CO20" t="s">
        <v>215</v>
      </c>
      <c r="CP20" t="s">
        <v>172</v>
      </c>
      <c r="CQ20" t="s">
        <v>172</v>
      </c>
      <c r="CR20" t="s">
        <v>172</v>
      </c>
      <c r="CS20" t="s">
        <v>172</v>
      </c>
      <c r="CT20" t="s">
        <v>890</v>
      </c>
      <c r="CU20" t="s">
        <v>891</v>
      </c>
      <c r="CV20" t="s">
        <v>892</v>
      </c>
      <c r="CW20" t="s">
        <v>893</v>
      </c>
      <c r="CX20" t="s">
        <v>894</v>
      </c>
      <c r="CY20" t="s">
        <v>895</v>
      </c>
      <c r="CZ20" t="s">
        <v>896</v>
      </c>
      <c r="DA20" t="s">
        <v>897</v>
      </c>
      <c r="DB20" t="s">
        <v>870</v>
      </c>
      <c r="DC20" t="s">
        <v>548</v>
      </c>
      <c r="DD20" t="s">
        <v>225</v>
      </c>
      <c r="DE20" t="s">
        <v>226</v>
      </c>
      <c r="DF20" t="s">
        <v>178</v>
      </c>
      <c r="DG20" t="s">
        <v>227</v>
      </c>
      <c r="DH20" t="s">
        <v>228</v>
      </c>
      <c r="DI20" t="s">
        <v>178</v>
      </c>
      <c r="DJ20" t="s">
        <v>229</v>
      </c>
      <c r="DK20" t="s">
        <v>230</v>
      </c>
      <c r="DL20" t="s">
        <v>231</v>
      </c>
      <c r="DM20" t="s">
        <v>172</v>
      </c>
      <c r="DN20" t="s">
        <v>869</v>
      </c>
      <c r="DO20" t="s">
        <v>232</v>
      </c>
      <c r="DP20" t="s">
        <v>233</v>
      </c>
      <c r="DQ20" t="s">
        <v>234</v>
      </c>
      <c r="DR20" t="s">
        <v>235</v>
      </c>
      <c r="DS20" t="s">
        <v>236</v>
      </c>
      <c r="DT20" t="s">
        <v>237</v>
      </c>
    </row>
    <row r="21" spans="1:124" x14ac:dyDescent="0.7">
      <c r="A21" t="s">
        <v>898</v>
      </c>
      <c r="B21" t="s">
        <v>899</v>
      </c>
      <c r="C21" t="s">
        <v>162</v>
      </c>
      <c r="D21" t="s">
        <v>163</v>
      </c>
      <c r="E21" t="s">
        <v>164</v>
      </c>
      <c r="F21" t="s">
        <v>138</v>
      </c>
      <c r="G21" t="s">
        <v>138</v>
      </c>
      <c r="H21" t="s">
        <v>1495</v>
      </c>
      <c r="I21" t="s">
        <v>900</v>
      </c>
      <c r="J21">
        <f t="shared" si="0"/>
        <v>0.44811759161764197</v>
      </c>
      <c r="K21">
        <f t="shared" si="1"/>
        <v>2.9058327199999998</v>
      </c>
      <c r="L21">
        <f t="shared" si="2"/>
        <v>0.38824509582615141</v>
      </c>
      <c r="M21">
        <f t="shared" si="3"/>
        <v>6.0301027451472136</v>
      </c>
      <c r="N21" t="s">
        <v>901</v>
      </c>
      <c r="O21" t="s">
        <v>902</v>
      </c>
      <c r="P21">
        <f t="shared" si="4"/>
        <v>2.760539129892825</v>
      </c>
      <c r="Q21">
        <f t="shared" si="5"/>
        <v>1.5529571298928251</v>
      </c>
      <c r="R21" t="s">
        <v>903</v>
      </c>
      <c r="S21" t="s">
        <v>904</v>
      </c>
      <c r="T21">
        <f t="shared" si="6"/>
        <v>27.072071490564138</v>
      </c>
      <c r="U21">
        <f t="shared" si="7"/>
        <v>0.4417875</v>
      </c>
      <c r="V21" t="s">
        <v>170</v>
      </c>
      <c r="W21" t="s">
        <v>905</v>
      </c>
      <c r="X21" t="s">
        <v>172</v>
      </c>
      <c r="Y21" t="s">
        <v>172</v>
      </c>
      <c r="Z21" t="s">
        <v>172</v>
      </c>
      <c r="AA21" t="s">
        <v>906</v>
      </c>
      <c r="AB21" t="s">
        <v>907</v>
      </c>
      <c r="AC21" t="s">
        <v>908</v>
      </c>
      <c r="AD21" t="s">
        <v>176</v>
      </c>
      <c r="AE21" t="s">
        <v>177</v>
      </c>
      <c r="AF21">
        <f t="shared" si="8"/>
        <v>229.22332607999999</v>
      </c>
      <c r="AG21" t="s">
        <v>178</v>
      </c>
      <c r="AH21" t="s">
        <v>909</v>
      </c>
      <c r="AI21" t="s">
        <v>299</v>
      </c>
      <c r="AJ21" t="s">
        <v>910</v>
      </c>
      <c r="AK21" t="s">
        <v>911</v>
      </c>
      <c r="AL21">
        <f t="shared" si="9"/>
        <v>22.65</v>
      </c>
      <c r="AM21" t="s">
        <v>800</v>
      </c>
      <c r="AN21" t="s">
        <v>479</v>
      </c>
      <c r="AO21" t="s">
        <v>912</v>
      </c>
      <c r="AP21" t="s">
        <v>913</v>
      </c>
      <c r="AQ21" t="s">
        <v>914</v>
      </c>
      <c r="AR21" t="s">
        <v>915</v>
      </c>
      <c r="AS21" t="s">
        <v>483</v>
      </c>
      <c r="AT21" t="s">
        <v>916</v>
      </c>
      <c r="AU21" t="s">
        <v>917</v>
      </c>
      <c r="AV21" t="s">
        <v>918</v>
      </c>
      <c r="AW21" t="s">
        <v>919</v>
      </c>
      <c r="AX21" t="s">
        <v>920</v>
      </c>
      <c r="AY21" t="s">
        <v>921</v>
      </c>
      <c r="AZ21" t="s">
        <v>265</v>
      </c>
      <c r="BA21" t="s">
        <v>922</v>
      </c>
      <c r="BB21" t="s">
        <v>923</v>
      </c>
      <c r="BC21" t="s">
        <v>924</v>
      </c>
      <c r="BD21" t="s">
        <v>162</v>
      </c>
      <c r="BE21" t="s">
        <v>577</v>
      </c>
      <c r="BF21" t="s">
        <v>885</v>
      </c>
      <c r="BG21" t="s">
        <v>925</v>
      </c>
      <c r="BH21" t="s">
        <v>669</v>
      </c>
      <c r="BI21" t="s">
        <v>926</v>
      </c>
      <c r="BJ21" t="s">
        <v>198</v>
      </c>
      <c r="BK21" t="s">
        <v>162</v>
      </c>
      <c r="BL21" t="s">
        <v>199</v>
      </c>
      <c r="BM21" t="s">
        <v>160</v>
      </c>
      <c r="BN21" t="s">
        <v>321</v>
      </c>
      <c r="BO21" t="s">
        <v>200</v>
      </c>
      <c r="BP21" t="s">
        <v>200</v>
      </c>
      <c r="BQ21" t="s">
        <v>927</v>
      </c>
      <c r="BR21" t="s">
        <v>928</v>
      </c>
      <c r="BS21" t="s">
        <v>929</v>
      </c>
      <c r="BT21" t="s">
        <v>160</v>
      </c>
      <c r="BU21" t="s">
        <v>205</v>
      </c>
      <c r="BV21" t="s">
        <v>200</v>
      </c>
      <c r="BW21" t="s">
        <v>206</v>
      </c>
      <c r="BX21" t="s">
        <v>207</v>
      </c>
      <c r="BY21" t="s">
        <v>172</v>
      </c>
      <c r="BZ21" t="s">
        <v>208</v>
      </c>
      <c r="CA21" t="s">
        <v>172</v>
      </c>
      <c r="CB21" t="s">
        <v>172</v>
      </c>
      <c r="CC21" t="s">
        <v>209</v>
      </c>
      <c r="CD21" t="s">
        <v>210</v>
      </c>
      <c r="CE21" t="s">
        <v>197</v>
      </c>
      <c r="CF21" t="s">
        <v>211</v>
      </c>
      <c r="CG21" t="s">
        <v>212</v>
      </c>
      <c r="CH21" t="s">
        <v>213</v>
      </c>
      <c r="CI21" t="s">
        <v>178</v>
      </c>
      <c r="CJ21" t="s">
        <v>206</v>
      </c>
      <c r="CK21" t="s">
        <v>214</v>
      </c>
      <c r="CL21" t="s">
        <v>214</v>
      </c>
      <c r="CM21" t="s">
        <v>214</v>
      </c>
      <c r="CN21" t="s">
        <v>172</v>
      </c>
      <c r="CO21" t="s">
        <v>215</v>
      </c>
      <c r="CP21" t="s">
        <v>172</v>
      </c>
      <c r="CQ21" t="s">
        <v>172</v>
      </c>
      <c r="CR21" t="s">
        <v>172</v>
      </c>
      <c r="CS21" t="s">
        <v>172</v>
      </c>
      <c r="CT21" t="s">
        <v>930</v>
      </c>
      <c r="CU21" t="s">
        <v>931</v>
      </c>
      <c r="CV21" t="s">
        <v>932</v>
      </c>
      <c r="CW21" t="s">
        <v>933</v>
      </c>
      <c r="CX21" t="s">
        <v>934</v>
      </c>
      <c r="CY21" t="s">
        <v>935</v>
      </c>
      <c r="CZ21" t="s">
        <v>936</v>
      </c>
      <c r="DA21" t="s">
        <v>937</v>
      </c>
      <c r="DB21" t="s">
        <v>906</v>
      </c>
      <c r="DC21" t="s">
        <v>938</v>
      </c>
      <c r="DD21" t="s">
        <v>225</v>
      </c>
      <c r="DE21" t="s">
        <v>226</v>
      </c>
      <c r="DF21" t="s">
        <v>178</v>
      </c>
      <c r="DG21" t="s">
        <v>227</v>
      </c>
      <c r="DH21" t="s">
        <v>228</v>
      </c>
      <c r="DI21" t="s">
        <v>178</v>
      </c>
      <c r="DJ21" t="s">
        <v>229</v>
      </c>
      <c r="DK21" t="s">
        <v>230</v>
      </c>
      <c r="DL21" t="s">
        <v>231</v>
      </c>
      <c r="DM21" t="s">
        <v>172</v>
      </c>
      <c r="DN21" t="s">
        <v>905</v>
      </c>
      <c r="DO21" t="s">
        <v>232</v>
      </c>
      <c r="DP21" t="s">
        <v>233</v>
      </c>
      <c r="DQ21" t="s">
        <v>234</v>
      </c>
      <c r="DR21" t="s">
        <v>235</v>
      </c>
      <c r="DS21" t="s">
        <v>236</v>
      </c>
      <c r="DT21" t="s">
        <v>237</v>
      </c>
    </row>
    <row r="22" spans="1:124" x14ac:dyDescent="0.7">
      <c r="A22" t="s">
        <v>939</v>
      </c>
      <c r="B22" t="s">
        <v>940</v>
      </c>
      <c r="C22" t="s">
        <v>162</v>
      </c>
      <c r="D22" t="s">
        <v>163</v>
      </c>
      <c r="E22" t="s">
        <v>164</v>
      </c>
      <c r="F22" t="s">
        <v>138</v>
      </c>
      <c r="G22" t="s">
        <v>138</v>
      </c>
      <c r="H22" t="s">
        <v>1493</v>
      </c>
      <c r="I22" t="s">
        <v>941</v>
      </c>
      <c r="J22">
        <f t="shared" si="0"/>
        <v>0.25333132128050484</v>
      </c>
      <c r="K22">
        <f t="shared" si="1"/>
        <v>2.9050319999999994</v>
      </c>
      <c r="L22">
        <f t="shared" si="2"/>
        <v>0.2330116962679819</v>
      </c>
      <c r="M22">
        <f t="shared" si="3"/>
        <v>4.0620882400892642</v>
      </c>
      <c r="N22" t="s">
        <v>942</v>
      </c>
      <c r="O22" t="s">
        <v>943</v>
      </c>
      <c r="P22">
        <f t="shared" si="4"/>
        <v>2.8939490594294837</v>
      </c>
      <c r="Q22">
        <f t="shared" si="5"/>
        <v>1.7422330594294837</v>
      </c>
      <c r="R22" t="s">
        <v>944</v>
      </c>
      <c r="S22" t="s">
        <v>945</v>
      </c>
      <c r="T22">
        <f t="shared" si="6"/>
        <v>28.383180261175795</v>
      </c>
      <c r="U22">
        <f t="shared" si="7"/>
        <v>0.4417875</v>
      </c>
      <c r="V22" t="s">
        <v>170</v>
      </c>
      <c r="W22" t="s">
        <v>946</v>
      </c>
      <c r="X22" t="s">
        <v>172</v>
      </c>
      <c r="Y22" t="s">
        <v>172</v>
      </c>
      <c r="Z22" t="s">
        <v>172</v>
      </c>
      <c r="AA22" t="s">
        <v>947</v>
      </c>
      <c r="AB22" t="s">
        <v>948</v>
      </c>
      <c r="AC22" t="s">
        <v>949</v>
      </c>
      <c r="AD22" t="s">
        <v>176</v>
      </c>
      <c r="AE22" t="s">
        <v>177</v>
      </c>
      <c r="AF22">
        <f t="shared" si="8"/>
        <v>175.58475396</v>
      </c>
      <c r="AG22" t="s">
        <v>178</v>
      </c>
      <c r="AH22" t="s">
        <v>950</v>
      </c>
      <c r="AI22" t="s">
        <v>951</v>
      </c>
      <c r="AJ22" t="s">
        <v>952</v>
      </c>
      <c r="AK22" t="s">
        <v>953</v>
      </c>
      <c r="AL22">
        <f t="shared" si="9"/>
        <v>23.43</v>
      </c>
      <c r="AM22" t="s">
        <v>478</v>
      </c>
      <c r="AN22" t="s">
        <v>302</v>
      </c>
      <c r="AO22" t="s">
        <v>954</v>
      </c>
      <c r="AP22" t="s">
        <v>955</v>
      </c>
      <c r="AQ22" t="s">
        <v>956</v>
      </c>
      <c r="AR22" t="s">
        <v>957</v>
      </c>
      <c r="AS22" t="s">
        <v>190</v>
      </c>
      <c r="AT22" t="s">
        <v>485</v>
      </c>
      <c r="AU22" t="s">
        <v>958</v>
      </c>
      <c r="AV22" t="s">
        <v>959</v>
      </c>
      <c r="AW22" t="s">
        <v>960</v>
      </c>
      <c r="AX22" t="s">
        <v>961</v>
      </c>
      <c r="AY22" t="s">
        <v>962</v>
      </c>
      <c r="AZ22" t="s">
        <v>265</v>
      </c>
      <c r="BA22" t="s">
        <v>963</v>
      </c>
      <c r="BB22" t="s">
        <v>964</v>
      </c>
      <c r="BC22" t="s">
        <v>965</v>
      </c>
      <c r="BD22" t="s">
        <v>162</v>
      </c>
      <c r="BE22" t="s">
        <v>577</v>
      </c>
      <c r="BF22" t="s">
        <v>363</v>
      </c>
      <c r="BG22" t="s">
        <v>966</v>
      </c>
      <c r="BH22" t="s">
        <v>669</v>
      </c>
      <c r="BI22" t="s">
        <v>967</v>
      </c>
      <c r="BJ22" t="s">
        <v>198</v>
      </c>
      <c r="BK22" t="s">
        <v>162</v>
      </c>
      <c r="BL22" t="s">
        <v>199</v>
      </c>
      <c r="BM22" t="s">
        <v>160</v>
      </c>
      <c r="BN22" t="s">
        <v>201</v>
      </c>
      <c r="BO22" t="s">
        <v>201</v>
      </c>
      <c r="BP22" t="s">
        <v>321</v>
      </c>
      <c r="BQ22" t="s">
        <v>968</v>
      </c>
      <c r="BR22" t="s">
        <v>969</v>
      </c>
      <c r="BS22" t="s">
        <v>970</v>
      </c>
      <c r="BT22" t="s">
        <v>160</v>
      </c>
      <c r="BU22" t="s">
        <v>205</v>
      </c>
      <c r="BV22" t="s">
        <v>200</v>
      </c>
      <c r="BW22" t="s">
        <v>206</v>
      </c>
      <c r="BX22" t="s">
        <v>207</v>
      </c>
      <c r="BY22" t="s">
        <v>172</v>
      </c>
      <c r="BZ22" t="s">
        <v>208</v>
      </c>
      <c r="CA22" t="s">
        <v>172</v>
      </c>
      <c r="CB22" t="s">
        <v>172</v>
      </c>
      <c r="CC22" t="s">
        <v>209</v>
      </c>
      <c r="CD22" t="s">
        <v>210</v>
      </c>
      <c r="CE22" t="s">
        <v>197</v>
      </c>
      <c r="CF22" t="s">
        <v>211</v>
      </c>
      <c r="CG22" t="s">
        <v>212</v>
      </c>
      <c r="CH22" t="s">
        <v>213</v>
      </c>
      <c r="CI22" t="s">
        <v>178</v>
      </c>
      <c r="CJ22" t="s">
        <v>206</v>
      </c>
      <c r="CK22" t="s">
        <v>214</v>
      </c>
      <c r="CL22" t="s">
        <v>214</v>
      </c>
      <c r="CM22" t="s">
        <v>214</v>
      </c>
      <c r="CN22" t="s">
        <v>172</v>
      </c>
      <c r="CO22" t="s">
        <v>215</v>
      </c>
      <c r="CP22" t="s">
        <v>172</v>
      </c>
      <c r="CQ22" t="s">
        <v>172</v>
      </c>
      <c r="CR22" t="s">
        <v>172</v>
      </c>
      <c r="CS22" t="s">
        <v>172</v>
      </c>
      <c r="CT22" t="s">
        <v>971</v>
      </c>
      <c r="CU22" t="s">
        <v>972</v>
      </c>
      <c r="CV22" t="s">
        <v>973</v>
      </c>
      <c r="CW22" t="s">
        <v>974</v>
      </c>
      <c r="CX22" t="s">
        <v>975</v>
      </c>
      <c r="CY22" t="s">
        <v>976</v>
      </c>
      <c r="CZ22" t="s">
        <v>977</v>
      </c>
      <c r="DA22" t="s">
        <v>978</v>
      </c>
      <c r="DB22" t="s">
        <v>947</v>
      </c>
      <c r="DC22" t="s">
        <v>668</v>
      </c>
      <c r="DD22" t="s">
        <v>225</v>
      </c>
      <c r="DE22" t="s">
        <v>226</v>
      </c>
      <c r="DF22" t="s">
        <v>178</v>
      </c>
      <c r="DG22" t="s">
        <v>227</v>
      </c>
      <c r="DH22" t="s">
        <v>228</v>
      </c>
      <c r="DI22" t="s">
        <v>178</v>
      </c>
      <c r="DJ22" t="s">
        <v>229</v>
      </c>
      <c r="DK22" t="s">
        <v>230</v>
      </c>
      <c r="DL22" t="s">
        <v>231</v>
      </c>
      <c r="DM22" t="s">
        <v>172</v>
      </c>
      <c r="DN22" t="s">
        <v>946</v>
      </c>
      <c r="DO22" t="s">
        <v>232</v>
      </c>
      <c r="DP22" t="s">
        <v>233</v>
      </c>
      <c r="DQ22" t="s">
        <v>234</v>
      </c>
      <c r="DR22" t="s">
        <v>235</v>
      </c>
      <c r="DS22" t="s">
        <v>236</v>
      </c>
      <c r="DT22" t="s">
        <v>237</v>
      </c>
    </row>
    <row r="23" spans="1:124" x14ac:dyDescent="0.7">
      <c r="A23" t="s">
        <v>979</v>
      </c>
      <c r="B23" t="s">
        <v>980</v>
      </c>
      <c r="C23" t="s">
        <v>162</v>
      </c>
      <c r="D23" t="s">
        <v>163</v>
      </c>
      <c r="E23" t="s">
        <v>164</v>
      </c>
      <c r="F23" t="s">
        <v>138</v>
      </c>
      <c r="G23" t="s">
        <v>138</v>
      </c>
      <c r="H23" t="s">
        <v>1496</v>
      </c>
      <c r="I23" t="s">
        <v>981</v>
      </c>
      <c r="J23">
        <f t="shared" si="0"/>
        <v>0.37336440637371676</v>
      </c>
      <c r="K23">
        <f t="shared" si="1"/>
        <v>2.9042299199999997</v>
      </c>
      <c r="L23">
        <f t="shared" si="2"/>
        <v>0.33083291343541005</v>
      </c>
      <c r="M23">
        <f t="shared" si="3"/>
        <v>5.4827447626968162</v>
      </c>
      <c r="N23" t="s">
        <v>982</v>
      </c>
      <c r="O23" t="s">
        <v>983</v>
      </c>
      <c r="P23">
        <f t="shared" si="4"/>
        <v>2.8713300901736196</v>
      </c>
      <c r="Q23">
        <f t="shared" si="5"/>
        <v>1.6558520901736196</v>
      </c>
      <c r="R23" t="s">
        <v>984</v>
      </c>
      <c r="S23" t="s">
        <v>985</v>
      </c>
      <c r="T23">
        <f t="shared" si="6"/>
        <v>28.161338663923303</v>
      </c>
      <c r="U23">
        <f t="shared" si="7"/>
        <v>0.4417875</v>
      </c>
      <c r="V23" t="s">
        <v>170</v>
      </c>
      <c r="W23" t="s">
        <v>986</v>
      </c>
      <c r="X23" t="s">
        <v>172</v>
      </c>
      <c r="Y23" t="s">
        <v>172</v>
      </c>
      <c r="Z23" t="s">
        <v>172</v>
      </c>
      <c r="AA23" t="s">
        <v>987</v>
      </c>
      <c r="AB23" t="s">
        <v>988</v>
      </c>
      <c r="AC23" t="s">
        <v>989</v>
      </c>
      <c r="AD23" t="s">
        <v>176</v>
      </c>
      <c r="AE23" t="s">
        <v>177</v>
      </c>
      <c r="AF23">
        <f t="shared" si="8"/>
        <v>151.15027409999999</v>
      </c>
      <c r="AG23" t="s">
        <v>178</v>
      </c>
      <c r="AH23" t="s">
        <v>990</v>
      </c>
      <c r="AI23" t="s">
        <v>991</v>
      </c>
      <c r="AJ23" t="s">
        <v>992</v>
      </c>
      <c r="AK23" t="s">
        <v>993</v>
      </c>
      <c r="AL23">
        <f t="shared" si="9"/>
        <v>23.3</v>
      </c>
      <c r="AM23" t="s">
        <v>478</v>
      </c>
      <c r="AN23" t="s">
        <v>254</v>
      </c>
      <c r="AO23" t="s">
        <v>994</v>
      </c>
      <c r="AP23" t="s">
        <v>995</v>
      </c>
      <c r="AQ23" t="s">
        <v>996</v>
      </c>
      <c r="AR23" t="s">
        <v>997</v>
      </c>
      <c r="AS23" t="s">
        <v>483</v>
      </c>
      <c r="AT23" t="s">
        <v>998</v>
      </c>
      <c r="AU23" t="s">
        <v>999</v>
      </c>
      <c r="AV23" t="s">
        <v>1000</v>
      </c>
      <c r="AW23" t="s">
        <v>1001</v>
      </c>
      <c r="AX23" t="s">
        <v>1002</v>
      </c>
      <c r="AY23" t="s">
        <v>1003</v>
      </c>
      <c r="AZ23" t="s">
        <v>265</v>
      </c>
      <c r="BA23" t="s">
        <v>963</v>
      </c>
      <c r="BB23" t="s">
        <v>964</v>
      </c>
      <c r="BC23" t="s">
        <v>1004</v>
      </c>
      <c r="BD23" t="s">
        <v>162</v>
      </c>
      <c r="BE23" t="s">
        <v>851</v>
      </c>
      <c r="BF23" t="s">
        <v>885</v>
      </c>
      <c r="BG23" t="s">
        <v>1005</v>
      </c>
      <c r="BH23" t="s">
        <v>750</v>
      </c>
      <c r="BI23" t="s">
        <v>1006</v>
      </c>
      <c r="BJ23" t="s">
        <v>1007</v>
      </c>
      <c r="BK23" t="s">
        <v>162</v>
      </c>
      <c r="BL23" t="s">
        <v>1008</v>
      </c>
      <c r="BM23" t="s">
        <v>160</v>
      </c>
      <c r="BN23" t="s">
        <v>366</v>
      </c>
      <c r="BO23" t="s">
        <v>200</v>
      </c>
      <c r="BP23" t="s">
        <v>452</v>
      </c>
      <c r="BQ23" t="s">
        <v>1009</v>
      </c>
      <c r="BR23" t="s">
        <v>1010</v>
      </c>
      <c r="BS23" t="s">
        <v>1011</v>
      </c>
      <c r="BT23" t="s">
        <v>160</v>
      </c>
      <c r="BU23" t="s">
        <v>205</v>
      </c>
      <c r="BV23" t="s">
        <v>200</v>
      </c>
      <c r="BW23" t="s">
        <v>206</v>
      </c>
      <c r="BX23" t="s">
        <v>207</v>
      </c>
      <c r="BY23" t="s">
        <v>172</v>
      </c>
      <c r="BZ23" t="s">
        <v>208</v>
      </c>
      <c r="CA23" t="s">
        <v>172</v>
      </c>
      <c r="CB23" t="s">
        <v>172</v>
      </c>
      <c r="CC23" t="s">
        <v>209</v>
      </c>
      <c r="CD23" t="s">
        <v>210</v>
      </c>
      <c r="CE23" t="s">
        <v>197</v>
      </c>
      <c r="CF23" t="s">
        <v>211</v>
      </c>
      <c r="CG23" t="s">
        <v>212</v>
      </c>
      <c r="CH23" t="s">
        <v>213</v>
      </c>
      <c r="CI23" t="s">
        <v>178</v>
      </c>
      <c r="CJ23" t="s">
        <v>206</v>
      </c>
      <c r="CK23" t="s">
        <v>214</v>
      </c>
      <c r="CL23" t="s">
        <v>214</v>
      </c>
      <c r="CM23" t="s">
        <v>214</v>
      </c>
      <c r="CN23" t="s">
        <v>172</v>
      </c>
      <c r="CO23" t="s">
        <v>215</v>
      </c>
      <c r="CP23" t="s">
        <v>172</v>
      </c>
      <c r="CQ23" t="s">
        <v>172</v>
      </c>
      <c r="CR23" t="s">
        <v>172</v>
      </c>
      <c r="CS23" t="s">
        <v>172</v>
      </c>
      <c r="CT23" t="s">
        <v>1012</v>
      </c>
      <c r="CU23" t="s">
        <v>1013</v>
      </c>
      <c r="CV23" t="s">
        <v>1014</v>
      </c>
      <c r="CW23" t="s">
        <v>1015</v>
      </c>
      <c r="CX23" t="s">
        <v>1016</v>
      </c>
      <c r="CY23" t="s">
        <v>1017</v>
      </c>
      <c r="CZ23" t="s">
        <v>1018</v>
      </c>
      <c r="DA23" t="s">
        <v>1019</v>
      </c>
      <c r="DB23" t="s">
        <v>987</v>
      </c>
      <c r="DC23" t="s">
        <v>1020</v>
      </c>
      <c r="DD23" t="s">
        <v>225</v>
      </c>
      <c r="DE23" t="s">
        <v>226</v>
      </c>
      <c r="DF23" t="s">
        <v>178</v>
      </c>
      <c r="DG23" t="s">
        <v>227</v>
      </c>
      <c r="DH23" t="s">
        <v>228</v>
      </c>
      <c r="DI23" t="s">
        <v>178</v>
      </c>
      <c r="DJ23" t="s">
        <v>229</v>
      </c>
      <c r="DK23" t="s">
        <v>230</v>
      </c>
      <c r="DL23" t="s">
        <v>231</v>
      </c>
      <c r="DM23" t="s">
        <v>172</v>
      </c>
      <c r="DN23" t="s">
        <v>986</v>
      </c>
      <c r="DO23" t="s">
        <v>232</v>
      </c>
      <c r="DP23" t="s">
        <v>233</v>
      </c>
      <c r="DQ23" t="s">
        <v>234</v>
      </c>
      <c r="DR23" t="s">
        <v>235</v>
      </c>
      <c r="DS23" t="s">
        <v>236</v>
      </c>
      <c r="DT23" t="s">
        <v>237</v>
      </c>
    </row>
    <row r="24" spans="1:124" x14ac:dyDescent="0.7">
      <c r="A24" t="s">
        <v>1021</v>
      </c>
      <c r="B24" t="s">
        <v>1022</v>
      </c>
      <c r="C24" t="s">
        <v>162</v>
      </c>
      <c r="D24" t="s">
        <v>163</v>
      </c>
      <c r="E24" t="s">
        <v>164</v>
      </c>
      <c r="F24" t="s">
        <v>138</v>
      </c>
      <c r="G24" t="s">
        <v>138</v>
      </c>
      <c r="H24" t="s">
        <v>1506</v>
      </c>
      <c r="I24" t="s">
        <v>1023</v>
      </c>
      <c r="J24">
        <f t="shared" si="0"/>
        <v>0.43962150375750325</v>
      </c>
      <c r="K24">
        <f t="shared" si="1"/>
        <v>2.9042299199999997</v>
      </c>
      <c r="L24">
        <f t="shared" si="2"/>
        <v>0.3818237603551265</v>
      </c>
      <c r="M24">
        <f t="shared" si="3"/>
        <v>6.3292548114993279</v>
      </c>
      <c r="N24" t="s">
        <v>1024</v>
      </c>
      <c r="O24" t="s">
        <v>1025</v>
      </c>
      <c r="P24">
        <f t="shared" si="4"/>
        <v>2.9096994926085902</v>
      </c>
      <c r="Q24">
        <f t="shared" si="5"/>
        <v>1.6558304926085903</v>
      </c>
      <c r="R24" t="s">
        <v>1026</v>
      </c>
      <c r="S24" t="s">
        <v>1027</v>
      </c>
      <c r="T24">
        <f t="shared" si="6"/>
        <v>28.534858219168289</v>
      </c>
      <c r="U24">
        <f t="shared" si="7"/>
        <v>0.4417875</v>
      </c>
      <c r="V24" t="s">
        <v>170</v>
      </c>
      <c r="W24" t="s">
        <v>1028</v>
      </c>
      <c r="X24" t="s">
        <v>172</v>
      </c>
      <c r="Y24" t="s">
        <v>172</v>
      </c>
      <c r="Z24" t="s">
        <v>172</v>
      </c>
      <c r="AA24" t="s">
        <v>1029</v>
      </c>
      <c r="AB24" t="s">
        <v>1030</v>
      </c>
      <c r="AC24" t="s">
        <v>1031</v>
      </c>
      <c r="AD24" t="s">
        <v>176</v>
      </c>
      <c r="AE24" t="s">
        <v>177</v>
      </c>
      <c r="AF24">
        <f t="shared" si="8"/>
        <v>120.36066881999999</v>
      </c>
      <c r="AG24" t="s">
        <v>178</v>
      </c>
      <c r="AH24" t="s">
        <v>1032</v>
      </c>
      <c r="AI24" t="s">
        <v>1033</v>
      </c>
      <c r="AJ24" t="s">
        <v>1034</v>
      </c>
      <c r="AK24" t="s">
        <v>1035</v>
      </c>
      <c r="AL24">
        <f t="shared" si="9"/>
        <v>23.52</v>
      </c>
      <c r="AM24" t="s">
        <v>800</v>
      </c>
      <c r="AN24" t="s">
        <v>254</v>
      </c>
      <c r="AO24" t="s">
        <v>684</v>
      </c>
      <c r="AP24" t="s">
        <v>439</v>
      </c>
      <c r="AQ24" t="s">
        <v>1036</v>
      </c>
      <c r="AR24" t="s">
        <v>997</v>
      </c>
      <c r="AS24" t="s">
        <v>483</v>
      </c>
      <c r="AT24" t="s">
        <v>939</v>
      </c>
      <c r="AU24" t="s">
        <v>1037</v>
      </c>
      <c r="AV24" t="s">
        <v>1038</v>
      </c>
      <c r="AW24" t="s">
        <v>1039</v>
      </c>
      <c r="AX24" t="s">
        <v>1040</v>
      </c>
      <c r="AY24" t="s">
        <v>1041</v>
      </c>
      <c r="AZ24" t="s">
        <v>265</v>
      </c>
      <c r="BA24" t="s">
        <v>1042</v>
      </c>
      <c r="BB24" t="s">
        <v>1043</v>
      </c>
      <c r="BC24" t="s">
        <v>1044</v>
      </c>
      <c r="BD24" t="s">
        <v>162</v>
      </c>
      <c r="BE24" t="s">
        <v>532</v>
      </c>
      <c r="BF24" t="s">
        <v>492</v>
      </c>
      <c r="BG24" t="s">
        <v>1045</v>
      </c>
      <c r="BH24" t="s">
        <v>750</v>
      </c>
      <c r="BI24" t="s">
        <v>1006</v>
      </c>
      <c r="BJ24" t="s">
        <v>1007</v>
      </c>
      <c r="BK24" t="s">
        <v>162</v>
      </c>
      <c r="BL24" t="s">
        <v>1008</v>
      </c>
      <c r="BM24" t="s">
        <v>160</v>
      </c>
      <c r="BN24" t="s">
        <v>201</v>
      </c>
      <c r="BO24" t="s">
        <v>200</v>
      </c>
      <c r="BP24" t="s">
        <v>201</v>
      </c>
      <c r="BQ24" t="s">
        <v>1046</v>
      </c>
      <c r="BR24" t="s">
        <v>1047</v>
      </c>
      <c r="BS24" t="s">
        <v>1048</v>
      </c>
      <c r="BT24" t="s">
        <v>160</v>
      </c>
      <c r="BU24" t="s">
        <v>205</v>
      </c>
      <c r="BV24" t="s">
        <v>200</v>
      </c>
      <c r="BW24" t="s">
        <v>206</v>
      </c>
      <c r="BX24" t="s">
        <v>207</v>
      </c>
      <c r="BY24" t="s">
        <v>172</v>
      </c>
      <c r="BZ24" t="s">
        <v>208</v>
      </c>
      <c r="CA24" t="s">
        <v>172</v>
      </c>
      <c r="CB24" t="s">
        <v>172</v>
      </c>
      <c r="CC24" t="s">
        <v>209</v>
      </c>
      <c r="CD24" t="s">
        <v>210</v>
      </c>
      <c r="CE24" t="s">
        <v>197</v>
      </c>
      <c r="CF24" t="s">
        <v>211</v>
      </c>
      <c r="CG24" t="s">
        <v>212</v>
      </c>
      <c r="CH24" t="s">
        <v>213</v>
      </c>
      <c r="CI24" t="s">
        <v>178</v>
      </c>
      <c r="CJ24" t="s">
        <v>206</v>
      </c>
      <c r="CK24" t="s">
        <v>214</v>
      </c>
      <c r="CL24" t="s">
        <v>214</v>
      </c>
      <c r="CM24" t="s">
        <v>214</v>
      </c>
      <c r="CN24" t="s">
        <v>172</v>
      </c>
      <c r="CO24" t="s">
        <v>215</v>
      </c>
      <c r="CP24" t="s">
        <v>172</v>
      </c>
      <c r="CQ24" t="s">
        <v>172</v>
      </c>
      <c r="CR24" t="s">
        <v>172</v>
      </c>
      <c r="CS24" t="s">
        <v>172</v>
      </c>
      <c r="CT24" t="s">
        <v>1049</v>
      </c>
      <c r="CU24" t="s">
        <v>1050</v>
      </c>
      <c r="CV24" t="s">
        <v>1051</v>
      </c>
      <c r="CW24" t="s">
        <v>1052</v>
      </c>
      <c r="CX24" t="s">
        <v>1053</v>
      </c>
      <c r="CY24" t="s">
        <v>1054</v>
      </c>
      <c r="CZ24" t="s">
        <v>1055</v>
      </c>
      <c r="DA24" t="s">
        <v>1056</v>
      </c>
      <c r="DB24" t="s">
        <v>1029</v>
      </c>
      <c r="DC24" t="s">
        <v>1057</v>
      </c>
      <c r="DD24" t="s">
        <v>225</v>
      </c>
      <c r="DE24" t="s">
        <v>226</v>
      </c>
      <c r="DF24" t="s">
        <v>178</v>
      </c>
      <c r="DG24" t="s">
        <v>227</v>
      </c>
      <c r="DH24" t="s">
        <v>228</v>
      </c>
      <c r="DI24" t="s">
        <v>178</v>
      </c>
      <c r="DJ24" t="s">
        <v>229</v>
      </c>
      <c r="DK24" t="s">
        <v>230</v>
      </c>
      <c r="DL24" t="s">
        <v>231</v>
      </c>
      <c r="DM24" t="s">
        <v>172</v>
      </c>
      <c r="DN24" t="s">
        <v>1028</v>
      </c>
      <c r="DO24" t="s">
        <v>232</v>
      </c>
      <c r="DP24" t="s">
        <v>233</v>
      </c>
      <c r="DQ24" t="s">
        <v>234</v>
      </c>
      <c r="DR24" t="s">
        <v>235</v>
      </c>
      <c r="DS24" t="s">
        <v>236</v>
      </c>
      <c r="DT24" t="s">
        <v>237</v>
      </c>
    </row>
    <row r="25" spans="1:124" x14ac:dyDescent="0.7">
      <c r="A25" t="s">
        <v>998</v>
      </c>
      <c r="B25" t="s">
        <v>1058</v>
      </c>
      <c r="C25" t="s">
        <v>162</v>
      </c>
      <c r="D25" t="s">
        <v>163</v>
      </c>
      <c r="E25" t="s">
        <v>164</v>
      </c>
      <c r="F25" t="s">
        <v>138</v>
      </c>
      <c r="G25" t="s">
        <v>138</v>
      </c>
      <c r="H25" t="s">
        <v>1507</v>
      </c>
      <c r="I25" t="s">
        <v>1059</v>
      </c>
      <c r="J25">
        <f t="shared" si="0"/>
        <v>0.37470198092282264</v>
      </c>
      <c r="K25">
        <f t="shared" si="1"/>
        <v>2.9050319999999994</v>
      </c>
      <c r="L25">
        <f t="shared" si="2"/>
        <v>0.33189315090058336</v>
      </c>
      <c r="M25">
        <f t="shared" si="3"/>
        <v>5.4060569477773495</v>
      </c>
      <c r="N25" t="s">
        <v>1060</v>
      </c>
      <c r="O25" t="s">
        <v>1061</v>
      </c>
      <c r="P25">
        <f t="shared" si="4"/>
        <v>2.8385497779223861</v>
      </c>
      <c r="Q25">
        <f t="shared" si="5"/>
        <v>1.627983777922386</v>
      </c>
      <c r="R25" t="s">
        <v>1062</v>
      </c>
      <c r="S25" t="s">
        <v>1063</v>
      </c>
      <c r="T25">
        <f t="shared" si="6"/>
        <v>27.837106775741749</v>
      </c>
      <c r="U25">
        <f t="shared" si="7"/>
        <v>0.4417875</v>
      </c>
      <c r="V25" t="s">
        <v>170</v>
      </c>
      <c r="W25" t="s">
        <v>1064</v>
      </c>
      <c r="X25" t="s">
        <v>172</v>
      </c>
      <c r="Y25" t="s">
        <v>172</v>
      </c>
      <c r="Z25" t="s">
        <v>172</v>
      </c>
      <c r="AA25" t="s">
        <v>1065</v>
      </c>
      <c r="AB25" t="s">
        <v>1066</v>
      </c>
      <c r="AC25" t="s">
        <v>1067</v>
      </c>
      <c r="AD25" t="s">
        <v>176</v>
      </c>
      <c r="AE25" t="s">
        <v>177</v>
      </c>
      <c r="AF25">
        <f t="shared" si="8"/>
        <v>170.68455600000001</v>
      </c>
      <c r="AG25" t="s">
        <v>178</v>
      </c>
      <c r="AH25" t="s">
        <v>1068</v>
      </c>
      <c r="AI25" t="s">
        <v>1069</v>
      </c>
      <c r="AJ25" t="s">
        <v>1070</v>
      </c>
      <c r="AK25" t="s">
        <v>1071</v>
      </c>
      <c r="AL25">
        <f t="shared" si="9"/>
        <v>23.11</v>
      </c>
      <c r="AM25" t="s">
        <v>800</v>
      </c>
      <c r="AN25" t="s">
        <v>302</v>
      </c>
      <c r="AO25" t="s">
        <v>520</v>
      </c>
      <c r="AP25" t="s">
        <v>605</v>
      </c>
      <c r="AQ25" t="s">
        <v>1072</v>
      </c>
      <c r="AR25" t="s">
        <v>1073</v>
      </c>
      <c r="AS25" t="s">
        <v>568</v>
      </c>
      <c r="AT25" t="s">
        <v>879</v>
      </c>
      <c r="AU25" t="s">
        <v>1074</v>
      </c>
      <c r="AV25" t="s">
        <v>1075</v>
      </c>
      <c r="AW25" t="s">
        <v>1076</v>
      </c>
      <c r="AX25" t="s">
        <v>1077</v>
      </c>
      <c r="AY25" t="s">
        <v>1078</v>
      </c>
      <c r="AZ25" t="s">
        <v>265</v>
      </c>
      <c r="BA25" t="s">
        <v>1079</v>
      </c>
      <c r="BB25" t="s">
        <v>1080</v>
      </c>
      <c r="BC25" t="s">
        <v>1081</v>
      </c>
      <c r="BD25" t="s">
        <v>162</v>
      </c>
      <c r="BE25" t="s">
        <v>491</v>
      </c>
      <c r="BF25" t="s">
        <v>363</v>
      </c>
      <c r="BG25" t="s">
        <v>1082</v>
      </c>
      <c r="BH25" t="s">
        <v>785</v>
      </c>
      <c r="BI25" t="s">
        <v>1083</v>
      </c>
      <c r="BJ25" t="s">
        <v>1007</v>
      </c>
      <c r="BK25" t="s">
        <v>162</v>
      </c>
      <c r="BL25" t="s">
        <v>1008</v>
      </c>
      <c r="BM25" t="s">
        <v>160</v>
      </c>
      <c r="BN25" t="s">
        <v>366</v>
      </c>
      <c r="BO25" t="s">
        <v>494</v>
      </c>
      <c r="BP25" t="s">
        <v>366</v>
      </c>
      <c r="BQ25" t="s">
        <v>1084</v>
      </c>
      <c r="BR25" t="s">
        <v>1085</v>
      </c>
      <c r="BS25" t="s">
        <v>1086</v>
      </c>
      <c r="BT25" t="s">
        <v>160</v>
      </c>
      <c r="BU25" t="s">
        <v>205</v>
      </c>
      <c r="BV25" t="s">
        <v>200</v>
      </c>
      <c r="BW25" t="s">
        <v>206</v>
      </c>
      <c r="BX25" t="s">
        <v>207</v>
      </c>
      <c r="BY25" t="s">
        <v>172</v>
      </c>
      <c r="BZ25" t="s">
        <v>208</v>
      </c>
      <c r="CA25" t="s">
        <v>172</v>
      </c>
      <c r="CB25" t="s">
        <v>172</v>
      </c>
      <c r="CC25" t="s">
        <v>209</v>
      </c>
      <c r="CD25" t="s">
        <v>210</v>
      </c>
      <c r="CE25" t="s">
        <v>197</v>
      </c>
      <c r="CF25" t="s">
        <v>211</v>
      </c>
      <c r="CG25" t="s">
        <v>212</v>
      </c>
      <c r="CH25" t="s">
        <v>213</v>
      </c>
      <c r="CI25" t="s">
        <v>178</v>
      </c>
      <c r="CJ25" t="s">
        <v>206</v>
      </c>
      <c r="CK25" t="s">
        <v>214</v>
      </c>
      <c r="CL25" t="s">
        <v>214</v>
      </c>
      <c r="CM25" t="s">
        <v>214</v>
      </c>
      <c r="CN25" t="s">
        <v>172</v>
      </c>
      <c r="CO25" t="s">
        <v>215</v>
      </c>
      <c r="CP25" t="s">
        <v>172</v>
      </c>
      <c r="CQ25" t="s">
        <v>172</v>
      </c>
      <c r="CR25" t="s">
        <v>172</v>
      </c>
      <c r="CS25" t="s">
        <v>172</v>
      </c>
      <c r="CT25" t="s">
        <v>1087</v>
      </c>
      <c r="CU25" t="s">
        <v>1088</v>
      </c>
      <c r="CV25" t="s">
        <v>1089</v>
      </c>
      <c r="CW25" t="s">
        <v>1090</v>
      </c>
      <c r="CX25" t="s">
        <v>1091</v>
      </c>
      <c r="CY25" t="s">
        <v>1092</v>
      </c>
      <c r="CZ25" t="s">
        <v>1093</v>
      </c>
      <c r="DA25" t="s">
        <v>1094</v>
      </c>
      <c r="DB25" t="s">
        <v>1065</v>
      </c>
      <c r="DC25" t="s">
        <v>224</v>
      </c>
      <c r="DD25" t="s">
        <v>225</v>
      </c>
      <c r="DE25" t="s">
        <v>226</v>
      </c>
      <c r="DF25" t="s">
        <v>178</v>
      </c>
      <c r="DG25" t="s">
        <v>227</v>
      </c>
      <c r="DH25" t="s">
        <v>228</v>
      </c>
      <c r="DI25" t="s">
        <v>178</v>
      </c>
      <c r="DJ25" t="s">
        <v>229</v>
      </c>
      <c r="DK25" t="s">
        <v>230</v>
      </c>
      <c r="DL25" t="s">
        <v>231</v>
      </c>
      <c r="DM25" t="s">
        <v>172</v>
      </c>
      <c r="DN25" t="s">
        <v>1064</v>
      </c>
      <c r="DO25" t="s">
        <v>232</v>
      </c>
      <c r="DP25" t="s">
        <v>233</v>
      </c>
      <c r="DQ25" t="s">
        <v>234</v>
      </c>
      <c r="DR25" t="s">
        <v>235</v>
      </c>
      <c r="DS25" t="s">
        <v>236</v>
      </c>
      <c r="DT25" t="s">
        <v>237</v>
      </c>
    </row>
    <row r="26" spans="1:124" x14ac:dyDescent="0.7">
      <c r="A26" t="s">
        <v>879</v>
      </c>
      <c r="B26" t="s">
        <v>1095</v>
      </c>
      <c r="C26" t="s">
        <v>162</v>
      </c>
      <c r="D26" t="s">
        <v>163</v>
      </c>
      <c r="E26" t="s">
        <v>164</v>
      </c>
      <c r="F26" t="s">
        <v>138</v>
      </c>
      <c r="G26" t="s">
        <v>138</v>
      </c>
      <c r="H26" t="s">
        <v>1494</v>
      </c>
      <c r="I26" t="s">
        <v>1096</v>
      </c>
      <c r="J26">
        <f t="shared" si="0"/>
        <v>0.36560445651771645</v>
      </c>
      <c r="K26">
        <f t="shared" si="1"/>
        <v>2.9042299199999997</v>
      </c>
      <c r="L26">
        <f t="shared" si="2"/>
        <v>0.32472574425463047</v>
      </c>
      <c r="M26">
        <f t="shared" si="3"/>
        <v>4.8393969359707469</v>
      </c>
      <c r="N26" t="s">
        <v>1097</v>
      </c>
      <c r="O26" t="s">
        <v>1098</v>
      </c>
      <c r="P26">
        <f t="shared" si="4"/>
        <v>2.6535068423401573</v>
      </c>
      <c r="Q26">
        <f t="shared" si="5"/>
        <v>1.4912338423401574</v>
      </c>
      <c r="R26" t="s">
        <v>1099</v>
      </c>
      <c r="S26" t="s">
        <v>1100</v>
      </c>
      <c r="T26">
        <f t="shared" si="6"/>
        <v>26.022426619007131</v>
      </c>
      <c r="U26">
        <f t="shared" si="7"/>
        <v>0.4417875</v>
      </c>
      <c r="V26" t="s">
        <v>170</v>
      </c>
      <c r="W26" t="s">
        <v>1101</v>
      </c>
      <c r="X26" t="s">
        <v>172</v>
      </c>
      <c r="Y26" t="s">
        <v>172</v>
      </c>
      <c r="Z26" t="s">
        <v>172</v>
      </c>
      <c r="AA26" t="s">
        <v>1102</v>
      </c>
      <c r="AB26" t="s">
        <v>1103</v>
      </c>
      <c r="AC26" t="s">
        <v>1104</v>
      </c>
      <c r="AD26" t="s">
        <v>176</v>
      </c>
      <c r="AE26" t="s">
        <v>177</v>
      </c>
      <c r="AF26">
        <f t="shared" si="8"/>
        <v>113.1270462</v>
      </c>
      <c r="AG26" t="s">
        <v>178</v>
      </c>
      <c r="AH26" t="s">
        <v>1105</v>
      </c>
      <c r="AI26" t="s">
        <v>1106</v>
      </c>
      <c r="AJ26" t="s">
        <v>1107</v>
      </c>
      <c r="AK26" t="s">
        <v>477</v>
      </c>
      <c r="AL26">
        <f t="shared" si="9"/>
        <v>22</v>
      </c>
      <c r="AM26" t="s">
        <v>800</v>
      </c>
      <c r="AN26" t="s">
        <v>254</v>
      </c>
      <c r="AO26" t="s">
        <v>395</v>
      </c>
      <c r="AP26" t="s">
        <v>396</v>
      </c>
      <c r="AQ26" t="s">
        <v>1108</v>
      </c>
      <c r="AR26" t="s">
        <v>1073</v>
      </c>
      <c r="AS26" t="s">
        <v>353</v>
      </c>
      <c r="AT26" t="s">
        <v>1109</v>
      </c>
      <c r="AU26" t="s">
        <v>785</v>
      </c>
      <c r="AV26" t="s">
        <v>1110</v>
      </c>
      <c r="AW26" t="s">
        <v>1111</v>
      </c>
      <c r="AX26" t="s">
        <v>1112</v>
      </c>
      <c r="AY26" t="s">
        <v>1113</v>
      </c>
      <c r="AZ26" t="s">
        <v>265</v>
      </c>
      <c r="BA26" t="s">
        <v>1114</v>
      </c>
      <c r="BB26" t="s">
        <v>1115</v>
      </c>
      <c r="BC26" t="s">
        <v>1116</v>
      </c>
      <c r="BD26" t="s">
        <v>162</v>
      </c>
      <c r="BE26" t="s">
        <v>773</v>
      </c>
      <c r="BF26" t="s">
        <v>1117</v>
      </c>
      <c r="BG26" t="s">
        <v>1118</v>
      </c>
      <c r="BH26" t="s">
        <v>785</v>
      </c>
      <c r="BI26" t="s">
        <v>1083</v>
      </c>
      <c r="BJ26" t="s">
        <v>1007</v>
      </c>
      <c r="BK26" t="s">
        <v>162</v>
      </c>
      <c r="BL26" t="s">
        <v>1008</v>
      </c>
      <c r="BM26" t="s">
        <v>160</v>
      </c>
      <c r="BN26" t="s">
        <v>200</v>
      </c>
      <c r="BO26" t="s">
        <v>494</v>
      </c>
      <c r="BP26" t="s">
        <v>274</v>
      </c>
      <c r="BQ26" t="s">
        <v>1119</v>
      </c>
      <c r="BR26" t="s">
        <v>1120</v>
      </c>
      <c r="BS26" t="s">
        <v>1121</v>
      </c>
      <c r="BT26" t="s">
        <v>160</v>
      </c>
      <c r="BU26" t="s">
        <v>205</v>
      </c>
      <c r="BV26" t="s">
        <v>200</v>
      </c>
      <c r="BW26" t="s">
        <v>206</v>
      </c>
      <c r="BX26" t="s">
        <v>207</v>
      </c>
      <c r="BY26" t="s">
        <v>172</v>
      </c>
      <c r="BZ26" t="s">
        <v>208</v>
      </c>
      <c r="CA26" t="s">
        <v>172</v>
      </c>
      <c r="CB26" t="s">
        <v>172</v>
      </c>
      <c r="CC26" t="s">
        <v>209</v>
      </c>
      <c r="CD26" t="s">
        <v>210</v>
      </c>
      <c r="CE26" t="s">
        <v>197</v>
      </c>
      <c r="CF26" t="s">
        <v>211</v>
      </c>
      <c r="CG26" t="s">
        <v>212</v>
      </c>
      <c r="CH26" t="s">
        <v>213</v>
      </c>
      <c r="CI26" t="s">
        <v>178</v>
      </c>
      <c r="CJ26" t="s">
        <v>206</v>
      </c>
      <c r="CK26" t="s">
        <v>214</v>
      </c>
      <c r="CL26" t="s">
        <v>214</v>
      </c>
      <c r="CM26" t="s">
        <v>214</v>
      </c>
      <c r="CN26" t="s">
        <v>172</v>
      </c>
      <c r="CO26" t="s">
        <v>215</v>
      </c>
      <c r="CP26" t="s">
        <v>172</v>
      </c>
      <c r="CQ26" t="s">
        <v>172</v>
      </c>
      <c r="CR26" t="s">
        <v>172</v>
      </c>
      <c r="CS26" t="s">
        <v>172</v>
      </c>
      <c r="CT26" t="s">
        <v>1122</v>
      </c>
      <c r="CU26" t="s">
        <v>1123</v>
      </c>
      <c r="CV26" t="s">
        <v>1124</v>
      </c>
      <c r="CW26" t="s">
        <v>1125</v>
      </c>
      <c r="CX26" t="s">
        <v>1126</v>
      </c>
      <c r="CY26" t="s">
        <v>1127</v>
      </c>
      <c r="CZ26" t="s">
        <v>1128</v>
      </c>
      <c r="DA26" t="s">
        <v>1129</v>
      </c>
      <c r="DB26" t="s">
        <v>1102</v>
      </c>
      <c r="DC26" t="s">
        <v>1130</v>
      </c>
      <c r="DD26" t="s">
        <v>225</v>
      </c>
      <c r="DE26" t="s">
        <v>226</v>
      </c>
      <c r="DF26" t="s">
        <v>178</v>
      </c>
      <c r="DG26" t="s">
        <v>227</v>
      </c>
      <c r="DH26" t="s">
        <v>228</v>
      </c>
      <c r="DI26" t="s">
        <v>178</v>
      </c>
      <c r="DJ26" t="s">
        <v>229</v>
      </c>
      <c r="DK26" t="s">
        <v>230</v>
      </c>
      <c r="DL26" t="s">
        <v>231</v>
      </c>
      <c r="DM26" t="s">
        <v>172</v>
      </c>
      <c r="DN26" t="s">
        <v>1101</v>
      </c>
      <c r="DO26" t="s">
        <v>232</v>
      </c>
      <c r="DP26" t="s">
        <v>233</v>
      </c>
      <c r="DQ26" t="s">
        <v>234</v>
      </c>
      <c r="DR26" t="s">
        <v>235</v>
      </c>
      <c r="DS26" t="s">
        <v>236</v>
      </c>
      <c r="DT26" t="s">
        <v>237</v>
      </c>
    </row>
    <row r="27" spans="1:124" x14ac:dyDescent="0.7">
      <c r="A27" t="s">
        <v>443</v>
      </c>
      <c r="B27" t="s">
        <v>1131</v>
      </c>
      <c r="C27" t="s">
        <v>162</v>
      </c>
      <c r="D27" t="s">
        <v>163</v>
      </c>
      <c r="E27" t="s">
        <v>164</v>
      </c>
      <c r="F27" t="s">
        <v>138</v>
      </c>
      <c r="G27" t="s">
        <v>138</v>
      </c>
      <c r="H27" t="s">
        <v>1497</v>
      </c>
      <c r="I27" t="s">
        <v>1132</v>
      </c>
      <c r="J27">
        <f t="shared" si="0"/>
        <v>0.36944127325468684</v>
      </c>
      <c r="K27">
        <f t="shared" si="1"/>
        <v>2.9042299199999997</v>
      </c>
      <c r="L27">
        <f t="shared" si="2"/>
        <v>0.32774898153483673</v>
      </c>
      <c r="M27">
        <f t="shared" si="3"/>
        <v>5.3508186964124977</v>
      </c>
      <c r="N27" t="s">
        <v>1133</v>
      </c>
      <c r="O27" t="s">
        <v>1134</v>
      </c>
      <c r="P27">
        <f t="shared" si="4"/>
        <v>2.8488659059207198</v>
      </c>
      <c r="Q27">
        <f t="shared" si="5"/>
        <v>1.6315339059207197</v>
      </c>
      <c r="R27" t="s">
        <v>1135</v>
      </c>
      <c r="S27" t="s">
        <v>1136</v>
      </c>
      <c r="T27">
        <f t="shared" si="6"/>
        <v>27.938275040901441</v>
      </c>
      <c r="U27">
        <f t="shared" si="7"/>
        <v>0.4417875</v>
      </c>
      <c r="V27" t="s">
        <v>170</v>
      </c>
      <c r="W27" t="s">
        <v>1137</v>
      </c>
      <c r="X27" t="s">
        <v>172</v>
      </c>
      <c r="Y27" t="s">
        <v>172</v>
      </c>
      <c r="Z27" t="s">
        <v>172</v>
      </c>
      <c r="AA27" t="s">
        <v>1138</v>
      </c>
      <c r="AB27" t="s">
        <v>1139</v>
      </c>
      <c r="AC27" t="s">
        <v>1140</v>
      </c>
      <c r="AD27" t="s">
        <v>176</v>
      </c>
      <c r="AE27" t="s">
        <v>177</v>
      </c>
      <c r="AF27">
        <f t="shared" si="8"/>
        <v>185.28182063999998</v>
      </c>
      <c r="AG27" t="s">
        <v>178</v>
      </c>
      <c r="AH27" t="s">
        <v>1141</v>
      </c>
      <c r="AI27" t="s">
        <v>1142</v>
      </c>
      <c r="AJ27" t="s">
        <v>1143</v>
      </c>
      <c r="AK27" t="s">
        <v>1144</v>
      </c>
      <c r="AL27">
        <f t="shared" si="9"/>
        <v>23.17</v>
      </c>
      <c r="AM27" t="s">
        <v>800</v>
      </c>
      <c r="AN27" t="s">
        <v>254</v>
      </c>
      <c r="AO27" t="s">
        <v>563</v>
      </c>
      <c r="AP27" t="s">
        <v>839</v>
      </c>
      <c r="AQ27" t="s">
        <v>1145</v>
      </c>
      <c r="AR27" t="s">
        <v>1146</v>
      </c>
      <c r="AS27" t="s">
        <v>1147</v>
      </c>
      <c r="AT27" t="s">
        <v>1148</v>
      </c>
      <c r="AU27" t="s">
        <v>1149</v>
      </c>
      <c r="AV27" t="s">
        <v>1150</v>
      </c>
      <c r="AW27" t="s">
        <v>1151</v>
      </c>
      <c r="AX27" t="s">
        <v>1152</v>
      </c>
      <c r="AY27" t="s">
        <v>1153</v>
      </c>
      <c r="AZ27" t="s">
        <v>265</v>
      </c>
      <c r="BA27" t="s">
        <v>1114</v>
      </c>
      <c r="BB27" t="s">
        <v>1115</v>
      </c>
      <c r="BC27" t="s">
        <v>1154</v>
      </c>
      <c r="BD27" t="s">
        <v>162</v>
      </c>
      <c r="BE27" t="s">
        <v>532</v>
      </c>
      <c r="BF27" t="s">
        <v>363</v>
      </c>
      <c r="BG27" t="s">
        <v>1155</v>
      </c>
      <c r="BH27" t="s">
        <v>750</v>
      </c>
      <c r="BI27" t="s">
        <v>1156</v>
      </c>
      <c r="BJ27" t="s">
        <v>1007</v>
      </c>
      <c r="BK27" t="s">
        <v>162</v>
      </c>
      <c r="BL27" t="s">
        <v>1008</v>
      </c>
      <c r="BM27" t="s">
        <v>160</v>
      </c>
      <c r="BN27" t="s">
        <v>200</v>
      </c>
      <c r="BO27" t="s">
        <v>494</v>
      </c>
      <c r="BP27" t="s">
        <v>366</v>
      </c>
      <c r="BQ27" t="s">
        <v>1157</v>
      </c>
      <c r="BR27" t="s">
        <v>1158</v>
      </c>
      <c r="BS27" t="s">
        <v>1159</v>
      </c>
      <c r="BT27" t="s">
        <v>160</v>
      </c>
      <c r="BU27" t="s">
        <v>205</v>
      </c>
      <c r="BV27" t="s">
        <v>200</v>
      </c>
      <c r="BW27" t="s">
        <v>206</v>
      </c>
      <c r="BX27" t="s">
        <v>207</v>
      </c>
      <c r="BY27" t="s">
        <v>172</v>
      </c>
      <c r="BZ27" t="s">
        <v>208</v>
      </c>
      <c r="CA27" t="s">
        <v>172</v>
      </c>
      <c r="CB27" t="s">
        <v>172</v>
      </c>
      <c r="CC27" t="s">
        <v>209</v>
      </c>
      <c r="CD27" t="s">
        <v>210</v>
      </c>
      <c r="CE27" t="s">
        <v>197</v>
      </c>
      <c r="CF27" t="s">
        <v>211</v>
      </c>
      <c r="CG27" t="s">
        <v>212</v>
      </c>
      <c r="CH27" t="s">
        <v>213</v>
      </c>
      <c r="CI27" t="s">
        <v>178</v>
      </c>
      <c r="CJ27" t="s">
        <v>206</v>
      </c>
      <c r="CK27" t="s">
        <v>214</v>
      </c>
      <c r="CL27" t="s">
        <v>214</v>
      </c>
      <c r="CM27" t="s">
        <v>214</v>
      </c>
      <c r="CN27" t="s">
        <v>172</v>
      </c>
      <c r="CO27" t="s">
        <v>215</v>
      </c>
      <c r="CP27" t="s">
        <v>172</v>
      </c>
      <c r="CQ27" t="s">
        <v>172</v>
      </c>
      <c r="CR27" t="s">
        <v>172</v>
      </c>
      <c r="CS27" t="s">
        <v>172</v>
      </c>
      <c r="CT27" t="s">
        <v>1160</v>
      </c>
      <c r="CU27" t="s">
        <v>1161</v>
      </c>
      <c r="CV27" t="s">
        <v>1162</v>
      </c>
      <c r="CW27" t="s">
        <v>1163</v>
      </c>
      <c r="CX27" t="s">
        <v>1164</v>
      </c>
      <c r="CY27" t="s">
        <v>1165</v>
      </c>
      <c r="CZ27" t="s">
        <v>1166</v>
      </c>
      <c r="DA27" t="s">
        <v>1167</v>
      </c>
      <c r="DB27" t="s">
        <v>1138</v>
      </c>
      <c r="DC27" t="s">
        <v>1168</v>
      </c>
      <c r="DD27" t="s">
        <v>225</v>
      </c>
      <c r="DE27" t="s">
        <v>226</v>
      </c>
      <c r="DF27" t="s">
        <v>178</v>
      </c>
      <c r="DG27" t="s">
        <v>227</v>
      </c>
      <c r="DH27" t="s">
        <v>228</v>
      </c>
      <c r="DI27" t="s">
        <v>178</v>
      </c>
      <c r="DJ27" t="s">
        <v>229</v>
      </c>
      <c r="DK27" t="s">
        <v>230</v>
      </c>
      <c r="DL27" t="s">
        <v>231</v>
      </c>
      <c r="DM27" t="s">
        <v>172</v>
      </c>
      <c r="DN27" t="s">
        <v>1137</v>
      </c>
      <c r="DO27" t="s">
        <v>232</v>
      </c>
      <c r="DP27" t="s">
        <v>233</v>
      </c>
      <c r="DQ27" t="s">
        <v>234</v>
      </c>
      <c r="DR27" t="s">
        <v>235</v>
      </c>
      <c r="DS27" t="s">
        <v>236</v>
      </c>
      <c r="DT27" t="s">
        <v>237</v>
      </c>
    </row>
    <row r="28" spans="1:124" x14ac:dyDescent="0.7">
      <c r="A28" t="s">
        <v>1169</v>
      </c>
      <c r="B28" t="s">
        <v>1170</v>
      </c>
      <c r="C28" t="s">
        <v>162</v>
      </c>
      <c r="D28" t="s">
        <v>163</v>
      </c>
      <c r="E28" t="s">
        <v>164</v>
      </c>
      <c r="F28" t="s">
        <v>138</v>
      </c>
      <c r="G28" t="s">
        <v>138</v>
      </c>
      <c r="H28" t="s">
        <v>1498</v>
      </c>
      <c r="I28" t="s">
        <v>1171</v>
      </c>
      <c r="J28">
        <f t="shared" si="0"/>
        <v>0.43991031160385607</v>
      </c>
      <c r="K28">
        <f t="shared" si="1"/>
        <v>2.9042299199999997</v>
      </c>
      <c r="L28">
        <f t="shared" si="2"/>
        <v>0.38204160130680354</v>
      </c>
      <c r="M28">
        <f t="shared" si="3"/>
        <v>5.925241411796395</v>
      </c>
      <c r="N28" t="s">
        <v>1172</v>
      </c>
      <c r="O28" t="s">
        <v>1173</v>
      </c>
      <c r="P28">
        <f t="shared" si="4"/>
        <v>2.7942232141333001</v>
      </c>
      <c r="Q28">
        <f t="shared" si="5"/>
        <v>1.5500052141333001</v>
      </c>
      <c r="R28" t="s">
        <v>1174</v>
      </c>
      <c r="S28" t="s">
        <v>1175</v>
      </c>
      <c r="T28">
        <f t="shared" si="6"/>
        <v>27.405092331632993</v>
      </c>
      <c r="U28">
        <f t="shared" si="7"/>
        <v>0.4417875</v>
      </c>
      <c r="V28" t="s">
        <v>170</v>
      </c>
      <c r="W28" t="s">
        <v>1176</v>
      </c>
      <c r="X28" t="s">
        <v>172</v>
      </c>
      <c r="Y28" t="s">
        <v>172</v>
      </c>
      <c r="Z28" t="s">
        <v>172</v>
      </c>
      <c r="AA28" t="s">
        <v>1177</v>
      </c>
      <c r="AB28" t="s">
        <v>1178</v>
      </c>
      <c r="AC28" t="s">
        <v>1179</v>
      </c>
      <c r="AD28" t="s">
        <v>176</v>
      </c>
      <c r="AE28" t="s">
        <v>177</v>
      </c>
      <c r="AF28">
        <f t="shared" si="8"/>
        <v>244.18098809999998</v>
      </c>
      <c r="AG28" t="s">
        <v>178</v>
      </c>
      <c r="AH28" t="s">
        <v>1180</v>
      </c>
      <c r="AI28" t="s">
        <v>1181</v>
      </c>
      <c r="AJ28" t="s">
        <v>1182</v>
      </c>
      <c r="AK28" t="s">
        <v>1183</v>
      </c>
      <c r="AL28">
        <f t="shared" si="9"/>
        <v>22.85</v>
      </c>
      <c r="AM28" t="s">
        <v>478</v>
      </c>
      <c r="AN28" t="s">
        <v>254</v>
      </c>
      <c r="AO28" t="s">
        <v>1184</v>
      </c>
      <c r="AP28" t="s">
        <v>685</v>
      </c>
      <c r="AQ28" t="s">
        <v>1185</v>
      </c>
      <c r="AR28" t="s">
        <v>1186</v>
      </c>
      <c r="AS28" t="s">
        <v>1187</v>
      </c>
      <c r="AT28" t="s">
        <v>898</v>
      </c>
      <c r="AU28" t="s">
        <v>1188</v>
      </c>
      <c r="AV28" t="s">
        <v>1189</v>
      </c>
      <c r="AW28" t="s">
        <v>1190</v>
      </c>
      <c r="AX28" t="s">
        <v>1191</v>
      </c>
      <c r="AY28" t="s">
        <v>1192</v>
      </c>
      <c r="AZ28" t="s">
        <v>265</v>
      </c>
      <c r="BA28" t="s">
        <v>1193</v>
      </c>
      <c r="BB28" t="s">
        <v>1194</v>
      </c>
      <c r="BC28" t="s">
        <v>1195</v>
      </c>
      <c r="BD28" t="s">
        <v>162</v>
      </c>
      <c r="BE28" t="s">
        <v>1196</v>
      </c>
      <c r="BF28" t="s">
        <v>1117</v>
      </c>
      <c r="BG28" t="s">
        <v>1197</v>
      </c>
      <c r="BH28" t="s">
        <v>710</v>
      </c>
      <c r="BI28" t="s">
        <v>1198</v>
      </c>
      <c r="BJ28" t="s">
        <v>1007</v>
      </c>
      <c r="BK28" t="s">
        <v>162</v>
      </c>
      <c r="BL28" t="s">
        <v>1008</v>
      </c>
      <c r="BM28" t="s">
        <v>160</v>
      </c>
      <c r="BN28" t="s">
        <v>494</v>
      </c>
      <c r="BO28" t="s">
        <v>201</v>
      </c>
      <c r="BP28" t="s">
        <v>494</v>
      </c>
      <c r="BQ28" t="s">
        <v>1199</v>
      </c>
      <c r="BR28" t="s">
        <v>1200</v>
      </c>
      <c r="BS28" t="s">
        <v>1201</v>
      </c>
      <c r="BT28" t="s">
        <v>160</v>
      </c>
      <c r="BU28" t="s">
        <v>205</v>
      </c>
      <c r="BV28" t="s">
        <v>200</v>
      </c>
      <c r="BW28" t="s">
        <v>206</v>
      </c>
      <c r="BX28" t="s">
        <v>207</v>
      </c>
      <c r="BY28" t="s">
        <v>172</v>
      </c>
      <c r="BZ28" t="s">
        <v>208</v>
      </c>
      <c r="CA28" t="s">
        <v>172</v>
      </c>
      <c r="CB28" t="s">
        <v>172</v>
      </c>
      <c r="CC28" t="s">
        <v>209</v>
      </c>
      <c r="CD28" t="s">
        <v>210</v>
      </c>
      <c r="CE28" t="s">
        <v>197</v>
      </c>
      <c r="CF28" t="s">
        <v>211</v>
      </c>
      <c r="CG28" t="s">
        <v>212</v>
      </c>
      <c r="CH28" t="s">
        <v>213</v>
      </c>
      <c r="CI28" t="s">
        <v>178</v>
      </c>
      <c r="CJ28" t="s">
        <v>206</v>
      </c>
      <c r="CK28" t="s">
        <v>214</v>
      </c>
      <c r="CL28" t="s">
        <v>214</v>
      </c>
      <c r="CM28" t="s">
        <v>214</v>
      </c>
      <c r="CN28" t="s">
        <v>172</v>
      </c>
      <c r="CO28" t="s">
        <v>215</v>
      </c>
      <c r="CP28" t="s">
        <v>172</v>
      </c>
      <c r="CQ28" t="s">
        <v>172</v>
      </c>
      <c r="CR28" t="s">
        <v>172</v>
      </c>
      <c r="CS28" t="s">
        <v>172</v>
      </c>
      <c r="CT28" t="s">
        <v>1202</v>
      </c>
      <c r="CU28" t="s">
        <v>1203</v>
      </c>
      <c r="CV28" t="s">
        <v>1204</v>
      </c>
      <c r="CW28" t="s">
        <v>1205</v>
      </c>
      <c r="CX28" t="s">
        <v>1206</v>
      </c>
      <c r="CY28" t="s">
        <v>1207</v>
      </c>
      <c r="CZ28" t="s">
        <v>1208</v>
      </c>
      <c r="DA28" t="s">
        <v>1209</v>
      </c>
      <c r="DB28" t="s">
        <v>1177</v>
      </c>
      <c r="DC28" t="s">
        <v>1130</v>
      </c>
      <c r="DD28" t="s">
        <v>225</v>
      </c>
      <c r="DE28" t="s">
        <v>226</v>
      </c>
      <c r="DF28" t="s">
        <v>178</v>
      </c>
      <c r="DG28" t="s">
        <v>227</v>
      </c>
      <c r="DH28" t="s">
        <v>228</v>
      </c>
      <c r="DI28" t="s">
        <v>178</v>
      </c>
      <c r="DJ28" t="s">
        <v>229</v>
      </c>
      <c r="DK28" t="s">
        <v>230</v>
      </c>
      <c r="DL28" t="s">
        <v>231</v>
      </c>
      <c r="DM28" t="s">
        <v>172</v>
      </c>
      <c r="DN28" t="s">
        <v>1176</v>
      </c>
      <c r="DO28" t="s">
        <v>232</v>
      </c>
      <c r="DP28" t="s">
        <v>233</v>
      </c>
      <c r="DQ28" t="s">
        <v>234</v>
      </c>
      <c r="DR28" t="s">
        <v>235</v>
      </c>
      <c r="DS28" t="s">
        <v>236</v>
      </c>
      <c r="DT28" t="s">
        <v>237</v>
      </c>
    </row>
    <row r="29" spans="1:124" x14ac:dyDescent="0.7">
      <c r="A29" t="s">
        <v>1210</v>
      </c>
      <c r="B29" t="s">
        <v>1211</v>
      </c>
      <c r="C29" t="s">
        <v>162</v>
      </c>
      <c r="D29" t="s">
        <v>163</v>
      </c>
      <c r="E29" t="s">
        <v>164</v>
      </c>
      <c r="F29" t="s">
        <v>138</v>
      </c>
      <c r="G29" t="s">
        <v>138</v>
      </c>
      <c r="H29" t="s">
        <v>1501</v>
      </c>
      <c r="I29" t="s">
        <v>1212</v>
      </c>
      <c r="J29">
        <f t="shared" si="0"/>
        <v>0.33503480471571689</v>
      </c>
      <c r="K29">
        <f t="shared" si="1"/>
        <v>2.9050319999999994</v>
      </c>
      <c r="L29">
        <f t="shared" si="2"/>
        <v>0.30039097570344836</v>
      </c>
      <c r="M29">
        <f t="shared" si="3"/>
        <v>5.4209082312661714</v>
      </c>
      <c r="N29" t="s">
        <v>1213</v>
      </c>
      <c r="O29" t="s">
        <v>1214</v>
      </c>
      <c r="P29">
        <f t="shared" si="4"/>
        <v>3.0003759725672605</v>
      </c>
      <c r="Q29">
        <f t="shared" si="5"/>
        <v>1.8022799725672605</v>
      </c>
      <c r="R29" t="s">
        <v>1215</v>
      </c>
      <c r="S29" t="s">
        <v>1216</v>
      </c>
      <c r="T29">
        <f t="shared" si="6"/>
        <v>29.424104859931944</v>
      </c>
      <c r="U29">
        <f t="shared" si="7"/>
        <v>0.4417875</v>
      </c>
      <c r="V29" t="s">
        <v>170</v>
      </c>
      <c r="W29" t="s">
        <v>1217</v>
      </c>
      <c r="X29" t="s">
        <v>172</v>
      </c>
      <c r="Y29" t="s">
        <v>172</v>
      </c>
      <c r="Z29" t="s">
        <v>172</v>
      </c>
      <c r="AA29" t="s">
        <v>1218</v>
      </c>
      <c r="AB29" t="s">
        <v>1219</v>
      </c>
      <c r="AC29" t="s">
        <v>1220</v>
      </c>
      <c r="AD29" t="s">
        <v>176</v>
      </c>
      <c r="AE29" t="s">
        <v>177</v>
      </c>
      <c r="AF29">
        <f t="shared" si="8"/>
        <v>164.22926183999999</v>
      </c>
      <c r="AG29" t="s">
        <v>178</v>
      </c>
      <c r="AH29" t="s">
        <v>1221</v>
      </c>
      <c r="AI29" t="s">
        <v>1222</v>
      </c>
      <c r="AJ29" t="s">
        <v>1223</v>
      </c>
      <c r="AK29" t="s">
        <v>476</v>
      </c>
      <c r="AL29">
        <f t="shared" si="9"/>
        <v>24.03</v>
      </c>
      <c r="AM29" t="s">
        <v>800</v>
      </c>
      <c r="AN29" t="s">
        <v>302</v>
      </c>
      <c r="AO29" t="s">
        <v>1224</v>
      </c>
      <c r="AP29" t="s">
        <v>439</v>
      </c>
      <c r="AQ29" t="s">
        <v>1225</v>
      </c>
      <c r="AR29" t="s">
        <v>1226</v>
      </c>
      <c r="AS29" t="s">
        <v>1227</v>
      </c>
      <c r="AT29" t="s">
        <v>998</v>
      </c>
      <c r="AU29" t="s">
        <v>1228</v>
      </c>
      <c r="AV29" t="s">
        <v>1229</v>
      </c>
      <c r="AW29" t="s">
        <v>1230</v>
      </c>
      <c r="AX29" t="s">
        <v>1231</v>
      </c>
      <c r="AY29" t="s">
        <v>1232</v>
      </c>
      <c r="AZ29" t="s">
        <v>265</v>
      </c>
      <c r="BA29" t="s">
        <v>1193</v>
      </c>
      <c r="BB29" t="s">
        <v>1194</v>
      </c>
      <c r="BC29" t="s">
        <v>1233</v>
      </c>
      <c r="BD29" t="s">
        <v>162</v>
      </c>
      <c r="BE29" t="s">
        <v>1234</v>
      </c>
      <c r="BF29" t="s">
        <v>492</v>
      </c>
      <c r="BG29" t="s">
        <v>1197</v>
      </c>
      <c r="BH29" t="s">
        <v>710</v>
      </c>
      <c r="BI29" t="s">
        <v>1235</v>
      </c>
      <c r="BJ29" t="s">
        <v>1007</v>
      </c>
      <c r="BK29" t="s">
        <v>162</v>
      </c>
      <c r="BL29" t="s">
        <v>1008</v>
      </c>
      <c r="BM29" t="s">
        <v>160</v>
      </c>
      <c r="BN29" t="s">
        <v>321</v>
      </c>
      <c r="BO29" t="s">
        <v>200</v>
      </c>
      <c r="BP29" t="s">
        <v>366</v>
      </c>
      <c r="BQ29" t="s">
        <v>1236</v>
      </c>
      <c r="BR29" t="s">
        <v>1237</v>
      </c>
      <c r="BS29" t="s">
        <v>1238</v>
      </c>
      <c r="BT29" t="s">
        <v>160</v>
      </c>
      <c r="BU29" t="s">
        <v>205</v>
      </c>
      <c r="BV29" t="s">
        <v>200</v>
      </c>
      <c r="BW29" t="s">
        <v>206</v>
      </c>
      <c r="BX29" t="s">
        <v>207</v>
      </c>
      <c r="BY29" t="s">
        <v>172</v>
      </c>
      <c r="BZ29" t="s">
        <v>208</v>
      </c>
      <c r="CA29" t="s">
        <v>172</v>
      </c>
      <c r="CB29" t="s">
        <v>172</v>
      </c>
      <c r="CC29" t="s">
        <v>209</v>
      </c>
      <c r="CD29" t="s">
        <v>210</v>
      </c>
      <c r="CE29" t="s">
        <v>197</v>
      </c>
      <c r="CF29" t="s">
        <v>211</v>
      </c>
      <c r="CG29" t="s">
        <v>212</v>
      </c>
      <c r="CH29" t="s">
        <v>213</v>
      </c>
      <c r="CI29" t="s">
        <v>178</v>
      </c>
      <c r="CJ29" t="s">
        <v>206</v>
      </c>
      <c r="CK29" t="s">
        <v>214</v>
      </c>
      <c r="CL29" t="s">
        <v>214</v>
      </c>
      <c r="CM29" t="s">
        <v>214</v>
      </c>
      <c r="CN29" t="s">
        <v>172</v>
      </c>
      <c r="CO29" t="s">
        <v>215</v>
      </c>
      <c r="CP29" t="s">
        <v>172</v>
      </c>
      <c r="CQ29" t="s">
        <v>172</v>
      </c>
      <c r="CR29" t="s">
        <v>172</v>
      </c>
      <c r="CS29" t="s">
        <v>172</v>
      </c>
      <c r="CT29" t="s">
        <v>1239</v>
      </c>
      <c r="CU29" t="s">
        <v>1240</v>
      </c>
      <c r="CV29" t="s">
        <v>1241</v>
      </c>
      <c r="CW29" t="s">
        <v>1242</v>
      </c>
      <c r="CX29" t="s">
        <v>1243</v>
      </c>
      <c r="CY29" t="s">
        <v>1244</v>
      </c>
      <c r="CZ29" t="s">
        <v>1245</v>
      </c>
      <c r="DA29" t="s">
        <v>1246</v>
      </c>
      <c r="DB29" t="s">
        <v>1218</v>
      </c>
      <c r="DC29" t="s">
        <v>1130</v>
      </c>
      <c r="DD29" t="s">
        <v>225</v>
      </c>
      <c r="DE29" t="s">
        <v>226</v>
      </c>
      <c r="DF29" t="s">
        <v>178</v>
      </c>
      <c r="DG29" t="s">
        <v>227</v>
      </c>
      <c r="DH29" t="s">
        <v>228</v>
      </c>
      <c r="DI29" t="s">
        <v>178</v>
      </c>
      <c r="DJ29" t="s">
        <v>229</v>
      </c>
      <c r="DK29" t="s">
        <v>230</v>
      </c>
      <c r="DL29" t="s">
        <v>231</v>
      </c>
      <c r="DM29" t="s">
        <v>172</v>
      </c>
      <c r="DN29" t="s">
        <v>1217</v>
      </c>
      <c r="DO29" t="s">
        <v>232</v>
      </c>
      <c r="DP29" t="s">
        <v>233</v>
      </c>
      <c r="DQ29" t="s">
        <v>234</v>
      </c>
      <c r="DR29" t="s">
        <v>235</v>
      </c>
      <c r="DS29" t="s">
        <v>236</v>
      </c>
      <c r="DT29" t="s">
        <v>237</v>
      </c>
    </row>
    <row r="30" spans="1:124" x14ac:dyDescent="0.7">
      <c r="A30" t="s">
        <v>1247</v>
      </c>
      <c r="B30" t="s">
        <v>1248</v>
      </c>
      <c r="C30" t="s">
        <v>162</v>
      </c>
      <c r="D30" t="s">
        <v>163</v>
      </c>
      <c r="E30" t="s">
        <v>164</v>
      </c>
      <c r="F30" t="s">
        <v>138</v>
      </c>
      <c r="G30" t="s">
        <v>138</v>
      </c>
      <c r="H30" t="s">
        <v>1499</v>
      </c>
      <c r="I30" t="s">
        <v>1249</v>
      </c>
      <c r="J30">
        <f t="shared" si="0"/>
        <v>0.29260505116655333</v>
      </c>
      <c r="K30">
        <f t="shared" si="1"/>
        <v>2.9058327199999998</v>
      </c>
      <c r="L30">
        <f t="shared" si="2"/>
        <v>0.26583644658715133</v>
      </c>
      <c r="M30">
        <f t="shared" si="3"/>
        <v>5.0609361236231276</v>
      </c>
      <c r="N30" t="s">
        <v>1250</v>
      </c>
      <c r="O30" t="s">
        <v>1251</v>
      </c>
      <c r="P30">
        <f t="shared" si="4"/>
        <v>3.0972169061445092</v>
      </c>
      <c r="Q30">
        <f t="shared" si="5"/>
        <v>1.9002369061445092</v>
      </c>
      <c r="R30" t="s">
        <v>1252</v>
      </c>
      <c r="S30" t="s">
        <v>1253</v>
      </c>
      <c r="T30">
        <f t="shared" si="6"/>
        <v>30.376784093218021</v>
      </c>
      <c r="U30">
        <f t="shared" si="7"/>
        <v>0.4417875</v>
      </c>
      <c r="V30" t="s">
        <v>170</v>
      </c>
      <c r="W30" t="s">
        <v>1254</v>
      </c>
      <c r="X30" t="s">
        <v>172</v>
      </c>
      <c r="Y30" t="s">
        <v>172</v>
      </c>
      <c r="Z30" t="s">
        <v>172</v>
      </c>
      <c r="AA30" t="s">
        <v>1255</v>
      </c>
      <c r="AB30" t="s">
        <v>1256</v>
      </c>
      <c r="AC30" t="s">
        <v>1257</v>
      </c>
      <c r="AD30" t="s">
        <v>176</v>
      </c>
      <c r="AE30" t="s">
        <v>177</v>
      </c>
      <c r="AF30">
        <f t="shared" si="8"/>
        <v>214.96239366</v>
      </c>
      <c r="AG30" t="s">
        <v>178</v>
      </c>
      <c r="AH30" t="s">
        <v>1258</v>
      </c>
      <c r="AI30" t="s">
        <v>1259</v>
      </c>
      <c r="AJ30" t="s">
        <v>1260</v>
      </c>
      <c r="AK30" t="s">
        <v>1261</v>
      </c>
      <c r="AL30">
        <f t="shared" si="9"/>
        <v>24.56</v>
      </c>
      <c r="AM30" t="s">
        <v>478</v>
      </c>
      <c r="AN30" t="s">
        <v>479</v>
      </c>
      <c r="AO30" t="s">
        <v>1262</v>
      </c>
      <c r="AP30" t="s">
        <v>521</v>
      </c>
      <c r="AQ30" t="s">
        <v>1263</v>
      </c>
      <c r="AR30" t="s">
        <v>1226</v>
      </c>
      <c r="AS30" t="s">
        <v>1264</v>
      </c>
      <c r="AT30" t="s">
        <v>401</v>
      </c>
      <c r="AU30" t="s">
        <v>1265</v>
      </c>
      <c r="AV30" t="s">
        <v>1266</v>
      </c>
      <c r="AW30" t="s">
        <v>1267</v>
      </c>
      <c r="AX30" t="s">
        <v>1268</v>
      </c>
      <c r="AY30" t="s">
        <v>1269</v>
      </c>
      <c r="AZ30" t="s">
        <v>1270</v>
      </c>
      <c r="BA30" t="s">
        <v>1271</v>
      </c>
      <c r="BB30" t="s">
        <v>1272</v>
      </c>
      <c r="BC30" t="s">
        <v>1273</v>
      </c>
      <c r="BD30" t="s">
        <v>162</v>
      </c>
      <c r="BE30" t="s">
        <v>577</v>
      </c>
      <c r="BF30" t="s">
        <v>363</v>
      </c>
      <c r="BG30" t="s">
        <v>1274</v>
      </c>
      <c r="BH30" t="s">
        <v>785</v>
      </c>
      <c r="BI30" t="s">
        <v>1083</v>
      </c>
      <c r="BJ30" t="s">
        <v>1007</v>
      </c>
      <c r="BK30" t="s">
        <v>162</v>
      </c>
      <c r="BL30" t="s">
        <v>1008</v>
      </c>
      <c r="BM30" t="s">
        <v>160</v>
      </c>
      <c r="BN30" t="s">
        <v>494</v>
      </c>
      <c r="BO30" t="s">
        <v>201</v>
      </c>
      <c r="BP30" t="s">
        <v>274</v>
      </c>
      <c r="BQ30" t="s">
        <v>1275</v>
      </c>
      <c r="BR30" t="s">
        <v>1276</v>
      </c>
      <c r="BS30" t="s">
        <v>1277</v>
      </c>
      <c r="BT30" t="s">
        <v>160</v>
      </c>
      <c r="BU30" t="s">
        <v>205</v>
      </c>
      <c r="BV30" t="s">
        <v>200</v>
      </c>
      <c r="BW30" t="s">
        <v>206</v>
      </c>
      <c r="BX30" t="s">
        <v>207</v>
      </c>
      <c r="BY30" t="s">
        <v>172</v>
      </c>
      <c r="BZ30" t="s">
        <v>208</v>
      </c>
      <c r="CA30" t="s">
        <v>172</v>
      </c>
      <c r="CB30" t="s">
        <v>172</v>
      </c>
      <c r="CC30" t="s">
        <v>209</v>
      </c>
      <c r="CD30" t="s">
        <v>210</v>
      </c>
      <c r="CE30" t="s">
        <v>197</v>
      </c>
      <c r="CF30" t="s">
        <v>211</v>
      </c>
      <c r="CG30" t="s">
        <v>212</v>
      </c>
      <c r="CH30" t="s">
        <v>213</v>
      </c>
      <c r="CI30" t="s">
        <v>178</v>
      </c>
      <c r="CJ30" t="s">
        <v>206</v>
      </c>
      <c r="CK30" t="s">
        <v>214</v>
      </c>
      <c r="CL30" t="s">
        <v>214</v>
      </c>
      <c r="CM30" t="s">
        <v>214</v>
      </c>
      <c r="CN30" t="s">
        <v>172</v>
      </c>
      <c r="CO30" t="s">
        <v>215</v>
      </c>
      <c r="CP30" t="s">
        <v>172</v>
      </c>
      <c r="CQ30" t="s">
        <v>172</v>
      </c>
      <c r="CR30" t="s">
        <v>172</v>
      </c>
      <c r="CS30" t="s">
        <v>172</v>
      </c>
      <c r="CT30" t="s">
        <v>1278</v>
      </c>
      <c r="CU30" t="s">
        <v>1279</v>
      </c>
      <c r="CV30" t="s">
        <v>1280</v>
      </c>
      <c r="CW30" t="s">
        <v>1281</v>
      </c>
      <c r="CX30" t="s">
        <v>1282</v>
      </c>
      <c r="CY30" t="s">
        <v>1283</v>
      </c>
      <c r="CZ30" t="s">
        <v>1284</v>
      </c>
      <c r="DA30" t="s">
        <v>1285</v>
      </c>
      <c r="DB30" t="s">
        <v>1255</v>
      </c>
      <c r="DC30" t="s">
        <v>224</v>
      </c>
      <c r="DD30" t="s">
        <v>225</v>
      </c>
      <c r="DE30" t="s">
        <v>226</v>
      </c>
      <c r="DF30" t="s">
        <v>178</v>
      </c>
      <c r="DG30" t="s">
        <v>227</v>
      </c>
      <c r="DH30" t="s">
        <v>228</v>
      </c>
      <c r="DI30" t="s">
        <v>178</v>
      </c>
      <c r="DJ30" t="s">
        <v>229</v>
      </c>
      <c r="DK30" t="s">
        <v>230</v>
      </c>
      <c r="DL30" t="s">
        <v>231</v>
      </c>
      <c r="DM30" t="s">
        <v>172</v>
      </c>
      <c r="DN30" t="s">
        <v>1254</v>
      </c>
      <c r="DO30" t="s">
        <v>232</v>
      </c>
      <c r="DP30" t="s">
        <v>233</v>
      </c>
      <c r="DQ30" t="s">
        <v>234</v>
      </c>
      <c r="DR30" t="s">
        <v>235</v>
      </c>
      <c r="DS30" t="s">
        <v>236</v>
      </c>
      <c r="DT30" t="s">
        <v>237</v>
      </c>
    </row>
    <row r="31" spans="1:124" x14ac:dyDescent="0.7">
      <c r="A31" s="1">
        <v>28</v>
      </c>
      <c r="B31" t="s">
        <v>1324</v>
      </c>
      <c r="C31" t="s">
        <v>162</v>
      </c>
      <c r="D31" t="s">
        <v>163</v>
      </c>
      <c r="E31" t="s">
        <v>164</v>
      </c>
      <c r="F31" t="s">
        <v>138</v>
      </c>
      <c r="G31" t="s">
        <v>138</v>
      </c>
      <c r="H31" t="s">
        <v>1502</v>
      </c>
      <c r="I31" t="s">
        <v>1325</v>
      </c>
      <c r="J31">
        <f>1/((1/L31)-(1/K31))</f>
        <v>0.24610346519392129</v>
      </c>
      <c r="K31">
        <f>BY31+(BZ31*AN31)+(CA31*AN31*POWER(V31,2))+(CB31*AN31*V31)+(CC31*POWER(AN31,2))</f>
        <v>2.9042299199999997</v>
      </c>
      <c r="L31">
        <f>((M31/1000)*(1000-((T31+S31)/2)))/(T31-S31)</f>
        <v>0.22687790771320801</v>
      </c>
      <c r="M31">
        <f>(AN31*(S31-R31))/(100*U31*(1000-S31))*1000</f>
        <v>3.8082830346975882</v>
      </c>
      <c r="N31" t="s">
        <v>1326</v>
      </c>
      <c r="O31" t="s">
        <v>1327</v>
      </c>
      <c r="P31">
        <f>0.61365*EXP((17.502*AL31)/(240.97+AL31))</f>
        <v>2.8214288384684845</v>
      </c>
      <c r="Q31">
        <f>P31-N31</f>
        <v>1.6781468384684846</v>
      </c>
      <c r="R31" t="s">
        <v>1328</v>
      </c>
      <c r="S31" t="s">
        <v>1329</v>
      </c>
      <c r="T31">
        <f>(P31/AM31)*1000</f>
        <v>27.671918776662267</v>
      </c>
      <c r="U31">
        <f>V31*BX31</f>
        <v>0.4417875</v>
      </c>
      <c r="V31" t="s">
        <v>170</v>
      </c>
      <c r="W31" t="s">
        <v>1330</v>
      </c>
      <c r="X31" t="s">
        <v>172</v>
      </c>
      <c r="Y31" t="s">
        <v>172</v>
      </c>
      <c r="Z31" t="s">
        <v>172</v>
      </c>
      <c r="AA31" t="s">
        <v>1331</v>
      </c>
      <c r="AB31" t="s">
        <v>1332</v>
      </c>
      <c r="AC31" t="s">
        <v>1333</v>
      </c>
      <c r="AD31" t="s">
        <v>176</v>
      </c>
      <c r="AE31" t="s">
        <v>177</v>
      </c>
      <c r="AF31">
        <f>AC31*AD31*AE31*AQ31</f>
        <v>107.58960702</v>
      </c>
      <c r="AG31" t="s">
        <v>178</v>
      </c>
      <c r="AH31" t="s">
        <v>1334</v>
      </c>
      <c r="AI31" t="s">
        <v>1335</v>
      </c>
      <c r="AJ31" t="s">
        <v>1336</v>
      </c>
      <c r="AK31" t="s">
        <v>1337</v>
      </c>
      <c r="AL31">
        <f>(AK31-AJ31)*(AJ31*0+0)+AK31</f>
        <v>23.01</v>
      </c>
      <c r="AM31" t="s">
        <v>478</v>
      </c>
      <c r="AN31" t="s">
        <v>254</v>
      </c>
      <c r="AO31" t="s">
        <v>1338</v>
      </c>
      <c r="AP31" t="s">
        <v>521</v>
      </c>
      <c r="AQ31" t="s">
        <v>1339</v>
      </c>
      <c r="AR31" t="s">
        <v>1340</v>
      </c>
      <c r="AS31" t="s">
        <v>524</v>
      </c>
      <c r="AT31" t="s">
        <v>197</v>
      </c>
      <c r="AU31" t="s">
        <v>354</v>
      </c>
      <c r="AV31" t="s">
        <v>1341</v>
      </c>
      <c r="AW31" t="s">
        <v>1342</v>
      </c>
      <c r="AX31" t="s">
        <v>1343</v>
      </c>
      <c r="AY31" t="s">
        <v>1344</v>
      </c>
      <c r="AZ31" t="s">
        <v>1270</v>
      </c>
      <c r="BA31" t="s">
        <v>1345</v>
      </c>
      <c r="BB31" t="s">
        <v>1346</v>
      </c>
      <c r="BC31" t="s">
        <v>1347</v>
      </c>
      <c r="BD31" t="s">
        <v>162</v>
      </c>
      <c r="BE31" t="s">
        <v>577</v>
      </c>
      <c r="BF31" t="s">
        <v>885</v>
      </c>
      <c r="BG31" t="s">
        <v>1348</v>
      </c>
      <c r="BH31" t="s">
        <v>728</v>
      </c>
      <c r="BI31" t="s">
        <v>1312</v>
      </c>
      <c r="BJ31" t="s">
        <v>1007</v>
      </c>
      <c r="BK31" t="s">
        <v>162</v>
      </c>
      <c r="BL31" t="s">
        <v>1008</v>
      </c>
      <c r="BM31" t="s">
        <v>160</v>
      </c>
      <c r="BN31" t="s">
        <v>201</v>
      </c>
      <c r="BO31" t="s">
        <v>200</v>
      </c>
      <c r="BP31" t="s">
        <v>452</v>
      </c>
      <c r="BQ31" t="s">
        <v>1349</v>
      </c>
      <c r="BR31" t="s">
        <v>1350</v>
      </c>
      <c r="BS31" t="s">
        <v>1351</v>
      </c>
      <c r="BT31" t="s">
        <v>160</v>
      </c>
      <c r="BU31" t="s">
        <v>205</v>
      </c>
      <c r="BV31" t="s">
        <v>200</v>
      </c>
      <c r="BW31" t="s">
        <v>206</v>
      </c>
      <c r="BX31" t="s">
        <v>207</v>
      </c>
      <c r="BY31" t="s">
        <v>172</v>
      </c>
      <c r="BZ31" t="s">
        <v>208</v>
      </c>
      <c r="CA31" t="s">
        <v>172</v>
      </c>
      <c r="CB31" t="s">
        <v>172</v>
      </c>
      <c r="CC31" t="s">
        <v>209</v>
      </c>
      <c r="CD31" t="s">
        <v>210</v>
      </c>
      <c r="CE31" t="s">
        <v>197</v>
      </c>
      <c r="CF31" t="s">
        <v>211</v>
      </c>
      <c r="CG31" t="s">
        <v>212</v>
      </c>
      <c r="CH31" t="s">
        <v>213</v>
      </c>
      <c r="CI31" t="s">
        <v>178</v>
      </c>
      <c r="CJ31" t="s">
        <v>206</v>
      </c>
      <c r="CK31" t="s">
        <v>214</v>
      </c>
      <c r="CL31" t="s">
        <v>214</v>
      </c>
      <c r="CM31" t="s">
        <v>214</v>
      </c>
      <c r="CN31" t="s">
        <v>172</v>
      </c>
      <c r="CO31" t="s">
        <v>215</v>
      </c>
      <c r="CP31" t="s">
        <v>172</v>
      </c>
      <c r="CQ31" t="s">
        <v>172</v>
      </c>
      <c r="CR31" t="s">
        <v>172</v>
      </c>
      <c r="CS31" t="s">
        <v>172</v>
      </c>
      <c r="CT31" t="s">
        <v>1352</v>
      </c>
      <c r="CU31" t="s">
        <v>1353</v>
      </c>
      <c r="CV31" t="s">
        <v>1354</v>
      </c>
      <c r="CW31" t="s">
        <v>1355</v>
      </c>
      <c r="CX31" t="s">
        <v>1356</v>
      </c>
      <c r="CY31" t="s">
        <v>1357</v>
      </c>
      <c r="CZ31" t="s">
        <v>1358</v>
      </c>
      <c r="DA31" t="s">
        <v>1359</v>
      </c>
      <c r="DB31" t="s">
        <v>1331</v>
      </c>
      <c r="DC31" t="s">
        <v>1168</v>
      </c>
      <c r="DD31" t="s">
        <v>225</v>
      </c>
      <c r="DE31" t="s">
        <v>226</v>
      </c>
      <c r="DF31" t="s">
        <v>178</v>
      </c>
      <c r="DG31" t="s">
        <v>227</v>
      </c>
      <c r="DH31" t="s">
        <v>228</v>
      </c>
      <c r="DI31" t="s">
        <v>178</v>
      </c>
      <c r="DJ31" t="s">
        <v>229</v>
      </c>
      <c r="DK31" t="s">
        <v>230</v>
      </c>
      <c r="DL31" t="s">
        <v>231</v>
      </c>
      <c r="DM31" t="s">
        <v>172</v>
      </c>
      <c r="DN31" t="s">
        <v>1330</v>
      </c>
      <c r="DO31" t="s">
        <v>232</v>
      </c>
      <c r="DP31" t="s">
        <v>233</v>
      </c>
      <c r="DQ31" t="s">
        <v>234</v>
      </c>
      <c r="DR31" t="s">
        <v>235</v>
      </c>
      <c r="DS31" t="s">
        <v>236</v>
      </c>
      <c r="DT31" t="s">
        <v>237</v>
      </c>
    </row>
    <row r="32" spans="1:124" x14ac:dyDescent="0.7">
      <c r="A32" s="1">
        <v>29</v>
      </c>
      <c r="B32" t="s">
        <v>1286</v>
      </c>
      <c r="C32" t="s">
        <v>162</v>
      </c>
      <c r="D32" t="s">
        <v>163</v>
      </c>
      <c r="E32" t="s">
        <v>164</v>
      </c>
      <c r="F32" t="s">
        <v>138</v>
      </c>
      <c r="G32" t="s">
        <v>138</v>
      </c>
      <c r="H32" t="s">
        <v>1508</v>
      </c>
      <c r="I32" t="s">
        <v>1287</v>
      </c>
      <c r="J32">
        <f t="shared" si="0"/>
        <v>0.39510639030761346</v>
      </c>
      <c r="K32">
        <f t="shared" si="1"/>
        <v>2.9050319999999994</v>
      </c>
      <c r="L32">
        <f t="shared" si="2"/>
        <v>0.3478025984059166</v>
      </c>
      <c r="M32">
        <f t="shared" si="3"/>
        <v>5.7286216853811851</v>
      </c>
      <c r="N32" t="s">
        <v>1288</v>
      </c>
      <c r="O32" t="s">
        <v>1289</v>
      </c>
      <c r="P32">
        <f t="shared" si="4"/>
        <v>2.8402668598861958</v>
      </c>
      <c r="Q32">
        <f t="shared" si="5"/>
        <v>1.6461248598861957</v>
      </c>
      <c r="R32" t="s">
        <v>1290</v>
      </c>
      <c r="S32" t="s">
        <v>1291</v>
      </c>
      <c r="T32">
        <f t="shared" si="6"/>
        <v>27.856677715635502</v>
      </c>
      <c r="U32">
        <f t="shared" si="7"/>
        <v>0.4417875</v>
      </c>
      <c r="V32" t="s">
        <v>170</v>
      </c>
      <c r="W32" t="s">
        <v>1292</v>
      </c>
      <c r="X32" t="s">
        <v>172</v>
      </c>
      <c r="Y32" t="s">
        <v>172</v>
      </c>
      <c r="Z32" t="s">
        <v>172</v>
      </c>
      <c r="AA32" t="s">
        <v>1293</v>
      </c>
      <c r="AB32" t="s">
        <v>1294</v>
      </c>
      <c r="AC32" t="s">
        <v>1295</v>
      </c>
      <c r="AD32" t="s">
        <v>176</v>
      </c>
      <c r="AE32" t="s">
        <v>177</v>
      </c>
      <c r="AF32">
        <f t="shared" si="8"/>
        <v>160.51320432</v>
      </c>
      <c r="AG32" t="s">
        <v>178</v>
      </c>
      <c r="AH32" t="s">
        <v>1296</v>
      </c>
      <c r="AI32" t="s">
        <v>1297</v>
      </c>
      <c r="AJ32" t="s">
        <v>1298</v>
      </c>
      <c r="AK32" t="s">
        <v>1299</v>
      </c>
      <c r="AL32">
        <f t="shared" si="9"/>
        <v>23.12</v>
      </c>
      <c r="AM32" t="s">
        <v>478</v>
      </c>
      <c r="AN32" t="s">
        <v>302</v>
      </c>
      <c r="AO32" t="s">
        <v>644</v>
      </c>
      <c r="AP32" t="s">
        <v>645</v>
      </c>
      <c r="AQ32" t="s">
        <v>1300</v>
      </c>
      <c r="AR32" t="s">
        <v>1301</v>
      </c>
      <c r="AS32" t="s">
        <v>442</v>
      </c>
      <c r="AT32" t="s">
        <v>1302</v>
      </c>
      <c r="AU32" t="s">
        <v>1303</v>
      </c>
      <c r="AV32" t="s">
        <v>1304</v>
      </c>
      <c r="AW32" t="s">
        <v>1305</v>
      </c>
      <c r="AX32" t="s">
        <v>1306</v>
      </c>
      <c r="AY32" t="s">
        <v>1307</v>
      </c>
      <c r="AZ32" t="s">
        <v>1270</v>
      </c>
      <c r="BA32" t="s">
        <v>1308</v>
      </c>
      <c r="BB32" t="s">
        <v>1309</v>
      </c>
      <c r="BC32" t="s">
        <v>1310</v>
      </c>
      <c r="BD32" t="s">
        <v>162</v>
      </c>
      <c r="BE32" t="s">
        <v>491</v>
      </c>
      <c r="BF32" t="s">
        <v>317</v>
      </c>
      <c r="BG32" t="s">
        <v>1311</v>
      </c>
      <c r="BH32" t="s">
        <v>728</v>
      </c>
      <c r="BI32" t="s">
        <v>1312</v>
      </c>
      <c r="BJ32" t="s">
        <v>1007</v>
      </c>
      <c r="BK32" t="s">
        <v>162</v>
      </c>
      <c r="BL32" t="s">
        <v>1008</v>
      </c>
      <c r="BM32" t="s">
        <v>160</v>
      </c>
      <c r="BN32" t="s">
        <v>200</v>
      </c>
      <c r="BO32" t="s">
        <v>494</v>
      </c>
      <c r="BP32" t="s">
        <v>200</v>
      </c>
      <c r="BQ32" t="s">
        <v>1313</v>
      </c>
      <c r="BR32" t="s">
        <v>1314</v>
      </c>
      <c r="BS32" t="s">
        <v>1315</v>
      </c>
      <c r="BT32" t="s">
        <v>160</v>
      </c>
      <c r="BU32" t="s">
        <v>205</v>
      </c>
      <c r="BV32" t="s">
        <v>200</v>
      </c>
      <c r="BW32" t="s">
        <v>206</v>
      </c>
      <c r="BX32" t="s">
        <v>207</v>
      </c>
      <c r="BY32" t="s">
        <v>172</v>
      </c>
      <c r="BZ32" t="s">
        <v>208</v>
      </c>
      <c r="CA32" t="s">
        <v>172</v>
      </c>
      <c r="CB32" t="s">
        <v>172</v>
      </c>
      <c r="CC32" t="s">
        <v>209</v>
      </c>
      <c r="CD32" t="s">
        <v>210</v>
      </c>
      <c r="CE32" t="s">
        <v>197</v>
      </c>
      <c r="CF32" t="s">
        <v>211</v>
      </c>
      <c r="CG32" t="s">
        <v>212</v>
      </c>
      <c r="CH32" t="s">
        <v>213</v>
      </c>
      <c r="CI32" t="s">
        <v>178</v>
      </c>
      <c r="CJ32" t="s">
        <v>206</v>
      </c>
      <c r="CK32" t="s">
        <v>214</v>
      </c>
      <c r="CL32" t="s">
        <v>214</v>
      </c>
      <c r="CM32" t="s">
        <v>214</v>
      </c>
      <c r="CN32" t="s">
        <v>172</v>
      </c>
      <c r="CO32" t="s">
        <v>215</v>
      </c>
      <c r="CP32" t="s">
        <v>172</v>
      </c>
      <c r="CQ32" t="s">
        <v>172</v>
      </c>
      <c r="CR32" t="s">
        <v>172</v>
      </c>
      <c r="CS32" t="s">
        <v>172</v>
      </c>
      <c r="CT32" t="s">
        <v>1316</v>
      </c>
      <c r="CU32" t="s">
        <v>1317</v>
      </c>
      <c r="CV32" t="s">
        <v>1318</v>
      </c>
      <c r="CW32" t="s">
        <v>1319</v>
      </c>
      <c r="CX32" t="s">
        <v>1320</v>
      </c>
      <c r="CY32" t="s">
        <v>1321</v>
      </c>
      <c r="CZ32" t="s">
        <v>1322</v>
      </c>
      <c r="DA32" t="s">
        <v>1323</v>
      </c>
      <c r="DB32" t="s">
        <v>1293</v>
      </c>
      <c r="DC32" t="s">
        <v>286</v>
      </c>
      <c r="DD32" t="s">
        <v>225</v>
      </c>
      <c r="DE32" t="s">
        <v>226</v>
      </c>
      <c r="DF32" t="s">
        <v>178</v>
      </c>
      <c r="DG32" t="s">
        <v>227</v>
      </c>
      <c r="DH32" t="s">
        <v>228</v>
      </c>
      <c r="DI32" t="s">
        <v>178</v>
      </c>
      <c r="DJ32" t="s">
        <v>229</v>
      </c>
      <c r="DK32" t="s">
        <v>230</v>
      </c>
      <c r="DL32" t="s">
        <v>231</v>
      </c>
      <c r="DM32" t="s">
        <v>172</v>
      </c>
      <c r="DN32" t="s">
        <v>1292</v>
      </c>
      <c r="DO32" t="s">
        <v>232</v>
      </c>
      <c r="DP32" t="s">
        <v>233</v>
      </c>
      <c r="DQ32" t="s">
        <v>234</v>
      </c>
      <c r="DR32" t="s">
        <v>235</v>
      </c>
      <c r="DS32" t="s">
        <v>236</v>
      </c>
      <c r="DT32" t="s">
        <v>237</v>
      </c>
    </row>
    <row r="33" spans="1:124" x14ac:dyDescent="0.7">
      <c r="A33" t="s">
        <v>1360</v>
      </c>
      <c r="B33" t="s">
        <v>1361</v>
      </c>
      <c r="C33" t="s">
        <v>162</v>
      </c>
      <c r="D33" t="s">
        <v>163</v>
      </c>
      <c r="E33" t="s">
        <v>164</v>
      </c>
      <c r="F33" t="s">
        <v>138</v>
      </c>
      <c r="G33" t="s">
        <v>138</v>
      </c>
      <c r="H33" t="s">
        <v>1509</v>
      </c>
      <c r="I33" t="s">
        <v>1325</v>
      </c>
      <c r="J33">
        <f t="shared" si="0"/>
        <v>0.36431633613433362</v>
      </c>
      <c r="K33">
        <f t="shared" si="1"/>
        <v>2.9050319999999994</v>
      </c>
      <c r="L33">
        <f t="shared" si="2"/>
        <v>0.32371913475710745</v>
      </c>
      <c r="M33">
        <f t="shared" si="3"/>
        <v>5.9005146576722201</v>
      </c>
      <c r="N33" t="s">
        <v>1362</v>
      </c>
      <c r="O33" t="s">
        <v>1363</v>
      </c>
      <c r="P33">
        <f t="shared" si="4"/>
        <v>3.0402478496157066</v>
      </c>
      <c r="Q33">
        <f t="shared" si="5"/>
        <v>1.8198398496157067</v>
      </c>
      <c r="R33" t="s">
        <v>1364</v>
      </c>
      <c r="S33" t="s">
        <v>1365</v>
      </c>
      <c r="T33">
        <f t="shared" si="6"/>
        <v>29.815120619944167</v>
      </c>
      <c r="U33">
        <f t="shared" si="7"/>
        <v>0.4417875</v>
      </c>
      <c r="V33" t="s">
        <v>170</v>
      </c>
      <c r="W33" t="s">
        <v>1366</v>
      </c>
      <c r="X33" t="s">
        <v>172</v>
      </c>
      <c r="Y33" t="s">
        <v>172</v>
      </c>
      <c r="Z33" t="s">
        <v>172</v>
      </c>
      <c r="AA33" t="s">
        <v>1367</v>
      </c>
      <c r="AB33" t="s">
        <v>1368</v>
      </c>
      <c r="AC33" t="s">
        <v>1369</v>
      </c>
      <c r="AD33" t="s">
        <v>176</v>
      </c>
      <c r="AE33" t="s">
        <v>177</v>
      </c>
      <c r="AF33">
        <f t="shared" si="8"/>
        <v>190.567272</v>
      </c>
      <c r="AG33" t="s">
        <v>178</v>
      </c>
      <c r="AH33" t="s">
        <v>1370</v>
      </c>
      <c r="AI33" t="s">
        <v>1371</v>
      </c>
      <c r="AJ33" t="s">
        <v>1372</v>
      </c>
      <c r="AK33" t="s">
        <v>1373</v>
      </c>
      <c r="AL33">
        <f t="shared" si="9"/>
        <v>24.25</v>
      </c>
      <c r="AM33" t="s">
        <v>800</v>
      </c>
      <c r="AN33" t="s">
        <v>302</v>
      </c>
      <c r="AO33" t="s">
        <v>1374</v>
      </c>
      <c r="AP33" t="s">
        <v>802</v>
      </c>
      <c r="AQ33" t="s">
        <v>1375</v>
      </c>
      <c r="AR33" t="s">
        <v>1376</v>
      </c>
      <c r="AS33" t="s">
        <v>1264</v>
      </c>
      <c r="AT33" t="s">
        <v>450</v>
      </c>
      <c r="AU33" t="s">
        <v>1377</v>
      </c>
      <c r="AV33" t="s">
        <v>1378</v>
      </c>
      <c r="AW33" t="s">
        <v>1379</v>
      </c>
      <c r="AX33" t="s">
        <v>1380</v>
      </c>
      <c r="AY33" t="s">
        <v>1381</v>
      </c>
      <c r="AZ33" t="s">
        <v>1270</v>
      </c>
      <c r="BA33" t="s">
        <v>1382</v>
      </c>
      <c r="BB33" t="s">
        <v>846</v>
      </c>
      <c r="BC33" t="s">
        <v>1383</v>
      </c>
      <c r="BD33" t="s">
        <v>162</v>
      </c>
      <c r="BE33" t="s">
        <v>577</v>
      </c>
      <c r="BF33" t="s">
        <v>655</v>
      </c>
      <c r="BG33" t="s">
        <v>1155</v>
      </c>
      <c r="BH33" t="s">
        <v>728</v>
      </c>
      <c r="BI33" t="s">
        <v>1312</v>
      </c>
      <c r="BJ33" t="s">
        <v>1007</v>
      </c>
      <c r="BK33" t="s">
        <v>162</v>
      </c>
      <c r="BL33" t="s">
        <v>1008</v>
      </c>
      <c r="BM33" t="s">
        <v>160</v>
      </c>
      <c r="BN33" t="s">
        <v>201</v>
      </c>
      <c r="BO33" t="s">
        <v>201</v>
      </c>
      <c r="BP33" t="s">
        <v>200</v>
      </c>
      <c r="BQ33" t="s">
        <v>1384</v>
      </c>
      <c r="BR33" t="s">
        <v>1385</v>
      </c>
      <c r="BS33" t="s">
        <v>1386</v>
      </c>
      <c r="BT33" t="s">
        <v>160</v>
      </c>
      <c r="BU33" t="s">
        <v>205</v>
      </c>
      <c r="BV33" t="s">
        <v>200</v>
      </c>
      <c r="BW33" t="s">
        <v>206</v>
      </c>
      <c r="BX33" t="s">
        <v>207</v>
      </c>
      <c r="BY33" t="s">
        <v>172</v>
      </c>
      <c r="BZ33" t="s">
        <v>208</v>
      </c>
      <c r="CA33" t="s">
        <v>172</v>
      </c>
      <c r="CB33" t="s">
        <v>172</v>
      </c>
      <c r="CC33" t="s">
        <v>209</v>
      </c>
      <c r="CD33" t="s">
        <v>210</v>
      </c>
      <c r="CE33" t="s">
        <v>197</v>
      </c>
      <c r="CF33" t="s">
        <v>211</v>
      </c>
      <c r="CG33" t="s">
        <v>212</v>
      </c>
      <c r="CH33" t="s">
        <v>213</v>
      </c>
      <c r="CI33" t="s">
        <v>178</v>
      </c>
      <c r="CJ33" t="s">
        <v>206</v>
      </c>
      <c r="CK33" t="s">
        <v>214</v>
      </c>
      <c r="CL33" t="s">
        <v>214</v>
      </c>
      <c r="CM33" t="s">
        <v>214</v>
      </c>
      <c r="CN33" t="s">
        <v>172</v>
      </c>
      <c r="CO33" t="s">
        <v>215</v>
      </c>
      <c r="CP33" t="s">
        <v>172</v>
      </c>
      <c r="CQ33" t="s">
        <v>172</v>
      </c>
      <c r="CR33" t="s">
        <v>172</v>
      </c>
      <c r="CS33" t="s">
        <v>172</v>
      </c>
      <c r="CT33" t="s">
        <v>1387</v>
      </c>
      <c r="CU33" t="s">
        <v>1388</v>
      </c>
      <c r="CV33" t="s">
        <v>1389</v>
      </c>
      <c r="CW33" t="s">
        <v>1390</v>
      </c>
      <c r="CX33" t="s">
        <v>1391</v>
      </c>
      <c r="CY33" t="s">
        <v>1392</v>
      </c>
      <c r="CZ33" t="s">
        <v>1393</v>
      </c>
      <c r="DA33" t="s">
        <v>1394</v>
      </c>
      <c r="DB33" t="s">
        <v>1367</v>
      </c>
      <c r="DC33" t="s">
        <v>1395</v>
      </c>
      <c r="DD33" t="s">
        <v>225</v>
      </c>
      <c r="DE33" t="s">
        <v>226</v>
      </c>
      <c r="DF33" t="s">
        <v>178</v>
      </c>
      <c r="DG33" t="s">
        <v>227</v>
      </c>
      <c r="DH33" t="s">
        <v>228</v>
      </c>
      <c r="DI33" t="s">
        <v>178</v>
      </c>
      <c r="DJ33" t="s">
        <v>229</v>
      </c>
      <c r="DK33" t="s">
        <v>230</v>
      </c>
      <c r="DL33" t="s">
        <v>231</v>
      </c>
      <c r="DM33" t="s">
        <v>172</v>
      </c>
      <c r="DN33" t="s">
        <v>1366</v>
      </c>
      <c r="DO33" t="s">
        <v>232</v>
      </c>
      <c r="DP33" t="s">
        <v>233</v>
      </c>
      <c r="DQ33" t="s">
        <v>234</v>
      </c>
      <c r="DR33" t="s">
        <v>235</v>
      </c>
      <c r="DS33" t="s">
        <v>236</v>
      </c>
      <c r="DT33" t="s">
        <v>237</v>
      </c>
    </row>
    <row r="34" spans="1:124" x14ac:dyDescent="0.7">
      <c r="A34" t="s">
        <v>1396</v>
      </c>
      <c r="B34" t="s">
        <v>1397</v>
      </c>
      <c r="C34" t="s">
        <v>162</v>
      </c>
      <c r="D34" t="s">
        <v>163</v>
      </c>
      <c r="E34" t="s">
        <v>164</v>
      </c>
      <c r="F34" t="s">
        <v>138</v>
      </c>
      <c r="G34" t="s">
        <v>138</v>
      </c>
      <c r="H34" t="s">
        <v>1500</v>
      </c>
      <c r="I34" t="s">
        <v>1398</v>
      </c>
      <c r="J34">
        <f t="shared" si="0"/>
        <v>0.36444643403030369</v>
      </c>
      <c r="K34">
        <f t="shared" si="1"/>
        <v>2.9042299199999997</v>
      </c>
      <c r="L34">
        <f t="shared" si="2"/>
        <v>0.32381188080705942</v>
      </c>
      <c r="M34">
        <f t="shared" si="3"/>
        <v>6.5955742954951146</v>
      </c>
      <c r="N34" t="s">
        <v>1399</v>
      </c>
      <c r="O34" t="s">
        <v>1400</v>
      </c>
      <c r="P34">
        <f t="shared" si="4"/>
        <v>3.2563001579112365</v>
      </c>
      <c r="Q34">
        <f t="shared" si="5"/>
        <v>2.0313861579112364</v>
      </c>
      <c r="R34" t="s">
        <v>1401</v>
      </c>
      <c r="S34" t="s">
        <v>1402</v>
      </c>
      <c r="T34">
        <f t="shared" si="6"/>
        <v>31.933903676681737</v>
      </c>
      <c r="U34">
        <f t="shared" si="7"/>
        <v>0.4417875</v>
      </c>
      <c r="V34" t="s">
        <v>170</v>
      </c>
      <c r="W34" t="s">
        <v>1403</v>
      </c>
      <c r="X34" t="s">
        <v>172</v>
      </c>
      <c r="Y34" t="s">
        <v>172</v>
      </c>
      <c r="Z34" t="s">
        <v>172</v>
      </c>
      <c r="AA34" t="s">
        <v>1404</v>
      </c>
      <c r="AB34" t="s">
        <v>1405</v>
      </c>
      <c r="AC34" t="s">
        <v>1406</v>
      </c>
      <c r="AD34" t="s">
        <v>176</v>
      </c>
      <c r="AE34" t="s">
        <v>177</v>
      </c>
      <c r="AF34">
        <f t="shared" si="8"/>
        <v>192.48727679999999</v>
      </c>
      <c r="AG34" t="s">
        <v>178</v>
      </c>
      <c r="AH34" t="s">
        <v>1407</v>
      </c>
      <c r="AI34" t="s">
        <v>1408</v>
      </c>
      <c r="AJ34" t="s">
        <v>1409</v>
      </c>
      <c r="AK34" t="s">
        <v>1410</v>
      </c>
      <c r="AL34">
        <f t="shared" si="9"/>
        <v>25.4</v>
      </c>
      <c r="AM34" t="s">
        <v>800</v>
      </c>
      <c r="AN34" t="s">
        <v>254</v>
      </c>
      <c r="AO34" t="s">
        <v>1411</v>
      </c>
      <c r="AP34" t="s">
        <v>1412</v>
      </c>
      <c r="AQ34" t="s">
        <v>1413</v>
      </c>
      <c r="AR34" t="s">
        <v>1414</v>
      </c>
      <c r="AS34" t="s">
        <v>1264</v>
      </c>
      <c r="AT34" t="s">
        <v>1415</v>
      </c>
      <c r="AU34" t="s">
        <v>1416</v>
      </c>
      <c r="AV34" t="s">
        <v>1417</v>
      </c>
      <c r="AW34" t="s">
        <v>1418</v>
      </c>
      <c r="AX34" t="s">
        <v>1419</v>
      </c>
      <c r="AY34" t="s">
        <v>1420</v>
      </c>
      <c r="AZ34" t="s">
        <v>1270</v>
      </c>
      <c r="BA34" t="s">
        <v>1421</v>
      </c>
      <c r="BB34" t="s">
        <v>1422</v>
      </c>
      <c r="BC34" t="s">
        <v>1423</v>
      </c>
      <c r="BD34" t="s">
        <v>162</v>
      </c>
      <c r="BE34" t="s">
        <v>577</v>
      </c>
      <c r="BF34" t="s">
        <v>363</v>
      </c>
      <c r="BG34" t="s">
        <v>1424</v>
      </c>
      <c r="BH34" t="s">
        <v>728</v>
      </c>
      <c r="BI34" t="s">
        <v>1312</v>
      </c>
      <c r="BJ34" t="s">
        <v>1007</v>
      </c>
      <c r="BK34" t="s">
        <v>162</v>
      </c>
      <c r="BL34" t="s">
        <v>1008</v>
      </c>
      <c r="BM34" t="s">
        <v>160</v>
      </c>
      <c r="BN34" t="s">
        <v>494</v>
      </c>
      <c r="BO34" t="s">
        <v>494</v>
      </c>
      <c r="BP34" t="s">
        <v>200</v>
      </c>
      <c r="BQ34" t="s">
        <v>1425</v>
      </c>
      <c r="BR34" t="s">
        <v>1426</v>
      </c>
      <c r="BS34" t="s">
        <v>1427</v>
      </c>
      <c r="BT34" t="s">
        <v>160</v>
      </c>
      <c r="BU34" t="s">
        <v>205</v>
      </c>
      <c r="BV34" t="s">
        <v>200</v>
      </c>
      <c r="BW34" t="s">
        <v>206</v>
      </c>
      <c r="BX34" t="s">
        <v>207</v>
      </c>
      <c r="BY34" t="s">
        <v>172</v>
      </c>
      <c r="BZ34" t="s">
        <v>208</v>
      </c>
      <c r="CA34" t="s">
        <v>172</v>
      </c>
      <c r="CB34" t="s">
        <v>172</v>
      </c>
      <c r="CC34" t="s">
        <v>209</v>
      </c>
      <c r="CD34" t="s">
        <v>210</v>
      </c>
      <c r="CE34" t="s">
        <v>197</v>
      </c>
      <c r="CF34" t="s">
        <v>211</v>
      </c>
      <c r="CG34" t="s">
        <v>212</v>
      </c>
      <c r="CH34" t="s">
        <v>213</v>
      </c>
      <c r="CI34" t="s">
        <v>178</v>
      </c>
      <c r="CJ34" t="s">
        <v>206</v>
      </c>
      <c r="CK34" t="s">
        <v>214</v>
      </c>
      <c r="CL34" t="s">
        <v>214</v>
      </c>
      <c r="CM34" t="s">
        <v>214</v>
      </c>
      <c r="CN34" t="s">
        <v>172</v>
      </c>
      <c r="CO34" t="s">
        <v>215</v>
      </c>
      <c r="CP34" t="s">
        <v>172</v>
      </c>
      <c r="CQ34" t="s">
        <v>172</v>
      </c>
      <c r="CR34" t="s">
        <v>172</v>
      </c>
      <c r="CS34" t="s">
        <v>172</v>
      </c>
      <c r="CT34" t="s">
        <v>1428</v>
      </c>
      <c r="CU34" t="s">
        <v>1429</v>
      </c>
      <c r="CV34" t="s">
        <v>1204</v>
      </c>
      <c r="CW34" t="s">
        <v>1430</v>
      </c>
      <c r="CX34" t="s">
        <v>1431</v>
      </c>
      <c r="CY34" t="s">
        <v>1432</v>
      </c>
      <c r="CZ34" t="s">
        <v>1433</v>
      </c>
      <c r="DA34" t="s">
        <v>1434</v>
      </c>
      <c r="DB34" t="s">
        <v>1404</v>
      </c>
      <c r="DC34" t="s">
        <v>1130</v>
      </c>
      <c r="DD34" t="s">
        <v>225</v>
      </c>
      <c r="DE34" t="s">
        <v>226</v>
      </c>
      <c r="DF34" t="s">
        <v>178</v>
      </c>
      <c r="DG34" t="s">
        <v>227</v>
      </c>
      <c r="DH34" t="s">
        <v>228</v>
      </c>
      <c r="DI34" t="s">
        <v>178</v>
      </c>
      <c r="DJ34" t="s">
        <v>229</v>
      </c>
      <c r="DK34" t="s">
        <v>230</v>
      </c>
      <c r="DL34" t="s">
        <v>231</v>
      </c>
      <c r="DM34" t="s">
        <v>172</v>
      </c>
      <c r="DN34" t="s">
        <v>1403</v>
      </c>
      <c r="DO34" t="s">
        <v>232</v>
      </c>
      <c r="DP34" t="s">
        <v>233</v>
      </c>
      <c r="DQ34" t="s">
        <v>234</v>
      </c>
      <c r="DR34" t="s">
        <v>235</v>
      </c>
      <c r="DS34" t="s">
        <v>236</v>
      </c>
      <c r="DT34" t="s">
        <v>237</v>
      </c>
    </row>
    <row r="35" spans="1:124" x14ac:dyDescent="0.7">
      <c r="A35" t="s">
        <v>1302</v>
      </c>
      <c r="B35" t="s">
        <v>1435</v>
      </c>
      <c r="C35" t="s">
        <v>162</v>
      </c>
      <c r="D35" t="s">
        <v>163</v>
      </c>
      <c r="E35" t="s">
        <v>164</v>
      </c>
      <c r="F35" t="s">
        <v>138</v>
      </c>
      <c r="G35" t="s">
        <v>138</v>
      </c>
      <c r="H35" t="s">
        <v>1503</v>
      </c>
      <c r="I35" t="s">
        <v>1436</v>
      </c>
      <c r="J35">
        <f t="shared" si="0"/>
        <v>0.19725202843431902</v>
      </c>
      <c r="K35">
        <f t="shared" si="1"/>
        <v>2.9074300800000006</v>
      </c>
      <c r="L35">
        <f t="shared" si="2"/>
        <v>0.18471987172308824</v>
      </c>
      <c r="M35">
        <f t="shared" si="3"/>
        <v>3.6086989980967417</v>
      </c>
      <c r="N35" t="s">
        <v>1437</v>
      </c>
      <c r="O35" t="s">
        <v>1438</v>
      </c>
      <c r="P35">
        <f t="shared" si="4"/>
        <v>3.0824266084058962</v>
      </c>
      <c r="Q35">
        <f t="shared" si="5"/>
        <v>1.9504836084058963</v>
      </c>
      <c r="R35" t="s">
        <v>1439</v>
      </c>
      <c r="S35" t="s">
        <v>1440</v>
      </c>
      <c r="T35">
        <f t="shared" si="6"/>
        <v>30.234689636153959</v>
      </c>
      <c r="U35">
        <f t="shared" si="7"/>
        <v>0.4417875</v>
      </c>
      <c r="V35" t="s">
        <v>170</v>
      </c>
      <c r="W35" t="s">
        <v>1441</v>
      </c>
      <c r="X35" t="s">
        <v>172</v>
      </c>
      <c r="Y35" t="s">
        <v>172</v>
      </c>
      <c r="Z35" t="s">
        <v>172</v>
      </c>
      <c r="AA35" t="s">
        <v>1442</v>
      </c>
      <c r="AB35" t="s">
        <v>1443</v>
      </c>
      <c r="AC35" t="s">
        <v>1444</v>
      </c>
      <c r="AD35" t="s">
        <v>176</v>
      </c>
      <c r="AE35" t="s">
        <v>177</v>
      </c>
      <c r="AF35">
        <f t="shared" si="8"/>
        <v>209.84099135999998</v>
      </c>
      <c r="AG35" t="s">
        <v>178</v>
      </c>
      <c r="AH35" t="s">
        <v>1445</v>
      </c>
      <c r="AI35" t="s">
        <v>1446</v>
      </c>
      <c r="AJ35" t="s">
        <v>1447</v>
      </c>
      <c r="AK35" t="s">
        <v>952</v>
      </c>
      <c r="AL35">
        <f t="shared" si="9"/>
        <v>24.48</v>
      </c>
      <c r="AM35" t="s">
        <v>394</v>
      </c>
      <c r="AN35" t="s">
        <v>1448</v>
      </c>
      <c r="AO35" t="s">
        <v>1338</v>
      </c>
      <c r="AP35" t="s">
        <v>396</v>
      </c>
      <c r="AQ35" t="s">
        <v>1449</v>
      </c>
      <c r="AR35" t="s">
        <v>1450</v>
      </c>
      <c r="AS35" t="s">
        <v>568</v>
      </c>
      <c r="AT35" t="s">
        <v>1451</v>
      </c>
      <c r="AU35" t="s">
        <v>1452</v>
      </c>
      <c r="AV35" t="s">
        <v>1453</v>
      </c>
      <c r="AW35" t="s">
        <v>1454</v>
      </c>
      <c r="AX35" t="s">
        <v>1455</v>
      </c>
      <c r="AY35" t="s">
        <v>1456</v>
      </c>
      <c r="AZ35" t="s">
        <v>1270</v>
      </c>
      <c r="BA35" t="s">
        <v>1457</v>
      </c>
      <c r="BB35" t="s">
        <v>1458</v>
      </c>
      <c r="BC35" t="s">
        <v>1459</v>
      </c>
      <c r="BD35" t="s">
        <v>162</v>
      </c>
      <c r="BE35" t="s">
        <v>773</v>
      </c>
      <c r="BF35" t="s">
        <v>1460</v>
      </c>
      <c r="BG35" t="s">
        <v>1461</v>
      </c>
      <c r="BH35" t="s">
        <v>728</v>
      </c>
      <c r="BI35" t="s">
        <v>1312</v>
      </c>
      <c r="BJ35" t="s">
        <v>1007</v>
      </c>
      <c r="BK35" t="s">
        <v>162</v>
      </c>
      <c r="BL35" t="s">
        <v>1008</v>
      </c>
      <c r="BM35" t="s">
        <v>160</v>
      </c>
      <c r="BN35" t="s">
        <v>321</v>
      </c>
      <c r="BO35" t="s">
        <v>200</v>
      </c>
      <c r="BP35" t="s">
        <v>452</v>
      </c>
      <c r="BQ35" t="s">
        <v>1462</v>
      </c>
      <c r="BR35" t="s">
        <v>1463</v>
      </c>
      <c r="BS35" t="s">
        <v>1464</v>
      </c>
      <c r="BT35" t="s">
        <v>160</v>
      </c>
      <c r="BU35" t="s">
        <v>205</v>
      </c>
      <c r="BV35" t="s">
        <v>200</v>
      </c>
      <c r="BW35" t="s">
        <v>206</v>
      </c>
      <c r="BX35" t="s">
        <v>207</v>
      </c>
      <c r="BY35" t="s">
        <v>172</v>
      </c>
      <c r="BZ35" t="s">
        <v>208</v>
      </c>
      <c r="CA35" t="s">
        <v>172</v>
      </c>
      <c r="CB35" t="s">
        <v>172</v>
      </c>
      <c r="CC35" t="s">
        <v>209</v>
      </c>
      <c r="CD35" t="s">
        <v>210</v>
      </c>
      <c r="CE35" t="s">
        <v>197</v>
      </c>
      <c r="CF35" t="s">
        <v>211</v>
      </c>
      <c r="CG35" t="s">
        <v>212</v>
      </c>
      <c r="CH35" t="s">
        <v>213</v>
      </c>
      <c r="CI35" t="s">
        <v>178</v>
      </c>
      <c r="CJ35" t="s">
        <v>206</v>
      </c>
      <c r="CK35" t="s">
        <v>214</v>
      </c>
      <c r="CL35" t="s">
        <v>214</v>
      </c>
      <c r="CM35" t="s">
        <v>214</v>
      </c>
      <c r="CN35" t="s">
        <v>172</v>
      </c>
      <c r="CO35" t="s">
        <v>215</v>
      </c>
      <c r="CP35" t="s">
        <v>172</v>
      </c>
      <c r="CQ35" t="s">
        <v>172</v>
      </c>
      <c r="CR35" t="s">
        <v>172</v>
      </c>
      <c r="CS35" t="s">
        <v>172</v>
      </c>
      <c r="CT35" t="s">
        <v>1465</v>
      </c>
      <c r="CU35" t="s">
        <v>1466</v>
      </c>
      <c r="CV35" t="s">
        <v>1467</v>
      </c>
      <c r="CW35" t="s">
        <v>1468</v>
      </c>
      <c r="CX35" t="s">
        <v>1469</v>
      </c>
      <c r="CY35" t="s">
        <v>1470</v>
      </c>
      <c r="CZ35" t="s">
        <v>1471</v>
      </c>
      <c r="DA35" t="s">
        <v>1472</v>
      </c>
      <c r="DB35" t="s">
        <v>1442</v>
      </c>
      <c r="DC35" t="s">
        <v>378</v>
      </c>
      <c r="DD35" t="s">
        <v>225</v>
      </c>
      <c r="DE35" t="s">
        <v>226</v>
      </c>
      <c r="DF35" t="s">
        <v>178</v>
      </c>
      <c r="DG35" t="s">
        <v>227</v>
      </c>
      <c r="DH35" t="s">
        <v>228</v>
      </c>
      <c r="DI35" t="s">
        <v>178</v>
      </c>
      <c r="DJ35" t="s">
        <v>229</v>
      </c>
      <c r="DK35" t="s">
        <v>230</v>
      </c>
      <c r="DL35" t="s">
        <v>231</v>
      </c>
      <c r="DM35" t="s">
        <v>172</v>
      </c>
      <c r="DN35" t="s">
        <v>1441</v>
      </c>
      <c r="DO35" t="s">
        <v>232</v>
      </c>
      <c r="DP35" t="s">
        <v>233</v>
      </c>
      <c r="DQ35" t="s">
        <v>234</v>
      </c>
      <c r="DR35" t="s">
        <v>235</v>
      </c>
      <c r="DS35" t="s">
        <v>236</v>
      </c>
      <c r="DT35" t="s">
        <v>237</v>
      </c>
    </row>
  </sheetData>
  <phoneticPr fontId="1" type="noConversion"/>
  <pageMargins left="0.7" right="0.7" top="0.75" bottom="0.75" header="0.3" footer="0.3"/>
  <ignoredErrors>
    <ignoredError sqref="B32:G32 A1:DT3 A33:G35 I32:DT32 A4:G30 I4:DT30 I33:DT3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4DBAE-7272-40E5-8052-C54127AD4292}">
  <dimension ref="A1:DT33"/>
  <sheetViews>
    <sheetView workbookViewId="0">
      <selection activeCell="J2" sqref="J2"/>
    </sheetView>
  </sheetViews>
  <sheetFormatPr defaultRowHeight="19.149999999999999" x14ac:dyDescent="0.7"/>
  <cols>
    <col min="9" max="9" width="8.77734375" style="4"/>
  </cols>
  <sheetData>
    <row r="1" spans="1:124" x14ac:dyDescent="0.7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s="4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29</v>
      </c>
      <c r="Q1" t="s">
        <v>30</v>
      </c>
      <c r="R1" t="s">
        <v>31</v>
      </c>
      <c r="S1" t="s">
        <v>32</v>
      </c>
      <c r="T1" t="s">
        <v>33</v>
      </c>
      <c r="U1" t="s">
        <v>34</v>
      </c>
      <c r="V1" t="s">
        <v>35</v>
      </c>
      <c r="W1" t="s">
        <v>36</v>
      </c>
      <c r="X1" t="s">
        <v>37</v>
      </c>
      <c r="Y1" t="s">
        <v>38</v>
      </c>
      <c r="Z1" t="s">
        <v>39</v>
      </c>
      <c r="AA1" t="s">
        <v>40</v>
      </c>
      <c r="AB1" t="s">
        <v>41</v>
      </c>
      <c r="AC1" t="s">
        <v>42</v>
      </c>
      <c r="AD1" t="s">
        <v>43</v>
      </c>
      <c r="AE1" t="s">
        <v>44</v>
      </c>
      <c r="AF1" t="s">
        <v>45</v>
      </c>
      <c r="AG1" t="s">
        <v>46</v>
      </c>
      <c r="AH1" t="s">
        <v>47</v>
      </c>
      <c r="AI1" t="s">
        <v>48</v>
      </c>
      <c r="AJ1" t="s">
        <v>49</v>
      </c>
      <c r="AK1" t="s">
        <v>50</v>
      </c>
      <c r="AL1" t="s">
        <v>51</v>
      </c>
      <c r="AM1" t="s">
        <v>52</v>
      </c>
      <c r="AN1" t="s">
        <v>53</v>
      </c>
      <c r="AO1" t="s">
        <v>54</v>
      </c>
      <c r="AP1" t="s">
        <v>55</v>
      </c>
      <c r="AQ1" t="s">
        <v>56</v>
      </c>
      <c r="AR1" t="s">
        <v>57</v>
      </c>
      <c r="AS1" t="s">
        <v>58</v>
      </c>
      <c r="AT1" t="s">
        <v>59</v>
      </c>
      <c r="AU1" t="s">
        <v>60</v>
      </c>
      <c r="AV1" t="s">
        <v>61</v>
      </c>
      <c r="AW1" t="s">
        <v>62</v>
      </c>
      <c r="AX1" t="s">
        <v>63</v>
      </c>
      <c r="AY1" t="s">
        <v>64</v>
      </c>
      <c r="AZ1" t="s">
        <v>65</v>
      </c>
      <c r="BA1" t="s">
        <v>66</v>
      </c>
      <c r="BB1" t="s">
        <v>67</v>
      </c>
      <c r="BC1" t="s">
        <v>68</v>
      </c>
      <c r="BD1" t="s">
        <v>69</v>
      </c>
      <c r="BE1" t="s">
        <v>70</v>
      </c>
      <c r="BF1" t="s">
        <v>71</v>
      </c>
      <c r="BG1" t="s">
        <v>72</v>
      </c>
      <c r="BH1" t="s">
        <v>73</v>
      </c>
      <c r="BI1" t="s">
        <v>74</v>
      </c>
      <c r="BJ1" t="s">
        <v>75</v>
      </c>
      <c r="BK1" t="s">
        <v>76</v>
      </c>
      <c r="BL1" t="s">
        <v>77</v>
      </c>
      <c r="BM1" t="s">
        <v>78</v>
      </c>
      <c r="BN1" t="s">
        <v>79</v>
      </c>
      <c r="BO1" t="s">
        <v>80</v>
      </c>
      <c r="BP1" t="s">
        <v>81</v>
      </c>
      <c r="BQ1" t="s">
        <v>82</v>
      </c>
      <c r="BR1" t="s">
        <v>83</v>
      </c>
      <c r="BS1" t="s">
        <v>84</v>
      </c>
      <c r="BT1" t="s">
        <v>85</v>
      </c>
      <c r="BU1" t="s">
        <v>86</v>
      </c>
      <c r="BV1" t="s">
        <v>87</v>
      </c>
      <c r="BW1" t="s">
        <v>88</v>
      </c>
      <c r="BX1" t="s">
        <v>89</v>
      </c>
      <c r="BY1" t="s">
        <v>90</v>
      </c>
      <c r="BZ1" t="s">
        <v>91</v>
      </c>
      <c r="CA1" t="s">
        <v>92</v>
      </c>
      <c r="CB1" t="s">
        <v>93</v>
      </c>
      <c r="CC1" t="s">
        <v>94</v>
      </c>
      <c r="CD1" t="s">
        <v>95</v>
      </c>
      <c r="CE1" t="s">
        <v>96</v>
      </c>
      <c r="CF1" t="s">
        <v>97</v>
      </c>
      <c r="CG1" t="s">
        <v>98</v>
      </c>
      <c r="CH1" t="s">
        <v>99</v>
      </c>
      <c r="CI1" t="s">
        <v>100</v>
      </c>
      <c r="CJ1" t="s">
        <v>101</v>
      </c>
      <c r="CK1" t="s">
        <v>102</v>
      </c>
      <c r="CL1" t="s">
        <v>103</v>
      </c>
      <c r="CM1" t="s">
        <v>104</v>
      </c>
      <c r="CN1" t="s">
        <v>105</v>
      </c>
      <c r="CO1" t="s">
        <v>106</v>
      </c>
      <c r="CP1" t="s">
        <v>107</v>
      </c>
      <c r="CQ1" t="s">
        <v>108</v>
      </c>
      <c r="CR1" t="s">
        <v>109</v>
      </c>
      <c r="CS1" t="s">
        <v>110</v>
      </c>
      <c r="CT1" t="s">
        <v>111</v>
      </c>
      <c r="CU1" t="s">
        <v>112</v>
      </c>
      <c r="CV1" t="s">
        <v>113</v>
      </c>
      <c r="CW1" t="s">
        <v>114</v>
      </c>
      <c r="CX1" t="s">
        <v>115</v>
      </c>
      <c r="CY1" t="s">
        <v>116</v>
      </c>
      <c r="CZ1" t="s">
        <v>117</v>
      </c>
      <c r="DA1" t="s">
        <v>118</v>
      </c>
      <c r="DB1" t="s">
        <v>119</v>
      </c>
      <c r="DC1" t="s">
        <v>120</v>
      </c>
      <c r="DD1" t="s">
        <v>121</v>
      </c>
      <c r="DE1" t="s">
        <v>122</v>
      </c>
      <c r="DF1" t="s">
        <v>123</v>
      </c>
      <c r="DG1" t="s">
        <v>124</v>
      </c>
      <c r="DH1" t="s">
        <v>125</v>
      </c>
      <c r="DI1" t="s">
        <v>126</v>
      </c>
      <c r="DJ1" t="s">
        <v>127</v>
      </c>
      <c r="DK1" t="s">
        <v>128</v>
      </c>
      <c r="DL1" t="s">
        <v>129</v>
      </c>
      <c r="DM1" t="s">
        <v>130</v>
      </c>
      <c r="DN1" t="s">
        <v>131</v>
      </c>
      <c r="DO1" t="s">
        <v>132</v>
      </c>
      <c r="DP1" t="s">
        <v>133</v>
      </c>
      <c r="DQ1" t="s">
        <v>134</v>
      </c>
      <c r="DR1" t="s">
        <v>135</v>
      </c>
      <c r="DS1" t="s">
        <v>136</v>
      </c>
      <c r="DT1" t="s">
        <v>137</v>
      </c>
    </row>
    <row r="2" spans="1:124" x14ac:dyDescent="0.7">
      <c r="A2" t="s">
        <v>160</v>
      </c>
      <c r="B2" t="s">
        <v>161</v>
      </c>
      <c r="C2" t="s">
        <v>162</v>
      </c>
      <c r="D2" t="s">
        <v>163</v>
      </c>
      <c r="E2" t="s">
        <v>164</v>
      </c>
      <c r="F2" t="s">
        <v>138</v>
      </c>
      <c r="G2" t="s">
        <v>1473</v>
      </c>
      <c r="H2" t="s">
        <v>1474</v>
      </c>
      <c r="I2" s="4" t="s">
        <v>165</v>
      </c>
      <c r="J2">
        <v>0.35200745242691694</v>
      </c>
      <c r="K2">
        <v>2.9066320800000001</v>
      </c>
      <c r="L2">
        <v>0.31398261251103798</v>
      </c>
      <c r="M2">
        <v>5.2771233695871249</v>
      </c>
      <c r="N2" t="s">
        <v>166</v>
      </c>
      <c r="O2" t="s">
        <v>167</v>
      </c>
      <c r="P2">
        <v>2.8368336040900854</v>
      </c>
      <c r="Q2">
        <v>1.6796126040900854</v>
      </c>
      <c r="R2" t="s">
        <v>168</v>
      </c>
      <c r="S2" t="s">
        <v>169</v>
      </c>
      <c r="T2">
        <v>27.831193996763322</v>
      </c>
      <c r="U2">
        <v>0.4417875</v>
      </c>
      <c r="V2" t="s">
        <v>170</v>
      </c>
      <c r="W2" t="s">
        <v>171</v>
      </c>
      <c r="X2" t="s">
        <v>172</v>
      </c>
      <c r="Y2" t="s">
        <v>172</v>
      </c>
      <c r="Z2" t="s">
        <v>172</v>
      </c>
      <c r="AA2" t="s">
        <v>173</v>
      </c>
      <c r="AB2" t="s">
        <v>174</v>
      </c>
      <c r="AC2" t="s">
        <v>175</v>
      </c>
      <c r="AD2" t="s">
        <v>176</v>
      </c>
      <c r="AE2" t="s">
        <v>177</v>
      </c>
      <c r="AF2">
        <v>153.29975010000001</v>
      </c>
      <c r="AG2" t="s">
        <v>178</v>
      </c>
      <c r="AH2" t="s">
        <v>179</v>
      </c>
      <c r="AI2" t="s">
        <v>180</v>
      </c>
      <c r="AJ2" t="s">
        <v>181</v>
      </c>
      <c r="AK2" t="s">
        <v>182</v>
      </c>
      <c r="AL2">
        <v>23.1</v>
      </c>
      <c r="AM2" t="s">
        <v>183</v>
      </c>
      <c r="AN2" t="s">
        <v>184</v>
      </c>
      <c r="AO2" t="s">
        <v>185</v>
      </c>
      <c r="AP2" t="s">
        <v>186</v>
      </c>
      <c r="AQ2" t="s">
        <v>187</v>
      </c>
      <c r="AR2" t="s">
        <v>188</v>
      </c>
      <c r="AS2" t="s">
        <v>189</v>
      </c>
      <c r="AT2" t="s">
        <v>190</v>
      </c>
      <c r="AU2" t="s">
        <v>191</v>
      </c>
      <c r="AV2" t="s">
        <v>138</v>
      </c>
      <c r="AW2" t="s">
        <v>138</v>
      </c>
      <c r="AX2" t="s">
        <v>192</v>
      </c>
      <c r="AY2" t="s">
        <v>193</v>
      </c>
      <c r="AZ2" t="s">
        <v>138</v>
      </c>
      <c r="BA2" t="s">
        <v>138</v>
      </c>
      <c r="BB2" t="s">
        <v>138</v>
      </c>
      <c r="BC2" t="s">
        <v>194</v>
      </c>
      <c r="BD2" t="s">
        <v>195</v>
      </c>
      <c r="BE2" t="s">
        <v>196</v>
      </c>
      <c r="BF2" t="s">
        <v>196</v>
      </c>
      <c r="BG2" t="s">
        <v>196</v>
      </c>
      <c r="BH2" t="s">
        <v>197</v>
      </c>
      <c r="BI2" t="s">
        <v>196</v>
      </c>
      <c r="BJ2" t="s">
        <v>198</v>
      </c>
      <c r="BK2" t="s">
        <v>162</v>
      </c>
      <c r="BL2" t="s">
        <v>199</v>
      </c>
      <c r="BM2" t="s">
        <v>160</v>
      </c>
      <c r="BN2" t="s">
        <v>200</v>
      </c>
      <c r="BO2" t="s">
        <v>201</v>
      </c>
      <c r="BP2" t="s">
        <v>200</v>
      </c>
      <c r="BQ2" t="s">
        <v>202</v>
      </c>
      <c r="BR2" t="s">
        <v>203</v>
      </c>
      <c r="BS2" t="s">
        <v>204</v>
      </c>
      <c r="BT2" t="s">
        <v>160</v>
      </c>
      <c r="BU2" t="s">
        <v>205</v>
      </c>
      <c r="BV2" t="s">
        <v>200</v>
      </c>
      <c r="BW2" t="s">
        <v>206</v>
      </c>
      <c r="BX2" t="s">
        <v>207</v>
      </c>
      <c r="BY2" t="s">
        <v>172</v>
      </c>
      <c r="BZ2" t="s">
        <v>208</v>
      </c>
      <c r="CA2" t="s">
        <v>172</v>
      </c>
      <c r="CB2" t="s">
        <v>172</v>
      </c>
      <c r="CC2" t="s">
        <v>209</v>
      </c>
      <c r="CD2" t="s">
        <v>210</v>
      </c>
      <c r="CE2" t="s">
        <v>197</v>
      </c>
      <c r="CF2" t="s">
        <v>211</v>
      </c>
      <c r="CG2" t="s">
        <v>212</v>
      </c>
      <c r="CH2" t="s">
        <v>213</v>
      </c>
      <c r="CI2" t="s">
        <v>178</v>
      </c>
      <c r="CJ2" t="s">
        <v>206</v>
      </c>
      <c r="CK2" t="s">
        <v>214</v>
      </c>
      <c r="CL2" t="s">
        <v>214</v>
      </c>
      <c r="CM2" t="s">
        <v>214</v>
      </c>
      <c r="CN2" t="s">
        <v>172</v>
      </c>
      <c r="CO2" t="s">
        <v>215</v>
      </c>
      <c r="CP2" t="s">
        <v>172</v>
      </c>
      <c r="CQ2" t="s">
        <v>172</v>
      </c>
      <c r="CR2" t="s">
        <v>172</v>
      </c>
      <c r="CS2" t="s">
        <v>172</v>
      </c>
      <c r="CT2" t="s">
        <v>216</v>
      </c>
      <c r="CU2" t="s">
        <v>217</v>
      </c>
      <c r="CV2" t="s">
        <v>218</v>
      </c>
      <c r="CW2" t="s">
        <v>219</v>
      </c>
      <c r="CX2" t="s">
        <v>220</v>
      </c>
      <c r="CY2" t="s">
        <v>221</v>
      </c>
      <c r="CZ2" t="s">
        <v>222</v>
      </c>
      <c r="DA2" t="s">
        <v>223</v>
      </c>
      <c r="DB2" t="s">
        <v>173</v>
      </c>
      <c r="DC2" t="s">
        <v>224</v>
      </c>
      <c r="DD2" t="s">
        <v>225</v>
      </c>
      <c r="DE2" t="s">
        <v>226</v>
      </c>
      <c r="DF2" t="s">
        <v>178</v>
      </c>
      <c r="DG2" t="s">
        <v>227</v>
      </c>
      <c r="DH2" t="s">
        <v>228</v>
      </c>
      <c r="DI2" t="s">
        <v>178</v>
      </c>
      <c r="DJ2" t="s">
        <v>229</v>
      </c>
      <c r="DK2" t="s">
        <v>230</v>
      </c>
      <c r="DL2" t="s">
        <v>231</v>
      </c>
      <c r="DM2" t="s">
        <v>172</v>
      </c>
      <c r="DN2" t="s">
        <v>171</v>
      </c>
      <c r="DO2" t="s">
        <v>232</v>
      </c>
      <c r="DP2" t="s">
        <v>233</v>
      </c>
      <c r="DQ2" t="s">
        <v>234</v>
      </c>
      <c r="DR2" t="s">
        <v>235</v>
      </c>
      <c r="DS2" t="s">
        <v>236</v>
      </c>
      <c r="DT2" t="s">
        <v>237</v>
      </c>
    </row>
    <row r="3" spans="1:124" x14ac:dyDescent="0.7">
      <c r="A3" t="s">
        <v>238</v>
      </c>
      <c r="B3" t="s">
        <v>239</v>
      </c>
      <c r="C3" t="s">
        <v>162</v>
      </c>
      <c r="D3" t="s">
        <v>163</v>
      </c>
      <c r="E3" t="s">
        <v>164</v>
      </c>
      <c r="F3" t="s">
        <v>138</v>
      </c>
      <c r="G3" t="s">
        <v>1473</v>
      </c>
      <c r="H3" t="s">
        <v>1474</v>
      </c>
      <c r="I3" s="4" t="s">
        <v>240</v>
      </c>
      <c r="J3">
        <v>0.24536555837385854</v>
      </c>
      <c r="K3">
        <v>2.9042299199999997</v>
      </c>
      <c r="L3">
        <v>0.2262506410298703</v>
      </c>
      <c r="M3">
        <v>3.8749737972126264</v>
      </c>
      <c r="N3" t="s">
        <v>241</v>
      </c>
      <c r="O3" t="s">
        <v>242</v>
      </c>
      <c r="P3">
        <v>2.8248457808061764</v>
      </c>
      <c r="Q3">
        <v>1.7122117808061765</v>
      </c>
      <c r="R3" t="s">
        <v>243</v>
      </c>
      <c r="S3" t="s">
        <v>244</v>
      </c>
      <c r="T3">
        <v>27.710866988485151</v>
      </c>
      <c r="U3">
        <v>0.4417875</v>
      </c>
      <c r="V3" t="s">
        <v>170</v>
      </c>
      <c r="W3" t="s">
        <v>245</v>
      </c>
      <c r="X3" t="s">
        <v>172</v>
      </c>
      <c r="Y3" t="s">
        <v>172</v>
      </c>
      <c r="Z3" t="s">
        <v>172</v>
      </c>
      <c r="AA3" t="s">
        <v>246</v>
      </c>
      <c r="AB3" t="s">
        <v>247</v>
      </c>
      <c r="AC3" t="s">
        <v>248</v>
      </c>
      <c r="AD3" t="s">
        <v>176</v>
      </c>
      <c r="AE3" t="s">
        <v>177</v>
      </c>
      <c r="AF3">
        <v>182.94167429999999</v>
      </c>
      <c r="AG3" t="s">
        <v>178</v>
      </c>
      <c r="AH3" t="s">
        <v>249</v>
      </c>
      <c r="AI3" t="s">
        <v>250</v>
      </c>
      <c r="AJ3" t="s">
        <v>251</v>
      </c>
      <c r="AK3" t="s">
        <v>252</v>
      </c>
      <c r="AL3">
        <v>23.03</v>
      </c>
      <c r="AM3" t="s">
        <v>253</v>
      </c>
      <c r="AN3" t="s">
        <v>254</v>
      </c>
      <c r="AO3" t="s">
        <v>255</v>
      </c>
      <c r="AP3" t="s">
        <v>256</v>
      </c>
      <c r="AQ3" t="s">
        <v>257</v>
      </c>
      <c r="AR3" t="s">
        <v>258</v>
      </c>
      <c r="AS3" t="s">
        <v>190</v>
      </c>
      <c r="AT3" t="s">
        <v>259</v>
      </c>
      <c r="AU3" t="s">
        <v>260</v>
      </c>
      <c r="AV3" t="s">
        <v>261</v>
      </c>
      <c r="AW3" t="s">
        <v>262</v>
      </c>
      <c r="AX3" t="s">
        <v>263</v>
      </c>
      <c r="AY3" t="s">
        <v>264</v>
      </c>
      <c r="AZ3" t="s">
        <v>265</v>
      </c>
      <c r="BA3" t="s">
        <v>266</v>
      </c>
      <c r="BB3" t="s">
        <v>267</v>
      </c>
      <c r="BC3" t="s">
        <v>268</v>
      </c>
      <c r="BD3" t="s">
        <v>162</v>
      </c>
      <c r="BE3" t="s">
        <v>269</v>
      </c>
      <c r="BF3" t="s">
        <v>270</v>
      </c>
      <c r="BG3" t="s">
        <v>271</v>
      </c>
      <c r="BH3" t="s">
        <v>272</v>
      </c>
      <c r="BI3" t="s">
        <v>273</v>
      </c>
      <c r="BJ3" t="s">
        <v>198</v>
      </c>
      <c r="BK3" t="s">
        <v>162</v>
      </c>
      <c r="BL3" t="s">
        <v>199</v>
      </c>
      <c r="BM3" t="s">
        <v>160</v>
      </c>
      <c r="BN3" t="s">
        <v>200</v>
      </c>
      <c r="BO3" t="s">
        <v>200</v>
      </c>
      <c r="BP3" t="s">
        <v>274</v>
      </c>
      <c r="BQ3" t="s">
        <v>275</v>
      </c>
      <c r="BR3" t="s">
        <v>276</v>
      </c>
      <c r="BS3" t="s">
        <v>277</v>
      </c>
      <c r="BT3" t="s">
        <v>160</v>
      </c>
      <c r="BU3" t="s">
        <v>205</v>
      </c>
      <c r="BV3" t="s">
        <v>200</v>
      </c>
      <c r="BW3" t="s">
        <v>206</v>
      </c>
      <c r="BX3" t="s">
        <v>207</v>
      </c>
      <c r="BY3" t="s">
        <v>172</v>
      </c>
      <c r="BZ3" t="s">
        <v>208</v>
      </c>
      <c r="CA3" t="s">
        <v>172</v>
      </c>
      <c r="CB3" t="s">
        <v>172</v>
      </c>
      <c r="CC3" t="s">
        <v>209</v>
      </c>
      <c r="CD3" t="s">
        <v>210</v>
      </c>
      <c r="CE3" t="s">
        <v>197</v>
      </c>
      <c r="CF3" t="s">
        <v>211</v>
      </c>
      <c r="CG3" t="s">
        <v>212</v>
      </c>
      <c r="CH3" t="s">
        <v>213</v>
      </c>
      <c r="CI3" t="s">
        <v>178</v>
      </c>
      <c r="CJ3" t="s">
        <v>206</v>
      </c>
      <c r="CK3" t="s">
        <v>214</v>
      </c>
      <c r="CL3" t="s">
        <v>214</v>
      </c>
      <c r="CM3" t="s">
        <v>214</v>
      </c>
      <c r="CN3" t="s">
        <v>172</v>
      </c>
      <c r="CO3" t="s">
        <v>215</v>
      </c>
      <c r="CP3" t="s">
        <v>172</v>
      </c>
      <c r="CQ3" t="s">
        <v>172</v>
      </c>
      <c r="CR3" t="s">
        <v>172</v>
      </c>
      <c r="CS3" t="s">
        <v>172</v>
      </c>
      <c r="CT3" t="s">
        <v>278</v>
      </c>
      <c r="CU3" t="s">
        <v>279</v>
      </c>
      <c r="CV3" t="s">
        <v>280</v>
      </c>
      <c r="CW3" t="s">
        <v>281</v>
      </c>
      <c r="CX3" t="s">
        <v>282</v>
      </c>
      <c r="CY3" t="s">
        <v>283</v>
      </c>
      <c r="CZ3" t="s">
        <v>284</v>
      </c>
      <c r="DA3" t="s">
        <v>285</v>
      </c>
      <c r="DB3" t="s">
        <v>246</v>
      </c>
      <c r="DC3" t="s">
        <v>286</v>
      </c>
      <c r="DD3" t="s">
        <v>225</v>
      </c>
      <c r="DE3" t="s">
        <v>226</v>
      </c>
      <c r="DF3" t="s">
        <v>178</v>
      </c>
      <c r="DG3" t="s">
        <v>227</v>
      </c>
      <c r="DH3" t="s">
        <v>228</v>
      </c>
      <c r="DI3" t="s">
        <v>178</v>
      </c>
      <c r="DJ3" t="s">
        <v>229</v>
      </c>
      <c r="DK3" t="s">
        <v>230</v>
      </c>
      <c r="DL3" t="s">
        <v>231</v>
      </c>
      <c r="DM3" t="s">
        <v>172</v>
      </c>
      <c r="DN3" t="s">
        <v>245</v>
      </c>
      <c r="DO3" t="s">
        <v>232</v>
      </c>
      <c r="DP3" t="s">
        <v>233</v>
      </c>
      <c r="DQ3" t="s">
        <v>234</v>
      </c>
      <c r="DR3" t="s">
        <v>235</v>
      </c>
      <c r="DS3" t="s">
        <v>236</v>
      </c>
      <c r="DT3" t="s">
        <v>237</v>
      </c>
    </row>
    <row r="4" spans="1:124" x14ac:dyDescent="0.7">
      <c r="A4" t="s">
        <v>450</v>
      </c>
      <c r="B4" t="s">
        <v>549</v>
      </c>
      <c r="C4" t="s">
        <v>162</v>
      </c>
      <c r="D4" t="s">
        <v>163</v>
      </c>
      <c r="E4" t="s">
        <v>164</v>
      </c>
      <c r="F4" t="s">
        <v>138</v>
      </c>
      <c r="G4" t="s">
        <v>1473</v>
      </c>
      <c r="H4" t="s">
        <v>1474</v>
      </c>
      <c r="I4" s="4" t="s">
        <v>550</v>
      </c>
      <c r="J4">
        <v>0.3722529577478304</v>
      </c>
      <c r="K4">
        <v>2.9042299199999997</v>
      </c>
      <c r="L4">
        <v>0.32995996562108409</v>
      </c>
      <c r="M4">
        <v>5.6016083313694809</v>
      </c>
      <c r="N4" t="s">
        <v>551</v>
      </c>
      <c r="O4" t="s">
        <v>552</v>
      </c>
      <c r="P4">
        <v>2.9044410386912718</v>
      </c>
      <c r="Q4">
        <v>1.6958280386912719</v>
      </c>
      <c r="R4" t="s">
        <v>553</v>
      </c>
      <c r="S4" t="s">
        <v>554</v>
      </c>
      <c r="T4">
        <v>28.488877279953623</v>
      </c>
      <c r="U4">
        <v>0.4417875</v>
      </c>
      <c r="V4" t="s">
        <v>170</v>
      </c>
      <c r="W4" t="s">
        <v>555</v>
      </c>
      <c r="X4" t="s">
        <v>172</v>
      </c>
      <c r="Y4" t="s">
        <v>172</v>
      </c>
      <c r="Z4" t="s">
        <v>172</v>
      </c>
      <c r="AA4" t="s">
        <v>556</v>
      </c>
      <c r="AB4" t="s">
        <v>557</v>
      </c>
      <c r="AC4" t="s">
        <v>558</v>
      </c>
      <c r="AD4" t="s">
        <v>176</v>
      </c>
      <c r="AE4" t="s">
        <v>177</v>
      </c>
      <c r="AF4">
        <v>137.90592269999999</v>
      </c>
      <c r="AG4" t="s">
        <v>178</v>
      </c>
      <c r="AH4" t="s">
        <v>559</v>
      </c>
      <c r="AI4" t="s">
        <v>560</v>
      </c>
      <c r="AJ4" t="s">
        <v>561</v>
      </c>
      <c r="AK4" t="s">
        <v>562</v>
      </c>
      <c r="AL4">
        <v>23.49</v>
      </c>
      <c r="AM4" t="s">
        <v>394</v>
      </c>
      <c r="AN4" t="s">
        <v>254</v>
      </c>
      <c r="AO4" t="s">
        <v>563</v>
      </c>
      <c r="AP4" t="s">
        <v>564</v>
      </c>
      <c r="AQ4" t="s">
        <v>565</v>
      </c>
      <c r="AR4" t="s">
        <v>566</v>
      </c>
      <c r="AS4" t="s">
        <v>567</v>
      </c>
      <c r="AT4" t="s">
        <v>568</v>
      </c>
      <c r="AU4" t="s">
        <v>569</v>
      </c>
      <c r="AV4" t="s">
        <v>570</v>
      </c>
      <c r="AW4" t="s">
        <v>571</v>
      </c>
      <c r="AX4" t="s">
        <v>572</v>
      </c>
      <c r="AY4" t="s">
        <v>573</v>
      </c>
      <c r="AZ4" t="s">
        <v>265</v>
      </c>
      <c r="BA4" t="s">
        <v>574</v>
      </c>
      <c r="BB4" t="s">
        <v>575</v>
      </c>
      <c r="BC4" t="s">
        <v>576</v>
      </c>
      <c r="BD4" t="s">
        <v>162</v>
      </c>
      <c r="BE4" t="s">
        <v>577</v>
      </c>
      <c r="BF4" t="s">
        <v>578</v>
      </c>
      <c r="BG4" t="s">
        <v>364</v>
      </c>
      <c r="BH4" t="s">
        <v>535</v>
      </c>
      <c r="BI4" t="s">
        <v>536</v>
      </c>
      <c r="BJ4" t="s">
        <v>198</v>
      </c>
      <c r="BK4" t="s">
        <v>162</v>
      </c>
      <c r="BL4" t="s">
        <v>199</v>
      </c>
      <c r="BM4" t="s">
        <v>160</v>
      </c>
      <c r="BN4" t="s">
        <v>201</v>
      </c>
      <c r="BO4" t="s">
        <v>321</v>
      </c>
      <c r="BP4" t="s">
        <v>366</v>
      </c>
      <c r="BQ4" t="s">
        <v>579</v>
      </c>
      <c r="BR4" t="s">
        <v>580</v>
      </c>
      <c r="BS4" t="s">
        <v>581</v>
      </c>
      <c r="BT4" t="s">
        <v>160</v>
      </c>
      <c r="BU4" t="s">
        <v>205</v>
      </c>
      <c r="BV4" t="s">
        <v>200</v>
      </c>
      <c r="BW4" t="s">
        <v>206</v>
      </c>
      <c r="BX4" t="s">
        <v>207</v>
      </c>
      <c r="BY4" t="s">
        <v>172</v>
      </c>
      <c r="BZ4" t="s">
        <v>208</v>
      </c>
      <c r="CA4" t="s">
        <v>172</v>
      </c>
      <c r="CB4" t="s">
        <v>172</v>
      </c>
      <c r="CC4" t="s">
        <v>209</v>
      </c>
      <c r="CD4" t="s">
        <v>210</v>
      </c>
      <c r="CE4" t="s">
        <v>197</v>
      </c>
      <c r="CF4" t="s">
        <v>211</v>
      </c>
      <c r="CG4" t="s">
        <v>212</v>
      </c>
      <c r="CH4" t="s">
        <v>213</v>
      </c>
      <c r="CI4" t="s">
        <v>178</v>
      </c>
      <c r="CJ4" t="s">
        <v>206</v>
      </c>
      <c r="CK4" t="s">
        <v>214</v>
      </c>
      <c r="CL4" t="s">
        <v>214</v>
      </c>
      <c r="CM4" t="s">
        <v>214</v>
      </c>
      <c r="CN4" t="s">
        <v>172</v>
      </c>
      <c r="CO4" t="s">
        <v>215</v>
      </c>
      <c r="CP4" t="s">
        <v>172</v>
      </c>
      <c r="CQ4" t="s">
        <v>172</v>
      </c>
      <c r="CR4" t="s">
        <v>172</v>
      </c>
      <c r="CS4" t="s">
        <v>172</v>
      </c>
      <c r="CT4" t="s">
        <v>582</v>
      </c>
      <c r="CU4" t="s">
        <v>583</v>
      </c>
      <c r="CV4" t="s">
        <v>584</v>
      </c>
      <c r="CW4" t="s">
        <v>585</v>
      </c>
      <c r="CX4" t="s">
        <v>586</v>
      </c>
      <c r="CY4" t="s">
        <v>587</v>
      </c>
      <c r="CZ4" t="s">
        <v>588</v>
      </c>
      <c r="DA4" t="s">
        <v>589</v>
      </c>
      <c r="DB4" t="s">
        <v>556</v>
      </c>
      <c r="DC4" t="s">
        <v>590</v>
      </c>
      <c r="DD4" t="s">
        <v>225</v>
      </c>
      <c r="DE4" t="s">
        <v>226</v>
      </c>
      <c r="DF4" t="s">
        <v>178</v>
      </c>
      <c r="DG4" t="s">
        <v>227</v>
      </c>
      <c r="DH4" t="s">
        <v>228</v>
      </c>
      <c r="DI4" t="s">
        <v>178</v>
      </c>
      <c r="DJ4" t="s">
        <v>229</v>
      </c>
      <c r="DK4" t="s">
        <v>230</v>
      </c>
      <c r="DL4" t="s">
        <v>231</v>
      </c>
      <c r="DM4" t="s">
        <v>172</v>
      </c>
      <c r="DN4" t="s">
        <v>555</v>
      </c>
      <c r="DO4" t="s">
        <v>232</v>
      </c>
      <c r="DP4" t="s">
        <v>233</v>
      </c>
      <c r="DQ4" t="s">
        <v>234</v>
      </c>
      <c r="DR4" t="s">
        <v>235</v>
      </c>
      <c r="DS4" t="s">
        <v>236</v>
      </c>
      <c r="DT4" t="s">
        <v>237</v>
      </c>
    </row>
    <row r="5" spans="1:124" x14ac:dyDescent="0.7">
      <c r="A5" t="s">
        <v>535</v>
      </c>
      <c r="B5" t="s">
        <v>591</v>
      </c>
      <c r="C5" t="s">
        <v>162</v>
      </c>
      <c r="D5" t="s">
        <v>163</v>
      </c>
      <c r="E5" t="s">
        <v>164</v>
      </c>
      <c r="F5" t="s">
        <v>138</v>
      </c>
      <c r="G5" t="s">
        <v>1473</v>
      </c>
      <c r="H5" t="s">
        <v>1474</v>
      </c>
      <c r="I5" s="4" t="s">
        <v>592</v>
      </c>
      <c r="J5">
        <v>0.37500906635958853</v>
      </c>
      <c r="K5">
        <v>2.9058327199999998</v>
      </c>
      <c r="L5">
        <v>0.33214451847538989</v>
      </c>
      <c r="M5">
        <v>6.0379020305420861</v>
      </c>
      <c r="N5" t="s">
        <v>593</v>
      </c>
      <c r="O5" t="s">
        <v>594</v>
      </c>
      <c r="P5">
        <v>3.0713744369907809</v>
      </c>
      <c r="Q5">
        <v>1.8139044369907809</v>
      </c>
      <c r="R5" t="s">
        <v>595</v>
      </c>
      <c r="S5" t="s">
        <v>596</v>
      </c>
      <c r="T5">
        <v>30.126281873376961</v>
      </c>
      <c r="U5">
        <v>0.4417875</v>
      </c>
      <c r="V5" t="s">
        <v>170</v>
      </c>
      <c r="W5" t="s">
        <v>597</v>
      </c>
      <c r="X5" t="s">
        <v>172</v>
      </c>
      <c r="Y5" t="s">
        <v>172</v>
      </c>
      <c r="Z5" t="s">
        <v>172</v>
      </c>
      <c r="AA5" t="s">
        <v>598</v>
      </c>
      <c r="AB5" t="s">
        <v>599</v>
      </c>
      <c r="AC5" t="s">
        <v>600</v>
      </c>
      <c r="AD5" t="s">
        <v>176</v>
      </c>
      <c r="AE5" t="s">
        <v>177</v>
      </c>
      <c r="AF5">
        <v>185.20749240000001</v>
      </c>
      <c r="AG5" t="s">
        <v>178</v>
      </c>
      <c r="AH5" t="s">
        <v>601</v>
      </c>
      <c r="AI5" t="s">
        <v>602</v>
      </c>
      <c r="AJ5" t="s">
        <v>603</v>
      </c>
      <c r="AK5" t="s">
        <v>604</v>
      </c>
      <c r="AL5">
        <v>24.42</v>
      </c>
      <c r="AM5" t="s">
        <v>394</v>
      </c>
      <c r="AN5" t="s">
        <v>479</v>
      </c>
      <c r="AO5" t="s">
        <v>520</v>
      </c>
      <c r="AP5" t="s">
        <v>605</v>
      </c>
      <c r="AQ5" t="s">
        <v>606</v>
      </c>
      <c r="AR5" t="s">
        <v>607</v>
      </c>
      <c r="AS5" t="s">
        <v>608</v>
      </c>
      <c r="AT5" t="s">
        <v>609</v>
      </c>
      <c r="AU5" t="s">
        <v>525</v>
      </c>
      <c r="AV5" t="s">
        <v>610</v>
      </c>
      <c r="AW5" t="s">
        <v>611</v>
      </c>
      <c r="AX5" t="s">
        <v>612</v>
      </c>
      <c r="AY5" t="s">
        <v>613</v>
      </c>
      <c r="AZ5" t="s">
        <v>265</v>
      </c>
      <c r="BA5" t="s">
        <v>574</v>
      </c>
      <c r="BB5" t="s">
        <v>575</v>
      </c>
      <c r="BC5" t="s">
        <v>614</v>
      </c>
      <c r="BD5" t="s">
        <v>162</v>
      </c>
      <c r="BE5" t="s">
        <v>577</v>
      </c>
      <c r="BF5" t="s">
        <v>317</v>
      </c>
      <c r="BG5" t="s">
        <v>449</v>
      </c>
      <c r="BH5" t="s">
        <v>535</v>
      </c>
      <c r="BI5" t="s">
        <v>615</v>
      </c>
      <c r="BJ5" t="s">
        <v>198</v>
      </c>
      <c r="BK5" t="s">
        <v>162</v>
      </c>
      <c r="BL5" t="s">
        <v>199</v>
      </c>
      <c r="BM5" t="s">
        <v>160</v>
      </c>
      <c r="BN5" t="s">
        <v>200</v>
      </c>
      <c r="BO5" t="s">
        <v>201</v>
      </c>
      <c r="BP5" t="s">
        <v>616</v>
      </c>
      <c r="BQ5" t="s">
        <v>617</v>
      </c>
      <c r="BR5" t="s">
        <v>618</v>
      </c>
      <c r="BS5" t="s">
        <v>619</v>
      </c>
      <c r="BT5" t="s">
        <v>160</v>
      </c>
      <c r="BU5" t="s">
        <v>205</v>
      </c>
      <c r="BV5" t="s">
        <v>200</v>
      </c>
      <c r="BW5" t="s">
        <v>206</v>
      </c>
      <c r="BX5" t="s">
        <v>207</v>
      </c>
      <c r="BY5" t="s">
        <v>172</v>
      </c>
      <c r="BZ5" t="s">
        <v>208</v>
      </c>
      <c r="CA5" t="s">
        <v>172</v>
      </c>
      <c r="CB5" t="s">
        <v>172</v>
      </c>
      <c r="CC5" t="s">
        <v>209</v>
      </c>
      <c r="CD5" t="s">
        <v>210</v>
      </c>
      <c r="CE5" t="s">
        <v>197</v>
      </c>
      <c r="CF5" t="s">
        <v>211</v>
      </c>
      <c r="CG5" t="s">
        <v>212</v>
      </c>
      <c r="CH5" t="s">
        <v>213</v>
      </c>
      <c r="CI5" t="s">
        <v>178</v>
      </c>
      <c r="CJ5" t="s">
        <v>206</v>
      </c>
      <c r="CK5" t="s">
        <v>214</v>
      </c>
      <c r="CL5" t="s">
        <v>214</v>
      </c>
      <c r="CM5" t="s">
        <v>214</v>
      </c>
      <c r="CN5" t="s">
        <v>172</v>
      </c>
      <c r="CO5" t="s">
        <v>215</v>
      </c>
      <c r="CP5" t="s">
        <v>172</v>
      </c>
      <c r="CQ5" t="s">
        <v>172</v>
      </c>
      <c r="CR5" t="s">
        <v>172</v>
      </c>
      <c r="CS5" t="s">
        <v>172</v>
      </c>
      <c r="CT5" t="s">
        <v>620</v>
      </c>
      <c r="CU5" t="s">
        <v>621</v>
      </c>
      <c r="CV5" t="s">
        <v>622</v>
      </c>
      <c r="CW5" t="s">
        <v>623</v>
      </c>
      <c r="CX5" t="s">
        <v>624</v>
      </c>
      <c r="CY5" t="s">
        <v>625</v>
      </c>
      <c r="CZ5" t="s">
        <v>626</v>
      </c>
      <c r="DA5" t="s">
        <v>627</v>
      </c>
      <c r="DB5" t="s">
        <v>598</v>
      </c>
      <c r="DC5" t="s">
        <v>628</v>
      </c>
      <c r="DD5" t="s">
        <v>225</v>
      </c>
      <c r="DE5" t="s">
        <v>226</v>
      </c>
      <c r="DF5" t="s">
        <v>178</v>
      </c>
      <c r="DG5" t="s">
        <v>227</v>
      </c>
      <c r="DH5" t="s">
        <v>228</v>
      </c>
      <c r="DI5" t="s">
        <v>178</v>
      </c>
      <c r="DJ5" t="s">
        <v>229</v>
      </c>
      <c r="DK5" t="s">
        <v>230</v>
      </c>
      <c r="DL5" t="s">
        <v>231</v>
      </c>
      <c r="DM5" t="s">
        <v>172</v>
      </c>
      <c r="DN5" t="s">
        <v>597</v>
      </c>
      <c r="DO5" t="s">
        <v>232</v>
      </c>
      <c r="DP5" t="s">
        <v>233</v>
      </c>
      <c r="DQ5" t="s">
        <v>234</v>
      </c>
      <c r="DR5" t="s">
        <v>235</v>
      </c>
      <c r="DS5" t="s">
        <v>236</v>
      </c>
      <c r="DT5" t="s">
        <v>237</v>
      </c>
    </row>
    <row r="6" spans="1:124" x14ac:dyDescent="0.7">
      <c r="A6" t="s">
        <v>728</v>
      </c>
      <c r="B6" t="s">
        <v>863</v>
      </c>
      <c r="C6" t="s">
        <v>162</v>
      </c>
      <c r="D6" t="s">
        <v>163</v>
      </c>
      <c r="E6" t="s">
        <v>164</v>
      </c>
      <c r="F6" t="s">
        <v>138</v>
      </c>
      <c r="G6" t="s">
        <v>1473</v>
      </c>
      <c r="H6" t="s">
        <v>1474</v>
      </c>
      <c r="I6" s="4" t="s">
        <v>864</v>
      </c>
      <c r="J6">
        <v>0.22725392059193741</v>
      </c>
      <c r="K6">
        <v>2.9050319999999994</v>
      </c>
      <c r="L6">
        <v>0.21076617147398752</v>
      </c>
      <c r="M6">
        <v>4.2497031255407922</v>
      </c>
      <c r="N6" t="s">
        <v>865</v>
      </c>
      <c r="O6" t="s">
        <v>866</v>
      </c>
      <c r="P6">
        <v>3.1739949477976706</v>
      </c>
      <c r="Q6">
        <v>2.0123629477976706</v>
      </c>
      <c r="R6" t="s">
        <v>867</v>
      </c>
      <c r="S6" t="s">
        <v>868</v>
      </c>
      <c r="T6">
        <v>31.126752454620679</v>
      </c>
      <c r="U6">
        <v>0.4417875</v>
      </c>
      <c r="V6" t="s">
        <v>170</v>
      </c>
      <c r="W6" t="s">
        <v>869</v>
      </c>
      <c r="X6" t="s">
        <v>172</v>
      </c>
      <c r="Y6" t="s">
        <v>172</v>
      </c>
      <c r="Z6" t="s">
        <v>172</v>
      </c>
      <c r="AA6" t="s">
        <v>870</v>
      </c>
      <c r="AB6" t="s">
        <v>871</v>
      </c>
      <c r="AC6" t="s">
        <v>872</v>
      </c>
      <c r="AD6" t="s">
        <v>176</v>
      </c>
      <c r="AE6" t="s">
        <v>177</v>
      </c>
      <c r="AF6">
        <v>199.43719487999999</v>
      </c>
      <c r="AG6" t="s">
        <v>178</v>
      </c>
      <c r="AH6" t="s">
        <v>721</v>
      </c>
      <c r="AI6" t="s">
        <v>873</v>
      </c>
      <c r="AJ6" t="s">
        <v>874</v>
      </c>
      <c r="AK6" t="s">
        <v>875</v>
      </c>
      <c r="AL6">
        <v>24.97</v>
      </c>
      <c r="AM6" t="s">
        <v>800</v>
      </c>
      <c r="AN6" t="s">
        <v>302</v>
      </c>
      <c r="AO6" t="s">
        <v>255</v>
      </c>
      <c r="AP6" t="s">
        <v>876</v>
      </c>
      <c r="AQ6" t="s">
        <v>877</v>
      </c>
      <c r="AR6" t="s">
        <v>841</v>
      </c>
      <c r="AS6" t="s">
        <v>878</v>
      </c>
      <c r="AT6" t="s">
        <v>879</v>
      </c>
      <c r="AU6" t="s">
        <v>880</v>
      </c>
      <c r="AV6" t="s">
        <v>798</v>
      </c>
      <c r="AW6" t="s">
        <v>881</v>
      </c>
      <c r="AX6" t="s">
        <v>882</v>
      </c>
      <c r="AY6" t="s">
        <v>883</v>
      </c>
      <c r="AZ6" t="s">
        <v>265</v>
      </c>
      <c r="BA6" t="s">
        <v>848</v>
      </c>
      <c r="BB6" t="s">
        <v>849</v>
      </c>
      <c r="BC6" t="s">
        <v>884</v>
      </c>
      <c r="BD6" t="s">
        <v>162</v>
      </c>
      <c r="BE6" t="s">
        <v>577</v>
      </c>
      <c r="BF6" t="s">
        <v>885</v>
      </c>
      <c r="BG6" t="s">
        <v>886</v>
      </c>
      <c r="BH6" t="s">
        <v>629</v>
      </c>
      <c r="BI6" t="s">
        <v>737</v>
      </c>
      <c r="BJ6" t="s">
        <v>198</v>
      </c>
      <c r="BK6" t="s">
        <v>162</v>
      </c>
      <c r="BL6" t="s">
        <v>199</v>
      </c>
      <c r="BM6" t="s">
        <v>160</v>
      </c>
      <c r="BN6" t="s">
        <v>494</v>
      </c>
      <c r="BO6" t="s">
        <v>321</v>
      </c>
      <c r="BP6" t="s">
        <v>200</v>
      </c>
      <c r="BQ6" t="s">
        <v>887</v>
      </c>
      <c r="BR6" t="s">
        <v>888</v>
      </c>
      <c r="BS6" t="s">
        <v>889</v>
      </c>
      <c r="BT6" t="s">
        <v>160</v>
      </c>
      <c r="BU6" t="s">
        <v>205</v>
      </c>
      <c r="BV6" t="s">
        <v>200</v>
      </c>
      <c r="BW6" t="s">
        <v>206</v>
      </c>
      <c r="BX6" t="s">
        <v>207</v>
      </c>
      <c r="BY6" t="s">
        <v>172</v>
      </c>
      <c r="BZ6" t="s">
        <v>208</v>
      </c>
      <c r="CA6" t="s">
        <v>172</v>
      </c>
      <c r="CB6" t="s">
        <v>172</v>
      </c>
      <c r="CC6" t="s">
        <v>209</v>
      </c>
      <c r="CD6" t="s">
        <v>210</v>
      </c>
      <c r="CE6" t="s">
        <v>197</v>
      </c>
      <c r="CF6" t="s">
        <v>211</v>
      </c>
      <c r="CG6" t="s">
        <v>212</v>
      </c>
      <c r="CH6" t="s">
        <v>213</v>
      </c>
      <c r="CI6" t="s">
        <v>178</v>
      </c>
      <c r="CJ6" t="s">
        <v>206</v>
      </c>
      <c r="CK6" t="s">
        <v>214</v>
      </c>
      <c r="CL6" t="s">
        <v>214</v>
      </c>
      <c r="CM6" t="s">
        <v>214</v>
      </c>
      <c r="CN6" t="s">
        <v>172</v>
      </c>
      <c r="CO6" t="s">
        <v>215</v>
      </c>
      <c r="CP6" t="s">
        <v>172</v>
      </c>
      <c r="CQ6" t="s">
        <v>172</v>
      </c>
      <c r="CR6" t="s">
        <v>172</v>
      </c>
      <c r="CS6" t="s">
        <v>172</v>
      </c>
      <c r="CT6" t="s">
        <v>890</v>
      </c>
      <c r="CU6" t="s">
        <v>891</v>
      </c>
      <c r="CV6" t="s">
        <v>892</v>
      </c>
      <c r="CW6" t="s">
        <v>893</v>
      </c>
      <c r="CX6" t="s">
        <v>894</v>
      </c>
      <c r="CY6" t="s">
        <v>895</v>
      </c>
      <c r="CZ6" t="s">
        <v>896</v>
      </c>
      <c r="DA6" t="s">
        <v>897</v>
      </c>
      <c r="DB6" t="s">
        <v>870</v>
      </c>
      <c r="DC6" t="s">
        <v>548</v>
      </c>
      <c r="DD6" t="s">
        <v>225</v>
      </c>
      <c r="DE6" t="s">
        <v>226</v>
      </c>
      <c r="DF6" t="s">
        <v>178</v>
      </c>
      <c r="DG6" t="s">
        <v>227</v>
      </c>
      <c r="DH6" t="s">
        <v>228</v>
      </c>
      <c r="DI6" t="s">
        <v>178</v>
      </c>
      <c r="DJ6" t="s">
        <v>229</v>
      </c>
      <c r="DK6" t="s">
        <v>230</v>
      </c>
      <c r="DL6" t="s">
        <v>231</v>
      </c>
      <c r="DM6" t="s">
        <v>172</v>
      </c>
      <c r="DN6" t="s">
        <v>869</v>
      </c>
      <c r="DO6" t="s">
        <v>232</v>
      </c>
      <c r="DP6" t="s">
        <v>233</v>
      </c>
      <c r="DQ6" t="s">
        <v>234</v>
      </c>
      <c r="DR6" t="s">
        <v>235</v>
      </c>
      <c r="DS6" t="s">
        <v>236</v>
      </c>
      <c r="DT6" t="s">
        <v>237</v>
      </c>
    </row>
    <row r="7" spans="1:124" x14ac:dyDescent="0.7">
      <c r="A7" t="s">
        <v>898</v>
      </c>
      <c r="B7" t="s">
        <v>899</v>
      </c>
      <c r="C7" t="s">
        <v>162</v>
      </c>
      <c r="D7" t="s">
        <v>163</v>
      </c>
      <c r="E7" t="s">
        <v>164</v>
      </c>
      <c r="F7" t="s">
        <v>138</v>
      </c>
      <c r="G7" t="s">
        <v>1473</v>
      </c>
      <c r="H7" t="s">
        <v>1474</v>
      </c>
      <c r="I7" s="4" t="s">
        <v>900</v>
      </c>
      <c r="J7">
        <v>0.44811759161764197</v>
      </c>
      <c r="K7">
        <v>2.9058327199999998</v>
      </c>
      <c r="L7">
        <v>0.38824509582615141</v>
      </c>
      <c r="M7">
        <v>6.0301027451472136</v>
      </c>
      <c r="N7" t="s">
        <v>901</v>
      </c>
      <c r="O7" t="s">
        <v>902</v>
      </c>
      <c r="P7">
        <v>2.760539129892825</v>
      </c>
      <c r="Q7">
        <v>1.5529571298928251</v>
      </c>
      <c r="R7" t="s">
        <v>903</v>
      </c>
      <c r="S7" t="s">
        <v>904</v>
      </c>
      <c r="T7">
        <v>27.072071490564138</v>
      </c>
      <c r="U7">
        <v>0.4417875</v>
      </c>
      <c r="V7" t="s">
        <v>170</v>
      </c>
      <c r="W7" t="s">
        <v>905</v>
      </c>
      <c r="X7" t="s">
        <v>172</v>
      </c>
      <c r="Y7" t="s">
        <v>172</v>
      </c>
      <c r="Z7" t="s">
        <v>172</v>
      </c>
      <c r="AA7" t="s">
        <v>906</v>
      </c>
      <c r="AB7" t="s">
        <v>907</v>
      </c>
      <c r="AC7" t="s">
        <v>908</v>
      </c>
      <c r="AD7" t="s">
        <v>176</v>
      </c>
      <c r="AE7" t="s">
        <v>177</v>
      </c>
      <c r="AF7">
        <v>229.22332607999999</v>
      </c>
      <c r="AG7" t="s">
        <v>178</v>
      </c>
      <c r="AH7" t="s">
        <v>909</v>
      </c>
      <c r="AI7" t="s">
        <v>299</v>
      </c>
      <c r="AJ7" t="s">
        <v>910</v>
      </c>
      <c r="AK7" t="s">
        <v>911</v>
      </c>
      <c r="AL7">
        <v>22.65</v>
      </c>
      <c r="AM7" t="s">
        <v>800</v>
      </c>
      <c r="AN7" t="s">
        <v>479</v>
      </c>
      <c r="AO7" t="s">
        <v>912</v>
      </c>
      <c r="AP7" t="s">
        <v>913</v>
      </c>
      <c r="AQ7" t="s">
        <v>914</v>
      </c>
      <c r="AR7" t="s">
        <v>915</v>
      </c>
      <c r="AS7" t="s">
        <v>483</v>
      </c>
      <c r="AT7" t="s">
        <v>916</v>
      </c>
      <c r="AU7" t="s">
        <v>917</v>
      </c>
      <c r="AV7" t="s">
        <v>918</v>
      </c>
      <c r="AW7" t="s">
        <v>919</v>
      </c>
      <c r="AX7" t="s">
        <v>920</v>
      </c>
      <c r="AY7" t="s">
        <v>921</v>
      </c>
      <c r="AZ7" t="s">
        <v>265</v>
      </c>
      <c r="BA7" t="s">
        <v>922</v>
      </c>
      <c r="BB7" t="s">
        <v>923</v>
      </c>
      <c r="BC7" t="s">
        <v>924</v>
      </c>
      <c r="BD7" t="s">
        <v>162</v>
      </c>
      <c r="BE7" t="s">
        <v>577</v>
      </c>
      <c r="BF7" t="s">
        <v>885</v>
      </c>
      <c r="BG7" t="s">
        <v>925</v>
      </c>
      <c r="BH7" t="s">
        <v>669</v>
      </c>
      <c r="BI7" t="s">
        <v>926</v>
      </c>
      <c r="BJ7" t="s">
        <v>198</v>
      </c>
      <c r="BK7" t="s">
        <v>162</v>
      </c>
      <c r="BL7" t="s">
        <v>199</v>
      </c>
      <c r="BM7" t="s">
        <v>160</v>
      </c>
      <c r="BN7" t="s">
        <v>321</v>
      </c>
      <c r="BO7" t="s">
        <v>200</v>
      </c>
      <c r="BP7" t="s">
        <v>200</v>
      </c>
      <c r="BQ7" t="s">
        <v>927</v>
      </c>
      <c r="BR7" t="s">
        <v>928</v>
      </c>
      <c r="BS7" t="s">
        <v>929</v>
      </c>
      <c r="BT7" t="s">
        <v>160</v>
      </c>
      <c r="BU7" t="s">
        <v>205</v>
      </c>
      <c r="BV7" t="s">
        <v>200</v>
      </c>
      <c r="BW7" t="s">
        <v>206</v>
      </c>
      <c r="BX7" t="s">
        <v>207</v>
      </c>
      <c r="BY7" t="s">
        <v>172</v>
      </c>
      <c r="BZ7" t="s">
        <v>208</v>
      </c>
      <c r="CA7" t="s">
        <v>172</v>
      </c>
      <c r="CB7" t="s">
        <v>172</v>
      </c>
      <c r="CC7" t="s">
        <v>209</v>
      </c>
      <c r="CD7" t="s">
        <v>210</v>
      </c>
      <c r="CE7" t="s">
        <v>197</v>
      </c>
      <c r="CF7" t="s">
        <v>211</v>
      </c>
      <c r="CG7" t="s">
        <v>212</v>
      </c>
      <c r="CH7" t="s">
        <v>213</v>
      </c>
      <c r="CI7" t="s">
        <v>178</v>
      </c>
      <c r="CJ7" t="s">
        <v>206</v>
      </c>
      <c r="CK7" t="s">
        <v>214</v>
      </c>
      <c r="CL7" t="s">
        <v>214</v>
      </c>
      <c r="CM7" t="s">
        <v>214</v>
      </c>
      <c r="CN7" t="s">
        <v>172</v>
      </c>
      <c r="CO7" t="s">
        <v>215</v>
      </c>
      <c r="CP7" t="s">
        <v>172</v>
      </c>
      <c r="CQ7" t="s">
        <v>172</v>
      </c>
      <c r="CR7" t="s">
        <v>172</v>
      </c>
      <c r="CS7" t="s">
        <v>172</v>
      </c>
      <c r="CT7" t="s">
        <v>930</v>
      </c>
      <c r="CU7" t="s">
        <v>931</v>
      </c>
      <c r="CV7" t="s">
        <v>932</v>
      </c>
      <c r="CW7" t="s">
        <v>933</v>
      </c>
      <c r="CX7" t="s">
        <v>934</v>
      </c>
      <c r="CY7" t="s">
        <v>935</v>
      </c>
      <c r="CZ7" t="s">
        <v>936</v>
      </c>
      <c r="DA7" t="s">
        <v>937</v>
      </c>
      <c r="DB7" t="s">
        <v>906</v>
      </c>
      <c r="DC7" t="s">
        <v>938</v>
      </c>
      <c r="DD7" t="s">
        <v>225</v>
      </c>
      <c r="DE7" t="s">
        <v>226</v>
      </c>
      <c r="DF7" t="s">
        <v>178</v>
      </c>
      <c r="DG7" t="s">
        <v>227</v>
      </c>
      <c r="DH7" t="s">
        <v>228</v>
      </c>
      <c r="DI7" t="s">
        <v>178</v>
      </c>
      <c r="DJ7" t="s">
        <v>229</v>
      </c>
      <c r="DK7" t="s">
        <v>230</v>
      </c>
      <c r="DL7" t="s">
        <v>231</v>
      </c>
      <c r="DM7" t="s">
        <v>172</v>
      </c>
      <c r="DN7" t="s">
        <v>905</v>
      </c>
      <c r="DO7" t="s">
        <v>232</v>
      </c>
      <c r="DP7" t="s">
        <v>233</v>
      </c>
      <c r="DQ7" t="s">
        <v>234</v>
      </c>
      <c r="DR7" t="s">
        <v>235</v>
      </c>
      <c r="DS7" t="s">
        <v>236</v>
      </c>
      <c r="DT7" t="s">
        <v>237</v>
      </c>
    </row>
    <row r="8" spans="1:124" x14ac:dyDescent="0.7">
      <c r="A8" t="s">
        <v>1169</v>
      </c>
      <c r="B8" t="s">
        <v>1170</v>
      </c>
      <c r="C8" t="s">
        <v>162</v>
      </c>
      <c r="D8" t="s">
        <v>163</v>
      </c>
      <c r="E8" t="s">
        <v>164</v>
      </c>
      <c r="F8" t="s">
        <v>138</v>
      </c>
      <c r="G8" t="s">
        <v>1473</v>
      </c>
      <c r="H8" t="s">
        <v>1474</v>
      </c>
      <c r="I8" s="4" t="s">
        <v>1171</v>
      </c>
      <c r="J8">
        <v>0.43991031160385607</v>
      </c>
      <c r="K8">
        <v>2.9042299199999997</v>
      </c>
      <c r="L8">
        <v>0.38204160130680354</v>
      </c>
      <c r="M8">
        <v>5.925241411796395</v>
      </c>
      <c r="N8" t="s">
        <v>1172</v>
      </c>
      <c r="O8" t="s">
        <v>1173</v>
      </c>
      <c r="P8">
        <v>2.7942232141333001</v>
      </c>
      <c r="Q8">
        <v>1.5500052141333001</v>
      </c>
      <c r="R8" t="s">
        <v>1174</v>
      </c>
      <c r="S8" t="s">
        <v>1175</v>
      </c>
      <c r="T8">
        <v>27.405092331632993</v>
      </c>
      <c r="U8">
        <v>0.4417875</v>
      </c>
      <c r="V8" t="s">
        <v>170</v>
      </c>
      <c r="W8" t="s">
        <v>1176</v>
      </c>
      <c r="X8" t="s">
        <v>172</v>
      </c>
      <c r="Y8" t="s">
        <v>172</v>
      </c>
      <c r="Z8" t="s">
        <v>172</v>
      </c>
      <c r="AA8" t="s">
        <v>1177</v>
      </c>
      <c r="AB8" t="s">
        <v>1178</v>
      </c>
      <c r="AC8" t="s">
        <v>1179</v>
      </c>
      <c r="AD8" t="s">
        <v>176</v>
      </c>
      <c r="AE8" t="s">
        <v>177</v>
      </c>
      <c r="AF8">
        <v>244.18098809999998</v>
      </c>
      <c r="AG8" t="s">
        <v>178</v>
      </c>
      <c r="AH8" t="s">
        <v>1180</v>
      </c>
      <c r="AI8" t="s">
        <v>1181</v>
      </c>
      <c r="AJ8" t="s">
        <v>1182</v>
      </c>
      <c r="AK8" t="s">
        <v>1183</v>
      </c>
      <c r="AL8">
        <v>22.85</v>
      </c>
      <c r="AM8" t="s">
        <v>478</v>
      </c>
      <c r="AN8" t="s">
        <v>254</v>
      </c>
      <c r="AO8" t="s">
        <v>1184</v>
      </c>
      <c r="AP8" t="s">
        <v>685</v>
      </c>
      <c r="AQ8" t="s">
        <v>1185</v>
      </c>
      <c r="AR8" t="s">
        <v>1186</v>
      </c>
      <c r="AS8" t="s">
        <v>1187</v>
      </c>
      <c r="AT8" t="s">
        <v>898</v>
      </c>
      <c r="AU8" t="s">
        <v>1188</v>
      </c>
      <c r="AV8" t="s">
        <v>1189</v>
      </c>
      <c r="AW8" t="s">
        <v>1190</v>
      </c>
      <c r="AX8" t="s">
        <v>1191</v>
      </c>
      <c r="AY8" t="s">
        <v>1192</v>
      </c>
      <c r="AZ8" t="s">
        <v>265</v>
      </c>
      <c r="BA8" t="s">
        <v>1193</v>
      </c>
      <c r="BB8" t="s">
        <v>1194</v>
      </c>
      <c r="BC8" t="s">
        <v>1195</v>
      </c>
      <c r="BD8" t="s">
        <v>162</v>
      </c>
      <c r="BE8" t="s">
        <v>1196</v>
      </c>
      <c r="BF8" t="s">
        <v>1117</v>
      </c>
      <c r="BG8" t="s">
        <v>1197</v>
      </c>
      <c r="BH8" t="s">
        <v>710</v>
      </c>
      <c r="BI8" t="s">
        <v>1198</v>
      </c>
      <c r="BJ8" t="s">
        <v>1007</v>
      </c>
      <c r="BK8" t="s">
        <v>162</v>
      </c>
      <c r="BL8" t="s">
        <v>1008</v>
      </c>
      <c r="BM8" t="s">
        <v>160</v>
      </c>
      <c r="BN8" t="s">
        <v>494</v>
      </c>
      <c r="BO8" t="s">
        <v>201</v>
      </c>
      <c r="BP8" t="s">
        <v>494</v>
      </c>
      <c r="BQ8" t="s">
        <v>1199</v>
      </c>
      <c r="BR8" t="s">
        <v>1200</v>
      </c>
      <c r="BS8" t="s">
        <v>1201</v>
      </c>
      <c r="BT8" t="s">
        <v>160</v>
      </c>
      <c r="BU8" t="s">
        <v>205</v>
      </c>
      <c r="BV8" t="s">
        <v>200</v>
      </c>
      <c r="BW8" t="s">
        <v>206</v>
      </c>
      <c r="BX8" t="s">
        <v>207</v>
      </c>
      <c r="BY8" t="s">
        <v>172</v>
      </c>
      <c r="BZ8" t="s">
        <v>208</v>
      </c>
      <c r="CA8" t="s">
        <v>172</v>
      </c>
      <c r="CB8" t="s">
        <v>172</v>
      </c>
      <c r="CC8" t="s">
        <v>209</v>
      </c>
      <c r="CD8" t="s">
        <v>210</v>
      </c>
      <c r="CE8" t="s">
        <v>197</v>
      </c>
      <c r="CF8" t="s">
        <v>211</v>
      </c>
      <c r="CG8" t="s">
        <v>212</v>
      </c>
      <c r="CH8" t="s">
        <v>213</v>
      </c>
      <c r="CI8" t="s">
        <v>178</v>
      </c>
      <c r="CJ8" t="s">
        <v>206</v>
      </c>
      <c r="CK8" t="s">
        <v>214</v>
      </c>
      <c r="CL8" t="s">
        <v>214</v>
      </c>
      <c r="CM8" t="s">
        <v>214</v>
      </c>
      <c r="CN8" t="s">
        <v>172</v>
      </c>
      <c r="CO8" t="s">
        <v>215</v>
      </c>
      <c r="CP8" t="s">
        <v>172</v>
      </c>
      <c r="CQ8" t="s">
        <v>172</v>
      </c>
      <c r="CR8" t="s">
        <v>172</v>
      </c>
      <c r="CS8" t="s">
        <v>172</v>
      </c>
      <c r="CT8" t="s">
        <v>1202</v>
      </c>
      <c r="CU8" t="s">
        <v>1203</v>
      </c>
      <c r="CV8" t="s">
        <v>1204</v>
      </c>
      <c r="CW8" t="s">
        <v>1205</v>
      </c>
      <c r="CX8" t="s">
        <v>1206</v>
      </c>
      <c r="CY8" t="s">
        <v>1207</v>
      </c>
      <c r="CZ8" t="s">
        <v>1208</v>
      </c>
      <c r="DA8" t="s">
        <v>1209</v>
      </c>
      <c r="DB8" t="s">
        <v>1177</v>
      </c>
      <c r="DC8" t="s">
        <v>1130</v>
      </c>
      <c r="DD8" t="s">
        <v>225</v>
      </c>
      <c r="DE8" t="s">
        <v>226</v>
      </c>
      <c r="DF8" t="s">
        <v>178</v>
      </c>
      <c r="DG8" t="s">
        <v>227</v>
      </c>
      <c r="DH8" t="s">
        <v>228</v>
      </c>
      <c r="DI8" t="s">
        <v>178</v>
      </c>
      <c r="DJ8" t="s">
        <v>229</v>
      </c>
      <c r="DK8" t="s">
        <v>230</v>
      </c>
      <c r="DL8" t="s">
        <v>231</v>
      </c>
      <c r="DM8" t="s">
        <v>172</v>
      </c>
      <c r="DN8" t="s">
        <v>1176</v>
      </c>
      <c r="DO8" t="s">
        <v>232</v>
      </c>
      <c r="DP8" t="s">
        <v>233</v>
      </c>
      <c r="DQ8" t="s">
        <v>234</v>
      </c>
      <c r="DR8" t="s">
        <v>235</v>
      </c>
      <c r="DS8" t="s">
        <v>236</v>
      </c>
      <c r="DT8" t="s">
        <v>237</v>
      </c>
    </row>
    <row r="9" spans="1:124" s="2" customFormat="1" ht="19.5" thickBot="1" x14ac:dyDescent="0.75">
      <c r="A9" s="2" t="s">
        <v>1210</v>
      </c>
      <c r="B9" s="2" t="s">
        <v>1211</v>
      </c>
      <c r="C9" s="2" t="s">
        <v>162</v>
      </c>
      <c r="D9" s="2" t="s">
        <v>163</v>
      </c>
      <c r="E9" s="2" t="s">
        <v>164</v>
      </c>
      <c r="F9" s="2" t="s">
        <v>138</v>
      </c>
      <c r="G9" s="2" t="s">
        <v>1473</v>
      </c>
      <c r="H9" s="2" t="s">
        <v>1474</v>
      </c>
      <c r="I9" s="5" t="s">
        <v>1212</v>
      </c>
      <c r="J9" s="2">
        <v>0.33503480471571689</v>
      </c>
      <c r="K9" s="2">
        <v>2.9050319999999994</v>
      </c>
      <c r="L9" s="2">
        <v>0.30039097570344836</v>
      </c>
      <c r="M9" s="2">
        <v>5.4209082312661714</v>
      </c>
      <c r="N9" s="2" t="s">
        <v>1213</v>
      </c>
      <c r="O9" s="2" t="s">
        <v>1214</v>
      </c>
      <c r="P9" s="2">
        <v>3.0003759725672605</v>
      </c>
      <c r="Q9" s="2">
        <v>1.8022799725672605</v>
      </c>
      <c r="R9" s="2" t="s">
        <v>1215</v>
      </c>
      <c r="S9" s="2" t="s">
        <v>1216</v>
      </c>
      <c r="T9" s="2">
        <v>29.424104859931944</v>
      </c>
      <c r="U9" s="2">
        <v>0.4417875</v>
      </c>
      <c r="V9" s="2" t="s">
        <v>170</v>
      </c>
      <c r="W9" s="2" t="s">
        <v>1217</v>
      </c>
      <c r="X9" s="2" t="s">
        <v>172</v>
      </c>
      <c r="Y9" s="2" t="s">
        <v>172</v>
      </c>
      <c r="Z9" s="2" t="s">
        <v>172</v>
      </c>
      <c r="AA9" s="2" t="s">
        <v>1218</v>
      </c>
      <c r="AB9" s="2" t="s">
        <v>1219</v>
      </c>
      <c r="AC9" s="2" t="s">
        <v>1220</v>
      </c>
      <c r="AD9" s="2" t="s">
        <v>176</v>
      </c>
      <c r="AE9" s="2" t="s">
        <v>177</v>
      </c>
      <c r="AF9" s="2">
        <v>164.22926183999999</v>
      </c>
      <c r="AG9" s="2" t="s">
        <v>178</v>
      </c>
      <c r="AH9" s="2" t="s">
        <v>1221</v>
      </c>
      <c r="AI9" s="2" t="s">
        <v>1222</v>
      </c>
      <c r="AJ9" s="2" t="s">
        <v>1223</v>
      </c>
      <c r="AK9" s="2" t="s">
        <v>476</v>
      </c>
      <c r="AL9" s="2">
        <v>24.03</v>
      </c>
      <c r="AM9" s="2" t="s">
        <v>800</v>
      </c>
      <c r="AN9" s="2" t="s">
        <v>302</v>
      </c>
      <c r="AO9" s="2" t="s">
        <v>1224</v>
      </c>
      <c r="AP9" s="2" t="s">
        <v>439</v>
      </c>
      <c r="AQ9" s="2" t="s">
        <v>1225</v>
      </c>
      <c r="AR9" s="2" t="s">
        <v>1226</v>
      </c>
      <c r="AS9" s="2" t="s">
        <v>1227</v>
      </c>
      <c r="AT9" s="2" t="s">
        <v>998</v>
      </c>
      <c r="AU9" s="2" t="s">
        <v>1228</v>
      </c>
      <c r="AV9" s="2" t="s">
        <v>1229</v>
      </c>
      <c r="AW9" s="2" t="s">
        <v>1230</v>
      </c>
      <c r="AX9" s="2" t="s">
        <v>1231</v>
      </c>
      <c r="AY9" s="2" t="s">
        <v>1232</v>
      </c>
      <c r="AZ9" s="2" t="s">
        <v>265</v>
      </c>
      <c r="BA9" s="2" t="s">
        <v>1193</v>
      </c>
      <c r="BB9" s="2" t="s">
        <v>1194</v>
      </c>
      <c r="BC9" s="2" t="s">
        <v>1233</v>
      </c>
      <c r="BD9" s="2" t="s">
        <v>162</v>
      </c>
      <c r="BE9" s="2" t="s">
        <v>1234</v>
      </c>
      <c r="BF9" s="2" t="s">
        <v>492</v>
      </c>
      <c r="BG9" s="2" t="s">
        <v>1197</v>
      </c>
      <c r="BH9" s="2" t="s">
        <v>710</v>
      </c>
      <c r="BI9" s="2" t="s">
        <v>1235</v>
      </c>
      <c r="BJ9" s="2" t="s">
        <v>1007</v>
      </c>
      <c r="BK9" s="2" t="s">
        <v>162</v>
      </c>
      <c r="BL9" s="2" t="s">
        <v>1008</v>
      </c>
      <c r="BM9" s="2" t="s">
        <v>160</v>
      </c>
      <c r="BN9" s="2" t="s">
        <v>321</v>
      </c>
      <c r="BO9" s="2" t="s">
        <v>200</v>
      </c>
      <c r="BP9" s="2" t="s">
        <v>366</v>
      </c>
      <c r="BQ9" s="2" t="s">
        <v>1236</v>
      </c>
      <c r="BR9" s="2" t="s">
        <v>1237</v>
      </c>
      <c r="BS9" s="2" t="s">
        <v>1238</v>
      </c>
      <c r="BT9" s="2" t="s">
        <v>160</v>
      </c>
      <c r="BU9" s="2" t="s">
        <v>205</v>
      </c>
      <c r="BV9" s="2" t="s">
        <v>200</v>
      </c>
      <c r="BW9" s="2" t="s">
        <v>206</v>
      </c>
      <c r="BX9" s="2" t="s">
        <v>207</v>
      </c>
      <c r="BY9" s="2" t="s">
        <v>172</v>
      </c>
      <c r="BZ9" s="2" t="s">
        <v>208</v>
      </c>
      <c r="CA9" s="2" t="s">
        <v>172</v>
      </c>
      <c r="CB9" s="2" t="s">
        <v>172</v>
      </c>
      <c r="CC9" s="2" t="s">
        <v>209</v>
      </c>
      <c r="CD9" s="2" t="s">
        <v>210</v>
      </c>
      <c r="CE9" s="2" t="s">
        <v>197</v>
      </c>
      <c r="CF9" s="2" t="s">
        <v>211</v>
      </c>
      <c r="CG9" s="2" t="s">
        <v>212</v>
      </c>
      <c r="CH9" s="2" t="s">
        <v>213</v>
      </c>
      <c r="CI9" s="2" t="s">
        <v>178</v>
      </c>
      <c r="CJ9" s="2" t="s">
        <v>206</v>
      </c>
      <c r="CK9" s="2" t="s">
        <v>214</v>
      </c>
      <c r="CL9" s="2" t="s">
        <v>214</v>
      </c>
      <c r="CM9" s="2" t="s">
        <v>214</v>
      </c>
      <c r="CN9" s="2" t="s">
        <v>172</v>
      </c>
      <c r="CO9" s="2" t="s">
        <v>215</v>
      </c>
      <c r="CP9" s="2" t="s">
        <v>172</v>
      </c>
      <c r="CQ9" s="2" t="s">
        <v>172</v>
      </c>
      <c r="CR9" s="2" t="s">
        <v>172</v>
      </c>
      <c r="CS9" s="2" t="s">
        <v>172</v>
      </c>
      <c r="CT9" s="2" t="s">
        <v>1239</v>
      </c>
      <c r="CU9" s="2" t="s">
        <v>1240</v>
      </c>
      <c r="CV9" s="2" t="s">
        <v>1241</v>
      </c>
      <c r="CW9" s="2" t="s">
        <v>1242</v>
      </c>
      <c r="CX9" s="2" t="s">
        <v>1243</v>
      </c>
      <c r="CY9" s="2" t="s">
        <v>1244</v>
      </c>
      <c r="CZ9" s="2" t="s">
        <v>1245</v>
      </c>
      <c r="DA9" s="2" t="s">
        <v>1246</v>
      </c>
      <c r="DB9" s="2" t="s">
        <v>1218</v>
      </c>
      <c r="DC9" s="2" t="s">
        <v>1130</v>
      </c>
      <c r="DD9" s="2" t="s">
        <v>225</v>
      </c>
      <c r="DE9" s="2" t="s">
        <v>226</v>
      </c>
      <c r="DF9" s="2" t="s">
        <v>178</v>
      </c>
      <c r="DG9" s="2" t="s">
        <v>227</v>
      </c>
      <c r="DH9" s="2" t="s">
        <v>228</v>
      </c>
      <c r="DI9" s="2" t="s">
        <v>178</v>
      </c>
      <c r="DJ9" s="2" t="s">
        <v>229</v>
      </c>
      <c r="DK9" s="2" t="s">
        <v>230</v>
      </c>
      <c r="DL9" s="2" t="s">
        <v>231</v>
      </c>
      <c r="DM9" s="2" t="s">
        <v>172</v>
      </c>
      <c r="DN9" s="2" t="s">
        <v>1217</v>
      </c>
      <c r="DO9" s="2" t="s">
        <v>232</v>
      </c>
      <c r="DP9" s="2" t="s">
        <v>233</v>
      </c>
      <c r="DQ9" s="2" t="s">
        <v>234</v>
      </c>
      <c r="DR9" s="2" t="s">
        <v>235</v>
      </c>
      <c r="DS9" s="2" t="s">
        <v>236</v>
      </c>
      <c r="DT9" s="2" t="s">
        <v>237</v>
      </c>
    </row>
    <row r="10" spans="1:124" x14ac:dyDescent="0.7">
      <c r="A10" t="s">
        <v>287</v>
      </c>
      <c r="B10" t="s">
        <v>288</v>
      </c>
      <c r="C10" t="s">
        <v>162</v>
      </c>
      <c r="D10" t="s">
        <v>163</v>
      </c>
      <c r="E10" t="s">
        <v>164</v>
      </c>
      <c r="F10" t="s">
        <v>138</v>
      </c>
      <c r="G10" t="s">
        <v>1473</v>
      </c>
      <c r="H10" t="s">
        <v>1475</v>
      </c>
      <c r="I10" s="4" t="s">
        <v>289</v>
      </c>
      <c r="J10">
        <v>0.45075355141992191</v>
      </c>
      <c r="K10">
        <v>2.9050319999999994</v>
      </c>
      <c r="L10">
        <v>0.39020773852323609</v>
      </c>
      <c r="M10">
        <v>6.5698992514947676</v>
      </c>
      <c r="N10" t="s">
        <v>290</v>
      </c>
      <c r="O10" t="s">
        <v>291</v>
      </c>
      <c r="P10">
        <v>2.8747998343077636</v>
      </c>
      <c r="Q10">
        <v>1.6820618343077636</v>
      </c>
      <c r="R10" t="s">
        <v>292</v>
      </c>
      <c r="S10" t="s">
        <v>293</v>
      </c>
      <c r="T10">
        <v>28.200900866271962</v>
      </c>
      <c r="U10">
        <v>0.4417875</v>
      </c>
      <c r="V10" t="s">
        <v>170</v>
      </c>
      <c r="W10" t="s">
        <v>294</v>
      </c>
      <c r="X10" t="s">
        <v>172</v>
      </c>
      <c r="Y10" t="s">
        <v>172</v>
      </c>
      <c r="Z10" t="s">
        <v>172</v>
      </c>
      <c r="AA10" t="s">
        <v>295</v>
      </c>
      <c r="AB10" t="s">
        <v>296</v>
      </c>
      <c r="AC10" t="s">
        <v>297</v>
      </c>
      <c r="AD10" t="s">
        <v>176</v>
      </c>
      <c r="AE10" t="s">
        <v>177</v>
      </c>
      <c r="AF10">
        <v>159.39614838</v>
      </c>
      <c r="AG10" t="s">
        <v>178</v>
      </c>
      <c r="AH10" t="s">
        <v>298</v>
      </c>
      <c r="AI10" t="s">
        <v>299</v>
      </c>
      <c r="AJ10" t="s">
        <v>300</v>
      </c>
      <c r="AK10" t="s">
        <v>301</v>
      </c>
      <c r="AL10">
        <v>23.32</v>
      </c>
      <c r="AM10" t="s">
        <v>253</v>
      </c>
      <c r="AN10" t="s">
        <v>302</v>
      </c>
      <c r="AO10" t="s">
        <v>303</v>
      </c>
      <c r="AP10" t="s">
        <v>304</v>
      </c>
      <c r="AQ10" t="s">
        <v>305</v>
      </c>
      <c r="AR10" t="s">
        <v>306</v>
      </c>
      <c r="AS10" t="s">
        <v>307</v>
      </c>
      <c r="AT10" t="s">
        <v>197</v>
      </c>
      <c r="AU10" t="s">
        <v>308</v>
      </c>
      <c r="AV10" t="s">
        <v>309</v>
      </c>
      <c r="AW10" t="s">
        <v>310</v>
      </c>
      <c r="AX10" t="s">
        <v>311</v>
      </c>
      <c r="AY10" t="s">
        <v>312</v>
      </c>
      <c r="AZ10" t="s">
        <v>265</v>
      </c>
      <c r="BA10" t="s">
        <v>313</v>
      </c>
      <c r="BB10" t="s">
        <v>314</v>
      </c>
      <c r="BC10" t="s">
        <v>315</v>
      </c>
      <c r="BD10" t="s">
        <v>162</v>
      </c>
      <c r="BE10" t="s">
        <v>316</v>
      </c>
      <c r="BF10" t="s">
        <v>317</v>
      </c>
      <c r="BG10" t="s">
        <v>318</v>
      </c>
      <c r="BH10" t="s">
        <v>319</v>
      </c>
      <c r="BI10" t="s">
        <v>320</v>
      </c>
      <c r="BJ10" t="s">
        <v>198</v>
      </c>
      <c r="BK10" t="s">
        <v>162</v>
      </c>
      <c r="BL10" t="s">
        <v>199</v>
      </c>
      <c r="BM10" t="s">
        <v>160</v>
      </c>
      <c r="BN10" t="s">
        <v>321</v>
      </c>
      <c r="BO10" t="s">
        <v>321</v>
      </c>
      <c r="BP10" t="s">
        <v>322</v>
      </c>
      <c r="BQ10" t="s">
        <v>323</v>
      </c>
      <c r="BR10" t="s">
        <v>324</v>
      </c>
      <c r="BS10" t="s">
        <v>325</v>
      </c>
      <c r="BT10" t="s">
        <v>160</v>
      </c>
      <c r="BU10" t="s">
        <v>205</v>
      </c>
      <c r="BV10" t="s">
        <v>200</v>
      </c>
      <c r="BW10" t="s">
        <v>206</v>
      </c>
      <c r="BX10" t="s">
        <v>207</v>
      </c>
      <c r="BY10" t="s">
        <v>172</v>
      </c>
      <c r="BZ10" t="s">
        <v>208</v>
      </c>
      <c r="CA10" t="s">
        <v>172</v>
      </c>
      <c r="CB10" t="s">
        <v>172</v>
      </c>
      <c r="CC10" t="s">
        <v>209</v>
      </c>
      <c r="CD10" t="s">
        <v>210</v>
      </c>
      <c r="CE10" t="s">
        <v>197</v>
      </c>
      <c r="CF10" t="s">
        <v>211</v>
      </c>
      <c r="CG10" t="s">
        <v>212</v>
      </c>
      <c r="CH10" t="s">
        <v>213</v>
      </c>
      <c r="CI10" t="s">
        <v>178</v>
      </c>
      <c r="CJ10" t="s">
        <v>206</v>
      </c>
      <c r="CK10" t="s">
        <v>214</v>
      </c>
      <c r="CL10" t="s">
        <v>214</v>
      </c>
      <c r="CM10" t="s">
        <v>214</v>
      </c>
      <c r="CN10" t="s">
        <v>172</v>
      </c>
      <c r="CO10" t="s">
        <v>215</v>
      </c>
      <c r="CP10" t="s">
        <v>172</v>
      </c>
      <c r="CQ10" t="s">
        <v>172</v>
      </c>
      <c r="CR10" t="s">
        <v>172</v>
      </c>
      <c r="CS10" t="s">
        <v>172</v>
      </c>
      <c r="CT10" t="s">
        <v>326</v>
      </c>
      <c r="CU10" t="s">
        <v>327</v>
      </c>
      <c r="CV10" t="s">
        <v>328</v>
      </c>
      <c r="CW10" t="s">
        <v>329</v>
      </c>
      <c r="CX10" t="s">
        <v>330</v>
      </c>
      <c r="CY10" t="s">
        <v>331</v>
      </c>
      <c r="CZ10" t="s">
        <v>332</v>
      </c>
      <c r="DA10" t="s">
        <v>333</v>
      </c>
      <c r="DB10" t="s">
        <v>295</v>
      </c>
      <c r="DC10" t="s">
        <v>224</v>
      </c>
      <c r="DD10" t="s">
        <v>225</v>
      </c>
      <c r="DE10" t="s">
        <v>226</v>
      </c>
      <c r="DF10" t="s">
        <v>178</v>
      </c>
      <c r="DG10" t="s">
        <v>227</v>
      </c>
      <c r="DH10" t="s">
        <v>228</v>
      </c>
      <c r="DI10" t="s">
        <v>178</v>
      </c>
      <c r="DJ10" t="s">
        <v>229</v>
      </c>
      <c r="DK10" t="s">
        <v>230</v>
      </c>
      <c r="DL10" t="s">
        <v>231</v>
      </c>
      <c r="DM10" t="s">
        <v>172</v>
      </c>
      <c r="DN10" t="s">
        <v>294</v>
      </c>
      <c r="DO10" t="s">
        <v>232</v>
      </c>
      <c r="DP10" t="s">
        <v>233</v>
      </c>
      <c r="DQ10" t="s">
        <v>234</v>
      </c>
      <c r="DR10" t="s">
        <v>235</v>
      </c>
      <c r="DS10" t="s">
        <v>236</v>
      </c>
      <c r="DT10" t="s">
        <v>237</v>
      </c>
    </row>
    <row r="11" spans="1:124" x14ac:dyDescent="0.7">
      <c r="A11" t="s">
        <v>334</v>
      </c>
      <c r="B11" t="s">
        <v>335</v>
      </c>
      <c r="C11" t="s">
        <v>162</v>
      </c>
      <c r="D11" t="s">
        <v>163</v>
      </c>
      <c r="E11" t="s">
        <v>164</v>
      </c>
      <c r="F11" t="s">
        <v>138</v>
      </c>
      <c r="G11" t="s">
        <v>1473</v>
      </c>
      <c r="H11" t="s">
        <v>1475</v>
      </c>
      <c r="I11" s="4" t="s">
        <v>336</v>
      </c>
      <c r="J11">
        <v>0.22584182883236972</v>
      </c>
      <c r="K11">
        <v>2.9050319999999994</v>
      </c>
      <c r="L11">
        <v>0.20955099935829569</v>
      </c>
      <c r="M11">
        <v>3.4075469540834336</v>
      </c>
      <c r="N11" t="s">
        <v>337</v>
      </c>
      <c r="O11" t="s">
        <v>338</v>
      </c>
      <c r="P11">
        <v>2.7655689799873402</v>
      </c>
      <c r="Q11">
        <v>1.6258989799873402</v>
      </c>
      <c r="R11" t="s">
        <v>339</v>
      </c>
      <c r="S11" t="s">
        <v>340</v>
      </c>
      <c r="T11">
        <v>27.129379831149109</v>
      </c>
      <c r="U11">
        <v>0.4417875</v>
      </c>
      <c r="V11" t="s">
        <v>170</v>
      </c>
      <c r="W11" t="s">
        <v>341</v>
      </c>
      <c r="X11" t="s">
        <v>172</v>
      </c>
      <c r="Y11" t="s">
        <v>172</v>
      </c>
      <c r="Z11" t="s">
        <v>172</v>
      </c>
      <c r="AA11" t="s">
        <v>342</v>
      </c>
      <c r="AB11" t="s">
        <v>343</v>
      </c>
      <c r="AC11" t="s">
        <v>344</v>
      </c>
      <c r="AD11" t="s">
        <v>176</v>
      </c>
      <c r="AE11" t="s">
        <v>177</v>
      </c>
      <c r="AF11">
        <v>159.9013458</v>
      </c>
      <c r="AG11" t="s">
        <v>178</v>
      </c>
      <c r="AH11" t="s">
        <v>345</v>
      </c>
      <c r="AI11" t="s">
        <v>346</v>
      </c>
      <c r="AJ11" t="s">
        <v>347</v>
      </c>
      <c r="AK11" t="s">
        <v>348</v>
      </c>
      <c r="AL11">
        <v>22.68</v>
      </c>
      <c r="AM11" t="s">
        <v>253</v>
      </c>
      <c r="AN11" t="s">
        <v>302</v>
      </c>
      <c r="AO11" t="s">
        <v>349</v>
      </c>
      <c r="AP11" t="s">
        <v>350</v>
      </c>
      <c r="AQ11" t="s">
        <v>351</v>
      </c>
      <c r="AR11" t="s">
        <v>352</v>
      </c>
      <c r="AS11" t="s">
        <v>353</v>
      </c>
      <c r="AT11" t="s">
        <v>334</v>
      </c>
      <c r="AU11" t="s">
        <v>354</v>
      </c>
      <c r="AV11" t="s">
        <v>355</v>
      </c>
      <c r="AW11" t="s">
        <v>356</v>
      </c>
      <c r="AX11" t="s">
        <v>357</v>
      </c>
      <c r="AY11" t="s">
        <v>358</v>
      </c>
      <c r="AZ11" t="s">
        <v>265</v>
      </c>
      <c r="BA11" t="s">
        <v>359</v>
      </c>
      <c r="BB11" t="s">
        <v>360</v>
      </c>
      <c r="BC11" t="s">
        <v>361</v>
      </c>
      <c r="BD11" t="s">
        <v>162</v>
      </c>
      <c r="BE11" t="s">
        <v>362</v>
      </c>
      <c r="BF11" t="s">
        <v>363</v>
      </c>
      <c r="BG11" t="s">
        <v>364</v>
      </c>
      <c r="BH11" t="s">
        <v>272</v>
      </c>
      <c r="BI11" t="s">
        <v>365</v>
      </c>
      <c r="BJ11" t="s">
        <v>198</v>
      </c>
      <c r="BK11" t="s">
        <v>162</v>
      </c>
      <c r="BL11" t="s">
        <v>199</v>
      </c>
      <c r="BM11" t="s">
        <v>160</v>
      </c>
      <c r="BN11" t="s">
        <v>200</v>
      </c>
      <c r="BO11" t="s">
        <v>200</v>
      </c>
      <c r="BP11" t="s">
        <v>366</v>
      </c>
      <c r="BQ11" t="s">
        <v>367</v>
      </c>
      <c r="BR11" t="s">
        <v>368</v>
      </c>
      <c r="BS11" t="s">
        <v>369</v>
      </c>
      <c r="BT11" t="s">
        <v>160</v>
      </c>
      <c r="BU11" t="s">
        <v>205</v>
      </c>
      <c r="BV11" t="s">
        <v>200</v>
      </c>
      <c r="BW11" t="s">
        <v>206</v>
      </c>
      <c r="BX11" t="s">
        <v>207</v>
      </c>
      <c r="BY11" t="s">
        <v>172</v>
      </c>
      <c r="BZ11" t="s">
        <v>208</v>
      </c>
      <c r="CA11" t="s">
        <v>172</v>
      </c>
      <c r="CB11" t="s">
        <v>172</v>
      </c>
      <c r="CC11" t="s">
        <v>209</v>
      </c>
      <c r="CD11" t="s">
        <v>210</v>
      </c>
      <c r="CE11" t="s">
        <v>197</v>
      </c>
      <c r="CF11" t="s">
        <v>211</v>
      </c>
      <c r="CG11" t="s">
        <v>212</v>
      </c>
      <c r="CH11" t="s">
        <v>213</v>
      </c>
      <c r="CI11" t="s">
        <v>178</v>
      </c>
      <c r="CJ11" t="s">
        <v>206</v>
      </c>
      <c r="CK11" t="s">
        <v>214</v>
      </c>
      <c r="CL11" t="s">
        <v>214</v>
      </c>
      <c r="CM11" t="s">
        <v>214</v>
      </c>
      <c r="CN11" t="s">
        <v>172</v>
      </c>
      <c r="CO11" t="s">
        <v>215</v>
      </c>
      <c r="CP11" t="s">
        <v>172</v>
      </c>
      <c r="CQ11" t="s">
        <v>172</v>
      </c>
      <c r="CR11" t="s">
        <v>172</v>
      </c>
      <c r="CS11" t="s">
        <v>172</v>
      </c>
      <c r="CT11" t="s">
        <v>370</v>
      </c>
      <c r="CU11" t="s">
        <v>371</v>
      </c>
      <c r="CV11" t="s">
        <v>372</v>
      </c>
      <c r="CW11" t="s">
        <v>373</v>
      </c>
      <c r="CX11" t="s">
        <v>374</v>
      </c>
      <c r="CY11" t="s">
        <v>375</v>
      </c>
      <c r="CZ11" t="s">
        <v>376</v>
      </c>
      <c r="DA11" t="s">
        <v>377</v>
      </c>
      <c r="DB11" t="s">
        <v>342</v>
      </c>
      <c r="DC11" t="s">
        <v>378</v>
      </c>
      <c r="DD11" t="s">
        <v>225</v>
      </c>
      <c r="DE11" t="s">
        <v>226</v>
      </c>
      <c r="DF11" t="s">
        <v>178</v>
      </c>
      <c r="DG11" t="s">
        <v>227</v>
      </c>
      <c r="DH11" t="s">
        <v>228</v>
      </c>
      <c r="DI11" t="s">
        <v>178</v>
      </c>
      <c r="DJ11" t="s">
        <v>229</v>
      </c>
      <c r="DK11" t="s">
        <v>230</v>
      </c>
      <c r="DL11" t="s">
        <v>231</v>
      </c>
      <c r="DM11" t="s">
        <v>172</v>
      </c>
      <c r="DN11" t="s">
        <v>341</v>
      </c>
      <c r="DO11" t="s">
        <v>232</v>
      </c>
      <c r="DP11" t="s">
        <v>233</v>
      </c>
      <c r="DQ11" t="s">
        <v>234</v>
      </c>
      <c r="DR11" t="s">
        <v>235</v>
      </c>
      <c r="DS11" t="s">
        <v>236</v>
      </c>
      <c r="DT11" t="s">
        <v>237</v>
      </c>
    </row>
    <row r="12" spans="1:124" x14ac:dyDescent="0.7">
      <c r="A12" t="s">
        <v>629</v>
      </c>
      <c r="B12" t="s">
        <v>630</v>
      </c>
      <c r="C12" t="s">
        <v>162</v>
      </c>
      <c r="D12" t="s">
        <v>163</v>
      </c>
      <c r="E12" t="s">
        <v>164</v>
      </c>
      <c r="F12" t="s">
        <v>138</v>
      </c>
      <c r="G12" t="s">
        <v>1473</v>
      </c>
      <c r="H12" t="s">
        <v>1475</v>
      </c>
      <c r="I12" s="4" t="s">
        <v>631</v>
      </c>
      <c r="J12">
        <v>0.44295250510219752</v>
      </c>
      <c r="K12">
        <v>2.9058327199999998</v>
      </c>
      <c r="L12">
        <v>0.3843620286794151</v>
      </c>
      <c r="M12">
        <v>6.3202195501245493</v>
      </c>
      <c r="N12" t="s">
        <v>632</v>
      </c>
      <c r="O12" t="s">
        <v>633</v>
      </c>
      <c r="P12">
        <v>2.8834902441527417</v>
      </c>
      <c r="Q12">
        <v>1.6427062441527416</v>
      </c>
      <c r="R12" t="s">
        <v>634</v>
      </c>
      <c r="S12" t="s">
        <v>635</v>
      </c>
      <c r="T12">
        <v>28.280602629979814</v>
      </c>
      <c r="U12">
        <v>0.4417875</v>
      </c>
      <c r="V12" t="s">
        <v>170</v>
      </c>
      <c r="W12" t="s">
        <v>636</v>
      </c>
      <c r="X12" t="s">
        <v>172</v>
      </c>
      <c r="Y12" t="s">
        <v>172</v>
      </c>
      <c r="Z12" t="s">
        <v>172</v>
      </c>
      <c r="AA12" t="s">
        <v>637</v>
      </c>
      <c r="AB12" t="s">
        <v>638</v>
      </c>
      <c r="AC12" t="s">
        <v>639</v>
      </c>
      <c r="AD12" t="s">
        <v>176</v>
      </c>
      <c r="AE12" t="s">
        <v>177</v>
      </c>
      <c r="AF12">
        <v>185.70928656000001</v>
      </c>
      <c r="AG12" t="s">
        <v>178</v>
      </c>
      <c r="AH12" t="s">
        <v>640</v>
      </c>
      <c r="AI12" t="s">
        <v>641</v>
      </c>
      <c r="AJ12" t="s">
        <v>642</v>
      </c>
      <c r="AK12" t="s">
        <v>643</v>
      </c>
      <c r="AL12">
        <v>23.37</v>
      </c>
      <c r="AM12" t="s">
        <v>478</v>
      </c>
      <c r="AN12" t="s">
        <v>479</v>
      </c>
      <c r="AO12" t="s">
        <v>644</v>
      </c>
      <c r="AP12" t="s">
        <v>645</v>
      </c>
      <c r="AQ12" t="s">
        <v>646</v>
      </c>
      <c r="AR12" t="s">
        <v>607</v>
      </c>
      <c r="AS12" t="s">
        <v>647</v>
      </c>
      <c r="AT12" t="s">
        <v>648</v>
      </c>
      <c r="AU12" t="s">
        <v>649</v>
      </c>
      <c r="AV12" t="s">
        <v>650</v>
      </c>
      <c r="AW12" t="s">
        <v>651</v>
      </c>
      <c r="AX12" t="s">
        <v>652</v>
      </c>
      <c r="AY12" t="s">
        <v>653</v>
      </c>
      <c r="AZ12" t="s">
        <v>265</v>
      </c>
      <c r="BA12" t="s">
        <v>574</v>
      </c>
      <c r="BB12" t="s">
        <v>575</v>
      </c>
      <c r="BC12" t="s">
        <v>654</v>
      </c>
      <c r="BD12" t="s">
        <v>162</v>
      </c>
      <c r="BE12" t="s">
        <v>491</v>
      </c>
      <c r="BF12" t="s">
        <v>655</v>
      </c>
      <c r="BG12" t="s">
        <v>364</v>
      </c>
      <c r="BH12" t="s">
        <v>629</v>
      </c>
      <c r="BI12" t="s">
        <v>656</v>
      </c>
      <c r="BJ12" t="s">
        <v>198</v>
      </c>
      <c r="BK12" t="s">
        <v>162</v>
      </c>
      <c r="BL12" t="s">
        <v>199</v>
      </c>
      <c r="BM12" t="s">
        <v>160</v>
      </c>
      <c r="BN12" t="s">
        <v>200</v>
      </c>
      <c r="BO12" t="s">
        <v>200</v>
      </c>
      <c r="BP12" t="s">
        <v>366</v>
      </c>
      <c r="BQ12" t="s">
        <v>657</v>
      </c>
      <c r="BR12" t="s">
        <v>658</v>
      </c>
      <c r="BS12" t="s">
        <v>659</v>
      </c>
      <c r="BT12" t="s">
        <v>160</v>
      </c>
      <c r="BU12" t="s">
        <v>205</v>
      </c>
      <c r="BV12" t="s">
        <v>200</v>
      </c>
      <c r="BW12" t="s">
        <v>206</v>
      </c>
      <c r="BX12" t="s">
        <v>207</v>
      </c>
      <c r="BY12" t="s">
        <v>172</v>
      </c>
      <c r="BZ12" t="s">
        <v>208</v>
      </c>
      <c r="CA12" t="s">
        <v>172</v>
      </c>
      <c r="CB12" t="s">
        <v>172</v>
      </c>
      <c r="CC12" t="s">
        <v>209</v>
      </c>
      <c r="CD12" t="s">
        <v>210</v>
      </c>
      <c r="CE12" t="s">
        <v>197</v>
      </c>
      <c r="CF12" t="s">
        <v>211</v>
      </c>
      <c r="CG12" t="s">
        <v>212</v>
      </c>
      <c r="CH12" t="s">
        <v>213</v>
      </c>
      <c r="CI12" t="s">
        <v>178</v>
      </c>
      <c r="CJ12" t="s">
        <v>206</v>
      </c>
      <c r="CK12" t="s">
        <v>214</v>
      </c>
      <c r="CL12" t="s">
        <v>214</v>
      </c>
      <c r="CM12" t="s">
        <v>214</v>
      </c>
      <c r="CN12" t="s">
        <v>172</v>
      </c>
      <c r="CO12" t="s">
        <v>215</v>
      </c>
      <c r="CP12" t="s">
        <v>172</v>
      </c>
      <c r="CQ12" t="s">
        <v>172</v>
      </c>
      <c r="CR12" t="s">
        <v>172</v>
      </c>
      <c r="CS12" t="s">
        <v>172</v>
      </c>
      <c r="CT12" t="s">
        <v>660</v>
      </c>
      <c r="CU12" t="s">
        <v>661</v>
      </c>
      <c r="CV12" t="s">
        <v>662</v>
      </c>
      <c r="CW12" t="s">
        <v>663</v>
      </c>
      <c r="CX12" t="s">
        <v>664</v>
      </c>
      <c r="CY12" t="s">
        <v>665</v>
      </c>
      <c r="CZ12" t="s">
        <v>666</v>
      </c>
      <c r="DA12" t="s">
        <v>667</v>
      </c>
      <c r="DB12" t="s">
        <v>637</v>
      </c>
      <c r="DC12" t="s">
        <v>668</v>
      </c>
      <c r="DD12" t="s">
        <v>225</v>
      </c>
      <c r="DE12" t="s">
        <v>226</v>
      </c>
      <c r="DF12" t="s">
        <v>178</v>
      </c>
      <c r="DG12" t="s">
        <v>227</v>
      </c>
      <c r="DH12" t="s">
        <v>228</v>
      </c>
      <c r="DI12" t="s">
        <v>178</v>
      </c>
      <c r="DJ12" t="s">
        <v>229</v>
      </c>
      <c r="DK12" t="s">
        <v>230</v>
      </c>
      <c r="DL12" t="s">
        <v>231</v>
      </c>
      <c r="DM12" t="s">
        <v>172</v>
      </c>
      <c r="DN12" t="s">
        <v>636</v>
      </c>
      <c r="DO12" t="s">
        <v>232</v>
      </c>
      <c r="DP12" t="s">
        <v>233</v>
      </c>
      <c r="DQ12" t="s">
        <v>234</v>
      </c>
      <c r="DR12" t="s">
        <v>235</v>
      </c>
      <c r="DS12" t="s">
        <v>236</v>
      </c>
      <c r="DT12" t="s">
        <v>237</v>
      </c>
    </row>
    <row r="13" spans="1:124" x14ac:dyDescent="0.7">
      <c r="A13" t="s">
        <v>669</v>
      </c>
      <c r="B13" t="s">
        <v>670</v>
      </c>
      <c r="C13" t="s">
        <v>162</v>
      </c>
      <c r="D13" t="s">
        <v>163</v>
      </c>
      <c r="E13" t="s">
        <v>164</v>
      </c>
      <c r="F13" t="s">
        <v>138</v>
      </c>
      <c r="G13" t="s">
        <v>1473</v>
      </c>
      <c r="H13" t="s">
        <v>1475</v>
      </c>
      <c r="I13" s="4" t="s">
        <v>671</v>
      </c>
      <c r="J13">
        <v>0.42571951138813069</v>
      </c>
      <c r="K13">
        <v>2.9058327199999998</v>
      </c>
      <c r="L13">
        <v>0.37131931298540771</v>
      </c>
      <c r="M13">
        <v>6.0925256240557744</v>
      </c>
      <c r="N13" t="s">
        <v>672</v>
      </c>
      <c r="O13" t="s">
        <v>673</v>
      </c>
      <c r="P13">
        <v>2.8661323420907685</v>
      </c>
      <c r="Q13">
        <v>1.6393443420907685</v>
      </c>
      <c r="R13" t="s">
        <v>674</v>
      </c>
      <c r="S13" t="s">
        <v>675</v>
      </c>
      <c r="T13">
        <v>28.110360357892983</v>
      </c>
      <c r="U13">
        <v>0.4417875</v>
      </c>
      <c r="V13" t="s">
        <v>170</v>
      </c>
      <c r="W13" t="s">
        <v>676</v>
      </c>
      <c r="X13" t="s">
        <v>172</v>
      </c>
      <c r="Y13" t="s">
        <v>172</v>
      </c>
      <c r="Z13" t="s">
        <v>172</v>
      </c>
      <c r="AA13" t="s">
        <v>677</v>
      </c>
      <c r="AB13" t="s">
        <v>678</v>
      </c>
      <c r="AC13" t="s">
        <v>679</v>
      </c>
      <c r="AD13" t="s">
        <v>176</v>
      </c>
      <c r="AE13" t="s">
        <v>177</v>
      </c>
      <c r="AF13">
        <v>247.36832189999998</v>
      </c>
      <c r="AG13" t="s">
        <v>178</v>
      </c>
      <c r="AH13" t="s">
        <v>680</v>
      </c>
      <c r="AI13" t="s">
        <v>681</v>
      </c>
      <c r="AJ13" t="s">
        <v>682</v>
      </c>
      <c r="AK13" t="s">
        <v>683</v>
      </c>
      <c r="AL13">
        <v>23.27</v>
      </c>
      <c r="AM13" t="s">
        <v>478</v>
      </c>
      <c r="AN13" t="s">
        <v>479</v>
      </c>
      <c r="AO13" t="s">
        <v>684</v>
      </c>
      <c r="AP13" t="s">
        <v>685</v>
      </c>
      <c r="AQ13" t="s">
        <v>686</v>
      </c>
      <c r="AR13" t="s">
        <v>687</v>
      </c>
      <c r="AS13" t="s">
        <v>688</v>
      </c>
      <c r="AT13" t="s">
        <v>443</v>
      </c>
      <c r="AU13" t="s">
        <v>689</v>
      </c>
      <c r="AV13" t="s">
        <v>690</v>
      </c>
      <c r="AW13" t="s">
        <v>691</v>
      </c>
      <c r="AX13" t="s">
        <v>692</v>
      </c>
      <c r="AY13" t="s">
        <v>693</v>
      </c>
      <c r="AZ13" t="s">
        <v>265</v>
      </c>
      <c r="BA13" t="s">
        <v>694</v>
      </c>
      <c r="BB13" t="s">
        <v>695</v>
      </c>
      <c r="BC13" t="s">
        <v>696</v>
      </c>
      <c r="BD13" t="s">
        <v>162</v>
      </c>
      <c r="BE13" t="s">
        <v>697</v>
      </c>
      <c r="BF13" t="s">
        <v>317</v>
      </c>
      <c r="BG13" t="s">
        <v>364</v>
      </c>
      <c r="BH13" t="s">
        <v>535</v>
      </c>
      <c r="BI13" t="s">
        <v>698</v>
      </c>
      <c r="BJ13" t="s">
        <v>198</v>
      </c>
      <c r="BK13" t="s">
        <v>162</v>
      </c>
      <c r="BL13" t="s">
        <v>199</v>
      </c>
      <c r="BM13" t="s">
        <v>160</v>
      </c>
      <c r="BN13" t="s">
        <v>200</v>
      </c>
      <c r="BO13" t="s">
        <v>321</v>
      </c>
      <c r="BP13" t="s">
        <v>322</v>
      </c>
      <c r="BQ13" t="s">
        <v>699</v>
      </c>
      <c r="BR13" t="s">
        <v>700</v>
      </c>
      <c r="BS13" t="s">
        <v>701</v>
      </c>
      <c r="BT13" t="s">
        <v>160</v>
      </c>
      <c r="BU13" t="s">
        <v>205</v>
      </c>
      <c r="BV13" t="s">
        <v>200</v>
      </c>
      <c r="BW13" t="s">
        <v>206</v>
      </c>
      <c r="BX13" t="s">
        <v>207</v>
      </c>
      <c r="BY13" t="s">
        <v>172</v>
      </c>
      <c r="BZ13" t="s">
        <v>208</v>
      </c>
      <c r="CA13" t="s">
        <v>172</v>
      </c>
      <c r="CB13" t="s">
        <v>172</v>
      </c>
      <c r="CC13" t="s">
        <v>209</v>
      </c>
      <c r="CD13" t="s">
        <v>210</v>
      </c>
      <c r="CE13" t="s">
        <v>197</v>
      </c>
      <c r="CF13" t="s">
        <v>211</v>
      </c>
      <c r="CG13" t="s">
        <v>212</v>
      </c>
      <c r="CH13" t="s">
        <v>213</v>
      </c>
      <c r="CI13" t="s">
        <v>178</v>
      </c>
      <c r="CJ13" t="s">
        <v>206</v>
      </c>
      <c r="CK13" t="s">
        <v>214</v>
      </c>
      <c r="CL13" t="s">
        <v>214</v>
      </c>
      <c r="CM13" t="s">
        <v>214</v>
      </c>
      <c r="CN13" t="s">
        <v>172</v>
      </c>
      <c r="CO13" t="s">
        <v>215</v>
      </c>
      <c r="CP13" t="s">
        <v>172</v>
      </c>
      <c r="CQ13" t="s">
        <v>172</v>
      </c>
      <c r="CR13" t="s">
        <v>172</v>
      </c>
      <c r="CS13" t="s">
        <v>172</v>
      </c>
      <c r="CT13" t="s">
        <v>702</v>
      </c>
      <c r="CU13" t="s">
        <v>703</v>
      </c>
      <c r="CV13" t="s">
        <v>704</v>
      </c>
      <c r="CW13" t="s">
        <v>705</v>
      </c>
      <c r="CX13" t="s">
        <v>706</v>
      </c>
      <c r="CY13" t="s">
        <v>707</v>
      </c>
      <c r="CZ13" t="s">
        <v>708</v>
      </c>
      <c r="DA13" t="s">
        <v>709</v>
      </c>
      <c r="DB13" t="s">
        <v>677</v>
      </c>
      <c r="DC13" t="s">
        <v>668</v>
      </c>
      <c r="DD13" t="s">
        <v>225</v>
      </c>
      <c r="DE13" t="s">
        <v>226</v>
      </c>
      <c r="DF13" t="s">
        <v>178</v>
      </c>
      <c r="DG13" t="s">
        <v>227</v>
      </c>
      <c r="DH13" t="s">
        <v>228</v>
      </c>
      <c r="DI13" t="s">
        <v>178</v>
      </c>
      <c r="DJ13" t="s">
        <v>229</v>
      </c>
      <c r="DK13" t="s">
        <v>230</v>
      </c>
      <c r="DL13" t="s">
        <v>231</v>
      </c>
      <c r="DM13" t="s">
        <v>172</v>
      </c>
      <c r="DN13" t="s">
        <v>676</v>
      </c>
      <c r="DO13" t="s">
        <v>232</v>
      </c>
      <c r="DP13" t="s">
        <v>233</v>
      </c>
      <c r="DQ13" t="s">
        <v>234</v>
      </c>
      <c r="DR13" t="s">
        <v>235</v>
      </c>
      <c r="DS13" t="s">
        <v>236</v>
      </c>
      <c r="DT13" t="s">
        <v>237</v>
      </c>
    </row>
    <row r="14" spans="1:124" x14ac:dyDescent="0.7">
      <c r="A14" t="s">
        <v>939</v>
      </c>
      <c r="B14" t="s">
        <v>940</v>
      </c>
      <c r="C14" t="s">
        <v>162</v>
      </c>
      <c r="D14" t="s">
        <v>163</v>
      </c>
      <c r="E14" t="s">
        <v>164</v>
      </c>
      <c r="F14" t="s">
        <v>138</v>
      </c>
      <c r="G14" t="s">
        <v>1473</v>
      </c>
      <c r="H14" t="s">
        <v>1475</v>
      </c>
      <c r="I14" s="4" t="s">
        <v>941</v>
      </c>
      <c r="J14">
        <v>0.25333132128050484</v>
      </c>
      <c r="K14">
        <v>2.9050319999999994</v>
      </c>
      <c r="L14">
        <v>0.2330116962679819</v>
      </c>
      <c r="M14">
        <v>4.0620882400892642</v>
      </c>
      <c r="N14" t="s">
        <v>942</v>
      </c>
      <c r="O14" t="s">
        <v>943</v>
      </c>
      <c r="P14">
        <v>2.8939490594294837</v>
      </c>
      <c r="Q14">
        <v>1.7422330594294837</v>
      </c>
      <c r="R14" t="s">
        <v>944</v>
      </c>
      <c r="S14" t="s">
        <v>945</v>
      </c>
      <c r="T14">
        <v>28.383180261175795</v>
      </c>
      <c r="U14">
        <v>0.4417875</v>
      </c>
      <c r="V14" t="s">
        <v>170</v>
      </c>
      <c r="W14" t="s">
        <v>946</v>
      </c>
      <c r="X14" t="s">
        <v>172</v>
      </c>
      <c r="Y14" t="s">
        <v>172</v>
      </c>
      <c r="Z14" t="s">
        <v>172</v>
      </c>
      <c r="AA14" t="s">
        <v>947</v>
      </c>
      <c r="AB14" t="s">
        <v>948</v>
      </c>
      <c r="AC14" t="s">
        <v>949</v>
      </c>
      <c r="AD14" t="s">
        <v>176</v>
      </c>
      <c r="AE14" t="s">
        <v>177</v>
      </c>
      <c r="AF14">
        <v>175.58475396</v>
      </c>
      <c r="AG14" t="s">
        <v>178</v>
      </c>
      <c r="AH14" t="s">
        <v>950</v>
      </c>
      <c r="AI14" t="s">
        <v>951</v>
      </c>
      <c r="AJ14" t="s">
        <v>952</v>
      </c>
      <c r="AK14" t="s">
        <v>953</v>
      </c>
      <c r="AL14">
        <v>23.43</v>
      </c>
      <c r="AM14" t="s">
        <v>478</v>
      </c>
      <c r="AN14" t="s">
        <v>302</v>
      </c>
      <c r="AO14" t="s">
        <v>954</v>
      </c>
      <c r="AP14" t="s">
        <v>955</v>
      </c>
      <c r="AQ14" t="s">
        <v>956</v>
      </c>
      <c r="AR14" t="s">
        <v>957</v>
      </c>
      <c r="AS14" t="s">
        <v>190</v>
      </c>
      <c r="AT14" t="s">
        <v>485</v>
      </c>
      <c r="AU14" t="s">
        <v>958</v>
      </c>
      <c r="AV14" t="s">
        <v>959</v>
      </c>
      <c r="AW14" t="s">
        <v>960</v>
      </c>
      <c r="AX14" t="s">
        <v>961</v>
      </c>
      <c r="AY14" t="s">
        <v>962</v>
      </c>
      <c r="AZ14" t="s">
        <v>265</v>
      </c>
      <c r="BA14" t="s">
        <v>963</v>
      </c>
      <c r="BB14" t="s">
        <v>964</v>
      </c>
      <c r="BC14" t="s">
        <v>965</v>
      </c>
      <c r="BD14" t="s">
        <v>162</v>
      </c>
      <c r="BE14" t="s">
        <v>577</v>
      </c>
      <c r="BF14" t="s">
        <v>363</v>
      </c>
      <c r="BG14" t="s">
        <v>966</v>
      </c>
      <c r="BH14" t="s">
        <v>669</v>
      </c>
      <c r="BI14" t="s">
        <v>967</v>
      </c>
      <c r="BJ14" t="s">
        <v>198</v>
      </c>
      <c r="BK14" t="s">
        <v>162</v>
      </c>
      <c r="BL14" t="s">
        <v>199</v>
      </c>
      <c r="BM14" t="s">
        <v>160</v>
      </c>
      <c r="BN14" t="s">
        <v>201</v>
      </c>
      <c r="BO14" t="s">
        <v>201</v>
      </c>
      <c r="BP14" t="s">
        <v>321</v>
      </c>
      <c r="BQ14" t="s">
        <v>968</v>
      </c>
      <c r="BR14" t="s">
        <v>969</v>
      </c>
      <c r="BS14" t="s">
        <v>970</v>
      </c>
      <c r="BT14" t="s">
        <v>160</v>
      </c>
      <c r="BU14" t="s">
        <v>205</v>
      </c>
      <c r="BV14" t="s">
        <v>200</v>
      </c>
      <c r="BW14" t="s">
        <v>206</v>
      </c>
      <c r="BX14" t="s">
        <v>207</v>
      </c>
      <c r="BY14" t="s">
        <v>172</v>
      </c>
      <c r="BZ14" t="s">
        <v>208</v>
      </c>
      <c r="CA14" t="s">
        <v>172</v>
      </c>
      <c r="CB14" t="s">
        <v>172</v>
      </c>
      <c r="CC14" t="s">
        <v>209</v>
      </c>
      <c r="CD14" t="s">
        <v>210</v>
      </c>
      <c r="CE14" t="s">
        <v>197</v>
      </c>
      <c r="CF14" t="s">
        <v>211</v>
      </c>
      <c r="CG14" t="s">
        <v>212</v>
      </c>
      <c r="CH14" t="s">
        <v>213</v>
      </c>
      <c r="CI14" t="s">
        <v>178</v>
      </c>
      <c r="CJ14" t="s">
        <v>206</v>
      </c>
      <c r="CK14" t="s">
        <v>214</v>
      </c>
      <c r="CL14" t="s">
        <v>214</v>
      </c>
      <c r="CM14" t="s">
        <v>214</v>
      </c>
      <c r="CN14" t="s">
        <v>172</v>
      </c>
      <c r="CO14" t="s">
        <v>215</v>
      </c>
      <c r="CP14" t="s">
        <v>172</v>
      </c>
      <c r="CQ14" t="s">
        <v>172</v>
      </c>
      <c r="CR14" t="s">
        <v>172</v>
      </c>
      <c r="CS14" t="s">
        <v>172</v>
      </c>
      <c r="CT14" t="s">
        <v>971</v>
      </c>
      <c r="CU14" t="s">
        <v>972</v>
      </c>
      <c r="CV14" t="s">
        <v>973</v>
      </c>
      <c r="CW14" t="s">
        <v>974</v>
      </c>
      <c r="CX14" t="s">
        <v>975</v>
      </c>
      <c r="CY14" t="s">
        <v>976</v>
      </c>
      <c r="CZ14" t="s">
        <v>977</v>
      </c>
      <c r="DA14" t="s">
        <v>978</v>
      </c>
      <c r="DB14" t="s">
        <v>947</v>
      </c>
      <c r="DC14" t="s">
        <v>668</v>
      </c>
      <c r="DD14" t="s">
        <v>225</v>
      </c>
      <c r="DE14" t="s">
        <v>226</v>
      </c>
      <c r="DF14" t="s">
        <v>178</v>
      </c>
      <c r="DG14" t="s">
        <v>227</v>
      </c>
      <c r="DH14" t="s">
        <v>228</v>
      </c>
      <c r="DI14" t="s">
        <v>178</v>
      </c>
      <c r="DJ14" t="s">
        <v>229</v>
      </c>
      <c r="DK14" t="s">
        <v>230</v>
      </c>
      <c r="DL14" t="s">
        <v>231</v>
      </c>
      <c r="DM14" t="s">
        <v>172</v>
      </c>
      <c r="DN14" t="s">
        <v>946</v>
      </c>
      <c r="DO14" t="s">
        <v>232</v>
      </c>
      <c r="DP14" t="s">
        <v>233</v>
      </c>
      <c r="DQ14" t="s">
        <v>234</v>
      </c>
      <c r="DR14" t="s">
        <v>235</v>
      </c>
      <c r="DS14" t="s">
        <v>236</v>
      </c>
      <c r="DT14" t="s">
        <v>237</v>
      </c>
    </row>
    <row r="15" spans="1:124" x14ac:dyDescent="0.7">
      <c r="A15" t="s">
        <v>979</v>
      </c>
      <c r="B15" t="s">
        <v>980</v>
      </c>
      <c r="C15" t="s">
        <v>162</v>
      </c>
      <c r="D15" t="s">
        <v>163</v>
      </c>
      <c r="E15" t="s">
        <v>164</v>
      </c>
      <c r="F15" t="s">
        <v>138</v>
      </c>
      <c r="G15" t="s">
        <v>1473</v>
      </c>
      <c r="H15" t="s">
        <v>1475</v>
      </c>
      <c r="I15" s="4" t="s">
        <v>981</v>
      </c>
      <c r="J15">
        <v>0.37336440637371676</v>
      </c>
      <c r="K15">
        <v>2.9042299199999997</v>
      </c>
      <c r="L15">
        <v>0.33083291343541005</v>
      </c>
      <c r="M15">
        <v>5.4827447626968162</v>
      </c>
      <c r="N15" t="s">
        <v>982</v>
      </c>
      <c r="O15" t="s">
        <v>983</v>
      </c>
      <c r="P15">
        <v>2.8713300901736196</v>
      </c>
      <c r="Q15">
        <v>1.6558520901736196</v>
      </c>
      <c r="R15" t="s">
        <v>984</v>
      </c>
      <c r="S15" t="s">
        <v>985</v>
      </c>
      <c r="T15">
        <v>28.161338663923303</v>
      </c>
      <c r="U15">
        <v>0.4417875</v>
      </c>
      <c r="V15" t="s">
        <v>170</v>
      </c>
      <c r="W15" t="s">
        <v>986</v>
      </c>
      <c r="X15" t="s">
        <v>172</v>
      </c>
      <c r="Y15" t="s">
        <v>172</v>
      </c>
      <c r="Z15" t="s">
        <v>172</v>
      </c>
      <c r="AA15" t="s">
        <v>987</v>
      </c>
      <c r="AB15" t="s">
        <v>988</v>
      </c>
      <c r="AC15" t="s">
        <v>989</v>
      </c>
      <c r="AD15" t="s">
        <v>176</v>
      </c>
      <c r="AE15" t="s">
        <v>177</v>
      </c>
      <c r="AF15">
        <v>151.15027409999999</v>
      </c>
      <c r="AG15" t="s">
        <v>178</v>
      </c>
      <c r="AH15" t="s">
        <v>990</v>
      </c>
      <c r="AI15" t="s">
        <v>991</v>
      </c>
      <c r="AJ15" t="s">
        <v>992</v>
      </c>
      <c r="AK15" t="s">
        <v>993</v>
      </c>
      <c r="AL15">
        <v>23.3</v>
      </c>
      <c r="AM15" t="s">
        <v>478</v>
      </c>
      <c r="AN15" t="s">
        <v>254</v>
      </c>
      <c r="AO15" t="s">
        <v>994</v>
      </c>
      <c r="AP15" t="s">
        <v>995</v>
      </c>
      <c r="AQ15" t="s">
        <v>996</v>
      </c>
      <c r="AR15" t="s">
        <v>997</v>
      </c>
      <c r="AS15" t="s">
        <v>483</v>
      </c>
      <c r="AT15" t="s">
        <v>998</v>
      </c>
      <c r="AU15" t="s">
        <v>999</v>
      </c>
      <c r="AV15" t="s">
        <v>1000</v>
      </c>
      <c r="AW15" t="s">
        <v>1001</v>
      </c>
      <c r="AX15" t="s">
        <v>1002</v>
      </c>
      <c r="AY15" t="s">
        <v>1003</v>
      </c>
      <c r="AZ15" t="s">
        <v>265</v>
      </c>
      <c r="BA15" t="s">
        <v>963</v>
      </c>
      <c r="BB15" t="s">
        <v>964</v>
      </c>
      <c r="BC15" t="s">
        <v>1004</v>
      </c>
      <c r="BD15" t="s">
        <v>162</v>
      </c>
      <c r="BE15" t="s">
        <v>851</v>
      </c>
      <c r="BF15" t="s">
        <v>885</v>
      </c>
      <c r="BG15" t="s">
        <v>1005</v>
      </c>
      <c r="BH15" t="s">
        <v>750</v>
      </c>
      <c r="BI15" t="s">
        <v>1006</v>
      </c>
      <c r="BJ15" t="s">
        <v>1007</v>
      </c>
      <c r="BK15" t="s">
        <v>162</v>
      </c>
      <c r="BL15" t="s">
        <v>1008</v>
      </c>
      <c r="BM15" t="s">
        <v>160</v>
      </c>
      <c r="BN15" t="s">
        <v>366</v>
      </c>
      <c r="BO15" t="s">
        <v>200</v>
      </c>
      <c r="BP15" t="s">
        <v>452</v>
      </c>
      <c r="BQ15" t="s">
        <v>1009</v>
      </c>
      <c r="BR15" t="s">
        <v>1010</v>
      </c>
      <c r="BS15" t="s">
        <v>1011</v>
      </c>
      <c r="BT15" t="s">
        <v>160</v>
      </c>
      <c r="BU15" t="s">
        <v>205</v>
      </c>
      <c r="BV15" t="s">
        <v>200</v>
      </c>
      <c r="BW15" t="s">
        <v>206</v>
      </c>
      <c r="BX15" t="s">
        <v>207</v>
      </c>
      <c r="BY15" t="s">
        <v>172</v>
      </c>
      <c r="BZ15" t="s">
        <v>208</v>
      </c>
      <c r="CA15" t="s">
        <v>172</v>
      </c>
      <c r="CB15" t="s">
        <v>172</v>
      </c>
      <c r="CC15" t="s">
        <v>209</v>
      </c>
      <c r="CD15" t="s">
        <v>210</v>
      </c>
      <c r="CE15" t="s">
        <v>197</v>
      </c>
      <c r="CF15" t="s">
        <v>211</v>
      </c>
      <c r="CG15" t="s">
        <v>212</v>
      </c>
      <c r="CH15" t="s">
        <v>213</v>
      </c>
      <c r="CI15" t="s">
        <v>178</v>
      </c>
      <c r="CJ15" t="s">
        <v>206</v>
      </c>
      <c r="CK15" t="s">
        <v>214</v>
      </c>
      <c r="CL15" t="s">
        <v>214</v>
      </c>
      <c r="CM15" t="s">
        <v>214</v>
      </c>
      <c r="CN15" t="s">
        <v>172</v>
      </c>
      <c r="CO15" t="s">
        <v>215</v>
      </c>
      <c r="CP15" t="s">
        <v>172</v>
      </c>
      <c r="CQ15" t="s">
        <v>172</v>
      </c>
      <c r="CR15" t="s">
        <v>172</v>
      </c>
      <c r="CS15" t="s">
        <v>172</v>
      </c>
      <c r="CT15" t="s">
        <v>1012</v>
      </c>
      <c r="CU15" t="s">
        <v>1013</v>
      </c>
      <c r="CV15" t="s">
        <v>1014</v>
      </c>
      <c r="CW15" t="s">
        <v>1015</v>
      </c>
      <c r="CX15" t="s">
        <v>1016</v>
      </c>
      <c r="CY15" t="s">
        <v>1017</v>
      </c>
      <c r="CZ15" t="s">
        <v>1018</v>
      </c>
      <c r="DA15" t="s">
        <v>1019</v>
      </c>
      <c r="DB15" t="s">
        <v>987</v>
      </c>
      <c r="DC15" t="s">
        <v>1020</v>
      </c>
      <c r="DD15" t="s">
        <v>225</v>
      </c>
      <c r="DE15" t="s">
        <v>226</v>
      </c>
      <c r="DF15" t="s">
        <v>178</v>
      </c>
      <c r="DG15" t="s">
        <v>227</v>
      </c>
      <c r="DH15" t="s">
        <v>228</v>
      </c>
      <c r="DI15" t="s">
        <v>178</v>
      </c>
      <c r="DJ15" t="s">
        <v>229</v>
      </c>
      <c r="DK15" t="s">
        <v>230</v>
      </c>
      <c r="DL15" t="s">
        <v>231</v>
      </c>
      <c r="DM15" t="s">
        <v>172</v>
      </c>
      <c r="DN15" t="s">
        <v>986</v>
      </c>
      <c r="DO15" t="s">
        <v>232</v>
      </c>
      <c r="DP15" t="s">
        <v>233</v>
      </c>
      <c r="DQ15" t="s">
        <v>234</v>
      </c>
      <c r="DR15" t="s">
        <v>235</v>
      </c>
      <c r="DS15" t="s">
        <v>236</v>
      </c>
      <c r="DT15" t="s">
        <v>237</v>
      </c>
    </row>
    <row r="16" spans="1:124" x14ac:dyDescent="0.7">
      <c r="A16" t="s">
        <v>1247</v>
      </c>
      <c r="B16" t="s">
        <v>1248</v>
      </c>
      <c r="C16" t="s">
        <v>162</v>
      </c>
      <c r="D16" t="s">
        <v>163</v>
      </c>
      <c r="E16" t="s">
        <v>164</v>
      </c>
      <c r="F16" t="s">
        <v>138</v>
      </c>
      <c r="G16" t="s">
        <v>1473</v>
      </c>
      <c r="H16" t="s">
        <v>1475</v>
      </c>
      <c r="I16" s="4" t="s">
        <v>1249</v>
      </c>
      <c r="J16">
        <v>0.29260505116655333</v>
      </c>
      <c r="K16">
        <v>2.9058327199999998</v>
      </c>
      <c r="L16">
        <v>0.26583644658715133</v>
      </c>
      <c r="M16">
        <v>5.0609361236231276</v>
      </c>
      <c r="N16" t="s">
        <v>1250</v>
      </c>
      <c r="O16" t="s">
        <v>1251</v>
      </c>
      <c r="P16">
        <v>3.0972169061445092</v>
      </c>
      <c r="Q16">
        <v>1.9002369061445092</v>
      </c>
      <c r="R16" t="s">
        <v>1252</v>
      </c>
      <c r="S16" t="s">
        <v>1253</v>
      </c>
      <c r="T16">
        <v>30.376784093218021</v>
      </c>
      <c r="U16">
        <v>0.4417875</v>
      </c>
      <c r="V16" t="s">
        <v>170</v>
      </c>
      <c r="W16" t="s">
        <v>1254</v>
      </c>
      <c r="X16" t="s">
        <v>172</v>
      </c>
      <c r="Y16" t="s">
        <v>172</v>
      </c>
      <c r="Z16" t="s">
        <v>172</v>
      </c>
      <c r="AA16" t="s">
        <v>1255</v>
      </c>
      <c r="AB16" t="s">
        <v>1256</v>
      </c>
      <c r="AC16" t="s">
        <v>1257</v>
      </c>
      <c r="AD16" t="s">
        <v>176</v>
      </c>
      <c r="AE16" t="s">
        <v>177</v>
      </c>
      <c r="AF16">
        <v>214.96239366</v>
      </c>
      <c r="AG16" t="s">
        <v>178</v>
      </c>
      <c r="AH16" t="s">
        <v>1258</v>
      </c>
      <c r="AI16" t="s">
        <v>1259</v>
      </c>
      <c r="AJ16" t="s">
        <v>1260</v>
      </c>
      <c r="AK16" t="s">
        <v>1261</v>
      </c>
      <c r="AL16">
        <v>24.56</v>
      </c>
      <c r="AM16" t="s">
        <v>478</v>
      </c>
      <c r="AN16" t="s">
        <v>479</v>
      </c>
      <c r="AO16" t="s">
        <v>1262</v>
      </c>
      <c r="AP16" t="s">
        <v>521</v>
      </c>
      <c r="AQ16" t="s">
        <v>1263</v>
      </c>
      <c r="AR16" t="s">
        <v>1226</v>
      </c>
      <c r="AS16" t="s">
        <v>1264</v>
      </c>
      <c r="AT16" t="s">
        <v>401</v>
      </c>
      <c r="AU16" t="s">
        <v>1265</v>
      </c>
      <c r="AV16" t="s">
        <v>1266</v>
      </c>
      <c r="AW16" t="s">
        <v>1267</v>
      </c>
      <c r="AX16" t="s">
        <v>1268</v>
      </c>
      <c r="AY16" t="s">
        <v>1269</v>
      </c>
      <c r="AZ16" t="s">
        <v>1270</v>
      </c>
      <c r="BA16" t="s">
        <v>1271</v>
      </c>
      <c r="BB16" t="s">
        <v>1272</v>
      </c>
      <c r="BC16" t="s">
        <v>1273</v>
      </c>
      <c r="BD16" t="s">
        <v>162</v>
      </c>
      <c r="BE16" t="s">
        <v>577</v>
      </c>
      <c r="BF16" t="s">
        <v>363</v>
      </c>
      <c r="BG16" t="s">
        <v>1274</v>
      </c>
      <c r="BH16" t="s">
        <v>785</v>
      </c>
      <c r="BI16" t="s">
        <v>1083</v>
      </c>
      <c r="BJ16" t="s">
        <v>1007</v>
      </c>
      <c r="BK16" t="s">
        <v>162</v>
      </c>
      <c r="BL16" t="s">
        <v>1008</v>
      </c>
      <c r="BM16" t="s">
        <v>160</v>
      </c>
      <c r="BN16" t="s">
        <v>494</v>
      </c>
      <c r="BO16" t="s">
        <v>201</v>
      </c>
      <c r="BP16" t="s">
        <v>274</v>
      </c>
      <c r="BQ16" t="s">
        <v>1275</v>
      </c>
      <c r="BR16" t="s">
        <v>1276</v>
      </c>
      <c r="BS16" t="s">
        <v>1277</v>
      </c>
      <c r="BT16" t="s">
        <v>160</v>
      </c>
      <c r="BU16" t="s">
        <v>205</v>
      </c>
      <c r="BV16" t="s">
        <v>200</v>
      </c>
      <c r="BW16" t="s">
        <v>206</v>
      </c>
      <c r="BX16" t="s">
        <v>207</v>
      </c>
      <c r="BY16" t="s">
        <v>172</v>
      </c>
      <c r="BZ16" t="s">
        <v>208</v>
      </c>
      <c r="CA16" t="s">
        <v>172</v>
      </c>
      <c r="CB16" t="s">
        <v>172</v>
      </c>
      <c r="CC16" t="s">
        <v>209</v>
      </c>
      <c r="CD16" t="s">
        <v>210</v>
      </c>
      <c r="CE16" t="s">
        <v>197</v>
      </c>
      <c r="CF16" t="s">
        <v>211</v>
      </c>
      <c r="CG16" t="s">
        <v>212</v>
      </c>
      <c r="CH16" t="s">
        <v>213</v>
      </c>
      <c r="CI16" t="s">
        <v>178</v>
      </c>
      <c r="CJ16" t="s">
        <v>206</v>
      </c>
      <c r="CK16" t="s">
        <v>214</v>
      </c>
      <c r="CL16" t="s">
        <v>214</v>
      </c>
      <c r="CM16" t="s">
        <v>214</v>
      </c>
      <c r="CN16" t="s">
        <v>172</v>
      </c>
      <c r="CO16" t="s">
        <v>215</v>
      </c>
      <c r="CP16" t="s">
        <v>172</v>
      </c>
      <c r="CQ16" t="s">
        <v>172</v>
      </c>
      <c r="CR16" t="s">
        <v>172</v>
      </c>
      <c r="CS16" t="s">
        <v>172</v>
      </c>
      <c r="CT16" t="s">
        <v>1278</v>
      </c>
      <c r="CU16" t="s">
        <v>1279</v>
      </c>
      <c r="CV16" t="s">
        <v>1280</v>
      </c>
      <c r="CW16" t="s">
        <v>1281</v>
      </c>
      <c r="CX16" t="s">
        <v>1282</v>
      </c>
      <c r="CY16" t="s">
        <v>1283</v>
      </c>
      <c r="CZ16" t="s">
        <v>1284</v>
      </c>
      <c r="DA16" t="s">
        <v>1285</v>
      </c>
      <c r="DB16" t="s">
        <v>1255</v>
      </c>
      <c r="DC16" t="s">
        <v>224</v>
      </c>
      <c r="DD16" t="s">
        <v>225</v>
      </c>
      <c r="DE16" t="s">
        <v>226</v>
      </c>
      <c r="DF16" t="s">
        <v>178</v>
      </c>
      <c r="DG16" t="s">
        <v>227</v>
      </c>
      <c r="DH16" t="s">
        <v>228</v>
      </c>
      <c r="DI16" t="s">
        <v>178</v>
      </c>
      <c r="DJ16" t="s">
        <v>229</v>
      </c>
      <c r="DK16" t="s">
        <v>230</v>
      </c>
      <c r="DL16" t="s">
        <v>231</v>
      </c>
      <c r="DM16" t="s">
        <v>172</v>
      </c>
      <c r="DN16" t="s">
        <v>1254</v>
      </c>
      <c r="DO16" t="s">
        <v>232</v>
      </c>
      <c r="DP16" t="s">
        <v>233</v>
      </c>
      <c r="DQ16" t="s">
        <v>234</v>
      </c>
      <c r="DR16" t="s">
        <v>235</v>
      </c>
      <c r="DS16" t="s">
        <v>236</v>
      </c>
      <c r="DT16" t="s">
        <v>237</v>
      </c>
    </row>
    <row r="17" spans="1:124" s="2" customFormat="1" ht="19.5" thickBot="1" x14ac:dyDescent="0.75">
      <c r="A17" s="3">
        <v>28</v>
      </c>
      <c r="B17" s="2" t="s">
        <v>1324</v>
      </c>
      <c r="C17" s="2" t="s">
        <v>162</v>
      </c>
      <c r="D17" s="2" t="s">
        <v>163</v>
      </c>
      <c r="E17" s="2" t="s">
        <v>164</v>
      </c>
      <c r="F17" s="2" t="s">
        <v>138</v>
      </c>
      <c r="G17" s="2" t="s">
        <v>1473</v>
      </c>
      <c r="H17" s="2" t="s">
        <v>1475</v>
      </c>
      <c r="I17" s="5" t="s">
        <v>1325</v>
      </c>
      <c r="J17" s="2">
        <v>0.24610346519392129</v>
      </c>
      <c r="K17" s="2">
        <v>2.9042299199999997</v>
      </c>
      <c r="L17" s="2">
        <v>0.22687790771320801</v>
      </c>
      <c r="M17" s="2">
        <v>3.8082830346975882</v>
      </c>
      <c r="N17" s="2" t="s">
        <v>1326</v>
      </c>
      <c r="O17" s="2" t="s">
        <v>1327</v>
      </c>
      <c r="P17" s="2">
        <v>2.8214288384684845</v>
      </c>
      <c r="Q17" s="2">
        <v>1.6781468384684846</v>
      </c>
      <c r="R17" s="2" t="s">
        <v>1328</v>
      </c>
      <c r="S17" s="2" t="s">
        <v>1329</v>
      </c>
      <c r="T17" s="2">
        <v>27.671918776662267</v>
      </c>
      <c r="U17" s="2">
        <v>0.4417875</v>
      </c>
      <c r="V17" s="2" t="s">
        <v>170</v>
      </c>
      <c r="W17" s="2" t="s">
        <v>1330</v>
      </c>
      <c r="X17" s="2" t="s">
        <v>172</v>
      </c>
      <c r="Y17" s="2" t="s">
        <v>172</v>
      </c>
      <c r="Z17" s="2" t="s">
        <v>172</v>
      </c>
      <c r="AA17" s="2" t="s">
        <v>1331</v>
      </c>
      <c r="AB17" s="2" t="s">
        <v>1332</v>
      </c>
      <c r="AC17" s="2" t="s">
        <v>1333</v>
      </c>
      <c r="AD17" s="2" t="s">
        <v>176</v>
      </c>
      <c r="AE17" s="2" t="s">
        <v>177</v>
      </c>
      <c r="AF17" s="2">
        <v>107.58960702</v>
      </c>
      <c r="AG17" s="2" t="s">
        <v>178</v>
      </c>
      <c r="AH17" s="2" t="s">
        <v>1334</v>
      </c>
      <c r="AI17" s="2" t="s">
        <v>1335</v>
      </c>
      <c r="AJ17" s="2" t="s">
        <v>1336</v>
      </c>
      <c r="AK17" s="2" t="s">
        <v>1337</v>
      </c>
      <c r="AL17" s="2">
        <v>23.01</v>
      </c>
      <c r="AM17" s="2" t="s">
        <v>478</v>
      </c>
      <c r="AN17" s="2" t="s">
        <v>254</v>
      </c>
      <c r="AO17" s="2" t="s">
        <v>1338</v>
      </c>
      <c r="AP17" s="2" t="s">
        <v>521</v>
      </c>
      <c r="AQ17" s="2" t="s">
        <v>1339</v>
      </c>
      <c r="AR17" s="2" t="s">
        <v>1340</v>
      </c>
      <c r="AS17" s="2" t="s">
        <v>524</v>
      </c>
      <c r="AT17" s="2" t="s">
        <v>197</v>
      </c>
      <c r="AU17" s="2" t="s">
        <v>354</v>
      </c>
      <c r="AV17" s="2" t="s">
        <v>1341</v>
      </c>
      <c r="AW17" s="2" t="s">
        <v>1342</v>
      </c>
      <c r="AX17" s="2" t="s">
        <v>1343</v>
      </c>
      <c r="AY17" s="2" t="s">
        <v>1344</v>
      </c>
      <c r="AZ17" s="2" t="s">
        <v>1270</v>
      </c>
      <c r="BA17" s="2" t="s">
        <v>1345</v>
      </c>
      <c r="BB17" s="2" t="s">
        <v>1346</v>
      </c>
      <c r="BC17" s="2" t="s">
        <v>1347</v>
      </c>
      <c r="BD17" s="2" t="s">
        <v>162</v>
      </c>
      <c r="BE17" s="2" t="s">
        <v>577</v>
      </c>
      <c r="BF17" s="2" t="s">
        <v>885</v>
      </c>
      <c r="BG17" s="2" t="s">
        <v>1348</v>
      </c>
      <c r="BH17" s="2" t="s">
        <v>728</v>
      </c>
      <c r="BI17" s="2" t="s">
        <v>1312</v>
      </c>
      <c r="BJ17" s="2" t="s">
        <v>1007</v>
      </c>
      <c r="BK17" s="2" t="s">
        <v>162</v>
      </c>
      <c r="BL17" s="2" t="s">
        <v>1008</v>
      </c>
      <c r="BM17" s="2" t="s">
        <v>160</v>
      </c>
      <c r="BN17" s="2" t="s">
        <v>201</v>
      </c>
      <c r="BO17" s="2" t="s">
        <v>200</v>
      </c>
      <c r="BP17" s="2" t="s">
        <v>452</v>
      </c>
      <c r="BQ17" s="2" t="s">
        <v>1349</v>
      </c>
      <c r="BR17" s="2" t="s">
        <v>1350</v>
      </c>
      <c r="BS17" s="2" t="s">
        <v>1351</v>
      </c>
      <c r="BT17" s="2" t="s">
        <v>160</v>
      </c>
      <c r="BU17" s="2" t="s">
        <v>205</v>
      </c>
      <c r="BV17" s="2" t="s">
        <v>200</v>
      </c>
      <c r="BW17" s="2" t="s">
        <v>206</v>
      </c>
      <c r="BX17" s="2" t="s">
        <v>207</v>
      </c>
      <c r="BY17" s="2" t="s">
        <v>172</v>
      </c>
      <c r="BZ17" s="2" t="s">
        <v>208</v>
      </c>
      <c r="CA17" s="2" t="s">
        <v>172</v>
      </c>
      <c r="CB17" s="2" t="s">
        <v>172</v>
      </c>
      <c r="CC17" s="2" t="s">
        <v>209</v>
      </c>
      <c r="CD17" s="2" t="s">
        <v>210</v>
      </c>
      <c r="CE17" s="2" t="s">
        <v>197</v>
      </c>
      <c r="CF17" s="2" t="s">
        <v>211</v>
      </c>
      <c r="CG17" s="2" t="s">
        <v>212</v>
      </c>
      <c r="CH17" s="2" t="s">
        <v>213</v>
      </c>
      <c r="CI17" s="2" t="s">
        <v>178</v>
      </c>
      <c r="CJ17" s="2" t="s">
        <v>206</v>
      </c>
      <c r="CK17" s="2" t="s">
        <v>214</v>
      </c>
      <c r="CL17" s="2" t="s">
        <v>214</v>
      </c>
      <c r="CM17" s="2" t="s">
        <v>214</v>
      </c>
      <c r="CN17" s="2" t="s">
        <v>172</v>
      </c>
      <c r="CO17" s="2" t="s">
        <v>215</v>
      </c>
      <c r="CP17" s="2" t="s">
        <v>172</v>
      </c>
      <c r="CQ17" s="2" t="s">
        <v>172</v>
      </c>
      <c r="CR17" s="2" t="s">
        <v>172</v>
      </c>
      <c r="CS17" s="2" t="s">
        <v>172</v>
      </c>
      <c r="CT17" s="2" t="s">
        <v>1352</v>
      </c>
      <c r="CU17" s="2" t="s">
        <v>1353</v>
      </c>
      <c r="CV17" s="2" t="s">
        <v>1354</v>
      </c>
      <c r="CW17" s="2" t="s">
        <v>1355</v>
      </c>
      <c r="CX17" s="2" t="s">
        <v>1356</v>
      </c>
      <c r="CY17" s="2" t="s">
        <v>1357</v>
      </c>
      <c r="CZ17" s="2" t="s">
        <v>1358</v>
      </c>
      <c r="DA17" s="2" t="s">
        <v>1359</v>
      </c>
      <c r="DB17" s="2" t="s">
        <v>1331</v>
      </c>
      <c r="DC17" s="2" t="s">
        <v>1168</v>
      </c>
      <c r="DD17" s="2" t="s">
        <v>225</v>
      </c>
      <c r="DE17" s="2" t="s">
        <v>226</v>
      </c>
      <c r="DF17" s="2" t="s">
        <v>178</v>
      </c>
      <c r="DG17" s="2" t="s">
        <v>227</v>
      </c>
      <c r="DH17" s="2" t="s">
        <v>228</v>
      </c>
      <c r="DI17" s="2" t="s">
        <v>178</v>
      </c>
      <c r="DJ17" s="2" t="s">
        <v>229</v>
      </c>
      <c r="DK17" s="2" t="s">
        <v>230</v>
      </c>
      <c r="DL17" s="2" t="s">
        <v>231</v>
      </c>
      <c r="DM17" s="2" t="s">
        <v>172</v>
      </c>
      <c r="DN17" s="2" t="s">
        <v>1330</v>
      </c>
      <c r="DO17" s="2" t="s">
        <v>232</v>
      </c>
      <c r="DP17" s="2" t="s">
        <v>233</v>
      </c>
      <c r="DQ17" s="2" t="s">
        <v>234</v>
      </c>
      <c r="DR17" s="2" t="s">
        <v>235</v>
      </c>
      <c r="DS17" s="2" t="s">
        <v>236</v>
      </c>
      <c r="DT17" s="2" t="s">
        <v>237</v>
      </c>
    </row>
    <row r="18" spans="1:124" x14ac:dyDescent="0.7">
      <c r="A18" t="s">
        <v>379</v>
      </c>
      <c r="B18" t="s">
        <v>380</v>
      </c>
      <c r="C18" t="s">
        <v>162</v>
      </c>
      <c r="D18" t="s">
        <v>163</v>
      </c>
      <c r="E18" t="s">
        <v>164</v>
      </c>
      <c r="F18" t="s">
        <v>138</v>
      </c>
      <c r="G18" t="s">
        <v>1473</v>
      </c>
      <c r="H18" t="s">
        <v>1476</v>
      </c>
      <c r="I18" s="4" t="s">
        <v>381</v>
      </c>
      <c r="J18">
        <v>0.36864217756195217</v>
      </c>
      <c r="K18">
        <v>2.9050319999999994</v>
      </c>
      <c r="L18">
        <v>0.32713008817655514</v>
      </c>
      <c r="M18">
        <v>5.1679683045780722</v>
      </c>
      <c r="N18" t="s">
        <v>382</v>
      </c>
      <c r="O18" t="s">
        <v>383</v>
      </c>
      <c r="P18">
        <v>2.745497573546229</v>
      </c>
      <c r="Q18">
        <v>1.5797405735462291</v>
      </c>
      <c r="R18" t="s">
        <v>384</v>
      </c>
      <c r="S18" t="s">
        <v>385</v>
      </c>
      <c r="T18">
        <v>26.929843781718773</v>
      </c>
      <c r="U18">
        <v>0.4417875</v>
      </c>
      <c r="V18" t="s">
        <v>170</v>
      </c>
      <c r="W18" t="s">
        <v>386</v>
      </c>
      <c r="X18" t="s">
        <v>172</v>
      </c>
      <c r="Y18" t="s">
        <v>172</v>
      </c>
      <c r="Z18" t="s">
        <v>172</v>
      </c>
      <c r="AA18" t="s">
        <v>387</v>
      </c>
      <c r="AB18" t="s">
        <v>388</v>
      </c>
      <c r="AC18" t="s">
        <v>389</v>
      </c>
      <c r="AD18" t="s">
        <v>176</v>
      </c>
      <c r="AE18" t="s">
        <v>177</v>
      </c>
      <c r="AF18">
        <v>154.09929108</v>
      </c>
      <c r="AG18" t="s">
        <v>178</v>
      </c>
      <c r="AH18" t="s">
        <v>390</v>
      </c>
      <c r="AI18" t="s">
        <v>391</v>
      </c>
      <c r="AJ18" t="s">
        <v>392</v>
      </c>
      <c r="AK18" t="s">
        <v>393</v>
      </c>
      <c r="AL18">
        <v>22.56</v>
      </c>
      <c r="AM18" t="s">
        <v>394</v>
      </c>
      <c r="AN18" t="s">
        <v>302</v>
      </c>
      <c r="AO18" t="s">
        <v>395</v>
      </c>
      <c r="AP18" t="s">
        <v>396</v>
      </c>
      <c r="AQ18" t="s">
        <v>397</v>
      </c>
      <c r="AR18" t="s">
        <v>398</v>
      </c>
      <c r="AS18" t="s">
        <v>399</v>
      </c>
      <c r="AT18" t="s">
        <v>400</v>
      </c>
      <c r="AU18" t="s">
        <v>401</v>
      </c>
      <c r="AV18" t="s">
        <v>402</v>
      </c>
      <c r="AW18" t="s">
        <v>403</v>
      </c>
      <c r="AX18" t="s">
        <v>404</v>
      </c>
      <c r="AY18" t="s">
        <v>405</v>
      </c>
      <c r="AZ18" t="s">
        <v>265</v>
      </c>
      <c r="BA18" t="s">
        <v>406</v>
      </c>
      <c r="BB18" t="s">
        <v>407</v>
      </c>
      <c r="BC18" t="s">
        <v>408</v>
      </c>
      <c r="BD18" t="s">
        <v>162</v>
      </c>
      <c r="BE18" t="s">
        <v>409</v>
      </c>
      <c r="BF18" t="s">
        <v>410</v>
      </c>
      <c r="BG18" t="s">
        <v>411</v>
      </c>
      <c r="BH18" t="s">
        <v>412</v>
      </c>
      <c r="BI18" t="s">
        <v>413</v>
      </c>
      <c r="BJ18" t="s">
        <v>198</v>
      </c>
      <c r="BK18" t="s">
        <v>162</v>
      </c>
      <c r="BL18" t="s">
        <v>199</v>
      </c>
      <c r="BM18" t="s">
        <v>160</v>
      </c>
      <c r="BN18" t="s">
        <v>200</v>
      </c>
      <c r="BO18" t="s">
        <v>200</v>
      </c>
      <c r="BP18" t="s">
        <v>274</v>
      </c>
      <c r="BQ18" t="s">
        <v>414</v>
      </c>
      <c r="BR18" t="s">
        <v>415</v>
      </c>
      <c r="BS18" t="s">
        <v>416</v>
      </c>
      <c r="BT18" t="s">
        <v>160</v>
      </c>
      <c r="BU18" t="s">
        <v>205</v>
      </c>
      <c r="BV18" t="s">
        <v>200</v>
      </c>
      <c r="BW18" t="s">
        <v>206</v>
      </c>
      <c r="BX18" t="s">
        <v>207</v>
      </c>
      <c r="BY18" t="s">
        <v>172</v>
      </c>
      <c r="BZ18" t="s">
        <v>208</v>
      </c>
      <c r="CA18" t="s">
        <v>172</v>
      </c>
      <c r="CB18" t="s">
        <v>172</v>
      </c>
      <c r="CC18" t="s">
        <v>209</v>
      </c>
      <c r="CD18" t="s">
        <v>210</v>
      </c>
      <c r="CE18" t="s">
        <v>197</v>
      </c>
      <c r="CF18" t="s">
        <v>211</v>
      </c>
      <c r="CG18" t="s">
        <v>212</v>
      </c>
      <c r="CH18" t="s">
        <v>213</v>
      </c>
      <c r="CI18" t="s">
        <v>178</v>
      </c>
      <c r="CJ18" t="s">
        <v>206</v>
      </c>
      <c r="CK18" t="s">
        <v>214</v>
      </c>
      <c r="CL18" t="s">
        <v>214</v>
      </c>
      <c r="CM18" t="s">
        <v>214</v>
      </c>
      <c r="CN18" t="s">
        <v>172</v>
      </c>
      <c r="CO18" t="s">
        <v>215</v>
      </c>
      <c r="CP18" t="s">
        <v>172</v>
      </c>
      <c r="CQ18" t="s">
        <v>172</v>
      </c>
      <c r="CR18" t="s">
        <v>172</v>
      </c>
      <c r="CS18" t="s">
        <v>172</v>
      </c>
      <c r="CT18" t="s">
        <v>417</v>
      </c>
      <c r="CU18" t="s">
        <v>418</v>
      </c>
      <c r="CV18" t="s">
        <v>419</v>
      </c>
      <c r="CW18" t="s">
        <v>420</v>
      </c>
      <c r="CX18" t="s">
        <v>421</v>
      </c>
      <c r="CY18" t="s">
        <v>422</v>
      </c>
      <c r="CZ18" t="s">
        <v>423</v>
      </c>
      <c r="DA18" t="s">
        <v>424</v>
      </c>
      <c r="DB18" t="s">
        <v>387</v>
      </c>
      <c r="DC18" t="s">
        <v>378</v>
      </c>
      <c r="DD18" t="s">
        <v>225</v>
      </c>
      <c r="DE18" t="s">
        <v>226</v>
      </c>
      <c r="DF18" t="s">
        <v>178</v>
      </c>
      <c r="DG18" t="s">
        <v>227</v>
      </c>
      <c r="DH18" t="s">
        <v>228</v>
      </c>
      <c r="DI18" t="s">
        <v>178</v>
      </c>
      <c r="DJ18" t="s">
        <v>229</v>
      </c>
      <c r="DK18" t="s">
        <v>230</v>
      </c>
      <c r="DL18" t="s">
        <v>231</v>
      </c>
      <c r="DM18" t="s">
        <v>172</v>
      </c>
      <c r="DN18" t="s">
        <v>386</v>
      </c>
      <c r="DO18" t="s">
        <v>232</v>
      </c>
      <c r="DP18" t="s">
        <v>233</v>
      </c>
      <c r="DQ18" t="s">
        <v>234</v>
      </c>
      <c r="DR18" t="s">
        <v>235</v>
      </c>
      <c r="DS18" t="s">
        <v>236</v>
      </c>
      <c r="DT18" t="s">
        <v>237</v>
      </c>
    </row>
    <row r="19" spans="1:124" x14ac:dyDescent="0.7">
      <c r="A19" t="s">
        <v>272</v>
      </c>
      <c r="B19" t="s">
        <v>425</v>
      </c>
      <c r="C19" t="s">
        <v>162</v>
      </c>
      <c r="D19" t="s">
        <v>163</v>
      </c>
      <c r="E19" t="s">
        <v>164</v>
      </c>
      <c r="F19" t="s">
        <v>138</v>
      </c>
      <c r="G19" t="s">
        <v>1473</v>
      </c>
      <c r="H19" t="s">
        <v>1476</v>
      </c>
      <c r="I19" s="4" t="s">
        <v>426</v>
      </c>
      <c r="J19">
        <v>0.28259534829854099</v>
      </c>
      <c r="K19">
        <v>2.9034264800000003</v>
      </c>
      <c r="L19">
        <v>0.25752956558147089</v>
      </c>
      <c r="M19">
        <v>3.6726408949025919</v>
      </c>
      <c r="N19" t="s">
        <v>427</v>
      </c>
      <c r="O19" t="s">
        <v>428</v>
      </c>
      <c r="P19">
        <v>2.587878245508346</v>
      </c>
      <c r="Q19">
        <v>1.4271872455083461</v>
      </c>
      <c r="R19" t="s">
        <v>429</v>
      </c>
      <c r="S19" t="s">
        <v>430</v>
      </c>
      <c r="T19">
        <v>25.383798386545816</v>
      </c>
      <c r="U19">
        <v>0.4417875</v>
      </c>
      <c r="V19" t="s">
        <v>170</v>
      </c>
      <c r="W19" t="s">
        <v>431</v>
      </c>
      <c r="X19" t="s">
        <v>172</v>
      </c>
      <c r="Y19" t="s">
        <v>172</v>
      </c>
      <c r="Z19" t="s">
        <v>172</v>
      </c>
      <c r="AA19" t="s">
        <v>432</v>
      </c>
      <c r="AB19" t="s">
        <v>433</v>
      </c>
      <c r="AC19" t="s">
        <v>434</v>
      </c>
      <c r="AD19" t="s">
        <v>176</v>
      </c>
      <c r="AE19" t="s">
        <v>177</v>
      </c>
      <c r="AF19">
        <v>65.08352592</v>
      </c>
      <c r="AG19" t="s">
        <v>178</v>
      </c>
      <c r="AH19" t="s">
        <v>435</v>
      </c>
      <c r="AI19" t="s">
        <v>436</v>
      </c>
      <c r="AJ19" t="s">
        <v>392</v>
      </c>
      <c r="AK19" t="s">
        <v>437</v>
      </c>
      <c r="AL19">
        <v>21.59</v>
      </c>
      <c r="AM19" t="s">
        <v>394</v>
      </c>
      <c r="AN19" t="s">
        <v>255</v>
      </c>
      <c r="AO19" t="s">
        <v>438</v>
      </c>
      <c r="AP19" t="s">
        <v>439</v>
      </c>
      <c r="AQ19" t="s">
        <v>440</v>
      </c>
      <c r="AR19" t="s">
        <v>352</v>
      </c>
      <c r="AS19" t="s">
        <v>441</v>
      </c>
      <c r="AT19" t="s">
        <v>442</v>
      </c>
      <c r="AU19" t="s">
        <v>443</v>
      </c>
      <c r="AV19" t="s">
        <v>444</v>
      </c>
      <c r="AW19" t="s">
        <v>215</v>
      </c>
      <c r="AX19" t="s">
        <v>445</v>
      </c>
      <c r="AY19" t="s">
        <v>446</v>
      </c>
      <c r="AZ19" t="s">
        <v>265</v>
      </c>
      <c r="BA19" t="s">
        <v>406</v>
      </c>
      <c r="BB19" t="s">
        <v>407</v>
      </c>
      <c r="BC19" t="s">
        <v>447</v>
      </c>
      <c r="BD19" t="s">
        <v>162</v>
      </c>
      <c r="BE19" t="s">
        <v>448</v>
      </c>
      <c r="BF19" t="s">
        <v>363</v>
      </c>
      <c r="BG19" t="s">
        <v>449</v>
      </c>
      <c r="BH19" t="s">
        <v>450</v>
      </c>
      <c r="BI19" t="s">
        <v>451</v>
      </c>
      <c r="BJ19" t="s">
        <v>198</v>
      </c>
      <c r="BK19" t="s">
        <v>162</v>
      </c>
      <c r="BL19" t="s">
        <v>199</v>
      </c>
      <c r="BM19" t="s">
        <v>160</v>
      </c>
      <c r="BN19" t="s">
        <v>321</v>
      </c>
      <c r="BO19" t="s">
        <v>321</v>
      </c>
      <c r="BP19" t="s">
        <v>452</v>
      </c>
      <c r="BQ19" t="s">
        <v>453</v>
      </c>
      <c r="BR19" t="s">
        <v>454</v>
      </c>
      <c r="BS19" t="s">
        <v>455</v>
      </c>
      <c r="BT19" t="s">
        <v>160</v>
      </c>
      <c r="BU19" t="s">
        <v>205</v>
      </c>
      <c r="BV19" t="s">
        <v>200</v>
      </c>
      <c r="BW19" t="s">
        <v>206</v>
      </c>
      <c r="BX19" t="s">
        <v>207</v>
      </c>
      <c r="BY19" t="s">
        <v>172</v>
      </c>
      <c r="BZ19" t="s">
        <v>208</v>
      </c>
      <c r="CA19" t="s">
        <v>172</v>
      </c>
      <c r="CB19" t="s">
        <v>172</v>
      </c>
      <c r="CC19" t="s">
        <v>209</v>
      </c>
      <c r="CD19" t="s">
        <v>210</v>
      </c>
      <c r="CE19" t="s">
        <v>197</v>
      </c>
      <c r="CF19" t="s">
        <v>211</v>
      </c>
      <c r="CG19" t="s">
        <v>212</v>
      </c>
      <c r="CH19" t="s">
        <v>213</v>
      </c>
      <c r="CI19" t="s">
        <v>178</v>
      </c>
      <c r="CJ19" t="s">
        <v>206</v>
      </c>
      <c r="CK19" t="s">
        <v>214</v>
      </c>
      <c r="CL19" t="s">
        <v>214</v>
      </c>
      <c r="CM19" t="s">
        <v>214</v>
      </c>
      <c r="CN19" t="s">
        <v>172</v>
      </c>
      <c r="CO19" t="s">
        <v>215</v>
      </c>
      <c r="CP19" t="s">
        <v>172</v>
      </c>
      <c r="CQ19" t="s">
        <v>172</v>
      </c>
      <c r="CR19" t="s">
        <v>172</v>
      </c>
      <c r="CS19" t="s">
        <v>172</v>
      </c>
      <c r="CT19" t="s">
        <v>456</v>
      </c>
      <c r="CU19" t="s">
        <v>457</v>
      </c>
      <c r="CV19" t="s">
        <v>458</v>
      </c>
      <c r="CW19" t="s">
        <v>459</v>
      </c>
      <c r="CX19" t="s">
        <v>460</v>
      </c>
      <c r="CY19" t="s">
        <v>461</v>
      </c>
      <c r="CZ19" t="s">
        <v>462</v>
      </c>
      <c r="DA19" t="s">
        <v>463</v>
      </c>
      <c r="DB19" t="s">
        <v>432</v>
      </c>
      <c r="DC19" t="s">
        <v>224</v>
      </c>
      <c r="DD19" t="s">
        <v>225</v>
      </c>
      <c r="DE19" t="s">
        <v>226</v>
      </c>
      <c r="DF19" t="s">
        <v>178</v>
      </c>
      <c r="DG19" t="s">
        <v>227</v>
      </c>
      <c r="DH19" t="s">
        <v>228</v>
      </c>
      <c r="DI19" t="s">
        <v>178</v>
      </c>
      <c r="DJ19" t="s">
        <v>229</v>
      </c>
      <c r="DK19" t="s">
        <v>230</v>
      </c>
      <c r="DL19" t="s">
        <v>231</v>
      </c>
      <c r="DM19" t="s">
        <v>172</v>
      </c>
      <c r="DN19" t="s">
        <v>431</v>
      </c>
      <c r="DO19" t="s">
        <v>232</v>
      </c>
      <c r="DP19" t="s">
        <v>233</v>
      </c>
      <c r="DQ19" t="s">
        <v>234</v>
      </c>
      <c r="DR19" t="s">
        <v>235</v>
      </c>
      <c r="DS19" t="s">
        <v>236</v>
      </c>
      <c r="DT19" t="s">
        <v>237</v>
      </c>
    </row>
    <row r="20" spans="1:124" x14ac:dyDescent="0.7">
      <c r="A20" t="s">
        <v>710</v>
      </c>
      <c r="B20" t="s">
        <v>711</v>
      </c>
      <c r="C20" t="s">
        <v>162</v>
      </c>
      <c r="D20" t="s">
        <v>163</v>
      </c>
      <c r="E20" t="s">
        <v>164</v>
      </c>
      <c r="F20" t="s">
        <v>138</v>
      </c>
      <c r="G20" t="s">
        <v>1473</v>
      </c>
      <c r="H20" t="s">
        <v>1476</v>
      </c>
      <c r="I20" s="4" t="s">
        <v>712</v>
      </c>
      <c r="J20">
        <v>0.36744906861708548</v>
      </c>
      <c r="K20">
        <v>2.9042299199999997</v>
      </c>
      <c r="L20">
        <v>0.32618009984070956</v>
      </c>
      <c r="M20">
        <v>5.0991190492232397</v>
      </c>
      <c r="N20" t="s">
        <v>713</v>
      </c>
      <c r="O20" t="s">
        <v>714</v>
      </c>
      <c r="P20">
        <v>2.7172813123298374</v>
      </c>
      <c r="Q20">
        <v>1.5636163123298374</v>
      </c>
      <c r="R20" t="s">
        <v>715</v>
      </c>
      <c r="S20" t="s">
        <v>716</v>
      </c>
      <c r="T20">
        <v>26.650464028342853</v>
      </c>
      <c r="U20">
        <v>0.4417875</v>
      </c>
      <c r="V20" t="s">
        <v>170</v>
      </c>
      <c r="W20" t="s">
        <v>717</v>
      </c>
      <c r="X20" t="s">
        <v>172</v>
      </c>
      <c r="Y20" t="s">
        <v>172</v>
      </c>
      <c r="Z20" t="s">
        <v>172</v>
      </c>
      <c r="AA20" t="s">
        <v>718</v>
      </c>
      <c r="AB20" t="s">
        <v>719</v>
      </c>
      <c r="AC20" t="s">
        <v>720</v>
      </c>
      <c r="AD20" t="s">
        <v>176</v>
      </c>
      <c r="AE20" t="s">
        <v>177</v>
      </c>
      <c r="AF20">
        <v>122.14548191999998</v>
      </c>
      <c r="AG20" t="s">
        <v>178</v>
      </c>
      <c r="AH20" t="s">
        <v>721</v>
      </c>
      <c r="AI20" t="s">
        <v>722</v>
      </c>
      <c r="AJ20" t="s">
        <v>723</v>
      </c>
      <c r="AK20" t="s">
        <v>724</v>
      </c>
      <c r="AL20">
        <v>22.39</v>
      </c>
      <c r="AM20" t="s">
        <v>478</v>
      </c>
      <c r="AN20" t="s">
        <v>254</v>
      </c>
      <c r="AO20" t="s">
        <v>184</v>
      </c>
      <c r="AP20" t="s">
        <v>725</v>
      </c>
      <c r="AQ20" t="s">
        <v>726</v>
      </c>
      <c r="AR20" t="s">
        <v>727</v>
      </c>
      <c r="AS20" t="s">
        <v>608</v>
      </c>
      <c r="AT20" t="s">
        <v>160</v>
      </c>
      <c r="AU20" t="s">
        <v>728</v>
      </c>
      <c r="AV20" t="s">
        <v>729</v>
      </c>
      <c r="AW20" t="s">
        <v>730</v>
      </c>
      <c r="AX20" t="s">
        <v>731</v>
      </c>
      <c r="AY20" t="s">
        <v>732</v>
      </c>
      <c r="AZ20" t="s">
        <v>265</v>
      </c>
      <c r="BA20" t="s">
        <v>733</v>
      </c>
      <c r="BB20" t="s">
        <v>734</v>
      </c>
      <c r="BC20" t="s">
        <v>735</v>
      </c>
      <c r="BD20" t="s">
        <v>162</v>
      </c>
      <c r="BE20" t="s">
        <v>577</v>
      </c>
      <c r="BF20" t="s">
        <v>363</v>
      </c>
      <c r="BG20" t="s">
        <v>736</v>
      </c>
      <c r="BH20" t="s">
        <v>629</v>
      </c>
      <c r="BI20" t="s">
        <v>737</v>
      </c>
      <c r="BJ20" t="s">
        <v>198</v>
      </c>
      <c r="BK20" t="s">
        <v>162</v>
      </c>
      <c r="BL20" t="s">
        <v>199</v>
      </c>
      <c r="BM20" t="s">
        <v>160</v>
      </c>
      <c r="BN20" t="s">
        <v>494</v>
      </c>
      <c r="BO20" t="s">
        <v>200</v>
      </c>
      <c r="BP20" t="s">
        <v>452</v>
      </c>
      <c r="BQ20" t="s">
        <v>738</v>
      </c>
      <c r="BR20" t="s">
        <v>739</v>
      </c>
      <c r="BS20" t="s">
        <v>740</v>
      </c>
      <c r="BT20" t="s">
        <v>160</v>
      </c>
      <c r="BU20" t="s">
        <v>205</v>
      </c>
      <c r="BV20" t="s">
        <v>200</v>
      </c>
      <c r="BW20" t="s">
        <v>206</v>
      </c>
      <c r="BX20" t="s">
        <v>207</v>
      </c>
      <c r="BY20" t="s">
        <v>172</v>
      </c>
      <c r="BZ20" t="s">
        <v>208</v>
      </c>
      <c r="CA20" t="s">
        <v>172</v>
      </c>
      <c r="CB20" t="s">
        <v>172</v>
      </c>
      <c r="CC20" t="s">
        <v>209</v>
      </c>
      <c r="CD20" t="s">
        <v>210</v>
      </c>
      <c r="CE20" t="s">
        <v>197</v>
      </c>
      <c r="CF20" t="s">
        <v>211</v>
      </c>
      <c r="CG20" t="s">
        <v>212</v>
      </c>
      <c r="CH20" t="s">
        <v>213</v>
      </c>
      <c r="CI20" t="s">
        <v>178</v>
      </c>
      <c r="CJ20" t="s">
        <v>206</v>
      </c>
      <c r="CK20" t="s">
        <v>214</v>
      </c>
      <c r="CL20" t="s">
        <v>214</v>
      </c>
      <c r="CM20" t="s">
        <v>214</v>
      </c>
      <c r="CN20" t="s">
        <v>172</v>
      </c>
      <c r="CO20" t="s">
        <v>215</v>
      </c>
      <c r="CP20" t="s">
        <v>172</v>
      </c>
      <c r="CQ20" t="s">
        <v>172</v>
      </c>
      <c r="CR20" t="s">
        <v>172</v>
      </c>
      <c r="CS20" t="s">
        <v>172</v>
      </c>
      <c r="CT20" t="s">
        <v>741</v>
      </c>
      <c r="CU20" t="s">
        <v>742</v>
      </c>
      <c r="CV20" t="s">
        <v>743</v>
      </c>
      <c r="CW20" t="s">
        <v>744</v>
      </c>
      <c r="CX20" t="s">
        <v>745</v>
      </c>
      <c r="CY20" t="s">
        <v>746</v>
      </c>
      <c r="CZ20" t="s">
        <v>747</v>
      </c>
      <c r="DA20" t="s">
        <v>748</v>
      </c>
      <c r="DB20" t="s">
        <v>718</v>
      </c>
      <c r="DC20" t="s">
        <v>749</v>
      </c>
      <c r="DD20" t="s">
        <v>225</v>
      </c>
      <c r="DE20" t="s">
        <v>226</v>
      </c>
      <c r="DF20" t="s">
        <v>178</v>
      </c>
      <c r="DG20" t="s">
        <v>227</v>
      </c>
      <c r="DH20" t="s">
        <v>228</v>
      </c>
      <c r="DI20" t="s">
        <v>178</v>
      </c>
      <c r="DJ20" t="s">
        <v>229</v>
      </c>
      <c r="DK20" t="s">
        <v>230</v>
      </c>
      <c r="DL20" t="s">
        <v>231</v>
      </c>
      <c r="DM20" t="s">
        <v>172</v>
      </c>
      <c r="DN20" t="s">
        <v>717</v>
      </c>
      <c r="DO20" t="s">
        <v>232</v>
      </c>
      <c r="DP20" t="s">
        <v>233</v>
      </c>
      <c r="DQ20" t="s">
        <v>234</v>
      </c>
      <c r="DR20" t="s">
        <v>235</v>
      </c>
      <c r="DS20" t="s">
        <v>236</v>
      </c>
      <c r="DT20" t="s">
        <v>237</v>
      </c>
    </row>
    <row r="21" spans="1:124" x14ac:dyDescent="0.7">
      <c r="A21" t="s">
        <v>750</v>
      </c>
      <c r="B21" t="s">
        <v>751</v>
      </c>
      <c r="C21" t="s">
        <v>162</v>
      </c>
      <c r="D21" t="s">
        <v>163</v>
      </c>
      <c r="E21" t="s">
        <v>164</v>
      </c>
      <c r="F21" t="s">
        <v>138</v>
      </c>
      <c r="G21" t="s">
        <v>1473</v>
      </c>
      <c r="H21" t="s">
        <v>1476</v>
      </c>
      <c r="I21" s="4" t="s">
        <v>752</v>
      </c>
      <c r="J21">
        <v>0.36648335550323324</v>
      </c>
      <c r="K21">
        <v>2.9066320800000001</v>
      </c>
      <c r="L21">
        <v>0.32544904048822998</v>
      </c>
      <c r="M21">
        <v>5.9255219001983361</v>
      </c>
      <c r="N21" t="s">
        <v>753</v>
      </c>
      <c r="O21" t="s">
        <v>754</v>
      </c>
      <c r="P21">
        <v>3.0130125911605981</v>
      </c>
      <c r="Q21">
        <v>1.8180565911605981</v>
      </c>
      <c r="R21" t="s">
        <v>755</v>
      </c>
      <c r="S21" t="s">
        <v>756</v>
      </c>
      <c r="T21">
        <v>29.550927728134546</v>
      </c>
      <c r="U21">
        <v>0.4417875</v>
      </c>
      <c r="V21" t="s">
        <v>170</v>
      </c>
      <c r="W21" t="s">
        <v>757</v>
      </c>
      <c r="X21" t="s">
        <v>172</v>
      </c>
      <c r="Y21" t="s">
        <v>172</v>
      </c>
      <c r="Z21" t="s">
        <v>172</v>
      </c>
      <c r="AA21" t="s">
        <v>758</v>
      </c>
      <c r="AB21" t="s">
        <v>759</v>
      </c>
      <c r="AC21" t="s">
        <v>760</v>
      </c>
      <c r="AD21" t="s">
        <v>176</v>
      </c>
      <c r="AE21" t="s">
        <v>177</v>
      </c>
      <c r="AF21">
        <v>184.99538147999999</v>
      </c>
      <c r="AG21" t="s">
        <v>178</v>
      </c>
      <c r="AH21" t="s">
        <v>761</v>
      </c>
      <c r="AI21" t="s">
        <v>250</v>
      </c>
      <c r="AJ21" t="s">
        <v>762</v>
      </c>
      <c r="AK21" t="s">
        <v>763</v>
      </c>
      <c r="AL21">
        <v>24.1</v>
      </c>
      <c r="AM21" t="s">
        <v>478</v>
      </c>
      <c r="AN21" t="s">
        <v>184</v>
      </c>
      <c r="AO21" t="s">
        <v>563</v>
      </c>
      <c r="AP21" t="s">
        <v>764</v>
      </c>
      <c r="AQ21" t="s">
        <v>765</v>
      </c>
      <c r="AR21" t="s">
        <v>766</v>
      </c>
      <c r="AS21" t="s">
        <v>307</v>
      </c>
      <c r="AT21" t="s">
        <v>379</v>
      </c>
      <c r="AU21" t="s">
        <v>767</v>
      </c>
      <c r="AV21" t="s">
        <v>768</v>
      </c>
      <c r="AW21" t="s">
        <v>769</v>
      </c>
      <c r="AX21" t="s">
        <v>770</v>
      </c>
      <c r="AY21" t="s">
        <v>771</v>
      </c>
      <c r="AZ21" t="s">
        <v>265</v>
      </c>
      <c r="BA21" t="s">
        <v>733</v>
      </c>
      <c r="BB21" t="s">
        <v>734</v>
      </c>
      <c r="BC21" t="s">
        <v>772</v>
      </c>
      <c r="BD21" t="s">
        <v>162</v>
      </c>
      <c r="BE21" t="s">
        <v>773</v>
      </c>
      <c r="BF21" t="s">
        <v>363</v>
      </c>
      <c r="BG21" t="s">
        <v>364</v>
      </c>
      <c r="BH21" t="s">
        <v>629</v>
      </c>
      <c r="BI21" t="s">
        <v>737</v>
      </c>
      <c r="BJ21" t="s">
        <v>198</v>
      </c>
      <c r="BK21" t="s">
        <v>162</v>
      </c>
      <c r="BL21" t="s">
        <v>199</v>
      </c>
      <c r="BM21" t="s">
        <v>160</v>
      </c>
      <c r="BN21" t="s">
        <v>494</v>
      </c>
      <c r="BO21" t="s">
        <v>494</v>
      </c>
      <c r="BP21" t="s">
        <v>452</v>
      </c>
      <c r="BQ21" t="s">
        <v>774</v>
      </c>
      <c r="BR21" t="s">
        <v>775</v>
      </c>
      <c r="BS21" t="s">
        <v>776</v>
      </c>
      <c r="BT21" t="s">
        <v>160</v>
      </c>
      <c r="BU21" t="s">
        <v>205</v>
      </c>
      <c r="BV21" t="s">
        <v>200</v>
      </c>
      <c r="BW21" t="s">
        <v>206</v>
      </c>
      <c r="BX21" t="s">
        <v>207</v>
      </c>
      <c r="BY21" t="s">
        <v>172</v>
      </c>
      <c r="BZ21" t="s">
        <v>208</v>
      </c>
      <c r="CA21" t="s">
        <v>172</v>
      </c>
      <c r="CB21" t="s">
        <v>172</v>
      </c>
      <c r="CC21" t="s">
        <v>209</v>
      </c>
      <c r="CD21" t="s">
        <v>210</v>
      </c>
      <c r="CE21" t="s">
        <v>197</v>
      </c>
      <c r="CF21" t="s">
        <v>211</v>
      </c>
      <c r="CG21" t="s">
        <v>212</v>
      </c>
      <c r="CH21" t="s">
        <v>213</v>
      </c>
      <c r="CI21" t="s">
        <v>178</v>
      </c>
      <c r="CJ21" t="s">
        <v>206</v>
      </c>
      <c r="CK21" t="s">
        <v>214</v>
      </c>
      <c r="CL21" t="s">
        <v>214</v>
      </c>
      <c r="CM21" t="s">
        <v>214</v>
      </c>
      <c r="CN21" t="s">
        <v>172</v>
      </c>
      <c r="CO21" t="s">
        <v>215</v>
      </c>
      <c r="CP21" t="s">
        <v>172</v>
      </c>
      <c r="CQ21" t="s">
        <v>172</v>
      </c>
      <c r="CR21" t="s">
        <v>172</v>
      </c>
      <c r="CS21" t="s">
        <v>172</v>
      </c>
      <c r="CT21" t="s">
        <v>777</v>
      </c>
      <c r="CU21" t="s">
        <v>778</v>
      </c>
      <c r="CV21" t="s">
        <v>779</v>
      </c>
      <c r="CW21" t="s">
        <v>780</v>
      </c>
      <c r="CX21" t="s">
        <v>781</v>
      </c>
      <c r="CY21" t="s">
        <v>782</v>
      </c>
      <c r="CZ21" t="s">
        <v>783</v>
      </c>
      <c r="DA21" t="s">
        <v>784</v>
      </c>
      <c r="DB21" t="s">
        <v>758</v>
      </c>
      <c r="DC21" t="s">
        <v>224</v>
      </c>
      <c r="DD21" t="s">
        <v>225</v>
      </c>
      <c r="DE21" t="s">
        <v>226</v>
      </c>
      <c r="DF21" t="s">
        <v>178</v>
      </c>
      <c r="DG21" t="s">
        <v>227</v>
      </c>
      <c r="DH21" t="s">
        <v>228</v>
      </c>
      <c r="DI21" t="s">
        <v>178</v>
      </c>
      <c r="DJ21" t="s">
        <v>229</v>
      </c>
      <c r="DK21" t="s">
        <v>230</v>
      </c>
      <c r="DL21" t="s">
        <v>231</v>
      </c>
      <c r="DM21" t="s">
        <v>172</v>
      </c>
      <c r="DN21" t="s">
        <v>757</v>
      </c>
      <c r="DO21" t="s">
        <v>232</v>
      </c>
      <c r="DP21" t="s">
        <v>233</v>
      </c>
      <c r="DQ21" t="s">
        <v>234</v>
      </c>
      <c r="DR21" t="s">
        <v>235</v>
      </c>
      <c r="DS21" t="s">
        <v>236</v>
      </c>
      <c r="DT21" t="s">
        <v>237</v>
      </c>
    </row>
    <row r="22" spans="1:124" x14ac:dyDescent="0.7">
      <c r="A22" t="s">
        <v>1021</v>
      </c>
      <c r="B22" t="s">
        <v>1022</v>
      </c>
      <c r="C22" t="s">
        <v>162</v>
      </c>
      <c r="D22" t="s">
        <v>163</v>
      </c>
      <c r="E22" t="s">
        <v>164</v>
      </c>
      <c r="F22" t="s">
        <v>138</v>
      </c>
      <c r="G22" t="s">
        <v>1473</v>
      </c>
      <c r="H22" t="s">
        <v>1476</v>
      </c>
      <c r="I22" s="4" t="s">
        <v>1023</v>
      </c>
      <c r="J22">
        <v>0.43962150375750325</v>
      </c>
      <c r="K22">
        <v>2.9042299199999997</v>
      </c>
      <c r="L22">
        <v>0.3818237603551265</v>
      </c>
      <c r="M22">
        <v>6.3292548114993279</v>
      </c>
      <c r="N22" t="s">
        <v>1024</v>
      </c>
      <c r="O22" t="s">
        <v>1025</v>
      </c>
      <c r="P22">
        <v>2.9096994926085902</v>
      </c>
      <c r="Q22">
        <v>1.6558304926085903</v>
      </c>
      <c r="R22" t="s">
        <v>1026</v>
      </c>
      <c r="S22" t="s">
        <v>1027</v>
      </c>
      <c r="T22">
        <v>28.534858219168289</v>
      </c>
      <c r="U22">
        <v>0.4417875</v>
      </c>
      <c r="V22" t="s">
        <v>170</v>
      </c>
      <c r="W22" t="s">
        <v>1028</v>
      </c>
      <c r="X22" t="s">
        <v>172</v>
      </c>
      <c r="Y22" t="s">
        <v>172</v>
      </c>
      <c r="Z22" t="s">
        <v>172</v>
      </c>
      <c r="AA22" t="s">
        <v>1029</v>
      </c>
      <c r="AB22" t="s">
        <v>1030</v>
      </c>
      <c r="AC22" t="s">
        <v>1031</v>
      </c>
      <c r="AD22" t="s">
        <v>176</v>
      </c>
      <c r="AE22" t="s">
        <v>177</v>
      </c>
      <c r="AF22">
        <v>120.36066881999999</v>
      </c>
      <c r="AG22" t="s">
        <v>178</v>
      </c>
      <c r="AH22" t="s">
        <v>1032</v>
      </c>
      <c r="AI22" t="s">
        <v>1033</v>
      </c>
      <c r="AJ22" t="s">
        <v>1034</v>
      </c>
      <c r="AK22" t="s">
        <v>1035</v>
      </c>
      <c r="AL22">
        <v>23.52</v>
      </c>
      <c r="AM22" t="s">
        <v>800</v>
      </c>
      <c r="AN22" t="s">
        <v>254</v>
      </c>
      <c r="AO22" t="s">
        <v>684</v>
      </c>
      <c r="AP22" t="s">
        <v>439</v>
      </c>
      <c r="AQ22" t="s">
        <v>1036</v>
      </c>
      <c r="AR22" t="s">
        <v>997</v>
      </c>
      <c r="AS22" t="s">
        <v>483</v>
      </c>
      <c r="AT22" t="s">
        <v>939</v>
      </c>
      <c r="AU22" t="s">
        <v>1037</v>
      </c>
      <c r="AV22" t="s">
        <v>1038</v>
      </c>
      <c r="AW22" t="s">
        <v>1039</v>
      </c>
      <c r="AX22" t="s">
        <v>1040</v>
      </c>
      <c r="AY22" t="s">
        <v>1041</v>
      </c>
      <c r="AZ22" t="s">
        <v>265</v>
      </c>
      <c r="BA22" t="s">
        <v>1042</v>
      </c>
      <c r="BB22" t="s">
        <v>1043</v>
      </c>
      <c r="BC22" t="s">
        <v>1044</v>
      </c>
      <c r="BD22" t="s">
        <v>162</v>
      </c>
      <c r="BE22" t="s">
        <v>532</v>
      </c>
      <c r="BF22" t="s">
        <v>492</v>
      </c>
      <c r="BG22" t="s">
        <v>1045</v>
      </c>
      <c r="BH22" t="s">
        <v>750</v>
      </c>
      <c r="BI22" t="s">
        <v>1006</v>
      </c>
      <c r="BJ22" t="s">
        <v>1007</v>
      </c>
      <c r="BK22" t="s">
        <v>162</v>
      </c>
      <c r="BL22" t="s">
        <v>1008</v>
      </c>
      <c r="BM22" t="s">
        <v>160</v>
      </c>
      <c r="BN22" t="s">
        <v>201</v>
      </c>
      <c r="BO22" t="s">
        <v>200</v>
      </c>
      <c r="BP22" t="s">
        <v>201</v>
      </c>
      <c r="BQ22" t="s">
        <v>1046</v>
      </c>
      <c r="BR22" t="s">
        <v>1047</v>
      </c>
      <c r="BS22" t="s">
        <v>1048</v>
      </c>
      <c r="BT22" t="s">
        <v>160</v>
      </c>
      <c r="BU22" t="s">
        <v>205</v>
      </c>
      <c r="BV22" t="s">
        <v>200</v>
      </c>
      <c r="BW22" t="s">
        <v>206</v>
      </c>
      <c r="BX22" t="s">
        <v>207</v>
      </c>
      <c r="BY22" t="s">
        <v>172</v>
      </c>
      <c r="BZ22" t="s">
        <v>208</v>
      </c>
      <c r="CA22" t="s">
        <v>172</v>
      </c>
      <c r="CB22" t="s">
        <v>172</v>
      </c>
      <c r="CC22" t="s">
        <v>209</v>
      </c>
      <c r="CD22" t="s">
        <v>210</v>
      </c>
      <c r="CE22" t="s">
        <v>197</v>
      </c>
      <c r="CF22" t="s">
        <v>211</v>
      </c>
      <c r="CG22" t="s">
        <v>212</v>
      </c>
      <c r="CH22" t="s">
        <v>213</v>
      </c>
      <c r="CI22" t="s">
        <v>178</v>
      </c>
      <c r="CJ22" t="s">
        <v>206</v>
      </c>
      <c r="CK22" t="s">
        <v>214</v>
      </c>
      <c r="CL22" t="s">
        <v>214</v>
      </c>
      <c r="CM22" t="s">
        <v>214</v>
      </c>
      <c r="CN22" t="s">
        <v>172</v>
      </c>
      <c r="CO22" t="s">
        <v>215</v>
      </c>
      <c r="CP22" t="s">
        <v>172</v>
      </c>
      <c r="CQ22" t="s">
        <v>172</v>
      </c>
      <c r="CR22" t="s">
        <v>172</v>
      </c>
      <c r="CS22" t="s">
        <v>172</v>
      </c>
      <c r="CT22" t="s">
        <v>1049</v>
      </c>
      <c r="CU22" t="s">
        <v>1050</v>
      </c>
      <c r="CV22" t="s">
        <v>1051</v>
      </c>
      <c r="CW22" t="s">
        <v>1052</v>
      </c>
      <c r="CX22" t="s">
        <v>1053</v>
      </c>
      <c r="CY22" t="s">
        <v>1054</v>
      </c>
      <c r="CZ22" t="s">
        <v>1055</v>
      </c>
      <c r="DA22" t="s">
        <v>1056</v>
      </c>
      <c r="DB22" t="s">
        <v>1029</v>
      </c>
      <c r="DC22" t="s">
        <v>1057</v>
      </c>
      <c r="DD22" t="s">
        <v>225</v>
      </c>
      <c r="DE22" t="s">
        <v>226</v>
      </c>
      <c r="DF22" t="s">
        <v>178</v>
      </c>
      <c r="DG22" t="s">
        <v>227</v>
      </c>
      <c r="DH22" t="s">
        <v>228</v>
      </c>
      <c r="DI22" t="s">
        <v>178</v>
      </c>
      <c r="DJ22" t="s">
        <v>229</v>
      </c>
      <c r="DK22" t="s">
        <v>230</v>
      </c>
      <c r="DL22" t="s">
        <v>231</v>
      </c>
      <c r="DM22" t="s">
        <v>172</v>
      </c>
      <c r="DN22" t="s">
        <v>1028</v>
      </c>
      <c r="DO22" t="s">
        <v>232</v>
      </c>
      <c r="DP22" t="s">
        <v>233</v>
      </c>
      <c r="DQ22" t="s">
        <v>234</v>
      </c>
      <c r="DR22" t="s">
        <v>235</v>
      </c>
      <c r="DS22" t="s">
        <v>236</v>
      </c>
      <c r="DT22" t="s">
        <v>237</v>
      </c>
    </row>
    <row r="23" spans="1:124" x14ac:dyDescent="0.7">
      <c r="A23" t="s">
        <v>998</v>
      </c>
      <c r="B23" t="s">
        <v>1058</v>
      </c>
      <c r="C23" t="s">
        <v>162</v>
      </c>
      <c r="D23" t="s">
        <v>163</v>
      </c>
      <c r="E23" t="s">
        <v>164</v>
      </c>
      <c r="F23" t="s">
        <v>138</v>
      </c>
      <c r="G23" t="s">
        <v>1473</v>
      </c>
      <c r="H23" t="s">
        <v>1476</v>
      </c>
      <c r="I23" s="4" t="s">
        <v>1059</v>
      </c>
      <c r="J23">
        <v>0.37470198092282264</v>
      </c>
      <c r="K23">
        <v>2.9050319999999994</v>
      </c>
      <c r="L23">
        <v>0.33189315090058336</v>
      </c>
      <c r="M23">
        <v>5.4060569477773495</v>
      </c>
      <c r="N23" t="s">
        <v>1060</v>
      </c>
      <c r="O23" t="s">
        <v>1061</v>
      </c>
      <c r="P23">
        <v>2.8385497779223861</v>
      </c>
      <c r="Q23">
        <v>1.627983777922386</v>
      </c>
      <c r="R23" t="s">
        <v>1062</v>
      </c>
      <c r="S23" t="s">
        <v>1063</v>
      </c>
      <c r="T23">
        <v>27.837106775741749</v>
      </c>
      <c r="U23">
        <v>0.4417875</v>
      </c>
      <c r="V23" t="s">
        <v>170</v>
      </c>
      <c r="W23" t="s">
        <v>1064</v>
      </c>
      <c r="X23" t="s">
        <v>172</v>
      </c>
      <c r="Y23" t="s">
        <v>172</v>
      </c>
      <c r="Z23" t="s">
        <v>172</v>
      </c>
      <c r="AA23" t="s">
        <v>1065</v>
      </c>
      <c r="AB23" t="s">
        <v>1066</v>
      </c>
      <c r="AC23" t="s">
        <v>1067</v>
      </c>
      <c r="AD23" t="s">
        <v>176</v>
      </c>
      <c r="AE23" t="s">
        <v>177</v>
      </c>
      <c r="AF23">
        <v>170.68455600000001</v>
      </c>
      <c r="AG23" t="s">
        <v>178</v>
      </c>
      <c r="AH23" t="s">
        <v>1068</v>
      </c>
      <c r="AI23" t="s">
        <v>1069</v>
      </c>
      <c r="AJ23" t="s">
        <v>1070</v>
      </c>
      <c r="AK23" t="s">
        <v>1071</v>
      </c>
      <c r="AL23">
        <v>23.11</v>
      </c>
      <c r="AM23" t="s">
        <v>800</v>
      </c>
      <c r="AN23" t="s">
        <v>302</v>
      </c>
      <c r="AO23" t="s">
        <v>520</v>
      </c>
      <c r="AP23" t="s">
        <v>605</v>
      </c>
      <c r="AQ23" t="s">
        <v>1072</v>
      </c>
      <c r="AR23" t="s">
        <v>1073</v>
      </c>
      <c r="AS23" t="s">
        <v>568</v>
      </c>
      <c r="AT23" t="s">
        <v>879</v>
      </c>
      <c r="AU23" t="s">
        <v>1074</v>
      </c>
      <c r="AV23" t="s">
        <v>1075</v>
      </c>
      <c r="AW23" t="s">
        <v>1076</v>
      </c>
      <c r="AX23" t="s">
        <v>1077</v>
      </c>
      <c r="AY23" t="s">
        <v>1078</v>
      </c>
      <c r="AZ23" t="s">
        <v>265</v>
      </c>
      <c r="BA23" t="s">
        <v>1079</v>
      </c>
      <c r="BB23" t="s">
        <v>1080</v>
      </c>
      <c r="BC23" t="s">
        <v>1081</v>
      </c>
      <c r="BD23" t="s">
        <v>162</v>
      </c>
      <c r="BE23" t="s">
        <v>491</v>
      </c>
      <c r="BF23" t="s">
        <v>363</v>
      </c>
      <c r="BG23" t="s">
        <v>1082</v>
      </c>
      <c r="BH23" t="s">
        <v>785</v>
      </c>
      <c r="BI23" t="s">
        <v>1083</v>
      </c>
      <c r="BJ23" t="s">
        <v>1007</v>
      </c>
      <c r="BK23" t="s">
        <v>162</v>
      </c>
      <c r="BL23" t="s">
        <v>1008</v>
      </c>
      <c r="BM23" t="s">
        <v>160</v>
      </c>
      <c r="BN23" t="s">
        <v>366</v>
      </c>
      <c r="BO23" t="s">
        <v>494</v>
      </c>
      <c r="BP23" t="s">
        <v>366</v>
      </c>
      <c r="BQ23" t="s">
        <v>1084</v>
      </c>
      <c r="BR23" t="s">
        <v>1085</v>
      </c>
      <c r="BS23" t="s">
        <v>1086</v>
      </c>
      <c r="BT23" t="s">
        <v>160</v>
      </c>
      <c r="BU23" t="s">
        <v>205</v>
      </c>
      <c r="BV23" t="s">
        <v>200</v>
      </c>
      <c r="BW23" t="s">
        <v>206</v>
      </c>
      <c r="BX23" t="s">
        <v>207</v>
      </c>
      <c r="BY23" t="s">
        <v>172</v>
      </c>
      <c r="BZ23" t="s">
        <v>208</v>
      </c>
      <c r="CA23" t="s">
        <v>172</v>
      </c>
      <c r="CB23" t="s">
        <v>172</v>
      </c>
      <c r="CC23" t="s">
        <v>209</v>
      </c>
      <c r="CD23" t="s">
        <v>210</v>
      </c>
      <c r="CE23" t="s">
        <v>197</v>
      </c>
      <c r="CF23" t="s">
        <v>211</v>
      </c>
      <c r="CG23" t="s">
        <v>212</v>
      </c>
      <c r="CH23" t="s">
        <v>213</v>
      </c>
      <c r="CI23" t="s">
        <v>178</v>
      </c>
      <c r="CJ23" t="s">
        <v>206</v>
      </c>
      <c r="CK23" t="s">
        <v>214</v>
      </c>
      <c r="CL23" t="s">
        <v>214</v>
      </c>
      <c r="CM23" t="s">
        <v>214</v>
      </c>
      <c r="CN23" t="s">
        <v>172</v>
      </c>
      <c r="CO23" t="s">
        <v>215</v>
      </c>
      <c r="CP23" t="s">
        <v>172</v>
      </c>
      <c r="CQ23" t="s">
        <v>172</v>
      </c>
      <c r="CR23" t="s">
        <v>172</v>
      </c>
      <c r="CS23" t="s">
        <v>172</v>
      </c>
      <c r="CT23" t="s">
        <v>1087</v>
      </c>
      <c r="CU23" t="s">
        <v>1088</v>
      </c>
      <c r="CV23" t="s">
        <v>1089</v>
      </c>
      <c r="CW23" t="s">
        <v>1090</v>
      </c>
      <c r="CX23" t="s">
        <v>1091</v>
      </c>
      <c r="CY23" t="s">
        <v>1092</v>
      </c>
      <c r="CZ23" t="s">
        <v>1093</v>
      </c>
      <c r="DA23" t="s">
        <v>1094</v>
      </c>
      <c r="DB23" t="s">
        <v>1065</v>
      </c>
      <c r="DC23" t="s">
        <v>224</v>
      </c>
      <c r="DD23" t="s">
        <v>225</v>
      </c>
      <c r="DE23" t="s">
        <v>226</v>
      </c>
      <c r="DF23" t="s">
        <v>178</v>
      </c>
      <c r="DG23" t="s">
        <v>227</v>
      </c>
      <c r="DH23" t="s">
        <v>228</v>
      </c>
      <c r="DI23" t="s">
        <v>178</v>
      </c>
      <c r="DJ23" t="s">
        <v>229</v>
      </c>
      <c r="DK23" t="s">
        <v>230</v>
      </c>
      <c r="DL23" t="s">
        <v>231</v>
      </c>
      <c r="DM23" t="s">
        <v>172</v>
      </c>
      <c r="DN23" t="s">
        <v>1064</v>
      </c>
      <c r="DO23" t="s">
        <v>232</v>
      </c>
      <c r="DP23" t="s">
        <v>233</v>
      </c>
      <c r="DQ23" t="s">
        <v>234</v>
      </c>
      <c r="DR23" t="s">
        <v>235</v>
      </c>
      <c r="DS23" t="s">
        <v>236</v>
      </c>
      <c r="DT23" t="s">
        <v>237</v>
      </c>
    </row>
    <row r="24" spans="1:124" x14ac:dyDescent="0.7">
      <c r="A24" s="1">
        <v>29</v>
      </c>
      <c r="B24" t="s">
        <v>1286</v>
      </c>
      <c r="C24" t="s">
        <v>162</v>
      </c>
      <c r="D24" t="s">
        <v>163</v>
      </c>
      <c r="E24" t="s">
        <v>164</v>
      </c>
      <c r="F24" t="s">
        <v>138</v>
      </c>
      <c r="G24" t="s">
        <v>1473</v>
      </c>
      <c r="H24" t="s">
        <v>1476</v>
      </c>
      <c r="I24" s="4" t="s">
        <v>1287</v>
      </c>
      <c r="J24">
        <v>0.39510639030761346</v>
      </c>
      <c r="K24">
        <v>2.9050319999999994</v>
      </c>
      <c r="L24">
        <v>0.3478025984059166</v>
      </c>
      <c r="M24">
        <v>5.7286216853811851</v>
      </c>
      <c r="N24" t="s">
        <v>1288</v>
      </c>
      <c r="O24" t="s">
        <v>1289</v>
      </c>
      <c r="P24">
        <v>2.8402668598861958</v>
      </c>
      <c r="Q24">
        <v>1.6461248598861957</v>
      </c>
      <c r="R24" t="s">
        <v>1290</v>
      </c>
      <c r="S24" t="s">
        <v>1291</v>
      </c>
      <c r="T24">
        <v>27.856677715635502</v>
      </c>
      <c r="U24">
        <v>0.4417875</v>
      </c>
      <c r="V24" t="s">
        <v>170</v>
      </c>
      <c r="W24" t="s">
        <v>1292</v>
      </c>
      <c r="X24" t="s">
        <v>172</v>
      </c>
      <c r="Y24" t="s">
        <v>172</v>
      </c>
      <c r="Z24" t="s">
        <v>172</v>
      </c>
      <c r="AA24" t="s">
        <v>1293</v>
      </c>
      <c r="AB24" t="s">
        <v>1294</v>
      </c>
      <c r="AC24" t="s">
        <v>1295</v>
      </c>
      <c r="AD24" t="s">
        <v>176</v>
      </c>
      <c r="AE24" t="s">
        <v>177</v>
      </c>
      <c r="AF24">
        <v>160.51320432</v>
      </c>
      <c r="AG24" t="s">
        <v>178</v>
      </c>
      <c r="AH24" t="s">
        <v>1296</v>
      </c>
      <c r="AI24" t="s">
        <v>1297</v>
      </c>
      <c r="AJ24" t="s">
        <v>1298</v>
      </c>
      <c r="AK24" t="s">
        <v>1299</v>
      </c>
      <c r="AL24">
        <v>23.12</v>
      </c>
      <c r="AM24" t="s">
        <v>478</v>
      </c>
      <c r="AN24" t="s">
        <v>302</v>
      </c>
      <c r="AO24" t="s">
        <v>644</v>
      </c>
      <c r="AP24" t="s">
        <v>645</v>
      </c>
      <c r="AQ24" t="s">
        <v>1300</v>
      </c>
      <c r="AR24" t="s">
        <v>1301</v>
      </c>
      <c r="AS24" t="s">
        <v>442</v>
      </c>
      <c r="AT24" t="s">
        <v>1302</v>
      </c>
      <c r="AU24" t="s">
        <v>1303</v>
      </c>
      <c r="AV24" t="s">
        <v>1304</v>
      </c>
      <c r="AW24" t="s">
        <v>1305</v>
      </c>
      <c r="AX24" t="s">
        <v>1306</v>
      </c>
      <c r="AY24" t="s">
        <v>1307</v>
      </c>
      <c r="AZ24" t="s">
        <v>1270</v>
      </c>
      <c r="BA24" t="s">
        <v>1308</v>
      </c>
      <c r="BB24" t="s">
        <v>1309</v>
      </c>
      <c r="BC24" t="s">
        <v>1310</v>
      </c>
      <c r="BD24" t="s">
        <v>162</v>
      </c>
      <c r="BE24" t="s">
        <v>491</v>
      </c>
      <c r="BF24" t="s">
        <v>317</v>
      </c>
      <c r="BG24" t="s">
        <v>1311</v>
      </c>
      <c r="BH24" t="s">
        <v>728</v>
      </c>
      <c r="BI24" t="s">
        <v>1312</v>
      </c>
      <c r="BJ24" t="s">
        <v>1007</v>
      </c>
      <c r="BK24" t="s">
        <v>162</v>
      </c>
      <c r="BL24" t="s">
        <v>1008</v>
      </c>
      <c r="BM24" t="s">
        <v>160</v>
      </c>
      <c r="BN24" t="s">
        <v>200</v>
      </c>
      <c r="BO24" t="s">
        <v>494</v>
      </c>
      <c r="BP24" t="s">
        <v>200</v>
      </c>
      <c r="BQ24" t="s">
        <v>1313</v>
      </c>
      <c r="BR24" t="s">
        <v>1314</v>
      </c>
      <c r="BS24" t="s">
        <v>1315</v>
      </c>
      <c r="BT24" t="s">
        <v>160</v>
      </c>
      <c r="BU24" t="s">
        <v>205</v>
      </c>
      <c r="BV24" t="s">
        <v>200</v>
      </c>
      <c r="BW24" t="s">
        <v>206</v>
      </c>
      <c r="BX24" t="s">
        <v>207</v>
      </c>
      <c r="BY24" t="s">
        <v>172</v>
      </c>
      <c r="BZ24" t="s">
        <v>208</v>
      </c>
      <c r="CA24" t="s">
        <v>172</v>
      </c>
      <c r="CB24" t="s">
        <v>172</v>
      </c>
      <c r="CC24" t="s">
        <v>209</v>
      </c>
      <c r="CD24" t="s">
        <v>210</v>
      </c>
      <c r="CE24" t="s">
        <v>197</v>
      </c>
      <c r="CF24" t="s">
        <v>211</v>
      </c>
      <c r="CG24" t="s">
        <v>212</v>
      </c>
      <c r="CH24" t="s">
        <v>213</v>
      </c>
      <c r="CI24" t="s">
        <v>178</v>
      </c>
      <c r="CJ24" t="s">
        <v>206</v>
      </c>
      <c r="CK24" t="s">
        <v>214</v>
      </c>
      <c r="CL24" t="s">
        <v>214</v>
      </c>
      <c r="CM24" t="s">
        <v>214</v>
      </c>
      <c r="CN24" t="s">
        <v>172</v>
      </c>
      <c r="CO24" t="s">
        <v>215</v>
      </c>
      <c r="CP24" t="s">
        <v>172</v>
      </c>
      <c r="CQ24" t="s">
        <v>172</v>
      </c>
      <c r="CR24" t="s">
        <v>172</v>
      </c>
      <c r="CS24" t="s">
        <v>172</v>
      </c>
      <c r="CT24" t="s">
        <v>1316</v>
      </c>
      <c r="CU24" t="s">
        <v>1317</v>
      </c>
      <c r="CV24" t="s">
        <v>1318</v>
      </c>
      <c r="CW24" t="s">
        <v>1319</v>
      </c>
      <c r="CX24" t="s">
        <v>1320</v>
      </c>
      <c r="CY24" t="s">
        <v>1321</v>
      </c>
      <c r="CZ24" t="s">
        <v>1322</v>
      </c>
      <c r="DA24" t="s">
        <v>1323</v>
      </c>
      <c r="DB24" t="s">
        <v>1293</v>
      </c>
      <c r="DC24" t="s">
        <v>286</v>
      </c>
      <c r="DD24" t="s">
        <v>225</v>
      </c>
      <c r="DE24" t="s">
        <v>226</v>
      </c>
      <c r="DF24" t="s">
        <v>178</v>
      </c>
      <c r="DG24" t="s">
        <v>227</v>
      </c>
      <c r="DH24" t="s">
        <v>228</v>
      </c>
      <c r="DI24" t="s">
        <v>178</v>
      </c>
      <c r="DJ24" t="s">
        <v>229</v>
      </c>
      <c r="DK24" t="s">
        <v>230</v>
      </c>
      <c r="DL24" t="s">
        <v>231</v>
      </c>
      <c r="DM24" t="s">
        <v>172</v>
      </c>
      <c r="DN24" t="s">
        <v>1292</v>
      </c>
      <c r="DO24" t="s">
        <v>232</v>
      </c>
      <c r="DP24" t="s">
        <v>233</v>
      </c>
      <c r="DQ24" t="s">
        <v>234</v>
      </c>
      <c r="DR24" t="s">
        <v>235</v>
      </c>
      <c r="DS24" t="s">
        <v>236</v>
      </c>
      <c r="DT24" t="s">
        <v>237</v>
      </c>
    </row>
    <row r="25" spans="1:124" s="2" customFormat="1" ht="19.5" thickBot="1" x14ac:dyDescent="0.75">
      <c r="A25" s="2" t="s">
        <v>1360</v>
      </c>
      <c r="B25" s="2" t="s">
        <v>1361</v>
      </c>
      <c r="C25" s="2" t="s">
        <v>162</v>
      </c>
      <c r="D25" s="2" t="s">
        <v>163</v>
      </c>
      <c r="E25" s="2" t="s">
        <v>164</v>
      </c>
      <c r="F25" s="2" t="s">
        <v>138</v>
      </c>
      <c r="G25" s="2" t="s">
        <v>1473</v>
      </c>
      <c r="H25" s="2" t="s">
        <v>1476</v>
      </c>
      <c r="I25" s="5" t="s">
        <v>1325</v>
      </c>
      <c r="J25" s="2">
        <v>0.36431633613433362</v>
      </c>
      <c r="K25" s="2">
        <v>2.9050319999999994</v>
      </c>
      <c r="L25" s="2">
        <v>0.32371913475710745</v>
      </c>
      <c r="M25" s="2">
        <v>5.9005146576722201</v>
      </c>
      <c r="N25" s="2" t="s">
        <v>1362</v>
      </c>
      <c r="O25" s="2" t="s">
        <v>1363</v>
      </c>
      <c r="P25" s="2">
        <v>3.0402478496157066</v>
      </c>
      <c r="Q25" s="2">
        <v>1.8198398496157067</v>
      </c>
      <c r="R25" s="2" t="s">
        <v>1364</v>
      </c>
      <c r="S25" s="2" t="s">
        <v>1365</v>
      </c>
      <c r="T25" s="2">
        <v>29.815120619944167</v>
      </c>
      <c r="U25" s="2">
        <v>0.4417875</v>
      </c>
      <c r="V25" s="2" t="s">
        <v>170</v>
      </c>
      <c r="W25" s="2" t="s">
        <v>1366</v>
      </c>
      <c r="X25" s="2" t="s">
        <v>172</v>
      </c>
      <c r="Y25" s="2" t="s">
        <v>172</v>
      </c>
      <c r="Z25" s="2" t="s">
        <v>172</v>
      </c>
      <c r="AA25" s="2" t="s">
        <v>1367</v>
      </c>
      <c r="AB25" s="2" t="s">
        <v>1368</v>
      </c>
      <c r="AC25" s="2" t="s">
        <v>1369</v>
      </c>
      <c r="AD25" s="2" t="s">
        <v>176</v>
      </c>
      <c r="AE25" s="2" t="s">
        <v>177</v>
      </c>
      <c r="AF25" s="2">
        <v>190.567272</v>
      </c>
      <c r="AG25" s="2" t="s">
        <v>178</v>
      </c>
      <c r="AH25" s="2" t="s">
        <v>1370</v>
      </c>
      <c r="AI25" s="2" t="s">
        <v>1371</v>
      </c>
      <c r="AJ25" s="2" t="s">
        <v>1372</v>
      </c>
      <c r="AK25" s="2" t="s">
        <v>1373</v>
      </c>
      <c r="AL25" s="2">
        <v>24.25</v>
      </c>
      <c r="AM25" s="2" t="s">
        <v>800</v>
      </c>
      <c r="AN25" s="2" t="s">
        <v>302</v>
      </c>
      <c r="AO25" s="2" t="s">
        <v>1374</v>
      </c>
      <c r="AP25" s="2" t="s">
        <v>802</v>
      </c>
      <c r="AQ25" s="2" t="s">
        <v>1375</v>
      </c>
      <c r="AR25" s="2" t="s">
        <v>1376</v>
      </c>
      <c r="AS25" s="2" t="s">
        <v>1264</v>
      </c>
      <c r="AT25" s="2" t="s">
        <v>450</v>
      </c>
      <c r="AU25" s="2" t="s">
        <v>1377</v>
      </c>
      <c r="AV25" s="2" t="s">
        <v>1378</v>
      </c>
      <c r="AW25" s="2" t="s">
        <v>1379</v>
      </c>
      <c r="AX25" s="2" t="s">
        <v>1380</v>
      </c>
      <c r="AY25" s="2" t="s">
        <v>1381</v>
      </c>
      <c r="AZ25" s="2" t="s">
        <v>1270</v>
      </c>
      <c r="BA25" s="2" t="s">
        <v>1382</v>
      </c>
      <c r="BB25" s="2" t="s">
        <v>846</v>
      </c>
      <c r="BC25" s="2" t="s">
        <v>1383</v>
      </c>
      <c r="BD25" s="2" t="s">
        <v>162</v>
      </c>
      <c r="BE25" s="2" t="s">
        <v>577</v>
      </c>
      <c r="BF25" s="2" t="s">
        <v>655</v>
      </c>
      <c r="BG25" s="2" t="s">
        <v>1155</v>
      </c>
      <c r="BH25" s="2" t="s">
        <v>728</v>
      </c>
      <c r="BI25" s="2" t="s">
        <v>1312</v>
      </c>
      <c r="BJ25" s="2" t="s">
        <v>1007</v>
      </c>
      <c r="BK25" s="2" t="s">
        <v>162</v>
      </c>
      <c r="BL25" s="2" t="s">
        <v>1008</v>
      </c>
      <c r="BM25" s="2" t="s">
        <v>160</v>
      </c>
      <c r="BN25" s="2" t="s">
        <v>201</v>
      </c>
      <c r="BO25" s="2" t="s">
        <v>201</v>
      </c>
      <c r="BP25" s="2" t="s">
        <v>200</v>
      </c>
      <c r="BQ25" s="2" t="s">
        <v>1384</v>
      </c>
      <c r="BR25" s="2" t="s">
        <v>1385</v>
      </c>
      <c r="BS25" s="2" t="s">
        <v>1386</v>
      </c>
      <c r="BT25" s="2" t="s">
        <v>160</v>
      </c>
      <c r="BU25" s="2" t="s">
        <v>205</v>
      </c>
      <c r="BV25" s="2" t="s">
        <v>200</v>
      </c>
      <c r="BW25" s="2" t="s">
        <v>206</v>
      </c>
      <c r="BX25" s="2" t="s">
        <v>207</v>
      </c>
      <c r="BY25" s="2" t="s">
        <v>172</v>
      </c>
      <c r="BZ25" s="2" t="s">
        <v>208</v>
      </c>
      <c r="CA25" s="2" t="s">
        <v>172</v>
      </c>
      <c r="CB25" s="2" t="s">
        <v>172</v>
      </c>
      <c r="CC25" s="2" t="s">
        <v>209</v>
      </c>
      <c r="CD25" s="2" t="s">
        <v>210</v>
      </c>
      <c r="CE25" s="2" t="s">
        <v>197</v>
      </c>
      <c r="CF25" s="2" t="s">
        <v>211</v>
      </c>
      <c r="CG25" s="2" t="s">
        <v>212</v>
      </c>
      <c r="CH25" s="2" t="s">
        <v>213</v>
      </c>
      <c r="CI25" s="2" t="s">
        <v>178</v>
      </c>
      <c r="CJ25" s="2" t="s">
        <v>206</v>
      </c>
      <c r="CK25" s="2" t="s">
        <v>214</v>
      </c>
      <c r="CL25" s="2" t="s">
        <v>214</v>
      </c>
      <c r="CM25" s="2" t="s">
        <v>214</v>
      </c>
      <c r="CN25" s="2" t="s">
        <v>172</v>
      </c>
      <c r="CO25" s="2" t="s">
        <v>215</v>
      </c>
      <c r="CP25" s="2" t="s">
        <v>172</v>
      </c>
      <c r="CQ25" s="2" t="s">
        <v>172</v>
      </c>
      <c r="CR25" s="2" t="s">
        <v>172</v>
      </c>
      <c r="CS25" s="2" t="s">
        <v>172</v>
      </c>
      <c r="CT25" s="2" t="s">
        <v>1387</v>
      </c>
      <c r="CU25" s="2" t="s">
        <v>1388</v>
      </c>
      <c r="CV25" s="2" t="s">
        <v>1389</v>
      </c>
      <c r="CW25" s="2" t="s">
        <v>1390</v>
      </c>
      <c r="CX25" s="2" t="s">
        <v>1391</v>
      </c>
      <c r="CY25" s="2" t="s">
        <v>1392</v>
      </c>
      <c r="CZ25" s="2" t="s">
        <v>1393</v>
      </c>
      <c r="DA25" s="2" t="s">
        <v>1394</v>
      </c>
      <c r="DB25" s="2" t="s">
        <v>1367</v>
      </c>
      <c r="DC25" s="2" t="s">
        <v>1395</v>
      </c>
      <c r="DD25" s="2" t="s">
        <v>225</v>
      </c>
      <c r="DE25" s="2" t="s">
        <v>226</v>
      </c>
      <c r="DF25" s="2" t="s">
        <v>178</v>
      </c>
      <c r="DG25" s="2" t="s">
        <v>227</v>
      </c>
      <c r="DH25" s="2" t="s">
        <v>228</v>
      </c>
      <c r="DI25" s="2" t="s">
        <v>178</v>
      </c>
      <c r="DJ25" s="2" t="s">
        <v>229</v>
      </c>
      <c r="DK25" s="2" t="s">
        <v>230</v>
      </c>
      <c r="DL25" s="2" t="s">
        <v>231</v>
      </c>
      <c r="DM25" s="2" t="s">
        <v>172</v>
      </c>
      <c r="DN25" s="2" t="s">
        <v>1366</v>
      </c>
      <c r="DO25" s="2" t="s">
        <v>232</v>
      </c>
      <c r="DP25" s="2" t="s">
        <v>233</v>
      </c>
      <c r="DQ25" s="2" t="s">
        <v>234</v>
      </c>
      <c r="DR25" s="2" t="s">
        <v>235</v>
      </c>
      <c r="DS25" s="2" t="s">
        <v>236</v>
      </c>
      <c r="DT25" s="2" t="s">
        <v>237</v>
      </c>
    </row>
    <row r="26" spans="1:124" x14ac:dyDescent="0.7">
      <c r="A26" t="s">
        <v>412</v>
      </c>
      <c r="B26" t="s">
        <v>464</v>
      </c>
      <c r="C26" t="s">
        <v>162</v>
      </c>
      <c r="D26" t="s">
        <v>163</v>
      </c>
      <c r="E26" t="s">
        <v>164</v>
      </c>
      <c r="F26" t="s">
        <v>138</v>
      </c>
      <c r="G26" t="s">
        <v>1473</v>
      </c>
      <c r="H26" t="s">
        <v>1477</v>
      </c>
      <c r="I26" s="4" t="s">
        <v>465</v>
      </c>
      <c r="J26">
        <v>0.21128819359792794</v>
      </c>
      <c r="K26">
        <v>2.9050319999999994</v>
      </c>
      <c r="L26">
        <v>0.19696273986387711</v>
      </c>
      <c r="M26">
        <v>2.94030735299151</v>
      </c>
      <c r="N26" t="s">
        <v>466</v>
      </c>
      <c r="O26" t="s">
        <v>467</v>
      </c>
      <c r="P26">
        <v>2.6535068423401573</v>
      </c>
      <c r="Q26">
        <v>1.4936628423401572</v>
      </c>
      <c r="R26" t="s">
        <v>468</v>
      </c>
      <c r="S26" t="s">
        <v>469</v>
      </c>
      <c r="T26">
        <v>26.024978838173375</v>
      </c>
      <c r="U26">
        <v>0.4417875</v>
      </c>
      <c r="V26" t="s">
        <v>170</v>
      </c>
      <c r="W26" t="s">
        <v>470</v>
      </c>
      <c r="X26" t="s">
        <v>172</v>
      </c>
      <c r="Y26" t="s">
        <v>172</v>
      </c>
      <c r="Z26" t="s">
        <v>172</v>
      </c>
      <c r="AA26" t="s">
        <v>471</v>
      </c>
      <c r="AB26" t="s">
        <v>472</v>
      </c>
      <c r="AC26" t="s">
        <v>473</v>
      </c>
      <c r="AD26" t="s">
        <v>176</v>
      </c>
      <c r="AE26" t="s">
        <v>177</v>
      </c>
      <c r="AF26">
        <v>121.3264374</v>
      </c>
      <c r="AG26" t="s">
        <v>178</v>
      </c>
      <c r="AH26" t="s">
        <v>474</v>
      </c>
      <c r="AI26" t="s">
        <v>475</v>
      </c>
      <c r="AJ26" t="s">
        <v>476</v>
      </c>
      <c r="AK26" t="s">
        <v>477</v>
      </c>
      <c r="AL26">
        <v>22</v>
      </c>
      <c r="AM26" t="s">
        <v>478</v>
      </c>
      <c r="AN26" t="s">
        <v>302</v>
      </c>
      <c r="AO26" t="s">
        <v>479</v>
      </c>
      <c r="AP26" t="s">
        <v>480</v>
      </c>
      <c r="AQ26" t="s">
        <v>481</v>
      </c>
      <c r="AR26" t="s">
        <v>482</v>
      </c>
      <c r="AS26" t="s">
        <v>483</v>
      </c>
      <c r="AT26" t="s">
        <v>484</v>
      </c>
      <c r="AU26" t="s">
        <v>485</v>
      </c>
      <c r="AV26" t="s">
        <v>486</v>
      </c>
      <c r="AW26" t="s">
        <v>487</v>
      </c>
      <c r="AX26" t="s">
        <v>488</v>
      </c>
      <c r="AY26" t="s">
        <v>489</v>
      </c>
      <c r="AZ26" t="s">
        <v>265</v>
      </c>
      <c r="BA26" t="s">
        <v>406</v>
      </c>
      <c r="BB26" t="s">
        <v>407</v>
      </c>
      <c r="BC26" t="s">
        <v>490</v>
      </c>
      <c r="BD26" t="s">
        <v>162</v>
      </c>
      <c r="BE26" t="s">
        <v>491</v>
      </c>
      <c r="BF26" t="s">
        <v>492</v>
      </c>
      <c r="BG26" t="s">
        <v>493</v>
      </c>
      <c r="BH26" t="s">
        <v>450</v>
      </c>
      <c r="BI26" t="s">
        <v>451</v>
      </c>
      <c r="BJ26" t="s">
        <v>198</v>
      </c>
      <c r="BK26" t="s">
        <v>162</v>
      </c>
      <c r="BL26" t="s">
        <v>199</v>
      </c>
      <c r="BM26" t="s">
        <v>160</v>
      </c>
      <c r="BN26" t="s">
        <v>494</v>
      </c>
      <c r="BO26" t="s">
        <v>200</v>
      </c>
      <c r="BP26" t="s">
        <v>274</v>
      </c>
      <c r="BQ26" t="s">
        <v>495</v>
      </c>
      <c r="BR26" t="s">
        <v>496</v>
      </c>
      <c r="BS26" t="s">
        <v>497</v>
      </c>
      <c r="BT26" t="s">
        <v>160</v>
      </c>
      <c r="BU26" t="s">
        <v>205</v>
      </c>
      <c r="BV26" t="s">
        <v>200</v>
      </c>
      <c r="BW26" t="s">
        <v>206</v>
      </c>
      <c r="BX26" t="s">
        <v>207</v>
      </c>
      <c r="BY26" t="s">
        <v>172</v>
      </c>
      <c r="BZ26" t="s">
        <v>208</v>
      </c>
      <c r="CA26" t="s">
        <v>172</v>
      </c>
      <c r="CB26" t="s">
        <v>172</v>
      </c>
      <c r="CC26" t="s">
        <v>209</v>
      </c>
      <c r="CD26" t="s">
        <v>210</v>
      </c>
      <c r="CE26" t="s">
        <v>197</v>
      </c>
      <c r="CF26" t="s">
        <v>211</v>
      </c>
      <c r="CG26" t="s">
        <v>212</v>
      </c>
      <c r="CH26" t="s">
        <v>213</v>
      </c>
      <c r="CI26" t="s">
        <v>178</v>
      </c>
      <c r="CJ26" t="s">
        <v>206</v>
      </c>
      <c r="CK26" t="s">
        <v>214</v>
      </c>
      <c r="CL26" t="s">
        <v>214</v>
      </c>
      <c r="CM26" t="s">
        <v>214</v>
      </c>
      <c r="CN26" t="s">
        <v>172</v>
      </c>
      <c r="CO26" t="s">
        <v>215</v>
      </c>
      <c r="CP26" t="s">
        <v>172</v>
      </c>
      <c r="CQ26" t="s">
        <v>172</v>
      </c>
      <c r="CR26" t="s">
        <v>172</v>
      </c>
      <c r="CS26" t="s">
        <v>172</v>
      </c>
      <c r="CT26" t="s">
        <v>498</v>
      </c>
      <c r="CU26" t="s">
        <v>499</v>
      </c>
      <c r="CV26" t="s">
        <v>500</v>
      </c>
      <c r="CW26" t="s">
        <v>501</v>
      </c>
      <c r="CX26" t="s">
        <v>502</v>
      </c>
      <c r="CY26" t="s">
        <v>503</v>
      </c>
      <c r="CZ26" t="s">
        <v>504</v>
      </c>
      <c r="DA26" t="s">
        <v>505</v>
      </c>
      <c r="DB26" t="s">
        <v>471</v>
      </c>
      <c r="DC26" t="s">
        <v>286</v>
      </c>
      <c r="DD26" t="s">
        <v>225</v>
      </c>
      <c r="DE26" t="s">
        <v>226</v>
      </c>
      <c r="DF26" t="s">
        <v>178</v>
      </c>
      <c r="DG26" t="s">
        <v>227</v>
      </c>
      <c r="DH26" t="s">
        <v>228</v>
      </c>
      <c r="DI26" t="s">
        <v>178</v>
      </c>
      <c r="DJ26" t="s">
        <v>229</v>
      </c>
      <c r="DK26" t="s">
        <v>230</v>
      </c>
      <c r="DL26" t="s">
        <v>231</v>
      </c>
      <c r="DM26" t="s">
        <v>172</v>
      </c>
      <c r="DN26" t="s">
        <v>470</v>
      </c>
      <c r="DO26" t="s">
        <v>232</v>
      </c>
      <c r="DP26" t="s">
        <v>233</v>
      </c>
      <c r="DQ26" t="s">
        <v>234</v>
      </c>
      <c r="DR26" t="s">
        <v>235</v>
      </c>
      <c r="DS26" t="s">
        <v>236</v>
      </c>
      <c r="DT26" t="s">
        <v>237</v>
      </c>
    </row>
    <row r="27" spans="1:124" x14ac:dyDescent="0.7">
      <c r="A27" t="s">
        <v>319</v>
      </c>
      <c r="B27" t="s">
        <v>506</v>
      </c>
      <c r="C27" t="s">
        <v>162</v>
      </c>
      <c r="D27" t="s">
        <v>163</v>
      </c>
      <c r="E27" t="s">
        <v>164</v>
      </c>
      <c r="F27" t="s">
        <v>138</v>
      </c>
      <c r="G27" t="s">
        <v>1473</v>
      </c>
      <c r="H27" t="s">
        <v>1477</v>
      </c>
      <c r="I27" s="4" t="s">
        <v>507</v>
      </c>
      <c r="J27">
        <v>0.43108075026789638</v>
      </c>
      <c r="K27">
        <v>2.9042299199999997</v>
      </c>
      <c r="L27">
        <v>0.37536461716278863</v>
      </c>
      <c r="M27">
        <v>5.2806706515751483</v>
      </c>
      <c r="N27" t="s">
        <v>508</v>
      </c>
      <c r="O27" t="s">
        <v>509</v>
      </c>
      <c r="P27">
        <v>2.6421999000260126</v>
      </c>
      <c r="Q27">
        <v>1.4071419000260126</v>
      </c>
      <c r="R27" t="s">
        <v>510</v>
      </c>
      <c r="S27" t="s">
        <v>511</v>
      </c>
      <c r="T27">
        <v>25.914082973970309</v>
      </c>
      <c r="U27">
        <v>0.4417875</v>
      </c>
      <c r="V27" t="s">
        <v>170</v>
      </c>
      <c r="W27" t="s">
        <v>512</v>
      </c>
      <c r="X27" t="s">
        <v>172</v>
      </c>
      <c r="Y27" t="s">
        <v>172</v>
      </c>
      <c r="Z27" t="s">
        <v>172</v>
      </c>
      <c r="AA27" t="s">
        <v>513</v>
      </c>
      <c r="AB27" t="s">
        <v>514</v>
      </c>
      <c r="AC27" t="s">
        <v>515</v>
      </c>
      <c r="AD27" t="s">
        <v>176</v>
      </c>
      <c r="AE27" t="s">
        <v>177</v>
      </c>
      <c r="AF27">
        <v>53.091506160000002</v>
      </c>
      <c r="AG27" t="s">
        <v>178</v>
      </c>
      <c r="AH27" t="s">
        <v>516</v>
      </c>
      <c r="AI27" t="s">
        <v>517</v>
      </c>
      <c r="AJ27" t="s">
        <v>518</v>
      </c>
      <c r="AK27" t="s">
        <v>519</v>
      </c>
      <c r="AL27">
        <v>21.93</v>
      </c>
      <c r="AM27" t="s">
        <v>478</v>
      </c>
      <c r="AN27" t="s">
        <v>254</v>
      </c>
      <c r="AO27" t="s">
        <v>520</v>
      </c>
      <c r="AP27" t="s">
        <v>521</v>
      </c>
      <c r="AQ27" t="s">
        <v>522</v>
      </c>
      <c r="AR27" t="s">
        <v>482</v>
      </c>
      <c r="AS27" t="s">
        <v>523</v>
      </c>
      <c r="AT27" t="s">
        <v>524</v>
      </c>
      <c r="AU27" t="s">
        <v>525</v>
      </c>
      <c r="AV27" t="s">
        <v>526</v>
      </c>
      <c r="AW27" t="s">
        <v>215</v>
      </c>
      <c r="AX27" t="s">
        <v>527</v>
      </c>
      <c r="AY27" t="s">
        <v>528</v>
      </c>
      <c r="AZ27" t="s">
        <v>265</v>
      </c>
      <c r="BA27" t="s">
        <v>529</v>
      </c>
      <c r="BB27" t="s">
        <v>530</v>
      </c>
      <c r="BC27" t="s">
        <v>531</v>
      </c>
      <c r="BD27" t="s">
        <v>162</v>
      </c>
      <c r="BE27" t="s">
        <v>532</v>
      </c>
      <c r="BF27" t="s">
        <v>533</v>
      </c>
      <c r="BG27" t="s">
        <v>534</v>
      </c>
      <c r="BH27" t="s">
        <v>535</v>
      </c>
      <c r="BI27" t="s">
        <v>536</v>
      </c>
      <c r="BJ27" t="s">
        <v>198</v>
      </c>
      <c r="BK27" t="s">
        <v>162</v>
      </c>
      <c r="BL27" t="s">
        <v>199</v>
      </c>
      <c r="BM27" t="s">
        <v>160</v>
      </c>
      <c r="BN27" t="s">
        <v>494</v>
      </c>
      <c r="BO27" t="s">
        <v>200</v>
      </c>
      <c r="BP27" t="s">
        <v>452</v>
      </c>
      <c r="BQ27" t="s">
        <v>537</v>
      </c>
      <c r="BR27" t="s">
        <v>538</v>
      </c>
      <c r="BS27" t="s">
        <v>539</v>
      </c>
      <c r="BT27" t="s">
        <v>160</v>
      </c>
      <c r="BU27" t="s">
        <v>205</v>
      </c>
      <c r="BV27" t="s">
        <v>200</v>
      </c>
      <c r="BW27" t="s">
        <v>206</v>
      </c>
      <c r="BX27" t="s">
        <v>207</v>
      </c>
      <c r="BY27" t="s">
        <v>172</v>
      </c>
      <c r="BZ27" t="s">
        <v>208</v>
      </c>
      <c r="CA27" t="s">
        <v>172</v>
      </c>
      <c r="CB27" t="s">
        <v>172</v>
      </c>
      <c r="CC27" t="s">
        <v>209</v>
      </c>
      <c r="CD27" t="s">
        <v>210</v>
      </c>
      <c r="CE27" t="s">
        <v>197</v>
      </c>
      <c r="CF27" t="s">
        <v>211</v>
      </c>
      <c r="CG27" t="s">
        <v>212</v>
      </c>
      <c r="CH27" t="s">
        <v>213</v>
      </c>
      <c r="CI27" t="s">
        <v>178</v>
      </c>
      <c r="CJ27" t="s">
        <v>206</v>
      </c>
      <c r="CK27" t="s">
        <v>214</v>
      </c>
      <c r="CL27" t="s">
        <v>214</v>
      </c>
      <c r="CM27" t="s">
        <v>214</v>
      </c>
      <c r="CN27" t="s">
        <v>172</v>
      </c>
      <c r="CO27" t="s">
        <v>215</v>
      </c>
      <c r="CP27" t="s">
        <v>172</v>
      </c>
      <c r="CQ27" t="s">
        <v>172</v>
      </c>
      <c r="CR27" t="s">
        <v>172</v>
      </c>
      <c r="CS27" t="s">
        <v>172</v>
      </c>
      <c r="CT27" t="s">
        <v>540</v>
      </c>
      <c r="CU27" t="s">
        <v>541</v>
      </c>
      <c r="CV27" t="s">
        <v>542</v>
      </c>
      <c r="CW27" t="s">
        <v>543</v>
      </c>
      <c r="CX27" t="s">
        <v>544</v>
      </c>
      <c r="CY27" t="s">
        <v>545</v>
      </c>
      <c r="CZ27" t="s">
        <v>546</v>
      </c>
      <c r="DA27" t="s">
        <v>547</v>
      </c>
      <c r="DB27" t="s">
        <v>513</v>
      </c>
      <c r="DC27" t="s">
        <v>548</v>
      </c>
      <c r="DD27" t="s">
        <v>225</v>
      </c>
      <c r="DE27" t="s">
        <v>226</v>
      </c>
      <c r="DF27" t="s">
        <v>178</v>
      </c>
      <c r="DG27" t="s">
        <v>227</v>
      </c>
      <c r="DH27" t="s">
        <v>228</v>
      </c>
      <c r="DI27" t="s">
        <v>178</v>
      </c>
      <c r="DJ27" t="s">
        <v>229</v>
      </c>
      <c r="DK27" t="s">
        <v>230</v>
      </c>
      <c r="DL27" t="s">
        <v>231</v>
      </c>
      <c r="DM27" t="s">
        <v>172</v>
      </c>
      <c r="DN27" t="s">
        <v>512</v>
      </c>
      <c r="DO27" t="s">
        <v>232</v>
      </c>
      <c r="DP27" t="s">
        <v>233</v>
      </c>
      <c r="DQ27" t="s">
        <v>234</v>
      </c>
      <c r="DR27" t="s">
        <v>235</v>
      </c>
      <c r="DS27" t="s">
        <v>236</v>
      </c>
      <c r="DT27" t="s">
        <v>237</v>
      </c>
    </row>
    <row r="28" spans="1:124" x14ac:dyDescent="0.7">
      <c r="A28" t="s">
        <v>785</v>
      </c>
      <c r="B28" t="s">
        <v>786</v>
      </c>
      <c r="C28" t="s">
        <v>162</v>
      </c>
      <c r="D28" t="s">
        <v>163</v>
      </c>
      <c r="E28" t="s">
        <v>164</v>
      </c>
      <c r="F28" t="s">
        <v>138</v>
      </c>
      <c r="G28" t="s">
        <v>1473</v>
      </c>
      <c r="H28" t="s">
        <v>1477</v>
      </c>
      <c r="I28" s="4" t="s">
        <v>787</v>
      </c>
      <c r="J28">
        <v>0.18101879582012773</v>
      </c>
      <c r="K28">
        <v>2.9058327199999998</v>
      </c>
      <c r="L28">
        <v>0.17040351216549324</v>
      </c>
      <c r="M28">
        <v>2.692130313229137</v>
      </c>
      <c r="N28" t="s">
        <v>788</v>
      </c>
      <c r="O28" t="s">
        <v>789</v>
      </c>
      <c r="P28">
        <v>2.6713604698640436</v>
      </c>
      <c r="Q28">
        <v>1.5812504698640437</v>
      </c>
      <c r="R28" t="s">
        <v>790</v>
      </c>
      <c r="S28" t="s">
        <v>791</v>
      </c>
      <c r="T28">
        <v>26.197513679160966</v>
      </c>
      <c r="U28">
        <v>0.4417875</v>
      </c>
      <c r="V28" t="s">
        <v>170</v>
      </c>
      <c r="W28" t="s">
        <v>792</v>
      </c>
      <c r="X28" t="s">
        <v>172</v>
      </c>
      <c r="Y28" t="s">
        <v>172</v>
      </c>
      <c r="Z28" t="s">
        <v>172</v>
      </c>
      <c r="AA28" t="s">
        <v>793</v>
      </c>
      <c r="AB28" t="s">
        <v>794</v>
      </c>
      <c r="AC28" t="s">
        <v>795</v>
      </c>
      <c r="AD28" t="s">
        <v>176</v>
      </c>
      <c r="AE28" t="s">
        <v>177</v>
      </c>
      <c r="AF28">
        <v>103.86761405999999</v>
      </c>
      <c r="AG28" t="s">
        <v>178</v>
      </c>
      <c r="AH28" t="s">
        <v>796</v>
      </c>
      <c r="AI28" t="s">
        <v>797</v>
      </c>
      <c r="AJ28" t="s">
        <v>798</v>
      </c>
      <c r="AK28" t="s">
        <v>799</v>
      </c>
      <c r="AL28">
        <v>22.11</v>
      </c>
      <c r="AM28" t="s">
        <v>800</v>
      </c>
      <c r="AN28" t="s">
        <v>479</v>
      </c>
      <c r="AO28" t="s">
        <v>801</v>
      </c>
      <c r="AP28" t="s">
        <v>802</v>
      </c>
      <c r="AQ28" t="s">
        <v>803</v>
      </c>
      <c r="AR28" t="s">
        <v>766</v>
      </c>
      <c r="AS28" t="s">
        <v>804</v>
      </c>
      <c r="AT28" t="s">
        <v>399</v>
      </c>
      <c r="AU28" t="s">
        <v>805</v>
      </c>
      <c r="AV28" t="s">
        <v>806</v>
      </c>
      <c r="AW28" t="s">
        <v>807</v>
      </c>
      <c r="AX28" t="s">
        <v>808</v>
      </c>
      <c r="AY28" t="s">
        <v>809</v>
      </c>
      <c r="AZ28" t="s">
        <v>265</v>
      </c>
      <c r="BA28" t="s">
        <v>733</v>
      </c>
      <c r="BB28" t="s">
        <v>734</v>
      </c>
      <c r="BC28" t="s">
        <v>810</v>
      </c>
      <c r="BD28" t="s">
        <v>162</v>
      </c>
      <c r="BE28" t="s">
        <v>577</v>
      </c>
      <c r="BF28" t="s">
        <v>492</v>
      </c>
      <c r="BG28" t="s">
        <v>736</v>
      </c>
      <c r="BH28" t="s">
        <v>629</v>
      </c>
      <c r="BI28" t="s">
        <v>737</v>
      </c>
      <c r="BJ28" t="s">
        <v>198</v>
      </c>
      <c r="BK28" t="s">
        <v>162</v>
      </c>
      <c r="BL28" t="s">
        <v>199</v>
      </c>
      <c r="BM28" t="s">
        <v>160</v>
      </c>
      <c r="BN28" t="s">
        <v>200</v>
      </c>
      <c r="BO28" t="s">
        <v>321</v>
      </c>
      <c r="BP28" t="s">
        <v>274</v>
      </c>
      <c r="BQ28" t="s">
        <v>811</v>
      </c>
      <c r="BR28" t="s">
        <v>812</v>
      </c>
      <c r="BS28" t="s">
        <v>813</v>
      </c>
      <c r="BT28" t="s">
        <v>160</v>
      </c>
      <c r="BU28" t="s">
        <v>205</v>
      </c>
      <c r="BV28" t="s">
        <v>200</v>
      </c>
      <c r="BW28" t="s">
        <v>206</v>
      </c>
      <c r="BX28" t="s">
        <v>207</v>
      </c>
      <c r="BY28" t="s">
        <v>172</v>
      </c>
      <c r="BZ28" t="s">
        <v>208</v>
      </c>
      <c r="CA28" t="s">
        <v>172</v>
      </c>
      <c r="CB28" t="s">
        <v>172</v>
      </c>
      <c r="CC28" t="s">
        <v>209</v>
      </c>
      <c r="CD28" t="s">
        <v>210</v>
      </c>
      <c r="CE28" t="s">
        <v>197</v>
      </c>
      <c r="CF28" t="s">
        <v>211</v>
      </c>
      <c r="CG28" t="s">
        <v>212</v>
      </c>
      <c r="CH28" t="s">
        <v>213</v>
      </c>
      <c r="CI28" t="s">
        <v>178</v>
      </c>
      <c r="CJ28" t="s">
        <v>206</v>
      </c>
      <c r="CK28" t="s">
        <v>214</v>
      </c>
      <c r="CL28" t="s">
        <v>214</v>
      </c>
      <c r="CM28" t="s">
        <v>214</v>
      </c>
      <c r="CN28" t="s">
        <v>172</v>
      </c>
      <c r="CO28" t="s">
        <v>215</v>
      </c>
      <c r="CP28" t="s">
        <v>172</v>
      </c>
      <c r="CQ28" t="s">
        <v>172</v>
      </c>
      <c r="CR28" t="s">
        <v>172</v>
      </c>
      <c r="CS28" t="s">
        <v>172</v>
      </c>
      <c r="CT28" t="s">
        <v>814</v>
      </c>
      <c r="CU28" t="s">
        <v>815</v>
      </c>
      <c r="CV28" t="s">
        <v>816</v>
      </c>
      <c r="CW28" t="s">
        <v>817</v>
      </c>
      <c r="CX28" t="s">
        <v>818</v>
      </c>
      <c r="CY28" t="s">
        <v>819</v>
      </c>
      <c r="CZ28" t="s">
        <v>820</v>
      </c>
      <c r="DA28" t="s">
        <v>821</v>
      </c>
      <c r="DB28" t="s">
        <v>793</v>
      </c>
      <c r="DC28" t="s">
        <v>822</v>
      </c>
      <c r="DD28" t="s">
        <v>225</v>
      </c>
      <c r="DE28" t="s">
        <v>226</v>
      </c>
      <c r="DF28" t="s">
        <v>178</v>
      </c>
      <c r="DG28" t="s">
        <v>227</v>
      </c>
      <c r="DH28" t="s">
        <v>228</v>
      </c>
      <c r="DI28" t="s">
        <v>178</v>
      </c>
      <c r="DJ28" t="s">
        <v>229</v>
      </c>
      <c r="DK28" t="s">
        <v>230</v>
      </c>
      <c r="DL28" t="s">
        <v>231</v>
      </c>
      <c r="DM28" t="s">
        <v>172</v>
      </c>
      <c r="DN28" t="s">
        <v>792</v>
      </c>
      <c r="DO28" t="s">
        <v>232</v>
      </c>
      <c r="DP28" t="s">
        <v>233</v>
      </c>
      <c r="DQ28" t="s">
        <v>234</v>
      </c>
      <c r="DR28" t="s">
        <v>235</v>
      </c>
      <c r="DS28" t="s">
        <v>236</v>
      </c>
      <c r="DT28" t="s">
        <v>237</v>
      </c>
    </row>
    <row r="29" spans="1:124" x14ac:dyDescent="0.7">
      <c r="A29" t="s">
        <v>823</v>
      </c>
      <c r="B29" t="s">
        <v>824</v>
      </c>
      <c r="C29" t="s">
        <v>162</v>
      </c>
      <c r="D29" t="s">
        <v>163</v>
      </c>
      <c r="E29" t="s">
        <v>164</v>
      </c>
      <c r="F29" t="s">
        <v>138</v>
      </c>
      <c r="G29" t="s">
        <v>1473</v>
      </c>
      <c r="H29" t="s">
        <v>1477</v>
      </c>
      <c r="I29" s="4" t="s">
        <v>825</v>
      </c>
      <c r="J29">
        <v>0.34982969153631238</v>
      </c>
      <c r="K29">
        <v>2.9042299199999997</v>
      </c>
      <c r="L29">
        <v>0.31222103413909502</v>
      </c>
      <c r="M29">
        <v>5.4767360389659192</v>
      </c>
      <c r="N29" t="s">
        <v>826</v>
      </c>
      <c r="O29" t="s">
        <v>827</v>
      </c>
      <c r="P29">
        <v>2.966309869175658</v>
      </c>
      <c r="Q29">
        <v>1.7520528691756581</v>
      </c>
      <c r="R29" t="s">
        <v>828</v>
      </c>
      <c r="S29" t="s">
        <v>829</v>
      </c>
      <c r="T29">
        <v>29.090025195407062</v>
      </c>
      <c r="U29">
        <v>0.4417875</v>
      </c>
      <c r="V29" t="s">
        <v>170</v>
      </c>
      <c r="W29" t="s">
        <v>830</v>
      </c>
      <c r="X29" t="s">
        <v>172</v>
      </c>
      <c r="Y29" t="s">
        <v>172</v>
      </c>
      <c r="Z29" t="s">
        <v>172</v>
      </c>
      <c r="AA29" t="s">
        <v>831</v>
      </c>
      <c r="AB29" t="s">
        <v>832</v>
      </c>
      <c r="AC29" t="s">
        <v>833</v>
      </c>
      <c r="AD29" t="s">
        <v>176</v>
      </c>
      <c r="AE29" t="s">
        <v>177</v>
      </c>
      <c r="AF29">
        <v>177.79829928000001</v>
      </c>
      <c r="AG29" t="s">
        <v>178</v>
      </c>
      <c r="AH29" t="s">
        <v>834</v>
      </c>
      <c r="AI29" t="s">
        <v>835</v>
      </c>
      <c r="AJ29" t="s">
        <v>836</v>
      </c>
      <c r="AK29" t="s">
        <v>837</v>
      </c>
      <c r="AL29">
        <v>23.84</v>
      </c>
      <c r="AM29" t="s">
        <v>800</v>
      </c>
      <c r="AN29" t="s">
        <v>254</v>
      </c>
      <c r="AO29" t="s">
        <v>838</v>
      </c>
      <c r="AP29" t="s">
        <v>839</v>
      </c>
      <c r="AQ29" t="s">
        <v>840</v>
      </c>
      <c r="AR29" t="s">
        <v>841</v>
      </c>
      <c r="AS29" t="s">
        <v>842</v>
      </c>
      <c r="AT29" t="s">
        <v>443</v>
      </c>
      <c r="AU29" t="s">
        <v>843</v>
      </c>
      <c r="AV29" t="s">
        <v>844</v>
      </c>
      <c r="AW29" t="s">
        <v>845</v>
      </c>
      <c r="AX29" t="s">
        <v>846</v>
      </c>
      <c r="AY29" t="s">
        <v>847</v>
      </c>
      <c r="AZ29" t="s">
        <v>265</v>
      </c>
      <c r="BA29" t="s">
        <v>848</v>
      </c>
      <c r="BB29" t="s">
        <v>849</v>
      </c>
      <c r="BC29" t="s">
        <v>850</v>
      </c>
      <c r="BD29" t="s">
        <v>162</v>
      </c>
      <c r="BE29" t="s">
        <v>851</v>
      </c>
      <c r="BF29" t="s">
        <v>363</v>
      </c>
      <c r="BG29" t="s">
        <v>411</v>
      </c>
      <c r="BH29" t="s">
        <v>535</v>
      </c>
      <c r="BI29" t="s">
        <v>451</v>
      </c>
      <c r="BJ29" t="s">
        <v>198</v>
      </c>
      <c r="BK29" t="s">
        <v>162</v>
      </c>
      <c r="BL29" t="s">
        <v>199</v>
      </c>
      <c r="BM29" t="s">
        <v>160</v>
      </c>
      <c r="BN29" t="s">
        <v>200</v>
      </c>
      <c r="BO29" t="s">
        <v>200</v>
      </c>
      <c r="BP29" t="s">
        <v>452</v>
      </c>
      <c r="BQ29" t="s">
        <v>852</v>
      </c>
      <c r="BR29" t="s">
        <v>853</v>
      </c>
      <c r="BS29" t="s">
        <v>854</v>
      </c>
      <c r="BT29" t="s">
        <v>160</v>
      </c>
      <c r="BU29" t="s">
        <v>205</v>
      </c>
      <c r="BV29" t="s">
        <v>200</v>
      </c>
      <c r="BW29" t="s">
        <v>206</v>
      </c>
      <c r="BX29" t="s">
        <v>207</v>
      </c>
      <c r="BY29" t="s">
        <v>172</v>
      </c>
      <c r="BZ29" t="s">
        <v>208</v>
      </c>
      <c r="CA29" t="s">
        <v>172</v>
      </c>
      <c r="CB29" t="s">
        <v>172</v>
      </c>
      <c r="CC29" t="s">
        <v>209</v>
      </c>
      <c r="CD29" t="s">
        <v>210</v>
      </c>
      <c r="CE29" t="s">
        <v>197</v>
      </c>
      <c r="CF29" t="s">
        <v>211</v>
      </c>
      <c r="CG29" t="s">
        <v>212</v>
      </c>
      <c r="CH29" t="s">
        <v>213</v>
      </c>
      <c r="CI29" t="s">
        <v>178</v>
      </c>
      <c r="CJ29" t="s">
        <v>206</v>
      </c>
      <c r="CK29" t="s">
        <v>214</v>
      </c>
      <c r="CL29" t="s">
        <v>214</v>
      </c>
      <c r="CM29" t="s">
        <v>214</v>
      </c>
      <c r="CN29" t="s">
        <v>172</v>
      </c>
      <c r="CO29" t="s">
        <v>215</v>
      </c>
      <c r="CP29" t="s">
        <v>172</v>
      </c>
      <c r="CQ29" t="s">
        <v>172</v>
      </c>
      <c r="CR29" t="s">
        <v>172</v>
      </c>
      <c r="CS29" t="s">
        <v>172</v>
      </c>
      <c r="CT29" t="s">
        <v>855</v>
      </c>
      <c r="CU29" t="s">
        <v>856</v>
      </c>
      <c r="CV29" t="s">
        <v>857</v>
      </c>
      <c r="CW29" t="s">
        <v>858</v>
      </c>
      <c r="CX29" t="s">
        <v>859</v>
      </c>
      <c r="CY29" t="s">
        <v>860</v>
      </c>
      <c r="CZ29" t="s">
        <v>861</v>
      </c>
      <c r="DA29" t="s">
        <v>862</v>
      </c>
      <c r="DB29" t="s">
        <v>831</v>
      </c>
      <c r="DC29" t="s">
        <v>548</v>
      </c>
      <c r="DD29" t="s">
        <v>225</v>
      </c>
      <c r="DE29" t="s">
        <v>226</v>
      </c>
      <c r="DF29" t="s">
        <v>178</v>
      </c>
      <c r="DG29" t="s">
        <v>227</v>
      </c>
      <c r="DH29" t="s">
        <v>228</v>
      </c>
      <c r="DI29" t="s">
        <v>178</v>
      </c>
      <c r="DJ29" t="s">
        <v>229</v>
      </c>
      <c r="DK29" t="s">
        <v>230</v>
      </c>
      <c r="DL29" t="s">
        <v>231</v>
      </c>
      <c r="DM29" t="s">
        <v>172</v>
      </c>
      <c r="DN29" t="s">
        <v>830</v>
      </c>
      <c r="DO29" t="s">
        <v>232</v>
      </c>
      <c r="DP29" t="s">
        <v>233</v>
      </c>
      <c r="DQ29" t="s">
        <v>234</v>
      </c>
      <c r="DR29" t="s">
        <v>235</v>
      </c>
      <c r="DS29" t="s">
        <v>236</v>
      </c>
      <c r="DT29" t="s">
        <v>237</v>
      </c>
    </row>
    <row r="30" spans="1:124" x14ac:dyDescent="0.7">
      <c r="A30" t="s">
        <v>879</v>
      </c>
      <c r="B30" t="s">
        <v>1095</v>
      </c>
      <c r="C30" t="s">
        <v>162</v>
      </c>
      <c r="D30" t="s">
        <v>163</v>
      </c>
      <c r="E30" t="s">
        <v>164</v>
      </c>
      <c r="F30" t="s">
        <v>138</v>
      </c>
      <c r="G30" t="s">
        <v>1473</v>
      </c>
      <c r="H30" t="s">
        <v>1477</v>
      </c>
      <c r="I30" s="4" t="s">
        <v>1096</v>
      </c>
      <c r="J30">
        <v>0.36560445651771645</v>
      </c>
      <c r="K30">
        <v>2.9042299199999997</v>
      </c>
      <c r="L30">
        <v>0.32472574425463047</v>
      </c>
      <c r="M30">
        <v>4.8393969359707469</v>
      </c>
      <c r="N30" t="s">
        <v>1097</v>
      </c>
      <c r="O30" t="s">
        <v>1098</v>
      </c>
      <c r="P30">
        <v>2.6535068423401573</v>
      </c>
      <c r="Q30">
        <v>1.4912338423401574</v>
      </c>
      <c r="R30" t="s">
        <v>1099</v>
      </c>
      <c r="S30" t="s">
        <v>1100</v>
      </c>
      <c r="T30">
        <v>26.022426619007131</v>
      </c>
      <c r="U30">
        <v>0.4417875</v>
      </c>
      <c r="V30" t="s">
        <v>170</v>
      </c>
      <c r="W30" t="s">
        <v>1101</v>
      </c>
      <c r="X30" t="s">
        <v>172</v>
      </c>
      <c r="Y30" t="s">
        <v>172</v>
      </c>
      <c r="Z30" t="s">
        <v>172</v>
      </c>
      <c r="AA30" t="s">
        <v>1102</v>
      </c>
      <c r="AB30" t="s">
        <v>1103</v>
      </c>
      <c r="AC30" t="s">
        <v>1104</v>
      </c>
      <c r="AD30" t="s">
        <v>176</v>
      </c>
      <c r="AE30" t="s">
        <v>177</v>
      </c>
      <c r="AF30">
        <v>113.1270462</v>
      </c>
      <c r="AG30" t="s">
        <v>178</v>
      </c>
      <c r="AH30" t="s">
        <v>1105</v>
      </c>
      <c r="AI30" t="s">
        <v>1106</v>
      </c>
      <c r="AJ30" t="s">
        <v>1107</v>
      </c>
      <c r="AK30" t="s">
        <v>477</v>
      </c>
      <c r="AL30">
        <v>22</v>
      </c>
      <c r="AM30" t="s">
        <v>800</v>
      </c>
      <c r="AN30" t="s">
        <v>254</v>
      </c>
      <c r="AO30" t="s">
        <v>395</v>
      </c>
      <c r="AP30" t="s">
        <v>396</v>
      </c>
      <c r="AQ30" t="s">
        <v>1108</v>
      </c>
      <c r="AR30" t="s">
        <v>1073</v>
      </c>
      <c r="AS30" t="s">
        <v>353</v>
      </c>
      <c r="AT30" t="s">
        <v>1109</v>
      </c>
      <c r="AU30" t="s">
        <v>785</v>
      </c>
      <c r="AV30" t="s">
        <v>1110</v>
      </c>
      <c r="AW30" t="s">
        <v>1111</v>
      </c>
      <c r="AX30" t="s">
        <v>1112</v>
      </c>
      <c r="AY30" t="s">
        <v>1113</v>
      </c>
      <c r="AZ30" t="s">
        <v>265</v>
      </c>
      <c r="BA30" t="s">
        <v>1114</v>
      </c>
      <c r="BB30" t="s">
        <v>1115</v>
      </c>
      <c r="BC30" t="s">
        <v>1116</v>
      </c>
      <c r="BD30" t="s">
        <v>162</v>
      </c>
      <c r="BE30" t="s">
        <v>773</v>
      </c>
      <c r="BF30" t="s">
        <v>1117</v>
      </c>
      <c r="BG30" t="s">
        <v>1118</v>
      </c>
      <c r="BH30" t="s">
        <v>785</v>
      </c>
      <c r="BI30" t="s">
        <v>1083</v>
      </c>
      <c r="BJ30" t="s">
        <v>1007</v>
      </c>
      <c r="BK30" t="s">
        <v>162</v>
      </c>
      <c r="BL30" t="s">
        <v>1008</v>
      </c>
      <c r="BM30" t="s">
        <v>160</v>
      </c>
      <c r="BN30" t="s">
        <v>200</v>
      </c>
      <c r="BO30" t="s">
        <v>494</v>
      </c>
      <c r="BP30" t="s">
        <v>274</v>
      </c>
      <c r="BQ30" t="s">
        <v>1119</v>
      </c>
      <c r="BR30" t="s">
        <v>1120</v>
      </c>
      <c r="BS30" t="s">
        <v>1121</v>
      </c>
      <c r="BT30" t="s">
        <v>160</v>
      </c>
      <c r="BU30" t="s">
        <v>205</v>
      </c>
      <c r="BV30" t="s">
        <v>200</v>
      </c>
      <c r="BW30" t="s">
        <v>206</v>
      </c>
      <c r="BX30" t="s">
        <v>207</v>
      </c>
      <c r="BY30" t="s">
        <v>172</v>
      </c>
      <c r="BZ30" t="s">
        <v>208</v>
      </c>
      <c r="CA30" t="s">
        <v>172</v>
      </c>
      <c r="CB30" t="s">
        <v>172</v>
      </c>
      <c r="CC30" t="s">
        <v>209</v>
      </c>
      <c r="CD30" t="s">
        <v>210</v>
      </c>
      <c r="CE30" t="s">
        <v>197</v>
      </c>
      <c r="CF30" t="s">
        <v>211</v>
      </c>
      <c r="CG30" t="s">
        <v>212</v>
      </c>
      <c r="CH30" t="s">
        <v>213</v>
      </c>
      <c r="CI30" t="s">
        <v>178</v>
      </c>
      <c r="CJ30" t="s">
        <v>206</v>
      </c>
      <c r="CK30" t="s">
        <v>214</v>
      </c>
      <c r="CL30" t="s">
        <v>214</v>
      </c>
      <c r="CM30" t="s">
        <v>214</v>
      </c>
      <c r="CN30" t="s">
        <v>172</v>
      </c>
      <c r="CO30" t="s">
        <v>215</v>
      </c>
      <c r="CP30" t="s">
        <v>172</v>
      </c>
      <c r="CQ30" t="s">
        <v>172</v>
      </c>
      <c r="CR30" t="s">
        <v>172</v>
      </c>
      <c r="CS30" t="s">
        <v>172</v>
      </c>
      <c r="CT30" t="s">
        <v>1122</v>
      </c>
      <c r="CU30" t="s">
        <v>1123</v>
      </c>
      <c r="CV30" t="s">
        <v>1124</v>
      </c>
      <c r="CW30" t="s">
        <v>1125</v>
      </c>
      <c r="CX30" t="s">
        <v>1126</v>
      </c>
      <c r="CY30" t="s">
        <v>1127</v>
      </c>
      <c r="CZ30" t="s">
        <v>1128</v>
      </c>
      <c r="DA30" t="s">
        <v>1129</v>
      </c>
      <c r="DB30" t="s">
        <v>1102</v>
      </c>
      <c r="DC30" t="s">
        <v>1130</v>
      </c>
      <c r="DD30" t="s">
        <v>225</v>
      </c>
      <c r="DE30" t="s">
        <v>226</v>
      </c>
      <c r="DF30" t="s">
        <v>178</v>
      </c>
      <c r="DG30" t="s">
        <v>227</v>
      </c>
      <c r="DH30" t="s">
        <v>228</v>
      </c>
      <c r="DI30" t="s">
        <v>178</v>
      </c>
      <c r="DJ30" t="s">
        <v>229</v>
      </c>
      <c r="DK30" t="s">
        <v>230</v>
      </c>
      <c r="DL30" t="s">
        <v>231</v>
      </c>
      <c r="DM30" t="s">
        <v>172</v>
      </c>
      <c r="DN30" t="s">
        <v>1101</v>
      </c>
      <c r="DO30" t="s">
        <v>232</v>
      </c>
      <c r="DP30" t="s">
        <v>233</v>
      </c>
      <c r="DQ30" t="s">
        <v>234</v>
      </c>
      <c r="DR30" t="s">
        <v>235</v>
      </c>
      <c r="DS30" t="s">
        <v>236</v>
      </c>
      <c r="DT30" t="s">
        <v>237</v>
      </c>
    </row>
    <row r="31" spans="1:124" x14ac:dyDescent="0.7">
      <c r="A31" t="s">
        <v>443</v>
      </c>
      <c r="B31" t="s">
        <v>1131</v>
      </c>
      <c r="C31" t="s">
        <v>162</v>
      </c>
      <c r="D31" t="s">
        <v>163</v>
      </c>
      <c r="E31" t="s">
        <v>164</v>
      </c>
      <c r="F31" t="s">
        <v>138</v>
      </c>
      <c r="G31" t="s">
        <v>1473</v>
      </c>
      <c r="H31" t="s">
        <v>1477</v>
      </c>
      <c r="I31" s="4" t="s">
        <v>1132</v>
      </c>
      <c r="J31">
        <v>0.36944127325468684</v>
      </c>
      <c r="K31">
        <v>2.9042299199999997</v>
      </c>
      <c r="L31">
        <v>0.32774898153483673</v>
      </c>
      <c r="M31">
        <v>5.3508186964124977</v>
      </c>
      <c r="N31" t="s">
        <v>1133</v>
      </c>
      <c r="O31" t="s">
        <v>1134</v>
      </c>
      <c r="P31">
        <v>2.8488659059207198</v>
      </c>
      <c r="Q31">
        <v>1.6315339059207197</v>
      </c>
      <c r="R31" t="s">
        <v>1135</v>
      </c>
      <c r="S31" t="s">
        <v>1136</v>
      </c>
      <c r="T31">
        <v>27.938275040901441</v>
      </c>
      <c r="U31">
        <v>0.4417875</v>
      </c>
      <c r="V31" t="s">
        <v>170</v>
      </c>
      <c r="W31" t="s">
        <v>1137</v>
      </c>
      <c r="X31" t="s">
        <v>172</v>
      </c>
      <c r="Y31" t="s">
        <v>172</v>
      </c>
      <c r="Z31" t="s">
        <v>172</v>
      </c>
      <c r="AA31" t="s">
        <v>1138</v>
      </c>
      <c r="AB31" t="s">
        <v>1139</v>
      </c>
      <c r="AC31" t="s">
        <v>1140</v>
      </c>
      <c r="AD31" t="s">
        <v>176</v>
      </c>
      <c r="AE31" t="s">
        <v>177</v>
      </c>
      <c r="AF31">
        <v>185.28182063999998</v>
      </c>
      <c r="AG31" t="s">
        <v>178</v>
      </c>
      <c r="AH31" t="s">
        <v>1141</v>
      </c>
      <c r="AI31" t="s">
        <v>1142</v>
      </c>
      <c r="AJ31" t="s">
        <v>1143</v>
      </c>
      <c r="AK31" t="s">
        <v>1144</v>
      </c>
      <c r="AL31">
        <v>23.17</v>
      </c>
      <c r="AM31" t="s">
        <v>800</v>
      </c>
      <c r="AN31" t="s">
        <v>254</v>
      </c>
      <c r="AO31" t="s">
        <v>563</v>
      </c>
      <c r="AP31" t="s">
        <v>839</v>
      </c>
      <c r="AQ31" t="s">
        <v>1145</v>
      </c>
      <c r="AR31" t="s">
        <v>1146</v>
      </c>
      <c r="AS31" t="s">
        <v>1147</v>
      </c>
      <c r="AT31" t="s">
        <v>1148</v>
      </c>
      <c r="AU31" t="s">
        <v>1149</v>
      </c>
      <c r="AV31" t="s">
        <v>1150</v>
      </c>
      <c r="AW31" t="s">
        <v>1151</v>
      </c>
      <c r="AX31" t="s">
        <v>1152</v>
      </c>
      <c r="AY31" t="s">
        <v>1153</v>
      </c>
      <c r="AZ31" t="s">
        <v>265</v>
      </c>
      <c r="BA31" t="s">
        <v>1114</v>
      </c>
      <c r="BB31" t="s">
        <v>1115</v>
      </c>
      <c r="BC31" t="s">
        <v>1154</v>
      </c>
      <c r="BD31" t="s">
        <v>162</v>
      </c>
      <c r="BE31" t="s">
        <v>532</v>
      </c>
      <c r="BF31" t="s">
        <v>363</v>
      </c>
      <c r="BG31" t="s">
        <v>1155</v>
      </c>
      <c r="BH31" t="s">
        <v>750</v>
      </c>
      <c r="BI31" t="s">
        <v>1156</v>
      </c>
      <c r="BJ31" t="s">
        <v>1007</v>
      </c>
      <c r="BK31" t="s">
        <v>162</v>
      </c>
      <c r="BL31" t="s">
        <v>1008</v>
      </c>
      <c r="BM31" t="s">
        <v>160</v>
      </c>
      <c r="BN31" t="s">
        <v>200</v>
      </c>
      <c r="BO31" t="s">
        <v>494</v>
      </c>
      <c r="BP31" t="s">
        <v>366</v>
      </c>
      <c r="BQ31" t="s">
        <v>1157</v>
      </c>
      <c r="BR31" t="s">
        <v>1158</v>
      </c>
      <c r="BS31" t="s">
        <v>1159</v>
      </c>
      <c r="BT31" t="s">
        <v>160</v>
      </c>
      <c r="BU31" t="s">
        <v>205</v>
      </c>
      <c r="BV31" t="s">
        <v>200</v>
      </c>
      <c r="BW31" t="s">
        <v>206</v>
      </c>
      <c r="BX31" t="s">
        <v>207</v>
      </c>
      <c r="BY31" t="s">
        <v>172</v>
      </c>
      <c r="BZ31" t="s">
        <v>208</v>
      </c>
      <c r="CA31" t="s">
        <v>172</v>
      </c>
      <c r="CB31" t="s">
        <v>172</v>
      </c>
      <c r="CC31" t="s">
        <v>209</v>
      </c>
      <c r="CD31" t="s">
        <v>210</v>
      </c>
      <c r="CE31" t="s">
        <v>197</v>
      </c>
      <c r="CF31" t="s">
        <v>211</v>
      </c>
      <c r="CG31" t="s">
        <v>212</v>
      </c>
      <c r="CH31" t="s">
        <v>213</v>
      </c>
      <c r="CI31" t="s">
        <v>178</v>
      </c>
      <c r="CJ31" t="s">
        <v>206</v>
      </c>
      <c r="CK31" t="s">
        <v>214</v>
      </c>
      <c r="CL31" t="s">
        <v>214</v>
      </c>
      <c r="CM31" t="s">
        <v>214</v>
      </c>
      <c r="CN31" t="s">
        <v>172</v>
      </c>
      <c r="CO31" t="s">
        <v>215</v>
      </c>
      <c r="CP31" t="s">
        <v>172</v>
      </c>
      <c r="CQ31" t="s">
        <v>172</v>
      </c>
      <c r="CR31" t="s">
        <v>172</v>
      </c>
      <c r="CS31" t="s">
        <v>172</v>
      </c>
      <c r="CT31" t="s">
        <v>1160</v>
      </c>
      <c r="CU31" t="s">
        <v>1161</v>
      </c>
      <c r="CV31" t="s">
        <v>1162</v>
      </c>
      <c r="CW31" t="s">
        <v>1163</v>
      </c>
      <c r="CX31" t="s">
        <v>1164</v>
      </c>
      <c r="CY31" t="s">
        <v>1165</v>
      </c>
      <c r="CZ31" t="s">
        <v>1166</v>
      </c>
      <c r="DA31" t="s">
        <v>1167</v>
      </c>
      <c r="DB31" t="s">
        <v>1138</v>
      </c>
      <c r="DC31" t="s">
        <v>1168</v>
      </c>
      <c r="DD31" t="s">
        <v>225</v>
      </c>
      <c r="DE31" t="s">
        <v>226</v>
      </c>
      <c r="DF31" t="s">
        <v>178</v>
      </c>
      <c r="DG31" t="s">
        <v>227</v>
      </c>
      <c r="DH31" t="s">
        <v>228</v>
      </c>
      <c r="DI31" t="s">
        <v>178</v>
      </c>
      <c r="DJ31" t="s">
        <v>229</v>
      </c>
      <c r="DK31" t="s">
        <v>230</v>
      </c>
      <c r="DL31" t="s">
        <v>231</v>
      </c>
      <c r="DM31" t="s">
        <v>172</v>
      </c>
      <c r="DN31" t="s">
        <v>1137</v>
      </c>
      <c r="DO31" t="s">
        <v>232</v>
      </c>
      <c r="DP31" t="s">
        <v>233</v>
      </c>
      <c r="DQ31" t="s">
        <v>234</v>
      </c>
      <c r="DR31" t="s">
        <v>235</v>
      </c>
      <c r="DS31" t="s">
        <v>236</v>
      </c>
      <c r="DT31" t="s">
        <v>237</v>
      </c>
    </row>
    <row r="32" spans="1:124" x14ac:dyDescent="0.7">
      <c r="A32" t="s">
        <v>1396</v>
      </c>
      <c r="B32" t="s">
        <v>1397</v>
      </c>
      <c r="C32" t="s">
        <v>162</v>
      </c>
      <c r="D32" t="s">
        <v>163</v>
      </c>
      <c r="E32" t="s">
        <v>164</v>
      </c>
      <c r="F32" t="s">
        <v>138</v>
      </c>
      <c r="G32" t="s">
        <v>1473</v>
      </c>
      <c r="H32" t="s">
        <v>1477</v>
      </c>
      <c r="I32" s="4" t="s">
        <v>1398</v>
      </c>
      <c r="J32">
        <v>0.36444643403030369</v>
      </c>
      <c r="K32">
        <v>2.9042299199999997</v>
      </c>
      <c r="L32">
        <v>0.32381188080705942</v>
      </c>
      <c r="M32">
        <v>6.5955742954951146</v>
      </c>
      <c r="N32" t="s">
        <v>1399</v>
      </c>
      <c r="O32" t="s">
        <v>1400</v>
      </c>
      <c r="P32">
        <v>3.2563001579112365</v>
      </c>
      <c r="Q32">
        <v>2.0313861579112364</v>
      </c>
      <c r="R32" t="s">
        <v>1401</v>
      </c>
      <c r="S32" t="s">
        <v>1402</v>
      </c>
      <c r="T32">
        <v>31.933903676681737</v>
      </c>
      <c r="U32">
        <v>0.4417875</v>
      </c>
      <c r="V32" t="s">
        <v>170</v>
      </c>
      <c r="W32" t="s">
        <v>1403</v>
      </c>
      <c r="X32" t="s">
        <v>172</v>
      </c>
      <c r="Y32" t="s">
        <v>172</v>
      </c>
      <c r="Z32" t="s">
        <v>172</v>
      </c>
      <c r="AA32" t="s">
        <v>1404</v>
      </c>
      <c r="AB32" t="s">
        <v>1405</v>
      </c>
      <c r="AC32" t="s">
        <v>1406</v>
      </c>
      <c r="AD32" t="s">
        <v>176</v>
      </c>
      <c r="AE32" t="s">
        <v>177</v>
      </c>
      <c r="AF32">
        <v>192.48727679999999</v>
      </c>
      <c r="AG32" t="s">
        <v>178</v>
      </c>
      <c r="AH32" t="s">
        <v>1407</v>
      </c>
      <c r="AI32" t="s">
        <v>1408</v>
      </c>
      <c r="AJ32" t="s">
        <v>1409</v>
      </c>
      <c r="AK32" t="s">
        <v>1410</v>
      </c>
      <c r="AL32">
        <v>25.4</v>
      </c>
      <c r="AM32" t="s">
        <v>800</v>
      </c>
      <c r="AN32" t="s">
        <v>254</v>
      </c>
      <c r="AO32" t="s">
        <v>1411</v>
      </c>
      <c r="AP32" t="s">
        <v>1412</v>
      </c>
      <c r="AQ32" t="s">
        <v>1413</v>
      </c>
      <c r="AR32" t="s">
        <v>1414</v>
      </c>
      <c r="AS32" t="s">
        <v>1264</v>
      </c>
      <c r="AT32" t="s">
        <v>1415</v>
      </c>
      <c r="AU32" t="s">
        <v>1416</v>
      </c>
      <c r="AV32" t="s">
        <v>1417</v>
      </c>
      <c r="AW32" t="s">
        <v>1418</v>
      </c>
      <c r="AX32" t="s">
        <v>1419</v>
      </c>
      <c r="AY32" t="s">
        <v>1420</v>
      </c>
      <c r="AZ32" t="s">
        <v>1270</v>
      </c>
      <c r="BA32" t="s">
        <v>1421</v>
      </c>
      <c r="BB32" t="s">
        <v>1422</v>
      </c>
      <c r="BC32" t="s">
        <v>1423</v>
      </c>
      <c r="BD32" t="s">
        <v>162</v>
      </c>
      <c r="BE32" t="s">
        <v>577</v>
      </c>
      <c r="BF32" t="s">
        <v>363</v>
      </c>
      <c r="BG32" t="s">
        <v>1424</v>
      </c>
      <c r="BH32" t="s">
        <v>728</v>
      </c>
      <c r="BI32" t="s">
        <v>1312</v>
      </c>
      <c r="BJ32" t="s">
        <v>1007</v>
      </c>
      <c r="BK32" t="s">
        <v>162</v>
      </c>
      <c r="BL32" t="s">
        <v>1008</v>
      </c>
      <c r="BM32" t="s">
        <v>160</v>
      </c>
      <c r="BN32" t="s">
        <v>494</v>
      </c>
      <c r="BO32" t="s">
        <v>494</v>
      </c>
      <c r="BP32" t="s">
        <v>200</v>
      </c>
      <c r="BQ32" t="s">
        <v>1425</v>
      </c>
      <c r="BR32" t="s">
        <v>1426</v>
      </c>
      <c r="BS32" t="s">
        <v>1427</v>
      </c>
      <c r="BT32" t="s">
        <v>160</v>
      </c>
      <c r="BU32" t="s">
        <v>205</v>
      </c>
      <c r="BV32" t="s">
        <v>200</v>
      </c>
      <c r="BW32" t="s">
        <v>206</v>
      </c>
      <c r="BX32" t="s">
        <v>207</v>
      </c>
      <c r="BY32" t="s">
        <v>172</v>
      </c>
      <c r="BZ32" t="s">
        <v>208</v>
      </c>
      <c r="CA32" t="s">
        <v>172</v>
      </c>
      <c r="CB32" t="s">
        <v>172</v>
      </c>
      <c r="CC32" t="s">
        <v>209</v>
      </c>
      <c r="CD32" t="s">
        <v>210</v>
      </c>
      <c r="CE32" t="s">
        <v>197</v>
      </c>
      <c r="CF32" t="s">
        <v>211</v>
      </c>
      <c r="CG32" t="s">
        <v>212</v>
      </c>
      <c r="CH32" t="s">
        <v>213</v>
      </c>
      <c r="CI32" t="s">
        <v>178</v>
      </c>
      <c r="CJ32" t="s">
        <v>206</v>
      </c>
      <c r="CK32" t="s">
        <v>214</v>
      </c>
      <c r="CL32" t="s">
        <v>214</v>
      </c>
      <c r="CM32" t="s">
        <v>214</v>
      </c>
      <c r="CN32" t="s">
        <v>172</v>
      </c>
      <c r="CO32" t="s">
        <v>215</v>
      </c>
      <c r="CP32" t="s">
        <v>172</v>
      </c>
      <c r="CQ32" t="s">
        <v>172</v>
      </c>
      <c r="CR32" t="s">
        <v>172</v>
      </c>
      <c r="CS32" t="s">
        <v>172</v>
      </c>
      <c r="CT32" t="s">
        <v>1428</v>
      </c>
      <c r="CU32" t="s">
        <v>1429</v>
      </c>
      <c r="CV32" t="s">
        <v>1204</v>
      </c>
      <c r="CW32" t="s">
        <v>1430</v>
      </c>
      <c r="CX32" t="s">
        <v>1431</v>
      </c>
      <c r="CY32" t="s">
        <v>1432</v>
      </c>
      <c r="CZ32" t="s">
        <v>1433</v>
      </c>
      <c r="DA32" t="s">
        <v>1434</v>
      </c>
      <c r="DB32" t="s">
        <v>1404</v>
      </c>
      <c r="DC32" t="s">
        <v>1130</v>
      </c>
      <c r="DD32" t="s">
        <v>225</v>
      </c>
      <c r="DE32" t="s">
        <v>226</v>
      </c>
      <c r="DF32" t="s">
        <v>178</v>
      </c>
      <c r="DG32" t="s">
        <v>227</v>
      </c>
      <c r="DH32" t="s">
        <v>228</v>
      </c>
      <c r="DI32" t="s">
        <v>178</v>
      </c>
      <c r="DJ32" t="s">
        <v>229</v>
      </c>
      <c r="DK32" t="s">
        <v>230</v>
      </c>
      <c r="DL32" t="s">
        <v>231</v>
      </c>
      <c r="DM32" t="s">
        <v>172</v>
      </c>
      <c r="DN32" t="s">
        <v>1403</v>
      </c>
      <c r="DO32" t="s">
        <v>232</v>
      </c>
      <c r="DP32" t="s">
        <v>233</v>
      </c>
      <c r="DQ32" t="s">
        <v>234</v>
      </c>
      <c r="DR32" t="s">
        <v>235</v>
      </c>
      <c r="DS32" t="s">
        <v>236</v>
      </c>
      <c r="DT32" t="s">
        <v>237</v>
      </c>
    </row>
    <row r="33" spans="1:124" s="2" customFormat="1" ht="19.5" thickBot="1" x14ac:dyDescent="0.75">
      <c r="A33" s="2" t="s">
        <v>1302</v>
      </c>
      <c r="B33" s="2" t="s">
        <v>1435</v>
      </c>
      <c r="C33" s="2" t="s">
        <v>162</v>
      </c>
      <c r="D33" s="2" t="s">
        <v>163</v>
      </c>
      <c r="E33" s="2" t="s">
        <v>164</v>
      </c>
      <c r="F33" s="2" t="s">
        <v>138</v>
      </c>
      <c r="G33" s="2" t="s">
        <v>1473</v>
      </c>
      <c r="H33" s="2" t="s">
        <v>1477</v>
      </c>
      <c r="I33" s="5" t="s">
        <v>1436</v>
      </c>
      <c r="J33" s="2">
        <v>0.19725202843431902</v>
      </c>
      <c r="K33" s="2">
        <v>2.9074300800000006</v>
      </c>
      <c r="L33" s="2">
        <v>0.18471987172308824</v>
      </c>
      <c r="M33" s="2">
        <v>3.6086989980967417</v>
      </c>
      <c r="N33" s="2" t="s">
        <v>1437</v>
      </c>
      <c r="O33" s="2" t="s">
        <v>1438</v>
      </c>
      <c r="P33" s="2">
        <v>3.0824266084058962</v>
      </c>
      <c r="Q33" s="2">
        <v>1.9504836084058963</v>
      </c>
      <c r="R33" s="2" t="s">
        <v>1439</v>
      </c>
      <c r="S33" s="2" t="s">
        <v>1440</v>
      </c>
      <c r="T33" s="2">
        <v>30.234689636153959</v>
      </c>
      <c r="U33" s="2">
        <v>0.4417875</v>
      </c>
      <c r="V33" s="2" t="s">
        <v>170</v>
      </c>
      <c r="W33" s="2" t="s">
        <v>1441</v>
      </c>
      <c r="X33" s="2" t="s">
        <v>172</v>
      </c>
      <c r="Y33" s="2" t="s">
        <v>172</v>
      </c>
      <c r="Z33" s="2" t="s">
        <v>172</v>
      </c>
      <c r="AA33" s="2" t="s">
        <v>1442</v>
      </c>
      <c r="AB33" s="2" t="s">
        <v>1443</v>
      </c>
      <c r="AC33" s="2" t="s">
        <v>1444</v>
      </c>
      <c r="AD33" s="2" t="s">
        <v>176</v>
      </c>
      <c r="AE33" s="2" t="s">
        <v>177</v>
      </c>
      <c r="AF33" s="2">
        <v>209.84099135999998</v>
      </c>
      <c r="AG33" s="2" t="s">
        <v>178</v>
      </c>
      <c r="AH33" s="2" t="s">
        <v>1445</v>
      </c>
      <c r="AI33" s="2" t="s">
        <v>1446</v>
      </c>
      <c r="AJ33" s="2" t="s">
        <v>1447</v>
      </c>
      <c r="AK33" s="2" t="s">
        <v>952</v>
      </c>
      <c r="AL33" s="2">
        <v>24.48</v>
      </c>
      <c r="AM33" s="2" t="s">
        <v>394</v>
      </c>
      <c r="AN33" s="2" t="s">
        <v>1448</v>
      </c>
      <c r="AO33" s="2" t="s">
        <v>1338</v>
      </c>
      <c r="AP33" s="2" t="s">
        <v>396</v>
      </c>
      <c r="AQ33" s="2" t="s">
        <v>1449</v>
      </c>
      <c r="AR33" s="2" t="s">
        <v>1450</v>
      </c>
      <c r="AS33" s="2" t="s">
        <v>568</v>
      </c>
      <c r="AT33" s="2" t="s">
        <v>1451</v>
      </c>
      <c r="AU33" s="2" t="s">
        <v>1452</v>
      </c>
      <c r="AV33" s="2" t="s">
        <v>1453</v>
      </c>
      <c r="AW33" s="2" t="s">
        <v>1454</v>
      </c>
      <c r="AX33" s="2" t="s">
        <v>1455</v>
      </c>
      <c r="AY33" s="2" t="s">
        <v>1456</v>
      </c>
      <c r="AZ33" s="2" t="s">
        <v>1270</v>
      </c>
      <c r="BA33" s="2" t="s">
        <v>1457</v>
      </c>
      <c r="BB33" s="2" t="s">
        <v>1458</v>
      </c>
      <c r="BC33" s="2" t="s">
        <v>1459</v>
      </c>
      <c r="BD33" s="2" t="s">
        <v>162</v>
      </c>
      <c r="BE33" s="2" t="s">
        <v>773</v>
      </c>
      <c r="BF33" s="2" t="s">
        <v>1460</v>
      </c>
      <c r="BG33" s="2" t="s">
        <v>1461</v>
      </c>
      <c r="BH33" s="2" t="s">
        <v>728</v>
      </c>
      <c r="BI33" s="2" t="s">
        <v>1312</v>
      </c>
      <c r="BJ33" s="2" t="s">
        <v>1007</v>
      </c>
      <c r="BK33" s="2" t="s">
        <v>162</v>
      </c>
      <c r="BL33" s="2" t="s">
        <v>1008</v>
      </c>
      <c r="BM33" s="2" t="s">
        <v>160</v>
      </c>
      <c r="BN33" s="2" t="s">
        <v>321</v>
      </c>
      <c r="BO33" s="2" t="s">
        <v>200</v>
      </c>
      <c r="BP33" s="2" t="s">
        <v>452</v>
      </c>
      <c r="BQ33" s="2" t="s">
        <v>1462</v>
      </c>
      <c r="BR33" s="2" t="s">
        <v>1463</v>
      </c>
      <c r="BS33" s="2" t="s">
        <v>1464</v>
      </c>
      <c r="BT33" s="2" t="s">
        <v>160</v>
      </c>
      <c r="BU33" s="2" t="s">
        <v>205</v>
      </c>
      <c r="BV33" s="2" t="s">
        <v>200</v>
      </c>
      <c r="BW33" s="2" t="s">
        <v>206</v>
      </c>
      <c r="BX33" s="2" t="s">
        <v>207</v>
      </c>
      <c r="BY33" s="2" t="s">
        <v>172</v>
      </c>
      <c r="BZ33" s="2" t="s">
        <v>208</v>
      </c>
      <c r="CA33" s="2" t="s">
        <v>172</v>
      </c>
      <c r="CB33" s="2" t="s">
        <v>172</v>
      </c>
      <c r="CC33" s="2" t="s">
        <v>209</v>
      </c>
      <c r="CD33" s="2" t="s">
        <v>210</v>
      </c>
      <c r="CE33" s="2" t="s">
        <v>197</v>
      </c>
      <c r="CF33" s="2" t="s">
        <v>211</v>
      </c>
      <c r="CG33" s="2" t="s">
        <v>212</v>
      </c>
      <c r="CH33" s="2" t="s">
        <v>213</v>
      </c>
      <c r="CI33" s="2" t="s">
        <v>178</v>
      </c>
      <c r="CJ33" s="2" t="s">
        <v>206</v>
      </c>
      <c r="CK33" s="2" t="s">
        <v>214</v>
      </c>
      <c r="CL33" s="2" t="s">
        <v>214</v>
      </c>
      <c r="CM33" s="2" t="s">
        <v>214</v>
      </c>
      <c r="CN33" s="2" t="s">
        <v>172</v>
      </c>
      <c r="CO33" s="2" t="s">
        <v>215</v>
      </c>
      <c r="CP33" s="2" t="s">
        <v>172</v>
      </c>
      <c r="CQ33" s="2" t="s">
        <v>172</v>
      </c>
      <c r="CR33" s="2" t="s">
        <v>172</v>
      </c>
      <c r="CS33" s="2" t="s">
        <v>172</v>
      </c>
      <c r="CT33" s="2" t="s">
        <v>1465</v>
      </c>
      <c r="CU33" s="2" t="s">
        <v>1466</v>
      </c>
      <c r="CV33" s="2" t="s">
        <v>1467</v>
      </c>
      <c r="CW33" s="2" t="s">
        <v>1468</v>
      </c>
      <c r="CX33" s="2" t="s">
        <v>1469</v>
      </c>
      <c r="CY33" s="2" t="s">
        <v>1470</v>
      </c>
      <c r="CZ33" s="2" t="s">
        <v>1471</v>
      </c>
      <c r="DA33" s="2" t="s">
        <v>1472</v>
      </c>
      <c r="DB33" s="2" t="s">
        <v>1442</v>
      </c>
      <c r="DC33" s="2" t="s">
        <v>378</v>
      </c>
      <c r="DD33" s="2" t="s">
        <v>225</v>
      </c>
      <c r="DE33" s="2" t="s">
        <v>226</v>
      </c>
      <c r="DF33" s="2" t="s">
        <v>178</v>
      </c>
      <c r="DG33" s="2" t="s">
        <v>227</v>
      </c>
      <c r="DH33" s="2" t="s">
        <v>228</v>
      </c>
      <c r="DI33" s="2" t="s">
        <v>178</v>
      </c>
      <c r="DJ33" s="2" t="s">
        <v>229</v>
      </c>
      <c r="DK33" s="2" t="s">
        <v>230</v>
      </c>
      <c r="DL33" s="2" t="s">
        <v>231</v>
      </c>
      <c r="DM33" s="2" t="s">
        <v>172</v>
      </c>
      <c r="DN33" s="2" t="s">
        <v>1441</v>
      </c>
      <c r="DO33" s="2" t="s">
        <v>232</v>
      </c>
      <c r="DP33" s="2" t="s">
        <v>233</v>
      </c>
      <c r="DQ33" s="2" t="s">
        <v>234</v>
      </c>
      <c r="DR33" s="2" t="s">
        <v>235</v>
      </c>
      <c r="DS33" s="2" t="s">
        <v>236</v>
      </c>
      <c r="DT33" s="2" t="s">
        <v>237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lightfluoromete</vt:lpstr>
      <vt:lpstr>정리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박은빈</cp:lastModifiedBy>
  <dcterms:modified xsi:type="dcterms:W3CDTF">2026-10-17T07:33:04Z</dcterms:modified>
</cp:coreProperties>
</file>