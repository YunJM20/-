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기공전도도/RAW/"/>
    </mc:Choice>
  </mc:AlternateContent>
  <xr:revisionPtr revIDLastSave="11" documentId="11_A4E7011E00D17A666A6102B9A8108195A02EFC9F" xr6:coauthVersionLast="47" xr6:coauthVersionMax="47" xr10:uidLastSave="{E6EE7E89-E490-49D4-988F-9F2EA1D2FE72}"/>
  <bookViews>
    <workbookView xWindow="-120" yWindow="-120" windowWidth="29040" windowHeight="15720" xr2:uid="{00000000-000D-0000-FFFF-FFFF00000000}"/>
  </bookViews>
  <sheets>
    <sheet name="lightfluorome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2" i="1" l="1"/>
  <c r="P12" i="1" s="1"/>
  <c r="AF12" i="1"/>
  <c r="U12" i="1"/>
  <c r="M12" i="1" s="1"/>
  <c r="K12" i="1"/>
  <c r="AL11" i="1"/>
  <c r="P11" i="1" s="1"/>
  <c r="AF11" i="1"/>
  <c r="U11" i="1"/>
  <c r="M11" i="1" s="1"/>
  <c r="K11" i="1"/>
  <c r="AL10" i="1"/>
  <c r="AF10" i="1"/>
  <c r="U10" i="1"/>
  <c r="M10" i="1" s="1"/>
  <c r="P10" i="1"/>
  <c r="K10" i="1"/>
  <c r="AL9" i="1"/>
  <c r="P9" i="1" s="1"/>
  <c r="AF9" i="1"/>
  <c r="U9" i="1"/>
  <c r="M9" i="1"/>
  <c r="K9" i="1"/>
  <c r="AL8" i="1"/>
  <c r="P8" i="1" s="1"/>
  <c r="AF8" i="1"/>
  <c r="U8" i="1"/>
  <c r="M8" i="1"/>
  <c r="K8" i="1"/>
  <c r="AL7" i="1"/>
  <c r="P7" i="1" s="1"/>
  <c r="AF7" i="1"/>
  <c r="U7" i="1"/>
  <c r="M7" i="1" s="1"/>
  <c r="K7" i="1"/>
  <c r="AL6" i="1"/>
  <c r="AF6" i="1"/>
  <c r="U6" i="1"/>
  <c r="P6" i="1"/>
  <c r="M6" i="1"/>
  <c r="K6" i="1"/>
  <c r="AL5" i="1"/>
  <c r="P5" i="1" s="1"/>
  <c r="AF5" i="1"/>
  <c r="U5" i="1"/>
  <c r="M5" i="1"/>
  <c r="K5" i="1"/>
  <c r="AL4" i="1"/>
  <c r="P4" i="1" s="1"/>
  <c r="AF4" i="1"/>
  <c r="U4" i="1"/>
  <c r="M4" i="1" s="1"/>
  <c r="K4" i="1"/>
  <c r="T12" i="1" l="1"/>
  <c r="L12" i="1" s="1"/>
  <c r="J12" i="1" s="1"/>
  <c r="Q12" i="1"/>
  <c r="T11" i="1"/>
  <c r="L11" i="1" s="1"/>
  <c r="J11" i="1" s="1"/>
  <c r="Q11" i="1"/>
  <c r="Q10" i="1"/>
  <c r="T10" i="1"/>
  <c r="L10" i="1" s="1"/>
  <c r="J10" i="1" s="1"/>
  <c r="Q9" i="1"/>
  <c r="T9" i="1"/>
  <c r="L9" i="1" s="1"/>
  <c r="J9" i="1" s="1"/>
  <c r="T8" i="1"/>
  <c r="L8" i="1" s="1"/>
  <c r="J8" i="1" s="1"/>
  <c r="Q8" i="1"/>
  <c r="Q7" i="1"/>
  <c r="T7" i="1"/>
  <c r="L7" i="1" s="1"/>
  <c r="J7" i="1" s="1"/>
  <c r="T6" i="1"/>
  <c r="L6" i="1" s="1"/>
  <c r="J6" i="1" s="1"/>
  <c r="Q6" i="1"/>
  <c r="Q5" i="1"/>
  <c r="T5" i="1"/>
  <c r="L5" i="1" s="1"/>
  <c r="J5" i="1" s="1"/>
  <c r="T4" i="1"/>
  <c r="L4" i="1" s="1"/>
  <c r="J4" i="1" s="1"/>
  <c r="Q4" i="1"/>
</calcChain>
</file>

<file path=xl/sharedStrings.xml><?xml version="1.0" encoding="utf-8"?>
<sst xmlns="http://schemas.openxmlformats.org/spreadsheetml/2006/main" count="1398" uniqueCount="576">
  <si>
    <t>SYS</t>
  </si>
  <si>
    <t>USERDEF</t>
  </si>
  <si>
    <t>PORO</t>
  </si>
  <si>
    <t>FLUORO</t>
  </si>
  <si>
    <t>SENSOR</t>
  </si>
  <si>
    <t>LEAF_ANGLE</t>
  </si>
  <si>
    <t>GPS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</si>
  <si>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</si>
  <si>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</si>
  <si>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</si>
  <si>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</si>
  <si>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</si>
  <si>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</si>
  <si>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</si>
  <si>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</si>
  <si>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</si>
  <si>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</si>
  <si>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</si>
  <si>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</si>
  <si>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</si>
  <si>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Species</t>
  </si>
  <si>
    <t>Treatment</t>
  </si>
  <si>
    <t>Number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</si>
  <si>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</si>
  <si>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</si>
  <si>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</si>
  <si>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</si>
  <si>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</si>
  <si>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</si>
  <si>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</si>
  <si>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</si>
  <si>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</si>
  <si>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</si>
  <si>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</si>
  <si>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</si>
  <si>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</si>
  <si>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</si>
  <si>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</si>
  <si>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</si>
  <si>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</si>
  <si>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</si>
  <si>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</si>
  <si>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</si>
  <si>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</si>
  <si>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</si>
  <si>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</si>
  <si>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</si>
  <si>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</si>
  <si>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</si>
  <si>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</si>
  <si>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</si>
  <si>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</si>
  <si>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</si>
  <si>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</si>
  <si>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</si>
  <si>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</si>
  <si>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</si>
  <si>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</si>
  <si>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</si>
  <si>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</si>
  <si>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</si>
  <si>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</si>
  <si>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</si>
  <si>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</si>
  <si>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</si>
  <si>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</si>
  <si>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</si>
  <si>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</si>
  <si>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</si>
  <si>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</si>
  <si>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</si>
  <si>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</si>
  <si>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</si>
  <si>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</si>
  <si>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</si>
  <si>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</si>
  <si>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</si>
  <si>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</si>
  <si>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</si>
  <si>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</si>
  <si>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</si>
  <si>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</si>
  <si>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</si>
  <si>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</si>
  <si>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</si>
  <si>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</si>
  <si>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</si>
  <si>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</si>
  <si>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</si>
  <si>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</si>
  <si>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</si>
  <si>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</si>
  <si>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</si>
  <si>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</si>
  <si>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</si>
  <si>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</si>
  <si>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</si>
  <si>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</si>
  <si>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</si>
  <si>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</si>
  <si>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</si>
  <si>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</si>
  <si>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</si>
  <si>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</si>
  <si>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</si>
  <si>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</si>
  <si>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</si>
  <si>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</si>
  <si>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</si>
  <si>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</si>
  <si>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</si>
  <si>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</si>
  <si>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</si>
  <si>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</si>
  <si>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</si>
  <si>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</si>
  <si>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</si>
  <si>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</si>
  <si>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</si>
  <si>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</si>
  <si>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</si>
  <si>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</si>
  <si>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</si>
  <si>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</si>
  <si>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</si>
  <si>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</si>
  <si>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</si>
  <si>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</si>
  <si>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</si>
  <si>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</si>
  <si>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</si>
  <si>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</si>
  <si>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</si>
  <si>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</si>
  <si>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</si>
  <si>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</si>
  <si>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</si>
  <si>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</si>
  <si>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/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</si>
  <si>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</si>
  <si>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</si>
  <si>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</si>
  <si>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</si>
  <si>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</si>
  <si>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</si>
  <si>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</si>
  <si>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</si>
  <si>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</si>
  <si>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</si>
  <si>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</si>
  <si>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</si>
  <si>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</si>
  <si>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degrees</t>
  </si>
  <si>
    <t>m</t>
  </si>
  <si>
    <t>(umol+1m-2s-1)s-1</t>
  </si>
  <si>
    <t>s</t>
  </si>
  <si>
    <t>Hz</t>
  </si>
  <si>
    <t>s-1</t>
  </si>
  <si>
    <t>ms</t>
  </si>
  <si>
    <t>A</t>
  </si>
  <si>
    <t>1</t>
  </si>
  <si>
    <t>10:20:05</t>
  </si>
  <si>
    <t>2026-10-06</t>
  </si>
  <si>
    <t>lightfluoromete</t>
  </si>
  <si>
    <t>yun</t>
  </si>
  <si>
    <t>001</t>
  </si>
  <si>
    <t>1.002709</t>
  </si>
  <si>
    <t>0.909779</t>
  </si>
  <si>
    <t>8.957667</t>
  </si>
  <si>
    <t>9.872660</t>
  </si>
  <si>
    <t>7.500000</t>
  </si>
  <si>
    <t>PSF-01106_20261006102005_d9e</t>
  </si>
  <si>
    <t>0.000000</t>
  </si>
  <si>
    <t>141.878479</t>
  </si>
  <si>
    <t>524.917969</t>
  </si>
  <si>
    <t>0.729713</t>
  </si>
  <si>
    <t>0.5</t>
  </si>
  <si>
    <t>0.84</t>
  </si>
  <si>
    <t>1.000000</t>
  </si>
  <si>
    <t>36.99</t>
  </si>
  <si>
    <t>33.56</t>
  </si>
  <si>
    <t>22.35</t>
  </si>
  <si>
    <t>21.01</t>
  </si>
  <si>
    <t>101.56</t>
  </si>
  <si>
    <t>156.1</t>
  </si>
  <si>
    <t>156.3</t>
  </si>
  <si>
    <t>-0.1</t>
  </si>
  <si>
    <t>193</t>
  </si>
  <si>
    <t>3.907</t>
  </si>
  <si>
    <t>-32</t>
  </si>
  <si>
    <t>-15</t>
  </si>
  <si>
    <t>37</t>
  </si>
  <si>
    <t>35.00</t>
  </si>
  <si>
    <t>-169.82</t>
  </si>
  <si>
    <t>00:00:00</t>
  </si>
  <si>
    <t>0000-00-00</t>
  </si>
  <si>
    <t>nan</t>
  </si>
  <si>
    <t>0</t>
  </si>
  <si>
    <t>10:19:11</t>
  </si>
  <si>
    <t>-0.81</t>
  </si>
  <si>
    <t>-0.001</t>
  </si>
  <si>
    <t>-0.000</t>
  </si>
  <si>
    <t>0.001</t>
  </si>
  <si>
    <t>-0.289</t>
  </si>
  <si>
    <t>-0.268</t>
  </si>
  <si>
    <t>-1.657</t>
  </si>
  <si>
    <t>150</t>
  </si>
  <si>
    <t>2.000000</t>
  </si>
  <si>
    <t>0.058905</t>
  </si>
  <si>
    <t>0.029230</t>
  </si>
  <si>
    <t>-0.000068</t>
  </si>
  <si>
    <t>standard</t>
  </si>
  <si>
    <t>rectangular</t>
  </si>
  <si>
    <t>6000</t>
  </si>
  <si>
    <t>500</t>
  </si>
  <si>
    <t>55537</t>
  </si>
  <si>
    <t>-9999</t>
  </si>
  <si>
    <t>2.481275</t>
  </si>
  <si>
    <t>2.427488</t>
  </si>
  <si>
    <t>1.670617</t>
  </si>
  <si>
    <t>0.944775</t>
  </si>
  <si>
    <t>0.303200</t>
  </si>
  <si>
    <t>-0.014120</t>
  </si>
  <si>
    <t>0.066898</t>
  </si>
  <si>
    <t>0.274957</t>
  </si>
  <si>
    <t>0.000326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</si>
  <si>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</si>
  <si>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</si>
  <si>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</si>
  <si>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</si>
  <si>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</si>
  <si>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</si>
  <si>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</si>
  <si>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</si>
  <si>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</si>
  <si>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</si>
  <si>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</si>
  <si>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</si>
  <si>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2026-02-03T01:17:36.552Z</t>
  </si>
  <si>
    <t>2</t>
  </si>
  <si>
    <t>10:20:26</t>
  </si>
  <si>
    <t>002</t>
  </si>
  <si>
    <t>1.030950</t>
  </si>
  <si>
    <t>0.941406</t>
  </si>
  <si>
    <t>9.266990</t>
  </si>
  <si>
    <t>10.148447</t>
  </si>
  <si>
    <t>PSF-01106_20261006102026_b7d</t>
  </si>
  <si>
    <t>136.906738</t>
  </si>
  <si>
    <t>518.465637</t>
  </si>
  <si>
    <t>0.735939</t>
  </si>
  <si>
    <t>37.87</t>
  </si>
  <si>
    <t>34.58</t>
  </si>
  <si>
    <t>22.42</t>
  </si>
  <si>
    <t>21.11</t>
  </si>
  <si>
    <t>101.59</t>
  </si>
  <si>
    <t>156.0</t>
  </si>
  <si>
    <t>156.7</t>
  </si>
  <si>
    <t>-0.4</t>
  </si>
  <si>
    <t>175</t>
  </si>
  <si>
    <t>3.930</t>
  </si>
  <si>
    <t>-18</t>
  </si>
  <si>
    <t>-25</t>
  </si>
  <si>
    <t>59</t>
  </si>
  <si>
    <t>30.46</t>
  </si>
  <si>
    <t>-177.47</t>
  </si>
  <si>
    <t>0.000</t>
  </si>
  <si>
    <t>0.002</t>
  </si>
  <si>
    <t>-0.069</t>
  </si>
  <si>
    <t>0.195</t>
  </si>
  <si>
    <t>0.197</t>
  </si>
  <si>
    <t>2.482818</t>
  </si>
  <si>
    <t>2.428683</t>
  </si>
  <si>
    <t>1.670424</t>
  </si>
  <si>
    <t>0.945906</t>
  </si>
  <si>
    <t>0.302360</t>
  </si>
  <si>
    <t>-0.013824</t>
  </si>
  <si>
    <t>0.070353</t>
  </si>
  <si>
    <t>0.259286</t>
  </si>
  <si>
    <t>0.000337</t>
  </si>
  <si>
    <t>3</t>
  </si>
  <si>
    <t>10:20:41</t>
  </si>
  <si>
    <t>003</t>
  </si>
  <si>
    <t>1.011625</t>
  </si>
  <si>
    <t>0.935206</t>
  </si>
  <si>
    <t>9.205780</t>
  </si>
  <si>
    <t>9.958020</t>
  </si>
  <si>
    <t>PSF-01106_20261006102041_e6b</t>
  </si>
  <si>
    <t>164.132233</t>
  </si>
  <si>
    <t>514.042114</t>
  </si>
  <si>
    <t>0.680703</t>
  </si>
  <si>
    <t>37.05</t>
  </si>
  <si>
    <t>34.25</t>
  </si>
  <si>
    <t>22.47</t>
  </si>
  <si>
    <t>21.55</t>
  </si>
  <si>
    <t>155.9</t>
  </si>
  <si>
    <t>155.1</t>
  </si>
  <si>
    <t>320</t>
  </si>
  <si>
    <t>-2</t>
  </si>
  <si>
    <t>67</t>
  </si>
  <si>
    <t>49.59</t>
  </si>
  <si>
    <t>64.82</t>
  </si>
  <si>
    <t>32.06</t>
  </si>
  <si>
    <t>-116.77</t>
  </si>
  <si>
    <t>-5.06</t>
  </si>
  <si>
    <t>138.71</t>
  </si>
  <si>
    <t>49.85</t>
  </si>
  <si>
    <t>01:18:25</t>
  </si>
  <si>
    <t>35.850521</t>
  </si>
  <si>
    <t>127.130234</t>
  </si>
  <si>
    <t>42.200001</t>
  </si>
  <si>
    <t>5</t>
  </si>
  <si>
    <t>3.120000</t>
  </si>
  <si>
    <t>0.003</t>
  </si>
  <si>
    <t>-0.040</t>
  </si>
  <si>
    <t>-0.214</t>
  </si>
  <si>
    <t>-1.462</t>
  </si>
  <si>
    <t>2.482313</t>
  </si>
  <si>
    <t>2.427558</t>
  </si>
  <si>
    <t>1.669145</t>
  </si>
  <si>
    <t>0.941778</t>
  </si>
  <si>
    <t>0.301779</t>
  </si>
  <si>
    <t>-0.009386</t>
  </si>
  <si>
    <t>0.072710</t>
  </si>
  <si>
    <t>0.386047</t>
  </si>
  <si>
    <t>0.000330</t>
  </si>
  <si>
    <t>4</t>
  </si>
  <si>
    <t>10:21:06</t>
  </si>
  <si>
    <t>004</t>
  </si>
  <si>
    <t>1.058350</t>
  </si>
  <si>
    <t>0.962262</t>
  </si>
  <si>
    <t>9.470900</t>
  </si>
  <si>
    <t>10.416622</t>
  </si>
  <si>
    <t>PSF-01106_20261006102106_60b</t>
  </si>
  <si>
    <t>143.504257</t>
  </si>
  <si>
    <t>537.752502</t>
  </si>
  <si>
    <t>0.733141</t>
  </si>
  <si>
    <t>38.56</t>
  </si>
  <si>
    <t>35.06</t>
  </si>
  <si>
    <t>22.55</t>
  </si>
  <si>
    <t>21.07</t>
  </si>
  <si>
    <t>101.60</t>
  </si>
  <si>
    <t>-0.2</t>
  </si>
  <si>
    <t>172</t>
  </si>
  <si>
    <t>3.928</t>
  </si>
  <si>
    <t>-27</t>
  </si>
  <si>
    <t>54</t>
  </si>
  <si>
    <t>79.92</t>
  </si>
  <si>
    <t>17.50</t>
  </si>
  <si>
    <t>40.92</t>
  </si>
  <si>
    <t>-169.88</t>
  </si>
  <si>
    <t>01:18:51</t>
  </si>
  <si>
    <t>35.850517</t>
  </si>
  <si>
    <t>127.130386</t>
  </si>
  <si>
    <t>35.799999</t>
  </si>
  <si>
    <t>3.100000</t>
  </si>
  <si>
    <t>-0.254</t>
  </si>
  <si>
    <t>-0.409</t>
  </si>
  <si>
    <t>-0.819</t>
  </si>
  <si>
    <t>2.483522</t>
  </si>
  <si>
    <t>2.429601</t>
  </si>
  <si>
    <t>1.669866</t>
  </si>
  <si>
    <t>0.944730</t>
  </si>
  <si>
    <t>0.300734</t>
  </si>
  <si>
    <t>-0.015831</t>
  </si>
  <si>
    <t>0.076763</t>
  </si>
  <si>
    <t>0.257413</t>
  </si>
  <si>
    <t>0.000335</t>
  </si>
  <si>
    <t>10:21:22</t>
  </si>
  <si>
    <t>005</t>
  </si>
  <si>
    <t>1.052610</t>
  </si>
  <si>
    <t>0.969725</t>
  </si>
  <si>
    <t>9.544563</t>
  </si>
  <si>
    <t>10.360362</t>
  </si>
  <si>
    <t>PSF-01106_20261006102122_ed4</t>
  </si>
  <si>
    <t>162.771103</t>
  </si>
  <si>
    <t>522.528320</t>
  </si>
  <si>
    <t>0.688493</t>
  </si>
  <si>
    <t>38.22</t>
  </si>
  <si>
    <t>35.21</t>
  </si>
  <si>
    <t>22.61</t>
  </si>
  <si>
    <t>21.50</t>
  </si>
  <si>
    <t>155.3</t>
  </si>
  <si>
    <t>0.4</t>
  </si>
  <si>
    <t>200</t>
  </si>
  <si>
    <t>-33</t>
  </si>
  <si>
    <t>-19</t>
  </si>
  <si>
    <t>71</t>
  </si>
  <si>
    <t>64.55</t>
  </si>
  <si>
    <t>42.98</t>
  </si>
  <si>
    <t>37.54</t>
  </si>
  <si>
    <t>-141.30</t>
  </si>
  <si>
    <t>138.99</t>
  </si>
  <si>
    <t>49.71</t>
  </si>
  <si>
    <t>01:19:07</t>
  </si>
  <si>
    <t>35.850513</t>
  </si>
  <si>
    <t>127.130432</t>
  </si>
  <si>
    <t>8</t>
  </si>
  <si>
    <t>1.840000</t>
  </si>
  <si>
    <t>0.372</t>
  </si>
  <si>
    <t>0.235</t>
  </si>
  <si>
    <t>1.609</t>
  </si>
  <si>
    <t>2.483734</t>
  </si>
  <si>
    <t>2.429122</t>
  </si>
  <si>
    <t>1.669906</t>
  </si>
  <si>
    <t>0.942345</t>
  </si>
  <si>
    <t>0.300028</t>
  </si>
  <si>
    <t>-0.011682</t>
  </si>
  <si>
    <t>0.079273</t>
  </si>
  <si>
    <t>0.281441</t>
  </si>
  <si>
    <t>0.000340</t>
  </si>
  <si>
    <t>6</t>
  </si>
  <si>
    <t>10:21:48</t>
  </si>
  <si>
    <t>006</t>
  </si>
  <si>
    <t>1.086620</t>
  </si>
  <si>
    <t>0.989717</t>
  </si>
  <si>
    <t>9.742579</t>
  </si>
  <si>
    <t>10.696470</t>
  </si>
  <si>
    <t>PSF-01106_20261006102148_b95</t>
  </si>
  <si>
    <t>226.006500</t>
  </si>
  <si>
    <t>442.818054</t>
  </si>
  <si>
    <t>0.489618</t>
  </si>
  <si>
    <t>39.21</t>
  </si>
  <si>
    <t>35.72</t>
  </si>
  <si>
    <t>22.71</t>
  </si>
  <si>
    <t>22.59</t>
  </si>
  <si>
    <t>573</t>
  </si>
  <si>
    <t>3.925</t>
  </si>
  <si>
    <t>-23</t>
  </si>
  <si>
    <t>47</t>
  </si>
  <si>
    <t>64</t>
  </si>
  <si>
    <t>4.10</t>
  </si>
  <si>
    <t>99.74</t>
  </si>
  <si>
    <t>51.11</t>
  </si>
  <si>
    <t>-46.02</t>
  </si>
  <si>
    <t>01:19:32</t>
  </si>
  <si>
    <t>127.130493</t>
  </si>
  <si>
    <t>-0.038</t>
  </si>
  <si>
    <t>0.461</t>
  </si>
  <si>
    <t>0.046</t>
  </si>
  <si>
    <t>2.484489</t>
  </si>
  <si>
    <t>2.430461</t>
  </si>
  <si>
    <t>1.671054</t>
  </si>
  <si>
    <t>0.942362</t>
  </si>
  <si>
    <t>0.298837</t>
  </si>
  <si>
    <t>-0.000335</t>
  </si>
  <si>
    <t>0.083202</t>
  </si>
  <si>
    <t>0.607042</t>
  </si>
  <si>
    <t>0.000329</t>
  </si>
  <si>
    <t>7</t>
  </si>
  <si>
    <t>10:22:06</t>
  </si>
  <si>
    <t>007</t>
  </si>
  <si>
    <t>1.076695</t>
  </si>
  <si>
    <t>0.974552</t>
  </si>
  <si>
    <t>9.593773</t>
  </si>
  <si>
    <t>10.599295</t>
  </si>
  <si>
    <t>PSF-01106_20261006102206_510</t>
  </si>
  <si>
    <t>138.071899</t>
  </si>
  <si>
    <t>434.035065</t>
  </si>
  <si>
    <t>0.681888</t>
  </si>
  <si>
    <t>38.69</t>
  </si>
  <si>
    <t>35.02</t>
  </si>
  <si>
    <t>22.78</t>
  </si>
  <si>
    <t>21.31</t>
  </si>
  <si>
    <t>101.58</t>
  </si>
  <si>
    <t>154.3</t>
  </si>
  <si>
    <t>1.1</t>
  </si>
  <si>
    <t>212</t>
  </si>
  <si>
    <t>3.924</t>
  </si>
  <si>
    <t>-31</t>
  </si>
  <si>
    <t>-14</t>
  </si>
  <si>
    <t>46</t>
  </si>
  <si>
    <t>70.51</t>
  </si>
  <si>
    <t>33.37</t>
  </si>
  <si>
    <t>33.73</t>
  </si>
  <si>
    <t>-159.83</t>
  </si>
  <si>
    <t>01:19:51</t>
  </si>
  <si>
    <t>127.130478</t>
  </si>
  <si>
    <t>36.500000</t>
  </si>
  <si>
    <t>-0.463</t>
  </si>
  <si>
    <t>-0.194</t>
  </si>
  <si>
    <t>0.637</t>
  </si>
  <si>
    <t>2.483424</t>
  </si>
  <si>
    <t>2.429739</t>
  </si>
  <si>
    <t>1.670531</t>
  </si>
  <si>
    <t>0.939776</t>
  </si>
  <si>
    <t>0.297992</t>
  </si>
  <si>
    <t>-0.015788</t>
  </si>
  <si>
    <t>0.086000</t>
  </si>
  <si>
    <t>0.292069</t>
  </si>
  <si>
    <t>0.000334</t>
  </si>
  <si>
    <t>10:22:26</t>
  </si>
  <si>
    <t>008</t>
  </si>
  <si>
    <t>1.084314</t>
  </si>
  <si>
    <t>0.992039</t>
  </si>
  <si>
    <t>9.765055</t>
  </si>
  <si>
    <t>10.673354</t>
  </si>
  <si>
    <t>PSF-01106_20261006102226_32c</t>
  </si>
  <si>
    <t>140.074966</t>
  </si>
  <si>
    <t>503.990662</t>
  </si>
  <si>
    <t>0.722068</t>
  </si>
  <si>
    <t>38.77</t>
  </si>
  <si>
    <t>35.47</t>
  </si>
  <si>
    <t>22.86</t>
  </si>
  <si>
    <t>21.57</t>
  </si>
  <si>
    <t>139</t>
  </si>
  <si>
    <t>3.923</t>
  </si>
  <si>
    <t>-20</t>
  </si>
  <si>
    <t>34</t>
  </si>
  <si>
    <t>80.46</t>
  </si>
  <si>
    <t>16.57</t>
  </si>
  <si>
    <t>37.16</t>
  </si>
  <si>
    <t>179.52</t>
  </si>
  <si>
    <t>139.26</t>
  </si>
  <si>
    <t>49.58</t>
  </si>
  <si>
    <t>01:20:10</t>
  </si>
  <si>
    <t>35.850452</t>
  </si>
  <si>
    <t>38.700001</t>
  </si>
  <si>
    <t>-0.412</t>
  </si>
  <si>
    <t>-0.925</t>
  </si>
  <si>
    <t>-1.922</t>
  </si>
  <si>
    <t>2.484100</t>
  </si>
  <si>
    <t>2.429842</t>
  </si>
  <si>
    <t>1.669837</t>
  </si>
  <si>
    <t>0.944863</t>
  </si>
  <si>
    <t>0.297036</t>
  </si>
  <si>
    <t>-0.013708</t>
  </si>
  <si>
    <t>0.088997</t>
  </si>
  <si>
    <t>0.228232</t>
  </si>
  <si>
    <t>0.000332</t>
  </si>
  <si>
    <t>9</t>
  </si>
  <si>
    <t>10:22:58</t>
  </si>
  <si>
    <t>009</t>
  </si>
  <si>
    <t>1.114010</t>
  </si>
  <si>
    <t>1.040121</t>
  </si>
  <si>
    <t>10.238694</t>
  </si>
  <si>
    <t>10.966044</t>
  </si>
  <si>
    <t>PSF-01106_20261006102258_f11</t>
  </si>
  <si>
    <t>133.875137</t>
  </si>
  <si>
    <t>442.438232</t>
  </si>
  <si>
    <t>0.697415</t>
  </si>
  <si>
    <t>39.50</t>
  </si>
  <si>
    <t>36.88</t>
  </si>
  <si>
    <t>23.00</t>
  </si>
  <si>
    <t>22.00</t>
  </si>
  <si>
    <t>155.2</t>
  </si>
  <si>
    <t>0.6</t>
  </si>
  <si>
    <t>148</t>
  </si>
  <si>
    <t>86.53</t>
  </si>
  <si>
    <t>6.05</t>
  </si>
  <si>
    <t>37.99</t>
  </si>
  <si>
    <t>155.25</t>
  </si>
  <si>
    <t>01:20:42</t>
  </si>
  <si>
    <t>35.850475</t>
  </si>
  <si>
    <t>127.130424</t>
  </si>
  <si>
    <t>43.099998</t>
  </si>
  <si>
    <t>-0.343</t>
  </si>
  <si>
    <t>-0.715</t>
  </si>
  <si>
    <t>-1.321</t>
  </si>
  <si>
    <t>2.486192</t>
  </si>
  <si>
    <t>2.430803</t>
  </si>
  <si>
    <t>1.670649</t>
  </si>
  <si>
    <t>0.941922</t>
  </si>
  <si>
    <t>0.295378</t>
  </si>
  <si>
    <t>-0.010404</t>
  </si>
  <si>
    <t>0.093802</t>
  </si>
  <si>
    <t>0.236020</t>
  </si>
  <si>
    <t>0.000336</t>
  </si>
  <si>
    <t>CR-1</t>
    <phoneticPr fontId="1" type="noConversion"/>
  </si>
  <si>
    <t>CR-2</t>
  </si>
  <si>
    <t>CR-3</t>
  </si>
  <si>
    <t>CR-4</t>
  </si>
  <si>
    <t>CR-5</t>
  </si>
  <si>
    <t>CR-6</t>
  </si>
  <si>
    <t>CR-7</t>
  </si>
  <si>
    <t>CR-8</t>
  </si>
  <si>
    <t>CR-9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</si>
</sst>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12"/>
  <sheetViews>
    <sheetView tabSelected="1" workbookViewId="0">
      <selection activeCell="G8" sqref="G8"/>
    </sheetView>
  </sheetViews>
  <sheetFormatPr defaultRowHeight="17.25" x14ac:dyDescent="0.3"/>
  <sheetData>
    <row r="1" spans="1:124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6</v>
      </c>
      <c r="BD1" t="s">
        <v>6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9</v>
      </c>
      <c r="BU1" t="s">
        <v>9</v>
      </c>
      <c r="BV1" t="s">
        <v>9</v>
      </c>
      <c r="BW1" t="s">
        <v>9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  <c r="CD1" t="s">
        <v>9</v>
      </c>
      <c r="CE1" t="s">
        <v>10</v>
      </c>
      <c r="CF1" t="s">
        <v>10</v>
      </c>
      <c r="CG1" t="s">
        <v>10</v>
      </c>
      <c r="CH1" t="s">
        <v>10</v>
      </c>
      <c r="CI1" t="s">
        <v>10</v>
      </c>
      <c r="CJ1" t="s">
        <v>10</v>
      </c>
      <c r="CK1" t="s">
        <v>10</v>
      </c>
      <c r="CL1" t="s">
        <v>10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11</v>
      </c>
      <c r="CU1" t="s">
        <v>11</v>
      </c>
      <c r="CV1" t="s">
        <v>11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  <c r="DD1" t="s">
        <v>12</v>
      </c>
      <c r="DE1" t="s">
        <v>12</v>
      </c>
      <c r="DF1" t="s">
        <v>12</v>
      </c>
      <c r="DG1" t="s">
        <v>12</v>
      </c>
      <c r="DH1" t="s">
        <v>12</v>
      </c>
      <c r="DI1" t="s">
        <v>12</v>
      </c>
      <c r="DJ1" t="s">
        <v>12</v>
      </c>
      <c r="DK1" t="s">
        <v>12</v>
      </c>
      <c r="DL1" t="s">
        <v>12</v>
      </c>
      <c r="DM1" t="s">
        <v>12</v>
      </c>
      <c r="DN1" t="s">
        <v>13</v>
      </c>
      <c r="DO1" t="s">
        <v>13</v>
      </c>
      <c r="DP1" t="s">
        <v>13</v>
      </c>
      <c r="DQ1" t="s">
        <v>13</v>
      </c>
      <c r="DR1" t="s">
        <v>13</v>
      </c>
      <c r="DS1" t="s">
        <v>13</v>
      </c>
      <c r="DT1" t="s">
        <v>13</v>
      </c>
    </row>
    <row r="2" spans="1:12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 t="s">
        <v>67</v>
      </c>
      <c r="BC2" t="s">
        <v>68</v>
      </c>
      <c r="BD2" t="s">
        <v>69</v>
      </c>
      <c r="BE2" t="s">
        <v>70</v>
      </c>
      <c r="BF2" t="s">
        <v>71</v>
      </c>
      <c r="BG2" t="s">
        <v>72</v>
      </c>
      <c r="BH2" t="s">
        <v>73</v>
      </c>
      <c r="BI2" t="s">
        <v>74</v>
      </c>
      <c r="BJ2" t="s">
        <v>75</v>
      </c>
      <c r="BK2" t="s">
        <v>76</v>
      </c>
      <c r="BL2" t="s">
        <v>77</v>
      </c>
      <c r="BM2" t="s">
        <v>78</v>
      </c>
      <c r="BN2" t="s">
        <v>79</v>
      </c>
      <c r="BO2" t="s">
        <v>80</v>
      </c>
      <c r="BP2" t="s">
        <v>81</v>
      </c>
      <c r="BQ2" t="s">
        <v>82</v>
      </c>
      <c r="BR2" t="s">
        <v>83</v>
      </c>
      <c r="BS2" t="s">
        <v>84</v>
      </c>
      <c r="BT2" t="s">
        <v>85</v>
      </c>
      <c r="BU2" t="s">
        <v>86</v>
      </c>
      <c r="BV2" t="s">
        <v>87</v>
      </c>
      <c r="BW2" t="s">
        <v>88</v>
      </c>
      <c r="BX2" t="s">
        <v>89</v>
      </c>
      <c r="BY2" t="s">
        <v>90</v>
      </c>
      <c r="BZ2" t="s">
        <v>91</v>
      </c>
      <c r="CA2" t="s">
        <v>92</v>
      </c>
      <c r="CB2" t="s">
        <v>93</v>
      </c>
      <c r="CC2" t="s">
        <v>94</v>
      </c>
      <c r="CD2" t="s">
        <v>95</v>
      </c>
      <c r="CE2" t="s">
        <v>96</v>
      </c>
      <c r="CF2" t="s">
        <v>97</v>
      </c>
      <c r="CG2" t="s">
        <v>98</v>
      </c>
      <c r="CH2" t="s">
        <v>99</v>
      </c>
      <c r="CI2" t="s">
        <v>100</v>
      </c>
      <c r="CJ2" t="s">
        <v>101</v>
      </c>
      <c r="CK2" t="s">
        <v>102</v>
      </c>
      <c r="CL2" t="s">
        <v>103</v>
      </c>
      <c r="CM2" t="s">
        <v>104</v>
      </c>
      <c r="CN2" t="s">
        <v>105</v>
      </c>
      <c r="CO2" t="s">
        <v>106</v>
      </c>
      <c r="CP2" t="s">
        <v>107</v>
      </c>
      <c r="CQ2" t="s">
        <v>108</v>
      </c>
      <c r="CR2" t="s">
        <v>109</v>
      </c>
      <c r="CS2" t="s">
        <v>110</v>
      </c>
      <c r="CT2" t="s">
        <v>111</v>
      </c>
      <c r="CU2" t="s">
        <v>112</v>
      </c>
      <c r="CV2" t="s">
        <v>113</v>
      </c>
      <c r="CW2" t="s">
        <v>114</v>
      </c>
      <c r="CX2" t="s">
        <v>115</v>
      </c>
      <c r="CY2" t="s">
        <v>116</v>
      </c>
      <c r="CZ2" t="s">
        <v>117</v>
      </c>
      <c r="DA2" t="s">
        <v>118</v>
      </c>
      <c r="DB2" t="s">
        <v>119</v>
      </c>
      <c r="DC2" t="s">
        <v>120</v>
      </c>
      <c r="DD2" t="s">
        <v>121</v>
      </c>
      <c r="DE2" t="s">
        <v>122</v>
      </c>
      <c r="DF2" t="s">
        <v>123</v>
      </c>
      <c r="DG2" t="s">
        <v>124</v>
      </c>
      <c r="DH2" t="s">
        <v>125</v>
      </c>
      <c r="DI2" t="s">
        <v>126</v>
      </c>
      <c r="DJ2" t="s">
        <v>127</v>
      </c>
      <c r="DK2" t="s">
        <v>128</v>
      </c>
      <c r="DL2" t="s">
        <v>129</v>
      </c>
      <c r="DM2" t="s">
        <v>130</v>
      </c>
      <c r="DN2" t="s">
        <v>131</v>
      </c>
      <c r="DO2" t="s">
        <v>132</v>
      </c>
      <c r="DP2" t="s">
        <v>133</v>
      </c>
      <c r="DQ2" t="s">
        <v>134</v>
      </c>
      <c r="DR2" t="s">
        <v>135</v>
      </c>
      <c r="DS2" t="s">
        <v>136</v>
      </c>
      <c r="DT2" t="s">
        <v>137</v>
      </c>
    </row>
    <row r="3" spans="1:124" x14ac:dyDescent="0.3">
      <c r="A3" t="s">
        <v>138</v>
      </c>
      <c r="B3" t="s">
        <v>139</v>
      </c>
      <c r="C3" t="s">
        <v>140</v>
      </c>
      <c r="D3" t="s">
        <v>138</v>
      </c>
      <c r="E3" t="s">
        <v>138</v>
      </c>
      <c r="F3" t="s">
        <v>138</v>
      </c>
      <c r="G3" t="s">
        <v>138</v>
      </c>
      <c r="H3" t="s">
        <v>138</v>
      </c>
      <c r="I3" t="s">
        <v>138</v>
      </c>
      <c r="J3" t="s">
        <v>141</v>
      </c>
      <c r="K3" t="s">
        <v>141</v>
      </c>
      <c r="L3" t="s">
        <v>141</v>
      </c>
      <c r="M3" t="s">
        <v>142</v>
      </c>
      <c r="N3" t="s">
        <v>143</v>
      </c>
      <c r="O3" t="s">
        <v>143</v>
      </c>
      <c r="P3" t="s">
        <v>143</v>
      </c>
      <c r="Q3" t="s">
        <v>143</v>
      </c>
      <c r="R3" t="s">
        <v>144</v>
      </c>
      <c r="S3" t="s">
        <v>144</v>
      </c>
      <c r="T3" t="s">
        <v>144</v>
      </c>
      <c r="U3" t="s">
        <v>145</v>
      </c>
      <c r="V3" t="s">
        <v>146</v>
      </c>
      <c r="W3" t="s">
        <v>138</v>
      </c>
      <c r="X3" t="s">
        <v>138</v>
      </c>
      <c r="Y3" t="s">
        <v>138</v>
      </c>
      <c r="Z3" t="s">
        <v>138</v>
      </c>
      <c r="AA3" t="s">
        <v>138</v>
      </c>
      <c r="AB3" t="s">
        <v>138</v>
      </c>
      <c r="AC3" t="s">
        <v>138</v>
      </c>
      <c r="AD3" t="s">
        <v>138</v>
      </c>
      <c r="AE3" t="s">
        <v>138</v>
      </c>
      <c r="AF3" t="s">
        <v>147</v>
      </c>
      <c r="AG3" t="s">
        <v>138</v>
      </c>
      <c r="AH3" t="s">
        <v>148</v>
      </c>
      <c r="AI3" t="s">
        <v>148</v>
      </c>
      <c r="AJ3" t="s">
        <v>149</v>
      </c>
      <c r="AK3" t="s">
        <v>149</v>
      </c>
      <c r="AL3" t="s">
        <v>149</v>
      </c>
      <c r="AM3" t="s">
        <v>143</v>
      </c>
      <c r="AN3" t="s">
        <v>150</v>
      </c>
      <c r="AO3" t="s">
        <v>150</v>
      </c>
      <c r="AP3" t="s">
        <v>148</v>
      </c>
      <c r="AQ3" t="s">
        <v>147</v>
      </c>
      <c r="AR3" t="s">
        <v>151</v>
      </c>
      <c r="AS3" t="s">
        <v>152</v>
      </c>
      <c r="AT3" t="s">
        <v>152</v>
      </c>
      <c r="AU3" t="s">
        <v>152</v>
      </c>
      <c r="AV3" t="s">
        <v>152</v>
      </c>
      <c r="AW3" t="s">
        <v>148</v>
      </c>
      <c r="AX3" t="s">
        <v>152</v>
      </c>
      <c r="AY3" t="s">
        <v>152</v>
      </c>
      <c r="AZ3" t="s">
        <v>152</v>
      </c>
      <c r="BA3" t="s">
        <v>152</v>
      </c>
      <c r="BB3" t="s">
        <v>152</v>
      </c>
      <c r="BC3" t="s">
        <v>139</v>
      </c>
      <c r="BD3" t="s">
        <v>140</v>
      </c>
      <c r="BE3" t="s">
        <v>152</v>
      </c>
      <c r="BF3" t="s">
        <v>152</v>
      </c>
      <c r="BG3" t="s">
        <v>153</v>
      </c>
      <c r="BH3" t="s">
        <v>138</v>
      </c>
      <c r="BI3" t="s">
        <v>138</v>
      </c>
      <c r="BJ3" t="s">
        <v>139</v>
      </c>
      <c r="BK3" t="s">
        <v>140</v>
      </c>
      <c r="BL3" t="s">
        <v>148</v>
      </c>
      <c r="BM3" t="s">
        <v>138</v>
      </c>
      <c r="BN3" t="s">
        <v>138</v>
      </c>
      <c r="BO3" t="s">
        <v>138</v>
      </c>
      <c r="BP3" t="s">
        <v>138</v>
      </c>
      <c r="BQ3" t="s">
        <v>138</v>
      </c>
      <c r="BR3" t="s">
        <v>138</v>
      </c>
      <c r="BS3" t="s">
        <v>138</v>
      </c>
      <c r="BT3" t="s">
        <v>138</v>
      </c>
      <c r="BU3" t="s">
        <v>150</v>
      </c>
      <c r="BV3" t="s">
        <v>154</v>
      </c>
      <c r="BW3" t="s">
        <v>155</v>
      </c>
      <c r="BX3" t="s">
        <v>138</v>
      </c>
      <c r="BY3" t="s">
        <v>138</v>
      </c>
      <c r="BZ3" t="s">
        <v>138</v>
      </c>
      <c r="CA3" t="s">
        <v>138</v>
      </c>
      <c r="CB3" t="s">
        <v>138</v>
      </c>
      <c r="CC3" t="s">
        <v>138</v>
      </c>
      <c r="CD3" t="s">
        <v>138</v>
      </c>
      <c r="CE3" t="s">
        <v>138</v>
      </c>
      <c r="CF3" t="s">
        <v>138</v>
      </c>
      <c r="CG3" t="s">
        <v>147</v>
      </c>
      <c r="CH3" t="s">
        <v>156</v>
      </c>
      <c r="CI3" t="s">
        <v>157</v>
      </c>
      <c r="CJ3" t="s">
        <v>155</v>
      </c>
      <c r="CK3" t="s">
        <v>158</v>
      </c>
      <c r="CL3" t="s">
        <v>158</v>
      </c>
      <c r="CM3" t="s">
        <v>158</v>
      </c>
      <c r="CN3" t="s">
        <v>138</v>
      </c>
      <c r="CO3" t="s">
        <v>148</v>
      </c>
      <c r="CP3" t="s">
        <v>138</v>
      </c>
      <c r="CQ3" t="s">
        <v>138</v>
      </c>
      <c r="CR3" t="s">
        <v>138</v>
      </c>
      <c r="CS3" t="s">
        <v>138</v>
      </c>
      <c r="CT3" t="s">
        <v>151</v>
      </c>
      <c r="CU3" t="s">
        <v>151</v>
      </c>
      <c r="CV3" t="s">
        <v>151</v>
      </c>
      <c r="CW3" t="s">
        <v>151</v>
      </c>
      <c r="CX3" t="s">
        <v>151</v>
      </c>
      <c r="CY3" t="s">
        <v>151</v>
      </c>
      <c r="CZ3" t="s">
        <v>151</v>
      </c>
      <c r="DA3" t="s">
        <v>151</v>
      </c>
      <c r="DB3" t="s">
        <v>151</v>
      </c>
      <c r="DC3" t="s">
        <v>159</v>
      </c>
      <c r="DD3" t="s">
        <v>138</v>
      </c>
      <c r="DE3" t="s">
        <v>138</v>
      </c>
      <c r="DF3" t="s">
        <v>138</v>
      </c>
      <c r="DG3" t="s">
        <v>138</v>
      </c>
      <c r="DH3" t="s">
        <v>138</v>
      </c>
      <c r="DI3" t="s">
        <v>138</v>
      </c>
      <c r="DJ3" t="s">
        <v>138</v>
      </c>
      <c r="DK3" t="s">
        <v>138</v>
      </c>
      <c r="DL3" t="s">
        <v>138</v>
      </c>
      <c r="DM3" t="s">
        <v>138</v>
      </c>
      <c r="DN3" t="s">
        <v>138</v>
      </c>
      <c r="DO3" t="s">
        <v>138</v>
      </c>
      <c r="DP3" t="s">
        <v>138</v>
      </c>
      <c r="DQ3" t="s">
        <v>138</v>
      </c>
      <c r="DR3" t="s">
        <v>138</v>
      </c>
      <c r="DS3" t="s">
        <v>138</v>
      </c>
      <c r="DT3" t="s">
        <v>138</v>
      </c>
    </row>
    <row r="4" spans="1:124" x14ac:dyDescent="0.3">
      <c r="A4" t="s">
        <v>160</v>
      </c>
      <c r="B4" t="s">
        <v>161</v>
      </c>
      <c r="C4" t="s">
        <v>162</v>
      </c>
      <c r="D4" t="s">
        <v>163</v>
      </c>
      <c r="E4" t="s">
        <v>164</v>
      </c>
      <c r="F4" t="s">
        <v>138</v>
      </c>
      <c r="G4" t="s">
        <v>138</v>
      </c>
      <c r="H4" t="s">
        <v>567</v>
      </c>
      <c r="I4" t="s">
        <v>165</v>
      </c>
      <c r="J4">
        <f t="shared" ref="J4:J12" si="0">1/((1/L4)-(1/K4))</f>
        <v>0.23571092499347809</v>
      </c>
      <c r="K4">
        <f t="shared" ref="K4:K12" si="1">BY4+(BZ4*AN4)+(CA4*AN4*POWER(V4,2))+(CB4*AN4*V4)+(CC4*POWER(AN4,2))</f>
        <v>2.9058327199999998</v>
      </c>
      <c r="L4">
        <f t="shared" ref="L4:L12" si="2">((M4/1000)*(1000-((T4+S4)/2)))/(T4-S4)</f>
        <v>0.21802546636557596</v>
      </c>
      <c r="M4">
        <f t="shared" ref="M4:M12" si="3">(AN4*(S4-R4))/(100*U4*(1000-S4))*1000</f>
        <v>3.2652481964494906</v>
      </c>
      <c r="N4" t="s">
        <v>166</v>
      </c>
      <c r="O4" t="s">
        <v>167</v>
      </c>
      <c r="P4">
        <f t="shared" ref="P4:P12" si="4">0.61365*EXP((17.502*AL4)/(240.97+AL4))</f>
        <v>2.497466145233711</v>
      </c>
      <c r="Q4">
        <f t="shared" ref="Q4:Q12" si="5">P4-N4</f>
        <v>1.4947571452337109</v>
      </c>
      <c r="R4" t="s">
        <v>168</v>
      </c>
      <c r="S4" t="s">
        <v>169</v>
      </c>
      <c r="T4">
        <f t="shared" ref="T4:T12" si="6">(P4/AM4)*1000</f>
        <v>24.591041209469388</v>
      </c>
      <c r="U4">
        <f t="shared" ref="U4:U12" si="7">V4*BX4</f>
        <v>0.4417875</v>
      </c>
      <c r="V4" t="s">
        <v>170</v>
      </c>
      <c r="W4" t="s">
        <v>171</v>
      </c>
      <c r="X4" t="s">
        <v>172</v>
      </c>
      <c r="Y4" t="s">
        <v>172</v>
      </c>
      <c r="Z4" t="s">
        <v>172</v>
      </c>
      <c r="AA4" t="s">
        <v>173</v>
      </c>
      <c r="AB4" t="s">
        <v>174</v>
      </c>
      <c r="AC4" t="s">
        <v>175</v>
      </c>
      <c r="AD4" t="s">
        <v>176</v>
      </c>
      <c r="AE4" t="s">
        <v>177</v>
      </c>
      <c r="AF4">
        <f t="shared" ref="AF4:AF12" si="8">AC4*AD4*AE4*AQ4</f>
        <v>59.150535779999998</v>
      </c>
      <c r="AG4" t="s">
        <v>178</v>
      </c>
      <c r="AH4" t="s">
        <v>179</v>
      </c>
      <c r="AI4" t="s">
        <v>180</v>
      </c>
      <c r="AJ4" t="s">
        <v>181</v>
      </c>
      <c r="AK4" t="s">
        <v>182</v>
      </c>
      <c r="AL4">
        <f t="shared" ref="AL4:AL12" si="9">(AK4-AJ4)*(AJ4*0+0)+AK4</f>
        <v>21.01</v>
      </c>
      <c r="AM4" t="s">
        <v>183</v>
      </c>
      <c r="AN4" t="s">
        <v>184</v>
      </c>
      <c r="AO4" t="s">
        <v>185</v>
      </c>
      <c r="AP4" t="s">
        <v>186</v>
      </c>
      <c r="AQ4" t="s">
        <v>187</v>
      </c>
      <c r="AR4" t="s">
        <v>188</v>
      </c>
      <c r="AS4" t="s">
        <v>189</v>
      </c>
      <c r="AT4" t="s">
        <v>190</v>
      </c>
      <c r="AU4" t="s">
        <v>191</v>
      </c>
      <c r="AV4" t="s">
        <v>138</v>
      </c>
      <c r="AW4" t="s">
        <v>138</v>
      </c>
      <c r="AX4" t="s">
        <v>192</v>
      </c>
      <c r="AY4" t="s">
        <v>193</v>
      </c>
      <c r="AZ4" t="s">
        <v>138</v>
      </c>
      <c r="BA4" t="s">
        <v>138</v>
      </c>
      <c r="BB4" t="s">
        <v>138</v>
      </c>
      <c r="BC4" t="s">
        <v>194</v>
      </c>
      <c r="BD4" t="s">
        <v>195</v>
      </c>
      <c r="BE4" t="s">
        <v>196</v>
      </c>
      <c r="BF4" t="s">
        <v>196</v>
      </c>
      <c r="BG4" t="s">
        <v>196</v>
      </c>
      <c r="BH4" t="s">
        <v>197</v>
      </c>
      <c r="BI4" t="s">
        <v>196</v>
      </c>
      <c r="BJ4" t="s">
        <v>198</v>
      </c>
      <c r="BK4" t="s">
        <v>162</v>
      </c>
      <c r="BL4" t="s">
        <v>199</v>
      </c>
      <c r="BM4" t="s">
        <v>160</v>
      </c>
      <c r="BN4" t="s">
        <v>200</v>
      </c>
      <c r="BO4" t="s">
        <v>201</v>
      </c>
      <c r="BP4" t="s">
        <v>202</v>
      </c>
      <c r="BQ4" t="s">
        <v>203</v>
      </c>
      <c r="BR4" t="s">
        <v>204</v>
      </c>
      <c r="BS4" t="s">
        <v>205</v>
      </c>
      <c r="BT4" t="s">
        <v>160</v>
      </c>
      <c r="BU4" t="s">
        <v>206</v>
      </c>
      <c r="BV4" t="s">
        <v>202</v>
      </c>
      <c r="BW4" t="s">
        <v>207</v>
      </c>
      <c r="BX4" t="s">
        <v>208</v>
      </c>
      <c r="BY4" t="s">
        <v>172</v>
      </c>
      <c r="BZ4" t="s">
        <v>209</v>
      </c>
      <c r="CA4" t="s">
        <v>172</v>
      </c>
      <c r="CB4" t="s">
        <v>172</v>
      </c>
      <c r="CC4" t="s">
        <v>210</v>
      </c>
      <c r="CD4" t="s">
        <v>211</v>
      </c>
      <c r="CE4" t="s">
        <v>197</v>
      </c>
      <c r="CF4" t="s">
        <v>212</v>
      </c>
      <c r="CG4" t="s">
        <v>213</v>
      </c>
      <c r="CH4" t="s">
        <v>214</v>
      </c>
      <c r="CI4" t="s">
        <v>178</v>
      </c>
      <c r="CJ4" t="s">
        <v>207</v>
      </c>
      <c r="CK4" t="s">
        <v>215</v>
      </c>
      <c r="CL4" t="s">
        <v>215</v>
      </c>
      <c r="CM4" t="s">
        <v>215</v>
      </c>
      <c r="CN4" t="s">
        <v>172</v>
      </c>
      <c r="CO4" t="s">
        <v>216</v>
      </c>
      <c r="CP4" t="s">
        <v>172</v>
      </c>
      <c r="CQ4" t="s">
        <v>172</v>
      </c>
      <c r="CR4" t="s">
        <v>172</v>
      </c>
      <c r="CS4" t="s">
        <v>172</v>
      </c>
      <c r="CT4" t="s">
        <v>217</v>
      </c>
      <c r="CU4" t="s">
        <v>218</v>
      </c>
      <c r="CV4" t="s">
        <v>219</v>
      </c>
      <c r="CW4" t="s">
        <v>220</v>
      </c>
      <c r="CX4" t="s">
        <v>221</v>
      </c>
      <c r="CY4" t="s">
        <v>222</v>
      </c>
      <c r="CZ4" t="s">
        <v>223</v>
      </c>
      <c r="DA4" t="s">
        <v>224</v>
      </c>
      <c r="DB4" t="s">
        <v>173</v>
      </c>
      <c r="DC4" t="s">
        <v>225</v>
      </c>
      <c r="DD4" t="s">
        <v>226</v>
      </c>
      <c r="DE4" t="s">
        <v>227</v>
      </c>
      <c r="DF4" t="s">
        <v>178</v>
      </c>
      <c r="DG4" t="s">
        <v>228</v>
      </c>
      <c r="DH4" t="s">
        <v>229</v>
      </c>
      <c r="DI4" t="s">
        <v>178</v>
      </c>
      <c r="DJ4" t="s">
        <v>230</v>
      </c>
      <c r="DK4" t="s">
        <v>231</v>
      </c>
      <c r="DL4" t="s">
        <v>232</v>
      </c>
      <c r="DM4" t="s">
        <v>172</v>
      </c>
      <c r="DN4" t="s">
        <v>171</v>
      </c>
      <c r="DO4" t="s">
        <v>233</v>
      </c>
      <c r="DP4" t="s">
        <v>234</v>
      </c>
      <c r="DQ4" t="s">
        <v>235</v>
      </c>
      <c r="DR4" t="s">
        <v>236</v>
      </c>
      <c r="DS4" t="s">
        <v>237</v>
      </c>
      <c r="DT4" t="s">
        <v>238</v>
      </c>
    </row>
    <row r="5" spans="1:124" x14ac:dyDescent="0.3">
      <c r="A5" t="s">
        <v>239</v>
      </c>
      <c r="B5" t="s">
        <v>240</v>
      </c>
      <c r="C5" t="s">
        <v>162</v>
      </c>
      <c r="D5" t="s">
        <v>163</v>
      </c>
      <c r="E5" t="s">
        <v>164</v>
      </c>
      <c r="F5" t="s">
        <v>138</v>
      </c>
      <c r="G5" t="s">
        <v>138</v>
      </c>
      <c r="H5" t="s">
        <v>568</v>
      </c>
      <c r="I5" t="s">
        <v>241</v>
      </c>
      <c r="J5">
        <f t="shared" si="0"/>
        <v>0.22846445102154156</v>
      </c>
      <c r="K5">
        <f t="shared" si="1"/>
        <v>2.9050319999999994</v>
      </c>
      <c r="L5">
        <f t="shared" si="2"/>
        <v>0.21180701859855025</v>
      </c>
      <c r="M5">
        <f t="shared" si="3"/>
        <v>3.1444322139304566</v>
      </c>
      <c r="N5" t="s">
        <v>242</v>
      </c>
      <c r="O5" t="s">
        <v>243</v>
      </c>
      <c r="P5">
        <f t="shared" si="4"/>
        <v>2.5128541662024579</v>
      </c>
      <c r="Q5">
        <f t="shared" si="5"/>
        <v>1.4819041662024579</v>
      </c>
      <c r="R5" t="s">
        <v>244</v>
      </c>
      <c r="S5" t="s">
        <v>245</v>
      </c>
      <c r="T5">
        <f t="shared" si="6"/>
        <v>24.735251168446283</v>
      </c>
      <c r="U5">
        <f t="shared" si="7"/>
        <v>0.4417875</v>
      </c>
      <c r="V5" t="s">
        <v>170</v>
      </c>
      <c r="W5" t="s">
        <v>246</v>
      </c>
      <c r="X5" t="s">
        <v>172</v>
      </c>
      <c r="Y5" t="s">
        <v>172</v>
      </c>
      <c r="Z5" t="s">
        <v>172</v>
      </c>
      <c r="AA5" t="s">
        <v>247</v>
      </c>
      <c r="AB5" t="s">
        <v>248</v>
      </c>
      <c r="AC5" t="s">
        <v>249</v>
      </c>
      <c r="AD5" t="s">
        <v>176</v>
      </c>
      <c r="AE5" t="s">
        <v>177</v>
      </c>
      <c r="AF5">
        <f t="shared" si="8"/>
        <v>54.091516499999997</v>
      </c>
      <c r="AG5" t="s">
        <v>178</v>
      </c>
      <c r="AH5" t="s">
        <v>250</v>
      </c>
      <c r="AI5" t="s">
        <v>251</v>
      </c>
      <c r="AJ5" t="s">
        <v>252</v>
      </c>
      <c r="AK5" t="s">
        <v>253</v>
      </c>
      <c r="AL5">
        <f t="shared" si="9"/>
        <v>21.11</v>
      </c>
      <c r="AM5" t="s">
        <v>254</v>
      </c>
      <c r="AN5" t="s">
        <v>255</v>
      </c>
      <c r="AO5" t="s">
        <v>256</v>
      </c>
      <c r="AP5" t="s">
        <v>257</v>
      </c>
      <c r="AQ5" t="s">
        <v>258</v>
      </c>
      <c r="AR5" t="s">
        <v>259</v>
      </c>
      <c r="AS5" t="s">
        <v>260</v>
      </c>
      <c r="AT5" t="s">
        <v>261</v>
      </c>
      <c r="AU5" t="s">
        <v>262</v>
      </c>
      <c r="AV5" t="s">
        <v>138</v>
      </c>
      <c r="AW5" t="s">
        <v>138</v>
      </c>
      <c r="AX5" t="s">
        <v>263</v>
      </c>
      <c r="AY5" t="s">
        <v>264</v>
      </c>
      <c r="AZ5" t="s">
        <v>138</v>
      </c>
      <c r="BA5" t="s">
        <v>138</v>
      </c>
      <c r="BB5" t="s">
        <v>138</v>
      </c>
      <c r="BC5" t="s">
        <v>194</v>
      </c>
      <c r="BD5" t="s">
        <v>195</v>
      </c>
      <c r="BE5" t="s">
        <v>196</v>
      </c>
      <c r="BF5" t="s">
        <v>196</v>
      </c>
      <c r="BG5" t="s">
        <v>196</v>
      </c>
      <c r="BH5" t="s">
        <v>197</v>
      </c>
      <c r="BI5" t="s">
        <v>196</v>
      </c>
      <c r="BJ5" t="s">
        <v>198</v>
      </c>
      <c r="BK5" t="s">
        <v>162</v>
      </c>
      <c r="BL5" t="s">
        <v>199</v>
      </c>
      <c r="BM5" t="s">
        <v>160</v>
      </c>
      <c r="BN5" t="s">
        <v>202</v>
      </c>
      <c r="BO5" t="s">
        <v>265</v>
      </c>
      <c r="BP5" t="s">
        <v>266</v>
      </c>
      <c r="BQ5" t="s">
        <v>267</v>
      </c>
      <c r="BR5" t="s">
        <v>268</v>
      </c>
      <c r="BS5" t="s">
        <v>269</v>
      </c>
      <c r="BT5" t="s">
        <v>160</v>
      </c>
      <c r="BU5" t="s">
        <v>206</v>
      </c>
      <c r="BV5" t="s">
        <v>202</v>
      </c>
      <c r="BW5" t="s">
        <v>207</v>
      </c>
      <c r="BX5" t="s">
        <v>208</v>
      </c>
      <c r="BY5" t="s">
        <v>172</v>
      </c>
      <c r="BZ5" t="s">
        <v>209</v>
      </c>
      <c r="CA5" t="s">
        <v>172</v>
      </c>
      <c r="CB5" t="s">
        <v>172</v>
      </c>
      <c r="CC5" t="s">
        <v>210</v>
      </c>
      <c r="CD5" t="s">
        <v>211</v>
      </c>
      <c r="CE5" t="s">
        <v>197</v>
      </c>
      <c r="CF5" t="s">
        <v>212</v>
      </c>
      <c r="CG5" t="s">
        <v>213</v>
      </c>
      <c r="CH5" t="s">
        <v>214</v>
      </c>
      <c r="CI5" t="s">
        <v>178</v>
      </c>
      <c r="CJ5" t="s">
        <v>207</v>
      </c>
      <c r="CK5" t="s">
        <v>215</v>
      </c>
      <c r="CL5" t="s">
        <v>215</v>
      </c>
      <c r="CM5" t="s">
        <v>215</v>
      </c>
      <c r="CN5" t="s">
        <v>172</v>
      </c>
      <c r="CO5" t="s">
        <v>216</v>
      </c>
      <c r="CP5" t="s">
        <v>172</v>
      </c>
      <c r="CQ5" t="s">
        <v>172</v>
      </c>
      <c r="CR5" t="s">
        <v>172</v>
      </c>
      <c r="CS5" t="s">
        <v>172</v>
      </c>
      <c r="CT5" t="s">
        <v>270</v>
      </c>
      <c r="CU5" t="s">
        <v>271</v>
      </c>
      <c r="CV5" t="s">
        <v>272</v>
      </c>
      <c r="CW5" t="s">
        <v>273</v>
      </c>
      <c r="CX5" t="s">
        <v>274</v>
      </c>
      <c r="CY5" t="s">
        <v>275</v>
      </c>
      <c r="CZ5" t="s">
        <v>276</v>
      </c>
      <c r="DA5" t="s">
        <v>277</v>
      </c>
      <c r="DB5" t="s">
        <v>247</v>
      </c>
      <c r="DC5" t="s">
        <v>278</v>
      </c>
      <c r="DD5" t="s">
        <v>226</v>
      </c>
      <c r="DE5" t="s">
        <v>227</v>
      </c>
      <c r="DF5" t="s">
        <v>178</v>
      </c>
      <c r="DG5" t="s">
        <v>228</v>
      </c>
      <c r="DH5" t="s">
        <v>229</v>
      </c>
      <c r="DI5" t="s">
        <v>178</v>
      </c>
      <c r="DJ5" t="s">
        <v>230</v>
      </c>
      <c r="DK5" t="s">
        <v>231</v>
      </c>
      <c r="DL5" t="s">
        <v>232</v>
      </c>
      <c r="DM5" t="s">
        <v>172</v>
      </c>
      <c r="DN5" t="s">
        <v>246</v>
      </c>
      <c r="DO5" t="s">
        <v>233</v>
      </c>
      <c r="DP5" t="s">
        <v>234</v>
      </c>
      <c r="DQ5" t="s">
        <v>235</v>
      </c>
      <c r="DR5" t="s">
        <v>236</v>
      </c>
      <c r="DS5" t="s">
        <v>237</v>
      </c>
      <c r="DT5" t="s">
        <v>238</v>
      </c>
    </row>
    <row r="6" spans="1:124" x14ac:dyDescent="0.3">
      <c r="A6" t="s">
        <v>279</v>
      </c>
      <c r="B6" t="s">
        <v>280</v>
      </c>
      <c r="C6" t="s">
        <v>162</v>
      </c>
      <c r="D6" t="s">
        <v>163</v>
      </c>
      <c r="E6" t="s">
        <v>164</v>
      </c>
      <c r="F6" t="s">
        <v>138</v>
      </c>
      <c r="G6" t="s">
        <v>138</v>
      </c>
      <c r="H6" t="s">
        <v>569</v>
      </c>
      <c r="I6" t="s">
        <v>281</v>
      </c>
      <c r="J6">
        <f t="shared" si="0"/>
        <v>0.18106139146079225</v>
      </c>
      <c r="K6">
        <f t="shared" si="1"/>
        <v>2.9042299199999997</v>
      </c>
      <c r="L6">
        <f t="shared" si="2"/>
        <v>0.17043574085984578</v>
      </c>
      <c r="M6">
        <f t="shared" si="3"/>
        <v>2.6812388562710163</v>
      </c>
      <c r="N6" t="s">
        <v>282</v>
      </c>
      <c r="O6" t="s">
        <v>283</v>
      </c>
      <c r="P6">
        <f t="shared" si="4"/>
        <v>2.5815522020192629</v>
      </c>
      <c r="Q6">
        <f t="shared" si="5"/>
        <v>1.5699272020192629</v>
      </c>
      <c r="R6" t="s">
        <v>284</v>
      </c>
      <c r="S6" t="s">
        <v>285</v>
      </c>
      <c r="T6">
        <f t="shared" si="6"/>
        <v>25.411479496203</v>
      </c>
      <c r="U6">
        <f t="shared" si="7"/>
        <v>0.4417875</v>
      </c>
      <c r="V6" t="s">
        <v>170</v>
      </c>
      <c r="W6" t="s">
        <v>286</v>
      </c>
      <c r="X6" t="s">
        <v>172</v>
      </c>
      <c r="Y6" t="s">
        <v>172</v>
      </c>
      <c r="Z6" t="s">
        <v>172</v>
      </c>
      <c r="AA6" t="s">
        <v>287</v>
      </c>
      <c r="AB6" t="s">
        <v>288</v>
      </c>
      <c r="AC6" t="s">
        <v>289</v>
      </c>
      <c r="AD6" t="s">
        <v>176</v>
      </c>
      <c r="AE6" t="s">
        <v>177</v>
      </c>
      <c r="AF6">
        <f t="shared" si="8"/>
        <v>91.486483199999995</v>
      </c>
      <c r="AG6" t="s">
        <v>178</v>
      </c>
      <c r="AH6" t="s">
        <v>290</v>
      </c>
      <c r="AI6" t="s">
        <v>291</v>
      </c>
      <c r="AJ6" t="s">
        <v>292</v>
      </c>
      <c r="AK6" t="s">
        <v>293</v>
      </c>
      <c r="AL6">
        <f t="shared" si="9"/>
        <v>21.55</v>
      </c>
      <c r="AM6" t="s">
        <v>254</v>
      </c>
      <c r="AN6" t="s">
        <v>294</v>
      </c>
      <c r="AO6" t="s">
        <v>295</v>
      </c>
      <c r="AP6" t="s">
        <v>176</v>
      </c>
      <c r="AQ6" t="s">
        <v>296</v>
      </c>
      <c r="AR6" t="s">
        <v>259</v>
      </c>
      <c r="AS6" t="s">
        <v>189</v>
      </c>
      <c r="AT6" t="s">
        <v>297</v>
      </c>
      <c r="AU6" t="s">
        <v>298</v>
      </c>
      <c r="AV6" t="s">
        <v>299</v>
      </c>
      <c r="AW6" t="s">
        <v>300</v>
      </c>
      <c r="AX6" t="s">
        <v>301</v>
      </c>
      <c r="AY6" t="s">
        <v>302</v>
      </c>
      <c r="AZ6" t="s">
        <v>303</v>
      </c>
      <c r="BA6" t="s">
        <v>304</v>
      </c>
      <c r="BB6" t="s">
        <v>305</v>
      </c>
      <c r="BC6" t="s">
        <v>306</v>
      </c>
      <c r="BD6" t="s">
        <v>162</v>
      </c>
      <c r="BE6" t="s">
        <v>307</v>
      </c>
      <c r="BF6" t="s">
        <v>308</v>
      </c>
      <c r="BG6" t="s">
        <v>309</v>
      </c>
      <c r="BH6" t="s">
        <v>310</v>
      </c>
      <c r="BI6" t="s">
        <v>311</v>
      </c>
      <c r="BJ6" t="s">
        <v>198</v>
      </c>
      <c r="BK6" t="s">
        <v>162</v>
      </c>
      <c r="BL6" t="s">
        <v>199</v>
      </c>
      <c r="BM6" t="s">
        <v>160</v>
      </c>
      <c r="BN6" t="s">
        <v>265</v>
      </c>
      <c r="BO6" t="s">
        <v>202</v>
      </c>
      <c r="BP6" t="s">
        <v>312</v>
      </c>
      <c r="BQ6" t="s">
        <v>313</v>
      </c>
      <c r="BR6" t="s">
        <v>314</v>
      </c>
      <c r="BS6" t="s">
        <v>315</v>
      </c>
      <c r="BT6" t="s">
        <v>160</v>
      </c>
      <c r="BU6" t="s">
        <v>206</v>
      </c>
      <c r="BV6" t="s">
        <v>202</v>
      </c>
      <c r="BW6" t="s">
        <v>207</v>
      </c>
      <c r="BX6" t="s">
        <v>208</v>
      </c>
      <c r="BY6" t="s">
        <v>172</v>
      </c>
      <c r="BZ6" t="s">
        <v>209</v>
      </c>
      <c r="CA6" t="s">
        <v>172</v>
      </c>
      <c r="CB6" t="s">
        <v>172</v>
      </c>
      <c r="CC6" t="s">
        <v>210</v>
      </c>
      <c r="CD6" t="s">
        <v>211</v>
      </c>
      <c r="CE6" t="s">
        <v>197</v>
      </c>
      <c r="CF6" t="s">
        <v>212</v>
      </c>
      <c r="CG6" t="s">
        <v>213</v>
      </c>
      <c r="CH6" t="s">
        <v>214</v>
      </c>
      <c r="CI6" t="s">
        <v>178</v>
      </c>
      <c r="CJ6" t="s">
        <v>207</v>
      </c>
      <c r="CK6" t="s">
        <v>215</v>
      </c>
      <c r="CL6" t="s">
        <v>215</v>
      </c>
      <c r="CM6" t="s">
        <v>215</v>
      </c>
      <c r="CN6" t="s">
        <v>172</v>
      </c>
      <c r="CO6" t="s">
        <v>216</v>
      </c>
      <c r="CP6" t="s">
        <v>172</v>
      </c>
      <c r="CQ6" t="s">
        <v>172</v>
      </c>
      <c r="CR6" t="s">
        <v>172</v>
      </c>
      <c r="CS6" t="s">
        <v>172</v>
      </c>
      <c r="CT6" t="s">
        <v>316</v>
      </c>
      <c r="CU6" t="s">
        <v>317</v>
      </c>
      <c r="CV6" t="s">
        <v>318</v>
      </c>
      <c r="CW6" t="s">
        <v>319</v>
      </c>
      <c r="CX6" t="s">
        <v>320</v>
      </c>
      <c r="CY6" t="s">
        <v>321</v>
      </c>
      <c r="CZ6" t="s">
        <v>322</v>
      </c>
      <c r="DA6" t="s">
        <v>323</v>
      </c>
      <c r="DB6" t="s">
        <v>287</v>
      </c>
      <c r="DC6" t="s">
        <v>324</v>
      </c>
      <c r="DD6" t="s">
        <v>226</v>
      </c>
      <c r="DE6" t="s">
        <v>227</v>
      </c>
      <c r="DF6" t="s">
        <v>178</v>
      </c>
      <c r="DG6" t="s">
        <v>228</v>
      </c>
      <c r="DH6" t="s">
        <v>229</v>
      </c>
      <c r="DI6" t="s">
        <v>178</v>
      </c>
      <c r="DJ6" t="s">
        <v>230</v>
      </c>
      <c r="DK6" t="s">
        <v>231</v>
      </c>
      <c r="DL6" t="s">
        <v>232</v>
      </c>
      <c r="DM6" t="s">
        <v>172</v>
      </c>
      <c r="DN6" t="s">
        <v>286</v>
      </c>
      <c r="DO6" t="s">
        <v>233</v>
      </c>
      <c r="DP6" t="s">
        <v>234</v>
      </c>
      <c r="DQ6" t="s">
        <v>235</v>
      </c>
      <c r="DR6" t="s">
        <v>236</v>
      </c>
      <c r="DS6" t="s">
        <v>237</v>
      </c>
      <c r="DT6" t="s">
        <v>238</v>
      </c>
    </row>
    <row r="7" spans="1:124" x14ac:dyDescent="0.3">
      <c r="A7" t="s">
        <v>325</v>
      </c>
      <c r="B7" t="s">
        <v>326</v>
      </c>
      <c r="C7" t="s">
        <v>162</v>
      </c>
      <c r="D7" t="s">
        <v>163</v>
      </c>
      <c r="E7" t="s">
        <v>164</v>
      </c>
      <c r="F7" t="s">
        <v>138</v>
      </c>
      <c r="G7" t="s">
        <v>138</v>
      </c>
      <c r="H7" t="s">
        <v>570</v>
      </c>
      <c r="I7" t="s">
        <v>327</v>
      </c>
      <c r="J7">
        <f t="shared" si="0"/>
        <v>0.25280845683036524</v>
      </c>
      <c r="K7">
        <f t="shared" si="1"/>
        <v>2.9050319999999994</v>
      </c>
      <c r="L7">
        <f t="shared" si="2"/>
        <v>0.23256927226145849</v>
      </c>
      <c r="M7">
        <f t="shared" si="3"/>
        <v>3.3745997871019662</v>
      </c>
      <c r="N7" t="s">
        <v>328</v>
      </c>
      <c r="O7" t="s">
        <v>329</v>
      </c>
      <c r="P7">
        <f t="shared" si="4"/>
        <v>2.5066890231388106</v>
      </c>
      <c r="Q7">
        <f t="shared" si="5"/>
        <v>1.4483390231388107</v>
      </c>
      <c r="R7" t="s">
        <v>330</v>
      </c>
      <c r="S7" t="s">
        <v>331</v>
      </c>
      <c r="T7">
        <f t="shared" si="6"/>
        <v>24.672136054515853</v>
      </c>
      <c r="U7">
        <f t="shared" si="7"/>
        <v>0.4417875</v>
      </c>
      <c r="V7" t="s">
        <v>170</v>
      </c>
      <c r="W7" t="s">
        <v>332</v>
      </c>
      <c r="X7" t="s">
        <v>172</v>
      </c>
      <c r="Y7" t="s">
        <v>172</v>
      </c>
      <c r="Z7" t="s">
        <v>172</v>
      </c>
      <c r="AA7" t="s">
        <v>333</v>
      </c>
      <c r="AB7" t="s">
        <v>334</v>
      </c>
      <c r="AC7" t="s">
        <v>335</v>
      </c>
      <c r="AD7" t="s">
        <v>176</v>
      </c>
      <c r="AE7" t="s">
        <v>177</v>
      </c>
      <c r="AF7">
        <f t="shared" si="8"/>
        <v>52.96210584</v>
      </c>
      <c r="AG7" t="s">
        <v>178</v>
      </c>
      <c r="AH7" t="s">
        <v>336</v>
      </c>
      <c r="AI7" t="s">
        <v>337</v>
      </c>
      <c r="AJ7" t="s">
        <v>338</v>
      </c>
      <c r="AK7" t="s">
        <v>339</v>
      </c>
      <c r="AL7">
        <f t="shared" si="9"/>
        <v>21.07</v>
      </c>
      <c r="AM7" t="s">
        <v>340</v>
      </c>
      <c r="AN7" t="s">
        <v>255</v>
      </c>
      <c r="AO7" t="s">
        <v>185</v>
      </c>
      <c r="AP7" t="s">
        <v>341</v>
      </c>
      <c r="AQ7" t="s">
        <v>342</v>
      </c>
      <c r="AR7" t="s">
        <v>343</v>
      </c>
      <c r="AS7" t="s">
        <v>189</v>
      </c>
      <c r="AT7" t="s">
        <v>344</v>
      </c>
      <c r="AU7" t="s">
        <v>345</v>
      </c>
      <c r="AV7" t="s">
        <v>346</v>
      </c>
      <c r="AW7" t="s">
        <v>347</v>
      </c>
      <c r="AX7" t="s">
        <v>348</v>
      </c>
      <c r="AY7" t="s">
        <v>349</v>
      </c>
      <c r="AZ7" t="s">
        <v>303</v>
      </c>
      <c r="BA7" t="s">
        <v>304</v>
      </c>
      <c r="BB7" t="s">
        <v>305</v>
      </c>
      <c r="BC7" t="s">
        <v>350</v>
      </c>
      <c r="BD7" t="s">
        <v>162</v>
      </c>
      <c r="BE7" t="s">
        <v>351</v>
      </c>
      <c r="BF7" t="s">
        <v>352</v>
      </c>
      <c r="BG7" t="s">
        <v>353</v>
      </c>
      <c r="BH7" t="s">
        <v>310</v>
      </c>
      <c r="BI7" t="s">
        <v>354</v>
      </c>
      <c r="BJ7" t="s">
        <v>198</v>
      </c>
      <c r="BK7" t="s">
        <v>162</v>
      </c>
      <c r="BL7" t="s">
        <v>199</v>
      </c>
      <c r="BM7" t="s">
        <v>160</v>
      </c>
      <c r="BN7" t="s">
        <v>266</v>
      </c>
      <c r="BO7" t="s">
        <v>202</v>
      </c>
      <c r="BP7" t="s">
        <v>312</v>
      </c>
      <c r="BQ7" t="s">
        <v>355</v>
      </c>
      <c r="BR7" t="s">
        <v>356</v>
      </c>
      <c r="BS7" t="s">
        <v>357</v>
      </c>
      <c r="BT7" t="s">
        <v>160</v>
      </c>
      <c r="BU7" t="s">
        <v>206</v>
      </c>
      <c r="BV7" t="s">
        <v>202</v>
      </c>
      <c r="BW7" t="s">
        <v>207</v>
      </c>
      <c r="BX7" t="s">
        <v>208</v>
      </c>
      <c r="BY7" t="s">
        <v>172</v>
      </c>
      <c r="BZ7" t="s">
        <v>209</v>
      </c>
      <c r="CA7" t="s">
        <v>172</v>
      </c>
      <c r="CB7" t="s">
        <v>172</v>
      </c>
      <c r="CC7" t="s">
        <v>210</v>
      </c>
      <c r="CD7" t="s">
        <v>211</v>
      </c>
      <c r="CE7" t="s">
        <v>197</v>
      </c>
      <c r="CF7" t="s">
        <v>212</v>
      </c>
      <c r="CG7" t="s">
        <v>213</v>
      </c>
      <c r="CH7" t="s">
        <v>214</v>
      </c>
      <c r="CI7" t="s">
        <v>178</v>
      </c>
      <c r="CJ7" t="s">
        <v>207</v>
      </c>
      <c r="CK7" t="s">
        <v>215</v>
      </c>
      <c r="CL7" t="s">
        <v>215</v>
      </c>
      <c r="CM7" t="s">
        <v>215</v>
      </c>
      <c r="CN7" t="s">
        <v>172</v>
      </c>
      <c r="CO7" t="s">
        <v>216</v>
      </c>
      <c r="CP7" t="s">
        <v>172</v>
      </c>
      <c r="CQ7" t="s">
        <v>172</v>
      </c>
      <c r="CR7" t="s">
        <v>172</v>
      </c>
      <c r="CS7" t="s">
        <v>172</v>
      </c>
      <c r="CT7" t="s">
        <v>358</v>
      </c>
      <c r="CU7" t="s">
        <v>359</v>
      </c>
      <c r="CV7" t="s">
        <v>360</v>
      </c>
      <c r="CW7" t="s">
        <v>361</v>
      </c>
      <c r="CX7" t="s">
        <v>362</v>
      </c>
      <c r="CY7" t="s">
        <v>363</v>
      </c>
      <c r="CZ7" t="s">
        <v>364</v>
      </c>
      <c r="DA7" t="s">
        <v>365</v>
      </c>
      <c r="DB7" t="s">
        <v>333</v>
      </c>
      <c r="DC7" t="s">
        <v>366</v>
      </c>
      <c r="DD7" t="s">
        <v>226</v>
      </c>
      <c r="DE7" t="s">
        <v>227</v>
      </c>
      <c r="DF7" t="s">
        <v>178</v>
      </c>
      <c r="DG7" t="s">
        <v>228</v>
      </c>
      <c r="DH7" t="s">
        <v>229</v>
      </c>
      <c r="DI7" t="s">
        <v>178</v>
      </c>
      <c r="DJ7" t="s">
        <v>230</v>
      </c>
      <c r="DK7" t="s">
        <v>231</v>
      </c>
      <c r="DL7" t="s">
        <v>232</v>
      </c>
      <c r="DM7" t="s">
        <v>172</v>
      </c>
      <c r="DN7" t="s">
        <v>332</v>
      </c>
      <c r="DO7" t="s">
        <v>233</v>
      </c>
      <c r="DP7" t="s">
        <v>234</v>
      </c>
      <c r="DQ7" t="s">
        <v>235</v>
      </c>
      <c r="DR7" t="s">
        <v>236</v>
      </c>
      <c r="DS7" t="s">
        <v>237</v>
      </c>
      <c r="DT7" t="s">
        <v>238</v>
      </c>
    </row>
    <row r="8" spans="1:124" x14ac:dyDescent="0.3">
      <c r="A8" t="s">
        <v>310</v>
      </c>
      <c r="B8" t="s">
        <v>367</v>
      </c>
      <c r="C8" t="s">
        <v>162</v>
      </c>
      <c r="D8" t="s">
        <v>163</v>
      </c>
      <c r="E8" t="s">
        <v>164</v>
      </c>
      <c r="F8" t="s">
        <v>138</v>
      </c>
      <c r="G8" t="s">
        <v>138</v>
      </c>
      <c r="H8" t="s">
        <v>571</v>
      </c>
      <c r="I8" t="s">
        <v>368</v>
      </c>
      <c r="J8">
        <f t="shared" si="0"/>
        <v>0.2043980490734883</v>
      </c>
      <c r="K8">
        <f t="shared" si="1"/>
        <v>2.9050319999999994</v>
      </c>
      <c r="L8">
        <f t="shared" si="2"/>
        <v>0.19096196535213339</v>
      </c>
      <c r="M8">
        <f t="shared" si="3"/>
        <v>2.9108328100265286</v>
      </c>
      <c r="N8" t="s">
        <v>369</v>
      </c>
      <c r="O8" t="s">
        <v>370</v>
      </c>
      <c r="P8">
        <f t="shared" si="4"/>
        <v>2.5736636895285638</v>
      </c>
      <c r="Q8">
        <f t="shared" si="5"/>
        <v>1.5210536895285638</v>
      </c>
      <c r="R8" t="s">
        <v>371</v>
      </c>
      <c r="S8" t="s">
        <v>372</v>
      </c>
      <c r="T8">
        <f t="shared" si="6"/>
        <v>25.331335526855945</v>
      </c>
      <c r="U8">
        <f t="shared" si="7"/>
        <v>0.4417875</v>
      </c>
      <c r="V8" t="s">
        <v>170</v>
      </c>
      <c r="W8" t="s">
        <v>373</v>
      </c>
      <c r="X8" t="s">
        <v>172</v>
      </c>
      <c r="Y8" t="s">
        <v>172</v>
      </c>
      <c r="Z8" t="s">
        <v>172</v>
      </c>
      <c r="AA8" t="s">
        <v>374</v>
      </c>
      <c r="AB8" t="s">
        <v>375</v>
      </c>
      <c r="AC8" t="s">
        <v>376</v>
      </c>
      <c r="AD8" t="s">
        <v>176</v>
      </c>
      <c r="AE8" t="s">
        <v>177</v>
      </c>
      <c r="AF8">
        <f t="shared" si="8"/>
        <v>57.833411999999996</v>
      </c>
      <c r="AG8" t="s">
        <v>178</v>
      </c>
      <c r="AH8" t="s">
        <v>377</v>
      </c>
      <c r="AI8" t="s">
        <v>378</v>
      </c>
      <c r="AJ8" t="s">
        <v>379</v>
      </c>
      <c r="AK8" t="s">
        <v>380</v>
      </c>
      <c r="AL8">
        <f t="shared" si="9"/>
        <v>21.5</v>
      </c>
      <c r="AM8" t="s">
        <v>340</v>
      </c>
      <c r="AN8" t="s">
        <v>255</v>
      </c>
      <c r="AO8" t="s">
        <v>381</v>
      </c>
      <c r="AP8" t="s">
        <v>382</v>
      </c>
      <c r="AQ8" t="s">
        <v>383</v>
      </c>
      <c r="AR8" t="s">
        <v>343</v>
      </c>
      <c r="AS8" t="s">
        <v>384</v>
      </c>
      <c r="AT8" t="s">
        <v>385</v>
      </c>
      <c r="AU8" t="s">
        <v>386</v>
      </c>
      <c r="AV8" t="s">
        <v>387</v>
      </c>
      <c r="AW8" t="s">
        <v>388</v>
      </c>
      <c r="AX8" t="s">
        <v>389</v>
      </c>
      <c r="AY8" t="s">
        <v>390</v>
      </c>
      <c r="AZ8" t="s">
        <v>303</v>
      </c>
      <c r="BA8" t="s">
        <v>391</v>
      </c>
      <c r="BB8" t="s">
        <v>392</v>
      </c>
      <c r="BC8" t="s">
        <v>393</v>
      </c>
      <c r="BD8" t="s">
        <v>162</v>
      </c>
      <c r="BE8" t="s">
        <v>394</v>
      </c>
      <c r="BF8" t="s">
        <v>395</v>
      </c>
      <c r="BG8" t="s">
        <v>353</v>
      </c>
      <c r="BH8" t="s">
        <v>396</v>
      </c>
      <c r="BI8" t="s">
        <v>397</v>
      </c>
      <c r="BJ8" t="s">
        <v>198</v>
      </c>
      <c r="BK8" t="s">
        <v>162</v>
      </c>
      <c r="BL8" t="s">
        <v>199</v>
      </c>
      <c r="BM8" t="s">
        <v>160</v>
      </c>
      <c r="BN8" t="s">
        <v>201</v>
      </c>
      <c r="BO8" t="s">
        <v>202</v>
      </c>
      <c r="BP8" t="s">
        <v>266</v>
      </c>
      <c r="BQ8" t="s">
        <v>398</v>
      </c>
      <c r="BR8" t="s">
        <v>399</v>
      </c>
      <c r="BS8" t="s">
        <v>400</v>
      </c>
      <c r="BT8" t="s">
        <v>160</v>
      </c>
      <c r="BU8" t="s">
        <v>206</v>
      </c>
      <c r="BV8" t="s">
        <v>202</v>
      </c>
      <c r="BW8" t="s">
        <v>207</v>
      </c>
      <c r="BX8" t="s">
        <v>208</v>
      </c>
      <c r="BY8" t="s">
        <v>172</v>
      </c>
      <c r="BZ8" t="s">
        <v>209</v>
      </c>
      <c r="CA8" t="s">
        <v>172</v>
      </c>
      <c r="CB8" t="s">
        <v>172</v>
      </c>
      <c r="CC8" t="s">
        <v>210</v>
      </c>
      <c r="CD8" t="s">
        <v>211</v>
      </c>
      <c r="CE8" t="s">
        <v>197</v>
      </c>
      <c r="CF8" t="s">
        <v>212</v>
      </c>
      <c r="CG8" t="s">
        <v>213</v>
      </c>
      <c r="CH8" t="s">
        <v>214</v>
      </c>
      <c r="CI8" t="s">
        <v>178</v>
      </c>
      <c r="CJ8" t="s">
        <v>207</v>
      </c>
      <c r="CK8" t="s">
        <v>215</v>
      </c>
      <c r="CL8" t="s">
        <v>215</v>
      </c>
      <c r="CM8" t="s">
        <v>215</v>
      </c>
      <c r="CN8" t="s">
        <v>172</v>
      </c>
      <c r="CO8" t="s">
        <v>216</v>
      </c>
      <c r="CP8" t="s">
        <v>172</v>
      </c>
      <c r="CQ8" t="s">
        <v>172</v>
      </c>
      <c r="CR8" t="s">
        <v>172</v>
      </c>
      <c r="CS8" t="s">
        <v>172</v>
      </c>
      <c r="CT8" t="s">
        <v>401</v>
      </c>
      <c r="CU8" t="s">
        <v>402</v>
      </c>
      <c r="CV8" t="s">
        <v>403</v>
      </c>
      <c r="CW8" t="s">
        <v>404</v>
      </c>
      <c r="CX8" t="s">
        <v>405</v>
      </c>
      <c r="CY8" t="s">
        <v>406</v>
      </c>
      <c r="CZ8" t="s">
        <v>407</v>
      </c>
      <c r="DA8" t="s">
        <v>408</v>
      </c>
      <c r="DB8" t="s">
        <v>374</v>
      </c>
      <c r="DC8" t="s">
        <v>409</v>
      </c>
      <c r="DD8" t="s">
        <v>226</v>
      </c>
      <c r="DE8" t="s">
        <v>227</v>
      </c>
      <c r="DF8" t="s">
        <v>178</v>
      </c>
      <c r="DG8" t="s">
        <v>228</v>
      </c>
      <c r="DH8" t="s">
        <v>229</v>
      </c>
      <c r="DI8" t="s">
        <v>178</v>
      </c>
      <c r="DJ8" t="s">
        <v>230</v>
      </c>
      <c r="DK8" t="s">
        <v>231</v>
      </c>
      <c r="DL8" t="s">
        <v>232</v>
      </c>
      <c r="DM8" t="s">
        <v>172</v>
      </c>
      <c r="DN8" t="s">
        <v>373</v>
      </c>
      <c r="DO8" t="s">
        <v>233</v>
      </c>
      <c r="DP8" t="s">
        <v>234</v>
      </c>
      <c r="DQ8" t="s">
        <v>235</v>
      </c>
      <c r="DR8" t="s">
        <v>236</v>
      </c>
      <c r="DS8" t="s">
        <v>237</v>
      </c>
      <c r="DT8" t="s">
        <v>238</v>
      </c>
    </row>
    <row r="9" spans="1:124" x14ac:dyDescent="0.3">
      <c r="A9" t="s">
        <v>410</v>
      </c>
      <c r="B9" t="s">
        <v>411</v>
      </c>
      <c r="C9" t="s">
        <v>162</v>
      </c>
      <c r="D9" t="s">
        <v>163</v>
      </c>
      <c r="E9" t="s">
        <v>164</v>
      </c>
      <c r="F9" t="s">
        <v>138</v>
      </c>
      <c r="G9" t="s">
        <v>138</v>
      </c>
      <c r="H9" t="s">
        <v>572</v>
      </c>
      <c r="I9" t="s">
        <v>412</v>
      </c>
      <c r="J9">
        <f t="shared" si="0"/>
        <v>0.21950354621322052</v>
      </c>
      <c r="K9">
        <f t="shared" si="1"/>
        <v>2.9058327199999998</v>
      </c>
      <c r="L9">
        <f t="shared" si="2"/>
        <v>0.20408702693462191</v>
      </c>
      <c r="M9">
        <f t="shared" si="3"/>
        <v>3.40689439570715</v>
      </c>
      <c r="N9" t="s">
        <v>413</v>
      </c>
      <c r="O9" t="s">
        <v>414</v>
      </c>
      <c r="P9">
        <f t="shared" si="4"/>
        <v>2.7505034374620942</v>
      </c>
      <c r="Q9">
        <f t="shared" si="5"/>
        <v>1.6638834374620943</v>
      </c>
      <c r="R9" t="s">
        <v>415</v>
      </c>
      <c r="S9" t="s">
        <v>416</v>
      </c>
      <c r="T9">
        <f t="shared" si="6"/>
        <v>27.074549044808485</v>
      </c>
      <c r="U9">
        <f t="shared" si="7"/>
        <v>0.4417875</v>
      </c>
      <c r="V9" t="s">
        <v>170</v>
      </c>
      <c r="W9" t="s">
        <v>417</v>
      </c>
      <c r="X9" t="s">
        <v>172</v>
      </c>
      <c r="Y9" t="s">
        <v>172</v>
      </c>
      <c r="Z9" t="s">
        <v>172</v>
      </c>
      <c r="AA9" t="s">
        <v>418</v>
      </c>
      <c r="AB9" t="s">
        <v>419</v>
      </c>
      <c r="AC9" t="s">
        <v>420</v>
      </c>
      <c r="AD9" t="s">
        <v>176</v>
      </c>
      <c r="AE9" t="s">
        <v>177</v>
      </c>
      <c r="AF9">
        <f t="shared" si="8"/>
        <v>117.83146788000001</v>
      </c>
      <c r="AG9" t="s">
        <v>178</v>
      </c>
      <c r="AH9" t="s">
        <v>421</v>
      </c>
      <c r="AI9" t="s">
        <v>422</v>
      </c>
      <c r="AJ9" t="s">
        <v>423</v>
      </c>
      <c r="AK9" t="s">
        <v>424</v>
      </c>
      <c r="AL9">
        <f t="shared" si="9"/>
        <v>22.59</v>
      </c>
      <c r="AM9" t="s">
        <v>254</v>
      </c>
      <c r="AN9" t="s">
        <v>184</v>
      </c>
      <c r="AO9" t="s">
        <v>381</v>
      </c>
      <c r="AP9" t="s">
        <v>176</v>
      </c>
      <c r="AQ9" t="s">
        <v>425</v>
      </c>
      <c r="AR9" t="s">
        <v>426</v>
      </c>
      <c r="AS9" t="s">
        <v>427</v>
      </c>
      <c r="AT9" t="s">
        <v>428</v>
      </c>
      <c r="AU9" t="s">
        <v>429</v>
      </c>
      <c r="AV9" t="s">
        <v>430</v>
      </c>
      <c r="AW9" t="s">
        <v>431</v>
      </c>
      <c r="AX9" t="s">
        <v>432</v>
      </c>
      <c r="AY9" t="s">
        <v>433</v>
      </c>
      <c r="AZ9" t="s">
        <v>303</v>
      </c>
      <c r="BA9" t="s">
        <v>391</v>
      </c>
      <c r="BB9" t="s">
        <v>392</v>
      </c>
      <c r="BC9" t="s">
        <v>434</v>
      </c>
      <c r="BD9" t="s">
        <v>162</v>
      </c>
      <c r="BE9" t="s">
        <v>351</v>
      </c>
      <c r="BF9" t="s">
        <v>435</v>
      </c>
      <c r="BG9" t="s">
        <v>353</v>
      </c>
      <c r="BH9" t="s">
        <v>396</v>
      </c>
      <c r="BI9" t="s">
        <v>397</v>
      </c>
      <c r="BJ9" t="s">
        <v>198</v>
      </c>
      <c r="BK9" t="s">
        <v>162</v>
      </c>
      <c r="BL9" t="s">
        <v>199</v>
      </c>
      <c r="BM9" t="s">
        <v>160</v>
      </c>
      <c r="BN9" t="s">
        <v>265</v>
      </c>
      <c r="BO9" t="s">
        <v>202</v>
      </c>
      <c r="BP9" t="s">
        <v>265</v>
      </c>
      <c r="BQ9" t="s">
        <v>436</v>
      </c>
      <c r="BR9" t="s">
        <v>437</v>
      </c>
      <c r="BS9" t="s">
        <v>438</v>
      </c>
      <c r="BT9" t="s">
        <v>160</v>
      </c>
      <c r="BU9" t="s">
        <v>206</v>
      </c>
      <c r="BV9" t="s">
        <v>202</v>
      </c>
      <c r="BW9" t="s">
        <v>207</v>
      </c>
      <c r="BX9" t="s">
        <v>208</v>
      </c>
      <c r="BY9" t="s">
        <v>172</v>
      </c>
      <c r="BZ9" t="s">
        <v>209</v>
      </c>
      <c r="CA9" t="s">
        <v>172</v>
      </c>
      <c r="CB9" t="s">
        <v>172</v>
      </c>
      <c r="CC9" t="s">
        <v>210</v>
      </c>
      <c r="CD9" t="s">
        <v>211</v>
      </c>
      <c r="CE9" t="s">
        <v>197</v>
      </c>
      <c r="CF9" t="s">
        <v>212</v>
      </c>
      <c r="CG9" t="s">
        <v>213</v>
      </c>
      <c r="CH9" t="s">
        <v>214</v>
      </c>
      <c r="CI9" t="s">
        <v>178</v>
      </c>
      <c r="CJ9" t="s">
        <v>207</v>
      </c>
      <c r="CK9" t="s">
        <v>215</v>
      </c>
      <c r="CL9" t="s">
        <v>215</v>
      </c>
      <c r="CM9" t="s">
        <v>215</v>
      </c>
      <c r="CN9" t="s">
        <v>172</v>
      </c>
      <c r="CO9" t="s">
        <v>216</v>
      </c>
      <c r="CP9" t="s">
        <v>172</v>
      </c>
      <c r="CQ9" t="s">
        <v>172</v>
      </c>
      <c r="CR9" t="s">
        <v>172</v>
      </c>
      <c r="CS9" t="s">
        <v>172</v>
      </c>
      <c r="CT9" t="s">
        <v>439</v>
      </c>
      <c r="CU9" t="s">
        <v>440</v>
      </c>
      <c r="CV9" t="s">
        <v>441</v>
      </c>
      <c r="CW9" t="s">
        <v>442</v>
      </c>
      <c r="CX9" t="s">
        <v>443</v>
      </c>
      <c r="CY9" t="s">
        <v>444</v>
      </c>
      <c r="CZ9" t="s">
        <v>445</v>
      </c>
      <c r="DA9" t="s">
        <v>446</v>
      </c>
      <c r="DB9" t="s">
        <v>418</v>
      </c>
      <c r="DC9" t="s">
        <v>447</v>
      </c>
      <c r="DD9" t="s">
        <v>226</v>
      </c>
      <c r="DE9" t="s">
        <v>227</v>
      </c>
      <c r="DF9" t="s">
        <v>178</v>
      </c>
      <c r="DG9" t="s">
        <v>228</v>
      </c>
      <c r="DH9" t="s">
        <v>229</v>
      </c>
      <c r="DI9" t="s">
        <v>178</v>
      </c>
      <c r="DJ9" t="s">
        <v>230</v>
      </c>
      <c r="DK9" t="s">
        <v>231</v>
      </c>
      <c r="DL9" t="s">
        <v>232</v>
      </c>
      <c r="DM9" t="s">
        <v>172</v>
      </c>
      <c r="DN9" t="s">
        <v>417</v>
      </c>
      <c r="DO9" t="s">
        <v>233</v>
      </c>
      <c r="DP9" t="s">
        <v>234</v>
      </c>
      <c r="DQ9" t="s">
        <v>235</v>
      </c>
      <c r="DR9" t="s">
        <v>236</v>
      </c>
      <c r="DS9" t="s">
        <v>237</v>
      </c>
      <c r="DT9" t="s">
        <v>238</v>
      </c>
    </row>
    <row r="10" spans="1:124" x14ac:dyDescent="0.3">
      <c r="A10" t="s">
        <v>448</v>
      </c>
      <c r="B10" t="s">
        <v>449</v>
      </c>
      <c r="C10" t="s">
        <v>162</v>
      </c>
      <c r="D10" t="s">
        <v>163</v>
      </c>
      <c r="E10" t="s">
        <v>164</v>
      </c>
      <c r="F10" t="s">
        <v>138</v>
      </c>
      <c r="G10" t="s">
        <v>138</v>
      </c>
      <c r="H10" t="s">
        <v>573</v>
      </c>
      <c r="I10" t="s">
        <v>450</v>
      </c>
      <c r="J10">
        <f t="shared" si="0"/>
        <v>0.26658594911699751</v>
      </c>
      <c r="K10">
        <f t="shared" si="1"/>
        <v>2.9058327199999998</v>
      </c>
      <c r="L10">
        <f t="shared" si="2"/>
        <v>0.24418409246470665</v>
      </c>
      <c r="M10">
        <f t="shared" si="3"/>
        <v>3.5909457235940594</v>
      </c>
      <c r="N10" t="s">
        <v>451</v>
      </c>
      <c r="O10" t="s">
        <v>452</v>
      </c>
      <c r="P10">
        <f t="shared" si="4"/>
        <v>2.5438794834763079</v>
      </c>
      <c r="Q10">
        <f t="shared" si="5"/>
        <v>1.4671844834763079</v>
      </c>
      <c r="R10" t="s">
        <v>453</v>
      </c>
      <c r="S10" t="s">
        <v>454</v>
      </c>
      <c r="T10">
        <f t="shared" si="6"/>
        <v>25.043113639262728</v>
      </c>
      <c r="U10">
        <f t="shared" si="7"/>
        <v>0.4417875</v>
      </c>
      <c r="V10" t="s">
        <v>170</v>
      </c>
      <c r="W10" t="s">
        <v>455</v>
      </c>
      <c r="X10" t="s">
        <v>172</v>
      </c>
      <c r="Y10" t="s">
        <v>172</v>
      </c>
      <c r="Z10" t="s">
        <v>172</v>
      </c>
      <c r="AA10" t="s">
        <v>456</v>
      </c>
      <c r="AB10" t="s">
        <v>457</v>
      </c>
      <c r="AC10" t="s">
        <v>458</v>
      </c>
      <c r="AD10" t="s">
        <v>176</v>
      </c>
      <c r="AE10" t="s">
        <v>177</v>
      </c>
      <c r="AF10">
        <f t="shared" si="8"/>
        <v>60.715307520000003</v>
      </c>
      <c r="AG10" t="s">
        <v>178</v>
      </c>
      <c r="AH10" t="s">
        <v>459</v>
      </c>
      <c r="AI10" t="s">
        <v>460</v>
      </c>
      <c r="AJ10" t="s">
        <v>461</v>
      </c>
      <c r="AK10" t="s">
        <v>462</v>
      </c>
      <c r="AL10">
        <f t="shared" si="9"/>
        <v>21.31</v>
      </c>
      <c r="AM10" t="s">
        <v>463</v>
      </c>
      <c r="AN10" t="s">
        <v>184</v>
      </c>
      <c r="AO10" t="s">
        <v>464</v>
      </c>
      <c r="AP10" t="s">
        <v>465</v>
      </c>
      <c r="AQ10" t="s">
        <v>466</v>
      </c>
      <c r="AR10" t="s">
        <v>467</v>
      </c>
      <c r="AS10" t="s">
        <v>468</v>
      </c>
      <c r="AT10" t="s">
        <v>469</v>
      </c>
      <c r="AU10" t="s">
        <v>470</v>
      </c>
      <c r="AV10" t="s">
        <v>471</v>
      </c>
      <c r="AW10" t="s">
        <v>472</v>
      </c>
      <c r="AX10" t="s">
        <v>473</v>
      </c>
      <c r="AY10" t="s">
        <v>474</v>
      </c>
      <c r="AZ10" t="s">
        <v>303</v>
      </c>
      <c r="BA10" t="s">
        <v>391</v>
      </c>
      <c r="BB10" t="s">
        <v>392</v>
      </c>
      <c r="BC10" t="s">
        <v>475</v>
      </c>
      <c r="BD10" t="s">
        <v>162</v>
      </c>
      <c r="BE10" t="s">
        <v>351</v>
      </c>
      <c r="BF10" t="s">
        <v>476</v>
      </c>
      <c r="BG10" t="s">
        <v>477</v>
      </c>
      <c r="BH10" t="s">
        <v>396</v>
      </c>
      <c r="BI10" t="s">
        <v>397</v>
      </c>
      <c r="BJ10" t="s">
        <v>198</v>
      </c>
      <c r="BK10" t="s">
        <v>162</v>
      </c>
      <c r="BL10" t="s">
        <v>199</v>
      </c>
      <c r="BM10" t="s">
        <v>160</v>
      </c>
      <c r="BN10" t="s">
        <v>265</v>
      </c>
      <c r="BO10" t="s">
        <v>202</v>
      </c>
      <c r="BP10" t="s">
        <v>312</v>
      </c>
      <c r="BQ10" t="s">
        <v>478</v>
      </c>
      <c r="BR10" t="s">
        <v>479</v>
      </c>
      <c r="BS10" t="s">
        <v>480</v>
      </c>
      <c r="BT10" t="s">
        <v>160</v>
      </c>
      <c r="BU10" t="s">
        <v>206</v>
      </c>
      <c r="BV10" t="s">
        <v>202</v>
      </c>
      <c r="BW10" t="s">
        <v>207</v>
      </c>
      <c r="BX10" t="s">
        <v>208</v>
      </c>
      <c r="BY10" t="s">
        <v>172</v>
      </c>
      <c r="BZ10" t="s">
        <v>209</v>
      </c>
      <c r="CA10" t="s">
        <v>172</v>
      </c>
      <c r="CB10" t="s">
        <v>172</v>
      </c>
      <c r="CC10" t="s">
        <v>210</v>
      </c>
      <c r="CD10" t="s">
        <v>211</v>
      </c>
      <c r="CE10" t="s">
        <v>197</v>
      </c>
      <c r="CF10" t="s">
        <v>212</v>
      </c>
      <c r="CG10" t="s">
        <v>213</v>
      </c>
      <c r="CH10" t="s">
        <v>214</v>
      </c>
      <c r="CI10" t="s">
        <v>178</v>
      </c>
      <c r="CJ10" t="s">
        <v>207</v>
      </c>
      <c r="CK10" t="s">
        <v>215</v>
      </c>
      <c r="CL10" t="s">
        <v>215</v>
      </c>
      <c r="CM10" t="s">
        <v>215</v>
      </c>
      <c r="CN10" t="s">
        <v>172</v>
      </c>
      <c r="CO10" t="s">
        <v>216</v>
      </c>
      <c r="CP10" t="s">
        <v>172</v>
      </c>
      <c r="CQ10" t="s">
        <v>172</v>
      </c>
      <c r="CR10" t="s">
        <v>172</v>
      </c>
      <c r="CS10" t="s">
        <v>172</v>
      </c>
      <c r="CT10" t="s">
        <v>481</v>
      </c>
      <c r="CU10" t="s">
        <v>482</v>
      </c>
      <c r="CV10" t="s">
        <v>483</v>
      </c>
      <c r="CW10" t="s">
        <v>484</v>
      </c>
      <c r="CX10" t="s">
        <v>485</v>
      </c>
      <c r="CY10" t="s">
        <v>486</v>
      </c>
      <c r="CZ10" t="s">
        <v>487</v>
      </c>
      <c r="DA10" t="s">
        <v>488</v>
      </c>
      <c r="DB10" t="s">
        <v>456</v>
      </c>
      <c r="DC10" t="s">
        <v>489</v>
      </c>
      <c r="DD10" t="s">
        <v>226</v>
      </c>
      <c r="DE10" t="s">
        <v>227</v>
      </c>
      <c r="DF10" t="s">
        <v>178</v>
      </c>
      <c r="DG10" t="s">
        <v>228</v>
      </c>
      <c r="DH10" t="s">
        <v>229</v>
      </c>
      <c r="DI10" t="s">
        <v>178</v>
      </c>
      <c r="DJ10" t="s">
        <v>230</v>
      </c>
      <c r="DK10" t="s">
        <v>231</v>
      </c>
      <c r="DL10" t="s">
        <v>232</v>
      </c>
      <c r="DM10" t="s">
        <v>172</v>
      </c>
      <c r="DN10" t="s">
        <v>455</v>
      </c>
      <c r="DO10" t="s">
        <v>233</v>
      </c>
      <c r="DP10" t="s">
        <v>234</v>
      </c>
      <c r="DQ10" t="s">
        <v>235</v>
      </c>
      <c r="DR10" t="s">
        <v>236</v>
      </c>
      <c r="DS10" t="s">
        <v>237</v>
      </c>
      <c r="DT10" t="s">
        <v>238</v>
      </c>
    </row>
    <row r="11" spans="1:124" x14ac:dyDescent="0.3">
      <c r="A11" t="s">
        <v>396</v>
      </c>
      <c r="B11" t="s">
        <v>490</v>
      </c>
      <c r="C11" t="s">
        <v>162</v>
      </c>
      <c r="D11" t="s">
        <v>163</v>
      </c>
      <c r="E11" t="s">
        <v>164</v>
      </c>
      <c r="F11" t="s">
        <v>138</v>
      </c>
      <c r="G11" t="s">
        <v>138</v>
      </c>
      <c r="H11" t="s">
        <v>574</v>
      </c>
      <c r="I11" t="s">
        <v>491</v>
      </c>
      <c r="J11">
        <f t="shared" si="0"/>
        <v>0.23281370952725564</v>
      </c>
      <c r="K11">
        <f t="shared" si="1"/>
        <v>2.9050319999999994</v>
      </c>
      <c r="L11">
        <f t="shared" si="2"/>
        <v>0.21554000381914185</v>
      </c>
      <c r="M11">
        <f t="shared" si="3"/>
        <v>3.2419051504435488</v>
      </c>
      <c r="N11" t="s">
        <v>492</v>
      </c>
      <c r="O11" t="s">
        <v>493</v>
      </c>
      <c r="P11">
        <f t="shared" si="4"/>
        <v>2.5847135293589019</v>
      </c>
      <c r="Q11">
        <f t="shared" si="5"/>
        <v>1.5003995293589019</v>
      </c>
      <c r="R11" t="s">
        <v>494</v>
      </c>
      <c r="S11" t="s">
        <v>495</v>
      </c>
      <c r="T11">
        <f t="shared" si="6"/>
        <v>25.442597985617695</v>
      </c>
      <c r="U11">
        <f t="shared" si="7"/>
        <v>0.4417875</v>
      </c>
      <c r="V11" t="s">
        <v>170</v>
      </c>
      <c r="W11" t="s">
        <v>496</v>
      </c>
      <c r="X11" t="s">
        <v>172</v>
      </c>
      <c r="Y11" t="s">
        <v>172</v>
      </c>
      <c r="Z11" t="s">
        <v>172</v>
      </c>
      <c r="AA11" t="s">
        <v>497</v>
      </c>
      <c r="AB11" t="s">
        <v>498</v>
      </c>
      <c r="AC11" t="s">
        <v>499</v>
      </c>
      <c r="AD11" t="s">
        <v>176</v>
      </c>
      <c r="AE11" t="s">
        <v>177</v>
      </c>
      <c r="AF11">
        <f t="shared" si="8"/>
        <v>42.154329840000003</v>
      </c>
      <c r="AG11" t="s">
        <v>178</v>
      </c>
      <c r="AH11" t="s">
        <v>500</v>
      </c>
      <c r="AI11" t="s">
        <v>501</v>
      </c>
      <c r="AJ11" t="s">
        <v>502</v>
      </c>
      <c r="AK11" t="s">
        <v>503</v>
      </c>
      <c r="AL11">
        <f t="shared" si="9"/>
        <v>21.57</v>
      </c>
      <c r="AM11" t="s">
        <v>254</v>
      </c>
      <c r="AN11" t="s">
        <v>255</v>
      </c>
      <c r="AO11" t="s">
        <v>185</v>
      </c>
      <c r="AP11" t="s">
        <v>341</v>
      </c>
      <c r="AQ11" t="s">
        <v>504</v>
      </c>
      <c r="AR11" t="s">
        <v>505</v>
      </c>
      <c r="AS11" t="s">
        <v>189</v>
      </c>
      <c r="AT11" t="s">
        <v>506</v>
      </c>
      <c r="AU11" t="s">
        <v>507</v>
      </c>
      <c r="AV11" t="s">
        <v>508</v>
      </c>
      <c r="AW11" t="s">
        <v>509</v>
      </c>
      <c r="AX11" t="s">
        <v>510</v>
      </c>
      <c r="AY11" t="s">
        <v>511</v>
      </c>
      <c r="AZ11" t="s">
        <v>303</v>
      </c>
      <c r="BA11" t="s">
        <v>512</v>
      </c>
      <c r="BB11" t="s">
        <v>513</v>
      </c>
      <c r="BC11" t="s">
        <v>514</v>
      </c>
      <c r="BD11" t="s">
        <v>162</v>
      </c>
      <c r="BE11" t="s">
        <v>515</v>
      </c>
      <c r="BF11" t="s">
        <v>352</v>
      </c>
      <c r="BG11" t="s">
        <v>516</v>
      </c>
      <c r="BH11" t="s">
        <v>396</v>
      </c>
      <c r="BI11" t="s">
        <v>397</v>
      </c>
      <c r="BJ11" t="s">
        <v>198</v>
      </c>
      <c r="BK11" t="s">
        <v>162</v>
      </c>
      <c r="BL11" t="s">
        <v>199</v>
      </c>
      <c r="BM11" t="s">
        <v>160</v>
      </c>
      <c r="BN11" t="s">
        <v>202</v>
      </c>
      <c r="BO11" t="s">
        <v>265</v>
      </c>
      <c r="BP11" t="s">
        <v>266</v>
      </c>
      <c r="BQ11" t="s">
        <v>517</v>
      </c>
      <c r="BR11" t="s">
        <v>518</v>
      </c>
      <c r="BS11" t="s">
        <v>519</v>
      </c>
      <c r="BT11" t="s">
        <v>160</v>
      </c>
      <c r="BU11" t="s">
        <v>206</v>
      </c>
      <c r="BV11" t="s">
        <v>202</v>
      </c>
      <c r="BW11" t="s">
        <v>207</v>
      </c>
      <c r="BX11" t="s">
        <v>208</v>
      </c>
      <c r="BY11" t="s">
        <v>172</v>
      </c>
      <c r="BZ11" t="s">
        <v>209</v>
      </c>
      <c r="CA11" t="s">
        <v>172</v>
      </c>
      <c r="CB11" t="s">
        <v>172</v>
      </c>
      <c r="CC11" t="s">
        <v>210</v>
      </c>
      <c r="CD11" t="s">
        <v>211</v>
      </c>
      <c r="CE11" t="s">
        <v>197</v>
      </c>
      <c r="CF11" t="s">
        <v>212</v>
      </c>
      <c r="CG11" t="s">
        <v>213</v>
      </c>
      <c r="CH11" t="s">
        <v>214</v>
      </c>
      <c r="CI11" t="s">
        <v>178</v>
      </c>
      <c r="CJ11" t="s">
        <v>207</v>
      </c>
      <c r="CK11" t="s">
        <v>215</v>
      </c>
      <c r="CL11" t="s">
        <v>215</v>
      </c>
      <c r="CM11" t="s">
        <v>215</v>
      </c>
      <c r="CN11" t="s">
        <v>172</v>
      </c>
      <c r="CO11" t="s">
        <v>216</v>
      </c>
      <c r="CP11" t="s">
        <v>172</v>
      </c>
      <c r="CQ11" t="s">
        <v>172</v>
      </c>
      <c r="CR11" t="s">
        <v>172</v>
      </c>
      <c r="CS11" t="s">
        <v>172</v>
      </c>
      <c r="CT11" t="s">
        <v>520</v>
      </c>
      <c r="CU11" t="s">
        <v>521</v>
      </c>
      <c r="CV11" t="s">
        <v>522</v>
      </c>
      <c r="CW11" t="s">
        <v>523</v>
      </c>
      <c r="CX11" t="s">
        <v>524</v>
      </c>
      <c r="CY11" t="s">
        <v>525</v>
      </c>
      <c r="CZ11" t="s">
        <v>526</v>
      </c>
      <c r="DA11" t="s">
        <v>527</v>
      </c>
      <c r="DB11" t="s">
        <v>497</v>
      </c>
      <c r="DC11" t="s">
        <v>528</v>
      </c>
      <c r="DD11" t="s">
        <v>226</v>
      </c>
      <c r="DE11" t="s">
        <v>227</v>
      </c>
      <c r="DF11" t="s">
        <v>178</v>
      </c>
      <c r="DG11" t="s">
        <v>228</v>
      </c>
      <c r="DH11" t="s">
        <v>229</v>
      </c>
      <c r="DI11" t="s">
        <v>178</v>
      </c>
      <c r="DJ11" t="s">
        <v>230</v>
      </c>
      <c r="DK11" t="s">
        <v>231</v>
      </c>
      <c r="DL11" t="s">
        <v>232</v>
      </c>
      <c r="DM11" t="s">
        <v>172</v>
      </c>
      <c r="DN11" t="s">
        <v>496</v>
      </c>
      <c r="DO11" t="s">
        <v>233</v>
      </c>
      <c r="DP11" t="s">
        <v>234</v>
      </c>
      <c r="DQ11" t="s">
        <v>235</v>
      </c>
      <c r="DR11" t="s">
        <v>236</v>
      </c>
      <c r="DS11" t="s">
        <v>237</v>
      </c>
      <c r="DT11" t="s">
        <v>238</v>
      </c>
    </row>
    <row r="12" spans="1:124" x14ac:dyDescent="0.3">
      <c r="A12" t="s">
        <v>529</v>
      </c>
      <c r="B12" t="s">
        <v>530</v>
      </c>
      <c r="C12" t="s">
        <v>162</v>
      </c>
      <c r="D12" t="s">
        <v>163</v>
      </c>
      <c r="E12" t="s">
        <v>164</v>
      </c>
      <c r="F12" t="s">
        <v>138</v>
      </c>
      <c r="G12" t="s">
        <v>138</v>
      </c>
      <c r="H12" t="s">
        <v>575</v>
      </c>
      <c r="I12" t="s">
        <v>531</v>
      </c>
      <c r="J12">
        <f t="shared" si="0"/>
        <v>0.17864235342362211</v>
      </c>
      <c r="K12">
        <f t="shared" si="1"/>
        <v>2.9058327199999998</v>
      </c>
      <c r="L12">
        <f t="shared" si="2"/>
        <v>0.16829599312663054</v>
      </c>
      <c r="M12">
        <f t="shared" si="3"/>
        <v>2.5984940113076043</v>
      </c>
      <c r="N12" t="s">
        <v>532</v>
      </c>
      <c r="O12" t="s">
        <v>533</v>
      </c>
      <c r="P12">
        <f t="shared" si="4"/>
        <v>2.6535068423401573</v>
      </c>
      <c r="Q12">
        <f t="shared" si="5"/>
        <v>1.5394968423401574</v>
      </c>
      <c r="R12" t="s">
        <v>534</v>
      </c>
      <c r="S12" t="s">
        <v>535</v>
      </c>
      <c r="T12">
        <f t="shared" si="6"/>
        <v>26.119764173050076</v>
      </c>
      <c r="U12">
        <f t="shared" si="7"/>
        <v>0.4417875</v>
      </c>
      <c r="V12" t="s">
        <v>170</v>
      </c>
      <c r="W12" t="s">
        <v>536</v>
      </c>
      <c r="X12" t="s">
        <v>172</v>
      </c>
      <c r="Y12" t="s">
        <v>172</v>
      </c>
      <c r="Z12" t="s">
        <v>172</v>
      </c>
      <c r="AA12" t="s">
        <v>537</v>
      </c>
      <c r="AB12" t="s">
        <v>538</v>
      </c>
      <c r="AC12" t="s">
        <v>539</v>
      </c>
      <c r="AD12" t="s">
        <v>176</v>
      </c>
      <c r="AE12" t="s">
        <v>177</v>
      </c>
      <c r="AF12">
        <f t="shared" si="8"/>
        <v>43.351316400000002</v>
      </c>
      <c r="AG12" t="s">
        <v>178</v>
      </c>
      <c r="AH12" t="s">
        <v>540</v>
      </c>
      <c r="AI12" t="s">
        <v>541</v>
      </c>
      <c r="AJ12" t="s">
        <v>542</v>
      </c>
      <c r="AK12" t="s">
        <v>543</v>
      </c>
      <c r="AL12">
        <f t="shared" si="9"/>
        <v>22</v>
      </c>
      <c r="AM12" t="s">
        <v>254</v>
      </c>
      <c r="AN12" t="s">
        <v>184</v>
      </c>
      <c r="AO12" t="s">
        <v>544</v>
      </c>
      <c r="AP12" t="s">
        <v>545</v>
      </c>
      <c r="AQ12" t="s">
        <v>546</v>
      </c>
      <c r="AR12" t="s">
        <v>426</v>
      </c>
      <c r="AS12" t="s">
        <v>384</v>
      </c>
      <c r="AT12" t="s">
        <v>506</v>
      </c>
      <c r="AU12" t="s">
        <v>529</v>
      </c>
      <c r="AV12" t="s">
        <v>547</v>
      </c>
      <c r="AW12" t="s">
        <v>548</v>
      </c>
      <c r="AX12" t="s">
        <v>549</v>
      </c>
      <c r="AY12" t="s">
        <v>550</v>
      </c>
      <c r="AZ12" t="s">
        <v>303</v>
      </c>
      <c r="BA12" t="s">
        <v>512</v>
      </c>
      <c r="BB12" t="s">
        <v>513</v>
      </c>
      <c r="BC12" t="s">
        <v>551</v>
      </c>
      <c r="BD12" t="s">
        <v>162</v>
      </c>
      <c r="BE12" t="s">
        <v>552</v>
      </c>
      <c r="BF12" t="s">
        <v>553</v>
      </c>
      <c r="BG12" t="s">
        <v>554</v>
      </c>
      <c r="BH12" t="s">
        <v>396</v>
      </c>
      <c r="BI12" t="s">
        <v>397</v>
      </c>
      <c r="BJ12" t="s">
        <v>198</v>
      </c>
      <c r="BK12" t="s">
        <v>162</v>
      </c>
      <c r="BL12" t="s">
        <v>199</v>
      </c>
      <c r="BM12" t="s">
        <v>160</v>
      </c>
      <c r="BN12" t="s">
        <v>265</v>
      </c>
      <c r="BO12" t="s">
        <v>201</v>
      </c>
      <c r="BP12" t="s">
        <v>266</v>
      </c>
      <c r="BQ12" t="s">
        <v>555</v>
      </c>
      <c r="BR12" t="s">
        <v>556</v>
      </c>
      <c r="BS12" t="s">
        <v>557</v>
      </c>
      <c r="BT12" t="s">
        <v>160</v>
      </c>
      <c r="BU12" t="s">
        <v>206</v>
      </c>
      <c r="BV12" t="s">
        <v>202</v>
      </c>
      <c r="BW12" t="s">
        <v>207</v>
      </c>
      <c r="BX12" t="s">
        <v>208</v>
      </c>
      <c r="BY12" t="s">
        <v>172</v>
      </c>
      <c r="BZ12" t="s">
        <v>209</v>
      </c>
      <c r="CA12" t="s">
        <v>172</v>
      </c>
      <c r="CB12" t="s">
        <v>172</v>
      </c>
      <c r="CC12" t="s">
        <v>210</v>
      </c>
      <c r="CD12" t="s">
        <v>211</v>
      </c>
      <c r="CE12" t="s">
        <v>197</v>
      </c>
      <c r="CF12" t="s">
        <v>212</v>
      </c>
      <c r="CG12" t="s">
        <v>213</v>
      </c>
      <c r="CH12" t="s">
        <v>214</v>
      </c>
      <c r="CI12" t="s">
        <v>178</v>
      </c>
      <c r="CJ12" t="s">
        <v>207</v>
      </c>
      <c r="CK12" t="s">
        <v>215</v>
      </c>
      <c r="CL12" t="s">
        <v>215</v>
      </c>
      <c r="CM12" t="s">
        <v>215</v>
      </c>
      <c r="CN12" t="s">
        <v>172</v>
      </c>
      <c r="CO12" t="s">
        <v>216</v>
      </c>
      <c r="CP12" t="s">
        <v>172</v>
      </c>
      <c r="CQ12" t="s">
        <v>172</v>
      </c>
      <c r="CR12" t="s">
        <v>172</v>
      </c>
      <c r="CS12" t="s">
        <v>172</v>
      </c>
      <c r="CT12" t="s">
        <v>558</v>
      </c>
      <c r="CU12" t="s">
        <v>559</v>
      </c>
      <c r="CV12" t="s">
        <v>560</v>
      </c>
      <c r="CW12" t="s">
        <v>561</v>
      </c>
      <c r="CX12" t="s">
        <v>562</v>
      </c>
      <c r="CY12" t="s">
        <v>563</v>
      </c>
      <c r="CZ12" t="s">
        <v>564</v>
      </c>
      <c r="DA12" t="s">
        <v>565</v>
      </c>
      <c r="DB12" t="s">
        <v>537</v>
      </c>
      <c r="DC12" t="s">
        <v>566</v>
      </c>
      <c r="DD12" t="s">
        <v>226</v>
      </c>
      <c r="DE12" t="s">
        <v>227</v>
      </c>
      <c r="DF12" t="s">
        <v>178</v>
      </c>
      <c r="DG12" t="s">
        <v>228</v>
      </c>
      <c r="DH12" t="s">
        <v>229</v>
      </c>
      <c r="DI12" t="s">
        <v>178</v>
      </c>
      <c r="DJ12" t="s">
        <v>230</v>
      </c>
      <c r="DK12" t="s">
        <v>231</v>
      </c>
      <c r="DL12" t="s">
        <v>232</v>
      </c>
      <c r="DM12" t="s">
        <v>172</v>
      </c>
      <c r="DN12" t="s">
        <v>536</v>
      </c>
      <c r="DO12" t="s">
        <v>233</v>
      </c>
      <c r="DP12" t="s">
        <v>234</v>
      </c>
      <c r="DQ12" t="s">
        <v>235</v>
      </c>
      <c r="DR12" t="s">
        <v>236</v>
      </c>
      <c r="DS12" t="s">
        <v>237</v>
      </c>
      <c r="DT12" t="s">
        <v>238</v>
      </c>
    </row>
  </sheetData>
  <phoneticPr fontId="1" type="noConversion"/>
  <pageMargins left="0.7" right="0.7" top="0.75" bottom="0.75" header="0.3" footer="0.3"/>
  <ignoredErrors>
    <ignoredError sqref="A1:DT3 A5:G12 A4:G4 I4:DT4 I5:DT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lightfluoromete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박은빈</cp:lastModifiedBy>
  <dcterms:modified xsi:type="dcterms:W3CDTF">2026-10-07T15:24:43Z</dcterms:modified>
</cp:coreProperties>
</file>