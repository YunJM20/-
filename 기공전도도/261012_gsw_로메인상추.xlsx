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44" documentId="11_A4E7011E34C93844F86002B9A8108195A029A073" xr6:coauthVersionLast="47" xr6:coauthVersionMax="47" xr10:uidLastSave="{D1B4CE11-187F-49B7-8243-4EAABA52D391}"/>
  <bookViews>
    <workbookView xWindow="-120" yWindow="-120" windowWidth="29040" windowHeight="15720" xr2:uid="{00000000-000D-0000-FFFF-FFFF00000000}"/>
  </bookViews>
  <sheets>
    <sheet name="lightfluoromete" sheetId="1" r:id="rId1"/>
    <sheet name="정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1" l="1"/>
  <c r="AF35" i="1"/>
  <c r="U35" i="1"/>
  <c r="P35" i="1"/>
  <c r="M35" i="1"/>
  <c r="K35" i="1"/>
  <c r="AL34" i="1"/>
  <c r="P34" i="1" s="1"/>
  <c r="AF34" i="1"/>
  <c r="U34" i="1"/>
  <c r="M34" i="1" s="1"/>
  <c r="K34" i="1"/>
  <c r="AL33" i="1"/>
  <c r="AF33" i="1"/>
  <c r="U33" i="1"/>
  <c r="P33" i="1"/>
  <c r="M33" i="1"/>
  <c r="K33" i="1"/>
  <c r="AL32" i="1"/>
  <c r="P32" i="1" s="1"/>
  <c r="AF32" i="1"/>
  <c r="U32" i="1"/>
  <c r="M32" i="1" s="1"/>
  <c r="K32" i="1"/>
  <c r="AL31" i="1"/>
  <c r="P31" i="1" s="1"/>
  <c r="AF31" i="1"/>
  <c r="U31" i="1"/>
  <c r="M31" i="1"/>
  <c r="K31" i="1"/>
  <c r="AL30" i="1"/>
  <c r="P30" i="1" s="1"/>
  <c r="AF30" i="1"/>
  <c r="U30" i="1"/>
  <c r="M30" i="1"/>
  <c r="K30" i="1"/>
  <c r="AL29" i="1"/>
  <c r="AF29" i="1"/>
  <c r="U29" i="1"/>
  <c r="M29" i="1" s="1"/>
  <c r="P29" i="1"/>
  <c r="K29" i="1"/>
  <c r="AL28" i="1"/>
  <c r="P28" i="1" s="1"/>
  <c r="AF28" i="1"/>
  <c r="U28" i="1"/>
  <c r="M28" i="1"/>
  <c r="K28" i="1"/>
  <c r="AL27" i="1"/>
  <c r="P27" i="1" s="1"/>
  <c r="AF27" i="1"/>
  <c r="U27" i="1"/>
  <c r="M27" i="1"/>
  <c r="K27" i="1"/>
  <c r="AL26" i="1"/>
  <c r="AF26" i="1"/>
  <c r="U26" i="1"/>
  <c r="P26" i="1"/>
  <c r="M26" i="1"/>
  <c r="K26" i="1"/>
  <c r="AL25" i="1"/>
  <c r="AF25" i="1"/>
  <c r="U25" i="1"/>
  <c r="P25" i="1"/>
  <c r="M25" i="1"/>
  <c r="K25" i="1"/>
  <c r="AL24" i="1"/>
  <c r="AF24" i="1"/>
  <c r="U24" i="1"/>
  <c r="P24" i="1"/>
  <c r="M24" i="1"/>
  <c r="K24" i="1"/>
  <c r="AL23" i="1"/>
  <c r="P23" i="1" s="1"/>
  <c r="AF23" i="1"/>
  <c r="U23" i="1"/>
  <c r="M23" i="1"/>
  <c r="K23" i="1"/>
  <c r="AL22" i="1"/>
  <c r="AF22" i="1"/>
  <c r="U22" i="1"/>
  <c r="P22" i="1"/>
  <c r="M22" i="1"/>
  <c r="K22" i="1"/>
  <c r="AL21" i="1"/>
  <c r="P21" i="1" s="1"/>
  <c r="AF21" i="1"/>
  <c r="U21" i="1"/>
  <c r="M21" i="1"/>
  <c r="K21" i="1"/>
  <c r="AL20" i="1"/>
  <c r="P20" i="1" s="1"/>
  <c r="AF20" i="1"/>
  <c r="U20" i="1"/>
  <c r="M20" i="1" s="1"/>
  <c r="K20" i="1"/>
  <c r="AL19" i="1"/>
  <c r="P19" i="1" s="1"/>
  <c r="AF19" i="1"/>
  <c r="U19" i="1"/>
  <c r="M19" i="1" s="1"/>
  <c r="K19" i="1"/>
  <c r="AL18" i="1"/>
  <c r="P18" i="1" s="1"/>
  <c r="AF18" i="1"/>
  <c r="U18" i="1"/>
  <c r="M18" i="1"/>
  <c r="K18" i="1"/>
  <c r="AL17" i="1"/>
  <c r="P17" i="1" s="1"/>
  <c r="AF17" i="1"/>
  <c r="U17" i="1"/>
  <c r="M17" i="1"/>
  <c r="K17" i="1"/>
  <c r="AL16" i="1"/>
  <c r="P16" i="1" s="1"/>
  <c r="AF16" i="1"/>
  <c r="U16" i="1"/>
  <c r="M16" i="1" s="1"/>
  <c r="K16" i="1"/>
  <c r="AL15" i="1"/>
  <c r="P15" i="1" s="1"/>
  <c r="AF15" i="1"/>
  <c r="U15" i="1"/>
  <c r="M15" i="1"/>
  <c r="K15" i="1"/>
  <c r="AL14" i="1"/>
  <c r="P14" i="1" s="1"/>
  <c r="AF14" i="1"/>
  <c r="U14" i="1"/>
  <c r="M14" i="1"/>
  <c r="K14" i="1"/>
  <c r="AL13" i="1"/>
  <c r="P13" i="1" s="1"/>
  <c r="AF13" i="1"/>
  <c r="U13" i="1"/>
  <c r="M13" i="1" s="1"/>
  <c r="K13" i="1"/>
  <c r="AL12" i="1"/>
  <c r="P12" i="1" s="1"/>
  <c r="AF12" i="1"/>
  <c r="U12" i="1"/>
  <c r="M12" i="1" s="1"/>
  <c r="K12" i="1"/>
  <c r="AL11" i="1"/>
  <c r="AF11" i="1"/>
  <c r="U11" i="1"/>
  <c r="P11" i="1"/>
  <c r="M11" i="1"/>
  <c r="K11" i="1"/>
  <c r="AL10" i="1"/>
  <c r="P10" i="1" s="1"/>
  <c r="AF10" i="1"/>
  <c r="U10" i="1"/>
  <c r="M10" i="1"/>
  <c r="K10" i="1"/>
  <c r="AL9" i="1"/>
  <c r="P9" i="1" s="1"/>
  <c r="AF9" i="1"/>
  <c r="U9" i="1"/>
  <c r="M9" i="1"/>
  <c r="K9" i="1"/>
  <c r="AL8" i="1"/>
  <c r="P8" i="1" s="1"/>
  <c r="AF8" i="1"/>
  <c r="U8" i="1"/>
  <c r="M8" i="1"/>
  <c r="K8" i="1"/>
  <c r="AL7" i="1"/>
  <c r="P7" i="1" s="1"/>
  <c r="AF7" i="1"/>
  <c r="U7" i="1"/>
  <c r="M7" i="1" s="1"/>
  <c r="K7" i="1"/>
  <c r="AL6" i="1"/>
  <c r="P6" i="1" s="1"/>
  <c r="AF6" i="1"/>
  <c r="U6" i="1"/>
  <c r="M6" i="1" s="1"/>
  <c r="K6" i="1"/>
  <c r="AL5" i="1"/>
  <c r="P5" i="1" s="1"/>
  <c r="AF5" i="1"/>
  <c r="U5" i="1"/>
  <c r="M5" i="1"/>
  <c r="K5" i="1"/>
  <c r="AL4" i="1"/>
  <c r="P4" i="1" s="1"/>
  <c r="AF4" i="1"/>
  <c r="U4" i="1"/>
  <c r="M4" i="1"/>
  <c r="K4" i="1"/>
  <c r="Q35" i="1" l="1"/>
  <c r="T35" i="1"/>
  <c r="L35" i="1" s="1"/>
  <c r="J35" i="1" s="1"/>
  <c r="T34" i="1"/>
  <c r="L34" i="1" s="1"/>
  <c r="J34" i="1" s="1"/>
  <c r="Q34" i="1"/>
  <c r="Q33" i="1"/>
  <c r="T33" i="1"/>
  <c r="L33" i="1" s="1"/>
  <c r="J33" i="1" s="1"/>
  <c r="Q32" i="1"/>
  <c r="T32" i="1"/>
  <c r="L32" i="1" s="1"/>
  <c r="J32" i="1" s="1"/>
  <c r="T31" i="1"/>
  <c r="L31" i="1" s="1"/>
  <c r="J31" i="1" s="1"/>
  <c r="Q31" i="1"/>
  <c r="T30" i="1"/>
  <c r="L30" i="1" s="1"/>
  <c r="J30" i="1" s="1"/>
  <c r="Q30" i="1"/>
  <c r="Q29" i="1"/>
  <c r="T29" i="1"/>
  <c r="L29" i="1" s="1"/>
  <c r="J29" i="1" s="1"/>
  <c r="T28" i="1"/>
  <c r="L28" i="1" s="1"/>
  <c r="J28" i="1" s="1"/>
  <c r="Q28" i="1"/>
  <c r="Q27" i="1"/>
  <c r="T27" i="1"/>
  <c r="L27" i="1" s="1"/>
  <c r="J27" i="1" s="1"/>
  <c r="T26" i="1"/>
  <c r="L26" i="1" s="1"/>
  <c r="J26" i="1" s="1"/>
  <c r="Q26" i="1"/>
  <c r="Q25" i="1"/>
  <c r="T25" i="1"/>
  <c r="L25" i="1" s="1"/>
  <c r="J25" i="1" s="1"/>
  <c r="T24" i="1"/>
  <c r="L24" i="1" s="1"/>
  <c r="J24" i="1" s="1"/>
  <c r="Q24" i="1"/>
  <c r="Q23" i="1"/>
  <c r="T23" i="1"/>
  <c r="L23" i="1" s="1"/>
  <c r="J23" i="1" s="1"/>
  <c r="Q22" i="1"/>
  <c r="T22" i="1"/>
  <c r="L22" i="1" s="1"/>
  <c r="J22" i="1" s="1"/>
  <c r="T21" i="1"/>
  <c r="L21" i="1" s="1"/>
  <c r="J21" i="1" s="1"/>
  <c r="Q21" i="1"/>
  <c r="Q20" i="1"/>
  <c r="T20" i="1"/>
  <c r="L20" i="1" s="1"/>
  <c r="J20" i="1" s="1"/>
  <c r="Q19" i="1"/>
  <c r="T19" i="1"/>
  <c r="L19" i="1" s="1"/>
  <c r="J19" i="1" s="1"/>
  <c r="T18" i="1"/>
  <c r="L18" i="1" s="1"/>
  <c r="J18" i="1" s="1"/>
  <c r="Q18" i="1"/>
  <c r="T17" i="1"/>
  <c r="L17" i="1" s="1"/>
  <c r="J17" i="1" s="1"/>
  <c r="Q17" i="1"/>
  <c r="Q16" i="1"/>
  <c r="T16" i="1"/>
  <c r="L16" i="1" s="1"/>
  <c r="J16" i="1" s="1"/>
  <c r="Q15" i="1"/>
  <c r="T15" i="1"/>
  <c r="L15" i="1" s="1"/>
  <c r="J15" i="1" s="1"/>
  <c r="Q14" i="1"/>
  <c r="T14" i="1"/>
  <c r="L14" i="1" s="1"/>
  <c r="J14" i="1" s="1"/>
  <c r="Q13" i="1"/>
  <c r="T13" i="1"/>
  <c r="L13" i="1" s="1"/>
  <c r="J13" i="1" s="1"/>
  <c r="Q12" i="1"/>
  <c r="T12" i="1"/>
  <c r="L12" i="1" s="1"/>
  <c r="J12" i="1" s="1"/>
  <c r="Q11" i="1"/>
  <c r="T11" i="1"/>
  <c r="L11" i="1" s="1"/>
  <c r="J11" i="1" s="1"/>
  <c r="Q10" i="1"/>
  <c r="T10" i="1"/>
  <c r="L10" i="1" s="1"/>
  <c r="J10" i="1" s="1"/>
  <c r="Q9" i="1"/>
  <c r="T9" i="1"/>
  <c r="L9" i="1" s="1"/>
  <c r="J9" i="1" s="1"/>
  <c r="Q8" i="1"/>
  <c r="T8" i="1"/>
  <c r="L8" i="1" s="1"/>
  <c r="J8" i="1" s="1"/>
  <c r="Q7" i="1"/>
  <c r="T7" i="1"/>
  <c r="L7" i="1" s="1"/>
  <c r="J7" i="1" s="1"/>
  <c r="Q6" i="1"/>
  <c r="T6" i="1"/>
  <c r="L6" i="1" s="1"/>
  <c r="J6" i="1" s="1"/>
  <c r="Q5" i="1"/>
  <c r="T5" i="1"/>
  <c r="L5" i="1" s="1"/>
  <c r="J5" i="1" s="1"/>
  <c r="Q4" i="1"/>
  <c r="T4" i="1"/>
  <c r="L4" i="1" s="1"/>
  <c r="J4" i="1" s="1"/>
</calcChain>
</file>

<file path=xl/sharedStrings.xml><?xml version="1.0" encoding="utf-8"?>
<sst xmlns="http://schemas.openxmlformats.org/spreadsheetml/2006/main" count="7789" uniqueCount="1488">
  <si>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</si>
  <si>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</si>
  <si>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</si>
  <si>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</si>
  <si>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</si>
  <si>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</si>
  <si>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</si>
  <si>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</si>
  <si>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</si>
  <si>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</si>
  <si>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</si>
  <si>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</si>
  <si>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</si>
  <si>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</si>
  <si>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</si>
  <si>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</si>
  <si>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</si>
  <si>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</si>
  <si>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</si>
  <si>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</si>
  <si>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</si>
  <si>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</si>
  <si>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</si>
  <si>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</si>
  <si>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</si>
  <si>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</si>
  <si>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</si>
  <si>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</si>
  <si>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</si>
  <si>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</si>
  <si>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</si>
  <si>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</si>
  <si>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</si>
  <si>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</si>
  <si>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</si>
  <si>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</si>
  <si>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</si>
  <si>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</si>
  <si>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</si>
  <si>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</si>
  <si>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</si>
  <si>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</si>
  <si>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</si>
  <si>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</si>
  <si>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</si>
  <si>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</si>
  <si>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</si>
  <si>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</si>
  <si>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</si>
  <si>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</si>
  <si>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</si>
  <si>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</si>
  <si>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</si>
  <si>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</si>
  <si>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</si>
  <si>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</si>
  <si>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</si>
  <si>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</si>
  <si>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</si>
  <si>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</si>
  <si>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</si>
  <si>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</si>
  <si>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</si>
  <si>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</si>
  <si>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</si>
  <si>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</si>
  <si>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</si>
  <si>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</si>
  <si>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</si>
  <si>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</si>
  <si>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</si>
  <si>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</si>
  <si>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</si>
  <si>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</si>
  <si>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</si>
  <si>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</si>
  <si>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</si>
  <si>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</si>
  <si>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</si>
  <si>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</si>
  <si>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</si>
  <si>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</si>
  <si>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</si>
  <si>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</si>
  <si>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</si>
  <si>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</si>
  <si>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</si>
  <si>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</si>
  <si>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</si>
  <si>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</si>
  <si>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</si>
  <si>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</si>
  <si>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</si>
  <si>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</si>
  <si>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</si>
  <si>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</si>
  <si>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</si>
  <si>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</si>
  <si>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</si>
  <si>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</si>
  <si>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</si>
  <si>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</si>
  <si>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</si>
  <si>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</si>
  <si>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</si>
  <si>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</si>
  <si>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</si>
  <si>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</si>
  <si>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</si>
  <si>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</si>
  <si>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</si>
  <si>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</si>
  <si>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</si>
  <si>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</si>
  <si>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</si>
  <si>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</si>
  <si>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</si>
  <si>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</si>
  <si>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</si>
  <si>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</si>
  <si>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</si>
  <si>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</si>
  <si>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</si>
  <si>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</si>
  <si>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</si>
  <si>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</si>
  <si>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</si>
  <si>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</si>
  <si>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</si>
  <si>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</si>
  <si>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</si>
  <si>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</si>
  <si>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</si>
  <si>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</si>
  <si>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</si>
  <si>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</si>
  <si>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</si>
  <si>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</si>
  <si>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</si>
  <si>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</si>
  <si>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</si>
  <si>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</si>
  <si>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</si>
  <si>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</si>
  <si>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</si>
  <si>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</si>
  <si>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</si>
  <si>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</si>
  <si>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</si>
  <si>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</si>
  <si>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</si>
  <si>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</si>
  <si>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</si>
  <si>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</si>
  <si>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</si>
  <si>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</si>
  <si>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</si>
  <si>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</si>
  <si>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</si>
  <si>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</si>
  <si>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</si>
  <si>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10:36:21</t>
  </si>
  <si>
    <t>2026-10-12</t>
  </si>
  <si>
    <t>lightfluoromete</t>
  </si>
  <si>
    <t>yun</t>
  </si>
  <si>
    <t>001</t>
  </si>
  <si>
    <t>2.111852</t>
  </si>
  <si>
    <t>1.951092</t>
  </si>
  <si>
    <t>19.183508</t>
  </si>
  <si>
    <t>20.764128</t>
  </si>
  <si>
    <t>7.500000</t>
  </si>
  <si>
    <t>PSF-01106_20261012103621_3d5</t>
  </si>
  <si>
    <t>0.000000</t>
  </si>
  <si>
    <t>154.456619</t>
  </si>
  <si>
    <t>499.665497</t>
  </si>
  <si>
    <t>0.690880</t>
  </si>
  <si>
    <t>0.5</t>
  </si>
  <si>
    <t>0.84</t>
  </si>
  <si>
    <t>1.000000</t>
  </si>
  <si>
    <t>46.39</t>
  </si>
  <si>
    <t>42.86</t>
  </si>
  <si>
    <t>31.16</t>
  </si>
  <si>
    <t>28.79</t>
  </si>
  <si>
    <t>101.71</t>
  </si>
  <si>
    <t>156.0</t>
  </si>
  <si>
    <t>150.6</t>
  </si>
  <si>
    <t>3.5</t>
  </si>
  <si>
    <t>459</t>
  </si>
  <si>
    <t>3.969</t>
  </si>
  <si>
    <t>-11</t>
  </si>
  <si>
    <t>-21</t>
  </si>
  <si>
    <t>42</t>
  </si>
  <si>
    <t>23.59</t>
  </si>
  <si>
    <t>158.43</t>
  </si>
  <si>
    <t>00:00:00</t>
  </si>
  <si>
    <t>0000-00-00</t>
  </si>
  <si>
    <t>nan</t>
  </si>
  <si>
    <t>0</t>
  </si>
  <si>
    <t>10:35:36</t>
  </si>
  <si>
    <t>-0.78</t>
  </si>
  <si>
    <t>0.002</t>
  </si>
  <si>
    <t>0.001</t>
  </si>
  <si>
    <t>0.731</t>
  </si>
  <si>
    <t>0.894</t>
  </si>
  <si>
    <t>2.570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</si>
  <si>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</si>
  <si>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</si>
  <si>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</si>
  <si>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</si>
  <si>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</si>
  <si>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</si>
  <si>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</si>
  <si>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</si>
  <si>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</si>
  <si>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</si>
  <si>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</si>
  <si>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2.493604</t>
  </si>
  <si>
    <t>2.438538</t>
  </si>
  <si>
    <t>1.670264</t>
  </si>
  <si>
    <t>0.930187</t>
  </si>
  <si>
    <t>0.213672</t>
  </si>
  <si>
    <t>-0.028236</t>
  </si>
  <si>
    <t>0.076090</t>
  </si>
  <si>
    <t>0.507719</t>
  </si>
  <si>
    <t>0.000345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</si>
  <si>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</si>
  <si>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</si>
  <si>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</si>
  <si>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</si>
  <si>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</si>
  <si>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</si>
  <si>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</si>
  <si>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</si>
  <si>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</si>
  <si>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</si>
  <si>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</si>
  <si>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</si>
  <si>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</si>
  <si>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</si>
  <si>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10:37:06</t>
  </si>
  <si>
    <t>002</t>
  </si>
  <si>
    <t>2.213075</t>
  </si>
  <si>
    <t>2.052556</t>
  </si>
  <si>
    <t>20.178741</t>
  </si>
  <si>
    <t>21.756804</t>
  </si>
  <si>
    <t>PSF-01106_20261012103706_787</t>
  </si>
  <si>
    <t>142.084839</t>
  </si>
  <si>
    <t>499.661194</t>
  </si>
  <si>
    <t>0.715638</t>
  </si>
  <si>
    <t>48.57</t>
  </si>
  <si>
    <t>45.05</t>
  </si>
  <si>
    <t>31.17</t>
  </si>
  <si>
    <t>28.99</t>
  </si>
  <si>
    <t>101.72</t>
  </si>
  <si>
    <t>155.9</t>
  </si>
  <si>
    <t>150.9</t>
  </si>
  <si>
    <t>3.2</t>
  </si>
  <si>
    <t>480</t>
  </si>
  <si>
    <t>3.967</t>
  </si>
  <si>
    <t>-12</t>
  </si>
  <si>
    <t>-35</t>
  </si>
  <si>
    <t>51</t>
  </si>
  <si>
    <t>36.75</t>
  </si>
  <si>
    <t>157.54</t>
  </si>
  <si>
    <t>-0.000</t>
  </si>
  <si>
    <t>0.000</t>
  </si>
  <si>
    <t>0.005</t>
  </si>
  <si>
    <t>0.014</t>
  </si>
  <si>
    <t>0.206</t>
  </si>
  <si>
    <t>2.496738</t>
  </si>
  <si>
    <t>2.441364</t>
  </si>
  <si>
    <t>1.668892</t>
  </si>
  <si>
    <t>0.930879</t>
  </si>
  <si>
    <t>0.213553</t>
  </si>
  <si>
    <t>-0.025941</t>
  </si>
  <si>
    <t>0.083813</t>
  </si>
  <si>
    <t>0.525627</t>
  </si>
  <si>
    <t>0.000340</t>
  </si>
  <si>
    <t>3</t>
  </si>
  <si>
    <t>10:37:24</t>
  </si>
  <si>
    <t>003</t>
  </si>
  <si>
    <t>2.166157</t>
  </si>
  <si>
    <t>2.020519</t>
  </si>
  <si>
    <t>19.864710</t>
  </si>
  <si>
    <t>21.296545</t>
  </si>
  <si>
    <t>PSF-01106_20261012103724_cb8</t>
  </si>
  <si>
    <t>153.673416</t>
  </si>
  <si>
    <t>467.323792</t>
  </si>
  <si>
    <t>0.671163</t>
  </si>
  <si>
    <t>47.51</t>
  </si>
  <si>
    <t>44.31</t>
  </si>
  <si>
    <t>31.19</t>
  </si>
  <si>
    <t>29.09</t>
  </si>
  <si>
    <t>156.3</t>
  </si>
  <si>
    <t>152.1</t>
  </si>
  <si>
    <t>2.7</t>
  </si>
  <si>
    <t>519</t>
  </si>
  <si>
    <t>-16</t>
  </si>
  <si>
    <t>-31</t>
  </si>
  <si>
    <t>59</t>
  </si>
  <si>
    <t>34.52</t>
  </si>
  <si>
    <t>173.64</t>
  </si>
  <si>
    <t>0.004</t>
  </si>
  <si>
    <t>0.019</t>
  </si>
  <si>
    <t>-0.429</t>
  </si>
  <si>
    <t>-0.450</t>
  </si>
  <si>
    <t>2.495685</t>
  </si>
  <si>
    <t>2.439984</t>
  </si>
  <si>
    <t>1.672467</t>
  </si>
  <si>
    <t>0.933958</t>
  </si>
  <si>
    <t>0.213442</t>
  </si>
  <si>
    <t>-0.024921</t>
  </si>
  <si>
    <t>0.086614</t>
  </si>
  <si>
    <t>0.559457</t>
  </si>
  <si>
    <t>0.000339</t>
  </si>
  <si>
    <t>4</t>
  </si>
  <si>
    <t>10:37:56</t>
  </si>
  <si>
    <t>004</t>
  </si>
  <si>
    <t>2.192353</t>
  </si>
  <si>
    <t>2.057785</t>
  </si>
  <si>
    <t>20.229397</t>
  </si>
  <si>
    <t>21.552292</t>
  </si>
  <si>
    <t>PSF-01106_20261012103756_2c4</t>
  </si>
  <si>
    <t>154.038910</t>
  </si>
  <si>
    <t>492.225403</t>
  </si>
  <si>
    <t>0.687056</t>
  </si>
  <si>
    <t>48.04</t>
  </si>
  <si>
    <t>45.09</t>
  </si>
  <si>
    <t>31.20</t>
  </si>
  <si>
    <t>28.93</t>
  </si>
  <si>
    <t>153.6</t>
  </si>
  <si>
    <t>1.7</t>
  </si>
  <si>
    <t>465</t>
  </si>
  <si>
    <t>3.966</t>
  </si>
  <si>
    <t>-19</t>
  </si>
  <si>
    <t>-30</t>
  </si>
  <si>
    <t>60</t>
  </si>
  <si>
    <t>35.03</t>
  </si>
  <si>
    <t>179.42</t>
  </si>
  <si>
    <t>0.003</t>
  </si>
  <si>
    <t>-0.065</t>
  </si>
  <si>
    <t>0.284</t>
  </si>
  <si>
    <t>1.720</t>
  </si>
  <si>
    <t>2.496794</t>
  </si>
  <si>
    <t>2.440672</t>
  </si>
  <si>
    <t>1.672396</t>
  </si>
  <si>
    <t>0.937879</t>
  </si>
  <si>
    <t>0.213318</t>
  </si>
  <si>
    <t>-0.027073</t>
  </si>
  <si>
    <t>0.091960</t>
  </si>
  <si>
    <t>0.512201</t>
  </si>
  <si>
    <t>5</t>
  </si>
  <si>
    <t>10:38:17</t>
  </si>
  <si>
    <t>005</t>
  </si>
  <si>
    <t>2.169131</t>
  </si>
  <si>
    <t>1.996161</t>
  </si>
  <si>
    <t>19.623446</t>
  </si>
  <si>
    <t>21.323847</t>
  </si>
  <si>
    <t>PSF-01106_20261012103817_897</t>
  </si>
  <si>
    <t>150.173660</t>
  </si>
  <si>
    <t>450.047485</t>
  </si>
  <si>
    <t>0.666316</t>
  </si>
  <si>
    <t>47.52</t>
  </si>
  <si>
    <t>43.73</t>
  </si>
  <si>
    <t>31.21</t>
  </si>
  <si>
    <t>28.70</t>
  </si>
  <si>
    <t>149.4</t>
  </si>
  <si>
    <t>4.1</t>
  </si>
  <si>
    <t>728</t>
  </si>
  <si>
    <t>-44</t>
  </si>
  <si>
    <t>18</t>
  </si>
  <si>
    <t>47</t>
  </si>
  <si>
    <t>46.83</t>
  </si>
  <si>
    <t>-107.93</t>
  </si>
  <si>
    <t>35.850513</t>
  </si>
  <si>
    <t>127.130508</t>
  </si>
  <si>
    <t>5.800000</t>
  </si>
  <si>
    <t>1.540000</t>
  </si>
  <si>
    <t>-0.001</t>
  </si>
  <si>
    <t>-0.226</t>
  </si>
  <si>
    <t>-0.559</t>
  </si>
  <si>
    <t>-1.434</t>
  </si>
  <si>
    <t>2.494851</t>
  </si>
  <si>
    <t>2.440000</t>
  </si>
  <si>
    <t>1.669051</t>
  </si>
  <si>
    <t>0.927212</t>
  </si>
  <si>
    <t>0.213286</t>
  </si>
  <si>
    <t>-0.029929</t>
  </si>
  <si>
    <t>0.095066</t>
  </si>
  <si>
    <t>0.742278</t>
  </si>
  <si>
    <t>0.000346</t>
  </si>
  <si>
    <t>6</t>
  </si>
  <si>
    <t>10:38:45</t>
  </si>
  <si>
    <t>006</t>
  </si>
  <si>
    <t>2.176823</t>
  </si>
  <si>
    <t>2.016687</t>
  </si>
  <si>
    <t>19.826641</t>
  </si>
  <si>
    <t>21.400984</t>
  </si>
  <si>
    <t>PSF-01106_20261012103845_e1e</t>
  </si>
  <si>
    <t>152.649170</t>
  </si>
  <si>
    <t>469.055786</t>
  </si>
  <si>
    <t>0.674561</t>
  </si>
  <si>
    <t>47.64</t>
  </si>
  <si>
    <t>44.14</t>
  </si>
  <si>
    <t>31.22</t>
  </si>
  <si>
    <t>28.87</t>
  </si>
  <si>
    <t>156.1</t>
  </si>
  <si>
    <t>551</t>
  </si>
  <si>
    <t>-26</t>
  </si>
  <si>
    <t>31</t>
  </si>
  <si>
    <t>80.27</t>
  </si>
  <si>
    <t>16.91</t>
  </si>
  <si>
    <t>32.96</t>
  </si>
  <si>
    <t>169.79</t>
  </si>
  <si>
    <t>-7.34</t>
  </si>
  <si>
    <t>145.76</t>
  </si>
  <si>
    <t>49.39</t>
  </si>
  <si>
    <t>01:36:16</t>
  </si>
  <si>
    <t>35.850487</t>
  </si>
  <si>
    <t>127.130424</t>
  </si>
  <si>
    <t>37.000000</t>
  </si>
  <si>
    <t>1.170000</t>
  </si>
  <si>
    <t>-0.534</t>
  </si>
  <si>
    <t>-0.846</t>
  </si>
  <si>
    <t>-1.587</t>
  </si>
  <si>
    <t>2.495428</t>
  </si>
  <si>
    <t>2.440153</t>
  </si>
  <si>
    <t>1.670976</t>
  </si>
  <si>
    <t>0.930177</t>
  </si>
  <si>
    <t>0.213139</t>
  </si>
  <si>
    <t>-0.028014</t>
  </si>
  <si>
    <t>0.099388</t>
  </si>
  <si>
    <t>0.587258</t>
  </si>
  <si>
    <t>0.000347</t>
  </si>
  <si>
    <t>7</t>
  </si>
  <si>
    <t>10:39:01</t>
  </si>
  <si>
    <t>007</t>
  </si>
  <si>
    <t>2.228913</t>
  </si>
  <si>
    <t>2.108220</t>
  </si>
  <si>
    <t>20.726784</t>
  </si>
  <si>
    <t>21.913366</t>
  </si>
  <si>
    <t>PSF-01106_20261012103901_b49</t>
  </si>
  <si>
    <t>139.537460</t>
  </si>
  <si>
    <t>442.922119</t>
  </si>
  <si>
    <t>0.684962</t>
  </si>
  <si>
    <t>48.72</t>
  </si>
  <si>
    <t>46.08</t>
  </si>
  <si>
    <t>31.25</t>
  </si>
  <si>
    <t>29.30</t>
  </si>
  <si>
    <t>152.6</t>
  </si>
  <si>
    <t>2.2</t>
  </si>
  <si>
    <t>446</t>
  </si>
  <si>
    <t>3.941</t>
  </si>
  <si>
    <t>-24</t>
  </si>
  <si>
    <t>-34</t>
  </si>
  <si>
    <t>20</t>
  </si>
  <si>
    <t>90.06</t>
  </si>
  <si>
    <t>40.77</t>
  </si>
  <si>
    <t>141.09</t>
  </si>
  <si>
    <t>01:36:29</t>
  </si>
  <si>
    <t>35.850498</t>
  </si>
  <si>
    <t>127.130432</t>
  </si>
  <si>
    <t>36.799999</t>
  </si>
  <si>
    <t>1.020000</t>
  </si>
  <si>
    <t>-0.210</t>
  </si>
  <si>
    <t>-0.296</t>
  </si>
  <si>
    <t>-0.550</t>
  </si>
  <si>
    <t>2.498198</t>
  </si>
  <si>
    <t>2.441545</t>
  </si>
  <si>
    <t>1.669574</t>
  </si>
  <si>
    <t>0.935233</t>
  </si>
  <si>
    <t>0.212957</t>
  </si>
  <si>
    <t>-0.023034</t>
  </si>
  <si>
    <t>0.101855</t>
  </si>
  <si>
    <t>0.495977</t>
  </si>
  <si>
    <t>8</t>
  </si>
  <si>
    <t>10:39:22</t>
  </si>
  <si>
    <t>008</t>
  </si>
  <si>
    <t>2.239691</t>
  </si>
  <si>
    <t>2.093397</t>
  </si>
  <si>
    <t>20.580345</t>
  </si>
  <si>
    <t>22.018579</t>
  </si>
  <si>
    <t>PSF-01106_20261012103922_98d</t>
  </si>
  <si>
    <t>149.478439</t>
  </si>
  <si>
    <t>520.841370</t>
  </si>
  <si>
    <t>0.713006</t>
  </si>
  <si>
    <t>48.89</t>
  </si>
  <si>
    <t>45.70</t>
  </si>
  <si>
    <t>31.27</t>
  </si>
  <si>
    <t>29.04</t>
  </si>
  <si>
    <t>153.1</t>
  </si>
  <si>
    <t>1.8</t>
  </si>
  <si>
    <t>258</t>
  </si>
  <si>
    <t>3.965</t>
  </si>
  <si>
    <t>-29</t>
  </si>
  <si>
    <t>-60</t>
  </si>
  <si>
    <t>113.43</t>
  </si>
  <si>
    <t>64.07</t>
  </si>
  <si>
    <t>147.64</t>
  </si>
  <si>
    <t>01:36:53</t>
  </si>
  <si>
    <t>127.130440</t>
  </si>
  <si>
    <t>37.299999</t>
  </si>
  <si>
    <t>0.007</t>
  </si>
  <si>
    <t>-0.253</t>
  </si>
  <si>
    <t>-0.729</t>
  </si>
  <si>
    <t>-1.773</t>
  </si>
  <si>
    <t>2.497649</t>
  </si>
  <si>
    <t>2.441763</t>
  </si>
  <si>
    <t>1.669045</t>
  </si>
  <si>
    <t>0.936587</t>
  </si>
  <si>
    <t>0.212766</t>
  </si>
  <si>
    <t>-0.026466</t>
  </si>
  <si>
    <t>0.105051</t>
  </si>
  <si>
    <t>0.331870</t>
  </si>
  <si>
    <t>0.000344</t>
  </si>
  <si>
    <t>9</t>
  </si>
  <si>
    <t>10:39:40</t>
  </si>
  <si>
    <t>009</t>
  </si>
  <si>
    <t>2.246378</t>
  </si>
  <si>
    <t>2.083773</t>
  </si>
  <si>
    <t>20.487995</t>
  </si>
  <si>
    <t>22.086763</t>
  </si>
  <si>
    <t>PSF-01106_20261012103940_b9b</t>
  </si>
  <si>
    <t>165.921097</t>
  </si>
  <si>
    <t>434.140930</t>
  </si>
  <si>
    <t>0.617817</t>
  </si>
  <si>
    <t>48.94</t>
  </si>
  <si>
    <t>45.40</t>
  </si>
  <si>
    <t>31.30</t>
  </si>
  <si>
    <t>29.50</t>
  </si>
  <si>
    <t>4.2</t>
  </si>
  <si>
    <t>761</t>
  </si>
  <si>
    <t>3.964</t>
  </si>
  <si>
    <t>-39</t>
  </si>
  <si>
    <t>15</t>
  </si>
  <si>
    <t>77</t>
  </si>
  <si>
    <t>33.11</t>
  </si>
  <si>
    <t>83.76</t>
  </si>
  <si>
    <t>41.35</t>
  </si>
  <si>
    <t>-79.94</t>
  </si>
  <si>
    <t>146.05</t>
  </si>
  <si>
    <t>49.27</t>
  </si>
  <si>
    <t>01:37:09</t>
  </si>
  <si>
    <t>37.400002</t>
  </si>
  <si>
    <t>0.047</t>
  </si>
  <si>
    <t>0.195</t>
  </si>
  <si>
    <t>0.326</t>
  </si>
  <si>
    <t>2.497218</t>
  </si>
  <si>
    <t>2.441822</t>
  </si>
  <si>
    <t>1.670377</t>
  </si>
  <si>
    <t>0.927211</t>
  </si>
  <si>
    <t>0.212480</t>
  </si>
  <si>
    <t>-0.021356</t>
  </si>
  <si>
    <t>0.107628</t>
  </si>
  <si>
    <t>0.771026</t>
  </si>
  <si>
    <t>10</t>
  </si>
  <si>
    <t>10:40:04</t>
  </si>
  <si>
    <t>010</t>
  </si>
  <si>
    <t>2.253478</t>
  </si>
  <si>
    <t>2.100737</t>
  </si>
  <si>
    <t>20.655758</t>
  </si>
  <si>
    <t>22.157604</t>
  </si>
  <si>
    <t>PSF-01106_20261012104004_86f</t>
  </si>
  <si>
    <t>145.093918</t>
  </si>
  <si>
    <t>496.256226</t>
  </si>
  <si>
    <t>0.707623</t>
  </si>
  <si>
    <t>49.00</t>
  </si>
  <si>
    <t>45.68</t>
  </si>
  <si>
    <t>31.34</t>
  </si>
  <si>
    <t>28.78</t>
  </si>
  <si>
    <t>101.70</t>
  </si>
  <si>
    <t>149.1</t>
  </si>
  <si>
    <t>4.5</t>
  </si>
  <si>
    <t>386</t>
  </si>
  <si>
    <t>3.962</t>
  </si>
  <si>
    <t>-23</t>
  </si>
  <si>
    <t>-25</t>
  </si>
  <si>
    <t>36</t>
  </si>
  <si>
    <t>81.29</t>
  </si>
  <si>
    <t>15.14</t>
  </si>
  <si>
    <t>33.46</t>
  </si>
  <si>
    <t>165.96</t>
  </si>
  <si>
    <t>01:37:36</t>
  </si>
  <si>
    <t>35.850502</t>
  </si>
  <si>
    <t>0.980000</t>
  </si>
  <si>
    <t>0.092</t>
  </si>
  <si>
    <t>-0.075</t>
  </si>
  <si>
    <t>-0.728</t>
  </si>
  <si>
    <t>2.497611</t>
  </si>
  <si>
    <t>2.441893</t>
  </si>
  <si>
    <t>1.670646</t>
  </si>
  <si>
    <t>0.926377</t>
  </si>
  <si>
    <t>0.212195</t>
  </si>
  <si>
    <t>-0.030532</t>
  </si>
  <si>
    <t>0.111170</t>
  </si>
  <si>
    <t>0.443494</t>
  </si>
  <si>
    <t>0.000343</t>
  </si>
  <si>
    <t>11</t>
  </si>
  <si>
    <t>10:40:56</t>
  </si>
  <si>
    <t>011</t>
  </si>
  <si>
    <t>2.242530</t>
  </si>
  <si>
    <t>2.074860</t>
  </si>
  <si>
    <t>20.399012</t>
  </si>
  <si>
    <t>22.047462</t>
  </si>
  <si>
    <t>PSF-01106_20261012104056_aee</t>
  </si>
  <si>
    <t>142.041199</t>
  </si>
  <si>
    <t>373.835205</t>
  </si>
  <si>
    <t>0.620043</t>
  </si>
  <si>
    <t>48.44</t>
  </si>
  <si>
    <t>44.81</t>
  </si>
  <si>
    <t>31.46</t>
  </si>
  <si>
    <t>29.62</t>
  </si>
  <si>
    <t>152.8</t>
  </si>
  <si>
    <t>2.0</t>
  </si>
  <si>
    <t>965</t>
  </si>
  <si>
    <t>3.959</t>
  </si>
  <si>
    <t>-42</t>
  </si>
  <si>
    <t>52</t>
  </si>
  <si>
    <t>55.12</t>
  </si>
  <si>
    <t>57.18</t>
  </si>
  <si>
    <t>42.96</t>
  </si>
  <si>
    <t>-113.24</t>
  </si>
  <si>
    <t>146.35</t>
  </si>
  <si>
    <t>49.16</t>
  </si>
  <si>
    <t>01:38:27</t>
  </si>
  <si>
    <t>127.130470</t>
  </si>
  <si>
    <t>36.200001</t>
  </si>
  <si>
    <t>0.960000</t>
  </si>
  <si>
    <t>-0.004</t>
  </si>
  <si>
    <t>0.398</t>
  </si>
  <si>
    <t>0.459</t>
  </si>
  <si>
    <t>1.634</t>
  </si>
  <si>
    <t>2.496355</t>
  </si>
  <si>
    <t>2.441140</t>
  </si>
  <si>
    <t>1.669771</t>
  </si>
  <si>
    <t>0.935811</t>
  </si>
  <si>
    <t>0.211204</t>
  </si>
  <si>
    <t>-0.021819</t>
  </si>
  <si>
    <t>0.118792</t>
  </si>
  <si>
    <t>0.948801</t>
  </si>
  <si>
    <t>12</t>
  </si>
  <si>
    <t>10:41:27</t>
  </si>
  <si>
    <t>012</t>
  </si>
  <si>
    <t>2.273797</t>
  </si>
  <si>
    <t>2.153271</t>
  </si>
  <si>
    <t>21.170227</t>
  </si>
  <si>
    <t>22.355192</t>
  </si>
  <si>
    <t>PSF-01106_20261012104127_8bd</t>
  </si>
  <si>
    <t>133.994934</t>
  </si>
  <si>
    <t>448.884125</t>
  </si>
  <si>
    <t>0.701493</t>
  </si>
  <si>
    <t>48.90</t>
  </si>
  <si>
    <t>46.31</t>
  </si>
  <si>
    <t>31.53</t>
  </si>
  <si>
    <t>29.77</t>
  </si>
  <si>
    <t>154.4</t>
  </si>
  <si>
    <t>1.1</t>
  </si>
  <si>
    <t>316</t>
  </si>
  <si>
    <t>3.960</t>
  </si>
  <si>
    <t>-48</t>
  </si>
  <si>
    <t>326</t>
  </si>
  <si>
    <t>91.92</t>
  </si>
  <si>
    <t>61.23</t>
  </si>
  <si>
    <t>88.02</t>
  </si>
  <si>
    <t>01:38:58</t>
  </si>
  <si>
    <t>127.130455</t>
  </si>
  <si>
    <t>35.700001</t>
  </si>
  <si>
    <t>-0.190</t>
  </si>
  <si>
    <t>-0.482</t>
  </si>
  <si>
    <t>-0.754</t>
  </si>
  <si>
    <t>2.498467</t>
  </si>
  <si>
    <t>2.441728</t>
  </si>
  <si>
    <t>1.671248</t>
  </si>
  <si>
    <t>0.940047</t>
  </si>
  <si>
    <t>0.210580</t>
  </si>
  <si>
    <t>-0.020896</t>
  </si>
  <si>
    <t>0.123229</t>
  </si>
  <si>
    <t>0.382826</t>
  </si>
  <si>
    <t>0.000356</t>
  </si>
  <si>
    <t>13</t>
  </si>
  <si>
    <t>10:42:04</t>
  </si>
  <si>
    <t>013</t>
  </si>
  <si>
    <t>2.320098</t>
  </si>
  <si>
    <t>2.152410</t>
  </si>
  <si>
    <t>21.160248</t>
  </si>
  <si>
    <t>22.808781</t>
  </si>
  <si>
    <t>PSF-01106_20261012104204_0af</t>
  </si>
  <si>
    <t>173.345093</t>
  </si>
  <si>
    <t>425.765625</t>
  </si>
  <si>
    <t>0.592863</t>
  </si>
  <si>
    <t>49.57</t>
  </si>
  <si>
    <t>45.99</t>
  </si>
  <si>
    <t>31.65</t>
  </si>
  <si>
    <t>30.38</t>
  </si>
  <si>
    <t>155.8</t>
  </si>
  <si>
    <t>148.5</t>
  </si>
  <si>
    <t>4.7</t>
  </si>
  <si>
    <t>884</t>
  </si>
  <si>
    <t>3.958</t>
  </si>
  <si>
    <t>-1</t>
  </si>
  <si>
    <t>-17</t>
  </si>
  <si>
    <t>39</t>
  </si>
  <si>
    <t>65.64</t>
  </si>
  <si>
    <t>41.24</t>
  </si>
  <si>
    <t>17.03</t>
  </si>
  <si>
    <t>132.27</t>
  </si>
  <si>
    <t>146.64</t>
  </si>
  <si>
    <t>49.05</t>
  </si>
  <si>
    <t>01:39:36</t>
  </si>
  <si>
    <t>35.900002</t>
  </si>
  <si>
    <t>0.850000</t>
  </si>
  <si>
    <t>-0.002</t>
  </si>
  <si>
    <t>-0.071</t>
  </si>
  <si>
    <t>0.474</t>
  </si>
  <si>
    <t>0.397</t>
  </si>
  <si>
    <t>2.497994</t>
  </si>
  <si>
    <t>2.442574</t>
  </si>
  <si>
    <t>1.668188</t>
  </si>
  <si>
    <t>0.924882</t>
  </si>
  <si>
    <t>0.209634</t>
  </si>
  <si>
    <t>-0.014813</t>
  </si>
  <si>
    <t>0.128496</t>
  </si>
  <si>
    <t>0.877699</t>
  </si>
  <si>
    <t>14</t>
  </si>
  <si>
    <t>10:42:22</t>
  </si>
  <si>
    <t>014</t>
  </si>
  <si>
    <t>2.339709</t>
  </si>
  <si>
    <t>2.161197</t>
  </si>
  <si>
    <t>21.247107</t>
  </si>
  <si>
    <t>23.002083</t>
  </si>
  <si>
    <t>PSF-01106_20261012104222_ad0</t>
  </si>
  <si>
    <t>148.208862</t>
  </si>
  <si>
    <t>436.239136</t>
  </si>
  <si>
    <t>0.660258</t>
  </si>
  <si>
    <t>49.83</t>
  </si>
  <si>
    <t>46.02</t>
  </si>
  <si>
    <t>31.70</t>
  </si>
  <si>
    <t>29.48</t>
  </si>
  <si>
    <t>148.4</t>
  </si>
  <si>
    <t>4.9</t>
  </si>
  <si>
    <t>652</t>
  </si>
  <si>
    <t>-36</t>
  </si>
  <si>
    <t>-14</t>
  </si>
  <si>
    <t>77.89</t>
  </si>
  <si>
    <t>20.98</t>
  </si>
  <si>
    <t>38.28</t>
  </si>
  <si>
    <t>-163.99</t>
  </si>
  <si>
    <t>01:39:54</t>
  </si>
  <si>
    <t>127.130486</t>
  </si>
  <si>
    <t>34.799999</t>
  </si>
  <si>
    <t>0.800000</t>
  </si>
  <si>
    <t>-0.447</t>
  </si>
  <si>
    <t>-0.358</t>
  </si>
  <si>
    <t>-1.351</t>
  </si>
  <si>
    <t>2.498031</t>
  </si>
  <si>
    <t>2.442887</t>
  </si>
  <si>
    <t>1.671155</t>
  </si>
  <si>
    <t>0.924655</t>
  </si>
  <si>
    <t>0.209149</t>
  </si>
  <si>
    <t>-0.026569</t>
  </si>
  <si>
    <t>0.131060</t>
  </si>
  <si>
    <t>0.675756</t>
  </si>
  <si>
    <t>10:43:08</t>
  </si>
  <si>
    <t>015</t>
  </si>
  <si>
    <t>2.199554</t>
  </si>
  <si>
    <t>2.055976</t>
  </si>
  <si>
    <t>20.212410</t>
  </si>
  <si>
    <t>21.623936</t>
  </si>
  <si>
    <t>PSF-01106_20261012104308_7f4</t>
  </si>
  <si>
    <t>144.584656</t>
  </si>
  <si>
    <t>422.140350</t>
  </si>
  <si>
    <t>0.657496</t>
  </si>
  <si>
    <t>46.53</t>
  </si>
  <si>
    <t>43.49</t>
  </si>
  <si>
    <t>31.82</t>
  </si>
  <si>
    <t>29.19</t>
  </si>
  <si>
    <t>151.6</t>
  </si>
  <si>
    <t>2.8</t>
  </si>
  <si>
    <t>743</t>
  </si>
  <si>
    <t>268</t>
  </si>
  <si>
    <t>37.16</t>
  </si>
  <si>
    <t>79.70</t>
  </si>
  <si>
    <t>51.34</t>
  </si>
  <si>
    <t>15.88</t>
  </si>
  <si>
    <t>146.93</t>
  </si>
  <si>
    <t>01:40:39</t>
  </si>
  <si>
    <t>35.850491</t>
  </si>
  <si>
    <t>127.130478</t>
  </si>
  <si>
    <t>35.400002</t>
  </si>
  <si>
    <t>0.900000</t>
  </si>
  <si>
    <t>-0.342</t>
  </si>
  <si>
    <t>-0.528</t>
  </si>
  <si>
    <t>-0.800</t>
  </si>
  <si>
    <t>2.494402</t>
  </si>
  <si>
    <t>2.438611</t>
  </si>
  <si>
    <t>1.670572</t>
  </si>
  <si>
    <t>0.932832</t>
  </si>
  <si>
    <t>0.208186</t>
  </si>
  <si>
    <t>-0.031565</t>
  </si>
  <si>
    <t>0.137249</t>
  </si>
  <si>
    <t>0.755131</t>
  </si>
  <si>
    <t>0.000342</t>
  </si>
  <si>
    <t>16</t>
  </si>
  <si>
    <t>10:43:24</t>
  </si>
  <si>
    <t>016</t>
  </si>
  <si>
    <t>2.156416</t>
  </si>
  <si>
    <t>2.058607</t>
  </si>
  <si>
    <t>20.239075</t>
  </si>
  <si>
    <t>21.200672</t>
  </si>
  <si>
    <t>PSF-01106_20261012104324_405</t>
  </si>
  <si>
    <t>147.333023</t>
  </si>
  <si>
    <t>412.715790</t>
  </si>
  <si>
    <t>0.643016</t>
  </si>
  <si>
    <t>45.55</t>
  </si>
  <si>
    <t>31.85</t>
  </si>
  <si>
    <t>29.96</t>
  </si>
  <si>
    <t>154.2</t>
  </si>
  <si>
    <t>993</t>
  </si>
  <si>
    <t>3.956</t>
  </si>
  <si>
    <t>249</t>
  </si>
  <si>
    <t>36.87</t>
  </si>
  <si>
    <t>80.00</t>
  </si>
  <si>
    <t>40.76</t>
  </si>
  <si>
    <t>19.02</t>
  </si>
  <si>
    <t>01:40:54</t>
  </si>
  <si>
    <t>35.850506</t>
  </si>
  <si>
    <t>35.599998</t>
  </si>
  <si>
    <t>0.770000</t>
  </si>
  <si>
    <t>0.015</t>
  </si>
  <si>
    <t>-0.107</t>
  </si>
  <si>
    <t>0.668</t>
  </si>
  <si>
    <t>2.494389</t>
  </si>
  <si>
    <t>2.437338</t>
  </si>
  <si>
    <t>1.669757</t>
  </si>
  <si>
    <t>0.939389</t>
  </si>
  <si>
    <t>0.207981</t>
  </si>
  <si>
    <t>-0.022561</t>
  </si>
  <si>
    <t>0.139377</t>
  </si>
  <si>
    <t>0.973203</t>
  </si>
  <si>
    <t>17</t>
  </si>
  <si>
    <t>10:44:27</t>
  </si>
  <si>
    <t>017</t>
  </si>
  <si>
    <t>2.338564</t>
  </si>
  <si>
    <t>2.150935</t>
  </si>
  <si>
    <t>21.144190</t>
  </si>
  <si>
    <t>22.988626</t>
  </si>
  <si>
    <t>PSF-01106_20261012104427_60a</t>
  </si>
  <si>
    <t>220.229385</t>
  </si>
  <si>
    <t>400.782837</t>
  </si>
  <si>
    <t>0.450502</t>
  </si>
  <si>
    <t>48.83</t>
  </si>
  <si>
    <t>44.91</t>
  </si>
  <si>
    <t>32.05</t>
  </si>
  <si>
    <t>31.73</t>
  </si>
  <si>
    <t>101.73</t>
  </si>
  <si>
    <t>4.3</t>
  </si>
  <si>
    <t>1526</t>
  </si>
  <si>
    <t>3.955</t>
  </si>
  <si>
    <t>-38</t>
  </si>
  <si>
    <t>148</t>
  </si>
  <si>
    <t>15.10</t>
  </si>
  <si>
    <t>96.55</t>
  </si>
  <si>
    <t>39.10</t>
  </si>
  <si>
    <t>-16.02</t>
  </si>
  <si>
    <t>147.23</t>
  </si>
  <si>
    <t>01:41:58</t>
  </si>
  <si>
    <t>35.850494</t>
  </si>
  <si>
    <t>0.903</t>
  </si>
  <si>
    <t>0.981</t>
  </si>
  <si>
    <t>1.550</t>
  </si>
  <si>
    <t>2.496391</t>
  </si>
  <si>
    <t>2.441547</t>
  </si>
  <si>
    <t>1.671272</t>
  </si>
  <si>
    <t>0.927157</t>
  </si>
  <si>
    <t>0.206321</t>
  </si>
  <si>
    <t>-0.003163</t>
  </si>
  <si>
    <t>0.147990</t>
  </si>
  <si>
    <t>1.438026</t>
  </si>
  <si>
    <t>10:44:41</t>
  </si>
  <si>
    <t>018</t>
  </si>
  <si>
    <t>2.354990</t>
  </si>
  <si>
    <t>2.128991</t>
  </si>
  <si>
    <t>20.929296</t>
  </si>
  <si>
    <t>23.151007</t>
  </si>
  <si>
    <t>PSF-01106_20261012104441_3af</t>
  </si>
  <si>
    <t>178.959137</t>
  </si>
  <si>
    <t>324.787964</t>
  </si>
  <si>
    <t>0.448997</t>
  </si>
  <si>
    <t>49.04</t>
  </si>
  <si>
    <t>44.33</t>
  </si>
  <si>
    <t>32.10</t>
  </si>
  <si>
    <t>31.93</t>
  </si>
  <si>
    <t>148.8</t>
  </si>
  <si>
    <t>4.6</t>
  </si>
  <si>
    <t>1160</t>
  </si>
  <si>
    <t>3.934</t>
  </si>
  <si>
    <t>149</t>
  </si>
  <si>
    <t>19.06</t>
  </si>
  <si>
    <t>94.52</t>
  </si>
  <si>
    <t>45.36</t>
  </si>
  <si>
    <t>-58.23</t>
  </si>
  <si>
    <t>147.52</t>
  </si>
  <si>
    <t>01:42:12</t>
  </si>
  <si>
    <t>35.500000</t>
  </si>
  <si>
    <t>0.830000</t>
  </si>
  <si>
    <t>-0.074</t>
  </si>
  <si>
    <t>0.627</t>
  </si>
  <si>
    <t>2.495555</t>
  </si>
  <si>
    <t>2.441807</t>
  </si>
  <si>
    <t>1.669584</t>
  </si>
  <si>
    <t>0.925454</t>
  </si>
  <si>
    <t>0.205928</t>
  </si>
  <si>
    <t>-0.001301</t>
  </si>
  <si>
    <t>0.149793</t>
  </si>
  <si>
    <t>1.118872</t>
  </si>
  <si>
    <t>0.000337</t>
  </si>
  <si>
    <t>19</t>
  </si>
  <si>
    <t>3.950</t>
  </si>
  <si>
    <t>148.12</t>
  </si>
  <si>
    <t>48.50</t>
  </si>
  <si>
    <t>0.760000</t>
  </si>
  <si>
    <t>10:47:24</t>
  </si>
  <si>
    <t>020</t>
  </si>
  <si>
    <t>2.216751</t>
  </si>
  <si>
    <t>2.053857</t>
  </si>
  <si>
    <t>20.188499</t>
  </si>
  <si>
    <t>21.789675</t>
  </si>
  <si>
    <t>PSF-01106_20261012104724_e22</t>
  </si>
  <si>
    <t>194.641830</t>
  </si>
  <si>
    <t>513.626953</t>
  </si>
  <si>
    <t>0.621044</t>
  </si>
  <si>
    <t>44.77</t>
  </si>
  <si>
    <t>41.48</t>
  </si>
  <si>
    <t>32.64</t>
  </si>
  <si>
    <t>30.41</t>
  </si>
  <si>
    <t>706</t>
  </si>
  <si>
    <t>-59</t>
  </si>
  <si>
    <t>144</t>
  </si>
  <si>
    <t>63.13</t>
  </si>
  <si>
    <t>45.20</t>
  </si>
  <si>
    <t>64.72</t>
  </si>
  <si>
    <t>-107.43</t>
  </si>
  <si>
    <t>01:44:55</t>
  </si>
  <si>
    <t>34.099998</t>
  </si>
  <si>
    <t>10:47:08</t>
  </si>
  <si>
    <t>-0.83</t>
  </si>
  <si>
    <t>4.841</t>
  </si>
  <si>
    <t>0.535</t>
  </si>
  <si>
    <t>-0.464</t>
  </si>
  <si>
    <t>2.491383</t>
  </si>
  <si>
    <t>2.436257</t>
  </si>
  <si>
    <t>1.670110</t>
  </si>
  <si>
    <t>0.939489</t>
  </si>
  <si>
    <t>0.201616</t>
  </si>
  <si>
    <t>-0.026962</t>
  </si>
  <si>
    <t>0.171695</t>
  </si>
  <si>
    <t>0.722852</t>
  </si>
  <si>
    <t>21</t>
  </si>
  <si>
    <t>10:47:55</t>
  </si>
  <si>
    <t>021</t>
  </si>
  <si>
    <t>2.263408</t>
  </si>
  <si>
    <t>2.048347</t>
  </si>
  <si>
    <t>20.132803</t>
  </si>
  <si>
    <t>22.246601</t>
  </si>
  <si>
    <t>PSF-01106_20261012104755_acb</t>
  </si>
  <si>
    <t>189.115402</t>
  </si>
  <si>
    <t>399.193176</t>
  </si>
  <si>
    <t>0.526256</t>
  </si>
  <si>
    <t>45.54</t>
  </si>
  <si>
    <t>41.22</t>
  </si>
  <si>
    <t>32.71</t>
  </si>
  <si>
    <t>30.88</t>
  </si>
  <si>
    <t>101.74</t>
  </si>
  <si>
    <t>148.7</t>
  </si>
  <si>
    <t>931</t>
  </si>
  <si>
    <t>3.949</t>
  </si>
  <si>
    <t>-43</t>
  </si>
  <si>
    <t>-27</t>
  </si>
  <si>
    <t>163</t>
  </si>
  <si>
    <t>16.69</t>
  </si>
  <si>
    <t>95.79</t>
  </si>
  <si>
    <t>49.33</t>
  </si>
  <si>
    <t>-53.76</t>
  </si>
  <si>
    <t>148.42</t>
  </si>
  <si>
    <t>48.40</t>
  </si>
  <si>
    <t>01:45:26</t>
  </si>
  <si>
    <t>33.900002</t>
  </si>
  <si>
    <t>0.095</t>
  </si>
  <si>
    <t>-0.382</t>
  </si>
  <si>
    <t>-1.169</t>
  </si>
  <si>
    <t>2.490986</t>
  </si>
  <si>
    <t>2.437246</t>
  </si>
  <si>
    <t>1.672632</t>
  </si>
  <si>
    <t>0.925208</t>
  </si>
  <si>
    <t>0.201086</t>
  </si>
  <si>
    <t>-0.022018</t>
  </si>
  <si>
    <t>0.175623</t>
  </si>
  <si>
    <t>0.919286</t>
  </si>
  <si>
    <t>0.000348</t>
  </si>
  <si>
    <t>22</t>
  </si>
  <si>
    <t>10:48:33</t>
  </si>
  <si>
    <t>022</t>
  </si>
  <si>
    <t>2.285192</t>
  </si>
  <si>
    <t>2.101205</t>
  </si>
  <si>
    <t>20.652538</t>
  </si>
  <si>
    <t>22.460930</t>
  </si>
  <si>
    <t>PSF-01106_20261012104833_fc4</t>
  </si>
  <si>
    <t>164.557098</t>
  </si>
  <si>
    <t>356.146576</t>
  </si>
  <si>
    <t>0.537951</t>
  </si>
  <si>
    <t>45.87</t>
  </si>
  <si>
    <t>42.18</t>
  </si>
  <si>
    <t>32.75</t>
  </si>
  <si>
    <t>30.97</t>
  </si>
  <si>
    <t>147.9</t>
  </si>
  <si>
    <t>5.2</t>
  </si>
  <si>
    <t>1139</t>
  </si>
  <si>
    <t>3.948</t>
  </si>
  <si>
    <t>-40</t>
  </si>
  <si>
    <t>139</t>
  </si>
  <si>
    <t>7.82</t>
  </si>
  <si>
    <t>99.07</t>
  </si>
  <si>
    <t>40.51</t>
  </si>
  <si>
    <t>-30.19</t>
  </si>
  <si>
    <t>148.72</t>
  </si>
  <si>
    <t>48.29</t>
  </si>
  <si>
    <t>01:46:05</t>
  </si>
  <si>
    <t>35.850510</t>
  </si>
  <si>
    <t>127.130447</t>
  </si>
  <si>
    <t>33.200001</t>
  </si>
  <si>
    <t>0.128</t>
  </si>
  <si>
    <t>-0.187</t>
  </si>
  <si>
    <t>-2.109</t>
  </si>
  <si>
    <t>2.492357</t>
  </si>
  <si>
    <t>2.437660</t>
  </si>
  <si>
    <t>1.669868</t>
  </si>
  <si>
    <t>0.923253</t>
  </si>
  <si>
    <t>0.200739</t>
  </si>
  <si>
    <t>-0.021451</t>
  </si>
  <si>
    <t>0.180436</t>
  </si>
  <si>
    <t>1.100538</t>
  </si>
  <si>
    <t>23</t>
  </si>
  <si>
    <t>10:49:06</t>
  </si>
  <si>
    <t>023</t>
  </si>
  <si>
    <t>2.314204</t>
  </si>
  <si>
    <t>2.104392</t>
  </si>
  <si>
    <t>20.684731</t>
  </si>
  <si>
    <t>22.747040</t>
  </si>
  <si>
    <t>PSF-01106_20261012104906_58d</t>
  </si>
  <si>
    <t>158.875458</t>
  </si>
  <si>
    <t>263.950470</t>
  </si>
  <si>
    <t>0.398086</t>
  </si>
  <si>
    <t>42.11</t>
  </si>
  <si>
    <t>32.81</t>
  </si>
  <si>
    <t>32.03</t>
  </si>
  <si>
    <t>152.4</t>
  </si>
  <si>
    <t>1475</t>
  </si>
  <si>
    <t>-13</t>
  </si>
  <si>
    <t>146</t>
  </si>
  <si>
    <t>16.26</t>
  </si>
  <si>
    <t>96.00</t>
  </si>
  <si>
    <t>43.61</t>
  </si>
  <si>
    <t>-53.04</t>
  </si>
  <si>
    <t>01:46:37</t>
  </si>
  <si>
    <t>33.299999</t>
  </si>
  <si>
    <t>0.653</t>
  </si>
  <si>
    <t>-0.283</t>
  </si>
  <si>
    <t>2.492250</t>
  </si>
  <si>
    <t>2.438217</t>
  </si>
  <si>
    <t>1.668368</t>
  </si>
  <si>
    <t>0.934674</t>
  </si>
  <si>
    <t>0.200304</t>
  </si>
  <si>
    <t>-0.008989</t>
  </si>
  <si>
    <t>0.184546</t>
  </si>
  <si>
    <t>1.393087</t>
  </si>
  <si>
    <t>24</t>
  </si>
  <si>
    <t>10:49:29</t>
  </si>
  <si>
    <t>024</t>
  </si>
  <si>
    <t>2.324800</t>
  </si>
  <si>
    <t>2.112239</t>
  </si>
  <si>
    <t>20.761297</t>
  </si>
  <si>
    <t>22.850571</t>
  </si>
  <si>
    <t>PSF-01106_20261012104929_5b0</t>
  </si>
  <si>
    <t>162.377716</t>
  </si>
  <si>
    <t>283.969055</t>
  </si>
  <si>
    <t>0.428185</t>
  </si>
  <si>
    <t>42.15</t>
  </si>
  <si>
    <t>32.85</t>
  </si>
  <si>
    <t>32.32</t>
  </si>
  <si>
    <t>156.2</t>
  </si>
  <si>
    <t>149.0</t>
  </si>
  <si>
    <t>820</t>
  </si>
  <si>
    <t>-46</t>
  </si>
  <si>
    <t>135</t>
  </si>
  <si>
    <t>10.67</t>
  </si>
  <si>
    <t>98.27</t>
  </si>
  <si>
    <t>-16.91</t>
  </si>
  <si>
    <t>149.02</t>
  </si>
  <si>
    <t>48.19</t>
  </si>
  <si>
    <t>01:47:01</t>
  </si>
  <si>
    <t>0.750000</t>
  </si>
  <si>
    <t>0.191</t>
  </si>
  <si>
    <t>0.009</t>
  </si>
  <si>
    <t>-0.994</t>
  </si>
  <si>
    <t>2.492305</t>
  </si>
  <si>
    <t>2.438323</t>
  </si>
  <si>
    <t>1.672097</t>
  </si>
  <si>
    <t>0.926074</t>
  </si>
  <si>
    <t>0.199931</t>
  </si>
  <si>
    <t>-0.005976</t>
  </si>
  <si>
    <t>0.187464</t>
  </si>
  <si>
    <t>0.822301</t>
  </si>
  <si>
    <t>0.000349</t>
  </si>
  <si>
    <t>25</t>
  </si>
  <si>
    <t>10:50:15</t>
  </si>
  <si>
    <t>025</t>
  </si>
  <si>
    <t>2.257498</t>
  </si>
  <si>
    <t>2.039819</t>
  </si>
  <si>
    <t>20.050611</t>
  </si>
  <si>
    <t>22.190310</t>
  </si>
  <si>
    <t>PSF-01106_20261012105015_6bb</t>
  </si>
  <si>
    <t>184.608215</t>
  </si>
  <si>
    <t>333.047760</t>
  </si>
  <si>
    <t>0.445700</t>
  </si>
  <si>
    <t>44.82</t>
  </si>
  <si>
    <t>40.50</t>
  </si>
  <si>
    <t>32.95</t>
  </si>
  <si>
    <t>32.14</t>
  </si>
  <si>
    <t>148.9</t>
  </si>
  <si>
    <t>1556</t>
  </si>
  <si>
    <t>3.946</t>
  </si>
  <si>
    <t>-53</t>
  </si>
  <si>
    <t>131</t>
  </si>
  <si>
    <t>9.57</t>
  </si>
  <si>
    <t>98.61</t>
  </si>
  <si>
    <t>53.24</t>
  </si>
  <si>
    <t>-41.50</t>
  </si>
  <si>
    <t>01:47:45</t>
  </si>
  <si>
    <t>35.850525</t>
  </si>
  <si>
    <t>32.700001</t>
  </si>
  <si>
    <t>0.720000</t>
  </si>
  <si>
    <t>0.359</t>
  </si>
  <si>
    <t>0.399</t>
  </si>
  <si>
    <t>-0.585</t>
  </si>
  <si>
    <t>2.489908</t>
  </si>
  <si>
    <t>2.436263</t>
  </si>
  <si>
    <t>1.669380</t>
  </si>
  <si>
    <t>0.925795</t>
  </si>
  <si>
    <t>0.199212</t>
  </si>
  <si>
    <t>-0.009311</t>
  </si>
  <si>
    <t>0.193128</t>
  </si>
  <si>
    <t>1.463695</t>
  </si>
  <si>
    <t>26</t>
  </si>
  <si>
    <t>10:50:54</t>
  </si>
  <si>
    <t>026</t>
  </si>
  <si>
    <t>2.225023</t>
  </si>
  <si>
    <t>2.027411</t>
  </si>
  <si>
    <t>19.928795</t>
  </si>
  <si>
    <t>21.871252</t>
  </si>
  <si>
    <t>PSF-01106_20261012105054_604</t>
  </si>
  <si>
    <t>140.630371</t>
  </si>
  <si>
    <t>436.539520</t>
  </si>
  <si>
    <t>0.677852</t>
  </si>
  <si>
    <t>44.13</t>
  </si>
  <si>
    <t>40.21</t>
  </si>
  <si>
    <t>32.97</t>
  </si>
  <si>
    <t>29.66</t>
  </si>
  <si>
    <t>657</t>
  </si>
  <si>
    <t>3.945</t>
  </si>
  <si>
    <t>250</t>
  </si>
  <si>
    <t>60.74</t>
  </si>
  <si>
    <t>48.88</t>
  </si>
  <si>
    <t>31.01</t>
  </si>
  <si>
    <t>71.94</t>
  </si>
  <si>
    <t>149.32</t>
  </si>
  <si>
    <t>48.08</t>
  </si>
  <si>
    <t>01:48:26</t>
  </si>
  <si>
    <t>32.500000</t>
  </si>
  <si>
    <t>-0.003</t>
  </si>
  <si>
    <t>1.710</t>
  </si>
  <si>
    <t>0.338</t>
  </si>
  <si>
    <t>0.074</t>
  </si>
  <si>
    <t>2.489489</t>
  </si>
  <si>
    <t>2.435361</t>
  </si>
  <si>
    <t>1.671013</t>
  </si>
  <si>
    <t>0.927088</t>
  </si>
  <si>
    <t>0.199066</t>
  </si>
  <si>
    <t>-0.040164</t>
  </si>
  <si>
    <t>0.197879</t>
  </si>
  <si>
    <t>0.679701</t>
  </si>
  <si>
    <t>27</t>
  </si>
  <si>
    <t>10:51:27</t>
  </si>
  <si>
    <t>027</t>
  </si>
  <si>
    <t>2.259706</t>
  </si>
  <si>
    <t>2.095871</t>
  </si>
  <si>
    <t>20.602448</t>
  </si>
  <si>
    <t>22.212942</t>
  </si>
  <si>
    <t>PSF-01106_20261012105127_f91</t>
  </si>
  <si>
    <t>144.632935</t>
  </si>
  <si>
    <t>449.685577</t>
  </si>
  <si>
    <t>0.678369</t>
  </si>
  <si>
    <t>44.72</t>
  </si>
  <si>
    <t>33.00</t>
  </si>
  <si>
    <t>30.34</t>
  </si>
  <si>
    <t>150.0</t>
  </si>
  <si>
    <t>3.9</t>
  </si>
  <si>
    <t>435</t>
  </si>
  <si>
    <t>3.944</t>
  </si>
  <si>
    <t>-6</t>
  </si>
  <si>
    <t>34</t>
  </si>
  <si>
    <t>233</t>
  </si>
  <si>
    <t>81.70</t>
  </si>
  <si>
    <t>14.43</t>
  </si>
  <si>
    <t>34.46</t>
  </si>
  <si>
    <t>134.19</t>
  </si>
  <si>
    <t>01:48:58</t>
  </si>
  <si>
    <t>-0.208</t>
  </si>
  <si>
    <t>-0.180</t>
  </si>
  <si>
    <t>-1.113</t>
  </si>
  <si>
    <t>2.491315</t>
  </si>
  <si>
    <t>2.436129</t>
  </si>
  <si>
    <t>1.670287</t>
  </si>
  <si>
    <t>0.928539</t>
  </si>
  <si>
    <t>0.198779</t>
  </si>
  <si>
    <t>-0.032393</t>
  </si>
  <si>
    <t>0.201751</t>
  </si>
  <si>
    <t>0.486675</t>
  </si>
  <si>
    <t>0.000351</t>
  </si>
  <si>
    <t>28</t>
  </si>
  <si>
    <t>10:52:00</t>
  </si>
  <si>
    <t>028</t>
  </si>
  <si>
    <t>2.278618</t>
  </si>
  <si>
    <t>2.114723</t>
  </si>
  <si>
    <t>20.788010</t>
  </si>
  <si>
    <t>22.399128</t>
  </si>
  <si>
    <t>PSF-01106_20261012105200_b9c</t>
  </si>
  <si>
    <t>173.591141</t>
  </si>
  <si>
    <t>279.390320</t>
  </si>
  <si>
    <t>0.378679</t>
  </si>
  <si>
    <t>45.00</t>
  </si>
  <si>
    <t>41.77</t>
  </si>
  <si>
    <t>33.04</t>
  </si>
  <si>
    <t>33.01</t>
  </si>
  <si>
    <t>154.1</t>
  </si>
  <si>
    <t>1.2</t>
  </si>
  <si>
    <t>1355</t>
  </si>
  <si>
    <t>3.943</t>
  </si>
  <si>
    <t>-7</t>
  </si>
  <si>
    <t>142</t>
  </si>
  <si>
    <t>12.66</t>
  </si>
  <si>
    <t>97.57</t>
  </si>
  <si>
    <t>48.38</t>
  </si>
  <si>
    <t>-47.38</t>
  </si>
  <si>
    <t>149.63</t>
  </si>
  <si>
    <t>47.98</t>
  </si>
  <si>
    <t>01:49:31</t>
  </si>
  <si>
    <t>32.599998</t>
  </si>
  <si>
    <t>0.840000</t>
  </si>
  <si>
    <t>-0.555</t>
  </si>
  <si>
    <t>-0.756</t>
  </si>
  <si>
    <t>-2.793</t>
  </si>
  <si>
    <t>2.491722</t>
  </si>
  <si>
    <t>2.436490</t>
  </si>
  <si>
    <t>1.670206</t>
  </si>
  <si>
    <t>0.939090</t>
  </si>
  <si>
    <t>0.198497</t>
  </si>
  <si>
    <t>0.000448</t>
  </si>
  <si>
    <t>0.205643</t>
  </si>
  <si>
    <t>1.288475</t>
  </si>
  <si>
    <t>29</t>
  </si>
  <si>
    <t>10:52:33</t>
  </si>
  <si>
    <t>029</t>
  </si>
  <si>
    <t>2.339770</t>
  </si>
  <si>
    <t>2.100925</t>
  </si>
  <si>
    <t>20.652636</t>
  </si>
  <si>
    <t>23.000538</t>
  </si>
  <si>
    <t>PSF-01106_20261012105233_d3f</t>
  </si>
  <si>
    <t>186.125992</t>
  </si>
  <si>
    <t>336.049683</t>
  </si>
  <si>
    <t>0.446135</t>
  </si>
  <si>
    <t>46.12</t>
  </si>
  <si>
    <t>41.41</t>
  </si>
  <si>
    <t>33.08</t>
  </si>
  <si>
    <t>31.83</t>
  </si>
  <si>
    <t>147.5</t>
  </si>
  <si>
    <t>5.6</t>
  </si>
  <si>
    <t>1429</t>
  </si>
  <si>
    <t>6.05</t>
  </si>
  <si>
    <t>99.44</t>
  </si>
  <si>
    <t>48.28</t>
  </si>
  <si>
    <t>-21.95</t>
  </si>
  <si>
    <t>149.93</t>
  </si>
  <si>
    <t>47.88</t>
  </si>
  <si>
    <t>01:50:05</t>
  </si>
  <si>
    <t>32.299999</t>
  </si>
  <si>
    <t>0.232</t>
  </si>
  <si>
    <t>0.093</t>
  </si>
  <si>
    <t>0.317</t>
  </si>
  <si>
    <t>2.491200</t>
  </si>
  <si>
    <t>2.437925</t>
  </si>
  <si>
    <t>1.671551</t>
  </si>
  <si>
    <t>0.922161</t>
  </si>
  <si>
    <t>0.198209</t>
  </si>
  <si>
    <t>-0.014881</t>
  </si>
  <si>
    <t>0.209581</t>
  </si>
  <si>
    <t>1.353604</t>
  </si>
  <si>
    <t>30</t>
  </si>
  <si>
    <t>10:53:33</t>
  </si>
  <si>
    <t>030</t>
  </si>
  <si>
    <t>2.378209</t>
  </si>
  <si>
    <t>2.188736</t>
  </si>
  <si>
    <t>21.516790</t>
  </si>
  <si>
    <t>23.379442</t>
  </si>
  <si>
    <t>PSF-01106_20261012105333_25d</t>
  </si>
  <si>
    <t>182.862274</t>
  </si>
  <si>
    <t>352.128265</t>
  </si>
  <si>
    <t>0.480694</t>
  </si>
  <si>
    <t>46.59</t>
  </si>
  <si>
    <t>42.88</t>
  </si>
  <si>
    <t>33.18</t>
  </si>
  <si>
    <t>150.4</t>
  </si>
  <si>
    <t>3.7</t>
  </si>
  <si>
    <t>1478</t>
  </si>
  <si>
    <t>3.940</t>
  </si>
  <si>
    <t>13.57</t>
  </si>
  <si>
    <t>97.21</t>
  </si>
  <si>
    <t>40.52</t>
  </si>
  <si>
    <t>-13.23</t>
  </si>
  <si>
    <t>150.24</t>
  </si>
  <si>
    <t>47.78</t>
  </si>
  <si>
    <t>01:51:03</t>
  </si>
  <si>
    <t>31.900000</t>
  </si>
  <si>
    <t>0.569</t>
  </si>
  <si>
    <t>0.781</t>
  </si>
  <si>
    <t>-1.746</t>
  </si>
  <si>
    <t>2.493297</t>
  </si>
  <si>
    <t>2.438528</t>
  </si>
  <si>
    <t>1.672248</t>
  </si>
  <si>
    <t>0.929752</t>
  </si>
  <si>
    <t>0.197389</t>
  </si>
  <si>
    <t>-0.005113</t>
  </si>
  <si>
    <t>0.216752</t>
  </si>
  <si>
    <t>1.395897</t>
  </si>
  <si>
    <t>0.000338</t>
  </si>
  <si>
    <t>10:54:05</t>
  </si>
  <si>
    <t>031</t>
  </si>
  <si>
    <t>2.388578</t>
  </si>
  <si>
    <t>2.203948</t>
  </si>
  <si>
    <t>21.667871</t>
  </si>
  <si>
    <t>23.483046</t>
  </si>
  <si>
    <t>PSF-01106_20261012105405_e57</t>
  </si>
  <si>
    <t>186.084152</t>
  </si>
  <si>
    <t>400.140167</t>
  </si>
  <si>
    <t>0.534953</t>
  </si>
  <si>
    <t>46.66</t>
  </si>
  <si>
    <t>43.05</t>
  </si>
  <si>
    <t>33.24</t>
  </si>
  <si>
    <t>32.23</t>
  </si>
  <si>
    <t>153.4</t>
  </si>
  <si>
    <t>3.939</t>
  </si>
  <si>
    <t>-8</t>
  </si>
  <si>
    <t>155</t>
  </si>
  <si>
    <t>14.32</t>
  </si>
  <si>
    <t>96.89</t>
  </si>
  <si>
    <t>34.82</t>
  </si>
  <si>
    <t>-39.11</t>
  </si>
  <si>
    <t>01:51:36</t>
  </si>
  <si>
    <t>127.130463</t>
  </si>
  <si>
    <t>31.600000</t>
  </si>
  <si>
    <t>0.730000</t>
  </si>
  <si>
    <t>-0.134</t>
  </si>
  <si>
    <t>0.472</t>
  </si>
  <si>
    <t>-0.101</t>
  </si>
  <si>
    <t>2.493528</t>
  </si>
  <si>
    <t>2.438600</t>
  </si>
  <si>
    <t>1.670717</t>
  </si>
  <si>
    <t>0.937354</t>
  </si>
  <si>
    <t>0.196976</t>
  </si>
  <si>
    <t>-0.011849</t>
  </si>
  <si>
    <t>0.220541</t>
  </si>
  <si>
    <t>1.353643</t>
  </si>
  <si>
    <t>32</t>
  </si>
  <si>
    <t>10:54:35</t>
  </si>
  <si>
    <t>032</t>
  </si>
  <si>
    <t>2.272537</t>
  </si>
  <si>
    <t>2.124214</t>
  </si>
  <si>
    <t>20.884644</t>
  </si>
  <si>
    <t>22.342913</t>
  </si>
  <si>
    <t>PSF-01106_20261012105435_66a</t>
  </si>
  <si>
    <t>164.290665</t>
  </si>
  <si>
    <t>454.464569</t>
  </si>
  <si>
    <t>0.638496</t>
  </si>
  <si>
    <t>44.30</t>
  </si>
  <si>
    <t>33.27</t>
  </si>
  <si>
    <t>31.51</t>
  </si>
  <si>
    <t>155.3</t>
  </si>
  <si>
    <t>769</t>
  </si>
  <si>
    <t>-28</t>
  </si>
  <si>
    <t>252</t>
  </si>
  <si>
    <t>33.20</t>
  </si>
  <si>
    <t>83.67</t>
  </si>
  <si>
    <t>35.63</t>
  </si>
  <si>
    <t>18.31</t>
  </si>
  <si>
    <t>150.54</t>
  </si>
  <si>
    <t>47.68</t>
  </si>
  <si>
    <t>01:52:06</t>
  </si>
  <si>
    <t>31.799999</t>
  </si>
  <si>
    <t>-0.274</t>
  </si>
  <si>
    <t>0.179</t>
  </si>
  <si>
    <t>-2.347</t>
  </si>
  <si>
    <t>2.491164</t>
  </si>
  <si>
    <t>2.435532</t>
  </si>
  <si>
    <t>1.670308</t>
  </si>
  <si>
    <t>0.942265</t>
  </si>
  <si>
    <t>0.196685</t>
  </si>
  <si>
    <t>-0.021377</t>
  </si>
  <si>
    <t>0.224032</t>
  </si>
  <si>
    <t>0.778058</t>
  </si>
  <si>
    <t>35</t>
  </si>
  <si>
    <t>10:57:47</t>
  </si>
  <si>
    <t>035</t>
  </si>
  <si>
    <t>2.170135</t>
  </si>
  <si>
    <t>1.999248</t>
  </si>
  <si>
    <t>19.657324</t>
  </si>
  <si>
    <t>21.337545</t>
  </si>
  <si>
    <t>PSF-01106_20261012105747_22a</t>
  </si>
  <si>
    <t>137.925980</t>
  </si>
  <si>
    <t>497.847321</t>
  </si>
  <si>
    <t>0.722955</t>
  </si>
  <si>
    <t>41.87</t>
  </si>
  <si>
    <t>38.57</t>
  </si>
  <si>
    <t>29.82</t>
  </si>
  <si>
    <t>151.7</t>
  </si>
  <si>
    <t>297</t>
  </si>
  <si>
    <t>-32</t>
  </si>
  <si>
    <t>92.20</t>
  </si>
  <si>
    <t>45.33</t>
  </si>
  <si>
    <t>140.83</t>
  </si>
  <si>
    <t>-7.35</t>
  </si>
  <si>
    <t>151.47</t>
  </si>
  <si>
    <t>47.38</t>
  </si>
  <si>
    <t>01:55:18</t>
  </si>
  <si>
    <t>35.850475</t>
  </si>
  <si>
    <t>0.590000</t>
  </si>
  <si>
    <t>-0.431</t>
  </si>
  <si>
    <t>-0.848</t>
  </si>
  <si>
    <t>-2.106</t>
  </si>
  <si>
    <t>2.487038</t>
  </si>
  <si>
    <t>2.432329</t>
  </si>
  <si>
    <t>1.671032</t>
  </si>
  <si>
    <t>0.933100</t>
  </si>
  <si>
    <t>0.195277</t>
  </si>
  <si>
    <t>-0.044442</t>
  </si>
  <si>
    <t>0.245482</t>
  </si>
  <si>
    <t>0.365747</t>
  </si>
  <si>
    <t>0.000357</t>
  </si>
  <si>
    <t>CR-1</t>
    <phoneticPr fontId="1" type="noConversion"/>
  </si>
  <si>
    <t>CR-2</t>
  </si>
  <si>
    <t>CR-3</t>
  </si>
  <si>
    <t>CR-4</t>
  </si>
  <si>
    <t>CR-5</t>
  </si>
  <si>
    <t>CR-6</t>
  </si>
  <si>
    <t>CR-7</t>
  </si>
  <si>
    <t>CR-8</t>
  </si>
  <si>
    <t>DR-1</t>
    <phoneticPr fontId="1" type="noConversion"/>
  </si>
  <si>
    <t>DR-2</t>
  </si>
  <si>
    <t>WR-1</t>
    <phoneticPr fontId="1" type="noConversion"/>
  </si>
  <si>
    <t>WR-2</t>
  </si>
  <si>
    <t>WDR-1</t>
    <phoneticPr fontId="1" type="noConversion"/>
  </si>
  <si>
    <t>WDR-2</t>
  </si>
  <si>
    <t>DR-3</t>
  </si>
  <si>
    <t>WR-3</t>
  </si>
  <si>
    <t>WDR-3</t>
  </si>
  <si>
    <t>DR-4</t>
  </si>
  <si>
    <t>WR-4</t>
  </si>
  <si>
    <t>WDR-4</t>
  </si>
  <si>
    <t>DR-5</t>
  </si>
  <si>
    <t>WDR-5</t>
  </si>
  <si>
    <t>DR-6</t>
  </si>
  <si>
    <t>WDR-6</t>
  </si>
  <si>
    <t>DR-7</t>
  </si>
  <si>
    <t>WDR-7</t>
  </si>
  <si>
    <t>DR-8</t>
  </si>
  <si>
    <t>WDR-8</t>
  </si>
  <si>
    <t>WR-5</t>
    <phoneticPr fontId="1" type="noConversion"/>
  </si>
  <si>
    <t>WR-6</t>
    <phoneticPr fontId="1" type="noConversion"/>
  </si>
  <si>
    <t>WR-7</t>
    <phoneticPr fontId="1" type="noConversion"/>
  </si>
  <si>
    <t>WR-8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</si>
</sst>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tabSelected="1" workbookViewId="0">
      <selection activeCell="G3" sqref="G3"/>
    </sheetView>
  </sheetViews>
  <sheetFormatPr defaultRowHeight="17.25" x14ac:dyDescent="0.3"/>
  <sheetData>
    <row r="1" spans="1:124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H4" t="s">
        <v>1456</v>
      </c>
      <c r="I4" t="s">
        <v>165</v>
      </c>
      <c r="J4">
        <f t="shared" ref="J4:J34" si="0">1/((1/L4)-(1/K4))</f>
        <v>0.33722472974061934</v>
      </c>
      <c r="K4">
        <f t="shared" ref="K4:K34" si="1">BY4+(BZ4*AN4)+(CA4*AN4*POWER(V4,2))+(CB4*AN4*V4)+(CC4*POWER(AN4,2))</f>
        <v>2.9050319999999994</v>
      </c>
      <c r="L4">
        <f t="shared" ref="L4:L34" si="2">((M4/1000)*(1000-((T4+S4)/2)))/(T4-S4)</f>
        <v>0.30215023446530803</v>
      </c>
      <c r="M4">
        <f t="shared" ref="M4:M34" si="3">(AN4*(S4-R4))/(100*U4*(1000-S4))*1000</f>
        <v>5.6996912804138633</v>
      </c>
      <c r="N4" t="s">
        <v>166</v>
      </c>
      <c r="O4" t="s">
        <v>167</v>
      </c>
      <c r="P4">
        <f t="shared" ref="P4:P34" si="4">0.61365*EXP((17.502*AL4)/(240.97+AL4))</f>
        <v>3.9731593346524603</v>
      </c>
      <c r="Q4">
        <f t="shared" ref="Q4:Q34" si="5">P4-N4</f>
        <v>1.8613073346524605</v>
      </c>
      <c r="R4" t="s">
        <v>168</v>
      </c>
      <c r="S4" t="s">
        <v>169</v>
      </c>
      <c r="T4">
        <f t="shared" ref="T4:T34" si="6">(P4/AM4)*1000</f>
        <v>39.063605689238628</v>
      </c>
      <c r="U4">
        <f t="shared" ref="U4:U34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34" si="8">AC4*AD4*AE4*AQ4</f>
        <v>133.18784640000001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34" si="9">(AK4-AJ4)*(AJ4*0+0)+AK4</f>
        <v>28.79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138</v>
      </c>
      <c r="AW4" t="s">
        <v>138</v>
      </c>
      <c r="AX4" t="s">
        <v>192</v>
      </c>
      <c r="AY4" t="s">
        <v>193</v>
      </c>
      <c r="AZ4" t="s">
        <v>138</v>
      </c>
      <c r="BA4" t="s">
        <v>138</v>
      </c>
      <c r="BB4" t="s">
        <v>138</v>
      </c>
      <c r="BC4" t="s">
        <v>194</v>
      </c>
      <c r="BD4" t="s">
        <v>195</v>
      </c>
      <c r="BE4" t="s">
        <v>196</v>
      </c>
      <c r="BF4" t="s">
        <v>196</v>
      </c>
      <c r="BG4" t="s">
        <v>196</v>
      </c>
      <c r="BH4" t="s">
        <v>197</v>
      </c>
      <c r="BI4" t="s">
        <v>196</v>
      </c>
      <c r="BJ4" t="s">
        <v>198</v>
      </c>
      <c r="BK4" t="s">
        <v>162</v>
      </c>
      <c r="BL4" t="s">
        <v>199</v>
      </c>
      <c r="BM4" t="s">
        <v>160</v>
      </c>
      <c r="BN4" t="s">
        <v>200</v>
      </c>
      <c r="BO4" t="s">
        <v>201</v>
      </c>
      <c r="BP4" t="s">
        <v>201</v>
      </c>
      <c r="BQ4" t="s">
        <v>202</v>
      </c>
      <c r="BR4" t="s">
        <v>203</v>
      </c>
      <c r="BS4" t="s">
        <v>204</v>
      </c>
      <c r="BT4" t="s">
        <v>160</v>
      </c>
      <c r="BU4" t="s">
        <v>205</v>
      </c>
      <c r="BV4" t="s">
        <v>201</v>
      </c>
      <c r="BW4" t="s">
        <v>206</v>
      </c>
      <c r="BX4" t="s">
        <v>207</v>
      </c>
      <c r="BY4" t="s">
        <v>172</v>
      </c>
      <c r="BZ4" t="s">
        <v>208</v>
      </c>
      <c r="CA4" t="s">
        <v>172</v>
      </c>
      <c r="CB4" t="s">
        <v>172</v>
      </c>
      <c r="CC4" t="s">
        <v>209</v>
      </c>
      <c r="CD4" t="s">
        <v>210</v>
      </c>
      <c r="CE4" t="s">
        <v>197</v>
      </c>
      <c r="CF4" t="s">
        <v>211</v>
      </c>
      <c r="CG4" t="s">
        <v>212</v>
      </c>
      <c r="CH4" t="s">
        <v>213</v>
      </c>
      <c r="CI4" t="s">
        <v>178</v>
      </c>
      <c r="CJ4" t="s">
        <v>206</v>
      </c>
      <c r="CK4" t="s">
        <v>214</v>
      </c>
      <c r="CL4" t="s">
        <v>214</v>
      </c>
      <c r="CM4" t="s">
        <v>214</v>
      </c>
      <c r="CN4" t="s">
        <v>172</v>
      </c>
      <c r="CO4" t="s">
        <v>215</v>
      </c>
      <c r="CP4" t="s">
        <v>172</v>
      </c>
      <c r="CQ4" t="s">
        <v>172</v>
      </c>
      <c r="CR4" t="s">
        <v>172</v>
      </c>
      <c r="CS4" t="s">
        <v>172</v>
      </c>
      <c r="CT4" t="s">
        <v>216</v>
      </c>
      <c r="CU4" t="s">
        <v>217</v>
      </c>
      <c r="CV4" t="s">
        <v>218</v>
      </c>
      <c r="CW4" t="s">
        <v>219</v>
      </c>
      <c r="CX4" t="s">
        <v>220</v>
      </c>
      <c r="CY4" t="s">
        <v>221</v>
      </c>
      <c r="CZ4" t="s">
        <v>222</v>
      </c>
      <c r="DA4" t="s">
        <v>223</v>
      </c>
      <c r="DB4" t="s">
        <v>173</v>
      </c>
      <c r="DC4" t="s">
        <v>224</v>
      </c>
      <c r="DD4" t="s">
        <v>225</v>
      </c>
      <c r="DE4" t="s">
        <v>226</v>
      </c>
      <c r="DF4" t="s">
        <v>178</v>
      </c>
      <c r="DG4" t="s">
        <v>227</v>
      </c>
      <c r="DH4" t="s">
        <v>228</v>
      </c>
      <c r="DI4" t="s">
        <v>178</v>
      </c>
      <c r="DJ4" t="s">
        <v>229</v>
      </c>
      <c r="DK4" t="s">
        <v>230</v>
      </c>
      <c r="DL4" t="s">
        <v>231</v>
      </c>
      <c r="DM4" t="s">
        <v>172</v>
      </c>
      <c r="DN4" t="s">
        <v>171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3">
      <c r="A5" t="s">
        <v>238</v>
      </c>
      <c r="B5" t="s">
        <v>239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1464</v>
      </c>
      <c r="I5" t="s">
        <v>240</v>
      </c>
      <c r="J5">
        <f t="shared" si="0"/>
        <v>0.34797671592436008</v>
      </c>
      <c r="K5">
        <f t="shared" si="1"/>
        <v>2.9042299199999997</v>
      </c>
      <c r="L5">
        <f t="shared" si="2"/>
        <v>0.31074421246410977</v>
      </c>
      <c r="M5">
        <f t="shared" si="3"/>
        <v>5.6925937655594305</v>
      </c>
      <c r="N5" t="s">
        <v>241</v>
      </c>
      <c r="O5" t="s">
        <v>242</v>
      </c>
      <c r="P5">
        <f t="shared" si="4"/>
        <v>4.0194461398186379</v>
      </c>
      <c r="Q5">
        <f t="shared" si="5"/>
        <v>1.8063711398186379</v>
      </c>
      <c r="R5" t="s">
        <v>243</v>
      </c>
      <c r="S5" t="s">
        <v>244</v>
      </c>
      <c r="T5">
        <f t="shared" si="6"/>
        <v>39.514806722558376</v>
      </c>
      <c r="U5">
        <f t="shared" si="7"/>
        <v>0.4417875</v>
      </c>
      <c r="V5" t="s">
        <v>170</v>
      </c>
      <c r="W5" t="s">
        <v>245</v>
      </c>
      <c r="X5" t="s">
        <v>172</v>
      </c>
      <c r="Y5" t="s">
        <v>172</v>
      </c>
      <c r="Z5" t="s">
        <v>172</v>
      </c>
      <c r="AA5" t="s">
        <v>246</v>
      </c>
      <c r="AB5" t="s">
        <v>247</v>
      </c>
      <c r="AC5" t="s">
        <v>248</v>
      </c>
      <c r="AD5" t="s">
        <v>176</v>
      </c>
      <c r="AE5" t="s">
        <v>177</v>
      </c>
      <c r="AF5">
        <f t="shared" si="8"/>
        <v>144.27262079999997</v>
      </c>
      <c r="AG5" t="s">
        <v>178</v>
      </c>
      <c r="AH5" t="s">
        <v>249</v>
      </c>
      <c r="AI5" t="s">
        <v>250</v>
      </c>
      <c r="AJ5" t="s">
        <v>251</v>
      </c>
      <c r="AK5" t="s">
        <v>252</v>
      </c>
      <c r="AL5">
        <f t="shared" si="9"/>
        <v>28.99</v>
      </c>
      <c r="AM5" t="s">
        <v>253</v>
      </c>
      <c r="AN5" t="s">
        <v>254</v>
      </c>
      <c r="AO5" t="s">
        <v>255</v>
      </c>
      <c r="AP5" t="s">
        <v>256</v>
      </c>
      <c r="AQ5" t="s">
        <v>257</v>
      </c>
      <c r="AR5" t="s">
        <v>258</v>
      </c>
      <c r="AS5" t="s">
        <v>259</v>
      </c>
      <c r="AT5" t="s">
        <v>260</v>
      </c>
      <c r="AU5" t="s">
        <v>261</v>
      </c>
      <c r="AV5" t="s">
        <v>138</v>
      </c>
      <c r="AW5" t="s">
        <v>138</v>
      </c>
      <c r="AX5" t="s">
        <v>262</v>
      </c>
      <c r="AY5" t="s">
        <v>263</v>
      </c>
      <c r="AZ5" t="s">
        <v>138</v>
      </c>
      <c r="BA5" t="s">
        <v>138</v>
      </c>
      <c r="BB5" t="s">
        <v>138</v>
      </c>
      <c r="BC5" t="s">
        <v>194</v>
      </c>
      <c r="BD5" t="s">
        <v>195</v>
      </c>
      <c r="BE5" t="s">
        <v>196</v>
      </c>
      <c r="BF5" t="s">
        <v>196</v>
      </c>
      <c r="BG5" t="s">
        <v>196</v>
      </c>
      <c r="BH5" t="s">
        <v>197</v>
      </c>
      <c r="BI5" t="s">
        <v>196</v>
      </c>
      <c r="BJ5" t="s">
        <v>198</v>
      </c>
      <c r="BK5" t="s">
        <v>162</v>
      </c>
      <c r="BL5" t="s">
        <v>199</v>
      </c>
      <c r="BM5" t="s">
        <v>160</v>
      </c>
      <c r="BN5" t="s">
        <v>264</v>
      </c>
      <c r="BO5" t="s">
        <v>265</v>
      </c>
      <c r="BP5" t="s">
        <v>266</v>
      </c>
      <c r="BQ5" t="s">
        <v>264</v>
      </c>
      <c r="BR5" t="s">
        <v>267</v>
      </c>
      <c r="BS5" t="s">
        <v>268</v>
      </c>
      <c r="BT5" t="s">
        <v>160</v>
      </c>
      <c r="BU5" t="s">
        <v>205</v>
      </c>
      <c r="BV5" t="s">
        <v>201</v>
      </c>
      <c r="BW5" t="s">
        <v>206</v>
      </c>
      <c r="BX5" t="s">
        <v>207</v>
      </c>
      <c r="BY5" t="s">
        <v>172</v>
      </c>
      <c r="BZ5" t="s">
        <v>208</v>
      </c>
      <c r="CA5" t="s">
        <v>172</v>
      </c>
      <c r="CB5" t="s">
        <v>172</v>
      </c>
      <c r="CC5" t="s">
        <v>209</v>
      </c>
      <c r="CD5" t="s">
        <v>210</v>
      </c>
      <c r="CE5" t="s">
        <v>197</v>
      </c>
      <c r="CF5" t="s">
        <v>211</v>
      </c>
      <c r="CG5" t="s">
        <v>212</v>
      </c>
      <c r="CH5" t="s">
        <v>213</v>
      </c>
      <c r="CI5" t="s">
        <v>178</v>
      </c>
      <c r="CJ5" t="s">
        <v>206</v>
      </c>
      <c r="CK5" t="s">
        <v>214</v>
      </c>
      <c r="CL5" t="s">
        <v>214</v>
      </c>
      <c r="CM5" t="s">
        <v>214</v>
      </c>
      <c r="CN5" t="s">
        <v>172</v>
      </c>
      <c r="CO5" t="s">
        <v>215</v>
      </c>
      <c r="CP5" t="s">
        <v>172</v>
      </c>
      <c r="CQ5" t="s">
        <v>172</v>
      </c>
      <c r="CR5" t="s">
        <v>172</v>
      </c>
      <c r="CS5" t="s">
        <v>172</v>
      </c>
      <c r="CT5" t="s">
        <v>269</v>
      </c>
      <c r="CU5" t="s">
        <v>270</v>
      </c>
      <c r="CV5" t="s">
        <v>271</v>
      </c>
      <c r="CW5" t="s">
        <v>272</v>
      </c>
      <c r="CX5" t="s">
        <v>273</v>
      </c>
      <c r="CY5" t="s">
        <v>274</v>
      </c>
      <c r="CZ5" t="s">
        <v>275</v>
      </c>
      <c r="DA5" t="s">
        <v>276</v>
      </c>
      <c r="DB5" t="s">
        <v>246</v>
      </c>
      <c r="DC5" t="s">
        <v>277</v>
      </c>
      <c r="DD5" t="s">
        <v>225</v>
      </c>
      <c r="DE5" t="s">
        <v>226</v>
      </c>
      <c r="DF5" t="s">
        <v>178</v>
      </c>
      <c r="DG5" t="s">
        <v>227</v>
      </c>
      <c r="DH5" t="s">
        <v>228</v>
      </c>
      <c r="DI5" t="s">
        <v>178</v>
      </c>
      <c r="DJ5" t="s">
        <v>229</v>
      </c>
      <c r="DK5" t="s">
        <v>230</v>
      </c>
      <c r="DL5" t="s">
        <v>231</v>
      </c>
      <c r="DM5" t="s">
        <v>172</v>
      </c>
      <c r="DN5" t="s">
        <v>245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3">
      <c r="A6" t="s">
        <v>278</v>
      </c>
      <c r="B6" t="s">
        <v>279</v>
      </c>
      <c r="C6" t="s">
        <v>162</v>
      </c>
      <c r="D6" t="s">
        <v>163</v>
      </c>
      <c r="E6" t="s">
        <v>164</v>
      </c>
      <c r="F6" t="s">
        <v>138</v>
      </c>
      <c r="H6" t="s">
        <v>1466</v>
      </c>
      <c r="I6" t="s">
        <v>280</v>
      </c>
      <c r="J6">
        <f t="shared" si="0"/>
        <v>0.30001688646160951</v>
      </c>
      <c r="K6">
        <f t="shared" si="1"/>
        <v>2.9074300800000006</v>
      </c>
      <c r="L6">
        <f t="shared" si="2"/>
        <v>0.27195402740164643</v>
      </c>
      <c r="M6">
        <f t="shared" si="3"/>
        <v>5.1759182342456969</v>
      </c>
      <c r="N6" t="s">
        <v>281</v>
      </c>
      <c r="O6" t="s">
        <v>282</v>
      </c>
      <c r="P6">
        <f t="shared" si="4"/>
        <v>4.0427653563132511</v>
      </c>
      <c r="Q6">
        <f t="shared" si="5"/>
        <v>1.876608356313251</v>
      </c>
      <c r="R6" t="s">
        <v>283</v>
      </c>
      <c r="S6" t="s">
        <v>284</v>
      </c>
      <c r="T6">
        <f t="shared" si="6"/>
        <v>39.747963389177578</v>
      </c>
      <c r="U6">
        <f t="shared" si="7"/>
        <v>0.4417875</v>
      </c>
      <c r="V6" t="s">
        <v>170</v>
      </c>
      <c r="W6" t="s">
        <v>285</v>
      </c>
      <c r="X6" t="s">
        <v>172</v>
      </c>
      <c r="Y6" t="s">
        <v>172</v>
      </c>
      <c r="Z6" t="s">
        <v>172</v>
      </c>
      <c r="AA6" t="s">
        <v>286</v>
      </c>
      <c r="AB6" t="s">
        <v>287</v>
      </c>
      <c r="AC6" t="s">
        <v>288</v>
      </c>
      <c r="AD6" t="s">
        <v>176</v>
      </c>
      <c r="AE6" t="s">
        <v>177</v>
      </c>
      <c r="AF6">
        <f t="shared" si="8"/>
        <v>146.30011073999998</v>
      </c>
      <c r="AG6" t="s">
        <v>178</v>
      </c>
      <c r="AH6" t="s">
        <v>289</v>
      </c>
      <c r="AI6" t="s">
        <v>290</v>
      </c>
      <c r="AJ6" t="s">
        <v>291</v>
      </c>
      <c r="AK6" t="s">
        <v>292</v>
      </c>
      <c r="AL6">
        <f t="shared" si="9"/>
        <v>29.09</v>
      </c>
      <c r="AM6" t="s">
        <v>183</v>
      </c>
      <c r="AN6" t="s">
        <v>293</v>
      </c>
      <c r="AO6" t="s">
        <v>294</v>
      </c>
      <c r="AP6" t="s">
        <v>295</v>
      </c>
      <c r="AQ6" t="s">
        <v>296</v>
      </c>
      <c r="AR6" t="s">
        <v>258</v>
      </c>
      <c r="AS6" t="s">
        <v>297</v>
      </c>
      <c r="AT6" t="s">
        <v>298</v>
      </c>
      <c r="AU6" t="s">
        <v>299</v>
      </c>
      <c r="AV6" t="s">
        <v>138</v>
      </c>
      <c r="AW6" t="s">
        <v>138</v>
      </c>
      <c r="AX6" t="s">
        <v>300</v>
      </c>
      <c r="AY6" t="s">
        <v>301</v>
      </c>
      <c r="AZ6" t="s">
        <v>138</v>
      </c>
      <c r="BA6" t="s">
        <v>138</v>
      </c>
      <c r="BB6" t="s">
        <v>138</v>
      </c>
      <c r="BC6" t="s">
        <v>194</v>
      </c>
      <c r="BD6" t="s">
        <v>195</v>
      </c>
      <c r="BE6" t="s">
        <v>196</v>
      </c>
      <c r="BF6" t="s">
        <v>196</v>
      </c>
      <c r="BG6" t="s">
        <v>196</v>
      </c>
      <c r="BH6" t="s">
        <v>197</v>
      </c>
      <c r="BI6" t="s">
        <v>196</v>
      </c>
      <c r="BJ6" t="s">
        <v>198</v>
      </c>
      <c r="BK6" t="s">
        <v>162</v>
      </c>
      <c r="BL6" t="s">
        <v>199</v>
      </c>
      <c r="BM6" t="s">
        <v>160</v>
      </c>
      <c r="BN6" t="s">
        <v>201</v>
      </c>
      <c r="BO6" t="s">
        <v>201</v>
      </c>
      <c r="BP6" t="s">
        <v>302</v>
      </c>
      <c r="BQ6" t="s">
        <v>303</v>
      </c>
      <c r="BR6" t="s">
        <v>304</v>
      </c>
      <c r="BS6" t="s">
        <v>305</v>
      </c>
      <c r="BT6" t="s">
        <v>160</v>
      </c>
      <c r="BU6" t="s">
        <v>205</v>
      </c>
      <c r="BV6" t="s">
        <v>201</v>
      </c>
      <c r="BW6" t="s">
        <v>206</v>
      </c>
      <c r="BX6" t="s">
        <v>207</v>
      </c>
      <c r="BY6" t="s">
        <v>172</v>
      </c>
      <c r="BZ6" t="s">
        <v>208</v>
      </c>
      <c r="CA6" t="s">
        <v>172</v>
      </c>
      <c r="CB6" t="s">
        <v>172</v>
      </c>
      <c r="CC6" t="s">
        <v>209</v>
      </c>
      <c r="CD6" t="s">
        <v>210</v>
      </c>
      <c r="CE6" t="s">
        <v>197</v>
      </c>
      <c r="CF6" t="s">
        <v>211</v>
      </c>
      <c r="CG6" t="s">
        <v>212</v>
      </c>
      <c r="CH6" t="s">
        <v>213</v>
      </c>
      <c r="CI6" t="s">
        <v>178</v>
      </c>
      <c r="CJ6" t="s">
        <v>206</v>
      </c>
      <c r="CK6" t="s">
        <v>214</v>
      </c>
      <c r="CL6" t="s">
        <v>214</v>
      </c>
      <c r="CM6" t="s">
        <v>214</v>
      </c>
      <c r="CN6" t="s">
        <v>172</v>
      </c>
      <c r="CO6" t="s">
        <v>215</v>
      </c>
      <c r="CP6" t="s">
        <v>172</v>
      </c>
      <c r="CQ6" t="s">
        <v>172</v>
      </c>
      <c r="CR6" t="s">
        <v>172</v>
      </c>
      <c r="CS6" t="s">
        <v>172</v>
      </c>
      <c r="CT6" t="s">
        <v>306</v>
      </c>
      <c r="CU6" t="s">
        <v>307</v>
      </c>
      <c r="CV6" t="s">
        <v>308</v>
      </c>
      <c r="CW6" t="s">
        <v>309</v>
      </c>
      <c r="CX6" t="s">
        <v>310</v>
      </c>
      <c r="CY6" t="s">
        <v>311</v>
      </c>
      <c r="CZ6" t="s">
        <v>312</v>
      </c>
      <c r="DA6" t="s">
        <v>313</v>
      </c>
      <c r="DB6" t="s">
        <v>286</v>
      </c>
      <c r="DC6" t="s">
        <v>314</v>
      </c>
      <c r="DD6" t="s">
        <v>225</v>
      </c>
      <c r="DE6" t="s">
        <v>226</v>
      </c>
      <c r="DF6" t="s">
        <v>178</v>
      </c>
      <c r="DG6" t="s">
        <v>227</v>
      </c>
      <c r="DH6" t="s">
        <v>228</v>
      </c>
      <c r="DI6" t="s">
        <v>178</v>
      </c>
      <c r="DJ6" t="s">
        <v>229</v>
      </c>
      <c r="DK6" t="s">
        <v>230</v>
      </c>
      <c r="DL6" t="s">
        <v>231</v>
      </c>
      <c r="DM6" t="s">
        <v>172</v>
      </c>
      <c r="DN6" t="s">
        <v>285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3">
      <c r="A7" t="s">
        <v>315</v>
      </c>
      <c r="B7" t="s">
        <v>316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1468</v>
      </c>
      <c r="I7" t="s">
        <v>317</v>
      </c>
      <c r="J7">
        <f t="shared" si="0"/>
        <v>0.28573733678576946</v>
      </c>
      <c r="K7">
        <f t="shared" si="1"/>
        <v>2.9074300800000006</v>
      </c>
      <c r="L7">
        <f t="shared" si="2"/>
        <v>0.26016842198217027</v>
      </c>
      <c r="M7">
        <f t="shared" si="3"/>
        <v>4.7833626605307193</v>
      </c>
      <c r="N7" t="s">
        <v>318</v>
      </c>
      <c r="O7" t="s">
        <v>319</v>
      </c>
      <c r="P7">
        <f t="shared" si="4"/>
        <v>4.0055109819876726</v>
      </c>
      <c r="Q7">
        <f t="shared" si="5"/>
        <v>1.8131579819876724</v>
      </c>
      <c r="R7" t="s">
        <v>320</v>
      </c>
      <c r="S7" t="s">
        <v>321</v>
      </c>
      <c r="T7">
        <f t="shared" si="6"/>
        <v>39.377811462717979</v>
      </c>
      <c r="U7">
        <f t="shared" si="7"/>
        <v>0.4417875</v>
      </c>
      <c r="V7" t="s">
        <v>170</v>
      </c>
      <c r="W7" t="s">
        <v>322</v>
      </c>
      <c r="X7" t="s">
        <v>172</v>
      </c>
      <c r="Y7" t="s">
        <v>172</v>
      </c>
      <c r="Z7" t="s">
        <v>172</v>
      </c>
      <c r="AA7" t="s">
        <v>323</v>
      </c>
      <c r="AB7" t="s">
        <v>324</v>
      </c>
      <c r="AC7" t="s">
        <v>325</v>
      </c>
      <c r="AD7" t="s">
        <v>176</v>
      </c>
      <c r="AE7" t="s">
        <v>177</v>
      </c>
      <c r="AF7">
        <f t="shared" si="8"/>
        <v>134.18203679999999</v>
      </c>
      <c r="AG7" t="s">
        <v>178</v>
      </c>
      <c r="AH7" t="s">
        <v>326</v>
      </c>
      <c r="AI7" t="s">
        <v>327</v>
      </c>
      <c r="AJ7" t="s">
        <v>328</v>
      </c>
      <c r="AK7" t="s">
        <v>329</v>
      </c>
      <c r="AL7">
        <f t="shared" si="9"/>
        <v>28.93</v>
      </c>
      <c r="AM7" t="s">
        <v>253</v>
      </c>
      <c r="AN7" t="s">
        <v>293</v>
      </c>
      <c r="AO7" t="s">
        <v>330</v>
      </c>
      <c r="AP7" t="s">
        <v>331</v>
      </c>
      <c r="AQ7" t="s">
        <v>332</v>
      </c>
      <c r="AR7" t="s">
        <v>333</v>
      </c>
      <c r="AS7" t="s">
        <v>334</v>
      </c>
      <c r="AT7" t="s">
        <v>335</v>
      </c>
      <c r="AU7" t="s">
        <v>336</v>
      </c>
      <c r="AV7" t="s">
        <v>138</v>
      </c>
      <c r="AW7" t="s">
        <v>138</v>
      </c>
      <c r="AX7" t="s">
        <v>337</v>
      </c>
      <c r="AY7" t="s">
        <v>338</v>
      </c>
      <c r="AZ7" t="s">
        <v>138</v>
      </c>
      <c r="BA7" t="s">
        <v>138</v>
      </c>
      <c r="BB7" t="s">
        <v>138</v>
      </c>
      <c r="BC7" t="s">
        <v>194</v>
      </c>
      <c r="BD7" t="s">
        <v>195</v>
      </c>
      <c r="BE7" t="s">
        <v>196</v>
      </c>
      <c r="BF7" t="s">
        <v>196</v>
      </c>
      <c r="BG7" t="s">
        <v>196</v>
      </c>
      <c r="BH7" t="s">
        <v>197</v>
      </c>
      <c r="BI7" t="s">
        <v>196</v>
      </c>
      <c r="BJ7" t="s">
        <v>198</v>
      </c>
      <c r="BK7" t="s">
        <v>162</v>
      </c>
      <c r="BL7" t="s">
        <v>199</v>
      </c>
      <c r="BM7" t="s">
        <v>160</v>
      </c>
      <c r="BN7" t="s">
        <v>264</v>
      </c>
      <c r="BO7" t="s">
        <v>201</v>
      </c>
      <c r="BP7" t="s">
        <v>339</v>
      </c>
      <c r="BQ7" t="s">
        <v>340</v>
      </c>
      <c r="BR7" t="s">
        <v>341</v>
      </c>
      <c r="BS7" t="s">
        <v>342</v>
      </c>
      <c r="BT7" t="s">
        <v>160</v>
      </c>
      <c r="BU7" t="s">
        <v>205</v>
      </c>
      <c r="BV7" t="s">
        <v>201</v>
      </c>
      <c r="BW7" t="s">
        <v>206</v>
      </c>
      <c r="BX7" t="s">
        <v>207</v>
      </c>
      <c r="BY7" t="s">
        <v>172</v>
      </c>
      <c r="BZ7" t="s">
        <v>208</v>
      </c>
      <c r="CA7" t="s">
        <v>172</v>
      </c>
      <c r="CB7" t="s">
        <v>172</v>
      </c>
      <c r="CC7" t="s">
        <v>209</v>
      </c>
      <c r="CD7" t="s">
        <v>210</v>
      </c>
      <c r="CE7" t="s">
        <v>197</v>
      </c>
      <c r="CF7" t="s">
        <v>211</v>
      </c>
      <c r="CG7" t="s">
        <v>212</v>
      </c>
      <c r="CH7" t="s">
        <v>213</v>
      </c>
      <c r="CI7" t="s">
        <v>178</v>
      </c>
      <c r="CJ7" t="s">
        <v>206</v>
      </c>
      <c r="CK7" t="s">
        <v>214</v>
      </c>
      <c r="CL7" t="s">
        <v>214</v>
      </c>
      <c r="CM7" t="s">
        <v>214</v>
      </c>
      <c r="CN7" t="s">
        <v>172</v>
      </c>
      <c r="CO7" t="s">
        <v>215</v>
      </c>
      <c r="CP7" t="s">
        <v>172</v>
      </c>
      <c r="CQ7" t="s">
        <v>172</v>
      </c>
      <c r="CR7" t="s">
        <v>172</v>
      </c>
      <c r="CS7" t="s">
        <v>172</v>
      </c>
      <c r="CT7" t="s">
        <v>343</v>
      </c>
      <c r="CU7" t="s">
        <v>344</v>
      </c>
      <c r="CV7" t="s">
        <v>345</v>
      </c>
      <c r="CW7" t="s">
        <v>346</v>
      </c>
      <c r="CX7" t="s">
        <v>347</v>
      </c>
      <c r="CY7" t="s">
        <v>348</v>
      </c>
      <c r="CZ7" t="s">
        <v>349</v>
      </c>
      <c r="DA7" t="s">
        <v>350</v>
      </c>
      <c r="DB7" t="s">
        <v>323</v>
      </c>
      <c r="DC7" t="s">
        <v>277</v>
      </c>
      <c r="DD7" t="s">
        <v>225</v>
      </c>
      <c r="DE7" t="s">
        <v>226</v>
      </c>
      <c r="DF7" t="s">
        <v>178</v>
      </c>
      <c r="DG7" t="s">
        <v>227</v>
      </c>
      <c r="DH7" t="s">
        <v>228</v>
      </c>
      <c r="DI7" t="s">
        <v>178</v>
      </c>
      <c r="DJ7" t="s">
        <v>229</v>
      </c>
      <c r="DK7" t="s">
        <v>230</v>
      </c>
      <c r="DL7" t="s">
        <v>231</v>
      </c>
      <c r="DM7" t="s">
        <v>172</v>
      </c>
      <c r="DN7" t="s">
        <v>322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3">
      <c r="A8" t="s">
        <v>351</v>
      </c>
      <c r="B8" t="s">
        <v>352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1457</v>
      </c>
      <c r="I8" t="s">
        <v>353</v>
      </c>
      <c r="J8">
        <f t="shared" si="0"/>
        <v>0.38402894388370795</v>
      </c>
      <c r="K8">
        <f t="shared" si="1"/>
        <v>2.9042299199999997</v>
      </c>
      <c r="L8">
        <f t="shared" si="2"/>
        <v>0.33917899871660151</v>
      </c>
      <c r="M8">
        <f t="shared" si="3"/>
        <v>6.1311937026799033</v>
      </c>
      <c r="N8" t="s">
        <v>354</v>
      </c>
      <c r="O8" t="s">
        <v>355</v>
      </c>
      <c r="P8">
        <f t="shared" si="4"/>
        <v>3.9524823867404479</v>
      </c>
      <c r="Q8">
        <f t="shared" si="5"/>
        <v>1.7833513867404478</v>
      </c>
      <c r="R8" t="s">
        <v>356</v>
      </c>
      <c r="S8" t="s">
        <v>357</v>
      </c>
      <c r="T8">
        <f t="shared" si="6"/>
        <v>38.856492201538032</v>
      </c>
      <c r="U8">
        <f t="shared" si="7"/>
        <v>0.4417875</v>
      </c>
      <c r="V8" t="s">
        <v>170</v>
      </c>
      <c r="W8" t="s">
        <v>358</v>
      </c>
      <c r="X8" t="s">
        <v>172</v>
      </c>
      <c r="Y8" t="s">
        <v>172</v>
      </c>
      <c r="Z8" t="s">
        <v>172</v>
      </c>
      <c r="AA8" t="s">
        <v>359</v>
      </c>
      <c r="AB8" t="s">
        <v>360</v>
      </c>
      <c r="AC8" t="s">
        <v>361</v>
      </c>
      <c r="AD8" t="s">
        <v>176</v>
      </c>
      <c r="AE8" t="s">
        <v>177</v>
      </c>
      <c r="AF8">
        <f t="shared" si="8"/>
        <v>203.73278016</v>
      </c>
      <c r="AG8" t="s">
        <v>178</v>
      </c>
      <c r="AH8" t="s">
        <v>362</v>
      </c>
      <c r="AI8" t="s">
        <v>363</v>
      </c>
      <c r="AJ8" t="s">
        <v>364</v>
      </c>
      <c r="AK8" t="s">
        <v>365</v>
      </c>
      <c r="AL8">
        <f t="shared" si="9"/>
        <v>28.7</v>
      </c>
      <c r="AM8" t="s">
        <v>253</v>
      </c>
      <c r="AN8" t="s">
        <v>254</v>
      </c>
      <c r="AO8" t="s">
        <v>366</v>
      </c>
      <c r="AP8" t="s">
        <v>367</v>
      </c>
      <c r="AQ8" t="s">
        <v>368</v>
      </c>
      <c r="AR8" t="s">
        <v>333</v>
      </c>
      <c r="AS8" t="s">
        <v>369</v>
      </c>
      <c r="AT8" t="s">
        <v>370</v>
      </c>
      <c r="AU8" t="s">
        <v>371</v>
      </c>
      <c r="AV8" t="s">
        <v>138</v>
      </c>
      <c r="AW8" t="s">
        <v>138</v>
      </c>
      <c r="AX8" t="s">
        <v>372</v>
      </c>
      <c r="AY8" t="s">
        <v>373</v>
      </c>
      <c r="AZ8" t="s">
        <v>138</v>
      </c>
      <c r="BA8" t="s">
        <v>138</v>
      </c>
      <c r="BB8" t="s">
        <v>138</v>
      </c>
      <c r="BC8" t="s">
        <v>194</v>
      </c>
      <c r="BD8" t="s">
        <v>195</v>
      </c>
      <c r="BE8" t="s">
        <v>374</v>
      </c>
      <c r="BF8" t="s">
        <v>375</v>
      </c>
      <c r="BG8" t="s">
        <v>376</v>
      </c>
      <c r="BH8" t="s">
        <v>278</v>
      </c>
      <c r="BI8" t="s">
        <v>377</v>
      </c>
      <c r="BJ8" t="s">
        <v>198</v>
      </c>
      <c r="BK8" t="s">
        <v>162</v>
      </c>
      <c r="BL8" t="s">
        <v>199</v>
      </c>
      <c r="BM8" t="s">
        <v>160</v>
      </c>
      <c r="BN8" t="s">
        <v>302</v>
      </c>
      <c r="BO8" t="s">
        <v>378</v>
      </c>
      <c r="BP8" t="s">
        <v>266</v>
      </c>
      <c r="BQ8" t="s">
        <v>379</v>
      </c>
      <c r="BR8" t="s">
        <v>380</v>
      </c>
      <c r="BS8" t="s">
        <v>381</v>
      </c>
      <c r="BT8" t="s">
        <v>160</v>
      </c>
      <c r="BU8" t="s">
        <v>205</v>
      </c>
      <c r="BV8" t="s">
        <v>201</v>
      </c>
      <c r="BW8" t="s">
        <v>206</v>
      </c>
      <c r="BX8" t="s">
        <v>207</v>
      </c>
      <c r="BY8" t="s">
        <v>172</v>
      </c>
      <c r="BZ8" t="s">
        <v>208</v>
      </c>
      <c r="CA8" t="s">
        <v>172</v>
      </c>
      <c r="CB8" t="s">
        <v>172</v>
      </c>
      <c r="CC8" t="s">
        <v>209</v>
      </c>
      <c r="CD8" t="s">
        <v>210</v>
      </c>
      <c r="CE8" t="s">
        <v>197</v>
      </c>
      <c r="CF8" t="s">
        <v>211</v>
      </c>
      <c r="CG8" t="s">
        <v>212</v>
      </c>
      <c r="CH8" t="s">
        <v>213</v>
      </c>
      <c r="CI8" t="s">
        <v>178</v>
      </c>
      <c r="CJ8" t="s">
        <v>206</v>
      </c>
      <c r="CK8" t="s">
        <v>214</v>
      </c>
      <c r="CL8" t="s">
        <v>214</v>
      </c>
      <c r="CM8" t="s">
        <v>214</v>
      </c>
      <c r="CN8" t="s">
        <v>172</v>
      </c>
      <c r="CO8" t="s">
        <v>215</v>
      </c>
      <c r="CP8" t="s">
        <v>172</v>
      </c>
      <c r="CQ8" t="s">
        <v>172</v>
      </c>
      <c r="CR8" t="s">
        <v>172</v>
      </c>
      <c r="CS8" t="s">
        <v>172</v>
      </c>
      <c r="CT8" t="s">
        <v>382</v>
      </c>
      <c r="CU8" t="s">
        <v>383</v>
      </c>
      <c r="CV8" t="s">
        <v>384</v>
      </c>
      <c r="CW8" t="s">
        <v>385</v>
      </c>
      <c r="CX8" t="s">
        <v>386</v>
      </c>
      <c r="CY8" t="s">
        <v>387</v>
      </c>
      <c r="CZ8" t="s">
        <v>388</v>
      </c>
      <c r="DA8" t="s">
        <v>389</v>
      </c>
      <c r="DB8" t="s">
        <v>359</v>
      </c>
      <c r="DC8" t="s">
        <v>390</v>
      </c>
      <c r="DD8" t="s">
        <v>225</v>
      </c>
      <c r="DE8" t="s">
        <v>226</v>
      </c>
      <c r="DF8" t="s">
        <v>178</v>
      </c>
      <c r="DG8" t="s">
        <v>227</v>
      </c>
      <c r="DH8" t="s">
        <v>228</v>
      </c>
      <c r="DI8" t="s">
        <v>178</v>
      </c>
      <c r="DJ8" t="s">
        <v>229</v>
      </c>
      <c r="DK8" t="s">
        <v>230</v>
      </c>
      <c r="DL8" t="s">
        <v>231</v>
      </c>
      <c r="DM8" t="s">
        <v>172</v>
      </c>
      <c r="DN8" t="s">
        <v>358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x14ac:dyDescent="0.3">
      <c r="A9" t="s">
        <v>391</v>
      </c>
      <c r="B9" t="s">
        <v>392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1465</v>
      </c>
      <c r="I9" t="s">
        <v>393</v>
      </c>
      <c r="J9">
        <f t="shared" si="0"/>
        <v>0.34572609141933158</v>
      </c>
      <c r="K9">
        <f t="shared" si="1"/>
        <v>2.9058327199999998</v>
      </c>
      <c r="L9">
        <f t="shared" si="2"/>
        <v>0.30896632872695273</v>
      </c>
      <c r="M9">
        <f t="shared" si="3"/>
        <v>5.6843925567230018</v>
      </c>
      <c r="N9" t="s">
        <v>394</v>
      </c>
      <c r="O9" t="s">
        <v>395</v>
      </c>
      <c r="P9">
        <f t="shared" si="4"/>
        <v>3.991617971572166</v>
      </c>
      <c r="Q9">
        <f t="shared" si="5"/>
        <v>1.8147949715721658</v>
      </c>
      <c r="R9" t="s">
        <v>396</v>
      </c>
      <c r="S9" t="s">
        <v>397</v>
      </c>
      <c r="T9">
        <f t="shared" si="6"/>
        <v>39.241230550257235</v>
      </c>
      <c r="U9">
        <f t="shared" si="7"/>
        <v>0.4417875</v>
      </c>
      <c r="V9" t="s">
        <v>170</v>
      </c>
      <c r="W9" t="s">
        <v>398</v>
      </c>
      <c r="X9" t="s">
        <v>172</v>
      </c>
      <c r="Y9" t="s">
        <v>172</v>
      </c>
      <c r="Z9" t="s">
        <v>172</v>
      </c>
      <c r="AA9" t="s">
        <v>399</v>
      </c>
      <c r="AB9" t="s">
        <v>400</v>
      </c>
      <c r="AC9" t="s">
        <v>401</v>
      </c>
      <c r="AD9" t="s">
        <v>176</v>
      </c>
      <c r="AE9" t="s">
        <v>177</v>
      </c>
      <c r="AF9">
        <f t="shared" si="8"/>
        <v>156.10690661999999</v>
      </c>
      <c r="AG9" t="s">
        <v>178</v>
      </c>
      <c r="AH9" t="s">
        <v>402</v>
      </c>
      <c r="AI9" t="s">
        <v>403</v>
      </c>
      <c r="AJ9" t="s">
        <v>404</v>
      </c>
      <c r="AK9" t="s">
        <v>405</v>
      </c>
      <c r="AL9">
        <f t="shared" si="9"/>
        <v>28.87</v>
      </c>
      <c r="AM9" t="s">
        <v>253</v>
      </c>
      <c r="AN9" t="s">
        <v>406</v>
      </c>
      <c r="AO9" t="s">
        <v>185</v>
      </c>
      <c r="AP9" t="s">
        <v>186</v>
      </c>
      <c r="AQ9" t="s">
        <v>407</v>
      </c>
      <c r="AR9" t="s">
        <v>333</v>
      </c>
      <c r="AS9" t="s">
        <v>408</v>
      </c>
      <c r="AT9" t="s">
        <v>190</v>
      </c>
      <c r="AU9" t="s">
        <v>409</v>
      </c>
      <c r="AV9" t="s">
        <v>410</v>
      </c>
      <c r="AW9" t="s">
        <v>411</v>
      </c>
      <c r="AX9" t="s">
        <v>412</v>
      </c>
      <c r="AY9" t="s">
        <v>413</v>
      </c>
      <c r="AZ9" t="s">
        <v>414</v>
      </c>
      <c r="BA9" t="s">
        <v>415</v>
      </c>
      <c r="BB9" t="s">
        <v>416</v>
      </c>
      <c r="BC9" t="s">
        <v>417</v>
      </c>
      <c r="BD9" t="s">
        <v>162</v>
      </c>
      <c r="BE9" t="s">
        <v>418</v>
      </c>
      <c r="BF9" t="s">
        <v>419</v>
      </c>
      <c r="BG9" t="s">
        <v>420</v>
      </c>
      <c r="BH9" t="s">
        <v>391</v>
      </c>
      <c r="BI9" t="s">
        <v>421</v>
      </c>
      <c r="BJ9" t="s">
        <v>198</v>
      </c>
      <c r="BK9" t="s">
        <v>162</v>
      </c>
      <c r="BL9" t="s">
        <v>199</v>
      </c>
      <c r="BM9" t="s">
        <v>160</v>
      </c>
      <c r="BN9" t="s">
        <v>339</v>
      </c>
      <c r="BO9" t="s">
        <v>265</v>
      </c>
      <c r="BP9" t="s">
        <v>266</v>
      </c>
      <c r="BQ9" t="s">
        <v>422</v>
      </c>
      <c r="BR9" t="s">
        <v>423</v>
      </c>
      <c r="BS9" t="s">
        <v>424</v>
      </c>
      <c r="BT9" t="s">
        <v>160</v>
      </c>
      <c r="BU9" t="s">
        <v>205</v>
      </c>
      <c r="BV9" t="s">
        <v>201</v>
      </c>
      <c r="BW9" t="s">
        <v>206</v>
      </c>
      <c r="BX9" t="s">
        <v>207</v>
      </c>
      <c r="BY9" t="s">
        <v>172</v>
      </c>
      <c r="BZ9" t="s">
        <v>208</v>
      </c>
      <c r="CA9" t="s">
        <v>172</v>
      </c>
      <c r="CB9" t="s">
        <v>172</v>
      </c>
      <c r="CC9" t="s">
        <v>209</v>
      </c>
      <c r="CD9" t="s">
        <v>210</v>
      </c>
      <c r="CE9" t="s">
        <v>197</v>
      </c>
      <c r="CF9" t="s">
        <v>211</v>
      </c>
      <c r="CG9" t="s">
        <v>212</v>
      </c>
      <c r="CH9" t="s">
        <v>213</v>
      </c>
      <c r="CI9" t="s">
        <v>178</v>
      </c>
      <c r="CJ9" t="s">
        <v>206</v>
      </c>
      <c r="CK9" t="s">
        <v>214</v>
      </c>
      <c r="CL9" t="s">
        <v>214</v>
      </c>
      <c r="CM9" t="s">
        <v>214</v>
      </c>
      <c r="CN9" t="s">
        <v>172</v>
      </c>
      <c r="CO9" t="s">
        <v>215</v>
      </c>
      <c r="CP9" t="s">
        <v>172</v>
      </c>
      <c r="CQ9" t="s">
        <v>172</v>
      </c>
      <c r="CR9" t="s">
        <v>172</v>
      </c>
      <c r="CS9" t="s">
        <v>172</v>
      </c>
      <c r="CT9" t="s">
        <v>425</v>
      </c>
      <c r="CU9" t="s">
        <v>426</v>
      </c>
      <c r="CV9" t="s">
        <v>427</v>
      </c>
      <c r="CW9" t="s">
        <v>428</v>
      </c>
      <c r="CX9" t="s">
        <v>429</v>
      </c>
      <c r="CY9" t="s">
        <v>430</v>
      </c>
      <c r="CZ9" t="s">
        <v>431</v>
      </c>
      <c r="DA9" t="s">
        <v>432</v>
      </c>
      <c r="DB9" t="s">
        <v>399</v>
      </c>
      <c r="DC9" t="s">
        <v>433</v>
      </c>
      <c r="DD9" t="s">
        <v>225</v>
      </c>
      <c r="DE9" t="s">
        <v>226</v>
      </c>
      <c r="DF9" t="s">
        <v>178</v>
      </c>
      <c r="DG9" t="s">
        <v>227</v>
      </c>
      <c r="DH9" t="s">
        <v>228</v>
      </c>
      <c r="DI9" t="s">
        <v>178</v>
      </c>
      <c r="DJ9" t="s">
        <v>229</v>
      </c>
      <c r="DK9" t="s">
        <v>230</v>
      </c>
      <c r="DL9" t="s">
        <v>231</v>
      </c>
      <c r="DM9" t="s">
        <v>172</v>
      </c>
      <c r="DN9" t="s">
        <v>398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x14ac:dyDescent="0.3">
      <c r="A10" t="s">
        <v>434</v>
      </c>
      <c r="B10" t="s">
        <v>435</v>
      </c>
      <c r="C10" t="s">
        <v>162</v>
      </c>
      <c r="D10" t="s">
        <v>163</v>
      </c>
      <c r="E10" t="s">
        <v>164</v>
      </c>
      <c r="F10" t="s">
        <v>138</v>
      </c>
      <c r="G10" t="s">
        <v>138</v>
      </c>
      <c r="H10" t="s">
        <v>1467</v>
      </c>
      <c r="I10" t="s">
        <v>436</v>
      </c>
      <c r="J10">
        <f t="shared" si="0"/>
        <v>0.24556932251285549</v>
      </c>
      <c r="K10">
        <f t="shared" si="1"/>
        <v>2.9042299199999997</v>
      </c>
      <c r="L10">
        <f t="shared" si="2"/>
        <v>0.226423882592274</v>
      </c>
      <c r="M10">
        <f t="shared" si="3"/>
        <v>4.2810778294539658</v>
      </c>
      <c r="N10" t="s">
        <v>437</v>
      </c>
      <c r="O10" t="s">
        <v>438</v>
      </c>
      <c r="P10">
        <f t="shared" si="4"/>
        <v>4.0921199929718073</v>
      </c>
      <c r="Q10">
        <f t="shared" si="5"/>
        <v>1.8632069929718074</v>
      </c>
      <c r="R10" t="s">
        <v>439</v>
      </c>
      <c r="S10" t="s">
        <v>440</v>
      </c>
      <c r="T10">
        <f t="shared" si="6"/>
        <v>40.233212004442116</v>
      </c>
      <c r="U10">
        <f t="shared" si="7"/>
        <v>0.4417875</v>
      </c>
      <c r="V10" t="s">
        <v>170</v>
      </c>
      <c r="W10" t="s">
        <v>441</v>
      </c>
      <c r="X10" t="s">
        <v>172</v>
      </c>
      <c r="Y10" t="s">
        <v>172</v>
      </c>
      <c r="Z10" t="s">
        <v>172</v>
      </c>
      <c r="AA10" t="s">
        <v>442</v>
      </c>
      <c r="AB10" t="s">
        <v>443</v>
      </c>
      <c r="AC10" t="s">
        <v>444</v>
      </c>
      <c r="AD10" t="s">
        <v>176</v>
      </c>
      <c r="AE10" t="s">
        <v>177</v>
      </c>
      <c r="AF10">
        <f t="shared" si="8"/>
        <v>128.30708184</v>
      </c>
      <c r="AG10" t="s">
        <v>178</v>
      </c>
      <c r="AH10" t="s">
        <v>445</v>
      </c>
      <c r="AI10" t="s">
        <v>446</v>
      </c>
      <c r="AJ10" t="s">
        <v>447</v>
      </c>
      <c r="AK10" t="s">
        <v>448</v>
      </c>
      <c r="AL10">
        <f t="shared" si="9"/>
        <v>29.3</v>
      </c>
      <c r="AM10" t="s">
        <v>183</v>
      </c>
      <c r="AN10" t="s">
        <v>254</v>
      </c>
      <c r="AO10" t="s">
        <v>449</v>
      </c>
      <c r="AP10" t="s">
        <v>450</v>
      </c>
      <c r="AQ10" t="s">
        <v>451</v>
      </c>
      <c r="AR10" t="s">
        <v>452</v>
      </c>
      <c r="AS10" t="s">
        <v>453</v>
      </c>
      <c r="AT10" t="s">
        <v>454</v>
      </c>
      <c r="AU10" t="s">
        <v>455</v>
      </c>
      <c r="AV10" t="s">
        <v>456</v>
      </c>
      <c r="AW10" t="s">
        <v>215</v>
      </c>
      <c r="AX10" t="s">
        <v>457</v>
      </c>
      <c r="AY10" t="s">
        <v>458</v>
      </c>
      <c r="AZ10" t="s">
        <v>414</v>
      </c>
      <c r="BA10" t="s">
        <v>415</v>
      </c>
      <c r="BB10" t="s">
        <v>416</v>
      </c>
      <c r="BC10" t="s">
        <v>459</v>
      </c>
      <c r="BD10" t="s">
        <v>162</v>
      </c>
      <c r="BE10" t="s">
        <v>460</v>
      </c>
      <c r="BF10" t="s">
        <v>461</v>
      </c>
      <c r="BG10" t="s">
        <v>462</v>
      </c>
      <c r="BH10" t="s">
        <v>434</v>
      </c>
      <c r="BI10" t="s">
        <v>463</v>
      </c>
      <c r="BJ10" t="s">
        <v>198</v>
      </c>
      <c r="BK10" t="s">
        <v>162</v>
      </c>
      <c r="BL10" t="s">
        <v>199</v>
      </c>
      <c r="BM10" t="s">
        <v>160</v>
      </c>
      <c r="BN10" t="s">
        <v>201</v>
      </c>
      <c r="BO10" t="s">
        <v>201</v>
      </c>
      <c r="BP10" t="s">
        <v>302</v>
      </c>
      <c r="BQ10" t="s">
        <v>464</v>
      </c>
      <c r="BR10" t="s">
        <v>465</v>
      </c>
      <c r="BS10" t="s">
        <v>466</v>
      </c>
      <c r="BT10" t="s">
        <v>160</v>
      </c>
      <c r="BU10" t="s">
        <v>205</v>
      </c>
      <c r="BV10" t="s">
        <v>201</v>
      </c>
      <c r="BW10" t="s">
        <v>206</v>
      </c>
      <c r="BX10" t="s">
        <v>207</v>
      </c>
      <c r="BY10" t="s">
        <v>172</v>
      </c>
      <c r="BZ10" t="s">
        <v>208</v>
      </c>
      <c r="CA10" t="s">
        <v>172</v>
      </c>
      <c r="CB10" t="s">
        <v>172</v>
      </c>
      <c r="CC10" t="s">
        <v>209</v>
      </c>
      <c r="CD10" t="s">
        <v>210</v>
      </c>
      <c r="CE10" t="s">
        <v>197</v>
      </c>
      <c r="CF10" t="s">
        <v>211</v>
      </c>
      <c r="CG10" t="s">
        <v>212</v>
      </c>
      <c r="CH10" t="s">
        <v>213</v>
      </c>
      <c r="CI10" t="s">
        <v>178</v>
      </c>
      <c r="CJ10" t="s">
        <v>206</v>
      </c>
      <c r="CK10" t="s">
        <v>214</v>
      </c>
      <c r="CL10" t="s">
        <v>214</v>
      </c>
      <c r="CM10" t="s">
        <v>214</v>
      </c>
      <c r="CN10" t="s">
        <v>172</v>
      </c>
      <c r="CO10" t="s">
        <v>215</v>
      </c>
      <c r="CP10" t="s">
        <v>172</v>
      </c>
      <c r="CQ10" t="s">
        <v>172</v>
      </c>
      <c r="CR10" t="s">
        <v>172</v>
      </c>
      <c r="CS10" t="s">
        <v>172</v>
      </c>
      <c r="CT10" t="s">
        <v>467</v>
      </c>
      <c r="CU10" t="s">
        <v>468</v>
      </c>
      <c r="CV10" t="s">
        <v>469</v>
      </c>
      <c r="CW10" t="s">
        <v>470</v>
      </c>
      <c r="CX10" t="s">
        <v>471</v>
      </c>
      <c r="CY10" t="s">
        <v>472</v>
      </c>
      <c r="CZ10" t="s">
        <v>473</v>
      </c>
      <c r="DA10" t="s">
        <v>474</v>
      </c>
      <c r="DB10" t="s">
        <v>442</v>
      </c>
      <c r="DC10" t="s">
        <v>224</v>
      </c>
      <c r="DD10" t="s">
        <v>225</v>
      </c>
      <c r="DE10" t="s">
        <v>226</v>
      </c>
      <c r="DF10" t="s">
        <v>178</v>
      </c>
      <c r="DG10" t="s">
        <v>227</v>
      </c>
      <c r="DH10" t="s">
        <v>228</v>
      </c>
      <c r="DI10" t="s">
        <v>178</v>
      </c>
      <c r="DJ10" t="s">
        <v>229</v>
      </c>
      <c r="DK10" t="s">
        <v>230</v>
      </c>
      <c r="DL10" t="s">
        <v>231</v>
      </c>
      <c r="DM10" t="s">
        <v>172</v>
      </c>
      <c r="DN10" t="s">
        <v>441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x14ac:dyDescent="0.3">
      <c r="A11" t="s">
        <v>475</v>
      </c>
      <c r="B11" t="s">
        <v>476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1469</v>
      </c>
      <c r="I11" t="s">
        <v>477</v>
      </c>
      <c r="J11">
        <f t="shared" si="0"/>
        <v>0.31674830841079443</v>
      </c>
      <c r="K11">
        <f t="shared" si="1"/>
        <v>2.9042299199999997</v>
      </c>
      <c r="L11">
        <f t="shared" si="2"/>
        <v>0.28559954435019363</v>
      </c>
      <c r="M11">
        <f t="shared" si="3"/>
        <v>5.1895731544230639</v>
      </c>
      <c r="N11" t="s">
        <v>478</v>
      </c>
      <c r="O11" t="s">
        <v>479</v>
      </c>
      <c r="P11">
        <f t="shared" si="4"/>
        <v>4.0310910449546142</v>
      </c>
      <c r="Q11">
        <f t="shared" si="5"/>
        <v>1.7914000449546141</v>
      </c>
      <c r="R11" t="s">
        <v>480</v>
      </c>
      <c r="S11" t="s">
        <v>481</v>
      </c>
      <c r="T11">
        <f t="shared" si="6"/>
        <v>39.6292867179966</v>
      </c>
      <c r="U11">
        <f t="shared" si="7"/>
        <v>0.4417875</v>
      </c>
      <c r="V11" t="s">
        <v>170</v>
      </c>
      <c r="W11" t="s">
        <v>482</v>
      </c>
      <c r="X11" t="s">
        <v>172</v>
      </c>
      <c r="Y11" t="s">
        <v>172</v>
      </c>
      <c r="Z11" t="s">
        <v>172</v>
      </c>
      <c r="AA11" t="s">
        <v>483</v>
      </c>
      <c r="AB11" t="s">
        <v>484</v>
      </c>
      <c r="AC11" t="s">
        <v>485</v>
      </c>
      <c r="AD11" t="s">
        <v>176</v>
      </c>
      <c r="AE11" t="s">
        <v>177</v>
      </c>
      <c r="AF11">
        <f t="shared" si="8"/>
        <v>77.26133016</v>
      </c>
      <c r="AG11" t="s">
        <v>178</v>
      </c>
      <c r="AH11" t="s">
        <v>486</v>
      </c>
      <c r="AI11" t="s">
        <v>487</v>
      </c>
      <c r="AJ11" t="s">
        <v>488</v>
      </c>
      <c r="AK11" t="s">
        <v>489</v>
      </c>
      <c r="AL11">
        <f t="shared" si="9"/>
        <v>29.04</v>
      </c>
      <c r="AM11" t="s">
        <v>253</v>
      </c>
      <c r="AN11" t="s">
        <v>254</v>
      </c>
      <c r="AO11" t="s">
        <v>490</v>
      </c>
      <c r="AP11" t="s">
        <v>491</v>
      </c>
      <c r="AQ11" t="s">
        <v>492</v>
      </c>
      <c r="AR11" t="s">
        <v>493</v>
      </c>
      <c r="AS11" t="s">
        <v>494</v>
      </c>
      <c r="AT11" t="s">
        <v>495</v>
      </c>
      <c r="AU11" t="s">
        <v>191</v>
      </c>
      <c r="AV11" t="s">
        <v>496</v>
      </c>
      <c r="AW11" t="s">
        <v>215</v>
      </c>
      <c r="AX11" t="s">
        <v>497</v>
      </c>
      <c r="AY11" t="s">
        <v>498</v>
      </c>
      <c r="AZ11" t="s">
        <v>414</v>
      </c>
      <c r="BA11" t="s">
        <v>415</v>
      </c>
      <c r="BB11" t="s">
        <v>416</v>
      </c>
      <c r="BC11" t="s">
        <v>499</v>
      </c>
      <c r="BD11" t="s">
        <v>162</v>
      </c>
      <c r="BE11" t="s">
        <v>374</v>
      </c>
      <c r="BF11" t="s">
        <v>500</v>
      </c>
      <c r="BG11" t="s">
        <v>501</v>
      </c>
      <c r="BH11" t="s">
        <v>434</v>
      </c>
      <c r="BI11" t="s">
        <v>463</v>
      </c>
      <c r="BJ11" t="s">
        <v>198</v>
      </c>
      <c r="BK11" t="s">
        <v>162</v>
      </c>
      <c r="BL11" t="s">
        <v>199</v>
      </c>
      <c r="BM11" t="s">
        <v>160</v>
      </c>
      <c r="BN11" t="s">
        <v>200</v>
      </c>
      <c r="BO11" t="s">
        <v>201</v>
      </c>
      <c r="BP11" t="s">
        <v>502</v>
      </c>
      <c r="BQ11" t="s">
        <v>503</v>
      </c>
      <c r="BR11" t="s">
        <v>504</v>
      </c>
      <c r="BS11" t="s">
        <v>505</v>
      </c>
      <c r="BT11" t="s">
        <v>160</v>
      </c>
      <c r="BU11" t="s">
        <v>205</v>
      </c>
      <c r="BV11" t="s">
        <v>201</v>
      </c>
      <c r="BW11" t="s">
        <v>206</v>
      </c>
      <c r="BX11" t="s">
        <v>207</v>
      </c>
      <c r="BY11" t="s">
        <v>172</v>
      </c>
      <c r="BZ11" t="s">
        <v>208</v>
      </c>
      <c r="CA11" t="s">
        <v>172</v>
      </c>
      <c r="CB11" t="s">
        <v>172</v>
      </c>
      <c r="CC11" t="s">
        <v>209</v>
      </c>
      <c r="CD11" t="s">
        <v>210</v>
      </c>
      <c r="CE11" t="s">
        <v>197</v>
      </c>
      <c r="CF11" t="s">
        <v>211</v>
      </c>
      <c r="CG11" t="s">
        <v>212</v>
      </c>
      <c r="CH11" t="s">
        <v>213</v>
      </c>
      <c r="CI11" t="s">
        <v>178</v>
      </c>
      <c r="CJ11" t="s">
        <v>206</v>
      </c>
      <c r="CK11" t="s">
        <v>214</v>
      </c>
      <c r="CL11" t="s">
        <v>214</v>
      </c>
      <c r="CM11" t="s">
        <v>214</v>
      </c>
      <c r="CN11" t="s">
        <v>172</v>
      </c>
      <c r="CO11" t="s">
        <v>215</v>
      </c>
      <c r="CP11" t="s">
        <v>172</v>
      </c>
      <c r="CQ11" t="s">
        <v>172</v>
      </c>
      <c r="CR11" t="s">
        <v>172</v>
      </c>
      <c r="CS11" t="s">
        <v>172</v>
      </c>
      <c r="CT11" t="s">
        <v>506</v>
      </c>
      <c r="CU11" t="s">
        <v>507</v>
      </c>
      <c r="CV11" t="s">
        <v>508</v>
      </c>
      <c r="CW11" t="s">
        <v>509</v>
      </c>
      <c r="CX11" t="s">
        <v>510</v>
      </c>
      <c r="CY11" t="s">
        <v>511</v>
      </c>
      <c r="CZ11" t="s">
        <v>512</v>
      </c>
      <c r="DA11" t="s">
        <v>513</v>
      </c>
      <c r="DB11" t="s">
        <v>483</v>
      </c>
      <c r="DC11" t="s">
        <v>514</v>
      </c>
      <c r="DD11" t="s">
        <v>225</v>
      </c>
      <c r="DE11" t="s">
        <v>226</v>
      </c>
      <c r="DF11" t="s">
        <v>178</v>
      </c>
      <c r="DG11" t="s">
        <v>227</v>
      </c>
      <c r="DH11" t="s">
        <v>228</v>
      </c>
      <c r="DI11" t="s">
        <v>178</v>
      </c>
      <c r="DJ11" t="s">
        <v>229</v>
      </c>
      <c r="DK11" t="s">
        <v>230</v>
      </c>
      <c r="DL11" t="s">
        <v>231</v>
      </c>
      <c r="DM11" t="s">
        <v>172</v>
      </c>
      <c r="DN11" t="s">
        <v>482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3">
      <c r="A12" t="s">
        <v>515</v>
      </c>
      <c r="B12" t="s">
        <v>516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1458</v>
      </c>
      <c r="I12" t="s">
        <v>517</v>
      </c>
      <c r="J12">
        <f t="shared" si="0"/>
        <v>0.335061889021605</v>
      </c>
      <c r="K12">
        <f t="shared" si="1"/>
        <v>2.9050319999999994</v>
      </c>
      <c r="L12">
        <f t="shared" si="2"/>
        <v>0.3004127481880266</v>
      </c>
      <c r="M12">
        <f t="shared" si="3"/>
        <v>5.7729300730821187</v>
      </c>
      <c r="N12" t="s">
        <v>518</v>
      </c>
      <c r="O12" t="s">
        <v>519</v>
      </c>
      <c r="P12">
        <f t="shared" si="4"/>
        <v>4.1396119554262123</v>
      </c>
      <c r="Q12">
        <f t="shared" si="5"/>
        <v>1.8932339554262123</v>
      </c>
      <c r="R12" t="s">
        <v>520</v>
      </c>
      <c r="S12" t="s">
        <v>521</v>
      </c>
      <c r="T12">
        <f t="shared" si="6"/>
        <v>40.700147039880171</v>
      </c>
      <c r="U12">
        <f t="shared" si="7"/>
        <v>0.4417875</v>
      </c>
      <c r="V12" t="s">
        <v>170</v>
      </c>
      <c r="W12" t="s">
        <v>522</v>
      </c>
      <c r="X12" t="s">
        <v>172</v>
      </c>
      <c r="Y12" t="s">
        <v>172</v>
      </c>
      <c r="Z12" t="s">
        <v>172</v>
      </c>
      <c r="AA12" t="s">
        <v>523</v>
      </c>
      <c r="AB12" t="s">
        <v>524</v>
      </c>
      <c r="AC12" t="s">
        <v>525</v>
      </c>
      <c r="AD12" t="s">
        <v>176</v>
      </c>
      <c r="AE12" t="s">
        <v>177</v>
      </c>
      <c r="AF12">
        <f t="shared" si="8"/>
        <v>197.46666953999997</v>
      </c>
      <c r="AG12" t="s">
        <v>178</v>
      </c>
      <c r="AH12" t="s">
        <v>526</v>
      </c>
      <c r="AI12" t="s">
        <v>527</v>
      </c>
      <c r="AJ12" t="s">
        <v>528</v>
      </c>
      <c r="AK12" t="s">
        <v>529</v>
      </c>
      <c r="AL12">
        <f t="shared" si="9"/>
        <v>29.5</v>
      </c>
      <c r="AM12" t="s">
        <v>183</v>
      </c>
      <c r="AN12" t="s">
        <v>184</v>
      </c>
      <c r="AO12" t="s">
        <v>366</v>
      </c>
      <c r="AP12" t="s">
        <v>530</v>
      </c>
      <c r="AQ12" t="s">
        <v>531</v>
      </c>
      <c r="AR12" t="s">
        <v>532</v>
      </c>
      <c r="AS12" t="s">
        <v>533</v>
      </c>
      <c r="AT12" t="s">
        <v>534</v>
      </c>
      <c r="AU12" t="s">
        <v>535</v>
      </c>
      <c r="AV12" t="s">
        <v>536</v>
      </c>
      <c r="AW12" t="s">
        <v>537</v>
      </c>
      <c r="AX12" t="s">
        <v>538</v>
      </c>
      <c r="AY12" t="s">
        <v>539</v>
      </c>
      <c r="AZ12" t="s">
        <v>414</v>
      </c>
      <c r="BA12" t="s">
        <v>540</v>
      </c>
      <c r="BB12" t="s">
        <v>541</v>
      </c>
      <c r="BC12" t="s">
        <v>542</v>
      </c>
      <c r="BD12" t="s">
        <v>162</v>
      </c>
      <c r="BE12" t="s">
        <v>460</v>
      </c>
      <c r="BF12" t="s">
        <v>419</v>
      </c>
      <c r="BG12" t="s">
        <v>543</v>
      </c>
      <c r="BH12" t="s">
        <v>434</v>
      </c>
      <c r="BI12" t="s">
        <v>463</v>
      </c>
      <c r="BJ12" t="s">
        <v>198</v>
      </c>
      <c r="BK12" t="s">
        <v>162</v>
      </c>
      <c r="BL12" t="s">
        <v>199</v>
      </c>
      <c r="BM12" t="s">
        <v>160</v>
      </c>
      <c r="BN12" t="s">
        <v>201</v>
      </c>
      <c r="BO12" t="s">
        <v>265</v>
      </c>
      <c r="BP12" t="s">
        <v>339</v>
      </c>
      <c r="BQ12" t="s">
        <v>544</v>
      </c>
      <c r="BR12" t="s">
        <v>545</v>
      </c>
      <c r="BS12" t="s">
        <v>546</v>
      </c>
      <c r="BT12" t="s">
        <v>160</v>
      </c>
      <c r="BU12" t="s">
        <v>205</v>
      </c>
      <c r="BV12" t="s">
        <v>201</v>
      </c>
      <c r="BW12" t="s">
        <v>206</v>
      </c>
      <c r="BX12" t="s">
        <v>207</v>
      </c>
      <c r="BY12" t="s">
        <v>172</v>
      </c>
      <c r="BZ12" t="s">
        <v>208</v>
      </c>
      <c r="CA12" t="s">
        <v>172</v>
      </c>
      <c r="CB12" t="s">
        <v>172</v>
      </c>
      <c r="CC12" t="s">
        <v>209</v>
      </c>
      <c r="CD12" t="s">
        <v>210</v>
      </c>
      <c r="CE12" t="s">
        <v>197</v>
      </c>
      <c r="CF12" t="s">
        <v>211</v>
      </c>
      <c r="CG12" t="s">
        <v>212</v>
      </c>
      <c r="CH12" t="s">
        <v>213</v>
      </c>
      <c r="CI12" t="s">
        <v>178</v>
      </c>
      <c r="CJ12" t="s">
        <v>206</v>
      </c>
      <c r="CK12" t="s">
        <v>214</v>
      </c>
      <c r="CL12" t="s">
        <v>214</v>
      </c>
      <c r="CM12" t="s">
        <v>214</v>
      </c>
      <c r="CN12" t="s">
        <v>172</v>
      </c>
      <c r="CO12" t="s">
        <v>215</v>
      </c>
      <c r="CP12" t="s">
        <v>172</v>
      </c>
      <c r="CQ12" t="s">
        <v>172</v>
      </c>
      <c r="CR12" t="s">
        <v>172</v>
      </c>
      <c r="CS12" t="s">
        <v>172</v>
      </c>
      <c r="CT12" t="s">
        <v>547</v>
      </c>
      <c r="CU12" t="s">
        <v>548</v>
      </c>
      <c r="CV12" t="s">
        <v>549</v>
      </c>
      <c r="CW12" t="s">
        <v>550</v>
      </c>
      <c r="CX12" t="s">
        <v>551</v>
      </c>
      <c r="CY12" t="s">
        <v>552</v>
      </c>
      <c r="CZ12" t="s">
        <v>553</v>
      </c>
      <c r="DA12" t="s">
        <v>554</v>
      </c>
      <c r="DB12" t="s">
        <v>523</v>
      </c>
      <c r="DC12" t="s">
        <v>224</v>
      </c>
      <c r="DD12" t="s">
        <v>225</v>
      </c>
      <c r="DE12" t="s">
        <v>226</v>
      </c>
      <c r="DF12" t="s">
        <v>178</v>
      </c>
      <c r="DG12" t="s">
        <v>227</v>
      </c>
      <c r="DH12" t="s">
        <v>228</v>
      </c>
      <c r="DI12" t="s">
        <v>178</v>
      </c>
      <c r="DJ12" t="s">
        <v>229</v>
      </c>
      <c r="DK12" t="s">
        <v>230</v>
      </c>
      <c r="DL12" t="s">
        <v>231</v>
      </c>
      <c r="DM12" t="s">
        <v>172</v>
      </c>
      <c r="DN12" t="s">
        <v>522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3">
      <c r="A13" t="s">
        <v>555</v>
      </c>
      <c r="B13" t="s">
        <v>556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1470</v>
      </c>
      <c r="I13" t="s">
        <v>557</v>
      </c>
      <c r="J13">
        <f t="shared" si="0"/>
        <v>0.34893097819248031</v>
      </c>
      <c r="K13">
        <f t="shared" si="1"/>
        <v>2.9058327199999998</v>
      </c>
      <c r="L13">
        <f t="shared" si="2"/>
        <v>0.31152339999871587</v>
      </c>
      <c r="M13">
        <f t="shared" si="3"/>
        <v>5.4268275193124298</v>
      </c>
      <c r="N13" t="s">
        <v>558</v>
      </c>
      <c r="O13" t="s">
        <v>559</v>
      </c>
      <c r="P13">
        <f t="shared" si="4"/>
        <v>3.9708572473731842</v>
      </c>
      <c r="Q13">
        <f t="shared" si="5"/>
        <v>1.7173792473731844</v>
      </c>
      <c r="R13" t="s">
        <v>560</v>
      </c>
      <c r="S13" t="s">
        <v>561</v>
      </c>
      <c r="T13">
        <f t="shared" si="6"/>
        <v>39.04481069196838</v>
      </c>
      <c r="U13">
        <f t="shared" si="7"/>
        <v>0.4417875</v>
      </c>
      <c r="V13" t="s">
        <v>170</v>
      </c>
      <c r="W13" t="s">
        <v>562</v>
      </c>
      <c r="X13" t="s">
        <v>172</v>
      </c>
      <c r="Y13" t="s">
        <v>172</v>
      </c>
      <c r="Z13" t="s">
        <v>172</v>
      </c>
      <c r="AA13" t="s">
        <v>563</v>
      </c>
      <c r="AB13" t="s">
        <v>564</v>
      </c>
      <c r="AC13" t="s">
        <v>565</v>
      </c>
      <c r="AD13" t="s">
        <v>176</v>
      </c>
      <c r="AE13" t="s">
        <v>177</v>
      </c>
      <c r="AF13">
        <f t="shared" si="8"/>
        <v>114.71984076</v>
      </c>
      <c r="AG13" t="s">
        <v>178</v>
      </c>
      <c r="AH13" t="s">
        <v>566</v>
      </c>
      <c r="AI13" t="s">
        <v>567</v>
      </c>
      <c r="AJ13" t="s">
        <v>568</v>
      </c>
      <c r="AK13" t="s">
        <v>569</v>
      </c>
      <c r="AL13">
        <f t="shared" si="9"/>
        <v>28.78</v>
      </c>
      <c r="AM13" t="s">
        <v>570</v>
      </c>
      <c r="AN13" t="s">
        <v>406</v>
      </c>
      <c r="AO13" t="s">
        <v>571</v>
      </c>
      <c r="AP13" t="s">
        <v>572</v>
      </c>
      <c r="AQ13" t="s">
        <v>573</v>
      </c>
      <c r="AR13" t="s">
        <v>574</v>
      </c>
      <c r="AS13" t="s">
        <v>575</v>
      </c>
      <c r="AT13" t="s">
        <v>576</v>
      </c>
      <c r="AU13" t="s">
        <v>577</v>
      </c>
      <c r="AV13" t="s">
        <v>578</v>
      </c>
      <c r="AW13" t="s">
        <v>579</v>
      </c>
      <c r="AX13" t="s">
        <v>580</v>
      </c>
      <c r="AY13" t="s">
        <v>581</v>
      </c>
      <c r="AZ13" t="s">
        <v>414</v>
      </c>
      <c r="BA13" t="s">
        <v>540</v>
      </c>
      <c r="BB13" t="s">
        <v>541</v>
      </c>
      <c r="BC13" t="s">
        <v>582</v>
      </c>
      <c r="BD13" t="s">
        <v>162</v>
      </c>
      <c r="BE13" t="s">
        <v>583</v>
      </c>
      <c r="BF13" t="s">
        <v>419</v>
      </c>
      <c r="BG13" t="s">
        <v>543</v>
      </c>
      <c r="BH13" t="s">
        <v>475</v>
      </c>
      <c r="BI13" t="s">
        <v>584</v>
      </c>
      <c r="BJ13" t="s">
        <v>198</v>
      </c>
      <c r="BK13" t="s">
        <v>162</v>
      </c>
      <c r="BL13" t="s">
        <v>199</v>
      </c>
      <c r="BM13" t="s">
        <v>160</v>
      </c>
      <c r="BN13" t="s">
        <v>378</v>
      </c>
      <c r="BO13" t="s">
        <v>378</v>
      </c>
      <c r="BP13" t="s">
        <v>302</v>
      </c>
      <c r="BQ13" t="s">
        <v>585</v>
      </c>
      <c r="BR13" t="s">
        <v>586</v>
      </c>
      <c r="BS13" t="s">
        <v>587</v>
      </c>
      <c r="BT13" t="s">
        <v>160</v>
      </c>
      <c r="BU13" t="s">
        <v>205</v>
      </c>
      <c r="BV13" t="s">
        <v>201</v>
      </c>
      <c r="BW13" t="s">
        <v>206</v>
      </c>
      <c r="BX13" t="s">
        <v>207</v>
      </c>
      <c r="BY13" t="s">
        <v>172</v>
      </c>
      <c r="BZ13" t="s">
        <v>208</v>
      </c>
      <c r="CA13" t="s">
        <v>172</v>
      </c>
      <c r="CB13" t="s">
        <v>172</v>
      </c>
      <c r="CC13" t="s">
        <v>209</v>
      </c>
      <c r="CD13" t="s">
        <v>210</v>
      </c>
      <c r="CE13" t="s">
        <v>197</v>
      </c>
      <c r="CF13" t="s">
        <v>211</v>
      </c>
      <c r="CG13" t="s">
        <v>212</v>
      </c>
      <c r="CH13" t="s">
        <v>213</v>
      </c>
      <c r="CI13" t="s">
        <v>178</v>
      </c>
      <c r="CJ13" t="s">
        <v>206</v>
      </c>
      <c r="CK13" t="s">
        <v>214</v>
      </c>
      <c r="CL13" t="s">
        <v>214</v>
      </c>
      <c r="CM13" t="s">
        <v>214</v>
      </c>
      <c r="CN13" t="s">
        <v>172</v>
      </c>
      <c r="CO13" t="s">
        <v>215</v>
      </c>
      <c r="CP13" t="s">
        <v>172</v>
      </c>
      <c r="CQ13" t="s">
        <v>172</v>
      </c>
      <c r="CR13" t="s">
        <v>172</v>
      </c>
      <c r="CS13" t="s">
        <v>172</v>
      </c>
      <c r="CT13" t="s">
        <v>588</v>
      </c>
      <c r="CU13" t="s">
        <v>589</v>
      </c>
      <c r="CV13" t="s">
        <v>590</v>
      </c>
      <c r="CW13" t="s">
        <v>591</v>
      </c>
      <c r="CX13" t="s">
        <v>592</v>
      </c>
      <c r="CY13" t="s">
        <v>593</v>
      </c>
      <c r="CZ13" t="s">
        <v>594</v>
      </c>
      <c r="DA13" t="s">
        <v>595</v>
      </c>
      <c r="DB13" t="s">
        <v>563</v>
      </c>
      <c r="DC13" t="s">
        <v>596</v>
      </c>
      <c r="DD13" t="s">
        <v>225</v>
      </c>
      <c r="DE13" t="s">
        <v>226</v>
      </c>
      <c r="DF13" t="s">
        <v>178</v>
      </c>
      <c r="DG13" t="s">
        <v>227</v>
      </c>
      <c r="DH13" t="s">
        <v>228</v>
      </c>
      <c r="DI13" t="s">
        <v>178</v>
      </c>
      <c r="DJ13" t="s">
        <v>229</v>
      </c>
      <c r="DK13" t="s">
        <v>230</v>
      </c>
      <c r="DL13" t="s">
        <v>231</v>
      </c>
      <c r="DM13" t="s">
        <v>172</v>
      </c>
      <c r="DN13" t="s">
        <v>562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3">
      <c r="A14" t="s">
        <v>597</v>
      </c>
      <c r="B14" t="s">
        <v>598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1471</v>
      </c>
      <c r="I14" t="s">
        <v>599</v>
      </c>
      <c r="J14">
        <f t="shared" si="0"/>
        <v>0.34007297210537973</v>
      </c>
      <c r="K14">
        <f t="shared" si="1"/>
        <v>2.9050319999999994</v>
      </c>
      <c r="L14">
        <f t="shared" si="2"/>
        <v>0.30443479480427554</v>
      </c>
      <c r="M14">
        <f t="shared" si="3"/>
        <v>5.9520856958213857</v>
      </c>
      <c r="N14" t="s">
        <v>600</v>
      </c>
      <c r="O14" t="s">
        <v>601</v>
      </c>
      <c r="P14">
        <f t="shared" si="4"/>
        <v>4.1683371620465532</v>
      </c>
      <c r="Q14">
        <f t="shared" si="5"/>
        <v>1.9258071620465533</v>
      </c>
      <c r="R14" t="s">
        <v>602</v>
      </c>
      <c r="S14" t="s">
        <v>603</v>
      </c>
      <c r="T14">
        <f t="shared" si="6"/>
        <v>40.982569678955393</v>
      </c>
      <c r="U14">
        <f t="shared" si="7"/>
        <v>0.4417875</v>
      </c>
      <c r="V14" t="s">
        <v>170</v>
      </c>
      <c r="W14" t="s">
        <v>604</v>
      </c>
      <c r="X14" t="s">
        <v>172</v>
      </c>
      <c r="Y14" t="s">
        <v>172</v>
      </c>
      <c r="Z14" t="s">
        <v>172</v>
      </c>
      <c r="AA14" t="s">
        <v>605</v>
      </c>
      <c r="AB14" t="s">
        <v>606</v>
      </c>
      <c r="AC14" t="s">
        <v>607</v>
      </c>
      <c r="AD14" t="s">
        <v>176</v>
      </c>
      <c r="AE14" t="s">
        <v>177</v>
      </c>
      <c r="AF14">
        <f t="shared" si="8"/>
        <v>251.3034279</v>
      </c>
      <c r="AG14" t="s">
        <v>178</v>
      </c>
      <c r="AH14" t="s">
        <v>608</v>
      </c>
      <c r="AI14" t="s">
        <v>609</v>
      </c>
      <c r="AJ14" t="s">
        <v>610</v>
      </c>
      <c r="AK14" t="s">
        <v>611</v>
      </c>
      <c r="AL14">
        <f t="shared" si="9"/>
        <v>29.62</v>
      </c>
      <c r="AM14" t="s">
        <v>183</v>
      </c>
      <c r="AN14" t="s">
        <v>184</v>
      </c>
      <c r="AO14" t="s">
        <v>612</v>
      </c>
      <c r="AP14" t="s">
        <v>613</v>
      </c>
      <c r="AQ14" t="s">
        <v>614</v>
      </c>
      <c r="AR14" t="s">
        <v>615</v>
      </c>
      <c r="AS14" t="s">
        <v>616</v>
      </c>
      <c r="AT14" t="s">
        <v>555</v>
      </c>
      <c r="AU14" t="s">
        <v>617</v>
      </c>
      <c r="AV14" t="s">
        <v>618</v>
      </c>
      <c r="AW14" t="s">
        <v>619</v>
      </c>
      <c r="AX14" t="s">
        <v>620</v>
      </c>
      <c r="AY14" t="s">
        <v>621</v>
      </c>
      <c r="AZ14" t="s">
        <v>414</v>
      </c>
      <c r="BA14" t="s">
        <v>622</v>
      </c>
      <c r="BB14" t="s">
        <v>623</v>
      </c>
      <c r="BC14" t="s">
        <v>624</v>
      </c>
      <c r="BD14" t="s">
        <v>162</v>
      </c>
      <c r="BE14" t="s">
        <v>418</v>
      </c>
      <c r="BF14" t="s">
        <v>625</v>
      </c>
      <c r="BG14" t="s">
        <v>626</v>
      </c>
      <c r="BH14" t="s">
        <v>515</v>
      </c>
      <c r="BI14" t="s">
        <v>627</v>
      </c>
      <c r="BJ14" t="s">
        <v>198</v>
      </c>
      <c r="BK14" t="s">
        <v>162</v>
      </c>
      <c r="BL14" t="s">
        <v>199</v>
      </c>
      <c r="BM14" t="s">
        <v>160</v>
      </c>
      <c r="BN14" t="s">
        <v>628</v>
      </c>
      <c r="BO14" t="s">
        <v>378</v>
      </c>
      <c r="BP14" t="s">
        <v>201</v>
      </c>
      <c r="BQ14" t="s">
        <v>629</v>
      </c>
      <c r="BR14" t="s">
        <v>630</v>
      </c>
      <c r="BS14" t="s">
        <v>631</v>
      </c>
      <c r="BT14" t="s">
        <v>160</v>
      </c>
      <c r="BU14" t="s">
        <v>205</v>
      </c>
      <c r="BV14" t="s">
        <v>201</v>
      </c>
      <c r="BW14" t="s">
        <v>206</v>
      </c>
      <c r="BX14" t="s">
        <v>207</v>
      </c>
      <c r="BY14" t="s">
        <v>172</v>
      </c>
      <c r="BZ14" t="s">
        <v>208</v>
      </c>
      <c r="CA14" t="s">
        <v>172</v>
      </c>
      <c r="CB14" t="s">
        <v>172</v>
      </c>
      <c r="CC14" t="s">
        <v>209</v>
      </c>
      <c r="CD14" t="s">
        <v>210</v>
      </c>
      <c r="CE14" t="s">
        <v>197</v>
      </c>
      <c r="CF14" t="s">
        <v>211</v>
      </c>
      <c r="CG14" t="s">
        <v>212</v>
      </c>
      <c r="CH14" t="s">
        <v>213</v>
      </c>
      <c r="CI14" t="s">
        <v>178</v>
      </c>
      <c r="CJ14" t="s">
        <v>206</v>
      </c>
      <c r="CK14" t="s">
        <v>214</v>
      </c>
      <c r="CL14" t="s">
        <v>214</v>
      </c>
      <c r="CM14" t="s">
        <v>214</v>
      </c>
      <c r="CN14" t="s">
        <v>172</v>
      </c>
      <c r="CO14" t="s">
        <v>215</v>
      </c>
      <c r="CP14" t="s">
        <v>172</v>
      </c>
      <c r="CQ14" t="s">
        <v>172</v>
      </c>
      <c r="CR14" t="s">
        <v>172</v>
      </c>
      <c r="CS14" t="s">
        <v>172</v>
      </c>
      <c r="CT14" t="s">
        <v>632</v>
      </c>
      <c r="CU14" t="s">
        <v>633</v>
      </c>
      <c r="CV14" t="s">
        <v>634</v>
      </c>
      <c r="CW14" t="s">
        <v>635</v>
      </c>
      <c r="CX14" t="s">
        <v>636</v>
      </c>
      <c r="CY14" t="s">
        <v>637</v>
      </c>
      <c r="CZ14" t="s">
        <v>638</v>
      </c>
      <c r="DA14" t="s">
        <v>639</v>
      </c>
      <c r="DB14" t="s">
        <v>605</v>
      </c>
      <c r="DC14" t="s">
        <v>514</v>
      </c>
      <c r="DD14" t="s">
        <v>225</v>
      </c>
      <c r="DE14" t="s">
        <v>226</v>
      </c>
      <c r="DF14" t="s">
        <v>178</v>
      </c>
      <c r="DG14" t="s">
        <v>227</v>
      </c>
      <c r="DH14" t="s">
        <v>228</v>
      </c>
      <c r="DI14" t="s">
        <v>178</v>
      </c>
      <c r="DJ14" t="s">
        <v>229</v>
      </c>
      <c r="DK14" t="s">
        <v>230</v>
      </c>
      <c r="DL14" t="s">
        <v>231</v>
      </c>
      <c r="DM14" t="s">
        <v>172</v>
      </c>
      <c r="DN14" t="s">
        <v>604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3">
      <c r="A15" t="s">
        <v>640</v>
      </c>
      <c r="B15" t="s">
        <v>641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1472</v>
      </c>
      <c r="I15" t="s">
        <v>642</v>
      </c>
      <c r="J15">
        <f t="shared" si="0"/>
        <v>0.23617521153376289</v>
      </c>
      <c r="K15">
        <f t="shared" si="1"/>
        <v>2.9058327199999998</v>
      </c>
      <c r="L15">
        <f t="shared" si="2"/>
        <v>0.2184226368240646</v>
      </c>
      <c r="M15">
        <f t="shared" si="3"/>
        <v>4.2826630261560492</v>
      </c>
      <c r="N15" t="s">
        <v>643</v>
      </c>
      <c r="O15" t="s">
        <v>644</v>
      </c>
      <c r="P15">
        <f t="shared" si="4"/>
        <v>4.2044878920488893</v>
      </c>
      <c r="Q15">
        <f t="shared" si="5"/>
        <v>1.9306908920488892</v>
      </c>
      <c r="R15" t="s">
        <v>645</v>
      </c>
      <c r="S15" t="s">
        <v>646</v>
      </c>
      <c r="T15">
        <f t="shared" si="6"/>
        <v>41.33799913527568</v>
      </c>
      <c r="U15">
        <f t="shared" si="7"/>
        <v>0.4417875</v>
      </c>
      <c r="V15" t="s">
        <v>170</v>
      </c>
      <c r="W15" t="s">
        <v>647</v>
      </c>
      <c r="X15" t="s">
        <v>172</v>
      </c>
      <c r="Y15" t="s">
        <v>172</v>
      </c>
      <c r="Z15" t="s">
        <v>172</v>
      </c>
      <c r="AA15" t="s">
        <v>648</v>
      </c>
      <c r="AB15" t="s">
        <v>649</v>
      </c>
      <c r="AC15" t="s">
        <v>650</v>
      </c>
      <c r="AD15" t="s">
        <v>176</v>
      </c>
      <c r="AE15" t="s">
        <v>177</v>
      </c>
      <c r="AF15">
        <f t="shared" si="8"/>
        <v>93.102150960000003</v>
      </c>
      <c r="AG15" t="s">
        <v>178</v>
      </c>
      <c r="AH15" t="s">
        <v>651</v>
      </c>
      <c r="AI15" t="s">
        <v>652</v>
      </c>
      <c r="AJ15" t="s">
        <v>653</v>
      </c>
      <c r="AK15" t="s">
        <v>654</v>
      </c>
      <c r="AL15">
        <f t="shared" si="9"/>
        <v>29.77</v>
      </c>
      <c r="AM15" t="s">
        <v>183</v>
      </c>
      <c r="AN15" t="s">
        <v>406</v>
      </c>
      <c r="AO15" t="s">
        <v>655</v>
      </c>
      <c r="AP15" t="s">
        <v>656</v>
      </c>
      <c r="AQ15" t="s">
        <v>657</v>
      </c>
      <c r="AR15" t="s">
        <v>658</v>
      </c>
      <c r="AS15" t="s">
        <v>369</v>
      </c>
      <c r="AT15" t="s">
        <v>659</v>
      </c>
      <c r="AU15" t="s">
        <v>660</v>
      </c>
      <c r="AV15" t="s">
        <v>661</v>
      </c>
      <c r="AW15" t="s">
        <v>215</v>
      </c>
      <c r="AX15" t="s">
        <v>662</v>
      </c>
      <c r="AY15" t="s">
        <v>663</v>
      </c>
      <c r="AZ15" t="s">
        <v>414</v>
      </c>
      <c r="BA15" t="s">
        <v>622</v>
      </c>
      <c r="BB15" t="s">
        <v>623</v>
      </c>
      <c r="BC15" t="s">
        <v>664</v>
      </c>
      <c r="BD15" t="s">
        <v>162</v>
      </c>
      <c r="BE15" t="s">
        <v>418</v>
      </c>
      <c r="BF15" t="s">
        <v>665</v>
      </c>
      <c r="BG15" t="s">
        <v>666</v>
      </c>
      <c r="BH15" t="s">
        <v>515</v>
      </c>
      <c r="BI15" t="s">
        <v>627</v>
      </c>
      <c r="BJ15" t="s">
        <v>198</v>
      </c>
      <c r="BK15" t="s">
        <v>162</v>
      </c>
      <c r="BL15" t="s">
        <v>199</v>
      </c>
      <c r="BM15" t="s">
        <v>160</v>
      </c>
      <c r="BN15" t="s">
        <v>201</v>
      </c>
      <c r="BO15" t="s">
        <v>201</v>
      </c>
      <c r="BP15" t="s">
        <v>502</v>
      </c>
      <c r="BQ15" t="s">
        <v>667</v>
      </c>
      <c r="BR15" t="s">
        <v>668</v>
      </c>
      <c r="BS15" t="s">
        <v>669</v>
      </c>
      <c r="BT15" t="s">
        <v>160</v>
      </c>
      <c r="BU15" t="s">
        <v>205</v>
      </c>
      <c r="BV15" t="s">
        <v>201</v>
      </c>
      <c r="BW15" t="s">
        <v>206</v>
      </c>
      <c r="BX15" t="s">
        <v>207</v>
      </c>
      <c r="BY15" t="s">
        <v>172</v>
      </c>
      <c r="BZ15" t="s">
        <v>208</v>
      </c>
      <c r="CA15" t="s">
        <v>172</v>
      </c>
      <c r="CB15" t="s">
        <v>172</v>
      </c>
      <c r="CC15" t="s">
        <v>209</v>
      </c>
      <c r="CD15" t="s">
        <v>210</v>
      </c>
      <c r="CE15" t="s">
        <v>197</v>
      </c>
      <c r="CF15" t="s">
        <v>211</v>
      </c>
      <c r="CG15" t="s">
        <v>212</v>
      </c>
      <c r="CH15" t="s">
        <v>213</v>
      </c>
      <c r="CI15" t="s">
        <v>178</v>
      </c>
      <c r="CJ15" t="s">
        <v>206</v>
      </c>
      <c r="CK15" t="s">
        <v>214</v>
      </c>
      <c r="CL15" t="s">
        <v>214</v>
      </c>
      <c r="CM15" t="s">
        <v>214</v>
      </c>
      <c r="CN15" t="s">
        <v>172</v>
      </c>
      <c r="CO15" t="s">
        <v>215</v>
      </c>
      <c r="CP15" t="s">
        <v>172</v>
      </c>
      <c r="CQ15" t="s">
        <v>172</v>
      </c>
      <c r="CR15" t="s">
        <v>172</v>
      </c>
      <c r="CS15" t="s">
        <v>172</v>
      </c>
      <c r="CT15" t="s">
        <v>670</v>
      </c>
      <c r="CU15" t="s">
        <v>671</v>
      </c>
      <c r="CV15" t="s">
        <v>672</v>
      </c>
      <c r="CW15" t="s">
        <v>673</v>
      </c>
      <c r="CX15" t="s">
        <v>674</v>
      </c>
      <c r="CY15" t="s">
        <v>675</v>
      </c>
      <c r="CZ15" t="s">
        <v>676</v>
      </c>
      <c r="DA15" t="s">
        <v>677</v>
      </c>
      <c r="DB15" t="s">
        <v>648</v>
      </c>
      <c r="DC15" t="s">
        <v>678</v>
      </c>
      <c r="DD15" t="s">
        <v>225</v>
      </c>
      <c r="DE15" t="s">
        <v>226</v>
      </c>
      <c r="DF15" t="s">
        <v>178</v>
      </c>
      <c r="DG15" t="s">
        <v>227</v>
      </c>
      <c r="DH15" t="s">
        <v>228</v>
      </c>
      <c r="DI15" t="s">
        <v>178</v>
      </c>
      <c r="DJ15" t="s">
        <v>229</v>
      </c>
      <c r="DK15" t="s">
        <v>230</v>
      </c>
      <c r="DL15" t="s">
        <v>231</v>
      </c>
      <c r="DM15" t="s">
        <v>172</v>
      </c>
      <c r="DN15" t="s">
        <v>647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3">
      <c r="A16" t="s">
        <v>679</v>
      </c>
      <c r="B16" t="s">
        <v>680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1459</v>
      </c>
      <c r="I16" t="s">
        <v>681</v>
      </c>
      <c r="J16">
        <f t="shared" si="0"/>
        <v>0.31938694920011457</v>
      </c>
      <c r="K16">
        <f t="shared" si="1"/>
        <v>2.9034264800000003</v>
      </c>
      <c r="L16">
        <f t="shared" si="2"/>
        <v>0.28773509421058313</v>
      </c>
      <c r="M16">
        <f t="shared" si="3"/>
        <v>5.9493856149528028</v>
      </c>
      <c r="N16" t="s">
        <v>682</v>
      </c>
      <c r="O16" t="s">
        <v>683</v>
      </c>
      <c r="P16">
        <f t="shared" si="4"/>
        <v>4.354331327382547</v>
      </c>
      <c r="Q16">
        <f t="shared" si="5"/>
        <v>2.0342333273825468</v>
      </c>
      <c r="R16" t="s">
        <v>684</v>
      </c>
      <c r="S16" t="s">
        <v>685</v>
      </c>
      <c r="T16">
        <f t="shared" si="6"/>
        <v>42.807032317956612</v>
      </c>
      <c r="U16">
        <f t="shared" si="7"/>
        <v>0.4417875</v>
      </c>
      <c r="V16" t="s">
        <v>170</v>
      </c>
      <c r="W16" t="s">
        <v>686</v>
      </c>
      <c r="X16" t="s">
        <v>172</v>
      </c>
      <c r="Y16" t="s">
        <v>172</v>
      </c>
      <c r="Z16" t="s">
        <v>172</v>
      </c>
      <c r="AA16" t="s">
        <v>687</v>
      </c>
      <c r="AB16" t="s">
        <v>688</v>
      </c>
      <c r="AC16" t="s">
        <v>689</v>
      </c>
      <c r="AD16" t="s">
        <v>176</v>
      </c>
      <c r="AE16" t="s">
        <v>177</v>
      </c>
      <c r="AF16">
        <f t="shared" si="8"/>
        <v>220.11817464000001</v>
      </c>
      <c r="AG16" t="s">
        <v>178</v>
      </c>
      <c r="AH16" t="s">
        <v>690</v>
      </c>
      <c r="AI16" t="s">
        <v>691</v>
      </c>
      <c r="AJ16" t="s">
        <v>692</v>
      </c>
      <c r="AK16" t="s">
        <v>693</v>
      </c>
      <c r="AL16">
        <f t="shared" si="9"/>
        <v>30.38</v>
      </c>
      <c r="AM16" t="s">
        <v>253</v>
      </c>
      <c r="AN16" t="s">
        <v>694</v>
      </c>
      <c r="AO16" t="s">
        <v>695</v>
      </c>
      <c r="AP16" t="s">
        <v>696</v>
      </c>
      <c r="AQ16" t="s">
        <v>697</v>
      </c>
      <c r="AR16" t="s">
        <v>698</v>
      </c>
      <c r="AS16" t="s">
        <v>699</v>
      </c>
      <c r="AT16" t="s">
        <v>700</v>
      </c>
      <c r="AU16" t="s">
        <v>701</v>
      </c>
      <c r="AV16" t="s">
        <v>702</v>
      </c>
      <c r="AW16" t="s">
        <v>703</v>
      </c>
      <c r="AX16" t="s">
        <v>704</v>
      </c>
      <c r="AY16" t="s">
        <v>705</v>
      </c>
      <c r="AZ16" t="s">
        <v>414</v>
      </c>
      <c r="BA16" t="s">
        <v>706</v>
      </c>
      <c r="BB16" t="s">
        <v>707</v>
      </c>
      <c r="BC16" t="s">
        <v>708</v>
      </c>
      <c r="BD16" t="s">
        <v>162</v>
      </c>
      <c r="BE16" t="s">
        <v>418</v>
      </c>
      <c r="BF16" t="s">
        <v>625</v>
      </c>
      <c r="BG16" t="s">
        <v>709</v>
      </c>
      <c r="BH16" t="s">
        <v>515</v>
      </c>
      <c r="BI16" t="s">
        <v>710</v>
      </c>
      <c r="BJ16" t="s">
        <v>198</v>
      </c>
      <c r="BK16" t="s">
        <v>162</v>
      </c>
      <c r="BL16" t="s">
        <v>199</v>
      </c>
      <c r="BM16" t="s">
        <v>160</v>
      </c>
      <c r="BN16" t="s">
        <v>378</v>
      </c>
      <c r="BO16" t="s">
        <v>264</v>
      </c>
      <c r="BP16" t="s">
        <v>711</v>
      </c>
      <c r="BQ16" t="s">
        <v>712</v>
      </c>
      <c r="BR16" t="s">
        <v>713</v>
      </c>
      <c r="BS16" t="s">
        <v>714</v>
      </c>
      <c r="BT16" t="s">
        <v>160</v>
      </c>
      <c r="BU16" t="s">
        <v>205</v>
      </c>
      <c r="BV16" t="s">
        <v>201</v>
      </c>
      <c r="BW16" t="s">
        <v>206</v>
      </c>
      <c r="BX16" t="s">
        <v>207</v>
      </c>
      <c r="BY16" t="s">
        <v>172</v>
      </c>
      <c r="BZ16" t="s">
        <v>208</v>
      </c>
      <c r="CA16" t="s">
        <v>172</v>
      </c>
      <c r="CB16" t="s">
        <v>172</v>
      </c>
      <c r="CC16" t="s">
        <v>209</v>
      </c>
      <c r="CD16" t="s">
        <v>210</v>
      </c>
      <c r="CE16" t="s">
        <v>197</v>
      </c>
      <c r="CF16" t="s">
        <v>211</v>
      </c>
      <c r="CG16" t="s">
        <v>212</v>
      </c>
      <c r="CH16" t="s">
        <v>213</v>
      </c>
      <c r="CI16" t="s">
        <v>178</v>
      </c>
      <c r="CJ16" t="s">
        <v>206</v>
      </c>
      <c r="CK16" t="s">
        <v>214</v>
      </c>
      <c r="CL16" t="s">
        <v>214</v>
      </c>
      <c r="CM16" t="s">
        <v>214</v>
      </c>
      <c r="CN16" t="s">
        <v>172</v>
      </c>
      <c r="CO16" t="s">
        <v>215</v>
      </c>
      <c r="CP16" t="s">
        <v>172</v>
      </c>
      <c r="CQ16" t="s">
        <v>172</v>
      </c>
      <c r="CR16" t="s">
        <v>172</v>
      </c>
      <c r="CS16" t="s">
        <v>172</v>
      </c>
      <c r="CT16" t="s">
        <v>715</v>
      </c>
      <c r="CU16" t="s">
        <v>716</v>
      </c>
      <c r="CV16" t="s">
        <v>717</v>
      </c>
      <c r="CW16" t="s">
        <v>718</v>
      </c>
      <c r="CX16" t="s">
        <v>719</v>
      </c>
      <c r="CY16" t="s">
        <v>720</v>
      </c>
      <c r="CZ16" t="s">
        <v>721</v>
      </c>
      <c r="DA16" t="s">
        <v>722</v>
      </c>
      <c r="DB16" t="s">
        <v>687</v>
      </c>
      <c r="DC16" t="s">
        <v>224</v>
      </c>
      <c r="DD16" t="s">
        <v>225</v>
      </c>
      <c r="DE16" t="s">
        <v>226</v>
      </c>
      <c r="DF16" t="s">
        <v>178</v>
      </c>
      <c r="DG16" t="s">
        <v>227</v>
      </c>
      <c r="DH16" t="s">
        <v>228</v>
      </c>
      <c r="DI16" t="s">
        <v>178</v>
      </c>
      <c r="DJ16" t="s">
        <v>229</v>
      </c>
      <c r="DK16" t="s">
        <v>230</v>
      </c>
      <c r="DL16" t="s">
        <v>231</v>
      </c>
      <c r="DM16" t="s">
        <v>172</v>
      </c>
      <c r="DN16" t="s">
        <v>686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x14ac:dyDescent="0.3">
      <c r="A17" t="s">
        <v>723</v>
      </c>
      <c r="B17" t="s">
        <v>724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1473</v>
      </c>
      <c r="I17" t="s">
        <v>725</v>
      </c>
      <c r="J17">
        <f t="shared" si="0"/>
        <v>0.39562201029715705</v>
      </c>
      <c r="K17">
        <f t="shared" si="1"/>
        <v>2.9058327199999998</v>
      </c>
      <c r="L17">
        <f t="shared" si="2"/>
        <v>0.3482135834617916</v>
      </c>
      <c r="M17">
        <f t="shared" si="3"/>
        <v>6.3469784427041827</v>
      </c>
      <c r="N17" t="s">
        <v>726</v>
      </c>
      <c r="O17" t="s">
        <v>727</v>
      </c>
      <c r="P17">
        <f t="shared" si="4"/>
        <v>4.1348412365490201</v>
      </c>
      <c r="Q17">
        <f t="shared" si="5"/>
        <v>1.7951322365490201</v>
      </c>
      <c r="R17" t="s">
        <v>728</v>
      </c>
      <c r="S17" t="s">
        <v>729</v>
      </c>
      <c r="T17">
        <f t="shared" si="6"/>
        <v>40.649245345546802</v>
      </c>
      <c r="U17">
        <f t="shared" si="7"/>
        <v>0.4417875</v>
      </c>
      <c r="V17" t="s">
        <v>170</v>
      </c>
      <c r="W17" t="s">
        <v>730</v>
      </c>
      <c r="X17" t="s">
        <v>172</v>
      </c>
      <c r="Y17" t="s">
        <v>172</v>
      </c>
      <c r="Z17" t="s">
        <v>172</v>
      </c>
      <c r="AA17" t="s">
        <v>731</v>
      </c>
      <c r="AB17" t="s">
        <v>732</v>
      </c>
      <c r="AC17" t="s">
        <v>733</v>
      </c>
      <c r="AD17" t="s">
        <v>176</v>
      </c>
      <c r="AE17" t="s">
        <v>177</v>
      </c>
      <c r="AF17">
        <f t="shared" si="8"/>
        <v>180.80505072</v>
      </c>
      <c r="AG17" t="s">
        <v>178</v>
      </c>
      <c r="AH17" t="s">
        <v>734</v>
      </c>
      <c r="AI17" t="s">
        <v>735</v>
      </c>
      <c r="AJ17" t="s">
        <v>736</v>
      </c>
      <c r="AK17" t="s">
        <v>737</v>
      </c>
      <c r="AL17">
        <f t="shared" si="9"/>
        <v>29.48</v>
      </c>
      <c r="AM17" t="s">
        <v>253</v>
      </c>
      <c r="AN17" t="s">
        <v>406</v>
      </c>
      <c r="AO17" t="s">
        <v>738</v>
      </c>
      <c r="AP17" t="s">
        <v>739</v>
      </c>
      <c r="AQ17" t="s">
        <v>740</v>
      </c>
      <c r="AR17" t="s">
        <v>698</v>
      </c>
      <c r="AS17" t="s">
        <v>741</v>
      </c>
      <c r="AT17" t="s">
        <v>742</v>
      </c>
      <c r="AU17" t="s">
        <v>701</v>
      </c>
      <c r="AV17" t="s">
        <v>743</v>
      </c>
      <c r="AW17" t="s">
        <v>744</v>
      </c>
      <c r="AX17" t="s">
        <v>745</v>
      </c>
      <c r="AY17" t="s">
        <v>746</v>
      </c>
      <c r="AZ17" t="s">
        <v>414</v>
      </c>
      <c r="BA17" t="s">
        <v>706</v>
      </c>
      <c r="BB17" t="s">
        <v>707</v>
      </c>
      <c r="BC17" t="s">
        <v>747</v>
      </c>
      <c r="BD17" t="s">
        <v>162</v>
      </c>
      <c r="BE17" t="s">
        <v>460</v>
      </c>
      <c r="BF17" t="s">
        <v>748</v>
      </c>
      <c r="BG17" t="s">
        <v>749</v>
      </c>
      <c r="BH17" t="s">
        <v>597</v>
      </c>
      <c r="BI17" t="s">
        <v>750</v>
      </c>
      <c r="BJ17" t="s">
        <v>198</v>
      </c>
      <c r="BK17" t="s">
        <v>162</v>
      </c>
      <c r="BL17" t="s">
        <v>199</v>
      </c>
      <c r="BM17" t="s">
        <v>160</v>
      </c>
      <c r="BN17" t="s">
        <v>201</v>
      </c>
      <c r="BO17" t="s">
        <v>265</v>
      </c>
      <c r="BP17" t="s">
        <v>266</v>
      </c>
      <c r="BQ17" t="s">
        <v>751</v>
      </c>
      <c r="BR17" t="s">
        <v>752</v>
      </c>
      <c r="BS17" t="s">
        <v>753</v>
      </c>
      <c r="BT17" t="s">
        <v>160</v>
      </c>
      <c r="BU17" t="s">
        <v>205</v>
      </c>
      <c r="BV17" t="s">
        <v>201</v>
      </c>
      <c r="BW17" t="s">
        <v>206</v>
      </c>
      <c r="BX17" t="s">
        <v>207</v>
      </c>
      <c r="BY17" t="s">
        <v>172</v>
      </c>
      <c r="BZ17" t="s">
        <v>208</v>
      </c>
      <c r="CA17" t="s">
        <v>172</v>
      </c>
      <c r="CB17" t="s">
        <v>172</v>
      </c>
      <c r="CC17" t="s">
        <v>209</v>
      </c>
      <c r="CD17" t="s">
        <v>210</v>
      </c>
      <c r="CE17" t="s">
        <v>197</v>
      </c>
      <c r="CF17" t="s">
        <v>211</v>
      </c>
      <c r="CG17" t="s">
        <v>212</v>
      </c>
      <c r="CH17" t="s">
        <v>213</v>
      </c>
      <c r="CI17" t="s">
        <v>178</v>
      </c>
      <c r="CJ17" t="s">
        <v>206</v>
      </c>
      <c r="CK17" t="s">
        <v>214</v>
      </c>
      <c r="CL17" t="s">
        <v>214</v>
      </c>
      <c r="CM17" t="s">
        <v>214</v>
      </c>
      <c r="CN17" t="s">
        <v>172</v>
      </c>
      <c r="CO17" t="s">
        <v>215</v>
      </c>
      <c r="CP17" t="s">
        <v>172</v>
      </c>
      <c r="CQ17" t="s">
        <v>172</v>
      </c>
      <c r="CR17" t="s">
        <v>172</v>
      </c>
      <c r="CS17" t="s">
        <v>172</v>
      </c>
      <c r="CT17" t="s">
        <v>754</v>
      </c>
      <c r="CU17" t="s">
        <v>755</v>
      </c>
      <c r="CV17" t="s">
        <v>756</v>
      </c>
      <c r="CW17" t="s">
        <v>757</v>
      </c>
      <c r="CX17" t="s">
        <v>758</v>
      </c>
      <c r="CY17" t="s">
        <v>759</v>
      </c>
      <c r="CZ17" t="s">
        <v>760</v>
      </c>
      <c r="DA17" t="s">
        <v>761</v>
      </c>
      <c r="DB17" t="s">
        <v>731</v>
      </c>
      <c r="DC17" t="s">
        <v>596</v>
      </c>
      <c r="DD17" t="s">
        <v>225</v>
      </c>
      <c r="DE17" t="s">
        <v>226</v>
      </c>
      <c r="DF17" t="s">
        <v>178</v>
      </c>
      <c r="DG17" t="s">
        <v>227</v>
      </c>
      <c r="DH17" t="s">
        <v>228</v>
      </c>
      <c r="DI17" t="s">
        <v>178</v>
      </c>
      <c r="DJ17" t="s">
        <v>229</v>
      </c>
      <c r="DK17" t="s">
        <v>230</v>
      </c>
      <c r="DL17" t="s">
        <v>231</v>
      </c>
      <c r="DM17" t="s">
        <v>172</v>
      </c>
      <c r="DN17" t="s">
        <v>730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x14ac:dyDescent="0.3">
      <c r="A18" t="s">
        <v>534</v>
      </c>
      <c r="B18" t="s">
        <v>762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1474</v>
      </c>
      <c r="I18" t="s">
        <v>763</v>
      </c>
      <c r="J18">
        <f t="shared" si="0"/>
        <v>0.29673250476457547</v>
      </c>
      <c r="K18">
        <f t="shared" si="1"/>
        <v>2.9058327199999998</v>
      </c>
      <c r="L18">
        <f t="shared" si="2"/>
        <v>0.2692388635100616</v>
      </c>
      <c r="M18">
        <f t="shared" si="3"/>
        <v>5.0976796788830425</v>
      </c>
      <c r="N18" t="s">
        <v>764</v>
      </c>
      <c r="O18" t="s">
        <v>765</v>
      </c>
      <c r="P18">
        <f t="shared" si="4"/>
        <v>4.0662024479097942</v>
      </c>
      <c r="Q18">
        <f t="shared" si="5"/>
        <v>1.8666484479097942</v>
      </c>
      <c r="R18" t="s">
        <v>766</v>
      </c>
      <c r="S18" t="s">
        <v>767</v>
      </c>
      <c r="T18">
        <f t="shared" si="6"/>
        <v>39.974463703399472</v>
      </c>
      <c r="U18">
        <f t="shared" si="7"/>
        <v>0.4417875</v>
      </c>
      <c r="V18" t="s">
        <v>170</v>
      </c>
      <c r="W18" t="s">
        <v>768</v>
      </c>
      <c r="X18" t="s">
        <v>172</v>
      </c>
      <c r="Y18" t="s">
        <v>172</v>
      </c>
      <c r="Z18" t="s">
        <v>172</v>
      </c>
      <c r="AA18" t="s">
        <v>769</v>
      </c>
      <c r="AB18" t="s">
        <v>770</v>
      </c>
      <c r="AC18" t="s">
        <v>771</v>
      </c>
      <c r="AD18" t="s">
        <v>176</v>
      </c>
      <c r="AE18" t="s">
        <v>177</v>
      </c>
      <c r="AF18">
        <f t="shared" si="8"/>
        <v>205.17820176000001</v>
      </c>
      <c r="AG18" t="s">
        <v>178</v>
      </c>
      <c r="AH18" t="s">
        <v>772</v>
      </c>
      <c r="AI18" t="s">
        <v>773</v>
      </c>
      <c r="AJ18" t="s">
        <v>774</v>
      </c>
      <c r="AK18" t="s">
        <v>775</v>
      </c>
      <c r="AL18">
        <f t="shared" si="9"/>
        <v>29.19</v>
      </c>
      <c r="AM18" t="s">
        <v>253</v>
      </c>
      <c r="AN18" t="s">
        <v>406</v>
      </c>
      <c r="AO18" t="s">
        <v>776</v>
      </c>
      <c r="AP18" t="s">
        <v>777</v>
      </c>
      <c r="AQ18" t="s">
        <v>778</v>
      </c>
      <c r="AR18" t="s">
        <v>698</v>
      </c>
      <c r="AS18" t="s">
        <v>190</v>
      </c>
      <c r="AT18" t="s">
        <v>659</v>
      </c>
      <c r="AU18" t="s">
        <v>779</v>
      </c>
      <c r="AV18" t="s">
        <v>780</v>
      </c>
      <c r="AW18" t="s">
        <v>781</v>
      </c>
      <c r="AX18" t="s">
        <v>782</v>
      </c>
      <c r="AY18" t="s">
        <v>783</v>
      </c>
      <c r="AZ18" t="s">
        <v>414</v>
      </c>
      <c r="BA18" t="s">
        <v>784</v>
      </c>
      <c r="BB18" t="s">
        <v>526</v>
      </c>
      <c r="BC18" t="s">
        <v>785</v>
      </c>
      <c r="BD18" t="s">
        <v>162</v>
      </c>
      <c r="BE18" t="s">
        <v>786</v>
      </c>
      <c r="BF18" t="s">
        <v>787</v>
      </c>
      <c r="BG18" t="s">
        <v>788</v>
      </c>
      <c r="BH18" t="s">
        <v>555</v>
      </c>
      <c r="BI18" t="s">
        <v>789</v>
      </c>
      <c r="BJ18" t="s">
        <v>198</v>
      </c>
      <c r="BK18" t="s">
        <v>162</v>
      </c>
      <c r="BL18" t="s">
        <v>199</v>
      </c>
      <c r="BM18" t="s">
        <v>160</v>
      </c>
      <c r="BN18" t="s">
        <v>711</v>
      </c>
      <c r="BO18" t="s">
        <v>264</v>
      </c>
      <c r="BP18" t="s">
        <v>200</v>
      </c>
      <c r="BQ18" t="s">
        <v>790</v>
      </c>
      <c r="BR18" t="s">
        <v>791</v>
      </c>
      <c r="BS18" t="s">
        <v>792</v>
      </c>
      <c r="BT18" t="s">
        <v>160</v>
      </c>
      <c r="BU18" t="s">
        <v>205</v>
      </c>
      <c r="BV18" t="s">
        <v>201</v>
      </c>
      <c r="BW18" t="s">
        <v>206</v>
      </c>
      <c r="BX18" t="s">
        <v>207</v>
      </c>
      <c r="BY18" t="s">
        <v>172</v>
      </c>
      <c r="BZ18" t="s">
        <v>208</v>
      </c>
      <c r="CA18" t="s">
        <v>172</v>
      </c>
      <c r="CB18" t="s">
        <v>172</v>
      </c>
      <c r="CC18" t="s">
        <v>209</v>
      </c>
      <c r="CD18" t="s">
        <v>210</v>
      </c>
      <c r="CE18" t="s">
        <v>197</v>
      </c>
      <c r="CF18" t="s">
        <v>211</v>
      </c>
      <c r="CG18" t="s">
        <v>212</v>
      </c>
      <c r="CH18" t="s">
        <v>213</v>
      </c>
      <c r="CI18" t="s">
        <v>178</v>
      </c>
      <c r="CJ18" t="s">
        <v>206</v>
      </c>
      <c r="CK18" t="s">
        <v>214</v>
      </c>
      <c r="CL18" t="s">
        <v>214</v>
      </c>
      <c r="CM18" t="s">
        <v>214</v>
      </c>
      <c r="CN18" t="s">
        <v>172</v>
      </c>
      <c r="CO18" t="s">
        <v>215</v>
      </c>
      <c r="CP18" t="s">
        <v>172</v>
      </c>
      <c r="CQ18" t="s">
        <v>172</v>
      </c>
      <c r="CR18" t="s">
        <v>172</v>
      </c>
      <c r="CS18" t="s">
        <v>172</v>
      </c>
      <c r="CT18" t="s">
        <v>793</v>
      </c>
      <c r="CU18" t="s">
        <v>794</v>
      </c>
      <c r="CV18" t="s">
        <v>795</v>
      </c>
      <c r="CW18" t="s">
        <v>796</v>
      </c>
      <c r="CX18" t="s">
        <v>797</v>
      </c>
      <c r="CY18" t="s">
        <v>798</v>
      </c>
      <c r="CZ18" t="s">
        <v>799</v>
      </c>
      <c r="DA18" t="s">
        <v>800</v>
      </c>
      <c r="DB18" t="s">
        <v>769</v>
      </c>
      <c r="DC18" t="s">
        <v>801</v>
      </c>
      <c r="DD18" t="s">
        <v>225</v>
      </c>
      <c r="DE18" t="s">
        <v>226</v>
      </c>
      <c r="DF18" t="s">
        <v>178</v>
      </c>
      <c r="DG18" t="s">
        <v>227</v>
      </c>
      <c r="DH18" t="s">
        <v>228</v>
      </c>
      <c r="DI18" t="s">
        <v>178</v>
      </c>
      <c r="DJ18" t="s">
        <v>229</v>
      </c>
      <c r="DK18" t="s">
        <v>230</v>
      </c>
      <c r="DL18" t="s">
        <v>231</v>
      </c>
      <c r="DM18" t="s">
        <v>172</v>
      </c>
      <c r="DN18" t="s">
        <v>768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x14ac:dyDescent="0.3">
      <c r="A19" t="s">
        <v>802</v>
      </c>
      <c r="B19" t="s">
        <v>803</v>
      </c>
      <c r="C19" t="s">
        <v>162</v>
      </c>
      <c r="D19" t="s">
        <v>163</v>
      </c>
      <c r="E19" t="s">
        <v>164</v>
      </c>
      <c r="F19" t="s">
        <v>138</v>
      </c>
      <c r="G19" t="s">
        <v>138</v>
      </c>
      <c r="H19" t="s">
        <v>1475</v>
      </c>
      <c r="I19" t="s">
        <v>804</v>
      </c>
      <c r="J19">
        <f t="shared" si="0"/>
        <v>0.17287437773011041</v>
      </c>
      <c r="K19">
        <f t="shared" si="1"/>
        <v>2.9050319999999994</v>
      </c>
      <c r="L19">
        <f t="shared" si="2"/>
        <v>0.16316467678150234</v>
      </c>
      <c r="M19">
        <f t="shared" si="3"/>
        <v>3.4690504187362539</v>
      </c>
      <c r="N19" t="s">
        <v>805</v>
      </c>
      <c r="O19" t="s">
        <v>806</v>
      </c>
      <c r="P19">
        <f t="shared" si="4"/>
        <v>4.2506708972732925</v>
      </c>
      <c r="Q19">
        <f t="shared" si="5"/>
        <v>2.0942548972732924</v>
      </c>
      <c r="R19" t="s">
        <v>807</v>
      </c>
      <c r="S19" t="s">
        <v>808</v>
      </c>
      <c r="T19">
        <f t="shared" si="6"/>
        <v>41.792064666928454</v>
      </c>
      <c r="U19">
        <f t="shared" si="7"/>
        <v>0.4417875</v>
      </c>
      <c r="V19" t="s">
        <v>170</v>
      </c>
      <c r="W19" t="s">
        <v>809</v>
      </c>
      <c r="X19" t="s">
        <v>172</v>
      </c>
      <c r="Y19" t="s">
        <v>172</v>
      </c>
      <c r="Z19" t="s">
        <v>172</v>
      </c>
      <c r="AA19" t="s">
        <v>810</v>
      </c>
      <c r="AB19" t="s">
        <v>811</v>
      </c>
      <c r="AC19" t="s">
        <v>812</v>
      </c>
      <c r="AD19" t="s">
        <v>176</v>
      </c>
      <c r="AE19" t="s">
        <v>177</v>
      </c>
      <c r="AF19">
        <f t="shared" si="8"/>
        <v>268.17625296</v>
      </c>
      <c r="AG19" t="s">
        <v>178</v>
      </c>
      <c r="AH19" t="s">
        <v>813</v>
      </c>
      <c r="AI19" t="s">
        <v>773</v>
      </c>
      <c r="AJ19" t="s">
        <v>814</v>
      </c>
      <c r="AK19" t="s">
        <v>815</v>
      </c>
      <c r="AL19">
        <f t="shared" si="9"/>
        <v>29.96</v>
      </c>
      <c r="AM19" t="s">
        <v>183</v>
      </c>
      <c r="AN19" t="s">
        <v>184</v>
      </c>
      <c r="AO19" t="s">
        <v>816</v>
      </c>
      <c r="AP19" t="s">
        <v>656</v>
      </c>
      <c r="AQ19" t="s">
        <v>817</v>
      </c>
      <c r="AR19" t="s">
        <v>818</v>
      </c>
      <c r="AS19" t="s">
        <v>494</v>
      </c>
      <c r="AT19" t="s">
        <v>335</v>
      </c>
      <c r="AU19" t="s">
        <v>819</v>
      </c>
      <c r="AV19" t="s">
        <v>820</v>
      </c>
      <c r="AW19" t="s">
        <v>821</v>
      </c>
      <c r="AX19" t="s">
        <v>822</v>
      </c>
      <c r="AY19" t="s">
        <v>823</v>
      </c>
      <c r="AZ19" t="s">
        <v>414</v>
      </c>
      <c r="BA19" t="s">
        <v>784</v>
      </c>
      <c r="BB19" t="s">
        <v>526</v>
      </c>
      <c r="BC19" t="s">
        <v>824</v>
      </c>
      <c r="BD19" t="s">
        <v>162</v>
      </c>
      <c r="BE19" t="s">
        <v>825</v>
      </c>
      <c r="BF19" t="s">
        <v>500</v>
      </c>
      <c r="BG19" t="s">
        <v>826</v>
      </c>
      <c r="BH19" t="s">
        <v>640</v>
      </c>
      <c r="BI19" t="s">
        <v>827</v>
      </c>
      <c r="BJ19" t="s">
        <v>198</v>
      </c>
      <c r="BK19" t="s">
        <v>162</v>
      </c>
      <c r="BL19" t="s">
        <v>199</v>
      </c>
      <c r="BM19" t="s">
        <v>160</v>
      </c>
      <c r="BN19" t="s">
        <v>264</v>
      </c>
      <c r="BO19" t="s">
        <v>265</v>
      </c>
      <c r="BP19" t="s">
        <v>339</v>
      </c>
      <c r="BQ19" t="s">
        <v>828</v>
      </c>
      <c r="BR19" t="s">
        <v>829</v>
      </c>
      <c r="BS19" t="s">
        <v>830</v>
      </c>
      <c r="BT19" t="s">
        <v>160</v>
      </c>
      <c r="BU19" t="s">
        <v>205</v>
      </c>
      <c r="BV19" t="s">
        <v>201</v>
      </c>
      <c r="BW19" t="s">
        <v>206</v>
      </c>
      <c r="BX19" t="s">
        <v>207</v>
      </c>
      <c r="BY19" t="s">
        <v>172</v>
      </c>
      <c r="BZ19" t="s">
        <v>208</v>
      </c>
      <c r="CA19" t="s">
        <v>172</v>
      </c>
      <c r="CB19" t="s">
        <v>172</v>
      </c>
      <c r="CC19" t="s">
        <v>209</v>
      </c>
      <c r="CD19" t="s">
        <v>210</v>
      </c>
      <c r="CE19" t="s">
        <v>197</v>
      </c>
      <c r="CF19" t="s">
        <v>211</v>
      </c>
      <c r="CG19" t="s">
        <v>212</v>
      </c>
      <c r="CH19" t="s">
        <v>213</v>
      </c>
      <c r="CI19" t="s">
        <v>178</v>
      </c>
      <c r="CJ19" t="s">
        <v>206</v>
      </c>
      <c r="CK19" t="s">
        <v>214</v>
      </c>
      <c r="CL19" t="s">
        <v>214</v>
      </c>
      <c r="CM19" t="s">
        <v>214</v>
      </c>
      <c r="CN19" t="s">
        <v>172</v>
      </c>
      <c r="CO19" t="s">
        <v>215</v>
      </c>
      <c r="CP19" t="s">
        <v>172</v>
      </c>
      <c r="CQ19" t="s">
        <v>172</v>
      </c>
      <c r="CR19" t="s">
        <v>172</v>
      </c>
      <c r="CS19" t="s">
        <v>172</v>
      </c>
      <c r="CT19" t="s">
        <v>831</v>
      </c>
      <c r="CU19" t="s">
        <v>832</v>
      </c>
      <c r="CV19" t="s">
        <v>833</v>
      </c>
      <c r="CW19" t="s">
        <v>834</v>
      </c>
      <c r="CX19" t="s">
        <v>835</v>
      </c>
      <c r="CY19" t="s">
        <v>836</v>
      </c>
      <c r="CZ19" t="s">
        <v>837</v>
      </c>
      <c r="DA19" t="s">
        <v>838</v>
      </c>
      <c r="DB19" t="s">
        <v>810</v>
      </c>
      <c r="DC19" t="s">
        <v>224</v>
      </c>
      <c r="DD19" t="s">
        <v>225</v>
      </c>
      <c r="DE19" t="s">
        <v>226</v>
      </c>
      <c r="DF19" t="s">
        <v>178</v>
      </c>
      <c r="DG19" t="s">
        <v>227</v>
      </c>
      <c r="DH19" t="s">
        <v>228</v>
      </c>
      <c r="DI19" t="s">
        <v>178</v>
      </c>
      <c r="DJ19" t="s">
        <v>229</v>
      </c>
      <c r="DK19" t="s">
        <v>230</v>
      </c>
      <c r="DL19" t="s">
        <v>231</v>
      </c>
      <c r="DM19" t="s">
        <v>172</v>
      </c>
      <c r="DN19" t="s">
        <v>809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  <row r="20" spans="1:124" x14ac:dyDescent="0.3">
      <c r="A20" t="s">
        <v>839</v>
      </c>
      <c r="B20" t="s">
        <v>840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1460</v>
      </c>
      <c r="I20" t="s">
        <v>841</v>
      </c>
      <c r="J20">
        <f t="shared" si="0"/>
        <v>0.30633285151476597</v>
      </c>
      <c r="K20">
        <f t="shared" si="1"/>
        <v>2.9058327199999998</v>
      </c>
      <c r="L20">
        <f t="shared" si="2"/>
        <v>0.2771189726445944</v>
      </c>
      <c r="M20">
        <f t="shared" si="3"/>
        <v>6.6704241474244235</v>
      </c>
      <c r="N20" t="s">
        <v>842</v>
      </c>
      <c r="O20" t="s">
        <v>843</v>
      </c>
      <c r="P20">
        <f t="shared" si="4"/>
        <v>4.7025932812894728</v>
      </c>
      <c r="Q20">
        <f t="shared" si="5"/>
        <v>2.364029281289473</v>
      </c>
      <c r="R20" t="s">
        <v>844</v>
      </c>
      <c r="S20" t="s">
        <v>845</v>
      </c>
      <c r="T20">
        <f t="shared" si="6"/>
        <v>46.226219220382113</v>
      </c>
      <c r="U20">
        <f t="shared" si="7"/>
        <v>0.4417875</v>
      </c>
      <c r="V20" t="s">
        <v>170</v>
      </c>
      <c r="W20" t="s">
        <v>846</v>
      </c>
      <c r="X20" t="s">
        <v>172</v>
      </c>
      <c r="Y20" t="s">
        <v>172</v>
      </c>
      <c r="Z20" t="s">
        <v>172</v>
      </c>
      <c r="AA20" t="s">
        <v>847</v>
      </c>
      <c r="AB20" t="s">
        <v>848</v>
      </c>
      <c r="AC20" t="s">
        <v>849</v>
      </c>
      <c r="AD20" t="s">
        <v>176</v>
      </c>
      <c r="AE20" t="s">
        <v>177</v>
      </c>
      <c r="AF20">
        <f t="shared" si="8"/>
        <v>288.73574184</v>
      </c>
      <c r="AG20" t="s">
        <v>178</v>
      </c>
      <c r="AH20" t="s">
        <v>850</v>
      </c>
      <c r="AI20" t="s">
        <v>851</v>
      </c>
      <c r="AJ20" t="s">
        <v>852</v>
      </c>
      <c r="AK20" t="s">
        <v>853</v>
      </c>
      <c r="AL20">
        <f t="shared" si="9"/>
        <v>31.73</v>
      </c>
      <c r="AM20" t="s">
        <v>854</v>
      </c>
      <c r="AN20" t="s">
        <v>406</v>
      </c>
      <c r="AO20" t="s">
        <v>366</v>
      </c>
      <c r="AP20" t="s">
        <v>855</v>
      </c>
      <c r="AQ20" t="s">
        <v>856</v>
      </c>
      <c r="AR20" t="s">
        <v>857</v>
      </c>
      <c r="AS20" t="s">
        <v>858</v>
      </c>
      <c r="AT20" t="s">
        <v>555</v>
      </c>
      <c r="AU20" t="s">
        <v>859</v>
      </c>
      <c r="AV20" t="s">
        <v>860</v>
      </c>
      <c r="AW20" t="s">
        <v>861</v>
      </c>
      <c r="AX20" t="s">
        <v>862</v>
      </c>
      <c r="AY20" t="s">
        <v>863</v>
      </c>
      <c r="AZ20" t="s">
        <v>414</v>
      </c>
      <c r="BA20" t="s">
        <v>864</v>
      </c>
      <c r="BB20" t="s">
        <v>850</v>
      </c>
      <c r="BC20" t="s">
        <v>865</v>
      </c>
      <c r="BD20" t="s">
        <v>162</v>
      </c>
      <c r="BE20" t="s">
        <v>866</v>
      </c>
      <c r="BF20" t="s">
        <v>500</v>
      </c>
      <c r="BG20" t="s">
        <v>826</v>
      </c>
      <c r="BH20" t="s">
        <v>640</v>
      </c>
      <c r="BI20" t="s">
        <v>827</v>
      </c>
      <c r="BJ20" t="s">
        <v>198</v>
      </c>
      <c r="BK20" t="s">
        <v>162</v>
      </c>
      <c r="BL20" t="s">
        <v>199</v>
      </c>
      <c r="BM20" t="s">
        <v>160</v>
      </c>
      <c r="BN20" t="s">
        <v>200</v>
      </c>
      <c r="BO20" t="s">
        <v>264</v>
      </c>
      <c r="BP20" t="s">
        <v>302</v>
      </c>
      <c r="BQ20" t="s">
        <v>867</v>
      </c>
      <c r="BR20" t="s">
        <v>868</v>
      </c>
      <c r="BS20" t="s">
        <v>869</v>
      </c>
      <c r="BT20" t="s">
        <v>160</v>
      </c>
      <c r="BU20" t="s">
        <v>205</v>
      </c>
      <c r="BV20" t="s">
        <v>201</v>
      </c>
      <c r="BW20" t="s">
        <v>206</v>
      </c>
      <c r="BX20" t="s">
        <v>207</v>
      </c>
      <c r="BY20" t="s">
        <v>172</v>
      </c>
      <c r="BZ20" t="s">
        <v>208</v>
      </c>
      <c r="CA20" t="s">
        <v>172</v>
      </c>
      <c r="CB20" t="s">
        <v>172</v>
      </c>
      <c r="CC20" t="s">
        <v>209</v>
      </c>
      <c r="CD20" t="s">
        <v>210</v>
      </c>
      <c r="CE20" t="s">
        <v>197</v>
      </c>
      <c r="CF20" t="s">
        <v>211</v>
      </c>
      <c r="CG20" t="s">
        <v>212</v>
      </c>
      <c r="CH20" t="s">
        <v>213</v>
      </c>
      <c r="CI20" t="s">
        <v>178</v>
      </c>
      <c r="CJ20" t="s">
        <v>206</v>
      </c>
      <c r="CK20" t="s">
        <v>214</v>
      </c>
      <c r="CL20" t="s">
        <v>214</v>
      </c>
      <c r="CM20" t="s">
        <v>214</v>
      </c>
      <c r="CN20" t="s">
        <v>172</v>
      </c>
      <c r="CO20" t="s">
        <v>215</v>
      </c>
      <c r="CP20" t="s">
        <v>172</v>
      </c>
      <c r="CQ20" t="s">
        <v>172</v>
      </c>
      <c r="CR20" t="s">
        <v>172</v>
      </c>
      <c r="CS20" t="s">
        <v>172</v>
      </c>
      <c r="CT20" t="s">
        <v>870</v>
      </c>
      <c r="CU20" t="s">
        <v>871</v>
      </c>
      <c r="CV20" t="s">
        <v>872</v>
      </c>
      <c r="CW20" t="s">
        <v>873</v>
      </c>
      <c r="CX20" t="s">
        <v>874</v>
      </c>
      <c r="CY20" t="s">
        <v>875</v>
      </c>
      <c r="CZ20" t="s">
        <v>876</v>
      </c>
      <c r="DA20" t="s">
        <v>877</v>
      </c>
      <c r="DB20" t="s">
        <v>847</v>
      </c>
      <c r="DC20" t="s">
        <v>596</v>
      </c>
      <c r="DD20" t="s">
        <v>225</v>
      </c>
      <c r="DE20" t="s">
        <v>226</v>
      </c>
      <c r="DF20" t="s">
        <v>178</v>
      </c>
      <c r="DG20" t="s">
        <v>227</v>
      </c>
      <c r="DH20" t="s">
        <v>228</v>
      </c>
      <c r="DI20" t="s">
        <v>178</v>
      </c>
      <c r="DJ20" t="s">
        <v>229</v>
      </c>
      <c r="DK20" t="s">
        <v>230</v>
      </c>
      <c r="DL20" t="s">
        <v>231</v>
      </c>
      <c r="DM20" t="s">
        <v>172</v>
      </c>
      <c r="DN20" t="s">
        <v>846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x14ac:dyDescent="0.3">
      <c r="A21" t="s">
        <v>370</v>
      </c>
      <c r="B21" t="s">
        <v>878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1476</v>
      </c>
      <c r="I21" t="s">
        <v>879</v>
      </c>
      <c r="J21">
        <f t="shared" si="0"/>
        <v>0.36988604546588849</v>
      </c>
      <c r="K21">
        <f t="shared" si="1"/>
        <v>2.9042299199999997</v>
      </c>
      <c r="L21">
        <f t="shared" si="2"/>
        <v>0.32809898353116401</v>
      </c>
      <c r="M21">
        <f t="shared" si="3"/>
        <v>8.0258829860625198</v>
      </c>
      <c r="N21" t="s">
        <v>880</v>
      </c>
      <c r="O21" t="s">
        <v>881</v>
      </c>
      <c r="P21">
        <f t="shared" si="4"/>
        <v>4.7561967531330742</v>
      </c>
      <c r="Q21">
        <f t="shared" si="5"/>
        <v>2.4012067531330743</v>
      </c>
      <c r="R21" t="s">
        <v>882</v>
      </c>
      <c r="S21" t="s">
        <v>883</v>
      </c>
      <c r="T21">
        <f t="shared" si="6"/>
        <v>46.757734497965735</v>
      </c>
      <c r="U21">
        <f t="shared" si="7"/>
        <v>0.4417875</v>
      </c>
      <c r="V21" t="s">
        <v>170</v>
      </c>
      <c r="W21" t="s">
        <v>884</v>
      </c>
      <c r="X21" t="s">
        <v>172</v>
      </c>
      <c r="Y21" t="s">
        <v>172</v>
      </c>
      <c r="Z21" t="s">
        <v>172</v>
      </c>
      <c r="AA21" t="s">
        <v>885</v>
      </c>
      <c r="AB21" t="s">
        <v>886</v>
      </c>
      <c r="AC21" t="s">
        <v>887</v>
      </c>
      <c r="AD21" t="s">
        <v>176</v>
      </c>
      <c r="AE21" t="s">
        <v>177</v>
      </c>
      <c r="AF21">
        <f t="shared" si="8"/>
        <v>218.75133839999998</v>
      </c>
      <c r="AG21" t="s">
        <v>178</v>
      </c>
      <c r="AH21" t="s">
        <v>888</v>
      </c>
      <c r="AI21" t="s">
        <v>889</v>
      </c>
      <c r="AJ21" t="s">
        <v>890</v>
      </c>
      <c r="AK21" t="s">
        <v>891</v>
      </c>
      <c r="AL21">
        <f t="shared" si="9"/>
        <v>31.93</v>
      </c>
      <c r="AM21" t="s">
        <v>253</v>
      </c>
      <c r="AN21" t="s">
        <v>254</v>
      </c>
      <c r="AO21" t="s">
        <v>892</v>
      </c>
      <c r="AP21" t="s">
        <v>893</v>
      </c>
      <c r="AQ21" t="s">
        <v>894</v>
      </c>
      <c r="AR21" t="s">
        <v>895</v>
      </c>
      <c r="AS21" t="s">
        <v>616</v>
      </c>
      <c r="AT21" t="s">
        <v>334</v>
      </c>
      <c r="AU21" t="s">
        <v>896</v>
      </c>
      <c r="AV21" t="s">
        <v>897</v>
      </c>
      <c r="AW21" t="s">
        <v>898</v>
      </c>
      <c r="AX21" t="s">
        <v>899</v>
      </c>
      <c r="AY21" t="s">
        <v>900</v>
      </c>
      <c r="AZ21" t="s">
        <v>414</v>
      </c>
      <c r="BA21" t="s">
        <v>901</v>
      </c>
      <c r="BB21" t="s">
        <v>445</v>
      </c>
      <c r="BC21" t="s">
        <v>902</v>
      </c>
      <c r="BD21" t="s">
        <v>162</v>
      </c>
      <c r="BE21" t="s">
        <v>418</v>
      </c>
      <c r="BF21" t="s">
        <v>500</v>
      </c>
      <c r="BG21" t="s">
        <v>903</v>
      </c>
      <c r="BH21" t="s">
        <v>597</v>
      </c>
      <c r="BI21" t="s">
        <v>904</v>
      </c>
      <c r="BJ21" t="s">
        <v>198</v>
      </c>
      <c r="BK21" t="s">
        <v>162</v>
      </c>
      <c r="BL21" t="s">
        <v>199</v>
      </c>
      <c r="BM21" t="s">
        <v>160</v>
      </c>
      <c r="BN21" t="s">
        <v>201</v>
      </c>
      <c r="BO21" t="s">
        <v>201</v>
      </c>
      <c r="BP21" t="s">
        <v>302</v>
      </c>
      <c r="BQ21" t="s">
        <v>267</v>
      </c>
      <c r="BR21" t="s">
        <v>905</v>
      </c>
      <c r="BS21" t="s">
        <v>906</v>
      </c>
      <c r="BT21" t="s">
        <v>160</v>
      </c>
      <c r="BU21" t="s">
        <v>205</v>
      </c>
      <c r="BV21" t="s">
        <v>201</v>
      </c>
      <c r="BW21" t="s">
        <v>206</v>
      </c>
      <c r="BX21" t="s">
        <v>207</v>
      </c>
      <c r="BY21" t="s">
        <v>172</v>
      </c>
      <c r="BZ21" t="s">
        <v>208</v>
      </c>
      <c r="CA21" t="s">
        <v>172</v>
      </c>
      <c r="CB21" t="s">
        <v>172</v>
      </c>
      <c r="CC21" t="s">
        <v>209</v>
      </c>
      <c r="CD21" t="s">
        <v>210</v>
      </c>
      <c r="CE21" t="s">
        <v>197</v>
      </c>
      <c r="CF21" t="s">
        <v>211</v>
      </c>
      <c r="CG21" t="s">
        <v>212</v>
      </c>
      <c r="CH21" t="s">
        <v>213</v>
      </c>
      <c r="CI21" t="s">
        <v>178</v>
      </c>
      <c r="CJ21" t="s">
        <v>206</v>
      </c>
      <c r="CK21" t="s">
        <v>214</v>
      </c>
      <c r="CL21" t="s">
        <v>214</v>
      </c>
      <c r="CM21" t="s">
        <v>214</v>
      </c>
      <c r="CN21" t="s">
        <v>172</v>
      </c>
      <c r="CO21" t="s">
        <v>215</v>
      </c>
      <c r="CP21" t="s">
        <v>172</v>
      </c>
      <c r="CQ21" t="s">
        <v>172</v>
      </c>
      <c r="CR21" t="s">
        <v>172</v>
      </c>
      <c r="CS21" t="s">
        <v>172</v>
      </c>
      <c r="CT21" t="s">
        <v>907</v>
      </c>
      <c r="CU21" t="s">
        <v>908</v>
      </c>
      <c r="CV21" t="s">
        <v>909</v>
      </c>
      <c r="CW21" t="s">
        <v>910</v>
      </c>
      <c r="CX21" t="s">
        <v>911</v>
      </c>
      <c r="CY21" t="s">
        <v>912</v>
      </c>
      <c r="CZ21" t="s">
        <v>913</v>
      </c>
      <c r="DA21" t="s">
        <v>914</v>
      </c>
      <c r="DB21" t="s">
        <v>885</v>
      </c>
      <c r="DC21" t="s">
        <v>915</v>
      </c>
      <c r="DD21" t="s">
        <v>225</v>
      </c>
      <c r="DE21" t="s">
        <v>226</v>
      </c>
      <c r="DF21" t="s">
        <v>178</v>
      </c>
      <c r="DG21" t="s">
        <v>227</v>
      </c>
      <c r="DH21" t="s">
        <v>228</v>
      </c>
      <c r="DI21" t="s">
        <v>178</v>
      </c>
      <c r="DJ21" t="s">
        <v>229</v>
      </c>
      <c r="DK21" t="s">
        <v>230</v>
      </c>
      <c r="DL21" t="s">
        <v>231</v>
      </c>
      <c r="DM21" t="s">
        <v>172</v>
      </c>
      <c r="DN21" t="s">
        <v>884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  <row r="22" spans="1:124" x14ac:dyDescent="0.3">
      <c r="A22" t="s">
        <v>455</v>
      </c>
      <c r="B22" t="s">
        <v>921</v>
      </c>
      <c r="C22" t="s">
        <v>162</v>
      </c>
      <c r="D22" t="s">
        <v>163</v>
      </c>
      <c r="E22" t="s">
        <v>164</v>
      </c>
      <c r="F22" t="s">
        <v>138</v>
      </c>
      <c r="G22" t="s">
        <v>138</v>
      </c>
      <c r="H22" t="s">
        <v>1477</v>
      </c>
      <c r="I22" t="s">
        <v>922</v>
      </c>
      <c r="J22">
        <f t="shared" si="0"/>
        <v>0.2918870899288088</v>
      </c>
      <c r="K22">
        <f t="shared" si="1"/>
        <v>2.9050319999999994</v>
      </c>
      <c r="L22">
        <f t="shared" si="2"/>
        <v>0.26523703377458635</v>
      </c>
      <c r="M22">
        <f t="shared" si="3"/>
        <v>5.7798691157854982</v>
      </c>
      <c r="N22" t="s">
        <v>923</v>
      </c>
      <c r="O22" t="s">
        <v>924</v>
      </c>
      <c r="P22">
        <f t="shared" si="4"/>
        <v>4.3618192072402104</v>
      </c>
      <c r="Q22">
        <f t="shared" si="5"/>
        <v>2.1450682072402105</v>
      </c>
      <c r="R22" t="s">
        <v>925</v>
      </c>
      <c r="S22" t="s">
        <v>926</v>
      </c>
      <c r="T22">
        <f t="shared" si="6"/>
        <v>42.876429836235232</v>
      </c>
      <c r="U22">
        <f t="shared" si="7"/>
        <v>0.4417875</v>
      </c>
      <c r="V22" t="s">
        <v>170</v>
      </c>
      <c r="W22" t="s">
        <v>927</v>
      </c>
      <c r="X22" t="s">
        <v>172</v>
      </c>
      <c r="Y22" t="s">
        <v>172</v>
      </c>
      <c r="Z22" t="s">
        <v>172</v>
      </c>
      <c r="AA22" t="s">
        <v>928</v>
      </c>
      <c r="AB22" t="s">
        <v>929</v>
      </c>
      <c r="AC22" t="s">
        <v>930</v>
      </c>
      <c r="AD22" t="s">
        <v>176</v>
      </c>
      <c r="AE22" t="s">
        <v>177</v>
      </c>
      <c r="AF22">
        <f t="shared" si="8"/>
        <v>184.15196687999997</v>
      </c>
      <c r="AG22" t="s">
        <v>178</v>
      </c>
      <c r="AH22" t="s">
        <v>931</v>
      </c>
      <c r="AI22" t="s">
        <v>932</v>
      </c>
      <c r="AJ22" t="s">
        <v>933</v>
      </c>
      <c r="AK22" t="s">
        <v>934</v>
      </c>
      <c r="AL22">
        <f t="shared" si="9"/>
        <v>30.41</v>
      </c>
      <c r="AM22" t="s">
        <v>854</v>
      </c>
      <c r="AN22" t="s">
        <v>184</v>
      </c>
      <c r="AO22" t="s">
        <v>816</v>
      </c>
      <c r="AP22" t="s">
        <v>656</v>
      </c>
      <c r="AQ22" t="s">
        <v>935</v>
      </c>
      <c r="AR22" t="s">
        <v>917</v>
      </c>
      <c r="AS22" t="s">
        <v>454</v>
      </c>
      <c r="AT22" t="s">
        <v>936</v>
      </c>
      <c r="AU22" t="s">
        <v>937</v>
      </c>
      <c r="AV22" t="s">
        <v>938</v>
      </c>
      <c r="AW22" t="s">
        <v>939</v>
      </c>
      <c r="AX22" t="s">
        <v>940</v>
      </c>
      <c r="AY22" t="s">
        <v>941</v>
      </c>
      <c r="AZ22" t="s">
        <v>414</v>
      </c>
      <c r="BA22" t="s">
        <v>918</v>
      </c>
      <c r="BB22" t="s">
        <v>919</v>
      </c>
      <c r="BC22" t="s">
        <v>942</v>
      </c>
      <c r="BD22" t="s">
        <v>162</v>
      </c>
      <c r="BE22" t="s">
        <v>825</v>
      </c>
      <c r="BF22" t="s">
        <v>461</v>
      </c>
      <c r="BG22" t="s">
        <v>943</v>
      </c>
      <c r="BH22" t="s">
        <v>679</v>
      </c>
      <c r="BI22" t="s">
        <v>920</v>
      </c>
      <c r="BJ22" t="s">
        <v>944</v>
      </c>
      <c r="BK22" t="s">
        <v>162</v>
      </c>
      <c r="BL22" t="s">
        <v>945</v>
      </c>
      <c r="BM22" t="s">
        <v>160</v>
      </c>
      <c r="BN22" t="s">
        <v>200</v>
      </c>
      <c r="BO22" t="s">
        <v>265</v>
      </c>
      <c r="BP22" t="s">
        <v>339</v>
      </c>
      <c r="BQ22" t="s">
        <v>946</v>
      </c>
      <c r="BR22" t="s">
        <v>947</v>
      </c>
      <c r="BS22" t="s">
        <v>948</v>
      </c>
      <c r="BT22" t="s">
        <v>160</v>
      </c>
      <c r="BU22" t="s">
        <v>205</v>
      </c>
      <c r="BV22" t="s">
        <v>201</v>
      </c>
      <c r="BW22" t="s">
        <v>206</v>
      </c>
      <c r="BX22" t="s">
        <v>207</v>
      </c>
      <c r="BY22" t="s">
        <v>172</v>
      </c>
      <c r="BZ22" t="s">
        <v>208</v>
      </c>
      <c r="CA22" t="s">
        <v>172</v>
      </c>
      <c r="CB22" t="s">
        <v>172</v>
      </c>
      <c r="CC22" t="s">
        <v>209</v>
      </c>
      <c r="CD22" t="s">
        <v>210</v>
      </c>
      <c r="CE22" t="s">
        <v>197</v>
      </c>
      <c r="CF22" t="s">
        <v>211</v>
      </c>
      <c r="CG22" t="s">
        <v>212</v>
      </c>
      <c r="CH22" t="s">
        <v>213</v>
      </c>
      <c r="CI22" t="s">
        <v>178</v>
      </c>
      <c r="CJ22" t="s">
        <v>206</v>
      </c>
      <c r="CK22" t="s">
        <v>214</v>
      </c>
      <c r="CL22" t="s">
        <v>214</v>
      </c>
      <c r="CM22" t="s">
        <v>214</v>
      </c>
      <c r="CN22" t="s">
        <v>172</v>
      </c>
      <c r="CO22" t="s">
        <v>215</v>
      </c>
      <c r="CP22" t="s">
        <v>172</v>
      </c>
      <c r="CQ22" t="s">
        <v>172</v>
      </c>
      <c r="CR22" t="s">
        <v>172</v>
      </c>
      <c r="CS22" t="s">
        <v>172</v>
      </c>
      <c r="CT22" t="s">
        <v>949</v>
      </c>
      <c r="CU22" t="s">
        <v>950</v>
      </c>
      <c r="CV22" t="s">
        <v>951</v>
      </c>
      <c r="CW22" t="s">
        <v>952</v>
      </c>
      <c r="CX22" t="s">
        <v>953</v>
      </c>
      <c r="CY22" t="s">
        <v>954</v>
      </c>
      <c r="CZ22" t="s">
        <v>955</v>
      </c>
      <c r="DA22" t="s">
        <v>956</v>
      </c>
      <c r="DB22" t="s">
        <v>928</v>
      </c>
      <c r="DC22" t="s">
        <v>801</v>
      </c>
      <c r="DD22" t="s">
        <v>225</v>
      </c>
      <c r="DE22" t="s">
        <v>226</v>
      </c>
      <c r="DF22" t="s">
        <v>178</v>
      </c>
      <c r="DG22" t="s">
        <v>227</v>
      </c>
      <c r="DH22" t="s">
        <v>228</v>
      </c>
      <c r="DI22" t="s">
        <v>178</v>
      </c>
      <c r="DJ22" t="s">
        <v>229</v>
      </c>
      <c r="DK22" t="s">
        <v>230</v>
      </c>
      <c r="DL22" t="s">
        <v>231</v>
      </c>
      <c r="DM22" t="s">
        <v>172</v>
      </c>
      <c r="DN22" t="s">
        <v>927</v>
      </c>
      <c r="DO22" t="s">
        <v>232</v>
      </c>
      <c r="DP22" t="s">
        <v>233</v>
      </c>
      <c r="DQ22" t="s">
        <v>234</v>
      </c>
      <c r="DR22" t="s">
        <v>235</v>
      </c>
      <c r="DS22" t="s">
        <v>236</v>
      </c>
      <c r="DT22" t="s">
        <v>237</v>
      </c>
    </row>
    <row r="23" spans="1:124" x14ac:dyDescent="0.3">
      <c r="A23" t="s">
        <v>957</v>
      </c>
      <c r="B23" t="s">
        <v>958</v>
      </c>
      <c r="C23" t="s">
        <v>162</v>
      </c>
      <c r="D23" t="s">
        <v>163</v>
      </c>
      <c r="E23" t="s">
        <v>164</v>
      </c>
      <c r="F23" t="s">
        <v>138</v>
      </c>
      <c r="G23" t="s">
        <v>138</v>
      </c>
      <c r="H23" t="s">
        <v>1461</v>
      </c>
      <c r="I23" t="s">
        <v>959</v>
      </c>
      <c r="J23">
        <f t="shared" si="0"/>
        <v>0.38416648403665316</v>
      </c>
      <c r="K23">
        <f t="shared" si="1"/>
        <v>2.9074300800000006</v>
      </c>
      <c r="L23">
        <f t="shared" si="2"/>
        <v>0.33932991777286581</v>
      </c>
      <c r="M23">
        <f t="shared" si="3"/>
        <v>7.6485604343497968</v>
      </c>
      <c r="N23" t="s">
        <v>960</v>
      </c>
      <c r="O23" t="s">
        <v>961</v>
      </c>
      <c r="P23">
        <f t="shared" si="4"/>
        <v>4.4806027997972375</v>
      </c>
      <c r="Q23">
        <f t="shared" si="5"/>
        <v>2.2171947997972374</v>
      </c>
      <c r="R23" t="s">
        <v>962</v>
      </c>
      <c r="S23" t="s">
        <v>963</v>
      </c>
      <c r="T23">
        <f t="shared" si="6"/>
        <v>44.03973658145506</v>
      </c>
      <c r="U23">
        <f t="shared" si="7"/>
        <v>0.4417875</v>
      </c>
      <c r="V23" t="s">
        <v>170</v>
      </c>
      <c r="W23" t="s">
        <v>964</v>
      </c>
      <c r="X23" t="s">
        <v>172</v>
      </c>
      <c r="Y23" t="s">
        <v>172</v>
      </c>
      <c r="Z23" t="s">
        <v>172</v>
      </c>
      <c r="AA23" t="s">
        <v>965</v>
      </c>
      <c r="AB23" t="s">
        <v>966</v>
      </c>
      <c r="AC23" t="s">
        <v>967</v>
      </c>
      <c r="AD23" t="s">
        <v>176</v>
      </c>
      <c r="AE23" t="s">
        <v>177</v>
      </c>
      <c r="AF23">
        <f t="shared" si="8"/>
        <v>205.77662111999999</v>
      </c>
      <c r="AG23" t="s">
        <v>178</v>
      </c>
      <c r="AH23" t="s">
        <v>968</v>
      </c>
      <c r="AI23" t="s">
        <v>969</v>
      </c>
      <c r="AJ23" t="s">
        <v>970</v>
      </c>
      <c r="AK23" t="s">
        <v>971</v>
      </c>
      <c r="AL23">
        <f t="shared" si="9"/>
        <v>30.88</v>
      </c>
      <c r="AM23" t="s">
        <v>972</v>
      </c>
      <c r="AN23" t="s">
        <v>293</v>
      </c>
      <c r="AO23" t="s">
        <v>973</v>
      </c>
      <c r="AP23" t="s">
        <v>739</v>
      </c>
      <c r="AQ23" t="s">
        <v>974</v>
      </c>
      <c r="AR23" t="s">
        <v>975</v>
      </c>
      <c r="AS23" t="s">
        <v>976</v>
      </c>
      <c r="AT23" t="s">
        <v>977</v>
      </c>
      <c r="AU23" t="s">
        <v>978</v>
      </c>
      <c r="AV23" t="s">
        <v>979</v>
      </c>
      <c r="AW23" t="s">
        <v>980</v>
      </c>
      <c r="AX23" t="s">
        <v>981</v>
      </c>
      <c r="AY23" t="s">
        <v>982</v>
      </c>
      <c r="AZ23" t="s">
        <v>414</v>
      </c>
      <c r="BA23" t="s">
        <v>983</v>
      </c>
      <c r="BB23" t="s">
        <v>984</v>
      </c>
      <c r="BC23" t="s">
        <v>985</v>
      </c>
      <c r="BD23" t="s">
        <v>162</v>
      </c>
      <c r="BE23" t="s">
        <v>374</v>
      </c>
      <c r="BF23" t="s">
        <v>500</v>
      </c>
      <c r="BG23" t="s">
        <v>986</v>
      </c>
      <c r="BH23" t="s">
        <v>679</v>
      </c>
      <c r="BI23" t="s">
        <v>920</v>
      </c>
      <c r="BJ23" t="s">
        <v>944</v>
      </c>
      <c r="BK23" t="s">
        <v>162</v>
      </c>
      <c r="BL23" t="s">
        <v>945</v>
      </c>
      <c r="BM23" t="s">
        <v>160</v>
      </c>
      <c r="BN23" t="s">
        <v>264</v>
      </c>
      <c r="BO23" t="s">
        <v>265</v>
      </c>
      <c r="BP23" t="s">
        <v>302</v>
      </c>
      <c r="BQ23" t="s">
        <v>987</v>
      </c>
      <c r="BR23" t="s">
        <v>988</v>
      </c>
      <c r="BS23" t="s">
        <v>989</v>
      </c>
      <c r="BT23" t="s">
        <v>160</v>
      </c>
      <c r="BU23" t="s">
        <v>205</v>
      </c>
      <c r="BV23" t="s">
        <v>201</v>
      </c>
      <c r="BW23" t="s">
        <v>206</v>
      </c>
      <c r="BX23" t="s">
        <v>207</v>
      </c>
      <c r="BY23" t="s">
        <v>172</v>
      </c>
      <c r="BZ23" t="s">
        <v>208</v>
      </c>
      <c r="CA23" t="s">
        <v>172</v>
      </c>
      <c r="CB23" t="s">
        <v>172</v>
      </c>
      <c r="CC23" t="s">
        <v>209</v>
      </c>
      <c r="CD23" t="s">
        <v>210</v>
      </c>
      <c r="CE23" t="s">
        <v>197</v>
      </c>
      <c r="CF23" t="s">
        <v>211</v>
      </c>
      <c r="CG23" t="s">
        <v>212</v>
      </c>
      <c r="CH23" t="s">
        <v>213</v>
      </c>
      <c r="CI23" t="s">
        <v>178</v>
      </c>
      <c r="CJ23" t="s">
        <v>206</v>
      </c>
      <c r="CK23" t="s">
        <v>214</v>
      </c>
      <c r="CL23" t="s">
        <v>214</v>
      </c>
      <c r="CM23" t="s">
        <v>214</v>
      </c>
      <c r="CN23" t="s">
        <v>172</v>
      </c>
      <c r="CO23" t="s">
        <v>215</v>
      </c>
      <c r="CP23" t="s">
        <v>172</v>
      </c>
      <c r="CQ23" t="s">
        <v>172</v>
      </c>
      <c r="CR23" t="s">
        <v>172</v>
      </c>
      <c r="CS23" t="s">
        <v>172</v>
      </c>
      <c r="CT23" t="s">
        <v>990</v>
      </c>
      <c r="CU23" t="s">
        <v>991</v>
      </c>
      <c r="CV23" t="s">
        <v>992</v>
      </c>
      <c r="CW23" t="s">
        <v>993</v>
      </c>
      <c r="CX23" t="s">
        <v>994</v>
      </c>
      <c r="CY23" t="s">
        <v>995</v>
      </c>
      <c r="CZ23" t="s">
        <v>996</v>
      </c>
      <c r="DA23" t="s">
        <v>997</v>
      </c>
      <c r="DB23" t="s">
        <v>965</v>
      </c>
      <c r="DC23" t="s">
        <v>998</v>
      </c>
      <c r="DD23" t="s">
        <v>225</v>
      </c>
      <c r="DE23" t="s">
        <v>226</v>
      </c>
      <c r="DF23" t="s">
        <v>178</v>
      </c>
      <c r="DG23" t="s">
        <v>227</v>
      </c>
      <c r="DH23" t="s">
        <v>228</v>
      </c>
      <c r="DI23" t="s">
        <v>178</v>
      </c>
      <c r="DJ23" t="s">
        <v>229</v>
      </c>
      <c r="DK23" t="s">
        <v>230</v>
      </c>
      <c r="DL23" t="s">
        <v>231</v>
      </c>
      <c r="DM23" t="s">
        <v>172</v>
      </c>
      <c r="DN23" t="s">
        <v>964</v>
      </c>
      <c r="DO23" t="s">
        <v>232</v>
      </c>
      <c r="DP23" t="s">
        <v>233</v>
      </c>
      <c r="DQ23" t="s">
        <v>234</v>
      </c>
      <c r="DR23" t="s">
        <v>235</v>
      </c>
      <c r="DS23" t="s">
        <v>236</v>
      </c>
      <c r="DT23" t="s">
        <v>237</v>
      </c>
    </row>
    <row r="24" spans="1:124" x14ac:dyDescent="0.3">
      <c r="A24" t="s">
        <v>999</v>
      </c>
      <c r="B24" t="s">
        <v>1000</v>
      </c>
      <c r="C24" t="s">
        <v>162</v>
      </c>
      <c r="D24" t="s">
        <v>163</v>
      </c>
      <c r="E24" t="s">
        <v>164</v>
      </c>
      <c r="F24" t="s">
        <v>138</v>
      </c>
      <c r="G24" t="s">
        <v>138</v>
      </c>
      <c r="H24" t="s">
        <v>1478</v>
      </c>
      <c r="I24" t="s">
        <v>1001</v>
      </c>
      <c r="J24">
        <f t="shared" si="0"/>
        <v>0.32164033564242145</v>
      </c>
      <c r="K24">
        <f t="shared" si="1"/>
        <v>2.9050319999999994</v>
      </c>
      <c r="L24">
        <f t="shared" si="2"/>
        <v>0.28957866505708996</v>
      </c>
      <c r="M24">
        <f t="shared" si="3"/>
        <v>6.5323527318759949</v>
      </c>
      <c r="N24" t="s">
        <v>1002</v>
      </c>
      <c r="O24" t="s">
        <v>1003</v>
      </c>
      <c r="P24">
        <f t="shared" si="4"/>
        <v>4.5036672221641663</v>
      </c>
      <c r="Q24">
        <f t="shared" si="5"/>
        <v>2.2184752221641664</v>
      </c>
      <c r="R24" t="s">
        <v>1004</v>
      </c>
      <c r="S24" t="s">
        <v>1005</v>
      </c>
      <c r="T24">
        <f t="shared" si="6"/>
        <v>44.266436231218464</v>
      </c>
      <c r="U24">
        <f t="shared" si="7"/>
        <v>0.4417875</v>
      </c>
      <c r="V24" t="s">
        <v>170</v>
      </c>
      <c r="W24" t="s">
        <v>1006</v>
      </c>
      <c r="X24" t="s">
        <v>172</v>
      </c>
      <c r="Y24" t="s">
        <v>172</v>
      </c>
      <c r="Z24" t="s">
        <v>172</v>
      </c>
      <c r="AA24" t="s">
        <v>1007</v>
      </c>
      <c r="AB24" t="s">
        <v>1008</v>
      </c>
      <c r="AC24" t="s">
        <v>1009</v>
      </c>
      <c r="AD24" t="s">
        <v>176</v>
      </c>
      <c r="AE24" t="s">
        <v>177</v>
      </c>
      <c r="AF24">
        <f t="shared" si="8"/>
        <v>257.34499937999999</v>
      </c>
      <c r="AG24" t="s">
        <v>178</v>
      </c>
      <c r="AH24" t="s">
        <v>1010</v>
      </c>
      <c r="AI24" t="s">
        <v>1011</v>
      </c>
      <c r="AJ24" t="s">
        <v>1012</v>
      </c>
      <c r="AK24" t="s">
        <v>1013</v>
      </c>
      <c r="AL24">
        <f t="shared" si="9"/>
        <v>30.97</v>
      </c>
      <c r="AM24" t="s">
        <v>972</v>
      </c>
      <c r="AN24" t="s">
        <v>184</v>
      </c>
      <c r="AO24" t="s">
        <v>1014</v>
      </c>
      <c r="AP24" t="s">
        <v>1015</v>
      </c>
      <c r="AQ24" t="s">
        <v>1016</v>
      </c>
      <c r="AR24" t="s">
        <v>1017</v>
      </c>
      <c r="AS24" t="s">
        <v>1018</v>
      </c>
      <c r="AT24" t="s">
        <v>434</v>
      </c>
      <c r="AU24" t="s">
        <v>1019</v>
      </c>
      <c r="AV24" t="s">
        <v>1020</v>
      </c>
      <c r="AW24" t="s">
        <v>1021</v>
      </c>
      <c r="AX24" t="s">
        <v>1022</v>
      </c>
      <c r="AY24" t="s">
        <v>1023</v>
      </c>
      <c r="AZ24" t="s">
        <v>414</v>
      </c>
      <c r="BA24" t="s">
        <v>1024</v>
      </c>
      <c r="BB24" t="s">
        <v>1025</v>
      </c>
      <c r="BC24" t="s">
        <v>1026</v>
      </c>
      <c r="BD24" t="s">
        <v>162</v>
      </c>
      <c r="BE24" t="s">
        <v>1027</v>
      </c>
      <c r="BF24" t="s">
        <v>1028</v>
      </c>
      <c r="BG24" t="s">
        <v>1029</v>
      </c>
      <c r="BH24" t="s">
        <v>679</v>
      </c>
      <c r="BI24" t="s">
        <v>920</v>
      </c>
      <c r="BJ24" t="s">
        <v>944</v>
      </c>
      <c r="BK24" t="s">
        <v>162</v>
      </c>
      <c r="BL24" t="s">
        <v>945</v>
      </c>
      <c r="BM24" t="s">
        <v>160</v>
      </c>
      <c r="BN24" t="s">
        <v>200</v>
      </c>
      <c r="BO24" t="s">
        <v>201</v>
      </c>
      <c r="BP24" t="s">
        <v>200</v>
      </c>
      <c r="BQ24" t="s">
        <v>1030</v>
      </c>
      <c r="BR24" t="s">
        <v>1031</v>
      </c>
      <c r="BS24" t="s">
        <v>1032</v>
      </c>
      <c r="BT24" t="s">
        <v>160</v>
      </c>
      <c r="BU24" t="s">
        <v>205</v>
      </c>
      <c r="BV24" t="s">
        <v>201</v>
      </c>
      <c r="BW24" t="s">
        <v>206</v>
      </c>
      <c r="BX24" t="s">
        <v>207</v>
      </c>
      <c r="BY24" t="s">
        <v>172</v>
      </c>
      <c r="BZ24" t="s">
        <v>208</v>
      </c>
      <c r="CA24" t="s">
        <v>172</v>
      </c>
      <c r="CB24" t="s">
        <v>172</v>
      </c>
      <c r="CC24" t="s">
        <v>209</v>
      </c>
      <c r="CD24" t="s">
        <v>210</v>
      </c>
      <c r="CE24" t="s">
        <v>197</v>
      </c>
      <c r="CF24" t="s">
        <v>211</v>
      </c>
      <c r="CG24" t="s">
        <v>212</v>
      </c>
      <c r="CH24" t="s">
        <v>213</v>
      </c>
      <c r="CI24" t="s">
        <v>178</v>
      </c>
      <c r="CJ24" t="s">
        <v>206</v>
      </c>
      <c r="CK24" t="s">
        <v>214</v>
      </c>
      <c r="CL24" t="s">
        <v>214</v>
      </c>
      <c r="CM24" t="s">
        <v>214</v>
      </c>
      <c r="CN24" t="s">
        <v>172</v>
      </c>
      <c r="CO24" t="s">
        <v>215</v>
      </c>
      <c r="CP24" t="s">
        <v>172</v>
      </c>
      <c r="CQ24" t="s">
        <v>172</v>
      </c>
      <c r="CR24" t="s">
        <v>172</v>
      </c>
      <c r="CS24" t="s">
        <v>172</v>
      </c>
      <c r="CT24" t="s">
        <v>1033</v>
      </c>
      <c r="CU24" t="s">
        <v>1034</v>
      </c>
      <c r="CV24" t="s">
        <v>1035</v>
      </c>
      <c r="CW24" t="s">
        <v>1036</v>
      </c>
      <c r="CX24" t="s">
        <v>1037</v>
      </c>
      <c r="CY24" t="s">
        <v>1038</v>
      </c>
      <c r="CZ24" t="s">
        <v>1039</v>
      </c>
      <c r="DA24" t="s">
        <v>1040</v>
      </c>
      <c r="DB24" t="s">
        <v>1007</v>
      </c>
      <c r="DC24" t="s">
        <v>433</v>
      </c>
      <c r="DD24" t="s">
        <v>225</v>
      </c>
      <c r="DE24" t="s">
        <v>226</v>
      </c>
      <c r="DF24" t="s">
        <v>178</v>
      </c>
      <c r="DG24" t="s">
        <v>227</v>
      </c>
      <c r="DH24" t="s">
        <v>228</v>
      </c>
      <c r="DI24" t="s">
        <v>178</v>
      </c>
      <c r="DJ24" t="s">
        <v>229</v>
      </c>
      <c r="DK24" t="s">
        <v>230</v>
      </c>
      <c r="DL24" t="s">
        <v>231</v>
      </c>
      <c r="DM24" t="s">
        <v>172</v>
      </c>
      <c r="DN24" t="s">
        <v>1006</v>
      </c>
      <c r="DO24" t="s">
        <v>232</v>
      </c>
      <c r="DP24" t="s">
        <v>233</v>
      </c>
      <c r="DQ24" t="s">
        <v>234</v>
      </c>
      <c r="DR24" t="s">
        <v>235</v>
      </c>
      <c r="DS24" t="s">
        <v>236</v>
      </c>
      <c r="DT24" t="s">
        <v>237</v>
      </c>
    </row>
    <row r="25" spans="1:124" x14ac:dyDescent="0.3">
      <c r="A25" t="s">
        <v>1041</v>
      </c>
      <c r="B25" t="s">
        <v>1042</v>
      </c>
      <c r="C25" t="s">
        <v>162</v>
      </c>
      <c r="D25" t="s">
        <v>163</v>
      </c>
      <c r="E25" t="s">
        <v>164</v>
      </c>
      <c r="F25" t="s">
        <v>138</v>
      </c>
      <c r="G25" t="s">
        <v>138</v>
      </c>
      <c r="H25" t="s">
        <v>1484</v>
      </c>
      <c r="I25" t="s">
        <v>1043</v>
      </c>
      <c r="J25">
        <f t="shared" si="0"/>
        <v>0.32958220721602249</v>
      </c>
      <c r="K25">
        <f t="shared" si="1"/>
        <v>2.9034264800000003</v>
      </c>
      <c r="L25">
        <f t="shared" si="2"/>
        <v>0.29598364877635347</v>
      </c>
      <c r="M25">
        <f t="shared" si="3"/>
        <v>7.442190320791287</v>
      </c>
      <c r="N25" t="s">
        <v>1044</v>
      </c>
      <c r="O25" t="s">
        <v>1045</v>
      </c>
      <c r="P25">
        <f t="shared" si="4"/>
        <v>4.7831973964887</v>
      </c>
      <c r="Q25">
        <f t="shared" si="5"/>
        <v>2.4689933964886999</v>
      </c>
      <c r="R25" t="s">
        <v>1046</v>
      </c>
      <c r="S25" t="s">
        <v>1047</v>
      </c>
      <c r="T25">
        <f t="shared" si="6"/>
        <v>47.013931555815802</v>
      </c>
      <c r="U25">
        <f t="shared" si="7"/>
        <v>0.4417875</v>
      </c>
      <c r="V25" t="s">
        <v>170</v>
      </c>
      <c r="W25" t="s">
        <v>1048</v>
      </c>
      <c r="X25" t="s">
        <v>172</v>
      </c>
      <c r="Y25" t="s">
        <v>172</v>
      </c>
      <c r="Z25" t="s">
        <v>172</v>
      </c>
      <c r="AA25" t="s">
        <v>1049</v>
      </c>
      <c r="AB25" t="s">
        <v>1050</v>
      </c>
      <c r="AC25" t="s">
        <v>1051</v>
      </c>
      <c r="AD25" t="s">
        <v>176</v>
      </c>
      <c r="AE25" t="s">
        <v>177</v>
      </c>
      <c r="AF25">
        <f t="shared" si="8"/>
        <v>246.61427700000002</v>
      </c>
      <c r="AG25" t="s">
        <v>178</v>
      </c>
      <c r="AH25" t="s">
        <v>652</v>
      </c>
      <c r="AI25" t="s">
        <v>1052</v>
      </c>
      <c r="AJ25" t="s">
        <v>1053</v>
      </c>
      <c r="AK25" t="s">
        <v>1054</v>
      </c>
      <c r="AL25">
        <f t="shared" si="9"/>
        <v>32.03</v>
      </c>
      <c r="AM25" t="s">
        <v>972</v>
      </c>
      <c r="AN25" t="s">
        <v>694</v>
      </c>
      <c r="AO25" t="s">
        <v>1055</v>
      </c>
      <c r="AP25" t="s">
        <v>450</v>
      </c>
      <c r="AQ25" t="s">
        <v>1056</v>
      </c>
      <c r="AR25" t="s">
        <v>1017</v>
      </c>
      <c r="AS25" t="s">
        <v>616</v>
      </c>
      <c r="AT25" t="s">
        <v>1057</v>
      </c>
      <c r="AU25" t="s">
        <v>1058</v>
      </c>
      <c r="AV25" t="s">
        <v>1059</v>
      </c>
      <c r="AW25" t="s">
        <v>1060</v>
      </c>
      <c r="AX25" t="s">
        <v>1061</v>
      </c>
      <c r="AY25" t="s">
        <v>1062</v>
      </c>
      <c r="AZ25" t="s">
        <v>414</v>
      </c>
      <c r="BA25" t="s">
        <v>1024</v>
      </c>
      <c r="BB25" t="s">
        <v>1025</v>
      </c>
      <c r="BC25" t="s">
        <v>1063</v>
      </c>
      <c r="BD25" t="s">
        <v>162</v>
      </c>
      <c r="BE25" t="s">
        <v>825</v>
      </c>
      <c r="BF25" t="s">
        <v>1028</v>
      </c>
      <c r="BG25" t="s">
        <v>1064</v>
      </c>
      <c r="BH25" t="s">
        <v>679</v>
      </c>
      <c r="BI25" t="s">
        <v>920</v>
      </c>
      <c r="BJ25" t="s">
        <v>944</v>
      </c>
      <c r="BK25" t="s">
        <v>162</v>
      </c>
      <c r="BL25" t="s">
        <v>945</v>
      </c>
      <c r="BM25" t="s">
        <v>160</v>
      </c>
      <c r="BN25" t="s">
        <v>265</v>
      </c>
      <c r="BO25" t="s">
        <v>378</v>
      </c>
      <c r="BP25" t="s">
        <v>200</v>
      </c>
      <c r="BQ25" t="s">
        <v>1065</v>
      </c>
      <c r="BR25" t="s">
        <v>203</v>
      </c>
      <c r="BS25" t="s">
        <v>1066</v>
      </c>
      <c r="BT25" t="s">
        <v>160</v>
      </c>
      <c r="BU25" t="s">
        <v>205</v>
      </c>
      <c r="BV25" t="s">
        <v>201</v>
      </c>
      <c r="BW25" t="s">
        <v>206</v>
      </c>
      <c r="BX25" t="s">
        <v>207</v>
      </c>
      <c r="BY25" t="s">
        <v>172</v>
      </c>
      <c r="BZ25" t="s">
        <v>208</v>
      </c>
      <c r="CA25" t="s">
        <v>172</v>
      </c>
      <c r="CB25" t="s">
        <v>172</v>
      </c>
      <c r="CC25" t="s">
        <v>209</v>
      </c>
      <c r="CD25" t="s">
        <v>210</v>
      </c>
      <c r="CE25" t="s">
        <v>197</v>
      </c>
      <c r="CF25" t="s">
        <v>211</v>
      </c>
      <c r="CG25" t="s">
        <v>212</v>
      </c>
      <c r="CH25" t="s">
        <v>213</v>
      </c>
      <c r="CI25" t="s">
        <v>178</v>
      </c>
      <c r="CJ25" t="s">
        <v>206</v>
      </c>
      <c r="CK25" t="s">
        <v>214</v>
      </c>
      <c r="CL25" t="s">
        <v>214</v>
      </c>
      <c r="CM25" t="s">
        <v>214</v>
      </c>
      <c r="CN25" t="s">
        <v>172</v>
      </c>
      <c r="CO25" t="s">
        <v>215</v>
      </c>
      <c r="CP25" t="s">
        <v>172</v>
      </c>
      <c r="CQ25" t="s">
        <v>172</v>
      </c>
      <c r="CR25" t="s">
        <v>172</v>
      </c>
      <c r="CS25" t="s">
        <v>172</v>
      </c>
      <c r="CT25" t="s">
        <v>1067</v>
      </c>
      <c r="CU25" t="s">
        <v>1068</v>
      </c>
      <c r="CV25" t="s">
        <v>1069</v>
      </c>
      <c r="CW25" t="s">
        <v>1070</v>
      </c>
      <c r="CX25" t="s">
        <v>1071</v>
      </c>
      <c r="CY25" t="s">
        <v>1072</v>
      </c>
      <c r="CZ25" t="s">
        <v>1073</v>
      </c>
      <c r="DA25" t="s">
        <v>1074</v>
      </c>
      <c r="DB25" t="s">
        <v>1049</v>
      </c>
      <c r="DC25" t="s">
        <v>801</v>
      </c>
      <c r="DD25" t="s">
        <v>225</v>
      </c>
      <c r="DE25" t="s">
        <v>226</v>
      </c>
      <c r="DF25" t="s">
        <v>178</v>
      </c>
      <c r="DG25" t="s">
        <v>227</v>
      </c>
      <c r="DH25" t="s">
        <v>228</v>
      </c>
      <c r="DI25" t="s">
        <v>178</v>
      </c>
      <c r="DJ25" t="s">
        <v>229</v>
      </c>
      <c r="DK25" t="s">
        <v>230</v>
      </c>
      <c r="DL25" t="s">
        <v>231</v>
      </c>
      <c r="DM25" t="s">
        <v>172</v>
      </c>
      <c r="DN25" t="s">
        <v>1048</v>
      </c>
      <c r="DO25" t="s">
        <v>232</v>
      </c>
      <c r="DP25" t="s">
        <v>233</v>
      </c>
      <c r="DQ25" t="s">
        <v>234</v>
      </c>
      <c r="DR25" t="s">
        <v>235</v>
      </c>
      <c r="DS25" t="s">
        <v>236</v>
      </c>
      <c r="DT25" t="s">
        <v>237</v>
      </c>
    </row>
    <row r="26" spans="1:124" x14ac:dyDescent="0.3">
      <c r="A26" t="s">
        <v>1075</v>
      </c>
      <c r="B26" t="s">
        <v>1076</v>
      </c>
      <c r="C26" t="s">
        <v>162</v>
      </c>
      <c r="D26" t="s">
        <v>163</v>
      </c>
      <c r="E26" t="s">
        <v>164</v>
      </c>
      <c r="F26" t="s">
        <v>138</v>
      </c>
      <c r="G26" t="s">
        <v>138</v>
      </c>
      <c r="H26" t="s">
        <v>1479</v>
      </c>
      <c r="I26" t="s">
        <v>1077</v>
      </c>
      <c r="J26">
        <f t="shared" si="0"/>
        <v>0.32510792887794077</v>
      </c>
      <c r="K26">
        <f t="shared" si="1"/>
        <v>2.9066320800000001</v>
      </c>
      <c r="L26">
        <f t="shared" si="2"/>
        <v>0.29240258589584811</v>
      </c>
      <c r="M26">
        <f t="shared" si="3"/>
        <v>7.55965581642569</v>
      </c>
      <c r="N26" t="s">
        <v>1078</v>
      </c>
      <c r="O26" t="s">
        <v>1079</v>
      </c>
      <c r="P26">
        <f t="shared" si="4"/>
        <v>4.8622552757982724</v>
      </c>
      <c r="Q26">
        <f t="shared" si="5"/>
        <v>2.5374552757982722</v>
      </c>
      <c r="R26" t="s">
        <v>1080</v>
      </c>
      <c r="S26" t="s">
        <v>1081</v>
      </c>
      <c r="T26">
        <f t="shared" si="6"/>
        <v>47.79098953998696</v>
      </c>
      <c r="U26">
        <f t="shared" si="7"/>
        <v>0.4417875</v>
      </c>
      <c r="V26" t="s">
        <v>170</v>
      </c>
      <c r="W26" t="s">
        <v>1082</v>
      </c>
      <c r="X26" t="s">
        <v>172</v>
      </c>
      <c r="Y26" t="s">
        <v>172</v>
      </c>
      <c r="Z26" t="s">
        <v>172</v>
      </c>
      <c r="AA26" t="s">
        <v>1083</v>
      </c>
      <c r="AB26" t="s">
        <v>1084</v>
      </c>
      <c r="AC26" t="s">
        <v>1085</v>
      </c>
      <c r="AD26" t="s">
        <v>176</v>
      </c>
      <c r="AE26" t="s">
        <v>177</v>
      </c>
      <c r="AF26">
        <f t="shared" si="8"/>
        <v>147.466914</v>
      </c>
      <c r="AG26" t="s">
        <v>178</v>
      </c>
      <c r="AH26" t="s">
        <v>179</v>
      </c>
      <c r="AI26" t="s">
        <v>1086</v>
      </c>
      <c r="AJ26" t="s">
        <v>1087</v>
      </c>
      <c r="AK26" t="s">
        <v>1088</v>
      </c>
      <c r="AL26">
        <f t="shared" si="9"/>
        <v>32.32</v>
      </c>
      <c r="AM26" t="s">
        <v>972</v>
      </c>
      <c r="AN26" t="s">
        <v>1089</v>
      </c>
      <c r="AO26" t="s">
        <v>1090</v>
      </c>
      <c r="AP26" t="s">
        <v>893</v>
      </c>
      <c r="AQ26" t="s">
        <v>1091</v>
      </c>
      <c r="AR26" t="s">
        <v>1017</v>
      </c>
      <c r="AS26" t="s">
        <v>1092</v>
      </c>
      <c r="AT26" t="s">
        <v>957</v>
      </c>
      <c r="AU26" t="s">
        <v>1093</v>
      </c>
      <c r="AV26" t="s">
        <v>1094</v>
      </c>
      <c r="AW26" t="s">
        <v>1095</v>
      </c>
      <c r="AX26" t="s">
        <v>690</v>
      </c>
      <c r="AY26" t="s">
        <v>1096</v>
      </c>
      <c r="AZ26" t="s">
        <v>414</v>
      </c>
      <c r="BA26" t="s">
        <v>1097</v>
      </c>
      <c r="BB26" t="s">
        <v>1098</v>
      </c>
      <c r="BC26" t="s">
        <v>1099</v>
      </c>
      <c r="BD26" t="s">
        <v>162</v>
      </c>
      <c r="BE26" t="s">
        <v>460</v>
      </c>
      <c r="BF26" t="s">
        <v>665</v>
      </c>
      <c r="BG26" t="s">
        <v>1029</v>
      </c>
      <c r="BH26" t="s">
        <v>723</v>
      </c>
      <c r="BI26" t="s">
        <v>1100</v>
      </c>
      <c r="BJ26" t="s">
        <v>944</v>
      </c>
      <c r="BK26" t="s">
        <v>162</v>
      </c>
      <c r="BL26" t="s">
        <v>945</v>
      </c>
      <c r="BM26" t="s">
        <v>160</v>
      </c>
      <c r="BN26" t="s">
        <v>264</v>
      </c>
      <c r="BO26" t="s">
        <v>265</v>
      </c>
      <c r="BP26" t="s">
        <v>339</v>
      </c>
      <c r="BQ26" t="s">
        <v>1101</v>
      </c>
      <c r="BR26" t="s">
        <v>1102</v>
      </c>
      <c r="BS26" t="s">
        <v>1103</v>
      </c>
      <c r="BT26" t="s">
        <v>160</v>
      </c>
      <c r="BU26" t="s">
        <v>205</v>
      </c>
      <c r="BV26" t="s">
        <v>201</v>
      </c>
      <c r="BW26" t="s">
        <v>206</v>
      </c>
      <c r="BX26" t="s">
        <v>207</v>
      </c>
      <c r="BY26" t="s">
        <v>172</v>
      </c>
      <c r="BZ26" t="s">
        <v>208</v>
      </c>
      <c r="CA26" t="s">
        <v>172</v>
      </c>
      <c r="CB26" t="s">
        <v>172</v>
      </c>
      <c r="CC26" t="s">
        <v>209</v>
      </c>
      <c r="CD26" t="s">
        <v>210</v>
      </c>
      <c r="CE26" t="s">
        <v>197</v>
      </c>
      <c r="CF26" t="s">
        <v>211</v>
      </c>
      <c r="CG26" t="s">
        <v>212</v>
      </c>
      <c r="CH26" t="s">
        <v>213</v>
      </c>
      <c r="CI26" t="s">
        <v>178</v>
      </c>
      <c r="CJ26" t="s">
        <v>206</v>
      </c>
      <c r="CK26" t="s">
        <v>214</v>
      </c>
      <c r="CL26" t="s">
        <v>214</v>
      </c>
      <c r="CM26" t="s">
        <v>214</v>
      </c>
      <c r="CN26" t="s">
        <v>172</v>
      </c>
      <c r="CO26" t="s">
        <v>215</v>
      </c>
      <c r="CP26" t="s">
        <v>172</v>
      </c>
      <c r="CQ26" t="s">
        <v>172</v>
      </c>
      <c r="CR26" t="s">
        <v>172</v>
      </c>
      <c r="CS26" t="s">
        <v>172</v>
      </c>
      <c r="CT26" t="s">
        <v>1104</v>
      </c>
      <c r="CU26" t="s">
        <v>1105</v>
      </c>
      <c r="CV26" t="s">
        <v>1106</v>
      </c>
      <c r="CW26" t="s">
        <v>1107</v>
      </c>
      <c r="CX26" t="s">
        <v>1108</v>
      </c>
      <c r="CY26" t="s">
        <v>1109</v>
      </c>
      <c r="CZ26" t="s">
        <v>1110</v>
      </c>
      <c r="DA26" t="s">
        <v>1111</v>
      </c>
      <c r="DB26" t="s">
        <v>1083</v>
      </c>
      <c r="DC26" t="s">
        <v>1112</v>
      </c>
      <c r="DD26" t="s">
        <v>225</v>
      </c>
      <c r="DE26" t="s">
        <v>226</v>
      </c>
      <c r="DF26" t="s">
        <v>178</v>
      </c>
      <c r="DG26" t="s">
        <v>227</v>
      </c>
      <c r="DH26" t="s">
        <v>228</v>
      </c>
      <c r="DI26" t="s">
        <v>178</v>
      </c>
      <c r="DJ26" t="s">
        <v>229</v>
      </c>
      <c r="DK26" t="s">
        <v>230</v>
      </c>
      <c r="DL26" t="s">
        <v>231</v>
      </c>
      <c r="DM26" t="s">
        <v>172</v>
      </c>
      <c r="DN26" t="s">
        <v>1082</v>
      </c>
      <c r="DO26" t="s">
        <v>232</v>
      </c>
      <c r="DP26" t="s">
        <v>233</v>
      </c>
      <c r="DQ26" t="s">
        <v>234</v>
      </c>
      <c r="DR26" t="s">
        <v>235</v>
      </c>
      <c r="DS26" t="s">
        <v>236</v>
      </c>
      <c r="DT26" t="s">
        <v>237</v>
      </c>
    </row>
    <row r="27" spans="1:124" x14ac:dyDescent="0.3">
      <c r="A27" t="s">
        <v>1113</v>
      </c>
      <c r="B27" t="s">
        <v>1114</v>
      </c>
      <c r="C27" t="s">
        <v>162</v>
      </c>
      <c r="D27" t="s">
        <v>163</v>
      </c>
      <c r="E27" t="s">
        <v>164</v>
      </c>
      <c r="F27" t="s">
        <v>138</v>
      </c>
      <c r="G27" t="s">
        <v>138</v>
      </c>
      <c r="H27" t="s">
        <v>1462</v>
      </c>
      <c r="I27" t="s">
        <v>1115</v>
      </c>
      <c r="J27">
        <f t="shared" si="0"/>
        <v>0.33046324583796416</v>
      </c>
      <c r="K27">
        <f t="shared" si="1"/>
        <v>2.9042299199999997</v>
      </c>
      <c r="L27">
        <f t="shared" si="2"/>
        <v>0.29670240632369377</v>
      </c>
      <c r="M27">
        <f t="shared" si="3"/>
        <v>7.7220220679280525</v>
      </c>
      <c r="N27" t="s">
        <v>1116</v>
      </c>
      <c r="O27" t="s">
        <v>1117</v>
      </c>
      <c r="P27">
        <f t="shared" si="4"/>
        <v>4.813052132030621</v>
      </c>
      <c r="Q27">
        <f t="shared" si="5"/>
        <v>2.555554132030621</v>
      </c>
      <c r="R27" t="s">
        <v>1118</v>
      </c>
      <c r="S27" t="s">
        <v>1119</v>
      </c>
      <c r="T27">
        <f t="shared" si="6"/>
        <v>47.312023316923437</v>
      </c>
      <c r="U27">
        <f t="shared" si="7"/>
        <v>0.4417875</v>
      </c>
      <c r="V27" t="s">
        <v>170</v>
      </c>
      <c r="W27" t="s">
        <v>1120</v>
      </c>
      <c r="X27" t="s">
        <v>172</v>
      </c>
      <c r="Y27" t="s">
        <v>172</v>
      </c>
      <c r="Z27" t="s">
        <v>172</v>
      </c>
      <c r="AA27" t="s">
        <v>1121</v>
      </c>
      <c r="AB27" t="s">
        <v>1122</v>
      </c>
      <c r="AC27" t="s">
        <v>1123</v>
      </c>
      <c r="AD27" t="s">
        <v>176</v>
      </c>
      <c r="AE27" t="s">
        <v>177</v>
      </c>
      <c r="AF27">
        <f t="shared" si="8"/>
        <v>291.273864</v>
      </c>
      <c r="AG27" t="s">
        <v>178</v>
      </c>
      <c r="AH27" t="s">
        <v>1124</v>
      </c>
      <c r="AI27" t="s">
        <v>1125</v>
      </c>
      <c r="AJ27" t="s">
        <v>1126</v>
      </c>
      <c r="AK27" t="s">
        <v>1127</v>
      </c>
      <c r="AL27">
        <f t="shared" si="9"/>
        <v>32.14</v>
      </c>
      <c r="AM27" t="s">
        <v>854</v>
      </c>
      <c r="AN27" t="s">
        <v>254</v>
      </c>
      <c r="AO27" t="s">
        <v>1128</v>
      </c>
      <c r="AP27" t="s">
        <v>572</v>
      </c>
      <c r="AQ27" t="s">
        <v>1129</v>
      </c>
      <c r="AR27" t="s">
        <v>1130</v>
      </c>
      <c r="AS27" t="s">
        <v>1131</v>
      </c>
      <c r="AT27" t="s">
        <v>391</v>
      </c>
      <c r="AU27" t="s">
        <v>1132</v>
      </c>
      <c r="AV27" t="s">
        <v>1133</v>
      </c>
      <c r="AW27" t="s">
        <v>1134</v>
      </c>
      <c r="AX27" t="s">
        <v>1135</v>
      </c>
      <c r="AY27" t="s">
        <v>1136</v>
      </c>
      <c r="AZ27" t="s">
        <v>414</v>
      </c>
      <c r="BA27" t="s">
        <v>1097</v>
      </c>
      <c r="BB27" t="s">
        <v>1098</v>
      </c>
      <c r="BC27" t="s">
        <v>1137</v>
      </c>
      <c r="BD27" t="s">
        <v>162</v>
      </c>
      <c r="BE27" t="s">
        <v>1138</v>
      </c>
      <c r="BF27" t="s">
        <v>625</v>
      </c>
      <c r="BG27" t="s">
        <v>1139</v>
      </c>
      <c r="BH27" t="s">
        <v>534</v>
      </c>
      <c r="BI27" t="s">
        <v>1140</v>
      </c>
      <c r="BJ27" t="s">
        <v>944</v>
      </c>
      <c r="BK27" t="s">
        <v>162</v>
      </c>
      <c r="BL27" t="s">
        <v>945</v>
      </c>
      <c r="BM27" t="s">
        <v>160</v>
      </c>
      <c r="BN27" t="s">
        <v>201</v>
      </c>
      <c r="BO27" t="s">
        <v>264</v>
      </c>
      <c r="BP27" t="s">
        <v>200</v>
      </c>
      <c r="BQ27" t="s">
        <v>1141</v>
      </c>
      <c r="BR27" t="s">
        <v>1142</v>
      </c>
      <c r="BS27" t="s">
        <v>1143</v>
      </c>
      <c r="BT27" t="s">
        <v>160</v>
      </c>
      <c r="BU27" t="s">
        <v>205</v>
      </c>
      <c r="BV27" t="s">
        <v>201</v>
      </c>
      <c r="BW27" t="s">
        <v>206</v>
      </c>
      <c r="BX27" t="s">
        <v>207</v>
      </c>
      <c r="BY27" t="s">
        <v>172</v>
      </c>
      <c r="BZ27" t="s">
        <v>208</v>
      </c>
      <c r="CA27" t="s">
        <v>172</v>
      </c>
      <c r="CB27" t="s">
        <v>172</v>
      </c>
      <c r="CC27" t="s">
        <v>209</v>
      </c>
      <c r="CD27" t="s">
        <v>210</v>
      </c>
      <c r="CE27" t="s">
        <v>197</v>
      </c>
      <c r="CF27" t="s">
        <v>211</v>
      </c>
      <c r="CG27" t="s">
        <v>212</v>
      </c>
      <c r="CH27" t="s">
        <v>213</v>
      </c>
      <c r="CI27" t="s">
        <v>178</v>
      </c>
      <c r="CJ27" t="s">
        <v>206</v>
      </c>
      <c r="CK27" t="s">
        <v>214</v>
      </c>
      <c r="CL27" t="s">
        <v>214</v>
      </c>
      <c r="CM27" t="s">
        <v>214</v>
      </c>
      <c r="CN27" t="s">
        <v>172</v>
      </c>
      <c r="CO27" t="s">
        <v>215</v>
      </c>
      <c r="CP27" t="s">
        <v>172</v>
      </c>
      <c r="CQ27" t="s">
        <v>172</v>
      </c>
      <c r="CR27" t="s">
        <v>172</v>
      </c>
      <c r="CS27" t="s">
        <v>172</v>
      </c>
      <c r="CT27" t="s">
        <v>1144</v>
      </c>
      <c r="CU27" t="s">
        <v>1145</v>
      </c>
      <c r="CV27" t="s">
        <v>1146</v>
      </c>
      <c r="CW27" t="s">
        <v>1147</v>
      </c>
      <c r="CX27" t="s">
        <v>1148</v>
      </c>
      <c r="CY27" t="s">
        <v>1149</v>
      </c>
      <c r="CZ27" t="s">
        <v>1150</v>
      </c>
      <c r="DA27" t="s">
        <v>1151</v>
      </c>
      <c r="DB27" t="s">
        <v>1121</v>
      </c>
      <c r="DC27" t="s">
        <v>277</v>
      </c>
      <c r="DD27" t="s">
        <v>225</v>
      </c>
      <c r="DE27" t="s">
        <v>226</v>
      </c>
      <c r="DF27" t="s">
        <v>178</v>
      </c>
      <c r="DG27" t="s">
        <v>227</v>
      </c>
      <c r="DH27" t="s">
        <v>228</v>
      </c>
      <c r="DI27" t="s">
        <v>178</v>
      </c>
      <c r="DJ27" t="s">
        <v>229</v>
      </c>
      <c r="DK27" t="s">
        <v>230</v>
      </c>
      <c r="DL27" t="s">
        <v>231</v>
      </c>
      <c r="DM27" t="s">
        <v>172</v>
      </c>
      <c r="DN27" t="s">
        <v>1120</v>
      </c>
      <c r="DO27" t="s">
        <v>232</v>
      </c>
      <c r="DP27" t="s">
        <v>233</v>
      </c>
      <c r="DQ27" t="s">
        <v>234</v>
      </c>
      <c r="DR27" t="s">
        <v>235</v>
      </c>
      <c r="DS27" t="s">
        <v>236</v>
      </c>
      <c r="DT27" t="s">
        <v>237</v>
      </c>
    </row>
    <row r="28" spans="1:124" x14ac:dyDescent="0.3">
      <c r="A28" t="s">
        <v>1152</v>
      </c>
      <c r="B28" t="s">
        <v>1153</v>
      </c>
      <c r="C28" t="s">
        <v>162</v>
      </c>
      <c r="D28" t="s">
        <v>163</v>
      </c>
      <c r="E28" t="s">
        <v>164</v>
      </c>
      <c r="F28" t="s">
        <v>138</v>
      </c>
      <c r="G28" t="s">
        <v>138</v>
      </c>
      <c r="H28" t="s">
        <v>1480</v>
      </c>
      <c r="I28" t="s">
        <v>1154</v>
      </c>
      <c r="J28">
        <f t="shared" si="0"/>
        <v>0.40311249297785967</v>
      </c>
      <c r="K28">
        <f t="shared" si="1"/>
        <v>2.9058327199999998</v>
      </c>
      <c r="L28">
        <f t="shared" si="2"/>
        <v>0.35400328398960185</v>
      </c>
      <c r="M28">
        <f t="shared" si="3"/>
        <v>7.0168932514528617</v>
      </c>
      <c r="N28" t="s">
        <v>1155</v>
      </c>
      <c r="O28" t="s">
        <v>1156</v>
      </c>
      <c r="P28">
        <f t="shared" si="4"/>
        <v>4.1779507641521736</v>
      </c>
      <c r="Q28">
        <f t="shared" si="5"/>
        <v>1.9529277641521734</v>
      </c>
      <c r="R28" t="s">
        <v>1157</v>
      </c>
      <c r="S28" t="s">
        <v>1158</v>
      </c>
      <c r="T28">
        <f t="shared" si="6"/>
        <v>41.069013704435015</v>
      </c>
      <c r="U28">
        <f t="shared" si="7"/>
        <v>0.4417875</v>
      </c>
      <c r="V28" t="s">
        <v>170</v>
      </c>
      <c r="W28" t="s">
        <v>1159</v>
      </c>
      <c r="X28" t="s">
        <v>172</v>
      </c>
      <c r="Y28" t="s">
        <v>172</v>
      </c>
      <c r="Z28" t="s">
        <v>172</v>
      </c>
      <c r="AA28" t="s">
        <v>1160</v>
      </c>
      <c r="AB28" t="s">
        <v>1161</v>
      </c>
      <c r="AC28" t="s">
        <v>1162</v>
      </c>
      <c r="AD28" t="s">
        <v>176</v>
      </c>
      <c r="AE28" t="s">
        <v>177</v>
      </c>
      <c r="AF28">
        <f t="shared" si="8"/>
        <v>187.04648087999999</v>
      </c>
      <c r="AG28" t="s">
        <v>178</v>
      </c>
      <c r="AH28" t="s">
        <v>1163</v>
      </c>
      <c r="AI28" t="s">
        <v>1164</v>
      </c>
      <c r="AJ28" t="s">
        <v>1165</v>
      </c>
      <c r="AK28" t="s">
        <v>1166</v>
      </c>
      <c r="AL28">
        <f t="shared" si="9"/>
        <v>29.66</v>
      </c>
      <c r="AM28" t="s">
        <v>854</v>
      </c>
      <c r="AN28" t="s">
        <v>406</v>
      </c>
      <c r="AO28" t="s">
        <v>366</v>
      </c>
      <c r="AP28" t="s">
        <v>855</v>
      </c>
      <c r="AQ28" t="s">
        <v>1167</v>
      </c>
      <c r="AR28" t="s">
        <v>1168</v>
      </c>
      <c r="AS28" t="s">
        <v>298</v>
      </c>
      <c r="AT28" t="s">
        <v>160</v>
      </c>
      <c r="AU28" t="s">
        <v>1169</v>
      </c>
      <c r="AV28" t="s">
        <v>1170</v>
      </c>
      <c r="AW28" t="s">
        <v>1171</v>
      </c>
      <c r="AX28" t="s">
        <v>1172</v>
      </c>
      <c r="AY28" t="s">
        <v>1173</v>
      </c>
      <c r="AZ28" t="s">
        <v>414</v>
      </c>
      <c r="BA28" t="s">
        <v>1174</v>
      </c>
      <c r="BB28" t="s">
        <v>1175</v>
      </c>
      <c r="BC28" t="s">
        <v>1176</v>
      </c>
      <c r="BD28" t="s">
        <v>162</v>
      </c>
      <c r="BE28" t="s">
        <v>1027</v>
      </c>
      <c r="BF28" t="s">
        <v>625</v>
      </c>
      <c r="BG28" t="s">
        <v>1177</v>
      </c>
      <c r="BH28" t="s">
        <v>534</v>
      </c>
      <c r="BI28" t="s">
        <v>1140</v>
      </c>
      <c r="BJ28" t="s">
        <v>944</v>
      </c>
      <c r="BK28" t="s">
        <v>162</v>
      </c>
      <c r="BL28" t="s">
        <v>945</v>
      </c>
      <c r="BM28" t="s">
        <v>160</v>
      </c>
      <c r="BN28" t="s">
        <v>378</v>
      </c>
      <c r="BO28" t="s">
        <v>264</v>
      </c>
      <c r="BP28" t="s">
        <v>1178</v>
      </c>
      <c r="BQ28" t="s">
        <v>1179</v>
      </c>
      <c r="BR28" t="s">
        <v>1180</v>
      </c>
      <c r="BS28" t="s">
        <v>1181</v>
      </c>
      <c r="BT28" t="s">
        <v>160</v>
      </c>
      <c r="BU28" t="s">
        <v>205</v>
      </c>
      <c r="BV28" t="s">
        <v>201</v>
      </c>
      <c r="BW28" t="s">
        <v>206</v>
      </c>
      <c r="BX28" t="s">
        <v>207</v>
      </c>
      <c r="BY28" t="s">
        <v>172</v>
      </c>
      <c r="BZ28" t="s">
        <v>208</v>
      </c>
      <c r="CA28" t="s">
        <v>172</v>
      </c>
      <c r="CB28" t="s">
        <v>172</v>
      </c>
      <c r="CC28" t="s">
        <v>209</v>
      </c>
      <c r="CD28" t="s">
        <v>210</v>
      </c>
      <c r="CE28" t="s">
        <v>197</v>
      </c>
      <c r="CF28" t="s">
        <v>211</v>
      </c>
      <c r="CG28" t="s">
        <v>212</v>
      </c>
      <c r="CH28" t="s">
        <v>213</v>
      </c>
      <c r="CI28" t="s">
        <v>178</v>
      </c>
      <c r="CJ28" t="s">
        <v>206</v>
      </c>
      <c r="CK28" t="s">
        <v>214</v>
      </c>
      <c r="CL28" t="s">
        <v>214</v>
      </c>
      <c r="CM28" t="s">
        <v>214</v>
      </c>
      <c r="CN28" t="s">
        <v>172</v>
      </c>
      <c r="CO28" t="s">
        <v>215</v>
      </c>
      <c r="CP28" t="s">
        <v>172</v>
      </c>
      <c r="CQ28" t="s">
        <v>172</v>
      </c>
      <c r="CR28" t="s">
        <v>172</v>
      </c>
      <c r="CS28" t="s">
        <v>172</v>
      </c>
      <c r="CT28" t="s">
        <v>1182</v>
      </c>
      <c r="CU28" t="s">
        <v>1183</v>
      </c>
      <c r="CV28" t="s">
        <v>1184</v>
      </c>
      <c r="CW28" t="s">
        <v>1185</v>
      </c>
      <c r="CX28" t="s">
        <v>1186</v>
      </c>
      <c r="CY28" t="s">
        <v>1187</v>
      </c>
      <c r="CZ28" t="s">
        <v>1188</v>
      </c>
      <c r="DA28" t="s">
        <v>1189</v>
      </c>
      <c r="DB28" t="s">
        <v>1160</v>
      </c>
      <c r="DC28" t="s">
        <v>224</v>
      </c>
      <c r="DD28" t="s">
        <v>225</v>
      </c>
      <c r="DE28" t="s">
        <v>226</v>
      </c>
      <c r="DF28" t="s">
        <v>178</v>
      </c>
      <c r="DG28" t="s">
        <v>227</v>
      </c>
      <c r="DH28" t="s">
        <v>228</v>
      </c>
      <c r="DI28" t="s">
        <v>178</v>
      </c>
      <c r="DJ28" t="s">
        <v>229</v>
      </c>
      <c r="DK28" t="s">
        <v>230</v>
      </c>
      <c r="DL28" t="s">
        <v>231</v>
      </c>
      <c r="DM28" t="s">
        <v>172</v>
      </c>
      <c r="DN28" t="s">
        <v>1159</v>
      </c>
      <c r="DO28" t="s">
        <v>232</v>
      </c>
      <c r="DP28" t="s">
        <v>233</v>
      </c>
      <c r="DQ28" t="s">
        <v>234</v>
      </c>
      <c r="DR28" t="s">
        <v>235</v>
      </c>
      <c r="DS28" t="s">
        <v>236</v>
      </c>
      <c r="DT28" t="s">
        <v>237</v>
      </c>
    </row>
    <row r="29" spans="1:124" x14ac:dyDescent="0.3">
      <c r="A29" t="s">
        <v>1190</v>
      </c>
      <c r="B29" t="s">
        <v>1191</v>
      </c>
      <c r="C29" t="s">
        <v>162</v>
      </c>
      <c r="D29" t="s">
        <v>163</v>
      </c>
      <c r="E29" t="s">
        <v>164</v>
      </c>
      <c r="F29" t="s">
        <v>138</v>
      </c>
      <c r="G29" t="s">
        <v>138</v>
      </c>
      <c r="H29" t="s">
        <v>1485</v>
      </c>
      <c r="I29" t="s">
        <v>1192</v>
      </c>
      <c r="J29">
        <f t="shared" si="0"/>
        <v>0.30327600645328279</v>
      </c>
      <c r="K29">
        <f t="shared" si="1"/>
        <v>2.9050319999999994</v>
      </c>
      <c r="L29">
        <f t="shared" si="2"/>
        <v>0.27460783123280902</v>
      </c>
      <c r="M29">
        <f t="shared" si="3"/>
        <v>5.8160214713382423</v>
      </c>
      <c r="N29" t="s">
        <v>1193</v>
      </c>
      <c r="O29" t="s">
        <v>1194</v>
      </c>
      <c r="P29">
        <f t="shared" si="4"/>
        <v>4.3443649116079515</v>
      </c>
      <c r="Q29">
        <f t="shared" si="5"/>
        <v>2.0846589116079515</v>
      </c>
      <c r="R29" t="s">
        <v>1195</v>
      </c>
      <c r="S29" t="s">
        <v>1196</v>
      </c>
      <c r="T29">
        <f t="shared" si="6"/>
        <v>42.704855122460934</v>
      </c>
      <c r="U29">
        <f t="shared" si="7"/>
        <v>0.4417875</v>
      </c>
      <c r="V29" t="s">
        <v>170</v>
      </c>
      <c r="W29" t="s">
        <v>1197</v>
      </c>
      <c r="X29" t="s">
        <v>172</v>
      </c>
      <c r="Y29" t="s">
        <v>172</v>
      </c>
      <c r="Z29" t="s">
        <v>172</v>
      </c>
      <c r="AA29" t="s">
        <v>1198</v>
      </c>
      <c r="AB29" t="s">
        <v>1199</v>
      </c>
      <c r="AC29" t="s">
        <v>1200</v>
      </c>
      <c r="AD29" t="s">
        <v>176</v>
      </c>
      <c r="AE29" t="s">
        <v>177</v>
      </c>
      <c r="AF29">
        <f t="shared" si="8"/>
        <v>123.93801629999999</v>
      </c>
      <c r="AG29" t="s">
        <v>178</v>
      </c>
      <c r="AH29" t="s">
        <v>1201</v>
      </c>
      <c r="AI29" t="s">
        <v>932</v>
      </c>
      <c r="AJ29" t="s">
        <v>1202</v>
      </c>
      <c r="AK29" t="s">
        <v>1203</v>
      </c>
      <c r="AL29">
        <f t="shared" si="9"/>
        <v>30.34</v>
      </c>
      <c r="AM29" t="s">
        <v>854</v>
      </c>
      <c r="AN29" t="s">
        <v>184</v>
      </c>
      <c r="AO29" t="s">
        <v>1204</v>
      </c>
      <c r="AP29" t="s">
        <v>1205</v>
      </c>
      <c r="AQ29" t="s">
        <v>1206</v>
      </c>
      <c r="AR29" t="s">
        <v>1207</v>
      </c>
      <c r="AS29" t="s">
        <v>1208</v>
      </c>
      <c r="AT29" t="s">
        <v>1209</v>
      </c>
      <c r="AU29" t="s">
        <v>1210</v>
      </c>
      <c r="AV29" t="s">
        <v>1211</v>
      </c>
      <c r="AW29" t="s">
        <v>1212</v>
      </c>
      <c r="AX29" t="s">
        <v>1213</v>
      </c>
      <c r="AY29" t="s">
        <v>1214</v>
      </c>
      <c r="AZ29" t="s">
        <v>414</v>
      </c>
      <c r="BA29" t="s">
        <v>1174</v>
      </c>
      <c r="BB29" t="s">
        <v>1175</v>
      </c>
      <c r="BC29" t="s">
        <v>1215</v>
      </c>
      <c r="BD29" t="s">
        <v>162</v>
      </c>
      <c r="BE29" t="s">
        <v>460</v>
      </c>
      <c r="BF29" t="s">
        <v>625</v>
      </c>
      <c r="BG29" t="s">
        <v>1177</v>
      </c>
      <c r="BH29" t="s">
        <v>534</v>
      </c>
      <c r="BI29" t="s">
        <v>1140</v>
      </c>
      <c r="BJ29" t="s">
        <v>944</v>
      </c>
      <c r="BK29" t="s">
        <v>162</v>
      </c>
      <c r="BL29" t="s">
        <v>945</v>
      </c>
      <c r="BM29" t="s">
        <v>160</v>
      </c>
      <c r="BN29" t="s">
        <v>378</v>
      </c>
      <c r="BO29" t="s">
        <v>378</v>
      </c>
      <c r="BP29" t="s">
        <v>711</v>
      </c>
      <c r="BQ29" t="s">
        <v>1216</v>
      </c>
      <c r="BR29" t="s">
        <v>1217</v>
      </c>
      <c r="BS29" t="s">
        <v>1218</v>
      </c>
      <c r="BT29" t="s">
        <v>160</v>
      </c>
      <c r="BU29" t="s">
        <v>205</v>
      </c>
      <c r="BV29" t="s">
        <v>201</v>
      </c>
      <c r="BW29" t="s">
        <v>206</v>
      </c>
      <c r="BX29" t="s">
        <v>207</v>
      </c>
      <c r="BY29" t="s">
        <v>172</v>
      </c>
      <c r="BZ29" t="s">
        <v>208</v>
      </c>
      <c r="CA29" t="s">
        <v>172</v>
      </c>
      <c r="CB29" t="s">
        <v>172</v>
      </c>
      <c r="CC29" t="s">
        <v>209</v>
      </c>
      <c r="CD29" t="s">
        <v>210</v>
      </c>
      <c r="CE29" t="s">
        <v>197</v>
      </c>
      <c r="CF29" t="s">
        <v>211</v>
      </c>
      <c r="CG29" t="s">
        <v>212</v>
      </c>
      <c r="CH29" t="s">
        <v>213</v>
      </c>
      <c r="CI29" t="s">
        <v>178</v>
      </c>
      <c r="CJ29" t="s">
        <v>206</v>
      </c>
      <c r="CK29" t="s">
        <v>214</v>
      </c>
      <c r="CL29" t="s">
        <v>214</v>
      </c>
      <c r="CM29" t="s">
        <v>214</v>
      </c>
      <c r="CN29" t="s">
        <v>172</v>
      </c>
      <c r="CO29" t="s">
        <v>215</v>
      </c>
      <c r="CP29" t="s">
        <v>172</v>
      </c>
      <c r="CQ29" t="s">
        <v>172</v>
      </c>
      <c r="CR29" t="s">
        <v>172</v>
      </c>
      <c r="CS29" t="s">
        <v>172</v>
      </c>
      <c r="CT29" t="s">
        <v>1219</v>
      </c>
      <c r="CU29" t="s">
        <v>1220</v>
      </c>
      <c r="CV29" t="s">
        <v>1221</v>
      </c>
      <c r="CW29" t="s">
        <v>1222</v>
      </c>
      <c r="CX29" t="s">
        <v>1223</v>
      </c>
      <c r="CY29" t="s">
        <v>1224</v>
      </c>
      <c r="CZ29" t="s">
        <v>1225</v>
      </c>
      <c r="DA29" t="s">
        <v>1226</v>
      </c>
      <c r="DB29" t="s">
        <v>1198</v>
      </c>
      <c r="DC29" t="s">
        <v>1227</v>
      </c>
      <c r="DD29" t="s">
        <v>225</v>
      </c>
      <c r="DE29" t="s">
        <v>226</v>
      </c>
      <c r="DF29" t="s">
        <v>178</v>
      </c>
      <c r="DG29" t="s">
        <v>227</v>
      </c>
      <c r="DH29" t="s">
        <v>228</v>
      </c>
      <c r="DI29" t="s">
        <v>178</v>
      </c>
      <c r="DJ29" t="s">
        <v>229</v>
      </c>
      <c r="DK29" t="s">
        <v>230</v>
      </c>
      <c r="DL29" t="s">
        <v>231</v>
      </c>
      <c r="DM29" t="s">
        <v>172</v>
      </c>
      <c r="DN29" t="s">
        <v>1197</v>
      </c>
      <c r="DO29" t="s">
        <v>232</v>
      </c>
      <c r="DP29" t="s">
        <v>233</v>
      </c>
      <c r="DQ29" t="s">
        <v>234</v>
      </c>
      <c r="DR29" t="s">
        <v>235</v>
      </c>
      <c r="DS29" t="s">
        <v>236</v>
      </c>
      <c r="DT29" t="s">
        <v>237</v>
      </c>
    </row>
    <row r="30" spans="1:124" x14ac:dyDescent="0.3">
      <c r="A30" t="s">
        <v>1228</v>
      </c>
      <c r="B30" t="s">
        <v>1229</v>
      </c>
      <c r="C30" t="s">
        <v>162</v>
      </c>
      <c r="D30" t="s">
        <v>163</v>
      </c>
      <c r="E30" t="s">
        <v>164</v>
      </c>
      <c r="F30" t="s">
        <v>138</v>
      </c>
      <c r="G30" t="s">
        <v>138</v>
      </c>
      <c r="H30" t="s">
        <v>1481</v>
      </c>
      <c r="I30" t="s">
        <v>1230</v>
      </c>
      <c r="J30">
        <f t="shared" si="0"/>
        <v>0.22120241134757646</v>
      </c>
      <c r="K30">
        <f t="shared" si="1"/>
        <v>2.9050319999999994</v>
      </c>
      <c r="L30">
        <f t="shared" si="2"/>
        <v>0.20555083173205727</v>
      </c>
      <c r="M30">
        <f t="shared" si="3"/>
        <v>5.8193830416291261</v>
      </c>
      <c r="N30" t="s">
        <v>1231</v>
      </c>
      <c r="O30" t="s">
        <v>1232</v>
      </c>
      <c r="P30">
        <f t="shared" si="4"/>
        <v>5.0549463654640379</v>
      </c>
      <c r="Q30">
        <f t="shared" si="5"/>
        <v>2.7763283654640381</v>
      </c>
      <c r="R30" t="s">
        <v>1233</v>
      </c>
      <c r="S30" t="s">
        <v>1234</v>
      </c>
      <c r="T30">
        <f t="shared" si="6"/>
        <v>49.689829602516831</v>
      </c>
      <c r="U30">
        <f t="shared" si="7"/>
        <v>0.4417875</v>
      </c>
      <c r="V30" t="s">
        <v>170</v>
      </c>
      <c r="W30" t="s">
        <v>1235</v>
      </c>
      <c r="X30" t="s">
        <v>172</v>
      </c>
      <c r="Y30" t="s">
        <v>172</v>
      </c>
      <c r="Z30" t="s">
        <v>172</v>
      </c>
      <c r="AA30" t="s">
        <v>1236</v>
      </c>
      <c r="AB30" t="s">
        <v>1237</v>
      </c>
      <c r="AC30" t="s">
        <v>1238</v>
      </c>
      <c r="AD30" t="s">
        <v>176</v>
      </c>
      <c r="AE30" t="s">
        <v>177</v>
      </c>
      <c r="AF30">
        <f t="shared" si="8"/>
        <v>215.50621889999996</v>
      </c>
      <c r="AG30" t="s">
        <v>178</v>
      </c>
      <c r="AH30" t="s">
        <v>1239</v>
      </c>
      <c r="AI30" t="s">
        <v>1240</v>
      </c>
      <c r="AJ30" t="s">
        <v>1241</v>
      </c>
      <c r="AK30" t="s">
        <v>1242</v>
      </c>
      <c r="AL30">
        <f t="shared" si="9"/>
        <v>33.01</v>
      </c>
      <c r="AM30" t="s">
        <v>854</v>
      </c>
      <c r="AN30" t="s">
        <v>184</v>
      </c>
      <c r="AO30" t="s">
        <v>1243</v>
      </c>
      <c r="AP30" t="s">
        <v>1244</v>
      </c>
      <c r="AQ30" t="s">
        <v>1245</v>
      </c>
      <c r="AR30" t="s">
        <v>1246</v>
      </c>
      <c r="AS30" t="s">
        <v>659</v>
      </c>
      <c r="AT30" t="s">
        <v>1247</v>
      </c>
      <c r="AU30" t="s">
        <v>1248</v>
      </c>
      <c r="AV30" t="s">
        <v>1249</v>
      </c>
      <c r="AW30" t="s">
        <v>1250</v>
      </c>
      <c r="AX30" t="s">
        <v>1251</v>
      </c>
      <c r="AY30" t="s">
        <v>1252</v>
      </c>
      <c r="AZ30" t="s">
        <v>414</v>
      </c>
      <c r="BA30" t="s">
        <v>1253</v>
      </c>
      <c r="BB30" t="s">
        <v>1254</v>
      </c>
      <c r="BC30" t="s">
        <v>1255</v>
      </c>
      <c r="BD30" t="s">
        <v>162</v>
      </c>
      <c r="BE30" t="s">
        <v>866</v>
      </c>
      <c r="BF30" t="s">
        <v>625</v>
      </c>
      <c r="BG30" t="s">
        <v>1256</v>
      </c>
      <c r="BH30" t="s">
        <v>679</v>
      </c>
      <c r="BI30" t="s">
        <v>1257</v>
      </c>
      <c r="BJ30" t="s">
        <v>944</v>
      </c>
      <c r="BK30" t="s">
        <v>162</v>
      </c>
      <c r="BL30" t="s">
        <v>945</v>
      </c>
      <c r="BM30" t="s">
        <v>160</v>
      </c>
      <c r="BN30" t="s">
        <v>201</v>
      </c>
      <c r="BO30" t="s">
        <v>265</v>
      </c>
      <c r="BP30" t="s">
        <v>201</v>
      </c>
      <c r="BQ30" t="s">
        <v>1258</v>
      </c>
      <c r="BR30" t="s">
        <v>1259</v>
      </c>
      <c r="BS30" t="s">
        <v>1260</v>
      </c>
      <c r="BT30" t="s">
        <v>160</v>
      </c>
      <c r="BU30" t="s">
        <v>205</v>
      </c>
      <c r="BV30" t="s">
        <v>201</v>
      </c>
      <c r="BW30" t="s">
        <v>206</v>
      </c>
      <c r="BX30" t="s">
        <v>207</v>
      </c>
      <c r="BY30" t="s">
        <v>172</v>
      </c>
      <c r="BZ30" t="s">
        <v>208</v>
      </c>
      <c r="CA30" t="s">
        <v>172</v>
      </c>
      <c r="CB30" t="s">
        <v>172</v>
      </c>
      <c r="CC30" t="s">
        <v>209</v>
      </c>
      <c r="CD30" t="s">
        <v>210</v>
      </c>
      <c r="CE30" t="s">
        <v>197</v>
      </c>
      <c r="CF30" t="s">
        <v>211</v>
      </c>
      <c r="CG30" t="s">
        <v>212</v>
      </c>
      <c r="CH30" t="s">
        <v>213</v>
      </c>
      <c r="CI30" t="s">
        <v>178</v>
      </c>
      <c r="CJ30" t="s">
        <v>206</v>
      </c>
      <c r="CK30" t="s">
        <v>214</v>
      </c>
      <c r="CL30" t="s">
        <v>214</v>
      </c>
      <c r="CM30" t="s">
        <v>214</v>
      </c>
      <c r="CN30" t="s">
        <v>172</v>
      </c>
      <c r="CO30" t="s">
        <v>215</v>
      </c>
      <c r="CP30" t="s">
        <v>172</v>
      </c>
      <c r="CQ30" t="s">
        <v>172</v>
      </c>
      <c r="CR30" t="s">
        <v>172</v>
      </c>
      <c r="CS30" t="s">
        <v>172</v>
      </c>
      <c r="CT30" t="s">
        <v>1261</v>
      </c>
      <c r="CU30" t="s">
        <v>1262</v>
      </c>
      <c r="CV30" t="s">
        <v>1263</v>
      </c>
      <c r="CW30" t="s">
        <v>1264</v>
      </c>
      <c r="CX30" t="s">
        <v>1265</v>
      </c>
      <c r="CY30" t="s">
        <v>1266</v>
      </c>
      <c r="CZ30" t="s">
        <v>1267</v>
      </c>
      <c r="DA30" t="s">
        <v>1268</v>
      </c>
      <c r="DB30" t="s">
        <v>1236</v>
      </c>
      <c r="DC30" t="s">
        <v>433</v>
      </c>
      <c r="DD30" t="s">
        <v>225</v>
      </c>
      <c r="DE30" t="s">
        <v>226</v>
      </c>
      <c r="DF30" t="s">
        <v>178</v>
      </c>
      <c r="DG30" t="s">
        <v>227</v>
      </c>
      <c r="DH30" t="s">
        <v>228</v>
      </c>
      <c r="DI30" t="s">
        <v>178</v>
      </c>
      <c r="DJ30" t="s">
        <v>229</v>
      </c>
      <c r="DK30" t="s">
        <v>230</v>
      </c>
      <c r="DL30" t="s">
        <v>231</v>
      </c>
      <c r="DM30" t="s">
        <v>172</v>
      </c>
      <c r="DN30" t="s">
        <v>1235</v>
      </c>
      <c r="DO30" t="s">
        <v>232</v>
      </c>
      <c r="DP30" t="s">
        <v>233</v>
      </c>
      <c r="DQ30" t="s">
        <v>234</v>
      </c>
      <c r="DR30" t="s">
        <v>235</v>
      </c>
      <c r="DS30" t="s">
        <v>236</v>
      </c>
      <c r="DT30" t="s">
        <v>237</v>
      </c>
    </row>
    <row r="31" spans="1:124" x14ac:dyDescent="0.3">
      <c r="A31" t="s">
        <v>1269</v>
      </c>
      <c r="B31" t="s">
        <v>1270</v>
      </c>
      <c r="C31" t="s">
        <v>162</v>
      </c>
      <c r="D31" t="s">
        <v>163</v>
      </c>
      <c r="E31" t="s">
        <v>164</v>
      </c>
      <c r="F31" t="s">
        <v>138</v>
      </c>
      <c r="G31" t="s">
        <v>138</v>
      </c>
      <c r="H31" t="s">
        <v>1463</v>
      </c>
      <c r="I31" t="s">
        <v>1271</v>
      </c>
      <c r="J31">
        <f t="shared" si="0"/>
        <v>0.39684563803994594</v>
      </c>
      <c r="K31">
        <f t="shared" si="1"/>
        <v>2.9066320800000001</v>
      </c>
      <c r="L31">
        <f t="shared" si="2"/>
        <v>0.34917270851742649</v>
      </c>
      <c r="M31">
        <f t="shared" si="3"/>
        <v>8.4967579595064961</v>
      </c>
      <c r="N31" t="s">
        <v>1272</v>
      </c>
      <c r="O31" t="s">
        <v>1273</v>
      </c>
      <c r="P31">
        <f t="shared" si="4"/>
        <v>4.7293288978029242</v>
      </c>
      <c r="Q31">
        <f t="shared" si="5"/>
        <v>2.3895588978029241</v>
      </c>
      <c r="R31" t="s">
        <v>1274</v>
      </c>
      <c r="S31" t="s">
        <v>1275</v>
      </c>
      <c r="T31">
        <f t="shared" si="6"/>
        <v>46.489028780132941</v>
      </c>
      <c r="U31">
        <f t="shared" si="7"/>
        <v>0.4417875</v>
      </c>
      <c r="V31" t="s">
        <v>170</v>
      </c>
      <c r="W31" t="s">
        <v>1276</v>
      </c>
      <c r="X31" t="s">
        <v>172</v>
      </c>
      <c r="Y31" t="s">
        <v>172</v>
      </c>
      <c r="Z31" t="s">
        <v>172</v>
      </c>
      <c r="AA31" t="s">
        <v>1277</v>
      </c>
      <c r="AB31" t="s">
        <v>1278</v>
      </c>
      <c r="AC31" t="s">
        <v>1279</v>
      </c>
      <c r="AD31" t="s">
        <v>176</v>
      </c>
      <c r="AE31" t="s">
        <v>177</v>
      </c>
      <c r="AF31">
        <f t="shared" si="8"/>
        <v>267.76130430000001</v>
      </c>
      <c r="AG31" t="s">
        <v>178</v>
      </c>
      <c r="AH31" t="s">
        <v>1280</v>
      </c>
      <c r="AI31" t="s">
        <v>1281</v>
      </c>
      <c r="AJ31" t="s">
        <v>1282</v>
      </c>
      <c r="AK31" t="s">
        <v>1283</v>
      </c>
      <c r="AL31">
        <f t="shared" si="9"/>
        <v>31.83</v>
      </c>
      <c r="AM31" t="s">
        <v>854</v>
      </c>
      <c r="AN31" t="s">
        <v>1089</v>
      </c>
      <c r="AO31" t="s">
        <v>1284</v>
      </c>
      <c r="AP31" t="s">
        <v>1285</v>
      </c>
      <c r="AQ31" t="s">
        <v>1286</v>
      </c>
      <c r="AR31" t="s">
        <v>452</v>
      </c>
      <c r="AS31" t="s">
        <v>659</v>
      </c>
      <c r="AT31" t="s">
        <v>391</v>
      </c>
      <c r="AU31" t="s">
        <v>205</v>
      </c>
      <c r="AV31" t="s">
        <v>1287</v>
      </c>
      <c r="AW31" t="s">
        <v>1288</v>
      </c>
      <c r="AX31" t="s">
        <v>1289</v>
      </c>
      <c r="AY31" t="s">
        <v>1290</v>
      </c>
      <c r="AZ31" t="s">
        <v>414</v>
      </c>
      <c r="BA31" t="s">
        <v>1291</v>
      </c>
      <c r="BB31" t="s">
        <v>1292</v>
      </c>
      <c r="BC31" t="s">
        <v>1293</v>
      </c>
      <c r="BD31" t="s">
        <v>162</v>
      </c>
      <c r="BE31" t="s">
        <v>866</v>
      </c>
      <c r="BF31" t="s">
        <v>748</v>
      </c>
      <c r="BG31" t="s">
        <v>1294</v>
      </c>
      <c r="BH31" t="s">
        <v>679</v>
      </c>
      <c r="BI31" t="s">
        <v>710</v>
      </c>
      <c r="BJ31" t="s">
        <v>944</v>
      </c>
      <c r="BK31" t="s">
        <v>162</v>
      </c>
      <c r="BL31" t="s">
        <v>945</v>
      </c>
      <c r="BM31" t="s">
        <v>160</v>
      </c>
      <c r="BN31" t="s">
        <v>378</v>
      </c>
      <c r="BO31" t="s">
        <v>265</v>
      </c>
      <c r="BP31" t="s">
        <v>264</v>
      </c>
      <c r="BQ31" t="s">
        <v>1295</v>
      </c>
      <c r="BR31" t="s">
        <v>1296</v>
      </c>
      <c r="BS31" t="s">
        <v>1297</v>
      </c>
      <c r="BT31" t="s">
        <v>160</v>
      </c>
      <c r="BU31" t="s">
        <v>205</v>
      </c>
      <c r="BV31" t="s">
        <v>201</v>
      </c>
      <c r="BW31" t="s">
        <v>206</v>
      </c>
      <c r="BX31" t="s">
        <v>207</v>
      </c>
      <c r="BY31" t="s">
        <v>172</v>
      </c>
      <c r="BZ31" t="s">
        <v>208</v>
      </c>
      <c r="CA31" t="s">
        <v>172</v>
      </c>
      <c r="CB31" t="s">
        <v>172</v>
      </c>
      <c r="CC31" t="s">
        <v>209</v>
      </c>
      <c r="CD31" t="s">
        <v>210</v>
      </c>
      <c r="CE31" t="s">
        <v>197</v>
      </c>
      <c r="CF31" t="s">
        <v>211</v>
      </c>
      <c r="CG31" t="s">
        <v>212</v>
      </c>
      <c r="CH31" t="s">
        <v>213</v>
      </c>
      <c r="CI31" t="s">
        <v>178</v>
      </c>
      <c r="CJ31" t="s">
        <v>206</v>
      </c>
      <c r="CK31" t="s">
        <v>214</v>
      </c>
      <c r="CL31" t="s">
        <v>214</v>
      </c>
      <c r="CM31" t="s">
        <v>214</v>
      </c>
      <c r="CN31" t="s">
        <v>172</v>
      </c>
      <c r="CO31" t="s">
        <v>215</v>
      </c>
      <c r="CP31" t="s">
        <v>172</v>
      </c>
      <c r="CQ31" t="s">
        <v>172</v>
      </c>
      <c r="CR31" t="s">
        <v>172</v>
      </c>
      <c r="CS31" t="s">
        <v>172</v>
      </c>
      <c r="CT31" t="s">
        <v>1298</v>
      </c>
      <c r="CU31" t="s">
        <v>1299</v>
      </c>
      <c r="CV31" t="s">
        <v>1300</v>
      </c>
      <c r="CW31" t="s">
        <v>1301</v>
      </c>
      <c r="CX31" t="s">
        <v>1302</v>
      </c>
      <c r="CY31" t="s">
        <v>1303</v>
      </c>
      <c r="CZ31" t="s">
        <v>1304</v>
      </c>
      <c r="DA31" t="s">
        <v>1305</v>
      </c>
      <c r="DB31" t="s">
        <v>1277</v>
      </c>
      <c r="DC31" t="s">
        <v>596</v>
      </c>
      <c r="DD31" t="s">
        <v>225</v>
      </c>
      <c r="DE31" t="s">
        <v>226</v>
      </c>
      <c r="DF31" t="s">
        <v>178</v>
      </c>
      <c r="DG31" t="s">
        <v>227</v>
      </c>
      <c r="DH31" t="s">
        <v>228</v>
      </c>
      <c r="DI31" t="s">
        <v>178</v>
      </c>
      <c r="DJ31" t="s">
        <v>229</v>
      </c>
      <c r="DK31" t="s">
        <v>230</v>
      </c>
      <c r="DL31" t="s">
        <v>231</v>
      </c>
      <c r="DM31" t="s">
        <v>172</v>
      </c>
      <c r="DN31" t="s">
        <v>1276</v>
      </c>
      <c r="DO31" t="s">
        <v>232</v>
      </c>
      <c r="DP31" t="s">
        <v>233</v>
      </c>
      <c r="DQ31" t="s">
        <v>234</v>
      </c>
      <c r="DR31" t="s">
        <v>235</v>
      </c>
      <c r="DS31" t="s">
        <v>236</v>
      </c>
      <c r="DT31" t="s">
        <v>237</v>
      </c>
    </row>
    <row r="32" spans="1:124" x14ac:dyDescent="0.3">
      <c r="A32" t="s">
        <v>1306</v>
      </c>
      <c r="B32" t="s">
        <v>1307</v>
      </c>
      <c r="C32" t="s">
        <v>162</v>
      </c>
      <c r="D32" t="s">
        <v>163</v>
      </c>
      <c r="E32" t="s">
        <v>164</v>
      </c>
      <c r="F32" t="s">
        <v>138</v>
      </c>
      <c r="G32" t="s">
        <v>138</v>
      </c>
      <c r="H32" t="s">
        <v>1482</v>
      </c>
      <c r="I32" t="s">
        <v>1308</v>
      </c>
      <c r="J32">
        <f t="shared" si="0"/>
        <v>0.27977631214821019</v>
      </c>
      <c r="K32">
        <f t="shared" si="1"/>
        <v>2.9074300800000006</v>
      </c>
      <c r="L32">
        <f t="shared" si="2"/>
        <v>0.25521725471406181</v>
      </c>
      <c r="M32">
        <f t="shared" si="3"/>
        <v>6.7476324071099958</v>
      </c>
      <c r="N32" t="s">
        <v>1309</v>
      </c>
      <c r="O32" t="s">
        <v>1310</v>
      </c>
      <c r="P32">
        <f t="shared" si="4"/>
        <v>4.970366377515127</v>
      </c>
      <c r="Q32">
        <f t="shared" si="5"/>
        <v>2.592157377515127</v>
      </c>
      <c r="R32" t="s">
        <v>1311</v>
      </c>
      <c r="S32" t="s">
        <v>1312</v>
      </c>
      <c r="T32">
        <f t="shared" si="6"/>
        <v>48.86321645217388</v>
      </c>
      <c r="U32">
        <f t="shared" si="7"/>
        <v>0.4417875</v>
      </c>
      <c r="V32" t="s">
        <v>170</v>
      </c>
      <c r="W32" t="s">
        <v>1313</v>
      </c>
      <c r="X32" t="s">
        <v>172</v>
      </c>
      <c r="Y32" t="s">
        <v>172</v>
      </c>
      <c r="Z32" t="s">
        <v>172</v>
      </c>
      <c r="AA32" t="s">
        <v>1314</v>
      </c>
      <c r="AB32" t="s">
        <v>1315</v>
      </c>
      <c r="AC32" t="s">
        <v>1316</v>
      </c>
      <c r="AD32" t="s">
        <v>176</v>
      </c>
      <c r="AE32" t="s">
        <v>177</v>
      </c>
      <c r="AF32">
        <f t="shared" si="8"/>
        <v>298.39560743999999</v>
      </c>
      <c r="AG32" t="s">
        <v>178</v>
      </c>
      <c r="AH32" t="s">
        <v>1317</v>
      </c>
      <c r="AI32" t="s">
        <v>1318</v>
      </c>
      <c r="AJ32" t="s">
        <v>1319</v>
      </c>
      <c r="AK32" t="s">
        <v>970</v>
      </c>
      <c r="AL32">
        <f t="shared" si="9"/>
        <v>32.71</v>
      </c>
      <c r="AM32" t="s">
        <v>253</v>
      </c>
      <c r="AN32" t="s">
        <v>293</v>
      </c>
      <c r="AO32" t="s">
        <v>1320</v>
      </c>
      <c r="AP32" t="s">
        <v>1321</v>
      </c>
      <c r="AQ32" t="s">
        <v>1322</v>
      </c>
      <c r="AR32" t="s">
        <v>1323</v>
      </c>
      <c r="AS32" t="s">
        <v>741</v>
      </c>
      <c r="AT32" t="s">
        <v>455</v>
      </c>
      <c r="AU32" t="s">
        <v>1093</v>
      </c>
      <c r="AV32" t="s">
        <v>1324</v>
      </c>
      <c r="AW32" t="s">
        <v>1325</v>
      </c>
      <c r="AX32" t="s">
        <v>1326</v>
      </c>
      <c r="AY32" t="s">
        <v>1327</v>
      </c>
      <c r="AZ32" t="s">
        <v>414</v>
      </c>
      <c r="BA32" t="s">
        <v>1328</v>
      </c>
      <c r="BB32" t="s">
        <v>1329</v>
      </c>
      <c r="BC32" t="s">
        <v>1330</v>
      </c>
      <c r="BD32" t="s">
        <v>162</v>
      </c>
      <c r="BE32" t="s">
        <v>786</v>
      </c>
      <c r="BF32" t="s">
        <v>625</v>
      </c>
      <c r="BG32" t="s">
        <v>1331</v>
      </c>
      <c r="BH32" t="s">
        <v>723</v>
      </c>
      <c r="BI32" t="s">
        <v>1100</v>
      </c>
      <c r="BJ32" t="s">
        <v>944</v>
      </c>
      <c r="BK32" t="s">
        <v>162</v>
      </c>
      <c r="BL32" t="s">
        <v>945</v>
      </c>
      <c r="BM32" t="s">
        <v>160</v>
      </c>
      <c r="BN32" t="s">
        <v>265</v>
      </c>
      <c r="BO32" t="s">
        <v>378</v>
      </c>
      <c r="BP32" t="s">
        <v>265</v>
      </c>
      <c r="BQ32" t="s">
        <v>1332</v>
      </c>
      <c r="BR32" t="s">
        <v>1333</v>
      </c>
      <c r="BS32" t="s">
        <v>1334</v>
      </c>
      <c r="BT32" t="s">
        <v>160</v>
      </c>
      <c r="BU32" t="s">
        <v>205</v>
      </c>
      <c r="BV32" t="s">
        <v>201</v>
      </c>
      <c r="BW32" t="s">
        <v>206</v>
      </c>
      <c r="BX32" t="s">
        <v>207</v>
      </c>
      <c r="BY32" t="s">
        <v>172</v>
      </c>
      <c r="BZ32" t="s">
        <v>208</v>
      </c>
      <c r="CA32" t="s">
        <v>172</v>
      </c>
      <c r="CB32" t="s">
        <v>172</v>
      </c>
      <c r="CC32" t="s">
        <v>209</v>
      </c>
      <c r="CD32" t="s">
        <v>210</v>
      </c>
      <c r="CE32" t="s">
        <v>197</v>
      </c>
      <c r="CF32" t="s">
        <v>211</v>
      </c>
      <c r="CG32" t="s">
        <v>212</v>
      </c>
      <c r="CH32" t="s">
        <v>213</v>
      </c>
      <c r="CI32" t="s">
        <v>178</v>
      </c>
      <c r="CJ32" t="s">
        <v>206</v>
      </c>
      <c r="CK32" t="s">
        <v>214</v>
      </c>
      <c r="CL32" t="s">
        <v>214</v>
      </c>
      <c r="CM32" t="s">
        <v>214</v>
      </c>
      <c r="CN32" t="s">
        <v>172</v>
      </c>
      <c r="CO32" t="s">
        <v>215</v>
      </c>
      <c r="CP32" t="s">
        <v>172</v>
      </c>
      <c r="CQ32" t="s">
        <v>172</v>
      </c>
      <c r="CR32" t="s">
        <v>172</v>
      </c>
      <c r="CS32" t="s">
        <v>172</v>
      </c>
      <c r="CT32" t="s">
        <v>1335</v>
      </c>
      <c r="CU32" t="s">
        <v>1336</v>
      </c>
      <c r="CV32" t="s">
        <v>1337</v>
      </c>
      <c r="CW32" t="s">
        <v>1338</v>
      </c>
      <c r="CX32" t="s">
        <v>1339</v>
      </c>
      <c r="CY32" t="s">
        <v>1340</v>
      </c>
      <c r="CZ32" t="s">
        <v>1341</v>
      </c>
      <c r="DA32" t="s">
        <v>1342</v>
      </c>
      <c r="DB32" t="s">
        <v>1314</v>
      </c>
      <c r="DC32" t="s">
        <v>1343</v>
      </c>
      <c r="DD32" t="s">
        <v>225</v>
      </c>
      <c r="DE32" t="s">
        <v>226</v>
      </c>
      <c r="DF32" t="s">
        <v>178</v>
      </c>
      <c r="DG32" t="s">
        <v>227</v>
      </c>
      <c r="DH32" t="s">
        <v>228</v>
      </c>
      <c r="DI32" t="s">
        <v>178</v>
      </c>
      <c r="DJ32" t="s">
        <v>229</v>
      </c>
      <c r="DK32" t="s">
        <v>230</v>
      </c>
      <c r="DL32" t="s">
        <v>231</v>
      </c>
      <c r="DM32" t="s">
        <v>172</v>
      </c>
      <c r="DN32" t="s">
        <v>1313</v>
      </c>
      <c r="DO32" t="s">
        <v>232</v>
      </c>
      <c r="DP32" t="s">
        <v>233</v>
      </c>
      <c r="DQ32" t="s">
        <v>234</v>
      </c>
      <c r="DR32" t="s">
        <v>235</v>
      </c>
      <c r="DS32" t="s">
        <v>236</v>
      </c>
      <c r="DT32" t="s">
        <v>237</v>
      </c>
    </row>
    <row r="33" spans="1:124" x14ac:dyDescent="0.3">
      <c r="A33" t="s">
        <v>409</v>
      </c>
      <c r="B33" t="s">
        <v>1344</v>
      </c>
      <c r="C33" t="s">
        <v>162</v>
      </c>
      <c r="D33" t="s">
        <v>163</v>
      </c>
      <c r="E33" t="s">
        <v>164</v>
      </c>
      <c r="F33" t="s">
        <v>138</v>
      </c>
      <c r="G33" t="s">
        <v>138</v>
      </c>
      <c r="H33" t="s">
        <v>1486</v>
      </c>
      <c r="I33" t="s">
        <v>1345</v>
      </c>
      <c r="J33">
        <f t="shared" si="0"/>
        <v>0.28925625750260947</v>
      </c>
      <c r="K33">
        <f t="shared" si="1"/>
        <v>2.9058327199999998</v>
      </c>
      <c r="L33">
        <f t="shared" si="2"/>
        <v>0.26306944921853637</v>
      </c>
      <c r="M33">
        <f t="shared" si="3"/>
        <v>6.5679251234897</v>
      </c>
      <c r="N33" t="s">
        <v>1346</v>
      </c>
      <c r="O33" t="s">
        <v>1347</v>
      </c>
      <c r="P33">
        <f t="shared" si="4"/>
        <v>4.8375992531094862</v>
      </c>
      <c r="Q33">
        <f t="shared" si="5"/>
        <v>2.4490212531094864</v>
      </c>
      <c r="R33" t="s">
        <v>1348</v>
      </c>
      <c r="S33" t="s">
        <v>1349</v>
      </c>
      <c r="T33">
        <f t="shared" si="6"/>
        <v>47.562670859399141</v>
      </c>
      <c r="U33">
        <f t="shared" si="7"/>
        <v>0.4417875</v>
      </c>
      <c r="V33" t="s">
        <v>170</v>
      </c>
      <c r="W33" t="s">
        <v>1350</v>
      </c>
      <c r="X33" t="s">
        <v>172</v>
      </c>
      <c r="Y33" t="s">
        <v>172</v>
      </c>
      <c r="Z33" t="s">
        <v>172</v>
      </c>
      <c r="AA33" t="s">
        <v>1351</v>
      </c>
      <c r="AB33" t="s">
        <v>1352</v>
      </c>
      <c r="AC33" t="s">
        <v>1353</v>
      </c>
      <c r="AD33" t="s">
        <v>176</v>
      </c>
      <c r="AE33" t="s">
        <v>177</v>
      </c>
      <c r="AF33">
        <f t="shared" si="8"/>
        <v>321.06809154000001</v>
      </c>
      <c r="AG33" t="s">
        <v>178</v>
      </c>
      <c r="AH33" t="s">
        <v>1354</v>
      </c>
      <c r="AI33" t="s">
        <v>1355</v>
      </c>
      <c r="AJ33" t="s">
        <v>1356</v>
      </c>
      <c r="AK33" t="s">
        <v>1357</v>
      </c>
      <c r="AL33">
        <f t="shared" si="9"/>
        <v>32.229999999999997</v>
      </c>
      <c r="AM33" t="s">
        <v>183</v>
      </c>
      <c r="AN33" t="s">
        <v>406</v>
      </c>
      <c r="AO33" t="s">
        <v>1358</v>
      </c>
      <c r="AP33" t="s">
        <v>331</v>
      </c>
      <c r="AQ33" t="s">
        <v>1286</v>
      </c>
      <c r="AR33" t="s">
        <v>1359</v>
      </c>
      <c r="AS33" t="s">
        <v>454</v>
      </c>
      <c r="AT33" t="s">
        <v>1360</v>
      </c>
      <c r="AU33" t="s">
        <v>1361</v>
      </c>
      <c r="AV33" t="s">
        <v>1362</v>
      </c>
      <c r="AW33" t="s">
        <v>1363</v>
      </c>
      <c r="AX33" t="s">
        <v>1364</v>
      </c>
      <c r="AY33" t="s">
        <v>1365</v>
      </c>
      <c r="AZ33" t="s">
        <v>414</v>
      </c>
      <c r="BA33" t="s">
        <v>1328</v>
      </c>
      <c r="BB33" t="s">
        <v>1329</v>
      </c>
      <c r="BC33" t="s">
        <v>1366</v>
      </c>
      <c r="BD33" t="s">
        <v>162</v>
      </c>
      <c r="BE33" t="s">
        <v>418</v>
      </c>
      <c r="BF33" t="s">
        <v>1367</v>
      </c>
      <c r="BG33" t="s">
        <v>1368</v>
      </c>
      <c r="BH33" t="s">
        <v>534</v>
      </c>
      <c r="BI33" t="s">
        <v>1369</v>
      </c>
      <c r="BJ33" t="s">
        <v>944</v>
      </c>
      <c r="BK33" t="s">
        <v>162</v>
      </c>
      <c r="BL33" t="s">
        <v>945</v>
      </c>
      <c r="BM33" t="s">
        <v>160</v>
      </c>
      <c r="BN33" t="s">
        <v>201</v>
      </c>
      <c r="BO33" t="s">
        <v>201</v>
      </c>
      <c r="BP33" t="s">
        <v>378</v>
      </c>
      <c r="BQ33" t="s">
        <v>1370</v>
      </c>
      <c r="BR33" t="s">
        <v>1371</v>
      </c>
      <c r="BS33" t="s">
        <v>1372</v>
      </c>
      <c r="BT33" t="s">
        <v>160</v>
      </c>
      <c r="BU33" t="s">
        <v>205</v>
      </c>
      <c r="BV33" t="s">
        <v>201</v>
      </c>
      <c r="BW33" t="s">
        <v>206</v>
      </c>
      <c r="BX33" t="s">
        <v>207</v>
      </c>
      <c r="BY33" t="s">
        <v>172</v>
      </c>
      <c r="BZ33" t="s">
        <v>208</v>
      </c>
      <c r="CA33" t="s">
        <v>172</v>
      </c>
      <c r="CB33" t="s">
        <v>172</v>
      </c>
      <c r="CC33" t="s">
        <v>209</v>
      </c>
      <c r="CD33" t="s">
        <v>210</v>
      </c>
      <c r="CE33" t="s">
        <v>197</v>
      </c>
      <c r="CF33" t="s">
        <v>211</v>
      </c>
      <c r="CG33" t="s">
        <v>212</v>
      </c>
      <c r="CH33" t="s">
        <v>213</v>
      </c>
      <c r="CI33" t="s">
        <v>178</v>
      </c>
      <c r="CJ33" t="s">
        <v>206</v>
      </c>
      <c r="CK33" t="s">
        <v>214</v>
      </c>
      <c r="CL33" t="s">
        <v>214</v>
      </c>
      <c r="CM33" t="s">
        <v>214</v>
      </c>
      <c r="CN33" t="s">
        <v>172</v>
      </c>
      <c r="CO33" t="s">
        <v>215</v>
      </c>
      <c r="CP33" t="s">
        <v>172</v>
      </c>
      <c r="CQ33" t="s">
        <v>172</v>
      </c>
      <c r="CR33" t="s">
        <v>172</v>
      </c>
      <c r="CS33" t="s">
        <v>172</v>
      </c>
      <c r="CT33" t="s">
        <v>1373</v>
      </c>
      <c r="CU33" t="s">
        <v>1374</v>
      </c>
      <c r="CV33" t="s">
        <v>1375</v>
      </c>
      <c r="CW33" t="s">
        <v>1376</v>
      </c>
      <c r="CX33" t="s">
        <v>1377</v>
      </c>
      <c r="CY33" t="s">
        <v>1378</v>
      </c>
      <c r="CZ33" t="s">
        <v>1379</v>
      </c>
      <c r="DA33" t="s">
        <v>1380</v>
      </c>
      <c r="DB33" t="s">
        <v>1351</v>
      </c>
      <c r="DC33" t="s">
        <v>1112</v>
      </c>
      <c r="DD33" t="s">
        <v>225</v>
      </c>
      <c r="DE33" t="s">
        <v>226</v>
      </c>
      <c r="DF33" t="s">
        <v>178</v>
      </c>
      <c r="DG33" t="s">
        <v>227</v>
      </c>
      <c r="DH33" t="s">
        <v>228</v>
      </c>
      <c r="DI33" t="s">
        <v>178</v>
      </c>
      <c r="DJ33" t="s">
        <v>229</v>
      </c>
      <c r="DK33" t="s">
        <v>230</v>
      </c>
      <c r="DL33" t="s">
        <v>231</v>
      </c>
      <c r="DM33" t="s">
        <v>172</v>
      </c>
      <c r="DN33" t="s">
        <v>1350</v>
      </c>
      <c r="DO33" t="s">
        <v>232</v>
      </c>
      <c r="DP33" t="s">
        <v>233</v>
      </c>
      <c r="DQ33" t="s">
        <v>234</v>
      </c>
      <c r="DR33" t="s">
        <v>235</v>
      </c>
      <c r="DS33" t="s">
        <v>236</v>
      </c>
      <c r="DT33" t="s">
        <v>237</v>
      </c>
    </row>
    <row r="34" spans="1:124" x14ac:dyDescent="0.3">
      <c r="A34" t="s">
        <v>1381</v>
      </c>
      <c r="B34" t="s">
        <v>1382</v>
      </c>
      <c r="C34" t="s">
        <v>162</v>
      </c>
      <c r="D34" t="s">
        <v>163</v>
      </c>
      <c r="E34" t="s">
        <v>164</v>
      </c>
      <c r="F34" t="s">
        <v>138</v>
      </c>
      <c r="G34" t="s">
        <v>138</v>
      </c>
      <c r="H34" t="s">
        <v>1483</v>
      </c>
      <c r="I34" t="s">
        <v>1383</v>
      </c>
      <c r="J34">
        <f t="shared" si="0"/>
        <v>0.2359085915143162</v>
      </c>
      <c r="K34">
        <f t="shared" si="1"/>
        <v>2.9050319999999994</v>
      </c>
      <c r="L34">
        <f t="shared" si="2"/>
        <v>0.21819005723174417</v>
      </c>
      <c r="M34">
        <f t="shared" si="3"/>
        <v>5.2669872307286063</v>
      </c>
      <c r="N34" t="s">
        <v>1384</v>
      </c>
      <c r="O34" t="s">
        <v>1385</v>
      </c>
      <c r="P34">
        <f t="shared" si="4"/>
        <v>4.6442377105855037</v>
      </c>
      <c r="Q34">
        <f t="shared" si="5"/>
        <v>2.3717007105855039</v>
      </c>
      <c r="R34" t="s">
        <v>1386</v>
      </c>
      <c r="S34" t="s">
        <v>1387</v>
      </c>
      <c r="T34">
        <f t="shared" si="6"/>
        <v>45.661564355378076</v>
      </c>
      <c r="U34">
        <f t="shared" si="7"/>
        <v>0.4417875</v>
      </c>
      <c r="V34" t="s">
        <v>170</v>
      </c>
      <c r="W34" t="s">
        <v>1388</v>
      </c>
      <c r="X34" t="s">
        <v>172</v>
      </c>
      <c r="Y34" t="s">
        <v>172</v>
      </c>
      <c r="Z34" t="s">
        <v>172</v>
      </c>
      <c r="AA34" t="s">
        <v>1389</v>
      </c>
      <c r="AB34" t="s">
        <v>1390</v>
      </c>
      <c r="AC34" t="s">
        <v>1391</v>
      </c>
      <c r="AD34" t="s">
        <v>176</v>
      </c>
      <c r="AE34" t="s">
        <v>177</v>
      </c>
      <c r="AF34">
        <f t="shared" si="8"/>
        <v>206.22143807999996</v>
      </c>
      <c r="AG34" t="s">
        <v>178</v>
      </c>
      <c r="AH34" t="s">
        <v>1392</v>
      </c>
      <c r="AI34" t="s">
        <v>1281</v>
      </c>
      <c r="AJ34" t="s">
        <v>1393</v>
      </c>
      <c r="AK34" t="s">
        <v>1394</v>
      </c>
      <c r="AL34">
        <f t="shared" si="9"/>
        <v>31.51</v>
      </c>
      <c r="AM34" t="s">
        <v>183</v>
      </c>
      <c r="AN34" t="s">
        <v>184</v>
      </c>
      <c r="AO34" t="s">
        <v>1395</v>
      </c>
      <c r="AP34" t="s">
        <v>176</v>
      </c>
      <c r="AQ34" t="s">
        <v>1396</v>
      </c>
      <c r="AR34" t="s">
        <v>1359</v>
      </c>
      <c r="AS34" t="s">
        <v>575</v>
      </c>
      <c r="AT34" t="s">
        <v>1397</v>
      </c>
      <c r="AU34" t="s">
        <v>1398</v>
      </c>
      <c r="AV34" t="s">
        <v>1399</v>
      </c>
      <c r="AW34" t="s">
        <v>1400</v>
      </c>
      <c r="AX34" t="s">
        <v>1401</v>
      </c>
      <c r="AY34" t="s">
        <v>1402</v>
      </c>
      <c r="AZ34" t="s">
        <v>414</v>
      </c>
      <c r="BA34" t="s">
        <v>1403</v>
      </c>
      <c r="BB34" t="s">
        <v>1404</v>
      </c>
      <c r="BC34" t="s">
        <v>1405</v>
      </c>
      <c r="BD34" t="s">
        <v>162</v>
      </c>
      <c r="BE34" t="s">
        <v>418</v>
      </c>
      <c r="BF34" t="s">
        <v>625</v>
      </c>
      <c r="BG34" t="s">
        <v>1406</v>
      </c>
      <c r="BH34" t="s">
        <v>679</v>
      </c>
      <c r="BI34" t="s">
        <v>1100</v>
      </c>
      <c r="BJ34" t="s">
        <v>944</v>
      </c>
      <c r="BK34" t="s">
        <v>162</v>
      </c>
      <c r="BL34" t="s">
        <v>945</v>
      </c>
      <c r="BM34" t="s">
        <v>160</v>
      </c>
      <c r="BN34" t="s">
        <v>201</v>
      </c>
      <c r="BO34" t="s">
        <v>378</v>
      </c>
      <c r="BP34" t="s">
        <v>711</v>
      </c>
      <c r="BQ34" t="s">
        <v>1407</v>
      </c>
      <c r="BR34" t="s">
        <v>1408</v>
      </c>
      <c r="BS34" t="s">
        <v>1409</v>
      </c>
      <c r="BT34" t="s">
        <v>160</v>
      </c>
      <c r="BU34" t="s">
        <v>205</v>
      </c>
      <c r="BV34" t="s">
        <v>201</v>
      </c>
      <c r="BW34" t="s">
        <v>206</v>
      </c>
      <c r="BX34" t="s">
        <v>207</v>
      </c>
      <c r="BY34" t="s">
        <v>172</v>
      </c>
      <c r="BZ34" t="s">
        <v>208</v>
      </c>
      <c r="CA34" t="s">
        <v>172</v>
      </c>
      <c r="CB34" t="s">
        <v>172</v>
      </c>
      <c r="CC34" t="s">
        <v>209</v>
      </c>
      <c r="CD34" t="s">
        <v>210</v>
      </c>
      <c r="CE34" t="s">
        <v>197</v>
      </c>
      <c r="CF34" t="s">
        <v>211</v>
      </c>
      <c r="CG34" t="s">
        <v>212</v>
      </c>
      <c r="CH34" t="s">
        <v>213</v>
      </c>
      <c r="CI34" t="s">
        <v>178</v>
      </c>
      <c r="CJ34" t="s">
        <v>206</v>
      </c>
      <c r="CK34" t="s">
        <v>214</v>
      </c>
      <c r="CL34" t="s">
        <v>214</v>
      </c>
      <c r="CM34" t="s">
        <v>214</v>
      </c>
      <c r="CN34" t="s">
        <v>172</v>
      </c>
      <c r="CO34" t="s">
        <v>215</v>
      </c>
      <c r="CP34" t="s">
        <v>172</v>
      </c>
      <c r="CQ34" t="s">
        <v>172</v>
      </c>
      <c r="CR34" t="s">
        <v>172</v>
      </c>
      <c r="CS34" t="s">
        <v>172</v>
      </c>
      <c r="CT34" t="s">
        <v>1410</v>
      </c>
      <c r="CU34" t="s">
        <v>1411</v>
      </c>
      <c r="CV34" t="s">
        <v>1412</v>
      </c>
      <c r="CW34" t="s">
        <v>1413</v>
      </c>
      <c r="CX34" t="s">
        <v>1414</v>
      </c>
      <c r="CY34" t="s">
        <v>1415</v>
      </c>
      <c r="CZ34" t="s">
        <v>1416</v>
      </c>
      <c r="DA34" t="s">
        <v>1417</v>
      </c>
      <c r="DB34" t="s">
        <v>1389</v>
      </c>
      <c r="DC34" t="s">
        <v>433</v>
      </c>
      <c r="DD34" t="s">
        <v>225</v>
      </c>
      <c r="DE34" t="s">
        <v>226</v>
      </c>
      <c r="DF34" t="s">
        <v>178</v>
      </c>
      <c r="DG34" t="s">
        <v>227</v>
      </c>
      <c r="DH34" t="s">
        <v>228</v>
      </c>
      <c r="DI34" t="s">
        <v>178</v>
      </c>
      <c r="DJ34" t="s">
        <v>229</v>
      </c>
      <c r="DK34" t="s">
        <v>230</v>
      </c>
      <c r="DL34" t="s">
        <v>231</v>
      </c>
      <c r="DM34" t="s">
        <v>172</v>
      </c>
      <c r="DN34" t="s">
        <v>1388</v>
      </c>
      <c r="DO34" t="s">
        <v>232</v>
      </c>
      <c r="DP34" t="s">
        <v>233</v>
      </c>
      <c r="DQ34" t="s">
        <v>234</v>
      </c>
      <c r="DR34" t="s">
        <v>235</v>
      </c>
      <c r="DS34" t="s">
        <v>236</v>
      </c>
      <c r="DT34" t="s">
        <v>237</v>
      </c>
    </row>
    <row r="35" spans="1:124" x14ac:dyDescent="0.3">
      <c r="A35" t="s">
        <v>1418</v>
      </c>
      <c r="B35" t="s">
        <v>1419</v>
      </c>
      <c r="C35" t="s">
        <v>162</v>
      </c>
      <c r="D35" t="s">
        <v>163</v>
      </c>
      <c r="E35" t="s">
        <v>164</v>
      </c>
      <c r="F35" t="s">
        <v>138</v>
      </c>
      <c r="G35" t="s">
        <v>138</v>
      </c>
      <c r="H35" t="s">
        <v>1487</v>
      </c>
      <c r="I35" t="s">
        <v>1420</v>
      </c>
      <c r="J35">
        <f t="shared" ref="J35" si="10">1/((1/L35)-(1/K35))</f>
        <v>0.32467683473347025</v>
      </c>
      <c r="K35">
        <f t="shared" ref="K35" si="11">BY35+(BZ35*AN35)+(CA35*AN35*POWER(V35,2))+(CB35*AN35*V35)+(CC35*POWER(AN35,2))</f>
        <v>2.9058327199999998</v>
      </c>
      <c r="L35">
        <f t="shared" ref="L35" si="12">((M35/1000)*(1000-((T35+S35)/2)))/(T35-S35)</f>
        <v>0.29204574504729769</v>
      </c>
      <c r="M35">
        <f t="shared" ref="M35" si="13">(AN35*(S35-R35))/(100*U35*(1000-S35))*1000</f>
        <v>6.0662870971709317</v>
      </c>
      <c r="N35" t="s">
        <v>1421</v>
      </c>
      <c r="O35" t="s">
        <v>1422</v>
      </c>
      <c r="P35">
        <f t="shared" ref="P35" si="14">0.61365*EXP((17.502*AL35)/(240.97+AL35))</f>
        <v>4.2165987093668917</v>
      </c>
      <c r="Q35">
        <f t="shared" ref="Q35" si="15">P35-N35</f>
        <v>2.0464637093668916</v>
      </c>
      <c r="R35" t="s">
        <v>1423</v>
      </c>
      <c r="S35" t="s">
        <v>1424</v>
      </c>
      <c r="T35">
        <f t="shared" ref="T35" si="16">(P35/AM35)*1000</f>
        <v>41.457071176549917</v>
      </c>
      <c r="U35">
        <f t="shared" ref="U35" si="17">V35*BX35</f>
        <v>0.4417875</v>
      </c>
      <c r="V35" t="s">
        <v>170</v>
      </c>
      <c r="W35" t="s">
        <v>1425</v>
      </c>
      <c r="X35" t="s">
        <v>172</v>
      </c>
      <c r="Y35" t="s">
        <v>172</v>
      </c>
      <c r="Z35" t="s">
        <v>172</v>
      </c>
      <c r="AA35" t="s">
        <v>1426</v>
      </c>
      <c r="AB35" t="s">
        <v>1427</v>
      </c>
      <c r="AC35" t="s">
        <v>1428</v>
      </c>
      <c r="AD35" t="s">
        <v>176</v>
      </c>
      <c r="AE35" t="s">
        <v>177</v>
      </c>
      <c r="AF35">
        <f t="shared" ref="AF35" si="18">AC35*AD35*AE35*AQ35</f>
        <v>90.181406699999997</v>
      </c>
      <c r="AG35" t="s">
        <v>178</v>
      </c>
      <c r="AH35" t="s">
        <v>1429</v>
      </c>
      <c r="AI35" t="s">
        <v>1430</v>
      </c>
      <c r="AJ35" t="s">
        <v>580</v>
      </c>
      <c r="AK35" t="s">
        <v>1431</v>
      </c>
      <c r="AL35">
        <f t="shared" ref="AL35" si="19">(AK35-AJ35)*(AJ35*0+0)+AK35</f>
        <v>29.82</v>
      </c>
      <c r="AM35" t="s">
        <v>183</v>
      </c>
      <c r="AN35" t="s">
        <v>406</v>
      </c>
      <c r="AO35" t="s">
        <v>1432</v>
      </c>
      <c r="AP35" t="s">
        <v>777</v>
      </c>
      <c r="AQ35" t="s">
        <v>1433</v>
      </c>
      <c r="AR35" t="s">
        <v>895</v>
      </c>
      <c r="AS35" t="s">
        <v>454</v>
      </c>
      <c r="AT35" t="s">
        <v>1434</v>
      </c>
      <c r="AU35" t="s">
        <v>515</v>
      </c>
      <c r="AV35" t="s">
        <v>1435</v>
      </c>
      <c r="AW35" t="s">
        <v>215</v>
      </c>
      <c r="AX35" t="s">
        <v>1436</v>
      </c>
      <c r="AY35" t="s">
        <v>1437</v>
      </c>
      <c r="AZ35" t="s">
        <v>1438</v>
      </c>
      <c r="BA35" t="s">
        <v>1439</v>
      </c>
      <c r="BB35" t="s">
        <v>1440</v>
      </c>
      <c r="BC35" t="s">
        <v>1441</v>
      </c>
      <c r="BD35" t="s">
        <v>162</v>
      </c>
      <c r="BE35" t="s">
        <v>1442</v>
      </c>
      <c r="BF35" t="s">
        <v>665</v>
      </c>
      <c r="BG35" t="s">
        <v>1139</v>
      </c>
      <c r="BH35" t="s">
        <v>916</v>
      </c>
      <c r="BI35" t="s">
        <v>1443</v>
      </c>
      <c r="BJ35" t="s">
        <v>944</v>
      </c>
      <c r="BK35" t="s">
        <v>162</v>
      </c>
      <c r="BL35" t="s">
        <v>945</v>
      </c>
      <c r="BM35" t="s">
        <v>160</v>
      </c>
      <c r="BN35" t="s">
        <v>264</v>
      </c>
      <c r="BO35" t="s">
        <v>265</v>
      </c>
      <c r="BP35" t="s">
        <v>378</v>
      </c>
      <c r="BQ35" t="s">
        <v>1444</v>
      </c>
      <c r="BR35" t="s">
        <v>1445</v>
      </c>
      <c r="BS35" t="s">
        <v>1446</v>
      </c>
      <c r="BT35" t="s">
        <v>160</v>
      </c>
      <c r="BU35" t="s">
        <v>205</v>
      </c>
      <c r="BV35" t="s">
        <v>201</v>
      </c>
      <c r="BW35" t="s">
        <v>206</v>
      </c>
      <c r="BX35" t="s">
        <v>207</v>
      </c>
      <c r="BY35" t="s">
        <v>172</v>
      </c>
      <c r="BZ35" t="s">
        <v>208</v>
      </c>
      <c r="CA35" t="s">
        <v>172</v>
      </c>
      <c r="CB35" t="s">
        <v>172</v>
      </c>
      <c r="CC35" t="s">
        <v>209</v>
      </c>
      <c r="CD35" t="s">
        <v>210</v>
      </c>
      <c r="CE35" t="s">
        <v>197</v>
      </c>
      <c r="CF35" t="s">
        <v>211</v>
      </c>
      <c r="CG35" t="s">
        <v>212</v>
      </c>
      <c r="CH35" t="s">
        <v>213</v>
      </c>
      <c r="CI35" t="s">
        <v>178</v>
      </c>
      <c r="CJ35" t="s">
        <v>206</v>
      </c>
      <c r="CK35" t="s">
        <v>214</v>
      </c>
      <c r="CL35" t="s">
        <v>214</v>
      </c>
      <c r="CM35" t="s">
        <v>214</v>
      </c>
      <c r="CN35" t="s">
        <v>172</v>
      </c>
      <c r="CO35" t="s">
        <v>215</v>
      </c>
      <c r="CP35" t="s">
        <v>172</v>
      </c>
      <c r="CQ35" t="s">
        <v>172</v>
      </c>
      <c r="CR35" t="s">
        <v>172</v>
      </c>
      <c r="CS35" t="s">
        <v>172</v>
      </c>
      <c r="CT35" t="s">
        <v>1447</v>
      </c>
      <c r="CU35" t="s">
        <v>1448</v>
      </c>
      <c r="CV35" t="s">
        <v>1449</v>
      </c>
      <c r="CW35" t="s">
        <v>1450</v>
      </c>
      <c r="CX35" t="s">
        <v>1451</v>
      </c>
      <c r="CY35" t="s">
        <v>1452</v>
      </c>
      <c r="CZ35" t="s">
        <v>1453</v>
      </c>
      <c r="DA35" t="s">
        <v>1454</v>
      </c>
      <c r="DB35" t="s">
        <v>1426</v>
      </c>
      <c r="DC35" t="s">
        <v>1455</v>
      </c>
      <c r="DD35" t="s">
        <v>225</v>
      </c>
      <c r="DE35" t="s">
        <v>226</v>
      </c>
      <c r="DF35" t="s">
        <v>178</v>
      </c>
      <c r="DG35" t="s">
        <v>227</v>
      </c>
      <c r="DH35" t="s">
        <v>228</v>
      </c>
      <c r="DI35" t="s">
        <v>178</v>
      </c>
      <c r="DJ35" t="s">
        <v>229</v>
      </c>
      <c r="DK35" t="s">
        <v>230</v>
      </c>
      <c r="DL35" t="s">
        <v>231</v>
      </c>
      <c r="DM35" t="s">
        <v>172</v>
      </c>
      <c r="DN35" t="s">
        <v>1425</v>
      </c>
      <c r="DO35" t="s">
        <v>232</v>
      </c>
      <c r="DP35" t="s">
        <v>233</v>
      </c>
      <c r="DQ35" t="s">
        <v>234</v>
      </c>
      <c r="DR35" t="s">
        <v>235</v>
      </c>
      <c r="DS35" t="s">
        <v>236</v>
      </c>
      <c r="DT35" t="s">
        <v>237</v>
      </c>
    </row>
  </sheetData>
  <phoneticPr fontId="1" type="noConversion"/>
  <pageMargins left="0.7" right="0.7" top="0.75" bottom="0.75" header="0.3" footer="0.3"/>
  <ignoredErrors>
    <ignoredError sqref="A1:DT2 A35:G35 A4:F4 I4:DT4 A5:G5 I5:DT5 A6:F6 I6:DT6 A7:G7 I7:DT7 A8:G8 I8:DT8 A9:G9 I9:DT9 A10:G10 I10:DT10 A11:G11 I11:DT11 A12:G21 I12:DT21 I35:DT35 A22:G34 I22:DT34 A3:F3 H3:DT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2E8B-A8FC-489B-86A6-ED8278D78815}">
  <dimension ref="A1:DT36"/>
  <sheetViews>
    <sheetView workbookViewId="0">
      <selection activeCell="G3" sqref="G3"/>
    </sheetView>
  </sheetViews>
  <sheetFormatPr defaultRowHeight="17.25" x14ac:dyDescent="0.3"/>
  <sheetData>
    <row r="1" spans="1:12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3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138</v>
      </c>
      <c r="G2" t="s">
        <v>138</v>
      </c>
      <c r="H2" t="s">
        <v>1456</v>
      </c>
      <c r="I2" t="s">
        <v>165</v>
      </c>
      <c r="J2">
        <v>0.33722472974061934</v>
      </c>
      <c r="K2">
        <v>2.9050319999999994</v>
      </c>
      <c r="L2">
        <v>0.30215023446530803</v>
      </c>
      <c r="M2">
        <v>5.6996912804138633</v>
      </c>
      <c r="N2" t="s">
        <v>166</v>
      </c>
      <c r="O2" t="s">
        <v>167</v>
      </c>
      <c r="P2">
        <v>3.9731593346524603</v>
      </c>
      <c r="Q2">
        <v>1.8613073346524605</v>
      </c>
      <c r="R2" t="s">
        <v>168</v>
      </c>
      <c r="S2" t="s">
        <v>169</v>
      </c>
      <c r="T2">
        <v>39.063605689238628</v>
      </c>
      <c r="U2">
        <v>0.4417875</v>
      </c>
      <c r="V2" t="s">
        <v>170</v>
      </c>
      <c r="W2" t="s">
        <v>171</v>
      </c>
      <c r="X2" t="s">
        <v>172</v>
      </c>
      <c r="Y2" t="s">
        <v>172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>
        <v>133.18784640000001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>
        <v>28.79</v>
      </c>
      <c r="AM2" t="s">
        <v>183</v>
      </c>
      <c r="AN2" t="s">
        <v>184</v>
      </c>
      <c r="AO2" t="s">
        <v>185</v>
      </c>
      <c r="AP2" t="s">
        <v>186</v>
      </c>
      <c r="AQ2" t="s">
        <v>187</v>
      </c>
      <c r="AR2" t="s">
        <v>188</v>
      </c>
      <c r="AS2" t="s">
        <v>189</v>
      </c>
      <c r="AT2" t="s">
        <v>190</v>
      </c>
      <c r="AU2" t="s">
        <v>191</v>
      </c>
      <c r="AV2" t="s">
        <v>138</v>
      </c>
      <c r="AW2" t="s">
        <v>138</v>
      </c>
      <c r="AX2" t="s">
        <v>192</v>
      </c>
      <c r="AY2" t="s">
        <v>193</v>
      </c>
      <c r="AZ2" t="s">
        <v>138</v>
      </c>
      <c r="BA2" t="s">
        <v>138</v>
      </c>
      <c r="BB2" t="s">
        <v>138</v>
      </c>
      <c r="BC2" t="s">
        <v>194</v>
      </c>
      <c r="BD2" t="s">
        <v>195</v>
      </c>
      <c r="BE2" t="s">
        <v>196</v>
      </c>
      <c r="BF2" t="s">
        <v>196</v>
      </c>
      <c r="BG2" t="s">
        <v>196</v>
      </c>
      <c r="BH2" t="s">
        <v>197</v>
      </c>
      <c r="BI2" t="s">
        <v>196</v>
      </c>
      <c r="BJ2" t="s">
        <v>198</v>
      </c>
      <c r="BK2" t="s">
        <v>162</v>
      </c>
      <c r="BL2" t="s">
        <v>199</v>
      </c>
      <c r="BM2" t="s">
        <v>160</v>
      </c>
      <c r="BN2" t="s">
        <v>200</v>
      </c>
      <c r="BO2" t="s">
        <v>201</v>
      </c>
      <c r="BP2" t="s">
        <v>201</v>
      </c>
      <c r="BQ2" t="s">
        <v>202</v>
      </c>
      <c r="BR2" t="s">
        <v>203</v>
      </c>
      <c r="BS2" t="s">
        <v>204</v>
      </c>
      <c r="BT2" t="s">
        <v>160</v>
      </c>
      <c r="BU2" t="s">
        <v>205</v>
      </c>
      <c r="BV2" t="s">
        <v>201</v>
      </c>
      <c r="BW2" t="s">
        <v>206</v>
      </c>
      <c r="BX2" t="s">
        <v>207</v>
      </c>
      <c r="BY2" t="s">
        <v>172</v>
      </c>
      <c r="BZ2" t="s">
        <v>208</v>
      </c>
      <c r="CA2" t="s">
        <v>172</v>
      </c>
      <c r="CB2" t="s">
        <v>172</v>
      </c>
      <c r="CC2" t="s">
        <v>209</v>
      </c>
      <c r="CD2" t="s">
        <v>210</v>
      </c>
      <c r="CE2" t="s">
        <v>197</v>
      </c>
      <c r="CF2" t="s">
        <v>211</v>
      </c>
      <c r="CG2" t="s">
        <v>212</v>
      </c>
      <c r="CH2" t="s">
        <v>213</v>
      </c>
      <c r="CI2" t="s">
        <v>178</v>
      </c>
      <c r="CJ2" t="s">
        <v>206</v>
      </c>
      <c r="CK2" t="s">
        <v>214</v>
      </c>
      <c r="CL2" t="s">
        <v>214</v>
      </c>
      <c r="CM2" t="s">
        <v>214</v>
      </c>
      <c r="CN2" t="s">
        <v>172</v>
      </c>
      <c r="CO2" t="s">
        <v>215</v>
      </c>
      <c r="CP2" t="s">
        <v>172</v>
      </c>
      <c r="CQ2" t="s">
        <v>172</v>
      </c>
      <c r="CR2" t="s">
        <v>172</v>
      </c>
      <c r="CS2" t="s">
        <v>172</v>
      </c>
      <c r="CT2" t="s">
        <v>216</v>
      </c>
      <c r="CU2" t="s">
        <v>217</v>
      </c>
      <c r="CV2" t="s">
        <v>218</v>
      </c>
      <c r="CW2" t="s">
        <v>219</v>
      </c>
      <c r="CX2" t="s">
        <v>220</v>
      </c>
      <c r="CY2" t="s">
        <v>221</v>
      </c>
      <c r="CZ2" t="s">
        <v>222</v>
      </c>
      <c r="DA2" t="s">
        <v>223</v>
      </c>
      <c r="DB2" t="s">
        <v>173</v>
      </c>
      <c r="DC2" t="s">
        <v>224</v>
      </c>
      <c r="DD2" t="s">
        <v>225</v>
      </c>
      <c r="DE2" t="s">
        <v>226</v>
      </c>
      <c r="DF2" t="s">
        <v>178</v>
      </c>
      <c r="DG2" t="s">
        <v>227</v>
      </c>
      <c r="DH2" t="s">
        <v>228</v>
      </c>
      <c r="DI2" t="s">
        <v>178</v>
      </c>
      <c r="DJ2" t="s">
        <v>229</v>
      </c>
      <c r="DK2" t="s">
        <v>230</v>
      </c>
      <c r="DL2" t="s">
        <v>231</v>
      </c>
      <c r="DM2" t="s">
        <v>172</v>
      </c>
      <c r="DN2" t="s">
        <v>171</v>
      </c>
      <c r="DO2" t="s">
        <v>232</v>
      </c>
      <c r="DP2" t="s">
        <v>233</v>
      </c>
      <c r="DQ2" t="s">
        <v>234</v>
      </c>
      <c r="DR2" t="s">
        <v>235</v>
      </c>
      <c r="DS2" t="s">
        <v>236</v>
      </c>
      <c r="DT2" t="s">
        <v>237</v>
      </c>
    </row>
    <row r="3" spans="1:124" x14ac:dyDescent="0.3">
      <c r="A3" t="s">
        <v>351</v>
      </c>
      <c r="B3" t="s">
        <v>352</v>
      </c>
      <c r="C3" t="s">
        <v>162</v>
      </c>
      <c r="D3" t="s">
        <v>163</v>
      </c>
      <c r="E3" t="s">
        <v>164</v>
      </c>
      <c r="F3" t="s">
        <v>138</v>
      </c>
      <c r="G3" t="s">
        <v>138</v>
      </c>
      <c r="H3" t="s">
        <v>1457</v>
      </c>
      <c r="I3" t="s">
        <v>353</v>
      </c>
      <c r="J3">
        <v>0.38402894388370795</v>
      </c>
      <c r="K3">
        <v>2.9042299199999997</v>
      </c>
      <c r="L3">
        <v>0.33917899871660151</v>
      </c>
      <c r="M3">
        <v>6.1311937026799033</v>
      </c>
      <c r="N3" t="s">
        <v>354</v>
      </c>
      <c r="O3" t="s">
        <v>355</v>
      </c>
      <c r="P3">
        <v>3.9524823867404479</v>
      </c>
      <c r="Q3">
        <v>1.7833513867404478</v>
      </c>
      <c r="R3" t="s">
        <v>356</v>
      </c>
      <c r="S3" t="s">
        <v>357</v>
      </c>
      <c r="T3">
        <v>38.856492201538032</v>
      </c>
      <c r="U3">
        <v>0.4417875</v>
      </c>
      <c r="V3" t="s">
        <v>170</v>
      </c>
      <c r="W3" t="s">
        <v>358</v>
      </c>
      <c r="X3" t="s">
        <v>172</v>
      </c>
      <c r="Y3" t="s">
        <v>172</v>
      </c>
      <c r="Z3" t="s">
        <v>172</v>
      </c>
      <c r="AA3" t="s">
        <v>359</v>
      </c>
      <c r="AB3" t="s">
        <v>360</v>
      </c>
      <c r="AC3" t="s">
        <v>361</v>
      </c>
      <c r="AD3" t="s">
        <v>176</v>
      </c>
      <c r="AE3" t="s">
        <v>177</v>
      </c>
      <c r="AF3">
        <v>203.73278016</v>
      </c>
      <c r="AG3" t="s">
        <v>178</v>
      </c>
      <c r="AH3" t="s">
        <v>362</v>
      </c>
      <c r="AI3" t="s">
        <v>363</v>
      </c>
      <c r="AJ3" t="s">
        <v>364</v>
      </c>
      <c r="AK3" t="s">
        <v>365</v>
      </c>
      <c r="AL3">
        <v>28.7</v>
      </c>
      <c r="AM3" t="s">
        <v>253</v>
      </c>
      <c r="AN3" t="s">
        <v>254</v>
      </c>
      <c r="AO3" t="s">
        <v>366</v>
      </c>
      <c r="AP3" t="s">
        <v>367</v>
      </c>
      <c r="AQ3" t="s">
        <v>368</v>
      </c>
      <c r="AR3" t="s">
        <v>333</v>
      </c>
      <c r="AS3" t="s">
        <v>369</v>
      </c>
      <c r="AT3" t="s">
        <v>370</v>
      </c>
      <c r="AU3" t="s">
        <v>371</v>
      </c>
      <c r="AV3" t="s">
        <v>138</v>
      </c>
      <c r="AW3" t="s">
        <v>138</v>
      </c>
      <c r="AX3" t="s">
        <v>372</v>
      </c>
      <c r="AY3" t="s">
        <v>373</v>
      </c>
      <c r="AZ3" t="s">
        <v>138</v>
      </c>
      <c r="BA3" t="s">
        <v>138</v>
      </c>
      <c r="BB3" t="s">
        <v>138</v>
      </c>
      <c r="BC3" t="s">
        <v>194</v>
      </c>
      <c r="BD3" t="s">
        <v>195</v>
      </c>
      <c r="BE3" t="s">
        <v>374</v>
      </c>
      <c r="BF3" t="s">
        <v>375</v>
      </c>
      <c r="BG3" t="s">
        <v>376</v>
      </c>
      <c r="BH3" t="s">
        <v>278</v>
      </c>
      <c r="BI3" t="s">
        <v>377</v>
      </c>
      <c r="BJ3" t="s">
        <v>198</v>
      </c>
      <c r="BK3" t="s">
        <v>162</v>
      </c>
      <c r="BL3" t="s">
        <v>199</v>
      </c>
      <c r="BM3" t="s">
        <v>160</v>
      </c>
      <c r="BN3" t="s">
        <v>302</v>
      </c>
      <c r="BO3" t="s">
        <v>378</v>
      </c>
      <c r="BP3" t="s">
        <v>266</v>
      </c>
      <c r="BQ3" t="s">
        <v>379</v>
      </c>
      <c r="BR3" t="s">
        <v>380</v>
      </c>
      <c r="BS3" t="s">
        <v>381</v>
      </c>
      <c r="BT3" t="s">
        <v>160</v>
      </c>
      <c r="BU3" t="s">
        <v>205</v>
      </c>
      <c r="BV3" t="s">
        <v>201</v>
      </c>
      <c r="BW3" t="s">
        <v>206</v>
      </c>
      <c r="BX3" t="s">
        <v>207</v>
      </c>
      <c r="BY3" t="s">
        <v>172</v>
      </c>
      <c r="BZ3" t="s">
        <v>208</v>
      </c>
      <c r="CA3" t="s">
        <v>172</v>
      </c>
      <c r="CB3" t="s">
        <v>172</v>
      </c>
      <c r="CC3" t="s">
        <v>209</v>
      </c>
      <c r="CD3" t="s">
        <v>210</v>
      </c>
      <c r="CE3" t="s">
        <v>197</v>
      </c>
      <c r="CF3" t="s">
        <v>211</v>
      </c>
      <c r="CG3" t="s">
        <v>212</v>
      </c>
      <c r="CH3" t="s">
        <v>213</v>
      </c>
      <c r="CI3" t="s">
        <v>178</v>
      </c>
      <c r="CJ3" t="s">
        <v>206</v>
      </c>
      <c r="CK3" t="s">
        <v>214</v>
      </c>
      <c r="CL3" t="s">
        <v>214</v>
      </c>
      <c r="CM3" t="s">
        <v>214</v>
      </c>
      <c r="CN3" t="s">
        <v>172</v>
      </c>
      <c r="CO3" t="s">
        <v>215</v>
      </c>
      <c r="CP3" t="s">
        <v>172</v>
      </c>
      <c r="CQ3" t="s">
        <v>172</v>
      </c>
      <c r="CR3" t="s">
        <v>172</v>
      </c>
      <c r="CS3" t="s">
        <v>172</v>
      </c>
      <c r="CT3" t="s">
        <v>382</v>
      </c>
      <c r="CU3" t="s">
        <v>383</v>
      </c>
      <c r="CV3" t="s">
        <v>384</v>
      </c>
      <c r="CW3" t="s">
        <v>385</v>
      </c>
      <c r="CX3" t="s">
        <v>386</v>
      </c>
      <c r="CY3" t="s">
        <v>387</v>
      </c>
      <c r="CZ3" t="s">
        <v>388</v>
      </c>
      <c r="DA3" t="s">
        <v>389</v>
      </c>
      <c r="DB3" t="s">
        <v>359</v>
      </c>
      <c r="DC3" t="s">
        <v>390</v>
      </c>
      <c r="DD3" t="s">
        <v>225</v>
      </c>
      <c r="DE3" t="s">
        <v>226</v>
      </c>
      <c r="DF3" t="s">
        <v>178</v>
      </c>
      <c r="DG3" t="s">
        <v>227</v>
      </c>
      <c r="DH3" t="s">
        <v>228</v>
      </c>
      <c r="DI3" t="s">
        <v>178</v>
      </c>
      <c r="DJ3" t="s">
        <v>229</v>
      </c>
      <c r="DK3" t="s">
        <v>230</v>
      </c>
      <c r="DL3" t="s">
        <v>231</v>
      </c>
      <c r="DM3" t="s">
        <v>172</v>
      </c>
      <c r="DN3" t="s">
        <v>358</v>
      </c>
      <c r="DO3" t="s">
        <v>232</v>
      </c>
      <c r="DP3" t="s">
        <v>233</v>
      </c>
      <c r="DQ3" t="s">
        <v>234</v>
      </c>
      <c r="DR3" t="s">
        <v>235</v>
      </c>
      <c r="DS3" t="s">
        <v>236</v>
      </c>
      <c r="DT3" t="s">
        <v>237</v>
      </c>
    </row>
    <row r="4" spans="1:124" x14ac:dyDescent="0.3">
      <c r="A4" t="s">
        <v>515</v>
      </c>
      <c r="B4" t="s">
        <v>516</v>
      </c>
      <c r="C4" t="s">
        <v>162</v>
      </c>
      <c r="D4" t="s">
        <v>163</v>
      </c>
      <c r="E4" t="s">
        <v>164</v>
      </c>
      <c r="F4" t="s">
        <v>138</v>
      </c>
      <c r="G4" t="s">
        <v>138</v>
      </c>
      <c r="H4" t="s">
        <v>1458</v>
      </c>
      <c r="I4" t="s">
        <v>517</v>
      </c>
      <c r="J4">
        <v>0.335061889021605</v>
      </c>
      <c r="K4">
        <v>2.9050319999999994</v>
      </c>
      <c r="L4">
        <v>0.3004127481880266</v>
      </c>
      <c r="M4">
        <v>5.7729300730821187</v>
      </c>
      <c r="N4" t="s">
        <v>518</v>
      </c>
      <c r="O4" t="s">
        <v>519</v>
      </c>
      <c r="P4">
        <v>4.1396119554262123</v>
      </c>
      <c r="Q4">
        <v>1.8932339554262123</v>
      </c>
      <c r="R4" t="s">
        <v>520</v>
      </c>
      <c r="S4" t="s">
        <v>521</v>
      </c>
      <c r="T4">
        <v>40.700147039880171</v>
      </c>
      <c r="U4">
        <v>0.4417875</v>
      </c>
      <c r="V4" t="s">
        <v>170</v>
      </c>
      <c r="W4" t="s">
        <v>522</v>
      </c>
      <c r="X4" t="s">
        <v>172</v>
      </c>
      <c r="Y4" t="s">
        <v>172</v>
      </c>
      <c r="Z4" t="s">
        <v>172</v>
      </c>
      <c r="AA4" t="s">
        <v>523</v>
      </c>
      <c r="AB4" t="s">
        <v>524</v>
      </c>
      <c r="AC4" t="s">
        <v>525</v>
      </c>
      <c r="AD4" t="s">
        <v>176</v>
      </c>
      <c r="AE4" t="s">
        <v>177</v>
      </c>
      <c r="AF4">
        <v>197.46666953999997</v>
      </c>
      <c r="AG4" t="s">
        <v>178</v>
      </c>
      <c r="AH4" t="s">
        <v>526</v>
      </c>
      <c r="AI4" t="s">
        <v>527</v>
      </c>
      <c r="AJ4" t="s">
        <v>528</v>
      </c>
      <c r="AK4" t="s">
        <v>529</v>
      </c>
      <c r="AL4">
        <v>29.5</v>
      </c>
      <c r="AM4" t="s">
        <v>183</v>
      </c>
      <c r="AN4" t="s">
        <v>184</v>
      </c>
      <c r="AO4" t="s">
        <v>366</v>
      </c>
      <c r="AP4" t="s">
        <v>530</v>
      </c>
      <c r="AQ4" t="s">
        <v>531</v>
      </c>
      <c r="AR4" t="s">
        <v>532</v>
      </c>
      <c r="AS4" t="s">
        <v>533</v>
      </c>
      <c r="AT4" t="s">
        <v>534</v>
      </c>
      <c r="AU4" t="s">
        <v>535</v>
      </c>
      <c r="AV4" t="s">
        <v>536</v>
      </c>
      <c r="AW4" t="s">
        <v>537</v>
      </c>
      <c r="AX4" t="s">
        <v>538</v>
      </c>
      <c r="AY4" t="s">
        <v>539</v>
      </c>
      <c r="AZ4" t="s">
        <v>414</v>
      </c>
      <c r="BA4" t="s">
        <v>540</v>
      </c>
      <c r="BB4" t="s">
        <v>541</v>
      </c>
      <c r="BC4" t="s">
        <v>542</v>
      </c>
      <c r="BD4" t="s">
        <v>162</v>
      </c>
      <c r="BE4" t="s">
        <v>460</v>
      </c>
      <c r="BF4" t="s">
        <v>419</v>
      </c>
      <c r="BG4" t="s">
        <v>543</v>
      </c>
      <c r="BH4" t="s">
        <v>434</v>
      </c>
      <c r="BI4" t="s">
        <v>463</v>
      </c>
      <c r="BJ4" t="s">
        <v>198</v>
      </c>
      <c r="BK4" t="s">
        <v>162</v>
      </c>
      <c r="BL4" t="s">
        <v>199</v>
      </c>
      <c r="BM4" t="s">
        <v>160</v>
      </c>
      <c r="BN4" t="s">
        <v>201</v>
      </c>
      <c r="BO4" t="s">
        <v>265</v>
      </c>
      <c r="BP4" t="s">
        <v>339</v>
      </c>
      <c r="BQ4" t="s">
        <v>544</v>
      </c>
      <c r="BR4" t="s">
        <v>545</v>
      </c>
      <c r="BS4" t="s">
        <v>546</v>
      </c>
      <c r="BT4" t="s">
        <v>160</v>
      </c>
      <c r="BU4" t="s">
        <v>205</v>
      </c>
      <c r="BV4" t="s">
        <v>201</v>
      </c>
      <c r="BW4" t="s">
        <v>206</v>
      </c>
      <c r="BX4" t="s">
        <v>207</v>
      </c>
      <c r="BY4" t="s">
        <v>172</v>
      </c>
      <c r="BZ4" t="s">
        <v>208</v>
      </c>
      <c r="CA4" t="s">
        <v>172</v>
      </c>
      <c r="CB4" t="s">
        <v>172</v>
      </c>
      <c r="CC4" t="s">
        <v>209</v>
      </c>
      <c r="CD4" t="s">
        <v>210</v>
      </c>
      <c r="CE4" t="s">
        <v>197</v>
      </c>
      <c r="CF4" t="s">
        <v>211</v>
      </c>
      <c r="CG4" t="s">
        <v>212</v>
      </c>
      <c r="CH4" t="s">
        <v>213</v>
      </c>
      <c r="CI4" t="s">
        <v>178</v>
      </c>
      <c r="CJ4" t="s">
        <v>206</v>
      </c>
      <c r="CK4" t="s">
        <v>214</v>
      </c>
      <c r="CL4" t="s">
        <v>214</v>
      </c>
      <c r="CM4" t="s">
        <v>214</v>
      </c>
      <c r="CN4" t="s">
        <v>172</v>
      </c>
      <c r="CO4" t="s">
        <v>215</v>
      </c>
      <c r="CP4" t="s">
        <v>172</v>
      </c>
      <c r="CQ4" t="s">
        <v>172</v>
      </c>
      <c r="CR4" t="s">
        <v>172</v>
      </c>
      <c r="CS4" t="s">
        <v>172</v>
      </c>
      <c r="CT4" t="s">
        <v>547</v>
      </c>
      <c r="CU4" t="s">
        <v>548</v>
      </c>
      <c r="CV4" t="s">
        <v>549</v>
      </c>
      <c r="CW4" t="s">
        <v>550</v>
      </c>
      <c r="CX4" t="s">
        <v>551</v>
      </c>
      <c r="CY4" t="s">
        <v>552</v>
      </c>
      <c r="CZ4" t="s">
        <v>553</v>
      </c>
      <c r="DA4" t="s">
        <v>554</v>
      </c>
      <c r="DB4" t="s">
        <v>523</v>
      </c>
      <c r="DC4" t="s">
        <v>224</v>
      </c>
      <c r="DD4" t="s">
        <v>225</v>
      </c>
      <c r="DE4" t="s">
        <v>226</v>
      </c>
      <c r="DF4" t="s">
        <v>178</v>
      </c>
      <c r="DG4" t="s">
        <v>227</v>
      </c>
      <c r="DH4" t="s">
        <v>228</v>
      </c>
      <c r="DI4" t="s">
        <v>178</v>
      </c>
      <c r="DJ4" t="s">
        <v>229</v>
      </c>
      <c r="DK4" t="s">
        <v>230</v>
      </c>
      <c r="DL4" t="s">
        <v>231</v>
      </c>
      <c r="DM4" t="s">
        <v>172</v>
      </c>
      <c r="DN4" t="s">
        <v>522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3">
      <c r="A5" t="s">
        <v>679</v>
      </c>
      <c r="B5" t="s">
        <v>680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1459</v>
      </c>
      <c r="I5" t="s">
        <v>681</v>
      </c>
      <c r="J5">
        <v>0.31938694920011457</v>
      </c>
      <c r="K5">
        <v>2.9034264800000003</v>
      </c>
      <c r="L5">
        <v>0.28773509421058313</v>
      </c>
      <c r="M5">
        <v>5.9493856149528028</v>
      </c>
      <c r="N5" t="s">
        <v>682</v>
      </c>
      <c r="O5" t="s">
        <v>683</v>
      </c>
      <c r="P5">
        <v>4.354331327382547</v>
      </c>
      <c r="Q5">
        <v>2.0342333273825468</v>
      </c>
      <c r="R5" t="s">
        <v>684</v>
      </c>
      <c r="S5" t="s">
        <v>685</v>
      </c>
      <c r="T5">
        <v>42.807032317956612</v>
      </c>
      <c r="U5">
        <v>0.4417875</v>
      </c>
      <c r="V5" t="s">
        <v>170</v>
      </c>
      <c r="W5" t="s">
        <v>686</v>
      </c>
      <c r="X5" t="s">
        <v>172</v>
      </c>
      <c r="Y5" t="s">
        <v>172</v>
      </c>
      <c r="Z5" t="s">
        <v>172</v>
      </c>
      <c r="AA5" t="s">
        <v>687</v>
      </c>
      <c r="AB5" t="s">
        <v>688</v>
      </c>
      <c r="AC5" t="s">
        <v>689</v>
      </c>
      <c r="AD5" t="s">
        <v>176</v>
      </c>
      <c r="AE5" t="s">
        <v>177</v>
      </c>
      <c r="AF5">
        <v>220.11817464000001</v>
      </c>
      <c r="AG5" t="s">
        <v>178</v>
      </c>
      <c r="AH5" t="s">
        <v>690</v>
      </c>
      <c r="AI5" t="s">
        <v>691</v>
      </c>
      <c r="AJ5" t="s">
        <v>692</v>
      </c>
      <c r="AK5" t="s">
        <v>693</v>
      </c>
      <c r="AL5">
        <v>30.38</v>
      </c>
      <c r="AM5" t="s">
        <v>253</v>
      </c>
      <c r="AN5" t="s">
        <v>694</v>
      </c>
      <c r="AO5" t="s">
        <v>695</v>
      </c>
      <c r="AP5" t="s">
        <v>696</v>
      </c>
      <c r="AQ5" t="s">
        <v>697</v>
      </c>
      <c r="AR5" t="s">
        <v>698</v>
      </c>
      <c r="AS5" t="s">
        <v>699</v>
      </c>
      <c r="AT5" t="s">
        <v>700</v>
      </c>
      <c r="AU5" t="s">
        <v>701</v>
      </c>
      <c r="AV5" t="s">
        <v>702</v>
      </c>
      <c r="AW5" t="s">
        <v>703</v>
      </c>
      <c r="AX5" t="s">
        <v>704</v>
      </c>
      <c r="AY5" t="s">
        <v>705</v>
      </c>
      <c r="AZ5" t="s">
        <v>414</v>
      </c>
      <c r="BA5" t="s">
        <v>706</v>
      </c>
      <c r="BB5" t="s">
        <v>707</v>
      </c>
      <c r="BC5" t="s">
        <v>708</v>
      </c>
      <c r="BD5" t="s">
        <v>162</v>
      </c>
      <c r="BE5" t="s">
        <v>418</v>
      </c>
      <c r="BF5" t="s">
        <v>625</v>
      </c>
      <c r="BG5" t="s">
        <v>709</v>
      </c>
      <c r="BH5" t="s">
        <v>515</v>
      </c>
      <c r="BI5" t="s">
        <v>710</v>
      </c>
      <c r="BJ5" t="s">
        <v>198</v>
      </c>
      <c r="BK5" t="s">
        <v>162</v>
      </c>
      <c r="BL5" t="s">
        <v>199</v>
      </c>
      <c r="BM5" t="s">
        <v>160</v>
      </c>
      <c r="BN5" t="s">
        <v>378</v>
      </c>
      <c r="BO5" t="s">
        <v>264</v>
      </c>
      <c r="BP5" t="s">
        <v>711</v>
      </c>
      <c r="BQ5" t="s">
        <v>712</v>
      </c>
      <c r="BR5" t="s">
        <v>713</v>
      </c>
      <c r="BS5" t="s">
        <v>714</v>
      </c>
      <c r="BT5" t="s">
        <v>160</v>
      </c>
      <c r="BU5" t="s">
        <v>205</v>
      </c>
      <c r="BV5" t="s">
        <v>201</v>
      </c>
      <c r="BW5" t="s">
        <v>206</v>
      </c>
      <c r="BX5" t="s">
        <v>207</v>
      </c>
      <c r="BY5" t="s">
        <v>172</v>
      </c>
      <c r="BZ5" t="s">
        <v>208</v>
      </c>
      <c r="CA5" t="s">
        <v>172</v>
      </c>
      <c r="CB5" t="s">
        <v>172</v>
      </c>
      <c r="CC5" t="s">
        <v>209</v>
      </c>
      <c r="CD5" t="s">
        <v>210</v>
      </c>
      <c r="CE5" t="s">
        <v>197</v>
      </c>
      <c r="CF5" t="s">
        <v>211</v>
      </c>
      <c r="CG5" t="s">
        <v>212</v>
      </c>
      <c r="CH5" t="s">
        <v>213</v>
      </c>
      <c r="CI5" t="s">
        <v>178</v>
      </c>
      <c r="CJ5" t="s">
        <v>206</v>
      </c>
      <c r="CK5" t="s">
        <v>214</v>
      </c>
      <c r="CL5" t="s">
        <v>214</v>
      </c>
      <c r="CM5" t="s">
        <v>214</v>
      </c>
      <c r="CN5" t="s">
        <v>172</v>
      </c>
      <c r="CO5" t="s">
        <v>215</v>
      </c>
      <c r="CP5" t="s">
        <v>172</v>
      </c>
      <c r="CQ5" t="s">
        <v>172</v>
      </c>
      <c r="CR5" t="s">
        <v>172</v>
      </c>
      <c r="CS5" t="s">
        <v>172</v>
      </c>
      <c r="CT5" t="s">
        <v>715</v>
      </c>
      <c r="CU5" t="s">
        <v>716</v>
      </c>
      <c r="CV5" t="s">
        <v>717</v>
      </c>
      <c r="CW5" t="s">
        <v>718</v>
      </c>
      <c r="CX5" t="s">
        <v>719</v>
      </c>
      <c r="CY5" t="s">
        <v>720</v>
      </c>
      <c r="CZ5" t="s">
        <v>721</v>
      </c>
      <c r="DA5" t="s">
        <v>722</v>
      </c>
      <c r="DB5" t="s">
        <v>687</v>
      </c>
      <c r="DC5" t="s">
        <v>224</v>
      </c>
      <c r="DD5" t="s">
        <v>225</v>
      </c>
      <c r="DE5" t="s">
        <v>226</v>
      </c>
      <c r="DF5" t="s">
        <v>178</v>
      </c>
      <c r="DG5" t="s">
        <v>227</v>
      </c>
      <c r="DH5" t="s">
        <v>228</v>
      </c>
      <c r="DI5" t="s">
        <v>178</v>
      </c>
      <c r="DJ5" t="s">
        <v>229</v>
      </c>
      <c r="DK5" t="s">
        <v>230</v>
      </c>
      <c r="DL5" t="s">
        <v>231</v>
      </c>
      <c r="DM5" t="s">
        <v>172</v>
      </c>
      <c r="DN5" t="s">
        <v>686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3">
      <c r="A6" t="s">
        <v>839</v>
      </c>
      <c r="B6" t="s">
        <v>840</v>
      </c>
      <c r="C6" t="s">
        <v>162</v>
      </c>
      <c r="D6" t="s">
        <v>163</v>
      </c>
      <c r="E6" t="s">
        <v>164</v>
      </c>
      <c r="F6" t="s">
        <v>138</v>
      </c>
      <c r="G6" t="s">
        <v>138</v>
      </c>
      <c r="H6" t="s">
        <v>1460</v>
      </c>
      <c r="I6" t="s">
        <v>841</v>
      </c>
      <c r="J6">
        <v>0.30633285151476597</v>
      </c>
      <c r="K6">
        <v>2.9058327199999998</v>
      </c>
      <c r="L6">
        <v>0.2771189726445944</v>
      </c>
      <c r="M6">
        <v>6.6704241474244235</v>
      </c>
      <c r="N6" t="s">
        <v>842</v>
      </c>
      <c r="O6" t="s">
        <v>843</v>
      </c>
      <c r="P6">
        <v>4.7025932812894728</v>
      </c>
      <c r="Q6">
        <v>2.364029281289473</v>
      </c>
      <c r="R6" t="s">
        <v>844</v>
      </c>
      <c r="S6" t="s">
        <v>845</v>
      </c>
      <c r="T6">
        <v>46.226219220382113</v>
      </c>
      <c r="U6">
        <v>0.4417875</v>
      </c>
      <c r="V6" t="s">
        <v>170</v>
      </c>
      <c r="W6" t="s">
        <v>846</v>
      </c>
      <c r="X6" t="s">
        <v>172</v>
      </c>
      <c r="Y6" t="s">
        <v>172</v>
      </c>
      <c r="Z6" t="s">
        <v>172</v>
      </c>
      <c r="AA6" t="s">
        <v>847</v>
      </c>
      <c r="AB6" t="s">
        <v>848</v>
      </c>
      <c r="AC6" t="s">
        <v>849</v>
      </c>
      <c r="AD6" t="s">
        <v>176</v>
      </c>
      <c r="AE6" t="s">
        <v>177</v>
      </c>
      <c r="AF6">
        <v>288.73574184</v>
      </c>
      <c r="AG6" t="s">
        <v>178</v>
      </c>
      <c r="AH6" t="s">
        <v>850</v>
      </c>
      <c r="AI6" t="s">
        <v>851</v>
      </c>
      <c r="AJ6" t="s">
        <v>852</v>
      </c>
      <c r="AK6" t="s">
        <v>853</v>
      </c>
      <c r="AL6">
        <v>31.73</v>
      </c>
      <c r="AM6" t="s">
        <v>854</v>
      </c>
      <c r="AN6" t="s">
        <v>406</v>
      </c>
      <c r="AO6" t="s">
        <v>366</v>
      </c>
      <c r="AP6" t="s">
        <v>855</v>
      </c>
      <c r="AQ6" t="s">
        <v>856</v>
      </c>
      <c r="AR6" t="s">
        <v>857</v>
      </c>
      <c r="AS6" t="s">
        <v>858</v>
      </c>
      <c r="AT6" t="s">
        <v>555</v>
      </c>
      <c r="AU6" t="s">
        <v>859</v>
      </c>
      <c r="AV6" t="s">
        <v>860</v>
      </c>
      <c r="AW6" t="s">
        <v>861</v>
      </c>
      <c r="AX6" t="s">
        <v>862</v>
      </c>
      <c r="AY6" t="s">
        <v>863</v>
      </c>
      <c r="AZ6" t="s">
        <v>414</v>
      </c>
      <c r="BA6" t="s">
        <v>864</v>
      </c>
      <c r="BB6" t="s">
        <v>850</v>
      </c>
      <c r="BC6" t="s">
        <v>865</v>
      </c>
      <c r="BD6" t="s">
        <v>162</v>
      </c>
      <c r="BE6" t="s">
        <v>866</v>
      </c>
      <c r="BF6" t="s">
        <v>500</v>
      </c>
      <c r="BG6" t="s">
        <v>826</v>
      </c>
      <c r="BH6" t="s">
        <v>640</v>
      </c>
      <c r="BI6" t="s">
        <v>827</v>
      </c>
      <c r="BJ6" t="s">
        <v>198</v>
      </c>
      <c r="BK6" t="s">
        <v>162</v>
      </c>
      <c r="BL6" t="s">
        <v>199</v>
      </c>
      <c r="BM6" t="s">
        <v>160</v>
      </c>
      <c r="BN6" t="s">
        <v>200</v>
      </c>
      <c r="BO6" t="s">
        <v>264</v>
      </c>
      <c r="BP6" t="s">
        <v>302</v>
      </c>
      <c r="BQ6" t="s">
        <v>867</v>
      </c>
      <c r="BR6" t="s">
        <v>868</v>
      </c>
      <c r="BS6" t="s">
        <v>869</v>
      </c>
      <c r="BT6" t="s">
        <v>160</v>
      </c>
      <c r="BU6" t="s">
        <v>205</v>
      </c>
      <c r="BV6" t="s">
        <v>201</v>
      </c>
      <c r="BW6" t="s">
        <v>206</v>
      </c>
      <c r="BX6" t="s">
        <v>207</v>
      </c>
      <c r="BY6" t="s">
        <v>172</v>
      </c>
      <c r="BZ6" t="s">
        <v>208</v>
      </c>
      <c r="CA6" t="s">
        <v>172</v>
      </c>
      <c r="CB6" t="s">
        <v>172</v>
      </c>
      <c r="CC6" t="s">
        <v>209</v>
      </c>
      <c r="CD6" t="s">
        <v>210</v>
      </c>
      <c r="CE6" t="s">
        <v>197</v>
      </c>
      <c r="CF6" t="s">
        <v>211</v>
      </c>
      <c r="CG6" t="s">
        <v>212</v>
      </c>
      <c r="CH6" t="s">
        <v>213</v>
      </c>
      <c r="CI6" t="s">
        <v>178</v>
      </c>
      <c r="CJ6" t="s">
        <v>206</v>
      </c>
      <c r="CK6" t="s">
        <v>214</v>
      </c>
      <c r="CL6" t="s">
        <v>214</v>
      </c>
      <c r="CM6" t="s">
        <v>214</v>
      </c>
      <c r="CN6" t="s">
        <v>172</v>
      </c>
      <c r="CO6" t="s">
        <v>215</v>
      </c>
      <c r="CP6" t="s">
        <v>172</v>
      </c>
      <c r="CQ6" t="s">
        <v>172</v>
      </c>
      <c r="CR6" t="s">
        <v>172</v>
      </c>
      <c r="CS6" t="s">
        <v>172</v>
      </c>
      <c r="CT6" t="s">
        <v>870</v>
      </c>
      <c r="CU6" t="s">
        <v>871</v>
      </c>
      <c r="CV6" t="s">
        <v>872</v>
      </c>
      <c r="CW6" t="s">
        <v>873</v>
      </c>
      <c r="CX6" t="s">
        <v>874</v>
      </c>
      <c r="CY6" t="s">
        <v>875</v>
      </c>
      <c r="CZ6" t="s">
        <v>876</v>
      </c>
      <c r="DA6" t="s">
        <v>877</v>
      </c>
      <c r="DB6" t="s">
        <v>847</v>
      </c>
      <c r="DC6" t="s">
        <v>596</v>
      </c>
      <c r="DD6" t="s">
        <v>225</v>
      </c>
      <c r="DE6" t="s">
        <v>226</v>
      </c>
      <c r="DF6" t="s">
        <v>178</v>
      </c>
      <c r="DG6" t="s">
        <v>227</v>
      </c>
      <c r="DH6" t="s">
        <v>228</v>
      </c>
      <c r="DI6" t="s">
        <v>178</v>
      </c>
      <c r="DJ6" t="s">
        <v>229</v>
      </c>
      <c r="DK6" t="s">
        <v>230</v>
      </c>
      <c r="DL6" t="s">
        <v>231</v>
      </c>
      <c r="DM6" t="s">
        <v>172</v>
      </c>
      <c r="DN6" t="s">
        <v>846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3">
      <c r="A7" t="s">
        <v>957</v>
      </c>
      <c r="B7" t="s">
        <v>958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1461</v>
      </c>
      <c r="I7" t="s">
        <v>959</v>
      </c>
      <c r="J7">
        <v>0.38416648403665316</v>
      </c>
      <c r="K7">
        <v>2.9074300800000006</v>
      </c>
      <c r="L7">
        <v>0.33932991777286581</v>
      </c>
      <c r="M7">
        <v>7.6485604343497968</v>
      </c>
      <c r="N7" t="s">
        <v>960</v>
      </c>
      <c r="O7" t="s">
        <v>961</v>
      </c>
      <c r="P7">
        <v>4.4806027997972375</v>
      </c>
      <c r="Q7">
        <v>2.2171947997972374</v>
      </c>
      <c r="R7" t="s">
        <v>962</v>
      </c>
      <c r="S7" t="s">
        <v>963</v>
      </c>
      <c r="T7">
        <v>44.03973658145506</v>
      </c>
      <c r="U7">
        <v>0.4417875</v>
      </c>
      <c r="V7" t="s">
        <v>170</v>
      </c>
      <c r="W7" t="s">
        <v>964</v>
      </c>
      <c r="X7" t="s">
        <v>172</v>
      </c>
      <c r="Y7" t="s">
        <v>172</v>
      </c>
      <c r="Z7" t="s">
        <v>172</v>
      </c>
      <c r="AA7" t="s">
        <v>965</v>
      </c>
      <c r="AB7" t="s">
        <v>966</v>
      </c>
      <c r="AC7" t="s">
        <v>967</v>
      </c>
      <c r="AD7" t="s">
        <v>176</v>
      </c>
      <c r="AE7" t="s">
        <v>177</v>
      </c>
      <c r="AF7">
        <v>205.77662111999999</v>
      </c>
      <c r="AG7" t="s">
        <v>178</v>
      </c>
      <c r="AH7" t="s">
        <v>968</v>
      </c>
      <c r="AI7" t="s">
        <v>969</v>
      </c>
      <c r="AJ7" t="s">
        <v>970</v>
      </c>
      <c r="AK7" t="s">
        <v>971</v>
      </c>
      <c r="AL7">
        <v>30.88</v>
      </c>
      <c r="AM7" t="s">
        <v>972</v>
      </c>
      <c r="AN7" t="s">
        <v>293</v>
      </c>
      <c r="AO7" t="s">
        <v>973</v>
      </c>
      <c r="AP7" t="s">
        <v>739</v>
      </c>
      <c r="AQ7" t="s">
        <v>974</v>
      </c>
      <c r="AR7" t="s">
        <v>975</v>
      </c>
      <c r="AS7" t="s">
        <v>976</v>
      </c>
      <c r="AT7" t="s">
        <v>977</v>
      </c>
      <c r="AU7" t="s">
        <v>978</v>
      </c>
      <c r="AV7" t="s">
        <v>979</v>
      </c>
      <c r="AW7" t="s">
        <v>980</v>
      </c>
      <c r="AX7" t="s">
        <v>981</v>
      </c>
      <c r="AY7" t="s">
        <v>982</v>
      </c>
      <c r="AZ7" t="s">
        <v>414</v>
      </c>
      <c r="BA7" t="s">
        <v>983</v>
      </c>
      <c r="BB7" t="s">
        <v>984</v>
      </c>
      <c r="BC7" t="s">
        <v>985</v>
      </c>
      <c r="BD7" t="s">
        <v>162</v>
      </c>
      <c r="BE7" t="s">
        <v>374</v>
      </c>
      <c r="BF7" t="s">
        <v>500</v>
      </c>
      <c r="BG7" t="s">
        <v>986</v>
      </c>
      <c r="BH7" t="s">
        <v>679</v>
      </c>
      <c r="BI7" t="s">
        <v>920</v>
      </c>
      <c r="BJ7" t="s">
        <v>944</v>
      </c>
      <c r="BK7" t="s">
        <v>162</v>
      </c>
      <c r="BL7" t="s">
        <v>945</v>
      </c>
      <c r="BM7" t="s">
        <v>160</v>
      </c>
      <c r="BN7" t="s">
        <v>264</v>
      </c>
      <c r="BO7" t="s">
        <v>265</v>
      </c>
      <c r="BP7" t="s">
        <v>302</v>
      </c>
      <c r="BQ7" t="s">
        <v>987</v>
      </c>
      <c r="BR7" t="s">
        <v>988</v>
      </c>
      <c r="BS7" t="s">
        <v>989</v>
      </c>
      <c r="BT7" t="s">
        <v>160</v>
      </c>
      <c r="BU7" t="s">
        <v>205</v>
      </c>
      <c r="BV7" t="s">
        <v>201</v>
      </c>
      <c r="BW7" t="s">
        <v>206</v>
      </c>
      <c r="BX7" t="s">
        <v>207</v>
      </c>
      <c r="BY7" t="s">
        <v>172</v>
      </c>
      <c r="BZ7" t="s">
        <v>208</v>
      </c>
      <c r="CA7" t="s">
        <v>172</v>
      </c>
      <c r="CB7" t="s">
        <v>172</v>
      </c>
      <c r="CC7" t="s">
        <v>209</v>
      </c>
      <c r="CD7" t="s">
        <v>210</v>
      </c>
      <c r="CE7" t="s">
        <v>197</v>
      </c>
      <c r="CF7" t="s">
        <v>211</v>
      </c>
      <c r="CG7" t="s">
        <v>212</v>
      </c>
      <c r="CH7" t="s">
        <v>213</v>
      </c>
      <c r="CI7" t="s">
        <v>178</v>
      </c>
      <c r="CJ7" t="s">
        <v>206</v>
      </c>
      <c r="CK7" t="s">
        <v>214</v>
      </c>
      <c r="CL7" t="s">
        <v>214</v>
      </c>
      <c r="CM7" t="s">
        <v>214</v>
      </c>
      <c r="CN7" t="s">
        <v>172</v>
      </c>
      <c r="CO7" t="s">
        <v>215</v>
      </c>
      <c r="CP7" t="s">
        <v>172</v>
      </c>
      <c r="CQ7" t="s">
        <v>172</v>
      </c>
      <c r="CR7" t="s">
        <v>172</v>
      </c>
      <c r="CS7" t="s">
        <v>172</v>
      </c>
      <c r="CT7" t="s">
        <v>990</v>
      </c>
      <c r="CU7" t="s">
        <v>991</v>
      </c>
      <c r="CV7" t="s">
        <v>992</v>
      </c>
      <c r="CW7" t="s">
        <v>993</v>
      </c>
      <c r="CX7" t="s">
        <v>994</v>
      </c>
      <c r="CY7" t="s">
        <v>995</v>
      </c>
      <c r="CZ7" t="s">
        <v>996</v>
      </c>
      <c r="DA7" t="s">
        <v>997</v>
      </c>
      <c r="DB7" t="s">
        <v>965</v>
      </c>
      <c r="DC7" t="s">
        <v>998</v>
      </c>
      <c r="DD7" t="s">
        <v>225</v>
      </c>
      <c r="DE7" t="s">
        <v>226</v>
      </c>
      <c r="DF7" t="s">
        <v>178</v>
      </c>
      <c r="DG7" t="s">
        <v>227</v>
      </c>
      <c r="DH7" t="s">
        <v>228</v>
      </c>
      <c r="DI7" t="s">
        <v>178</v>
      </c>
      <c r="DJ7" t="s">
        <v>229</v>
      </c>
      <c r="DK7" t="s">
        <v>230</v>
      </c>
      <c r="DL7" t="s">
        <v>231</v>
      </c>
      <c r="DM7" t="s">
        <v>172</v>
      </c>
      <c r="DN7" t="s">
        <v>964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3">
      <c r="A8" t="s">
        <v>1113</v>
      </c>
      <c r="B8" t="s">
        <v>1114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1462</v>
      </c>
      <c r="I8" t="s">
        <v>1115</v>
      </c>
      <c r="J8">
        <v>0.33046324583796416</v>
      </c>
      <c r="K8">
        <v>2.9042299199999997</v>
      </c>
      <c r="L8">
        <v>0.29670240632369377</v>
      </c>
      <c r="M8">
        <v>7.7220220679280525</v>
      </c>
      <c r="N8" t="s">
        <v>1116</v>
      </c>
      <c r="O8" t="s">
        <v>1117</v>
      </c>
      <c r="P8">
        <v>4.813052132030621</v>
      </c>
      <c r="Q8">
        <v>2.555554132030621</v>
      </c>
      <c r="R8" t="s">
        <v>1118</v>
      </c>
      <c r="S8" t="s">
        <v>1119</v>
      </c>
      <c r="T8">
        <v>47.312023316923437</v>
      </c>
      <c r="U8">
        <v>0.4417875</v>
      </c>
      <c r="V8" t="s">
        <v>170</v>
      </c>
      <c r="W8" t="s">
        <v>1120</v>
      </c>
      <c r="X8" t="s">
        <v>172</v>
      </c>
      <c r="Y8" t="s">
        <v>172</v>
      </c>
      <c r="Z8" t="s">
        <v>172</v>
      </c>
      <c r="AA8" t="s">
        <v>1121</v>
      </c>
      <c r="AB8" t="s">
        <v>1122</v>
      </c>
      <c r="AC8" t="s">
        <v>1123</v>
      </c>
      <c r="AD8" t="s">
        <v>176</v>
      </c>
      <c r="AE8" t="s">
        <v>177</v>
      </c>
      <c r="AF8">
        <v>291.273864</v>
      </c>
      <c r="AG8" t="s">
        <v>178</v>
      </c>
      <c r="AH8" t="s">
        <v>1124</v>
      </c>
      <c r="AI8" t="s">
        <v>1125</v>
      </c>
      <c r="AJ8" t="s">
        <v>1126</v>
      </c>
      <c r="AK8" t="s">
        <v>1127</v>
      </c>
      <c r="AL8">
        <v>32.14</v>
      </c>
      <c r="AM8" t="s">
        <v>854</v>
      </c>
      <c r="AN8" t="s">
        <v>254</v>
      </c>
      <c r="AO8" t="s">
        <v>1128</v>
      </c>
      <c r="AP8" t="s">
        <v>572</v>
      </c>
      <c r="AQ8" t="s">
        <v>1129</v>
      </c>
      <c r="AR8" t="s">
        <v>1130</v>
      </c>
      <c r="AS8" t="s">
        <v>1131</v>
      </c>
      <c r="AT8" t="s">
        <v>391</v>
      </c>
      <c r="AU8" t="s">
        <v>1132</v>
      </c>
      <c r="AV8" t="s">
        <v>1133</v>
      </c>
      <c r="AW8" t="s">
        <v>1134</v>
      </c>
      <c r="AX8" t="s">
        <v>1135</v>
      </c>
      <c r="AY8" t="s">
        <v>1136</v>
      </c>
      <c r="AZ8" t="s">
        <v>414</v>
      </c>
      <c r="BA8" t="s">
        <v>1097</v>
      </c>
      <c r="BB8" t="s">
        <v>1098</v>
      </c>
      <c r="BC8" t="s">
        <v>1137</v>
      </c>
      <c r="BD8" t="s">
        <v>162</v>
      </c>
      <c r="BE8" t="s">
        <v>1138</v>
      </c>
      <c r="BF8" t="s">
        <v>625</v>
      </c>
      <c r="BG8" t="s">
        <v>1139</v>
      </c>
      <c r="BH8" t="s">
        <v>534</v>
      </c>
      <c r="BI8" t="s">
        <v>1140</v>
      </c>
      <c r="BJ8" t="s">
        <v>944</v>
      </c>
      <c r="BK8" t="s">
        <v>162</v>
      </c>
      <c r="BL8" t="s">
        <v>945</v>
      </c>
      <c r="BM8" t="s">
        <v>160</v>
      </c>
      <c r="BN8" t="s">
        <v>201</v>
      </c>
      <c r="BO8" t="s">
        <v>264</v>
      </c>
      <c r="BP8" t="s">
        <v>200</v>
      </c>
      <c r="BQ8" t="s">
        <v>1141</v>
      </c>
      <c r="BR8" t="s">
        <v>1142</v>
      </c>
      <c r="BS8" t="s">
        <v>1143</v>
      </c>
      <c r="BT8" t="s">
        <v>160</v>
      </c>
      <c r="BU8" t="s">
        <v>205</v>
      </c>
      <c r="BV8" t="s">
        <v>201</v>
      </c>
      <c r="BW8" t="s">
        <v>206</v>
      </c>
      <c r="BX8" t="s">
        <v>207</v>
      </c>
      <c r="BY8" t="s">
        <v>172</v>
      </c>
      <c r="BZ8" t="s">
        <v>208</v>
      </c>
      <c r="CA8" t="s">
        <v>172</v>
      </c>
      <c r="CB8" t="s">
        <v>172</v>
      </c>
      <c r="CC8" t="s">
        <v>209</v>
      </c>
      <c r="CD8" t="s">
        <v>210</v>
      </c>
      <c r="CE8" t="s">
        <v>197</v>
      </c>
      <c r="CF8" t="s">
        <v>211</v>
      </c>
      <c r="CG8" t="s">
        <v>212</v>
      </c>
      <c r="CH8" t="s">
        <v>213</v>
      </c>
      <c r="CI8" t="s">
        <v>178</v>
      </c>
      <c r="CJ8" t="s">
        <v>206</v>
      </c>
      <c r="CK8" t="s">
        <v>214</v>
      </c>
      <c r="CL8" t="s">
        <v>214</v>
      </c>
      <c r="CM8" t="s">
        <v>214</v>
      </c>
      <c r="CN8" t="s">
        <v>172</v>
      </c>
      <c r="CO8" t="s">
        <v>215</v>
      </c>
      <c r="CP8" t="s">
        <v>172</v>
      </c>
      <c r="CQ8" t="s">
        <v>172</v>
      </c>
      <c r="CR8" t="s">
        <v>172</v>
      </c>
      <c r="CS8" t="s">
        <v>172</v>
      </c>
      <c r="CT8" t="s">
        <v>1144</v>
      </c>
      <c r="CU8" t="s">
        <v>1145</v>
      </c>
      <c r="CV8" t="s">
        <v>1146</v>
      </c>
      <c r="CW8" t="s">
        <v>1147</v>
      </c>
      <c r="CX8" t="s">
        <v>1148</v>
      </c>
      <c r="CY8" t="s">
        <v>1149</v>
      </c>
      <c r="CZ8" t="s">
        <v>1150</v>
      </c>
      <c r="DA8" t="s">
        <v>1151</v>
      </c>
      <c r="DB8" t="s">
        <v>1121</v>
      </c>
      <c r="DC8" t="s">
        <v>277</v>
      </c>
      <c r="DD8" t="s">
        <v>225</v>
      </c>
      <c r="DE8" t="s">
        <v>226</v>
      </c>
      <c r="DF8" t="s">
        <v>178</v>
      </c>
      <c r="DG8" t="s">
        <v>227</v>
      </c>
      <c r="DH8" t="s">
        <v>228</v>
      </c>
      <c r="DI8" t="s">
        <v>178</v>
      </c>
      <c r="DJ8" t="s">
        <v>229</v>
      </c>
      <c r="DK8" t="s">
        <v>230</v>
      </c>
      <c r="DL8" t="s">
        <v>231</v>
      </c>
      <c r="DM8" t="s">
        <v>172</v>
      </c>
      <c r="DN8" t="s">
        <v>1120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x14ac:dyDescent="0.3">
      <c r="A9" t="s">
        <v>1269</v>
      </c>
      <c r="B9" t="s">
        <v>1270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1463</v>
      </c>
      <c r="I9" t="s">
        <v>1271</v>
      </c>
      <c r="J9">
        <v>0.39684563803994594</v>
      </c>
      <c r="K9">
        <v>2.9066320800000001</v>
      </c>
      <c r="L9">
        <v>0.34917270851742649</v>
      </c>
      <c r="M9">
        <v>8.4967579595064961</v>
      </c>
      <c r="N9" t="s">
        <v>1272</v>
      </c>
      <c r="O9" t="s">
        <v>1273</v>
      </c>
      <c r="P9">
        <v>4.7293288978029242</v>
      </c>
      <c r="Q9">
        <v>2.3895588978029241</v>
      </c>
      <c r="R9" t="s">
        <v>1274</v>
      </c>
      <c r="S9" t="s">
        <v>1275</v>
      </c>
      <c r="T9">
        <v>46.489028780132941</v>
      </c>
      <c r="U9">
        <v>0.4417875</v>
      </c>
      <c r="V9" t="s">
        <v>170</v>
      </c>
      <c r="W9" t="s">
        <v>1276</v>
      </c>
      <c r="X9" t="s">
        <v>172</v>
      </c>
      <c r="Y9" t="s">
        <v>172</v>
      </c>
      <c r="Z9" t="s">
        <v>172</v>
      </c>
      <c r="AA9" t="s">
        <v>1277</v>
      </c>
      <c r="AB9" t="s">
        <v>1278</v>
      </c>
      <c r="AC9" t="s">
        <v>1279</v>
      </c>
      <c r="AD9" t="s">
        <v>176</v>
      </c>
      <c r="AE9" t="s">
        <v>177</v>
      </c>
      <c r="AF9">
        <v>267.76130430000001</v>
      </c>
      <c r="AG9" t="s">
        <v>178</v>
      </c>
      <c r="AH9" t="s">
        <v>1280</v>
      </c>
      <c r="AI9" t="s">
        <v>1281</v>
      </c>
      <c r="AJ9" t="s">
        <v>1282</v>
      </c>
      <c r="AK9" t="s">
        <v>1283</v>
      </c>
      <c r="AL9">
        <v>31.83</v>
      </c>
      <c r="AM9" t="s">
        <v>854</v>
      </c>
      <c r="AN9" t="s">
        <v>1089</v>
      </c>
      <c r="AO9" t="s">
        <v>1284</v>
      </c>
      <c r="AP9" t="s">
        <v>1285</v>
      </c>
      <c r="AQ9" t="s">
        <v>1286</v>
      </c>
      <c r="AR9" t="s">
        <v>452</v>
      </c>
      <c r="AS9" t="s">
        <v>659</v>
      </c>
      <c r="AT9" t="s">
        <v>391</v>
      </c>
      <c r="AU9" t="s">
        <v>205</v>
      </c>
      <c r="AV9" t="s">
        <v>1287</v>
      </c>
      <c r="AW9" t="s">
        <v>1288</v>
      </c>
      <c r="AX9" t="s">
        <v>1289</v>
      </c>
      <c r="AY9" t="s">
        <v>1290</v>
      </c>
      <c r="AZ9" t="s">
        <v>414</v>
      </c>
      <c r="BA9" t="s">
        <v>1291</v>
      </c>
      <c r="BB9" t="s">
        <v>1292</v>
      </c>
      <c r="BC9" t="s">
        <v>1293</v>
      </c>
      <c r="BD9" t="s">
        <v>162</v>
      </c>
      <c r="BE9" t="s">
        <v>866</v>
      </c>
      <c r="BF9" t="s">
        <v>748</v>
      </c>
      <c r="BG9" t="s">
        <v>1294</v>
      </c>
      <c r="BH9" t="s">
        <v>679</v>
      </c>
      <c r="BI9" t="s">
        <v>710</v>
      </c>
      <c r="BJ9" t="s">
        <v>944</v>
      </c>
      <c r="BK9" t="s">
        <v>162</v>
      </c>
      <c r="BL9" t="s">
        <v>945</v>
      </c>
      <c r="BM9" t="s">
        <v>160</v>
      </c>
      <c r="BN9" t="s">
        <v>378</v>
      </c>
      <c r="BO9" t="s">
        <v>265</v>
      </c>
      <c r="BP9" t="s">
        <v>264</v>
      </c>
      <c r="BQ9" t="s">
        <v>1295</v>
      </c>
      <c r="BR9" t="s">
        <v>1296</v>
      </c>
      <c r="BS9" t="s">
        <v>1297</v>
      </c>
      <c r="BT9" t="s">
        <v>160</v>
      </c>
      <c r="BU9" t="s">
        <v>205</v>
      </c>
      <c r="BV9" t="s">
        <v>201</v>
      </c>
      <c r="BW9" t="s">
        <v>206</v>
      </c>
      <c r="BX9" t="s">
        <v>207</v>
      </c>
      <c r="BY9" t="s">
        <v>172</v>
      </c>
      <c r="BZ9" t="s">
        <v>208</v>
      </c>
      <c r="CA9" t="s">
        <v>172</v>
      </c>
      <c r="CB9" t="s">
        <v>172</v>
      </c>
      <c r="CC9" t="s">
        <v>209</v>
      </c>
      <c r="CD9" t="s">
        <v>210</v>
      </c>
      <c r="CE9" t="s">
        <v>197</v>
      </c>
      <c r="CF9" t="s">
        <v>211</v>
      </c>
      <c r="CG9" t="s">
        <v>212</v>
      </c>
      <c r="CH9" t="s">
        <v>213</v>
      </c>
      <c r="CI9" t="s">
        <v>178</v>
      </c>
      <c r="CJ9" t="s">
        <v>206</v>
      </c>
      <c r="CK9" t="s">
        <v>214</v>
      </c>
      <c r="CL9" t="s">
        <v>214</v>
      </c>
      <c r="CM9" t="s">
        <v>214</v>
      </c>
      <c r="CN9" t="s">
        <v>172</v>
      </c>
      <c r="CO9" t="s">
        <v>215</v>
      </c>
      <c r="CP9" t="s">
        <v>172</v>
      </c>
      <c r="CQ9" t="s">
        <v>172</v>
      </c>
      <c r="CR9" t="s">
        <v>172</v>
      </c>
      <c r="CS9" t="s">
        <v>172</v>
      </c>
      <c r="CT9" t="s">
        <v>1298</v>
      </c>
      <c r="CU9" t="s">
        <v>1299</v>
      </c>
      <c r="CV9" t="s">
        <v>1300</v>
      </c>
      <c r="CW9" t="s">
        <v>1301</v>
      </c>
      <c r="CX9" t="s">
        <v>1302</v>
      </c>
      <c r="CY9" t="s">
        <v>1303</v>
      </c>
      <c r="CZ9" t="s">
        <v>1304</v>
      </c>
      <c r="DA9" t="s">
        <v>1305</v>
      </c>
      <c r="DB9" t="s">
        <v>1277</v>
      </c>
      <c r="DC9" t="s">
        <v>596</v>
      </c>
      <c r="DD9" t="s">
        <v>225</v>
      </c>
      <c r="DE9" t="s">
        <v>226</v>
      </c>
      <c r="DF9" t="s">
        <v>178</v>
      </c>
      <c r="DG9" t="s">
        <v>227</v>
      </c>
      <c r="DH9" t="s">
        <v>228</v>
      </c>
      <c r="DI9" t="s">
        <v>178</v>
      </c>
      <c r="DJ9" t="s">
        <v>229</v>
      </c>
      <c r="DK9" t="s">
        <v>230</v>
      </c>
      <c r="DL9" t="s">
        <v>231</v>
      </c>
      <c r="DM9" t="s">
        <v>172</v>
      </c>
      <c r="DN9" t="s">
        <v>1276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1" spans="1:124" x14ac:dyDescent="0.3">
      <c r="A11" t="s">
        <v>238</v>
      </c>
      <c r="B11" t="s">
        <v>239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1464</v>
      </c>
      <c r="I11" t="s">
        <v>240</v>
      </c>
      <c r="J11">
        <v>0.34797671592436008</v>
      </c>
      <c r="K11">
        <v>2.9042299199999997</v>
      </c>
      <c r="L11">
        <v>0.31074421246410977</v>
      </c>
      <c r="M11">
        <v>5.6925937655594305</v>
      </c>
      <c r="N11" t="s">
        <v>241</v>
      </c>
      <c r="O11" t="s">
        <v>242</v>
      </c>
      <c r="P11">
        <v>4.0194461398186379</v>
      </c>
      <c r="Q11">
        <v>1.8063711398186379</v>
      </c>
      <c r="R11" t="s">
        <v>243</v>
      </c>
      <c r="S11" t="s">
        <v>244</v>
      </c>
      <c r="T11">
        <v>39.514806722558376</v>
      </c>
      <c r="U11">
        <v>0.4417875</v>
      </c>
      <c r="V11" t="s">
        <v>170</v>
      </c>
      <c r="W11" t="s">
        <v>245</v>
      </c>
      <c r="X11" t="s">
        <v>172</v>
      </c>
      <c r="Y11" t="s">
        <v>172</v>
      </c>
      <c r="Z11" t="s">
        <v>172</v>
      </c>
      <c r="AA11" t="s">
        <v>246</v>
      </c>
      <c r="AB11" t="s">
        <v>247</v>
      </c>
      <c r="AC11" t="s">
        <v>248</v>
      </c>
      <c r="AD11" t="s">
        <v>176</v>
      </c>
      <c r="AE11" t="s">
        <v>177</v>
      </c>
      <c r="AF11">
        <v>144.27262079999997</v>
      </c>
      <c r="AG11" t="s">
        <v>178</v>
      </c>
      <c r="AH11" t="s">
        <v>249</v>
      </c>
      <c r="AI11" t="s">
        <v>250</v>
      </c>
      <c r="AJ11" t="s">
        <v>251</v>
      </c>
      <c r="AK11" t="s">
        <v>252</v>
      </c>
      <c r="AL11">
        <v>28.99</v>
      </c>
      <c r="AM11" t="s">
        <v>253</v>
      </c>
      <c r="AN11" t="s">
        <v>254</v>
      </c>
      <c r="AO11" t="s">
        <v>255</v>
      </c>
      <c r="AP11" t="s">
        <v>256</v>
      </c>
      <c r="AQ11" t="s">
        <v>257</v>
      </c>
      <c r="AR11" t="s">
        <v>258</v>
      </c>
      <c r="AS11" t="s">
        <v>259</v>
      </c>
      <c r="AT11" t="s">
        <v>260</v>
      </c>
      <c r="AU11" t="s">
        <v>261</v>
      </c>
      <c r="AV11" t="s">
        <v>138</v>
      </c>
      <c r="AW11" t="s">
        <v>138</v>
      </c>
      <c r="AX11" t="s">
        <v>262</v>
      </c>
      <c r="AY11" t="s">
        <v>263</v>
      </c>
      <c r="AZ11" t="s">
        <v>138</v>
      </c>
      <c r="BA11" t="s">
        <v>138</v>
      </c>
      <c r="BB11" t="s">
        <v>138</v>
      </c>
      <c r="BC11" t="s">
        <v>194</v>
      </c>
      <c r="BD11" t="s">
        <v>195</v>
      </c>
      <c r="BE11" t="s">
        <v>196</v>
      </c>
      <c r="BF11" t="s">
        <v>196</v>
      </c>
      <c r="BG11" t="s">
        <v>196</v>
      </c>
      <c r="BH11" t="s">
        <v>197</v>
      </c>
      <c r="BI11" t="s">
        <v>196</v>
      </c>
      <c r="BJ11" t="s">
        <v>198</v>
      </c>
      <c r="BK11" t="s">
        <v>162</v>
      </c>
      <c r="BL11" t="s">
        <v>199</v>
      </c>
      <c r="BM11" t="s">
        <v>160</v>
      </c>
      <c r="BN11" t="s">
        <v>264</v>
      </c>
      <c r="BO11" t="s">
        <v>265</v>
      </c>
      <c r="BP11" t="s">
        <v>266</v>
      </c>
      <c r="BQ11" t="s">
        <v>264</v>
      </c>
      <c r="BR11" t="s">
        <v>267</v>
      </c>
      <c r="BS11" t="s">
        <v>268</v>
      </c>
      <c r="BT11" t="s">
        <v>160</v>
      </c>
      <c r="BU11" t="s">
        <v>205</v>
      </c>
      <c r="BV11" t="s">
        <v>201</v>
      </c>
      <c r="BW11" t="s">
        <v>206</v>
      </c>
      <c r="BX11" t="s">
        <v>207</v>
      </c>
      <c r="BY11" t="s">
        <v>172</v>
      </c>
      <c r="BZ11" t="s">
        <v>208</v>
      </c>
      <c r="CA11" t="s">
        <v>172</v>
      </c>
      <c r="CB11" t="s">
        <v>172</v>
      </c>
      <c r="CC11" t="s">
        <v>209</v>
      </c>
      <c r="CD11" t="s">
        <v>210</v>
      </c>
      <c r="CE11" t="s">
        <v>197</v>
      </c>
      <c r="CF11" t="s">
        <v>211</v>
      </c>
      <c r="CG11" t="s">
        <v>212</v>
      </c>
      <c r="CH11" t="s">
        <v>213</v>
      </c>
      <c r="CI11" t="s">
        <v>178</v>
      </c>
      <c r="CJ11" t="s">
        <v>206</v>
      </c>
      <c r="CK11" t="s">
        <v>214</v>
      </c>
      <c r="CL11" t="s">
        <v>214</v>
      </c>
      <c r="CM11" t="s">
        <v>214</v>
      </c>
      <c r="CN11" t="s">
        <v>172</v>
      </c>
      <c r="CO11" t="s">
        <v>215</v>
      </c>
      <c r="CP11" t="s">
        <v>172</v>
      </c>
      <c r="CQ11" t="s">
        <v>172</v>
      </c>
      <c r="CR11" t="s">
        <v>172</v>
      </c>
      <c r="CS11" t="s">
        <v>172</v>
      </c>
      <c r="CT11" t="s">
        <v>269</v>
      </c>
      <c r="CU11" t="s">
        <v>270</v>
      </c>
      <c r="CV11" t="s">
        <v>271</v>
      </c>
      <c r="CW11" t="s">
        <v>272</v>
      </c>
      <c r="CX11" t="s">
        <v>273</v>
      </c>
      <c r="CY11" t="s">
        <v>274</v>
      </c>
      <c r="CZ11" t="s">
        <v>275</v>
      </c>
      <c r="DA11" t="s">
        <v>276</v>
      </c>
      <c r="DB11" t="s">
        <v>246</v>
      </c>
      <c r="DC11" t="s">
        <v>277</v>
      </c>
      <c r="DD11" t="s">
        <v>225</v>
      </c>
      <c r="DE11" t="s">
        <v>226</v>
      </c>
      <c r="DF11" t="s">
        <v>178</v>
      </c>
      <c r="DG11" t="s">
        <v>227</v>
      </c>
      <c r="DH11" t="s">
        <v>228</v>
      </c>
      <c r="DI11" t="s">
        <v>178</v>
      </c>
      <c r="DJ11" t="s">
        <v>229</v>
      </c>
      <c r="DK11" t="s">
        <v>230</v>
      </c>
      <c r="DL11" t="s">
        <v>231</v>
      </c>
      <c r="DM11" t="s">
        <v>172</v>
      </c>
      <c r="DN11" t="s">
        <v>245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3">
      <c r="A12" t="s">
        <v>391</v>
      </c>
      <c r="B12" t="s">
        <v>392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1465</v>
      </c>
      <c r="I12" t="s">
        <v>393</v>
      </c>
      <c r="J12">
        <v>0.34572609141933158</v>
      </c>
      <c r="K12">
        <v>2.9058327199999998</v>
      </c>
      <c r="L12">
        <v>0.30896632872695273</v>
      </c>
      <c r="M12">
        <v>5.6843925567230018</v>
      </c>
      <c r="N12" t="s">
        <v>394</v>
      </c>
      <c r="O12" t="s">
        <v>395</v>
      </c>
      <c r="P12">
        <v>3.991617971572166</v>
      </c>
      <c r="Q12">
        <v>1.8147949715721658</v>
      </c>
      <c r="R12" t="s">
        <v>396</v>
      </c>
      <c r="S12" t="s">
        <v>397</v>
      </c>
      <c r="T12">
        <v>39.241230550257235</v>
      </c>
      <c r="U12">
        <v>0.4417875</v>
      </c>
      <c r="V12" t="s">
        <v>170</v>
      </c>
      <c r="W12" t="s">
        <v>398</v>
      </c>
      <c r="X12" t="s">
        <v>172</v>
      </c>
      <c r="Y12" t="s">
        <v>172</v>
      </c>
      <c r="Z12" t="s">
        <v>172</v>
      </c>
      <c r="AA12" t="s">
        <v>399</v>
      </c>
      <c r="AB12" t="s">
        <v>400</v>
      </c>
      <c r="AC12" t="s">
        <v>401</v>
      </c>
      <c r="AD12" t="s">
        <v>176</v>
      </c>
      <c r="AE12" t="s">
        <v>177</v>
      </c>
      <c r="AF12">
        <v>156.10690661999999</v>
      </c>
      <c r="AG12" t="s">
        <v>178</v>
      </c>
      <c r="AH12" t="s">
        <v>402</v>
      </c>
      <c r="AI12" t="s">
        <v>403</v>
      </c>
      <c r="AJ12" t="s">
        <v>404</v>
      </c>
      <c r="AK12" t="s">
        <v>405</v>
      </c>
      <c r="AL12">
        <v>28.87</v>
      </c>
      <c r="AM12" t="s">
        <v>253</v>
      </c>
      <c r="AN12" t="s">
        <v>406</v>
      </c>
      <c r="AO12" t="s">
        <v>185</v>
      </c>
      <c r="AP12" t="s">
        <v>186</v>
      </c>
      <c r="AQ12" t="s">
        <v>407</v>
      </c>
      <c r="AR12" t="s">
        <v>333</v>
      </c>
      <c r="AS12" t="s">
        <v>408</v>
      </c>
      <c r="AT12" t="s">
        <v>190</v>
      </c>
      <c r="AU12" t="s">
        <v>409</v>
      </c>
      <c r="AV12" t="s">
        <v>410</v>
      </c>
      <c r="AW12" t="s">
        <v>411</v>
      </c>
      <c r="AX12" t="s">
        <v>412</v>
      </c>
      <c r="AY12" t="s">
        <v>413</v>
      </c>
      <c r="AZ12" t="s">
        <v>414</v>
      </c>
      <c r="BA12" t="s">
        <v>415</v>
      </c>
      <c r="BB12" t="s">
        <v>416</v>
      </c>
      <c r="BC12" t="s">
        <v>417</v>
      </c>
      <c r="BD12" t="s">
        <v>162</v>
      </c>
      <c r="BE12" t="s">
        <v>418</v>
      </c>
      <c r="BF12" t="s">
        <v>419</v>
      </c>
      <c r="BG12" t="s">
        <v>420</v>
      </c>
      <c r="BH12" t="s">
        <v>391</v>
      </c>
      <c r="BI12" t="s">
        <v>421</v>
      </c>
      <c r="BJ12" t="s">
        <v>198</v>
      </c>
      <c r="BK12" t="s">
        <v>162</v>
      </c>
      <c r="BL12" t="s">
        <v>199</v>
      </c>
      <c r="BM12" t="s">
        <v>160</v>
      </c>
      <c r="BN12" t="s">
        <v>339</v>
      </c>
      <c r="BO12" t="s">
        <v>265</v>
      </c>
      <c r="BP12" t="s">
        <v>266</v>
      </c>
      <c r="BQ12" t="s">
        <v>422</v>
      </c>
      <c r="BR12" t="s">
        <v>423</v>
      </c>
      <c r="BS12" t="s">
        <v>424</v>
      </c>
      <c r="BT12" t="s">
        <v>160</v>
      </c>
      <c r="BU12" t="s">
        <v>205</v>
      </c>
      <c r="BV12" t="s">
        <v>201</v>
      </c>
      <c r="BW12" t="s">
        <v>206</v>
      </c>
      <c r="BX12" t="s">
        <v>207</v>
      </c>
      <c r="BY12" t="s">
        <v>172</v>
      </c>
      <c r="BZ12" t="s">
        <v>208</v>
      </c>
      <c r="CA12" t="s">
        <v>172</v>
      </c>
      <c r="CB12" t="s">
        <v>172</v>
      </c>
      <c r="CC12" t="s">
        <v>209</v>
      </c>
      <c r="CD12" t="s">
        <v>210</v>
      </c>
      <c r="CE12" t="s">
        <v>197</v>
      </c>
      <c r="CF12" t="s">
        <v>211</v>
      </c>
      <c r="CG12" t="s">
        <v>212</v>
      </c>
      <c r="CH12" t="s">
        <v>213</v>
      </c>
      <c r="CI12" t="s">
        <v>178</v>
      </c>
      <c r="CJ12" t="s">
        <v>206</v>
      </c>
      <c r="CK12" t="s">
        <v>214</v>
      </c>
      <c r="CL12" t="s">
        <v>214</v>
      </c>
      <c r="CM12" t="s">
        <v>214</v>
      </c>
      <c r="CN12" t="s">
        <v>172</v>
      </c>
      <c r="CO12" t="s">
        <v>215</v>
      </c>
      <c r="CP12" t="s">
        <v>172</v>
      </c>
      <c r="CQ12" t="s">
        <v>172</v>
      </c>
      <c r="CR12" t="s">
        <v>172</v>
      </c>
      <c r="CS12" t="s">
        <v>172</v>
      </c>
      <c r="CT12" t="s">
        <v>425</v>
      </c>
      <c r="CU12" t="s">
        <v>426</v>
      </c>
      <c r="CV12" t="s">
        <v>427</v>
      </c>
      <c r="CW12" t="s">
        <v>428</v>
      </c>
      <c r="CX12" t="s">
        <v>429</v>
      </c>
      <c r="CY12" t="s">
        <v>430</v>
      </c>
      <c r="CZ12" t="s">
        <v>431</v>
      </c>
      <c r="DA12" t="s">
        <v>432</v>
      </c>
      <c r="DB12" t="s">
        <v>399</v>
      </c>
      <c r="DC12" t="s">
        <v>433</v>
      </c>
      <c r="DD12" t="s">
        <v>225</v>
      </c>
      <c r="DE12" t="s">
        <v>226</v>
      </c>
      <c r="DF12" t="s">
        <v>178</v>
      </c>
      <c r="DG12" t="s">
        <v>227</v>
      </c>
      <c r="DH12" t="s">
        <v>228</v>
      </c>
      <c r="DI12" t="s">
        <v>178</v>
      </c>
      <c r="DJ12" t="s">
        <v>229</v>
      </c>
      <c r="DK12" t="s">
        <v>230</v>
      </c>
      <c r="DL12" t="s">
        <v>231</v>
      </c>
      <c r="DM12" t="s">
        <v>172</v>
      </c>
      <c r="DN12" t="s">
        <v>398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3">
      <c r="A13" t="s">
        <v>555</v>
      </c>
      <c r="B13" t="s">
        <v>556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1470</v>
      </c>
      <c r="I13" t="s">
        <v>557</v>
      </c>
      <c r="J13">
        <v>0.34893097819248031</v>
      </c>
      <c r="K13">
        <v>2.9058327199999998</v>
      </c>
      <c r="L13">
        <v>0.31152339999871587</v>
      </c>
      <c r="M13">
        <v>5.4268275193124298</v>
      </c>
      <c r="N13" t="s">
        <v>558</v>
      </c>
      <c r="O13" t="s">
        <v>559</v>
      </c>
      <c r="P13">
        <v>3.9708572473731842</v>
      </c>
      <c r="Q13">
        <v>1.7173792473731844</v>
      </c>
      <c r="R13" t="s">
        <v>560</v>
      </c>
      <c r="S13" t="s">
        <v>561</v>
      </c>
      <c r="T13">
        <v>39.04481069196838</v>
      </c>
      <c r="U13">
        <v>0.4417875</v>
      </c>
      <c r="V13" t="s">
        <v>170</v>
      </c>
      <c r="W13" t="s">
        <v>562</v>
      </c>
      <c r="X13" t="s">
        <v>172</v>
      </c>
      <c r="Y13" t="s">
        <v>172</v>
      </c>
      <c r="Z13" t="s">
        <v>172</v>
      </c>
      <c r="AA13" t="s">
        <v>563</v>
      </c>
      <c r="AB13" t="s">
        <v>564</v>
      </c>
      <c r="AC13" t="s">
        <v>565</v>
      </c>
      <c r="AD13" t="s">
        <v>176</v>
      </c>
      <c r="AE13" t="s">
        <v>177</v>
      </c>
      <c r="AF13">
        <v>114.71984076</v>
      </c>
      <c r="AG13" t="s">
        <v>178</v>
      </c>
      <c r="AH13" t="s">
        <v>566</v>
      </c>
      <c r="AI13" t="s">
        <v>567</v>
      </c>
      <c r="AJ13" t="s">
        <v>568</v>
      </c>
      <c r="AK13" t="s">
        <v>569</v>
      </c>
      <c r="AL13">
        <v>28.78</v>
      </c>
      <c r="AM13" t="s">
        <v>570</v>
      </c>
      <c r="AN13" t="s">
        <v>406</v>
      </c>
      <c r="AO13" t="s">
        <v>571</v>
      </c>
      <c r="AP13" t="s">
        <v>572</v>
      </c>
      <c r="AQ13" t="s">
        <v>573</v>
      </c>
      <c r="AR13" t="s">
        <v>574</v>
      </c>
      <c r="AS13" t="s">
        <v>575</v>
      </c>
      <c r="AT13" t="s">
        <v>576</v>
      </c>
      <c r="AU13" t="s">
        <v>577</v>
      </c>
      <c r="AV13" t="s">
        <v>578</v>
      </c>
      <c r="AW13" t="s">
        <v>579</v>
      </c>
      <c r="AX13" t="s">
        <v>580</v>
      </c>
      <c r="AY13" t="s">
        <v>581</v>
      </c>
      <c r="AZ13" t="s">
        <v>414</v>
      </c>
      <c r="BA13" t="s">
        <v>540</v>
      </c>
      <c r="BB13" t="s">
        <v>541</v>
      </c>
      <c r="BC13" t="s">
        <v>582</v>
      </c>
      <c r="BD13" t="s">
        <v>162</v>
      </c>
      <c r="BE13" t="s">
        <v>583</v>
      </c>
      <c r="BF13" t="s">
        <v>419</v>
      </c>
      <c r="BG13" t="s">
        <v>543</v>
      </c>
      <c r="BH13" t="s">
        <v>475</v>
      </c>
      <c r="BI13" t="s">
        <v>584</v>
      </c>
      <c r="BJ13" t="s">
        <v>198</v>
      </c>
      <c r="BK13" t="s">
        <v>162</v>
      </c>
      <c r="BL13" t="s">
        <v>199</v>
      </c>
      <c r="BM13" t="s">
        <v>160</v>
      </c>
      <c r="BN13" t="s">
        <v>378</v>
      </c>
      <c r="BO13" t="s">
        <v>378</v>
      </c>
      <c r="BP13" t="s">
        <v>302</v>
      </c>
      <c r="BQ13" t="s">
        <v>585</v>
      </c>
      <c r="BR13" t="s">
        <v>586</v>
      </c>
      <c r="BS13" t="s">
        <v>587</v>
      </c>
      <c r="BT13" t="s">
        <v>160</v>
      </c>
      <c r="BU13" t="s">
        <v>205</v>
      </c>
      <c r="BV13" t="s">
        <v>201</v>
      </c>
      <c r="BW13" t="s">
        <v>206</v>
      </c>
      <c r="BX13" t="s">
        <v>207</v>
      </c>
      <c r="BY13" t="s">
        <v>172</v>
      </c>
      <c r="BZ13" t="s">
        <v>208</v>
      </c>
      <c r="CA13" t="s">
        <v>172</v>
      </c>
      <c r="CB13" t="s">
        <v>172</v>
      </c>
      <c r="CC13" t="s">
        <v>209</v>
      </c>
      <c r="CD13" t="s">
        <v>210</v>
      </c>
      <c r="CE13" t="s">
        <v>197</v>
      </c>
      <c r="CF13" t="s">
        <v>211</v>
      </c>
      <c r="CG13" t="s">
        <v>212</v>
      </c>
      <c r="CH13" t="s">
        <v>213</v>
      </c>
      <c r="CI13" t="s">
        <v>178</v>
      </c>
      <c r="CJ13" t="s">
        <v>206</v>
      </c>
      <c r="CK13" t="s">
        <v>214</v>
      </c>
      <c r="CL13" t="s">
        <v>214</v>
      </c>
      <c r="CM13" t="s">
        <v>214</v>
      </c>
      <c r="CN13" t="s">
        <v>172</v>
      </c>
      <c r="CO13" t="s">
        <v>215</v>
      </c>
      <c r="CP13" t="s">
        <v>172</v>
      </c>
      <c r="CQ13" t="s">
        <v>172</v>
      </c>
      <c r="CR13" t="s">
        <v>172</v>
      </c>
      <c r="CS13" t="s">
        <v>172</v>
      </c>
      <c r="CT13" t="s">
        <v>588</v>
      </c>
      <c r="CU13" t="s">
        <v>589</v>
      </c>
      <c r="CV13" t="s">
        <v>590</v>
      </c>
      <c r="CW13" t="s">
        <v>591</v>
      </c>
      <c r="CX13" t="s">
        <v>592</v>
      </c>
      <c r="CY13" t="s">
        <v>593</v>
      </c>
      <c r="CZ13" t="s">
        <v>594</v>
      </c>
      <c r="DA13" t="s">
        <v>595</v>
      </c>
      <c r="DB13" t="s">
        <v>563</v>
      </c>
      <c r="DC13" t="s">
        <v>596</v>
      </c>
      <c r="DD13" t="s">
        <v>225</v>
      </c>
      <c r="DE13" t="s">
        <v>226</v>
      </c>
      <c r="DF13" t="s">
        <v>178</v>
      </c>
      <c r="DG13" t="s">
        <v>227</v>
      </c>
      <c r="DH13" t="s">
        <v>228</v>
      </c>
      <c r="DI13" t="s">
        <v>178</v>
      </c>
      <c r="DJ13" t="s">
        <v>229</v>
      </c>
      <c r="DK13" t="s">
        <v>230</v>
      </c>
      <c r="DL13" t="s">
        <v>231</v>
      </c>
      <c r="DM13" t="s">
        <v>172</v>
      </c>
      <c r="DN13" t="s">
        <v>562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3">
      <c r="A14" t="s">
        <v>723</v>
      </c>
      <c r="B14" t="s">
        <v>724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1473</v>
      </c>
      <c r="I14" t="s">
        <v>725</v>
      </c>
      <c r="J14">
        <v>0.39562201029715705</v>
      </c>
      <c r="K14">
        <v>2.9058327199999998</v>
      </c>
      <c r="L14">
        <v>0.3482135834617916</v>
      </c>
      <c r="M14">
        <v>6.3469784427041827</v>
      </c>
      <c r="N14" t="s">
        <v>726</v>
      </c>
      <c r="O14" t="s">
        <v>727</v>
      </c>
      <c r="P14">
        <v>4.1348412365490201</v>
      </c>
      <c r="Q14">
        <v>1.7951322365490201</v>
      </c>
      <c r="R14" t="s">
        <v>728</v>
      </c>
      <c r="S14" t="s">
        <v>729</v>
      </c>
      <c r="T14">
        <v>40.649245345546802</v>
      </c>
      <c r="U14">
        <v>0.4417875</v>
      </c>
      <c r="V14" t="s">
        <v>170</v>
      </c>
      <c r="W14" t="s">
        <v>730</v>
      </c>
      <c r="X14" t="s">
        <v>172</v>
      </c>
      <c r="Y14" t="s">
        <v>172</v>
      </c>
      <c r="Z14" t="s">
        <v>172</v>
      </c>
      <c r="AA14" t="s">
        <v>731</v>
      </c>
      <c r="AB14" t="s">
        <v>732</v>
      </c>
      <c r="AC14" t="s">
        <v>733</v>
      </c>
      <c r="AD14" t="s">
        <v>176</v>
      </c>
      <c r="AE14" t="s">
        <v>177</v>
      </c>
      <c r="AF14">
        <v>180.80505072</v>
      </c>
      <c r="AG14" t="s">
        <v>178</v>
      </c>
      <c r="AH14" t="s">
        <v>734</v>
      </c>
      <c r="AI14" t="s">
        <v>735</v>
      </c>
      <c r="AJ14" t="s">
        <v>736</v>
      </c>
      <c r="AK14" t="s">
        <v>737</v>
      </c>
      <c r="AL14">
        <v>29.48</v>
      </c>
      <c r="AM14" t="s">
        <v>253</v>
      </c>
      <c r="AN14" t="s">
        <v>406</v>
      </c>
      <c r="AO14" t="s">
        <v>738</v>
      </c>
      <c r="AP14" t="s">
        <v>739</v>
      </c>
      <c r="AQ14" t="s">
        <v>740</v>
      </c>
      <c r="AR14" t="s">
        <v>698</v>
      </c>
      <c r="AS14" t="s">
        <v>741</v>
      </c>
      <c r="AT14" t="s">
        <v>742</v>
      </c>
      <c r="AU14" t="s">
        <v>701</v>
      </c>
      <c r="AV14" t="s">
        <v>743</v>
      </c>
      <c r="AW14" t="s">
        <v>744</v>
      </c>
      <c r="AX14" t="s">
        <v>745</v>
      </c>
      <c r="AY14" t="s">
        <v>746</v>
      </c>
      <c r="AZ14" t="s">
        <v>414</v>
      </c>
      <c r="BA14" t="s">
        <v>706</v>
      </c>
      <c r="BB14" t="s">
        <v>707</v>
      </c>
      <c r="BC14" t="s">
        <v>747</v>
      </c>
      <c r="BD14" t="s">
        <v>162</v>
      </c>
      <c r="BE14" t="s">
        <v>460</v>
      </c>
      <c r="BF14" t="s">
        <v>748</v>
      </c>
      <c r="BG14" t="s">
        <v>749</v>
      </c>
      <c r="BH14" t="s">
        <v>597</v>
      </c>
      <c r="BI14" t="s">
        <v>750</v>
      </c>
      <c r="BJ14" t="s">
        <v>198</v>
      </c>
      <c r="BK14" t="s">
        <v>162</v>
      </c>
      <c r="BL14" t="s">
        <v>199</v>
      </c>
      <c r="BM14" t="s">
        <v>160</v>
      </c>
      <c r="BN14" t="s">
        <v>201</v>
      </c>
      <c r="BO14" t="s">
        <v>265</v>
      </c>
      <c r="BP14" t="s">
        <v>266</v>
      </c>
      <c r="BQ14" t="s">
        <v>751</v>
      </c>
      <c r="BR14" t="s">
        <v>752</v>
      </c>
      <c r="BS14" t="s">
        <v>753</v>
      </c>
      <c r="BT14" t="s">
        <v>160</v>
      </c>
      <c r="BU14" t="s">
        <v>205</v>
      </c>
      <c r="BV14" t="s">
        <v>201</v>
      </c>
      <c r="BW14" t="s">
        <v>206</v>
      </c>
      <c r="BX14" t="s">
        <v>207</v>
      </c>
      <c r="BY14" t="s">
        <v>172</v>
      </c>
      <c r="BZ14" t="s">
        <v>208</v>
      </c>
      <c r="CA14" t="s">
        <v>172</v>
      </c>
      <c r="CB14" t="s">
        <v>172</v>
      </c>
      <c r="CC14" t="s">
        <v>209</v>
      </c>
      <c r="CD14" t="s">
        <v>210</v>
      </c>
      <c r="CE14" t="s">
        <v>197</v>
      </c>
      <c r="CF14" t="s">
        <v>211</v>
      </c>
      <c r="CG14" t="s">
        <v>212</v>
      </c>
      <c r="CH14" t="s">
        <v>213</v>
      </c>
      <c r="CI14" t="s">
        <v>178</v>
      </c>
      <c r="CJ14" t="s">
        <v>206</v>
      </c>
      <c r="CK14" t="s">
        <v>214</v>
      </c>
      <c r="CL14" t="s">
        <v>214</v>
      </c>
      <c r="CM14" t="s">
        <v>214</v>
      </c>
      <c r="CN14" t="s">
        <v>172</v>
      </c>
      <c r="CO14" t="s">
        <v>215</v>
      </c>
      <c r="CP14" t="s">
        <v>172</v>
      </c>
      <c r="CQ14" t="s">
        <v>172</v>
      </c>
      <c r="CR14" t="s">
        <v>172</v>
      </c>
      <c r="CS14" t="s">
        <v>172</v>
      </c>
      <c r="CT14" t="s">
        <v>754</v>
      </c>
      <c r="CU14" t="s">
        <v>755</v>
      </c>
      <c r="CV14" t="s">
        <v>756</v>
      </c>
      <c r="CW14" t="s">
        <v>757</v>
      </c>
      <c r="CX14" t="s">
        <v>758</v>
      </c>
      <c r="CY14" t="s">
        <v>759</v>
      </c>
      <c r="CZ14" t="s">
        <v>760</v>
      </c>
      <c r="DA14" t="s">
        <v>761</v>
      </c>
      <c r="DB14" t="s">
        <v>731</v>
      </c>
      <c r="DC14" t="s">
        <v>596</v>
      </c>
      <c r="DD14" t="s">
        <v>225</v>
      </c>
      <c r="DE14" t="s">
        <v>226</v>
      </c>
      <c r="DF14" t="s">
        <v>178</v>
      </c>
      <c r="DG14" t="s">
        <v>227</v>
      </c>
      <c r="DH14" t="s">
        <v>228</v>
      </c>
      <c r="DI14" t="s">
        <v>178</v>
      </c>
      <c r="DJ14" t="s">
        <v>229</v>
      </c>
      <c r="DK14" t="s">
        <v>230</v>
      </c>
      <c r="DL14" t="s">
        <v>231</v>
      </c>
      <c r="DM14" t="s">
        <v>172</v>
      </c>
      <c r="DN14" t="s">
        <v>730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3">
      <c r="A15" t="s">
        <v>370</v>
      </c>
      <c r="B15" t="s">
        <v>878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1476</v>
      </c>
      <c r="I15" t="s">
        <v>879</v>
      </c>
      <c r="J15">
        <v>0.36988604546588849</v>
      </c>
      <c r="K15">
        <v>2.9042299199999997</v>
      </c>
      <c r="L15">
        <v>0.32809898353116401</v>
      </c>
      <c r="M15">
        <v>8.0258829860625198</v>
      </c>
      <c r="N15" t="s">
        <v>880</v>
      </c>
      <c r="O15" t="s">
        <v>881</v>
      </c>
      <c r="P15">
        <v>4.7561967531330742</v>
      </c>
      <c r="Q15">
        <v>2.4012067531330743</v>
      </c>
      <c r="R15" t="s">
        <v>882</v>
      </c>
      <c r="S15" t="s">
        <v>883</v>
      </c>
      <c r="T15">
        <v>46.757734497965735</v>
      </c>
      <c r="U15">
        <v>0.4417875</v>
      </c>
      <c r="V15" t="s">
        <v>170</v>
      </c>
      <c r="W15" t="s">
        <v>884</v>
      </c>
      <c r="X15" t="s">
        <v>172</v>
      </c>
      <c r="Y15" t="s">
        <v>172</v>
      </c>
      <c r="Z15" t="s">
        <v>172</v>
      </c>
      <c r="AA15" t="s">
        <v>885</v>
      </c>
      <c r="AB15" t="s">
        <v>886</v>
      </c>
      <c r="AC15" t="s">
        <v>887</v>
      </c>
      <c r="AD15" t="s">
        <v>176</v>
      </c>
      <c r="AE15" t="s">
        <v>177</v>
      </c>
      <c r="AF15">
        <v>218.75133839999998</v>
      </c>
      <c r="AG15" t="s">
        <v>178</v>
      </c>
      <c r="AH15" t="s">
        <v>888</v>
      </c>
      <c r="AI15" t="s">
        <v>889</v>
      </c>
      <c r="AJ15" t="s">
        <v>890</v>
      </c>
      <c r="AK15" t="s">
        <v>891</v>
      </c>
      <c r="AL15">
        <v>31.93</v>
      </c>
      <c r="AM15" t="s">
        <v>253</v>
      </c>
      <c r="AN15" t="s">
        <v>254</v>
      </c>
      <c r="AO15" t="s">
        <v>892</v>
      </c>
      <c r="AP15" t="s">
        <v>893</v>
      </c>
      <c r="AQ15" t="s">
        <v>894</v>
      </c>
      <c r="AR15" t="s">
        <v>895</v>
      </c>
      <c r="AS15" t="s">
        <v>616</v>
      </c>
      <c r="AT15" t="s">
        <v>334</v>
      </c>
      <c r="AU15" t="s">
        <v>896</v>
      </c>
      <c r="AV15" t="s">
        <v>897</v>
      </c>
      <c r="AW15" t="s">
        <v>898</v>
      </c>
      <c r="AX15" t="s">
        <v>899</v>
      </c>
      <c r="AY15" t="s">
        <v>900</v>
      </c>
      <c r="AZ15" t="s">
        <v>414</v>
      </c>
      <c r="BA15" t="s">
        <v>901</v>
      </c>
      <c r="BB15" t="s">
        <v>445</v>
      </c>
      <c r="BC15" t="s">
        <v>902</v>
      </c>
      <c r="BD15" t="s">
        <v>162</v>
      </c>
      <c r="BE15" t="s">
        <v>418</v>
      </c>
      <c r="BF15" t="s">
        <v>500</v>
      </c>
      <c r="BG15" t="s">
        <v>903</v>
      </c>
      <c r="BH15" t="s">
        <v>597</v>
      </c>
      <c r="BI15" t="s">
        <v>904</v>
      </c>
      <c r="BJ15" t="s">
        <v>198</v>
      </c>
      <c r="BK15" t="s">
        <v>162</v>
      </c>
      <c r="BL15" t="s">
        <v>199</v>
      </c>
      <c r="BM15" t="s">
        <v>160</v>
      </c>
      <c r="BN15" t="s">
        <v>201</v>
      </c>
      <c r="BO15" t="s">
        <v>201</v>
      </c>
      <c r="BP15" t="s">
        <v>302</v>
      </c>
      <c r="BQ15" t="s">
        <v>267</v>
      </c>
      <c r="BR15" t="s">
        <v>905</v>
      </c>
      <c r="BS15" t="s">
        <v>906</v>
      </c>
      <c r="BT15" t="s">
        <v>160</v>
      </c>
      <c r="BU15" t="s">
        <v>205</v>
      </c>
      <c r="BV15" t="s">
        <v>201</v>
      </c>
      <c r="BW15" t="s">
        <v>206</v>
      </c>
      <c r="BX15" t="s">
        <v>207</v>
      </c>
      <c r="BY15" t="s">
        <v>172</v>
      </c>
      <c r="BZ15" t="s">
        <v>208</v>
      </c>
      <c r="CA15" t="s">
        <v>172</v>
      </c>
      <c r="CB15" t="s">
        <v>172</v>
      </c>
      <c r="CC15" t="s">
        <v>209</v>
      </c>
      <c r="CD15" t="s">
        <v>210</v>
      </c>
      <c r="CE15" t="s">
        <v>197</v>
      </c>
      <c r="CF15" t="s">
        <v>211</v>
      </c>
      <c r="CG15" t="s">
        <v>212</v>
      </c>
      <c r="CH15" t="s">
        <v>213</v>
      </c>
      <c r="CI15" t="s">
        <v>178</v>
      </c>
      <c r="CJ15" t="s">
        <v>206</v>
      </c>
      <c r="CK15" t="s">
        <v>214</v>
      </c>
      <c r="CL15" t="s">
        <v>214</v>
      </c>
      <c r="CM15" t="s">
        <v>214</v>
      </c>
      <c r="CN15" t="s">
        <v>172</v>
      </c>
      <c r="CO15" t="s">
        <v>215</v>
      </c>
      <c r="CP15" t="s">
        <v>172</v>
      </c>
      <c r="CQ15" t="s">
        <v>172</v>
      </c>
      <c r="CR15" t="s">
        <v>172</v>
      </c>
      <c r="CS15" t="s">
        <v>172</v>
      </c>
      <c r="CT15" t="s">
        <v>907</v>
      </c>
      <c r="CU15" t="s">
        <v>908</v>
      </c>
      <c r="CV15" t="s">
        <v>909</v>
      </c>
      <c r="CW15" t="s">
        <v>910</v>
      </c>
      <c r="CX15" t="s">
        <v>911</v>
      </c>
      <c r="CY15" t="s">
        <v>912</v>
      </c>
      <c r="CZ15" t="s">
        <v>913</v>
      </c>
      <c r="DA15" t="s">
        <v>914</v>
      </c>
      <c r="DB15" t="s">
        <v>885</v>
      </c>
      <c r="DC15" t="s">
        <v>915</v>
      </c>
      <c r="DD15" t="s">
        <v>225</v>
      </c>
      <c r="DE15" t="s">
        <v>226</v>
      </c>
      <c r="DF15" t="s">
        <v>178</v>
      </c>
      <c r="DG15" t="s">
        <v>227</v>
      </c>
      <c r="DH15" t="s">
        <v>228</v>
      </c>
      <c r="DI15" t="s">
        <v>178</v>
      </c>
      <c r="DJ15" t="s">
        <v>229</v>
      </c>
      <c r="DK15" t="s">
        <v>230</v>
      </c>
      <c r="DL15" t="s">
        <v>231</v>
      </c>
      <c r="DM15" t="s">
        <v>172</v>
      </c>
      <c r="DN15" t="s">
        <v>884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3">
      <c r="A16" t="s">
        <v>999</v>
      </c>
      <c r="B16" t="s">
        <v>1000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1478</v>
      </c>
      <c r="I16" t="s">
        <v>1001</v>
      </c>
      <c r="J16">
        <v>0.32164033564242145</v>
      </c>
      <c r="K16">
        <v>2.9050319999999994</v>
      </c>
      <c r="L16">
        <v>0.28957866505708996</v>
      </c>
      <c r="M16">
        <v>6.5323527318759949</v>
      </c>
      <c r="N16" t="s">
        <v>1002</v>
      </c>
      <c r="O16" t="s">
        <v>1003</v>
      </c>
      <c r="P16">
        <v>4.5036672221641663</v>
      </c>
      <c r="Q16">
        <v>2.2184752221641664</v>
      </c>
      <c r="R16" t="s">
        <v>1004</v>
      </c>
      <c r="S16" t="s">
        <v>1005</v>
      </c>
      <c r="T16">
        <v>44.266436231218464</v>
      </c>
      <c r="U16">
        <v>0.4417875</v>
      </c>
      <c r="V16" t="s">
        <v>170</v>
      </c>
      <c r="W16" t="s">
        <v>1006</v>
      </c>
      <c r="X16" t="s">
        <v>172</v>
      </c>
      <c r="Y16" t="s">
        <v>172</v>
      </c>
      <c r="Z16" t="s">
        <v>172</v>
      </c>
      <c r="AA16" t="s">
        <v>1007</v>
      </c>
      <c r="AB16" t="s">
        <v>1008</v>
      </c>
      <c r="AC16" t="s">
        <v>1009</v>
      </c>
      <c r="AD16" t="s">
        <v>176</v>
      </c>
      <c r="AE16" t="s">
        <v>177</v>
      </c>
      <c r="AF16">
        <v>257.34499937999999</v>
      </c>
      <c r="AG16" t="s">
        <v>178</v>
      </c>
      <c r="AH16" t="s">
        <v>1010</v>
      </c>
      <c r="AI16" t="s">
        <v>1011</v>
      </c>
      <c r="AJ16" t="s">
        <v>1012</v>
      </c>
      <c r="AK16" t="s">
        <v>1013</v>
      </c>
      <c r="AL16">
        <v>30.97</v>
      </c>
      <c r="AM16" t="s">
        <v>972</v>
      </c>
      <c r="AN16" t="s">
        <v>184</v>
      </c>
      <c r="AO16" t="s">
        <v>1014</v>
      </c>
      <c r="AP16" t="s">
        <v>1015</v>
      </c>
      <c r="AQ16" t="s">
        <v>1016</v>
      </c>
      <c r="AR16" t="s">
        <v>1017</v>
      </c>
      <c r="AS16" t="s">
        <v>1018</v>
      </c>
      <c r="AT16" t="s">
        <v>434</v>
      </c>
      <c r="AU16" t="s">
        <v>1019</v>
      </c>
      <c r="AV16" t="s">
        <v>1020</v>
      </c>
      <c r="AW16" t="s">
        <v>1021</v>
      </c>
      <c r="AX16" t="s">
        <v>1022</v>
      </c>
      <c r="AY16" t="s">
        <v>1023</v>
      </c>
      <c r="AZ16" t="s">
        <v>414</v>
      </c>
      <c r="BA16" t="s">
        <v>1024</v>
      </c>
      <c r="BB16" t="s">
        <v>1025</v>
      </c>
      <c r="BC16" t="s">
        <v>1026</v>
      </c>
      <c r="BD16" t="s">
        <v>162</v>
      </c>
      <c r="BE16" t="s">
        <v>1027</v>
      </c>
      <c r="BF16" t="s">
        <v>1028</v>
      </c>
      <c r="BG16" t="s">
        <v>1029</v>
      </c>
      <c r="BH16" t="s">
        <v>679</v>
      </c>
      <c r="BI16" t="s">
        <v>920</v>
      </c>
      <c r="BJ16" t="s">
        <v>944</v>
      </c>
      <c r="BK16" t="s">
        <v>162</v>
      </c>
      <c r="BL16" t="s">
        <v>945</v>
      </c>
      <c r="BM16" t="s">
        <v>160</v>
      </c>
      <c r="BN16" t="s">
        <v>200</v>
      </c>
      <c r="BO16" t="s">
        <v>201</v>
      </c>
      <c r="BP16" t="s">
        <v>200</v>
      </c>
      <c r="BQ16" t="s">
        <v>1030</v>
      </c>
      <c r="BR16" t="s">
        <v>1031</v>
      </c>
      <c r="BS16" t="s">
        <v>1032</v>
      </c>
      <c r="BT16" t="s">
        <v>160</v>
      </c>
      <c r="BU16" t="s">
        <v>205</v>
      </c>
      <c r="BV16" t="s">
        <v>201</v>
      </c>
      <c r="BW16" t="s">
        <v>206</v>
      </c>
      <c r="BX16" t="s">
        <v>207</v>
      </c>
      <c r="BY16" t="s">
        <v>172</v>
      </c>
      <c r="BZ16" t="s">
        <v>208</v>
      </c>
      <c r="CA16" t="s">
        <v>172</v>
      </c>
      <c r="CB16" t="s">
        <v>172</v>
      </c>
      <c r="CC16" t="s">
        <v>209</v>
      </c>
      <c r="CD16" t="s">
        <v>210</v>
      </c>
      <c r="CE16" t="s">
        <v>197</v>
      </c>
      <c r="CF16" t="s">
        <v>211</v>
      </c>
      <c r="CG16" t="s">
        <v>212</v>
      </c>
      <c r="CH16" t="s">
        <v>213</v>
      </c>
      <c r="CI16" t="s">
        <v>178</v>
      </c>
      <c r="CJ16" t="s">
        <v>206</v>
      </c>
      <c r="CK16" t="s">
        <v>214</v>
      </c>
      <c r="CL16" t="s">
        <v>214</v>
      </c>
      <c r="CM16" t="s">
        <v>214</v>
      </c>
      <c r="CN16" t="s">
        <v>172</v>
      </c>
      <c r="CO16" t="s">
        <v>215</v>
      </c>
      <c r="CP16" t="s">
        <v>172</v>
      </c>
      <c r="CQ16" t="s">
        <v>172</v>
      </c>
      <c r="CR16" t="s">
        <v>172</v>
      </c>
      <c r="CS16" t="s">
        <v>172</v>
      </c>
      <c r="CT16" t="s">
        <v>1033</v>
      </c>
      <c r="CU16" t="s">
        <v>1034</v>
      </c>
      <c r="CV16" t="s">
        <v>1035</v>
      </c>
      <c r="CW16" t="s">
        <v>1036</v>
      </c>
      <c r="CX16" t="s">
        <v>1037</v>
      </c>
      <c r="CY16" t="s">
        <v>1038</v>
      </c>
      <c r="CZ16" t="s">
        <v>1039</v>
      </c>
      <c r="DA16" t="s">
        <v>1040</v>
      </c>
      <c r="DB16" t="s">
        <v>1007</v>
      </c>
      <c r="DC16" t="s">
        <v>433</v>
      </c>
      <c r="DD16" t="s">
        <v>225</v>
      </c>
      <c r="DE16" t="s">
        <v>226</v>
      </c>
      <c r="DF16" t="s">
        <v>178</v>
      </c>
      <c r="DG16" t="s">
        <v>227</v>
      </c>
      <c r="DH16" t="s">
        <v>228</v>
      </c>
      <c r="DI16" t="s">
        <v>178</v>
      </c>
      <c r="DJ16" t="s">
        <v>229</v>
      </c>
      <c r="DK16" t="s">
        <v>230</v>
      </c>
      <c r="DL16" t="s">
        <v>231</v>
      </c>
      <c r="DM16" t="s">
        <v>172</v>
      </c>
      <c r="DN16" t="s">
        <v>1006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x14ac:dyDescent="0.3">
      <c r="A17" t="s">
        <v>1152</v>
      </c>
      <c r="B17" t="s">
        <v>1153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1480</v>
      </c>
      <c r="I17" t="s">
        <v>1154</v>
      </c>
      <c r="J17">
        <v>0.40311249297785967</v>
      </c>
      <c r="K17">
        <v>2.9058327199999998</v>
      </c>
      <c r="L17">
        <v>0.35400328398960185</v>
      </c>
      <c r="M17">
        <v>7.0168932514528617</v>
      </c>
      <c r="N17" t="s">
        <v>1155</v>
      </c>
      <c r="O17" t="s">
        <v>1156</v>
      </c>
      <c r="P17">
        <v>4.1779507641521736</v>
      </c>
      <c r="Q17">
        <v>1.9529277641521734</v>
      </c>
      <c r="R17" t="s">
        <v>1157</v>
      </c>
      <c r="S17" t="s">
        <v>1158</v>
      </c>
      <c r="T17">
        <v>41.069013704435015</v>
      </c>
      <c r="U17">
        <v>0.4417875</v>
      </c>
      <c r="V17" t="s">
        <v>170</v>
      </c>
      <c r="W17" t="s">
        <v>1159</v>
      </c>
      <c r="X17" t="s">
        <v>172</v>
      </c>
      <c r="Y17" t="s">
        <v>172</v>
      </c>
      <c r="Z17" t="s">
        <v>172</v>
      </c>
      <c r="AA17" t="s">
        <v>1160</v>
      </c>
      <c r="AB17" t="s">
        <v>1161</v>
      </c>
      <c r="AC17" t="s">
        <v>1162</v>
      </c>
      <c r="AD17" t="s">
        <v>176</v>
      </c>
      <c r="AE17" t="s">
        <v>177</v>
      </c>
      <c r="AF17">
        <v>187.04648087999999</v>
      </c>
      <c r="AG17" t="s">
        <v>178</v>
      </c>
      <c r="AH17" t="s">
        <v>1163</v>
      </c>
      <c r="AI17" t="s">
        <v>1164</v>
      </c>
      <c r="AJ17" t="s">
        <v>1165</v>
      </c>
      <c r="AK17" t="s">
        <v>1166</v>
      </c>
      <c r="AL17">
        <v>29.66</v>
      </c>
      <c r="AM17" t="s">
        <v>854</v>
      </c>
      <c r="AN17" t="s">
        <v>406</v>
      </c>
      <c r="AO17" t="s">
        <v>366</v>
      </c>
      <c r="AP17" t="s">
        <v>855</v>
      </c>
      <c r="AQ17" t="s">
        <v>1167</v>
      </c>
      <c r="AR17" t="s">
        <v>1168</v>
      </c>
      <c r="AS17" t="s">
        <v>298</v>
      </c>
      <c r="AT17" t="s">
        <v>160</v>
      </c>
      <c r="AU17" t="s">
        <v>1169</v>
      </c>
      <c r="AV17" t="s">
        <v>1170</v>
      </c>
      <c r="AW17" t="s">
        <v>1171</v>
      </c>
      <c r="AX17" t="s">
        <v>1172</v>
      </c>
      <c r="AY17" t="s">
        <v>1173</v>
      </c>
      <c r="AZ17" t="s">
        <v>414</v>
      </c>
      <c r="BA17" t="s">
        <v>1174</v>
      </c>
      <c r="BB17" t="s">
        <v>1175</v>
      </c>
      <c r="BC17" t="s">
        <v>1176</v>
      </c>
      <c r="BD17" t="s">
        <v>162</v>
      </c>
      <c r="BE17" t="s">
        <v>1027</v>
      </c>
      <c r="BF17" t="s">
        <v>625</v>
      </c>
      <c r="BG17" t="s">
        <v>1177</v>
      </c>
      <c r="BH17" t="s">
        <v>534</v>
      </c>
      <c r="BI17" t="s">
        <v>1140</v>
      </c>
      <c r="BJ17" t="s">
        <v>944</v>
      </c>
      <c r="BK17" t="s">
        <v>162</v>
      </c>
      <c r="BL17" t="s">
        <v>945</v>
      </c>
      <c r="BM17" t="s">
        <v>160</v>
      </c>
      <c r="BN17" t="s">
        <v>378</v>
      </c>
      <c r="BO17" t="s">
        <v>264</v>
      </c>
      <c r="BP17" t="s">
        <v>1178</v>
      </c>
      <c r="BQ17" t="s">
        <v>1179</v>
      </c>
      <c r="BR17" t="s">
        <v>1180</v>
      </c>
      <c r="BS17" t="s">
        <v>1181</v>
      </c>
      <c r="BT17" t="s">
        <v>160</v>
      </c>
      <c r="BU17" t="s">
        <v>205</v>
      </c>
      <c r="BV17" t="s">
        <v>201</v>
      </c>
      <c r="BW17" t="s">
        <v>206</v>
      </c>
      <c r="BX17" t="s">
        <v>207</v>
      </c>
      <c r="BY17" t="s">
        <v>172</v>
      </c>
      <c r="BZ17" t="s">
        <v>208</v>
      </c>
      <c r="CA17" t="s">
        <v>172</v>
      </c>
      <c r="CB17" t="s">
        <v>172</v>
      </c>
      <c r="CC17" t="s">
        <v>209</v>
      </c>
      <c r="CD17" t="s">
        <v>210</v>
      </c>
      <c r="CE17" t="s">
        <v>197</v>
      </c>
      <c r="CF17" t="s">
        <v>211</v>
      </c>
      <c r="CG17" t="s">
        <v>212</v>
      </c>
      <c r="CH17" t="s">
        <v>213</v>
      </c>
      <c r="CI17" t="s">
        <v>178</v>
      </c>
      <c r="CJ17" t="s">
        <v>206</v>
      </c>
      <c r="CK17" t="s">
        <v>214</v>
      </c>
      <c r="CL17" t="s">
        <v>214</v>
      </c>
      <c r="CM17" t="s">
        <v>214</v>
      </c>
      <c r="CN17" t="s">
        <v>172</v>
      </c>
      <c r="CO17" t="s">
        <v>215</v>
      </c>
      <c r="CP17" t="s">
        <v>172</v>
      </c>
      <c r="CQ17" t="s">
        <v>172</v>
      </c>
      <c r="CR17" t="s">
        <v>172</v>
      </c>
      <c r="CS17" t="s">
        <v>172</v>
      </c>
      <c r="CT17" t="s">
        <v>1182</v>
      </c>
      <c r="CU17" t="s">
        <v>1183</v>
      </c>
      <c r="CV17" t="s">
        <v>1184</v>
      </c>
      <c r="CW17" t="s">
        <v>1185</v>
      </c>
      <c r="CX17" t="s">
        <v>1186</v>
      </c>
      <c r="CY17" t="s">
        <v>1187</v>
      </c>
      <c r="CZ17" t="s">
        <v>1188</v>
      </c>
      <c r="DA17" t="s">
        <v>1189</v>
      </c>
      <c r="DB17" t="s">
        <v>1160</v>
      </c>
      <c r="DC17" t="s">
        <v>224</v>
      </c>
      <c r="DD17" t="s">
        <v>225</v>
      </c>
      <c r="DE17" t="s">
        <v>226</v>
      </c>
      <c r="DF17" t="s">
        <v>178</v>
      </c>
      <c r="DG17" t="s">
        <v>227</v>
      </c>
      <c r="DH17" t="s">
        <v>228</v>
      </c>
      <c r="DI17" t="s">
        <v>178</v>
      </c>
      <c r="DJ17" t="s">
        <v>229</v>
      </c>
      <c r="DK17" t="s">
        <v>230</v>
      </c>
      <c r="DL17" t="s">
        <v>231</v>
      </c>
      <c r="DM17" t="s">
        <v>172</v>
      </c>
      <c r="DN17" t="s">
        <v>1159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x14ac:dyDescent="0.3">
      <c r="A18" t="s">
        <v>1306</v>
      </c>
      <c r="B18" t="s">
        <v>1307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1482</v>
      </c>
      <c r="I18" t="s">
        <v>1308</v>
      </c>
      <c r="J18">
        <v>0.27977631214821019</v>
      </c>
      <c r="K18">
        <v>2.9074300800000006</v>
      </c>
      <c r="L18">
        <v>0.25521725471406181</v>
      </c>
      <c r="M18">
        <v>6.7476324071099958</v>
      </c>
      <c r="N18" t="s">
        <v>1309</v>
      </c>
      <c r="O18" t="s">
        <v>1310</v>
      </c>
      <c r="P18">
        <v>4.970366377515127</v>
      </c>
      <c r="Q18">
        <v>2.592157377515127</v>
      </c>
      <c r="R18" t="s">
        <v>1311</v>
      </c>
      <c r="S18" t="s">
        <v>1312</v>
      </c>
      <c r="T18">
        <v>48.86321645217388</v>
      </c>
      <c r="U18">
        <v>0.4417875</v>
      </c>
      <c r="V18" t="s">
        <v>170</v>
      </c>
      <c r="W18" t="s">
        <v>1313</v>
      </c>
      <c r="X18" t="s">
        <v>172</v>
      </c>
      <c r="Y18" t="s">
        <v>172</v>
      </c>
      <c r="Z18" t="s">
        <v>172</v>
      </c>
      <c r="AA18" t="s">
        <v>1314</v>
      </c>
      <c r="AB18" t="s">
        <v>1315</v>
      </c>
      <c r="AC18" t="s">
        <v>1316</v>
      </c>
      <c r="AD18" t="s">
        <v>176</v>
      </c>
      <c r="AE18" t="s">
        <v>177</v>
      </c>
      <c r="AF18">
        <v>298.39560743999999</v>
      </c>
      <c r="AG18" t="s">
        <v>178</v>
      </c>
      <c r="AH18" t="s">
        <v>1317</v>
      </c>
      <c r="AI18" t="s">
        <v>1318</v>
      </c>
      <c r="AJ18" t="s">
        <v>1319</v>
      </c>
      <c r="AK18" t="s">
        <v>970</v>
      </c>
      <c r="AL18">
        <v>32.71</v>
      </c>
      <c r="AM18" t="s">
        <v>253</v>
      </c>
      <c r="AN18" t="s">
        <v>293</v>
      </c>
      <c r="AO18" t="s">
        <v>1320</v>
      </c>
      <c r="AP18" t="s">
        <v>1321</v>
      </c>
      <c r="AQ18" t="s">
        <v>1322</v>
      </c>
      <c r="AR18" t="s">
        <v>1323</v>
      </c>
      <c r="AS18" t="s">
        <v>741</v>
      </c>
      <c r="AT18" t="s">
        <v>455</v>
      </c>
      <c r="AU18" t="s">
        <v>1093</v>
      </c>
      <c r="AV18" t="s">
        <v>1324</v>
      </c>
      <c r="AW18" t="s">
        <v>1325</v>
      </c>
      <c r="AX18" t="s">
        <v>1326</v>
      </c>
      <c r="AY18" t="s">
        <v>1327</v>
      </c>
      <c r="AZ18" t="s">
        <v>414</v>
      </c>
      <c r="BA18" t="s">
        <v>1328</v>
      </c>
      <c r="BB18" t="s">
        <v>1329</v>
      </c>
      <c r="BC18" t="s">
        <v>1330</v>
      </c>
      <c r="BD18" t="s">
        <v>162</v>
      </c>
      <c r="BE18" t="s">
        <v>786</v>
      </c>
      <c r="BF18" t="s">
        <v>625</v>
      </c>
      <c r="BG18" t="s">
        <v>1331</v>
      </c>
      <c r="BH18" t="s">
        <v>723</v>
      </c>
      <c r="BI18" t="s">
        <v>1100</v>
      </c>
      <c r="BJ18" t="s">
        <v>944</v>
      </c>
      <c r="BK18" t="s">
        <v>162</v>
      </c>
      <c r="BL18" t="s">
        <v>945</v>
      </c>
      <c r="BM18" t="s">
        <v>160</v>
      </c>
      <c r="BN18" t="s">
        <v>265</v>
      </c>
      <c r="BO18" t="s">
        <v>378</v>
      </c>
      <c r="BP18" t="s">
        <v>265</v>
      </c>
      <c r="BQ18" t="s">
        <v>1332</v>
      </c>
      <c r="BR18" t="s">
        <v>1333</v>
      </c>
      <c r="BS18" t="s">
        <v>1334</v>
      </c>
      <c r="BT18" t="s">
        <v>160</v>
      </c>
      <c r="BU18" t="s">
        <v>205</v>
      </c>
      <c r="BV18" t="s">
        <v>201</v>
      </c>
      <c r="BW18" t="s">
        <v>206</v>
      </c>
      <c r="BX18" t="s">
        <v>207</v>
      </c>
      <c r="BY18" t="s">
        <v>172</v>
      </c>
      <c r="BZ18" t="s">
        <v>208</v>
      </c>
      <c r="CA18" t="s">
        <v>172</v>
      </c>
      <c r="CB18" t="s">
        <v>172</v>
      </c>
      <c r="CC18" t="s">
        <v>209</v>
      </c>
      <c r="CD18" t="s">
        <v>210</v>
      </c>
      <c r="CE18" t="s">
        <v>197</v>
      </c>
      <c r="CF18" t="s">
        <v>211</v>
      </c>
      <c r="CG18" t="s">
        <v>212</v>
      </c>
      <c r="CH18" t="s">
        <v>213</v>
      </c>
      <c r="CI18" t="s">
        <v>178</v>
      </c>
      <c r="CJ18" t="s">
        <v>206</v>
      </c>
      <c r="CK18" t="s">
        <v>214</v>
      </c>
      <c r="CL18" t="s">
        <v>214</v>
      </c>
      <c r="CM18" t="s">
        <v>214</v>
      </c>
      <c r="CN18" t="s">
        <v>172</v>
      </c>
      <c r="CO18" t="s">
        <v>215</v>
      </c>
      <c r="CP18" t="s">
        <v>172</v>
      </c>
      <c r="CQ18" t="s">
        <v>172</v>
      </c>
      <c r="CR18" t="s">
        <v>172</v>
      </c>
      <c r="CS18" t="s">
        <v>172</v>
      </c>
      <c r="CT18" t="s">
        <v>1335</v>
      </c>
      <c r="CU18" t="s">
        <v>1336</v>
      </c>
      <c r="CV18" t="s">
        <v>1337</v>
      </c>
      <c r="CW18" t="s">
        <v>1338</v>
      </c>
      <c r="CX18" t="s">
        <v>1339</v>
      </c>
      <c r="CY18" t="s">
        <v>1340</v>
      </c>
      <c r="CZ18" t="s">
        <v>1341</v>
      </c>
      <c r="DA18" t="s">
        <v>1342</v>
      </c>
      <c r="DB18" t="s">
        <v>1314</v>
      </c>
      <c r="DC18" t="s">
        <v>1343</v>
      </c>
      <c r="DD18" t="s">
        <v>225</v>
      </c>
      <c r="DE18" t="s">
        <v>226</v>
      </c>
      <c r="DF18" t="s">
        <v>178</v>
      </c>
      <c r="DG18" t="s">
        <v>227</v>
      </c>
      <c r="DH18" t="s">
        <v>228</v>
      </c>
      <c r="DI18" t="s">
        <v>178</v>
      </c>
      <c r="DJ18" t="s">
        <v>229</v>
      </c>
      <c r="DK18" t="s">
        <v>230</v>
      </c>
      <c r="DL18" t="s">
        <v>231</v>
      </c>
      <c r="DM18" t="s">
        <v>172</v>
      </c>
      <c r="DN18" t="s">
        <v>1313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20" spans="1:124" x14ac:dyDescent="0.3">
      <c r="A20" t="s">
        <v>278</v>
      </c>
      <c r="B20" t="s">
        <v>279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1466</v>
      </c>
      <c r="I20" t="s">
        <v>280</v>
      </c>
      <c r="J20">
        <v>0.30001688646160951</v>
      </c>
      <c r="K20">
        <v>2.9074300800000006</v>
      </c>
      <c r="L20">
        <v>0.27195402740164643</v>
      </c>
      <c r="M20">
        <v>5.1759182342456969</v>
      </c>
      <c r="N20" t="s">
        <v>281</v>
      </c>
      <c r="O20" t="s">
        <v>282</v>
      </c>
      <c r="P20">
        <v>4.0427653563132511</v>
      </c>
      <c r="Q20">
        <v>1.876608356313251</v>
      </c>
      <c r="R20" t="s">
        <v>283</v>
      </c>
      <c r="S20" t="s">
        <v>284</v>
      </c>
      <c r="T20">
        <v>39.747963389177578</v>
      </c>
      <c r="U20">
        <v>0.4417875</v>
      </c>
      <c r="V20" t="s">
        <v>170</v>
      </c>
      <c r="W20" t="s">
        <v>285</v>
      </c>
      <c r="X20" t="s">
        <v>172</v>
      </c>
      <c r="Y20" t="s">
        <v>172</v>
      </c>
      <c r="Z20" t="s">
        <v>172</v>
      </c>
      <c r="AA20" t="s">
        <v>286</v>
      </c>
      <c r="AB20" t="s">
        <v>287</v>
      </c>
      <c r="AC20" t="s">
        <v>288</v>
      </c>
      <c r="AD20" t="s">
        <v>176</v>
      </c>
      <c r="AE20" t="s">
        <v>177</v>
      </c>
      <c r="AF20">
        <v>146.30011073999998</v>
      </c>
      <c r="AG20" t="s">
        <v>178</v>
      </c>
      <c r="AH20" t="s">
        <v>289</v>
      </c>
      <c r="AI20" t="s">
        <v>290</v>
      </c>
      <c r="AJ20" t="s">
        <v>291</v>
      </c>
      <c r="AK20" t="s">
        <v>292</v>
      </c>
      <c r="AL20">
        <v>29.09</v>
      </c>
      <c r="AM20" t="s">
        <v>183</v>
      </c>
      <c r="AN20" t="s">
        <v>293</v>
      </c>
      <c r="AO20" t="s">
        <v>294</v>
      </c>
      <c r="AP20" t="s">
        <v>295</v>
      </c>
      <c r="AQ20" t="s">
        <v>296</v>
      </c>
      <c r="AR20" t="s">
        <v>258</v>
      </c>
      <c r="AS20" t="s">
        <v>297</v>
      </c>
      <c r="AT20" t="s">
        <v>298</v>
      </c>
      <c r="AU20" t="s">
        <v>299</v>
      </c>
      <c r="AV20" t="s">
        <v>138</v>
      </c>
      <c r="AW20" t="s">
        <v>138</v>
      </c>
      <c r="AX20" t="s">
        <v>300</v>
      </c>
      <c r="AY20" t="s">
        <v>301</v>
      </c>
      <c r="AZ20" t="s">
        <v>138</v>
      </c>
      <c r="BA20" t="s">
        <v>138</v>
      </c>
      <c r="BB20" t="s">
        <v>138</v>
      </c>
      <c r="BC20" t="s">
        <v>194</v>
      </c>
      <c r="BD20" t="s">
        <v>195</v>
      </c>
      <c r="BE20" t="s">
        <v>196</v>
      </c>
      <c r="BF20" t="s">
        <v>196</v>
      </c>
      <c r="BG20" t="s">
        <v>196</v>
      </c>
      <c r="BH20" t="s">
        <v>197</v>
      </c>
      <c r="BI20" t="s">
        <v>196</v>
      </c>
      <c r="BJ20" t="s">
        <v>198</v>
      </c>
      <c r="BK20" t="s">
        <v>162</v>
      </c>
      <c r="BL20" t="s">
        <v>199</v>
      </c>
      <c r="BM20" t="s">
        <v>160</v>
      </c>
      <c r="BN20" t="s">
        <v>201</v>
      </c>
      <c r="BO20" t="s">
        <v>201</v>
      </c>
      <c r="BP20" t="s">
        <v>302</v>
      </c>
      <c r="BQ20" t="s">
        <v>303</v>
      </c>
      <c r="BR20" t="s">
        <v>304</v>
      </c>
      <c r="BS20" t="s">
        <v>305</v>
      </c>
      <c r="BT20" t="s">
        <v>160</v>
      </c>
      <c r="BU20" t="s">
        <v>205</v>
      </c>
      <c r="BV20" t="s">
        <v>201</v>
      </c>
      <c r="BW20" t="s">
        <v>206</v>
      </c>
      <c r="BX20" t="s">
        <v>207</v>
      </c>
      <c r="BY20" t="s">
        <v>172</v>
      </c>
      <c r="BZ20" t="s">
        <v>208</v>
      </c>
      <c r="CA20" t="s">
        <v>172</v>
      </c>
      <c r="CB20" t="s">
        <v>172</v>
      </c>
      <c r="CC20" t="s">
        <v>209</v>
      </c>
      <c r="CD20" t="s">
        <v>210</v>
      </c>
      <c r="CE20" t="s">
        <v>197</v>
      </c>
      <c r="CF20" t="s">
        <v>211</v>
      </c>
      <c r="CG20" t="s">
        <v>212</v>
      </c>
      <c r="CH20" t="s">
        <v>213</v>
      </c>
      <c r="CI20" t="s">
        <v>178</v>
      </c>
      <c r="CJ20" t="s">
        <v>206</v>
      </c>
      <c r="CK20" t="s">
        <v>214</v>
      </c>
      <c r="CL20" t="s">
        <v>214</v>
      </c>
      <c r="CM20" t="s">
        <v>214</v>
      </c>
      <c r="CN20" t="s">
        <v>172</v>
      </c>
      <c r="CO20" t="s">
        <v>215</v>
      </c>
      <c r="CP20" t="s">
        <v>172</v>
      </c>
      <c r="CQ20" t="s">
        <v>172</v>
      </c>
      <c r="CR20" t="s">
        <v>172</v>
      </c>
      <c r="CS20" t="s">
        <v>172</v>
      </c>
      <c r="CT20" t="s">
        <v>306</v>
      </c>
      <c r="CU20" t="s">
        <v>307</v>
      </c>
      <c r="CV20" t="s">
        <v>308</v>
      </c>
      <c r="CW20" t="s">
        <v>309</v>
      </c>
      <c r="CX20" t="s">
        <v>310</v>
      </c>
      <c r="CY20" t="s">
        <v>311</v>
      </c>
      <c r="CZ20" t="s">
        <v>312</v>
      </c>
      <c r="DA20" t="s">
        <v>313</v>
      </c>
      <c r="DB20" t="s">
        <v>286</v>
      </c>
      <c r="DC20" t="s">
        <v>314</v>
      </c>
      <c r="DD20" t="s">
        <v>225</v>
      </c>
      <c r="DE20" t="s">
        <v>226</v>
      </c>
      <c r="DF20" t="s">
        <v>178</v>
      </c>
      <c r="DG20" t="s">
        <v>227</v>
      </c>
      <c r="DH20" t="s">
        <v>228</v>
      </c>
      <c r="DI20" t="s">
        <v>178</v>
      </c>
      <c r="DJ20" t="s">
        <v>229</v>
      </c>
      <c r="DK20" t="s">
        <v>230</v>
      </c>
      <c r="DL20" t="s">
        <v>231</v>
      </c>
      <c r="DM20" t="s">
        <v>172</v>
      </c>
      <c r="DN20" t="s">
        <v>285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x14ac:dyDescent="0.3">
      <c r="A21" t="s">
        <v>434</v>
      </c>
      <c r="B21" t="s">
        <v>435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1467</v>
      </c>
      <c r="I21" t="s">
        <v>436</v>
      </c>
      <c r="J21">
        <v>0.24556932251285549</v>
      </c>
      <c r="K21">
        <v>2.9042299199999997</v>
      </c>
      <c r="L21">
        <v>0.226423882592274</v>
      </c>
      <c r="M21">
        <v>4.2810778294539658</v>
      </c>
      <c r="N21" t="s">
        <v>437</v>
      </c>
      <c r="O21" t="s">
        <v>438</v>
      </c>
      <c r="P21">
        <v>4.0921199929718073</v>
      </c>
      <c r="Q21">
        <v>1.8632069929718074</v>
      </c>
      <c r="R21" t="s">
        <v>439</v>
      </c>
      <c r="S21" t="s">
        <v>440</v>
      </c>
      <c r="T21">
        <v>40.233212004442116</v>
      </c>
      <c r="U21">
        <v>0.4417875</v>
      </c>
      <c r="V21" t="s">
        <v>170</v>
      </c>
      <c r="W21" t="s">
        <v>441</v>
      </c>
      <c r="X21" t="s">
        <v>172</v>
      </c>
      <c r="Y21" t="s">
        <v>172</v>
      </c>
      <c r="Z21" t="s">
        <v>172</v>
      </c>
      <c r="AA21" t="s">
        <v>442</v>
      </c>
      <c r="AB21" t="s">
        <v>443</v>
      </c>
      <c r="AC21" t="s">
        <v>444</v>
      </c>
      <c r="AD21" t="s">
        <v>176</v>
      </c>
      <c r="AE21" t="s">
        <v>177</v>
      </c>
      <c r="AF21">
        <v>128.30708184</v>
      </c>
      <c r="AG21" t="s">
        <v>178</v>
      </c>
      <c r="AH21" t="s">
        <v>445</v>
      </c>
      <c r="AI21" t="s">
        <v>446</v>
      </c>
      <c r="AJ21" t="s">
        <v>447</v>
      </c>
      <c r="AK21" t="s">
        <v>448</v>
      </c>
      <c r="AL21">
        <v>29.3</v>
      </c>
      <c r="AM21" t="s">
        <v>183</v>
      </c>
      <c r="AN21" t="s">
        <v>254</v>
      </c>
      <c r="AO21" t="s">
        <v>449</v>
      </c>
      <c r="AP21" t="s">
        <v>450</v>
      </c>
      <c r="AQ21" t="s">
        <v>451</v>
      </c>
      <c r="AR21" t="s">
        <v>452</v>
      </c>
      <c r="AS21" t="s">
        <v>453</v>
      </c>
      <c r="AT21" t="s">
        <v>454</v>
      </c>
      <c r="AU21" t="s">
        <v>455</v>
      </c>
      <c r="AV21" t="s">
        <v>456</v>
      </c>
      <c r="AW21" t="s">
        <v>215</v>
      </c>
      <c r="AX21" t="s">
        <v>457</v>
      </c>
      <c r="AY21" t="s">
        <v>458</v>
      </c>
      <c r="AZ21" t="s">
        <v>414</v>
      </c>
      <c r="BA21" t="s">
        <v>415</v>
      </c>
      <c r="BB21" t="s">
        <v>416</v>
      </c>
      <c r="BC21" t="s">
        <v>459</v>
      </c>
      <c r="BD21" t="s">
        <v>162</v>
      </c>
      <c r="BE21" t="s">
        <v>460</v>
      </c>
      <c r="BF21" t="s">
        <v>461</v>
      </c>
      <c r="BG21" t="s">
        <v>462</v>
      </c>
      <c r="BH21" t="s">
        <v>434</v>
      </c>
      <c r="BI21" t="s">
        <v>463</v>
      </c>
      <c r="BJ21" t="s">
        <v>198</v>
      </c>
      <c r="BK21" t="s">
        <v>162</v>
      </c>
      <c r="BL21" t="s">
        <v>199</v>
      </c>
      <c r="BM21" t="s">
        <v>160</v>
      </c>
      <c r="BN21" t="s">
        <v>201</v>
      </c>
      <c r="BO21" t="s">
        <v>201</v>
      </c>
      <c r="BP21" t="s">
        <v>302</v>
      </c>
      <c r="BQ21" t="s">
        <v>464</v>
      </c>
      <c r="BR21" t="s">
        <v>465</v>
      </c>
      <c r="BS21" t="s">
        <v>466</v>
      </c>
      <c r="BT21" t="s">
        <v>160</v>
      </c>
      <c r="BU21" t="s">
        <v>205</v>
      </c>
      <c r="BV21" t="s">
        <v>201</v>
      </c>
      <c r="BW21" t="s">
        <v>206</v>
      </c>
      <c r="BX21" t="s">
        <v>207</v>
      </c>
      <c r="BY21" t="s">
        <v>172</v>
      </c>
      <c r="BZ21" t="s">
        <v>208</v>
      </c>
      <c r="CA21" t="s">
        <v>172</v>
      </c>
      <c r="CB21" t="s">
        <v>172</v>
      </c>
      <c r="CC21" t="s">
        <v>209</v>
      </c>
      <c r="CD21" t="s">
        <v>210</v>
      </c>
      <c r="CE21" t="s">
        <v>197</v>
      </c>
      <c r="CF21" t="s">
        <v>211</v>
      </c>
      <c r="CG21" t="s">
        <v>212</v>
      </c>
      <c r="CH21" t="s">
        <v>213</v>
      </c>
      <c r="CI21" t="s">
        <v>178</v>
      </c>
      <c r="CJ21" t="s">
        <v>206</v>
      </c>
      <c r="CK21" t="s">
        <v>214</v>
      </c>
      <c r="CL21" t="s">
        <v>214</v>
      </c>
      <c r="CM21" t="s">
        <v>214</v>
      </c>
      <c r="CN21" t="s">
        <v>172</v>
      </c>
      <c r="CO21" t="s">
        <v>215</v>
      </c>
      <c r="CP21" t="s">
        <v>172</v>
      </c>
      <c r="CQ21" t="s">
        <v>172</v>
      </c>
      <c r="CR21" t="s">
        <v>172</v>
      </c>
      <c r="CS21" t="s">
        <v>172</v>
      </c>
      <c r="CT21" t="s">
        <v>467</v>
      </c>
      <c r="CU21" t="s">
        <v>468</v>
      </c>
      <c r="CV21" t="s">
        <v>469</v>
      </c>
      <c r="CW21" t="s">
        <v>470</v>
      </c>
      <c r="CX21" t="s">
        <v>471</v>
      </c>
      <c r="CY21" t="s">
        <v>472</v>
      </c>
      <c r="CZ21" t="s">
        <v>473</v>
      </c>
      <c r="DA21" t="s">
        <v>474</v>
      </c>
      <c r="DB21" t="s">
        <v>442</v>
      </c>
      <c r="DC21" t="s">
        <v>224</v>
      </c>
      <c r="DD21" t="s">
        <v>225</v>
      </c>
      <c r="DE21" t="s">
        <v>226</v>
      </c>
      <c r="DF21" t="s">
        <v>178</v>
      </c>
      <c r="DG21" t="s">
        <v>227</v>
      </c>
      <c r="DH21" t="s">
        <v>228</v>
      </c>
      <c r="DI21" t="s">
        <v>178</v>
      </c>
      <c r="DJ21" t="s">
        <v>229</v>
      </c>
      <c r="DK21" t="s">
        <v>230</v>
      </c>
      <c r="DL21" t="s">
        <v>231</v>
      </c>
      <c r="DM21" t="s">
        <v>172</v>
      </c>
      <c r="DN21" t="s">
        <v>441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  <row r="22" spans="1:124" x14ac:dyDescent="0.3">
      <c r="A22" t="s">
        <v>597</v>
      </c>
      <c r="B22" t="s">
        <v>598</v>
      </c>
      <c r="C22" t="s">
        <v>162</v>
      </c>
      <c r="D22" t="s">
        <v>163</v>
      </c>
      <c r="E22" t="s">
        <v>164</v>
      </c>
      <c r="F22" t="s">
        <v>138</v>
      </c>
      <c r="G22" t="s">
        <v>138</v>
      </c>
      <c r="H22" t="s">
        <v>1471</v>
      </c>
      <c r="I22" t="s">
        <v>599</v>
      </c>
      <c r="J22">
        <v>0.34007297210537973</v>
      </c>
      <c r="K22">
        <v>2.9050319999999994</v>
      </c>
      <c r="L22">
        <v>0.30443479480427554</v>
      </c>
      <c r="M22">
        <v>5.9520856958213857</v>
      </c>
      <c r="N22" t="s">
        <v>600</v>
      </c>
      <c r="O22" t="s">
        <v>601</v>
      </c>
      <c r="P22">
        <v>4.1683371620465532</v>
      </c>
      <c r="Q22">
        <v>1.9258071620465533</v>
      </c>
      <c r="R22" t="s">
        <v>602</v>
      </c>
      <c r="S22" t="s">
        <v>603</v>
      </c>
      <c r="T22">
        <v>40.982569678955393</v>
      </c>
      <c r="U22">
        <v>0.4417875</v>
      </c>
      <c r="V22" t="s">
        <v>170</v>
      </c>
      <c r="W22" t="s">
        <v>604</v>
      </c>
      <c r="X22" t="s">
        <v>172</v>
      </c>
      <c r="Y22" t="s">
        <v>172</v>
      </c>
      <c r="Z22" t="s">
        <v>172</v>
      </c>
      <c r="AA22" t="s">
        <v>605</v>
      </c>
      <c r="AB22" t="s">
        <v>606</v>
      </c>
      <c r="AC22" t="s">
        <v>607</v>
      </c>
      <c r="AD22" t="s">
        <v>176</v>
      </c>
      <c r="AE22" t="s">
        <v>177</v>
      </c>
      <c r="AF22">
        <v>251.3034279</v>
      </c>
      <c r="AG22" t="s">
        <v>178</v>
      </c>
      <c r="AH22" t="s">
        <v>608</v>
      </c>
      <c r="AI22" t="s">
        <v>609</v>
      </c>
      <c r="AJ22" t="s">
        <v>610</v>
      </c>
      <c r="AK22" t="s">
        <v>611</v>
      </c>
      <c r="AL22">
        <v>29.62</v>
      </c>
      <c r="AM22" t="s">
        <v>183</v>
      </c>
      <c r="AN22" t="s">
        <v>184</v>
      </c>
      <c r="AO22" t="s">
        <v>612</v>
      </c>
      <c r="AP22" t="s">
        <v>613</v>
      </c>
      <c r="AQ22" t="s">
        <v>614</v>
      </c>
      <c r="AR22" t="s">
        <v>615</v>
      </c>
      <c r="AS22" t="s">
        <v>616</v>
      </c>
      <c r="AT22" t="s">
        <v>555</v>
      </c>
      <c r="AU22" t="s">
        <v>617</v>
      </c>
      <c r="AV22" t="s">
        <v>618</v>
      </c>
      <c r="AW22" t="s">
        <v>619</v>
      </c>
      <c r="AX22" t="s">
        <v>620</v>
      </c>
      <c r="AY22" t="s">
        <v>621</v>
      </c>
      <c r="AZ22" t="s">
        <v>414</v>
      </c>
      <c r="BA22" t="s">
        <v>622</v>
      </c>
      <c r="BB22" t="s">
        <v>623</v>
      </c>
      <c r="BC22" t="s">
        <v>624</v>
      </c>
      <c r="BD22" t="s">
        <v>162</v>
      </c>
      <c r="BE22" t="s">
        <v>418</v>
      </c>
      <c r="BF22" t="s">
        <v>625</v>
      </c>
      <c r="BG22" t="s">
        <v>626</v>
      </c>
      <c r="BH22" t="s">
        <v>515</v>
      </c>
      <c r="BI22" t="s">
        <v>627</v>
      </c>
      <c r="BJ22" t="s">
        <v>198</v>
      </c>
      <c r="BK22" t="s">
        <v>162</v>
      </c>
      <c r="BL22" t="s">
        <v>199</v>
      </c>
      <c r="BM22" t="s">
        <v>160</v>
      </c>
      <c r="BN22" t="s">
        <v>628</v>
      </c>
      <c r="BO22" t="s">
        <v>378</v>
      </c>
      <c r="BP22" t="s">
        <v>201</v>
      </c>
      <c r="BQ22" t="s">
        <v>629</v>
      </c>
      <c r="BR22" t="s">
        <v>630</v>
      </c>
      <c r="BS22" t="s">
        <v>631</v>
      </c>
      <c r="BT22" t="s">
        <v>160</v>
      </c>
      <c r="BU22" t="s">
        <v>205</v>
      </c>
      <c r="BV22" t="s">
        <v>201</v>
      </c>
      <c r="BW22" t="s">
        <v>206</v>
      </c>
      <c r="BX22" t="s">
        <v>207</v>
      </c>
      <c r="BY22" t="s">
        <v>172</v>
      </c>
      <c r="BZ22" t="s">
        <v>208</v>
      </c>
      <c r="CA22" t="s">
        <v>172</v>
      </c>
      <c r="CB22" t="s">
        <v>172</v>
      </c>
      <c r="CC22" t="s">
        <v>209</v>
      </c>
      <c r="CD22" t="s">
        <v>210</v>
      </c>
      <c r="CE22" t="s">
        <v>197</v>
      </c>
      <c r="CF22" t="s">
        <v>211</v>
      </c>
      <c r="CG22" t="s">
        <v>212</v>
      </c>
      <c r="CH22" t="s">
        <v>213</v>
      </c>
      <c r="CI22" t="s">
        <v>178</v>
      </c>
      <c r="CJ22" t="s">
        <v>206</v>
      </c>
      <c r="CK22" t="s">
        <v>214</v>
      </c>
      <c r="CL22" t="s">
        <v>214</v>
      </c>
      <c r="CM22" t="s">
        <v>214</v>
      </c>
      <c r="CN22" t="s">
        <v>172</v>
      </c>
      <c r="CO22" t="s">
        <v>215</v>
      </c>
      <c r="CP22" t="s">
        <v>172</v>
      </c>
      <c r="CQ22" t="s">
        <v>172</v>
      </c>
      <c r="CR22" t="s">
        <v>172</v>
      </c>
      <c r="CS22" t="s">
        <v>172</v>
      </c>
      <c r="CT22" t="s">
        <v>632</v>
      </c>
      <c r="CU22" t="s">
        <v>633</v>
      </c>
      <c r="CV22" t="s">
        <v>634</v>
      </c>
      <c r="CW22" t="s">
        <v>635</v>
      </c>
      <c r="CX22" t="s">
        <v>636</v>
      </c>
      <c r="CY22" t="s">
        <v>637</v>
      </c>
      <c r="CZ22" t="s">
        <v>638</v>
      </c>
      <c r="DA22" t="s">
        <v>639</v>
      </c>
      <c r="DB22" t="s">
        <v>605</v>
      </c>
      <c r="DC22" t="s">
        <v>514</v>
      </c>
      <c r="DD22" t="s">
        <v>225</v>
      </c>
      <c r="DE22" t="s">
        <v>226</v>
      </c>
      <c r="DF22" t="s">
        <v>178</v>
      </c>
      <c r="DG22" t="s">
        <v>227</v>
      </c>
      <c r="DH22" t="s">
        <v>228</v>
      </c>
      <c r="DI22" t="s">
        <v>178</v>
      </c>
      <c r="DJ22" t="s">
        <v>229</v>
      </c>
      <c r="DK22" t="s">
        <v>230</v>
      </c>
      <c r="DL22" t="s">
        <v>231</v>
      </c>
      <c r="DM22" t="s">
        <v>172</v>
      </c>
      <c r="DN22" t="s">
        <v>604</v>
      </c>
      <c r="DO22" t="s">
        <v>232</v>
      </c>
      <c r="DP22" t="s">
        <v>233</v>
      </c>
      <c r="DQ22" t="s">
        <v>234</v>
      </c>
      <c r="DR22" t="s">
        <v>235</v>
      </c>
      <c r="DS22" t="s">
        <v>236</v>
      </c>
      <c r="DT22" t="s">
        <v>237</v>
      </c>
    </row>
    <row r="23" spans="1:124" x14ac:dyDescent="0.3">
      <c r="A23" t="s">
        <v>534</v>
      </c>
      <c r="B23" t="s">
        <v>762</v>
      </c>
      <c r="C23" t="s">
        <v>162</v>
      </c>
      <c r="D23" t="s">
        <v>163</v>
      </c>
      <c r="E23" t="s">
        <v>164</v>
      </c>
      <c r="F23" t="s">
        <v>138</v>
      </c>
      <c r="G23" t="s">
        <v>138</v>
      </c>
      <c r="H23" t="s">
        <v>1474</v>
      </c>
      <c r="I23" t="s">
        <v>763</v>
      </c>
      <c r="J23">
        <v>0.29673250476457547</v>
      </c>
      <c r="K23">
        <v>2.9058327199999998</v>
      </c>
      <c r="L23">
        <v>0.2692388635100616</v>
      </c>
      <c r="M23">
        <v>5.0976796788830425</v>
      </c>
      <c r="N23" t="s">
        <v>764</v>
      </c>
      <c r="O23" t="s">
        <v>765</v>
      </c>
      <c r="P23">
        <v>4.0662024479097942</v>
      </c>
      <c r="Q23">
        <v>1.8666484479097942</v>
      </c>
      <c r="R23" t="s">
        <v>766</v>
      </c>
      <c r="S23" t="s">
        <v>767</v>
      </c>
      <c r="T23">
        <v>39.974463703399472</v>
      </c>
      <c r="U23">
        <v>0.4417875</v>
      </c>
      <c r="V23" t="s">
        <v>170</v>
      </c>
      <c r="W23" t="s">
        <v>768</v>
      </c>
      <c r="X23" t="s">
        <v>172</v>
      </c>
      <c r="Y23" t="s">
        <v>172</v>
      </c>
      <c r="Z23" t="s">
        <v>172</v>
      </c>
      <c r="AA23" t="s">
        <v>769</v>
      </c>
      <c r="AB23" t="s">
        <v>770</v>
      </c>
      <c r="AC23" t="s">
        <v>771</v>
      </c>
      <c r="AD23" t="s">
        <v>176</v>
      </c>
      <c r="AE23" t="s">
        <v>177</v>
      </c>
      <c r="AF23">
        <v>205.17820176000001</v>
      </c>
      <c r="AG23" t="s">
        <v>178</v>
      </c>
      <c r="AH23" t="s">
        <v>772</v>
      </c>
      <c r="AI23" t="s">
        <v>773</v>
      </c>
      <c r="AJ23" t="s">
        <v>774</v>
      </c>
      <c r="AK23" t="s">
        <v>775</v>
      </c>
      <c r="AL23">
        <v>29.19</v>
      </c>
      <c r="AM23" t="s">
        <v>253</v>
      </c>
      <c r="AN23" t="s">
        <v>406</v>
      </c>
      <c r="AO23" t="s">
        <v>776</v>
      </c>
      <c r="AP23" t="s">
        <v>777</v>
      </c>
      <c r="AQ23" t="s">
        <v>778</v>
      </c>
      <c r="AR23" t="s">
        <v>698</v>
      </c>
      <c r="AS23" t="s">
        <v>190</v>
      </c>
      <c r="AT23" t="s">
        <v>659</v>
      </c>
      <c r="AU23" t="s">
        <v>779</v>
      </c>
      <c r="AV23" t="s">
        <v>780</v>
      </c>
      <c r="AW23" t="s">
        <v>781</v>
      </c>
      <c r="AX23" t="s">
        <v>782</v>
      </c>
      <c r="AY23" t="s">
        <v>783</v>
      </c>
      <c r="AZ23" t="s">
        <v>414</v>
      </c>
      <c r="BA23" t="s">
        <v>784</v>
      </c>
      <c r="BB23" t="s">
        <v>526</v>
      </c>
      <c r="BC23" t="s">
        <v>785</v>
      </c>
      <c r="BD23" t="s">
        <v>162</v>
      </c>
      <c r="BE23" t="s">
        <v>786</v>
      </c>
      <c r="BF23" t="s">
        <v>787</v>
      </c>
      <c r="BG23" t="s">
        <v>788</v>
      </c>
      <c r="BH23" t="s">
        <v>555</v>
      </c>
      <c r="BI23" t="s">
        <v>789</v>
      </c>
      <c r="BJ23" t="s">
        <v>198</v>
      </c>
      <c r="BK23" t="s">
        <v>162</v>
      </c>
      <c r="BL23" t="s">
        <v>199</v>
      </c>
      <c r="BM23" t="s">
        <v>160</v>
      </c>
      <c r="BN23" t="s">
        <v>711</v>
      </c>
      <c r="BO23" t="s">
        <v>264</v>
      </c>
      <c r="BP23" t="s">
        <v>200</v>
      </c>
      <c r="BQ23" t="s">
        <v>790</v>
      </c>
      <c r="BR23" t="s">
        <v>791</v>
      </c>
      <c r="BS23" t="s">
        <v>792</v>
      </c>
      <c r="BT23" t="s">
        <v>160</v>
      </c>
      <c r="BU23" t="s">
        <v>205</v>
      </c>
      <c r="BV23" t="s">
        <v>201</v>
      </c>
      <c r="BW23" t="s">
        <v>206</v>
      </c>
      <c r="BX23" t="s">
        <v>207</v>
      </c>
      <c r="BY23" t="s">
        <v>172</v>
      </c>
      <c r="BZ23" t="s">
        <v>208</v>
      </c>
      <c r="CA23" t="s">
        <v>172</v>
      </c>
      <c r="CB23" t="s">
        <v>172</v>
      </c>
      <c r="CC23" t="s">
        <v>209</v>
      </c>
      <c r="CD23" t="s">
        <v>210</v>
      </c>
      <c r="CE23" t="s">
        <v>197</v>
      </c>
      <c r="CF23" t="s">
        <v>211</v>
      </c>
      <c r="CG23" t="s">
        <v>212</v>
      </c>
      <c r="CH23" t="s">
        <v>213</v>
      </c>
      <c r="CI23" t="s">
        <v>178</v>
      </c>
      <c r="CJ23" t="s">
        <v>206</v>
      </c>
      <c r="CK23" t="s">
        <v>214</v>
      </c>
      <c r="CL23" t="s">
        <v>214</v>
      </c>
      <c r="CM23" t="s">
        <v>214</v>
      </c>
      <c r="CN23" t="s">
        <v>172</v>
      </c>
      <c r="CO23" t="s">
        <v>215</v>
      </c>
      <c r="CP23" t="s">
        <v>172</v>
      </c>
      <c r="CQ23" t="s">
        <v>172</v>
      </c>
      <c r="CR23" t="s">
        <v>172</v>
      </c>
      <c r="CS23" t="s">
        <v>172</v>
      </c>
      <c r="CT23" t="s">
        <v>793</v>
      </c>
      <c r="CU23" t="s">
        <v>794</v>
      </c>
      <c r="CV23" t="s">
        <v>795</v>
      </c>
      <c r="CW23" t="s">
        <v>796</v>
      </c>
      <c r="CX23" t="s">
        <v>797</v>
      </c>
      <c r="CY23" t="s">
        <v>798</v>
      </c>
      <c r="CZ23" t="s">
        <v>799</v>
      </c>
      <c r="DA23" t="s">
        <v>800</v>
      </c>
      <c r="DB23" t="s">
        <v>769</v>
      </c>
      <c r="DC23" t="s">
        <v>801</v>
      </c>
      <c r="DD23" t="s">
        <v>225</v>
      </c>
      <c r="DE23" t="s">
        <v>226</v>
      </c>
      <c r="DF23" t="s">
        <v>178</v>
      </c>
      <c r="DG23" t="s">
        <v>227</v>
      </c>
      <c r="DH23" t="s">
        <v>228</v>
      </c>
      <c r="DI23" t="s">
        <v>178</v>
      </c>
      <c r="DJ23" t="s">
        <v>229</v>
      </c>
      <c r="DK23" t="s">
        <v>230</v>
      </c>
      <c r="DL23" t="s">
        <v>231</v>
      </c>
      <c r="DM23" t="s">
        <v>172</v>
      </c>
      <c r="DN23" t="s">
        <v>768</v>
      </c>
      <c r="DO23" t="s">
        <v>232</v>
      </c>
      <c r="DP23" t="s">
        <v>233</v>
      </c>
      <c r="DQ23" t="s">
        <v>234</v>
      </c>
      <c r="DR23" t="s">
        <v>235</v>
      </c>
      <c r="DS23" t="s">
        <v>236</v>
      </c>
      <c r="DT23" t="s">
        <v>237</v>
      </c>
    </row>
    <row r="24" spans="1:124" x14ac:dyDescent="0.3">
      <c r="A24" t="s">
        <v>1041</v>
      </c>
      <c r="B24" t="s">
        <v>1042</v>
      </c>
      <c r="C24" t="s">
        <v>162</v>
      </c>
      <c r="D24" t="s">
        <v>163</v>
      </c>
      <c r="E24" t="s">
        <v>164</v>
      </c>
      <c r="F24" t="s">
        <v>138</v>
      </c>
      <c r="G24" t="s">
        <v>138</v>
      </c>
      <c r="H24" t="s">
        <v>1484</v>
      </c>
      <c r="I24" t="s">
        <v>1043</v>
      </c>
      <c r="J24">
        <v>0.32958220721602249</v>
      </c>
      <c r="K24">
        <v>2.9034264800000003</v>
      </c>
      <c r="L24">
        <v>0.29598364877635347</v>
      </c>
      <c r="M24">
        <v>7.442190320791287</v>
      </c>
      <c r="N24" t="s">
        <v>1044</v>
      </c>
      <c r="O24" t="s">
        <v>1045</v>
      </c>
      <c r="P24">
        <v>4.7831973964887</v>
      </c>
      <c r="Q24">
        <v>2.4689933964886999</v>
      </c>
      <c r="R24" t="s">
        <v>1046</v>
      </c>
      <c r="S24" t="s">
        <v>1047</v>
      </c>
      <c r="T24">
        <v>47.013931555815802</v>
      </c>
      <c r="U24">
        <v>0.4417875</v>
      </c>
      <c r="V24" t="s">
        <v>170</v>
      </c>
      <c r="W24" t="s">
        <v>1048</v>
      </c>
      <c r="X24" t="s">
        <v>172</v>
      </c>
      <c r="Y24" t="s">
        <v>172</v>
      </c>
      <c r="Z24" t="s">
        <v>172</v>
      </c>
      <c r="AA24" t="s">
        <v>1049</v>
      </c>
      <c r="AB24" t="s">
        <v>1050</v>
      </c>
      <c r="AC24" t="s">
        <v>1051</v>
      </c>
      <c r="AD24" t="s">
        <v>176</v>
      </c>
      <c r="AE24" t="s">
        <v>177</v>
      </c>
      <c r="AF24">
        <v>246.61427700000002</v>
      </c>
      <c r="AG24" t="s">
        <v>178</v>
      </c>
      <c r="AH24" t="s">
        <v>652</v>
      </c>
      <c r="AI24" t="s">
        <v>1052</v>
      </c>
      <c r="AJ24" t="s">
        <v>1053</v>
      </c>
      <c r="AK24" t="s">
        <v>1054</v>
      </c>
      <c r="AL24">
        <v>32.03</v>
      </c>
      <c r="AM24" t="s">
        <v>972</v>
      </c>
      <c r="AN24" t="s">
        <v>694</v>
      </c>
      <c r="AO24" t="s">
        <v>1055</v>
      </c>
      <c r="AP24" t="s">
        <v>450</v>
      </c>
      <c r="AQ24" t="s">
        <v>1056</v>
      </c>
      <c r="AR24" t="s">
        <v>1017</v>
      </c>
      <c r="AS24" t="s">
        <v>616</v>
      </c>
      <c r="AT24" t="s">
        <v>1057</v>
      </c>
      <c r="AU24" t="s">
        <v>1058</v>
      </c>
      <c r="AV24" t="s">
        <v>1059</v>
      </c>
      <c r="AW24" t="s">
        <v>1060</v>
      </c>
      <c r="AX24" t="s">
        <v>1061</v>
      </c>
      <c r="AY24" t="s">
        <v>1062</v>
      </c>
      <c r="AZ24" t="s">
        <v>414</v>
      </c>
      <c r="BA24" t="s">
        <v>1024</v>
      </c>
      <c r="BB24" t="s">
        <v>1025</v>
      </c>
      <c r="BC24" t="s">
        <v>1063</v>
      </c>
      <c r="BD24" t="s">
        <v>162</v>
      </c>
      <c r="BE24" t="s">
        <v>825</v>
      </c>
      <c r="BF24" t="s">
        <v>1028</v>
      </c>
      <c r="BG24" t="s">
        <v>1064</v>
      </c>
      <c r="BH24" t="s">
        <v>679</v>
      </c>
      <c r="BI24" t="s">
        <v>920</v>
      </c>
      <c r="BJ24" t="s">
        <v>944</v>
      </c>
      <c r="BK24" t="s">
        <v>162</v>
      </c>
      <c r="BL24" t="s">
        <v>945</v>
      </c>
      <c r="BM24" t="s">
        <v>160</v>
      </c>
      <c r="BN24" t="s">
        <v>265</v>
      </c>
      <c r="BO24" t="s">
        <v>378</v>
      </c>
      <c r="BP24" t="s">
        <v>200</v>
      </c>
      <c r="BQ24" t="s">
        <v>1065</v>
      </c>
      <c r="BR24" t="s">
        <v>203</v>
      </c>
      <c r="BS24" t="s">
        <v>1066</v>
      </c>
      <c r="BT24" t="s">
        <v>160</v>
      </c>
      <c r="BU24" t="s">
        <v>205</v>
      </c>
      <c r="BV24" t="s">
        <v>201</v>
      </c>
      <c r="BW24" t="s">
        <v>206</v>
      </c>
      <c r="BX24" t="s">
        <v>207</v>
      </c>
      <c r="BY24" t="s">
        <v>172</v>
      </c>
      <c r="BZ24" t="s">
        <v>208</v>
      </c>
      <c r="CA24" t="s">
        <v>172</v>
      </c>
      <c r="CB24" t="s">
        <v>172</v>
      </c>
      <c r="CC24" t="s">
        <v>209</v>
      </c>
      <c r="CD24" t="s">
        <v>210</v>
      </c>
      <c r="CE24" t="s">
        <v>197</v>
      </c>
      <c r="CF24" t="s">
        <v>211</v>
      </c>
      <c r="CG24" t="s">
        <v>212</v>
      </c>
      <c r="CH24" t="s">
        <v>213</v>
      </c>
      <c r="CI24" t="s">
        <v>178</v>
      </c>
      <c r="CJ24" t="s">
        <v>206</v>
      </c>
      <c r="CK24" t="s">
        <v>214</v>
      </c>
      <c r="CL24" t="s">
        <v>214</v>
      </c>
      <c r="CM24" t="s">
        <v>214</v>
      </c>
      <c r="CN24" t="s">
        <v>172</v>
      </c>
      <c r="CO24" t="s">
        <v>215</v>
      </c>
      <c r="CP24" t="s">
        <v>172</v>
      </c>
      <c r="CQ24" t="s">
        <v>172</v>
      </c>
      <c r="CR24" t="s">
        <v>172</v>
      </c>
      <c r="CS24" t="s">
        <v>172</v>
      </c>
      <c r="CT24" t="s">
        <v>1067</v>
      </c>
      <c r="CU24" t="s">
        <v>1068</v>
      </c>
      <c r="CV24" t="s">
        <v>1069</v>
      </c>
      <c r="CW24" t="s">
        <v>1070</v>
      </c>
      <c r="CX24" t="s">
        <v>1071</v>
      </c>
      <c r="CY24" t="s">
        <v>1072</v>
      </c>
      <c r="CZ24" t="s">
        <v>1073</v>
      </c>
      <c r="DA24" t="s">
        <v>1074</v>
      </c>
      <c r="DB24" t="s">
        <v>1049</v>
      </c>
      <c r="DC24" t="s">
        <v>801</v>
      </c>
      <c r="DD24" t="s">
        <v>225</v>
      </c>
      <c r="DE24" t="s">
        <v>226</v>
      </c>
      <c r="DF24" t="s">
        <v>178</v>
      </c>
      <c r="DG24" t="s">
        <v>227</v>
      </c>
      <c r="DH24" t="s">
        <v>228</v>
      </c>
      <c r="DI24" t="s">
        <v>178</v>
      </c>
      <c r="DJ24" t="s">
        <v>229</v>
      </c>
      <c r="DK24" t="s">
        <v>230</v>
      </c>
      <c r="DL24" t="s">
        <v>231</v>
      </c>
      <c r="DM24" t="s">
        <v>172</v>
      </c>
      <c r="DN24" t="s">
        <v>1048</v>
      </c>
      <c r="DO24" t="s">
        <v>232</v>
      </c>
      <c r="DP24" t="s">
        <v>233</v>
      </c>
      <c r="DQ24" t="s">
        <v>234</v>
      </c>
      <c r="DR24" t="s">
        <v>235</v>
      </c>
      <c r="DS24" t="s">
        <v>236</v>
      </c>
      <c r="DT24" t="s">
        <v>237</v>
      </c>
    </row>
    <row r="25" spans="1:124" x14ac:dyDescent="0.3">
      <c r="A25" t="s">
        <v>1190</v>
      </c>
      <c r="B25" t="s">
        <v>1191</v>
      </c>
      <c r="C25" t="s">
        <v>162</v>
      </c>
      <c r="D25" t="s">
        <v>163</v>
      </c>
      <c r="E25" t="s">
        <v>164</v>
      </c>
      <c r="F25" t="s">
        <v>138</v>
      </c>
      <c r="G25" t="s">
        <v>138</v>
      </c>
      <c r="H25" t="s">
        <v>1485</v>
      </c>
      <c r="I25" t="s">
        <v>1192</v>
      </c>
      <c r="J25">
        <v>0.30327600645328279</v>
      </c>
      <c r="K25">
        <v>2.9050319999999994</v>
      </c>
      <c r="L25">
        <v>0.27460783123280902</v>
      </c>
      <c r="M25">
        <v>5.8160214713382423</v>
      </c>
      <c r="N25" t="s">
        <v>1193</v>
      </c>
      <c r="O25" t="s">
        <v>1194</v>
      </c>
      <c r="P25">
        <v>4.3443649116079515</v>
      </c>
      <c r="Q25">
        <v>2.0846589116079515</v>
      </c>
      <c r="R25" t="s">
        <v>1195</v>
      </c>
      <c r="S25" t="s">
        <v>1196</v>
      </c>
      <c r="T25">
        <v>42.704855122460934</v>
      </c>
      <c r="U25">
        <v>0.4417875</v>
      </c>
      <c r="V25" t="s">
        <v>170</v>
      </c>
      <c r="W25" t="s">
        <v>1197</v>
      </c>
      <c r="X25" t="s">
        <v>172</v>
      </c>
      <c r="Y25" t="s">
        <v>172</v>
      </c>
      <c r="Z25" t="s">
        <v>172</v>
      </c>
      <c r="AA25" t="s">
        <v>1198</v>
      </c>
      <c r="AB25" t="s">
        <v>1199</v>
      </c>
      <c r="AC25" t="s">
        <v>1200</v>
      </c>
      <c r="AD25" t="s">
        <v>176</v>
      </c>
      <c r="AE25" t="s">
        <v>177</v>
      </c>
      <c r="AF25">
        <v>123.93801629999999</v>
      </c>
      <c r="AG25" t="s">
        <v>178</v>
      </c>
      <c r="AH25" t="s">
        <v>1201</v>
      </c>
      <c r="AI25" t="s">
        <v>932</v>
      </c>
      <c r="AJ25" t="s">
        <v>1202</v>
      </c>
      <c r="AK25" t="s">
        <v>1203</v>
      </c>
      <c r="AL25">
        <v>30.34</v>
      </c>
      <c r="AM25" t="s">
        <v>854</v>
      </c>
      <c r="AN25" t="s">
        <v>184</v>
      </c>
      <c r="AO25" t="s">
        <v>1204</v>
      </c>
      <c r="AP25" t="s">
        <v>1205</v>
      </c>
      <c r="AQ25" t="s">
        <v>1206</v>
      </c>
      <c r="AR25" t="s">
        <v>1207</v>
      </c>
      <c r="AS25" t="s">
        <v>1208</v>
      </c>
      <c r="AT25" t="s">
        <v>1209</v>
      </c>
      <c r="AU25" t="s">
        <v>1210</v>
      </c>
      <c r="AV25" t="s">
        <v>1211</v>
      </c>
      <c r="AW25" t="s">
        <v>1212</v>
      </c>
      <c r="AX25" t="s">
        <v>1213</v>
      </c>
      <c r="AY25" t="s">
        <v>1214</v>
      </c>
      <c r="AZ25" t="s">
        <v>414</v>
      </c>
      <c r="BA25" t="s">
        <v>1174</v>
      </c>
      <c r="BB25" t="s">
        <v>1175</v>
      </c>
      <c r="BC25" t="s">
        <v>1215</v>
      </c>
      <c r="BD25" t="s">
        <v>162</v>
      </c>
      <c r="BE25" t="s">
        <v>460</v>
      </c>
      <c r="BF25" t="s">
        <v>625</v>
      </c>
      <c r="BG25" t="s">
        <v>1177</v>
      </c>
      <c r="BH25" t="s">
        <v>534</v>
      </c>
      <c r="BI25" t="s">
        <v>1140</v>
      </c>
      <c r="BJ25" t="s">
        <v>944</v>
      </c>
      <c r="BK25" t="s">
        <v>162</v>
      </c>
      <c r="BL25" t="s">
        <v>945</v>
      </c>
      <c r="BM25" t="s">
        <v>160</v>
      </c>
      <c r="BN25" t="s">
        <v>378</v>
      </c>
      <c r="BO25" t="s">
        <v>378</v>
      </c>
      <c r="BP25" t="s">
        <v>711</v>
      </c>
      <c r="BQ25" t="s">
        <v>1216</v>
      </c>
      <c r="BR25" t="s">
        <v>1217</v>
      </c>
      <c r="BS25" t="s">
        <v>1218</v>
      </c>
      <c r="BT25" t="s">
        <v>160</v>
      </c>
      <c r="BU25" t="s">
        <v>205</v>
      </c>
      <c r="BV25" t="s">
        <v>201</v>
      </c>
      <c r="BW25" t="s">
        <v>206</v>
      </c>
      <c r="BX25" t="s">
        <v>207</v>
      </c>
      <c r="BY25" t="s">
        <v>172</v>
      </c>
      <c r="BZ25" t="s">
        <v>208</v>
      </c>
      <c r="CA25" t="s">
        <v>172</v>
      </c>
      <c r="CB25" t="s">
        <v>172</v>
      </c>
      <c r="CC25" t="s">
        <v>209</v>
      </c>
      <c r="CD25" t="s">
        <v>210</v>
      </c>
      <c r="CE25" t="s">
        <v>197</v>
      </c>
      <c r="CF25" t="s">
        <v>211</v>
      </c>
      <c r="CG25" t="s">
        <v>212</v>
      </c>
      <c r="CH25" t="s">
        <v>213</v>
      </c>
      <c r="CI25" t="s">
        <v>178</v>
      </c>
      <c r="CJ25" t="s">
        <v>206</v>
      </c>
      <c r="CK25" t="s">
        <v>214</v>
      </c>
      <c r="CL25" t="s">
        <v>214</v>
      </c>
      <c r="CM25" t="s">
        <v>214</v>
      </c>
      <c r="CN25" t="s">
        <v>172</v>
      </c>
      <c r="CO25" t="s">
        <v>215</v>
      </c>
      <c r="CP25" t="s">
        <v>172</v>
      </c>
      <c r="CQ25" t="s">
        <v>172</v>
      </c>
      <c r="CR25" t="s">
        <v>172</v>
      </c>
      <c r="CS25" t="s">
        <v>172</v>
      </c>
      <c r="CT25" t="s">
        <v>1219</v>
      </c>
      <c r="CU25" t="s">
        <v>1220</v>
      </c>
      <c r="CV25" t="s">
        <v>1221</v>
      </c>
      <c r="CW25" t="s">
        <v>1222</v>
      </c>
      <c r="CX25" t="s">
        <v>1223</v>
      </c>
      <c r="CY25" t="s">
        <v>1224</v>
      </c>
      <c r="CZ25" t="s">
        <v>1225</v>
      </c>
      <c r="DA25" t="s">
        <v>1226</v>
      </c>
      <c r="DB25" t="s">
        <v>1198</v>
      </c>
      <c r="DC25" t="s">
        <v>1227</v>
      </c>
      <c r="DD25" t="s">
        <v>225</v>
      </c>
      <c r="DE25" t="s">
        <v>226</v>
      </c>
      <c r="DF25" t="s">
        <v>178</v>
      </c>
      <c r="DG25" t="s">
        <v>227</v>
      </c>
      <c r="DH25" t="s">
        <v>228</v>
      </c>
      <c r="DI25" t="s">
        <v>178</v>
      </c>
      <c r="DJ25" t="s">
        <v>229</v>
      </c>
      <c r="DK25" t="s">
        <v>230</v>
      </c>
      <c r="DL25" t="s">
        <v>231</v>
      </c>
      <c r="DM25" t="s">
        <v>172</v>
      </c>
      <c r="DN25" t="s">
        <v>1197</v>
      </c>
      <c r="DO25" t="s">
        <v>232</v>
      </c>
      <c r="DP25" t="s">
        <v>233</v>
      </c>
      <c r="DQ25" t="s">
        <v>234</v>
      </c>
      <c r="DR25" t="s">
        <v>235</v>
      </c>
      <c r="DS25" t="s">
        <v>236</v>
      </c>
      <c r="DT25" t="s">
        <v>237</v>
      </c>
    </row>
    <row r="26" spans="1:124" x14ac:dyDescent="0.3">
      <c r="A26" t="s">
        <v>409</v>
      </c>
      <c r="B26" t="s">
        <v>1344</v>
      </c>
      <c r="C26" t="s">
        <v>162</v>
      </c>
      <c r="D26" t="s">
        <v>163</v>
      </c>
      <c r="E26" t="s">
        <v>164</v>
      </c>
      <c r="F26" t="s">
        <v>138</v>
      </c>
      <c r="G26" t="s">
        <v>138</v>
      </c>
      <c r="H26" t="s">
        <v>1486</v>
      </c>
      <c r="I26" t="s">
        <v>1345</v>
      </c>
      <c r="J26">
        <v>0.28925625750260947</v>
      </c>
      <c r="K26">
        <v>2.9058327199999998</v>
      </c>
      <c r="L26">
        <v>0.26306944921853637</v>
      </c>
      <c r="M26">
        <v>6.5679251234897</v>
      </c>
      <c r="N26" t="s">
        <v>1346</v>
      </c>
      <c r="O26" t="s">
        <v>1347</v>
      </c>
      <c r="P26">
        <v>4.8375992531094862</v>
      </c>
      <c r="Q26">
        <v>2.4490212531094864</v>
      </c>
      <c r="R26" t="s">
        <v>1348</v>
      </c>
      <c r="S26" t="s">
        <v>1349</v>
      </c>
      <c r="T26">
        <v>47.562670859399141</v>
      </c>
      <c r="U26">
        <v>0.4417875</v>
      </c>
      <c r="V26" t="s">
        <v>170</v>
      </c>
      <c r="W26" t="s">
        <v>1350</v>
      </c>
      <c r="X26" t="s">
        <v>172</v>
      </c>
      <c r="Y26" t="s">
        <v>172</v>
      </c>
      <c r="Z26" t="s">
        <v>172</v>
      </c>
      <c r="AA26" t="s">
        <v>1351</v>
      </c>
      <c r="AB26" t="s">
        <v>1352</v>
      </c>
      <c r="AC26" t="s">
        <v>1353</v>
      </c>
      <c r="AD26" t="s">
        <v>176</v>
      </c>
      <c r="AE26" t="s">
        <v>177</v>
      </c>
      <c r="AF26">
        <v>321.06809154000001</v>
      </c>
      <c r="AG26" t="s">
        <v>178</v>
      </c>
      <c r="AH26" t="s">
        <v>1354</v>
      </c>
      <c r="AI26" t="s">
        <v>1355</v>
      </c>
      <c r="AJ26" t="s">
        <v>1356</v>
      </c>
      <c r="AK26" t="s">
        <v>1357</v>
      </c>
      <c r="AL26">
        <v>32.229999999999997</v>
      </c>
      <c r="AM26" t="s">
        <v>183</v>
      </c>
      <c r="AN26" t="s">
        <v>406</v>
      </c>
      <c r="AO26" t="s">
        <v>1358</v>
      </c>
      <c r="AP26" t="s">
        <v>331</v>
      </c>
      <c r="AQ26" t="s">
        <v>1286</v>
      </c>
      <c r="AR26" t="s">
        <v>1359</v>
      </c>
      <c r="AS26" t="s">
        <v>454</v>
      </c>
      <c r="AT26" t="s">
        <v>1360</v>
      </c>
      <c r="AU26" t="s">
        <v>1361</v>
      </c>
      <c r="AV26" t="s">
        <v>1362</v>
      </c>
      <c r="AW26" t="s">
        <v>1363</v>
      </c>
      <c r="AX26" t="s">
        <v>1364</v>
      </c>
      <c r="AY26" t="s">
        <v>1365</v>
      </c>
      <c r="AZ26" t="s">
        <v>414</v>
      </c>
      <c r="BA26" t="s">
        <v>1328</v>
      </c>
      <c r="BB26" t="s">
        <v>1329</v>
      </c>
      <c r="BC26" t="s">
        <v>1366</v>
      </c>
      <c r="BD26" t="s">
        <v>162</v>
      </c>
      <c r="BE26" t="s">
        <v>418</v>
      </c>
      <c r="BF26" t="s">
        <v>1367</v>
      </c>
      <c r="BG26" t="s">
        <v>1368</v>
      </c>
      <c r="BH26" t="s">
        <v>534</v>
      </c>
      <c r="BI26" t="s">
        <v>1369</v>
      </c>
      <c r="BJ26" t="s">
        <v>944</v>
      </c>
      <c r="BK26" t="s">
        <v>162</v>
      </c>
      <c r="BL26" t="s">
        <v>945</v>
      </c>
      <c r="BM26" t="s">
        <v>160</v>
      </c>
      <c r="BN26" t="s">
        <v>201</v>
      </c>
      <c r="BO26" t="s">
        <v>201</v>
      </c>
      <c r="BP26" t="s">
        <v>378</v>
      </c>
      <c r="BQ26" t="s">
        <v>1370</v>
      </c>
      <c r="BR26" t="s">
        <v>1371</v>
      </c>
      <c r="BS26" t="s">
        <v>1372</v>
      </c>
      <c r="BT26" t="s">
        <v>160</v>
      </c>
      <c r="BU26" t="s">
        <v>205</v>
      </c>
      <c r="BV26" t="s">
        <v>201</v>
      </c>
      <c r="BW26" t="s">
        <v>206</v>
      </c>
      <c r="BX26" t="s">
        <v>207</v>
      </c>
      <c r="BY26" t="s">
        <v>172</v>
      </c>
      <c r="BZ26" t="s">
        <v>208</v>
      </c>
      <c r="CA26" t="s">
        <v>172</v>
      </c>
      <c r="CB26" t="s">
        <v>172</v>
      </c>
      <c r="CC26" t="s">
        <v>209</v>
      </c>
      <c r="CD26" t="s">
        <v>210</v>
      </c>
      <c r="CE26" t="s">
        <v>197</v>
      </c>
      <c r="CF26" t="s">
        <v>211</v>
      </c>
      <c r="CG26" t="s">
        <v>212</v>
      </c>
      <c r="CH26" t="s">
        <v>213</v>
      </c>
      <c r="CI26" t="s">
        <v>178</v>
      </c>
      <c r="CJ26" t="s">
        <v>206</v>
      </c>
      <c r="CK26" t="s">
        <v>214</v>
      </c>
      <c r="CL26" t="s">
        <v>214</v>
      </c>
      <c r="CM26" t="s">
        <v>214</v>
      </c>
      <c r="CN26" t="s">
        <v>172</v>
      </c>
      <c r="CO26" t="s">
        <v>215</v>
      </c>
      <c r="CP26" t="s">
        <v>172</v>
      </c>
      <c r="CQ26" t="s">
        <v>172</v>
      </c>
      <c r="CR26" t="s">
        <v>172</v>
      </c>
      <c r="CS26" t="s">
        <v>172</v>
      </c>
      <c r="CT26" t="s">
        <v>1373</v>
      </c>
      <c r="CU26" t="s">
        <v>1374</v>
      </c>
      <c r="CV26" t="s">
        <v>1375</v>
      </c>
      <c r="CW26" t="s">
        <v>1376</v>
      </c>
      <c r="CX26" t="s">
        <v>1377</v>
      </c>
      <c r="CY26" t="s">
        <v>1378</v>
      </c>
      <c r="CZ26" t="s">
        <v>1379</v>
      </c>
      <c r="DA26" t="s">
        <v>1380</v>
      </c>
      <c r="DB26" t="s">
        <v>1351</v>
      </c>
      <c r="DC26" t="s">
        <v>1112</v>
      </c>
      <c r="DD26" t="s">
        <v>225</v>
      </c>
      <c r="DE26" t="s">
        <v>226</v>
      </c>
      <c r="DF26" t="s">
        <v>178</v>
      </c>
      <c r="DG26" t="s">
        <v>227</v>
      </c>
      <c r="DH26" t="s">
        <v>228</v>
      </c>
      <c r="DI26" t="s">
        <v>178</v>
      </c>
      <c r="DJ26" t="s">
        <v>229</v>
      </c>
      <c r="DK26" t="s">
        <v>230</v>
      </c>
      <c r="DL26" t="s">
        <v>231</v>
      </c>
      <c r="DM26" t="s">
        <v>172</v>
      </c>
      <c r="DN26" t="s">
        <v>1350</v>
      </c>
      <c r="DO26" t="s">
        <v>232</v>
      </c>
      <c r="DP26" t="s">
        <v>233</v>
      </c>
      <c r="DQ26" t="s">
        <v>234</v>
      </c>
      <c r="DR26" t="s">
        <v>235</v>
      </c>
      <c r="DS26" t="s">
        <v>236</v>
      </c>
      <c r="DT26" t="s">
        <v>237</v>
      </c>
    </row>
    <row r="27" spans="1:124" x14ac:dyDescent="0.3">
      <c r="A27" t="s">
        <v>1418</v>
      </c>
      <c r="B27" t="s">
        <v>1419</v>
      </c>
      <c r="C27" t="s">
        <v>162</v>
      </c>
      <c r="D27" t="s">
        <v>163</v>
      </c>
      <c r="E27" t="s">
        <v>164</v>
      </c>
      <c r="F27" t="s">
        <v>138</v>
      </c>
      <c r="G27" t="s">
        <v>138</v>
      </c>
      <c r="H27" t="s">
        <v>1487</v>
      </c>
      <c r="I27" t="s">
        <v>1420</v>
      </c>
      <c r="J27">
        <v>0.32467683473347025</v>
      </c>
      <c r="K27">
        <v>2.9058327199999998</v>
      </c>
      <c r="L27">
        <v>0.29204574504729769</v>
      </c>
      <c r="M27">
        <v>6.0662870971709317</v>
      </c>
      <c r="N27" t="s">
        <v>1421</v>
      </c>
      <c r="O27" t="s">
        <v>1422</v>
      </c>
      <c r="P27">
        <v>4.2165987093668917</v>
      </c>
      <c r="Q27">
        <v>2.0464637093668916</v>
      </c>
      <c r="R27" t="s">
        <v>1423</v>
      </c>
      <c r="S27" t="s">
        <v>1424</v>
      </c>
      <c r="T27">
        <v>41.457071176549917</v>
      </c>
      <c r="U27">
        <v>0.4417875</v>
      </c>
      <c r="V27" t="s">
        <v>170</v>
      </c>
      <c r="W27" t="s">
        <v>1425</v>
      </c>
      <c r="X27" t="s">
        <v>172</v>
      </c>
      <c r="Y27" t="s">
        <v>172</v>
      </c>
      <c r="Z27" t="s">
        <v>172</v>
      </c>
      <c r="AA27" t="s">
        <v>1426</v>
      </c>
      <c r="AB27" t="s">
        <v>1427</v>
      </c>
      <c r="AC27" t="s">
        <v>1428</v>
      </c>
      <c r="AD27" t="s">
        <v>176</v>
      </c>
      <c r="AE27" t="s">
        <v>177</v>
      </c>
      <c r="AF27">
        <v>90.181406699999997</v>
      </c>
      <c r="AG27" t="s">
        <v>178</v>
      </c>
      <c r="AH27" t="s">
        <v>1429</v>
      </c>
      <c r="AI27" t="s">
        <v>1430</v>
      </c>
      <c r="AJ27" t="s">
        <v>580</v>
      </c>
      <c r="AK27" t="s">
        <v>1431</v>
      </c>
      <c r="AL27">
        <v>29.82</v>
      </c>
      <c r="AM27" t="s">
        <v>183</v>
      </c>
      <c r="AN27" t="s">
        <v>406</v>
      </c>
      <c r="AO27" t="s">
        <v>1432</v>
      </c>
      <c r="AP27" t="s">
        <v>777</v>
      </c>
      <c r="AQ27" t="s">
        <v>1433</v>
      </c>
      <c r="AR27" t="s">
        <v>895</v>
      </c>
      <c r="AS27" t="s">
        <v>454</v>
      </c>
      <c r="AT27" t="s">
        <v>1434</v>
      </c>
      <c r="AU27" t="s">
        <v>515</v>
      </c>
      <c r="AV27" t="s">
        <v>1435</v>
      </c>
      <c r="AW27" t="s">
        <v>215</v>
      </c>
      <c r="AX27" t="s">
        <v>1436</v>
      </c>
      <c r="AY27" t="s">
        <v>1437</v>
      </c>
      <c r="AZ27" t="s">
        <v>1438</v>
      </c>
      <c r="BA27" t="s">
        <v>1439</v>
      </c>
      <c r="BB27" t="s">
        <v>1440</v>
      </c>
      <c r="BC27" t="s">
        <v>1441</v>
      </c>
      <c r="BD27" t="s">
        <v>162</v>
      </c>
      <c r="BE27" t="s">
        <v>1442</v>
      </c>
      <c r="BF27" t="s">
        <v>665</v>
      </c>
      <c r="BG27" t="s">
        <v>1139</v>
      </c>
      <c r="BH27" t="s">
        <v>916</v>
      </c>
      <c r="BI27" t="s">
        <v>1443</v>
      </c>
      <c r="BJ27" t="s">
        <v>944</v>
      </c>
      <c r="BK27" t="s">
        <v>162</v>
      </c>
      <c r="BL27" t="s">
        <v>945</v>
      </c>
      <c r="BM27" t="s">
        <v>160</v>
      </c>
      <c r="BN27" t="s">
        <v>264</v>
      </c>
      <c r="BO27" t="s">
        <v>265</v>
      </c>
      <c r="BP27" t="s">
        <v>378</v>
      </c>
      <c r="BQ27" t="s">
        <v>1444</v>
      </c>
      <c r="BR27" t="s">
        <v>1445</v>
      </c>
      <c r="BS27" t="s">
        <v>1446</v>
      </c>
      <c r="BT27" t="s">
        <v>160</v>
      </c>
      <c r="BU27" t="s">
        <v>205</v>
      </c>
      <c r="BV27" t="s">
        <v>201</v>
      </c>
      <c r="BW27" t="s">
        <v>206</v>
      </c>
      <c r="BX27" t="s">
        <v>207</v>
      </c>
      <c r="BY27" t="s">
        <v>172</v>
      </c>
      <c r="BZ27" t="s">
        <v>208</v>
      </c>
      <c r="CA27" t="s">
        <v>172</v>
      </c>
      <c r="CB27" t="s">
        <v>172</v>
      </c>
      <c r="CC27" t="s">
        <v>209</v>
      </c>
      <c r="CD27" t="s">
        <v>210</v>
      </c>
      <c r="CE27" t="s">
        <v>197</v>
      </c>
      <c r="CF27" t="s">
        <v>211</v>
      </c>
      <c r="CG27" t="s">
        <v>212</v>
      </c>
      <c r="CH27" t="s">
        <v>213</v>
      </c>
      <c r="CI27" t="s">
        <v>178</v>
      </c>
      <c r="CJ27" t="s">
        <v>206</v>
      </c>
      <c r="CK27" t="s">
        <v>214</v>
      </c>
      <c r="CL27" t="s">
        <v>214</v>
      </c>
      <c r="CM27" t="s">
        <v>214</v>
      </c>
      <c r="CN27" t="s">
        <v>172</v>
      </c>
      <c r="CO27" t="s">
        <v>215</v>
      </c>
      <c r="CP27" t="s">
        <v>172</v>
      </c>
      <c r="CQ27" t="s">
        <v>172</v>
      </c>
      <c r="CR27" t="s">
        <v>172</v>
      </c>
      <c r="CS27" t="s">
        <v>172</v>
      </c>
      <c r="CT27" t="s">
        <v>1447</v>
      </c>
      <c r="CU27" t="s">
        <v>1448</v>
      </c>
      <c r="CV27" t="s">
        <v>1449</v>
      </c>
      <c r="CW27" t="s">
        <v>1450</v>
      </c>
      <c r="CX27" t="s">
        <v>1451</v>
      </c>
      <c r="CY27" t="s">
        <v>1452</v>
      </c>
      <c r="CZ27" t="s">
        <v>1453</v>
      </c>
      <c r="DA27" t="s">
        <v>1454</v>
      </c>
      <c r="DB27" t="s">
        <v>1426</v>
      </c>
      <c r="DC27" t="s">
        <v>1455</v>
      </c>
      <c r="DD27" t="s">
        <v>225</v>
      </c>
      <c r="DE27" t="s">
        <v>226</v>
      </c>
      <c r="DF27" t="s">
        <v>178</v>
      </c>
      <c r="DG27" t="s">
        <v>227</v>
      </c>
      <c r="DH27" t="s">
        <v>228</v>
      </c>
      <c r="DI27" t="s">
        <v>178</v>
      </c>
      <c r="DJ27" t="s">
        <v>229</v>
      </c>
      <c r="DK27" t="s">
        <v>230</v>
      </c>
      <c r="DL27" t="s">
        <v>231</v>
      </c>
      <c r="DM27" t="s">
        <v>172</v>
      </c>
      <c r="DN27" t="s">
        <v>1425</v>
      </c>
      <c r="DO27" t="s">
        <v>232</v>
      </c>
      <c r="DP27" t="s">
        <v>233</v>
      </c>
      <c r="DQ27" t="s">
        <v>234</v>
      </c>
      <c r="DR27" t="s">
        <v>235</v>
      </c>
      <c r="DS27" t="s">
        <v>236</v>
      </c>
      <c r="DT27" t="s">
        <v>237</v>
      </c>
    </row>
    <row r="29" spans="1:124" x14ac:dyDescent="0.3">
      <c r="A29" t="s">
        <v>315</v>
      </c>
      <c r="B29" t="s">
        <v>316</v>
      </c>
      <c r="C29" t="s">
        <v>162</v>
      </c>
      <c r="D29" t="s">
        <v>163</v>
      </c>
      <c r="E29" t="s">
        <v>164</v>
      </c>
      <c r="F29" t="s">
        <v>138</v>
      </c>
      <c r="G29" t="s">
        <v>138</v>
      </c>
      <c r="H29" t="s">
        <v>1468</v>
      </c>
      <c r="I29" t="s">
        <v>317</v>
      </c>
      <c r="J29">
        <v>0.28573733678576946</v>
      </c>
      <c r="K29">
        <v>2.9074300800000006</v>
      </c>
      <c r="L29">
        <v>0.26016842198217027</v>
      </c>
      <c r="M29">
        <v>4.7833626605307193</v>
      </c>
      <c r="N29" t="s">
        <v>318</v>
      </c>
      <c r="O29" t="s">
        <v>319</v>
      </c>
      <c r="P29">
        <v>4.0055109819876726</v>
      </c>
      <c r="Q29">
        <v>1.8131579819876724</v>
      </c>
      <c r="R29" t="s">
        <v>320</v>
      </c>
      <c r="S29" t="s">
        <v>321</v>
      </c>
      <c r="T29">
        <v>39.377811462717979</v>
      </c>
      <c r="U29">
        <v>0.4417875</v>
      </c>
      <c r="V29" t="s">
        <v>170</v>
      </c>
      <c r="W29" t="s">
        <v>322</v>
      </c>
      <c r="X29" t="s">
        <v>172</v>
      </c>
      <c r="Y29" t="s">
        <v>172</v>
      </c>
      <c r="Z29" t="s">
        <v>172</v>
      </c>
      <c r="AA29" t="s">
        <v>323</v>
      </c>
      <c r="AB29" t="s">
        <v>324</v>
      </c>
      <c r="AC29" t="s">
        <v>325</v>
      </c>
      <c r="AD29" t="s">
        <v>176</v>
      </c>
      <c r="AE29" t="s">
        <v>177</v>
      </c>
      <c r="AF29">
        <v>134.18203679999999</v>
      </c>
      <c r="AG29" t="s">
        <v>178</v>
      </c>
      <c r="AH29" t="s">
        <v>326</v>
      </c>
      <c r="AI29" t="s">
        <v>327</v>
      </c>
      <c r="AJ29" t="s">
        <v>328</v>
      </c>
      <c r="AK29" t="s">
        <v>329</v>
      </c>
      <c r="AL29">
        <v>28.93</v>
      </c>
      <c r="AM29" t="s">
        <v>253</v>
      </c>
      <c r="AN29" t="s">
        <v>293</v>
      </c>
      <c r="AO29" t="s">
        <v>330</v>
      </c>
      <c r="AP29" t="s">
        <v>331</v>
      </c>
      <c r="AQ29" t="s">
        <v>332</v>
      </c>
      <c r="AR29" t="s">
        <v>333</v>
      </c>
      <c r="AS29" t="s">
        <v>334</v>
      </c>
      <c r="AT29" t="s">
        <v>335</v>
      </c>
      <c r="AU29" t="s">
        <v>336</v>
      </c>
      <c r="AV29" t="s">
        <v>138</v>
      </c>
      <c r="AW29" t="s">
        <v>138</v>
      </c>
      <c r="AX29" t="s">
        <v>337</v>
      </c>
      <c r="AY29" t="s">
        <v>338</v>
      </c>
      <c r="AZ29" t="s">
        <v>138</v>
      </c>
      <c r="BA29" t="s">
        <v>138</v>
      </c>
      <c r="BB29" t="s">
        <v>138</v>
      </c>
      <c r="BC29" t="s">
        <v>194</v>
      </c>
      <c r="BD29" t="s">
        <v>195</v>
      </c>
      <c r="BE29" t="s">
        <v>196</v>
      </c>
      <c r="BF29" t="s">
        <v>196</v>
      </c>
      <c r="BG29" t="s">
        <v>196</v>
      </c>
      <c r="BH29" t="s">
        <v>197</v>
      </c>
      <c r="BI29" t="s">
        <v>196</v>
      </c>
      <c r="BJ29" t="s">
        <v>198</v>
      </c>
      <c r="BK29" t="s">
        <v>162</v>
      </c>
      <c r="BL29" t="s">
        <v>199</v>
      </c>
      <c r="BM29" t="s">
        <v>160</v>
      </c>
      <c r="BN29" t="s">
        <v>264</v>
      </c>
      <c r="BO29" t="s">
        <v>201</v>
      </c>
      <c r="BP29" t="s">
        <v>339</v>
      </c>
      <c r="BQ29" t="s">
        <v>340</v>
      </c>
      <c r="BR29" t="s">
        <v>341</v>
      </c>
      <c r="BS29" t="s">
        <v>342</v>
      </c>
      <c r="BT29" t="s">
        <v>160</v>
      </c>
      <c r="BU29" t="s">
        <v>205</v>
      </c>
      <c r="BV29" t="s">
        <v>201</v>
      </c>
      <c r="BW29" t="s">
        <v>206</v>
      </c>
      <c r="BX29" t="s">
        <v>207</v>
      </c>
      <c r="BY29" t="s">
        <v>172</v>
      </c>
      <c r="BZ29" t="s">
        <v>208</v>
      </c>
      <c r="CA29" t="s">
        <v>172</v>
      </c>
      <c r="CB29" t="s">
        <v>172</v>
      </c>
      <c r="CC29" t="s">
        <v>209</v>
      </c>
      <c r="CD29" t="s">
        <v>210</v>
      </c>
      <c r="CE29" t="s">
        <v>197</v>
      </c>
      <c r="CF29" t="s">
        <v>211</v>
      </c>
      <c r="CG29" t="s">
        <v>212</v>
      </c>
      <c r="CH29" t="s">
        <v>213</v>
      </c>
      <c r="CI29" t="s">
        <v>178</v>
      </c>
      <c r="CJ29" t="s">
        <v>206</v>
      </c>
      <c r="CK29" t="s">
        <v>214</v>
      </c>
      <c r="CL29" t="s">
        <v>214</v>
      </c>
      <c r="CM29" t="s">
        <v>214</v>
      </c>
      <c r="CN29" t="s">
        <v>172</v>
      </c>
      <c r="CO29" t="s">
        <v>215</v>
      </c>
      <c r="CP29" t="s">
        <v>172</v>
      </c>
      <c r="CQ29" t="s">
        <v>172</v>
      </c>
      <c r="CR29" t="s">
        <v>172</v>
      </c>
      <c r="CS29" t="s">
        <v>172</v>
      </c>
      <c r="CT29" t="s">
        <v>343</v>
      </c>
      <c r="CU29" t="s">
        <v>344</v>
      </c>
      <c r="CV29" t="s">
        <v>345</v>
      </c>
      <c r="CW29" t="s">
        <v>346</v>
      </c>
      <c r="CX29" t="s">
        <v>347</v>
      </c>
      <c r="CY29" t="s">
        <v>348</v>
      </c>
      <c r="CZ29" t="s">
        <v>349</v>
      </c>
      <c r="DA29" t="s">
        <v>350</v>
      </c>
      <c r="DB29" t="s">
        <v>323</v>
      </c>
      <c r="DC29" t="s">
        <v>277</v>
      </c>
      <c r="DD29" t="s">
        <v>225</v>
      </c>
      <c r="DE29" t="s">
        <v>226</v>
      </c>
      <c r="DF29" t="s">
        <v>178</v>
      </c>
      <c r="DG29" t="s">
        <v>227</v>
      </c>
      <c r="DH29" t="s">
        <v>228</v>
      </c>
      <c r="DI29" t="s">
        <v>178</v>
      </c>
      <c r="DJ29" t="s">
        <v>229</v>
      </c>
      <c r="DK29" t="s">
        <v>230</v>
      </c>
      <c r="DL29" t="s">
        <v>231</v>
      </c>
      <c r="DM29" t="s">
        <v>172</v>
      </c>
      <c r="DN29" t="s">
        <v>322</v>
      </c>
      <c r="DO29" t="s">
        <v>232</v>
      </c>
      <c r="DP29" t="s">
        <v>233</v>
      </c>
      <c r="DQ29" t="s">
        <v>234</v>
      </c>
      <c r="DR29" t="s">
        <v>235</v>
      </c>
      <c r="DS29" t="s">
        <v>236</v>
      </c>
      <c r="DT29" t="s">
        <v>237</v>
      </c>
    </row>
    <row r="30" spans="1:124" x14ac:dyDescent="0.3">
      <c r="A30" t="s">
        <v>475</v>
      </c>
      <c r="B30" t="s">
        <v>476</v>
      </c>
      <c r="C30" t="s">
        <v>162</v>
      </c>
      <c r="D30" t="s">
        <v>163</v>
      </c>
      <c r="E30" t="s">
        <v>164</v>
      </c>
      <c r="F30" t="s">
        <v>138</v>
      </c>
      <c r="G30" t="s">
        <v>138</v>
      </c>
      <c r="H30" t="s">
        <v>1469</v>
      </c>
      <c r="I30" t="s">
        <v>477</v>
      </c>
      <c r="J30">
        <v>0.31674830841079443</v>
      </c>
      <c r="K30">
        <v>2.9042299199999997</v>
      </c>
      <c r="L30">
        <v>0.28559954435019363</v>
      </c>
      <c r="M30">
        <v>5.1895731544230639</v>
      </c>
      <c r="N30" t="s">
        <v>478</v>
      </c>
      <c r="O30" t="s">
        <v>479</v>
      </c>
      <c r="P30">
        <v>4.0310910449546142</v>
      </c>
      <c r="Q30">
        <v>1.7914000449546141</v>
      </c>
      <c r="R30" t="s">
        <v>480</v>
      </c>
      <c r="S30" t="s">
        <v>481</v>
      </c>
      <c r="T30">
        <v>39.6292867179966</v>
      </c>
      <c r="U30">
        <v>0.4417875</v>
      </c>
      <c r="V30" t="s">
        <v>170</v>
      </c>
      <c r="W30" t="s">
        <v>482</v>
      </c>
      <c r="X30" t="s">
        <v>172</v>
      </c>
      <c r="Y30" t="s">
        <v>172</v>
      </c>
      <c r="Z30" t="s">
        <v>172</v>
      </c>
      <c r="AA30" t="s">
        <v>483</v>
      </c>
      <c r="AB30" t="s">
        <v>484</v>
      </c>
      <c r="AC30" t="s">
        <v>485</v>
      </c>
      <c r="AD30" t="s">
        <v>176</v>
      </c>
      <c r="AE30" t="s">
        <v>177</v>
      </c>
      <c r="AF30">
        <v>77.26133016</v>
      </c>
      <c r="AG30" t="s">
        <v>178</v>
      </c>
      <c r="AH30" t="s">
        <v>486</v>
      </c>
      <c r="AI30" t="s">
        <v>487</v>
      </c>
      <c r="AJ30" t="s">
        <v>488</v>
      </c>
      <c r="AK30" t="s">
        <v>489</v>
      </c>
      <c r="AL30">
        <v>29.04</v>
      </c>
      <c r="AM30" t="s">
        <v>253</v>
      </c>
      <c r="AN30" t="s">
        <v>254</v>
      </c>
      <c r="AO30" t="s">
        <v>490</v>
      </c>
      <c r="AP30" t="s">
        <v>491</v>
      </c>
      <c r="AQ30" t="s">
        <v>492</v>
      </c>
      <c r="AR30" t="s">
        <v>493</v>
      </c>
      <c r="AS30" t="s">
        <v>494</v>
      </c>
      <c r="AT30" t="s">
        <v>495</v>
      </c>
      <c r="AU30" t="s">
        <v>191</v>
      </c>
      <c r="AV30" t="s">
        <v>496</v>
      </c>
      <c r="AW30" t="s">
        <v>215</v>
      </c>
      <c r="AX30" t="s">
        <v>497</v>
      </c>
      <c r="AY30" t="s">
        <v>498</v>
      </c>
      <c r="AZ30" t="s">
        <v>414</v>
      </c>
      <c r="BA30" t="s">
        <v>415</v>
      </c>
      <c r="BB30" t="s">
        <v>416</v>
      </c>
      <c r="BC30" t="s">
        <v>499</v>
      </c>
      <c r="BD30" t="s">
        <v>162</v>
      </c>
      <c r="BE30" t="s">
        <v>374</v>
      </c>
      <c r="BF30" t="s">
        <v>500</v>
      </c>
      <c r="BG30" t="s">
        <v>501</v>
      </c>
      <c r="BH30" t="s">
        <v>434</v>
      </c>
      <c r="BI30" t="s">
        <v>463</v>
      </c>
      <c r="BJ30" t="s">
        <v>198</v>
      </c>
      <c r="BK30" t="s">
        <v>162</v>
      </c>
      <c r="BL30" t="s">
        <v>199</v>
      </c>
      <c r="BM30" t="s">
        <v>160</v>
      </c>
      <c r="BN30" t="s">
        <v>200</v>
      </c>
      <c r="BO30" t="s">
        <v>201</v>
      </c>
      <c r="BP30" t="s">
        <v>502</v>
      </c>
      <c r="BQ30" t="s">
        <v>503</v>
      </c>
      <c r="BR30" t="s">
        <v>504</v>
      </c>
      <c r="BS30" t="s">
        <v>505</v>
      </c>
      <c r="BT30" t="s">
        <v>160</v>
      </c>
      <c r="BU30" t="s">
        <v>205</v>
      </c>
      <c r="BV30" t="s">
        <v>201</v>
      </c>
      <c r="BW30" t="s">
        <v>206</v>
      </c>
      <c r="BX30" t="s">
        <v>207</v>
      </c>
      <c r="BY30" t="s">
        <v>172</v>
      </c>
      <c r="BZ30" t="s">
        <v>208</v>
      </c>
      <c r="CA30" t="s">
        <v>172</v>
      </c>
      <c r="CB30" t="s">
        <v>172</v>
      </c>
      <c r="CC30" t="s">
        <v>209</v>
      </c>
      <c r="CD30" t="s">
        <v>210</v>
      </c>
      <c r="CE30" t="s">
        <v>197</v>
      </c>
      <c r="CF30" t="s">
        <v>211</v>
      </c>
      <c r="CG30" t="s">
        <v>212</v>
      </c>
      <c r="CH30" t="s">
        <v>213</v>
      </c>
      <c r="CI30" t="s">
        <v>178</v>
      </c>
      <c r="CJ30" t="s">
        <v>206</v>
      </c>
      <c r="CK30" t="s">
        <v>214</v>
      </c>
      <c r="CL30" t="s">
        <v>214</v>
      </c>
      <c r="CM30" t="s">
        <v>214</v>
      </c>
      <c r="CN30" t="s">
        <v>172</v>
      </c>
      <c r="CO30" t="s">
        <v>215</v>
      </c>
      <c r="CP30" t="s">
        <v>172</v>
      </c>
      <c r="CQ30" t="s">
        <v>172</v>
      </c>
      <c r="CR30" t="s">
        <v>172</v>
      </c>
      <c r="CS30" t="s">
        <v>172</v>
      </c>
      <c r="CT30" t="s">
        <v>506</v>
      </c>
      <c r="CU30" t="s">
        <v>507</v>
      </c>
      <c r="CV30" t="s">
        <v>508</v>
      </c>
      <c r="CW30" t="s">
        <v>509</v>
      </c>
      <c r="CX30" t="s">
        <v>510</v>
      </c>
      <c r="CY30" t="s">
        <v>511</v>
      </c>
      <c r="CZ30" t="s">
        <v>512</v>
      </c>
      <c r="DA30" t="s">
        <v>513</v>
      </c>
      <c r="DB30" t="s">
        <v>483</v>
      </c>
      <c r="DC30" t="s">
        <v>514</v>
      </c>
      <c r="DD30" t="s">
        <v>225</v>
      </c>
      <c r="DE30" t="s">
        <v>226</v>
      </c>
      <c r="DF30" t="s">
        <v>178</v>
      </c>
      <c r="DG30" t="s">
        <v>227</v>
      </c>
      <c r="DH30" t="s">
        <v>228</v>
      </c>
      <c r="DI30" t="s">
        <v>178</v>
      </c>
      <c r="DJ30" t="s">
        <v>229</v>
      </c>
      <c r="DK30" t="s">
        <v>230</v>
      </c>
      <c r="DL30" t="s">
        <v>231</v>
      </c>
      <c r="DM30" t="s">
        <v>172</v>
      </c>
      <c r="DN30" t="s">
        <v>482</v>
      </c>
      <c r="DO30" t="s">
        <v>232</v>
      </c>
      <c r="DP30" t="s">
        <v>233</v>
      </c>
      <c r="DQ30" t="s">
        <v>234</v>
      </c>
      <c r="DR30" t="s">
        <v>235</v>
      </c>
      <c r="DS30" t="s">
        <v>236</v>
      </c>
      <c r="DT30" t="s">
        <v>237</v>
      </c>
    </row>
    <row r="31" spans="1:124" x14ac:dyDescent="0.3">
      <c r="A31" t="s">
        <v>640</v>
      </c>
      <c r="B31" t="s">
        <v>641</v>
      </c>
      <c r="C31" t="s">
        <v>162</v>
      </c>
      <c r="D31" t="s">
        <v>163</v>
      </c>
      <c r="E31" t="s">
        <v>164</v>
      </c>
      <c r="F31" t="s">
        <v>138</v>
      </c>
      <c r="G31" t="s">
        <v>138</v>
      </c>
      <c r="H31" t="s">
        <v>1472</v>
      </c>
      <c r="I31" t="s">
        <v>642</v>
      </c>
      <c r="J31">
        <v>0.23617521153376289</v>
      </c>
      <c r="K31">
        <v>2.9058327199999998</v>
      </c>
      <c r="L31">
        <v>0.2184226368240646</v>
      </c>
      <c r="M31">
        <v>4.2826630261560492</v>
      </c>
      <c r="N31" t="s">
        <v>643</v>
      </c>
      <c r="O31" t="s">
        <v>644</v>
      </c>
      <c r="P31">
        <v>4.2044878920488893</v>
      </c>
      <c r="Q31">
        <v>1.9306908920488892</v>
      </c>
      <c r="R31" t="s">
        <v>645</v>
      </c>
      <c r="S31" t="s">
        <v>646</v>
      </c>
      <c r="T31">
        <v>41.33799913527568</v>
      </c>
      <c r="U31">
        <v>0.4417875</v>
      </c>
      <c r="V31" t="s">
        <v>170</v>
      </c>
      <c r="W31" t="s">
        <v>647</v>
      </c>
      <c r="X31" t="s">
        <v>172</v>
      </c>
      <c r="Y31" t="s">
        <v>172</v>
      </c>
      <c r="Z31" t="s">
        <v>172</v>
      </c>
      <c r="AA31" t="s">
        <v>648</v>
      </c>
      <c r="AB31" t="s">
        <v>649</v>
      </c>
      <c r="AC31" t="s">
        <v>650</v>
      </c>
      <c r="AD31" t="s">
        <v>176</v>
      </c>
      <c r="AE31" t="s">
        <v>177</v>
      </c>
      <c r="AF31">
        <v>93.102150960000003</v>
      </c>
      <c r="AG31" t="s">
        <v>178</v>
      </c>
      <c r="AH31" t="s">
        <v>651</v>
      </c>
      <c r="AI31" t="s">
        <v>652</v>
      </c>
      <c r="AJ31" t="s">
        <v>653</v>
      </c>
      <c r="AK31" t="s">
        <v>654</v>
      </c>
      <c r="AL31">
        <v>29.77</v>
      </c>
      <c r="AM31" t="s">
        <v>183</v>
      </c>
      <c r="AN31" t="s">
        <v>406</v>
      </c>
      <c r="AO31" t="s">
        <v>655</v>
      </c>
      <c r="AP31" t="s">
        <v>656</v>
      </c>
      <c r="AQ31" t="s">
        <v>657</v>
      </c>
      <c r="AR31" t="s">
        <v>658</v>
      </c>
      <c r="AS31" t="s">
        <v>369</v>
      </c>
      <c r="AT31" t="s">
        <v>659</v>
      </c>
      <c r="AU31" t="s">
        <v>660</v>
      </c>
      <c r="AV31" t="s">
        <v>661</v>
      </c>
      <c r="AW31" t="s">
        <v>215</v>
      </c>
      <c r="AX31" t="s">
        <v>662</v>
      </c>
      <c r="AY31" t="s">
        <v>663</v>
      </c>
      <c r="AZ31" t="s">
        <v>414</v>
      </c>
      <c r="BA31" t="s">
        <v>622</v>
      </c>
      <c r="BB31" t="s">
        <v>623</v>
      </c>
      <c r="BC31" t="s">
        <v>664</v>
      </c>
      <c r="BD31" t="s">
        <v>162</v>
      </c>
      <c r="BE31" t="s">
        <v>418</v>
      </c>
      <c r="BF31" t="s">
        <v>665</v>
      </c>
      <c r="BG31" t="s">
        <v>666</v>
      </c>
      <c r="BH31" t="s">
        <v>515</v>
      </c>
      <c r="BI31" t="s">
        <v>627</v>
      </c>
      <c r="BJ31" t="s">
        <v>198</v>
      </c>
      <c r="BK31" t="s">
        <v>162</v>
      </c>
      <c r="BL31" t="s">
        <v>199</v>
      </c>
      <c r="BM31" t="s">
        <v>160</v>
      </c>
      <c r="BN31" t="s">
        <v>201</v>
      </c>
      <c r="BO31" t="s">
        <v>201</v>
      </c>
      <c r="BP31" t="s">
        <v>502</v>
      </c>
      <c r="BQ31" t="s">
        <v>667</v>
      </c>
      <c r="BR31" t="s">
        <v>668</v>
      </c>
      <c r="BS31" t="s">
        <v>669</v>
      </c>
      <c r="BT31" t="s">
        <v>160</v>
      </c>
      <c r="BU31" t="s">
        <v>205</v>
      </c>
      <c r="BV31" t="s">
        <v>201</v>
      </c>
      <c r="BW31" t="s">
        <v>206</v>
      </c>
      <c r="BX31" t="s">
        <v>207</v>
      </c>
      <c r="BY31" t="s">
        <v>172</v>
      </c>
      <c r="BZ31" t="s">
        <v>208</v>
      </c>
      <c r="CA31" t="s">
        <v>172</v>
      </c>
      <c r="CB31" t="s">
        <v>172</v>
      </c>
      <c r="CC31" t="s">
        <v>209</v>
      </c>
      <c r="CD31" t="s">
        <v>210</v>
      </c>
      <c r="CE31" t="s">
        <v>197</v>
      </c>
      <c r="CF31" t="s">
        <v>211</v>
      </c>
      <c r="CG31" t="s">
        <v>212</v>
      </c>
      <c r="CH31" t="s">
        <v>213</v>
      </c>
      <c r="CI31" t="s">
        <v>178</v>
      </c>
      <c r="CJ31" t="s">
        <v>206</v>
      </c>
      <c r="CK31" t="s">
        <v>214</v>
      </c>
      <c r="CL31" t="s">
        <v>214</v>
      </c>
      <c r="CM31" t="s">
        <v>214</v>
      </c>
      <c r="CN31" t="s">
        <v>172</v>
      </c>
      <c r="CO31" t="s">
        <v>215</v>
      </c>
      <c r="CP31" t="s">
        <v>172</v>
      </c>
      <c r="CQ31" t="s">
        <v>172</v>
      </c>
      <c r="CR31" t="s">
        <v>172</v>
      </c>
      <c r="CS31" t="s">
        <v>172</v>
      </c>
      <c r="CT31" t="s">
        <v>670</v>
      </c>
      <c r="CU31" t="s">
        <v>671</v>
      </c>
      <c r="CV31" t="s">
        <v>672</v>
      </c>
      <c r="CW31" t="s">
        <v>673</v>
      </c>
      <c r="CX31" t="s">
        <v>674</v>
      </c>
      <c r="CY31" t="s">
        <v>675</v>
      </c>
      <c r="CZ31" t="s">
        <v>676</v>
      </c>
      <c r="DA31" t="s">
        <v>677</v>
      </c>
      <c r="DB31" t="s">
        <v>648</v>
      </c>
      <c r="DC31" t="s">
        <v>678</v>
      </c>
      <c r="DD31" t="s">
        <v>225</v>
      </c>
      <c r="DE31" t="s">
        <v>226</v>
      </c>
      <c r="DF31" t="s">
        <v>178</v>
      </c>
      <c r="DG31" t="s">
        <v>227</v>
      </c>
      <c r="DH31" t="s">
        <v>228</v>
      </c>
      <c r="DI31" t="s">
        <v>178</v>
      </c>
      <c r="DJ31" t="s">
        <v>229</v>
      </c>
      <c r="DK31" t="s">
        <v>230</v>
      </c>
      <c r="DL31" t="s">
        <v>231</v>
      </c>
      <c r="DM31" t="s">
        <v>172</v>
      </c>
      <c r="DN31" t="s">
        <v>647</v>
      </c>
      <c r="DO31" t="s">
        <v>232</v>
      </c>
      <c r="DP31" t="s">
        <v>233</v>
      </c>
      <c r="DQ31" t="s">
        <v>234</v>
      </c>
      <c r="DR31" t="s">
        <v>235</v>
      </c>
      <c r="DS31" t="s">
        <v>236</v>
      </c>
      <c r="DT31" t="s">
        <v>237</v>
      </c>
    </row>
    <row r="32" spans="1:124" x14ac:dyDescent="0.3">
      <c r="A32" t="s">
        <v>802</v>
      </c>
      <c r="B32" t="s">
        <v>803</v>
      </c>
      <c r="C32" t="s">
        <v>162</v>
      </c>
      <c r="D32" t="s">
        <v>163</v>
      </c>
      <c r="E32" t="s">
        <v>164</v>
      </c>
      <c r="F32" t="s">
        <v>138</v>
      </c>
      <c r="G32" t="s">
        <v>138</v>
      </c>
      <c r="H32" t="s">
        <v>1475</v>
      </c>
      <c r="I32" t="s">
        <v>804</v>
      </c>
      <c r="J32">
        <v>0.17287437773011041</v>
      </c>
      <c r="K32">
        <v>2.9050319999999994</v>
      </c>
      <c r="L32">
        <v>0.16316467678150234</v>
      </c>
      <c r="M32">
        <v>3.4690504187362539</v>
      </c>
      <c r="N32" t="s">
        <v>805</v>
      </c>
      <c r="O32" t="s">
        <v>806</v>
      </c>
      <c r="P32">
        <v>4.2506708972732925</v>
      </c>
      <c r="Q32">
        <v>2.0942548972732924</v>
      </c>
      <c r="R32" t="s">
        <v>807</v>
      </c>
      <c r="S32" t="s">
        <v>808</v>
      </c>
      <c r="T32">
        <v>41.792064666928454</v>
      </c>
      <c r="U32">
        <v>0.4417875</v>
      </c>
      <c r="V32" t="s">
        <v>170</v>
      </c>
      <c r="W32" t="s">
        <v>809</v>
      </c>
      <c r="X32" t="s">
        <v>172</v>
      </c>
      <c r="Y32" t="s">
        <v>172</v>
      </c>
      <c r="Z32" t="s">
        <v>172</v>
      </c>
      <c r="AA32" t="s">
        <v>810</v>
      </c>
      <c r="AB32" t="s">
        <v>811</v>
      </c>
      <c r="AC32" t="s">
        <v>812</v>
      </c>
      <c r="AD32" t="s">
        <v>176</v>
      </c>
      <c r="AE32" t="s">
        <v>177</v>
      </c>
      <c r="AF32">
        <v>268.17625296</v>
      </c>
      <c r="AG32" t="s">
        <v>178</v>
      </c>
      <c r="AH32" t="s">
        <v>813</v>
      </c>
      <c r="AI32" t="s">
        <v>773</v>
      </c>
      <c r="AJ32" t="s">
        <v>814</v>
      </c>
      <c r="AK32" t="s">
        <v>815</v>
      </c>
      <c r="AL32">
        <v>29.96</v>
      </c>
      <c r="AM32" t="s">
        <v>183</v>
      </c>
      <c r="AN32" t="s">
        <v>184</v>
      </c>
      <c r="AO32" t="s">
        <v>816</v>
      </c>
      <c r="AP32" t="s">
        <v>656</v>
      </c>
      <c r="AQ32" t="s">
        <v>817</v>
      </c>
      <c r="AR32" t="s">
        <v>818</v>
      </c>
      <c r="AS32" t="s">
        <v>494</v>
      </c>
      <c r="AT32" t="s">
        <v>335</v>
      </c>
      <c r="AU32" t="s">
        <v>819</v>
      </c>
      <c r="AV32" t="s">
        <v>820</v>
      </c>
      <c r="AW32" t="s">
        <v>821</v>
      </c>
      <c r="AX32" t="s">
        <v>822</v>
      </c>
      <c r="AY32" t="s">
        <v>823</v>
      </c>
      <c r="AZ32" t="s">
        <v>414</v>
      </c>
      <c r="BA32" t="s">
        <v>784</v>
      </c>
      <c r="BB32" t="s">
        <v>526</v>
      </c>
      <c r="BC32" t="s">
        <v>824</v>
      </c>
      <c r="BD32" t="s">
        <v>162</v>
      </c>
      <c r="BE32" t="s">
        <v>825</v>
      </c>
      <c r="BF32" t="s">
        <v>500</v>
      </c>
      <c r="BG32" t="s">
        <v>826</v>
      </c>
      <c r="BH32" t="s">
        <v>640</v>
      </c>
      <c r="BI32" t="s">
        <v>827</v>
      </c>
      <c r="BJ32" t="s">
        <v>198</v>
      </c>
      <c r="BK32" t="s">
        <v>162</v>
      </c>
      <c r="BL32" t="s">
        <v>199</v>
      </c>
      <c r="BM32" t="s">
        <v>160</v>
      </c>
      <c r="BN32" t="s">
        <v>264</v>
      </c>
      <c r="BO32" t="s">
        <v>265</v>
      </c>
      <c r="BP32" t="s">
        <v>339</v>
      </c>
      <c r="BQ32" t="s">
        <v>828</v>
      </c>
      <c r="BR32" t="s">
        <v>829</v>
      </c>
      <c r="BS32" t="s">
        <v>830</v>
      </c>
      <c r="BT32" t="s">
        <v>160</v>
      </c>
      <c r="BU32" t="s">
        <v>205</v>
      </c>
      <c r="BV32" t="s">
        <v>201</v>
      </c>
      <c r="BW32" t="s">
        <v>206</v>
      </c>
      <c r="BX32" t="s">
        <v>207</v>
      </c>
      <c r="BY32" t="s">
        <v>172</v>
      </c>
      <c r="BZ32" t="s">
        <v>208</v>
      </c>
      <c r="CA32" t="s">
        <v>172</v>
      </c>
      <c r="CB32" t="s">
        <v>172</v>
      </c>
      <c r="CC32" t="s">
        <v>209</v>
      </c>
      <c r="CD32" t="s">
        <v>210</v>
      </c>
      <c r="CE32" t="s">
        <v>197</v>
      </c>
      <c r="CF32" t="s">
        <v>211</v>
      </c>
      <c r="CG32" t="s">
        <v>212</v>
      </c>
      <c r="CH32" t="s">
        <v>213</v>
      </c>
      <c r="CI32" t="s">
        <v>178</v>
      </c>
      <c r="CJ32" t="s">
        <v>206</v>
      </c>
      <c r="CK32" t="s">
        <v>214</v>
      </c>
      <c r="CL32" t="s">
        <v>214</v>
      </c>
      <c r="CM32" t="s">
        <v>214</v>
      </c>
      <c r="CN32" t="s">
        <v>172</v>
      </c>
      <c r="CO32" t="s">
        <v>215</v>
      </c>
      <c r="CP32" t="s">
        <v>172</v>
      </c>
      <c r="CQ32" t="s">
        <v>172</v>
      </c>
      <c r="CR32" t="s">
        <v>172</v>
      </c>
      <c r="CS32" t="s">
        <v>172</v>
      </c>
      <c r="CT32" t="s">
        <v>831</v>
      </c>
      <c r="CU32" t="s">
        <v>832</v>
      </c>
      <c r="CV32" t="s">
        <v>833</v>
      </c>
      <c r="CW32" t="s">
        <v>834</v>
      </c>
      <c r="CX32" t="s">
        <v>835</v>
      </c>
      <c r="CY32" t="s">
        <v>836</v>
      </c>
      <c r="CZ32" t="s">
        <v>837</v>
      </c>
      <c r="DA32" t="s">
        <v>838</v>
      </c>
      <c r="DB32" t="s">
        <v>810</v>
      </c>
      <c r="DC32" t="s">
        <v>224</v>
      </c>
      <c r="DD32" t="s">
        <v>225</v>
      </c>
      <c r="DE32" t="s">
        <v>226</v>
      </c>
      <c r="DF32" t="s">
        <v>178</v>
      </c>
      <c r="DG32" t="s">
        <v>227</v>
      </c>
      <c r="DH32" t="s">
        <v>228</v>
      </c>
      <c r="DI32" t="s">
        <v>178</v>
      </c>
      <c r="DJ32" t="s">
        <v>229</v>
      </c>
      <c r="DK32" t="s">
        <v>230</v>
      </c>
      <c r="DL32" t="s">
        <v>231</v>
      </c>
      <c r="DM32" t="s">
        <v>172</v>
      </c>
      <c r="DN32" t="s">
        <v>809</v>
      </c>
      <c r="DO32" t="s">
        <v>232</v>
      </c>
      <c r="DP32" t="s">
        <v>233</v>
      </c>
      <c r="DQ32" t="s">
        <v>234</v>
      </c>
      <c r="DR32" t="s">
        <v>235</v>
      </c>
      <c r="DS32" t="s">
        <v>236</v>
      </c>
      <c r="DT32" t="s">
        <v>237</v>
      </c>
    </row>
    <row r="33" spans="1:124" x14ac:dyDescent="0.3">
      <c r="A33" t="s">
        <v>455</v>
      </c>
      <c r="B33" t="s">
        <v>921</v>
      </c>
      <c r="C33" t="s">
        <v>162</v>
      </c>
      <c r="D33" t="s">
        <v>163</v>
      </c>
      <c r="E33" t="s">
        <v>164</v>
      </c>
      <c r="F33" t="s">
        <v>138</v>
      </c>
      <c r="G33" t="s">
        <v>138</v>
      </c>
      <c r="H33" t="s">
        <v>1477</v>
      </c>
      <c r="I33" t="s">
        <v>922</v>
      </c>
      <c r="J33">
        <v>0.2918870899288088</v>
      </c>
      <c r="K33">
        <v>2.9050319999999994</v>
      </c>
      <c r="L33">
        <v>0.26523703377458635</v>
      </c>
      <c r="M33">
        <v>5.7798691157854982</v>
      </c>
      <c r="N33" t="s">
        <v>923</v>
      </c>
      <c r="O33" t="s">
        <v>924</v>
      </c>
      <c r="P33">
        <v>4.3618192072402104</v>
      </c>
      <c r="Q33">
        <v>2.1450682072402105</v>
      </c>
      <c r="R33" t="s">
        <v>925</v>
      </c>
      <c r="S33" t="s">
        <v>926</v>
      </c>
      <c r="T33">
        <v>42.876429836235232</v>
      </c>
      <c r="U33">
        <v>0.4417875</v>
      </c>
      <c r="V33" t="s">
        <v>170</v>
      </c>
      <c r="W33" t="s">
        <v>927</v>
      </c>
      <c r="X33" t="s">
        <v>172</v>
      </c>
      <c r="Y33" t="s">
        <v>172</v>
      </c>
      <c r="Z33" t="s">
        <v>172</v>
      </c>
      <c r="AA33" t="s">
        <v>928</v>
      </c>
      <c r="AB33" t="s">
        <v>929</v>
      </c>
      <c r="AC33" t="s">
        <v>930</v>
      </c>
      <c r="AD33" t="s">
        <v>176</v>
      </c>
      <c r="AE33" t="s">
        <v>177</v>
      </c>
      <c r="AF33">
        <v>184.15196687999997</v>
      </c>
      <c r="AG33" t="s">
        <v>178</v>
      </c>
      <c r="AH33" t="s">
        <v>931</v>
      </c>
      <c r="AI33" t="s">
        <v>932</v>
      </c>
      <c r="AJ33" t="s">
        <v>933</v>
      </c>
      <c r="AK33" t="s">
        <v>934</v>
      </c>
      <c r="AL33">
        <v>30.41</v>
      </c>
      <c r="AM33" t="s">
        <v>854</v>
      </c>
      <c r="AN33" t="s">
        <v>184</v>
      </c>
      <c r="AO33" t="s">
        <v>816</v>
      </c>
      <c r="AP33" t="s">
        <v>656</v>
      </c>
      <c r="AQ33" t="s">
        <v>935</v>
      </c>
      <c r="AR33" t="s">
        <v>917</v>
      </c>
      <c r="AS33" t="s">
        <v>454</v>
      </c>
      <c r="AT33" t="s">
        <v>936</v>
      </c>
      <c r="AU33" t="s">
        <v>937</v>
      </c>
      <c r="AV33" t="s">
        <v>938</v>
      </c>
      <c r="AW33" t="s">
        <v>939</v>
      </c>
      <c r="AX33" t="s">
        <v>940</v>
      </c>
      <c r="AY33" t="s">
        <v>941</v>
      </c>
      <c r="AZ33" t="s">
        <v>414</v>
      </c>
      <c r="BA33" t="s">
        <v>918</v>
      </c>
      <c r="BB33" t="s">
        <v>919</v>
      </c>
      <c r="BC33" t="s">
        <v>942</v>
      </c>
      <c r="BD33" t="s">
        <v>162</v>
      </c>
      <c r="BE33" t="s">
        <v>825</v>
      </c>
      <c r="BF33" t="s">
        <v>461</v>
      </c>
      <c r="BG33" t="s">
        <v>943</v>
      </c>
      <c r="BH33" t="s">
        <v>679</v>
      </c>
      <c r="BI33" t="s">
        <v>920</v>
      </c>
      <c r="BJ33" t="s">
        <v>944</v>
      </c>
      <c r="BK33" t="s">
        <v>162</v>
      </c>
      <c r="BL33" t="s">
        <v>945</v>
      </c>
      <c r="BM33" t="s">
        <v>160</v>
      </c>
      <c r="BN33" t="s">
        <v>200</v>
      </c>
      <c r="BO33" t="s">
        <v>265</v>
      </c>
      <c r="BP33" t="s">
        <v>339</v>
      </c>
      <c r="BQ33" t="s">
        <v>946</v>
      </c>
      <c r="BR33" t="s">
        <v>947</v>
      </c>
      <c r="BS33" t="s">
        <v>948</v>
      </c>
      <c r="BT33" t="s">
        <v>160</v>
      </c>
      <c r="BU33" t="s">
        <v>205</v>
      </c>
      <c r="BV33" t="s">
        <v>201</v>
      </c>
      <c r="BW33" t="s">
        <v>206</v>
      </c>
      <c r="BX33" t="s">
        <v>207</v>
      </c>
      <c r="BY33" t="s">
        <v>172</v>
      </c>
      <c r="BZ33" t="s">
        <v>208</v>
      </c>
      <c r="CA33" t="s">
        <v>172</v>
      </c>
      <c r="CB33" t="s">
        <v>172</v>
      </c>
      <c r="CC33" t="s">
        <v>209</v>
      </c>
      <c r="CD33" t="s">
        <v>210</v>
      </c>
      <c r="CE33" t="s">
        <v>197</v>
      </c>
      <c r="CF33" t="s">
        <v>211</v>
      </c>
      <c r="CG33" t="s">
        <v>212</v>
      </c>
      <c r="CH33" t="s">
        <v>213</v>
      </c>
      <c r="CI33" t="s">
        <v>178</v>
      </c>
      <c r="CJ33" t="s">
        <v>206</v>
      </c>
      <c r="CK33" t="s">
        <v>214</v>
      </c>
      <c r="CL33" t="s">
        <v>214</v>
      </c>
      <c r="CM33" t="s">
        <v>214</v>
      </c>
      <c r="CN33" t="s">
        <v>172</v>
      </c>
      <c r="CO33" t="s">
        <v>215</v>
      </c>
      <c r="CP33" t="s">
        <v>172</v>
      </c>
      <c r="CQ33" t="s">
        <v>172</v>
      </c>
      <c r="CR33" t="s">
        <v>172</v>
      </c>
      <c r="CS33" t="s">
        <v>172</v>
      </c>
      <c r="CT33" t="s">
        <v>949</v>
      </c>
      <c r="CU33" t="s">
        <v>950</v>
      </c>
      <c r="CV33" t="s">
        <v>951</v>
      </c>
      <c r="CW33" t="s">
        <v>952</v>
      </c>
      <c r="CX33" t="s">
        <v>953</v>
      </c>
      <c r="CY33" t="s">
        <v>954</v>
      </c>
      <c r="CZ33" t="s">
        <v>955</v>
      </c>
      <c r="DA33" t="s">
        <v>956</v>
      </c>
      <c r="DB33" t="s">
        <v>928</v>
      </c>
      <c r="DC33" t="s">
        <v>801</v>
      </c>
      <c r="DD33" t="s">
        <v>225</v>
      </c>
      <c r="DE33" t="s">
        <v>226</v>
      </c>
      <c r="DF33" t="s">
        <v>178</v>
      </c>
      <c r="DG33" t="s">
        <v>227</v>
      </c>
      <c r="DH33" t="s">
        <v>228</v>
      </c>
      <c r="DI33" t="s">
        <v>178</v>
      </c>
      <c r="DJ33" t="s">
        <v>229</v>
      </c>
      <c r="DK33" t="s">
        <v>230</v>
      </c>
      <c r="DL33" t="s">
        <v>231</v>
      </c>
      <c r="DM33" t="s">
        <v>172</v>
      </c>
      <c r="DN33" t="s">
        <v>927</v>
      </c>
      <c r="DO33" t="s">
        <v>232</v>
      </c>
      <c r="DP33" t="s">
        <v>233</v>
      </c>
      <c r="DQ33" t="s">
        <v>234</v>
      </c>
      <c r="DR33" t="s">
        <v>235</v>
      </c>
      <c r="DS33" t="s">
        <v>236</v>
      </c>
      <c r="DT33" t="s">
        <v>237</v>
      </c>
    </row>
    <row r="34" spans="1:124" x14ac:dyDescent="0.3">
      <c r="A34" t="s">
        <v>1075</v>
      </c>
      <c r="B34" t="s">
        <v>1076</v>
      </c>
      <c r="C34" t="s">
        <v>162</v>
      </c>
      <c r="D34" t="s">
        <v>163</v>
      </c>
      <c r="E34" t="s">
        <v>164</v>
      </c>
      <c r="F34" t="s">
        <v>138</v>
      </c>
      <c r="G34" t="s">
        <v>138</v>
      </c>
      <c r="H34" t="s">
        <v>1479</v>
      </c>
      <c r="I34" t="s">
        <v>1077</v>
      </c>
      <c r="J34">
        <v>0.32510792887794077</v>
      </c>
      <c r="K34">
        <v>2.9066320800000001</v>
      </c>
      <c r="L34">
        <v>0.29240258589584811</v>
      </c>
      <c r="M34">
        <v>7.55965581642569</v>
      </c>
      <c r="N34" t="s">
        <v>1078</v>
      </c>
      <c r="O34" t="s">
        <v>1079</v>
      </c>
      <c r="P34">
        <v>4.8622552757982724</v>
      </c>
      <c r="Q34">
        <v>2.5374552757982722</v>
      </c>
      <c r="R34" t="s">
        <v>1080</v>
      </c>
      <c r="S34" t="s">
        <v>1081</v>
      </c>
      <c r="T34">
        <v>47.79098953998696</v>
      </c>
      <c r="U34">
        <v>0.4417875</v>
      </c>
      <c r="V34" t="s">
        <v>170</v>
      </c>
      <c r="W34" t="s">
        <v>1082</v>
      </c>
      <c r="X34" t="s">
        <v>172</v>
      </c>
      <c r="Y34" t="s">
        <v>172</v>
      </c>
      <c r="Z34" t="s">
        <v>172</v>
      </c>
      <c r="AA34" t="s">
        <v>1083</v>
      </c>
      <c r="AB34" t="s">
        <v>1084</v>
      </c>
      <c r="AC34" t="s">
        <v>1085</v>
      </c>
      <c r="AD34" t="s">
        <v>176</v>
      </c>
      <c r="AE34" t="s">
        <v>177</v>
      </c>
      <c r="AF34">
        <v>147.466914</v>
      </c>
      <c r="AG34" t="s">
        <v>178</v>
      </c>
      <c r="AH34" t="s">
        <v>179</v>
      </c>
      <c r="AI34" t="s">
        <v>1086</v>
      </c>
      <c r="AJ34" t="s">
        <v>1087</v>
      </c>
      <c r="AK34" t="s">
        <v>1088</v>
      </c>
      <c r="AL34">
        <v>32.32</v>
      </c>
      <c r="AM34" t="s">
        <v>972</v>
      </c>
      <c r="AN34" t="s">
        <v>1089</v>
      </c>
      <c r="AO34" t="s">
        <v>1090</v>
      </c>
      <c r="AP34" t="s">
        <v>893</v>
      </c>
      <c r="AQ34" t="s">
        <v>1091</v>
      </c>
      <c r="AR34" t="s">
        <v>1017</v>
      </c>
      <c r="AS34" t="s">
        <v>1092</v>
      </c>
      <c r="AT34" t="s">
        <v>957</v>
      </c>
      <c r="AU34" t="s">
        <v>1093</v>
      </c>
      <c r="AV34" t="s">
        <v>1094</v>
      </c>
      <c r="AW34" t="s">
        <v>1095</v>
      </c>
      <c r="AX34" t="s">
        <v>690</v>
      </c>
      <c r="AY34" t="s">
        <v>1096</v>
      </c>
      <c r="AZ34" t="s">
        <v>414</v>
      </c>
      <c r="BA34" t="s">
        <v>1097</v>
      </c>
      <c r="BB34" t="s">
        <v>1098</v>
      </c>
      <c r="BC34" t="s">
        <v>1099</v>
      </c>
      <c r="BD34" t="s">
        <v>162</v>
      </c>
      <c r="BE34" t="s">
        <v>460</v>
      </c>
      <c r="BF34" t="s">
        <v>665</v>
      </c>
      <c r="BG34" t="s">
        <v>1029</v>
      </c>
      <c r="BH34" t="s">
        <v>723</v>
      </c>
      <c r="BI34" t="s">
        <v>1100</v>
      </c>
      <c r="BJ34" t="s">
        <v>944</v>
      </c>
      <c r="BK34" t="s">
        <v>162</v>
      </c>
      <c r="BL34" t="s">
        <v>945</v>
      </c>
      <c r="BM34" t="s">
        <v>160</v>
      </c>
      <c r="BN34" t="s">
        <v>264</v>
      </c>
      <c r="BO34" t="s">
        <v>265</v>
      </c>
      <c r="BP34" t="s">
        <v>339</v>
      </c>
      <c r="BQ34" t="s">
        <v>1101</v>
      </c>
      <c r="BR34" t="s">
        <v>1102</v>
      </c>
      <c r="BS34" t="s">
        <v>1103</v>
      </c>
      <c r="BT34" t="s">
        <v>160</v>
      </c>
      <c r="BU34" t="s">
        <v>205</v>
      </c>
      <c r="BV34" t="s">
        <v>201</v>
      </c>
      <c r="BW34" t="s">
        <v>206</v>
      </c>
      <c r="BX34" t="s">
        <v>207</v>
      </c>
      <c r="BY34" t="s">
        <v>172</v>
      </c>
      <c r="BZ34" t="s">
        <v>208</v>
      </c>
      <c r="CA34" t="s">
        <v>172</v>
      </c>
      <c r="CB34" t="s">
        <v>172</v>
      </c>
      <c r="CC34" t="s">
        <v>209</v>
      </c>
      <c r="CD34" t="s">
        <v>210</v>
      </c>
      <c r="CE34" t="s">
        <v>197</v>
      </c>
      <c r="CF34" t="s">
        <v>211</v>
      </c>
      <c r="CG34" t="s">
        <v>212</v>
      </c>
      <c r="CH34" t="s">
        <v>213</v>
      </c>
      <c r="CI34" t="s">
        <v>178</v>
      </c>
      <c r="CJ34" t="s">
        <v>206</v>
      </c>
      <c r="CK34" t="s">
        <v>214</v>
      </c>
      <c r="CL34" t="s">
        <v>214</v>
      </c>
      <c r="CM34" t="s">
        <v>214</v>
      </c>
      <c r="CN34" t="s">
        <v>172</v>
      </c>
      <c r="CO34" t="s">
        <v>215</v>
      </c>
      <c r="CP34" t="s">
        <v>172</v>
      </c>
      <c r="CQ34" t="s">
        <v>172</v>
      </c>
      <c r="CR34" t="s">
        <v>172</v>
      </c>
      <c r="CS34" t="s">
        <v>172</v>
      </c>
      <c r="CT34" t="s">
        <v>1104</v>
      </c>
      <c r="CU34" t="s">
        <v>1105</v>
      </c>
      <c r="CV34" t="s">
        <v>1106</v>
      </c>
      <c r="CW34" t="s">
        <v>1107</v>
      </c>
      <c r="CX34" t="s">
        <v>1108</v>
      </c>
      <c r="CY34" t="s">
        <v>1109</v>
      </c>
      <c r="CZ34" t="s">
        <v>1110</v>
      </c>
      <c r="DA34" t="s">
        <v>1111</v>
      </c>
      <c r="DB34" t="s">
        <v>1083</v>
      </c>
      <c r="DC34" t="s">
        <v>1112</v>
      </c>
      <c r="DD34" t="s">
        <v>225</v>
      </c>
      <c r="DE34" t="s">
        <v>226</v>
      </c>
      <c r="DF34" t="s">
        <v>178</v>
      </c>
      <c r="DG34" t="s">
        <v>227</v>
      </c>
      <c r="DH34" t="s">
        <v>228</v>
      </c>
      <c r="DI34" t="s">
        <v>178</v>
      </c>
      <c r="DJ34" t="s">
        <v>229</v>
      </c>
      <c r="DK34" t="s">
        <v>230</v>
      </c>
      <c r="DL34" t="s">
        <v>231</v>
      </c>
      <c r="DM34" t="s">
        <v>172</v>
      </c>
      <c r="DN34" t="s">
        <v>1082</v>
      </c>
      <c r="DO34" t="s">
        <v>232</v>
      </c>
      <c r="DP34" t="s">
        <v>233</v>
      </c>
      <c r="DQ34" t="s">
        <v>234</v>
      </c>
      <c r="DR34" t="s">
        <v>235</v>
      </c>
      <c r="DS34" t="s">
        <v>236</v>
      </c>
      <c r="DT34" t="s">
        <v>237</v>
      </c>
    </row>
    <row r="35" spans="1:124" x14ac:dyDescent="0.3">
      <c r="A35" t="s">
        <v>1228</v>
      </c>
      <c r="B35" t="s">
        <v>1229</v>
      </c>
      <c r="C35" t="s">
        <v>162</v>
      </c>
      <c r="D35" t="s">
        <v>163</v>
      </c>
      <c r="E35" t="s">
        <v>164</v>
      </c>
      <c r="F35" t="s">
        <v>138</v>
      </c>
      <c r="G35" t="s">
        <v>138</v>
      </c>
      <c r="H35" t="s">
        <v>1481</v>
      </c>
      <c r="I35" t="s">
        <v>1230</v>
      </c>
      <c r="J35">
        <v>0.22120241134757646</v>
      </c>
      <c r="K35">
        <v>2.9050319999999994</v>
      </c>
      <c r="L35">
        <v>0.20555083173205727</v>
      </c>
      <c r="M35">
        <v>5.8193830416291261</v>
      </c>
      <c r="N35" t="s">
        <v>1231</v>
      </c>
      <c r="O35" t="s">
        <v>1232</v>
      </c>
      <c r="P35">
        <v>5.0549463654640379</v>
      </c>
      <c r="Q35">
        <v>2.7763283654640381</v>
      </c>
      <c r="R35" t="s">
        <v>1233</v>
      </c>
      <c r="S35" t="s">
        <v>1234</v>
      </c>
      <c r="T35">
        <v>49.689829602516831</v>
      </c>
      <c r="U35">
        <v>0.4417875</v>
      </c>
      <c r="V35" t="s">
        <v>170</v>
      </c>
      <c r="W35" t="s">
        <v>1235</v>
      </c>
      <c r="X35" t="s">
        <v>172</v>
      </c>
      <c r="Y35" t="s">
        <v>172</v>
      </c>
      <c r="Z35" t="s">
        <v>172</v>
      </c>
      <c r="AA35" t="s">
        <v>1236</v>
      </c>
      <c r="AB35" t="s">
        <v>1237</v>
      </c>
      <c r="AC35" t="s">
        <v>1238</v>
      </c>
      <c r="AD35" t="s">
        <v>176</v>
      </c>
      <c r="AE35" t="s">
        <v>177</v>
      </c>
      <c r="AF35">
        <v>215.50621889999996</v>
      </c>
      <c r="AG35" t="s">
        <v>178</v>
      </c>
      <c r="AH35" t="s">
        <v>1239</v>
      </c>
      <c r="AI35" t="s">
        <v>1240</v>
      </c>
      <c r="AJ35" t="s">
        <v>1241</v>
      </c>
      <c r="AK35" t="s">
        <v>1242</v>
      </c>
      <c r="AL35">
        <v>33.01</v>
      </c>
      <c r="AM35" t="s">
        <v>854</v>
      </c>
      <c r="AN35" t="s">
        <v>184</v>
      </c>
      <c r="AO35" t="s">
        <v>1243</v>
      </c>
      <c r="AP35" t="s">
        <v>1244</v>
      </c>
      <c r="AQ35" t="s">
        <v>1245</v>
      </c>
      <c r="AR35" t="s">
        <v>1246</v>
      </c>
      <c r="AS35" t="s">
        <v>659</v>
      </c>
      <c r="AT35" t="s">
        <v>1247</v>
      </c>
      <c r="AU35" t="s">
        <v>1248</v>
      </c>
      <c r="AV35" t="s">
        <v>1249</v>
      </c>
      <c r="AW35" t="s">
        <v>1250</v>
      </c>
      <c r="AX35" t="s">
        <v>1251</v>
      </c>
      <c r="AY35" t="s">
        <v>1252</v>
      </c>
      <c r="AZ35" t="s">
        <v>414</v>
      </c>
      <c r="BA35" t="s">
        <v>1253</v>
      </c>
      <c r="BB35" t="s">
        <v>1254</v>
      </c>
      <c r="BC35" t="s">
        <v>1255</v>
      </c>
      <c r="BD35" t="s">
        <v>162</v>
      </c>
      <c r="BE35" t="s">
        <v>866</v>
      </c>
      <c r="BF35" t="s">
        <v>625</v>
      </c>
      <c r="BG35" t="s">
        <v>1256</v>
      </c>
      <c r="BH35" t="s">
        <v>679</v>
      </c>
      <c r="BI35" t="s">
        <v>1257</v>
      </c>
      <c r="BJ35" t="s">
        <v>944</v>
      </c>
      <c r="BK35" t="s">
        <v>162</v>
      </c>
      <c r="BL35" t="s">
        <v>945</v>
      </c>
      <c r="BM35" t="s">
        <v>160</v>
      </c>
      <c r="BN35" t="s">
        <v>201</v>
      </c>
      <c r="BO35" t="s">
        <v>265</v>
      </c>
      <c r="BP35" t="s">
        <v>201</v>
      </c>
      <c r="BQ35" t="s">
        <v>1258</v>
      </c>
      <c r="BR35" t="s">
        <v>1259</v>
      </c>
      <c r="BS35" t="s">
        <v>1260</v>
      </c>
      <c r="BT35" t="s">
        <v>160</v>
      </c>
      <c r="BU35" t="s">
        <v>205</v>
      </c>
      <c r="BV35" t="s">
        <v>201</v>
      </c>
      <c r="BW35" t="s">
        <v>206</v>
      </c>
      <c r="BX35" t="s">
        <v>207</v>
      </c>
      <c r="BY35" t="s">
        <v>172</v>
      </c>
      <c r="BZ35" t="s">
        <v>208</v>
      </c>
      <c r="CA35" t="s">
        <v>172</v>
      </c>
      <c r="CB35" t="s">
        <v>172</v>
      </c>
      <c r="CC35" t="s">
        <v>209</v>
      </c>
      <c r="CD35" t="s">
        <v>210</v>
      </c>
      <c r="CE35" t="s">
        <v>197</v>
      </c>
      <c r="CF35" t="s">
        <v>211</v>
      </c>
      <c r="CG35" t="s">
        <v>212</v>
      </c>
      <c r="CH35" t="s">
        <v>213</v>
      </c>
      <c r="CI35" t="s">
        <v>178</v>
      </c>
      <c r="CJ35" t="s">
        <v>206</v>
      </c>
      <c r="CK35" t="s">
        <v>214</v>
      </c>
      <c r="CL35" t="s">
        <v>214</v>
      </c>
      <c r="CM35" t="s">
        <v>214</v>
      </c>
      <c r="CN35" t="s">
        <v>172</v>
      </c>
      <c r="CO35" t="s">
        <v>215</v>
      </c>
      <c r="CP35" t="s">
        <v>172</v>
      </c>
      <c r="CQ35" t="s">
        <v>172</v>
      </c>
      <c r="CR35" t="s">
        <v>172</v>
      </c>
      <c r="CS35" t="s">
        <v>172</v>
      </c>
      <c r="CT35" t="s">
        <v>1261</v>
      </c>
      <c r="CU35" t="s">
        <v>1262</v>
      </c>
      <c r="CV35" t="s">
        <v>1263</v>
      </c>
      <c r="CW35" t="s">
        <v>1264</v>
      </c>
      <c r="CX35" t="s">
        <v>1265</v>
      </c>
      <c r="CY35" t="s">
        <v>1266</v>
      </c>
      <c r="CZ35" t="s">
        <v>1267</v>
      </c>
      <c r="DA35" t="s">
        <v>1268</v>
      </c>
      <c r="DB35" t="s">
        <v>1236</v>
      </c>
      <c r="DC35" t="s">
        <v>433</v>
      </c>
      <c r="DD35" t="s">
        <v>225</v>
      </c>
      <c r="DE35" t="s">
        <v>226</v>
      </c>
      <c r="DF35" t="s">
        <v>178</v>
      </c>
      <c r="DG35" t="s">
        <v>227</v>
      </c>
      <c r="DH35" t="s">
        <v>228</v>
      </c>
      <c r="DI35" t="s">
        <v>178</v>
      </c>
      <c r="DJ35" t="s">
        <v>229</v>
      </c>
      <c r="DK35" t="s">
        <v>230</v>
      </c>
      <c r="DL35" t="s">
        <v>231</v>
      </c>
      <c r="DM35" t="s">
        <v>172</v>
      </c>
      <c r="DN35" t="s">
        <v>1235</v>
      </c>
      <c r="DO35" t="s">
        <v>232</v>
      </c>
      <c r="DP35" t="s">
        <v>233</v>
      </c>
      <c r="DQ35" t="s">
        <v>234</v>
      </c>
      <c r="DR35" t="s">
        <v>235</v>
      </c>
      <c r="DS35" t="s">
        <v>236</v>
      </c>
      <c r="DT35" t="s">
        <v>237</v>
      </c>
    </row>
    <row r="36" spans="1:124" x14ac:dyDescent="0.3">
      <c r="A36" t="s">
        <v>1381</v>
      </c>
      <c r="B36" t="s">
        <v>1382</v>
      </c>
      <c r="C36" t="s">
        <v>162</v>
      </c>
      <c r="D36" t="s">
        <v>163</v>
      </c>
      <c r="E36" t="s">
        <v>164</v>
      </c>
      <c r="F36" t="s">
        <v>138</v>
      </c>
      <c r="G36" t="s">
        <v>138</v>
      </c>
      <c r="H36" t="s">
        <v>1483</v>
      </c>
      <c r="I36" t="s">
        <v>1383</v>
      </c>
      <c r="J36">
        <v>0.2359085915143162</v>
      </c>
      <c r="K36">
        <v>2.9050319999999994</v>
      </c>
      <c r="L36">
        <v>0.21819005723174417</v>
      </c>
      <c r="M36">
        <v>5.2669872307286063</v>
      </c>
      <c r="N36" t="s">
        <v>1384</v>
      </c>
      <c r="O36" t="s">
        <v>1385</v>
      </c>
      <c r="P36">
        <v>4.6442377105855037</v>
      </c>
      <c r="Q36">
        <v>2.3717007105855039</v>
      </c>
      <c r="R36" t="s">
        <v>1386</v>
      </c>
      <c r="S36" t="s">
        <v>1387</v>
      </c>
      <c r="T36">
        <v>45.661564355378076</v>
      </c>
      <c r="U36">
        <v>0.4417875</v>
      </c>
      <c r="V36" t="s">
        <v>170</v>
      </c>
      <c r="W36" t="s">
        <v>1388</v>
      </c>
      <c r="X36" t="s">
        <v>172</v>
      </c>
      <c r="Y36" t="s">
        <v>172</v>
      </c>
      <c r="Z36" t="s">
        <v>172</v>
      </c>
      <c r="AA36" t="s">
        <v>1389</v>
      </c>
      <c r="AB36" t="s">
        <v>1390</v>
      </c>
      <c r="AC36" t="s">
        <v>1391</v>
      </c>
      <c r="AD36" t="s">
        <v>176</v>
      </c>
      <c r="AE36" t="s">
        <v>177</v>
      </c>
      <c r="AF36">
        <v>206.22143807999996</v>
      </c>
      <c r="AG36" t="s">
        <v>178</v>
      </c>
      <c r="AH36" t="s">
        <v>1392</v>
      </c>
      <c r="AI36" t="s">
        <v>1281</v>
      </c>
      <c r="AJ36" t="s">
        <v>1393</v>
      </c>
      <c r="AK36" t="s">
        <v>1394</v>
      </c>
      <c r="AL36">
        <v>31.51</v>
      </c>
      <c r="AM36" t="s">
        <v>183</v>
      </c>
      <c r="AN36" t="s">
        <v>184</v>
      </c>
      <c r="AO36" t="s">
        <v>1395</v>
      </c>
      <c r="AP36" t="s">
        <v>176</v>
      </c>
      <c r="AQ36" t="s">
        <v>1396</v>
      </c>
      <c r="AR36" t="s">
        <v>1359</v>
      </c>
      <c r="AS36" t="s">
        <v>575</v>
      </c>
      <c r="AT36" t="s">
        <v>1397</v>
      </c>
      <c r="AU36" t="s">
        <v>1398</v>
      </c>
      <c r="AV36" t="s">
        <v>1399</v>
      </c>
      <c r="AW36" t="s">
        <v>1400</v>
      </c>
      <c r="AX36" t="s">
        <v>1401</v>
      </c>
      <c r="AY36" t="s">
        <v>1402</v>
      </c>
      <c r="AZ36" t="s">
        <v>414</v>
      </c>
      <c r="BA36" t="s">
        <v>1403</v>
      </c>
      <c r="BB36" t="s">
        <v>1404</v>
      </c>
      <c r="BC36" t="s">
        <v>1405</v>
      </c>
      <c r="BD36" t="s">
        <v>162</v>
      </c>
      <c r="BE36" t="s">
        <v>418</v>
      </c>
      <c r="BF36" t="s">
        <v>625</v>
      </c>
      <c r="BG36" t="s">
        <v>1406</v>
      </c>
      <c r="BH36" t="s">
        <v>679</v>
      </c>
      <c r="BI36" t="s">
        <v>1100</v>
      </c>
      <c r="BJ36" t="s">
        <v>944</v>
      </c>
      <c r="BK36" t="s">
        <v>162</v>
      </c>
      <c r="BL36" t="s">
        <v>945</v>
      </c>
      <c r="BM36" t="s">
        <v>160</v>
      </c>
      <c r="BN36" t="s">
        <v>201</v>
      </c>
      <c r="BO36" t="s">
        <v>378</v>
      </c>
      <c r="BP36" t="s">
        <v>711</v>
      </c>
      <c r="BQ36" t="s">
        <v>1407</v>
      </c>
      <c r="BR36" t="s">
        <v>1408</v>
      </c>
      <c r="BS36" t="s">
        <v>1409</v>
      </c>
      <c r="BT36" t="s">
        <v>160</v>
      </c>
      <c r="BU36" t="s">
        <v>205</v>
      </c>
      <c r="BV36" t="s">
        <v>201</v>
      </c>
      <c r="BW36" t="s">
        <v>206</v>
      </c>
      <c r="BX36" t="s">
        <v>207</v>
      </c>
      <c r="BY36" t="s">
        <v>172</v>
      </c>
      <c r="BZ36" t="s">
        <v>208</v>
      </c>
      <c r="CA36" t="s">
        <v>172</v>
      </c>
      <c r="CB36" t="s">
        <v>172</v>
      </c>
      <c r="CC36" t="s">
        <v>209</v>
      </c>
      <c r="CD36" t="s">
        <v>210</v>
      </c>
      <c r="CE36" t="s">
        <v>197</v>
      </c>
      <c r="CF36" t="s">
        <v>211</v>
      </c>
      <c r="CG36" t="s">
        <v>212</v>
      </c>
      <c r="CH36" t="s">
        <v>213</v>
      </c>
      <c r="CI36" t="s">
        <v>178</v>
      </c>
      <c r="CJ36" t="s">
        <v>206</v>
      </c>
      <c r="CK36" t="s">
        <v>214</v>
      </c>
      <c r="CL36" t="s">
        <v>214</v>
      </c>
      <c r="CM36" t="s">
        <v>214</v>
      </c>
      <c r="CN36" t="s">
        <v>172</v>
      </c>
      <c r="CO36" t="s">
        <v>215</v>
      </c>
      <c r="CP36" t="s">
        <v>172</v>
      </c>
      <c r="CQ36" t="s">
        <v>172</v>
      </c>
      <c r="CR36" t="s">
        <v>172</v>
      </c>
      <c r="CS36" t="s">
        <v>172</v>
      </c>
      <c r="CT36" t="s">
        <v>1410</v>
      </c>
      <c r="CU36" t="s">
        <v>1411</v>
      </c>
      <c r="CV36" t="s">
        <v>1412</v>
      </c>
      <c r="CW36" t="s">
        <v>1413</v>
      </c>
      <c r="CX36" t="s">
        <v>1414</v>
      </c>
      <c r="CY36" t="s">
        <v>1415</v>
      </c>
      <c r="CZ36" t="s">
        <v>1416</v>
      </c>
      <c r="DA36" t="s">
        <v>1417</v>
      </c>
      <c r="DB36" t="s">
        <v>1389</v>
      </c>
      <c r="DC36" t="s">
        <v>433</v>
      </c>
      <c r="DD36" t="s">
        <v>225</v>
      </c>
      <c r="DE36" t="s">
        <v>226</v>
      </c>
      <c r="DF36" t="s">
        <v>178</v>
      </c>
      <c r="DG36" t="s">
        <v>227</v>
      </c>
      <c r="DH36" t="s">
        <v>228</v>
      </c>
      <c r="DI36" t="s">
        <v>178</v>
      </c>
      <c r="DJ36" t="s">
        <v>229</v>
      </c>
      <c r="DK36" t="s">
        <v>230</v>
      </c>
      <c r="DL36" t="s">
        <v>231</v>
      </c>
      <c r="DM36" t="s">
        <v>172</v>
      </c>
      <c r="DN36" t="s">
        <v>1388</v>
      </c>
      <c r="DO36" t="s">
        <v>232</v>
      </c>
      <c r="DP36" t="s">
        <v>233</v>
      </c>
      <c r="DQ36" t="s">
        <v>234</v>
      </c>
      <c r="DR36" t="s">
        <v>235</v>
      </c>
      <c r="DS36" t="s">
        <v>236</v>
      </c>
      <c r="DT36" t="s">
        <v>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2026-10-13T12:53:37Z</dcterms:modified>
</cp:coreProperties>
</file>