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6" documentId="11_A4E7011ECBE9BF68C06002B9A8108195A02F1F4D" xr6:coauthVersionLast="47" xr6:coauthVersionMax="47" xr10:uidLastSave="{D13F92AC-762E-42B0-9EB8-CBD90725BF1B}"/>
  <bookViews>
    <workbookView xWindow="-120" yWindow="-120" windowWidth="29040" windowHeight="15720" xr2:uid="{00000000-000D-0000-FFFF-FFFF00000000}"/>
  </bookViews>
  <sheets>
    <sheet name="lightfluorom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P21" i="1" s="1"/>
  <c r="AF21" i="1"/>
  <c r="U21" i="1"/>
  <c r="M21" i="1"/>
  <c r="K21" i="1"/>
  <c r="AL20" i="1"/>
  <c r="AF20" i="1"/>
  <c r="U20" i="1"/>
  <c r="P20" i="1"/>
  <c r="M20" i="1"/>
  <c r="K20" i="1"/>
  <c r="AL19" i="1"/>
  <c r="P19" i="1" s="1"/>
  <c r="AF19" i="1"/>
  <c r="U19" i="1"/>
  <c r="M19" i="1" s="1"/>
  <c r="K19" i="1"/>
  <c r="AL18" i="1"/>
  <c r="AF18" i="1"/>
  <c r="U18" i="1"/>
  <c r="P18" i="1"/>
  <c r="M18" i="1"/>
  <c r="K18" i="1"/>
  <c r="AL17" i="1"/>
  <c r="P17" i="1" s="1"/>
  <c r="AF17" i="1"/>
  <c r="U17" i="1"/>
  <c r="M17" i="1"/>
  <c r="K17" i="1"/>
  <c r="AL16" i="1"/>
  <c r="P16" i="1" s="1"/>
  <c r="AF16" i="1"/>
  <c r="U16" i="1"/>
  <c r="M16" i="1"/>
  <c r="K16" i="1"/>
  <c r="AL15" i="1"/>
  <c r="P15" i="1" s="1"/>
  <c r="AF15" i="1"/>
  <c r="U15" i="1"/>
  <c r="M15" i="1" s="1"/>
  <c r="K15" i="1"/>
  <c r="AL14" i="1"/>
  <c r="P14" i="1" s="1"/>
  <c r="AF14" i="1"/>
  <c r="U14" i="1"/>
  <c r="M14" i="1"/>
  <c r="K14" i="1"/>
  <c r="AL13" i="1"/>
  <c r="P13" i="1" s="1"/>
  <c r="AF13" i="1"/>
  <c r="U13" i="1"/>
  <c r="M13" i="1" s="1"/>
  <c r="K13" i="1"/>
  <c r="AL12" i="1"/>
  <c r="AF12" i="1"/>
  <c r="U12" i="1"/>
  <c r="P12" i="1"/>
  <c r="M12" i="1"/>
  <c r="K12" i="1"/>
  <c r="AL11" i="1"/>
  <c r="AF11" i="1"/>
  <c r="U11" i="1"/>
  <c r="P11" i="1"/>
  <c r="M11" i="1"/>
  <c r="K11" i="1"/>
  <c r="AL10" i="1"/>
  <c r="P10" i="1" s="1"/>
  <c r="AF10" i="1"/>
  <c r="U10" i="1"/>
  <c r="M10" i="1"/>
  <c r="K10" i="1"/>
  <c r="AL9" i="1"/>
  <c r="AF9" i="1"/>
  <c r="U9" i="1"/>
  <c r="P9" i="1"/>
  <c r="M9" i="1"/>
  <c r="K9" i="1"/>
  <c r="AL8" i="1"/>
  <c r="AF8" i="1"/>
  <c r="U8" i="1"/>
  <c r="P8" i="1"/>
  <c r="M8" i="1"/>
  <c r="K8" i="1"/>
  <c r="AL7" i="1"/>
  <c r="AF7" i="1"/>
  <c r="U7" i="1"/>
  <c r="P7" i="1"/>
  <c r="M7" i="1"/>
  <c r="K7" i="1"/>
  <c r="AL6" i="1"/>
  <c r="P6" i="1" s="1"/>
  <c r="AF6" i="1"/>
  <c r="U6" i="1"/>
  <c r="M6" i="1"/>
  <c r="K6" i="1"/>
  <c r="AL5" i="1"/>
  <c r="AF5" i="1"/>
  <c r="U5" i="1"/>
  <c r="P5" i="1"/>
  <c r="M5" i="1"/>
  <c r="K5" i="1"/>
  <c r="AL4" i="1"/>
  <c r="AF4" i="1"/>
  <c r="U4" i="1"/>
  <c r="P4" i="1"/>
  <c r="M4" i="1"/>
  <c r="K4" i="1"/>
  <c r="Q21" i="1" l="1"/>
  <c r="T21" i="1"/>
  <c r="L21" i="1" s="1"/>
  <c r="J21" i="1" s="1"/>
  <c r="T20" i="1"/>
  <c r="L20" i="1" s="1"/>
  <c r="J20" i="1" s="1"/>
  <c r="Q20" i="1"/>
  <c r="Q19" i="1"/>
  <c r="T19" i="1"/>
  <c r="L19" i="1" s="1"/>
  <c r="J19" i="1" s="1"/>
  <c r="T18" i="1"/>
  <c r="L18" i="1" s="1"/>
  <c r="J18" i="1" s="1"/>
  <c r="Q18" i="1"/>
  <c r="T17" i="1"/>
  <c r="L17" i="1" s="1"/>
  <c r="J17" i="1" s="1"/>
  <c r="Q17" i="1"/>
  <c r="Q16" i="1"/>
  <c r="T16" i="1"/>
  <c r="L16" i="1" s="1"/>
  <c r="J16" i="1" s="1"/>
  <c r="T15" i="1"/>
  <c r="L15" i="1" s="1"/>
  <c r="J15" i="1" s="1"/>
  <c r="Q15" i="1"/>
  <c r="Q14" i="1"/>
  <c r="T14" i="1"/>
  <c r="L14" i="1" s="1"/>
  <c r="J14" i="1" s="1"/>
  <c r="Q13" i="1"/>
  <c r="T13" i="1"/>
  <c r="L13" i="1" s="1"/>
  <c r="J13" i="1" s="1"/>
  <c r="Q12" i="1"/>
  <c r="T12" i="1"/>
  <c r="L12" i="1" s="1"/>
  <c r="J12" i="1" s="1"/>
  <c r="T11" i="1"/>
  <c r="L11" i="1" s="1"/>
  <c r="J11" i="1" s="1"/>
  <c r="Q11" i="1"/>
  <c r="Q10" i="1"/>
  <c r="T10" i="1"/>
  <c r="L10" i="1" s="1"/>
  <c r="J10" i="1" s="1"/>
  <c r="Q9" i="1"/>
  <c r="T9" i="1"/>
  <c r="L9" i="1" s="1"/>
  <c r="J9" i="1" s="1"/>
  <c r="Q8" i="1"/>
  <c r="T8" i="1"/>
  <c r="L8" i="1" s="1"/>
  <c r="J8" i="1" s="1"/>
  <c r="T7" i="1"/>
  <c r="L7" i="1" s="1"/>
  <c r="J7" i="1" s="1"/>
  <c r="Q7" i="1"/>
  <c r="T6" i="1"/>
  <c r="L6" i="1" s="1"/>
  <c r="J6" i="1" s="1"/>
  <c r="Q6" i="1"/>
  <c r="T5" i="1"/>
  <c r="L5" i="1" s="1"/>
  <c r="J5" i="1" s="1"/>
  <c r="Q5" i="1"/>
  <c r="Q4" i="1"/>
  <c r="T4" i="1"/>
  <c r="L4" i="1" s="1"/>
  <c r="J4" i="1" s="1"/>
</calcChain>
</file>

<file path=xl/sharedStrings.xml><?xml version="1.0" encoding="utf-8"?>
<sst xmlns="http://schemas.openxmlformats.org/spreadsheetml/2006/main" count="2424" uniqueCount="917">
  <si>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</si>
  <si>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</si>
  <si>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</si>
  <si>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</si>
  <si>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</si>
  <si>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</si>
  <si>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</si>
  <si>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</si>
  <si>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</si>
  <si>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</si>
  <si>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</si>
  <si>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</si>
  <si>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</si>
  <si>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</si>
  <si>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</si>
  <si>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</si>
  <si>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</si>
  <si>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</si>
  <si>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</si>
  <si>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</si>
  <si>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</si>
  <si>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</si>
  <si>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</si>
  <si>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</si>
  <si>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</si>
  <si>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</si>
  <si>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</si>
  <si>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</si>
  <si>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</si>
  <si>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</si>
  <si>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</si>
  <si>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</si>
  <si>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</si>
  <si>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</si>
  <si>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</si>
  <si>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</si>
  <si>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</si>
  <si>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</si>
  <si>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</si>
  <si>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</si>
  <si>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</si>
  <si>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</si>
  <si>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</si>
  <si>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</si>
  <si>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</si>
  <si>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</si>
  <si>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</si>
  <si>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</si>
  <si>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</si>
  <si>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</si>
  <si>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</si>
  <si>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</si>
  <si>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</si>
  <si>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</si>
  <si>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</si>
  <si>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</si>
  <si>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</si>
  <si>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</si>
  <si>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</si>
  <si>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</si>
  <si>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</si>
  <si>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</si>
  <si>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</si>
  <si>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</si>
  <si>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</si>
  <si>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</si>
  <si>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</si>
  <si>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</si>
  <si>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</si>
  <si>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</si>
  <si>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</si>
  <si>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</si>
  <si>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</si>
  <si>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</si>
  <si>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</si>
  <si>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</si>
  <si>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</si>
  <si>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</si>
  <si>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</si>
  <si>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</si>
  <si>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</si>
  <si>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</si>
  <si>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</si>
  <si>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</si>
  <si>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</si>
  <si>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</si>
  <si>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</si>
  <si>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</si>
  <si>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</si>
  <si>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</si>
  <si>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</si>
  <si>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</si>
  <si>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</si>
  <si>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</si>
  <si>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</si>
  <si>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</si>
  <si>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</si>
  <si>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</si>
  <si>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</si>
  <si>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</si>
  <si>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</si>
  <si>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</si>
  <si>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</si>
  <si>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</si>
  <si>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</si>
  <si>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</si>
  <si>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</si>
  <si>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</si>
  <si>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</si>
  <si>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</si>
  <si>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</si>
  <si>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</si>
  <si>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</si>
  <si>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</si>
  <si>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</si>
  <si>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</si>
  <si>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</si>
  <si>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</si>
  <si>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</si>
  <si>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</si>
  <si>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</si>
  <si>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</si>
  <si>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</si>
  <si>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</si>
  <si>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</si>
  <si>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</si>
  <si>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</si>
  <si>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</si>
  <si>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</si>
  <si>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</si>
  <si>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</si>
  <si>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</si>
  <si>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</si>
  <si>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</si>
  <si>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</si>
  <si>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</si>
  <si>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</si>
  <si>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</si>
  <si>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</si>
  <si>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</si>
  <si>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</si>
  <si>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</si>
  <si>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</si>
  <si>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</si>
  <si>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</si>
  <si>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</si>
  <si>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</si>
  <si>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</si>
  <si>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</si>
  <si>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</si>
  <si>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</si>
  <si>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</si>
  <si>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</si>
  <si>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</si>
  <si>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</si>
  <si>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</si>
  <si>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</si>
  <si>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</si>
  <si>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</si>
  <si>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</si>
  <si>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</si>
  <si>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10:53:17</t>
  </si>
  <si>
    <t>2026-10-09</t>
  </si>
  <si>
    <t>lightfluoromete</t>
  </si>
  <si>
    <t>yun</t>
  </si>
  <si>
    <t>001</t>
  </si>
  <si>
    <t>1.374958</t>
  </si>
  <si>
    <t>1.280197</t>
  </si>
  <si>
    <t>12.530371</t>
  </si>
  <si>
    <t>13.457876</t>
  </si>
  <si>
    <t>7.500000</t>
  </si>
  <si>
    <t>PSF-01106_20261009105317_1da</t>
  </si>
  <si>
    <t>0.000000</t>
  </si>
  <si>
    <t>134.567856</t>
  </si>
  <si>
    <t>510.799530</t>
  </si>
  <si>
    <t>0.736555</t>
  </si>
  <si>
    <t>0.5</t>
  </si>
  <si>
    <t>0.84</t>
  </si>
  <si>
    <t>1.000000</t>
  </si>
  <si>
    <t>44.03</t>
  </si>
  <si>
    <t>41.00</t>
  </si>
  <si>
    <t>24.70</t>
  </si>
  <si>
    <t>22.75</t>
  </si>
  <si>
    <t>102.17</t>
  </si>
  <si>
    <t>155.9</t>
  </si>
  <si>
    <t>153.6</t>
  </si>
  <si>
    <t>1.5</t>
  </si>
  <si>
    <t>188</t>
  </si>
  <si>
    <t>3.857</t>
  </si>
  <si>
    <t>-37</t>
  </si>
  <si>
    <t>-32</t>
  </si>
  <si>
    <t>28</t>
  </si>
  <si>
    <t>47.37</t>
  </si>
  <si>
    <t>161.92</t>
  </si>
  <si>
    <t>00:00:00</t>
  </si>
  <si>
    <t>0000-00-00</t>
  </si>
  <si>
    <t>nan</t>
  </si>
  <si>
    <t>0</t>
  </si>
  <si>
    <t>10:52:52</t>
  </si>
  <si>
    <t>-0.67</t>
  </si>
  <si>
    <t>0.001</t>
  </si>
  <si>
    <t>0.002</t>
  </si>
  <si>
    <t>-0.341</t>
  </si>
  <si>
    <t>-0.614</t>
  </si>
  <si>
    <t>-1.416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</si>
  <si>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</si>
  <si>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</si>
  <si>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</si>
  <si>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</si>
  <si>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</si>
  <si>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</si>
  <si>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</si>
  <si>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</si>
  <si>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</si>
  <si>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</si>
  <si>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</si>
  <si>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2.492011</t>
  </si>
  <si>
    <t>2.436395</t>
  </si>
  <si>
    <t>1.669213</t>
  </si>
  <si>
    <t>0.937805</t>
  </si>
  <si>
    <t>0.276044</t>
  </si>
  <si>
    <t>-0.021496</t>
  </si>
  <si>
    <t>0.064374</t>
  </si>
  <si>
    <t>0.270649</t>
  </si>
  <si>
    <t>0.000338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</si>
  <si>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</si>
  <si>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</si>
  <si>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</si>
  <si>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</si>
  <si>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</si>
  <si>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</si>
  <si>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</si>
  <si>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</si>
  <si>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</si>
  <si>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</si>
  <si>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</si>
  <si>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</si>
  <si>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</si>
  <si>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</si>
  <si>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10:53:41</t>
  </si>
  <si>
    <t>002</t>
  </si>
  <si>
    <t>1.400440</t>
  </si>
  <si>
    <t>1.297003</t>
  </si>
  <si>
    <t>12.696457</t>
  </si>
  <si>
    <t>13.709003</t>
  </si>
  <si>
    <t>PSF-01106_20261009105341_659</t>
  </si>
  <si>
    <t>137.196426</t>
  </si>
  <si>
    <t>546.543701</t>
  </si>
  <si>
    <t>0.748975</t>
  </si>
  <si>
    <t>44.83</t>
  </si>
  <si>
    <t>41.52</t>
  </si>
  <si>
    <t>22.62</t>
  </si>
  <si>
    <t>102.15</t>
  </si>
  <si>
    <t>156.0</t>
  </si>
  <si>
    <t>152.2</t>
  </si>
  <si>
    <t>2.5</t>
  </si>
  <si>
    <t>159</t>
  </si>
  <si>
    <t>3.855</t>
  </si>
  <si>
    <t>-34</t>
  </si>
  <si>
    <t>-61</t>
  </si>
  <si>
    <t>33</t>
  </si>
  <si>
    <t>66.30</t>
  </si>
  <si>
    <t>140.22</t>
  </si>
  <si>
    <t>-0.000</t>
  </si>
  <si>
    <t>0.000</t>
  </si>
  <si>
    <t>0.003</t>
  </si>
  <si>
    <t>-0.278</t>
  </si>
  <si>
    <t>-0.473</t>
  </si>
  <si>
    <t>-0.993</t>
  </si>
  <si>
    <t>2.492777</t>
  </si>
  <si>
    <t>2.437452</t>
  </si>
  <si>
    <t>1.670181</t>
  </si>
  <si>
    <t>0.934222</t>
  </si>
  <si>
    <t>0.275981</t>
  </si>
  <si>
    <t>-0.023130</t>
  </si>
  <si>
    <t>0.068795</t>
  </si>
  <si>
    <t>0.245976</t>
  </si>
  <si>
    <t>0.000329</t>
  </si>
  <si>
    <t>3</t>
  </si>
  <si>
    <t>10:53:57</t>
  </si>
  <si>
    <t>003</t>
  </si>
  <si>
    <t>1.365725</t>
  </si>
  <si>
    <t>1.312181</t>
  </si>
  <si>
    <t>12.845406</t>
  </si>
  <si>
    <t>13.369573</t>
  </si>
  <si>
    <t>PSF-01106_20261009105357_0c9</t>
  </si>
  <si>
    <t>140.935776</t>
  </si>
  <si>
    <t>520.345337</t>
  </si>
  <si>
    <t>0.729150</t>
  </si>
  <si>
    <t>43.70</t>
  </si>
  <si>
    <t>41.99</t>
  </si>
  <si>
    <t>24.71</t>
  </si>
  <si>
    <t>23.53</t>
  </si>
  <si>
    <t>-0.0</t>
  </si>
  <si>
    <t>165</t>
  </si>
  <si>
    <t>3.853</t>
  </si>
  <si>
    <t>-18</t>
  </si>
  <si>
    <t>-40</t>
  </si>
  <si>
    <t>78</t>
  </si>
  <si>
    <t>43.23</t>
  </si>
  <si>
    <t>-171.78</t>
  </si>
  <si>
    <t>-0.170</t>
  </si>
  <si>
    <t>-0.225</t>
  </si>
  <si>
    <t>-0.281</t>
  </si>
  <si>
    <t>2.493462</t>
  </si>
  <si>
    <t>2.435960</t>
  </si>
  <si>
    <t>1.669904</t>
  </si>
  <si>
    <t>0.944041</t>
  </si>
  <si>
    <t>0.275911</t>
  </si>
  <si>
    <t>-0.012763</t>
  </si>
  <si>
    <t>0.071659</t>
  </si>
  <si>
    <t>0.250554</t>
  </si>
  <si>
    <t>0.000333</t>
  </si>
  <si>
    <t>4</t>
  </si>
  <si>
    <t>10:54:17</t>
  </si>
  <si>
    <t>004</t>
  </si>
  <si>
    <t>1.376171</t>
  </si>
  <si>
    <t>1.349314</t>
  </si>
  <si>
    <t>13.207726</t>
  </si>
  <si>
    <t>13.470605</t>
  </si>
  <si>
    <t>PSF-01106_20261009105417_1e8</t>
  </si>
  <si>
    <t>156.820541</t>
  </si>
  <si>
    <t>574.956177</t>
  </si>
  <si>
    <t>0.727248</t>
  </si>
  <si>
    <t>43.99</t>
  </si>
  <si>
    <t>43.13</t>
  </si>
  <si>
    <t>24.73</t>
  </si>
  <si>
    <t>24.21</t>
  </si>
  <si>
    <t>102.16</t>
  </si>
  <si>
    <t>155.1</t>
  </si>
  <si>
    <t>175</t>
  </si>
  <si>
    <t>3.854</t>
  </si>
  <si>
    <t>-52</t>
  </si>
  <si>
    <t>-5</t>
  </si>
  <si>
    <t>47</t>
  </si>
  <si>
    <t>52.17</t>
  </si>
  <si>
    <t>-139.34</t>
  </si>
  <si>
    <t>0.017</t>
  </si>
  <si>
    <t>-0.165</t>
  </si>
  <si>
    <t>-0.706</t>
  </si>
  <si>
    <t>2.495121</t>
  </si>
  <si>
    <t>2.436337</t>
  </si>
  <si>
    <t>1.668993</t>
  </si>
  <si>
    <t>0.941613</t>
  </si>
  <si>
    <t>0.275713</t>
  </si>
  <si>
    <t>-0.005018</t>
  </si>
  <si>
    <t>0.075011</t>
  </si>
  <si>
    <t>0.259881</t>
  </si>
  <si>
    <t>0.000342</t>
  </si>
  <si>
    <t>5</t>
  </si>
  <si>
    <t>10:54:48</t>
  </si>
  <si>
    <t>005</t>
  </si>
  <si>
    <t>1.448691</t>
  </si>
  <si>
    <t>1.341022</t>
  </si>
  <si>
    <t>13.125785</t>
  </si>
  <si>
    <t>14.179640</t>
  </si>
  <si>
    <t>PSF-01106_20261009105448_3d9</t>
  </si>
  <si>
    <t>148.097641</t>
  </si>
  <si>
    <t>555.230835</t>
  </si>
  <si>
    <t>0.733268</t>
  </si>
  <si>
    <t>46.26</t>
  </si>
  <si>
    <t>42.82</t>
  </si>
  <si>
    <t>24.75</t>
  </si>
  <si>
    <t>22.85</t>
  </si>
  <si>
    <t>151.4</t>
  </si>
  <si>
    <t>2.9</t>
  </si>
  <si>
    <t>207</t>
  </si>
  <si>
    <t>3.852</t>
  </si>
  <si>
    <t>-45</t>
  </si>
  <si>
    <t>-12</t>
  </si>
  <si>
    <t>62</t>
  </si>
  <si>
    <t>46.24</t>
  </si>
  <si>
    <t>-134.73</t>
  </si>
  <si>
    <t>-0.162</t>
  </si>
  <si>
    <t>-0.135</t>
  </si>
  <si>
    <t>-0.209</t>
  </si>
  <si>
    <t>2.494663</t>
  </si>
  <si>
    <t>2.439320</t>
  </si>
  <si>
    <t>1.669430</t>
  </si>
  <si>
    <t>0.932162</t>
  </si>
  <si>
    <t>0.275506</t>
  </si>
  <si>
    <t>-0.020962</t>
  </si>
  <si>
    <t>0.080203</t>
  </si>
  <si>
    <t>0.287569</t>
  </si>
  <si>
    <t>0.000337</t>
  </si>
  <si>
    <t>6</t>
  </si>
  <si>
    <t>10:55:12</t>
  </si>
  <si>
    <t>006</t>
  </si>
  <si>
    <t>1.401636</t>
  </si>
  <si>
    <t>1.316509</t>
  </si>
  <si>
    <t>12.884375</t>
  </si>
  <si>
    <t>13.717490</t>
  </si>
  <si>
    <t>PSF-01106_20261009105512_e2c</t>
  </si>
  <si>
    <t>139.395828</t>
  </si>
  <si>
    <t>529.814575</t>
  </si>
  <si>
    <t>0.736897</t>
  </si>
  <si>
    <t>44.69</t>
  </si>
  <si>
    <t>41.98</t>
  </si>
  <si>
    <t>24.77</t>
  </si>
  <si>
    <t>23.02</t>
  </si>
  <si>
    <t>102.18</t>
  </si>
  <si>
    <t>156.1</t>
  </si>
  <si>
    <t>153.3</t>
  </si>
  <si>
    <t>1.8</t>
  </si>
  <si>
    <t>3.851</t>
  </si>
  <si>
    <t>-43</t>
  </si>
  <si>
    <t>52.68</t>
  </si>
  <si>
    <t>153.95</t>
  </si>
  <si>
    <t>0.005</t>
  </si>
  <si>
    <t>-0.188</t>
  </si>
  <si>
    <t>-0.570</t>
  </si>
  <si>
    <t>-2.120</t>
  </si>
  <si>
    <t>2.493435</t>
  </si>
  <si>
    <t>2.437258</t>
  </si>
  <si>
    <t>1.670772</t>
  </si>
  <si>
    <t>0.937074</t>
  </si>
  <si>
    <t>0.275254</t>
  </si>
  <si>
    <t>-0.019322</t>
  </si>
  <si>
    <t>0.084159</t>
  </si>
  <si>
    <t>0.259481</t>
  </si>
  <si>
    <t>7</t>
  </si>
  <si>
    <t>10:55:29</t>
  </si>
  <si>
    <t>007</t>
  </si>
  <si>
    <t>1.438245</t>
  </si>
  <si>
    <t>1.358956</t>
  </si>
  <si>
    <t>13.300277</t>
  </si>
  <si>
    <t>14.076286</t>
  </si>
  <si>
    <t>PSF-01106_20261009105529_da8</t>
  </si>
  <si>
    <t>152.115585</t>
  </si>
  <si>
    <t>499.093292</t>
  </si>
  <si>
    <t>0.695216</t>
  </si>
  <si>
    <t>45.82</t>
  </si>
  <si>
    <t>43.29</t>
  </si>
  <si>
    <t>24.78</t>
  </si>
  <si>
    <t>23.70</t>
  </si>
  <si>
    <t>153.7</t>
  </si>
  <si>
    <t>327</t>
  </si>
  <si>
    <t>3.827</t>
  </si>
  <si>
    <t>-31</t>
  </si>
  <si>
    <t>23</t>
  </si>
  <si>
    <t>82</t>
  </si>
  <si>
    <t>20.87</t>
  </si>
  <si>
    <t>93.44</t>
  </si>
  <si>
    <t>37.91</t>
  </si>
  <si>
    <t>-58.51</t>
  </si>
  <si>
    <t>-6.21</t>
  </si>
  <si>
    <t>149.98</t>
  </si>
  <si>
    <t>46.62</t>
  </si>
  <si>
    <t>01:53:07</t>
  </si>
  <si>
    <t>35.850491</t>
  </si>
  <si>
    <t>127.130379</t>
  </si>
  <si>
    <t>37.700001</t>
  </si>
  <si>
    <t>3.780000</t>
  </si>
  <si>
    <t>-0.157</t>
  </si>
  <si>
    <t>-0.268</t>
  </si>
  <si>
    <t>-0.790</t>
  </si>
  <si>
    <t>2.495343</t>
  </si>
  <si>
    <t>2.438737</t>
  </si>
  <si>
    <t>1.669695</t>
  </si>
  <si>
    <t>0.938087</t>
  </si>
  <si>
    <t>0.275083</t>
  </si>
  <si>
    <t>-0.011675</t>
  </si>
  <si>
    <t>0.086829</t>
  </si>
  <si>
    <t>0.392235</t>
  </si>
  <si>
    <t>8</t>
  </si>
  <si>
    <t>10:55:51</t>
  </si>
  <si>
    <t>008</t>
  </si>
  <si>
    <t>1.451338</t>
  </si>
  <si>
    <t>1.379291</t>
  </si>
  <si>
    <t>13.499166</t>
  </si>
  <si>
    <t>14.204296</t>
  </si>
  <si>
    <t>PSF-01106_20261009105551_25f</t>
  </si>
  <si>
    <t>144.622208</t>
  </si>
  <si>
    <t>555.270935</t>
  </si>
  <si>
    <t>0.739547</t>
  </si>
  <si>
    <t>46.14</t>
  </si>
  <si>
    <t>43.85</t>
  </si>
  <si>
    <t>24.82</t>
  </si>
  <si>
    <t>23.83</t>
  </si>
  <si>
    <t>-0.1</t>
  </si>
  <si>
    <t>187</t>
  </si>
  <si>
    <t>-35</t>
  </si>
  <si>
    <t>58</t>
  </si>
  <si>
    <t>89.96</t>
  </si>
  <si>
    <t>0.06</t>
  </si>
  <si>
    <t>49.14</t>
  </si>
  <si>
    <t>-174.72</t>
  </si>
  <si>
    <t>01:53:29</t>
  </si>
  <si>
    <t>35.850506</t>
  </si>
  <si>
    <t>127.130440</t>
  </si>
  <si>
    <t>40.299999</t>
  </si>
  <si>
    <t>1.260000</t>
  </si>
  <si>
    <t>-0.101</t>
  </si>
  <si>
    <t>-0.354</t>
  </si>
  <si>
    <t>-0.781</t>
  </si>
  <si>
    <t>2.496150</t>
  </si>
  <si>
    <t>2.439158</t>
  </si>
  <si>
    <t>1.669265</t>
  </si>
  <si>
    <t>0.944038</t>
  </si>
  <si>
    <t>0.274718</t>
  </si>
  <si>
    <t>-0.010539</t>
  </si>
  <si>
    <t>0.090308</t>
  </si>
  <si>
    <t>0.270337</t>
  </si>
  <si>
    <t>9</t>
  </si>
  <si>
    <t>10:56:12</t>
  </si>
  <si>
    <t>009</t>
  </si>
  <si>
    <t>1.471589</t>
  </si>
  <si>
    <t>1.386763</t>
  </si>
  <si>
    <t>13.573628</t>
  </si>
  <si>
    <t>14.403901</t>
  </si>
  <si>
    <t>PSF-01106_20261009105612_dfa</t>
  </si>
  <si>
    <t>144.823196</t>
  </si>
  <si>
    <t>536.383850</t>
  </si>
  <si>
    <t>0.730001</t>
  </si>
  <si>
    <t>46.65</t>
  </si>
  <si>
    <t>43.96</t>
  </si>
  <si>
    <t>24.87</t>
  </si>
  <si>
    <t>23.67</t>
  </si>
  <si>
    <t>153.0</t>
  </si>
  <si>
    <t>1.9</t>
  </si>
  <si>
    <t>206</t>
  </si>
  <si>
    <t>3.850</t>
  </si>
  <si>
    <t>-28</t>
  </si>
  <si>
    <t>19</t>
  </si>
  <si>
    <t>88.07</t>
  </si>
  <si>
    <t>3.36</t>
  </si>
  <si>
    <t>153.90</t>
  </si>
  <si>
    <t>01:53:48</t>
  </si>
  <si>
    <t>35.850521</t>
  </si>
  <si>
    <t>127.130417</t>
  </si>
  <si>
    <t>39.500000</t>
  </si>
  <si>
    <t>-0.477</t>
  </si>
  <si>
    <t>-0.941</t>
  </si>
  <si>
    <t>-1.866</t>
  </si>
  <si>
    <t>2.496298</t>
  </si>
  <si>
    <t>2.439814</t>
  </si>
  <si>
    <t>1.669403</t>
  </si>
  <si>
    <t>0.936399</t>
  </si>
  <si>
    <t>0.274178</t>
  </si>
  <si>
    <t>-0.012904</t>
  </si>
  <si>
    <t>0.093747</t>
  </si>
  <si>
    <t>0.286643</t>
  </si>
  <si>
    <t>0.000332</t>
  </si>
  <si>
    <t>10</t>
  </si>
  <si>
    <t>10:56:38</t>
  </si>
  <si>
    <t>010</t>
  </si>
  <si>
    <t>1.505917</t>
  </si>
  <si>
    <t>1.382198</t>
  </si>
  <si>
    <t>13.528177</t>
  </si>
  <si>
    <t>14.739076</t>
  </si>
  <si>
    <t>PSF-01106_20261009105638_12b</t>
  </si>
  <si>
    <t>156.575912</t>
  </si>
  <si>
    <t>543.195984</t>
  </si>
  <si>
    <t>0.711751</t>
  </si>
  <si>
    <t>47.54</t>
  </si>
  <si>
    <t>43.64</t>
  </si>
  <si>
    <t>24.93</t>
  </si>
  <si>
    <t>23.31</t>
  </si>
  <si>
    <t>152.9</t>
  </si>
  <si>
    <t>2.0</t>
  </si>
  <si>
    <t>210</t>
  </si>
  <si>
    <t>3.848</t>
  </si>
  <si>
    <t>13</t>
  </si>
  <si>
    <t>43</t>
  </si>
  <si>
    <t>72.72</t>
  </si>
  <si>
    <t>29.71</t>
  </si>
  <si>
    <t>61.81</t>
  </si>
  <si>
    <t>-122.21</t>
  </si>
  <si>
    <t>150.29</t>
  </si>
  <si>
    <t>46.52</t>
  </si>
  <si>
    <t>01:54:16</t>
  </si>
  <si>
    <t>35.850513</t>
  </si>
  <si>
    <t>127.130455</t>
  </si>
  <si>
    <t>38.200001</t>
  </si>
  <si>
    <t>1.110000</t>
  </si>
  <si>
    <t>-0.401</t>
  </si>
  <si>
    <t>-0.853</t>
  </si>
  <si>
    <t>-2.311</t>
  </si>
  <si>
    <t>2.495820</t>
  </si>
  <si>
    <t>2.440974</t>
  </si>
  <si>
    <t>1.669669</t>
  </si>
  <si>
    <t>0.935995</t>
  </si>
  <si>
    <t>0.273437</t>
  </si>
  <si>
    <t>-0.017852</t>
  </si>
  <si>
    <t>0.097757</t>
  </si>
  <si>
    <t>0.290214</t>
  </si>
  <si>
    <t>0.000340</t>
  </si>
  <si>
    <t>11</t>
  </si>
  <si>
    <t>10:57:06</t>
  </si>
  <si>
    <t>011</t>
  </si>
  <si>
    <t>1.399077</t>
  </si>
  <si>
    <t>1.364902</t>
  </si>
  <si>
    <t>13.358337</t>
  </si>
  <si>
    <t>13.692812</t>
  </si>
  <si>
    <t>PSF-01106_20261009105706_c33</t>
  </si>
  <si>
    <t>153.576843</t>
  </si>
  <si>
    <t>479.193817</t>
  </si>
  <si>
    <t>0.679510</t>
  </si>
  <si>
    <t>43.93</t>
  </si>
  <si>
    <t>42.86</t>
  </si>
  <si>
    <t>25.03</t>
  </si>
  <si>
    <t>26.00</t>
  </si>
  <si>
    <t>474</t>
  </si>
  <si>
    <t>3.847</t>
  </si>
  <si>
    <t>34</t>
  </si>
  <si>
    <t>16.86</t>
  </si>
  <si>
    <t>95.70</t>
  </si>
  <si>
    <t>50.57</t>
  </si>
  <si>
    <t>-51.62</t>
  </si>
  <si>
    <t>01:54:43</t>
  </si>
  <si>
    <t>127.130432</t>
  </si>
  <si>
    <t>1.060000</t>
  </si>
  <si>
    <t>-0.001</t>
  </si>
  <si>
    <t>-0.002</t>
  </si>
  <si>
    <t>-0.152</t>
  </si>
  <si>
    <t>0.048</t>
  </si>
  <si>
    <t>2.378</t>
  </si>
  <si>
    <t>2.494675</t>
  </si>
  <si>
    <t>2.436212</t>
  </si>
  <si>
    <t>1.669857</t>
  </si>
  <si>
    <t>0.944291</t>
  </si>
  <si>
    <t>0.272451</t>
  </si>
  <si>
    <t>0.012492</t>
  </si>
  <si>
    <t>0.102284</t>
  </si>
  <si>
    <t>0.520090</t>
  </si>
  <si>
    <t>12</t>
  </si>
  <si>
    <t>10:57:41</t>
  </si>
  <si>
    <t>012</t>
  </si>
  <si>
    <t>1.450114</t>
  </si>
  <si>
    <t>1.368502</t>
  </si>
  <si>
    <t>13.394034</t>
  </si>
  <si>
    <t>14.192800</t>
  </si>
  <si>
    <t>PSF-01106_20261009105741_a7e</t>
  </si>
  <si>
    <t>144.665115</t>
  </si>
  <si>
    <t>551.635986</t>
  </si>
  <si>
    <t>0.737753</t>
  </si>
  <si>
    <t>45.22</t>
  </si>
  <si>
    <t>42.68</t>
  </si>
  <si>
    <t>25.14</t>
  </si>
  <si>
    <t>23.86</t>
  </si>
  <si>
    <t>155.4</t>
  </si>
  <si>
    <t>0.4</t>
  </si>
  <si>
    <t>205</t>
  </si>
  <si>
    <t>3.846</t>
  </si>
  <si>
    <t>-44</t>
  </si>
  <si>
    <t>-20</t>
  </si>
  <si>
    <t>81</t>
  </si>
  <si>
    <t>66.52</t>
  </si>
  <si>
    <t>39.85</t>
  </si>
  <si>
    <t>47.47</t>
  </si>
  <si>
    <t>-126.65</t>
  </si>
  <si>
    <t>150.61</t>
  </si>
  <si>
    <t>46.42</t>
  </si>
  <si>
    <t>01:55:19</t>
  </si>
  <si>
    <t>35.850502</t>
  </si>
  <si>
    <t>127.130424</t>
  </si>
  <si>
    <t>38.599998</t>
  </si>
  <si>
    <t>0.970000</t>
  </si>
  <si>
    <t>-0.300</t>
  </si>
  <si>
    <t>-0.519</t>
  </si>
  <si>
    <t>-0.724</t>
  </si>
  <si>
    <t>2.494385</t>
  </si>
  <si>
    <t>2.437890</t>
  </si>
  <si>
    <t>1.670851</t>
  </si>
  <si>
    <t>0.942539</t>
  </si>
  <si>
    <t>0.271183</t>
  </si>
  <si>
    <t>-0.014037</t>
  </si>
  <si>
    <t>0.107558</t>
  </si>
  <si>
    <t>0.285545</t>
  </si>
  <si>
    <t>10:58:06</t>
  </si>
  <si>
    <t>013</t>
  </si>
  <si>
    <t>1.471612</t>
  </si>
  <si>
    <t>1.373025</t>
  </si>
  <si>
    <t>13.438335</t>
  </si>
  <si>
    <t>14.403244</t>
  </si>
  <si>
    <t>PSF-01106_20261009105806_755</t>
  </si>
  <si>
    <t>155.339233</t>
  </si>
  <si>
    <t>568.354736</t>
  </si>
  <si>
    <t>0.726686</t>
  </si>
  <si>
    <t>45.71</t>
  </si>
  <si>
    <t>42.64</t>
  </si>
  <si>
    <t>25.21</t>
  </si>
  <si>
    <t>23.54</t>
  </si>
  <si>
    <t>145.6</t>
  </si>
  <si>
    <t>6.6</t>
  </si>
  <si>
    <t>225</t>
  </si>
  <si>
    <t>3.845</t>
  </si>
  <si>
    <t>26</t>
  </si>
  <si>
    <t>81.92</t>
  </si>
  <si>
    <t>14.05</t>
  </si>
  <si>
    <t>37.16</t>
  </si>
  <si>
    <t>171.52</t>
  </si>
  <si>
    <t>01:55:44</t>
  </si>
  <si>
    <t>38.700001</t>
  </si>
  <si>
    <t>-0.466</t>
  </si>
  <si>
    <t>-0.754</t>
  </si>
  <si>
    <t>-1.563</t>
  </si>
  <si>
    <t>2.494328</t>
  </si>
  <si>
    <t>2.438517</t>
  </si>
  <si>
    <t>1.669291</t>
  </si>
  <si>
    <t>0.917369</t>
  </si>
  <si>
    <t>0.270452</t>
  </si>
  <si>
    <t>-0.018467</t>
  </si>
  <si>
    <t>0.111223</t>
  </si>
  <si>
    <t>0.303639</t>
  </si>
  <si>
    <t>14</t>
  </si>
  <si>
    <t>10:58:23</t>
  </si>
  <si>
    <t>014</t>
  </si>
  <si>
    <t>1.436076</t>
  </si>
  <si>
    <t>1.343842</t>
  </si>
  <si>
    <t>13.151032</t>
  </si>
  <si>
    <t>14.053648</t>
  </si>
  <si>
    <t>PSF-01106_20261009105823_ae0</t>
  </si>
  <si>
    <t>137.685654</t>
  </si>
  <si>
    <t>482.332001</t>
  </si>
  <si>
    <t>0.714542</t>
  </si>
  <si>
    <t>44.49</t>
  </si>
  <si>
    <t>41.64</t>
  </si>
  <si>
    <t>25.25</t>
  </si>
  <si>
    <t>23.49</t>
  </si>
  <si>
    <t>102.19</t>
  </si>
  <si>
    <t>334</t>
  </si>
  <si>
    <t>3.844</t>
  </si>
  <si>
    <t>-36</t>
  </si>
  <si>
    <t>35</t>
  </si>
  <si>
    <t>61.96</t>
  </si>
  <si>
    <t>47.00</t>
  </si>
  <si>
    <t>36.96</t>
  </si>
  <si>
    <t>-129.92</t>
  </si>
  <si>
    <t>150.92</t>
  </si>
  <si>
    <t>46.32</t>
  </si>
  <si>
    <t>01:56:01</t>
  </si>
  <si>
    <t>35.850498</t>
  </si>
  <si>
    <t>38.900002</t>
  </si>
  <si>
    <t>0.820000</t>
  </si>
  <si>
    <t>-0.348</t>
  </si>
  <si>
    <t>-0.987</t>
  </si>
  <si>
    <t>-1.978</t>
  </si>
  <si>
    <t>2.492853</t>
  </si>
  <si>
    <t>2.436915</t>
  </si>
  <si>
    <t>1.670467</t>
  </si>
  <si>
    <t>0.934288</t>
  </si>
  <si>
    <t>0.270015</t>
  </si>
  <si>
    <t>-0.019510</t>
  </si>
  <si>
    <t>0.113696</t>
  </si>
  <si>
    <t>0.398635</t>
  </si>
  <si>
    <t>15</t>
  </si>
  <si>
    <t>10:58:35</t>
  </si>
  <si>
    <t>015</t>
  </si>
  <si>
    <t>1.359817</t>
  </si>
  <si>
    <t>1.340074</t>
  </si>
  <si>
    <t>13.114993</t>
  </si>
  <si>
    <t>13.308213</t>
  </si>
  <si>
    <t>PSF-01106_20261009105835_db6</t>
  </si>
  <si>
    <t>164.088257</t>
  </si>
  <si>
    <t>493.159180</t>
  </si>
  <si>
    <t>0.667271</t>
  </si>
  <si>
    <t>42.05</t>
  </si>
  <si>
    <t>41.44</t>
  </si>
  <si>
    <t>25.28</t>
  </si>
  <si>
    <t>26.02</t>
  </si>
  <si>
    <t>0.3</t>
  </si>
  <si>
    <t>380</t>
  </si>
  <si>
    <t>54</t>
  </si>
  <si>
    <t>55.38</t>
  </si>
  <si>
    <t>56.81</t>
  </si>
  <si>
    <t>36.30</t>
  </si>
  <si>
    <t>-117.53</t>
  </si>
  <si>
    <t>01:56:12</t>
  </si>
  <si>
    <t>39.099998</t>
  </si>
  <si>
    <t>0.013</t>
  </si>
  <si>
    <t>-0.261</t>
  </si>
  <si>
    <t>-0.799</t>
  </si>
  <si>
    <t>-1.715</t>
  </si>
  <si>
    <t>2.492558</t>
  </si>
  <si>
    <t>2.433667</t>
  </si>
  <si>
    <t>1.669347</t>
  </si>
  <si>
    <t>0.942518</t>
  </si>
  <si>
    <t>0.269657</t>
  </si>
  <si>
    <t>0.009671</t>
  </si>
  <si>
    <t>0.115358</t>
  </si>
  <si>
    <t>0.438400</t>
  </si>
  <si>
    <t>0.000336</t>
  </si>
  <si>
    <t>16</t>
  </si>
  <si>
    <t>10:58:51</t>
  </si>
  <si>
    <t>016</t>
  </si>
  <si>
    <t>1.385804</t>
  </si>
  <si>
    <t>1.359310</t>
  </si>
  <si>
    <t>13.301628</t>
  </si>
  <si>
    <t>13.560885</t>
  </si>
  <si>
    <t>PSF-01106_20261009105851_e2b</t>
  </si>
  <si>
    <t>142.333740</t>
  </si>
  <si>
    <t>465.756287</t>
  </si>
  <si>
    <t>0.694403</t>
  </si>
  <si>
    <t>42.72</t>
  </si>
  <si>
    <t>41.90</t>
  </si>
  <si>
    <t>25.34</t>
  </si>
  <si>
    <t>25.41</t>
  </si>
  <si>
    <t>154.4</t>
  </si>
  <si>
    <t>1.0</t>
  </si>
  <si>
    <t>281</t>
  </si>
  <si>
    <t>3.843</t>
  </si>
  <si>
    <t>-24</t>
  </si>
  <si>
    <t>-16</t>
  </si>
  <si>
    <t>258</t>
  </si>
  <si>
    <t>44.44</t>
  </si>
  <si>
    <t>71.40</t>
  </si>
  <si>
    <t>28.58</t>
  </si>
  <si>
    <t>01:56:29</t>
  </si>
  <si>
    <t>35.850494</t>
  </si>
  <si>
    <t>39.299999</t>
  </si>
  <si>
    <t>1.050000</t>
  </si>
  <si>
    <t>0.004</t>
  </si>
  <si>
    <t>-0.240</t>
  </si>
  <si>
    <t>-0.416</t>
  </si>
  <si>
    <t>-0.129</t>
  </si>
  <si>
    <t>2.493222</t>
  </si>
  <si>
    <t>2.434546</t>
  </si>
  <si>
    <t>1.669318</t>
  </si>
  <si>
    <t>0.939993</t>
  </si>
  <si>
    <t>0.269084</t>
  </si>
  <si>
    <t>0.001843</t>
  </si>
  <si>
    <t>0.117702</t>
  </si>
  <si>
    <t>0.352107</t>
  </si>
  <si>
    <t>17</t>
  </si>
  <si>
    <t>10:59:36</t>
  </si>
  <si>
    <t>017</t>
  </si>
  <si>
    <t>1.481911</t>
  </si>
  <si>
    <t>1.387057</t>
  </si>
  <si>
    <t>13.573017</t>
  </si>
  <si>
    <t>14.501206</t>
  </si>
  <si>
    <t>PSF-01106_20261009105936_91a</t>
  </si>
  <si>
    <t>153.382660</t>
  </si>
  <si>
    <t>483.473541</t>
  </si>
  <si>
    <t>0.682749</t>
  </si>
  <si>
    <t>45.32</t>
  </si>
  <si>
    <t>42.42</t>
  </si>
  <si>
    <t>25.47</t>
  </si>
  <si>
    <t>24.59</t>
  </si>
  <si>
    <t>153.9</t>
  </si>
  <si>
    <t>1.4</t>
  </si>
  <si>
    <t>448</t>
  </si>
  <si>
    <t>-19</t>
  </si>
  <si>
    <t>216</t>
  </si>
  <si>
    <t>27.70</t>
  </si>
  <si>
    <t>88.54</t>
  </si>
  <si>
    <t>47.14</t>
  </si>
  <si>
    <t>9.63</t>
  </si>
  <si>
    <t>151.24</t>
  </si>
  <si>
    <t>46.23</t>
  </si>
  <si>
    <t>01:57:14</t>
  </si>
  <si>
    <t>0.780000</t>
  </si>
  <si>
    <t>0.466</t>
  </si>
  <si>
    <t>0.382</t>
  </si>
  <si>
    <t>-0.906</t>
  </si>
  <si>
    <t>2.493962</t>
  </si>
  <si>
    <t>2.437971</t>
  </si>
  <si>
    <t>1.671190</t>
  </si>
  <si>
    <t>0.938757</t>
  </si>
  <si>
    <t>0.267683</t>
  </si>
  <si>
    <t>-0.009332</t>
  </si>
  <si>
    <t>0.124222</t>
  </si>
  <si>
    <t>0.497887</t>
  </si>
  <si>
    <t>18</t>
  </si>
  <si>
    <t>10:59:58</t>
  </si>
  <si>
    <t>018</t>
  </si>
  <si>
    <t>1.419274</t>
  </si>
  <si>
    <t>1.389328</t>
  </si>
  <si>
    <t>13.594906</t>
  </si>
  <si>
    <t>13.887939</t>
  </si>
  <si>
    <t>PSF-01106_20261009105958_fab</t>
  </si>
  <si>
    <t>142.106293</t>
  </si>
  <si>
    <t>502.100220</t>
  </si>
  <si>
    <t>0.716976</t>
  </si>
  <si>
    <t>43.22</t>
  </si>
  <si>
    <t>42.30</t>
  </si>
  <si>
    <t>25.54</t>
  </si>
  <si>
    <t>25.22</t>
  </si>
  <si>
    <t>155.7</t>
  </si>
  <si>
    <t>0.2</t>
  </si>
  <si>
    <t>184</t>
  </si>
  <si>
    <t>3.842</t>
  </si>
  <si>
    <t>238</t>
  </si>
  <si>
    <t>83.17</t>
  </si>
  <si>
    <t>11.90</t>
  </si>
  <si>
    <t>51.37</t>
  </si>
  <si>
    <t>94.94</t>
  </si>
  <si>
    <t>01:57:36</t>
  </si>
  <si>
    <t>-0.452</t>
  </si>
  <si>
    <t>-0.935</t>
  </si>
  <si>
    <t>-2.011</t>
  </si>
  <si>
    <t>2.493776</t>
  </si>
  <si>
    <t>2.435176</t>
  </si>
  <si>
    <t>1.671066</t>
  </si>
  <si>
    <t>0.943400</t>
  </si>
  <si>
    <t>0.266886</t>
  </si>
  <si>
    <t>-0.002818</t>
  </si>
  <si>
    <t>0.127285</t>
  </si>
  <si>
    <t>0.267186</t>
  </si>
  <si>
    <t>CR-1</t>
    <phoneticPr fontId="1" type="noConversion"/>
  </si>
  <si>
    <t>CR-2</t>
  </si>
  <si>
    <t>WR-1</t>
    <phoneticPr fontId="1" type="noConversion"/>
  </si>
  <si>
    <t>WR-2</t>
  </si>
  <si>
    <t>CR-3</t>
    <phoneticPr fontId="1" type="noConversion"/>
  </si>
  <si>
    <t>CR-4</t>
  </si>
  <si>
    <t>WR-3</t>
    <phoneticPr fontId="1" type="noConversion"/>
  </si>
  <si>
    <t>WR-4</t>
  </si>
  <si>
    <t>CR-5</t>
    <phoneticPr fontId="1" type="noConversion"/>
  </si>
  <si>
    <t>CR-6</t>
  </si>
  <si>
    <t>WR-5</t>
    <phoneticPr fontId="1" type="noConversion"/>
  </si>
  <si>
    <t>WR-6</t>
  </si>
  <si>
    <t>CR-7</t>
    <phoneticPr fontId="1" type="noConversion"/>
  </si>
  <si>
    <t>CR-8</t>
  </si>
  <si>
    <t>WR-7</t>
    <phoneticPr fontId="1" type="noConversion"/>
  </si>
  <si>
    <t>WR-8</t>
  </si>
  <si>
    <t>CR-9</t>
    <phoneticPr fontId="1" type="noConversion"/>
  </si>
  <si>
    <t>WR-9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</si>
</sst>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tabSelected="1" workbookViewId="0">
      <selection activeCell="F5" sqref="F5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899</v>
      </c>
      <c r="I4" t="s">
        <v>165</v>
      </c>
      <c r="J4">
        <f t="shared" ref="J4:J21" si="0">1/((1/L4)-(1/K4))</f>
        <v>0.25782440176783816</v>
      </c>
      <c r="K4">
        <f t="shared" ref="K4:K21" si="1">BY4+(BZ4*AN4)+(CA4*AN4*POWER(V4,2))+(CB4*AN4*V4)+(CC4*POWER(AN4,2))</f>
        <v>2.9042299199999997</v>
      </c>
      <c r="L4">
        <f t="shared" ref="L4:L21" si="2">((M4/1000)*(1000-((T4+S4)/2)))/(T4-S4)</f>
        <v>0.236802175271179</v>
      </c>
      <c r="M4">
        <f t="shared" ref="M4:M21" si="3">(AN4*(S4-R4))/(100*U4*(1000-S4))*1000</f>
        <v>3.3176710045752751</v>
      </c>
      <c r="N4" t="s">
        <v>166</v>
      </c>
      <c r="O4" t="s">
        <v>167</v>
      </c>
      <c r="P4">
        <f t="shared" ref="P4:P21" si="4">0.61365*EXP((17.502*AL4)/(240.97+AL4))</f>
        <v>2.7773364927667332</v>
      </c>
      <c r="Q4">
        <f t="shared" ref="Q4:Q21" si="5">P4-N4</f>
        <v>1.4023784927667333</v>
      </c>
      <c r="R4" t="s">
        <v>168</v>
      </c>
      <c r="S4" t="s">
        <v>169</v>
      </c>
      <c r="T4">
        <f t="shared" ref="T4:T21" si="6">(P4/AM4)*1000</f>
        <v>27.18348333920655</v>
      </c>
      <c r="U4">
        <f t="shared" ref="U4:U21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21" si="8">AC4*AD4*AE4*AQ4</f>
        <v>58.158382799999998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21" si="9">(AK4-AJ4)*(AJ4*0+0)+AK4</f>
        <v>22.75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138</v>
      </c>
      <c r="AW4" t="s">
        <v>138</v>
      </c>
      <c r="AX4" t="s">
        <v>192</v>
      </c>
      <c r="AY4" t="s">
        <v>193</v>
      </c>
      <c r="AZ4" t="s">
        <v>138</v>
      </c>
      <c r="BA4" t="s">
        <v>138</v>
      </c>
      <c r="BB4" t="s">
        <v>138</v>
      </c>
      <c r="BC4" t="s">
        <v>194</v>
      </c>
      <c r="BD4" t="s">
        <v>195</v>
      </c>
      <c r="BE4" t="s">
        <v>196</v>
      </c>
      <c r="BF4" t="s">
        <v>196</v>
      </c>
      <c r="BG4" t="s">
        <v>196</v>
      </c>
      <c r="BH4" t="s">
        <v>197</v>
      </c>
      <c r="BI4" t="s">
        <v>196</v>
      </c>
      <c r="BJ4" t="s">
        <v>198</v>
      </c>
      <c r="BK4" t="s">
        <v>162</v>
      </c>
      <c r="BL4" t="s">
        <v>199</v>
      </c>
      <c r="BM4" t="s">
        <v>160</v>
      </c>
      <c r="BN4" t="s">
        <v>200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160</v>
      </c>
      <c r="BU4" t="s">
        <v>205</v>
      </c>
      <c r="BV4" t="s">
        <v>200</v>
      </c>
      <c r="BW4" t="s">
        <v>206</v>
      </c>
      <c r="BX4" t="s">
        <v>207</v>
      </c>
      <c r="BY4" t="s">
        <v>172</v>
      </c>
      <c r="BZ4" t="s">
        <v>208</v>
      </c>
      <c r="CA4" t="s">
        <v>172</v>
      </c>
      <c r="CB4" t="s">
        <v>172</v>
      </c>
      <c r="CC4" t="s">
        <v>209</v>
      </c>
      <c r="CD4" t="s">
        <v>210</v>
      </c>
      <c r="CE4" t="s">
        <v>197</v>
      </c>
      <c r="CF4" t="s">
        <v>211</v>
      </c>
      <c r="CG4" t="s">
        <v>212</v>
      </c>
      <c r="CH4" t="s">
        <v>213</v>
      </c>
      <c r="CI4" t="s">
        <v>178</v>
      </c>
      <c r="CJ4" t="s">
        <v>206</v>
      </c>
      <c r="CK4" t="s">
        <v>214</v>
      </c>
      <c r="CL4" t="s">
        <v>214</v>
      </c>
      <c r="CM4" t="s">
        <v>214</v>
      </c>
      <c r="CN4" t="s">
        <v>172</v>
      </c>
      <c r="CO4" t="s">
        <v>215</v>
      </c>
      <c r="CP4" t="s">
        <v>172</v>
      </c>
      <c r="CQ4" t="s">
        <v>172</v>
      </c>
      <c r="CR4" t="s">
        <v>172</v>
      </c>
      <c r="CS4" t="s">
        <v>172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173</v>
      </c>
      <c r="DC4" t="s">
        <v>224</v>
      </c>
      <c r="DD4" t="s">
        <v>225</v>
      </c>
      <c r="DE4" t="s">
        <v>226</v>
      </c>
      <c r="DF4" t="s">
        <v>178</v>
      </c>
      <c r="DG4" t="s">
        <v>227</v>
      </c>
      <c r="DH4" t="s">
        <v>228</v>
      </c>
      <c r="DI4" t="s">
        <v>178</v>
      </c>
      <c r="DJ4" t="s">
        <v>229</v>
      </c>
      <c r="DK4" t="s">
        <v>230</v>
      </c>
      <c r="DL4" t="s">
        <v>231</v>
      </c>
      <c r="DM4" t="s">
        <v>172</v>
      </c>
      <c r="DN4" t="s">
        <v>171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3">
      <c r="A5" t="s">
        <v>238</v>
      </c>
      <c r="B5" t="s">
        <v>239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900</v>
      </c>
      <c r="I5" t="s">
        <v>240</v>
      </c>
      <c r="J5">
        <f t="shared" si="0"/>
        <v>0.29487287349528007</v>
      </c>
      <c r="K5">
        <f t="shared" si="1"/>
        <v>2.9050319999999994</v>
      </c>
      <c r="L5">
        <f t="shared" si="2"/>
        <v>0.26770018713089222</v>
      </c>
      <c r="M5">
        <f t="shared" si="3"/>
        <v>3.6251073192789653</v>
      </c>
      <c r="N5" t="s">
        <v>241</v>
      </c>
      <c r="O5" t="s">
        <v>242</v>
      </c>
      <c r="P5">
        <f t="shared" si="4"/>
        <v>2.755517285982962</v>
      </c>
      <c r="Q5">
        <f t="shared" si="5"/>
        <v>1.3550772859829621</v>
      </c>
      <c r="R5" t="s">
        <v>243</v>
      </c>
      <c r="S5" t="s">
        <v>244</v>
      </c>
      <c r="T5">
        <f t="shared" si="6"/>
        <v>26.97520593228548</v>
      </c>
      <c r="U5">
        <f t="shared" si="7"/>
        <v>0.4417875</v>
      </c>
      <c r="V5" t="s">
        <v>170</v>
      </c>
      <c r="W5" t="s">
        <v>245</v>
      </c>
      <c r="X5" t="s">
        <v>172</v>
      </c>
      <c r="Y5" t="s">
        <v>172</v>
      </c>
      <c r="Z5" t="s">
        <v>172</v>
      </c>
      <c r="AA5" t="s">
        <v>246</v>
      </c>
      <c r="AB5" t="s">
        <v>247</v>
      </c>
      <c r="AC5" t="s">
        <v>248</v>
      </c>
      <c r="AD5" t="s">
        <v>176</v>
      </c>
      <c r="AE5" t="s">
        <v>177</v>
      </c>
      <c r="AF5">
        <f t="shared" si="8"/>
        <v>50.016550499999994</v>
      </c>
      <c r="AG5" t="s">
        <v>178</v>
      </c>
      <c r="AH5" t="s">
        <v>249</v>
      </c>
      <c r="AI5" t="s">
        <v>250</v>
      </c>
      <c r="AJ5" t="s">
        <v>181</v>
      </c>
      <c r="AK5" t="s">
        <v>251</v>
      </c>
      <c r="AL5">
        <f t="shared" si="9"/>
        <v>22.62</v>
      </c>
      <c r="AM5" t="s">
        <v>252</v>
      </c>
      <c r="AN5" t="s">
        <v>253</v>
      </c>
      <c r="AO5" t="s">
        <v>254</v>
      </c>
      <c r="AP5" t="s">
        <v>255</v>
      </c>
      <c r="AQ5" t="s">
        <v>256</v>
      </c>
      <c r="AR5" t="s">
        <v>257</v>
      </c>
      <c r="AS5" t="s">
        <v>258</v>
      </c>
      <c r="AT5" t="s">
        <v>259</v>
      </c>
      <c r="AU5" t="s">
        <v>260</v>
      </c>
      <c r="AV5" t="s">
        <v>138</v>
      </c>
      <c r="AW5" t="s">
        <v>138</v>
      </c>
      <c r="AX5" t="s">
        <v>261</v>
      </c>
      <c r="AY5" t="s">
        <v>262</v>
      </c>
      <c r="AZ5" t="s">
        <v>138</v>
      </c>
      <c r="BA5" t="s">
        <v>138</v>
      </c>
      <c r="BB5" t="s">
        <v>138</v>
      </c>
      <c r="BC5" t="s">
        <v>194</v>
      </c>
      <c r="BD5" t="s">
        <v>195</v>
      </c>
      <c r="BE5" t="s">
        <v>196</v>
      </c>
      <c r="BF5" t="s">
        <v>196</v>
      </c>
      <c r="BG5" t="s">
        <v>196</v>
      </c>
      <c r="BH5" t="s">
        <v>197</v>
      </c>
      <c r="BI5" t="s">
        <v>196</v>
      </c>
      <c r="BJ5" t="s">
        <v>198</v>
      </c>
      <c r="BK5" t="s">
        <v>162</v>
      </c>
      <c r="BL5" t="s">
        <v>199</v>
      </c>
      <c r="BM5" t="s">
        <v>160</v>
      </c>
      <c r="BN5" t="s">
        <v>263</v>
      </c>
      <c r="BO5" t="s">
        <v>264</v>
      </c>
      <c r="BP5" t="s">
        <v>265</v>
      </c>
      <c r="BQ5" t="s">
        <v>266</v>
      </c>
      <c r="BR5" t="s">
        <v>267</v>
      </c>
      <c r="BS5" t="s">
        <v>268</v>
      </c>
      <c r="BT5" t="s">
        <v>160</v>
      </c>
      <c r="BU5" t="s">
        <v>205</v>
      </c>
      <c r="BV5" t="s">
        <v>200</v>
      </c>
      <c r="BW5" t="s">
        <v>206</v>
      </c>
      <c r="BX5" t="s">
        <v>207</v>
      </c>
      <c r="BY5" t="s">
        <v>172</v>
      </c>
      <c r="BZ5" t="s">
        <v>208</v>
      </c>
      <c r="CA5" t="s">
        <v>172</v>
      </c>
      <c r="CB5" t="s">
        <v>172</v>
      </c>
      <c r="CC5" t="s">
        <v>209</v>
      </c>
      <c r="CD5" t="s">
        <v>210</v>
      </c>
      <c r="CE5" t="s">
        <v>197</v>
      </c>
      <c r="CF5" t="s">
        <v>211</v>
      </c>
      <c r="CG5" t="s">
        <v>212</v>
      </c>
      <c r="CH5" t="s">
        <v>213</v>
      </c>
      <c r="CI5" t="s">
        <v>178</v>
      </c>
      <c r="CJ5" t="s">
        <v>206</v>
      </c>
      <c r="CK5" t="s">
        <v>214</v>
      </c>
      <c r="CL5" t="s">
        <v>214</v>
      </c>
      <c r="CM5" t="s">
        <v>214</v>
      </c>
      <c r="CN5" t="s">
        <v>172</v>
      </c>
      <c r="CO5" t="s">
        <v>215</v>
      </c>
      <c r="CP5" t="s">
        <v>172</v>
      </c>
      <c r="CQ5" t="s">
        <v>172</v>
      </c>
      <c r="CR5" t="s">
        <v>172</v>
      </c>
      <c r="CS5" t="s">
        <v>172</v>
      </c>
      <c r="CT5" t="s">
        <v>269</v>
      </c>
      <c r="CU5" t="s">
        <v>270</v>
      </c>
      <c r="CV5" t="s">
        <v>271</v>
      </c>
      <c r="CW5" t="s">
        <v>272</v>
      </c>
      <c r="CX5" t="s">
        <v>273</v>
      </c>
      <c r="CY5" t="s">
        <v>274</v>
      </c>
      <c r="CZ5" t="s">
        <v>275</v>
      </c>
      <c r="DA5" t="s">
        <v>276</v>
      </c>
      <c r="DB5" t="s">
        <v>246</v>
      </c>
      <c r="DC5" t="s">
        <v>277</v>
      </c>
      <c r="DD5" t="s">
        <v>225</v>
      </c>
      <c r="DE5" t="s">
        <v>226</v>
      </c>
      <c r="DF5" t="s">
        <v>178</v>
      </c>
      <c r="DG5" t="s">
        <v>227</v>
      </c>
      <c r="DH5" t="s">
        <v>228</v>
      </c>
      <c r="DI5" t="s">
        <v>178</v>
      </c>
      <c r="DJ5" t="s">
        <v>229</v>
      </c>
      <c r="DK5" t="s">
        <v>230</v>
      </c>
      <c r="DL5" t="s">
        <v>231</v>
      </c>
      <c r="DM5" t="s">
        <v>172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3">
      <c r="A6" t="s">
        <v>278</v>
      </c>
      <c r="B6" t="s">
        <v>279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901</v>
      </c>
      <c r="I6" t="s">
        <v>280</v>
      </c>
      <c r="J6">
        <f t="shared" si="0"/>
        <v>0.12666935214060307</v>
      </c>
      <c r="K6">
        <f t="shared" si="1"/>
        <v>2.9050319999999994</v>
      </c>
      <c r="L6">
        <f t="shared" si="2"/>
        <v>0.12137690314644635</v>
      </c>
      <c r="M6">
        <f t="shared" si="3"/>
        <v>1.8759719721539898</v>
      </c>
      <c r="N6" t="s">
        <v>281</v>
      </c>
      <c r="O6" t="s">
        <v>282</v>
      </c>
      <c r="P6">
        <f t="shared" si="4"/>
        <v>2.9114541598907966</v>
      </c>
      <c r="Q6">
        <f t="shared" si="5"/>
        <v>1.5457291598907965</v>
      </c>
      <c r="R6" t="s">
        <v>283</v>
      </c>
      <c r="S6" t="s">
        <v>284</v>
      </c>
      <c r="T6">
        <f t="shared" si="6"/>
        <v>28.501753890267217</v>
      </c>
      <c r="U6">
        <f t="shared" si="7"/>
        <v>0.4417875</v>
      </c>
      <c r="V6" t="s">
        <v>170</v>
      </c>
      <c r="W6" t="s">
        <v>285</v>
      </c>
      <c r="X6" t="s">
        <v>172</v>
      </c>
      <c r="Y6" t="s">
        <v>172</v>
      </c>
      <c r="Z6" t="s">
        <v>172</v>
      </c>
      <c r="AA6" t="s">
        <v>286</v>
      </c>
      <c r="AB6" t="s">
        <v>287</v>
      </c>
      <c r="AC6" t="s">
        <v>288</v>
      </c>
      <c r="AD6" t="s">
        <v>176</v>
      </c>
      <c r="AE6" t="s">
        <v>177</v>
      </c>
      <c r="AF6">
        <f t="shared" si="8"/>
        <v>50.530094999999996</v>
      </c>
      <c r="AG6" t="s">
        <v>178</v>
      </c>
      <c r="AH6" t="s">
        <v>289</v>
      </c>
      <c r="AI6" t="s">
        <v>290</v>
      </c>
      <c r="AJ6" t="s">
        <v>291</v>
      </c>
      <c r="AK6" t="s">
        <v>292</v>
      </c>
      <c r="AL6">
        <f t="shared" si="9"/>
        <v>23.53</v>
      </c>
      <c r="AM6" t="s">
        <v>252</v>
      </c>
      <c r="AN6" t="s">
        <v>253</v>
      </c>
      <c r="AO6" t="s">
        <v>253</v>
      </c>
      <c r="AP6" t="s">
        <v>293</v>
      </c>
      <c r="AQ6" t="s">
        <v>294</v>
      </c>
      <c r="AR6" t="s">
        <v>295</v>
      </c>
      <c r="AS6" t="s">
        <v>296</v>
      </c>
      <c r="AT6" t="s">
        <v>297</v>
      </c>
      <c r="AU6" t="s">
        <v>298</v>
      </c>
      <c r="AV6" t="s">
        <v>138</v>
      </c>
      <c r="AW6" t="s">
        <v>138</v>
      </c>
      <c r="AX6" t="s">
        <v>299</v>
      </c>
      <c r="AY6" t="s">
        <v>300</v>
      </c>
      <c r="AZ6" t="s">
        <v>138</v>
      </c>
      <c r="BA6" t="s">
        <v>138</v>
      </c>
      <c r="BB6" t="s">
        <v>138</v>
      </c>
      <c r="BC6" t="s">
        <v>194</v>
      </c>
      <c r="BD6" t="s">
        <v>195</v>
      </c>
      <c r="BE6" t="s">
        <v>196</v>
      </c>
      <c r="BF6" t="s">
        <v>196</v>
      </c>
      <c r="BG6" t="s">
        <v>196</v>
      </c>
      <c r="BH6" t="s">
        <v>197</v>
      </c>
      <c r="BI6" t="s">
        <v>196</v>
      </c>
      <c r="BJ6" t="s">
        <v>198</v>
      </c>
      <c r="BK6" t="s">
        <v>162</v>
      </c>
      <c r="BL6" t="s">
        <v>199</v>
      </c>
      <c r="BM6" t="s">
        <v>160</v>
      </c>
      <c r="BN6" t="s">
        <v>200</v>
      </c>
      <c r="BO6" t="s">
        <v>200</v>
      </c>
      <c r="BP6" t="s">
        <v>265</v>
      </c>
      <c r="BQ6" t="s">
        <v>301</v>
      </c>
      <c r="BR6" t="s">
        <v>302</v>
      </c>
      <c r="BS6" t="s">
        <v>303</v>
      </c>
      <c r="BT6" t="s">
        <v>160</v>
      </c>
      <c r="BU6" t="s">
        <v>205</v>
      </c>
      <c r="BV6" t="s">
        <v>200</v>
      </c>
      <c r="BW6" t="s">
        <v>206</v>
      </c>
      <c r="BX6" t="s">
        <v>207</v>
      </c>
      <c r="BY6" t="s">
        <v>172</v>
      </c>
      <c r="BZ6" t="s">
        <v>208</v>
      </c>
      <c r="CA6" t="s">
        <v>172</v>
      </c>
      <c r="CB6" t="s">
        <v>172</v>
      </c>
      <c r="CC6" t="s">
        <v>209</v>
      </c>
      <c r="CD6" t="s">
        <v>210</v>
      </c>
      <c r="CE6" t="s">
        <v>197</v>
      </c>
      <c r="CF6" t="s">
        <v>211</v>
      </c>
      <c r="CG6" t="s">
        <v>212</v>
      </c>
      <c r="CH6" t="s">
        <v>213</v>
      </c>
      <c r="CI6" t="s">
        <v>178</v>
      </c>
      <c r="CJ6" t="s">
        <v>206</v>
      </c>
      <c r="CK6" t="s">
        <v>214</v>
      </c>
      <c r="CL6" t="s">
        <v>214</v>
      </c>
      <c r="CM6" t="s">
        <v>214</v>
      </c>
      <c r="CN6" t="s">
        <v>172</v>
      </c>
      <c r="CO6" t="s">
        <v>215</v>
      </c>
      <c r="CP6" t="s">
        <v>172</v>
      </c>
      <c r="CQ6" t="s">
        <v>172</v>
      </c>
      <c r="CR6" t="s">
        <v>172</v>
      </c>
      <c r="CS6" t="s">
        <v>172</v>
      </c>
      <c r="CT6" t="s">
        <v>304</v>
      </c>
      <c r="CU6" t="s">
        <v>305</v>
      </c>
      <c r="CV6" t="s">
        <v>306</v>
      </c>
      <c r="CW6" t="s">
        <v>307</v>
      </c>
      <c r="CX6" t="s">
        <v>308</v>
      </c>
      <c r="CY6" t="s">
        <v>309</v>
      </c>
      <c r="CZ6" t="s">
        <v>310</v>
      </c>
      <c r="DA6" t="s">
        <v>311</v>
      </c>
      <c r="DB6" t="s">
        <v>286</v>
      </c>
      <c r="DC6" t="s">
        <v>312</v>
      </c>
      <c r="DD6" t="s">
        <v>225</v>
      </c>
      <c r="DE6" t="s">
        <v>226</v>
      </c>
      <c r="DF6" t="s">
        <v>178</v>
      </c>
      <c r="DG6" t="s">
        <v>227</v>
      </c>
      <c r="DH6" t="s">
        <v>228</v>
      </c>
      <c r="DI6" t="s">
        <v>178</v>
      </c>
      <c r="DJ6" t="s">
        <v>229</v>
      </c>
      <c r="DK6" t="s">
        <v>230</v>
      </c>
      <c r="DL6" t="s">
        <v>231</v>
      </c>
      <c r="DM6" t="s">
        <v>172</v>
      </c>
      <c r="DN6" t="s">
        <v>285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3">
      <c r="A7" t="s">
        <v>313</v>
      </c>
      <c r="B7" t="s">
        <v>314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902</v>
      </c>
      <c r="I7" t="s">
        <v>315</v>
      </c>
      <c r="J7">
        <f t="shared" si="0"/>
        <v>5.7860250371876136E-2</v>
      </c>
      <c r="K7">
        <f t="shared" si="1"/>
        <v>2.9042299199999997</v>
      </c>
      <c r="L7">
        <f t="shared" si="2"/>
        <v>5.6730032052872054E-2</v>
      </c>
      <c r="M7">
        <f t="shared" si="3"/>
        <v>0.9403262399072313</v>
      </c>
      <c r="N7" t="s">
        <v>316</v>
      </c>
      <c r="O7" t="s">
        <v>317</v>
      </c>
      <c r="P7">
        <f t="shared" si="4"/>
        <v>3.032964152979444</v>
      </c>
      <c r="Q7">
        <f t="shared" si="5"/>
        <v>1.656793152979444</v>
      </c>
      <c r="R7" t="s">
        <v>318</v>
      </c>
      <c r="S7" t="s">
        <v>319</v>
      </c>
      <c r="T7">
        <f t="shared" si="6"/>
        <v>29.688372679908419</v>
      </c>
      <c r="U7">
        <f t="shared" si="7"/>
        <v>0.4417875</v>
      </c>
      <c r="V7" t="s">
        <v>170</v>
      </c>
      <c r="W7" t="s">
        <v>320</v>
      </c>
      <c r="X7" t="s">
        <v>172</v>
      </c>
      <c r="Y7" t="s">
        <v>172</v>
      </c>
      <c r="Z7" t="s">
        <v>172</v>
      </c>
      <c r="AA7" t="s">
        <v>321</v>
      </c>
      <c r="AB7" t="s">
        <v>322</v>
      </c>
      <c r="AC7" t="s">
        <v>323</v>
      </c>
      <c r="AD7" t="s">
        <v>176</v>
      </c>
      <c r="AE7" t="s">
        <v>177</v>
      </c>
      <c r="AF7">
        <f t="shared" si="8"/>
        <v>53.452727999999993</v>
      </c>
      <c r="AG7" t="s">
        <v>178</v>
      </c>
      <c r="AH7" t="s">
        <v>324</v>
      </c>
      <c r="AI7" t="s">
        <v>325</v>
      </c>
      <c r="AJ7" t="s">
        <v>326</v>
      </c>
      <c r="AK7" t="s">
        <v>327</v>
      </c>
      <c r="AL7">
        <f t="shared" si="9"/>
        <v>24.21</v>
      </c>
      <c r="AM7" t="s">
        <v>328</v>
      </c>
      <c r="AN7" t="s">
        <v>184</v>
      </c>
      <c r="AO7" t="s">
        <v>329</v>
      </c>
      <c r="AP7" t="s">
        <v>176</v>
      </c>
      <c r="AQ7" t="s">
        <v>330</v>
      </c>
      <c r="AR7" t="s">
        <v>331</v>
      </c>
      <c r="AS7" t="s">
        <v>332</v>
      </c>
      <c r="AT7" t="s">
        <v>333</v>
      </c>
      <c r="AU7" t="s">
        <v>334</v>
      </c>
      <c r="AV7" t="s">
        <v>138</v>
      </c>
      <c r="AW7" t="s">
        <v>138</v>
      </c>
      <c r="AX7" t="s">
        <v>335</v>
      </c>
      <c r="AY7" t="s">
        <v>336</v>
      </c>
      <c r="AZ7" t="s">
        <v>138</v>
      </c>
      <c r="BA7" t="s">
        <v>138</v>
      </c>
      <c r="BB7" t="s">
        <v>138</v>
      </c>
      <c r="BC7" t="s">
        <v>194</v>
      </c>
      <c r="BD7" t="s">
        <v>195</v>
      </c>
      <c r="BE7" t="s">
        <v>196</v>
      </c>
      <c r="BF7" t="s">
        <v>196</v>
      </c>
      <c r="BG7" t="s">
        <v>196</v>
      </c>
      <c r="BH7" t="s">
        <v>197</v>
      </c>
      <c r="BI7" t="s">
        <v>196</v>
      </c>
      <c r="BJ7" t="s">
        <v>198</v>
      </c>
      <c r="BK7" t="s">
        <v>162</v>
      </c>
      <c r="BL7" t="s">
        <v>199</v>
      </c>
      <c r="BM7" t="s">
        <v>160</v>
      </c>
      <c r="BN7" t="s">
        <v>263</v>
      </c>
      <c r="BO7" t="s">
        <v>264</v>
      </c>
      <c r="BP7" t="s">
        <v>265</v>
      </c>
      <c r="BQ7" t="s">
        <v>337</v>
      </c>
      <c r="BR7" t="s">
        <v>338</v>
      </c>
      <c r="BS7" t="s">
        <v>339</v>
      </c>
      <c r="BT7" t="s">
        <v>160</v>
      </c>
      <c r="BU7" t="s">
        <v>205</v>
      </c>
      <c r="BV7" t="s">
        <v>200</v>
      </c>
      <c r="BW7" t="s">
        <v>206</v>
      </c>
      <c r="BX7" t="s">
        <v>207</v>
      </c>
      <c r="BY7" t="s">
        <v>172</v>
      </c>
      <c r="BZ7" t="s">
        <v>208</v>
      </c>
      <c r="CA7" t="s">
        <v>172</v>
      </c>
      <c r="CB7" t="s">
        <v>172</v>
      </c>
      <c r="CC7" t="s">
        <v>209</v>
      </c>
      <c r="CD7" t="s">
        <v>210</v>
      </c>
      <c r="CE7" t="s">
        <v>197</v>
      </c>
      <c r="CF7" t="s">
        <v>211</v>
      </c>
      <c r="CG7" t="s">
        <v>212</v>
      </c>
      <c r="CH7" t="s">
        <v>213</v>
      </c>
      <c r="CI7" t="s">
        <v>178</v>
      </c>
      <c r="CJ7" t="s">
        <v>206</v>
      </c>
      <c r="CK7" t="s">
        <v>214</v>
      </c>
      <c r="CL7" t="s">
        <v>214</v>
      </c>
      <c r="CM7" t="s">
        <v>214</v>
      </c>
      <c r="CN7" t="s">
        <v>172</v>
      </c>
      <c r="CO7" t="s">
        <v>215</v>
      </c>
      <c r="CP7" t="s">
        <v>172</v>
      </c>
      <c r="CQ7" t="s">
        <v>172</v>
      </c>
      <c r="CR7" t="s">
        <v>172</v>
      </c>
      <c r="CS7" t="s">
        <v>172</v>
      </c>
      <c r="CT7" t="s">
        <v>340</v>
      </c>
      <c r="CU7" t="s">
        <v>341</v>
      </c>
      <c r="CV7" t="s">
        <v>342</v>
      </c>
      <c r="CW7" t="s">
        <v>343</v>
      </c>
      <c r="CX7" t="s">
        <v>344</v>
      </c>
      <c r="CY7" t="s">
        <v>345</v>
      </c>
      <c r="CZ7" t="s">
        <v>346</v>
      </c>
      <c r="DA7" t="s">
        <v>347</v>
      </c>
      <c r="DB7" t="s">
        <v>321</v>
      </c>
      <c r="DC7" t="s">
        <v>348</v>
      </c>
      <c r="DD7" t="s">
        <v>225</v>
      </c>
      <c r="DE7" t="s">
        <v>226</v>
      </c>
      <c r="DF7" t="s">
        <v>178</v>
      </c>
      <c r="DG7" t="s">
        <v>227</v>
      </c>
      <c r="DH7" t="s">
        <v>228</v>
      </c>
      <c r="DI7" t="s">
        <v>178</v>
      </c>
      <c r="DJ7" t="s">
        <v>229</v>
      </c>
      <c r="DK7" t="s">
        <v>230</v>
      </c>
      <c r="DL7" t="s">
        <v>231</v>
      </c>
      <c r="DM7" t="s">
        <v>172</v>
      </c>
      <c r="DN7" t="s">
        <v>320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3">
      <c r="A8" t="s">
        <v>349</v>
      </c>
      <c r="B8" t="s">
        <v>350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903</v>
      </c>
      <c r="I8" t="s">
        <v>351</v>
      </c>
      <c r="J8">
        <f t="shared" si="0"/>
        <v>0.31049846220942395</v>
      </c>
      <c r="K8">
        <f t="shared" si="1"/>
        <v>2.9042299199999997</v>
      </c>
      <c r="L8">
        <f t="shared" si="2"/>
        <v>0.28050858948239854</v>
      </c>
      <c r="M8">
        <f t="shared" si="3"/>
        <v>3.7723829083330109</v>
      </c>
      <c r="N8" t="s">
        <v>352</v>
      </c>
      <c r="O8" t="s">
        <v>353</v>
      </c>
      <c r="P8">
        <f t="shared" si="4"/>
        <v>2.7942232141333001</v>
      </c>
      <c r="Q8">
        <f t="shared" si="5"/>
        <v>1.3455322141333002</v>
      </c>
      <c r="R8" t="s">
        <v>354</v>
      </c>
      <c r="S8" t="s">
        <v>355</v>
      </c>
      <c r="T8">
        <f t="shared" si="6"/>
        <v>27.348763963328764</v>
      </c>
      <c r="U8">
        <f t="shared" si="7"/>
        <v>0.4417875</v>
      </c>
      <c r="V8" t="s">
        <v>170</v>
      </c>
      <c r="W8" t="s">
        <v>356</v>
      </c>
      <c r="X8" t="s">
        <v>172</v>
      </c>
      <c r="Y8" t="s">
        <v>172</v>
      </c>
      <c r="Z8" t="s">
        <v>172</v>
      </c>
      <c r="AA8" t="s">
        <v>357</v>
      </c>
      <c r="AB8" t="s">
        <v>358</v>
      </c>
      <c r="AC8" t="s">
        <v>359</v>
      </c>
      <c r="AD8" t="s">
        <v>176</v>
      </c>
      <c r="AE8" t="s">
        <v>177</v>
      </c>
      <c r="AF8">
        <f t="shared" si="8"/>
        <v>63.750319920000003</v>
      </c>
      <c r="AG8" t="s">
        <v>178</v>
      </c>
      <c r="AH8" t="s">
        <v>360</v>
      </c>
      <c r="AI8" t="s">
        <v>361</v>
      </c>
      <c r="AJ8" t="s">
        <v>362</v>
      </c>
      <c r="AK8" t="s">
        <v>363</v>
      </c>
      <c r="AL8">
        <f t="shared" si="9"/>
        <v>22.85</v>
      </c>
      <c r="AM8" t="s">
        <v>183</v>
      </c>
      <c r="AN8" t="s">
        <v>184</v>
      </c>
      <c r="AO8" t="s">
        <v>364</v>
      </c>
      <c r="AP8" t="s">
        <v>365</v>
      </c>
      <c r="AQ8" t="s">
        <v>366</v>
      </c>
      <c r="AR8" t="s">
        <v>367</v>
      </c>
      <c r="AS8" t="s">
        <v>368</v>
      </c>
      <c r="AT8" t="s">
        <v>369</v>
      </c>
      <c r="AU8" t="s">
        <v>370</v>
      </c>
      <c r="AV8" t="s">
        <v>138</v>
      </c>
      <c r="AW8" t="s">
        <v>138</v>
      </c>
      <c r="AX8" t="s">
        <v>371</v>
      </c>
      <c r="AY8" t="s">
        <v>372</v>
      </c>
      <c r="AZ8" t="s">
        <v>138</v>
      </c>
      <c r="BA8" t="s">
        <v>138</v>
      </c>
      <c r="BB8" t="s">
        <v>138</v>
      </c>
      <c r="BC8" t="s">
        <v>194</v>
      </c>
      <c r="BD8" t="s">
        <v>195</v>
      </c>
      <c r="BE8" t="s">
        <v>196</v>
      </c>
      <c r="BF8" t="s">
        <v>196</v>
      </c>
      <c r="BG8" t="s">
        <v>196</v>
      </c>
      <c r="BH8" t="s">
        <v>197</v>
      </c>
      <c r="BI8" t="s">
        <v>196</v>
      </c>
      <c r="BJ8" t="s">
        <v>198</v>
      </c>
      <c r="BK8" t="s">
        <v>162</v>
      </c>
      <c r="BL8" t="s">
        <v>199</v>
      </c>
      <c r="BM8" t="s">
        <v>160</v>
      </c>
      <c r="BN8" t="s">
        <v>201</v>
      </c>
      <c r="BO8" t="s">
        <v>264</v>
      </c>
      <c r="BP8" t="s">
        <v>201</v>
      </c>
      <c r="BQ8" t="s">
        <v>373</v>
      </c>
      <c r="BR8" t="s">
        <v>374</v>
      </c>
      <c r="BS8" t="s">
        <v>375</v>
      </c>
      <c r="BT8" t="s">
        <v>160</v>
      </c>
      <c r="BU8" t="s">
        <v>205</v>
      </c>
      <c r="BV8" t="s">
        <v>200</v>
      </c>
      <c r="BW8" t="s">
        <v>206</v>
      </c>
      <c r="BX8" t="s">
        <v>207</v>
      </c>
      <c r="BY8" t="s">
        <v>172</v>
      </c>
      <c r="BZ8" t="s">
        <v>208</v>
      </c>
      <c r="CA8" t="s">
        <v>172</v>
      </c>
      <c r="CB8" t="s">
        <v>172</v>
      </c>
      <c r="CC8" t="s">
        <v>209</v>
      </c>
      <c r="CD8" t="s">
        <v>210</v>
      </c>
      <c r="CE8" t="s">
        <v>197</v>
      </c>
      <c r="CF8" t="s">
        <v>211</v>
      </c>
      <c r="CG8" t="s">
        <v>212</v>
      </c>
      <c r="CH8" t="s">
        <v>213</v>
      </c>
      <c r="CI8" t="s">
        <v>178</v>
      </c>
      <c r="CJ8" t="s">
        <v>206</v>
      </c>
      <c r="CK8" t="s">
        <v>214</v>
      </c>
      <c r="CL8" t="s">
        <v>214</v>
      </c>
      <c r="CM8" t="s">
        <v>214</v>
      </c>
      <c r="CN8" t="s">
        <v>172</v>
      </c>
      <c r="CO8" t="s">
        <v>215</v>
      </c>
      <c r="CP8" t="s">
        <v>172</v>
      </c>
      <c r="CQ8" t="s">
        <v>172</v>
      </c>
      <c r="CR8" t="s">
        <v>172</v>
      </c>
      <c r="CS8" t="s">
        <v>172</v>
      </c>
      <c r="CT8" t="s">
        <v>376</v>
      </c>
      <c r="CU8" t="s">
        <v>377</v>
      </c>
      <c r="CV8" t="s">
        <v>378</v>
      </c>
      <c r="CW8" t="s">
        <v>379</v>
      </c>
      <c r="CX8" t="s">
        <v>380</v>
      </c>
      <c r="CY8" t="s">
        <v>381</v>
      </c>
      <c r="CZ8" t="s">
        <v>382</v>
      </c>
      <c r="DA8" t="s">
        <v>383</v>
      </c>
      <c r="DB8" t="s">
        <v>357</v>
      </c>
      <c r="DC8" t="s">
        <v>384</v>
      </c>
      <c r="DD8" t="s">
        <v>225</v>
      </c>
      <c r="DE8" t="s">
        <v>226</v>
      </c>
      <c r="DF8" t="s">
        <v>178</v>
      </c>
      <c r="DG8" t="s">
        <v>227</v>
      </c>
      <c r="DH8" t="s">
        <v>228</v>
      </c>
      <c r="DI8" t="s">
        <v>178</v>
      </c>
      <c r="DJ8" t="s">
        <v>229</v>
      </c>
      <c r="DK8" t="s">
        <v>230</v>
      </c>
      <c r="DL8" t="s">
        <v>231</v>
      </c>
      <c r="DM8" t="s">
        <v>172</v>
      </c>
      <c r="DN8" t="s">
        <v>356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3">
      <c r="A9" t="s">
        <v>385</v>
      </c>
      <c r="B9" t="s">
        <v>386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904</v>
      </c>
      <c r="I9" t="s">
        <v>387</v>
      </c>
      <c r="J9">
        <f t="shared" si="0"/>
        <v>0.2264852628991513</v>
      </c>
      <c r="K9">
        <f t="shared" si="1"/>
        <v>2.9058327199999998</v>
      </c>
      <c r="L9">
        <f t="shared" si="2"/>
        <v>0.21010902824144886</v>
      </c>
      <c r="M9">
        <f t="shared" si="3"/>
        <v>2.9846478786167991</v>
      </c>
      <c r="N9" t="s">
        <v>388</v>
      </c>
      <c r="O9" t="s">
        <v>389</v>
      </c>
      <c r="P9">
        <f t="shared" si="4"/>
        <v>2.8231368573988678</v>
      </c>
      <c r="Q9">
        <f t="shared" si="5"/>
        <v>1.4215008573988677</v>
      </c>
      <c r="R9" t="s">
        <v>390</v>
      </c>
      <c r="S9" t="s">
        <v>391</v>
      </c>
      <c r="T9">
        <f t="shared" si="6"/>
        <v>27.629055171255313</v>
      </c>
      <c r="U9">
        <f t="shared" si="7"/>
        <v>0.4417875</v>
      </c>
      <c r="V9" t="s">
        <v>170</v>
      </c>
      <c r="W9" t="s">
        <v>392</v>
      </c>
      <c r="X9" t="s">
        <v>172</v>
      </c>
      <c r="Y9" t="s">
        <v>172</v>
      </c>
      <c r="Z9" t="s">
        <v>172</v>
      </c>
      <c r="AA9" t="s">
        <v>393</v>
      </c>
      <c r="AB9" t="s">
        <v>394</v>
      </c>
      <c r="AC9" t="s">
        <v>395</v>
      </c>
      <c r="AD9" t="s">
        <v>176</v>
      </c>
      <c r="AE9" t="s">
        <v>177</v>
      </c>
      <c r="AF9">
        <f t="shared" si="8"/>
        <v>54.161929499999999</v>
      </c>
      <c r="AG9" t="s">
        <v>178</v>
      </c>
      <c r="AH9" t="s">
        <v>396</v>
      </c>
      <c r="AI9" t="s">
        <v>397</v>
      </c>
      <c r="AJ9" t="s">
        <v>398</v>
      </c>
      <c r="AK9" t="s">
        <v>399</v>
      </c>
      <c r="AL9">
        <f t="shared" si="9"/>
        <v>23.02</v>
      </c>
      <c r="AM9" t="s">
        <v>400</v>
      </c>
      <c r="AN9" t="s">
        <v>401</v>
      </c>
      <c r="AO9" t="s">
        <v>402</v>
      </c>
      <c r="AP9" t="s">
        <v>403</v>
      </c>
      <c r="AQ9" t="s">
        <v>330</v>
      </c>
      <c r="AR9" t="s">
        <v>404</v>
      </c>
      <c r="AS9" t="s">
        <v>258</v>
      </c>
      <c r="AT9" t="s">
        <v>405</v>
      </c>
      <c r="AU9" t="s">
        <v>260</v>
      </c>
      <c r="AV9" t="s">
        <v>138</v>
      </c>
      <c r="AW9" t="s">
        <v>138</v>
      </c>
      <c r="AX9" t="s">
        <v>406</v>
      </c>
      <c r="AY9" t="s">
        <v>407</v>
      </c>
      <c r="AZ9" t="s">
        <v>138</v>
      </c>
      <c r="BA9" t="s">
        <v>138</v>
      </c>
      <c r="BB9" t="s">
        <v>138</v>
      </c>
      <c r="BC9" t="s">
        <v>194</v>
      </c>
      <c r="BD9" t="s">
        <v>195</v>
      </c>
      <c r="BE9" t="s">
        <v>196</v>
      </c>
      <c r="BF9" t="s">
        <v>196</v>
      </c>
      <c r="BG9" t="s">
        <v>196</v>
      </c>
      <c r="BH9" t="s">
        <v>197</v>
      </c>
      <c r="BI9" t="s">
        <v>196</v>
      </c>
      <c r="BJ9" t="s">
        <v>198</v>
      </c>
      <c r="BK9" t="s">
        <v>162</v>
      </c>
      <c r="BL9" t="s">
        <v>199</v>
      </c>
      <c r="BM9" t="s">
        <v>160</v>
      </c>
      <c r="BN9" t="s">
        <v>200</v>
      </c>
      <c r="BO9" t="s">
        <v>264</v>
      </c>
      <c r="BP9" t="s">
        <v>408</v>
      </c>
      <c r="BQ9" t="s">
        <v>409</v>
      </c>
      <c r="BR9" t="s">
        <v>410</v>
      </c>
      <c r="BS9" t="s">
        <v>411</v>
      </c>
      <c r="BT9" t="s">
        <v>160</v>
      </c>
      <c r="BU9" t="s">
        <v>205</v>
      </c>
      <c r="BV9" t="s">
        <v>200</v>
      </c>
      <c r="BW9" t="s">
        <v>206</v>
      </c>
      <c r="BX9" t="s">
        <v>207</v>
      </c>
      <c r="BY9" t="s">
        <v>172</v>
      </c>
      <c r="BZ9" t="s">
        <v>208</v>
      </c>
      <c r="CA9" t="s">
        <v>172</v>
      </c>
      <c r="CB9" t="s">
        <v>172</v>
      </c>
      <c r="CC9" t="s">
        <v>209</v>
      </c>
      <c r="CD9" t="s">
        <v>210</v>
      </c>
      <c r="CE9" t="s">
        <v>197</v>
      </c>
      <c r="CF9" t="s">
        <v>211</v>
      </c>
      <c r="CG9" t="s">
        <v>212</v>
      </c>
      <c r="CH9" t="s">
        <v>213</v>
      </c>
      <c r="CI9" t="s">
        <v>178</v>
      </c>
      <c r="CJ9" t="s">
        <v>206</v>
      </c>
      <c r="CK9" t="s">
        <v>214</v>
      </c>
      <c r="CL9" t="s">
        <v>214</v>
      </c>
      <c r="CM9" t="s">
        <v>214</v>
      </c>
      <c r="CN9" t="s">
        <v>172</v>
      </c>
      <c r="CO9" t="s">
        <v>215</v>
      </c>
      <c r="CP9" t="s">
        <v>172</v>
      </c>
      <c r="CQ9" t="s">
        <v>172</v>
      </c>
      <c r="CR9" t="s">
        <v>172</v>
      </c>
      <c r="CS9" t="s">
        <v>172</v>
      </c>
      <c r="CT9" t="s">
        <v>412</v>
      </c>
      <c r="CU9" t="s">
        <v>413</v>
      </c>
      <c r="CV9" t="s">
        <v>414</v>
      </c>
      <c r="CW9" t="s">
        <v>415</v>
      </c>
      <c r="CX9" t="s">
        <v>416</v>
      </c>
      <c r="CY9" t="s">
        <v>417</v>
      </c>
      <c r="CZ9" t="s">
        <v>418</v>
      </c>
      <c r="DA9" t="s">
        <v>419</v>
      </c>
      <c r="DB9" t="s">
        <v>393</v>
      </c>
      <c r="DC9" t="s">
        <v>312</v>
      </c>
      <c r="DD9" t="s">
        <v>225</v>
      </c>
      <c r="DE9" t="s">
        <v>226</v>
      </c>
      <c r="DF9" t="s">
        <v>178</v>
      </c>
      <c r="DG9" t="s">
        <v>227</v>
      </c>
      <c r="DH9" t="s">
        <v>228</v>
      </c>
      <c r="DI9" t="s">
        <v>178</v>
      </c>
      <c r="DJ9" t="s">
        <v>229</v>
      </c>
      <c r="DK9" t="s">
        <v>230</v>
      </c>
      <c r="DL9" t="s">
        <v>231</v>
      </c>
      <c r="DM9" t="s">
        <v>172</v>
      </c>
      <c r="DN9" t="s">
        <v>392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3">
      <c r="A10" t="s">
        <v>420</v>
      </c>
      <c r="B10" t="s">
        <v>421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905</v>
      </c>
      <c r="I10" t="s">
        <v>422</v>
      </c>
      <c r="J10">
        <f t="shared" si="0"/>
        <v>0.19745099599462415</v>
      </c>
      <c r="K10">
        <f t="shared" si="1"/>
        <v>2.9050319999999994</v>
      </c>
      <c r="L10">
        <f t="shared" si="2"/>
        <v>0.18488464321538184</v>
      </c>
      <c r="M10">
        <f t="shared" si="3"/>
        <v>2.7792948337902628</v>
      </c>
      <c r="N10" t="s">
        <v>423</v>
      </c>
      <c r="O10" t="s">
        <v>424</v>
      </c>
      <c r="P10">
        <f t="shared" si="4"/>
        <v>2.9414254185473312</v>
      </c>
      <c r="Q10">
        <f t="shared" si="5"/>
        <v>1.5031804185473312</v>
      </c>
      <c r="R10" t="s">
        <v>425</v>
      </c>
      <c r="S10" t="s">
        <v>426</v>
      </c>
      <c r="T10">
        <f t="shared" si="6"/>
        <v>28.786704037456754</v>
      </c>
      <c r="U10">
        <f t="shared" si="7"/>
        <v>0.4417875</v>
      </c>
      <c r="V10" t="s">
        <v>170</v>
      </c>
      <c r="W10" t="s">
        <v>427</v>
      </c>
      <c r="X10" t="s">
        <v>172</v>
      </c>
      <c r="Y10" t="s">
        <v>172</v>
      </c>
      <c r="Z10" t="s">
        <v>172</v>
      </c>
      <c r="AA10" t="s">
        <v>428</v>
      </c>
      <c r="AB10" t="s">
        <v>429</v>
      </c>
      <c r="AC10" t="s">
        <v>430</v>
      </c>
      <c r="AD10" t="s">
        <v>176</v>
      </c>
      <c r="AE10" t="s">
        <v>177</v>
      </c>
      <c r="AF10">
        <f t="shared" si="8"/>
        <v>95.480965439999991</v>
      </c>
      <c r="AG10" t="s">
        <v>178</v>
      </c>
      <c r="AH10" t="s">
        <v>431</v>
      </c>
      <c r="AI10" t="s">
        <v>432</v>
      </c>
      <c r="AJ10" t="s">
        <v>433</v>
      </c>
      <c r="AK10" t="s">
        <v>434</v>
      </c>
      <c r="AL10">
        <f t="shared" si="9"/>
        <v>23.7</v>
      </c>
      <c r="AM10" t="s">
        <v>400</v>
      </c>
      <c r="AN10" t="s">
        <v>253</v>
      </c>
      <c r="AO10" t="s">
        <v>435</v>
      </c>
      <c r="AP10" t="s">
        <v>186</v>
      </c>
      <c r="AQ10" t="s">
        <v>436</v>
      </c>
      <c r="AR10" t="s">
        <v>437</v>
      </c>
      <c r="AS10" t="s">
        <v>438</v>
      </c>
      <c r="AT10" t="s">
        <v>439</v>
      </c>
      <c r="AU10" t="s">
        <v>440</v>
      </c>
      <c r="AV10" t="s">
        <v>441</v>
      </c>
      <c r="AW10" t="s">
        <v>442</v>
      </c>
      <c r="AX10" t="s">
        <v>443</v>
      </c>
      <c r="AY10" t="s">
        <v>444</v>
      </c>
      <c r="AZ10" t="s">
        <v>445</v>
      </c>
      <c r="BA10" t="s">
        <v>446</v>
      </c>
      <c r="BB10" t="s">
        <v>447</v>
      </c>
      <c r="BC10" t="s">
        <v>448</v>
      </c>
      <c r="BD10" t="s">
        <v>162</v>
      </c>
      <c r="BE10" t="s">
        <v>449</v>
      </c>
      <c r="BF10" t="s">
        <v>450</v>
      </c>
      <c r="BG10" t="s">
        <v>451</v>
      </c>
      <c r="BH10" t="s">
        <v>349</v>
      </c>
      <c r="BI10" t="s">
        <v>452</v>
      </c>
      <c r="BJ10" t="s">
        <v>198</v>
      </c>
      <c r="BK10" t="s">
        <v>162</v>
      </c>
      <c r="BL10" t="s">
        <v>199</v>
      </c>
      <c r="BM10" t="s">
        <v>160</v>
      </c>
      <c r="BN10" t="s">
        <v>200</v>
      </c>
      <c r="BO10" t="s">
        <v>264</v>
      </c>
      <c r="BP10" t="s">
        <v>201</v>
      </c>
      <c r="BQ10" t="s">
        <v>453</v>
      </c>
      <c r="BR10" t="s">
        <v>454</v>
      </c>
      <c r="BS10" t="s">
        <v>455</v>
      </c>
      <c r="BT10" t="s">
        <v>160</v>
      </c>
      <c r="BU10" t="s">
        <v>205</v>
      </c>
      <c r="BV10" t="s">
        <v>200</v>
      </c>
      <c r="BW10" t="s">
        <v>206</v>
      </c>
      <c r="BX10" t="s">
        <v>207</v>
      </c>
      <c r="BY10" t="s">
        <v>172</v>
      </c>
      <c r="BZ10" t="s">
        <v>208</v>
      </c>
      <c r="CA10" t="s">
        <v>172</v>
      </c>
      <c r="CB10" t="s">
        <v>172</v>
      </c>
      <c r="CC10" t="s">
        <v>209</v>
      </c>
      <c r="CD10" t="s">
        <v>210</v>
      </c>
      <c r="CE10" t="s">
        <v>197</v>
      </c>
      <c r="CF10" t="s">
        <v>211</v>
      </c>
      <c r="CG10" t="s">
        <v>212</v>
      </c>
      <c r="CH10" t="s">
        <v>213</v>
      </c>
      <c r="CI10" t="s">
        <v>178</v>
      </c>
      <c r="CJ10" t="s">
        <v>206</v>
      </c>
      <c r="CK10" t="s">
        <v>214</v>
      </c>
      <c r="CL10" t="s">
        <v>214</v>
      </c>
      <c r="CM10" t="s">
        <v>214</v>
      </c>
      <c r="CN10" t="s">
        <v>172</v>
      </c>
      <c r="CO10" t="s">
        <v>215</v>
      </c>
      <c r="CP10" t="s">
        <v>172</v>
      </c>
      <c r="CQ10" t="s">
        <v>172</v>
      </c>
      <c r="CR10" t="s">
        <v>172</v>
      </c>
      <c r="CS10" t="s">
        <v>172</v>
      </c>
      <c r="CT10" t="s">
        <v>456</v>
      </c>
      <c r="CU10" t="s">
        <v>457</v>
      </c>
      <c r="CV10" t="s">
        <v>458</v>
      </c>
      <c r="CW10" t="s">
        <v>459</v>
      </c>
      <c r="CX10" t="s">
        <v>460</v>
      </c>
      <c r="CY10" t="s">
        <v>461</v>
      </c>
      <c r="CZ10" t="s">
        <v>462</v>
      </c>
      <c r="DA10" t="s">
        <v>463</v>
      </c>
      <c r="DB10" t="s">
        <v>428</v>
      </c>
      <c r="DC10" t="s">
        <v>277</v>
      </c>
      <c r="DD10" t="s">
        <v>225</v>
      </c>
      <c r="DE10" t="s">
        <v>226</v>
      </c>
      <c r="DF10" t="s">
        <v>178</v>
      </c>
      <c r="DG10" t="s">
        <v>227</v>
      </c>
      <c r="DH10" t="s">
        <v>228</v>
      </c>
      <c r="DI10" t="s">
        <v>178</v>
      </c>
      <c r="DJ10" t="s">
        <v>229</v>
      </c>
      <c r="DK10" t="s">
        <v>230</v>
      </c>
      <c r="DL10" t="s">
        <v>231</v>
      </c>
      <c r="DM10" t="s">
        <v>172</v>
      </c>
      <c r="DN10" t="s">
        <v>427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3">
      <c r="A11" t="s">
        <v>464</v>
      </c>
      <c r="B11" t="s">
        <v>465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906</v>
      </c>
      <c r="I11" t="s">
        <v>466</v>
      </c>
      <c r="J11">
        <f t="shared" si="0"/>
        <v>0.1769294162348593</v>
      </c>
      <c r="K11">
        <f t="shared" si="1"/>
        <v>2.9042299199999997</v>
      </c>
      <c r="L11">
        <f t="shared" si="2"/>
        <v>0.16676959815564849</v>
      </c>
      <c r="M11">
        <f t="shared" si="3"/>
        <v>2.5241488540961465</v>
      </c>
      <c r="N11" t="s">
        <v>467</v>
      </c>
      <c r="O11" t="s">
        <v>468</v>
      </c>
      <c r="P11">
        <f t="shared" si="4"/>
        <v>2.9645263235836623</v>
      </c>
      <c r="Q11">
        <f t="shared" si="5"/>
        <v>1.5131883235836623</v>
      </c>
      <c r="R11" t="s">
        <v>469</v>
      </c>
      <c r="S11" t="s">
        <v>470</v>
      </c>
      <c r="T11">
        <f t="shared" si="6"/>
        <v>29.012784533016852</v>
      </c>
      <c r="U11">
        <f t="shared" si="7"/>
        <v>0.4417875</v>
      </c>
      <c r="V11" t="s">
        <v>170</v>
      </c>
      <c r="W11" t="s">
        <v>471</v>
      </c>
      <c r="X11" t="s">
        <v>172</v>
      </c>
      <c r="Y11" t="s">
        <v>172</v>
      </c>
      <c r="Z11" t="s">
        <v>172</v>
      </c>
      <c r="AA11" t="s">
        <v>472</v>
      </c>
      <c r="AB11" t="s">
        <v>473</v>
      </c>
      <c r="AC11" t="s">
        <v>474</v>
      </c>
      <c r="AD11" t="s">
        <v>176</v>
      </c>
      <c r="AE11" t="s">
        <v>177</v>
      </c>
      <c r="AF11">
        <f t="shared" si="8"/>
        <v>58.084021379999996</v>
      </c>
      <c r="AG11" t="s">
        <v>178</v>
      </c>
      <c r="AH11" t="s">
        <v>475</v>
      </c>
      <c r="AI11" t="s">
        <v>476</v>
      </c>
      <c r="AJ11" t="s">
        <v>477</v>
      </c>
      <c r="AK11" t="s">
        <v>478</v>
      </c>
      <c r="AL11">
        <f t="shared" si="9"/>
        <v>23.83</v>
      </c>
      <c r="AM11" t="s">
        <v>400</v>
      </c>
      <c r="AN11" t="s">
        <v>184</v>
      </c>
      <c r="AO11" t="s">
        <v>253</v>
      </c>
      <c r="AP11" t="s">
        <v>479</v>
      </c>
      <c r="AQ11" t="s">
        <v>480</v>
      </c>
      <c r="AR11" t="s">
        <v>404</v>
      </c>
      <c r="AS11" t="s">
        <v>481</v>
      </c>
      <c r="AT11" t="s">
        <v>189</v>
      </c>
      <c r="AU11" t="s">
        <v>482</v>
      </c>
      <c r="AV11" t="s">
        <v>483</v>
      </c>
      <c r="AW11" t="s">
        <v>484</v>
      </c>
      <c r="AX11" t="s">
        <v>485</v>
      </c>
      <c r="AY11" t="s">
        <v>486</v>
      </c>
      <c r="AZ11" t="s">
        <v>445</v>
      </c>
      <c r="BA11" t="s">
        <v>446</v>
      </c>
      <c r="BB11" t="s">
        <v>447</v>
      </c>
      <c r="BC11" t="s">
        <v>487</v>
      </c>
      <c r="BD11" t="s">
        <v>162</v>
      </c>
      <c r="BE11" t="s">
        <v>488</v>
      </c>
      <c r="BF11" t="s">
        <v>489</v>
      </c>
      <c r="BG11" t="s">
        <v>490</v>
      </c>
      <c r="BH11" t="s">
        <v>385</v>
      </c>
      <c r="BI11" t="s">
        <v>491</v>
      </c>
      <c r="BJ11" t="s">
        <v>198</v>
      </c>
      <c r="BK11" t="s">
        <v>162</v>
      </c>
      <c r="BL11" t="s">
        <v>199</v>
      </c>
      <c r="BM11" t="s">
        <v>160</v>
      </c>
      <c r="BN11" t="s">
        <v>200</v>
      </c>
      <c r="BO11" t="s">
        <v>200</v>
      </c>
      <c r="BP11" t="s">
        <v>265</v>
      </c>
      <c r="BQ11" t="s">
        <v>492</v>
      </c>
      <c r="BR11" t="s">
        <v>493</v>
      </c>
      <c r="BS11" t="s">
        <v>494</v>
      </c>
      <c r="BT11" t="s">
        <v>160</v>
      </c>
      <c r="BU11" t="s">
        <v>205</v>
      </c>
      <c r="BV11" t="s">
        <v>200</v>
      </c>
      <c r="BW11" t="s">
        <v>206</v>
      </c>
      <c r="BX11" t="s">
        <v>207</v>
      </c>
      <c r="BY11" t="s">
        <v>172</v>
      </c>
      <c r="BZ11" t="s">
        <v>208</v>
      </c>
      <c r="CA11" t="s">
        <v>172</v>
      </c>
      <c r="CB11" t="s">
        <v>172</v>
      </c>
      <c r="CC11" t="s">
        <v>209</v>
      </c>
      <c r="CD11" t="s">
        <v>210</v>
      </c>
      <c r="CE11" t="s">
        <v>197</v>
      </c>
      <c r="CF11" t="s">
        <v>211</v>
      </c>
      <c r="CG11" t="s">
        <v>212</v>
      </c>
      <c r="CH11" t="s">
        <v>213</v>
      </c>
      <c r="CI11" t="s">
        <v>178</v>
      </c>
      <c r="CJ11" t="s">
        <v>206</v>
      </c>
      <c r="CK11" t="s">
        <v>214</v>
      </c>
      <c r="CL11" t="s">
        <v>214</v>
      </c>
      <c r="CM11" t="s">
        <v>214</v>
      </c>
      <c r="CN11" t="s">
        <v>172</v>
      </c>
      <c r="CO11" t="s">
        <v>215</v>
      </c>
      <c r="CP11" t="s">
        <v>172</v>
      </c>
      <c r="CQ11" t="s">
        <v>172</v>
      </c>
      <c r="CR11" t="s">
        <v>172</v>
      </c>
      <c r="CS11" t="s">
        <v>172</v>
      </c>
      <c r="CT11" t="s">
        <v>495</v>
      </c>
      <c r="CU11" t="s">
        <v>496</v>
      </c>
      <c r="CV11" t="s">
        <v>497</v>
      </c>
      <c r="CW11" t="s">
        <v>498</v>
      </c>
      <c r="CX11" t="s">
        <v>499</v>
      </c>
      <c r="CY11" t="s">
        <v>500</v>
      </c>
      <c r="CZ11" t="s">
        <v>501</v>
      </c>
      <c r="DA11" t="s">
        <v>502</v>
      </c>
      <c r="DB11" t="s">
        <v>472</v>
      </c>
      <c r="DC11" t="s">
        <v>384</v>
      </c>
      <c r="DD11" t="s">
        <v>225</v>
      </c>
      <c r="DE11" t="s">
        <v>226</v>
      </c>
      <c r="DF11" t="s">
        <v>178</v>
      </c>
      <c r="DG11" t="s">
        <v>227</v>
      </c>
      <c r="DH11" t="s">
        <v>228</v>
      </c>
      <c r="DI11" t="s">
        <v>178</v>
      </c>
      <c r="DJ11" t="s">
        <v>229</v>
      </c>
      <c r="DK11" t="s">
        <v>230</v>
      </c>
      <c r="DL11" t="s">
        <v>231</v>
      </c>
      <c r="DM11" t="s">
        <v>172</v>
      </c>
      <c r="DN11" t="s">
        <v>471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3">
      <c r="A12" t="s">
        <v>503</v>
      </c>
      <c r="B12" t="s">
        <v>504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907</v>
      </c>
      <c r="I12" t="s">
        <v>505</v>
      </c>
      <c r="J12">
        <f t="shared" si="0"/>
        <v>0.21816427261108323</v>
      </c>
      <c r="K12">
        <f t="shared" si="1"/>
        <v>2.9042299199999997</v>
      </c>
      <c r="L12">
        <f t="shared" si="2"/>
        <v>0.20292095389221207</v>
      </c>
      <c r="M12">
        <f t="shared" si="3"/>
        <v>2.9727242830828078</v>
      </c>
      <c r="N12" t="s">
        <v>506</v>
      </c>
      <c r="O12" t="s">
        <v>507</v>
      </c>
      <c r="P12">
        <f t="shared" si="4"/>
        <v>2.936116850924074</v>
      </c>
      <c r="Q12">
        <f t="shared" si="5"/>
        <v>1.464527850924074</v>
      </c>
      <c r="R12" t="s">
        <v>508</v>
      </c>
      <c r="S12" t="s">
        <v>509</v>
      </c>
      <c r="T12">
        <f t="shared" si="6"/>
        <v>28.737563383812017</v>
      </c>
      <c r="U12">
        <f t="shared" si="7"/>
        <v>0.4417875</v>
      </c>
      <c r="V12" t="s">
        <v>170</v>
      </c>
      <c r="W12" t="s">
        <v>510</v>
      </c>
      <c r="X12" t="s">
        <v>172</v>
      </c>
      <c r="Y12" t="s">
        <v>172</v>
      </c>
      <c r="Z12" t="s">
        <v>172</v>
      </c>
      <c r="AA12" t="s">
        <v>511</v>
      </c>
      <c r="AB12" t="s">
        <v>512</v>
      </c>
      <c r="AC12" t="s">
        <v>513</v>
      </c>
      <c r="AD12" t="s">
        <v>176</v>
      </c>
      <c r="AE12" t="s">
        <v>177</v>
      </c>
      <c r="AF12">
        <f t="shared" si="8"/>
        <v>63.159686519999994</v>
      </c>
      <c r="AG12" t="s">
        <v>178</v>
      </c>
      <c r="AH12" t="s">
        <v>514</v>
      </c>
      <c r="AI12" t="s">
        <v>515</v>
      </c>
      <c r="AJ12" t="s">
        <v>516</v>
      </c>
      <c r="AK12" t="s">
        <v>517</v>
      </c>
      <c r="AL12">
        <f t="shared" si="9"/>
        <v>23.67</v>
      </c>
      <c r="AM12" t="s">
        <v>183</v>
      </c>
      <c r="AN12" t="s">
        <v>184</v>
      </c>
      <c r="AO12" t="s">
        <v>518</v>
      </c>
      <c r="AP12" t="s">
        <v>519</v>
      </c>
      <c r="AQ12" t="s">
        <v>520</v>
      </c>
      <c r="AR12" t="s">
        <v>521</v>
      </c>
      <c r="AS12" t="s">
        <v>190</v>
      </c>
      <c r="AT12" t="s">
        <v>522</v>
      </c>
      <c r="AU12" t="s">
        <v>523</v>
      </c>
      <c r="AV12" t="s">
        <v>524</v>
      </c>
      <c r="AW12" t="s">
        <v>525</v>
      </c>
      <c r="AX12" t="s">
        <v>250</v>
      </c>
      <c r="AY12" t="s">
        <v>526</v>
      </c>
      <c r="AZ12" t="s">
        <v>445</v>
      </c>
      <c r="BA12" t="s">
        <v>446</v>
      </c>
      <c r="BB12" t="s">
        <v>447</v>
      </c>
      <c r="BC12" t="s">
        <v>527</v>
      </c>
      <c r="BD12" t="s">
        <v>162</v>
      </c>
      <c r="BE12" t="s">
        <v>528</v>
      </c>
      <c r="BF12" t="s">
        <v>529</v>
      </c>
      <c r="BG12" t="s">
        <v>530</v>
      </c>
      <c r="BH12" t="s">
        <v>385</v>
      </c>
      <c r="BI12" t="s">
        <v>491</v>
      </c>
      <c r="BJ12" t="s">
        <v>198</v>
      </c>
      <c r="BK12" t="s">
        <v>162</v>
      </c>
      <c r="BL12" t="s">
        <v>199</v>
      </c>
      <c r="BM12" t="s">
        <v>160</v>
      </c>
      <c r="BN12" t="s">
        <v>264</v>
      </c>
      <c r="BO12" t="s">
        <v>263</v>
      </c>
      <c r="BP12" t="s">
        <v>265</v>
      </c>
      <c r="BQ12" t="s">
        <v>531</v>
      </c>
      <c r="BR12" t="s">
        <v>532</v>
      </c>
      <c r="BS12" t="s">
        <v>533</v>
      </c>
      <c r="BT12" t="s">
        <v>160</v>
      </c>
      <c r="BU12" t="s">
        <v>205</v>
      </c>
      <c r="BV12" t="s">
        <v>200</v>
      </c>
      <c r="BW12" t="s">
        <v>206</v>
      </c>
      <c r="BX12" t="s">
        <v>207</v>
      </c>
      <c r="BY12" t="s">
        <v>172</v>
      </c>
      <c r="BZ12" t="s">
        <v>208</v>
      </c>
      <c r="CA12" t="s">
        <v>172</v>
      </c>
      <c r="CB12" t="s">
        <v>172</v>
      </c>
      <c r="CC12" t="s">
        <v>209</v>
      </c>
      <c r="CD12" t="s">
        <v>210</v>
      </c>
      <c r="CE12" t="s">
        <v>197</v>
      </c>
      <c r="CF12" t="s">
        <v>211</v>
      </c>
      <c r="CG12" t="s">
        <v>212</v>
      </c>
      <c r="CH12" t="s">
        <v>213</v>
      </c>
      <c r="CI12" t="s">
        <v>178</v>
      </c>
      <c r="CJ12" t="s">
        <v>206</v>
      </c>
      <c r="CK12" t="s">
        <v>214</v>
      </c>
      <c r="CL12" t="s">
        <v>214</v>
      </c>
      <c r="CM12" t="s">
        <v>214</v>
      </c>
      <c r="CN12" t="s">
        <v>172</v>
      </c>
      <c r="CO12" t="s">
        <v>215</v>
      </c>
      <c r="CP12" t="s">
        <v>172</v>
      </c>
      <c r="CQ12" t="s">
        <v>172</v>
      </c>
      <c r="CR12" t="s">
        <v>172</v>
      </c>
      <c r="CS12" t="s">
        <v>172</v>
      </c>
      <c r="CT12" t="s">
        <v>534</v>
      </c>
      <c r="CU12" t="s">
        <v>535</v>
      </c>
      <c r="CV12" t="s">
        <v>536</v>
      </c>
      <c r="CW12" t="s">
        <v>537</v>
      </c>
      <c r="CX12" t="s">
        <v>538</v>
      </c>
      <c r="CY12" t="s">
        <v>539</v>
      </c>
      <c r="CZ12" t="s">
        <v>540</v>
      </c>
      <c r="DA12" t="s">
        <v>541</v>
      </c>
      <c r="DB12" t="s">
        <v>511</v>
      </c>
      <c r="DC12" t="s">
        <v>542</v>
      </c>
      <c r="DD12" t="s">
        <v>225</v>
      </c>
      <c r="DE12" t="s">
        <v>226</v>
      </c>
      <c r="DF12" t="s">
        <v>178</v>
      </c>
      <c r="DG12" t="s">
        <v>227</v>
      </c>
      <c r="DH12" t="s">
        <v>228</v>
      </c>
      <c r="DI12" t="s">
        <v>178</v>
      </c>
      <c r="DJ12" t="s">
        <v>229</v>
      </c>
      <c r="DK12" t="s">
        <v>230</v>
      </c>
      <c r="DL12" t="s">
        <v>231</v>
      </c>
      <c r="DM12" t="s">
        <v>172</v>
      </c>
      <c r="DN12" t="s">
        <v>510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3">
      <c r="A13" t="s">
        <v>543</v>
      </c>
      <c r="B13" t="s">
        <v>544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908</v>
      </c>
      <c r="I13" t="s">
        <v>545</v>
      </c>
      <c r="J13">
        <f t="shared" si="0"/>
        <v>0.3562889455326827</v>
      </c>
      <c r="K13">
        <f t="shared" si="1"/>
        <v>2.9050319999999994</v>
      </c>
      <c r="L13">
        <f t="shared" si="2"/>
        <v>0.31736551087879677</v>
      </c>
      <c r="M13">
        <f t="shared" si="3"/>
        <v>4.3397812229201493</v>
      </c>
      <c r="N13" t="s">
        <v>546</v>
      </c>
      <c r="O13" t="s">
        <v>547</v>
      </c>
      <c r="P13">
        <f t="shared" si="4"/>
        <v>2.8730645040931364</v>
      </c>
      <c r="Q13">
        <f t="shared" si="5"/>
        <v>1.3671475040931365</v>
      </c>
      <c r="R13" t="s">
        <v>548</v>
      </c>
      <c r="S13" t="s">
        <v>549</v>
      </c>
      <c r="T13">
        <f t="shared" si="6"/>
        <v>28.12043167361394</v>
      </c>
      <c r="U13">
        <f t="shared" si="7"/>
        <v>0.4417875</v>
      </c>
      <c r="V13" t="s">
        <v>170</v>
      </c>
      <c r="W13" t="s">
        <v>550</v>
      </c>
      <c r="X13" t="s">
        <v>172</v>
      </c>
      <c r="Y13" t="s">
        <v>172</v>
      </c>
      <c r="Z13" t="s">
        <v>172</v>
      </c>
      <c r="AA13" t="s">
        <v>551</v>
      </c>
      <c r="AB13" t="s">
        <v>552</v>
      </c>
      <c r="AC13" t="s">
        <v>553</v>
      </c>
      <c r="AD13" t="s">
        <v>176</v>
      </c>
      <c r="AE13" t="s">
        <v>177</v>
      </c>
      <c r="AF13">
        <f t="shared" si="8"/>
        <v>62.776438200000001</v>
      </c>
      <c r="AG13" t="s">
        <v>178</v>
      </c>
      <c r="AH13" t="s">
        <v>554</v>
      </c>
      <c r="AI13" t="s">
        <v>555</v>
      </c>
      <c r="AJ13" t="s">
        <v>556</v>
      </c>
      <c r="AK13" t="s">
        <v>557</v>
      </c>
      <c r="AL13">
        <f t="shared" si="9"/>
        <v>23.31</v>
      </c>
      <c r="AM13" t="s">
        <v>183</v>
      </c>
      <c r="AN13" t="s">
        <v>253</v>
      </c>
      <c r="AO13" t="s">
        <v>558</v>
      </c>
      <c r="AP13" t="s">
        <v>559</v>
      </c>
      <c r="AQ13" t="s">
        <v>560</v>
      </c>
      <c r="AR13" t="s">
        <v>561</v>
      </c>
      <c r="AS13" t="s">
        <v>259</v>
      </c>
      <c r="AT13" t="s">
        <v>562</v>
      </c>
      <c r="AU13" t="s">
        <v>563</v>
      </c>
      <c r="AV13" t="s">
        <v>564</v>
      </c>
      <c r="AW13" t="s">
        <v>565</v>
      </c>
      <c r="AX13" t="s">
        <v>566</v>
      </c>
      <c r="AY13" t="s">
        <v>567</v>
      </c>
      <c r="AZ13" t="s">
        <v>445</v>
      </c>
      <c r="BA13" t="s">
        <v>568</v>
      </c>
      <c r="BB13" t="s">
        <v>569</v>
      </c>
      <c r="BC13" t="s">
        <v>570</v>
      </c>
      <c r="BD13" t="s">
        <v>162</v>
      </c>
      <c r="BE13" t="s">
        <v>571</v>
      </c>
      <c r="BF13" t="s">
        <v>572</v>
      </c>
      <c r="BG13" t="s">
        <v>573</v>
      </c>
      <c r="BH13" t="s">
        <v>420</v>
      </c>
      <c r="BI13" t="s">
        <v>574</v>
      </c>
      <c r="BJ13" t="s">
        <v>198</v>
      </c>
      <c r="BK13" t="s">
        <v>162</v>
      </c>
      <c r="BL13" t="s">
        <v>199</v>
      </c>
      <c r="BM13" t="s">
        <v>160</v>
      </c>
      <c r="BN13" t="s">
        <v>263</v>
      </c>
      <c r="BO13" t="s">
        <v>263</v>
      </c>
      <c r="BP13" t="s">
        <v>264</v>
      </c>
      <c r="BQ13" t="s">
        <v>575</v>
      </c>
      <c r="BR13" t="s">
        <v>576</v>
      </c>
      <c r="BS13" t="s">
        <v>577</v>
      </c>
      <c r="BT13" t="s">
        <v>160</v>
      </c>
      <c r="BU13" t="s">
        <v>205</v>
      </c>
      <c r="BV13" t="s">
        <v>200</v>
      </c>
      <c r="BW13" t="s">
        <v>206</v>
      </c>
      <c r="BX13" t="s">
        <v>207</v>
      </c>
      <c r="BY13" t="s">
        <v>172</v>
      </c>
      <c r="BZ13" t="s">
        <v>208</v>
      </c>
      <c r="CA13" t="s">
        <v>172</v>
      </c>
      <c r="CB13" t="s">
        <v>172</v>
      </c>
      <c r="CC13" t="s">
        <v>209</v>
      </c>
      <c r="CD13" t="s">
        <v>210</v>
      </c>
      <c r="CE13" t="s">
        <v>197</v>
      </c>
      <c r="CF13" t="s">
        <v>211</v>
      </c>
      <c r="CG13" t="s">
        <v>212</v>
      </c>
      <c r="CH13" t="s">
        <v>213</v>
      </c>
      <c r="CI13" t="s">
        <v>178</v>
      </c>
      <c r="CJ13" t="s">
        <v>206</v>
      </c>
      <c r="CK13" t="s">
        <v>214</v>
      </c>
      <c r="CL13" t="s">
        <v>214</v>
      </c>
      <c r="CM13" t="s">
        <v>214</v>
      </c>
      <c r="CN13" t="s">
        <v>172</v>
      </c>
      <c r="CO13" t="s">
        <v>215</v>
      </c>
      <c r="CP13" t="s">
        <v>172</v>
      </c>
      <c r="CQ13" t="s">
        <v>172</v>
      </c>
      <c r="CR13" t="s">
        <v>172</v>
      </c>
      <c r="CS13" t="s">
        <v>172</v>
      </c>
      <c r="CT13" t="s">
        <v>578</v>
      </c>
      <c r="CU13" t="s">
        <v>579</v>
      </c>
      <c r="CV13" t="s">
        <v>580</v>
      </c>
      <c r="CW13" t="s">
        <v>581</v>
      </c>
      <c r="CX13" t="s">
        <v>582</v>
      </c>
      <c r="CY13" t="s">
        <v>583</v>
      </c>
      <c r="CZ13" t="s">
        <v>584</v>
      </c>
      <c r="DA13" t="s">
        <v>585</v>
      </c>
      <c r="DB13" t="s">
        <v>551</v>
      </c>
      <c r="DC13" t="s">
        <v>586</v>
      </c>
      <c r="DD13" t="s">
        <v>225</v>
      </c>
      <c r="DE13" t="s">
        <v>226</v>
      </c>
      <c r="DF13" t="s">
        <v>178</v>
      </c>
      <c r="DG13" t="s">
        <v>227</v>
      </c>
      <c r="DH13" t="s">
        <v>228</v>
      </c>
      <c r="DI13" t="s">
        <v>178</v>
      </c>
      <c r="DJ13" t="s">
        <v>229</v>
      </c>
      <c r="DK13" t="s">
        <v>230</v>
      </c>
      <c r="DL13" t="s">
        <v>231</v>
      </c>
      <c r="DM13" t="s">
        <v>172</v>
      </c>
      <c r="DN13" t="s">
        <v>550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3">
      <c r="A14" t="s">
        <v>587</v>
      </c>
      <c r="B14" t="s">
        <v>588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909</v>
      </c>
      <c r="I14" t="s">
        <v>589</v>
      </c>
      <c r="J14">
        <f t="shared" si="0"/>
        <v>6.178875245753189E-2</v>
      </c>
      <c r="K14">
        <f t="shared" si="1"/>
        <v>2.9050319999999994</v>
      </c>
      <c r="L14">
        <f t="shared" si="2"/>
        <v>6.0501903588386127E-2</v>
      </c>
      <c r="M14">
        <f t="shared" si="3"/>
        <v>1.1974644770284479</v>
      </c>
      <c r="N14" t="s">
        <v>590</v>
      </c>
      <c r="O14" t="s">
        <v>591</v>
      </c>
      <c r="P14">
        <f t="shared" si="4"/>
        <v>3.3742584387997652</v>
      </c>
      <c r="Q14">
        <f t="shared" si="5"/>
        <v>1.9751814387997653</v>
      </c>
      <c r="R14" t="s">
        <v>592</v>
      </c>
      <c r="S14" t="s">
        <v>593</v>
      </c>
      <c r="T14">
        <f t="shared" si="6"/>
        <v>33.022689751416763</v>
      </c>
      <c r="U14">
        <f t="shared" si="7"/>
        <v>0.4417875</v>
      </c>
      <c r="V14" t="s">
        <v>170</v>
      </c>
      <c r="W14" t="s">
        <v>594</v>
      </c>
      <c r="X14" t="s">
        <v>172</v>
      </c>
      <c r="Y14" t="s">
        <v>172</v>
      </c>
      <c r="Z14" t="s">
        <v>172</v>
      </c>
      <c r="AA14" t="s">
        <v>595</v>
      </c>
      <c r="AB14" t="s">
        <v>596</v>
      </c>
      <c r="AC14" t="s">
        <v>597</v>
      </c>
      <c r="AD14" t="s">
        <v>176</v>
      </c>
      <c r="AE14" t="s">
        <v>177</v>
      </c>
      <c r="AF14">
        <f t="shared" si="8"/>
        <v>135.27685080000001</v>
      </c>
      <c r="AG14" t="s">
        <v>178</v>
      </c>
      <c r="AH14" t="s">
        <v>598</v>
      </c>
      <c r="AI14" t="s">
        <v>599</v>
      </c>
      <c r="AJ14" t="s">
        <v>600</v>
      </c>
      <c r="AK14" t="s">
        <v>601</v>
      </c>
      <c r="AL14">
        <f t="shared" si="9"/>
        <v>26</v>
      </c>
      <c r="AM14" t="s">
        <v>400</v>
      </c>
      <c r="AN14" t="s">
        <v>253</v>
      </c>
      <c r="AO14" t="s">
        <v>401</v>
      </c>
      <c r="AP14" t="s">
        <v>479</v>
      </c>
      <c r="AQ14" t="s">
        <v>602</v>
      </c>
      <c r="AR14" t="s">
        <v>603</v>
      </c>
      <c r="AS14" t="s">
        <v>297</v>
      </c>
      <c r="AT14" t="s">
        <v>604</v>
      </c>
      <c r="AU14" t="s">
        <v>440</v>
      </c>
      <c r="AV14" t="s">
        <v>605</v>
      </c>
      <c r="AW14" t="s">
        <v>606</v>
      </c>
      <c r="AX14" t="s">
        <v>607</v>
      </c>
      <c r="AY14" t="s">
        <v>608</v>
      </c>
      <c r="AZ14" t="s">
        <v>445</v>
      </c>
      <c r="BA14" t="s">
        <v>568</v>
      </c>
      <c r="BB14" t="s">
        <v>569</v>
      </c>
      <c r="BC14" t="s">
        <v>609</v>
      </c>
      <c r="BD14" t="s">
        <v>162</v>
      </c>
      <c r="BE14" t="s">
        <v>571</v>
      </c>
      <c r="BF14" t="s">
        <v>610</v>
      </c>
      <c r="BG14" t="s">
        <v>573</v>
      </c>
      <c r="BH14" t="s">
        <v>503</v>
      </c>
      <c r="BI14" t="s">
        <v>611</v>
      </c>
      <c r="BJ14" t="s">
        <v>198</v>
      </c>
      <c r="BK14" t="s">
        <v>162</v>
      </c>
      <c r="BL14" t="s">
        <v>199</v>
      </c>
      <c r="BM14" t="s">
        <v>160</v>
      </c>
      <c r="BN14" t="s">
        <v>200</v>
      </c>
      <c r="BO14" t="s">
        <v>612</v>
      </c>
      <c r="BP14" t="s">
        <v>613</v>
      </c>
      <c r="BQ14" t="s">
        <v>614</v>
      </c>
      <c r="BR14" t="s">
        <v>615</v>
      </c>
      <c r="BS14" t="s">
        <v>616</v>
      </c>
      <c r="BT14" t="s">
        <v>160</v>
      </c>
      <c r="BU14" t="s">
        <v>205</v>
      </c>
      <c r="BV14" t="s">
        <v>200</v>
      </c>
      <c r="BW14" t="s">
        <v>206</v>
      </c>
      <c r="BX14" t="s">
        <v>207</v>
      </c>
      <c r="BY14" t="s">
        <v>172</v>
      </c>
      <c r="BZ14" t="s">
        <v>208</v>
      </c>
      <c r="CA14" t="s">
        <v>172</v>
      </c>
      <c r="CB14" t="s">
        <v>172</v>
      </c>
      <c r="CC14" t="s">
        <v>209</v>
      </c>
      <c r="CD14" t="s">
        <v>210</v>
      </c>
      <c r="CE14" t="s">
        <v>197</v>
      </c>
      <c r="CF14" t="s">
        <v>211</v>
      </c>
      <c r="CG14" t="s">
        <v>212</v>
      </c>
      <c r="CH14" t="s">
        <v>213</v>
      </c>
      <c r="CI14" t="s">
        <v>178</v>
      </c>
      <c r="CJ14" t="s">
        <v>206</v>
      </c>
      <c r="CK14" t="s">
        <v>214</v>
      </c>
      <c r="CL14" t="s">
        <v>214</v>
      </c>
      <c r="CM14" t="s">
        <v>214</v>
      </c>
      <c r="CN14" t="s">
        <v>172</v>
      </c>
      <c r="CO14" t="s">
        <v>215</v>
      </c>
      <c r="CP14" t="s">
        <v>172</v>
      </c>
      <c r="CQ14" t="s">
        <v>172</v>
      </c>
      <c r="CR14" t="s">
        <v>172</v>
      </c>
      <c r="CS14" t="s">
        <v>172</v>
      </c>
      <c r="CT14" t="s">
        <v>617</v>
      </c>
      <c r="CU14" t="s">
        <v>618</v>
      </c>
      <c r="CV14" t="s">
        <v>619</v>
      </c>
      <c r="CW14" t="s">
        <v>620</v>
      </c>
      <c r="CX14" t="s">
        <v>621</v>
      </c>
      <c r="CY14" t="s">
        <v>622</v>
      </c>
      <c r="CZ14" t="s">
        <v>623</v>
      </c>
      <c r="DA14" t="s">
        <v>624</v>
      </c>
      <c r="DB14" t="s">
        <v>595</v>
      </c>
      <c r="DC14" t="s">
        <v>384</v>
      </c>
      <c r="DD14" t="s">
        <v>225</v>
      </c>
      <c r="DE14" t="s">
        <v>226</v>
      </c>
      <c r="DF14" t="s">
        <v>178</v>
      </c>
      <c r="DG14" t="s">
        <v>227</v>
      </c>
      <c r="DH14" t="s">
        <v>228</v>
      </c>
      <c r="DI14" t="s">
        <v>178</v>
      </c>
      <c r="DJ14" t="s">
        <v>229</v>
      </c>
      <c r="DK14" t="s">
        <v>230</v>
      </c>
      <c r="DL14" t="s">
        <v>231</v>
      </c>
      <c r="DM14" t="s">
        <v>172</v>
      </c>
      <c r="DN14" t="s">
        <v>594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3">
      <c r="A15" t="s">
        <v>625</v>
      </c>
      <c r="B15" t="s">
        <v>626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910</v>
      </c>
      <c r="I15" t="s">
        <v>627</v>
      </c>
      <c r="J15">
        <f t="shared" si="0"/>
        <v>0.2013505511851828</v>
      </c>
      <c r="K15">
        <f t="shared" si="1"/>
        <v>2.9058327199999998</v>
      </c>
      <c r="L15">
        <f t="shared" si="2"/>
        <v>0.18830270658633078</v>
      </c>
      <c r="M15">
        <f t="shared" si="3"/>
        <v>2.8629717594838247</v>
      </c>
      <c r="N15" t="s">
        <v>628</v>
      </c>
      <c r="O15" t="s">
        <v>629</v>
      </c>
      <c r="P15">
        <f t="shared" si="4"/>
        <v>2.9698797754156532</v>
      </c>
      <c r="Q15">
        <f t="shared" si="5"/>
        <v>1.5197657754156533</v>
      </c>
      <c r="R15" t="s">
        <v>630</v>
      </c>
      <c r="S15" t="s">
        <v>631</v>
      </c>
      <c r="T15">
        <f t="shared" si="6"/>
        <v>29.068021683621936</v>
      </c>
      <c r="U15">
        <f t="shared" si="7"/>
        <v>0.4417875</v>
      </c>
      <c r="V15" t="s">
        <v>170</v>
      </c>
      <c r="W15" t="s">
        <v>632</v>
      </c>
      <c r="X15" t="s">
        <v>172</v>
      </c>
      <c r="Y15" t="s">
        <v>172</v>
      </c>
      <c r="Z15" t="s">
        <v>172</v>
      </c>
      <c r="AA15" t="s">
        <v>633</v>
      </c>
      <c r="AB15" t="s">
        <v>634</v>
      </c>
      <c r="AC15" t="s">
        <v>635</v>
      </c>
      <c r="AD15" t="s">
        <v>176</v>
      </c>
      <c r="AE15" t="s">
        <v>177</v>
      </c>
      <c r="AF15">
        <f t="shared" si="8"/>
        <v>63.520533299999997</v>
      </c>
      <c r="AG15" t="s">
        <v>178</v>
      </c>
      <c r="AH15" t="s">
        <v>636</v>
      </c>
      <c r="AI15" t="s">
        <v>637</v>
      </c>
      <c r="AJ15" t="s">
        <v>638</v>
      </c>
      <c r="AK15" t="s">
        <v>639</v>
      </c>
      <c r="AL15">
        <f t="shared" si="9"/>
        <v>23.86</v>
      </c>
      <c r="AM15" t="s">
        <v>183</v>
      </c>
      <c r="AN15" t="s">
        <v>401</v>
      </c>
      <c r="AO15" t="s">
        <v>640</v>
      </c>
      <c r="AP15" t="s">
        <v>641</v>
      </c>
      <c r="AQ15" t="s">
        <v>642</v>
      </c>
      <c r="AR15" t="s">
        <v>643</v>
      </c>
      <c r="AS15" t="s">
        <v>644</v>
      </c>
      <c r="AT15" t="s">
        <v>645</v>
      </c>
      <c r="AU15" t="s">
        <v>646</v>
      </c>
      <c r="AV15" t="s">
        <v>647</v>
      </c>
      <c r="AW15" t="s">
        <v>648</v>
      </c>
      <c r="AX15" t="s">
        <v>649</v>
      </c>
      <c r="AY15" t="s">
        <v>650</v>
      </c>
      <c r="AZ15" t="s">
        <v>445</v>
      </c>
      <c r="BA15" t="s">
        <v>651</v>
      </c>
      <c r="BB15" t="s">
        <v>652</v>
      </c>
      <c r="BC15" t="s">
        <v>653</v>
      </c>
      <c r="BD15" t="s">
        <v>162</v>
      </c>
      <c r="BE15" t="s">
        <v>654</v>
      </c>
      <c r="BF15" t="s">
        <v>655</v>
      </c>
      <c r="BG15" t="s">
        <v>656</v>
      </c>
      <c r="BH15" t="s">
        <v>543</v>
      </c>
      <c r="BI15" t="s">
        <v>657</v>
      </c>
      <c r="BJ15" t="s">
        <v>198</v>
      </c>
      <c r="BK15" t="s">
        <v>162</v>
      </c>
      <c r="BL15" t="s">
        <v>199</v>
      </c>
      <c r="BM15" t="s">
        <v>160</v>
      </c>
      <c r="BN15" t="s">
        <v>264</v>
      </c>
      <c r="BO15" t="s">
        <v>264</v>
      </c>
      <c r="BP15" t="s">
        <v>201</v>
      </c>
      <c r="BQ15" t="s">
        <v>658</v>
      </c>
      <c r="BR15" t="s">
        <v>659</v>
      </c>
      <c r="BS15" t="s">
        <v>660</v>
      </c>
      <c r="BT15" t="s">
        <v>160</v>
      </c>
      <c r="BU15" t="s">
        <v>205</v>
      </c>
      <c r="BV15" t="s">
        <v>200</v>
      </c>
      <c r="BW15" t="s">
        <v>206</v>
      </c>
      <c r="BX15" t="s">
        <v>207</v>
      </c>
      <c r="BY15" t="s">
        <v>172</v>
      </c>
      <c r="BZ15" t="s">
        <v>208</v>
      </c>
      <c r="CA15" t="s">
        <v>172</v>
      </c>
      <c r="CB15" t="s">
        <v>172</v>
      </c>
      <c r="CC15" t="s">
        <v>209</v>
      </c>
      <c r="CD15" t="s">
        <v>210</v>
      </c>
      <c r="CE15" t="s">
        <v>197</v>
      </c>
      <c r="CF15" t="s">
        <v>211</v>
      </c>
      <c r="CG15" t="s">
        <v>212</v>
      </c>
      <c r="CH15" t="s">
        <v>213</v>
      </c>
      <c r="CI15" t="s">
        <v>178</v>
      </c>
      <c r="CJ15" t="s">
        <v>206</v>
      </c>
      <c r="CK15" t="s">
        <v>214</v>
      </c>
      <c r="CL15" t="s">
        <v>214</v>
      </c>
      <c r="CM15" t="s">
        <v>214</v>
      </c>
      <c r="CN15" t="s">
        <v>172</v>
      </c>
      <c r="CO15" t="s">
        <v>215</v>
      </c>
      <c r="CP15" t="s">
        <v>172</v>
      </c>
      <c r="CQ15" t="s">
        <v>172</v>
      </c>
      <c r="CR15" t="s">
        <v>172</v>
      </c>
      <c r="CS15" t="s">
        <v>172</v>
      </c>
      <c r="CT15" t="s">
        <v>661</v>
      </c>
      <c r="CU15" t="s">
        <v>662</v>
      </c>
      <c r="CV15" t="s">
        <v>663</v>
      </c>
      <c r="CW15" t="s">
        <v>664</v>
      </c>
      <c r="CX15" t="s">
        <v>665</v>
      </c>
      <c r="CY15" t="s">
        <v>666</v>
      </c>
      <c r="CZ15" t="s">
        <v>667</v>
      </c>
      <c r="DA15" t="s">
        <v>668</v>
      </c>
      <c r="DB15" t="s">
        <v>633</v>
      </c>
      <c r="DC15" t="s">
        <v>384</v>
      </c>
      <c r="DD15" t="s">
        <v>225</v>
      </c>
      <c r="DE15" t="s">
        <v>226</v>
      </c>
      <c r="DF15" t="s">
        <v>178</v>
      </c>
      <c r="DG15" t="s">
        <v>227</v>
      </c>
      <c r="DH15" t="s">
        <v>228</v>
      </c>
      <c r="DI15" t="s">
        <v>178</v>
      </c>
      <c r="DJ15" t="s">
        <v>229</v>
      </c>
      <c r="DK15" t="s">
        <v>230</v>
      </c>
      <c r="DL15" t="s">
        <v>231</v>
      </c>
      <c r="DM15" t="s">
        <v>172</v>
      </c>
      <c r="DN15" t="s">
        <v>632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3">
      <c r="A16" t="s">
        <v>562</v>
      </c>
      <c r="B16" t="s">
        <v>669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911</v>
      </c>
      <c r="I16" t="s">
        <v>670</v>
      </c>
      <c r="J16">
        <f t="shared" si="0"/>
        <v>0.26113258417756458</v>
      </c>
      <c r="K16">
        <f t="shared" si="1"/>
        <v>2.9042299199999997</v>
      </c>
      <c r="L16">
        <f t="shared" si="2"/>
        <v>0.23958995630184507</v>
      </c>
      <c r="M16">
        <f t="shared" si="3"/>
        <v>3.4547751199672887</v>
      </c>
      <c r="N16" t="s">
        <v>671</v>
      </c>
      <c r="O16" t="s">
        <v>672</v>
      </c>
      <c r="P16">
        <f t="shared" si="4"/>
        <v>2.9132097525157632</v>
      </c>
      <c r="Q16">
        <f t="shared" si="5"/>
        <v>1.4415977525157633</v>
      </c>
      <c r="R16" t="s">
        <v>673</v>
      </c>
      <c r="S16" t="s">
        <v>674</v>
      </c>
      <c r="T16">
        <f t="shared" si="6"/>
        <v>28.513357663852041</v>
      </c>
      <c r="U16">
        <f t="shared" si="7"/>
        <v>0.4417875</v>
      </c>
      <c r="V16" t="s">
        <v>170</v>
      </c>
      <c r="W16" t="s">
        <v>675</v>
      </c>
      <c r="X16" t="s">
        <v>172</v>
      </c>
      <c r="Y16" t="s">
        <v>172</v>
      </c>
      <c r="Z16" t="s">
        <v>172</v>
      </c>
      <c r="AA16" t="s">
        <v>676</v>
      </c>
      <c r="AB16" t="s">
        <v>677</v>
      </c>
      <c r="AC16" t="s">
        <v>678</v>
      </c>
      <c r="AD16" t="s">
        <v>176</v>
      </c>
      <c r="AE16" t="s">
        <v>177</v>
      </c>
      <c r="AF16">
        <f t="shared" si="8"/>
        <v>68.671827000000008</v>
      </c>
      <c r="AG16" t="s">
        <v>178</v>
      </c>
      <c r="AH16" t="s">
        <v>679</v>
      </c>
      <c r="AI16" t="s">
        <v>680</v>
      </c>
      <c r="AJ16" t="s">
        <v>681</v>
      </c>
      <c r="AK16" t="s">
        <v>682</v>
      </c>
      <c r="AL16">
        <f t="shared" si="9"/>
        <v>23.54</v>
      </c>
      <c r="AM16" t="s">
        <v>183</v>
      </c>
      <c r="AN16" t="s">
        <v>184</v>
      </c>
      <c r="AO16" t="s">
        <v>683</v>
      </c>
      <c r="AP16" t="s">
        <v>684</v>
      </c>
      <c r="AQ16" t="s">
        <v>685</v>
      </c>
      <c r="AR16" t="s">
        <v>686</v>
      </c>
      <c r="AS16" t="s">
        <v>190</v>
      </c>
      <c r="AT16" t="s">
        <v>645</v>
      </c>
      <c r="AU16" t="s">
        <v>687</v>
      </c>
      <c r="AV16" t="s">
        <v>688</v>
      </c>
      <c r="AW16" t="s">
        <v>689</v>
      </c>
      <c r="AX16" t="s">
        <v>690</v>
      </c>
      <c r="AY16" t="s">
        <v>691</v>
      </c>
      <c r="AZ16" t="s">
        <v>445</v>
      </c>
      <c r="BA16" t="s">
        <v>651</v>
      </c>
      <c r="BB16" t="s">
        <v>652</v>
      </c>
      <c r="BC16" t="s">
        <v>692</v>
      </c>
      <c r="BD16" t="s">
        <v>162</v>
      </c>
      <c r="BE16" t="s">
        <v>571</v>
      </c>
      <c r="BF16" t="s">
        <v>529</v>
      </c>
      <c r="BG16" t="s">
        <v>693</v>
      </c>
      <c r="BH16" t="s">
        <v>503</v>
      </c>
      <c r="BI16" t="s">
        <v>657</v>
      </c>
      <c r="BJ16" t="s">
        <v>198</v>
      </c>
      <c r="BK16" t="s">
        <v>162</v>
      </c>
      <c r="BL16" t="s">
        <v>199</v>
      </c>
      <c r="BM16" t="s">
        <v>160</v>
      </c>
      <c r="BN16" t="s">
        <v>200</v>
      </c>
      <c r="BO16" t="s">
        <v>263</v>
      </c>
      <c r="BP16" t="s">
        <v>201</v>
      </c>
      <c r="BQ16" t="s">
        <v>694</v>
      </c>
      <c r="BR16" t="s">
        <v>695</v>
      </c>
      <c r="BS16" t="s">
        <v>696</v>
      </c>
      <c r="BT16" t="s">
        <v>160</v>
      </c>
      <c r="BU16" t="s">
        <v>205</v>
      </c>
      <c r="BV16" t="s">
        <v>200</v>
      </c>
      <c r="BW16" t="s">
        <v>206</v>
      </c>
      <c r="BX16" t="s">
        <v>207</v>
      </c>
      <c r="BY16" t="s">
        <v>172</v>
      </c>
      <c r="BZ16" t="s">
        <v>208</v>
      </c>
      <c r="CA16" t="s">
        <v>172</v>
      </c>
      <c r="CB16" t="s">
        <v>172</v>
      </c>
      <c r="CC16" t="s">
        <v>209</v>
      </c>
      <c r="CD16" t="s">
        <v>210</v>
      </c>
      <c r="CE16" t="s">
        <v>197</v>
      </c>
      <c r="CF16" t="s">
        <v>211</v>
      </c>
      <c r="CG16" t="s">
        <v>212</v>
      </c>
      <c r="CH16" t="s">
        <v>213</v>
      </c>
      <c r="CI16" t="s">
        <v>178</v>
      </c>
      <c r="CJ16" t="s">
        <v>206</v>
      </c>
      <c r="CK16" t="s">
        <v>214</v>
      </c>
      <c r="CL16" t="s">
        <v>214</v>
      </c>
      <c r="CM16" t="s">
        <v>214</v>
      </c>
      <c r="CN16" t="s">
        <v>172</v>
      </c>
      <c r="CO16" t="s">
        <v>215</v>
      </c>
      <c r="CP16" t="s">
        <v>172</v>
      </c>
      <c r="CQ16" t="s">
        <v>172</v>
      </c>
      <c r="CR16" t="s">
        <v>172</v>
      </c>
      <c r="CS16" t="s">
        <v>172</v>
      </c>
      <c r="CT16" t="s">
        <v>697</v>
      </c>
      <c r="CU16" t="s">
        <v>698</v>
      </c>
      <c r="CV16" t="s">
        <v>699</v>
      </c>
      <c r="CW16" t="s">
        <v>700</v>
      </c>
      <c r="CX16" t="s">
        <v>701</v>
      </c>
      <c r="CY16" t="s">
        <v>702</v>
      </c>
      <c r="CZ16" t="s">
        <v>703</v>
      </c>
      <c r="DA16" t="s">
        <v>704</v>
      </c>
      <c r="DB16" t="s">
        <v>676</v>
      </c>
      <c r="DC16" t="s">
        <v>542</v>
      </c>
      <c r="DD16" t="s">
        <v>225</v>
      </c>
      <c r="DE16" t="s">
        <v>226</v>
      </c>
      <c r="DF16" t="s">
        <v>178</v>
      </c>
      <c r="DG16" t="s">
        <v>227</v>
      </c>
      <c r="DH16" t="s">
        <v>228</v>
      </c>
      <c r="DI16" t="s">
        <v>178</v>
      </c>
      <c r="DJ16" t="s">
        <v>229</v>
      </c>
      <c r="DK16" t="s">
        <v>230</v>
      </c>
      <c r="DL16" t="s">
        <v>231</v>
      </c>
      <c r="DM16" t="s">
        <v>172</v>
      </c>
      <c r="DN16" t="s">
        <v>675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3">
      <c r="A17" t="s">
        <v>705</v>
      </c>
      <c r="B17" t="s">
        <v>706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912</v>
      </c>
      <c r="I17" t="s">
        <v>707</v>
      </c>
      <c r="J17">
        <f t="shared" si="0"/>
        <v>0.23826875104007178</v>
      </c>
      <c r="K17">
        <f t="shared" si="1"/>
        <v>2.9050319999999994</v>
      </c>
      <c r="L17">
        <f t="shared" si="2"/>
        <v>0.22020748289593675</v>
      </c>
      <c r="M17">
        <f t="shared" si="3"/>
        <v>3.2326666130225075</v>
      </c>
      <c r="N17" t="s">
        <v>708</v>
      </c>
      <c r="O17" t="s">
        <v>709</v>
      </c>
      <c r="P17">
        <f t="shared" si="4"/>
        <v>2.9044410386912718</v>
      </c>
      <c r="Q17">
        <f t="shared" si="5"/>
        <v>1.4683650386912719</v>
      </c>
      <c r="R17" t="s">
        <v>710</v>
      </c>
      <c r="S17" t="s">
        <v>711</v>
      </c>
      <c r="T17">
        <f t="shared" si="6"/>
        <v>28.421969260116175</v>
      </c>
      <c r="U17">
        <f t="shared" si="7"/>
        <v>0.4417875</v>
      </c>
      <c r="V17" t="s">
        <v>170</v>
      </c>
      <c r="W17" t="s">
        <v>712</v>
      </c>
      <c r="X17" t="s">
        <v>172</v>
      </c>
      <c r="Y17" t="s">
        <v>172</v>
      </c>
      <c r="Z17" t="s">
        <v>172</v>
      </c>
      <c r="AA17" t="s">
        <v>713</v>
      </c>
      <c r="AB17" t="s">
        <v>714</v>
      </c>
      <c r="AC17" t="s">
        <v>715</v>
      </c>
      <c r="AD17" t="s">
        <v>176</v>
      </c>
      <c r="AE17" t="s">
        <v>177</v>
      </c>
      <c r="AF17">
        <f t="shared" si="8"/>
        <v>100.23595176000001</v>
      </c>
      <c r="AG17" t="s">
        <v>178</v>
      </c>
      <c r="AH17" t="s">
        <v>716</v>
      </c>
      <c r="AI17" t="s">
        <v>717</v>
      </c>
      <c r="AJ17" t="s">
        <v>718</v>
      </c>
      <c r="AK17" t="s">
        <v>719</v>
      </c>
      <c r="AL17">
        <f t="shared" si="9"/>
        <v>23.49</v>
      </c>
      <c r="AM17" t="s">
        <v>720</v>
      </c>
      <c r="AN17" t="s">
        <v>253</v>
      </c>
      <c r="AO17" t="s">
        <v>254</v>
      </c>
      <c r="AP17" t="s">
        <v>255</v>
      </c>
      <c r="AQ17" t="s">
        <v>721</v>
      </c>
      <c r="AR17" t="s">
        <v>722</v>
      </c>
      <c r="AS17" t="s">
        <v>723</v>
      </c>
      <c r="AT17" t="s">
        <v>503</v>
      </c>
      <c r="AU17" t="s">
        <v>724</v>
      </c>
      <c r="AV17" t="s">
        <v>725</v>
      </c>
      <c r="AW17" t="s">
        <v>726</v>
      </c>
      <c r="AX17" t="s">
        <v>727</v>
      </c>
      <c r="AY17" t="s">
        <v>728</v>
      </c>
      <c r="AZ17" t="s">
        <v>445</v>
      </c>
      <c r="BA17" t="s">
        <v>729</v>
      </c>
      <c r="BB17" t="s">
        <v>730</v>
      </c>
      <c r="BC17" t="s">
        <v>731</v>
      </c>
      <c r="BD17" t="s">
        <v>162</v>
      </c>
      <c r="BE17" t="s">
        <v>732</v>
      </c>
      <c r="BF17" t="s">
        <v>529</v>
      </c>
      <c r="BG17" t="s">
        <v>733</v>
      </c>
      <c r="BH17" t="s">
        <v>587</v>
      </c>
      <c r="BI17" t="s">
        <v>734</v>
      </c>
      <c r="BJ17" t="s">
        <v>198</v>
      </c>
      <c r="BK17" t="s">
        <v>162</v>
      </c>
      <c r="BL17" t="s">
        <v>199</v>
      </c>
      <c r="BM17" t="s">
        <v>160</v>
      </c>
      <c r="BN17" t="s">
        <v>200</v>
      </c>
      <c r="BO17" t="s">
        <v>264</v>
      </c>
      <c r="BP17" t="s">
        <v>265</v>
      </c>
      <c r="BQ17" t="s">
        <v>735</v>
      </c>
      <c r="BR17" t="s">
        <v>736</v>
      </c>
      <c r="BS17" t="s">
        <v>737</v>
      </c>
      <c r="BT17" t="s">
        <v>160</v>
      </c>
      <c r="BU17" t="s">
        <v>205</v>
      </c>
      <c r="BV17" t="s">
        <v>200</v>
      </c>
      <c r="BW17" t="s">
        <v>206</v>
      </c>
      <c r="BX17" t="s">
        <v>207</v>
      </c>
      <c r="BY17" t="s">
        <v>172</v>
      </c>
      <c r="BZ17" t="s">
        <v>208</v>
      </c>
      <c r="CA17" t="s">
        <v>172</v>
      </c>
      <c r="CB17" t="s">
        <v>172</v>
      </c>
      <c r="CC17" t="s">
        <v>209</v>
      </c>
      <c r="CD17" t="s">
        <v>210</v>
      </c>
      <c r="CE17" t="s">
        <v>197</v>
      </c>
      <c r="CF17" t="s">
        <v>211</v>
      </c>
      <c r="CG17" t="s">
        <v>212</v>
      </c>
      <c r="CH17" t="s">
        <v>213</v>
      </c>
      <c r="CI17" t="s">
        <v>178</v>
      </c>
      <c r="CJ17" t="s">
        <v>206</v>
      </c>
      <c r="CK17" t="s">
        <v>214</v>
      </c>
      <c r="CL17" t="s">
        <v>214</v>
      </c>
      <c r="CM17" t="s">
        <v>214</v>
      </c>
      <c r="CN17" t="s">
        <v>172</v>
      </c>
      <c r="CO17" t="s">
        <v>215</v>
      </c>
      <c r="CP17" t="s">
        <v>172</v>
      </c>
      <c r="CQ17" t="s">
        <v>172</v>
      </c>
      <c r="CR17" t="s">
        <v>172</v>
      </c>
      <c r="CS17" t="s">
        <v>172</v>
      </c>
      <c r="CT17" t="s">
        <v>738</v>
      </c>
      <c r="CU17" t="s">
        <v>739</v>
      </c>
      <c r="CV17" t="s">
        <v>740</v>
      </c>
      <c r="CW17" t="s">
        <v>741</v>
      </c>
      <c r="CX17" t="s">
        <v>742</v>
      </c>
      <c r="CY17" t="s">
        <v>743</v>
      </c>
      <c r="CZ17" t="s">
        <v>744</v>
      </c>
      <c r="DA17" t="s">
        <v>745</v>
      </c>
      <c r="DB17" t="s">
        <v>713</v>
      </c>
      <c r="DC17" t="s">
        <v>586</v>
      </c>
      <c r="DD17" t="s">
        <v>225</v>
      </c>
      <c r="DE17" t="s">
        <v>226</v>
      </c>
      <c r="DF17" t="s">
        <v>178</v>
      </c>
      <c r="DG17" t="s">
        <v>227</v>
      </c>
      <c r="DH17" t="s">
        <v>228</v>
      </c>
      <c r="DI17" t="s">
        <v>178</v>
      </c>
      <c r="DJ17" t="s">
        <v>229</v>
      </c>
      <c r="DK17" t="s">
        <v>230</v>
      </c>
      <c r="DL17" t="s">
        <v>231</v>
      </c>
      <c r="DM17" t="s">
        <v>172</v>
      </c>
      <c r="DN17" t="s">
        <v>712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3">
      <c r="A18" t="s">
        <v>746</v>
      </c>
      <c r="B18" t="s">
        <v>747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913</v>
      </c>
      <c r="I18" t="s">
        <v>748</v>
      </c>
      <c r="J18">
        <f t="shared" si="0"/>
        <v>3.4578816620665663E-2</v>
      </c>
      <c r="K18">
        <f t="shared" si="1"/>
        <v>2.9042299199999997</v>
      </c>
      <c r="L18">
        <f t="shared" si="2"/>
        <v>3.4171952933353858E-2</v>
      </c>
      <c r="M18">
        <f t="shared" si="3"/>
        <v>0.69104011025774958</v>
      </c>
      <c r="N18" t="s">
        <v>749</v>
      </c>
      <c r="O18" t="s">
        <v>750</v>
      </c>
      <c r="P18">
        <f t="shared" si="4"/>
        <v>3.3782538228460037</v>
      </c>
      <c r="Q18">
        <f t="shared" si="5"/>
        <v>2.0184368228460037</v>
      </c>
      <c r="R18" t="s">
        <v>751</v>
      </c>
      <c r="S18" t="s">
        <v>752</v>
      </c>
      <c r="T18">
        <f t="shared" si="6"/>
        <v>33.061791180720334</v>
      </c>
      <c r="U18">
        <f t="shared" si="7"/>
        <v>0.4417875</v>
      </c>
      <c r="V18" t="s">
        <v>170</v>
      </c>
      <c r="W18" t="s">
        <v>753</v>
      </c>
      <c r="X18" t="s">
        <v>172</v>
      </c>
      <c r="Y18" t="s">
        <v>172</v>
      </c>
      <c r="Z18" t="s">
        <v>172</v>
      </c>
      <c r="AA18" t="s">
        <v>754</v>
      </c>
      <c r="AB18" t="s">
        <v>755</v>
      </c>
      <c r="AC18" t="s">
        <v>756</v>
      </c>
      <c r="AD18" t="s">
        <v>176</v>
      </c>
      <c r="AE18" t="s">
        <v>177</v>
      </c>
      <c r="AF18">
        <f t="shared" si="8"/>
        <v>106.4964516</v>
      </c>
      <c r="AG18" t="s">
        <v>178</v>
      </c>
      <c r="AH18" t="s">
        <v>757</v>
      </c>
      <c r="AI18" t="s">
        <v>758</v>
      </c>
      <c r="AJ18" t="s">
        <v>759</v>
      </c>
      <c r="AK18" t="s">
        <v>760</v>
      </c>
      <c r="AL18">
        <f t="shared" si="9"/>
        <v>26.02</v>
      </c>
      <c r="AM18" t="s">
        <v>400</v>
      </c>
      <c r="AN18" t="s">
        <v>184</v>
      </c>
      <c r="AO18" t="s">
        <v>640</v>
      </c>
      <c r="AP18" t="s">
        <v>761</v>
      </c>
      <c r="AQ18" t="s">
        <v>762</v>
      </c>
      <c r="AR18" t="s">
        <v>722</v>
      </c>
      <c r="AS18" t="s">
        <v>723</v>
      </c>
      <c r="AT18" t="s">
        <v>349</v>
      </c>
      <c r="AU18" t="s">
        <v>763</v>
      </c>
      <c r="AV18" t="s">
        <v>764</v>
      </c>
      <c r="AW18" t="s">
        <v>765</v>
      </c>
      <c r="AX18" t="s">
        <v>766</v>
      </c>
      <c r="AY18" t="s">
        <v>767</v>
      </c>
      <c r="AZ18" t="s">
        <v>445</v>
      </c>
      <c r="BA18" t="s">
        <v>729</v>
      </c>
      <c r="BB18" t="s">
        <v>730</v>
      </c>
      <c r="BC18" t="s">
        <v>768</v>
      </c>
      <c r="BD18" t="s">
        <v>162</v>
      </c>
      <c r="BE18" t="s">
        <v>654</v>
      </c>
      <c r="BF18" t="s">
        <v>529</v>
      </c>
      <c r="BG18" t="s">
        <v>769</v>
      </c>
      <c r="BH18" t="s">
        <v>543</v>
      </c>
      <c r="BI18" t="s">
        <v>734</v>
      </c>
      <c r="BJ18" t="s">
        <v>198</v>
      </c>
      <c r="BK18" t="s">
        <v>162</v>
      </c>
      <c r="BL18" t="s">
        <v>199</v>
      </c>
      <c r="BM18" t="s">
        <v>160</v>
      </c>
      <c r="BN18" t="s">
        <v>263</v>
      </c>
      <c r="BO18" t="s">
        <v>263</v>
      </c>
      <c r="BP18" t="s">
        <v>770</v>
      </c>
      <c r="BQ18" t="s">
        <v>771</v>
      </c>
      <c r="BR18" t="s">
        <v>772</v>
      </c>
      <c r="BS18" t="s">
        <v>773</v>
      </c>
      <c r="BT18" t="s">
        <v>160</v>
      </c>
      <c r="BU18" t="s">
        <v>205</v>
      </c>
      <c r="BV18" t="s">
        <v>200</v>
      </c>
      <c r="BW18" t="s">
        <v>206</v>
      </c>
      <c r="BX18" t="s">
        <v>207</v>
      </c>
      <c r="BY18" t="s">
        <v>172</v>
      </c>
      <c r="BZ18" t="s">
        <v>208</v>
      </c>
      <c r="CA18" t="s">
        <v>172</v>
      </c>
      <c r="CB18" t="s">
        <v>172</v>
      </c>
      <c r="CC18" t="s">
        <v>209</v>
      </c>
      <c r="CD18" t="s">
        <v>210</v>
      </c>
      <c r="CE18" t="s">
        <v>197</v>
      </c>
      <c r="CF18" t="s">
        <v>211</v>
      </c>
      <c r="CG18" t="s">
        <v>212</v>
      </c>
      <c r="CH18" t="s">
        <v>213</v>
      </c>
      <c r="CI18" t="s">
        <v>178</v>
      </c>
      <c r="CJ18" t="s">
        <v>206</v>
      </c>
      <c r="CK18" t="s">
        <v>214</v>
      </c>
      <c r="CL18" t="s">
        <v>214</v>
      </c>
      <c r="CM18" t="s">
        <v>214</v>
      </c>
      <c r="CN18" t="s">
        <v>172</v>
      </c>
      <c r="CO18" t="s">
        <v>215</v>
      </c>
      <c r="CP18" t="s">
        <v>172</v>
      </c>
      <c r="CQ18" t="s">
        <v>172</v>
      </c>
      <c r="CR18" t="s">
        <v>172</v>
      </c>
      <c r="CS18" t="s">
        <v>172</v>
      </c>
      <c r="CT18" t="s">
        <v>774</v>
      </c>
      <c r="CU18" t="s">
        <v>775</v>
      </c>
      <c r="CV18" t="s">
        <v>776</v>
      </c>
      <c r="CW18" t="s">
        <v>777</v>
      </c>
      <c r="CX18" t="s">
        <v>778</v>
      </c>
      <c r="CY18" t="s">
        <v>779</v>
      </c>
      <c r="CZ18" t="s">
        <v>780</v>
      </c>
      <c r="DA18" t="s">
        <v>781</v>
      </c>
      <c r="DB18" t="s">
        <v>754</v>
      </c>
      <c r="DC18" t="s">
        <v>782</v>
      </c>
      <c r="DD18" t="s">
        <v>225</v>
      </c>
      <c r="DE18" t="s">
        <v>226</v>
      </c>
      <c r="DF18" t="s">
        <v>178</v>
      </c>
      <c r="DG18" t="s">
        <v>227</v>
      </c>
      <c r="DH18" t="s">
        <v>228</v>
      </c>
      <c r="DI18" t="s">
        <v>178</v>
      </c>
      <c r="DJ18" t="s">
        <v>229</v>
      </c>
      <c r="DK18" t="s">
        <v>230</v>
      </c>
      <c r="DL18" t="s">
        <v>231</v>
      </c>
      <c r="DM18" t="s">
        <v>172</v>
      </c>
      <c r="DN18" t="s">
        <v>753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3">
      <c r="A19" t="s">
        <v>783</v>
      </c>
      <c r="B19" t="s">
        <v>784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914</v>
      </c>
      <c r="I19" t="s">
        <v>785</v>
      </c>
      <c r="J19">
        <f t="shared" si="0"/>
        <v>5.032339731886569E-2</v>
      </c>
      <c r="K19">
        <f t="shared" si="1"/>
        <v>2.9042299199999997</v>
      </c>
      <c r="L19">
        <f t="shared" si="2"/>
        <v>4.946626460006591E-2</v>
      </c>
      <c r="M19">
        <f t="shared" si="3"/>
        <v>0.92745510884822635</v>
      </c>
      <c r="N19" t="s">
        <v>786</v>
      </c>
      <c r="O19" t="s">
        <v>787</v>
      </c>
      <c r="P19">
        <f t="shared" si="4"/>
        <v>3.2582362108859027</v>
      </c>
      <c r="Q19">
        <f t="shared" si="5"/>
        <v>1.8724322108859026</v>
      </c>
      <c r="R19" t="s">
        <v>788</v>
      </c>
      <c r="S19" t="s">
        <v>789</v>
      </c>
      <c r="T19">
        <f t="shared" si="6"/>
        <v>31.884100312025669</v>
      </c>
      <c r="U19">
        <f t="shared" si="7"/>
        <v>0.4417875</v>
      </c>
      <c r="V19" t="s">
        <v>170</v>
      </c>
      <c r="W19" t="s">
        <v>790</v>
      </c>
      <c r="X19" t="s">
        <v>172</v>
      </c>
      <c r="Y19" t="s">
        <v>172</v>
      </c>
      <c r="Z19" t="s">
        <v>172</v>
      </c>
      <c r="AA19" t="s">
        <v>791</v>
      </c>
      <c r="AB19" t="s">
        <v>792</v>
      </c>
      <c r="AC19" t="s">
        <v>793</v>
      </c>
      <c r="AD19" t="s">
        <v>176</v>
      </c>
      <c r="AE19" t="s">
        <v>177</v>
      </c>
      <c r="AF19">
        <f t="shared" si="8"/>
        <v>81.953442059999986</v>
      </c>
      <c r="AG19" t="s">
        <v>178</v>
      </c>
      <c r="AH19" t="s">
        <v>794</v>
      </c>
      <c r="AI19" t="s">
        <v>795</v>
      </c>
      <c r="AJ19" t="s">
        <v>796</v>
      </c>
      <c r="AK19" t="s">
        <v>797</v>
      </c>
      <c r="AL19">
        <f t="shared" si="9"/>
        <v>25.41</v>
      </c>
      <c r="AM19" t="s">
        <v>720</v>
      </c>
      <c r="AN19" t="s">
        <v>184</v>
      </c>
      <c r="AO19" t="s">
        <v>798</v>
      </c>
      <c r="AP19" t="s">
        <v>799</v>
      </c>
      <c r="AQ19" t="s">
        <v>800</v>
      </c>
      <c r="AR19" t="s">
        <v>801</v>
      </c>
      <c r="AS19" t="s">
        <v>802</v>
      </c>
      <c r="AT19" t="s">
        <v>803</v>
      </c>
      <c r="AU19" t="s">
        <v>804</v>
      </c>
      <c r="AV19" t="s">
        <v>805</v>
      </c>
      <c r="AW19" t="s">
        <v>806</v>
      </c>
      <c r="AX19" t="s">
        <v>807</v>
      </c>
      <c r="AY19" t="s">
        <v>361</v>
      </c>
      <c r="AZ19" t="s">
        <v>445</v>
      </c>
      <c r="BA19" t="s">
        <v>729</v>
      </c>
      <c r="BB19" t="s">
        <v>730</v>
      </c>
      <c r="BC19" t="s">
        <v>808</v>
      </c>
      <c r="BD19" t="s">
        <v>162</v>
      </c>
      <c r="BE19" t="s">
        <v>809</v>
      </c>
      <c r="BF19" t="s">
        <v>610</v>
      </c>
      <c r="BG19" t="s">
        <v>810</v>
      </c>
      <c r="BH19" t="s">
        <v>503</v>
      </c>
      <c r="BI19" t="s">
        <v>811</v>
      </c>
      <c r="BJ19" t="s">
        <v>198</v>
      </c>
      <c r="BK19" t="s">
        <v>162</v>
      </c>
      <c r="BL19" t="s">
        <v>199</v>
      </c>
      <c r="BM19" t="s">
        <v>160</v>
      </c>
      <c r="BN19" t="s">
        <v>200</v>
      </c>
      <c r="BO19" t="s">
        <v>200</v>
      </c>
      <c r="BP19" t="s">
        <v>812</v>
      </c>
      <c r="BQ19" t="s">
        <v>813</v>
      </c>
      <c r="BR19" t="s">
        <v>814</v>
      </c>
      <c r="BS19" t="s">
        <v>815</v>
      </c>
      <c r="BT19" t="s">
        <v>160</v>
      </c>
      <c r="BU19" t="s">
        <v>205</v>
      </c>
      <c r="BV19" t="s">
        <v>200</v>
      </c>
      <c r="BW19" t="s">
        <v>206</v>
      </c>
      <c r="BX19" t="s">
        <v>207</v>
      </c>
      <c r="BY19" t="s">
        <v>172</v>
      </c>
      <c r="BZ19" t="s">
        <v>208</v>
      </c>
      <c r="CA19" t="s">
        <v>172</v>
      </c>
      <c r="CB19" t="s">
        <v>172</v>
      </c>
      <c r="CC19" t="s">
        <v>209</v>
      </c>
      <c r="CD19" t="s">
        <v>210</v>
      </c>
      <c r="CE19" t="s">
        <v>197</v>
      </c>
      <c r="CF19" t="s">
        <v>211</v>
      </c>
      <c r="CG19" t="s">
        <v>212</v>
      </c>
      <c r="CH19" t="s">
        <v>213</v>
      </c>
      <c r="CI19" t="s">
        <v>178</v>
      </c>
      <c r="CJ19" t="s">
        <v>206</v>
      </c>
      <c r="CK19" t="s">
        <v>214</v>
      </c>
      <c r="CL19" t="s">
        <v>214</v>
      </c>
      <c r="CM19" t="s">
        <v>214</v>
      </c>
      <c r="CN19" t="s">
        <v>172</v>
      </c>
      <c r="CO19" t="s">
        <v>215</v>
      </c>
      <c r="CP19" t="s">
        <v>172</v>
      </c>
      <c r="CQ19" t="s">
        <v>172</v>
      </c>
      <c r="CR19" t="s">
        <v>172</v>
      </c>
      <c r="CS19" t="s">
        <v>172</v>
      </c>
      <c r="CT19" t="s">
        <v>816</v>
      </c>
      <c r="CU19" t="s">
        <v>817</v>
      </c>
      <c r="CV19" t="s">
        <v>818</v>
      </c>
      <c r="CW19" t="s">
        <v>819</v>
      </c>
      <c r="CX19" t="s">
        <v>820</v>
      </c>
      <c r="CY19" t="s">
        <v>821</v>
      </c>
      <c r="CZ19" t="s">
        <v>822</v>
      </c>
      <c r="DA19" t="s">
        <v>823</v>
      </c>
      <c r="DB19" t="s">
        <v>791</v>
      </c>
      <c r="DC19" t="s">
        <v>312</v>
      </c>
      <c r="DD19" t="s">
        <v>225</v>
      </c>
      <c r="DE19" t="s">
        <v>226</v>
      </c>
      <c r="DF19" t="s">
        <v>178</v>
      </c>
      <c r="DG19" t="s">
        <v>227</v>
      </c>
      <c r="DH19" t="s">
        <v>228</v>
      </c>
      <c r="DI19" t="s">
        <v>178</v>
      </c>
      <c r="DJ19" t="s">
        <v>229</v>
      </c>
      <c r="DK19" t="s">
        <v>230</v>
      </c>
      <c r="DL19" t="s">
        <v>231</v>
      </c>
      <c r="DM19" t="s">
        <v>172</v>
      </c>
      <c r="DN19" t="s">
        <v>790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x14ac:dyDescent="0.3">
      <c r="A20" t="s">
        <v>824</v>
      </c>
      <c r="B20" t="s">
        <v>825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915</v>
      </c>
      <c r="I20" t="s">
        <v>826</v>
      </c>
      <c r="J20">
        <f t="shared" si="0"/>
        <v>0.22067742453498573</v>
      </c>
      <c r="K20">
        <f t="shared" si="1"/>
        <v>2.9058327199999998</v>
      </c>
      <c r="L20">
        <f t="shared" si="2"/>
        <v>0.20510142335535819</v>
      </c>
      <c r="M20">
        <f t="shared" si="3"/>
        <v>3.327896411991317</v>
      </c>
      <c r="N20" t="s">
        <v>827</v>
      </c>
      <c r="O20" t="s">
        <v>828</v>
      </c>
      <c r="P20">
        <f t="shared" si="4"/>
        <v>3.10277923886943</v>
      </c>
      <c r="Q20">
        <f t="shared" si="5"/>
        <v>1.62086823886943</v>
      </c>
      <c r="R20" t="s">
        <v>829</v>
      </c>
      <c r="S20" t="s">
        <v>830</v>
      </c>
      <c r="T20">
        <f t="shared" si="6"/>
        <v>30.362846059980725</v>
      </c>
      <c r="U20">
        <f t="shared" si="7"/>
        <v>0.4417875</v>
      </c>
      <c r="V20" t="s">
        <v>170</v>
      </c>
      <c r="W20" t="s">
        <v>831</v>
      </c>
      <c r="X20" t="s">
        <v>172</v>
      </c>
      <c r="Y20" t="s">
        <v>172</v>
      </c>
      <c r="Z20" t="s">
        <v>172</v>
      </c>
      <c r="AA20" t="s">
        <v>832</v>
      </c>
      <c r="AB20" t="s">
        <v>833</v>
      </c>
      <c r="AC20" t="s">
        <v>834</v>
      </c>
      <c r="AD20" t="s">
        <v>176</v>
      </c>
      <c r="AE20" t="s">
        <v>177</v>
      </c>
      <c r="AF20">
        <f t="shared" si="8"/>
        <v>128.46605184000001</v>
      </c>
      <c r="AG20" t="s">
        <v>178</v>
      </c>
      <c r="AH20" t="s">
        <v>835</v>
      </c>
      <c r="AI20" t="s">
        <v>836</v>
      </c>
      <c r="AJ20" t="s">
        <v>837</v>
      </c>
      <c r="AK20" t="s">
        <v>838</v>
      </c>
      <c r="AL20">
        <f t="shared" si="9"/>
        <v>24.59</v>
      </c>
      <c r="AM20" t="s">
        <v>720</v>
      </c>
      <c r="AN20" t="s">
        <v>401</v>
      </c>
      <c r="AO20" t="s">
        <v>839</v>
      </c>
      <c r="AP20" t="s">
        <v>840</v>
      </c>
      <c r="AQ20" t="s">
        <v>841</v>
      </c>
      <c r="AR20" t="s">
        <v>801</v>
      </c>
      <c r="AS20" t="s">
        <v>644</v>
      </c>
      <c r="AT20" t="s">
        <v>842</v>
      </c>
      <c r="AU20" t="s">
        <v>843</v>
      </c>
      <c r="AV20" t="s">
        <v>844</v>
      </c>
      <c r="AW20" t="s">
        <v>845</v>
      </c>
      <c r="AX20" t="s">
        <v>846</v>
      </c>
      <c r="AY20" t="s">
        <v>847</v>
      </c>
      <c r="AZ20" t="s">
        <v>445</v>
      </c>
      <c r="BA20" t="s">
        <v>848</v>
      </c>
      <c r="BB20" t="s">
        <v>849</v>
      </c>
      <c r="BC20" t="s">
        <v>850</v>
      </c>
      <c r="BD20" t="s">
        <v>162</v>
      </c>
      <c r="BE20" t="s">
        <v>571</v>
      </c>
      <c r="BF20" t="s">
        <v>610</v>
      </c>
      <c r="BG20" t="s">
        <v>810</v>
      </c>
      <c r="BH20" t="s">
        <v>562</v>
      </c>
      <c r="BI20" t="s">
        <v>851</v>
      </c>
      <c r="BJ20" t="s">
        <v>198</v>
      </c>
      <c r="BK20" t="s">
        <v>162</v>
      </c>
      <c r="BL20" t="s">
        <v>199</v>
      </c>
      <c r="BM20" t="s">
        <v>160</v>
      </c>
      <c r="BN20" t="s">
        <v>200</v>
      </c>
      <c r="BO20" t="s">
        <v>200</v>
      </c>
      <c r="BP20" t="s">
        <v>201</v>
      </c>
      <c r="BQ20" t="s">
        <v>852</v>
      </c>
      <c r="BR20" t="s">
        <v>853</v>
      </c>
      <c r="BS20" t="s">
        <v>854</v>
      </c>
      <c r="BT20" t="s">
        <v>160</v>
      </c>
      <c r="BU20" t="s">
        <v>205</v>
      </c>
      <c r="BV20" t="s">
        <v>200</v>
      </c>
      <c r="BW20" t="s">
        <v>206</v>
      </c>
      <c r="BX20" t="s">
        <v>207</v>
      </c>
      <c r="BY20" t="s">
        <v>172</v>
      </c>
      <c r="BZ20" t="s">
        <v>208</v>
      </c>
      <c r="CA20" t="s">
        <v>172</v>
      </c>
      <c r="CB20" t="s">
        <v>172</v>
      </c>
      <c r="CC20" t="s">
        <v>209</v>
      </c>
      <c r="CD20" t="s">
        <v>210</v>
      </c>
      <c r="CE20" t="s">
        <v>197</v>
      </c>
      <c r="CF20" t="s">
        <v>211</v>
      </c>
      <c r="CG20" t="s">
        <v>212</v>
      </c>
      <c r="CH20" t="s">
        <v>213</v>
      </c>
      <c r="CI20" t="s">
        <v>178</v>
      </c>
      <c r="CJ20" t="s">
        <v>206</v>
      </c>
      <c r="CK20" t="s">
        <v>214</v>
      </c>
      <c r="CL20" t="s">
        <v>214</v>
      </c>
      <c r="CM20" t="s">
        <v>214</v>
      </c>
      <c r="CN20" t="s">
        <v>172</v>
      </c>
      <c r="CO20" t="s">
        <v>215</v>
      </c>
      <c r="CP20" t="s">
        <v>172</v>
      </c>
      <c r="CQ20" t="s">
        <v>172</v>
      </c>
      <c r="CR20" t="s">
        <v>172</v>
      </c>
      <c r="CS20" t="s">
        <v>172</v>
      </c>
      <c r="CT20" t="s">
        <v>855</v>
      </c>
      <c r="CU20" t="s">
        <v>856</v>
      </c>
      <c r="CV20" t="s">
        <v>857</v>
      </c>
      <c r="CW20" t="s">
        <v>858</v>
      </c>
      <c r="CX20" t="s">
        <v>859</v>
      </c>
      <c r="CY20" t="s">
        <v>860</v>
      </c>
      <c r="CZ20" t="s">
        <v>861</v>
      </c>
      <c r="DA20" t="s">
        <v>862</v>
      </c>
      <c r="DB20" t="s">
        <v>832</v>
      </c>
      <c r="DC20" t="s">
        <v>586</v>
      </c>
      <c r="DD20" t="s">
        <v>225</v>
      </c>
      <c r="DE20" t="s">
        <v>226</v>
      </c>
      <c r="DF20" t="s">
        <v>178</v>
      </c>
      <c r="DG20" t="s">
        <v>227</v>
      </c>
      <c r="DH20" t="s">
        <v>228</v>
      </c>
      <c r="DI20" t="s">
        <v>178</v>
      </c>
      <c r="DJ20" t="s">
        <v>229</v>
      </c>
      <c r="DK20" t="s">
        <v>230</v>
      </c>
      <c r="DL20" t="s">
        <v>231</v>
      </c>
      <c r="DM20" t="s">
        <v>172</v>
      </c>
      <c r="DN20" t="s">
        <v>831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x14ac:dyDescent="0.3">
      <c r="A21" t="s">
        <v>863</v>
      </c>
      <c r="B21" t="s">
        <v>864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916</v>
      </c>
      <c r="I21" t="s">
        <v>865</v>
      </c>
      <c r="J21">
        <f t="shared" si="0"/>
        <v>5.9366529382276399E-2</v>
      </c>
      <c r="K21">
        <f t="shared" si="1"/>
        <v>2.9058327199999998</v>
      </c>
      <c r="L21">
        <f t="shared" si="2"/>
        <v>5.8177946587501E-2</v>
      </c>
      <c r="M21">
        <f t="shared" si="3"/>
        <v>1.0499768892214363</v>
      </c>
      <c r="N21" t="s">
        <v>866</v>
      </c>
      <c r="O21" t="s">
        <v>867</v>
      </c>
      <c r="P21">
        <f t="shared" si="4"/>
        <v>3.2216226611006267</v>
      </c>
      <c r="Q21">
        <f t="shared" si="5"/>
        <v>1.8023486611006267</v>
      </c>
      <c r="R21" t="s">
        <v>868</v>
      </c>
      <c r="S21" t="s">
        <v>869</v>
      </c>
      <c r="T21">
        <f t="shared" si="6"/>
        <v>31.525811342603259</v>
      </c>
      <c r="U21">
        <f t="shared" si="7"/>
        <v>0.4417875</v>
      </c>
      <c r="V21" t="s">
        <v>170</v>
      </c>
      <c r="W21" t="s">
        <v>870</v>
      </c>
      <c r="X21" t="s">
        <v>172</v>
      </c>
      <c r="Y21" t="s">
        <v>172</v>
      </c>
      <c r="Z21" t="s">
        <v>172</v>
      </c>
      <c r="AA21" t="s">
        <v>871</v>
      </c>
      <c r="AB21" t="s">
        <v>872</v>
      </c>
      <c r="AC21" t="s">
        <v>873</v>
      </c>
      <c r="AD21" t="s">
        <v>176</v>
      </c>
      <c r="AE21" t="s">
        <v>177</v>
      </c>
      <c r="AF21">
        <f t="shared" si="8"/>
        <v>55.407905279999987</v>
      </c>
      <c r="AG21" t="s">
        <v>178</v>
      </c>
      <c r="AH21" t="s">
        <v>874</v>
      </c>
      <c r="AI21" t="s">
        <v>875</v>
      </c>
      <c r="AJ21" t="s">
        <v>876</v>
      </c>
      <c r="AK21" t="s">
        <v>877</v>
      </c>
      <c r="AL21">
        <f t="shared" si="9"/>
        <v>25.22</v>
      </c>
      <c r="AM21" t="s">
        <v>720</v>
      </c>
      <c r="AN21" t="s">
        <v>401</v>
      </c>
      <c r="AO21" t="s">
        <v>878</v>
      </c>
      <c r="AP21" t="s">
        <v>879</v>
      </c>
      <c r="AQ21" t="s">
        <v>880</v>
      </c>
      <c r="AR21" t="s">
        <v>881</v>
      </c>
      <c r="AS21" t="s">
        <v>368</v>
      </c>
      <c r="AT21" t="s">
        <v>191</v>
      </c>
      <c r="AU21" t="s">
        <v>882</v>
      </c>
      <c r="AV21" t="s">
        <v>883</v>
      </c>
      <c r="AW21" t="s">
        <v>884</v>
      </c>
      <c r="AX21" t="s">
        <v>885</v>
      </c>
      <c r="AY21" t="s">
        <v>886</v>
      </c>
      <c r="AZ21" t="s">
        <v>445</v>
      </c>
      <c r="BA21" t="s">
        <v>848</v>
      </c>
      <c r="BB21" t="s">
        <v>849</v>
      </c>
      <c r="BC21" t="s">
        <v>887</v>
      </c>
      <c r="BD21" t="s">
        <v>162</v>
      </c>
      <c r="BE21" t="s">
        <v>449</v>
      </c>
      <c r="BF21" t="s">
        <v>489</v>
      </c>
      <c r="BG21" t="s">
        <v>810</v>
      </c>
      <c r="BH21" t="s">
        <v>562</v>
      </c>
      <c r="BI21" t="s">
        <v>851</v>
      </c>
      <c r="BJ21" t="s">
        <v>198</v>
      </c>
      <c r="BK21" t="s">
        <v>162</v>
      </c>
      <c r="BL21" t="s">
        <v>199</v>
      </c>
      <c r="BM21" t="s">
        <v>160</v>
      </c>
      <c r="BN21" t="s">
        <v>612</v>
      </c>
      <c r="BO21" t="s">
        <v>264</v>
      </c>
      <c r="BP21" t="s">
        <v>200</v>
      </c>
      <c r="BQ21" t="s">
        <v>888</v>
      </c>
      <c r="BR21" t="s">
        <v>889</v>
      </c>
      <c r="BS21" t="s">
        <v>890</v>
      </c>
      <c r="BT21" t="s">
        <v>160</v>
      </c>
      <c r="BU21" t="s">
        <v>205</v>
      </c>
      <c r="BV21" t="s">
        <v>200</v>
      </c>
      <c r="BW21" t="s">
        <v>206</v>
      </c>
      <c r="BX21" t="s">
        <v>207</v>
      </c>
      <c r="BY21" t="s">
        <v>172</v>
      </c>
      <c r="BZ21" t="s">
        <v>208</v>
      </c>
      <c r="CA21" t="s">
        <v>172</v>
      </c>
      <c r="CB21" t="s">
        <v>172</v>
      </c>
      <c r="CC21" t="s">
        <v>209</v>
      </c>
      <c r="CD21" t="s">
        <v>210</v>
      </c>
      <c r="CE21" t="s">
        <v>197</v>
      </c>
      <c r="CF21" t="s">
        <v>211</v>
      </c>
      <c r="CG21" t="s">
        <v>212</v>
      </c>
      <c r="CH21" t="s">
        <v>213</v>
      </c>
      <c r="CI21" t="s">
        <v>178</v>
      </c>
      <c r="CJ21" t="s">
        <v>206</v>
      </c>
      <c r="CK21" t="s">
        <v>214</v>
      </c>
      <c r="CL21" t="s">
        <v>214</v>
      </c>
      <c r="CM21" t="s">
        <v>214</v>
      </c>
      <c r="CN21" t="s">
        <v>172</v>
      </c>
      <c r="CO21" t="s">
        <v>215</v>
      </c>
      <c r="CP21" t="s">
        <v>172</v>
      </c>
      <c r="CQ21" t="s">
        <v>172</v>
      </c>
      <c r="CR21" t="s">
        <v>172</v>
      </c>
      <c r="CS21" t="s">
        <v>172</v>
      </c>
      <c r="CT21" t="s">
        <v>891</v>
      </c>
      <c r="CU21" t="s">
        <v>892</v>
      </c>
      <c r="CV21" t="s">
        <v>893</v>
      </c>
      <c r="CW21" t="s">
        <v>894</v>
      </c>
      <c r="CX21" t="s">
        <v>895</v>
      </c>
      <c r="CY21" t="s">
        <v>896</v>
      </c>
      <c r="CZ21" t="s">
        <v>897</v>
      </c>
      <c r="DA21" t="s">
        <v>898</v>
      </c>
      <c r="DB21" t="s">
        <v>871</v>
      </c>
      <c r="DC21" t="s">
        <v>586</v>
      </c>
      <c r="DD21" t="s">
        <v>225</v>
      </c>
      <c r="DE21" t="s">
        <v>226</v>
      </c>
      <c r="DF21" t="s">
        <v>178</v>
      </c>
      <c r="DG21" t="s">
        <v>227</v>
      </c>
      <c r="DH21" t="s">
        <v>228</v>
      </c>
      <c r="DI21" t="s">
        <v>178</v>
      </c>
      <c r="DJ21" t="s">
        <v>229</v>
      </c>
      <c r="DK21" t="s">
        <v>230</v>
      </c>
      <c r="DL21" t="s">
        <v>231</v>
      </c>
      <c r="DM21" t="s">
        <v>172</v>
      </c>
      <c r="DN21" t="s">
        <v>870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</sheetData>
  <phoneticPr fontId="1" type="noConversion"/>
  <pageMargins left="0.7" right="0.7" top="0.75" bottom="0.75" header="0.3" footer="0.3"/>
  <ignoredErrors>
    <ignoredError sqref="A1:DT3 A4:G21 I4:DT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lightfluoromete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2026-10-09T06:26:29Z</dcterms:modified>
</cp:coreProperties>
</file>