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광합성 데이터/"/>
    </mc:Choice>
  </mc:AlternateContent>
  <xr:revisionPtr revIDLastSave="266" documentId="6_{7B5E0CC5-B407-4A63-9E4B-74C7A45C5FED}" xr6:coauthVersionLast="47" xr6:coauthVersionMax="47" xr10:uidLastSave="{34A493AA-EBAA-427D-81B1-E013D036F4B8}"/>
  <bookViews>
    <workbookView xWindow="-108" yWindow="-108" windowWidth="23256" windowHeight="12456" activeTab="2" xr2:uid="{00000000-000D-0000-FFFF-FFFF00000000}"/>
  </bookViews>
  <sheets>
    <sheet name="A-Ci_results" sheetId="1" r:id="rId1"/>
    <sheet name="A-Q_results" sheetId="2" r:id="rId2"/>
    <sheet name="ACi 선택적 데이터" sheetId="3" r:id="rId3"/>
    <sheet name="AQ 선택적 데이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Q6" i="1"/>
  <c r="P6" i="1"/>
  <c r="L9" i="1"/>
  <c r="M9" i="1"/>
  <c r="K9" i="1"/>
  <c r="L8" i="1"/>
  <c r="M8" i="1"/>
  <c r="K8" i="1"/>
  <c r="P4" i="1"/>
  <c r="Q4" i="1"/>
  <c r="O4" i="1"/>
  <c r="M9" i="2"/>
  <c r="N9" i="2"/>
  <c r="O9" i="2"/>
  <c r="L9" i="2"/>
  <c r="M8" i="2"/>
  <c r="N8" i="2"/>
  <c r="O8" i="2"/>
  <c r="L8" i="2"/>
  <c r="O6" i="2"/>
  <c r="N6" i="2"/>
  <c r="M6" i="2"/>
  <c r="L6" i="2"/>
  <c r="N5" i="2"/>
  <c r="M5" i="2"/>
  <c r="O5" i="2"/>
  <c r="L5" i="2"/>
  <c r="M4" i="2"/>
  <c r="N4" i="2"/>
  <c r="O4" i="2"/>
  <c r="L4" i="2"/>
  <c r="L4" i="1"/>
  <c r="M4" i="1"/>
  <c r="K4" i="1"/>
  <c r="P5" i="1" l="1"/>
  <c r="Q5" i="1"/>
  <c r="O5" i="1"/>
  <c r="O3" i="1"/>
  <c r="P3" i="1"/>
  <c r="Q3" i="1"/>
  <c r="L6" i="1"/>
  <c r="M6" i="1"/>
  <c r="K6" i="1"/>
  <c r="K5" i="1"/>
  <c r="L5" i="1"/>
  <c r="M5" i="1"/>
  <c r="L3" i="1"/>
  <c r="M3" i="1"/>
  <c r="K3" i="1"/>
  <c r="M3" i="2"/>
  <c r="N3" i="2"/>
  <c r="O3" i="2"/>
  <c r="L3" i="2"/>
</calcChain>
</file>

<file path=xl/sharedStrings.xml><?xml version="1.0" encoding="utf-8"?>
<sst xmlns="http://schemas.openxmlformats.org/spreadsheetml/2006/main" count="495" uniqueCount="169">
  <si>
    <t>file</t>
  </si>
  <si>
    <t>date</t>
  </si>
  <si>
    <t>time</t>
  </si>
  <si>
    <t>target_CO2</t>
  </si>
  <si>
    <t>Vcmax</t>
  </si>
  <si>
    <t>Jmax</t>
  </si>
  <si>
    <t>Rd</t>
  </si>
  <si>
    <t>2026-09-02-1101_logdata 50 aci 1 co2.xlsx</t>
  </si>
  <si>
    <t>2026-09-02</t>
  </si>
  <si>
    <t>1101</t>
  </si>
  <si>
    <t>2026-09-02-1339_logdata 50 aci-2 co2.xlsx</t>
  </si>
  <si>
    <t>1339</t>
  </si>
  <si>
    <t>2026-09-02-1705_logdata 50 aci 3 co2.xlsx</t>
  </si>
  <si>
    <t>1705</t>
  </si>
  <si>
    <t>2026-09-03-1102_logdata flood100 aci 1 co2.xlsx</t>
  </si>
  <si>
    <t>2026-09-03</t>
  </si>
  <si>
    <t>1102</t>
  </si>
  <si>
    <t>2026-09-03-1355_logdata flood100 aci 2 co2.xlsx</t>
  </si>
  <si>
    <t>1355</t>
  </si>
  <si>
    <t>2026-09-03-1602_logdata flood100 aci 3 co2.xlsx</t>
  </si>
  <si>
    <t>1602</t>
  </si>
  <si>
    <t>2026-09-07-1112_logdata 100 aci 1 co2.xlsx</t>
  </si>
  <si>
    <t>2026-09-07</t>
  </si>
  <si>
    <t>1112</t>
  </si>
  <si>
    <t>2026-09-07-1345_logdata 100 aci 2 co2.xlsx</t>
  </si>
  <si>
    <t>1345</t>
  </si>
  <si>
    <t>2026-09-07-1610_logdata 50flood aci 1 co2.xlsx</t>
  </si>
  <si>
    <t>1610</t>
  </si>
  <si>
    <t>2026-09-08-1053_logdata 50flood aci 2 co2.xlsx</t>
  </si>
  <si>
    <t>2026-09-08</t>
  </si>
  <si>
    <t>1053</t>
  </si>
  <si>
    <t>2026-09-08-1256_logdata 50flood aci 3 co2.xlsx</t>
  </si>
  <si>
    <t>1256</t>
  </si>
  <si>
    <t>2026-09-09-1157_logdata 100 aci 3 co2.xlsx</t>
  </si>
  <si>
    <t>2026-09-09</t>
  </si>
  <si>
    <t>1157</t>
  </si>
  <si>
    <t>2026-09-09-1336_logdata 75 aci 2 co2.xlsx</t>
  </si>
  <si>
    <t>1336</t>
  </si>
  <si>
    <t>2026-09-10-1214_logdata 100 aci 4 co2.xlsx</t>
  </si>
  <si>
    <t>2026-09-10</t>
  </si>
  <si>
    <t>1214</t>
  </si>
  <si>
    <t>2026-09-10-1219_logdata 75 aci 1 co2.xlsx</t>
  </si>
  <si>
    <t>1219</t>
  </si>
  <si>
    <t>2026-09-10-1528_logdata 100 aci 6 co2.xlsx</t>
  </si>
  <si>
    <t>1528</t>
  </si>
  <si>
    <t>2026-09-10-1531_logdata 100 aci 5 co2.xlsx</t>
  </si>
  <si>
    <t>1531</t>
  </si>
  <si>
    <t>target_Light</t>
  </si>
  <si>
    <t>alpha</t>
  </si>
  <si>
    <t>theta</t>
  </si>
  <si>
    <t>Amax</t>
  </si>
  <si>
    <t>2026-09-02-1141_logdata 50 aq-1 light.xlsx</t>
  </si>
  <si>
    <t>1141</t>
  </si>
  <si>
    <t>2026-09-02-1407_logdata 50 aq-2 light.xlsx</t>
  </si>
  <si>
    <t>1407</t>
  </si>
  <si>
    <t>2026-09-02-1807_logdata 50 aq 3 light.xlsx</t>
  </si>
  <si>
    <t>1807</t>
  </si>
  <si>
    <t>2026-09-03-1229_logdata flood100 aq 1 light.xlsx</t>
  </si>
  <si>
    <t>1229</t>
  </si>
  <si>
    <t>2026-09-03-1511_logdata flood100 aq 2 light.xlsx</t>
  </si>
  <si>
    <t>1511</t>
  </si>
  <si>
    <t>2026-09-03-1706_logdata flood100 aq 3 light.xlsx</t>
  </si>
  <si>
    <t>1706</t>
  </si>
  <si>
    <t>2026-09-07-1237_logdata 100 aq 1 light.xlsx</t>
  </si>
  <si>
    <t>1237</t>
  </si>
  <si>
    <t>2026-09-07-1449_logdata 100 aq 2 light.xlsx</t>
  </si>
  <si>
    <t>1449</t>
  </si>
  <si>
    <t>2026-09-07-1827_logdata 50flood aq-1 light.xlsx</t>
  </si>
  <si>
    <t>1827</t>
  </si>
  <si>
    <t>2026-09-08-1211_logdata 50flood aq 2 light.xlsx</t>
  </si>
  <si>
    <t>1211</t>
  </si>
  <si>
    <t>2026-09-08-1416_logdata 50flood aq 3 light.xlsx</t>
  </si>
  <si>
    <t>1416</t>
  </si>
  <si>
    <t>2026-09-09-1245_logdata 100 aq 3 light.xlsx</t>
  </si>
  <si>
    <t>1245</t>
  </si>
  <si>
    <t>2026-09-09-1458_logdata 75 aq 2 light.xlsx</t>
  </si>
  <si>
    <t>1458</t>
  </si>
  <si>
    <t>2026-09-10-1352_logdata 75 aq 1 light.xlsx</t>
  </si>
  <si>
    <t>1352</t>
  </si>
  <si>
    <t>2026-09-10-1406_logdata 100 aq 4 light.xlsx</t>
  </si>
  <si>
    <t>1406</t>
  </si>
  <si>
    <t>2026-09-10-1704_logdata 100 aq 6 light.xlsx</t>
  </si>
  <si>
    <t>1704</t>
  </si>
  <si>
    <t>2026-09-10-1708_logdata 100 aq 5 light.xlsx</t>
  </si>
  <si>
    <t>1708</t>
  </si>
  <si>
    <t>침수100</t>
    <phoneticPr fontId="4" type="noConversion"/>
  </si>
  <si>
    <t>침수50</t>
    <phoneticPr fontId="4" type="noConversion"/>
  </si>
  <si>
    <t>처리</t>
    <phoneticPr fontId="4" type="noConversion"/>
  </si>
  <si>
    <t>2026-09-11-1426_logdata 25 aci 4 co2.xlsx</t>
  </si>
  <si>
    <t>1426</t>
  </si>
  <si>
    <t>2026-09-11</t>
  </si>
  <si>
    <t>2026-09-11-1352_logdata 25 aci 3 co2.xlsx</t>
  </si>
  <si>
    <t>2026-09-11-1139_logdata 25 aci 2 co2.xlsx</t>
  </si>
  <si>
    <t>1139</t>
  </si>
  <si>
    <t>2026-09-11-1133_logdata 25 aci 1 co2.xlsx</t>
  </si>
  <si>
    <t>1133</t>
  </si>
  <si>
    <t>2026-09-11-1540_logdata 25 aq 4 light.xlsx</t>
  </si>
  <si>
    <t>1540</t>
  </si>
  <si>
    <t>2026-09-11-1508_logdata 25 aq 3 light.xlsx</t>
  </si>
  <si>
    <t>1508</t>
  </si>
  <si>
    <t>2026-09-11-1320_logdata 25 aq 1 light.xlsx</t>
  </si>
  <si>
    <t>1320</t>
  </si>
  <si>
    <t>2026-09-11-1306_logdata 25 aq 2 light.xlsx</t>
  </si>
  <si>
    <t>1306</t>
  </si>
  <si>
    <t>2026-09-15-1240_logdata 75 4 co2.xlsx</t>
  </si>
  <si>
    <t>1240</t>
  </si>
  <si>
    <t>2026-09-15</t>
  </si>
  <si>
    <t>2026-09-15-1237_logdata 75 3 co2.xlsx</t>
  </si>
  <si>
    <t>2026-09-15-0924_logdata 100flood 7 co2.xlsx</t>
  </si>
  <si>
    <t>0924</t>
  </si>
  <si>
    <t>2026-09-15-0919_logdata 50flood 7 co2.xlsx</t>
  </si>
  <si>
    <t>0919</t>
  </si>
  <si>
    <t>2026-09-14-1724_logdata 100flood aci 6 co2.xlsx</t>
  </si>
  <si>
    <t>1724</t>
  </si>
  <si>
    <t>2026-09-14</t>
  </si>
  <si>
    <t>2026-09-14-1548_logdata 50flood aci 6 co2.xlsx</t>
  </si>
  <si>
    <t>1548</t>
  </si>
  <si>
    <t>2026-09-14-1328_logdata 100flood aci 5 co2.xlsx</t>
  </si>
  <si>
    <t>1328</t>
  </si>
  <si>
    <t>2026-09-14-1251_logdata 100flood aci 4 co2.xlsx</t>
  </si>
  <si>
    <t>1251</t>
  </si>
  <si>
    <t>2026-09-14-1021_logdata 50flood aci 5 co2.xlsx</t>
  </si>
  <si>
    <t>1021</t>
  </si>
  <si>
    <t>2026-09-14-1005_logdata 50flood aci 4 co2.xlsx</t>
  </si>
  <si>
    <t>1005</t>
  </si>
  <si>
    <t>2026-09-15-1133_logdata 100flood 7 light.xlsx</t>
  </si>
  <si>
    <t>2026-09-15-1130_logdata 50flood 7 light.xlsx</t>
  </si>
  <si>
    <t>1130</t>
  </si>
  <si>
    <t>2026-09-14-1652_logdata 50flood 6 aq light.xlsx</t>
  </si>
  <si>
    <t>1652</t>
  </si>
  <si>
    <t>2026-09-14-1546_logdata 100flood aq 4 light.xlsx</t>
  </si>
  <si>
    <t>1546</t>
  </si>
  <si>
    <t>2026-09-14-1435_logdata 100flood aq 5 light.xlsx</t>
  </si>
  <si>
    <t>1435</t>
  </si>
  <si>
    <t>2026-09-14-1206_logdata 50flood aq 4 light.xlsx</t>
  </si>
  <si>
    <t>1206</t>
  </si>
  <si>
    <t>2026-09-14-1139_logdata 50flood aq 4 light.xlsx</t>
  </si>
  <si>
    <t>2026-09-15-1503_logdata 50flood 9 co2.xlsx</t>
  </si>
  <si>
    <t>1503</t>
  </si>
  <si>
    <t>2026-09-15-1630_logdata 50flood 9 light.xlsx</t>
  </si>
  <si>
    <t>1630</t>
  </si>
  <si>
    <t>2026-09-15-1404_logdata 75 3 light.xlsx</t>
  </si>
  <si>
    <t>1404</t>
  </si>
  <si>
    <t>2026-09-15-1323_logdata 75 4 light.xlsx</t>
  </si>
  <si>
    <t>1323</t>
  </si>
  <si>
    <t>2026-09-17-1358_logdata 50 4 co2.xlsx</t>
  </si>
  <si>
    <t>1358</t>
  </si>
  <si>
    <t>2026-09-17</t>
  </si>
  <si>
    <t>2026-09-17-1353_logdata 50 5 co2.xlsx</t>
  </si>
  <si>
    <t>1353</t>
  </si>
  <si>
    <t>2026-09-17-1037_logdata 75 6 co2.xlsx</t>
  </si>
  <si>
    <t>1037</t>
  </si>
  <si>
    <t>2026-09-17-1037_logdata 75 5 co2.xlsx</t>
  </si>
  <si>
    <t>2026-09-17-1536_logdata 50 4 light.xlsx</t>
  </si>
  <si>
    <t>1536</t>
  </si>
  <si>
    <t>2026-09-17-1531_logdata 50 5 light.xlsx</t>
  </si>
  <si>
    <t>2026-09-17-1206_logdata 75 5 light.xlsx</t>
  </si>
  <si>
    <t>2026-09-17-1202_logdata 75 6 light.xlsx</t>
  </si>
  <si>
    <t>1202</t>
  </si>
  <si>
    <t>비고</t>
    <phoneticPr fontId="4" type="noConversion"/>
  </si>
  <si>
    <t>피팅 문제</t>
    <phoneticPr fontId="4" type="noConversion"/>
  </si>
  <si>
    <t>측정 문제</t>
    <phoneticPr fontId="4" type="noConversion"/>
  </si>
  <si>
    <t>2026-09-07-1112_logdata 100 aci 1 co2.xlsx</t>
    <phoneticPr fontId="4" type="noConversion"/>
  </si>
  <si>
    <t>2026-09-14-1724_logdata 100flood aci 6 co2.xlsx</t>
    <phoneticPr fontId="4" type="noConversion"/>
  </si>
  <si>
    <t>CL</t>
    <phoneticPr fontId="4" type="noConversion"/>
  </si>
  <si>
    <t>DL</t>
    <phoneticPr fontId="4" type="noConversion"/>
  </si>
  <si>
    <t>WL</t>
    <phoneticPr fontId="4" type="noConversion"/>
  </si>
  <si>
    <t>WDL</t>
    <phoneticPr fontId="4" type="noConversion"/>
  </si>
  <si>
    <t>2026-09-07-1345_logdata 100 aci 2 co2.xlsx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</si>
</sst>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2" borderId="0" xfId="1" applyAlignment="1"/>
    <xf numFmtId="0" fontId="2" fillId="2" borderId="1" xfId="1" applyBorder="1" applyAlignment="1"/>
    <xf numFmtId="0" fontId="2" fillId="2" borderId="0" xfId="1" applyBorder="1" applyAlignment="1"/>
    <xf numFmtId="0" fontId="3" fillId="3" borderId="0" xfId="2" applyBorder="1" applyAlignment="1"/>
    <xf numFmtId="0" fontId="3" fillId="3" borderId="1" xfId="2" applyBorder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5" xfId="1" applyBorder="1" applyAlignment="1"/>
    <xf numFmtId="0" fontId="0" fillId="0" borderId="5" xfId="0" applyBorder="1"/>
    <xf numFmtId="0" fontId="2" fillId="2" borderId="3" xfId="1" applyBorder="1" applyAlignment="1"/>
    <xf numFmtId="0" fontId="3" fillId="3" borderId="3" xfId="2" applyBorder="1" applyAlignment="1"/>
    <xf numFmtId="0" fontId="3" fillId="3" borderId="5" xfId="2" applyBorder="1" applyAlignment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3">
    <cellStyle name="나쁨" xfId="1" builtinId="27"/>
    <cellStyle name="보통" xfId="2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'A-Ci_results'!$O$2</c:f>
              <c:strCache>
                <c:ptCount val="1"/>
                <c:pt idx="0">
                  <c:v>Vcmax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'A-Ci_results'!$N$3:$N$6</c:f>
              <c:strCache>
                <c:ptCount val="4"/>
                <c:pt idx="0">
                  <c:v>CL</c:v>
                </c:pt>
                <c:pt idx="1">
                  <c:v>DL</c:v>
                </c:pt>
                <c:pt idx="2">
                  <c:v>WL</c:v>
                </c:pt>
                <c:pt idx="3">
                  <c:v>WDL</c:v>
                </c:pt>
              </c:strCache>
            </c:strRef>
          </c:xVal>
          <c:yVal>
            <c:numRef>
              <c:f>'A-Ci_results'!$O$3:$O$6</c:f>
              <c:numCache>
                <c:formatCode>General</c:formatCode>
                <c:ptCount val="4"/>
                <c:pt idx="0">
                  <c:v>86.833999999999989</c:v>
                </c:pt>
                <c:pt idx="1">
                  <c:v>72.397999999999996</c:v>
                </c:pt>
                <c:pt idx="2">
                  <c:v>84.706666666666663</c:v>
                </c:pt>
                <c:pt idx="3">
                  <c:v>74.872500000000002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B-4AA7-861F-2CE577317C80}"/>
            </c:ext>
          </c:extLst>
        </c:ser>
        <c:ser>
          <c:idx val="1"/>
          <c:order val="1"/>
          <c:tx>
            <c:strRef>
              <c:f>'A-Ci_results'!$P$2</c:f>
              <c:strCache>
                <c:ptCount val="1"/>
                <c:pt idx="0">
                  <c:v>Jmax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'A-Ci_results'!$N$3:$N$6</c:f>
              <c:strCache>
                <c:ptCount val="4"/>
                <c:pt idx="0">
                  <c:v>CL</c:v>
                </c:pt>
                <c:pt idx="1">
                  <c:v>DL</c:v>
                </c:pt>
                <c:pt idx="2">
                  <c:v>WL</c:v>
                </c:pt>
                <c:pt idx="3">
                  <c:v>WDL</c:v>
                </c:pt>
              </c:strCache>
            </c:strRef>
          </c:xVal>
          <c:yVal>
            <c:numRef>
              <c:f>'A-Ci_results'!$P$3:$P$6</c:f>
              <c:numCache>
                <c:formatCode>General</c:formatCode>
                <c:ptCount val="4"/>
                <c:pt idx="0">
                  <c:v>140.94</c:v>
                </c:pt>
                <c:pt idx="1">
                  <c:v>108.16800000000001</c:v>
                </c:pt>
                <c:pt idx="2">
                  <c:v>144.47333333333333</c:v>
                </c:pt>
                <c:pt idx="3">
                  <c:v>119.67750000000001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4B-4AA7-861F-2CE577317C80}"/>
            </c:ext>
          </c:extLst>
        </c:ser>
        <c:ser>
          <c:idx val="2"/>
          <c:order val="2"/>
          <c:tx>
            <c:strRef>
              <c:f>'A-Ci_results'!$Q$2</c:f>
              <c:strCache>
                <c:ptCount val="1"/>
                <c:pt idx="0">
                  <c:v>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'A-Ci_results'!$N$3:$N$6</c:f>
              <c:strCache>
                <c:ptCount val="4"/>
                <c:pt idx="0">
                  <c:v>CL</c:v>
                </c:pt>
                <c:pt idx="1">
                  <c:v>DL</c:v>
                </c:pt>
                <c:pt idx="2">
                  <c:v>WL</c:v>
                </c:pt>
                <c:pt idx="3">
                  <c:v>WDL</c:v>
                </c:pt>
              </c:strCache>
            </c:strRef>
          </c:xVal>
          <c:yVal>
            <c:numRef>
              <c:f>'A-Ci_results'!$Q$3:$Q$6</c:f>
              <c:numCache>
                <c:formatCode>General</c:formatCode>
                <c:ptCount val="4"/>
                <c:pt idx="0">
                  <c:v>1.3299999999999998</c:v>
                </c:pt>
                <c:pt idx="1">
                  <c:v>1.0880000000000001</c:v>
                </c:pt>
                <c:pt idx="2">
                  <c:v>1.156666666666667</c:v>
                </c:pt>
                <c:pt idx="3">
                  <c:v>0.85750000000000004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4B-4AA7-861F-2CE577317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870688"/>
        <c:axId val="1345984496"/>
      </c:scatterChart>
      <c:valAx>
        <c:axId val="121787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5984496"/>
        <c:crosses val="autoZero"/>
        <c:crossBetween val="midCat"/>
      </c:valAx>
      <c:valAx>
        <c:axId val="13459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7870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'A-Ci_results'!$K$2</c:f>
              <c:strCache>
                <c:ptCount val="1"/>
                <c:pt idx="0">
                  <c:v>Vcmax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'A-Ci_results'!$J$3:$J$6</c:f>
              <c:strCache>
                <c:ptCount val="4"/>
                <c:pt idx="0">
                  <c:v>CL</c:v>
                </c:pt>
                <c:pt idx="1">
                  <c:v>DL</c:v>
                </c:pt>
                <c:pt idx="2">
                  <c:v>WL</c:v>
                </c:pt>
                <c:pt idx="3">
                  <c:v>WDL</c:v>
                </c:pt>
              </c:strCache>
            </c:strRef>
          </c:xVal>
          <c:yVal>
            <c:numRef>
              <c:f>'A-Ci_results'!$K$3:$K$6</c:f>
              <c:numCache>
                <c:formatCode>General</c:formatCode>
                <c:ptCount val="4"/>
                <c:pt idx="0">
                  <c:v>86.833999999999989</c:v>
                </c:pt>
                <c:pt idx="1">
                  <c:v>72.397999999999996</c:v>
                </c:pt>
                <c:pt idx="2">
                  <c:v>78.60499999999999</c:v>
                </c:pt>
                <c:pt idx="3">
                  <c:v>81.150000000000006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1B-4EA7-A275-BA6BF020DB13}"/>
            </c:ext>
          </c:extLst>
        </c:ser>
        <c:ser>
          <c:idx val="1"/>
          <c:order val="1"/>
          <c:tx>
            <c:strRef>
              <c:f>'A-Ci_results'!$L$2</c:f>
              <c:strCache>
                <c:ptCount val="1"/>
                <c:pt idx="0">
                  <c:v>Jmax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'A-Ci_results'!$J$3:$J$6</c:f>
              <c:strCache>
                <c:ptCount val="4"/>
                <c:pt idx="0">
                  <c:v>CL</c:v>
                </c:pt>
                <c:pt idx="1">
                  <c:v>DL</c:v>
                </c:pt>
                <c:pt idx="2">
                  <c:v>WL</c:v>
                </c:pt>
                <c:pt idx="3">
                  <c:v>WDL</c:v>
                </c:pt>
              </c:strCache>
            </c:strRef>
          </c:xVal>
          <c:yVal>
            <c:numRef>
              <c:f>'A-Ci_results'!$L$3:$L$6</c:f>
              <c:numCache>
                <c:formatCode>General</c:formatCode>
                <c:ptCount val="4"/>
                <c:pt idx="0">
                  <c:v>140.94</c:v>
                </c:pt>
                <c:pt idx="1">
                  <c:v>108.16800000000001</c:v>
                </c:pt>
                <c:pt idx="2">
                  <c:v>139.065</c:v>
                </c:pt>
                <c:pt idx="3">
                  <c:v>129.79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1B-4EA7-A275-BA6BF020DB13}"/>
            </c:ext>
          </c:extLst>
        </c:ser>
        <c:ser>
          <c:idx val="2"/>
          <c:order val="2"/>
          <c:tx>
            <c:strRef>
              <c:f>'A-Ci_results'!$M$2</c:f>
              <c:strCache>
                <c:ptCount val="1"/>
                <c:pt idx="0">
                  <c:v>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'A-Ci_results'!$J$3:$J$6</c:f>
              <c:strCache>
                <c:ptCount val="4"/>
                <c:pt idx="0">
                  <c:v>CL</c:v>
                </c:pt>
                <c:pt idx="1">
                  <c:v>DL</c:v>
                </c:pt>
                <c:pt idx="2">
                  <c:v>WL</c:v>
                </c:pt>
                <c:pt idx="3">
                  <c:v>WDL</c:v>
                </c:pt>
              </c:strCache>
            </c:strRef>
          </c:xVal>
          <c:yVal>
            <c:numRef>
              <c:f>'A-Ci_results'!$M$3:$M$6</c:f>
              <c:numCache>
                <c:formatCode>General</c:formatCode>
                <c:ptCount val="4"/>
                <c:pt idx="0">
                  <c:v>1.3299999999999998</c:v>
                </c:pt>
                <c:pt idx="1">
                  <c:v>1.0880000000000001</c:v>
                </c:pt>
                <c:pt idx="2">
                  <c:v>1.2425000000000002</c:v>
                </c:pt>
                <c:pt idx="3">
                  <c:v>1.0266666666666668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1B-4EA7-A275-BA6BF020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870224"/>
        <c:axId val="1346055056"/>
      </c:scatterChart>
      <c:valAx>
        <c:axId val="12178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6055056"/>
        <c:crosses val="autoZero"/>
        <c:crossBetween val="midCat"/>
      </c:valAx>
      <c:valAx>
        <c:axId val="13460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78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262890</xdr:colOff>
      <xdr:row>6</xdr:row>
      <xdr:rowOff>76200</xdr:rowOff>
    </xdr:from>
    <xdr:to>
      <xdr:col>21</xdr:col>
      <xdr:colOff>140970</xdr:colOff>
      <xdr:row>18</xdr:row>
      <xdr:rowOff>144780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DA2F2F-BDFC-DB42-183E-6FA243950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270510</xdr:colOff>
      <xdr:row>6</xdr:row>
      <xdr:rowOff>68580</xdr:rowOff>
    </xdr:from>
    <xdr:to>
      <xdr:col>14</xdr:col>
      <xdr:colOff>148590</xdr:colOff>
      <xdr:row>18</xdr:row>
      <xdr:rowOff>137160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F47C95D-27F4-B79E-DF8E-B0AA845D2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workbookViewId="0">
      <selection activeCell="A25" activeCellId="1" sqref="A23:G23 A25:G27"/>
    </sheetView>
  </sheetViews>
  <sheetFormatPr defaultRowHeight="17.399999999999999" x14ac:dyDescent="0.4"/>
  <cols>
    <col min="4" max="4" width="44.296875" bestFit="1" customWidth="1"/>
  </cols>
  <sheetData>
    <row r="1" spans="1:17" s="1" customFormat="1" ht="18" thickBot="1" x14ac:dyDescent="0.4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" t="s">
        <v>159</v>
      </c>
    </row>
    <row r="2" spans="1:17" ht="18.600000000000001" thickTop="1" thickBot="1" x14ac:dyDescent="0.45">
      <c r="A2" s="8" t="s">
        <v>21</v>
      </c>
      <c r="B2" t="s">
        <v>22</v>
      </c>
      <c r="C2" t="s">
        <v>23</v>
      </c>
      <c r="D2" t="s">
        <v>162</v>
      </c>
      <c r="E2">
        <v>99.19</v>
      </c>
      <c r="F2">
        <v>147.85</v>
      </c>
      <c r="G2" s="9">
        <v>1.72</v>
      </c>
      <c r="J2" s="1"/>
      <c r="K2" s="1" t="s">
        <v>4</v>
      </c>
      <c r="L2" s="1" t="s">
        <v>5</v>
      </c>
      <c r="M2" s="1" t="s">
        <v>6</v>
      </c>
      <c r="N2" s="19"/>
      <c r="O2" s="20" t="s">
        <v>4</v>
      </c>
      <c r="P2" s="20" t="s">
        <v>5</v>
      </c>
      <c r="Q2" s="21" t="s">
        <v>6</v>
      </c>
    </row>
    <row r="3" spans="1:17" ht="18" thickTop="1" x14ac:dyDescent="0.4">
      <c r="A3" s="8" t="s">
        <v>24</v>
      </c>
      <c r="B3" t="s">
        <v>22</v>
      </c>
      <c r="C3" t="s">
        <v>25</v>
      </c>
      <c r="D3" t="s">
        <v>24</v>
      </c>
      <c r="E3">
        <v>76.98</v>
      </c>
      <c r="F3">
        <v>147.87</v>
      </c>
      <c r="G3" s="9">
        <v>1.07</v>
      </c>
      <c r="J3" t="s">
        <v>164</v>
      </c>
      <c r="K3">
        <f>AVERAGE(E2:E6)</f>
        <v>86.833999999999989</v>
      </c>
      <c r="L3">
        <f>AVERAGE(F2:F6)</f>
        <v>140.94</v>
      </c>
      <c r="M3">
        <f>AVERAGE(G2:G6)</f>
        <v>1.3299999999999998</v>
      </c>
      <c r="N3" s="8" t="s">
        <v>164</v>
      </c>
      <c r="O3">
        <f>AVERAGE(E2:E6)</f>
        <v>86.833999999999989</v>
      </c>
      <c r="P3">
        <f>AVERAGE(F2:F6)</f>
        <v>140.94</v>
      </c>
      <c r="Q3" s="9">
        <f>AVERAGE(G2:G6)</f>
        <v>1.3299999999999998</v>
      </c>
    </row>
    <row r="4" spans="1:17" x14ac:dyDescent="0.4">
      <c r="A4" s="8" t="s">
        <v>33</v>
      </c>
      <c r="B4" t="s">
        <v>34</v>
      </c>
      <c r="C4" t="s">
        <v>35</v>
      </c>
      <c r="D4" t="s">
        <v>33</v>
      </c>
      <c r="E4">
        <v>73.44</v>
      </c>
      <c r="F4">
        <v>102.86</v>
      </c>
      <c r="G4" s="9">
        <v>0.88</v>
      </c>
      <c r="J4" t="s">
        <v>165</v>
      </c>
      <c r="K4">
        <f>AVERAGE(E8:E12)</f>
        <v>72.397999999999996</v>
      </c>
      <c r="L4">
        <f>AVERAGE(F8:F12)</f>
        <v>108.16800000000001</v>
      </c>
      <c r="M4">
        <f>AVERAGE(G8:G12)</f>
        <v>1.0880000000000001</v>
      </c>
      <c r="N4" s="8" t="s">
        <v>165</v>
      </c>
      <c r="O4">
        <f>AVERAGE(E8:E12)</f>
        <v>72.397999999999996</v>
      </c>
      <c r="P4">
        <f>AVERAGE(F8:F12)</f>
        <v>108.16800000000001</v>
      </c>
      <c r="Q4" s="9">
        <f>AVERAGE(G8:G12)</f>
        <v>1.0880000000000001</v>
      </c>
    </row>
    <row r="5" spans="1:17" x14ac:dyDescent="0.4">
      <c r="A5" s="8" t="s">
        <v>38</v>
      </c>
      <c r="B5" t="s">
        <v>39</v>
      </c>
      <c r="C5" t="s">
        <v>40</v>
      </c>
      <c r="D5" t="s">
        <v>38</v>
      </c>
      <c r="E5">
        <v>88.78</v>
      </c>
      <c r="F5">
        <v>153</v>
      </c>
      <c r="G5" s="9">
        <v>1.47</v>
      </c>
      <c r="J5" t="s">
        <v>166</v>
      </c>
      <c r="K5">
        <f>AVERAGE(E16:E19)</f>
        <v>78.60499999999999</v>
      </c>
      <c r="L5">
        <f>AVERAGE(F16:F19)</f>
        <v>139.065</v>
      </c>
      <c r="M5">
        <f>AVERAGE(G16:G19)</f>
        <v>1.2425000000000002</v>
      </c>
      <c r="N5" s="8" t="s">
        <v>166</v>
      </c>
      <c r="O5">
        <f>AVERAGE(E16,E18:E19)</f>
        <v>84.706666666666663</v>
      </c>
      <c r="P5">
        <f>AVERAGE(F16,F18:F19)</f>
        <v>144.47333333333333</v>
      </c>
      <c r="Q5" s="9">
        <f>AVERAGE(G16,G18:G19)</f>
        <v>1.156666666666667</v>
      </c>
    </row>
    <row r="6" spans="1:17" ht="18" thickBot="1" x14ac:dyDescent="0.45">
      <c r="A6" s="8" t="s">
        <v>43</v>
      </c>
      <c r="B6" t="s">
        <v>39</v>
      </c>
      <c r="C6" t="s">
        <v>44</v>
      </c>
      <c r="D6" t="s">
        <v>43</v>
      </c>
      <c r="E6">
        <v>95.78</v>
      </c>
      <c r="F6">
        <v>153.12</v>
      </c>
      <c r="G6" s="9">
        <v>1.51</v>
      </c>
      <c r="J6" t="s">
        <v>167</v>
      </c>
      <c r="K6">
        <f>AVERAGE(E21,E23:E27)</f>
        <v>81.150000000000006</v>
      </c>
      <c r="L6">
        <f>AVERAGE(F21,F23:F27)</f>
        <v>129.79</v>
      </c>
      <c r="M6">
        <f>AVERAGE(G21,G23:G27)</f>
        <v>1.0266666666666668</v>
      </c>
      <c r="N6" s="10" t="s">
        <v>167</v>
      </c>
      <c r="O6" s="2">
        <f>AVERAGE(E25:E27,E23)</f>
        <v>74.872500000000002</v>
      </c>
      <c r="P6" s="2">
        <f>AVERAGE(F25:F27,F23)</f>
        <v>119.67750000000001</v>
      </c>
      <c r="Q6" s="12">
        <f>AVERAGE(G25:G27,G23)</f>
        <v>0.85750000000000004</v>
      </c>
    </row>
    <row r="7" spans="1:17" s="2" customFormat="1" ht="18" thickBot="1" x14ac:dyDescent="0.45">
      <c r="A7" s="10" t="s">
        <v>45</v>
      </c>
      <c r="B7" s="2" t="s">
        <v>39</v>
      </c>
      <c r="C7" s="2" t="s">
        <v>46</v>
      </c>
      <c r="D7" s="4" t="s">
        <v>45</v>
      </c>
      <c r="E7" s="4">
        <v>82.3</v>
      </c>
      <c r="F7" s="4">
        <v>109.97</v>
      </c>
      <c r="G7" s="11">
        <v>0.96</v>
      </c>
      <c r="H7" s="2" t="s">
        <v>160</v>
      </c>
      <c r="J7"/>
      <c r="K7"/>
      <c r="L7"/>
      <c r="M7"/>
      <c r="N7"/>
      <c r="O7"/>
      <c r="P7"/>
      <c r="Q7"/>
    </row>
    <row r="8" spans="1:17" x14ac:dyDescent="0.4">
      <c r="A8" s="8" t="s">
        <v>7</v>
      </c>
      <c r="B8" t="s">
        <v>8</v>
      </c>
      <c r="C8" t="s">
        <v>9</v>
      </c>
      <c r="D8" t="s">
        <v>7</v>
      </c>
      <c r="E8">
        <v>88.87</v>
      </c>
      <c r="F8">
        <v>125.48</v>
      </c>
      <c r="G8" s="9">
        <v>1.27</v>
      </c>
      <c r="J8">
        <v>75</v>
      </c>
      <c r="K8">
        <f>AVERAGE(E30:E33)</f>
        <v>83.254999999999995</v>
      </c>
      <c r="L8">
        <f>AVERAGE(F30:F33)</f>
        <v>166.10500000000002</v>
      </c>
      <c r="M8">
        <f>AVERAGE(G30:G33)</f>
        <v>1.2574999999999998</v>
      </c>
    </row>
    <row r="9" spans="1:17" x14ac:dyDescent="0.4">
      <c r="A9" s="8" t="s">
        <v>10</v>
      </c>
      <c r="B9" t="s">
        <v>8</v>
      </c>
      <c r="C9" t="s">
        <v>11</v>
      </c>
      <c r="D9" t="s">
        <v>10</v>
      </c>
      <c r="E9">
        <v>62.17</v>
      </c>
      <c r="F9">
        <v>109.01</v>
      </c>
      <c r="G9" s="9">
        <v>1.01</v>
      </c>
      <c r="J9">
        <v>25</v>
      </c>
      <c r="K9">
        <f>AVERAGE(E34:E37)</f>
        <v>75.332499999999996</v>
      </c>
      <c r="L9">
        <f>AVERAGE(F34:F37)</f>
        <v>130.96</v>
      </c>
      <c r="M9">
        <f>AVERAGE(G34:G37)</f>
        <v>1.3324999999999998</v>
      </c>
    </row>
    <row r="10" spans="1:17" x14ac:dyDescent="0.4">
      <c r="A10" s="8" t="s">
        <v>12</v>
      </c>
      <c r="B10" t="s">
        <v>8</v>
      </c>
      <c r="C10" t="s">
        <v>13</v>
      </c>
      <c r="D10" t="s">
        <v>12</v>
      </c>
      <c r="E10">
        <v>59.71</v>
      </c>
      <c r="F10">
        <v>109.54</v>
      </c>
      <c r="G10" s="9">
        <v>1.57</v>
      </c>
    </row>
    <row r="11" spans="1:17" x14ac:dyDescent="0.4">
      <c r="A11" s="8" t="s">
        <v>148</v>
      </c>
      <c r="B11" t="s">
        <v>147</v>
      </c>
      <c r="C11" t="s">
        <v>149</v>
      </c>
      <c r="D11" t="s">
        <v>148</v>
      </c>
      <c r="E11">
        <v>79.64</v>
      </c>
      <c r="F11">
        <v>108.26</v>
      </c>
      <c r="G11" s="9">
        <v>0.92</v>
      </c>
    </row>
    <row r="12" spans="1:17" s="2" customFormat="1" ht="18" thickBot="1" x14ac:dyDescent="0.45">
      <c r="A12" s="10" t="s">
        <v>145</v>
      </c>
      <c r="B12" s="2" t="s">
        <v>147</v>
      </c>
      <c r="C12" s="2" t="s">
        <v>146</v>
      </c>
      <c r="D12" s="2" t="s">
        <v>145</v>
      </c>
      <c r="E12" s="2">
        <v>71.599999999999994</v>
      </c>
      <c r="F12" s="2">
        <v>88.55</v>
      </c>
      <c r="G12" s="12">
        <v>0.67</v>
      </c>
    </row>
    <row r="13" spans="1:17" ht="18" thickBot="1" x14ac:dyDescent="0.45">
      <c r="A13" s="8" t="s">
        <v>14</v>
      </c>
      <c r="B13" t="s">
        <v>15</v>
      </c>
      <c r="C13" t="s">
        <v>16</v>
      </c>
      <c r="D13" s="5" t="s">
        <v>14</v>
      </c>
      <c r="E13" s="5">
        <v>64.78</v>
      </c>
      <c r="F13" s="5">
        <v>134.08000000000001</v>
      </c>
      <c r="G13" s="13">
        <v>5.26</v>
      </c>
      <c r="H13" s="2" t="s">
        <v>160</v>
      </c>
    </row>
    <row r="14" spans="1:17" x14ac:dyDescent="0.4">
      <c r="A14" s="8" t="s">
        <v>17</v>
      </c>
      <c r="B14" t="s">
        <v>15</v>
      </c>
      <c r="C14" t="s">
        <v>18</v>
      </c>
      <c r="D14" s="6" t="s">
        <v>17</v>
      </c>
      <c r="E14" s="6">
        <v>56.03</v>
      </c>
      <c r="F14" s="6">
        <v>70.989999999999995</v>
      </c>
      <c r="G14" s="14">
        <v>0.83</v>
      </c>
    </row>
    <row r="15" spans="1:17" x14ac:dyDescent="0.4">
      <c r="A15" s="8" t="s">
        <v>19</v>
      </c>
      <c r="B15" t="s">
        <v>15</v>
      </c>
      <c r="C15" t="s">
        <v>20</v>
      </c>
      <c r="D15" t="s">
        <v>19</v>
      </c>
      <c r="E15">
        <v>50.32</v>
      </c>
      <c r="F15">
        <v>75.3</v>
      </c>
      <c r="G15" s="9">
        <v>0.98</v>
      </c>
    </row>
    <row r="16" spans="1:17" x14ac:dyDescent="0.4">
      <c r="A16" s="8" t="s">
        <v>119</v>
      </c>
      <c r="B16" t="s">
        <v>114</v>
      </c>
      <c r="C16" t="s">
        <v>120</v>
      </c>
      <c r="D16" t="s">
        <v>119</v>
      </c>
      <c r="E16">
        <v>85.85</v>
      </c>
      <c r="F16">
        <v>139.55000000000001</v>
      </c>
      <c r="G16" s="9">
        <v>1.27</v>
      </c>
    </row>
    <row r="17" spans="1:8" x14ac:dyDescent="0.4">
      <c r="A17" s="8" t="s">
        <v>117</v>
      </c>
      <c r="B17" t="s">
        <v>114</v>
      </c>
      <c r="C17" t="s">
        <v>118</v>
      </c>
      <c r="D17" t="s">
        <v>117</v>
      </c>
      <c r="E17">
        <v>60.3</v>
      </c>
      <c r="F17">
        <v>122.84</v>
      </c>
      <c r="G17" s="9">
        <v>1.5</v>
      </c>
    </row>
    <row r="18" spans="1:8" x14ac:dyDescent="0.4">
      <c r="A18" s="8" t="s">
        <v>112</v>
      </c>
      <c r="B18" t="s">
        <v>114</v>
      </c>
      <c r="C18" t="s">
        <v>113</v>
      </c>
      <c r="D18" t="s">
        <v>163</v>
      </c>
      <c r="E18">
        <v>80.099999999999994</v>
      </c>
      <c r="F18">
        <v>143.61000000000001</v>
      </c>
      <c r="G18" s="9">
        <v>1.0900000000000001</v>
      </c>
    </row>
    <row r="19" spans="1:8" s="2" customFormat="1" ht="18" thickBot="1" x14ac:dyDescent="0.45">
      <c r="A19" s="10" t="s">
        <v>108</v>
      </c>
      <c r="B19" s="2" t="s">
        <v>106</v>
      </c>
      <c r="C19" s="2" t="s">
        <v>109</v>
      </c>
      <c r="D19" s="2" t="s">
        <v>108</v>
      </c>
      <c r="E19" s="2">
        <v>88.17</v>
      </c>
      <c r="F19" s="2">
        <v>150.26</v>
      </c>
      <c r="G19" s="12">
        <v>1.1100000000000001</v>
      </c>
    </row>
    <row r="20" spans="1:8" ht="18" thickBot="1" x14ac:dyDescent="0.45">
      <c r="A20" s="8" t="s">
        <v>26</v>
      </c>
      <c r="B20" t="s">
        <v>22</v>
      </c>
      <c r="C20" t="s">
        <v>27</v>
      </c>
      <c r="D20" s="5" t="s">
        <v>26</v>
      </c>
      <c r="E20" s="5">
        <v>39.549999999999997</v>
      </c>
      <c r="F20" s="5">
        <v>56.49</v>
      </c>
      <c r="G20" s="13">
        <v>1.19</v>
      </c>
      <c r="H20" s="2" t="s">
        <v>160</v>
      </c>
    </row>
    <row r="21" spans="1:8" x14ac:dyDescent="0.4">
      <c r="A21" s="8" t="s">
        <v>28</v>
      </c>
      <c r="B21" t="s">
        <v>29</v>
      </c>
      <c r="C21" t="s">
        <v>30</v>
      </c>
      <c r="D21" t="s">
        <v>28</v>
      </c>
      <c r="E21">
        <v>95.15</v>
      </c>
      <c r="F21">
        <v>157.71</v>
      </c>
      <c r="G21" s="9">
        <v>1.54</v>
      </c>
    </row>
    <row r="22" spans="1:8" ht="18" thickBot="1" x14ac:dyDescent="0.45">
      <c r="A22" s="8" t="s">
        <v>31</v>
      </c>
      <c r="B22" t="s">
        <v>29</v>
      </c>
      <c r="C22" t="s">
        <v>32</v>
      </c>
      <c r="D22" s="5" t="s">
        <v>31</v>
      </c>
      <c r="E22" s="5">
        <v>92.93</v>
      </c>
      <c r="F22" s="5">
        <v>140.36000000000001</v>
      </c>
      <c r="G22" s="13">
        <v>1.43</v>
      </c>
      <c r="H22" s="2" t="s">
        <v>160</v>
      </c>
    </row>
    <row r="23" spans="1:8" x14ac:dyDescent="0.4">
      <c r="A23" s="8" t="s">
        <v>123</v>
      </c>
      <c r="B23" t="s">
        <v>114</v>
      </c>
      <c r="C23" t="s">
        <v>124</v>
      </c>
      <c r="D23" t="s">
        <v>123</v>
      </c>
      <c r="E23">
        <v>79.63</v>
      </c>
      <c r="F23">
        <v>143.97999999999999</v>
      </c>
      <c r="G23" s="9">
        <v>0.79</v>
      </c>
    </row>
    <row r="24" spans="1:8" x14ac:dyDescent="0.4">
      <c r="A24" s="8" t="s">
        <v>121</v>
      </c>
      <c r="B24" t="s">
        <v>114</v>
      </c>
      <c r="C24" t="s">
        <v>122</v>
      </c>
      <c r="D24" t="s">
        <v>121</v>
      </c>
      <c r="E24">
        <v>92.26</v>
      </c>
      <c r="F24">
        <v>142.32</v>
      </c>
      <c r="G24" s="9">
        <v>1.19</v>
      </c>
    </row>
    <row r="25" spans="1:8" x14ac:dyDescent="0.4">
      <c r="A25" s="8" t="s">
        <v>115</v>
      </c>
      <c r="B25" t="s">
        <v>114</v>
      </c>
      <c r="C25" t="s">
        <v>116</v>
      </c>
      <c r="D25" t="s">
        <v>115</v>
      </c>
      <c r="E25">
        <v>66</v>
      </c>
      <c r="F25">
        <v>107.65</v>
      </c>
      <c r="G25" s="9">
        <v>0.79</v>
      </c>
    </row>
    <row r="26" spans="1:8" x14ac:dyDescent="0.4">
      <c r="A26" s="8" t="s">
        <v>110</v>
      </c>
      <c r="B26" t="s">
        <v>106</v>
      </c>
      <c r="C26" t="s">
        <v>111</v>
      </c>
      <c r="D26" t="s">
        <v>110</v>
      </c>
      <c r="E26">
        <v>75.91</v>
      </c>
      <c r="F26">
        <v>113.9</v>
      </c>
      <c r="G26" s="9">
        <v>1.06</v>
      </c>
    </row>
    <row r="27" spans="1:8" s="2" customFormat="1" ht="18" thickBot="1" x14ac:dyDescent="0.45">
      <c r="A27" s="10" t="s">
        <v>137</v>
      </c>
      <c r="B27" s="2" t="s">
        <v>106</v>
      </c>
      <c r="C27" s="2" t="s">
        <v>138</v>
      </c>
      <c r="D27" s="2" t="s">
        <v>137</v>
      </c>
      <c r="E27" s="2">
        <v>77.95</v>
      </c>
      <c r="F27" s="2">
        <v>113.18</v>
      </c>
      <c r="G27" s="12">
        <v>0.79</v>
      </c>
    </row>
    <row r="28" spans="1:8" ht="18" thickBot="1" x14ac:dyDescent="0.45">
      <c r="A28" s="8" t="s">
        <v>36</v>
      </c>
      <c r="B28" t="s">
        <v>34</v>
      </c>
      <c r="C28" t="s">
        <v>37</v>
      </c>
      <c r="D28" s="5" t="s">
        <v>36</v>
      </c>
      <c r="E28" s="5">
        <v>85.65</v>
      </c>
      <c r="F28" s="5">
        <v>101.98</v>
      </c>
      <c r="G28" s="13">
        <v>1.1599999999999999</v>
      </c>
      <c r="H28" s="2" t="s">
        <v>160</v>
      </c>
    </row>
    <row r="29" spans="1:8" ht="18" thickBot="1" x14ac:dyDescent="0.45">
      <c r="A29" s="8" t="s">
        <v>41</v>
      </c>
      <c r="B29" t="s">
        <v>39</v>
      </c>
      <c r="C29" t="s">
        <v>42</v>
      </c>
      <c r="D29" s="5" t="s">
        <v>41</v>
      </c>
      <c r="E29" s="5">
        <v>91.73</v>
      </c>
      <c r="F29" s="5">
        <v>131.66</v>
      </c>
      <c r="G29" s="13">
        <v>1.1599999999999999</v>
      </c>
      <c r="H29" s="2" t="s">
        <v>160</v>
      </c>
    </row>
    <row r="30" spans="1:8" x14ac:dyDescent="0.4">
      <c r="A30" s="8" t="s">
        <v>107</v>
      </c>
      <c r="B30" t="s">
        <v>106</v>
      </c>
      <c r="C30" t="s">
        <v>64</v>
      </c>
      <c r="D30" t="s">
        <v>107</v>
      </c>
      <c r="E30">
        <v>60.79</v>
      </c>
      <c r="F30">
        <v>134.36000000000001</v>
      </c>
      <c r="G30" s="9">
        <v>1.52</v>
      </c>
    </row>
    <row r="31" spans="1:8" x14ac:dyDescent="0.4">
      <c r="A31" s="8" t="s">
        <v>104</v>
      </c>
      <c r="B31" t="s">
        <v>106</v>
      </c>
      <c r="C31" t="s">
        <v>105</v>
      </c>
      <c r="D31" t="s">
        <v>104</v>
      </c>
      <c r="E31">
        <v>82.29</v>
      </c>
      <c r="F31">
        <v>135.22</v>
      </c>
      <c r="G31" s="9">
        <v>1.1599999999999999</v>
      </c>
    </row>
    <row r="32" spans="1:8" x14ac:dyDescent="0.4">
      <c r="A32" s="8" t="s">
        <v>152</v>
      </c>
      <c r="B32" t="s">
        <v>147</v>
      </c>
      <c r="C32" t="s">
        <v>151</v>
      </c>
      <c r="D32" s="6" t="s">
        <v>152</v>
      </c>
      <c r="E32" s="6">
        <v>97.63</v>
      </c>
      <c r="F32" s="6">
        <v>192.73</v>
      </c>
      <c r="G32" s="14">
        <v>1.1499999999999999</v>
      </c>
    </row>
    <row r="33" spans="1:7" s="2" customFormat="1" ht="18" thickBot="1" x14ac:dyDescent="0.45">
      <c r="A33" s="10" t="s">
        <v>150</v>
      </c>
      <c r="B33" s="2" t="s">
        <v>147</v>
      </c>
      <c r="C33" s="2" t="s">
        <v>151</v>
      </c>
      <c r="D33" s="7" t="s">
        <v>150</v>
      </c>
      <c r="E33" s="7">
        <v>92.31</v>
      </c>
      <c r="F33" s="7">
        <v>202.11</v>
      </c>
      <c r="G33" s="15">
        <v>1.2</v>
      </c>
    </row>
    <row r="34" spans="1:7" x14ac:dyDescent="0.4">
      <c r="A34" s="8" t="s">
        <v>94</v>
      </c>
      <c r="B34" t="s">
        <v>90</v>
      </c>
      <c r="C34" t="s">
        <v>95</v>
      </c>
      <c r="D34" t="s">
        <v>94</v>
      </c>
      <c r="E34">
        <v>78.34</v>
      </c>
      <c r="F34">
        <v>143.36000000000001</v>
      </c>
      <c r="G34" s="9">
        <v>1.44</v>
      </c>
    </row>
    <row r="35" spans="1:7" x14ac:dyDescent="0.4">
      <c r="A35" s="8" t="s">
        <v>92</v>
      </c>
      <c r="B35" t="s">
        <v>90</v>
      </c>
      <c r="C35" t="s">
        <v>93</v>
      </c>
      <c r="D35" t="s">
        <v>92</v>
      </c>
      <c r="E35">
        <v>76.53</v>
      </c>
      <c r="F35">
        <v>143.36000000000001</v>
      </c>
      <c r="G35" s="9">
        <v>1.1599999999999999</v>
      </c>
    </row>
    <row r="36" spans="1:7" x14ac:dyDescent="0.4">
      <c r="A36" s="8" t="s">
        <v>91</v>
      </c>
      <c r="B36" t="s">
        <v>90</v>
      </c>
      <c r="C36" t="s">
        <v>78</v>
      </c>
      <c r="D36" s="6" t="s">
        <v>91</v>
      </c>
      <c r="E36" s="6">
        <v>60.82</v>
      </c>
      <c r="F36" s="6">
        <v>98.15</v>
      </c>
      <c r="G36" s="14">
        <v>1.18</v>
      </c>
    </row>
    <row r="37" spans="1:7" s="2" customFormat="1" ht="18" thickBot="1" x14ac:dyDescent="0.45">
      <c r="A37" s="10" t="s">
        <v>88</v>
      </c>
      <c r="B37" s="2" t="s">
        <v>90</v>
      </c>
      <c r="C37" s="2" t="s">
        <v>89</v>
      </c>
      <c r="D37" s="7" t="s">
        <v>88</v>
      </c>
      <c r="E37" s="7">
        <v>85.64</v>
      </c>
      <c r="F37" s="7">
        <v>138.97</v>
      </c>
      <c r="G37" s="15">
        <v>1.55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opLeftCell="A15" workbookViewId="0">
      <selection activeCell="D32" sqref="D32"/>
    </sheetView>
  </sheetViews>
  <sheetFormatPr defaultRowHeight="17.399999999999999" x14ac:dyDescent="0.4"/>
  <cols>
    <col min="4" max="4" width="44.59765625" bestFit="1" customWidth="1"/>
  </cols>
  <sheetData>
    <row r="1" spans="1:15" s="1" customFormat="1" x14ac:dyDescent="0.4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6</v>
      </c>
      <c r="I1" s="1" t="s">
        <v>159</v>
      </c>
    </row>
    <row r="2" spans="1:15" x14ac:dyDescent="0.4">
      <c r="A2" t="s">
        <v>63</v>
      </c>
      <c r="B2" t="s">
        <v>22</v>
      </c>
      <c r="C2" t="s">
        <v>64</v>
      </c>
      <c r="D2" t="s">
        <v>63</v>
      </c>
      <c r="E2">
        <v>4.6399999999999997E-2</v>
      </c>
      <c r="F2">
        <v>0.87580000000000002</v>
      </c>
      <c r="G2">
        <v>21.82</v>
      </c>
      <c r="H2">
        <v>1.41</v>
      </c>
      <c r="K2" s="1" t="s">
        <v>87</v>
      </c>
      <c r="L2" s="1" t="s">
        <v>48</v>
      </c>
      <c r="M2" s="1" t="s">
        <v>49</v>
      </c>
      <c r="N2" s="1" t="s">
        <v>50</v>
      </c>
      <c r="O2" s="1" t="s">
        <v>6</v>
      </c>
    </row>
    <row r="3" spans="1:15" x14ac:dyDescent="0.4">
      <c r="A3" t="s">
        <v>65</v>
      </c>
      <c r="B3" t="s">
        <v>22</v>
      </c>
      <c r="C3" t="s">
        <v>66</v>
      </c>
      <c r="D3" t="s">
        <v>65</v>
      </c>
      <c r="E3">
        <v>4.7500000000000001E-2</v>
      </c>
      <c r="F3">
        <v>0.76870000000000005</v>
      </c>
      <c r="G3">
        <v>17.559999999999999</v>
      </c>
      <c r="H3">
        <v>1.07</v>
      </c>
      <c r="K3">
        <v>100</v>
      </c>
      <c r="L3">
        <f>AVERAGE(E2:E6)</f>
        <v>4.8659999999999995E-2</v>
      </c>
      <c r="M3">
        <f>AVERAGE(F2:F6)</f>
        <v>0.80571999999999999</v>
      </c>
      <c r="N3">
        <f>AVERAGE(G2:G6)</f>
        <v>18.532</v>
      </c>
      <c r="O3">
        <f>AVERAGE(H2:H6)</f>
        <v>0.91400000000000003</v>
      </c>
    </row>
    <row r="4" spans="1:15" x14ac:dyDescent="0.4">
      <c r="A4" t="s">
        <v>73</v>
      </c>
      <c r="B4" t="s">
        <v>34</v>
      </c>
      <c r="C4" t="s">
        <v>74</v>
      </c>
      <c r="D4" t="s">
        <v>73</v>
      </c>
      <c r="E4">
        <v>4.65E-2</v>
      </c>
      <c r="F4">
        <v>0.80640000000000001</v>
      </c>
      <c r="G4">
        <v>18.14</v>
      </c>
      <c r="H4">
        <v>0.8</v>
      </c>
      <c r="K4">
        <v>50</v>
      </c>
      <c r="L4">
        <f>AVERAGE(E8:E9,E11)</f>
        <v>4.253333333333334E-2</v>
      </c>
      <c r="M4">
        <f>AVERAGE(F8:F9,F11)</f>
        <v>0.70696666666666663</v>
      </c>
      <c r="N4">
        <f>AVERAGE(G8:G9,G11)</f>
        <v>19.39</v>
      </c>
      <c r="O4">
        <f>AVERAGE(H8:H9,H11)</f>
        <v>0.6333333333333333</v>
      </c>
    </row>
    <row r="5" spans="1:15" x14ac:dyDescent="0.4">
      <c r="A5" t="s">
        <v>79</v>
      </c>
      <c r="B5" t="s">
        <v>39</v>
      </c>
      <c r="C5" t="s">
        <v>80</v>
      </c>
      <c r="D5" t="s">
        <v>79</v>
      </c>
      <c r="E5">
        <v>5.0900000000000001E-2</v>
      </c>
      <c r="F5">
        <v>0.78490000000000004</v>
      </c>
      <c r="G5">
        <v>19.079999999999998</v>
      </c>
      <c r="H5">
        <v>0.66</v>
      </c>
      <c r="K5" t="s">
        <v>85</v>
      </c>
      <c r="L5">
        <f>AVERAGE(E13:E18)</f>
        <v>4.5699999999999998E-2</v>
      </c>
      <c r="M5">
        <f>AVERAGE(F13:F17)</f>
        <v>0.76050000000000006</v>
      </c>
      <c r="N5">
        <f>AVERAGE(G13:G14,G17:G18)</f>
        <v>17.164999999999999</v>
      </c>
      <c r="O5">
        <f>AVERAGE(H13:H18)</f>
        <v>0.82833333333333348</v>
      </c>
    </row>
    <row r="6" spans="1:15" x14ac:dyDescent="0.4">
      <c r="A6" t="s">
        <v>81</v>
      </c>
      <c r="B6" t="s">
        <v>39</v>
      </c>
      <c r="C6" t="s">
        <v>82</v>
      </c>
      <c r="D6" t="s">
        <v>81</v>
      </c>
      <c r="E6">
        <v>5.1999999999999998E-2</v>
      </c>
      <c r="F6">
        <v>0.79279999999999995</v>
      </c>
      <c r="G6">
        <v>16.059999999999999</v>
      </c>
      <c r="H6">
        <v>0.63</v>
      </c>
      <c r="K6" t="s">
        <v>86</v>
      </c>
      <c r="L6">
        <f>AVERAGE(E20:E25)</f>
        <v>4.7716666666666664E-2</v>
      </c>
      <c r="M6">
        <f>AVERAGE(F20:F21,F23,F25)</f>
        <v>0.75419999999999998</v>
      </c>
      <c r="N6">
        <f>AVERAGE(G20:G25)</f>
        <v>18.616666666666664</v>
      </c>
      <c r="O6">
        <f>AVERAGE(H20:H25)</f>
        <v>0.89666666666666683</v>
      </c>
    </row>
    <row r="7" spans="1:15" s="2" customFormat="1" ht="18" thickBot="1" x14ac:dyDescent="0.45">
      <c r="A7" s="2" t="s">
        <v>83</v>
      </c>
      <c r="B7" s="2" t="s">
        <v>39</v>
      </c>
      <c r="C7" s="2" t="s">
        <v>84</v>
      </c>
      <c r="D7" s="4" t="s">
        <v>83</v>
      </c>
      <c r="E7" s="4">
        <v>2.7699999999999999E-2</v>
      </c>
      <c r="F7" s="4">
        <v>0.97609999999999997</v>
      </c>
      <c r="G7" s="4">
        <v>13.99</v>
      </c>
      <c r="H7" s="4">
        <v>7.0000000000000007E-2</v>
      </c>
      <c r="I7" s="2" t="s">
        <v>160</v>
      </c>
      <c r="K7"/>
      <c r="L7"/>
      <c r="M7"/>
      <c r="N7"/>
      <c r="O7"/>
    </row>
    <row r="8" spans="1:15" x14ac:dyDescent="0.4">
      <c r="A8" t="s">
        <v>51</v>
      </c>
      <c r="B8" t="s">
        <v>8</v>
      </c>
      <c r="C8" t="s">
        <v>52</v>
      </c>
      <c r="D8" t="s">
        <v>51</v>
      </c>
      <c r="E8">
        <v>5.0700000000000002E-2</v>
      </c>
      <c r="F8">
        <v>0.59109999999999996</v>
      </c>
      <c r="G8">
        <v>22.79</v>
      </c>
      <c r="H8">
        <v>0.92</v>
      </c>
      <c r="K8">
        <v>75</v>
      </c>
      <c r="L8">
        <f>AVERAGE(E29:E32)</f>
        <v>4.8425000000000003E-2</v>
      </c>
      <c r="M8">
        <f>AVERAGE(F29:F32)</f>
        <v>0.78534999999999999</v>
      </c>
      <c r="N8">
        <f>AVERAGE(G29:G32)</f>
        <v>20.27</v>
      </c>
      <c r="O8">
        <f>AVERAGE(H29:H32)</f>
        <v>1.0775000000000001</v>
      </c>
    </row>
    <row r="9" spans="1:15" x14ac:dyDescent="0.4">
      <c r="A9" t="s">
        <v>53</v>
      </c>
      <c r="B9" t="s">
        <v>8</v>
      </c>
      <c r="C9" t="s">
        <v>54</v>
      </c>
      <c r="D9" t="s">
        <v>53</v>
      </c>
      <c r="E9">
        <v>4.3700000000000003E-2</v>
      </c>
      <c r="F9">
        <v>0.69479999999999997</v>
      </c>
      <c r="G9">
        <v>19.5</v>
      </c>
      <c r="H9">
        <v>0.28999999999999998</v>
      </c>
      <c r="K9">
        <v>25</v>
      </c>
      <c r="L9">
        <f>AVERAGE(E33:E36)</f>
        <v>4.2349999999999999E-2</v>
      </c>
      <c r="M9">
        <f>AVERAGE(F33:F36)</f>
        <v>0.72415000000000007</v>
      </c>
      <c r="N9">
        <f>AVERAGE(G33:G36)</f>
        <v>14.752500000000001</v>
      </c>
      <c r="O9">
        <f>AVERAGE(H33:H36)</f>
        <v>1.0375000000000001</v>
      </c>
    </row>
    <row r="10" spans="1:15" ht="18" thickBot="1" x14ac:dyDescent="0.45">
      <c r="A10" t="s">
        <v>55</v>
      </c>
      <c r="B10" t="s">
        <v>8</v>
      </c>
      <c r="C10" t="s">
        <v>56</v>
      </c>
      <c r="D10" s="5" t="s">
        <v>55</v>
      </c>
      <c r="E10" s="5">
        <v>4.1099999999999998E-2</v>
      </c>
      <c r="F10" s="5">
        <v>0.90649999999999997</v>
      </c>
      <c r="G10" s="5">
        <v>11.15</v>
      </c>
      <c r="H10" s="5">
        <v>0.37</v>
      </c>
      <c r="I10" s="2" t="s">
        <v>160</v>
      </c>
    </row>
    <row r="11" spans="1:15" x14ac:dyDescent="0.4">
      <c r="A11" t="s">
        <v>155</v>
      </c>
      <c r="B11" t="s">
        <v>147</v>
      </c>
      <c r="C11" t="s">
        <v>46</v>
      </c>
      <c r="D11" t="s">
        <v>155</v>
      </c>
      <c r="E11">
        <v>3.32E-2</v>
      </c>
      <c r="F11">
        <v>0.83499999999999996</v>
      </c>
      <c r="G11">
        <v>15.88</v>
      </c>
      <c r="H11">
        <v>0.69</v>
      </c>
    </row>
    <row r="12" spans="1:15" s="2" customFormat="1" ht="18" thickBot="1" x14ac:dyDescent="0.45">
      <c r="A12" s="2" t="s">
        <v>153</v>
      </c>
      <c r="B12" s="2" t="s">
        <v>147</v>
      </c>
      <c r="C12" s="2" t="s">
        <v>154</v>
      </c>
      <c r="D12" s="4" t="s">
        <v>153</v>
      </c>
      <c r="E12" s="4">
        <v>4.9799999999999997E-2</v>
      </c>
      <c r="F12" s="4">
        <v>-0.58360000000000001</v>
      </c>
      <c r="G12" s="4">
        <v>18.16</v>
      </c>
      <c r="H12" s="4">
        <v>0.98</v>
      </c>
      <c r="I12" s="2" t="s">
        <v>160</v>
      </c>
    </row>
    <row r="13" spans="1:15" x14ac:dyDescent="0.4">
      <c r="A13" t="s">
        <v>57</v>
      </c>
      <c r="B13" t="s">
        <v>15</v>
      </c>
      <c r="C13" t="s">
        <v>58</v>
      </c>
      <c r="D13" t="s">
        <v>57</v>
      </c>
      <c r="E13">
        <v>4.58E-2</v>
      </c>
      <c r="F13">
        <v>0.79210000000000003</v>
      </c>
      <c r="G13">
        <v>18.55</v>
      </c>
      <c r="H13">
        <v>0.53</v>
      </c>
    </row>
    <row r="14" spans="1:15" x14ac:dyDescent="0.4">
      <c r="A14" t="s">
        <v>59</v>
      </c>
      <c r="B14" t="s">
        <v>15</v>
      </c>
      <c r="C14" t="s">
        <v>60</v>
      </c>
      <c r="D14" t="s">
        <v>59</v>
      </c>
      <c r="E14">
        <v>4.1000000000000002E-2</v>
      </c>
      <c r="F14">
        <v>0.85970000000000002</v>
      </c>
      <c r="G14">
        <v>14.74</v>
      </c>
      <c r="H14">
        <v>0.61</v>
      </c>
    </row>
    <row r="15" spans="1:15" x14ac:dyDescent="0.4">
      <c r="A15" t="s">
        <v>61</v>
      </c>
      <c r="B15" t="s">
        <v>15</v>
      </c>
      <c r="C15" t="s">
        <v>62</v>
      </c>
      <c r="D15" t="s">
        <v>61</v>
      </c>
      <c r="E15">
        <v>4.2999999999999997E-2</v>
      </c>
      <c r="F15">
        <v>0.66010000000000002</v>
      </c>
      <c r="G15" s="5">
        <v>11.31</v>
      </c>
      <c r="H15">
        <v>0.51</v>
      </c>
      <c r="I15" t="s">
        <v>161</v>
      </c>
    </row>
    <row r="16" spans="1:15" x14ac:dyDescent="0.4">
      <c r="A16" t="s">
        <v>132</v>
      </c>
      <c r="B16" t="s">
        <v>114</v>
      </c>
      <c r="C16" t="s">
        <v>133</v>
      </c>
      <c r="D16" t="s">
        <v>132</v>
      </c>
      <c r="E16">
        <v>4.82E-2</v>
      </c>
      <c r="F16">
        <v>0.71319999999999995</v>
      </c>
      <c r="G16" s="5">
        <v>8.5</v>
      </c>
      <c r="H16">
        <v>1.17</v>
      </c>
      <c r="I16" t="s">
        <v>161</v>
      </c>
    </row>
    <row r="17" spans="1:9" x14ac:dyDescent="0.4">
      <c r="A17" t="s">
        <v>130</v>
      </c>
      <c r="B17" t="s">
        <v>114</v>
      </c>
      <c r="C17" t="s">
        <v>131</v>
      </c>
      <c r="D17" t="s">
        <v>130</v>
      </c>
      <c r="E17">
        <v>4.2700000000000002E-2</v>
      </c>
      <c r="F17">
        <v>0.77739999999999998</v>
      </c>
      <c r="G17">
        <v>15.41</v>
      </c>
      <c r="H17">
        <v>0.93</v>
      </c>
    </row>
    <row r="18" spans="1:9" s="2" customFormat="1" ht="18" thickBot="1" x14ac:dyDescent="0.45">
      <c r="A18" s="2" t="s">
        <v>125</v>
      </c>
      <c r="B18" s="2" t="s">
        <v>106</v>
      </c>
      <c r="C18" s="2" t="s">
        <v>95</v>
      </c>
      <c r="D18" s="2" t="s">
        <v>125</v>
      </c>
      <c r="E18" s="2">
        <v>5.3499999999999999E-2</v>
      </c>
      <c r="F18" s="4">
        <v>0.12570000000000001</v>
      </c>
      <c r="G18" s="2">
        <v>19.96</v>
      </c>
      <c r="H18" s="2">
        <v>1.22</v>
      </c>
      <c r="I18" t="s">
        <v>161</v>
      </c>
    </row>
    <row r="19" spans="1:9" ht="18" thickBot="1" x14ac:dyDescent="0.45">
      <c r="A19" t="s">
        <v>67</v>
      </c>
      <c r="B19" t="s">
        <v>22</v>
      </c>
      <c r="C19" t="s">
        <v>68</v>
      </c>
      <c r="D19" s="5" t="s">
        <v>67</v>
      </c>
      <c r="E19" s="5">
        <v>1.4999999999999999E-2</v>
      </c>
      <c r="F19" s="5">
        <v>0.96020000000000005</v>
      </c>
      <c r="G19" s="5">
        <v>8.18</v>
      </c>
      <c r="H19" s="5">
        <v>0.59</v>
      </c>
      <c r="I19" s="2" t="s">
        <v>160</v>
      </c>
    </row>
    <row r="20" spans="1:9" x14ac:dyDescent="0.4">
      <c r="A20" t="s">
        <v>69</v>
      </c>
      <c r="B20" t="s">
        <v>29</v>
      </c>
      <c r="C20" t="s">
        <v>70</v>
      </c>
      <c r="D20" t="s">
        <v>69</v>
      </c>
      <c r="E20">
        <v>4.4400000000000002E-2</v>
      </c>
      <c r="F20">
        <v>0.71509999999999996</v>
      </c>
      <c r="G20">
        <v>18.899999999999999</v>
      </c>
      <c r="H20">
        <v>1.26</v>
      </c>
    </row>
    <row r="21" spans="1:9" x14ac:dyDescent="0.4">
      <c r="A21" t="s">
        <v>71</v>
      </c>
      <c r="B21" t="s">
        <v>29</v>
      </c>
      <c r="C21" t="s">
        <v>72</v>
      </c>
      <c r="D21" t="s">
        <v>71</v>
      </c>
      <c r="E21">
        <v>4.5699999999999998E-2</v>
      </c>
      <c r="F21">
        <v>0.85629999999999995</v>
      </c>
      <c r="G21">
        <v>20.95</v>
      </c>
      <c r="H21">
        <v>0.94</v>
      </c>
    </row>
    <row r="22" spans="1:9" x14ac:dyDescent="0.4">
      <c r="A22" t="s">
        <v>136</v>
      </c>
      <c r="B22" t="s">
        <v>114</v>
      </c>
      <c r="C22" t="s">
        <v>93</v>
      </c>
      <c r="D22" t="s">
        <v>136</v>
      </c>
      <c r="E22">
        <v>5.4300000000000001E-2</v>
      </c>
      <c r="F22" s="5">
        <v>0.45760000000000001</v>
      </c>
      <c r="G22">
        <v>21.49</v>
      </c>
      <c r="H22">
        <v>1.1399999999999999</v>
      </c>
      <c r="I22" t="s">
        <v>161</v>
      </c>
    </row>
    <row r="23" spans="1:9" x14ac:dyDescent="0.4">
      <c r="A23" t="s">
        <v>134</v>
      </c>
      <c r="B23" t="s">
        <v>114</v>
      </c>
      <c r="C23" t="s">
        <v>135</v>
      </c>
      <c r="D23" t="s">
        <v>134</v>
      </c>
      <c r="E23">
        <v>4.6699999999999998E-2</v>
      </c>
      <c r="F23">
        <v>0.73199999999999998</v>
      </c>
      <c r="G23">
        <v>17.89</v>
      </c>
      <c r="H23">
        <v>0.73</v>
      </c>
    </row>
    <row r="24" spans="1:9" x14ac:dyDescent="0.4">
      <c r="A24" t="s">
        <v>128</v>
      </c>
      <c r="B24" t="s">
        <v>114</v>
      </c>
      <c r="C24" t="s">
        <v>129</v>
      </c>
      <c r="D24" t="s">
        <v>128</v>
      </c>
      <c r="E24">
        <v>5.4600000000000003E-2</v>
      </c>
      <c r="F24" s="3">
        <v>0.29360000000000003</v>
      </c>
      <c r="G24">
        <v>15.7</v>
      </c>
      <c r="H24">
        <v>0.86</v>
      </c>
      <c r="I24" t="s">
        <v>161</v>
      </c>
    </row>
    <row r="25" spans="1:9" x14ac:dyDescent="0.4">
      <c r="A25" t="s">
        <v>126</v>
      </c>
      <c r="B25" t="s">
        <v>106</v>
      </c>
      <c r="C25" t="s">
        <v>127</v>
      </c>
      <c r="D25" t="s">
        <v>126</v>
      </c>
      <c r="E25">
        <v>4.0599999999999997E-2</v>
      </c>
      <c r="F25">
        <v>0.71340000000000003</v>
      </c>
      <c r="G25">
        <v>16.77</v>
      </c>
      <c r="H25">
        <v>0.45</v>
      </c>
    </row>
    <row r="26" spans="1:9" s="2" customFormat="1" ht="18" thickBot="1" x14ac:dyDescent="0.45">
      <c r="A26" s="2" t="s">
        <v>139</v>
      </c>
      <c r="B26" s="2" t="s">
        <v>106</v>
      </c>
      <c r="C26" s="2" t="s">
        <v>140</v>
      </c>
      <c r="D26" s="4" t="s">
        <v>139</v>
      </c>
      <c r="E26" s="4">
        <v>4.87E-2</v>
      </c>
      <c r="F26" s="4">
        <v>3.9899999999999998E-2</v>
      </c>
      <c r="G26" s="4">
        <v>16.2</v>
      </c>
      <c r="H26" s="4">
        <v>1.06</v>
      </c>
      <c r="I26" s="2" t="s">
        <v>160</v>
      </c>
    </row>
    <row r="27" spans="1:9" ht="18" thickBot="1" x14ac:dyDescent="0.45">
      <c r="A27" t="s">
        <v>75</v>
      </c>
      <c r="B27" t="s">
        <v>34</v>
      </c>
      <c r="C27" t="s">
        <v>76</v>
      </c>
      <c r="D27" s="5" t="s">
        <v>75</v>
      </c>
      <c r="E27" s="5">
        <v>1.78E-2</v>
      </c>
      <c r="F27" s="5">
        <v>0.99760000000000004</v>
      </c>
      <c r="G27" s="5">
        <v>13.85</v>
      </c>
      <c r="H27" s="5">
        <v>7.0000000000000007E-2</v>
      </c>
      <c r="I27" s="2" t="s">
        <v>160</v>
      </c>
    </row>
    <row r="28" spans="1:9" ht="18" thickBot="1" x14ac:dyDescent="0.45">
      <c r="A28" t="s">
        <v>77</v>
      </c>
      <c r="B28" t="s">
        <v>39</v>
      </c>
      <c r="C28" t="s">
        <v>78</v>
      </c>
      <c r="D28" s="5" t="s">
        <v>77</v>
      </c>
      <c r="E28" s="5">
        <v>4.2299999999999997E-2</v>
      </c>
      <c r="F28" s="5">
        <v>0.91359999999999997</v>
      </c>
      <c r="G28" s="5">
        <v>19.149999999999999</v>
      </c>
      <c r="H28" s="5">
        <v>0.65</v>
      </c>
      <c r="I28" s="2" t="s">
        <v>160</v>
      </c>
    </row>
    <row r="29" spans="1:9" x14ac:dyDescent="0.4">
      <c r="A29" t="s">
        <v>143</v>
      </c>
      <c r="B29" t="s">
        <v>106</v>
      </c>
      <c r="C29" t="s">
        <v>144</v>
      </c>
      <c r="D29" t="s">
        <v>143</v>
      </c>
      <c r="E29">
        <v>4.9099999999999998E-2</v>
      </c>
      <c r="F29">
        <v>0.72319999999999995</v>
      </c>
      <c r="G29">
        <v>21.7</v>
      </c>
      <c r="H29">
        <v>0.65</v>
      </c>
    </row>
    <row r="30" spans="1:9" x14ac:dyDescent="0.4">
      <c r="A30" t="s">
        <v>141</v>
      </c>
      <c r="B30" t="s">
        <v>106</v>
      </c>
      <c r="C30" t="s">
        <v>142</v>
      </c>
      <c r="D30" t="s">
        <v>141</v>
      </c>
      <c r="E30">
        <v>4.5600000000000002E-2</v>
      </c>
      <c r="F30">
        <v>0.86709999999999998</v>
      </c>
      <c r="G30">
        <v>13.1</v>
      </c>
      <c r="H30">
        <v>0.99</v>
      </c>
    </row>
    <row r="31" spans="1:9" x14ac:dyDescent="0.4">
      <c r="A31" t="s">
        <v>157</v>
      </c>
      <c r="B31" t="s">
        <v>147</v>
      </c>
      <c r="C31" t="s">
        <v>158</v>
      </c>
      <c r="D31" t="s">
        <v>157</v>
      </c>
      <c r="E31">
        <v>5.3600000000000002E-2</v>
      </c>
      <c r="F31">
        <v>0.75080000000000002</v>
      </c>
      <c r="G31">
        <v>24.28</v>
      </c>
      <c r="H31">
        <v>1.47</v>
      </c>
    </row>
    <row r="32" spans="1:9" s="2" customFormat="1" ht="18" thickBot="1" x14ac:dyDescent="0.45">
      <c r="A32" s="2" t="s">
        <v>156</v>
      </c>
      <c r="B32" s="2" t="s">
        <v>147</v>
      </c>
      <c r="C32" s="2" t="s">
        <v>135</v>
      </c>
      <c r="D32" s="2" t="s">
        <v>156</v>
      </c>
      <c r="E32" s="2">
        <v>4.5400000000000003E-2</v>
      </c>
      <c r="F32" s="2">
        <v>0.80030000000000001</v>
      </c>
      <c r="G32" s="2">
        <v>22</v>
      </c>
      <c r="H32" s="2">
        <v>1.2</v>
      </c>
    </row>
    <row r="33" spans="1:8" x14ac:dyDescent="0.4">
      <c r="A33" t="s">
        <v>102</v>
      </c>
      <c r="B33" t="s">
        <v>90</v>
      </c>
      <c r="C33" t="s">
        <v>103</v>
      </c>
      <c r="D33" t="s">
        <v>102</v>
      </c>
      <c r="E33">
        <v>4.3900000000000002E-2</v>
      </c>
      <c r="F33">
        <v>0.55830000000000002</v>
      </c>
      <c r="G33">
        <v>17.22</v>
      </c>
      <c r="H33">
        <v>1.08</v>
      </c>
    </row>
    <row r="34" spans="1:8" x14ac:dyDescent="0.4">
      <c r="A34" t="s">
        <v>100</v>
      </c>
      <c r="B34" t="s">
        <v>90</v>
      </c>
      <c r="C34" t="s">
        <v>101</v>
      </c>
      <c r="D34" t="s">
        <v>100</v>
      </c>
      <c r="E34">
        <v>4.99E-2</v>
      </c>
      <c r="F34">
        <v>0.62150000000000005</v>
      </c>
      <c r="G34">
        <v>17.07</v>
      </c>
      <c r="H34">
        <v>1.1299999999999999</v>
      </c>
    </row>
    <row r="35" spans="1:8" x14ac:dyDescent="0.4">
      <c r="A35" t="s">
        <v>98</v>
      </c>
      <c r="B35" t="s">
        <v>90</v>
      </c>
      <c r="C35" t="s">
        <v>99</v>
      </c>
      <c r="D35" t="s">
        <v>98</v>
      </c>
      <c r="E35">
        <v>2.6700000000000002E-2</v>
      </c>
      <c r="F35">
        <v>0.88149999999999995</v>
      </c>
      <c r="G35">
        <v>10.31</v>
      </c>
      <c r="H35">
        <v>0.63</v>
      </c>
    </row>
    <row r="36" spans="1:8" s="2" customFormat="1" ht="18" thickBot="1" x14ac:dyDescent="0.45">
      <c r="A36" s="2" t="s">
        <v>96</v>
      </c>
      <c r="B36" s="2" t="s">
        <v>90</v>
      </c>
      <c r="C36" s="2" t="s">
        <v>97</v>
      </c>
      <c r="D36" s="2" t="s">
        <v>96</v>
      </c>
      <c r="E36" s="2">
        <v>4.8899999999999999E-2</v>
      </c>
      <c r="F36" s="2">
        <v>0.83530000000000004</v>
      </c>
      <c r="G36" s="2">
        <v>14.41</v>
      </c>
      <c r="H36" s="2">
        <v>1.31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A4A-2C59-4C2D-AD76-E3997284AE3A}">
  <dimension ref="A1:G16"/>
  <sheetViews>
    <sheetView tabSelected="1" workbookViewId="0">
      <selection activeCell="H2" sqref="H2"/>
    </sheetView>
  </sheetViews>
  <sheetFormatPr defaultRowHeight="17.399999999999999" x14ac:dyDescent="0.4"/>
  <cols>
    <col min="4" max="4" width="46.3984375" bestFit="1" customWidth="1"/>
  </cols>
  <sheetData>
    <row r="1" spans="1:7" ht="18" thickBot="1" x14ac:dyDescent="0.4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</row>
    <row r="2" spans="1:7" ht="18" thickTop="1" x14ac:dyDescent="0.4">
      <c r="A2" s="8" t="s">
        <v>21</v>
      </c>
      <c r="B2" t="s">
        <v>22</v>
      </c>
      <c r="C2" t="s">
        <v>23</v>
      </c>
      <c r="D2" t="s">
        <v>162</v>
      </c>
      <c r="E2">
        <v>99.19</v>
      </c>
      <c r="F2">
        <v>147.85</v>
      </c>
      <c r="G2" s="9">
        <v>1.72</v>
      </c>
    </row>
    <row r="3" spans="1:7" x14ac:dyDescent="0.4">
      <c r="A3" s="8" t="s">
        <v>24</v>
      </c>
      <c r="B3" t="s">
        <v>22</v>
      </c>
      <c r="C3" t="s">
        <v>25</v>
      </c>
      <c r="D3" t="s">
        <v>168</v>
      </c>
      <c r="E3">
        <v>76.98</v>
      </c>
      <c r="F3">
        <v>147.87</v>
      </c>
      <c r="G3" s="9">
        <v>1.07</v>
      </c>
    </row>
    <row r="4" spans="1:7" x14ac:dyDescent="0.4">
      <c r="A4" s="8" t="s">
        <v>38</v>
      </c>
      <c r="B4" t="s">
        <v>39</v>
      </c>
      <c r="C4" t="s">
        <v>40</v>
      </c>
      <c r="D4" t="s">
        <v>38</v>
      </c>
      <c r="E4">
        <v>88.78</v>
      </c>
      <c r="F4">
        <v>153</v>
      </c>
      <c r="G4" s="9">
        <v>1.47</v>
      </c>
    </row>
    <row r="5" spans="1:7" ht="18" thickBot="1" x14ac:dyDescent="0.45">
      <c r="A5" s="10" t="s">
        <v>43</v>
      </c>
      <c r="B5" s="2" t="s">
        <v>39</v>
      </c>
      <c r="C5" s="2" t="s">
        <v>44</v>
      </c>
      <c r="D5" s="2" t="s">
        <v>43</v>
      </c>
      <c r="E5" s="2">
        <v>95.78</v>
      </c>
      <c r="F5" s="2">
        <v>153.12</v>
      </c>
      <c r="G5" s="12">
        <v>1.51</v>
      </c>
    </row>
    <row r="6" spans="1:7" x14ac:dyDescent="0.4">
      <c r="A6" s="8" t="s">
        <v>10</v>
      </c>
      <c r="B6" t="s">
        <v>8</v>
      </c>
      <c r="C6" t="s">
        <v>11</v>
      </c>
      <c r="D6" t="s">
        <v>10</v>
      </c>
      <c r="E6">
        <v>62.17</v>
      </c>
      <c r="F6">
        <v>109.01</v>
      </c>
      <c r="G6" s="9">
        <v>1.01</v>
      </c>
    </row>
    <row r="7" spans="1:7" x14ac:dyDescent="0.4">
      <c r="A7" s="8" t="s">
        <v>12</v>
      </c>
      <c r="B7" t="s">
        <v>8</v>
      </c>
      <c r="C7" t="s">
        <v>13</v>
      </c>
      <c r="D7" t="s">
        <v>12</v>
      </c>
      <c r="E7">
        <v>59.71</v>
      </c>
      <c r="F7">
        <v>109.54</v>
      </c>
      <c r="G7" s="9">
        <v>1.57</v>
      </c>
    </row>
    <row r="8" spans="1:7" x14ac:dyDescent="0.4">
      <c r="A8" s="8" t="s">
        <v>148</v>
      </c>
      <c r="B8" t="s">
        <v>147</v>
      </c>
      <c r="C8" t="s">
        <v>149</v>
      </c>
      <c r="D8" t="s">
        <v>148</v>
      </c>
      <c r="E8">
        <v>79.64</v>
      </c>
      <c r="F8">
        <v>108.26</v>
      </c>
      <c r="G8" s="9">
        <v>0.92</v>
      </c>
    </row>
    <row r="9" spans="1:7" ht="18" thickBot="1" x14ac:dyDescent="0.45">
      <c r="A9" s="10" t="s">
        <v>145</v>
      </c>
      <c r="B9" s="2" t="s">
        <v>147</v>
      </c>
      <c r="C9" s="2" t="s">
        <v>146</v>
      </c>
      <c r="D9" s="2" t="s">
        <v>145</v>
      </c>
      <c r="E9" s="2">
        <v>71.599999999999994</v>
      </c>
      <c r="F9" s="2">
        <v>88.55</v>
      </c>
      <c r="G9" s="12">
        <v>0.67</v>
      </c>
    </row>
    <row r="10" spans="1:7" x14ac:dyDescent="0.4">
      <c r="A10" s="8" t="s">
        <v>119</v>
      </c>
      <c r="B10" t="s">
        <v>114</v>
      </c>
      <c r="C10" t="s">
        <v>120</v>
      </c>
      <c r="D10" t="s">
        <v>119</v>
      </c>
      <c r="E10">
        <v>85.85</v>
      </c>
      <c r="F10">
        <v>139.55000000000001</v>
      </c>
      <c r="G10" s="9">
        <v>1.27</v>
      </c>
    </row>
    <row r="11" spans="1:7" x14ac:dyDescent="0.4">
      <c r="A11" s="8" t="s">
        <v>112</v>
      </c>
      <c r="B11" t="s">
        <v>114</v>
      </c>
      <c r="C11" t="s">
        <v>113</v>
      </c>
      <c r="D11" t="s">
        <v>163</v>
      </c>
      <c r="E11">
        <v>80.099999999999994</v>
      </c>
      <c r="F11">
        <v>143.61000000000001</v>
      </c>
      <c r="G11" s="9">
        <v>1.0900000000000001</v>
      </c>
    </row>
    <row r="12" spans="1:7" ht="18" thickBot="1" x14ac:dyDescent="0.45">
      <c r="A12" s="10" t="s">
        <v>108</v>
      </c>
      <c r="B12" s="2" t="s">
        <v>106</v>
      </c>
      <c r="C12" s="2" t="s">
        <v>109</v>
      </c>
      <c r="D12" s="2" t="s">
        <v>108</v>
      </c>
      <c r="E12" s="2">
        <v>88.17</v>
      </c>
      <c r="F12" s="2">
        <v>150.26</v>
      </c>
      <c r="G12" s="12">
        <v>1.1100000000000001</v>
      </c>
    </row>
    <row r="13" spans="1:7" x14ac:dyDescent="0.4">
      <c r="A13" s="8" t="s">
        <v>123</v>
      </c>
      <c r="B13" t="s">
        <v>114</v>
      </c>
      <c r="C13" t="s">
        <v>124</v>
      </c>
      <c r="D13" t="s">
        <v>123</v>
      </c>
      <c r="E13">
        <v>79.63</v>
      </c>
      <c r="F13">
        <v>143.97999999999999</v>
      </c>
      <c r="G13" s="9">
        <v>0.79</v>
      </c>
    </row>
    <row r="14" spans="1:7" x14ac:dyDescent="0.4">
      <c r="A14" s="8" t="s">
        <v>115</v>
      </c>
      <c r="B14" t="s">
        <v>114</v>
      </c>
      <c r="C14" t="s">
        <v>116</v>
      </c>
      <c r="D14" t="s">
        <v>115</v>
      </c>
      <c r="E14">
        <v>66</v>
      </c>
      <c r="F14">
        <v>107.65</v>
      </c>
      <c r="G14" s="9">
        <v>0.79</v>
      </c>
    </row>
    <row r="15" spans="1:7" x14ac:dyDescent="0.4">
      <c r="A15" s="8" t="s">
        <v>110</v>
      </c>
      <c r="B15" t="s">
        <v>106</v>
      </c>
      <c r="C15" t="s">
        <v>111</v>
      </c>
      <c r="D15" t="s">
        <v>110</v>
      </c>
      <c r="E15">
        <v>75.91</v>
      </c>
      <c r="F15">
        <v>113.9</v>
      </c>
      <c r="G15" s="9">
        <v>1.06</v>
      </c>
    </row>
    <row r="16" spans="1:7" ht="18" thickBot="1" x14ac:dyDescent="0.45">
      <c r="A16" s="10" t="s">
        <v>137</v>
      </c>
      <c r="B16" s="2" t="s">
        <v>106</v>
      </c>
      <c r="C16" s="2" t="s">
        <v>138</v>
      </c>
      <c r="D16" s="2" t="s">
        <v>137</v>
      </c>
      <c r="E16" s="2">
        <v>77.95</v>
      </c>
      <c r="F16" s="2">
        <v>113.18</v>
      </c>
      <c r="G16" s="12">
        <v>0.79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46C4-8E20-45A0-9ADB-38C677099D98}">
  <dimension ref="A1:H21"/>
  <sheetViews>
    <sheetView workbookViewId="0">
      <selection activeCell="F5" sqref="F5"/>
    </sheetView>
  </sheetViews>
  <sheetFormatPr defaultRowHeight="17.399999999999999" x14ac:dyDescent="0.4"/>
  <cols>
    <col min="4" max="4" width="47" bestFit="1" customWidth="1"/>
  </cols>
  <sheetData>
    <row r="1" spans="1:8" ht="18" thickBot="1" x14ac:dyDescent="0.45">
      <c r="A1" s="16" t="s">
        <v>0</v>
      </c>
      <c r="B1" s="17" t="s">
        <v>1</v>
      </c>
      <c r="C1" s="17" t="s">
        <v>2</v>
      </c>
      <c r="D1" s="17" t="s">
        <v>47</v>
      </c>
      <c r="E1" s="17" t="s">
        <v>48</v>
      </c>
      <c r="F1" s="17" t="s">
        <v>49</v>
      </c>
      <c r="G1" s="17" t="s">
        <v>50</v>
      </c>
      <c r="H1" s="18" t="s">
        <v>6</v>
      </c>
    </row>
    <row r="2" spans="1:8" ht="18" thickTop="1" x14ac:dyDescent="0.4">
      <c r="A2" s="8" t="s">
        <v>63</v>
      </c>
      <c r="B2" t="s">
        <v>22</v>
      </c>
      <c r="C2" t="s">
        <v>64</v>
      </c>
      <c r="D2" t="s">
        <v>63</v>
      </c>
      <c r="E2">
        <v>4.6399999999999997E-2</v>
      </c>
      <c r="F2">
        <v>0.87580000000000002</v>
      </c>
      <c r="G2">
        <v>21.82</v>
      </c>
      <c r="H2" s="9">
        <v>1.41</v>
      </c>
    </row>
    <row r="3" spans="1:8" x14ac:dyDescent="0.4">
      <c r="A3" s="8" t="s">
        <v>65</v>
      </c>
      <c r="B3" t="s">
        <v>22</v>
      </c>
      <c r="C3" t="s">
        <v>66</v>
      </c>
      <c r="D3" t="s">
        <v>65</v>
      </c>
      <c r="E3">
        <v>4.7500000000000001E-2</v>
      </c>
      <c r="F3">
        <v>0.76870000000000005</v>
      </c>
      <c r="G3">
        <v>17.559999999999999</v>
      </c>
      <c r="H3" s="9">
        <v>1.07</v>
      </c>
    </row>
    <row r="4" spans="1:8" x14ac:dyDescent="0.4">
      <c r="A4" s="8" t="s">
        <v>73</v>
      </c>
      <c r="B4" t="s">
        <v>34</v>
      </c>
      <c r="C4" t="s">
        <v>74</v>
      </c>
      <c r="D4" t="s">
        <v>73</v>
      </c>
      <c r="E4">
        <v>4.65E-2</v>
      </c>
      <c r="F4">
        <v>0.80640000000000001</v>
      </c>
      <c r="G4">
        <v>18.14</v>
      </c>
      <c r="H4" s="9">
        <v>0.8</v>
      </c>
    </row>
    <row r="5" spans="1:8" x14ac:dyDescent="0.4">
      <c r="A5" s="8" t="s">
        <v>79</v>
      </c>
      <c r="B5" t="s">
        <v>39</v>
      </c>
      <c r="C5" t="s">
        <v>80</v>
      </c>
      <c r="D5" t="s">
        <v>79</v>
      </c>
      <c r="E5">
        <v>5.0900000000000001E-2</v>
      </c>
      <c r="F5">
        <v>0.78490000000000004</v>
      </c>
      <c r="G5">
        <v>19.079999999999998</v>
      </c>
      <c r="H5" s="9">
        <v>0.66</v>
      </c>
    </row>
    <row r="6" spans="1:8" ht="18" thickBot="1" x14ac:dyDescent="0.45">
      <c r="A6" s="10" t="s">
        <v>81</v>
      </c>
      <c r="B6" s="2" t="s">
        <v>39</v>
      </c>
      <c r="C6" s="2" t="s">
        <v>82</v>
      </c>
      <c r="D6" s="2" t="s">
        <v>81</v>
      </c>
      <c r="E6" s="2">
        <v>5.1999999999999998E-2</v>
      </c>
      <c r="F6" s="2">
        <v>0.79279999999999995</v>
      </c>
      <c r="G6" s="2">
        <v>16.059999999999999</v>
      </c>
      <c r="H6" s="12">
        <v>0.63</v>
      </c>
    </row>
    <row r="7" spans="1:8" x14ac:dyDescent="0.4">
      <c r="A7" s="8" t="s">
        <v>51</v>
      </c>
      <c r="B7" t="s">
        <v>8</v>
      </c>
      <c r="C7" t="s">
        <v>52</v>
      </c>
      <c r="D7" t="s">
        <v>51</v>
      </c>
      <c r="E7">
        <v>5.0700000000000002E-2</v>
      </c>
      <c r="F7">
        <v>0.59109999999999996</v>
      </c>
      <c r="G7">
        <v>22.79</v>
      </c>
      <c r="H7" s="9">
        <v>0.92</v>
      </c>
    </row>
    <row r="8" spans="1:8" x14ac:dyDescent="0.4">
      <c r="A8" s="8" t="s">
        <v>53</v>
      </c>
      <c r="B8" t="s">
        <v>8</v>
      </c>
      <c r="C8" t="s">
        <v>54</v>
      </c>
      <c r="D8" t="s">
        <v>53</v>
      </c>
      <c r="E8">
        <v>4.3700000000000003E-2</v>
      </c>
      <c r="F8">
        <v>0.69479999999999997</v>
      </c>
      <c r="G8">
        <v>19.5</v>
      </c>
      <c r="H8" s="9"/>
    </row>
    <row r="9" spans="1:8" ht="18" thickBot="1" x14ac:dyDescent="0.45">
      <c r="A9" s="10" t="s">
        <v>155</v>
      </c>
      <c r="B9" s="2" t="s">
        <v>147</v>
      </c>
      <c r="C9" s="2" t="s">
        <v>46</v>
      </c>
      <c r="D9" s="2" t="s">
        <v>155</v>
      </c>
      <c r="E9" s="2">
        <v>3.32E-2</v>
      </c>
      <c r="F9" s="2">
        <v>0.83499999999999996</v>
      </c>
      <c r="G9" s="2">
        <v>15.88</v>
      </c>
      <c r="H9" s="12">
        <v>0.69</v>
      </c>
    </row>
    <row r="10" spans="1:8" x14ac:dyDescent="0.4">
      <c r="A10" s="8" t="s">
        <v>57</v>
      </c>
      <c r="B10" t="s">
        <v>15</v>
      </c>
      <c r="C10" t="s">
        <v>58</v>
      </c>
      <c r="D10" t="s">
        <v>57</v>
      </c>
      <c r="E10">
        <v>4.58E-2</v>
      </c>
      <c r="F10">
        <v>0.79210000000000003</v>
      </c>
      <c r="G10">
        <v>18.55</v>
      </c>
      <c r="H10" s="9">
        <v>0.53</v>
      </c>
    </row>
    <row r="11" spans="1:8" x14ac:dyDescent="0.4">
      <c r="A11" s="8" t="s">
        <v>59</v>
      </c>
      <c r="B11" t="s">
        <v>15</v>
      </c>
      <c r="C11" t="s">
        <v>60</v>
      </c>
      <c r="D11" t="s">
        <v>59</v>
      </c>
      <c r="E11">
        <v>4.1000000000000002E-2</v>
      </c>
      <c r="F11">
        <v>0.85970000000000002</v>
      </c>
      <c r="G11">
        <v>14.74</v>
      </c>
      <c r="H11" s="9">
        <v>0.61</v>
      </c>
    </row>
    <row r="12" spans="1:8" x14ac:dyDescent="0.4">
      <c r="A12" s="8" t="s">
        <v>61</v>
      </c>
      <c r="B12" t="s">
        <v>15</v>
      </c>
      <c r="C12" t="s">
        <v>62</v>
      </c>
      <c r="D12" t="s">
        <v>61</v>
      </c>
      <c r="E12">
        <v>4.2999999999999997E-2</v>
      </c>
      <c r="F12">
        <v>0.66010000000000002</v>
      </c>
      <c r="G12" s="5"/>
      <c r="H12" s="9">
        <v>0.51</v>
      </c>
    </row>
    <row r="13" spans="1:8" x14ac:dyDescent="0.4">
      <c r="A13" s="8" t="s">
        <v>132</v>
      </c>
      <c r="B13" t="s">
        <v>114</v>
      </c>
      <c r="C13" t="s">
        <v>133</v>
      </c>
      <c r="D13" t="s">
        <v>132</v>
      </c>
      <c r="E13">
        <v>4.82E-2</v>
      </c>
      <c r="F13">
        <v>0.71319999999999995</v>
      </c>
      <c r="G13" s="5"/>
      <c r="H13" s="9">
        <v>1.17</v>
      </c>
    </row>
    <row r="14" spans="1:8" x14ac:dyDescent="0.4">
      <c r="A14" s="8" t="s">
        <v>130</v>
      </c>
      <c r="B14" t="s">
        <v>114</v>
      </c>
      <c r="C14" t="s">
        <v>131</v>
      </c>
      <c r="D14" t="s">
        <v>130</v>
      </c>
      <c r="E14">
        <v>4.2700000000000002E-2</v>
      </c>
      <c r="F14">
        <v>0.77739999999999998</v>
      </c>
      <c r="G14">
        <v>15.41</v>
      </c>
      <c r="H14" s="9">
        <v>0.93</v>
      </c>
    </row>
    <row r="15" spans="1:8" ht="18" thickBot="1" x14ac:dyDescent="0.45">
      <c r="A15" s="10" t="s">
        <v>125</v>
      </c>
      <c r="B15" s="2" t="s">
        <v>106</v>
      </c>
      <c r="C15" s="2" t="s">
        <v>95</v>
      </c>
      <c r="D15" s="2" t="s">
        <v>125</v>
      </c>
      <c r="E15" s="2">
        <v>5.3499999999999999E-2</v>
      </c>
      <c r="F15" s="4"/>
      <c r="G15" s="2">
        <v>19.96</v>
      </c>
      <c r="H15" s="12">
        <v>1.22</v>
      </c>
    </row>
    <row r="16" spans="1:8" x14ac:dyDescent="0.4">
      <c r="A16" s="8" t="s">
        <v>69</v>
      </c>
      <c r="B16" t="s">
        <v>29</v>
      </c>
      <c r="C16" t="s">
        <v>70</v>
      </c>
      <c r="D16" t="s">
        <v>69</v>
      </c>
      <c r="E16">
        <v>4.4400000000000002E-2</v>
      </c>
      <c r="F16">
        <v>0.71509999999999996</v>
      </c>
      <c r="G16">
        <v>18.899999999999999</v>
      </c>
      <c r="H16" s="9">
        <v>1.26</v>
      </c>
    </row>
    <row r="17" spans="1:8" x14ac:dyDescent="0.4">
      <c r="A17" s="8" t="s">
        <v>71</v>
      </c>
      <c r="B17" t="s">
        <v>29</v>
      </c>
      <c r="C17" t="s">
        <v>72</v>
      </c>
      <c r="D17" t="s">
        <v>71</v>
      </c>
      <c r="E17">
        <v>4.5699999999999998E-2</v>
      </c>
      <c r="F17">
        <v>0.85629999999999995</v>
      </c>
      <c r="G17">
        <v>20.95</v>
      </c>
      <c r="H17" s="9">
        <v>0.94</v>
      </c>
    </row>
    <row r="18" spans="1:8" x14ac:dyDescent="0.4">
      <c r="A18" s="8" t="s">
        <v>136</v>
      </c>
      <c r="B18" t="s">
        <v>114</v>
      </c>
      <c r="C18" t="s">
        <v>93</v>
      </c>
      <c r="D18" t="s">
        <v>136</v>
      </c>
      <c r="E18">
        <v>5.4300000000000001E-2</v>
      </c>
      <c r="F18" s="5"/>
      <c r="G18">
        <v>21.49</v>
      </c>
      <c r="H18" s="9">
        <v>1.1399999999999999</v>
      </c>
    </row>
    <row r="19" spans="1:8" x14ac:dyDescent="0.4">
      <c r="A19" s="8" t="s">
        <v>134</v>
      </c>
      <c r="B19" t="s">
        <v>114</v>
      </c>
      <c r="C19" t="s">
        <v>135</v>
      </c>
      <c r="D19" t="s">
        <v>134</v>
      </c>
      <c r="E19">
        <v>4.6699999999999998E-2</v>
      </c>
      <c r="F19">
        <v>0.73199999999999998</v>
      </c>
      <c r="G19">
        <v>17.89</v>
      </c>
      <c r="H19" s="9">
        <v>0.73</v>
      </c>
    </row>
    <row r="20" spans="1:8" x14ac:dyDescent="0.4">
      <c r="A20" s="8" t="s">
        <v>128</v>
      </c>
      <c r="B20" t="s">
        <v>114</v>
      </c>
      <c r="C20" t="s">
        <v>129</v>
      </c>
      <c r="D20" t="s">
        <v>128</v>
      </c>
      <c r="E20">
        <v>5.4600000000000003E-2</v>
      </c>
      <c r="F20" s="5"/>
      <c r="G20">
        <v>15.7</v>
      </c>
      <c r="H20" s="9">
        <v>0.86</v>
      </c>
    </row>
    <row r="21" spans="1:8" ht="18" thickBot="1" x14ac:dyDescent="0.45">
      <c r="A21" s="10" t="s">
        <v>126</v>
      </c>
      <c r="B21" s="2" t="s">
        <v>106</v>
      </c>
      <c r="C21" s="2" t="s">
        <v>127</v>
      </c>
      <c r="D21" s="2" t="s">
        <v>126</v>
      </c>
      <c r="E21" s="2">
        <v>4.0599999999999997E-2</v>
      </c>
      <c r="F21" s="2">
        <v>0.71340000000000003</v>
      </c>
      <c r="G21" s="2">
        <v>16.77</v>
      </c>
      <c r="H21" s="12">
        <v>0.45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A-Ci_results</vt:lpstr>
      <vt:lpstr>A-Q_results</vt:lpstr>
      <vt:lpstr>ACi 선택적 데이터</vt:lpstr>
      <vt:lpstr>AQ 선택적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윤정민</cp:lastModifiedBy>
  <dcterms:created xsi:type="dcterms:W3CDTF">2026-09-11T05:41:39Z</dcterms:created>
  <dcterms:modified xsi:type="dcterms:W3CDTF">2026-10-29T05:19:46Z</dcterms:modified>
</cp:coreProperties>
</file>