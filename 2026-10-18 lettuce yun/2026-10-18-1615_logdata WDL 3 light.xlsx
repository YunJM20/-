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H25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4.11497 200.008 352.137 581.816 845.455 1058.69 1250.8 1364.04</t>
        </is>
      </c>
      <c r="G13" t="inlineStr">
        <is>
          <t>0.208878 227.229 384.124 588.385 810.893 1001.58 1202.49 1400.6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FlrLS</t>
        </is>
      </c>
      <c r="DZ14" t="inlineStr">
        <is>
          <t>FlrLS</t>
        </is>
      </c>
      <c r="EA14" t="inlineStr">
        <is>
          <t>FlrLS</t>
        </is>
      </c>
      <c r="EB14" t="inlineStr">
        <is>
          <t>FlrLS</t>
        </is>
      </c>
      <c r="EC14" t="inlineStr">
        <is>
          <t>FlrLS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FlrStats</t>
        </is>
      </c>
      <c r="EM14" t="inlineStr">
        <is>
          <t>FlrStats</t>
        </is>
      </c>
      <c r="EN14" t="inlineStr">
        <is>
          <t>FlrStats</t>
        </is>
      </c>
      <c r="EO14" t="inlineStr">
        <is>
          <t>FlrStats</t>
        </is>
      </c>
      <c r="EP14" t="inlineStr">
        <is>
          <t>FlrStats</t>
        </is>
      </c>
      <c r="EQ14" t="inlineStr">
        <is>
          <t>MchEvent</t>
        </is>
      </c>
      <c r="ER14" t="inlineStr">
        <is>
          <t>MchEvent</t>
        </is>
      </c>
      <c r="ES14" t="inlineStr">
        <is>
          <t>MchEvent</t>
        </is>
      </c>
      <c r="ET14" t="inlineStr">
        <is>
          <t>MchEvent</t>
        </is>
      </c>
      <c r="EU14" t="inlineStr">
        <is>
          <t>MchEvent</t>
        </is>
      </c>
      <c r="EV14" t="inlineStr">
        <is>
          <t>MchEvent</t>
        </is>
      </c>
      <c r="EW14" t="inlineStr">
        <is>
          <t>MchEvent</t>
        </is>
      </c>
      <c r="EX14" t="inlineStr">
        <is>
          <t>MchEvent</t>
        </is>
      </c>
      <c r="EY14" t="inlineStr">
        <is>
          <t>MchEvent</t>
        </is>
      </c>
      <c r="EZ14" t="inlineStr">
        <is>
          <t>MchEvent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Stability</t>
        </is>
      </c>
      <c r="FE14" t="inlineStr">
        <is>
          <t>Stability</t>
        </is>
      </c>
      <c r="FF14" t="inlineStr">
        <is>
          <t>Stability</t>
        </is>
      </c>
      <c r="FG14" t="inlineStr">
        <is>
          <t>Stability</t>
        </is>
      </c>
      <c r="FH14" t="inlineStr">
        <is>
          <t>Stability</t>
        </is>
      </c>
      <c r="FI14" t="inlineStr">
        <is>
          <t>Stability</t>
        </is>
      </c>
      <c r="FJ14" t="inlineStr">
        <is>
          <t>Stability</t>
        </is>
      </c>
      <c r="FK14" t="inlineStr">
        <is>
          <t>Stability</t>
        </is>
      </c>
      <c r="FL14" t="inlineStr">
        <is>
          <t>Stability</t>
        </is>
      </c>
      <c r="FM14" t="inlineStr">
        <is>
          <t>Stability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MchStatus</t>
        </is>
      </c>
      <c r="FT14" t="inlineStr">
        <is>
          <t>MchStatus</t>
        </is>
      </c>
      <c r="FU14" t="inlineStr">
        <is>
          <t>MchStatus</t>
        </is>
      </c>
      <c r="FV14" t="inlineStr">
        <is>
          <t>MchStatus</t>
        </is>
      </c>
      <c r="FW14" t="inlineStr">
        <is>
          <t>MchStatus</t>
        </is>
      </c>
      <c r="FX14" t="inlineStr">
        <is>
          <t>MchStatus</t>
        </is>
      </c>
      <c r="FY14" t="inlineStr">
        <is>
          <t>MchStatus</t>
        </is>
      </c>
      <c r="FZ14" t="inlineStr">
        <is>
          <t>MchStatus</t>
        </is>
      </c>
      <c r="GA14" t="inlineStr">
        <is>
          <t>MchStatus</t>
        </is>
      </c>
      <c r="GB14" t="inlineStr">
        <is>
          <t>MchStatus</t>
        </is>
      </c>
      <c r="GC14" t="inlineStr">
        <is>
          <t>MchStatus</t>
        </is>
      </c>
      <c r="GD14" t="inlineStr">
        <is>
          <t>MchStatus</t>
        </is>
      </c>
      <c r="GE14" t="inlineStr">
        <is>
          <t>MchStatus</t>
        </is>
      </c>
      <c r="GF14" t="inlineStr">
        <is>
          <t>MchStatus</t>
        </is>
      </c>
      <c r="GG14" t="inlineStr">
        <is>
          <t>MchStatus</t>
        </is>
      </c>
      <c r="GH14" t="inlineStr">
        <is>
          <t>MchStatus</t>
        </is>
      </c>
      <c r="GI14" t="inlineStr">
        <is>
          <t>MchStatus</t>
        </is>
      </c>
      <c r="GJ14" t="inlineStr">
        <is>
          <t>MchStatus</t>
        </is>
      </c>
      <c r="GK14" t="inlineStr">
        <is>
          <t>ConStatus</t>
        </is>
      </c>
      <c r="GL14" t="inlineStr">
        <is>
          <t>ConStatus</t>
        </is>
      </c>
      <c r="GM14" t="inlineStr">
        <is>
          <t>ConStatus</t>
        </is>
      </c>
      <c r="GN14" t="inlineStr">
        <is>
          <t>ConStatus</t>
        </is>
      </c>
      <c r="GO14" t="inlineStr">
        <is>
          <t>ConStatus</t>
        </is>
      </c>
      <c r="GP14" t="inlineStr">
        <is>
          <t>ConStatus</t>
        </is>
      </c>
      <c r="GQ14" t="inlineStr">
        <is>
          <t>ConStatus</t>
        </is>
      </c>
      <c r="GR14" t="inlineStr">
        <is>
          <t>ConStatus</t>
        </is>
      </c>
      <c r="GS14" t="inlineStr">
        <is>
          <t>Status</t>
        </is>
      </c>
      <c r="GT14" t="inlineStr">
        <is>
          <t>Status</t>
        </is>
      </c>
      <c r="GU14" t="inlineStr">
        <is>
          <t>Status</t>
        </is>
      </c>
      <c r="GV14" t="inlineStr">
        <is>
          <t>Status</t>
        </is>
      </c>
      <c r="GW14" t="inlineStr">
        <is>
          <t>Status</t>
        </is>
      </c>
      <c r="GX14" t="inlineStr">
        <is>
          <t>Status</t>
        </is>
      </c>
      <c r="GY14" t="inlineStr">
        <is>
          <t>Status</t>
        </is>
      </c>
      <c r="GZ14" t="inlineStr">
        <is>
          <t>Status</t>
        </is>
      </c>
      <c r="HA14" t="inlineStr">
        <is>
          <t>Status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Q</t>
        </is>
      </c>
      <c r="DU15" t="inlineStr">
        <is>
          <t>f_red</t>
        </is>
      </c>
      <c r="DV15" t="inlineStr">
        <is>
          <t>f_blue</t>
        </is>
      </c>
      <c r="DW15" t="inlineStr">
        <is>
          <t>f_farred</t>
        </is>
      </c>
      <c r="DX15" t="inlineStr">
        <is>
          <t>F</t>
        </is>
      </c>
      <c r="DY15" t="inlineStr">
        <is>
          <t>Q_modavg</t>
        </is>
      </c>
      <c r="DZ15" t="inlineStr">
        <is>
          <t>F_dc</t>
        </is>
      </c>
      <c r="EA15" t="inlineStr">
        <is>
          <t>Pc</t>
        </is>
      </c>
      <c r="EB15" t="inlineStr">
        <is>
          <t>Tled</t>
        </is>
      </c>
      <c r="EC15" t="inlineStr">
        <is>
          <t>TDigital</t>
        </is>
      </c>
      <c r="ED15" t="inlineStr">
        <is>
          <t>TPreamp</t>
        </is>
      </c>
      <c r="EE15" t="inlineStr">
        <is>
          <t>TPwrSpy</t>
        </is>
      </c>
      <c r="EF15" t="inlineStr">
        <is>
          <t>TDrive</t>
        </is>
      </c>
      <c r="EG15" t="inlineStr">
        <is>
          <t>Q_red</t>
        </is>
      </c>
      <c r="EH15" t="inlineStr">
        <is>
          <t>Q_blue</t>
        </is>
      </c>
      <c r="EI15" t="inlineStr">
        <is>
          <t>Q_farred</t>
        </is>
      </c>
      <c r="EJ15" t="inlineStr">
        <is>
          <t>TSPF</t>
        </is>
      </c>
      <c r="EK15" t="inlineStr">
        <is>
          <t>state</t>
        </is>
      </c>
      <c r="EL15" t="inlineStr">
        <is>
          <t>F_avg</t>
        </is>
      </c>
      <c r="EM15" t="inlineStr">
        <is>
          <t>dF/dt</t>
        </is>
      </c>
      <c r="EN15" t="inlineStr">
        <is>
          <t>dF_dc/dt</t>
        </is>
      </c>
      <c r="EO15" t="inlineStr">
        <is>
          <t>F_dc_avg</t>
        </is>
      </c>
      <c r="EP15" t="inlineStr">
        <is>
          <t>period</t>
        </is>
      </c>
      <c r="EQ15" t="inlineStr">
        <is>
          <t>time</t>
        </is>
      </c>
      <c r="ER15" t="inlineStr">
        <is>
          <t>hhmmss</t>
        </is>
      </c>
      <c r="ES15" t="inlineStr">
        <is>
          <t>co2_t</t>
        </is>
      </c>
      <c r="ET15" t="inlineStr">
        <is>
          <t>h2o_t</t>
        </is>
      </c>
      <c r="EU15" t="inlineStr">
        <is>
          <t>count</t>
        </is>
      </c>
      <c r="EV15" t="inlineStr">
        <is>
          <t>co2_adj</t>
        </is>
      </c>
      <c r="EW15" t="inlineStr">
        <is>
          <t>h2o_adj</t>
        </is>
      </c>
      <c r="EX15" t="inlineStr">
        <is>
          <t>co2_match</t>
        </is>
      </c>
      <c r="EY15" t="inlineStr">
        <is>
          <t>h2o_match</t>
        </is>
      </c>
      <c r="EZ15" t="inlineStr">
        <is>
          <t>co2_at</t>
        </is>
      </c>
      <c r="FA15" t="inlineStr">
        <is>
          <t>h2o_at</t>
        </is>
      </c>
      <c r="FB15" t="inlineStr">
        <is>
          <t>co2_cv</t>
        </is>
      </c>
      <c r="FC15" t="inlineStr">
        <is>
          <t>h2o_cv</t>
        </is>
      </c>
      <c r="FD15" t="inlineStr">
        <is>
          <t>A:MN</t>
        </is>
      </c>
      <c r="FE15" t="inlineStr">
        <is>
          <t>A:SLP</t>
        </is>
      </c>
      <c r="FF15" t="inlineStr">
        <is>
          <t>A:SD</t>
        </is>
      </c>
      <c r="FG15" t="inlineStr">
        <is>
          <t>A:OK</t>
        </is>
      </c>
      <c r="FH15" t="inlineStr">
        <is>
          <t>ΔCO2:MN</t>
        </is>
      </c>
      <c r="FI15" t="inlineStr">
        <is>
          <t>ΔCO2:SLP</t>
        </is>
      </c>
      <c r="FJ15" t="inlineStr">
        <is>
          <t>ΔCO2:SD</t>
        </is>
      </c>
      <c r="FK15" t="inlineStr">
        <is>
          <t>ΔCO2:OK</t>
        </is>
      </c>
      <c r="FL15" t="inlineStr">
        <is>
          <t>F:MN</t>
        </is>
      </c>
      <c r="FM15" t="inlineStr">
        <is>
          <t>F:SLP</t>
        </is>
      </c>
      <c r="FN15" t="inlineStr">
        <is>
          <t>F:SD</t>
        </is>
      </c>
      <c r="FO15" t="inlineStr">
        <is>
          <t>F:OK</t>
        </is>
      </c>
      <c r="FP15" t="inlineStr">
        <is>
          <t>Stable</t>
        </is>
      </c>
      <c r="FQ15" t="inlineStr">
        <is>
          <t>Total</t>
        </is>
      </c>
      <c r="FR15" t="inlineStr">
        <is>
          <t>State</t>
        </is>
      </c>
      <c r="FS15" t="inlineStr">
        <is>
          <t>MatchValveR</t>
        </is>
      </c>
      <c r="FT15" t="inlineStr">
        <is>
          <t>MatchValveS</t>
        </is>
      </c>
      <c r="FU15" t="inlineStr">
        <is>
          <t>MatchCO2</t>
        </is>
      </c>
      <c r="FV15" t="inlineStr">
        <is>
          <t>MatchH2O</t>
        </is>
      </c>
      <c r="FW15" t="inlineStr">
        <is>
          <t>cf_co2_a</t>
        </is>
      </c>
      <c r="FX15" t="inlineStr">
        <is>
          <t>cf_co2_b</t>
        </is>
      </c>
      <c r="FY15" t="inlineStr">
        <is>
          <t>cf_co2_c</t>
        </is>
      </c>
      <c r="FZ15" t="inlineStr">
        <is>
          <t>cf_co2_d</t>
        </is>
      </c>
      <c r="GA15" t="inlineStr">
        <is>
          <t>cf_h2o_a</t>
        </is>
      </c>
      <c r="GB15" t="inlineStr">
        <is>
          <t>cf_h2o_b</t>
        </is>
      </c>
      <c r="GC15" t="inlineStr">
        <is>
          <t>cf_h2o_c</t>
        </is>
      </c>
      <c r="GD15" t="inlineStr">
        <is>
          <t>cf_h2o_d</t>
        </is>
      </c>
      <c r="GE15" t="inlineStr">
        <is>
          <t>co2_fit_low</t>
        </is>
      </c>
      <c r="GF15" t="inlineStr">
        <is>
          <t>co2_fit_high</t>
        </is>
      </c>
      <c r="GG15" t="inlineStr">
        <is>
          <t>h2o_fit_low</t>
        </is>
      </c>
      <c r="GH15" t="inlineStr">
        <is>
          <t>h2o_fit_high</t>
        </is>
      </c>
      <c r="GI15" t="inlineStr">
        <is>
          <t>co2_elapsed</t>
        </is>
      </c>
      <c r="GJ15" t="inlineStr">
        <is>
          <t>h2o_elapsed</t>
        </is>
      </c>
      <c r="GK15" t="inlineStr">
        <is>
          <t>CO2_f</t>
        </is>
      </c>
      <c r="GL15" t="inlineStr">
        <is>
          <t>CO2_f_s</t>
        </is>
      </c>
      <c r="GM15" t="inlineStr">
        <is>
          <t>Pump_f</t>
        </is>
      </c>
      <c r="GN15" t="inlineStr">
        <is>
          <t>Pump_f_s</t>
        </is>
      </c>
      <c r="GO15" t="inlineStr">
        <is>
          <t>Pump_p</t>
        </is>
      </c>
      <c r="GP15" t="inlineStr">
        <is>
          <t>Pump_p_s</t>
        </is>
      </c>
      <c r="GQ15" t="inlineStr">
        <is>
          <t>Tboard</t>
        </is>
      </c>
      <c r="GR15" t="inlineStr">
        <is>
          <t>V_system</t>
        </is>
      </c>
      <c r="GS15" t="inlineStr">
        <is>
          <t>DIAG</t>
        </is>
      </c>
      <c r="GT15" t="inlineStr">
        <is>
          <t>Flow_s</t>
        </is>
      </c>
      <c r="GU15" t="inlineStr">
        <is>
          <t>Flow_r</t>
        </is>
      </c>
      <c r="GV15" t="inlineStr">
        <is>
          <t>Txchg</t>
        </is>
      </c>
      <c r="GW15" t="inlineStr">
        <is>
          <t>Tirga</t>
        </is>
      </c>
      <c r="GX15" t="inlineStr">
        <is>
          <t>Tchopper</t>
        </is>
      </c>
      <c r="GY15" t="inlineStr">
        <is>
          <t>Ts</t>
        </is>
      </c>
      <c r="GZ15" t="inlineStr">
        <is>
          <t>Tr</t>
        </is>
      </c>
      <c r="HA15" t="inlineStr">
        <is>
          <t>CO2_%</t>
        </is>
      </c>
      <c r="HB15" t="inlineStr">
        <is>
          <t>Desiccant_%</t>
        </is>
      </c>
      <c r="HC15" t="inlineStr">
        <is>
          <t>Humidifier_%</t>
        </is>
      </c>
      <c r="HD15" t="inlineStr">
        <is>
          <t>Txchg_sp</t>
        </is>
      </c>
      <c r="HE15" t="inlineStr">
        <is>
          <t>CO2_r_sp</t>
        </is>
      </c>
      <c r="HF15" t="inlineStr">
        <is>
          <t>H2O_r_sp</t>
        </is>
      </c>
      <c r="HG15" t="inlineStr">
        <is>
          <t>SS_s</t>
        </is>
      </c>
      <c r="HH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m⁻² s⁻¹</t>
        </is>
      </c>
      <c r="DY16" t="inlineStr">
        <is>
          <t>µmol m⁻² s⁻¹</t>
        </is>
      </c>
      <c r="EB16" t="inlineStr">
        <is>
          <t>°C</t>
        </is>
      </c>
      <c r="EC16" t="inlineStr">
        <is>
          <t>°C</t>
        </is>
      </c>
      <c r="ED16" t="inlineStr">
        <is>
          <t>°C</t>
        </is>
      </c>
      <c r="EE16" t="inlineStr">
        <is>
          <t>°C</t>
        </is>
      </c>
      <c r="EF16" t="inlineStr">
        <is>
          <t>°C</t>
        </is>
      </c>
      <c r="EG16" t="inlineStr">
        <is>
          <t>µmol m⁻² s⁻¹</t>
        </is>
      </c>
      <c r="EH16" t="inlineStr">
        <is>
          <t>µmol m⁻² s⁻¹</t>
        </is>
      </c>
      <c r="EI16" t="inlineStr">
        <is>
          <t>µmol m⁻² s⁻¹</t>
        </is>
      </c>
      <c r="EJ16" t="inlineStr">
        <is>
          <t>s</t>
        </is>
      </c>
      <c r="EM16" t="inlineStr">
        <is>
          <t>min⁻¹</t>
        </is>
      </c>
      <c r="EN16" t="inlineStr">
        <is>
          <t>min⁻¹</t>
        </is>
      </c>
      <c r="EP16" t="inlineStr">
        <is>
          <t>s</t>
        </is>
      </c>
      <c r="EQ16" t="inlineStr">
        <is>
          <t>secs</t>
        </is>
      </c>
      <c r="ES16" t="inlineStr">
        <is>
          <t>s</t>
        </is>
      </c>
      <c r="ET16" t="inlineStr">
        <is>
          <t>s</t>
        </is>
      </c>
      <c r="EV16" t="inlineStr">
        <is>
          <t>µmol/mol</t>
        </is>
      </c>
      <c r="EW16" t="inlineStr">
        <is>
          <t>mmol/mol</t>
        </is>
      </c>
      <c r="EX16" t="inlineStr">
        <is>
          <t>µmol/mol</t>
        </is>
      </c>
      <c r="EY16" t="inlineStr">
        <is>
          <t>mmol/mol</t>
        </is>
      </c>
      <c r="EZ16" t="inlineStr">
        <is>
          <t>µmol/mol</t>
        </is>
      </c>
      <c r="FA16" t="inlineStr">
        <is>
          <t>mmol/mol</t>
        </is>
      </c>
      <c r="FB16" t="inlineStr">
        <is>
          <t>%</t>
        </is>
      </c>
      <c r="FC16" t="inlineStr">
        <is>
          <t>%</t>
        </is>
      </c>
      <c r="FD16" t="inlineStr">
        <is>
          <t>µmol m⁻² s⁻¹</t>
        </is>
      </c>
      <c r="FE16" t="inlineStr">
        <is>
          <t>µmol m⁻² s⁻¹ min⁻¹</t>
        </is>
      </c>
      <c r="FF16" t="inlineStr">
        <is>
          <t>µmol m⁻² s⁻¹</t>
        </is>
      </c>
      <c r="FH16" t="inlineStr">
        <is>
          <t>µmol mol⁻¹</t>
        </is>
      </c>
      <c r="FI16" t="inlineStr">
        <is>
          <t>µmol mol⁻¹ min⁻¹</t>
        </is>
      </c>
      <c r="FJ16" t="inlineStr">
        <is>
          <t>µmol mol⁻¹</t>
        </is>
      </c>
      <c r="FM16" t="inlineStr">
        <is>
          <t xml:space="preserve"> min⁻¹</t>
        </is>
      </c>
      <c r="FS16" t="inlineStr">
        <is>
          <t>%</t>
        </is>
      </c>
      <c r="FT16" t="inlineStr">
        <is>
          <t>%</t>
        </is>
      </c>
      <c r="FU16" t="inlineStr">
        <is>
          <t>µmol/mol</t>
        </is>
      </c>
      <c r="FV16" t="inlineStr">
        <is>
          <t>mmol/mol</t>
        </is>
      </c>
      <c r="FW16" t="inlineStr">
        <is>
          <t>µmol/mol</t>
        </is>
      </c>
      <c r="GA16" t="inlineStr">
        <is>
          <t>mmol/mol</t>
        </is>
      </c>
      <c r="GE16" t="inlineStr">
        <is>
          <t>µmol mol⁻¹</t>
        </is>
      </c>
      <c r="GF16" t="inlineStr">
        <is>
          <t>µmol mol⁻¹</t>
        </is>
      </c>
      <c r="GG16" t="inlineStr">
        <is>
          <t>mmol mol⁻¹</t>
        </is>
      </c>
      <c r="GH16" t="inlineStr">
        <is>
          <t>mmol mol⁻¹</t>
        </is>
      </c>
      <c r="GI16" t="inlineStr">
        <is>
          <t>min</t>
        </is>
      </c>
      <c r="GJ16" t="inlineStr">
        <is>
          <t>min</t>
        </is>
      </c>
      <c r="GK16" t="inlineStr">
        <is>
          <t>V</t>
        </is>
      </c>
      <c r="GL16" t="inlineStr">
        <is>
          <t>V</t>
        </is>
      </c>
      <c r="GM16" t="inlineStr">
        <is>
          <t>V</t>
        </is>
      </c>
      <c r="GN16" t="inlineStr">
        <is>
          <t>V</t>
        </is>
      </c>
      <c r="GO16" t="inlineStr">
        <is>
          <t>V</t>
        </is>
      </c>
      <c r="GP16" t="inlineStr">
        <is>
          <t>V</t>
        </is>
      </c>
      <c r="GQ16" t="inlineStr">
        <is>
          <t>°C</t>
        </is>
      </c>
      <c r="GR16" t="inlineStr">
        <is>
          <t>V</t>
        </is>
      </c>
      <c r="GT16" t="inlineStr">
        <is>
          <t>µmol s⁻¹</t>
        </is>
      </c>
      <c r="GU16" t="inlineStr">
        <is>
          <t>µmol s⁻¹</t>
        </is>
      </c>
      <c r="GV16" t="inlineStr">
        <is>
          <t>°C</t>
        </is>
      </c>
      <c r="GW16" t="inlineStr">
        <is>
          <t>°C</t>
        </is>
      </c>
      <c r="GX16" t="inlineStr">
        <is>
          <t>°C</t>
        </is>
      </c>
      <c r="GY16" t="inlineStr">
        <is>
          <t>°C</t>
        </is>
      </c>
      <c r="GZ16" t="inlineStr">
        <is>
          <t>°C</t>
        </is>
      </c>
      <c r="HA16" t="inlineStr">
        <is>
          <t>%</t>
        </is>
      </c>
      <c r="HB16" t="inlineStr">
        <is>
          <t>%</t>
        </is>
      </c>
      <c r="HC16" t="inlineStr">
        <is>
          <t>%</t>
        </is>
      </c>
      <c r="HD16" t="inlineStr">
        <is>
          <t>°C</t>
        </is>
      </c>
      <c r="HE16" t="inlineStr">
        <is>
          <t>µmol mol⁻¹</t>
        </is>
      </c>
      <c r="HF16" t="inlineStr">
        <is>
          <t>mmol mol⁻¹</t>
        </is>
      </c>
      <c r="HG16" t="inlineStr">
        <is>
          <t>%</t>
        </is>
      </c>
      <c r="HH16" t="inlineStr">
        <is>
          <t>%</t>
        </is>
      </c>
    </row>
    <row r="17">
      <c r="A17" t="n">
        <v>1</v>
      </c>
      <c r="B17" t="n">
        <v>1792308367</v>
      </c>
      <c r="C17" t="n">
        <v>0</v>
      </c>
      <c r="D17" t="inlineStr">
        <is>
          <t>20261018 16:26:07</t>
        </is>
      </c>
      <c r="E17" t="inlineStr">
        <is>
          <t>16:26:07</t>
        </is>
      </c>
      <c r="F17" t="n">
        <v>5</v>
      </c>
      <c r="G17" t="n">
        <v>1792308363.5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MPF-247-20261018-15_20_40</t>
        </is>
      </c>
      <c r="AK17" t="n">
        <v>8136.3</v>
      </c>
      <c r="AL17" t="n">
        <v>234.829807692308</v>
      </c>
      <c r="AM17" t="n">
        <v>979.8417598451909</v>
      </c>
      <c r="AN17">
        <f>1-AL17/AM17</f>
        <v/>
      </c>
      <c r="AO17" t="n">
        <v>-2.15676906838952</v>
      </c>
      <c r="AP17" t="inlineStr">
        <is>
          <t>MPF-248-20261018-16_26_13</t>
        </is>
      </c>
      <c r="AQ17" t="n">
        <v>8139.83</v>
      </c>
      <c r="AR17" t="n">
        <v>207.08304</v>
      </c>
      <c r="AS17" t="n">
        <v>255.08604138059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248</v>
      </c>
      <c r="BM17" t="n">
        <v>290</v>
      </c>
      <c r="BN17" t="n">
        <v>250.63</v>
      </c>
      <c r="BO17" t="n">
        <v>185</v>
      </c>
      <c r="BP17" t="n">
        <v>8139.83</v>
      </c>
      <c r="BQ17" t="n">
        <v>249.64</v>
      </c>
      <c r="BR17" t="n">
        <v>0.99</v>
      </c>
      <c r="BS17" t="n">
        <v>300</v>
      </c>
      <c r="BT17" t="n">
        <v>19.1</v>
      </c>
      <c r="BU17" t="n">
        <v>255.08604138059</v>
      </c>
      <c r="BV17" t="n">
        <v>3.74141538659378</v>
      </c>
      <c r="BW17" t="n">
        <v>-4.43570015136817</v>
      </c>
      <c r="BX17" t="n">
        <v>2.78569638591718</v>
      </c>
      <c r="BY17" t="n">
        <v>0.08303330602119</v>
      </c>
      <c r="BZ17" t="n">
        <v>-0.00438433103448275</v>
      </c>
      <c r="CA17" t="n">
        <v>290</v>
      </c>
      <c r="CB17" t="n">
        <v>251.05</v>
      </c>
      <c r="CC17" t="n">
        <v>845</v>
      </c>
      <c r="CD17" t="n">
        <v>8129.74</v>
      </c>
      <c r="CE17" t="n">
        <v>249.63</v>
      </c>
      <c r="CF17" t="n">
        <v>1.42</v>
      </c>
      <c r="CT17">
        <f>$B$11*DR17+$C$11*DS17+$F$11*DT17*(1-DW17)</f>
        <v/>
      </c>
      <c r="CU17">
        <f>CT17*CV17</f>
        <v/>
      </c>
      <c r="CV17">
        <f>($B$11*$D$9+$C$11*$D$9+$F$11*((EG17+DY17)/MAX(EG17+DY17+EH17, 0.1)*$I$9+EH17/MAX(EG17+DY17+EH17, 0.1)*$J$9))/($B$11+$C$11+$F$11)</f>
        <v/>
      </c>
      <c r="CW17">
        <f>($B$11*$K$9+$C$11*$K$9+$F$11*((EG17+DY17)/MAX(EG17+DY17+EH17, 0.1)*$P$9+EH17/MAX(EG17+DY17+EH17,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1792308363.5</v>
      </c>
      <c r="DC17" t="n">
        <v>399.968333333333</v>
      </c>
      <c r="DD17" t="n">
        <v>407.299166666667</v>
      </c>
      <c r="DE17" t="n">
        <v>17.7623166666667</v>
      </c>
      <c r="DF17" t="n">
        <v>16.3284</v>
      </c>
      <c r="DG17" t="n">
        <v>400.135833333333</v>
      </c>
      <c r="DH17" t="n">
        <v>17.8924166666667</v>
      </c>
      <c r="DI17" t="n">
        <v>500.051333333333</v>
      </c>
      <c r="DJ17" t="n">
        <v>100.876333333333</v>
      </c>
      <c r="DK17" t="n">
        <v>0.1001879</v>
      </c>
      <c r="DL17" t="n">
        <v>25.4395666666667</v>
      </c>
      <c r="DM17" t="n">
        <v>25.0100833333333</v>
      </c>
      <c r="DN17" t="n">
        <v>999.9</v>
      </c>
      <c r="DO17" t="n">
        <v>0</v>
      </c>
      <c r="DP17" t="n">
        <v>0</v>
      </c>
      <c r="DQ17" t="n">
        <v>9983.316666666669</v>
      </c>
      <c r="DR17" t="n">
        <v>0</v>
      </c>
      <c r="DS17" t="n">
        <v>7.05843</v>
      </c>
      <c r="DT17" t="n">
        <v>1500.05333333333</v>
      </c>
      <c r="DU17" t="n">
        <v>0.972993333333333</v>
      </c>
      <c r="DV17" t="n">
        <v>0.0270062333333333</v>
      </c>
      <c r="DW17" t="n">
        <v>0</v>
      </c>
      <c r="DX17" t="n">
        <v>207.169666666667</v>
      </c>
      <c r="DY17" t="n">
        <v>4.99999</v>
      </c>
      <c r="DZ17" t="n">
        <v>3182.94333333333</v>
      </c>
      <c r="EA17" t="n">
        <v>14883.0666666667</v>
      </c>
      <c r="EB17" t="n">
        <v>36.562</v>
      </c>
      <c r="EC17" t="n">
        <v>38.125</v>
      </c>
      <c r="ED17" t="n">
        <v>37.125</v>
      </c>
      <c r="EE17" t="n">
        <v>37.562</v>
      </c>
      <c r="EF17" t="n">
        <v>38.187</v>
      </c>
      <c r="EG17" t="n">
        <v>1454.67333333333</v>
      </c>
      <c r="EH17" t="n">
        <v>40.38</v>
      </c>
      <c r="EI17" t="n">
        <v>0</v>
      </c>
      <c r="EJ17" t="n">
        <v>3930.79999995232</v>
      </c>
      <c r="EK17" t="n">
        <v>0</v>
      </c>
      <c r="EL17" t="n">
        <v>207.08304</v>
      </c>
      <c r="EM17" t="n">
        <v>-0.0924615279429236</v>
      </c>
      <c r="EN17" t="n">
        <v>-4.0807692296101</v>
      </c>
      <c r="EO17" t="n">
        <v>3183.0364</v>
      </c>
      <c r="EP17" t="n">
        <v>15</v>
      </c>
      <c r="EQ17" t="n">
        <v>1792308129</v>
      </c>
      <c r="ER17" t="inlineStr">
        <is>
          <t>16:22:09</t>
        </is>
      </c>
      <c r="ES17" t="n">
        <v>1792308126</v>
      </c>
      <c r="ET17" t="n">
        <v>1792308129</v>
      </c>
      <c r="EU17" t="n">
        <v>72</v>
      </c>
      <c r="EV17" t="n">
        <v>-0.706</v>
      </c>
      <c r="EW17" t="n">
        <v>0.004</v>
      </c>
      <c r="EX17" t="n">
        <v>-0.164</v>
      </c>
      <c r="EY17" t="n">
        <v>-0.149</v>
      </c>
      <c r="EZ17" t="n">
        <v>407</v>
      </c>
      <c r="FA17" t="n">
        <v>16</v>
      </c>
      <c r="FB17" t="n">
        <v>0.27</v>
      </c>
      <c r="FC17" t="n">
        <v>0.03</v>
      </c>
      <c r="FD17" t="n">
        <v>16.7998867006496</v>
      </c>
      <c r="FE17" t="n">
        <v>0.420187324519872</v>
      </c>
      <c r="FF17" t="n">
        <v>0.0708486730716492</v>
      </c>
      <c r="FG17" t="n">
        <v>1</v>
      </c>
      <c r="FH17" t="n">
        <v>-7.30727</v>
      </c>
      <c r="FI17" t="n">
        <v>-0.196752180451125</v>
      </c>
      <c r="FJ17" t="n">
        <v>0.0299751381981802</v>
      </c>
      <c r="FK17" t="n">
        <v>1</v>
      </c>
      <c r="FL17" t="n">
        <v>207.174176470588</v>
      </c>
      <c r="FM17" t="n">
        <v>-0.62756302469238</v>
      </c>
      <c r="FN17" t="n">
        <v>0.355847907910125</v>
      </c>
      <c r="FO17" t="n">
        <v>1</v>
      </c>
      <c r="FP17" t="n">
        <v>3</v>
      </c>
      <c r="FQ17" t="n">
        <v>3</v>
      </c>
      <c r="FR17" t="inlineStr">
        <is>
          <t>3/3</t>
        </is>
      </c>
      <c r="FS17" t="n">
        <v>100</v>
      </c>
      <c r="FT17" t="n">
        <v>100</v>
      </c>
      <c r="FU17" t="n">
        <v>-0.167</v>
      </c>
      <c r="FV17" t="n">
        <v>-0.1301</v>
      </c>
      <c r="FW17" t="n">
        <v>-0.241997215624388</v>
      </c>
      <c r="FX17" t="n">
        <v>-6.16732984266029e-05</v>
      </c>
      <c r="FY17" t="n">
        <v>6.19398071816742e-07</v>
      </c>
      <c r="FZ17" t="n">
        <v>3.19222985850634e-12</v>
      </c>
      <c r="GA17" t="n">
        <v>-0.0544596368163862</v>
      </c>
      <c r="GB17" t="n">
        <v>-0.0257783215012692</v>
      </c>
      <c r="GC17" t="n">
        <v>0.00133723821780375</v>
      </c>
      <c r="GD17" t="n">
        <v>-7.42160749481374e-06</v>
      </c>
      <c r="GE17" t="n">
        <v>7</v>
      </c>
      <c r="GF17" t="n">
        <v>2154</v>
      </c>
      <c r="GG17" t="n">
        <v>2</v>
      </c>
      <c r="GH17" t="n">
        <v>20</v>
      </c>
      <c r="GI17" t="n">
        <v>4</v>
      </c>
      <c r="GJ17" t="n">
        <v>4</v>
      </c>
      <c r="GK17" t="n">
        <v>1.05347</v>
      </c>
      <c r="GL17" t="n">
        <v>2.64771</v>
      </c>
      <c r="GM17" t="n">
        <v>1.65161</v>
      </c>
      <c r="GN17" t="n">
        <v>2.27295</v>
      </c>
      <c r="GO17" t="n">
        <v>1.5979</v>
      </c>
      <c r="GP17" t="n">
        <v>2.46094</v>
      </c>
      <c r="GQ17" t="n">
        <v>34.5549</v>
      </c>
      <c r="GR17" t="n">
        <v>15.2878</v>
      </c>
      <c r="GS17" t="n">
        <v>18</v>
      </c>
      <c r="GT17" t="n">
        <v>504.351</v>
      </c>
      <c r="GU17" t="n">
        <v>531.34</v>
      </c>
      <c r="GV17" t="n">
        <v>21.9747</v>
      </c>
      <c r="GW17" t="n">
        <v>29.3722</v>
      </c>
      <c r="GX17" t="n">
        <v>30.0001</v>
      </c>
      <c r="GY17" t="n">
        <v>29.5418</v>
      </c>
      <c r="GZ17" t="n">
        <v>29.5993</v>
      </c>
      <c r="HA17" t="n">
        <v>21.0657</v>
      </c>
      <c r="HB17" t="n">
        <v>23.4736</v>
      </c>
      <c r="HC17" t="n">
        <v>20.3456</v>
      </c>
      <c r="HD17" t="n">
        <v>21.9776</v>
      </c>
      <c r="HE17" t="n">
        <v>407.283</v>
      </c>
      <c r="HF17" t="n">
        <v>16.368</v>
      </c>
      <c r="HG17" t="n">
        <v>98.0317</v>
      </c>
      <c r="HH17" t="n">
        <v>94.5262</v>
      </c>
    </row>
    <row r="18">
      <c r="A18" t="n">
        <v>2</v>
      </c>
      <c r="B18" t="n">
        <v>1792308492</v>
      </c>
      <c r="C18" t="n">
        <v>125</v>
      </c>
      <c r="D18" t="inlineStr">
        <is>
          <t>20261018 16:28:12</t>
        </is>
      </c>
      <c r="E18" t="inlineStr">
        <is>
          <t>16:28:12</t>
        </is>
      </c>
      <c r="F18" t="n">
        <v>5</v>
      </c>
      <c r="G18" t="n">
        <v>1792308489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MPF-247-20261018-15_20_40</t>
        </is>
      </c>
      <c r="AK18" t="n">
        <v>8136.3</v>
      </c>
      <c r="AL18" t="n">
        <v>234.829807692308</v>
      </c>
      <c r="AM18" t="n">
        <v>979.8417598451909</v>
      </c>
      <c r="AN18">
        <f>1-AL18/AM18</f>
        <v/>
      </c>
      <c r="AO18" t="n">
        <v>-2.15676906838952</v>
      </c>
      <c r="AP18" t="inlineStr">
        <is>
          <t>MPF-249-20261018-16_28_18</t>
        </is>
      </c>
      <c r="AQ18" t="n">
        <v>8144.2</v>
      </c>
      <c r="AR18" t="n">
        <v>206.734384615385</v>
      </c>
      <c r="AS18" t="n">
        <v>279.038331797262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249</v>
      </c>
      <c r="BM18" t="n">
        <v>290</v>
      </c>
      <c r="BN18" t="n">
        <v>266.83</v>
      </c>
      <c r="BO18" t="n">
        <v>125</v>
      </c>
      <c r="BP18" t="n">
        <v>8144.2</v>
      </c>
      <c r="BQ18" t="n">
        <v>266.7</v>
      </c>
      <c r="BR18" t="n">
        <v>0.13</v>
      </c>
      <c r="BS18" t="n">
        <v>300</v>
      </c>
      <c r="BT18" t="n">
        <v>19.1</v>
      </c>
      <c r="BU18" t="n">
        <v>279.038331797262</v>
      </c>
      <c r="BV18" t="n">
        <v>3.04856749708418</v>
      </c>
      <c r="BW18" t="n">
        <v>-10.0514661745921</v>
      </c>
      <c r="BX18" t="n">
        <v>2.26012477646252</v>
      </c>
      <c r="BY18" t="n">
        <v>0.41396270842763</v>
      </c>
      <c r="BZ18" t="n">
        <v>-0.00458553859844272</v>
      </c>
      <c r="CA18" t="n">
        <v>290</v>
      </c>
      <c r="CB18" t="n">
        <v>266.83</v>
      </c>
      <c r="CC18" t="n">
        <v>735</v>
      </c>
      <c r="CD18" t="n">
        <v>8132.17</v>
      </c>
      <c r="CE18" t="n">
        <v>266.68</v>
      </c>
      <c r="CF18" t="n">
        <v>0.15</v>
      </c>
      <c r="CT18">
        <f>$B$11*DR18+$C$11*DS18+$F$11*DT18*(1-DW18)</f>
        <v/>
      </c>
      <c r="CU18">
        <f>CT18*CV18</f>
        <v/>
      </c>
      <c r="CV18">
        <f>($B$11*$D$9+$C$11*$D$9+$F$11*((EG18+DY18)/MAX(EG18+DY18+EH18, 0.1)*$I$9+EH18/MAX(EG18+DY18+EH18, 0.1)*$J$9))/($B$11+$C$11+$F$11)</f>
        <v/>
      </c>
      <c r="CW18">
        <f>($B$11*$K$9+$C$11*$K$9+$F$11*((EG18+DY18)/MAX(EG18+DY18+EH18, 0.1)*$P$9+EH18/MAX(EG18+DY18+EH18,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1792308489</v>
      </c>
      <c r="DC18" t="n">
        <v>400.0058</v>
      </c>
      <c r="DD18" t="n">
        <v>407.145</v>
      </c>
      <c r="DE18" t="n">
        <v>17.82766</v>
      </c>
      <c r="DF18" t="n">
        <v>16.4183</v>
      </c>
      <c r="DG18" t="n">
        <v>400.1728</v>
      </c>
      <c r="DH18" t="n">
        <v>17.9568</v>
      </c>
      <c r="DI18" t="n">
        <v>499.986</v>
      </c>
      <c r="DJ18" t="n">
        <v>100.888</v>
      </c>
      <c r="DK18" t="n">
        <v>0.09991034</v>
      </c>
      <c r="DL18" t="n">
        <v>25.54304</v>
      </c>
      <c r="DM18" t="n">
        <v>25.01272</v>
      </c>
      <c r="DN18" t="n">
        <v>999.9</v>
      </c>
      <c r="DO18" t="n">
        <v>0</v>
      </c>
      <c r="DP18" t="n">
        <v>0</v>
      </c>
      <c r="DQ18" t="n">
        <v>10015.86</v>
      </c>
      <c r="DR18" t="n">
        <v>0</v>
      </c>
      <c r="DS18" t="n">
        <v>7.05843</v>
      </c>
      <c r="DT18" t="n">
        <v>1200.068</v>
      </c>
      <c r="DU18" t="n">
        <v>0.9670104</v>
      </c>
      <c r="DV18" t="n">
        <v>0.03298956</v>
      </c>
      <c r="DW18" t="n">
        <v>0</v>
      </c>
      <c r="DX18" t="n">
        <v>206.944</v>
      </c>
      <c r="DY18" t="n">
        <v>4.99999</v>
      </c>
      <c r="DZ18" t="n">
        <v>2535.452</v>
      </c>
      <c r="EA18" t="n">
        <v>11873.38</v>
      </c>
      <c r="EB18" t="n">
        <v>36.25</v>
      </c>
      <c r="EC18" t="n">
        <v>38.062</v>
      </c>
      <c r="ED18" t="n">
        <v>37</v>
      </c>
      <c r="EE18" t="n">
        <v>37.5</v>
      </c>
      <c r="EF18" t="n">
        <v>38</v>
      </c>
      <c r="EG18" t="n">
        <v>1155.648</v>
      </c>
      <c r="EH18" t="n">
        <v>39.42</v>
      </c>
      <c r="EI18" t="n">
        <v>0</v>
      </c>
      <c r="EJ18" t="n">
        <v>123.700000047684</v>
      </c>
      <c r="EK18" t="n">
        <v>0</v>
      </c>
      <c r="EL18" t="n">
        <v>206.734384615385</v>
      </c>
      <c r="EM18" t="n">
        <v>0.173538460958648</v>
      </c>
      <c r="EN18" t="n">
        <v>1.46529915362823</v>
      </c>
      <c r="EO18" t="n">
        <v>2535.31384615385</v>
      </c>
      <c r="EP18" t="n">
        <v>15</v>
      </c>
      <c r="EQ18" t="n">
        <v>1792308129</v>
      </c>
      <c r="ER18" t="inlineStr">
        <is>
          <t>16:22:09</t>
        </is>
      </c>
      <c r="ES18" t="n">
        <v>1792308126</v>
      </c>
      <c r="ET18" t="n">
        <v>1792308129</v>
      </c>
      <c r="EU18" t="n">
        <v>72</v>
      </c>
      <c r="EV18" t="n">
        <v>-0.706</v>
      </c>
      <c r="EW18" t="n">
        <v>0.004</v>
      </c>
      <c r="EX18" t="n">
        <v>-0.164</v>
      </c>
      <c r="EY18" t="n">
        <v>-0.149</v>
      </c>
      <c r="EZ18" t="n">
        <v>407</v>
      </c>
      <c r="FA18" t="n">
        <v>16</v>
      </c>
      <c r="FB18" t="n">
        <v>0.27</v>
      </c>
      <c r="FC18" t="n">
        <v>0.03</v>
      </c>
      <c r="FD18" t="n">
        <v>16.4605180803578</v>
      </c>
      <c r="FE18" t="n">
        <v>-0.153438184387502</v>
      </c>
      <c r="FF18" t="n">
        <v>0.0490577806922053</v>
      </c>
      <c r="FG18" t="n">
        <v>1</v>
      </c>
      <c r="FH18" t="n">
        <v>-7.153717</v>
      </c>
      <c r="FI18" t="n">
        <v>0.058202706766914</v>
      </c>
      <c r="FJ18" t="n">
        <v>0.0201028020683685</v>
      </c>
      <c r="FK18" t="n">
        <v>1</v>
      </c>
      <c r="FL18" t="n">
        <v>206.654588235294</v>
      </c>
      <c r="FM18" t="n">
        <v>0.564339185296026</v>
      </c>
      <c r="FN18" t="n">
        <v>0.382137803728003</v>
      </c>
      <c r="FO18" t="n">
        <v>1</v>
      </c>
      <c r="FP18" t="n">
        <v>3</v>
      </c>
      <c r="FQ18" t="n">
        <v>3</v>
      </c>
      <c r="FR18" t="inlineStr">
        <is>
          <t>3/3</t>
        </is>
      </c>
      <c r="FS18" t="n">
        <v>100</v>
      </c>
      <c r="FT18" t="n">
        <v>100</v>
      </c>
      <c r="FU18" t="n">
        <v>-0.167</v>
      </c>
      <c r="FV18" t="n">
        <v>-0.1292</v>
      </c>
      <c r="FW18" t="n">
        <v>-0.241997215624388</v>
      </c>
      <c r="FX18" t="n">
        <v>-6.16732984266029e-05</v>
      </c>
      <c r="FY18" t="n">
        <v>6.19398071816742e-07</v>
      </c>
      <c r="FZ18" t="n">
        <v>3.19222985850634e-12</v>
      </c>
      <c r="GA18" t="n">
        <v>-0.0544596368163862</v>
      </c>
      <c r="GB18" t="n">
        <v>-0.0257783215012692</v>
      </c>
      <c r="GC18" t="n">
        <v>0.00133723821780375</v>
      </c>
      <c r="GD18" t="n">
        <v>-7.42160749481374e-06</v>
      </c>
      <c r="GE18" t="n">
        <v>7</v>
      </c>
      <c r="GF18" t="n">
        <v>2154</v>
      </c>
      <c r="GG18" t="n">
        <v>2</v>
      </c>
      <c r="GH18" t="n">
        <v>20</v>
      </c>
      <c r="GI18" t="n">
        <v>6.1</v>
      </c>
      <c r="GJ18" t="n">
        <v>6</v>
      </c>
      <c r="GK18" t="n">
        <v>1.05225</v>
      </c>
      <c r="GL18" t="n">
        <v>2.63794</v>
      </c>
      <c r="GM18" t="n">
        <v>1.65161</v>
      </c>
      <c r="GN18" t="n">
        <v>2.27417</v>
      </c>
      <c r="GO18" t="n">
        <v>1.5979</v>
      </c>
      <c r="GP18" t="n">
        <v>2.6001</v>
      </c>
      <c r="GQ18" t="n">
        <v>34.5549</v>
      </c>
      <c r="GR18" t="n">
        <v>15.2791</v>
      </c>
      <c r="GS18" t="n">
        <v>18</v>
      </c>
      <c r="GT18" t="n">
        <v>504.218</v>
      </c>
      <c r="GU18" t="n">
        <v>531.659</v>
      </c>
      <c r="GV18" t="n">
        <v>22.6967</v>
      </c>
      <c r="GW18" t="n">
        <v>29.3848</v>
      </c>
      <c r="GX18" t="n">
        <v>30.0052</v>
      </c>
      <c r="GY18" t="n">
        <v>29.5519</v>
      </c>
      <c r="GZ18" t="n">
        <v>29.6095</v>
      </c>
      <c r="HA18" t="n">
        <v>21.0575</v>
      </c>
      <c r="HB18" t="n">
        <v>22.9166</v>
      </c>
      <c r="HC18" t="n">
        <v>20.3456</v>
      </c>
      <c r="HD18" t="n">
        <v>22.5469</v>
      </c>
      <c r="HE18" t="n">
        <v>407.102</v>
      </c>
      <c r="HF18" t="n">
        <v>16.406</v>
      </c>
      <c r="HG18" t="n">
        <v>98.02719999999999</v>
      </c>
      <c r="HH18" t="n">
        <v>94.5219</v>
      </c>
    </row>
    <row r="19">
      <c r="A19" t="n">
        <v>3</v>
      </c>
      <c r="B19" t="n">
        <v>1792308615</v>
      </c>
      <c r="C19" t="n">
        <v>248</v>
      </c>
      <c r="D19" t="inlineStr">
        <is>
          <t>20261018 16:30:15</t>
        </is>
      </c>
      <c r="E19" t="inlineStr">
        <is>
          <t>16:30:15</t>
        </is>
      </c>
      <c r="F19" t="n">
        <v>5</v>
      </c>
      <c r="G19" t="n">
        <v>1792308611.5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MPF-247-20261018-15_20_40</t>
        </is>
      </c>
      <c r="AK19" t="n">
        <v>8136.3</v>
      </c>
      <c r="AL19" t="n">
        <v>234.829807692308</v>
      </c>
      <c r="AM19" t="n">
        <v>979.8417598451909</v>
      </c>
      <c r="AN19">
        <f>1-AL19/AM19</f>
        <v/>
      </c>
      <c r="AO19" t="n">
        <v>-2.15676906838952</v>
      </c>
      <c r="AP19" t="inlineStr">
        <is>
          <t>MPF-250-20261018-16_30_21</t>
        </is>
      </c>
      <c r="AQ19" t="n">
        <v>8137.05</v>
      </c>
      <c r="AR19" t="n">
        <v>210.002961538462</v>
      </c>
      <c r="AS19" t="n">
        <v>323.546117978932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250</v>
      </c>
      <c r="BM19" t="n">
        <v>290</v>
      </c>
      <c r="BN19" t="n">
        <v>305.49</v>
      </c>
      <c r="BO19" t="n">
        <v>265</v>
      </c>
      <c r="BP19" t="n">
        <v>8137.05</v>
      </c>
      <c r="BQ19" t="n">
        <v>304.56</v>
      </c>
      <c r="BR19" t="n">
        <v>0.93</v>
      </c>
      <c r="BS19" t="n">
        <v>300</v>
      </c>
      <c r="BT19" t="n">
        <v>19.1</v>
      </c>
      <c r="BU19" t="n">
        <v>323.546117978932</v>
      </c>
      <c r="BV19" t="n">
        <v>2.8185704483932</v>
      </c>
      <c r="BW19" t="n">
        <v>-15.4521473055546</v>
      </c>
      <c r="BX19" t="n">
        <v>2.07990367547846</v>
      </c>
      <c r="BY19" t="n">
        <v>0.663436940765638</v>
      </c>
      <c r="BZ19" t="n">
        <v>-0.00478570901001112</v>
      </c>
      <c r="CA19" t="n">
        <v>290</v>
      </c>
      <c r="CB19" t="n">
        <v>303.58</v>
      </c>
      <c r="CC19" t="n">
        <v>735</v>
      </c>
      <c r="CD19" t="n">
        <v>8130.67</v>
      </c>
      <c r="CE19" t="n">
        <v>304.54</v>
      </c>
      <c r="CF19" t="n">
        <v>-0.96</v>
      </c>
      <c r="CT19">
        <f>$B$11*DR19+$C$11*DS19+$F$11*DT19*(1-DW19)</f>
        <v/>
      </c>
      <c r="CU19">
        <f>CT19*CV19</f>
        <v/>
      </c>
      <c r="CV19">
        <f>($B$11*$D$9+$C$11*$D$9+$F$11*((EG19+DY19)/MAX(EG19+DY19+EH19, 0.1)*$I$9+EH19/MAX(EG19+DY19+EH19, 0.1)*$J$9))/($B$11+$C$11+$F$11)</f>
        <v/>
      </c>
      <c r="CW19">
        <f>($B$11*$K$9+$C$11*$K$9+$F$11*((EG19+DY19)/MAX(EG19+DY19+EH19, 0.1)*$P$9+EH19/MAX(EG19+DY19+EH19,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1792308611.5</v>
      </c>
      <c r="DC19" t="n">
        <v>400.0075</v>
      </c>
      <c r="DD19" t="n">
        <v>406.874666666667</v>
      </c>
      <c r="DE19" t="n">
        <v>17.87225</v>
      </c>
      <c r="DF19" t="n">
        <v>16.4866833333333</v>
      </c>
      <c r="DG19" t="n">
        <v>400.175166666667</v>
      </c>
      <c r="DH19" t="n">
        <v>18.0007333333333</v>
      </c>
      <c r="DI19" t="n">
        <v>499.980833333333</v>
      </c>
      <c r="DJ19" t="n">
        <v>100.887166666667</v>
      </c>
      <c r="DK19" t="n">
        <v>0.09982705</v>
      </c>
      <c r="DL19" t="n">
        <v>25.6572</v>
      </c>
      <c r="DM19" t="n">
        <v>25.0351666666667</v>
      </c>
      <c r="DN19" t="n">
        <v>999.9</v>
      </c>
      <c r="DO19" t="n">
        <v>0</v>
      </c>
      <c r="DP19" t="n">
        <v>0</v>
      </c>
      <c r="DQ19" t="n">
        <v>10017.5</v>
      </c>
      <c r="DR19" t="n">
        <v>0</v>
      </c>
      <c r="DS19" t="n">
        <v>7.05843</v>
      </c>
      <c r="DT19" t="n">
        <v>899.974666666667</v>
      </c>
      <c r="DU19" t="n">
        <v>0.956007666666667</v>
      </c>
      <c r="DV19" t="n">
        <v>0.0439921333333333</v>
      </c>
      <c r="DW19" t="n">
        <v>0</v>
      </c>
      <c r="DX19" t="n">
        <v>209.967333333333</v>
      </c>
      <c r="DY19" t="n">
        <v>4.99999</v>
      </c>
      <c r="DZ19" t="n">
        <v>1929.66333333333</v>
      </c>
      <c r="EA19" t="n">
        <v>8859.648333333331</v>
      </c>
      <c r="EB19" t="n">
        <v>36.3956666666667</v>
      </c>
      <c r="EC19" t="n">
        <v>39.0935</v>
      </c>
      <c r="ED19" t="n">
        <v>37.531</v>
      </c>
      <c r="EE19" t="n">
        <v>38.781</v>
      </c>
      <c r="EF19" t="n">
        <v>38.708</v>
      </c>
      <c r="EG19" t="n">
        <v>855.601666666667</v>
      </c>
      <c r="EH19" t="n">
        <v>39.37</v>
      </c>
      <c r="EI19" t="n">
        <v>0</v>
      </c>
      <c r="EJ19" t="n">
        <v>121.700000047684</v>
      </c>
      <c r="EK19" t="n">
        <v>0</v>
      </c>
      <c r="EL19" t="n">
        <v>210.002961538462</v>
      </c>
      <c r="EM19" t="n">
        <v>0.74902564236944</v>
      </c>
      <c r="EN19" t="n">
        <v>12.2724786379146</v>
      </c>
      <c r="EO19" t="n">
        <v>1928.83807692308</v>
      </c>
      <c r="EP19" t="n">
        <v>15</v>
      </c>
      <c r="EQ19" t="n">
        <v>1792308129</v>
      </c>
      <c r="ER19" t="inlineStr">
        <is>
          <t>16:22:09</t>
        </is>
      </c>
      <c r="ES19" t="n">
        <v>1792308126</v>
      </c>
      <c r="ET19" t="n">
        <v>1792308129</v>
      </c>
      <c r="EU19" t="n">
        <v>72</v>
      </c>
      <c r="EV19" t="n">
        <v>-0.706</v>
      </c>
      <c r="EW19" t="n">
        <v>0.004</v>
      </c>
      <c r="EX19" t="n">
        <v>-0.164</v>
      </c>
      <c r="EY19" t="n">
        <v>-0.149</v>
      </c>
      <c r="EZ19" t="n">
        <v>407</v>
      </c>
      <c r="FA19" t="n">
        <v>16</v>
      </c>
      <c r="FB19" t="n">
        <v>0.27</v>
      </c>
      <c r="FC19" t="n">
        <v>0.03</v>
      </c>
      <c r="FD19" t="n">
        <v>15.6559458372762</v>
      </c>
      <c r="FE19" t="n">
        <v>0.17070606342324</v>
      </c>
      <c r="FF19" t="n">
        <v>0.0809294652748058</v>
      </c>
      <c r="FG19" t="n">
        <v>1</v>
      </c>
      <c r="FH19" t="n">
        <v>-6.834123</v>
      </c>
      <c r="FI19" t="n">
        <v>-0.0585690225563894</v>
      </c>
      <c r="FJ19" t="n">
        <v>0.0321192425346551</v>
      </c>
      <c r="FK19" t="n">
        <v>1</v>
      </c>
      <c r="FL19" t="n">
        <v>209.992117647059</v>
      </c>
      <c r="FM19" t="n">
        <v>0.468235291523865</v>
      </c>
      <c r="FN19" t="n">
        <v>0.298916648298078</v>
      </c>
      <c r="FO19" t="n">
        <v>1</v>
      </c>
      <c r="FP19" t="n">
        <v>3</v>
      </c>
      <c r="FQ19" t="n">
        <v>3</v>
      </c>
      <c r="FR19" t="inlineStr">
        <is>
          <t>3/3</t>
        </is>
      </c>
      <c r="FS19" t="n">
        <v>100</v>
      </c>
      <c r="FT19" t="n">
        <v>100</v>
      </c>
      <c r="FU19" t="n">
        <v>-0.167</v>
      </c>
      <c r="FV19" t="n">
        <v>-0.1287</v>
      </c>
      <c r="FW19" t="n">
        <v>-0.241997215624388</v>
      </c>
      <c r="FX19" t="n">
        <v>-6.16732984266029e-05</v>
      </c>
      <c r="FY19" t="n">
        <v>6.19398071816742e-07</v>
      </c>
      <c r="FZ19" t="n">
        <v>3.19222985850634e-12</v>
      </c>
      <c r="GA19" t="n">
        <v>-0.0544596368163862</v>
      </c>
      <c r="GB19" t="n">
        <v>-0.0257783215012692</v>
      </c>
      <c r="GC19" t="n">
        <v>0.00133723821780375</v>
      </c>
      <c r="GD19" t="n">
        <v>-7.42160749481374e-06</v>
      </c>
      <c r="GE19" t="n">
        <v>7</v>
      </c>
      <c r="GF19" t="n">
        <v>2154</v>
      </c>
      <c r="GG19" t="n">
        <v>2</v>
      </c>
      <c r="GH19" t="n">
        <v>20</v>
      </c>
      <c r="GI19" t="n">
        <v>8.199999999999999</v>
      </c>
      <c r="GJ19" t="n">
        <v>8.1</v>
      </c>
      <c r="GK19" t="n">
        <v>1.05225</v>
      </c>
      <c r="GL19" t="n">
        <v>2.65015</v>
      </c>
      <c r="GM19" t="n">
        <v>1.65161</v>
      </c>
      <c r="GN19" t="n">
        <v>2.27295</v>
      </c>
      <c r="GO19" t="n">
        <v>1.5979</v>
      </c>
      <c r="GP19" t="n">
        <v>2.65381</v>
      </c>
      <c r="GQ19" t="n">
        <v>34.5321</v>
      </c>
      <c r="GR19" t="n">
        <v>15.2878</v>
      </c>
      <c r="GS19" t="n">
        <v>18</v>
      </c>
      <c r="GT19" t="n">
        <v>504.151</v>
      </c>
      <c r="GU19" t="n">
        <v>532.237</v>
      </c>
      <c r="GV19" t="n">
        <v>23.0777</v>
      </c>
      <c r="GW19" t="n">
        <v>29.3873</v>
      </c>
      <c r="GX19" t="n">
        <v>30.0004</v>
      </c>
      <c r="GY19" t="n">
        <v>29.5569</v>
      </c>
      <c r="GZ19" t="n">
        <v>29.6171</v>
      </c>
      <c r="HA19" t="n">
        <v>21.0463</v>
      </c>
      <c r="HB19" t="n">
        <v>22.3333</v>
      </c>
      <c r="HC19" t="n">
        <v>20.3456</v>
      </c>
      <c r="HD19" t="n">
        <v>23.0706</v>
      </c>
      <c r="HE19" t="n">
        <v>406.804</v>
      </c>
      <c r="HF19" t="n">
        <v>16.5983</v>
      </c>
      <c r="HG19" t="n">
        <v>98.024</v>
      </c>
      <c r="HH19" t="n">
        <v>94.52030000000001</v>
      </c>
    </row>
    <row r="20">
      <c r="A20" t="n">
        <v>4</v>
      </c>
      <c r="B20" t="n">
        <v>1792308798</v>
      </c>
      <c r="C20" t="n">
        <v>431</v>
      </c>
      <c r="D20" t="inlineStr">
        <is>
          <t>20261018 16:33:18</t>
        </is>
      </c>
      <c r="E20" t="inlineStr">
        <is>
          <t>16:33:18</t>
        </is>
      </c>
      <c r="F20" t="n">
        <v>5</v>
      </c>
      <c r="G20" t="n">
        <v>1792308794.5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MPF-247-20261018-15_20_40</t>
        </is>
      </c>
      <c r="AK20" t="n">
        <v>8136.3</v>
      </c>
      <c r="AL20" t="n">
        <v>234.829807692308</v>
      </c>
      <c r="AM20" t="n">
        <v>979.8417598451909</v>
      </c>
      <c r="AN20">
        <f>1-AL20/AM20</f>
        <v/>
      </c>
      <c r="AO20" t="n">
        <v>-2.15676906838952</v>
      </c>
      <c r="AP20" t="inlineStr">
        <is>
          <t>MPF-251-20261018-16_33_24</t>
        </is>
      </c>
      <c r="AQ20" t="n">
        <v>8141.16</v>
      </c>
      <c r="AR20" t="n">
        <v>224.742192307692</v>
      </c>
      <c r="AS20" t="n">
        <v>438.115506834756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251</v>
      </c>
      <c r="BM20" t="n">
        <v>290</v>
      </c>
      <c r="BN20" t="n">
        <v>405.69</v>
      </c>
      <c r="BO20" t="n">
        <v>225</v>
      </c>
      <c r="BP20" t="n">
        <v>8141.16</v>
      </c>
      <c r="BQ20" t="n">
        <v>405.23</v>
      </c>
      <c r="BR20" t="n">
        <v>0.46</v>
      </c>
      <c r="BS20" t="n">
        <v>300</v>
      </c>
      <c r="BT20" t="n">
        <v>19.1</v>
      </c>
      <c r="BU20" t="n">
        <v>438.115506834756</v>
      </c>
      <c r="BV20" t="n">
        <v>2.51103995397679</v>
      </c>
      <c r="BW20" t="n">
        <v>-26.7730295521949</v>
      </c>
      <c r="BX20" t="n">
        <v>1.84518156337924</v>
      </c>
      <c r="BY20" t="n">
        <v>0.882615021596993</v>
      </c>
      <c r="BZ20" t="n">
        <v>-0.00498729922135708</v>
      </c>
      <c r="CA20" t="n">
        <v>290</v>
      </c>
      <c r="CB20" t="n">
        <v>401.76</v>
      </c>
      <c r="CC20" t="n">
        <v>645</v>
      </c>
      <c r="CD20" t="n">
        <v>8134.58</v>
      </c>
      <c r="CE20" t="n">
        <v>405.2</v>
      </c>
      <c r="CF20" t="n">
        <v>-3.44</v>
      </c>
      <c r="CT20">
        <f>$B$11*DR20+$C$11*DS20+$F$11*DT20*(1-DW20)</f>
        <v/>
      </c>
      <c r="CU20">
        <f>CT20*CV20</f>
        <v/>
      </c>
      <c r="CV20">
        <f>($B$11*$D$9+$C$11*$D$9+$F$11*((EG20+DY20)/MAX(EG20+DY20+EH20, 0.1)*$I$9+EH20/MAX(EG20+DY20+EH20, 0.1)*$J$9))/($B$11+$C$11+$F$11)</f>
        <v/>
      </c>
      <c r="CW20">
        <f>($B$11*$K$9+$C$11*$K$9+$F$11*((EG20+DY20)/MAX(EG20+DY20+EH20, 0.1)*$P$9+EH20/MAX(EG20+DY20+EH20,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1792308794.5</v>
      </c>
      <c r="DC20" t="n">
        <v>399.991333333333</v>
      </c>
      <c r="DD20" t="n">
        <v>406.394166666667</v>
      </c>
      <c r="DE20" t="n">
        <v>18.1024833333333</v>
      </c>
      <c r="DF20" t="n">
        <v>16.78035</v>
      </c>
      <c r="DG20" t="n">
        <v>400.158666666667</v>
      </c>
      <c r="DH20" t="n">
        <v>18.2274833333333</v>
      </c>
      <c r="DI20" t="n">
        <v>500.021833333333</v>
      </c>
      <c r="DJ20" t="n">
        <v>100.892333333333</v>
      </c>
      <c r="DK20" t="n">
        <v>0.10001895</v>
      </c>
      <c r="DL20" t="n">
        <v>25.7676666666667</v>
      </c>
      <c r="DM20" t="n">
        <v>25.02155</v>
      </c>
      <c r="DN20" t="n">
        <v>999.9</v>
      </c>
      <c r="DO20" t="n">
        <v>0</v>
      </c>
      <c r="DP20" t="n">
        <v>0</v>
      </c>
      <c r="DQ20" t="n">
        <v>9990.41333333333</v>
      </c>
      <c r="DR20" t="n">
        <v>0</v>
      </c>
      <c r="DS20" t="n">
        <v>7.05843</v>
      </c>
      <c r="DT20" t="n">
        <v>600.0325</v>
      </c>
      <c r="DU20" t="n">
        <v>0.933006333333333</v>
      </c>
      <c r="DV20" t="n">
        <v>0.0669939333333333</v>
      </c>
      <c r="DW20" t="n">
        <v>0</v>
      </c>
      <c r="DX20" t="n">
        <v>225.102333333333</v>
      </c>
      <c r="DY20" t="n">
        <v>4.99999</v>
      </c>
      <c r="DZ20" t="n">
        <v>1373.26</v>
      </c>
      <c r="EA20" t="n">
        <v>5845.66333333333</v>
      </c>
      <c r="EB20" t="n">
        <v>37.0413333333333</v>
      </c>
      <c r="EC20" t="n">
        <v>39.6766666666667</v>
      </c>
      <c r="ED20" t="n">
        <v>38.4163333333333</v>
      </c>
      <c r="EE20" t="n">
        <v>39.6143333333333</v>
      </c>
      <c r="EF20" t="n">
        <v>39.156</v>
      </c>
      <c r="EG20" t="n">
        <v>555.17</v>
      </c>
      <c r="EH20" t="n">
        <v>39.86</v>
      </c>
      <c r="EI20" t="n">
        <v>0</v>
      </c>
      <c r="EJ20" t="n">
        <v>182.100000143051</v>
      </c>
      <c r="EK20" t="n">
        <v>0</v>
      </c>
      <c r="EL20" t="n">
        <v>224.742192307692</v>
      </c>
      <c r="EM20" t="n">
        <v>3.55039314931561</v>
      </c>
      <c r="EN20" t="n">
        <v>9.063931615969141</v>
      </c>
      <c r="EO20" t="n">
        <v>1372.78153846154</v>
      </c>
      <c r="EP20" t="n">
        <v>15</v>
      </c>
      <c r="EQ20" t="n">
        <v>1792308129</v>
      </c>
      <c r="ER20" t="inlineStr">
        <is>
          <t>16:22:09</t>
        </is>
      </c>
      <c r="ES20" t="n">
        <v>1792308126</v>
      </c>
      <c r="ET20" t="n">
        <v>1792308129</v>
      </c>
      <c r="EU20" t="n">
        <v>72</v>
      </c>
      <c r="EV20" t="n">
        <v>-0.706</v>
      </c>
      <c r="EW20" t="n">
        <v>0.004</v>
      </c>
      <c r="EX20" t="n">
        <v>-0.164</v>
      </c>
      <c r="EY20" t="n">
        <v>-0.149</v>
      </c>
      <c r="EZ20" t="n">
        <v>407</v>
      </c>
      <c r="FA20" t="n">
        <v>16</v>
      </c>
      <c r="FB20" t="n">
        <v>0.27</v>
      </c>
      <c r="FC20" t="n">
        <v>0.03</v>
      </c>
      <c r="FD20" t="n">
        <v>14.6367789844201</v>
      </c>
      <c r="FE20" t="n">
        <v>0.467366556632372</v>
      </c>
      <c r="FF20" t="n">
        <v>0.0785784918122148</v>
      </c>
      <c r="FG20" t="n">
        <v>1</v>
      </c>
      <c r="FH20" t="n">
        <v>-6.39259476190476</v>
      </c>
      <c r="FI20" t="n">
        <v>-0.190824155844151</v>
      </c>
      <c r="FJ20" t="n">
        <v>0.0316863620384074</v>
      </c>
      <c r="FK20" t="n">
        <v>1</v>
      </c>
      <c r="FL20" t="n">
        <v>224.581705882353</v>
      </c>
      <c r="FM20" t="n">
        <v>3.00381970568491</v>
      </c>
      <c r="FN20" t="n">
        <v>0.408853240562355</v>
      </c>
      <c r="FO20" t="n">
        <v>0</v>
      </c>
      <c r="FP20" t="n">
        <v>2</v>
      </c>
      <c r="FQ20" t="n">
        <v>3</v>
      </c>
      <c r="FR20" t="inlineStr">
        <is>
          <t>2/3</t>
        </is>
      </c>
      <c r="FS20" t="n">
        <v>100</v>
      </c>
      <c r="FT20" t="n">
        <v>100</v>
      </c>
      <c r="FU20" t="n">
        <v>-0.168</v>
      </c>
      <c r="FV20" t="n">
        <v>-0.1249</v>
      </c>
      <c r="FW20" t="n">
        <v>-0.241997215624388</v>
      </c>
      <c r="FX20" t="n">
        <v>-6.16732984266029e-05</v>
      </c>
      <c r="FY20" t="n">
        <v>6.19398071816742e-07</v>
      </c>
      <c r="FZ20" t="n">
        <v>3.19222985850634e-12</v>
      </c>
      <c r="GA20" t="n">
        <v>-0.0544596368163862</v>
      </c>
      <c r="GB20" t="n">
        <v>-0.0257783215012692</v>
      </c>
      <c r="GC20" t="n">
        <v>0.00133723821780375</v>
      </c>
      <c r="GD20" t="n">
        <v>-7.42160749481374e-06</v>
      </c>
      <c r="GE20" t="n">
        <v>7</v>
      </c>
      <c r="GF20" t="n">
        <v>2154</v>
      </c>
      <c r="GG20" t="n">
        <v>2</v>
      </c>
      <c r="GH20" t="n">
        <v>20</v>
      </c>
      <c r="GI20" t="n">
        <v>11.2</v>
      </c>
      <c r="GJ20" t="n">
        <v>11.2</v>
      </c>
      <c r="GK20" t="n">
        <v>1.05103</v>
      </c>
      <c r="GL20" t="n">
        <v>2.64771</v>
      </c>
      <c r="GM20" t="n">
        <v>1.65161</v>
      </c>
      <c r="GN20" t="n">
        <v>2.27295</v>
      </c>
      <c r="GO20" t="n">
        <v>1.5979</v>
      </c>
      <c r="GP20" t="n">
        <v>2.50977</v>
      </c>
      <c r="GQ20" t="n">
        <v>34.5092</v>
      </c>
      <c r="GR20" t="n">
        <v>15.2615</v>
      </c>
      <c r="GS20" t="n">
        <v>18</v>
      </c>
      <c r="GT20" t="n">
        <v>504.436</v>
      </c>
      <c r="GU20" t="n">
        <v>532.538</v>
      </c>
      <c r="GV20" t="n">
        <v>23.2448</v>
      </c>
      <c r="GW20" t="n">
        <v>29.405</v>
      </c>
      <c r="GX20" t="n">
        <v>30.0003</v>
      </c>
      <c r="GY20" t="n">
        <v>29.5696</v>
      </c>
      <c r="GZ20" t="n">
        <v>29.6292</v>
      </c>
      <c r="HA20" t="n">
        <v>21.0279</v>
      </c>
      <c r="HB20" t="n">
        <v>22.0366</v>
      </c>
      <c r="HC20" t="n">
        <v>21.8444</v>
      </c>
      <c r="HD20" t="n">
        <v>23.2282</v>
      </c>
      <c r="HE20" t="n">
        <v>406.356</v>
      </c>
      <c r="HF20" t="n">
        <v>16.7354</v>
      </c>
      <c r="HG20" t="n">
        <v>98.0248</v>
      </c>
      <c r="HH20" t="n">
        <v>94.5162</v>
      </c>
    </row>
    <row r="21">
      <c r="A21" t="n">
        <v>5</v>
      </c>
      <c r="B21" t="n">
        <v>1792308981</v>
      </c>
      <c r="C21" t="n">
        <v>614</v>
      </c>
      <c r="D21" t="inlineStr">
        <is>
          <t>20261018 16:36:21</t>
        </is>
      </c>
      <c r="E21" t="inlineStr">
        <is>
          <t>16:36:21</t>
        </is>
      </c>
      <c r="F21" t="n">
        <v>5</v>
      </c>
      <c r="G21" t="n">
        <v>1792308977.5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MPF-247-20261018-15_20_40</t>
        </is>
      </c>
      <c r="AK21" t="n">
        <v>8136.3</v>
      </c>
      <c r="AL21" t="n">
        <v>234.829807692308</v>
      </c>
      <c r="AM21" t="n">
        <v>979.8417598451909</v>
      </c>
      <c r="AN21">
        <f>1-AL21/AM21</f>
        <v/>
      </c>
      <c r="AO21" t="n">
        <v>-2.15676906838952</v>
      </c>
      <c r="AP21" t="inlineStr">
        <is>
          <t>MPF-252-20261018-16_36_27</t>
        </is>
      </c>
      <c r="AQ21" t="n">
        <v>8145.04</v>
      </c>
      <c r="AR21" t="n">
        <v>237.87732</v>
      </c>
      <c r="AS21" t="n">
        <v>570.780081709226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252</v>
      </c>
      <c r="BM21" t="n">
        <v>290</v>
      </c>
      <c r="BN21" t="n">
        <v>532.49</v>
      </c>
      <c r="BO21" t="n">
        <v>295</v>
      </c>
      <c r="BP21" t="n">
        <v>8145.04</v>
      </c>
      <c r="BQ21" t="n">
        <v>532.22</v>
      </c>
      <c r="BR21" t="n">
        <v>0.27</v>
      </c>
      <c r="BS21" t="n">
        <v>300</v>
      </c>
      <c r="BT21" t="n">
        <v>19.1</v>
      </c>
      <c r="BU21" t="n">
        <v>570.780081709226</v>
      </c>
      <c r="BV21" t="n">
        <v>2.12756532822212</v>
      </c>
      <c r="BW21" t="n">
        <v>-31.4064089778377</v>
      </c>
      <c r="BX21" t="n">
        <v>1.55980940308194</v>
      </c>
      <c r="BY21" t="n">
        <v>0.9353959115241079</v>
      </c>
      <c r="BZ21" t="n">
        <v>-0.00512477174638487</v>
      </c>
      <c r="CA21" t="n">
        <v>290</v>
      </c>
      <c r="CB21" t="n">
        <v>530.1900000000001</v>
      </c>
      <c r="CC21" t="n">
        <v>615</v>
      </c>
      <c r="CD21" t="n">
        <v>8141.52</v>
      </c>
      <c r="CE21" t="n">
        <v>532.2</v>
      </c>
      <c r="CF21" t="n">
        <v>-2.01</v>
      </c>
      <c r="CT21">
        <f>$B$11*DR21+$C$11*DS21+$F$11*DT21*(1-DW21)</f>
        <v/>
      </c>
      <c r="CU21">
        <f>CT21*CV21</f>
        <v/>
      </c>
      <c r="CV21">
        <f>($B$11*$D$9+$C$11*$D$9+$F$11*((EG21+DY21)/MAX(EG21+DY21+EH21, 0.1)*$I$9+EH21/MAX(EG21+DY21+EH21, 0.1)*$J$9))/($B$11+$C$11+$F$11)</f>
        <v/>
      </c>
      <c r="CW21">
        <f>($B$11*$K$9+$C$11*$K$9+$F$11*((EG21+DY21)/MAX(EG21+DY21+EH21, 0.1)*$P$9+EH21/MAX(EG21+DY21+EH21,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1792308977.5</v>
      </c>
      <c r="DC21" t="n">
        <v>399.973333333333</v>
      </c>
      <c r="DD21" t="n">
        <v>405.468333333333</v>
      </c>
      <c r="DE21" t="n">
        <v>18.1494166666667</v>
      </c>
      <c r="DF21" t="n">
        <v>16.8506833333333</v>
      </c>
      <c r="DG21" t="n">
        <v>400.140666666667</v>
      </c>
      <c r="DH21" t="n">
        <v>18.2737166666667</v>
      </c>
      <c r="DI21" t="n">
        <v>499.990333333333</v>
      </c>
      <c r="DJ21" t="n">
        <v>100.886666666667</v>
      </c>
      <c r="DK21" t="n">
        <v>0.100015733333333</v>
      </c>
      <c r="DL21" t="n">
        <v>25.7266166666667</v>
      </c>
      <c r="DM21" t="n">
        <v>24.9881333333333</v>
      </c>
      <c r="DN21" t="n">
        <v>999.9</v>
      </c>
      <c r="DO21" t="n">
        <v>0</v>
      </c>
      <c r="DP21" t="n">
        <v>0</v>
      </c>
      <c r="DQ21" t="n">
        <v>9991.45833333333</v>
      </c>
      <c r="DR21" t="n">
        <v>0</v>
      </c>
      <c r="DS21" t="n">
        <v>7.10360666666667</v>
      </c>
      <c r="DT21" t="n">
        <v>399.956833333333</v>
      </c>
      <c r="DU21" t="n">
        <v>0.900019166666667</v>
      </c>
      <c r="DV21" t="n">
        <v>0.09998068333333331</v>
      </c>
      <c r="DW21" t="n">
        <v>0</v>
      </c>
      <c r="DX21" t="n">
        <v>238.084833333333</v>
      </c>
      <c r="DY21" t="n">
        <v>4.99999</v>
      </c>
      <c r="DZ21" t="n">
        <v>951.0105</v>
      </c>
      <c r="EA21" t="n">
        <v>3837.48666666667</v>
      </c>
      <c r="EB21" t="n">
        <v>35.5</v>
      </c>
      <c r="EC21" t="n">
        <v>38.3016666666667</v>
      </c>
      <c r="ED21" t="n">
        <v>36.9895</v>
      </c>
      <c r="EE21" t="n">
        <v>37.812</v>
      </c>
      <c r="EF21" t="n">
        <v>37.7185</v>
      </c>
      <c r="EG21" t="n">
        <v>355.466666666667</v>
      </c>
      <c r="EH21" t="n">
        <v>39.485</v>
      </c>
      <c r="EI21" t="n">
        <v>0</v>
      </c>
      <c r="EJ21" t="n">
        <v>181.900000095367</v>
      </c>
      <c r="EK21" t="n">
        <v>0</v>
      </c>
      <c r="EL21" t="n">
        <v>237.87732</v>
      </c>
      <c r="EM21" t="n">
        <v>2.78169231960244</v>
      </c>
      <c r="EN21" t="n">
        <v>9.180384579370729</v>
      </c>
      <c r="EO21" t="n">
        <v>950.39716</v>
      </c>
      <c r="EP21" t="n">
        <v>15</v>
      </c>
      <c r="EQ21" t="n">
        <v>1792308129</v>
      </c>
      <c r="ER21" t="inlineStr">
        <is>
          <t>16:22:09</t>
        </is>
      </c>
      <c r="ES21" t="n">
        <v>1792308126</v>
      </c>
      <c r="ET21" t="n">
        <v>1792308129</v>
      </c>
      <c r="EU21" t="n">
        <v>72</v>
      </c>
      <c r="EV21" t="n">
        <v>-0.706</v>
      </c>
      <c r="EW21" t="n">
        <v>0.004</v>
      </c>
      <c r="EX21" t="n">
        <v>-0.164</v>
      </c>
      <c r="EY21" t="n">
        <v>-0.149</v>
      </c>
      <c r="EZ21" t="n">
        <v>407</v>
      </c>
      <c r="FA21" t="n">
        <v>16</v>
      </c>
      <c r="FB21" t="n">
        <v>0.27</v>
      </c>
      <c r="FC21" t="n">
        <v>0.03</v>
      </c>
      <c r="FD21" t="n">
        <v>12.3568376830417</v>
      </c>
      <c r="FE21" t="n">
        <v>0.633235100058547</v>
      </c>
      <c r="FF21" t="n">
        <v>0.07563280752284759</v>
      </c>
      <c r="FG21" t="n">
        <v>0</v>
      </c>
      <c r="FH21" t="n">
        <v>-5.46972476190476</v>
      </c>
      <c r="FI21" t="n">
        <v>-0.229678441558439</v>
      </c>
      <c r="FJ21" t="n">
        <v>0.0307578910694239</v>
      </c>
      <c r="FK21" t="n">
        <v>1</v>
      </c>
      <c r="FL21" t="n">
        <v>237.644911764706</v>
      </c>
      <c r="FM21" t="n">
        <v>3.42045837538837</v>
      </c>
      <c r="FN21" t="n">
        <v>0.462549289433798</v>
      </c>
      <c r="FO21" t="n">
        <v>0</v>
      </c>
      <c r="FP21" t="n">
        <v>1</v>
      </c>
      <c r="FQ21" t="n">
        <v>3</v>
      </c>
      <c r="FR21" t="inlineStr">
        <is>
          <t>1/3</t>
        </is>
      </c>
      <c r="FS21" t="n">
        <v>100</v>
      </c>
      <c r="FT21" t="n">
        <v>100</v>
      </c>
      <c r="FU21" t="n">
        <v>-0.167</v>
      </c>
      <c r="FV21" t="n">
        <v>-0.1242</v>
      </c>
      <c r="FW21" t="n">
        <v>-0.241997215624388</v>
      </c>
      <c r="FX21" t="n">
        <v>-6.16732984266029e-05</v>
      </c>
      <c r="FY21" t="n">
        <v>6.19398071816742e-07</v>
      </c>
      <c r="FZ21" t="n">
        <v>3.19222985850634e-12</v>
      </c>
      <c r="GA21" t="n">
        <v>-0.0544596368163862</v>
      </c>
      <c r="GB21" t="n">
        <v>-0.0257783215012692</v>
      </c>
      <c r="GC21" t="n">
        <v>0.00133723821780375</v>
      </c>
      <c r="GD21" t="n">
        <v>-7.42160749481374e-06</v>
      </c>
      <c r="GE21" t="n">
        <v>7</v>
      </c>
      <c r="GF21" t="n">
        <v>2154</v>
      </c>
      <c r="GG21" t="n">
        <v>2</v>
      </c>
      <c r="GH21" t="n">
        <v>20</v>
      </c>
      <c r="GI21" t="n">
        <v>14.2</v>
      </c>
      <c r="GJ21" t="n">
        <v>14.2</v>
      </c>
      <c r="GK21" t="n">
        <v>1.0498</v>
      </c>
      <c r="GL21" t="n">
        <v>2.64282</v>
      </c>
      <c r="GM21" t="n">
        <v>1.65161</v>
      </c>
      <c r="GN21" t="n">
        <v>2.27295</v>
      </c>
      <c r="GO21" t="n">
        <v>1.5979</v>
      </c>
      <c r="GP21" t="n">
        <v>2.66357</v>
      </c>
      <c r="GQ21" t="n">
        <v>34.4636</v>
      </c>
      <c r="GR21" t="n">
        <v>15.244</v>
      </c>
      <c r="GS21" t="n">
        <v>18</v>
      </c>
      <c r="GT21" t="n">
        <v>504.394</v>
      </c>
      <c r="GU21" t="n">
        <v>532.874</v>
      </c>
      <c r="GV21" t="n">
        <v>23.5468</v>
      </c>
      <c r="GW21" t="n">
        <v>29.4278</v>
      </c>
      <c r="GX21" t="n">
        <v>30.0001</v>
      </c>
      <c r="GY21" t="n">
        <v>29.5873</v>
      </c>
      <c r="GZ21" t="n">
        <v>29.645</v>
      </c>
      <c r="HA21" t="n">
        <v>20.999</v>
      </c>
      <c r="HB21" t="n">
        <v>22.5833</v>
      </c>
      <c r="HC21" t="n">
        <v>23.3743</v>
      </c>
      <c r="HD21" t="n">
        <v>23.5462</v>
      </c>
      <c r="HE21" t="n">
        <v>405.459</v>
      </c>
      <c r="HF21" t="n">
        <v>16.8249</v>
      </c>
      <c r="HG21" t="n">
        <v>98.021</v>
      </c>
      <c r="HH21" t="n">
        <v>94.5124</v>
      </c>
    </row>
    <row r="22">
      <c r="A22" t="n">
        <v>6</v>
      </c>
      <c r="B22" t="n">
        <v>1792309164</v>
      </c>
      <c r="C22" t="n">
        <v>797</v>
      </c>
      <c r="D22" t="inlineStr">
        <is>
          <t>20261018 16:39:24</t>
        </is>
      </c>
      <c r="E22" t="inlineStr">
        <is>
          <t>16:39:24</t>
        </is>
      </c>
      <c r="F22" t="n">
        <v>5</v>
      </c>
      <c r="G22" t="n">
        <v>1792309161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MPF-247-20261018-15_20_40</t>
        </is>
      </c>
      <c r="AK22" t="n">
        <v>8136.3</v>
      </c>
      <c r="AL22" t="n">
        <v>234.829807692308</v>
      </c>
      <c r="AM22" t="n">
        <v>979.8417598451909</v>
      </c>
      <c r="AN22">
        <f>1-AL22/AM22</f>
        <v/>
      </c>
      <c r="AO22" t="n">
        <v>-2.15676906838952</v>
      </c>
      <c r="AP22" t="inlineStr">
        <is>
          <t>MPF-253-20261018-16_39_30</t>
        </is>
      </c>
      <c r="AQ22" t="n">
        <v>8123.55</v>
      </c>
      <c r="AR22" t="n">
        <v>219.264961538462</v>
      </c>
      <c r="AS22" t="n">
        <v>640.837782873464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253</v>
      </c>
      <c r="BM22" t="n">
        <v>290</v>
      </c>
      <c r="BN22" t="n">
        <v>612.79</v>
      </c>
      <c r="BO22" t="n">
        <v>265</v>
      </c>
      <c r="BP22" t="n">
        <v>8123.55</v>
      </c>
      <c r="BQ22" t="n">
        <v>612.88</v>
      </c>
      <c r="BR22" t="n">
        <v>-0.09</v>
      </c>
      <c r="BS22" t="n">
        <v>300</v>
      </c>
      <c r="BT22" t="n">
        <v>19.1</v>
      </c>
      <c r="BU22" t="n">
        <v>640.837782873464</v>
      </c>
      <c r="BV22" t="n">
        <v>2.64893331019205</v>
      </c>
      <c r="BW22" t="n">
        <v>-22.7148009695589</v>
      </c>
      <c r="BX22" t="n">
        <v>1.93081200262965</v>
      </c>
      <c r="BY22" t="n">
        <v>0.831731349848494</v>
      </c>
      <c r="BZ22" t="n">
        <v>-0.00524467697441602</v>
      </c>
      <c r="CA22" t="n">
        <v>290</v>
      </c>
      <c r="CB22" t="n">
        <v>611.96</v>
      </c>
      <c r="CC22" t="n">
        <v>685</v>
      </c>
      <c r="CD22" t="n">
        <v>8117.7</v>
      </c>
      <c r="CE22" t="n">
        <v>612.86</v>
      </c>
      <c r="CF22" t="n">
        <v>-0.9</v>
      </c>
      <c r="CT22">
        <f>$B$11*DR22+$C$11*DS22+$F$11*DT22*(1-DW22)</f>
        <v/>
      </c>
      <c r="CU22">
        <f>CT22*CV22</f>
        <v/>
      </c>
      <c r="CV22">
        <f>($B$11*$D$9+$C$11*$D$9+$F$11*((EG22+DY22)/MAX(EG22+DY22+EH22, 0.1)*$I$9+EH22/MAX(EG22+DY22+EH22, 0.1)*$J$9))/($B$11+$C$11+$F$11)</f>
        <v/>
      </c>
      <c r="CW22">
        <f>($B$11*$K$9+$C$11*$K$9+$F$11*((EG22+DY22)/MAX(EG22+DY22+EH22, 0.1)*$P$9+EH22/MAX(EG22+DY22+EH22,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1792309161</v>
      </c>
      <c r="DC22" t="n">
        <v>399.9664</v>
      </c>
      <c r="DD22" t="n">
        <v>403.529</v>
      </c>
      <c r="DE22" t="n">
        <v>18.0635</v>
      </c>
      <c r="DF22" t="n">
        <v>16.78328</v>
      </c>
      <c r="DG22" t="n">
        <v>400.1404</v>
      </c>
      <c r="DH22" t="n">
        <v>18.19204</v>
      </c>
      <c r="DI22" t="n">
        <v>500.0168</v>
      </c>
      <c r="DJ22" t="n">
        <v>100.8798</v>
      </c>
      <c r="DK22" t="n">
        <v>0.09992014</v>
      </c>
      <c r="DL22" t="n">
        <v>25.7631</v>
      </c>
      <c r="DM22" t="n">
        <v>24.99672</v>
      </c>
      <c r="DN22" t="n">
        <v>999.9</v>
      </c>
      <c r="DO22" t="n">
        <v>0</v>
      </c>
      <c r="DP22" t="n">
        <v>0</v>
      </c>
      <c r="DQ22" t="n">
        <v>10014.12</v>
      </c>
      <c r="DR22" t="n">
        <v>0</v>
      </c>
      <c r="DS22" t="n">
        <v>7.05843</v>
      </c>
      <c r="DT22" t="n">
        <v>200.0134</v>
      </c>
      <c r="DU22" t="n">
        <v>0.9000707999999999</v>
      </c>
      <c r="DV22" t="n">
        <v>0.09992888</v>
      </c>
      <c r="DW22" t="n">
        <v>0</v>
      </c>
      <c r="DX22" t="n">
        <v>219.359</v>
      </c>
      <c r="DY22" t="n">
        <v>4.99999</v>
      </c>
      <c r="DZ22" t="n">
        <v>440.0284</v>
      </c>
      <c r="EA22" t="n">
        <v>1894.826</v>
      </c>
      <c r="EB22" t="n">
        <v>35.9122</v>
      </c>
      <c r="EC22" t="n">
        <v>40.625</v>
      </c>
      <c r="ED22" t="n">
        <v>38.0496</v>
      </c>
      <c r="EE22" t="n">
        <v>41.1122</v>
      </c>
      <c r="EF22" t="n">
        <v>39.0248</v>
      </c>
      <c r="EG22" t="n">
        <v>175.524</v>
      </c>
      <c r="EH22" t="n">
        <v>19.49</v>
      </c>
      <c r="EI22" t="n">
        <v>0</v>
      </c>
      <c r="EJ22" t="n">
        <v>181.700000047684</v>
      </c>
      <c r="EK22" t="n">
        <v>0</v>
      </c>
      <c r="EL22" t="n">
        <v>219.264961538462</v>
      </c>
      <c r="EM22" t="n">
        <v>-2.35333337893834</v>
      </c>
      <c r="EN22" t="n">
        <v>-1.28741879093486</v>
      </c>
      <c r="EO22" t="n">
        <v>440.1195</v>
      </c>
      <c r="EP22" t="n">
        <v>15</v>
      </c>
      <c r="EQ22" t="n">
        <v>1792309051</v>
      </c>
      <c r="ER22" t="inlineStr">
        <is>
          <t>16:37:31</t>
        </is>
      </c>
      <c r="ES22" t="n">
        <v>1792309049</v>
      </c>
      <c r="ET22" t="n">
        <v>1792309051</v>
      </c>
      <c r="EU22" t="n">
        <v>73</v>
      </c>
      <c r="EV22" t="n">
        <v>-0.007</v>
      </c>
      <c r="EW22" t="n">
        <v>-0.003</v>
      </c>
      <c r="EX22" t="n">
        <v>-0.172</v>
      </c>
      <c r="EY22" t="n">
        <v>-0.147</v>
      </c>
      <c r="EZ22" t="n">
        <v>403</v>
      </c>
      <c r="FA22" t="n">
        <v>17</v>
      </c>
      <c r="FB22" t="n">
        <v>0.47</v>
      </c>
      <c r="FC22" t="n">
        <v>0.05</v>
      </c>
      <c r="FD22" t="n">
        <v>7.4387057459259</v>
      </c>
      <c r="FE22" t="n">
        <v>0.302953192947908</v>
      </c>
      <c r="FF22" t="n">
        <v>0.117373238552444</v>
      </c>
      <c r="FG22" t="n">
        <v>1</v>
      </c>
      <c r="FH22" t="n">
        <v>-3.49811619047619</v>
      </c>
      <c r="FI22" t="n">
        <v>-0.142563116883126</v>
      </c>
      <c r="FJ22" t="n">
        <v>0.0467485520505274</v>
      </c>
      <c r="FK22" t="n">
        <v>1</v>
      </c>
      <c r="FL22" t="n">
        <v>219.353882352941</v>
      </c>
      <c r="FM22" t="n">
        <v>-2.27398016056748</v>
      </c>
      <c r="FN22" t="n">
        <v>0.464454187236505</v>
      </c>
      <c r="FO22" t="n">
        <v>0</v>
      </c>
      <c r="FP22" t="n">
        <v>2</v>
      </c>
      <c r="FQ22" t="n">
        <v>3</v>
      </c>
      <c r="FR22" t="inlineStr">
        <is>
          <t>2/3</t>
        </is>
      </c>
      <c r="FS22" t="n">
        <v>100</v>
      </c>
      <c r="FT22" t="n">
        <v>100</v>
      </c>
      <c r="FU22" t="n">
        <v>-0.174</v>
      </c>
      <c r="FV22" t="n">
        <v>-0.1285</v>
      </c>
      <c r="FW22" t="n">
        <v>-0.248694318116224</v>
      </c>
      <c r="FX22" t="n">
        <v>-6.16732984266029e-05</v>
      </c>
      <c r="FY22" t="n">
        <v>6.19398071816742e-07</v>
      </c>
      <c r="FZ22" t="n">
        <v>3.19222985850634e-12</v>
      </c>
      <c r="GA22" t="n">
        <v>-0.0574296339047896</v>
      </c>
      <c r="GB22" t="n">
        <v>-0.0257783215012692</v>
      </c>
      <c r="GC22" t="n">
        <v>0.00133723821780375</v>
      </c>
      <c r="GD22" t="n">
        <v>-7.42160749481374e-06</v>
      </c>
      <c r="GE22" t="n">
        <v>7</v>
      </c>
      <c r="GF22" t="n">
        <v>2154</v>
      </c>
      <c r="GG22" t="n">
        <v>2</v>
      </c>
      <c r="GH22" t="n">
        <v>20</v>
      </c>
      <c r="GI22" t="n">
        <v>1.9</v>
      </c>
      <c r="GJ22" t="n">
        <v>1.9</v>
      </c>
      <c r="GK22" t="n">
        <v>1.04614</v>
      </c>
      <c r="GL22" t="n">
        <v>2.65137</v>
      </c>
      <c r="GM22" t="n">
        <v>1.65161</v>
      </c>
      <c r="GN22" t="n">
        <v>2.27295</v>
      </c>
      <c r="GO22" t="n">
        <v>1.5979</v>
      </c>
      <c r="GP22" t="n">
        <v>2.60986</v>
      </c>
      <c r="GQ22" t="n">
        <v>34.4408</v>
      </c>
      <c r="GR22" t="n">
        <v>15.2178</v>
      </c>
      <c r="GS22" t="n">
        <v>18</v>
      </c>
      <c r="GT22" t="n">
        <v>504.439</v>
      </c>
      <c r="GU22" t="n">
        <v>532.64</v>
      </c>
      <c r="GV22" t="n">
        <v>23.8836</v>
      </c>
      <c r="GW22" t="n">
        <v>29.443</v>
      </c>
      <c r="GX22" t="n">
        <v>30.0002</v>
      </c>
      <c r="GY22" t="n">
        <v>29.6025</v>
      </c>
      <c r="GZ22" t="n">
        <v>29.6602</v>
      </c>
      <c r="HA22" t="n">
        <v>20.9116</v>
      </c>
      <c r="HB22" t="n">
        <v>23.117</v>
      </c>
      <c r="HC22" t="n">
        <v>23.8495</v>
      </c>
      <c r="HD22" t="n">
        <v>23.8847</v>
      </c>
      <c r="HE22" t="n">
        <v>403.534</v>
      </c>
      <c r="HF22" t="n">
        <v>16.8047</v>
      </c>
      <c r="HG22" t="n">
        <v>98.021</v>
      </c>
      <c r="HH22" t="n">
        <v>94.50960000000001</v>
      </c>
    </row>
    <row r="23">
      <c r="A23" t="n">
        <v>7</v>
      </c>
      <c r="B23" t="n">
        <v>1792309318</v>
      </c>
      <c r="C23" t="n">
        <v>951</v>
      </c>
      <c r="D23" t="inlineStr">
        <is>
          <t>20261018 16:41:58</t>
        </is>
      </c>
      <c r="E23" t="inlineStr">
        <is>
          <t>16:41:58</t>
        </is>
      </c>
      <c r="F23" t="n">
        <v>5</v>
      </c>
      <c r="G23" t="n">
        <v>1792309314.5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MPF-247-20261018-15_20_40</t>
        </is>
      </c>
      <c r="AK23" t="n">
        <v>8136.3</v>
      </c>
      <c r="AL23" t="n">
        <v>234.829807692308</v>
      </c>
      <c r="AM23" t="n">
        <v>979.8417598451909</v>
      </c>
      <c r="AN23">
        <f>1-AL23/AM23</f>
        <v/>
      </c>
      <c r="AO23" t="n">
        <v>-2.15676906838952</v>
      </c>
      <c r="AP23" t="inlineStr">
        <is>
          <t>MPF-254-20261018-16_42_04</t>
        </is>
      </c>
      <c r="AQ23" t="n">
        <v>8118.31</v>
      </c>
      <c r="AR23" t="n">
        <v>205.46012</v>
      </c>
      <c r="AS23" t="n">
        <v>664.676457448521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254</v>
      </c>
      <c r="BM23" t="n">
        <v>290</v>
      </c>
      <c r="BN23" t="n">
        <v>645.36</v>
      </c>
      <c r="BO23" t="n">
        <v>245</v>
      </c>
      <c r="BP23" t="n">
        <v>8118.31</v>
      </c>
      <c r="BQ23" t="n">
        <v>644.23</v>
      </c>
      <c r="BR23" t="n">
        <v>1.13</v>
      </c>
      <c r="BS23" t="n">
        <v>300</v>
      </c>
      <c r="BT23" t="n">
        <v>19.1</v>
      </c>
      <c r="BU23" t="n">
        <v>664.676457448521</v>
      </c>
      <c r="BV23" t="n">
        <v>1.84095789177734</v>
      </c>
      <c r="BW23" t="n">
        <v>-16.6010664877918</v>
      </c>
      <c r="BX23" t="n">
        <v>1.33884915216545</v>
      </c>
      <c r="BY23" t="n">
        <v>0.845940295084892</v>
      </c>
      <c r="BZ23" t="n">
        <v>-0.00530719443826473</v>
      </c>
      <c r="CA23" t="n">
        <v>290</v>
      </c>
      <c r="CB23" t="n">
        <v>644.52</v>
      </c>
      <c r="CC23" t="n">
        <v>705</v>
      </c>
      <c r="CD23" t="n">
        <v>8111.49</v>
      </c>
      <c r="CE23" t="n">
        <v>644.21</v>
      </c>
      <c r="CF23" t="n">
        <v>0.31</v>
      </c>
      <c r="CT23">
        <f>$B$11*DR23+$C$11*DS23+$F$11*DT23*(1-DW23)</f>
        <v/>
      </c>
      <c r="CU23">
        <f>CT23*CV23</f>
        <v/>
      </c>
      <c r="CV23">
        <f>($B$11*$D$9+$C$11*$D$9+$F$11*((EG23+DY23)/MAX(EG23+DY23+EH23, 0.1)*$I$9+EH23/MAX(EG23+DY23+EH23, 0.1)*$J$9))/($B$11+$C$11+$F$11)</f>
        <v/>
      </c>
      <c r="CW23">
        <f>($B$11*$K$9+$C$11*$K$9+$F$11*((EG23+DY23)/MAX(EG23+DY23+EH23, 0.1)*$P$9+EH23/MAX(EG23+DY23+EH23,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1792309314.5</v>
      </c>
      <c r="DC23" t="n">
        <v>400.002833333333</v>
      </c>
      <c r="DD23" t="n">
        <v>401.963</v>
      </c>
      <c r="DE23" t="n">
        <v>18.1005666666667</v>
      </c>
      <c r="DF23" t="n">
        <v>16.8460166666667</v>
      </c>
      <c r="DG23" t="n">
        <v>400.161833333333</v>
      </c>
      <c r="DH23" t="n">
        <v>18.2307</v>
      </c>
      <c r="DI23" t="n">
        <v>499.983833333333</v>
      </c>
      <c r="DJ23" t="n">
        <v>100.8905</v>
      </c>
      <c r="DK23" t="n">
        <v>0.0998984333333334</v>
      </c>
      <c r="DL23" t="n">
        <v>25.7833</v>
      </c>
      <c r="DM23" t="n">
        <v>25.0013666666667</v>
      </c>
      <c r="DN23" t="n">
        <v>999.9</v>
      </c>
      <c r="DO23" t="n">
        <v>0</v>
      </c>
      <c r="DP23" t="n">
        <v>0</v>
      </c>
      <c r="DQ23" t="n">
        <v>10005.2083333333</v>
      </c>
      <c r="DR23" t="n">
        <v>0</v>
      </c>
      <c r="DS23" t="n">
        <v>7.05843</v>
      </c>
      <c r="DT23" t="n">
        <v>99.9669833333333</v>
      </c>
      <c r="DU23" t="n">
        <v>0.8998930000000001</v>
      </c>
      <c r="DV23" t="n">
        <v>0.100107</v>
      </c>
      <c r="DW23" t="n">
        <v>0</v>
      </c>
      <c r="DX23" t="n">
        <v>205.189166666667</v>
      </c>
      <c r="DY23" t="n">
        <v>4.99999</v>
      </c>
      <c r="DZ23" t="n">
        <v>200.992</v>
      </c>
      <c r="EA23" t="n">
        <v>922.680833333333</v>
      </c>
      <c r="EB23" t="n">
        <v>35.3435</v>
      </c>
      <c r="EC23" t="n">
        <v>38.7395</v>
      </c>
      <c r="ED23" t="n">
        <v>37.187</v>
      </c>
      <c r="EE23" t="n">
        <v>38.5206666666667</v>
      </c>
      <c r="EF23" t="n">
        <v>37.812</v>
      </c>
      <c r="EG23" t="n">
        <v>85.45999999999999</v>
      </c>
      <c r="EH23" t="n">
        <v>9.51</v>
      </c>
      <c r="EI23" t="n">
        <v>0</v>
      </c>
      <c r="EJ23" t="n">
        <v>152.700000047684</v>
      </c>
      <c r="EK23" t="n">
        <v>0</v>
      </c>
      <c r="EL23" t="n">
        <v>205.46012</v>
      </c>
      <c r="EM23" t="n">
        <v>-2.64130768841107</v>
      </c>
      <c r="EN23" t="n">
        <v>-1.70807695168127</v>
      </c>
      <c r="EO23" t="n">
        <v>201.149</v>
      </c>
      <c r="EP23" t="n">
        <v>15</v>
      </c>
      <c r="EQ23" t="n">
        <v>1792309228</v>
      </c>
      <c r="ER23" t="inlineStr">
        <is>
          <t>16:40:28</t>
        </is>
      </c>
      <c r="ES23" t="n">
        <v>1792309228</v>
      </c>
      <c r="ET23" t="n">
        <v>1792309228</v>
      </c>
      <c r="EU23" t="n">
        <v>74</v>
      </c>
      <c r="EV23" t="n">
        <v>0.015</v>
      </c>
      <c r="EW23" t="n">
        <v>-0.002</v>
      </c>
      <c r="EX23" t="n">
        <v>-0.158</v>
      </c>
      <c r="EY23" t="n">
        <v>-0.148</v>
      </c>
      <c r="EZ23" t="n">
        <v>402</v>
      </c>
      <c r="FA23" t="n">
        <v>17</v>
      </c>
      <c r="FB23" t="n">
        <v>0.3</v>
      </c>
      <c r="FC23" t="n">
        <v>0.09</v>
      </c>
      <c r="FD23" t="n">
        <v>3.67221972091328</v>
      </c>
      <c r="FE23" t="n">
        <v>0.47454063866989</v>
      </c>
      <c r="FF23" t="n">
        <v>0.0925039287488392</v>
      </c>
      <c r="FG23" t="n">
        <v>1</v>
      </c>
      <c r="FH23" t="n">
        <v>-1.9859715</v>
      </c>
      <c r="FI23" t="n">
        <v>-0.06750631578947219</v>
      </c>
      <c r="FJ23" t="n">
        <v>0.0356695730665507</v>
      </c>
      <c r="FK23" t="n">
        <v>1</v>
      </c>
      <c r="FL23" t="n">
        <v>205.549794117647</v>
      </c>
      <c r="FM23" t="n">
        <v>-0.668036675326816</v>
      </c>
      <c r="FN23" t="n">
        <v>0.346483577355643</v>
      </c>
      <c r="FO23" t="n">
        <v>1</v>
      </c>
      <c r="FP23" t="n">
        <v>3</v>
      </c>
      <c r="FQ23" t="n">
        <v>3</v>
      </c>
      <c r="FR23" t="inlineStr">
        <is>
          <t>3/3</t>
        </is>
      </c>
      <c r="FS23" t="n">
        <v>100</v>
      </c>
      <c r="FT23" t="n">
        <v>100</v>
      </c>
      <c r="FU23" t="n">
        <v>-0.159</v>
      </c>
      <c r="FV23" t="n">
        <v>-0.1301</v>
      </c>
      <c r="FW23" t="n">
        <v>-0.23382002700286</v>
      </c>
      <c r="FX23" t="n">
        <v>-6.16732984266029e-05</v>
      </c>
      <c r="FY23" t="n">
        <v>6.19398071816742e-07</v>
      </c>
      <c r="FZ23" t="n">
        <v>3.19222985850634e-12</v>
      </c>
      <c r="GA23" t="n">
        <v>-0.0596455751468414</v>
      </c>
      <c r="GB23" t="n">
        <v>-0.0257783215012692</v>
      </c>
      <c r="GC23" t="n">
        <v>0.00133723821780375</v>
      </c>
      <c r="GD23" t="n">
        <v>-7.42160749481374e-06</v>
      </c>
      <c r="GE23" t="n">
        <v>7</v>
      </c>
      <c r="GF23" t="n">
        <v>2154</v>
      </c>
      <c r="GG23" t="n">
        <v>2</v>
      </c>
      <c r="GH23" t="n">
        <v>20</v>
      </c>
      <c r="GI23" t="n">
        <v>1.5</v>
      </c>
      <c r="GJ23" t="n">
        <v>1.5</v>
      </c>
      <c r="GK23" t="n">
        <v>1.04248</v>
      </c>
      <c r="GL23" t="n">
        <v>2.64771</v>
      </c>
      <c r="GM23" t="n">
        <v>1.65161</v>
      </c>
      <c r="GN23" t="n">
        <v>2.27295</v>
      </c>
      <c r="GO23" t="n">
        <v>1.5979</v>
      </c>
      <c r="GP23" t="n">
        <v>2.64648</v>
      </c>
      <c r="GQ23" t="n">
        <v>34.4408</v>
      </c>
      <c r="GR23" t="n">
        <v>15.1915</v>
      </c>
      <c r="GS23" t="n">
        <v>18</v>
      </c>
      <c r="GT23" t="n">
        <v>504.398</v>
      </c>
      <c r="GU23" t="n">
        <v>532.965</v>
      </c>
      <c r="GV23" t="n">
        <v>23.8904</v>
      </c>
      <c r="GW23" t="n">
        <v>29.443</v>
      </c>
      <c r="GX23" t="n">
        <v>30.0001</v>
      </c>
      <c r="GY23" t="n">
        <v>29.605</v>
      </c>
      <c r="GZ23" t="n">
        <v>29.6628</v>
      </c>
      <c r="HA23" t="n">
        <v>20.8497</v>
      </c>
      <c r="HB23" t="n">
        <v>23.2811</v>
      </c>
      <c r="HC23" t="n">
        <v>24.6521</v>
      </c>
      <c r="HD23" t="n">
        <v>23.8891</v>
      </c>
      <c r="HE23" t="n">
        <v>401.966</v>
      </c>
      <c r="HF23" t="n">
        <v>16.908</v>
      </c>
      <c r="HG23" t="n">
        <v>98.01990000000001</v>
      </c>
      <c r="HH23" t="n">
        <v>94.50879999999999</v>
      </c>
    </row>
    <row r="24">
      <c r="A24" t="n">
        <v>8</v>
      </c>
      <c r="B24" t="n">
        <v>1792309460</v>
      </c>
      <c r="C24" t="n">
        <v>1093</v>
      </c>
      <c r="D24" t="inlineStr">
        <is>
          <t>20261018 16:44:20</t>
        </is>
      </c>
      <c r="E24" t="inlineStr">
        <is>
          <t>16:44:20</t>
        </is>
      </c>
      <c r="F24" t="n">
        <v>5</v>
      </c>
      <c r="G24" t="n">
        <v>1792309456.5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MPF-247-20261018-15_20_40</t>
        </is>
      </c>
      <c r="AK24" t="n">
        <v>8136.3</v>
      </c>
      <c r="AL24" t="n">
        <v>234.829807692308</v>
      </c>
      <c r="AM24" t="n">
        <v>979.8417598451909</v>
      </c>
      <c r="AN24">
        <f>1-AL24/AM24</f>
        <v/>
      </c>
      <c r="AO24" t="n">
        <v>-2.15676906838952</v>
      </c>
      <c r="AP24" t="inlineStr">
        <is>
          <t>MPF-255-20261018-16_44_26</t>
        </is>
      </c>
      <c r="AQ24" t="n">
        <v>8114.39</v>
      </c>
      <c r="AR24" t="n">
        <v>197.87992</v>
      </c>
      <c r="AS24" t="n">
        <v>685.5968714414749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255</v>
      </c>
      <c r="BM24" t="n">
        <v>290</v>
      </c>
      <c r="BN24" t="n">
        <v>669.83</v>
      </c>
      <c r="BO24" t="n">
        <v>215</v>
      </c>
      <c r="BP24" t="n">
        <v>8114.39</v>
      </c>
      <c r="BQ24" t="n">
        <v>669.92</v>
      </c>
      <c r="BR24" t="n">
        <v>-0.09</v>
      </c>
      <c r="BS24" t="n">
        <v>300</v>
      </c>
      <c r="BT24" t="n">
        <v>19.1</v>
      </c>
      <c r="BU24" t="n">
        <v>685.5968714414749</v>
      </c>
      <c r="BV24" t="n">
        <v>3.34441511776241</v>
      </c>
      <c r="BW24" t="n">
        <v>-12.7209376590264</v>
      </c>
      <c r="BX24" t="n">
        <v>2.42880985139967</v>
      </c>
      <c r="BY24" t="n">
        <v>0.494873005265683</v>
      </c>
      <c r="BZ24" t="n">
        <v>-0.00533807474972191</v>
      </c>
      <c r="CA24" t="n">
        <v>290</v>
      </c>
      <c r="CB24" t="n">
        <v>669.6900000000001</v>
      </c>
      <c r="CC24" t="n">
        <v>665</v>
      </c>
      <c r="CD24" t="n">
        <v>8107.21</v>
      </c>
      <c r="CE24" t="n">
        <v>669.91</v>
      </c>
      <c r="CF24" t="n">
        <v>-0.22</v>
      </c>
      <c r="CT24">
        <f>$B$11*DR24+$C$11*DS24+$F$11*DT24*(1-DW24)</f>
        <v/>
      </c>
      <c r="CU24">
        <f>CT24*CV24</f>
        <v/>
      </c>
      <c r="CV24">
        <f>($B$11*$D$9+$C$11*$D$9+$F$11*((EG24+DY24)/MAX(EG24+DY24+EH24, 0.1)*$I$9+EH24/MAX(EG24+DY24+EH24, 0.1)*$J$9))/($B$11+$C$11+$F$11)</f>
        <v/>
      </c>
      <c r="CW24">
        <f>($B$11*$K$9+$C$11*$K$9+$F$11*((EG24+DY24)/MAX(EG24+DY24+EH24, 0.1)*$P$9+EH24/MAX(EG24+DY24+EH24,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1792309456.5</v>
      </c>
      <c r="DC24" t="n">
        <v>400.001666666667</v>
      </c>
      <c r="DD24" t="n">
        <v>401.054166666667</v>
      </c>
      <c r="DE24" t="n">
        <v>18.0874666666667</v>
      </c>
      <c r="DF24" t="n">
        <v>16.8765333333333</v>
      </c>
      <c r="DG24" t="n">
        <v>400.173666666667</v>
      </c>
      <c r="DH24" t="n">
        <v>18.2187333333333</v>
      </c>
      <c r="DI24" t="n">
        <v>499.980666666667</v>
      </c>
      <c r="DJ24" t="n">
        <v>100.901333333333</v>
      </c>
      <c r="DK24" t="n">
        <v>0.0999788833333333</v>
      </c>
      <c r="DL24" t="n">
        <v>25.7380333333333</v>
      </c>
      <c r="DM24" t="n">
        <v>24.9864666666667</v>
      </c>
      <c r="DN24" t="n">
        <v>999.9</v>
      </c>
      <c r="DO24" t="n">
        <v>0</v>
      </c>
      <c r="DP24" t="n">
        <v>0</v>
      </c>
      <c r="DQ24" t="n">
        <v>10006.5666666667</v>
      </c>
      <c r="DR24" t="n">
        <v>0</v>
      </c>
      <c r="DS24" t="n">
        <v>7.05843</v>
      </c>
      <c r="DT24" t="n">
        <v>49.93295</v>
      </c>
      <c r="DU24" t="n">
        <v>0.899774166666667</v>
      </c>
      <c r="DV24" t="n">
        <v>0.100225966666667</v>
      </c>
      <c r="DW24" t="n">
        <v>0</v>
      </c>
      <c r="DX24" t="n">
        <v>197.915333333333</v>
      </c>
      <c r="DY24" t="n">
        <v>4.99999</v>
      </c>
      <c r="DZ24" t="n">
        <v>88.23118333333331</v>
      </c>
      <c r="EA24" t="n">
        <v>436.5425</v>
      </c>
      <c r="EB24" t="n">
        <v>34.875</v>
      </c>
      <c r="EC24" t="n">
        <v>39.1873333333333</v>
      </c>
      <c r="ED24" t="n">
        <v>37.0413333333333</v>
      </c>
      <c r="EE24" t="n">
        <v>39.0415</v>
      </c>
      <c r="EF24" t="n">
        <v>37.8853333333333</v>
      </c>
      <c r="EG24" t="n">
        <v>40.43</v>
      </c>
      <c r="EH24" t="n">
        <v>4.505</v>
      </c>
      <c r="EI24" t="n">
        <v>0</v>
      </c>
      <c r="EJ24" t="n">
        <v>140.800000190735</v>
      </c>
      <c r="EK24" t="n">
        <v>0</v>
      </c>
      <c r="EL24" t="n">
        <v>197.87992</v>
      </c>
      <c r="EM24" t="n">
        <v>-0.893230748514083</v>
      </c>
      <c r="EN24" t="n">
        <v>0.535730730796248</v>
      </c>
      <c r="EO24" t="n">
        <v>88.329792</v>
      </c>
      <c r="EP24" t="n">
        <v>15</v>
      </c>
      <c r="EQ24" t="n">
        <v>1792309384</v>
      </c>
      <c r="ER24" t="inlineStr">
        <is>
          <t>16:43:04</t>
        </is>
      </c>
      <c r="ES24" t="n">
        <v>1792309380</v>
      </c>
      <c r="ET24" t="n">
        <v>1792309384</v>
      </c>
      <c r="EU24" t="n">
        <v>75</v>
      </c>
      <c r="EV24" t="n">
        <v>-0.013</v>
      </c>
      <c r="EW24" t="n">
        <v>-0.001</v>
      </c>
      <c r="EX24" t="n">
        <v>-0.172</v>
      </c>
      <c r="EY24" t="n">
        <v>-0.147</v>
      </c>
      <c r="EZ24" t="n">
        <v>401</v>
      </c>
      <c r="FA24" t="n">
        <v>17</v>
      </c>
      <c r="FB24" t="n">
        <v>0.36</v>
      </c>
      <c r="FC24" t="n">
        <v>0.09</v>
      </c>
      <c r="FD24" t="n">
        <v>1.43500287985722</v>
      </c>
      <c r="FE24" t="n">
        <v>0.218390151078816</v>
      </c>
      <c r="FF24" t="n">
        <v>0.112341469511557</v>
      </c>
      <c r="FG24" t="n">
        <v>1</v>
      </c>
      <c r="FH24" t="n">
        <v>-1.0788695</v>
      </c>
      <c r="FI24" t="n">
        <v>0.128128872180451</v>
      </c>
      <c r="FJ24" t="n">
        <v>0.0308306946848429</v>
      </c>
      <c r="FK24" t="n">
        <v>1</v>
      </c>
      <c r="FL24" t="n">
        <v>197.872676470588</v>
      </c>
      <c r="FM24" t="n">
        <v>0.143330788347949</v>
      </c>
      <c r="FN24" t="n">
        <v>0.465101931939038</v>
      </c>
      <c r="FO24" t="n">
        <v>1</v>
      </c>
      <c r="FP24" t="n">
        <v>3</v>
      </c>
      <c r="FQ24" t="n">
        <v>3</v>
      </c>
      <c r="FR24" t="inlineStr">
        <is>
          <t>3/3</t>
        </is>
      </c>
      <c r="FS24" t="n">
        <v>100</v>
      </c>
      <c r="FT24" t="n">
        <v>100</v>
      </c>
      <c r="FU24" t="n">
        <v>-0.172</v>
      </c>
      <c r="FV24" t="n">
        <v>-0.1313</v>
      </c>
      <c r="FW24" t="n">
        <v>-0.247085137537066</v>
      </c>
      <c r="FX24" t="n">
        <v>-6.16732984266029e-05</v>
      </c>
      <c r="FY24" t="n">
        <v>6.19398071816742e-07</v>
      </c>
      <c r="FZ24" t="n">
        <v>3.19222985850634e-12</v>
      </c>
      <c r="GA24" t="n">
        <v>-0.060609653670244</v>
      </c>
      <c r="GB24" t="n">
        <v>-0.0257783215012692</v>
      </c>
      <c r="GC24" t="n">
        <v>0.00133723821780375</v>
      </c>
      <c r="GD24" t="n">
        <v>-7.42160749481374e-06</v>
      </c>
      <c r="GE24" t="n">
        <v>7</v>
      </c>
      <c r="GF24" t="n">
        <v>2154</v>
      </c>
      <c r="GG24" t="n">
        <v>2</v>
      </c>
      <c r="GH24" t="n">
        <v>20</v>
      </c>
      <c r="GI24" t="n">
        <v>1.3</v>
      </c>
      <c r="GJ24" t="n">
        <v>1.3</v>
      </c>
      <c r="GK24" t="n">
        <v>1.04126</v>
      </c>
      <c r="GL24" t="n">
        <v>2.65747</v>
      </c>
      <c r="GM24" t="n">
        <v>1.65161</v>
      </c>
      <c r="GN24" t="n">
        <v>2.27295</v>
      </c>
      <c r="GO24" t="n">
        <v>1.5979</v>
      </c>
      <c r="GP24" t="n">
        <v>2.53418</v>
      </c>
      <c r="GQ24" t="n">
        <v>34.4408</v>
      </c>
      <c r="GR24" t="n">
        <v>15.1652</v>
      </c>
      <c r="GS24" t="n">
        <v>18</v>
      </c>
      <c r="GT24" t="n">
        <v>504.327</v>
      </c>
      <c r="GU24" t="n">
        <v>533.309</v>
      </c>
      <c r="GV24" t="n">
        <v>24.1342</v>
      </c>
      <c r="GW24" t="n">
        <v>29.4455</v>
      </c>
      <c r="GX24" t="n">
        <v>30.0001</v>
      </c>
      <c r="GY24" t="n">
        <v>29.6076</v>
      </c>
      <c r="GZ24" t="n">
        <v>29.6653</v>
      </c>
      <c r="HA24" t="n">
        <v>20.8114</v>
      </c>
      <c r="HB24" t="n">
        <v>23.5523</v>
      </c>
      <c r="HC24" t="n">
        <v>25.3972</v>
      </c>
      <c r="HD24" t="n">
        <v>24.1404</v>
      </c>
      <c r="HE24" t="n">
        <v>401.005</v>
      </c>
      <c r="HF24" t="n">
        <v>16.8775</v>
      </c>
      <c r="HG24" t="n">
        <v>98.0189</v>
      </c>
      <c r="HH24" t="n">
        <v>94.51000000000001</v>
      </c>
    </row>
    <row r="25">
      <c r="A25" t="n">
        <v>9</v>
      </c>
      <c r="B25" t="n">
        <v>1792309590.1</v>
      </c>
      <c r="C25" t="n">
        <v>1223.09999990463</v>
      </c>
      <c r="D25" t="inlineStr">
        <is>
          <t>20261018 16:46:30</t>
        </is>
      </c>
      <c r="E25" t="inlineStr">
        <is>
          <t>16:46:30</t>
        </is>
      </c>
      <c r="F25" t="n">
        <v>5</v>
      </c>
      <c r="G25" t="n">
        <v>1792309587.1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MPF-256-20261018-16_46_36</t>
        </is>
      </c>
      <c r="AK25" t="n">
        <v>8108.42</v>
      </c>
      <c r="AL25" t="n">
        <v>176.846153846154</v>
      </c>
      <c r="AM25" t="n">
        <v>750.920404834711</v>
      </c>
      <c r="AN25">
        <f>1-AL25/AM25</f>
        <v/>
      </c>
      <c r="AO25" t="n">
        <v>-1.16892043263047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256</v>
      </c>
      <c r="BM25" t="n">
        <v>290</v>
      </c>
      <c r="BN25" t="n">
        <v>725.23</v>
      </c>
      <c r="BO25" t="n">
        <v>225</v>
      </c>
      <c r="BP25" t="n">
        <v>8108.42</v>
      </c>
      <c r="BQ25" t="n">
        <v>720.33</v>
      </c>
      <c r="BR25" t="n">
        <v>4.9</v>
      </c>
      <c r="BS25" t="n">
        <v>300</v>
      </c>
      <c r="BT25" t="n">
        <v>19.1</v>
      </c>
      <c r="BU25" t="n">
        <v>750.920404834711</v>
      </c>
      <c r="BV25" t="n">
        <v>2.02931030650448</v>
      </c>
      <c r="BW25" t="n">
        <v>-24.8065530872987</v>
      </c>
      <c r="BX25" t="n">
        <v>1.47169743120641</v>
      </c>
      <c r="BY25" t="n">
        <v>0.910289780915749</v>
      </c>
      <c r="BZ25" t="n">
        <v>-0.00536403937708565</v>
      </c>
      <c r="CA25" t="n">
        <v>290</v>
      </c>
      <c r="CB25" t="n">
        <v>714.83</v>
      </c>
      <c r="CC25" t="n">
        <v>615</v>
      </c>
      <c r="CD25" t="n">
        <v>8102.58</v>
      </c>
      <c r="CE25" t="n">
        <v>720.3</v>
      </c>
      <c r="CF25" t="n">
        <v>-5.47</v>
      </c>
      <c r="CT25">
        <f>$B$11*DR25+$C$11*DS25+$F$11*DT25*(1-DW25)</f>
        <v/>
      </c>
      <c r="CU25">
        <f>CT25*CV25</f>
        <v/>
      </c>
      <c r="CV25">
        <f>($B$11*$D$9+$C$11*$D$9+$F$11*((EG25+DY25)/MAX(EG25+DY25+EH25, 0.1)*$I$9+EH25/MAX(EG25+DY25+EH25, 0.1)*$J$9))/($B$11+$C$11+$F$11)</f>
        <v/>
      </c>
      <c r="CW25">
        <f>($B$11*$K$9+$C$11*$K$9+$F$11*((EG25+DY25)/MAX(EG25+DY25+EH25, 0.1)*$P$9+EH25/MAX(EG25+DY25+EH25,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1792309587.1</v>
      </c>
      <c r="DC25" t="n">
        <v>400.0116</v>
      </c>
      <c r="DD25" t="n">
        <v>400.0178</v>
      </c>
      <c r="DE25" t="n">
        <v>18.12956</v>
      </c>
      <c r="DF25" t="n">
        <v>16.96656</v>
      </c>
      <c r="DG25" t="n">
        <v>400.1516</v>
      </c>
      <c r="DH25" t="n">
        <v>18.25874</v>
      </c>
      <c r="DI25" t="n">
        <v>499.9624</v>
      </c>
      <c r="DJ25" t="n">
        <v>100.9282</v>
      </c>
      <c r="DK25" t="n">
        <v>0.09981958</v>
      </c>
      <c r="DL25" t="n">
        <v>25.77628</v>
      </c>
      <c r="DM25" t="n">
        <v>25.01238</v>
      </c>
      <c r="DN25" t="n">
        <v>999.9</v>
      </c>
      <c r="DO25" t="n">
        <v>0</v>
      </c>
      <c r="DP25" t="n">
        <v>0</v>
      </c>
      <c r="DQ25" t="n">
        <v>10021.124</v>
      </c>
      <c r="DR25" t="n">
        <v>0</v>
      </c>
      <c r="DS25" t="n">
        <v>7.05843</v>
      </c>
      <c r="DT25" t="n">
        <v>0.0199999</v>
      </c>
      <c r="DU25" t="n">
        <v>0</v>
      </c>
      <c r="DV25" t="n">
        <v>0</v>
      </c>
      <c r="DW25" t="n">
        <v>0</v>
      </c>
      <c r="DX25" t="n">
        <v>181.185</v>
      </c>
      <c r="DY25" t="n">
        <v>0.0199999</v>
      </c>
      <c r="DZ25" t="n">
        <v>-16.29</v>
      </c>
      <c r="EA25" t="n">
        <v>2.875</v>
      </c>
      <c r="EB25" t="n">
        <v>35.7374</v>
      </c>
      <c r="EC25" t="n">
        <v>41.2622</v>
      </c>
      <c r="ED25" t="n">
        <v>38.25</v>
      </c>
      <c r="EE25" t="n">
        <v>41.9872</v>
      </c>
      <c r="EF25" t="n">
        <v>38.8374</v>
      </c>
      <c r="EG25" t="n">
        <v>0</v>
      </c>
      <c r="EH25" t="n">
        <v>0</v>
      </c>
      <c r="EI25" t="n">
        <v>0</v>
      </c>
      <c r="EJ25" t="n">
        <v>128.900000095367</v>
      </c>
      <c r="EK25" t="n">
        <v>0</v>
      </c>
      <c r="EL25" t="n">
        <v>176.846153846154</v>
      </c>
      <c r="EM25" t="n">
        <v>-1.71453004286912</v>
      </c>
      <c r="EN25" t="n">
        <v>-6.03931637492465</v>
      </c>
      <c r="EO25" t="n">
        <v>-12.5980769230769</v>
      </c>
      <c r="EP25" t="n">
        <v>15</v>
      </c>
      <c r="EQ25" t="n">
        <v>1792309530</v>
      </c>
      <c r="ER25" t="inlineStr">
        <is>
          <t>16:45:30</t>
        </is>
      </c>
      <c r="ES25" t="n">
        <v>1792309520</v>
      </c>
      <c r="ET25" t="n">
        <v>1792309530</v>
      </c>
      <c r="EU25" t="n">
        <v>76</v>
      </c>
      <c r="EV25" t="n">
        <v>0.032</v>
      </c>
      <c r="EW25" t="n">
        <v>0.001</v>
      </c>
      <c r="EX25" t="n">
        <v>-0.14</v>
      </c>
      <c r="EY25" t="n">
        <v>-0.145</v>
      </c>
      <c r="EZ25" t="n">
        <v>400</v>
      </c>
      <c r="FA25" t="n">
        <v>17</v>
      </c>
      <c r="FB25" t="n">
        <v>0.29</v>
      </c>
      <c r="FC25" t="n">
        <v>0.05</v>
      </c>
      <c r="FD25" t="n">
        <v>-1.0848077109334</v>
      </c>
      <c r="FE25" t="n">
        <v>-0.518010860874161</v>
      </c>
      <c r="FF25" t="n">
        <v>0.06946837942650951</v>
      </c>
      <c r="FG25" t="n">
        <v>1</v>
      </c>
      <c r="FH25" t="n">
        <v>-0.0394563219047619</v>
      </c>
      <c r="FI25" t="n">
        <v>0.219906327613958</v>
      </c>
      <c r="FJ25" t="n">
        <v>0.0285912453819045</v>
      </c>
      <c r="FK25" t="n">
        <v>1</v>
      </c>
      <c r="FL25" t="n">
        <v>177.469852941176</v>
      </c>
      <c r="FM25" t="n">
        <v>0.386936551814859</v>
      </c>
      <c r="FN25" t="n">
        <v>6.29646778726142</v>
      </c>
      <c r="FO25" t="n">
        <v>1</v>
      </c>
      <c r="FP25" t="n">
        <v>3</v>
      </c>
      <c r="FQ25" t="n">
        <v>3</v>
      </c>
      <c r="FR25" t="inlineStr">
        <is>
          <t>3/3</t>
        </is>
      </c>
      <c r="FS25" t="n">
        <v>100</v>
      </c>
      <c r="FT25" t="n">
        <v>100</v>
      </c>
      <c r="FU25" t="n">
        <v>-0.14</v>
      </c>
      <c r="FV25" t="n">
        <v>-0.1292</v>
      </c>
      <c r="FW25" t="n">
        <v>-0.214858873774974</v>
      </c>
      <c r="FX25" t="n">
        <v>-6.16732984266029e-05</v>
      </c>
      <c r="FY25" t="n">
        <v>6.19398071816742e-07</v>
      </c>
      <c r="FZ25" t="n">
        <v>3.19222985850634e-12</v>
      </c>
      <c r="GA25" t="n">
        <v>-0.0591296340339647</v>
      </c>
      <c r="GB25" t="n">
        <v>-0.0257783215012692</v>
      </c>
      <c r="GC25" t="n">
        <v>0.00133723821780375</v>
      </c>
      <c r="GD25" t="n">
        <v>-7.42160749481374e-06</v>
      </c>
      <c r="GE25" t="n">
        <v>7</v>
      </c>
      <c r="GF25" t="n">
        <v>2154</v>
      </c>
      <c r="GG25" t="n">
        <v>2</v>
      </c>
      <c r="GH25" t="n">
        <v>20</v>
      </c>
      <c r="GI25" t="n">
        <v>1.2</v>
      </c>
      <c r="GJ25" t="n">
        <v>1</v>
      </c>
      <c r="GK25" t="n">
        <v>1.03882</v>
      </c>
      <c r="GL25" t="n">
        <v>2.64404</v>
      </c>
      <c r="GM25" t="n">
        <v>1.65161</v>
      </c>
      <c r="GN25" t="n">
        <v>2.27295</v>
      </c>
      <c r="GO25" t="n">
        <v>1.5979</v>
      </c>
      <c r="GP25" t="n">
        <v>2.66479</v>
      </c>
      <c r="GQ25" t="n">
        <v>34.418</v>
      </c>
      <c r="GR25" t="n">
        <v>15.1477</v>
      </c>
      <c r="GS25" t="n">
        <v>18</v>
      </c>
      <c r="GT25" t="n">
        <v>504.321</v>
      </c>
      <c r="GU25" t="n">
        <v>533.46</v>
      </c>
      <c r="GV25" t="n">
        <v>24.0191</v>
      </c>
      <c r="GW25" t="n">
        <v>29.4607</v>
      </c>
      <c r="GX25" t="n">
        <v>30.0002</v>
      </c>
      <c r="GY25" t="n">
        <v>29.6202</v>
      </c>
      <c r="GZ25" t="n">
        <v>29.6755</v>
      </c>
      <c r="HA25" t="n">
        <v>20.7672</v>
      </c>
      <c r="HB25" t="n">
        <v>23.3698</v>
      </c>
      <c r="HC25" t="n">
        <v>25.8611</v>
      </c>
      <c r="HD25" t="n">
        <v>24.0165</v>
      </c>
      <c r="HE25" t="n">
        <v>400.074</v>
      </c>
      <c r="HF25" t="n">
        <v>16.9604</v>
      </c>
      <c r="HG25" t="n">
        <v>98.0157</v>
      </c>
      <c r="HH25" t="n">
        <v>94.5064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16:15:32</t>
        </is>
      </c>
    </row>
    <row r="2">
      <c r="A2" t="inlineStr">
        <is>
          <t>Console s/n</t>
        </is>
      </c>
      <c r="B2" t="inlineStr">
        <is>
          <t>68C-812153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68H-982143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{"h2oaspan2b": "0.0986302", "co2bspanconc2": "1516", "h2oaspan2": "0", "h2obspanconc2": "0", "co2bspanconc1": "437.6", "h2oaspanconc2": "0", "h2obspan1": "1.01044", "ssa_ref": "37830.5", "co2aspan2a": "0.106022", "flowazero": "0.276", "tazero": "0.15448", "h2oazero": "1.03097", "co2bspan2": "-0.00857283", "h2oaspan1": "1.02308", "h2obspan2b": "0.0971974", "h2obspan2a": "0.0961931", "h2obspan2": "0", "chamberpressurezero": "2.71033", "ssb_ref": "36242.9", "co2bzero": "0.953041", "co2azero": "0.931334", "h2obzero": "1.01897", "flowbzero": "0.30473", "co2aspan1": "1.00082", "h2oaspanconc1": "17.96", "co2aspanconc1": "437.6", "co2bspan1": "1.00005", "co2aspan2b": "0.105998", "co2aspan2": "-0.00988168", "h2obspanconc1": "17.96", "co2bspan2a": "0.105708", "tbzero": "0.143742", "oxygen": "21", "h2oaspan2a": "0.0964052", "co2bspan2b": "0.105618", "flowmeterzero": "2.483", "co2aspanconc2": "1516"}</t>
        </is>
      </c>
    </row>
    <row r="8">
      <c r="A8" t="inlineStr">
        <is>
          <t>Factory cal date</t>
        </is>
      </c>
      <c r="B8" t="inlineStr">
        <is>
          <t>14 Dec 2023</t>
        </is>
      </c>
    </row>
    <row r="9">
      <c r="A9" t="inlineStr">
        <is>
          <t>CO2 rangematch</t>
        </is>
      </c>
      <c r="B9" t="inlineStr">
        <is>
          <t>Fri Oct 16 09:42</t>
        </is>
      </c>
    </row>
    <row r="10">
      <c r="A10" t="inlineStr">
        <is>
          <t>H2O rangematch</t>
        </is>
      </c>
      <c r="B10" t="inlineStr">
        <is>
          <t>Fri Oct 16 09:48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MPF-742752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MPF-742752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16:15:32</t>
        </is>
      </c>
      <c r="B17" t="inlineStr">
        <is>
          <t>Stability Definition:	F (FlrLS): Slp&lt;1 Per=20	A (GasEx): Slp&lt;0.6 Per=20	ΔCO2 (Meas2): Slp&lt;0.5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Qmax_d</t>
        </is>
      </c>
      <c r="V1" t="inlineStr">
        <is>
          <t>Fo</t>
        </is>
      </c>
      <c r="W1" t="inlineStr">
        <is>
          <t>Fm</t>
        </is>
      </c>
      <c r="X1" t="inlineStr">
        <is>
          <t>A_dark</t>
        </is>
      </c>
      <c r="Y1" t="inlineStr">
        <is>
          <t>Fs</t>
        </is>
      </c>
      <c r="Z1" t="inlineStr">
        <is>
          <t>Fm'</t>
        </is>
      </c>
      <c r="AA1" t="inlineStr">
        <is>
          <t>PS2/1</t>
        </is>
      </c>
      <c r="AB1" t="inlineStr">
        <is>
          <t>ID</t>
        </is>
      </c>
      <c r="AC1" t="inlineStr">
        <is>
          <t>P1_dur</t>
        </is>
      </c>
      <c r="AD1" t="inlineStr">
        <is>
          <t>P1_Fmax</t>
        </is>
      </c>
      <c r="AE1" t="inlineStr">
        <is>
          <t>T@P1_Fmax</t>
        </is>
      </c>
      <c r="AF1" t="inlineStr">
        <is>
          <t>Q@P1_Fmax</t>
        </is>
      </c>
      <c r="AG1" t="inlineStr">
        <is>
          <t>P1_PredF</t>
        </is>
      </c>
      <c r="AH1" t="inlineStr">
        <is>
          <t>P1_ΔF</t>
        </is>
      </c>
      <c r="AI1" t="inlineStr">
        <is>
          <t>P2_dur</t>
        </is>
      </c>
      <c r="AJ1" t="inlineStr">
        <is>
          <t>P2_ramp</t>
        </is>
      </c>
      <c r="AK1" t="inlineStr">
        <is>
          <t>P2_int</t>
        </is>
      </c>
      <c r="AL1" t="inlineStr">
        <is>
          <t>P2_int_se</t>
        </is>
      </c>
      <c r="AM1" t="inlineStr">
        <is>
          <t>P2_slp</t>
        </is>
      </c>
      <c r="AN1" t="inlineStr">
        <is>
          <t>P2_slp_se</t>
        </is>
      </c>
      <c r="AO1" t="inlineStr">
        <is>
          <t>P2_R2</t>
        </is>
      </c>
      <c r="AP1" t="inlineStr">
        <is>
          <t>P2_dQdt</t>
        </is>
      </c>
      <c r="AQ1" t="inlineStr">
        <is>
          <t>P3_dur</t>
        </is>
      </c>
      <c r="AR1" t="inlineStr">
        <is>
          <t>P3_Fmax</t>
        </is>
      </c>
      <c r="AS1" t="inlineStr">
        <is>
          <t>T@P3_Fmax</t>
        </is>
      </c>
      <c r="AT1" t="inlineStr">
        <is>
          <t>Q@P3_Fmax</t>
        </is>
      </c>
      <c r="AU1" t="inlineStr">
        <is>
          <t>P3_PredF</t>
        </is>
      </c>
      <c r="AV1" t="inlineStr">
        <is>
          <t>P3_ΔF</t>
        </is>
      </c>
      <c r="AW1" t="inlineStr">
        <is>
          <t>Qin</t>
        </is>
      </c>
      <c r="AX1" t="inlineStr">
        <is>
          <t>S</t>
        </is>
      </c>
      <c r="AY1" t="inlineStr">
        <is>
          <t>K</t>
        </is>
      </c>
      <c r="AZ1" t="inlineStr">
        <is>
          <t>Custom</t>
        </is>
      </c>
      <c r="BA1" t="inlineStr">
        <is>
          <t>TIME_2</t>
        </is>
      </c>
      <c r="BB1" t="inlineStr">
        <is>
          <t>CO2_s</t>
        </is>
      </c>
      <c r="BC1" t="inlineStr">
        <is>
          <t>CO2_r</t>
        </is>
      </c>
      <c r="BD1" t="inlineStr">
        <is>
          <t>H2O_s</t>
        </is>
      </c>
      <c r="BE1" t="inlineStr">
        <is>
          <t>H2O_r</t>
        </is>
      </c>
      <c r="BF1" t="inlineStr">
        <is>
          <t>CO2_a</t>
        </is>
      </c>
      <c r="BG1" t="inlineStr">
        <is>
          <t>H2O_a</t>
        </is>
      </c>
      <c r="BH1" t="inlineStr">
        <is>
          <t>Flow</t>
        </is>
      </c>
      <c r="BI1" t="inlineStr">
        <is>
          <t>Pa</t>
        </is>
      </c>
      <c r="BJ1" t="inlineStr">
        <is>
          <t>ΔPcham</t>
        </is>
      </c>
      <c r="BK1" t="inlineStr">
        <is>
          <t>Tair</t>
        </is>
      </c>
      <c r="BL1" t="inlineStr">
        <is>
          <t>Tleaf</t>
        </is>
      </c>
      <c r="BM1" t="inlineStr">
        <is>
          <t>Tleaf2</t>
        </is>
      </c>
      <c r="BN1" t="inlineStr">
        <is>
          <t>Fan_speed</t>
        </is>
      </c>
      <c r="BO1" t="inlineStr">
        <is>
          <t>Qamb_out</t>
        </is>
      </c>
      <c r="BP1" t="inlineStr">
        <is>
          <t>Q</t>
        </is>
      </c>
      <c r="BQ1" t="inlineStr">
        <is>
          <t>f_red</t>
        </is>
      </c>
      <c r="BR1" t="inlineStr">
        <is>
          <t>f_blue</t>
        </is>
      </c>
      <c r="BS1" t="inlineStr">
        <is>
          <t>F</t>
        </is>
      </c>
      <c r="BT1" t="inlineStr">
        <is>
          <t>Q_modavg</t>
        </is>
      </c>
      <c r="BU1" t="inlineStr">
        <is>
          <t>F_dc</t>
        </is>
      </c>
      <c r="BV1" t="inlineStr">
        <is>
          <t>Pc</t>
        </is>
      </c>
      <c r="BW1" t="inlineStr">
        <is>
          <t>Tled</t>
        </is>
      </c>
      <c r="BX1" t="inlineStr">
        <is>
          <t>TDigital</t>
        </is>
      </c>
      <c r="BY1" t="inlineStr">
        <is>
          <t>TPreamp</t>
        </is>
      </c>
      <c r="BZ1" t="inlineStr">
        <is>
          <t>TPwrSpy</t>
        </is>
      </c>
      <c r="CA1" t="inlineStr">
        <is>
          <t>TDrive</t>
        </is>
      </c>
      <c r="CB1" t="inlineStr">
        <is>
          <t>Q_red</t>
        </is>
      </c>
      <c r="CC1" t="inlineStr">
        <is>
          <t>Q_blue</t>
        </is>
      </c>
      <c r="CD1" t="inlineStr">
        <is>
          <t>TSPF</t>
        </is>
      </c>
      <c r="CE1" t="inlineStr">
        <is>
          <t>F_avg</t>
        </is>
      </c>
      <c r="CF1" t="inlineStr">
        <is>
          <t>dF/dt</t>
        </is>
      </c>
      <c r="CG1" t="inlineStr">
        <is>
          <t>dF_dc/dt</t>
        </is>
      </c>
      <c r="CH1" t="inlineStr">
        <is>
          <t>F_dc_avg</t>
        </is>
      </c>
      <c r="CI1" t="inlineStr">
        <is>
          <t>period</t>
        </is>
      </c>
      <c r="CJ1" t="inlineStr">
        <is>
          <t>time_2</t>
        </is>
      </c>
      <c r="CK1" t="inlineStr">
        <is>
          <t>co2_t</t>
        </is>
      </c>
      <c r="CL1" t="inlineStr">
        <is>
          <t>h2o_t</t>
        </is>
      </c>
      <c r="CM1" t="inlineStr">
        <is>
          <t>count</t>
        </is>
      </c>
      <c r="CN1" t="inlineStr">
        <is>
          <t>co2_adj</t>
        </is>
      </c>
      <c r="CO1" t="inlineStr">
        <is>
          <t>h2o_adj</t>
        </is>
      </c>
      <c r="CP1" t="inlineStr">
        <is>
          <t>co2_match</t>
        </is>
      </c>
      <c r="CQ1" t="inlineStr">
        <is>
          <t>h2o_match</t>
        </is>
      </c>
      <c r="CR1" t="inlineStr">
        <is>
          <t>co2_at</t>
        </is>
      </c>
      <c r="CS1" t="inlineStr">
        <is>
          <t>h2o_at</t>
        </is>
      </c>
      <c r="CT1" t="inlineStr">
        <is>
          <t>co2_cv</t>
        </is>
      </c>
      <c r="CU1" t="inlineStr">
        <is>
          <t>h2o_cv</t>
        </is>
      </c>
      <c r="CV1" t="inlineStr">
        <is>
          <t>A:MN</t>
        </is>
      </c>
      <c r="CW1" t="inlineStr">
        <is>
          <t>A:SLP</t>
        </is>
      </c>
      <c r="CX1" t="inlineStr">
        <is>
          <t>A:SD</t>
        </is>
      </c>
      <c r="CY1" t="inlineStr">
        <is>
          <t>A:OK</t>
        </is>
      </c>
      <c r="CZ1" t="inlineStr">
        <is>
          <t>ΔCO2:MN</t>
        </is>
      </c>
      <c r="DA1" t="inlineStr">
        <is>
          <t>ΔCO2:SLP</t>
        </is>
      </c>
      <c r="DB1" t="inlineStr">
        <is>
          <t>ΔCO2:SD</t>
        </is>
      </c>
      <c r="DC1" t="inlineStr">
        <is>
          <t>ΔCO2:OK</t>
        </is>
      </c>
      <c r="DD1" t="inlineStr">
        <is>
          <t>F:MN</t>
        </is>
      </c>
      <c r="DE1" t="inlineStr">
        <is>
          <t>F:SLP</t>
        </is>
      </c>
      <c r="DF1" t="inlineStr">
        <is>
          <t>F:SD</t>
        </is>
      </c>
      <c r="DG1" t="inlineStr">
        <is>
          <t>F:OK</t>
        </is>
      </c>
      <c r="DH1" t="inlineStr">
        <is>
          <t>Stable</t>
        </is>
      </c>
      <c r="DI1" t="inlineStr">
        <is>
          <t>Total</t>
        </is>
      </c>
      <c r="DJ1" t="inlineStr">
        <is>
          <t>MatchValveR</t>
        </is>
      </c>
      <c r="DK1" t="inlineStr">
        <is>
          <t>MatchValveS</t>
        </is>
      </c>
      <c r="DL1" t="inlineStr">
        <is>
          <t>MatchCO2</t>
        </is>
      </c>
      <c r="DM1" t="inlineStr">
        <is>
          <t>MatchH2O</t>
        </is>
      </c>
      <c r="DN1" t="inlineStr">
        <is>
          <t>cf_co2_a</t>
        </is>
      </c>
      <c r="DO1" t="inlineStr">
        <is>
          <t>cf_co2_b</t>
        </is>
      </c>
      <c r="DP1" t="inlineStr">
        <is>
          <t>cf_co2_c</t>
        </is>
      </c>
      <c r="DQ1" t="inlineStr">
        <is>
          <t>cf_co2_d</t>
        </is>
      </c>
      <c r="DR1" t="inlineStr">
        <is>
          <t>cf_h2o_a</t>
        </is>
      </c>
      <c r="DS1" t="inlineStr">
        <is>
          <t>cf_h2o_b</t>
        </is>
      </c>
      <c r="DT1" t="inlineStr">
        <is>
          <t>cf_h2o_c</t>
        </is>
      </c>
      <c r="DU1" t="inlineStr">
        <is>
          <t>cf_h2o_d</t>
        </is>
      </c>
      <c r="DV1" t="inlineStr">
        <is>
          <t>co2_fit_low</t>
        </is>
      </c>
      <c r="DW1" t="inlineStr">
        <is>
          <t>co2_fit_high</t>
        </is>
      </c>
      <c r="DX1" t="inlineStr">
        <is>
          <t>h2o_fit_low</t>
        </is>
      </c>
      <c r="DY1" t="inlineStr">
        <is>
          <t>h2o_fit_high</t>
        </is>
      </c>
      <c r="DZ1" t="inlineStr">
        <is>
          <t>co2_elapsed</t>
        </is>
      </c>
      <c r="EA1" t="inlineStr">
        <is>
          <t>h2o_elapsed</t>
        </is>
      </c>
      <c r="EB1" t="inlineStr">
        <is>
          <t>CO2_f</t>
        </is>
      </c>
      <c r="EC1" t="inlineStr">
        <is>
          <t>CO2_f_s</t>
        </is>
      </c>
      <c r="ED1" t="inlineStr">
        <is>
          <t>Pump_f</t>
        </is>
      </c>
      <c r="EE1" t="inlineStr">
        <is>
          <t>Pump_f_s</t>
        </is>
      </c>
      <c r="EF1" t="inlineStr">
        <is>
          <t>Pump_p</t>
        </is>
      </c>
      <c r="EG1" t="inlineStr">
        <is>
          <t>Pump_p_s</t>
        </is>
      </c>
      <c r="EH1" t="inlineStr">
        <is>
          <t>Tboard</t>
        </is>
      </c>
      <c r="EI1" t="inlineStr">
        <is>
          <t>V_system</t>
        </is>
      </c>
      <c r="EJ1" t="inlineStr">
        <is>
          <t>DIAG</t>
        </is>
      </c>
      <c r="EK1" t="inlineStr">
        <is>
          <t>Flow_s</t>
        </is>
      </c>
      <c r="EL1" t="inlineStr">
        <is>
          <t>Flow_r</t>
        </is>
      </c>
      <c r="EM1" t="inlineStr">
        <is>
          <t>Txchg</t>
        </is>
      </c>
      <c r="EN1" t="inlineStr">
        <is>
          <t>Tirga</t>
        </is>
      </c>
      <c r="EO1" t="inlineStr">
        <is>
          <t>Tchopper</t>
        </is>
      </c>
      <c r="EP1" t="inlineStr">
        <is>
          <t>Ts</t>
        </is>
      </c>
      <c r="EQ1" t="inlineStr">
        <is>
          <t>Tr</t>
        </is>
      </c>
      <c r="ER1" t="inlineStr">
        <is>
          <t>CO2_%</t>
        </is>
      </c>
      <c r="ES1" t="inlineStr">
        <is>
          <t>Desiccant_%</t>
        </is>
      </c>
      <c r="ET1" t="inlineStr">
        <is>
          <t>Humidifier_%</t>
        </is>
      </c>
      <c r="EU1" t="inlineStr">
        <is>
          <t>Txchg_sp</t>
        </is>
      </c>
      <c r="EV1" t="inlineStr">
        <is>
          <t>CO2_r_sp</t>
        </is>
      </c>
      <c r="EW1" t="inlineStr">
        <is>
          <t>H2O_r_sp</t>
        </is>
      </c>
      <c r="EX1" t="inlineStr">
        <is>
          <t>SS_s</t>
        </is>
      </c>
      <c r="EY1" t="inlineStr">
        <is>
          <t>SS_r</t>
        </is>
      </c>
    </row>
    <row r="2">
      <c r="A2" t="n">
        <v>1</v>
      </c>
      <c r="B2" t="n">
        <v>1792308367</v>
      </c>
      <c r="C2" t="n">
        <v>0</v>
      </c>
      <c r="D2" t="n">
        <v>5</v>
      </c>
      <c r="E2" t="n">
        <v>1792308363.5</v>
      </c>
      <c r="F2" t="n">
        <v>0.003649992019356476</v>
      </c>
      <c r="G2" t="n">
        <v>3.649992019356476</v>
      </c>
      <c r="H2" t="n">
        <v>16.86908368922857</v>
      </c>
      <c r="I2" t="n">
        <v>399.968333333333</v>
      </c>
      <c r="J2" t="n">
        <v>288.7503507861825</v>
      </c>
      <c r="K2" t="n">
        <v>0.0291570059272933</v>
      </c>
      <c r="L2" t="n">
        <v>0.0403874109034941</v>
      </c>
      <c r="M2" t="n">
        <v>0.2718835302026466</v>
      </c>
      <c r="N2" t="n">
        <v>3.022812746159729</v>
      </c>
      <c r="O2" t="n">
        <v>0.2589917610438814</v>
      </c>
      <c r="P2" t="n">
        <v>0.1629771744137963</v>
      </c>
      <c r="Q2" t="n">
        <v>3.181589584475667</v>
      </c>
      <c r="R2" t="n">
        <v>54.9508404608167</v>
      </c>
      <c r="S2" t="n">
        <v>1.793576946044854</v>
      </c>
      <c r="T2" t="n">
        <v>3.263966357937299</v>
      </c>
      <c r="U2" t="n">
        <v>8136.3</v>
      </c>
      <c r="V2" t="n">
        <v>234.829807692308</v>
      </c>
      <c r="W2" t="n">
        <v>979.8417598451909</v>
      </c>
      <c r="X2" t="n">
        <v>-2.15676906838952</v>
      </c>
      <c r="Y2" t="n">
        <v>207.08304</v>
      </c>
      <c r="Z2" t="n">
        <v>255.08604138059</v>
      </c>
      <c r="AA2" t="n">
        <v>0.5</v>
      </c>
      <c r="AB2" t="n">
        <v>248</v>
      </c>
      <c r="AC2" t="n">
        <v>290</v>
      </c>
      <c r="AD2" t="n">
        <v>250.63</v>
      </c>
      <c r="AE2" t="n">
        <v>185</v>
      </c>
      <c r="AF2" t="n">
        <v>8139.83</v>
      </c>
      <c r="AG2" t="n">
        <v>249.64</v>
      </c>
      <c r="AH2" t="n">
        <v>0.99</v>
      </c>
      <c r="AI2" t="n">
        <v>300</v>
      </c>
      <c r="AJ2" t="n">
        <v>19.1</v>
      </c>
      <c r="AK2" t="n">
        <v>255.08604138059</v>
      </c>
      <c r="AL2" t="n">
        <v>3.74141538659378</v>
      </c>
      <c r="AM2" t="n">
        <v>-4.43570015136817</v>
      </c>
      <c r="AN2" t="n">
        <v>2.78569638591718</v>
      </c>
      <c r="AO2" t="n">
        <v>0.08303330602119</v>
      </c>
      <c r="AP2" t="n">
        <v>-0.00438433103448275</v>
      </c>
      <c r="AQ2" t="n">
        <v>290</v>
      </c>
      <c r="AR2" t="n">
        <v>251.05</v>
      </c>
      <c r="AS2" t="n">
        <v>845</v>
      </c>
      <c r="AT2" t="n">
        <v>8129.74</v>
      </c>
      <c r="AU2" t="n">
        <v>249.63</v>
      </c>
      <c r="AV2" t="n">
        <v>1.42</v>
      </c>
      <c r="AW2" t="n">
        <v>1500.05333333333</v>
      </c>
      <c r="AX2" t="n">
        <v>2</v>
      </c>
      <c r="AY2" t="n">
        <v>0.5</v>
      </c>
      <c r="AZ2" t="n">
        <v>2</v>
      </c>
      <c r="BA2" t="n">
        <v>1792308363.5</v>
      </c>
      <c r="BB2" t="n">
        <v>399.968333333333</v>
      </c>
      <c r="BC2" t="n">
        <v>407.299166666667</v>
      </c>
      <c r="BD2" t="n">
        <v>17.7623166666667</v>
      </c>
      <c r="BE2" t="n">
        <v>16.3284</v>
      </c>
      <c r="BF2" t="n">
        <v>400.135833333333</v>
      </c>
      <c r="BG2" t="n">
        <v>17.8924166666667</v>
      </c>
      <c r="BH2" t="n">
        <v>500.051333333333</v>
      </c>
      <c r="BI2" t="n">
        <v>100.876333333333</v>
      </c>
      <c r="BJ2" t="n">
        <v>0.1001879</v>
      </c>
      <c r="BK2" t="n">
        <v>25.4395666666667</v>
      </c>
      <c r="BL2" t="n">
        <v>25.0100833333333</v>
      </c>
      <c r="BM2" t="n">
        <v>999.9</v>
      </c>
      <c r="BN2" t="n">
        <v>9983.316666666669</v>
      </c>
      <c r="BO2" t="n">
        <v>7.05843</v>
      </c>
      <c r="BP2" t="n">
        <v>1500.05333333333</v>
      </c>
      <c r="BQ2" t="n">
        <v>0.972993333333333</v>
      </c>
      <c r="BR2" t="n">
        <v>0.0270062333333333</v>
      </c>
      <c r="BS2" t="n">
        <v>207.169666666667</v>
      </c>
      <c r="BT2" t="n">
        <v>4.99999</v>
      </c>
      <c r="BU2" t="n">
        <v>3182.94333333333</v>
      </c>
      <c r="BV2" t="n">
        <v>14883.0666666667</v>
      </c>
      <c r="BW2" t="n">
        <v>36.562</v>
      </c>
      <c r="BX2" t="n">
        <v>38.125</v>
      </c>
      <c r="BY2" t="n">
        <v>37.125</v>
      </c>
      <c r="BZ2" t="n">
        <v>37.562</v>
      </c>
      <c r="CA2" t="n">
        <v>38.187</v>
      </c>
      <c r="CB2" t="n">
        <v>1454.67333333333</v>
      </c>
      <c r="CC2" t="n">
        <v>40.38</v>
      </c>
      <c r="CD2" t="n">
        <v>3930.79999995232</v>
      </c>
      <c r="CE2" t="n">
        <v>207.08304</v>
      </c>
      <c r="CF2" t="n">
        <v>-0.0924615279429236</v>
      </c>
      <c r="CG2" t="n">
        <v>-4.0807692296101</v>
      </c>
      <c r="CH2" t="n">
        <v>3183.0364</v>
      </c>
      <c r="CI2" t="n">
        <v>15</v>
      </c>
      <c r="CJ2" t="n">
        <v>1792308129</v>
      </c>
      <c r="CK2" t="n">
        <v>1792308126</v>
      </c>
      <c r="CL2" t="n">
        <v>1792308129</v>
      </c>
      <c r="CM2" t="n">
        <v>72</v>
      </c>
      <c r="CN2" t="n">
        <v>-0.706</v>
      </c>
      <c r="CO2" t="n">
        <v>0.004</v>
      </c>
      <c r="CP2" t="n">
        <v>-0.164</v>
      </c>
      <c r="CQ2" t="n">
        <v>-0.149</v>
      </c>
      <c r="CR2" t="n">
        <v>407</v>
      </c>
      <c r="CS2" t="n">
        <v>16</v>
      </c>
      <c r="CT2" t="n">
        <v>0.27</v>
      </c>
      <c r="CU2" t="n">
        <v>0.03</v>
      </c>
      <c r="CV2" t="n">
        <v>16.7998867006496</v>
      </c>
      <c r="CW2" t="n">
        <v>0.420187324519872</v>
      </c>
      <c r="CX2" t="n">
        <v>0.0708486730716492</v>
      </c>
      <c r="CY2" t="n">
        <v>1</v>
      </c>
      <c r="CZ2" t="n">
        <v>-7.30727</v>
      </c>
      <c r="DA2" t="n">
        <v>-0.196752180451125</v>
      </c>
      <c r="DB2" t="n">
        <v>0.0299751381981802</v>
      </c>
      <c r="DC2" t="n">
        <v>1</v>
      </c>
      <c r="DD2" t="n">
        <v>207.174176470588</v>
      </c>
      <c r="DE2" t="n">
        <v>-0.62756302469238</v>
      </c>
      <c r="DF2" t="n">
        <v>0.355847907910125</v>
      </c>
      <c r="DG2" t="n">
        <v>1</v>
      </c>
      <c r="DH2" t="n">
        <v>3</v>
      </c>
      <c r="DI2" t="n">
        <v>3</v>
      </c>
      <c r="DJ2" t="n">
        <v>100</v>
      </c>
      <c r="DK2" t="n">
        <v>100</v>
      </c>
      <c r="DL2" t="n">
        <v>-0.167</v>
      </c>
      <c r="DM2" t="n">
        <v>-0.1301</v>
      </c>
      <c r="DN2" t="n">
        <v>-0.241997215624388</v>
      </c>
      <c r="DO2" t="n">
        <v>-6.16732984266029e-05</v>
      </c>
      <c r="DP2" t="n">
        <v>6.19398071816742e-07</v>
      </c>
      <c r="DQ2" t="n">
        <v>3.19222985850634e-12</v>
      </c>
      <c r="DR2" t="n">
        <v>-0.0544596368163862</v>
      </c>
      <c r="DS2" t="n">
        <v>-0.0257783215012692</v>
      </c>
      <c r="DT2" t="n">
        <v>0.00133723821780375</v>
      </c>
      <c r="DU2" t="n">
        <v>-7.42160749481374e-06</v>
      </c>
      <c r="DV2" t="n">
        <v>7</v>
      </c>
      <c r="DW2" t="n">
        <v>2154</v>
      </c>
      <c r="DX2" t="n">
        <v>2</v>
      </c>
      <c r="DY2" t="n">
        <v>20</v>
      </c>
      <c r="DZ2" t="n">
        <v>4</v>
      </c>
      <c r="EA2" t="n">
        <v>4</v>
      </c>
      <c r="EB2" t="n">
        <v>1.05347</v>
      </c>
      <c r="EC2" t="n">
        <v>2.64771</v>
      </c>
      <c r="ED2" t="n">
        <v>1.65161</v>
      </c>
      <c r="EE2" t="n">
        <v>2.27295</v>
      </c>
      <c r="EF2" t="n">
        <v>1.5979</v>
      </c>
      <c r="EG2" t="n">
        <v>2.46094</v>
      </c>
      <c r="EH2" t="n">
        <v>34.5549</v>
      </c>
      <c r="EI2" t="n">
        <v>15.2878</v>
      </c>
      <c r="EJ2" t="n">
        <v>18</v>
      </c>
      <c r="EK2" t="n">
        <v>504.351</v>
      </c>
      <c r="EL2" t="n">
        <v>531.34</v>
      </c>
      <c r="EM2" t="n">
        <v>21.9747</v>
      </c>
      <c r="EN2" t="n">
        <v>29.3722</v>
      </c>
      <c r="EO2" t="n">
        <v>30.0001</v>
      </c>
      <c r="EP2" t="n">
        <v>29.5418</v>
      </c>
      <c r="EQ2" t="n">
        <v>29.5993</v>
      </c>
      <c r="ER2" t="n">
        <v>21.0657</v>
      </c>
      <c r="ES2" t="n">
        <v>23.4736</v>
      </c>
      <c r="ET2" t="n">
        <v>20.3456</v>
      </c>
      <c r="EU2" t="n">
        <v>21.9776</v>
      </c>
      <c r="EV2" t="n">
        <v>407.283</v>
      </c>
      <c r="EW2" t="n">
        <v>16.368</v>
      </c>
      <c r="EX2" t="n">
        <v>98.0317</v>
      </c>
      <c r="EY2" t="n">
        <v>94.5262</v>
      </c>
    </row>
    <row r="3">
      <c r="A3" t="n">
        <v>2</v>
      </c>
      <c r="B3" t="n">
        <v>1792308492</v>
      </c>
      <c r="C3" t="n">
        <v>125</v>
      </c>
      <c r="D3" t="n">
        <v>5</v>
      </c>
      <c r="E3" t="n">
        <v>1792308489</v>
      </c>
      <c r="F3" t="n">
        <v>0.003587253683808697</v>
      </c>
      <c r="G3" t="n">
        <v>3.587253683808697</v>
      </c>
      <c r="H3" t="n">
        <v>16.41257797640509</v>
      </c>
      <c r="I3" t="n">
        <v>400.0058</v>
      </c>
      <c r="J3" t="n">
        <v>290.3078501123853</v>
      </c>
      <c r="K3" t="n">
        <v>0.02931758313814773</v>
      </c>
      <c r="L3" t="n">
        <v>0.04039574986587997</v>
      </c>
      <c r="M3" t="n">
        <v>0.2682577133542457</v>
      </c>
      <c r="N3" t="n">
        <v>3.028388353536581</v>
      </c>
      <c r="O3" t="n">
        <v>0.25572092582956</v>
      </c>
      <c r="P3" t="n">
        <v>0.1609031261446797</v>
      </c>
      <c r="Q3" t="n">
        <v>3.182089713010193</v>
      </c>
      <c r="R3" t="n">
        <v>54.82122916023548</v>
      </c>
      <c r="S3" t="n">
        <v>1.800378129652005</v>
      </c>
      <c r="T3" t="n">
        <v>3.284089315819111</v>
      </c>
      <c r="U3" t="n">
        <v>8136.3</v>
      </c>
      <c r="V3" t="n">
        <v>234.829807692308</v>
      </c>
      <c r="W3" t="n">
        <v>979.8417598451909</v>
      </c>
      <c r="X3" t="n">
        <v>-2.15676906838952</v>
      </c>
      <c r="Y3" t="n">
        <v>206.734384615385</v>
      </c>
      <c r="Z3" t="n">
        <v>279.038331797262</v>
      </c>
      <c r="AA3" t="n">
        <v>0.5</v>
      </c>
      <c r="AB3" t="n">
        <v>249</v>
      </c>
      <c r="AC3" t="n">
        <v>290</v>
      </c>
      <c r="AD3" t="n">
        <v>266.83</v>
      </c>
      <c r="AE3" t="n">
        <v>125</v>
      </c>
      <c r="AF3" t="n">
        <v>8144.2</v>
      </c>
      <c r="AG3" t="n">
        <v>266.7</v>
      </c>
      <c r="AH3" t="n">
        <v>0.13</v>
      </c>
      <c r="AI3" t="n">
        <v>300</v>
      </c>
      <c r="AJ3" t="n">
        <v>19.1</v>
      </c>
      <c r="AK3" t="n">
        <v>279.038331797262</v>
      </c>
      <c r="AL3" t="n">
        <v>3.04856749708418</v>
      </c>
      <c r="AM3" t="n">
        <v>-10.0514661745921</v>
      </c>
      <c r="AN3" t="n">
        <v>2.26012477646252</v>
      </c>
      <c r="AO3" t="n">
        <v>0.41396270842763</v>
      </c>
      <c r="AP3" t="n">
        <v>-0.00458553859844272</v>
      </c>
      <c r="AQ3" t="n">
        <v>290</v>
      </c>
      <c r="AR3" t="n">
        <v>266.83</v>
      </c>
      <c r="AS3" t="n">
        <v>735</v>
      </c>
      <c r="AT3" t="n">
        <v>8132.17</v>
      </c>
      <c r="AU3" t="n">
        <v>266.68</v>
      </c>
      <c r="AV3" t="n">
        <v>0.15</v>
      </c>
      <c r="AW3" t="n">
        <v>1200.068</v>
      </c>
      <c r="AX3" t="n">
        <v>2</v>
      </c>
      <c r="AY3" t="n">
        <v>0.5</v>
      </c>
      <c r="AZ3" t="n">
        <v>2</v>
      </c>
      <c r="BA3" t="n">
        <v>1792308489</v>
      </c>
      <c r="BB3" t="n">
        <v>400.0058</v>
      </c>
      <c r="BC3" t="n">
        <v>407.145</v>
      </c>
      <c r="BD3" t="n">
        <v>17.82766</v>
      </c>
      <c r="BE3" t="n">
        <v>16.4183</v>
      </c>
      <c r="BF3" t="n">
        <v>400.1728</v>
      </c>
      <c r="BG3" t="n">
        <v>17.9568</v>
      </c>
      <c r="BH3" t="n">
        <v>499.986</v>
      </c>
      <c r="BI3" t="n">
        <v>100.888</v>
      </c>
      <c r="BJ3" t="n">
        <v>0.09991034</v>
      </c>
      <c r="BK3" t="n">
        <v>25.54304</v>
      </c>
      <c r="BL3" t="n">
        <v>25.01272</v>
      </c>
      <c r="BM3" t="n">
        <v>999.9</v>
      </c>
      <c r="BN3" t="n">
        <v>10015.86</v>
      </c>
      <c r="BO3" t="n">
        <v>7.05843</v>
      </c>
      <c r="BP3" t="n">
        <v>1200.068</v>
      </c>
      <c r="BQ3" t="n">
        <v>0.9670104</v>
      </c>
      <c r="BR3" t="n">
        <v>0.03298956</v>
      </c>
      <c r="BS3" t="n">
        <v>206.944</v>
      </c>
      <c r="BT3" t="n">
        <v>4.99999</v>
      </c>
      <c r="BU3" t="n">
        <v>2535.452</v>
      </c>
      <c r="BV3" t="n">
        <v>11873.38</v>
      </c>
      <c r="BW3" t="n">
        <v>36.25</v>
      </c>
      <c r="BX3" t="n">
        <v>38.062</v>
      </c>
      <c r="BY3" t="n">
        <v>37</v>
      </c>
      <c r="BZ3" t="n">
        <v>37.5</v>
      </c>
      <c r="CA3" t="n">
        <v>38</v>
      </c>
      <c r="CB3" t="n">
        <v>1155.648</v>
      </c>
      <c r="CC3" t="n">
        <v>39.42</v>
      </c>
      <c r="CD3" t="n">
        <v>123.700000047684</v>
      </c>
      <c r="CE3" t="n">
        <v>206.734384615385</v>
      </c>
      <c r="CF3" t="n">
        <v>0.173538460958648</v>
      </c>
      <c r="CG3" t="n">
        <v>1.46529915362823</v>
      </c>
      <c r="CH3" t="n">
        <v>2535.31384615385</v>
      </c>
      <c r="CI3" t="n">
        <v>15</v>
      </c>
      <c r="CJ3" t="n">
        <v>1792308129</v>
      </c>
      <c r="CK3" t="n">
        <v>1792308126</v>
      </c>
      <c r="CL3" t="n">
        <v>1792308129</v>
      </c>
      <c r="CM3" t="n">
        <v>72</v>
      </c>
      <c r="CN3" t="n">
        <v>-0.706</v>
      </c>
      <c r="CO3" t="n">
        <v>0.004</v>
      </c>
      <c r="CP3" t="n">
        <v>-0.164</v>
      </c>
      <c r="CQ3" t="n">
        <v>-0.149</v>
      </c>
      <c r="CR3" t="n">
        <v>407</v>
      </c>
      <c r="CS3" t="n">
        <v>16</v>
      </c>
      <c r="CT3" t="n">
        <v>0.27</v>
      </c>
      <c r="CU3" t="n">
        <v>0.03</v>
      </c>
      <c r="CV3" t="n">
        <v>16.4605180803578</v>
      </c>
      <c r="CW3" t="n">
        <v>-0.153438184387502</v>
      </c>
      <c r="CX3" t="n">
        <v>0.0490577806922053</v>
      </c>
      <c r="CY3" t="n">
        <v>1</v>
      </c>
      <c r="CZ3" t="n">
        <v>-7.153717</v>
      </c>
      <c r="DA3" t="n">
        <v>0.058202706766914</v>
      </c>
      <c r="DB3" t="n">
        <v>0.0201028020683685</v>
      </c>
      <c r="DC3" t="n">
        <v>1</v>
      </c>
      <c r="DD3" t="n">
        <v>206.654588235294</v>
      </c>
      <c r="DE3" t="n">
        <v>0.564339185296026</v>
      </c>
      <c r="DF3" t="n">
        <v>0.382137803728003</v>
      </c>
      <c r="DG3" t="n">
        <v>1</v>
      </c>
      <c r="DH3" t="n">
        <v>3</v>
      </c>
      <c r="DI3" t="n">
        <v>3</v>
      </c>
      <c r="DJ3" t="n">
        <v>100</v>
      </c>
      <c r="DK3" t="n">
        <v>100</v>
      </c>
      <c r="DL3" t="n">
        <v>-0.167</v>
      </c>
      <c r="DM3" t="n">
        <v>-0.1292</v>
      </c>
      <c r="DN3" t="n">
        <v>-0.241997215624388</v>
      </c>
      <c r="DO3" t="n">
        <v>-6.16732984266029e-05</v>
      </c>
      <c r="DP3" t="n">
        <v>6.19398071816742e-07</v>
      </c>
      <c r="DQ3" t="n">
        <v>3.19222985850634e-12</v>
      </c>
      <c r="DR3" t="n">
        <v>-0.0544596368163862</v>
      </c>
      <c r="DS3" t="n">
        <v>-0.0257783215012692</v>
      </c>
      <c r="DT3" t="n">
        <v>0.00133723821780375</v>
      </c>
      <c r="DU3" t="n">
        <v>-7.42160749481374e-06</v>
      </c>
      <c r="DV3" t="n">
        <v>7</v>
      </c>
      <c r="DW3" t="n">
        <v>2154</v>
      </c>
      <c r="DX3" t="n">
        <v>2</v>
      </c>
      <c r="DY3" t="n">
        <v>20</v>
      </c>
      <c r="DZ3" t="n">
        <v>6.1</v>
      </c>
      <c r="EA3" t="n">
        <v>6</v>
      </c>
      <c r="EB3" t="n">
        <v>1.05225</v>
      </c>
      <c r="EC3" t="n">
        <v>2.63794</v>
      </c>
      <c r="ED3" t="n">
        <v>1.65161</v>
      </c>
      <c r="EE3" t="n">
        <v>2.27417</v>
      </c>
      <c r="EF3" t="n">
        <v>1.5979</v>
      </c>
      <c r="EG3" t="n">
        <v>2.6001</v>
      </c>
      <c r="EH3" t="n">
        <v>34.5549</v>
      </c>
      <c r="EI3" t="n">
        <v>15.2791</v>
      </c>
      <c r="EJ3" t="n">
        <v>18</v>
      </c>
      <c r="EK3" t="n">
        <v>504.218</v>
      </c>
      <c r="EL3" t="n">
        <v>531.659</v>
      </c>
      <c r="EM3" t="n">
        <v>22.6967</v>
      </c>
      <c r="EN3" t="n">
        <v>29.3848</v>
      </c>
      <c r="EO3" t="n">
        <v>30.0052</v>
      </c>
      <c r="EP3" t="n">
        <v>29.5519</v>
      </c>
      <c r="EQ3" t="n">
        <v>29.6095</v>
      </c>
      <c r="ER3" t="n">
        <v>21.0575</v>
      </c>
      <c r="ES3" t="n">
        <v>22.9166</v>
      </c>
      <c r="ET3" t="n">
        <v>20.3456</v>
      </c>
      <c r="EU3" t="n">
        <v>22.5469</v>
      </c>
      <c r="EV3" t="n">
        <v>407.102</v>
      </c>
      <c r="EW3" t="n">
        <v>16.406</v>
      </c>
      <c r="EX3" t="n">
        <v>98.02719999999999</v>
      </c>
      <c r="EY3" t="n">
        <v>94.5219</v>
      </c>
    </row>
    <row r="4">
      <c r="A4" t="n">
        <v>3</v>
      </c>
      <c r="B4" t="n">
        <v>1792308615</v>
      </c>
      <c r="C4" t="n">
        <v>248</v>
      </c>
      <c r="D4" t="n">
        <v>5</v>
      </c>
      <c r="E4" t="n">
        <v>1792308611.5</v>
      </c>
      <c r="F4" t="n">
        <v>0.003526816020822677</v>
      </c>
      <c r="G4" t="n">
        <v>3.526816020822677</v>
      </c>
      <c r="H4" t="n">
        <v>15.75650570374605</v>
      </c>
      <c r="I4" t="n">
        <v>400.0075</v>
      </c>
      <c r="J4" t="n">
        <v>292.682105807492</v>
      </c>
      <c r="K4" t="n">
        <v>0.02955708598016206</v>
      </c>
      <c r="L4" t="n">
        <v>0.04039555488911967</v>
      </c>
      <c r="M4" t="n">
        <v>0.2635505962105695</v>
      </c>
      <c r="N4" t="n">
        <v>3.028645576776099</v>
      </c>
      <c r="O4" t="n">
        <v>0.251440219019038</v>
      </c>
      <c r="P4" t="n">
        <v>0.1581918261851659</v>
      </c>
      <c r="Q4" t="n">
        <v>3.186350227203588</v>
      </c>
      <c r="R4" t="n">
        <v>54.58673896084633</v>
      </c>
      <c r="S4" t="n">
        <v>1.804864798452702</v>
      </c>
      <c r="T4" t="n">
        <v>3.306416233707028</v>
      </c>
      <c r="U4" t="n">
        <v>8136.3</v>
      </c>
      <c r="V4" t="n">
        <v>234.829807692308</v>
      </c>
      <c r="W4" t="n">
        <v>979.8417598451909</v>
      </c>
      <c r="X4" t="n">
        <v>-2.15676906838952</v>
      </c>
      <c r="Y4" t="n">
        <v>210.002961538462</v>
      </c>
      <c r="Z4" t="n">
        <v>323.546117978932</v>
      </c>
      <c r="AA4" t="n">
        <v>0.5</v>
      </c>
      <c r="AB4" t="n">
        <v>250</v>
      </c>
      <c r="AC4" t="n">
        <v>290</v>
      </c>
      <c r="AD4" t="n">
        <v>305.49</v>
      </c>
      <c r="AE4" t="n">
        <v>265</v>
      </c>
      <c r="AF4" t="n">
        <v>8137.05</v>
      </c>
      <c r="AG4" t="n">
        <v>304.56</v>
      </c>
      <c r="AH4" t="n">
        <v>0.93</v>
      </c>
      <c r="AI4" t="n">
        <v>300</v>
      </c>
      <c r="AJ4" t="n">
        <v>19.1</v>
      </c>
      <c r="AK4" t="n">
        <v>323.546117978932</v>
      </c>
      <c r="AL4" t="n">
        <v>2.8185704483932</v>
      </c>
      <c r="AM4" t="n">
        <v>-15.4521473055546</v>
      </c>
      <c r="AN4" t="n">
        <v>2.07990367547846</v>
      </c>
      <c r="AO4" t="n">
        <v>0.663436940765638</v>
      </c>
      <c r="AP4" t="n">
        <v>-0.00478570901001112</v>
      </c>
      <c r="AQ4" t="n">
        <v>290</v>
      </c>
      <c r="AR4" t="n">
        <v>303.58</v>
      </c>
      <c r="AS4" t="n">
        <v>735</v>
      </c>
      <c r="AT4" t="n">
        <v>8130.67</v>
      </c>
      <c r="AU4" t="n">
        <v>304.54</v>
      </c>
      <c r="AV4" t="n">
        <v>-0.96</v>
      </c>
      <c r="AW4" t="n">
        <v>899.974666666667</v>
      </c>
      <c r="AX4" t="n">
        <v>2</v>
      </c>
      <c r="AY4" t="n">
        <v>0.5</v>
      </c>
      <c r="AZ4" t="n">
        <v>2</v>
      </c>
      <c r="BA4" t="n">
        <v>1792308611.5</v>
      </c>
      <c r="BB4" t="n">
        <v>400.0075</v>
      </c>
      <c r="BC4" t="n">
        <v>406.874666666667</v>
      </c>
      <c r="BD4" t="n">
        <v>17.87225</v>
      </c>
      <c r="BE4" t="n">
        <v>16.4866833333333</v>
      </c>
      <c r="BF4" t="n">
        <v>400.175166666667</v>
      </c>
      <c r="BG4" t="n">
        <v>18.0007333333333</v>
      </c>
      <c r="BH4" t="n">
        <v>499.980833333333</v>
      </c>
      <c r="BI4" t="n">
        <v>100.887166666667</v>
      </c>
      <c r="BJ4" t="n">
        <v>0.09982705</v>
      </c>
      <c r="BK4" t="n">
        <v>25.6572</v>
      </c>
      <c r="BL4" t="n">
        <v>25.0351666666667</v>
      </c>
      <c r="BM4" t="n">
        <v>999.9</v>
      </c>
      <c r="BN4" t="n">
        <v>10017.5</v>
      </c>
      <c r="BO4" t="n">
        <v>7.05843</v>
      </c>
      <c r="BP4" t="n">
        <v>899.974666666667</v>
      </c>
      <c r="BQ4" t="n">
        <v>0.956007666666667</v>
      </c>
      <c r="BR4" t="n">
        <v>0.0439921333333333</v>
      </c>
      <c r="BS4" t="n">
        <v>209.967333333333</v>
      </c>
      <c r="BT4" t="n">
        <v>4.99999</v>
      </c>
      <c r="BU4" t="n">
        <v>1929.66333333333</v>
      </c>
      <c r="BV4" t="n">
        <v>8859.648333333331</v>
      </c>
      <c r="BW4" t="n">
        <v>36.3956666666667</v>
      </c>
      <c r="BX4" t="n">
        <v>39.0935</v>
      </c>
      <c r="BY4" t="n">
        <v>37.531</v>
      </c>
      <c r="BZ4" t="n">
        <v>38.781</v>
      </c>
      <c r="CA4" t="n">
        <v>38.708</v>
      </c>
      <c r="CB4" t="n">
        <v>855.601666666667</v>
      </c>
      <c r="CC4" t="n">
        <v>39.37</v>
      </c>
      <c r="CD4" t="n">
        <v>121.700000047684</v>
      </c>
      <c r="CE4" t="n">
        <v>210.002961538462</v>
      </c>
      <c r="CF4" t="n">
        <v>0.74902564236944</v>
      </c>
      <c r="CG4" t="n">
        <v>12.2724786379146</v>
      </c>
      <c r="CH4" t="n">
        <v>1928.83807692308</v>
      </c>
      <c r="CI4" t="n">
        <v>15</v>
      </c>
      <c r="CJ4" t="n">
        <v>1792308129</v>
      </c>
      <c r="CK4" t="n">
        <v>1792308126</v>
      </c>
      <c r="CL4" t="n">
        <v>1792308129</v>
      </c>
      <c r="CM4" t="n">
        <v>72</v>
      </c>
      <c r="CN4" t="n">
        <v>-0.706</v>
      </c>
      <c r="CO4" t="n">
        <v>0.004</v>
      </c>
      <c r="CP4" t="n">
        <v>-0.164</v>
      </c>
      <c r="CQ4" t="n">
        <v>-0.149</v>
      </c>
      <c r="CR4" t="n">
        <v>407</v>
      </c>
      <c r="CS4" t="n">
        <v>16</v>
      </c>
      <c r="CT4" t="n">
        <v>0.27</v>
      </c>
      <c r="CU4" t="n">
        <v>0.03</v>
      </c>
      <c r="CV4" t="n">
        <v>15.6559458372762</v>
      </c>
      <c r="CW4" t="n">
        <v>0.17070606342324</v>
      </c>
      <c r="CX4" t="n">
        <v>0.0809294652748058</v>
      </c>
      <c r="CY4" t="n">
        <v>1</v>
      </c>
      <c r="CZ4" t="n">
        <v>-6.834123</v>
      </c>
      <c r="DA4" t="n">
        <v>-0.0585690225563894</v>
      </c>
      <c r="DB4" t="n">
        <v>0.0321192425346551</v>
      </c>
      <c r="DC4" t="n">
        <v>1</v>
      </c>
      <c r="DD4" t="n">
        <v>209.992117647059</v>
      </c>
      <c r="DE4" t="n">
        <v>0.468235291523865</v>
      </c>
      <c r="DF4" t="n">
        <v>0.298916648298078</v>
      </c>
      <c r="DG4" t="n">
        <v>1</v>
      </c>
      <c r="DH4" t="n">
        <v>3</v>
      </c>
      <c r="DI4" t="n">
        <v>3</v>
      </c>
      <c r="DJ4" t="n">
        <v>100</v>
      </c>
      <c r="DK4" t="n">
        <v>100</v>
      </c>
      <c r="DL4" t="n">
        <v>-0.167</v>
      </c>
      <c r="DM4" t="n">
        <v>-0.1287</v>
      </c>
      <c r="DN4" t="n">
        <v>-0.241997215624388</v>
      </c>
      <c r="DO4" t="n">
        <v>-6.16732984266029e-05</v>
      </c>
      <c r="DP4" t="n">
        <v>6.19398071816742e-07</v>
      </c>
      <c r="DQ4" t="n">
        <v>3.19222985850634e-12</v>
      </c>
      <c r="DR4" t="n">
        <v>-0.0544596368163862</v>
      </c>
      <c r="DS4" t="n">
        <v>-0.0257783215012692</v>
      </c>
      <c r="DT4" t="n">
        <v>0.00133723821780375</v>
      </c>
      <c r="DU4" t="n">
        <v>-7.42160749481374e-06</v>
      </c>
      <c r="DV4" t="n">
        <v>7</v>
      </c>
      <c r="DW4" t="n">
        <v>2154</v>
      </c>
      <c r="DX4" t="n">
        <v>2</v>
      </c>
      <c r="DY4" t="n">
        <v>20</v>
      </c>
      <c r="DZ4" t="n">
        <v>8.199999999999999</v>
      </c>
      <c r="EA4" t="n">
        <v>8.1</v>
      </c>
      <c r="EB4" t="n">
        <v>1.05225</v>
      </c>
      <c r="EC4" t="n">
        <v>2.65015</v>
      </c>
      <c r="ED4" t="n">
        <v>1.65161</v>
      </c>
      <c r="EE4" t="n">
        <v>2.27295</v>
      </c>
      <c r="EF4" t="n">
        <v>1.5979</v>
      </c>
      <c r="EG4" t="n">
        <v>2.65381</v>
      </c>
      <c r="EH4" t="n">
        <v>34.5321</v>
      </c>
      <c r="EI4" t="n">
        <v>15.2878</v>
      </c>
      <c r="EJ4" t="n">
        <v>18</v>
      </c>
      <c r="EK4" t="n">
        <v>504.151</v>
      </c>
      <c r="EL4" t="n">
        <v>532.237</v>
      </c>
      <c r="EM4" t="n">
        <v>23.0777</v>
      </c>
      <c r="EN4" t="n">
        <v>29.3873</v>
      </c>
      <c r="EO4" t="n">
        <v>30.0004</v>
      </c>
      <c r="EP4" t="n">
        <v>29.5569</v>
      </c>
      <c r="EQ4" t="n">
        <v>29.6171</v>
      </c>
      <c r="ER4" t="n">
        <v>21.0463</v>
      </c>
      <c r="ES4" t="n">
        <v>22.3333</v>
      </c>
      <c r="ET4" t="n">
        <v>20.3456</v>
      </c>
      <c r="EU4" t="n">
        <v>23.0706</v>
      </c>
      <c r="EV4" t="n">
        <v>406.804</v>
      </c>
      <c r="EW4" t="n">
        <v>16.5983</v>
      </c>
      <c r="EX4" t="n">
        <v>98.024</v>
      </c>
      <c r="EY4" t="n">
        <v>94.52030000000001</v>
      </c>
    </row>
    <row r="5">
      <c r="A5" t="n">
        <v>4</v>
      </c>
      <c r="B5" t="n">
        <v>1792308798</v>
      </c>
      <c r="C5" t="n">
        <v>431</v>
      </c>
      <c r="D5" t="n">
        <v>5</v>
      </c>
      <c r="E5" t="n">
        <v>1792308794.5</v>
      </c>
      <c r="F5" t="n">
        <v>0.003366418195499195</v>
      </c>
      <c r="G5" t="n">
        <v>3.366418195499195</v>
      </c>
      <c r="H5" t="n">
        <v>14.66124420673186</v>
      </c>
      <c r="I5" t="n">
        <v>399.991333333333</v>
      </c>
      <c r="J5" t="n">
        <v>297.0706919532425</v>
      </c>
      <c r="K5" t="n">
        <v>0.03000186797479537</v>
      </c>
      <c r="L5" t="n">
        <v>0.04039606564628005</v>
      </c>
      <c r="M5" t="n">
        <v>0.2560463043465118</v>
      </c>
      <c r="N5" t="n">
        <v>3.024250706970496</v>
      </c>
      <c r="O5" t="n">
        <v>0.2445838352824451</v>
      </c>
      <c r="P5" t="n">
        <v>0.1538519886493159</v>
      </c>
      <c r="Q5" t="n">
        <v>3.183765106493107</v>
      </c>
      <c r="R5" t="n">
        <v>54.93184061847126</v>
      </c>
      <c r="S5" t="n">
        <v>1.828212374003161</v>
      </c>
      <c r="T5" t="n">
        <v>3.328146942500977</v>
      </c>
      <c r="U5" t="n">
        <v>8136.3</v>
      </c>
      <c r="V5" t="n">
        <v>234.829807692308</v>
      </c>
      <c r="W5" t="n">
        <v>979.8417598451909</v>
      </c>
      <c r="X5" t="n">
        <v>-2.15676906838952</v>
      </c>
      <c r="Y5" t="n">
        <v>224.742192307692</v>
      </c>
      <c r="Z5" t="n">
        <v>438.115506834756</v>
      </c>
      <c r="AA5" t="n">
        <v>0.5</v>
      </c>
      <c r="AB5" t="n">
        <v>251</v>
      </c>
      <c r="AC5" t="n">
        <v>290</v>
      </c>
      <c r="AD5" t="n">
        <v>405.69</v>
      </c>
      <c r="AE5" t="n">
        <v>225</v>
      </c>
      <c r="AF5" t="n">
        <v>8141.16</v>
      </c>
      <c r="AG5" t="n">
        <v>405.23</v>
      </c>
      <c r="AH5" t="n">
        <v>0.46</v>
      </c>
      <c r="AI5" t="n">
        <v>300</v>
      </c>
      <c r="AJ5" t="n">
        <v>19.1</v>
      </c>
      <c r="AK5" t="n">
        <v>438.115506834756</v>
      </c>
      <c r="AL5" t="n">
        <v>2.51103995397679</v>
      </c>
      <c r="AM5" t="n">
        <v>-26.7730295521949</v>
      </c>
      <c r="AN5" t="n">
        <v>1.84518156337924</v>
      </c>
      <c r="AO5" t="n">
        <v>0.882615021596993</v>
      </c>
      <c r="AP5" t="n">
        <v>-0.00498729922135708</v>
      </c>
      <c r="AQ5" t="n">
        <v>290</v>
      </c>
      <c r="AR5" t="n">
        <v>401.76</v>
      </c>
      <c r="AS5" t="n">
        <v>645</v>
      </c>
      <c r="AT5" t="n">
        <v>8134.58</v>
      </c>
      <c r="AU5" t="n">
        <v>405.2</v>
      </c>
      <c r="AV5" t="n">
        <v>-3.44</v>
      </c>
      <c r="AW5" t="n">
        <v>600.0325</v>
      </c>
      <c r="AX5" t="n">
        <v>2</v>
      </c>
      <c r="AY5" t="n">
        <v>0.5</v>
      </c>
      <c r="AZ5" t="n">
        <v>2</v>
      </c>
      <c r="BA5" t="n">
        <v>1792308794.5</v>
      </c>
      <c r="BB5" t="n">
        <v>399.991333333333</v>
      </c>
      <c r="BC5" t="n">
        <v>406.394166666667</v>
      </c>
      <c r="BD5" t="n">
        <v>18.1024833333333</v>
      </c>
      <c r="BE5" t="n">
        <v>16.78035</v>
      </c>
      <c r="BF5" t="n">
        <v>400.158666666667</v>
      </c>
      <c r="BG5" t="n">
        <v>18.2274833333333</v>
      </c>
      <c r="BH5" t="n">
        <v>500.021833333333</v>
      </c>
      <c r="BI5" t="n">
        <v>100.892333333333</v>
      </c>
      <c r="BJ5" t="n">
        <v>0.10001895</v>
      </c>
      <c r="BK5" t="n">
        <v>25.7676666666667</v>
      </c>
      <c r="BL5" t="n">
        <v>25.02155</v>
      </c>
      <c r="BM5" t="n">
        <v>999.9</v>
      </c>
      <c r="BN5" t="n">
        <v>9990.41333333333</v>
      </c>
      <c r="BO5" t="n">
        <v>7.05843</v>
      </c>
      <c r="BP5" t="n">
        <v>600.0325</v>
      </c>
      <c r="BQ5" t="n">
        <v>0.933006333333333</v>
      </c>
      <c r="BR5" t="n">
        <v>0.0669939333333333</v>
      </c>
      <c r="BS5" t="n">
        <v>225.102333333333</v>
      </c>
      <c r="BT5" t="n">
        <v>4.99999</v>
      </c>
      <c r="BU5" t="n">
        <v>1373.26</v>
      </c>
      <c r="BV5" t="n">
        <v>5845.66333333333</v>
      </c>
      <c r="BW5" t="n">
        <v>37.0413333333333</v>
      </c>
      <c r="BX5" t="n">
        <v>39.6766666666667</v>
      </c>
      <c r="BY5" t="n">
        <v>38.4163333333333</v>
      </c>
      <c r="BZ5" t="n">
        <v>39.6143333333333</v>
      </c>
      <c r="CA5" t="n">
        <v>39.156</v>
      </c>
      <c r="CB5" t="n">
        <v>555.17</v>
      </c>
      <c r="CC5" t="n">
        <v>39.86</v>
      </c>
      <c r="CD5" t="n">
        <v>182.100000143051</v>
      </c>
      <c r="CE5" t="n">
        <v>224.742192307692</v>
      </c>
      <c r="CF5" t="n">
        <v>3.55039314931561</v>
      </c>
      <c r="CG5" t="n">
        <v>9.063931615969141</v>
      </c>
      <c r="CH5" t="n">
        <v>1372.78153846154</v>
      </c>
      <c r="CI5" t="n">
        <v>15</v>
      </c>
      <c r="CJ5" t="n">
        <v>1792308129</v>
      </c>
      <c r="CK5" t="n">
        <v>1792308126</v>
      </c>
      <c r="CL5" t="n">
        <v>1792308129</v>
      </c>
      <c r="CM5" t="n">
        <v>72</v>
      </c>
      <c r="CN5" t="n">
        <v>-0.706</v>
      </c>
      <c r="CO5" t="n">
        <v>0.004</v>
      </c>
      <c r="CP5" t="n">
        <v>-0.164</v>
      </c>
      <c r="CQ5" t="n">
        <v>-0.149</v>
      </c>
      <c r="CR5" t="n">
        <v>407</v>
      </c>
      <c r="CS5" t="n">
        <v>16</v>
      </c>
      <c r="CT5" t="n">
        <v>0.27</v>
      </c>
      <c r="CU5" t="n">
        <v>0.03</v>
      </c>
      <c r="CV5" t="n">
        <v>14.6367789844201</v>
      </c>
      <c r="CW5" t="n">
        <v>0.467366556632372</v>
      </c>
      <c r="CX5" t="n">
        <v>0.0785784918122148</v>
      </c>
      <c r="CY5" t="n">
        <v>1</v>
      </c>
      <c r="CZ5" t="n">
        <v>-6.39259476190476</v>
      </c>
      <c r="DA5" t="n">
        <v>-0.190824155844151</v>
      </c>
      <c r="DB5" t="n">
        <v>0.0316863620384074</v>
      </c>
      <c r="DC5" t="n">
        <v>1</v>
      </c>
      <c r="DD5" t="n">
        <v>224.581705882353</v>
      </c>
      <c r="DE5" t="n">
        <v>3.00381970568491</v>
      </c>
      <c r="DF5" t="n">
        <v>0.408853240562355</v>
      </c>
      <c r="DG5" t="n">
        <v>0</v>
      </c>
      <c r="DH5" t="n">
        <v>2</v>
      </c>
      <c r="DI5" t="n">
        <v>3</v>
      </c>
      <c r="DJ5" t="n">
        <v>100</v>
      </c>
      <c r="DK5" t="n">
        <v>100</v>
      </c>
      <c r="DL5" t="n">
        <v>-0.168</v>
      </c>
      <c r="DM5" t="n">
        <v>-0.1249</v>
      </c>
      <c r="DN5" t="n">
        <v>-0.241997215624388</v>
      </c>
      <c r="DO5" t="n">
        <v>-6.16732984266029e-05</v>
      </c>
      <c r="DP5" t="n">
        <v>6.19398071816742e-07</v>
      </c>
      <c r="DQ5" t="n">
        <v>3.19222985850634e-12</v>
      </c>
      <c r="DR5" t="n">
        <v>-0.0544596368163862</v>
      </c>
      <c r="DS5" t="n">
        <v>-0.0257783215012692</v>
      </c>
      <c r="DT5" t="n">
        <v>0.00133723821780375</v>
      </c>
      <c r="DU5" t="n">
        <v>-7.42160749481374e-06</v>
      </c>
      <c r="DV5" t="n">
        <v>7</v>
      </c>
      <c r="DW5" t="n">
        <v>2154</v>
      </c>
      <c r="DX5" t="n">
        <v>2</v>
      </c>
      <c r="DY5" t="n">
        <v>20</v>
      </c>
      <c r="DZ5" t="n">
        <v>11.2</v>
      </c>
      <c r="EA5" t="n">
        <v>11.2</v>
      </c>
      <c r="EB5" t="n">
        <v>1.05103</v>
      </c>
      <c r="EC5" t="n">
        <v>2.64771</v>
      </c>
      <c r="ED5" t="n">
        <v>1.65161</v>
      </c>
      <c r="EE5" t="n">
        <v>2.27295</v>
      </c>
      <c r="EF5" t="n">
        <v>1.5979</v>
      </c>
      <c r="EG5" t="n">
        <v>2.50977</v>
      </c>
      <c r="EH5" t="n">
        <v>34.5092</v>
      </c>
      <c r="EI5" t="n">
        <v>15.2615</v>
      </c>
      <c r="EJ5" t="n">
        <v>18</v>
      </c>
      <c r="EK5" t="n">
        <v>504.436</v>
      </c>
      <c r="EL5" t="n">
        <v>532.538</v>
      </c>
      <c r="EM5" t="n">
        <v>23.2448</v>
      </c>
      <c r="EN5" t="n">
        <v>29.405</v>
      </c>
      <c r="EO5" t="n">
        <v>30.0003</v>
      </c>
      <c r="EP5" t="n">
        <v>29.5696</v>
      </c>
      <c r="EQ5" t="n">
        <v>29.6292</v>
      </c>
      <c r="ER5" t="n">
        <v>21.0279</v>
      </c>
      <c r="ES5" t="n">
        <v>22.0366</v>
      </c>
      <c r="ET5" t="n">
        <v>21.8444</v>
      </c>
      <c r="EU5" t="n">
        <v>23.2282</v>
      </c>
      <c r="EV5" t="n">
        <v>406.356</v>
      </c>
      <c r="EW5" t="n">
        <v>16.7354</v>
      </c>
      <c r="EX5" t="n">
        <v>98.0248</v>
      </c>
      <c r="EY5" t="n">
        <v>94.5162</v>
      </c>
    </row>
    <row r="6">
      <c r="A6" t="n">
        <v>5</v>
      </c>
      <c r="B6" t="n">
        <v>1792308981</v>
      </c>
      <c r="C6" t="n">
        <v>614</v>
      </c>
      <c r="D6" t="n">
        <v>5</v>
      </c>
      <c r="E6" t="n">
        <v>1792308977.5</v>
      </c>
      <c r="F6" t="n">
        <v>0.003306786812917869</v>
      </c>
      <c r="G6" t="n">
        <v>3.306786812917869</v>
      </c>
      <c r="H6" t="n">
        <v>12.41460786414786</v>
      </c>
      <c r="I6" t="n">
        <v>399.973333333333</v>
      </c>
      <c r="J6" t="n">
        <v>310.7684727851347</v>
      </c>
      <c r="K6" t="n">
        <v>0.03138347706108555</v>
      </c>
      <c r="L6" t="n">
        <v>0.04039197998180277</v>
      </c>
      <c r="M6" t="n">
        <v>0.2534353836991731</v>
      </c>
      <c r="N6" t="n">
        <v>3.024330824948996</v>
      </c>
      <c r="O6" t="n">
        <v>0.2422002603996787</v>
      </c>
      <c r="P6" t="n">
        <v>0.152343085304597</v>
      </c>
      <c r="Q6" t="n">
        <v>3.177428727326498</v>
      </c>
      <c r="R6" t="n">
        <v>55.20535583160241</v>
      </c>
      <c r="S6" t="n">
        <v>1.832849376661943</v>
      </c>
      <c r="T6" t="n">
        <v>3.320057173896024</v>
      </c>
      <c r="U6" t="n">
        <v>8136.3</v>
      </c>
      <c r="V6" t="n">
        <v>234.829807692308</v>
      </c>
      <c r="W6" t="n">
        <v>979.8417598451909</v>
      </c>
      <c r="X6" t="n">
        <v>-2.15676906838952</v>
      </c>
      <c r="Y6" t="n">
        <v>237.87732</v>
      </c>
      <c r="Z6" t="n">
        <v>570.780081709226</v>
      </c>
      <c r="AA6" t="n">
        <v>0.5</v>
      </c>
      <c r="AB6" t="n">
        <v>252</v>
      </c>
      <c r="AC6" t="n">
        <v>290</v>
      </c>
      <c r="AD6" t="n">
        <v>532.49</v>
      </c>
      <c r="AE6" t="n">
        <v>295</v>
      </c>
      <c r="AF6" t="n">
        <v>8145.04</v>
      </c>
      <c r="AG6" t="n">
        <v>532.22</v>
      </c>
      <c r="AH6" t="n">
        <v>0.27</v>
      </c>
      <c r="AI6" t="n">
        <v>300</v>
      </c>
      <c r="AJ6" t="n">
        <v>19.1</v>
      </c>
      <c r="AK6" t="n">
        <v>570.780081709226</v>
      </c>
      <c r="AL6" t="n">
        <v>2.12756532822212</v>
      </c>
      <c r="AM6" t="n">
        <v>-31.4064089778377</v>
      </c>
      <c r="AN6" t="n">
        <v>1.55980940308194</v>
      </c>
      <c r="AO6" t="n">
        <v>0.9353959115241079</v>
      </c>
      <c r="AP6" t="n">
        <v>-0.00512477174638487</v>
      </c>
      <c r="AQ6" t="n">
        <v>290</v>
      </c>
      <c r="AR6" t="n">
        <v>530.1900000000001</v>
      </c>
      <c r="AS6" t="n">
        <v>615</v>
      </c>
      <c r="AT6" t="n">
        <v>8141.52</v>
      </c>
      <c r="AU6" t="n">
        <v>532.2</v>
      </c>
      <c r="AV6" t="n">
        <v>-2.01</v>
      </c>
      <c r="AW6" t="n">
        <v>399.956833333333</v>
      </c>
      <c r="AX6" t="n">
        <v>2</v>
      </c>
      <c r="AY6" t="n">
        <v>0.5</v>
      </c>
      <c r="AZ6" t="n">
        <v>2</v>
      </c>
      <c r="BA6" t="n">
        <v>1792308977.5</v>
      </c>
      <c r="BB6" t="n">
        <v>399.973333333333</v>
      </c>
      <c r="BC6" t="n">
        <v>405.468333333333</v>
      </c>
      <c r="BD6" t="n">
        <v>18.1494166666667</v>
      </c>
      <c r="BE6" t="n">
        <v>16.8506833333333</v>
      </c>
      <c r="BF6" t="n">
        <v>400.140666666667</v>
      </c>
      <c r="BG6" t="n">
        <v>18.2737166666667</v>
      </c>
      <c r="BH6" t="n">
        <v>499.990333333333</v>
      </c>
      <c r="BI6" t="n">
        <v>100.886666666667</v>
      </c>
      <c r="BJ6" t="n">
        <v>0.100015733333333</v>
      </c>
      <c r="BK6" t="n">
        <v>25.7266166666667</v>
      </c>
      <c r="BL6" t="n">
        <v>24.9881333333333</v>
      </c>
      <c r="BM6" t="n">
        <v>999.9</v>
      </c>
      <c r="BN6" t="n">
        <v>9991.45833333333</v>
      </c>
      <c r="BO6" t="n">
        <v>7.10360666666667</v>
      </c>
      <c r="BP6" t="n">
        <v>399.956833333333</v>
      </c>
      <c r="BQ6" t="n">
        <v>0.900019166666667</v>
      </c>
      <c r="BR6" t="n">
        <v>0.09998068333333331</v>
      </c>
      <c r="BS6" t="n">
        <v>238.084833333333</v>
      </c>
      <c r="BT6" t="n">
        <v>4.99999</v>
      </c>
      <c r="BU6" t="n">
        <v>951.0105</v>
      </c>
      <c r="BV6" t="n">
        <v>3837.48666666667</v>
      </c>
      <c r="BW6" t="n">
        <v>35.5</v>
      </c>
      <c r="BX6" t="n">
        <v>38.3016666666667</v>
      </c>
      <c r="BY6" t="n">
        <v>36.9895</v>
      </c>
      <c r="BZ6" t="n">
        <v>37.812</v>
      </c>
      <c r="CA6" t="n">
        <v>37.7185</v>
      </c>
      <c r="CB6" t="n">
        <v>355.466666666667</v>
      </c>
      <c r="CC6" t="n">
        <v>39.485</v>
      </c>
      <c r="CD6" t="n">
        <v>181.900000095367</v>
      </c>
      <c r="CE6" t="n">
        <v>237.87732</v>
      </c>
      <c r="CF6" t="n">
        <v>2.78169231960244</v>
      </c>
      <c r="CG6" t="n">
        <v>9.180384579370729</v>
      </c>
      <c r="CH6" t="n">
        <v>950.39716</v>
      </c>
      <c r="CI6" t="n">
        <v>15</v>
      </c>
      <c r="CJ6" t="n">
        <v>1792308129</v>
      </c>
      <c r="CK6" t="n">
        <v>1792308126</v>
      </c>
      <c r="CL6" t="n">
        <v>1792308129</v>
      </c>
      <c r="CM6" t="n">
        <v>72</v>
      </c>
      <c r="CN6" t="n">
        <v>-0.706</v>
      </c>
      <c r="CO6" t="n">
        <v>0.004</v>
      </c>
      <c r="CP6" t="n">
        <v>-0.164</v>
      </c>
      <c r="CQ6" t="n">
        <v>-0.149</v>
      </c>
      <c r="CR6" t="n">
        <v>407</v>
      </c>
      <c r="CS6" t="n">
        <v>16</v>
      </c>
      <c r="CT6" t="n">
        <v>0.27</v>
      </c>
      <c r="CU6" t="n">
        <v>0.03</v>
      </c>
      <c r="CV6" t="n">
        <v>12.3568376830417</v>
      </c>
      <c r="CW6" t="n">
        <v>0.633235100058547</v>
      </c>
      <c r="CX6" t="n">
        <v>0.07563280752284759</v>
      </c>
      <c r="CY6" t="n">
        <v>0</v>
      </c>
      <c r="CZ6" t="n">
        <v>-5.46972476190476</v>
      </c>
      <c r="DA6" t="n">
        <v>-0.229678441558439</v>
      </c>
      <c r="DB6" t="n">
        <v>0.0307578910694239</v>
      </c>
      <c r="DC6" t="n">
        <v>1</v>
      </c>
      <c r="DD6" t="n">
        <v>237.644911764706</v>
      </c>
      <c r="DE6" t="n">
        <v>3.42045837538837</v>
      </c>
      <c r="DF6" t="n">
        <v>0.462549289433798</v>
      </c>
      <c r="DG6" t="n">
        <v>0</v>
      </c>
      <c r="DH6" t="n">
        <v>1</v>
      </c>
      <c r="DI6" t="n">
        <v>3</v>
      </c>
      <c r="DJ6" t="n">
        <v>100</v>
      </c>
      <c r="DK6" t="n">
        <v>100</v>
      </c>
      <c r="DL6" t="n">
        <v>-0.167</v>
      </c>
      <c r="DM6" t="n">
        <v>-0.1242</v>
      </c>
      <c r="DN6" t="n">
        <v>-0.241997215624388</v>
      </c>
      <c r="DO6" t="n">
        <v>-6.16732984266029e-05</v>
      </c>
      <c r="DP6" t="n">
        <v>6.19398071816742e-07</v>
      </c>
      <c r="DQ6" t="n">
        <v>3.19222985850634e-12</v>
      </c>
      <c r="DR6" t="n">
        <v>-0.0544596368163862</v>
      </c>
      <c r="DS6" t="n">
        <v>-0.0257783215012692</v>
      </c>
      <c r="DT6" t="n">
        <v>0.00133723821780375</v>
      </c>
      <c r="DU6" t="n">
        <v>-7.42160749481374e-06</v>
      </c>
      <c r="DV6" t="n">
        <v>7</v>
      </c>
      <c r="DW6" t="n">
        <v>2154</v>
      </c>
      <c r="DX6" t="n">
        <v>2</v>
      </c>
      <c r="DY6" t="n">
        <v>20</v>
      </c>
      <c r="DZ6" t="n">
        <v>14.2</v>
      </c>
      <c r="EA6" t="n">
        <v>14.2</v>
      </c>
      <c r="EB6" t="n">
        <v>1.0498</v>
      </c>
      <c r="EC6" t="n">
        <v>2.64282</v>
      </c>
      <c r="ED6" t="n">
        <v>1.65161</v>
      </c>
      <c r="EE6" t="n">
        <v>2.27295</v>
      </c>
      <c r="EF6" t="n">
        <v>1.5979</v>
      </c>
      <c r="EG6" t="n">
        <v>2.66357</v>
      </c>
      <c r="EH6" t="n">
        <v>34.4636</v>
      </c>
      <c r="EI6" t="n">
        <v>15.244</v>
      </c>
      <c r="EJ6" t="n">
        <v>18</v>
      </c>
      <c r="EK6" t="n">
        <v>504.394</v>
      </c>
      <c r="EL6" t="n">
        <v>532.874</v>
      </c>
      <c r="EM6" t="n">
        <v>23.5468</v>
      </c>
      <c r="EN6" t="n">
        <v>29.4278</v>
      </c>
      <c r="EO6" t="n">
        <v>30.0001</v>
      </c>
      <c r="EP6" t="n">
        <v>29.5873</v>
      </c>
      <c r="EQ6" t="n">
        <v>29.645</v>
      </c>
      <c r="ER6" t="n">
        <v>20.999</v>
      </c>
      <c r="ES6" t="n">
        <v>22.5833</v>
      </c>
      <c r="ET6" t="n">
        <v>23.3743</v>
      </c>
      <c r="EU6" t="n">
        <v>23.5462</v>
      </c>
      <c r="EV6" t="n">
        <v>405.459</v>
      </c>
      <c r="EW6" t="n">
        <v>16.8249</v>
      </c>
      <c r="EX6" t="n">
        <v>98.021</v>
      </c>
      <c r="EY6" t="n">
        <v>94.5124</v>
      </c>
    </row>
    <row r="7">
      <c r="A7" t="n">
        <v>6</v>
      </c>
      <c r="B7" t="n">
        <v>1792309164</v>
      </c>
      <c r="C7" t="n">
        <v>797</v>
      </c>
      <c r="D7" t="n">
        <v>5</v>
      </c>
      <c r="E7" t="n">
        <v>1792309161</v>
      </c>
      <c r="F7" t="n">
        <v>0.003259536170088391</v>
      </c>
      <c r="G7" t="n">
        <v>3.259536170088391</v>
      </c>
      <c r="H7" t="n">
        <v>7.603094310779908</v>
      </c>
      <c r="I7" t="n">
        <v>399.9664</v>
      </c>
      <c r="J7" t="n">
        <v>340.8295130273282</v>
      </c>
      <c r="K7" t="n">
        <v>0.03441686884095209</v>
      </c>
      <c r="L7" t="n">
        <v>0.0403884951374033</v>
      </c>
      <c r="M7" t="n">
        <v>0.2476185569088512</v>
      </c>
      <c r="N7" t="n">
        <v>3.027966418383973</v>
      </c>
      <c r="O7" t="n">
        <v>0.2368937979751153</v>
      </c>
      <c r="P7" t="n">
        <v>0.1489834906499978</v>
      </c>
      <c r="Q7" t="n">
        <v>3.179055855183321</v>
      </c>
      <c r="R7" t="n">
        <v>54.82152811142583</v>
      </c>
      <c r="S7" t="n">
        <v>1.82404717474889</v>
      </c>
      <c r="T7" t="n">
        <v>3.32724613411264</v>
      </c>
      <c r="U7" t="n">
        <v>8136.3</v>
      </c>
      <c r="V7" t="n">
        <v>234.829807692308</v>
      </c>
      <c r="W7" t="n">
        <v>979.8417598451909</v>
      </c>
      <c r="X7" t="n">
        <v>-2.15676906838952</v>
      </c>
      <c r="Y7" t="n">
        <v>219.264961538462</v>
      </c>
      <c r="Z7" t="n">
        <v>640.837782873464</v>
      </c>
      <c r="AA7" t="n">
        <v>0.5</v>
      </c>
      <c r="AB7" t="n">
        <v>253</v>
      </c>
      <c r="AC7" t="n">
        <v>290</v>
      </c>
      <c r="AD7" t="n">
        <v>612.79</v>
      </c>
      <c r="AE7" t="n">
        <v>265</v>
      </c>
      <c r="AF7" t="n">
        <v>8123.55</v>
      </c>
      <c r="AG7" t="n">
        <v>612.88</v>
      </c>
      <c r="AH7" t="n">
        <v>-0.09</v>
      </c>
      <c r="AI7" t="n">
        <v>300</v>
      </c>
      <c r="AJ7" t="n">
        <v>19.1</v>
      </c>
      <c r="AK7" t="n">
        <v>640.837782873464</v>
      </c>
      <c r="AL7" t="n">
        <v>2.64893331019205</v>
      </c>
      <c r="AM7" t="n">
        <v>-22.7148009695589</v>
      </c>
      <c r="AN7" t="n">
        <v>1.93081200262965</v>
      </c>
      <c r="AO7" t="n">
        <v>0.831731349848494</v>
      </c>
      <c r="AP7" t="n">
        <v>-0.00524467697441602</v>
      </c>
      <c r="AQ7" t="n">
        <v>290</v>
      </c>
      <c r="AR7" t="n">
        <v>611.96</v>
      </c>
      <c r="AS7" t="n">
        <v>685</v>
      </c>
      <c r="AT7" t="n">
        <v>8117.7</v>
      </c>
      <c r="AU7" t="n">
        <v>612.86</v>
      </c>
      <c r="AV7" t="n">
        <v>-0.9</v>
      </c>
      <c r="AW7" t="n">
        <v>200.0134</v>
      </c>
      <c r="AX7" t="n">
        <v>2</v>
      </c>
      <c r="AY7" t="n">
        <v>0.5</v>
      </c>
      <c r="AZ7" t="n">
        <v>2</v>
      </c>
      <c r="BA7" t="n">
        <v>1792309161</v>
      </c>
      <c r="BB7" t="n">
        <v>399.9664</v>
      </c>
      <c r="BC7" t="n">
        <v>403.529</v>
      </c>
      <c r="BD7" t="n">
        <v>18.0635</v>
      </c>
      <c r="BE7" t="n">
        <v>16.78328</v>
      </c>
      <c r="BF7" t="n">
        <v>400.1404</v>
      </c>
      <c r="BG7" t="n">
        <v>18.19204</v>
      </c>
      <c r="BH7" t="n">
        <v>500.0168</v>
      </c>
      <c r="BI7" t="n">
        <v>100.8798</v>
      </c>
      <c r="BJ7" t="n">
        <v>0.09992014</v>
      </c>
      <c r="BK7" t="n">
        <v>25.7631</v>
      </c>
      <c r="BL7" t="n">
        <v>24.99672</v>
      </c>
      <c r="BM7" t="n">
        <v>999.9</v>
      </c>
      <c r="BN7" t="n">
        <v>10014.12</v>
      </c>
      <c r="BO7" t="n">
        <v>7.05843</v>
      </c>
      <c r="BP7" t="n">
        <v>200.0134</v>
      </c>
      <c r="BQ7" t="n">
        <v>0.9000707999999999</v>
      </c>
      <c r="BR7" t="n">
        <v>0.09992888</v>
      </c>
      <c r="BS7" t="n">
        <v>219.359</v>
      </c>
      <c r="BT7" t="n">
        <v>4.99999</v>
      </c>
      <c r="BU7" t="n">
        <v>440.0284</v>
      </c>
      <c r="BV7" t="n">
        <v>1894.826</v>
      </c>
      <c r="BW7" t="n">
        <v>35.9122</v>
      </c>
      <c r="BX7" t="n">
        <v>40.625</v>
      </c>
      <c r="BY7" t="n">
        <v>38.0496</v>
      </c>
      <c r="BZ7" t="n">
        <v>41.1122</v>
      </c>
      <c r="CA7" t="n">
        <v>39.0248</v>
      </c>
      <c r="CB7" t="n">
        <v>175.524</v>
      </c>
      <c r="CC7" t="n">
        <v>19.49</v>
      </c>
      <c r="CD7" t="n">
        <v>181.700000047684</v>
      </c>
      <c r="CE7" t="n">
        <v>219.264961538462</v>
      </c>
      <c r="CF7" t="n">
        <v>-2.35333337893834</v>
      </c>
      <c r="CG7" t="n">
        <v>-1.28741879093486</v>
      </c>
      <c r="CH7" t="n">
        <v>440.1195</v>
      </c>
      <c r="CI7" t="n">
        <v>15</v>
      </c>
      <c r="CJ7" t="n">
        <v>1792309051</v>
      </c>
      <c r="CK7" t="n">
        <v>1792309049</v>
      </c>
      <c r="CL7" t="n">
        <v>1792309051</v>
      </c>
      <c r="CM7" t="n">
        <v>73</v>
      </c>
      <c r="CN7" t="n">
        <v>-0.007</v>
      </c>
      <c r="CO7" t="n">
        <v>-0.003</v>
      </c>
      <c r="CP7" t="n">
        <v>-0.172</v>
      </c>
      <c r="CQ7" t="n">
        <v>-0.147</v>
      </c>
      <c r="CR7" t="n">
        <v>403</v>
      </c>
      <c r="CS7" t="n">
        <v>17</v>
      </c>
      <c r="CT7" t="n">
        <v>0.47</v>
      </c>
      <c r="CU7" t="n">
        <v>0.05</v>
      </c>
      <c r="CV7" t="n">
        <v>7.4387057459259</v>
      </c>
      <c r="CW7" t="n">
        <v>0.302953192947908</v>
      </c>
      <c r="CX7" t="n">
        <v>0.117373238552444</v>
      </c>
      <c r="CY7" t="n">
        <v>1</v>
      </c>
      <c r="CZ7" t="n">
        <v>-3.49811619047619</v>
      </c>
      <c r="DA7" t="n">
        <v>-0.142563116883126</v>
      </c>
      <c r="DB7" t="n">
        <v>0.0467485520505274</v>
      </c>
      <c r="DC7" t="n">
        <v>1</v>
      </c>
      <c r="DD7" t="n">
        <v>219.353882352941</v>
      </c>
      <c r="DE7" t="n">
        <v>-2.27398016056748</v>
      </c>
      <c r="DF7" t="n">
        <v>0.464454187236505</v>
      </c>
      <c r="DG7" t="n">
        <v>0</v>
      </c>
      <c r="DH7" t="n">
        <v>2</v>
      </c>
      <c r="DI7" t="n">
        <v>3</v>
      </c>
      <c r="DJ7" t="n">
        <v>100</v>
      </c>
      <c r="DK7" t="n">
        <v>100</v>
      </c>
      <c r="DL7" t="n">
        <v>-0.174</v>
      </c>
      <c r="DM7" t="n">
        <v>-0.1285</v>
      </c>
      <c r="DN7" t="n">
        <v>-0.248694318116224</v>
      </c>
      <c r="DO7" t="n">
        <v>-6.16732984266029e-05</v>
      </c>
      <c r="DP7" t="n">
        <v>6.19398071816742e-07</v>
      </c>
      <c r="DQ7" t="n">
        <v>3.19222985850634e-12</v>
      </c>
      <c r="DR7" t="n">
        <v>-0.0574296339047896</v>
      </c>
      <c r="DS7" t="n">
        <v>-0.0257783215012692</v>
      </c>
      <c r="DT7" t="n">
        <v>0.00133723821780375</v>
      </c>
      <c r="DU7" t="n">
        <v>-7.42160749481374e-06</v>
      </c>
      <c r="DV7" t="n">
        <v>7</v>
      </c>
      <c r="DW7" t="n">
        <v>2154</v>
      </c>
      <c r="DX7" t="n">
        <v>2</v>
      </c>
      <c r="DY7" t="n">
        <v>20</v>
      </c>
      <c r="DZ7" t="n">
        <v>1.9</v>
      </c>
      <c r="EA7" t="n">
        <v>1.9</v>
      </c>
      <c r="EB7" t="n">
        <v>1.04614</v>
      </c>
      <c r="EC7" t="n">
        <v>2.65137</v>
      </c>
      <c r="ED7" t="n">
        <v>1.65161</v>
      </c>
      <c r="EE7" t="n">
        <v>2.27295</v>
      </c>
      <c r="EF7" t="n">
        <v>1.5979</v>
      </c>
      <c r="EG7" t="n">
        <v>2.60986</v>
      </c>
      <c r="EH7" t="n">
        <v>34.4408</v>
      </c>
      <c r="EI7" t="n">
        <v>15.2178</v>
      </c>
      <c r="EJ7" t="n">
        <v>18</v>
      </c>
      <c r="EK7" t="n">
        <v>504.439</v>
      </c>
      <c r="EL7" t="n">
        <v>532.64</v>
      </c>
      <c r="EM7" t="n">
        <v>23.8836</v>
      </c>
      <c r="EN7" t="n">
        <v>29.443</v>
      </c>
      <c r="EO7" t="n">
        <v>30.0002</v>
      </c>
      <c r="EP7" t="n">
        <v>29.6025</v>
      </c>
      <c r="EQ7" t="n">
        <v>29.6602</v>
      </c>
      <c r="ER7" t="n">
        <v>20.9116</v>
      </c>
      <c r="ES7" t="n">
        <v>23.117</v>
      </c>
      <c r="ET7" t="n">
        <v>23.8495</v>
      </c>
      <c r="EU7" t="n">
        <v>23.8847</v>
      </c>
      <c r="EV7" t="n">
        <v>403.534</v>
      </c>
      <c r="EW7" t="n">
        <v>16.8047</v>
      </c>
      <c r="EX7" t="n">
        <v>98.021</v>
      </c>
      <c r="EY7" t="n">
        <v>94.50960000000001</v>
      </c>
    </row>
    <row r="8">
      <c r="A8" t="n">
        <v>7</v>
      </c>
      <c r="B8" t="n">
        <v>1792309318</v>
      </c>
      <c r="C8" t="n">
        <v>951</v>
      </c>
      <c r="D8" t="n">
        <v>5</v>
      </c>
      <c r="E8" t="n">
        <v>1792309314.5</v>
      </c>
      <c r="F8" t="n">
        <v>0.003194088400575514</v>
      </c>
      <c r="G8" t="n">
        <v>3.194088400575513</v>
      </c>
      <c r="H8" t="n">
        <v>3.62261380971472</v>
      </c>
      <c r="I8" t="n">
        <v>400.002833333333</v>
      </c>
      <c r="J8" t="n">
        <v>366.8740839873259</v>
      </c>
      <c r="K8" t="n">
        <v>0.03705075991674425</v>
      </c>
      <c r="L8" t="n">
        <v>0.04039644551279553</v>
      </c>
      <c r="M8" t="n">
        <v>0.2430251256463614</v>
      </c>
      <c r="N8" t="n">
        <v>3.026668897733797</v>
      </c>
      <c r="O8" t="n">
        <v>0.2326814135230126</v>
      </c>
      <c r="P8" t="n">
        <v>0.1463185371783577</v>
      </c>
      <c r="Q8" t="n">
        <v>3.179936677501986</v>
      </c>
      <c r="R8" t="n">
        <v>54.87409013373777</v>
      </c>
      <c r="S8" t="n">
        <v>1.827983439535783</v>
      </c>
      <c r="T8" t="n">
        <v>3.33123234495673</v>
      </c>
      <c r="U8" t="n">
        <v>8136.3</v>
      </c>
      <c r="V8" t="n">
        <v>234.829807692308</v>
      </c>
      <c r="W8" t="n">
        <v>979.8417598451909</v>
      </c>
      <c r="X8" t="n">
        <v>-2.15676906838952</v>
      </c>
      <c r="Y8" t="n">
        <v>205.46012</v>
      </c>
      <c r="Z8" t="n">
        <v>664.676457448521</v>
      </c>
      <c r="AA8" t="n">
        <v>0.5</v>
      </c>
      <c r="AB8" t="n">
        <v>254</v>
      </c>
      <c r="AC8" t="n">
        <v>290</v>
      </c>
      <c r="AD8" t="n">
        <v>645.36</v>
      </c>
      <c r="AE8" t="n">
        <v>245</v>
      </c>
      <c r="AF8" t="n">
        <v>8118.31</v>
      </c>
      <c r="AG8" t="n">
        <v>644.23</v>
      </c>
      <c r="AH8" t="n">
        <v>1.13</v>
      </c>
      <c r="AI8" t="n">
        <v>300</v>
      </c>
      <c r="AJ8" t="n">
        <v>19.1</v>
      </c>
      <c r="AK8" t="n">
        <v>664.676457448521</v>
      </c>
      <c r="AL8" t="n">
        <v>1.84095789177734</v>
      </c>
      <c r="AM8" t="n">
        <v>-16.6010664877918</v>
      </c>
      <c r="AN8" t="n">
        <v>1.33884915216545</v>
      </c>
      <c r="AO8" t="n">
        <v>0.845940295084892</v>
      </c>
      <c r="AP8" t="n">
        <v>-0.00530719443826473</v>
      </c>
      <c r="AQ8" t="n">
        <v>290</v>
      </c>
      <c r="AR8" t="n">
        <v>644.52</v>
      </c>
      <c r="AS8" t="n">
        <v>705</v>
      </c>
      <c r="AT8" t="n">
        <v>8111.49</v>
      </c>
      <c r="AU8" t="n">
        <v>644.21</v>
      </c>
      <c r="AV8" t="n">
        <v>0.31</v>
      </c>
      <c r="AW8" t="n">
        <v>99.9669833333333</v>
      </c>
      <c r="AX8" t="n">
        <v>2</v>
      </c>
      <c r="AY8" t="n">
        <v>0.5</v>
      </c>
      <c r="AZ8" t="n">
        <v>2</v>
      </c>
      <c r="BA8" t="n">
        <v>1792309314.5</v>
      </c>
      <c r="BB8" t="n">
        <v>400.002833333333</v>
      </c>
      <c r="BC8" t="n">
        <v>401.963</v>
      </c>
      <c r="BD8" t="n">
        <v>18.1005666666667</v>
      </c>
      <c r="BE8" t="n">
        <v>16.8460166666667</v>
      </c>
      <c r="BF8" t="n">
        <v>400.161833333333</v>
      </c>
      <c r="BG8" t="n">
        <v>18.2307</v>
      </c>
      <c r="BH8" t="n">
        <v>499.983833333333</v>
      </c>
      <c r="BI8" t="n">
        <v>100.8905</v>
      </c>
      <c r="BJ8" t="n">
        <v>0.0998984333333334</v>
      </c>
      <c r="BK8" t="n">
        <v>25.7833</v>
      </c>
      <c r="BL8" t="n">
        <v>25.0013666666667</v>
      </c>
      <c r="BM8" t="n">
        <v>999.9</v>
      </c>
      <c r="BN8" t="n">
        <v>10005.2083333333</v>
      </c>
      <c r="BO8" t="n">
        <v>7.05843</v>
      </c>
      <c r="BP8" t="n">
        <v>99.9669833333333</v>
      </c>
      <c r="BQ8" t="n">
        <v>0.8998930000000001</v>
      </c>
      <c r="BR8" t="n">
        <v>0.100107</v>
      </c>
      <c r="BS8" t="n">
        <v>205.189166666667</v>
      </c>
      <c r="BT8" t="n">
        <v>4.99999</v>
      </c>
      <c r="BU8" t="n">
        <v>200.992</v>
      </c>
      <c r="BV8" t="n">
        <v>922.680833333333</v>
      </c>
      <c r="BW8" t="n">
        <v>35.3435</v>
      </c>
      <c r="BX8" t="n">
        <v>38.7395</v>
      </c>
      <c r="BY8" t="n">
        <v>37.187</v>
      </c>
      <c r="BZ8" t="n">
        <v>38.5206666666667</v>
      </c>
      <c r="CA8" t="n">
        <v>37.812</v>
      </c>
      <c r="CB8" t="n">
        <v>85.45999999999999</v>
      </c>
      <c r="CC8" t="n">
        <v>9.51</v>
      </c>
      <c r="CD8" t="n">
        <v>152.700000047684</v>
      </c>
      <c r="CE8" t="n">
        <v>205.46012</v>
      </c>
      <c r="CF8" t="n">
        <v>-2.64130768841107</v>
      </c>
      <c r="CG8" t="n">
        <v>-1.70807695168127</v>
      </c>
      <c r="CH8" t="n">
        <v>201.149</v>
      </c>
      <c r="CI8" t="n">
        <v>15</v>
      </c>
      <c r="CJ8" t="n">
        <v>1792309228</v>
      </c>
      <c r="CK8" t="n">
        <v>1792309228</v>
      </c>
      <c r="CL8" t="n">
        <v>1792309228</v>
      </c>
      <c r="CM8" t="n">
        <v>74</v>
      </c>
      <c r="CN8" t="n">
        <v>0.015</v>
      </c>
      <c r="CO8" t="n">
        <v>-0.002</v>
      </c>
      <c r="CP8" t="n">
        <v>-0.158</v>
      </c>
      <c r="CQ8" t="n">
        <v>-0.148</v>
      </c>
      <c r="CR8" t="n">
        <v>402</v>
      </c>
      <c r="CS8" t="n">
        <v>17</v>
      </c>
      <c r="CT8" t="n">
        <v>0.3</v>
      </c>
      <c r="CU8" t="n">
        <v>0.09</v>
      </c>
      <c r="CV8" t="n">
        <v>3.67221972091328</v>
      </c>
      <c r="CW8" t="n">
        <v>0.47454063866989</v>
      </c>
      <c r="CX8" t="n">
        <v>0.0925039287488392</v>
      </c>
      <c r="CY8" t="n">
        <v>1</v>
      </c>
      <c r="CZ8" t="n">
        <v>-1.9859715</v>
      </c>
      <c r="DA8" t="n">
        <v>-0.06750631578947219</v>
      </c>
      <c r="DB8" t="n">
        <v>0.0356695730665507</v>
      </c>
      <c r="DC8" t="n">
        <v>1</v>
      </c>
      <c r="DD8" t="n">
        <v>205.549794117647</v>
      </c>
      <c r="DE8" t="n">
        <v>-0.668036675326816</v>
      </c>
      <c r="DF8" t="n">
        <v>0.346483577355643</v>
      </c>
      <c r="DG8" t="n">
        <v>1</v>
      </c>
      <c r="DH8" t="n">
        <v>3</v>
      </c>
      <c r="DI8" t="n">
        <v>3</v>
      </c>
      <c r="DJ8" t="n">
        <v>100</v>
      </c>
      <c r="DK8" t="n">
        <v>100</v>
      </c>
      <c r="DL8" t="n">
        <v>-0.159</v>
      </c>
      <c r="DM8" t="n">
        <v>-0.1301</v>
      </c>
      <c r="DN8" t="n">
        <v>-0.23382002700286</v>
      </c>
      <c r="DO8" t="n">
        <v>-6.16732984266029e-05</v>
      </c>
      <c r="DP8" t="n">
        <v>6.19398071816742e-07</v>
      </c>
      <c r="DQ8" t="n">
        <v>3.19222985850634e-12</v>
      </c>
      <c r="DR8" t="n">
        <v>-0.0596455751468414</v>
      </c>
      <c r="DS8" t="n">
        <v>-0.0257783215012692</v>
      </c>
      <c r="DT8" t="n">
        <v>0.00133723821780375</v>
      </c>
      <c r="DU8" t="n">
        <v>-7.42160749481374e-06</v>
      </c>
      <c r="DV8" t="n">
        <v>7</v>
      </c>
      <c r="DW8" t="n">
        <v>2154</v>
      </c>
      <c r="DX8" t="n">
        <v>2</v>
      </c>
      <c r="DY8" t="n">
        <v>20</v>
      </c>
      <c r="DZ8" t="n">
        <v>1.5</v>
      </c>
      <c r="EA8" t="n">
        <v>1.5</v>
      </c>
      <c r="EB8" t="n">
        <v>1.04248</v>
      </c>
      <c r="EC8" t="n">
        <v>2.64771</v>
      </c>
      <c r="ED8" t="n">
        <v>1.65161</v>
      </c>
      <c r="EE8" t="n">
        <v>2.27295</v>
      </c>
      <c r="EF8" t="n">
        <v>1.5979</v>
      </c>
      <c r="EG8" t="n">
        <v>2.64648</v>
      </c>
      <c r="EH8" t="n">
        <v>34.4408</v>
      </c>
      <c r="EI8" t="n">
        <v>15.1915</v>
      </c>
      <c r="EJ8" t="n">
        <v>18</v>
      </c>
      <c r="EK8" t="n">
        <v>504.398</v>
      </c>
      <c r="EL8" t="n">
        <v>532.965</v>
      </c>
      <c r="EM8" t="n">
        <v>23.8904</v>
      </c>
      <c r="EN8" t="n">
        <v>29.443</v>
      </c>
      <c r="EO8" t="n">
        <v>30.0001</v>
      </c>
      <c r="EP8" t="n">
        <v>29.605</v>
      </c>
      <c r="EQ8" t="n">
        <v>29.6628</v>
      </c>
      <c r="ER8" t="n">
        <v>20.8497</v>
      </c>
      <c r="ES8" t="n">
        <v>23.2811</v>
      </c>
      <c r="ET8" t="n">
        <v>24.6521</v>
      </c>
      <c r="EU8" t="n">
        <v>23.8891</v>
      </c>
      <c r="EV8" t="n">
        <v>401.966</v>
      </c>
      <c r="EW8" t="n">
        <v>16.908</v>
      </c>
      <c r="EX8" t="n">
        <v>98.01990000000001</v>
      </c>
      <c r="EY8" t="n">
        <v>94.50879999999999</v>
      </c>
    </row>
    <row r="9">
      <c r="A9" t="n">
        <v>8</v>
      </c>
      <c r="B9" t="n">
        <v>1792309460</v>
      </c>
      <c r="C9" t="n">
        <v>1093</v>
      </c>
      <c r="D9" t="n">
        <v>5</v>
      </c>
      <c r="E9" t="n">
        <v>1792309456.5</v>
      </c>
      <c r="F9" t="n">
        <v>0.003082979566589314</v>
      </c>
      <c r="G9" t="n">
        <v>3.082979566589314</v>
      </c>
      <c r="H9" t="n">
        <v>1.397951293398292</v>
      </c>
      <c r="I9" t="n">
        <v>400.001666666667</v>
      </c>
      <c r="J9" t="n">
        <v>381.5939677743731</v>
      </c>
      <c r="K9" t="n">
        <v>0.03854149147917597</v>
      </c>
      <c r="L9" t="n">
        <v>0.04040069322218693</v>
      </c>
      <c r="M9" t="n">
        <v>0.2345481627068611</v>
      </c>
      <c r="N9" t="n">
        <v>3.027071140205588</v>
      </c>
      <c r="O9" t="n">
        <v>0.2248992857004074</v>
      </c>
      <c r="P9" t="n">
        <v>0.141395890588284</v>
      </c>
      <c r="Q9" t="n">
        <v>3.177112987173529</v>
      </c>
      <c r="R9" t="n">
        <v>54.98765704862893</v>
      </c>
      <c r="S9" t="n">
        <v>1.826857868008548</v>
      </c>
      <c r="T9" t="n">
        <v>3.322305342802562</v>
      </c>
      <c r="U9" t="n">
        <v>8136.3</v>
      </c>
      <c r="V9" t="n">
        <v>234.829807692308</v>
      </c>
      <c r="W9" t="n">
        <v>979.8417598451909</v>
      </c>
      <c r="X9" t="n">
        <v>-2.15676906838952</v>
      </c>
      <c r="Y9" t="n">
        <v>197.87992</v>
      </c>
      <c r="Z9" t="n">
        <v>685.5968714414749</v>
      </c>
      <c r="AA9" t="n">
        <v>0.5</v>
      </c>
      <c r="AB9" t="n">
        <v>255</v>
      </c>
      <c r="AC9" t="n">
        <v>290</v>
      </c>
      <c r="AD9" t="n">
        <v>669.83</v>
      </c>
      <c r="AE9" t="n">
        <v>215</v>
      </c>
      <c r="AF9" t="n">
        <v>8114.39</v>
      </c>
      <c r="AG9" t="n">
        <v>669.92</v>
      </c>
      <c r="AH9" t="n">
        <v>-0.09</v>
      </c>
      <c r="AI9" t="n">
        <v>300</v>
      </c>
      <c r="AJ9" t="n">
        <v>19.1</v>
      </c>
      <c r="AK9" t="n">
        <v>685.5968714414749</v>
      </c>
      <c r="AL9" t="n">
        <v>3.34441511776241</v>
      </c>
      <c r="AM9" t="n">
        <v>-12.7209376590264</v>
      </c>
      <c r="AN9" t="n">
        <v>2.42880985139967</v>
      </c>
      <c r="AO9" t="n">
        <v>0.494873005265683</v>
      </c>
      <c r="AP9" t="n">
        <v>-0.00533807474972191</v>
      </c>
      <c r="AQ9" t="n">
        <v>290</v>
      </c>
      <c r="AR9" t="n">
        <v>669.6900000000001</v>
      </c>
      <c r="AS9" t="n">
        <v>665</v>
      </c>
      <c r="AT9" t="n">
        <v>8107.21</v>
      </c>
      <c r="AU9" t="n">
        <v>669.91</v>
      </c>
      <c r="AV9" t="n">
        <v>-0.22</v>
      </c>
      <c r="AW9" t="n">
        <v>49.93295</v>
      </c>
      <c r="AX9" t="n">
        <v>2</v>
      </c>
      <c r="AY9" t="n">
        <v>0.5</v>
      </c>
      <c r="AZ9" t="n">
        <v>2</v>
      </c>
      <c r="BA9" t="n">
        <v>1792309456.5</v>
      </c>
      <c r="BB9" t="n">
        <v>400.001666666667</v>
      </c>
      <c r="BC9" t="n">
        <v>401.054166666667</v>
      </c>
      <c r="BD9" t="n">
        <v>18.0874666666667</v>
      </c>
      <c r="BE9" t="n">
        <v>16.8765333333333</v>
      </c>
      <c r="BF9" t="n">
        <v>400.173666666667</v>
      </c>
      <c r="BG9" t="n">
        <v>18.2187333333333</v>
      </c>
      <c r="BH9" t="n">
        <v>499.980666666667</v>
      </c>
      <c r="BI9" t="n">
        <v>100.901333333333</v>
      </c>
      <c r="BJ9" t="n">
        <v>0.0999788833333333</v>
      </c>
      <c r="BK9" t="n">
        <v>25.7380333333333</v>
      </c>
      <c r="BL9" t="n">
        <v>24.9864666666667</v>
      </c>
      <c r="BM9" t="n">
        <v>999.9</v>
      </c>
      <c r="BN9" t="n">
        <v>10006.5666666667</v>
      </c>
      <c r="BO9" t="n">
        <v>7.05843</v>
      </c>
      <c r="BP9" t="n">
        <v>49.93295</v>
      </c>
      <c r="BQ9" t="n">
        <v>0.899774166666667</v>
      </c>
      <c r="BR9" t="n">
        <v>0.100225966666667</v>
      </c>
      <c r="BS9" t="n">
        <v>197.915333333333</v>
      </c>
      <c r="BT9" t="n">
        <v>4.99999</v>
      </c>
      <c r="BU9" t="n">
        <v>88.23118333333331</v>
      </c>
      <c r="BV9" t="n">
        <v>436.5425</v>
      </c>
      <c r="BW9" t="n">
        <v>34.875</v>
      </c>
      <c r="BX9" t="n">
        <v>39.1873333333333</v>
      </c>
      <c r="BY9" t="n">
        <v>37.0413333333333</v>
      </c>
      <c r="BZ9" t="n">
        <v>39.0415</v>
      </c>
      <c r="CA9" t="n">
        <v>37.8853333333333</v>
      </c>
      <c r="CB9" t="n">
        <v>40.43</v>
      </c>
      <c r="CC9" t="n">
        <v>4.505</v>
      </c>
      <c r="CD9" t="n">
        <v>140.800000190735</v>
      </c>
      <c r="CE9" t="n">
        <v>197.87992</v>
      </c>
      <c r="CF9" t="n">
        <v>-0.893230748514083</v>
      </c>
      <c r="CG9" t="n">
        <v>0.535730730796248</v>
      </c>
      <c r="CH9" t="n">
        <v>88.329792</v>
      </c>
      <c r="CI9" t="n">
        <v>15</v>
      </c>
      <c r="CJ9" t="n">
        <v>1792309384</v>
      </c>
      <c r="CK9" t="n">
        <v>1792309380</v>
      </c>
      <c r="CL9" t="n">
        <v>1792309384</v>
      </c>
      <c r="CM9" t="n">
        <v>75</v>
      </c>
      <c r="CN9" t="n">
        <v>-0.013</v>
      </c>
      <c r="CO9" t="n">
        <v>-0.001</v>
      </c>
      <c r="CP9" t="n">
        <v>-0.172</v>
      </c>
      <c r="CQ9" t="n">
        <v>-0.147</v>
      </c>
      <c r="CR9" t="n">
        <v>401</v>
      </c>
      <c r="CS9" t="n">
        <v>17</v>
      </c>
      <c r="CT9" t="n">
        <v>0.36</v>
      </c>
      <c r="CU9" t="n">
        <v>0.09</v>
      </c>
      <c r="CV9" t="n">
        <v>1.43500287985722</v>
      </c>
      <c r="CW9" t="n">
        <v>0.218390151078816</v>
      </c>
      <c r="CX9" t="n">
        <v>0.112341469511557</v>
      </c>
      <c r="CY9" t="n">
        <v>1</v>
      </c>
      <c r="CZ9" t="n">
        <v>-1.0788695</v>
      </c>
      <c r="DA9" t="n">
        <v>0.128128872180451</v>
      </c>
      <c r="DB9" t="n">
        <v>0.0308306946848429</v>
      </c>
      <c r="DC9" t="n">
        <v>1</v>
      </c>
      <c r="DD9" t="n">
        <v>197.872676470588</v>
      </c>
      <c r="DE9" t="n">
        <v>0.143330788347949</v>
      </c>
      <c r="DF9" t="n">
        <v>0.465101931939038</v>
      </c>
      <c r="DG9" t="n">
        <v>1</v>
      </c>
      <c r="DH9" t="n">
        <v>3</v>
      </c>
      <c r="DI9" t="n">
        <v>3</v>
      </c>
      <c r="DJ9" t="n">
        <v>100</v>
      </c>
      <c r="DK9" t="n">
        <v>100</v>
      </c>
      <c r="DL9" t="n">
        <v>-0.172</v>
      </c>
      <c r="DM9" t="n">
        <v>-0.1313</v>
      </c>
      <c r="DN9" t="n">
        <v>-0.247085137537066</v>
      </c>
      <c r="DO9" t="n">
        <v>-6.16732984266029e-05</v>
      </c>
      <c r="DP9" t="n">
        <v>6.19398071816742e-07</v>
      </c>
      <c r="DQ9" t="n">
        <v>3.19222985850634e-12</v>
      </c>
      <c r="DR9" t="n">
        <v>-0.060609653670244</v>
      </c>
      <c r="DS9" t="n">
        <v>-0.0257783215012692</v>
      </c>
      <c r="DT9" t="n">
        <v>0.00133723821780375</v>
      </c>
      <c r="DU9" t="n">
        <v>-7.42160749481374e-06</v>
      </c>
      <c r="DV9" t="n">
        <v>7</v>
      </c>
      <c r="DW9" t="n">
        <v>2154</v>
      </c>
      <c r="DX9" t="n">
        <v>2</v>
      </c>
      <c r="DY9" t="n">
        <v>20</v>
      </c>
      <c r="DZ9" t="n">
        <v>1.3</v>
      </c>
      <c r="EA9" t="n">
        <v>1.3</v>
      </c>
      <c r="EB9" t="n">
        <v>1.04126</v>
      </c>
      <c r="EC9" t="n">
        <v>2.65747</v>
      </c>
      <c r="ED9" t="n">
        <v>1.65161</v>
      </c>
      <c r="EE9" t="n">
        <v>2.27295</v>
      </c>
      <c r="EF9" t="n">
        <v>1.5979</v>
      </c>
      <c r="EG9" t="n">
        <v>2.53418</v>
      </c>
      <c r="EH9" t="n">
        <v>34.4408</v>
      </c>
      <c r="EI9" t="n">
        <v>15.1652</v>
      </c>
      <c r="EJ9" t="n">
        <v>18</v>
      </c>
      <c r="EK9" t="n">
        <v>504.327</v>
      </c>
      <c r="EL9" t="n">
        <v>533.309</v>
      </c>
      <c r="EM9" t="n">
        <v>24.1342</v>
      </c>
      <c r="EN9" t="n">
        <v>29.4455</v>
      </c>
      <c r="EO9" t="n">
        <v>30.0001</v>
      </c>
      <c r="EP9" t="n">
        <v>29.6076</v>
      </c>
      <c r="EQ9" t="n">
        <v>29.6653</v>
      </c>
      <c r="ER9" t="n">
        <v>20.8114</v>
      </c>
      <c r="ES9" t="n">
        <v>23.5523</v>
      </c>
      <c r="ET9" t="n">
        <v>25.3972</v>
      </c>
      <c r="EU9" t="n">
        <v>24.1404</v>
      </c>
      <c r="EV9" t="n">
        <v>401.005</v>
      </c>
      <c r="EW9" t="n">
        <v>16.8775</v>
      </c>
      <c r="EX9" t="n">
        <v>98.0189</v>
      </c>
      <c r="EY9" t="n">
        <v>94.51000000000001</v>
      </c>
    </row>
    <row r="10">
      <c r="A10" t="n">
        <v>9</v>
      </c>
      <c r="B10" t="n">
        <v>1792309590.1</v>
      </c>
      <c r="C10" t="n">
        <v>1223.09999990463</v>
      </c>
      <c r="D10" t="n">
        <v>5</v>
      </c>
      <c r="E10" t="n">
        <v>1792309587.1</v>
      </c>
      <c r="F10" t="n">
        <v>0.002960962299669599</v>
      </c>
      <c r="G10" t="n">
        <v>2.960962299669599</v>
      </c>
      <c r="H10" t="n">
        <v>-1.168920432630471</v>
      </c>
      <c r="I10" t="n">
        <v>400.0116</v>
      </c>
      <c r="J10" t="n">
        <v>399.8986843734546</v>
      </c>
      <c r="K10" t="n">
        <v>0.04040097211489762</v>
      </c>
      <c r="L10" t="n">
        <v>0.04041237975702713</v>
      </c>
      <c r="M10" t="n">
        <v>0.2248973972411611</v>
      </c>
      <c r="N10" t="n">
        <v>3.029916835411711</v>
      </c>
      <c r="O10" t="n">
        <v>0.2160180293552603</v>
      </c>
      <c r="P10" t="n">
        <v>0.1357798332479355</v>
      </c>
      <c r="Q10" t="n">
        <v>3.182025217229823</v>
      </c>
      <c r="R10" t="n">
        <v>55.0053435413388</v>
      </c>
      <c r="S10" t="n">
        <v>1.831593542656785</v>
      </c>
      <c r="T10" t="n">
        <v>3.329846565325542</v>
      </c>
      <c r="U10" t="n">
        <v>8108.42</v>
      </c>
      <c r="V10" t="n">
        <v>176.846153846154</v>
      </c>
      <c r="W10" t="n">
        <v>750.920404834711</v>
      </c>
      <c r="X10" t="n">
        <v>-1.16892043263047</v>
      </c>
      <c r="Y10" t="n">
        <v>0</v>
      </c>
      <c r="Z10" t="n">
        <v>0</v>
      </c>
      <c r="AA10" t="n">
        <v>0.5</v>
      </c>
      <c r="AB10" t="n">
        <v>256</v>
      </c>
      <c r="AC10" t="n">
        <v>290</v>
      </c>
      <c r="AD10" t="n">
        <v>725.23</v>
      </c>
      <c r="AE10" t="n">
        <v>225</v>
      </c>
      <c r="AF10" t="n">
        <v>8108.42</v>
      </c>
      <c r="AG10" t="n">
        <v>720.33</v>
      </c>
      <c r="AH10" t="n">
        <v>4.9</v>
      </c>
      <c r="AI10" t="n">
        <v>300</v>
      </c>
      <c r="AJ10" t="n">
        <v>19.1</v>
      </c>
      <c r="AK10" t="n">
        <v>750.920404834711</v>
      </c>
      <c r="AL10" t="n">
        <v>2.02931030650448</v>
      </c>
      <c r="AM10" t="n">
        <v>-24.8065530872987</v>
      </c>
      <c r="AN10" t="n">
        <v>1.47169743120641</v>
      </c>
      <c r="AO10" t="n">
        <v>0.910289780915749</v>
      </c>
      <c r="AP10" t="n">
        <v>-0.00536403937708565</v>
      </c>
      <c r="AQ10" t="n">
        <v>290</v>
      </c>
      <c r="AR10" t="n">
        <v>714.83</v>
      </c>
      <c r="AS10" t="n">
        <v>615</v>
      </c>
      <c r="AT10" t="n">
        <v>8102.58</v>
      </c>
      <c r="AU10" t="n">
        <v>720.3</v>
      </c>
      <c r="AV10" t="n">
        <v>-5.47</v>
      </c>
      <c r="AW10" t="n">
        <v>0.0199999</v>
      </c>
      <c r="AX10" t="n">
        <v>2</v>
      </c>
      <c r="AY10" t="n">
        <v>0.5</v>
      </c>
      <c r="AZ10" t="n">
        <v>2</v>
      </c>
      <c r="BA10" t="n">
        <v>1792309587.1</v>
      </c>
      <c r="BB10" t="n">
        <v>400.0116</v>
      </c>
      <c r="BC10" t="n">
        <v>400.0178</v>
      </c>
      <c r="BD10" t="n">
        <v>18.12956</v>
      </c>
      <c r="BE10" t="n">
        <v>16.96656</v>
      </c>
      <c r="BF10" t="n">
        <v>400.1516</v>
      </c>
      <c r="BG10" t="n">
        <v>18.25874</v>
      </c>
      <c r="BH10" t="n">
        <v>499.9624</v>
      </c>
      <c r="BI10" t="n">
        <v>100.9282</v>
      </c>
      <c r="BJ10" t="n">
        <v>0.09981958</v>
      </c>
      <c r="BK10" t="n">
        <v>25.77628</v>
      </c>
      <c r="BL10" t="n">
        <v>25.01238</v>
      </c>
      <c r="BM10" t="n">
        <v>999.9</v>
      </c>
      <c r="BN10" t="n">
        <v>10021.124</v>
      </c>
      <c r="BO10" t="n">
        <v>7.05843</v>
      </c>
      <c r="BP10" t="n">
        <v>0.0199999</v>
      </c>
      <c r="BQ10" t="n">
        <v>0</v>
      </c>
      <c r="BR10" t="n">
        <v>0</v>
      </c>
      <c r="BS10" t="n">
        <v>181.185</v>
      </c>
      <c r="BT10" t="n">
        <v>0.0199999</v>
      </c>
      <c r="BU10" t="n">
        <v>-16.29</v>
      </c>
      <c r="BV10" t="n">
        <v>2.875</v>
      </c>
      <c r="BW10" t="n">
        <v>35.7374</v>
      </c>
      <c r="BX10" t="n">
        <v>41.2622</v>
      </c>
      <c r="BY10" t="n">
        <v>38.25</v>
      </c>
      <c r="BZ10" t="n">
        <v>41.9872</v>
      </c>
      <c r="CA10" t="n">
        <v>38.8374</v>
      </c>
      <c r="CB10" t="n">
        <v>0</v>
      </c>
      <c r="CC10" t="n">
        <v>0</v>
      </c>
      <c r="CD10" t="n">
        <v>128.900000095367</v>
      </c>
      <c r="CE10" t="n">
        <v>176.846153846154</v>
      </c>
      <c r="CF10" t="n">
        <v>-1.71453004286912</v>
      </c>
      <c r="CG10" t="n">
        <v>-6.03931637492465</v>
      </c>
      <c r="CH10" t="n">
        <v>-12.5980769230769</v>
      </c>
      <c r="CI10" t="n">
        <v>15</v>
      </c>
      <c r="CJ10" t="n">
        <v>1792309530</v>
      </c>
      <c r="CK10" t="n">
        <v>1792309520</v>
      </c>
      <c r="CL10" t="n">
        <v>1792309530</v>
      </c>
      <c r="CM10" t="n">
        <v>76</v>
      </c>
      <c r="CN10" t="n">
        <v>0.032</v>
      </c>
      <c r="CO10" t="n">
        <v>0.001</v>
      </c>
      <c r="CP10" t="n">
        <v>-0.14</v>
      </c>
      <c r="CQ10" t="n">
        <v>-0.145</v>
      </c>
      <c r="CR10" t="n">
        <v>400</v>
      </c>
      <c r="CS10" t="n">
        <v>17</v>
      </c>
      <c r="CT10" t="n">
        <v>0.29</v>
      </c>
      <c r="CU10" t="n">
        <v>0.05</v>
      </c>
      <c r="CV10" t="n">
        <v>-1.0848077109334</v>
      </c>
      <c r="CW10" t="n">
        <v>-0.518010860874161</v>
      </c>
      <c r="CX10" t="n">
        <v>0.06946837942650951</v>
      </c>
      <c r="CY10" t="n">
        <v>1</v>
      </c>
      <c r="CZ10" t="n">
        <v>-0.0394563219047619</v>
      </c>
      <c r="DA10" t="n">
        <v>0.219906327613958</v>
      </c>
      <c r="DB10" t="n">
        <v>0.0285912453819045</v>
      </c>
      <c r="DC10" t="n">
        <v>1</v>
      </c>
      <c r="DD10" t="n">
        <v>177.469852941176</v>
      </c>
      <c r="DE10" t="n">
        <v>0.386936551814859</v>
      </c>
      <c r="DF10" t="n">
        <v>6.29646778726142</v>
      </c>
      <c r="DG10" t="n">
        <v>1</v>
      </c>
      <c r="DH10" t="n">
        <v>3</v>
      </c>
      <c r="DI10" t="n">
        <v>3</v>
      </c>
      <c r="DJ10" t="n">
        <v>100</v>
      </c>
      <c r="DK10" t="n">
        <v>100</v>
      </c>
      <c r="DL10" t="n">
        <v>-0.14</v>
      </c>
      <c r="DM10" t="n">
        <v>-0.1292</v>
      </c>
      <c r="DN10" t="n">
        <v>-0.214858873774974</v>
      </c>
      <c r="DO10" t="n">
        <v>-6.16732984266029e-05</v>
      </c>
      <c r="DP10" t="n">
        <v>6.19398071816742e-07</v>
      </c>
      <c r="DQ10" t="n">
        <v>3.19222985850634e-12</v>
      </c>
      <c r="DR10" t="n">
        <v>-0.0591296340339647</v>
      </c>
      <c r="DS10" t="n">
        <v>-0.0257783215012692</v>
      </c>
      <c r="DT10" t="n">
        <v>0.00133723821780375</v>
      </c>
      <c r="DU10" t="n">
        <v>-7.42160749481374e-06</v>
      </c>
      <c r="DV10" t="n">
        <v>7</v>
      </c>
      <c r="DW10" t="n">
        <v>2154</v>
      </c>
      <c r="DX10" t="n">
        <v>2</v>
      </c>
      <c r="DY10" t="n">
        <v>20</v>
      </c>
      <c r="DZ10" t="n">
        <v>1.2</v>
      </c>
      <c r="EA10" t="n">
        <v>1</v>
      </c>
      <c r="EB10" t="n">
        <v>1.03882</v>
      </c>
      <c r="EC10" t="n">
        <v>2.64404</v>
      </c>
      <c r="ED10" t="n">
        <v>1.65161</v>
      </c>
      <c r="EE10" t="n">
        <v>2.27295</v>
      </c>
      <c r="EF10" t="n">
        <v>1.5979</v>
      </c>
      <c r="EG10" t="n">
        <v>2.66479</v>
      </c>
      <c r="EH10" t="n">
        <v>34.418</v>
      </c>
      <c r="EI10" t="n">
        <v>15.1477</v>
      </c>
      <c r="EJ10" t="n">
        <v>18</v>
      </c>
      <c r="EK10" t="n">
        <v>504.321</v>
      </c>
      <c r="EL10" t="n">
        <v>533.46</v>
      </c>
      <c r="EM10" t="n">
        <v>24.0191</v>
      </c>
      <c r="EN10" t="n">
        <v>29.4607</v>
      </c>
      <c r="EO10" t="n">
        <v>30.0002</v>
      </c>
      <c r="EP10" t="n">
        <v>29.6202</v>
      </c>
      <c r="EQ10" t="n">
        <v>29.6755</v>
      </c>
      <c r="ER10" t="n">
        <v>20.7672</v>
      </c>
      <c r="ES10" t="n">
        <v>23.3698</v>
      </c>
      <c r="ET10" t="n">
        <v>25.8611</v>
      </c>
      <c r="EU10" t="n">
        <v>24.0165</v>
      </c>
      <c r="EV10" t="n">
        <v>400.074</v>
      </c>
      <c r="EW10" t="n">
        <v>16.9604</v>
      </c>
      <c r="EX10" t="n">
        <v>98.0157</v>
      </c>
      <c r="EY10" t="n">
        <v>94.5064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16.86908368922857</v>
      </c>
      <c r="B2" t="n">
        <v>288.7503507861825</v>
      </c>
      <c r="C2" t="n">
        <v>0.2718835302026466</v>
      </c>
      <c r="D2" t="n">
        <v>55</v>
      </c>
      <c r="E2" t="n">
        <v>0</v>
      </c>
      <c r="F2" t="n">
        <v>1500.1</v>
      </c>
      <c r="G2" t="n">
        <v>407.3</v>
      </c>
      <c r="H2" t="n">
        <v>400</v>
      </c>
      <c r="I2" t="n">
        <v>500.1</v>
      </c>
      <c r="J2" t="n">
        <v>25.4</v>
      </c>
      <c r="K2" t="n">
        <v>25</v>
      </c>
      <c r="L2" t="n">
        <v>9983.299999999999</v>
      </c>
    </row>
    <row r="3">
      <c r="A3" t="n">
        <v>16.41257797640509</v>
      </c>
      <c r="B3" t="n">
        <v>290.3078501123853</v>
      </c>
      <c r="C3" t="n">
        <v>0.2682577133542457</v>
      </c>
      <c r="D3" t="n">
        <v>54.8</v>
      </c>
      <c r="E3" t="n">
        <v>0</v>
      </c>
      <c r="F3" t="n">
        <v>1200.1</v>
      </c>
      <c r="G3" t="n">
        <v>407.1</v>
      </c>
      <c r="H3" t="n">
        <v>400</v>
      </c>
      <c r="I3" t="n">
        <v>500</v>
      </c>
      <c r="J3" t="n">
        <v>25.5</v>
      </c>
      <c r="K3" t="n">
        <v>25</v>
      </c>
      <c r="L3" t="n">
        <v>10015.9</v>
      </c>
    </row>
    <row r="4">
      <c r="A4" t="n">
        <v>15.75650570374605</v>
      </c>
      <c r="B4" t="n">
        <v>292.682105807492</v>
      </c>
      <c r="C4" t="n">
        <v>0.2635505962105695</v>
      </c>
      <c r="D4" t="n">
        <v>54.6</v>
      </c>
      <c r="E4" t="n">
        <v>0</v>
      </c>
      <c r="F4" t="n">
        <v>900</v>
      </c>
      <c r="G4" t="n">
        <v>406.9</v>
      </c>
      <c r="H4" t="n">
        <v>400</v>
      </c>
      <c r="I4" t="n">
        <v>500</v>
      </c>
      <c r="J4" t="n">
        <v>25.7</v>
      </c>
      <c r="K4" t="n">
        <v>25</v>
      </c>
      <c r="L4" t="n">
        <v>10017.5</v>
      </c>
    </row>
    <row r="5">
      <c r="A5" t="n">
        <v>14.66124420673186</v>
      </c>
      <c r="B5" t="n">
        <v>297.0706919532425</v>
      </c>
      <c r="C5" t="n">
        <v>0.2560463043465118</v>
      </c>
      <c r="D5" t="n">
        <v>54.9</v>
      </c>
      <c r="E5" t="n">
        <v>0</v>
      </c>
      <c r="F5" t="n">
        <v>600</v>
      </c>
      <c r="G5" t="n">
        <v>406.4</v>
      </c>
      <c r="H5" t="n">
        <v>400</v>
      </c>
      <c r="I5" t="n">
        <v>500</v>
      </c>
      <c r="J5" t="n">
        <v>25.8</v>
      </c>
      <c r="K5" t="n">
        <v>25</v>
      </c>
      <c r="L5" t="n">
        <v>9990.4</v>
      </c>
    </row>
    <row r="6">
      <c r="A6" t="n">
        <v>12.41460786414786</v>
      </c>
      <c r="B6" t="n">
        <v>310.7684727851347</v>
      </c>
      <c r="C6" t="n">
        <v>0.2534353836991731</v>
      </c>
      <c r="D6" t="n">
        <v>55.2</v>
      </c>
      <c r="E6" t="n">
        <v>0</v>
      </c>
      <c r="F6" t="n">
        <v>400</v>
      </c>
      <c r="G6" t="n">
        <v>405.5</v>
      </c>
      <c r="H6" t="n">
        <v>400</v>
      </c>
      <c r="I6" t="n">
        <v>500</v>
      </c>
      <c r="J6" t="n">
        <v>25.7</v>
      </c>
      <c r="K6" t="n">
        <v>25</v>
      </c>
      <c r="L6" t="n">
        <v>9991.5</v>
      </c>
    </row>
    <row r="7">
      <c r="A7" t="n">
        <v>7.603094310779908</v>
      </c>
      <c r="B7" t="n">
        <v>340.8295130273282</v>
      </c>
      <c r="C7" t="n">
        <v>0.2476185569088512</v>
      </c>
      <c r="D7" t="n">
        <v>54.8</v>
      </c>
      <c r="E7" t="n">
        <v>0</v>
      </c>
      <c r="F7" t="n">
        <v>200</v>
      </c>
      <c r="G7" t="n">
        <v>403.5</v>
      </c>
      <c r="H7" t="n">
        <v>400</v>
      </c>
      <c r="I7" t="n">
        <v>500</v>
      </c>
      <c r="J7" t="n">
        <v>25.8</v>
      </c>
      <c r="K7" t="n">
        <v>25</v>
      </c>
      <c r="L7" t="n">
        <v>10014.1</v>
      </c>
    </row>
    <row r="8">
      <c r="A8" t="n">
        <v>3.62261380971472</v>
      </c>
      <c r="B8" t="n">
        <v>366.8740839873259</v>
      </c>
      <c r="C8" t="n">
        <v>0.2430251256463614</v>
      </c>
      <c r="D8" t="n">
        <v>54.9</v>
      </c>
      <c r="E8" t="n">
        <v>0</v>
      </c>
      <c r="F8" t="n">
        <v>100</v>
      </c>
      <c r="G8" t="n">
        <v>402</v>
      </c>
      <c r="H8" t="n">
        <v>400</v>
      </c>
      <c r="I8" t="n">
        <v>500</v>
      </c>
      <c r="J8" t="n">
        <v>25.8</v>
      </c>
      <c r="K8" t="n">
        <v>25</v>
      </c>
      <c r="L8" t="n">
        <v>10005.2</v>
      </c>
    </row>
    <row r="9">
      <c r="A9" t="n">
        <v>1.397951293398292</v>
      </c>
      <c r="B9" t="n">
        <v>381.5939677743731</v>
      </c>
      <c r="C9" t="n">
        <v>0.2345481627068611</v>
      </c>
      <c r="D9" t="n">
        <v>55</v>
      </c>
      <c r="E9" t="n">
        <v>0</v>
      </c>
      <c r="F9" t="n">
        <v>49.9</v>
      </c>
      <c r="G9" t="n">
        <v>401.1</v>
      </c>
      <c r="H9" t="n">
        <v>400</v>
      </c>
      <c r="I9" t="n">
        <v>500</v>
      </c>
      <c r="J9" t="n">
        <v>25.7</v>
      </c>
      <c r="K9" t="n">
        <v>25</v>
      </c>
      <c r="L9" t="n">
        <v>10006.6</v>
      </c>
    </row>
    <row r="10">
      <c r="A10" t="n">
        <v>-1.168920432630471</v>
      </c>
      <c r="B10" t="n">
        <v>399.8986843734546</v>
      </c>
      <c r="C10" t="n">
        <v>0.2248973972411611</v>
      </c>
      <c r="D10" t="n">
        <v>55</v>
      </c>
      <c r="E10" t="n">
        <v>0</v>
      </c>
      <c r="F10" t="n">
        <v>0</v>
      </c>
      <c r="G10" t="n">
        <v>400</v>
      </c>
      <c r="H10" t="n">
        <v>400</v>
      </c>
      <c r="I10" t="n">
        <v>500</v>
      </c>
      <c r="J10" t="n">
        <v>25.8</v>
      </c>
      <c r="K10" t="n">
        <v>25</v>
      </c>
      <c r="L10" t="n">
        <v>10021.1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2026-10-18T16:48:42Z</dcterms:created>
  <dcterms:modified xmlns:dcterms="http://purl.org/dc/terms/" xmlns:xsi="http://www.w3.org/2001/XMLSchema-instance" xsi:type="dcterms:W3CDTF">2026-10-18T08:01:39Z</dcterms:modified>
</cp:coreProperties>
</file>