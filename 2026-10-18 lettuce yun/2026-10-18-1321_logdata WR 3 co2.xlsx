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H28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4.11497 200.008 352.137 581.816 845.455 1058.69 1250.8 1364.04</t>
        </is>
      </c>
      <c r="G13" t="inlineStr">
        <is>
          <t>0.208878 227.229 384.124 588.385 810.893 1001.58 1202.49 1400.6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FlrLS</t>
        </is>
      </c>
      <c r="DZ14" t="inlineStr">
        <is>
          <t>FlrLS</t>
        </is>
      </c>
      <c r="EA14" t="inlineStr">
        <is>
          <t>FlrLS</t>
        </is>
      </c>
      <c r="EB14" t="inlineStr">
        <is>
          <t>FlrLS</t>
        </is>
      </c>
      <c r="EC14" t="inlineStr">
        <is>
          <t>FlrLS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FlrStats</t>
        </is>
      </c>
      <c r="EM14" t="inlineStr">
        <is>
          <t>FlrStats</t>
        </is>
      </c>
      <c r="EN14" t="inlineStr">
        <is>
          <t>FlrStats</t>
        </is>
      </c>
      <c r="EO14" t="inlineStr">
        <is>
          <t>FlrStats</t>
        </is>
      </c>
      <c r="EP14" t="inlineStr">
        <is>
          <t>FlrStats</t>
        </is>
      </c>
      <c r="EQ14" t="inlineStr">
        <is>
          <t>MchEvent</t>
        </is>
      </c>
      <c r="ER14" t="inlineStr">
        <is>
          <t>MchEvent</t>
        </is>
      </c>
      <c r="ES14" t="inlineStr">
        <is>
          <t>MchEvent</t>
        </is>
      </c>
      <c r="ET14" t="inlineStr">
        <is>
          <t>MchEvent</t>
        </is>
      </c>
      <c r="EU14" t="inlineStr">
        <is>
          <t>MchEvent</t>
        </is>
      </c>
      <c r="EV14" t="inlineStr">
        <is>
          <t>MchEvent</t>
        </is>
      </c>
      <c r="EW14" t="inlineStr">
        <is>
          <t>MchEvent</t>
        </is>
      </c>
      <c r="EX14" t="inlineStr">
        <is>
          <t>MchEvent</t>
        </is>
      </c>
      <c r="EY14" t="inlineStr">
        <is>
          <t>MchEvent</t>
        </is>
      </c>
      <c r="EZ14" t="inlineStr">
        <is>
          <t>MchEvent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Stability</t>
        </is>
      </c>
      <c r="FE14" t="inlineStr">
        <is>
          <t>Stability</t>
        </is>
      </c>
      <c r="FF14" t="inlineStr">
        <is>
          <t>Stability</t>
        </is>
      </c>
      <c r="FG14" t="inlineStr">
        <is>
          <t>Stability</t>
        </is>
      </c>
      <c r="FH14" t="inlineStr">
        <is>
          <t>Stability</t>
        </is>
      </c>
      <c r="FI14" t="inlineStr">
        <is>
          <t>Stability</t>
        </is>
      </c>
      <c r="FJ14" t="inlineStr">
        <is>
          <t>Stability</t>
        </is>
      </c>
      <c r="FK14" t="inlineStr">
        <is>
          <t>Stability</t>
        </is>
      </c>
      <c r="FL14" t="inlineStr">
        <is>
          <t>Stability</t>
        </is>
      </c>
      <c r="FM14" t="inlineStr">
        <is>
          <t>Stability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MchStatus</t>
        </is>
      </c>
      <c r="FT14" t="inlineStr">
        <is>
          <t>MchStatus</t>
        </is>
      </c>
      <c r="FU14" t="inlineStr">
        <is>
          <t>MchStatus</t>
        </is>
      </c>
      <c r="FV14" t="inlineStr">
        <is>
          <t>MchStatus</t>
        </is>
      </c>
      <c r="FW14" t="inlineStr">
        <is>
          <t>MchStatus</t>
        </is>
      </c>
      <c r="FX14" t="inlineStr">
        <is>
          <t>MchStatus</t>
        </is>
      </c>
      <c r="FY14" t="inlineStr">
        <is>
          <t>MchStatus</t>
        </is>
      </c>
      <c r="FZ14" t="inlineStr">
        <is>
          <t>MchStatus</t>
        </is>
      </c>
      <c r="GA14" t="inlineStr">
        <is>
          <t>MchStatus</t>
        </is>
      </c>
      <c r="GB14" t="inlineStr">
        <is>
          <t>MchStatus</t>
        </is>
      </c>
      <c r="GC14" t="inlineStr">
        <is>
          <t>MchStatus</t>
        </is>
      </c>
      <c r="GD14" t="inlineStr">
        <is>
          <t>MchStatus</t>
        </is>
      </c>
      <c r="GE14" t="inlineStr">
        <is>
          <t>MchStatus</t>
        </is>
      </c>
      <c r="GF14" t="inlineStr">
        <is>
          <t>MchStatus</t>
        </is>
      </c>
      <c r="GG14" t="inlineStr">
        <is>
          <t>MchStatus</t>
        </is>
      </c>
      <c r="GH14" t="inlineStr">
        <is>
          <t>MchStatus</t>
        </is>
      </c>
      <c r="GI14" t="inlineStr">
        <is>
          <t>MchStatus</t>
        </is>
      </c>
      <c r="GJ14" t="inlineStr">
        <is>
          <t>MchStatus</t>
        </is>
      </c>
      <c r="GK14" t="inlineStr">
        <is>
          <t>ConStatus</t>
        </is>
      </c>
      <c r="GL14" t="inlineStr">
        <is>
          <t>ConStatus</t>
        </is>
      </c>
      <c r="GM14" t="inlineStr">
        <is>
          <t>ConStatus</t>
        </is>
      </c>
      <c r="GN14" t="inlineStr">
        <is>
          <t>ConStatus</t>
        </is>
      </c>
      <c r="GO14" t="inlineStr">
        <is>
          <t>ConStatus</t>
        </is>
      </c>
      <c r="GP14" t="inlineStr">
        <is>
          <t>ConStatus</t>
        </is>
      </c>
      <c r="GQ14" t="inlineStr">
        <is>
          <t>ConStatus</t>
        </is>
      </c>
      <c r="GR14" t="inlineStr">
        <is>
          <t>ConStatus</t>
        </is>
      </c>
      <c r="GS14" t="inlineStr">
        <is>
          <t>Status</t>
        </is>
      </c>
      <c r="GT14" t="inlineStr">
        <is>
          <t>Status</t>
        </is>
      </c>
      <c r="GU14" t="inlineStr">
        <is>
          <t>Status</t>
        </is>
      </c>
      <c r="GV14" t="inlineStr">
        <is>
          <t>Status</t>
        </is>
      </c>
      <c r="GW14" t="inlineStr">
        <is>
          <t>Status</t>
        </is>
      </c>
      <c r="GX14" t="inlineStr">
        <is>
          <t>Status</t>
        </is>
      </c>
      <c r="GY14" t="inlineStr">
        <is>
          <t>Status</t>
        </is>
      </c>
      <c r="GZ14" t="inlineStr">
        <is>
          <t>Status</t>
        </is>
      </c>
      <c r="HA14" t="inlineStr">
        <is>
          <t>Status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Q</t>
        </is>
      </c>
      <c r="DU15" t="inlineStr">
        <is>
          <t>f_red</t>
        </is>
      </c>
      <c r="DV15" t="inlineStr">
        <is>
          <t>f_blue</t>
        </is>
      </c>
      <c r="DW15" t="inlineStr">
        <is>
          <t>f_farred</t>
        </is>
      </c>
      <c r="DX15" t="inlineStr">
        <is>
          <t>F</t>
        </is>
      </c>
      <c r="DY15" t="inlineStr">
        <is>
          <t>Q_modavg</t>
        </is>
      </c>
      <c r="DZ15" t="inlineStr">
        <is>
          <t>F_dc</t>
        </is>
      </c>
      <c r="EA15" t="inlineStr">
        <is>
          <t>Pc</t>
        </is>
      </c>
      <c r="EB15" t="inlineStr">
        <is>
          <t>Tled</t>
        </is>
      </c>
      <c r="EC15" t="inlineStr">
        <is>
          <t>TDigital</t>
        </is>
      </c>
      <c r="ED15" t="inlineStr">
        <is>
          <t>TPreamp</t>
        </is>
      </c>
      <c r="EE15" t="inlineStr">
        <is>
          <t>TPwrSpy</t>
        </is>
      </c>
      <c r="EF15" t="inlineStr">
        <is>
          <t>TDrive</t>
        </is>
      </c>
      <c r="EG15" t="inlineStr">
        <is>
          <t>Q_red</t>
        </is>
      </c>
      <c r="EH15" t="inlineStr">
        <is>
          <t>Q_blue</t>
        </is>
      </c>
      <c r="EI15" t="inlineStr">
        <is>
          <t>Q_farred</t>
        </is>
      </c>
      <c r="EJ15" t="inlineStr">
        <is>
          <t>TSPF</t>
        </is>
      </c>
      <c r="EK15" t="inlineStr">
        <is>
          <t>state</t>
        </is>
      </c>
      <c r="EL15" t="inlineStr">
        <is>
          <t>F_avg</t>
        </is>
      </c>
      <c r="EM15" t="inlineStr">
        <is>
          <t>dF/dt</t>
        </is>
      </c>
      <c r="EN15" t="inlineStr">
        <is>
          <t>dF_dc/dt</t>
        </is>
      </c>
      <c r="EO15" t="inlineStr">
        <is>
          <t>F_dc_avg</t>
        </is>
      </c>
      <c r="EP15" t="inlineStr">
        <is>
          <t>period</t>
        </is>
      </c>
      <c r="EQ15" t="inlineStr">
        <is>
          <t>time</t>
        </is>
      </c>
      <c r="ER15" t="inlineStr">
        <is>
          <t>hhmmss</t>
        </is>
      </c>
      <c r="ES15" t="inlineStr">
        <is>
          <t>co2_t</t>
        </is>
      </c>
      <c r="ET15" t="inlineStr">
        <is>
          <t>h2o_t</t>
        </is>
      </c>
      <c r="EU15" t="inlineStr">
        <is>
          <t>count</t>
        </is>
      </c>
      <c r="EV15" t="inlineStr">
        <is>
          <t>co2_adj</t>
        </is>
      </c>
      <c r="EW15" t="inlineStr">
        <is>
          <t>h2o_adj</t>
        </is>
      </c>
      <c r="EX15" t="inlineStr">
        <is>
          <t>co2_match</t>
        </is>
      </c>
      <c r="EY15" t="inlineStr">
        <is>
          <t>h2o_match</t>
        </is>
      </c>
      <c r="EZ15" t="inlineStr">
        <is>
          <t>co2_at</t>
        </is>
      </c>
      <c r="FA15" t="inlineStr">
        <is>
          <t>h2o_at</t>
        </is>
      </c>
      <c r="FB15" t="inlineStr">
        <is>
          <t>co2_cv</t>
        </is>
      </c>
      <c r="FC15" t="inlineStr">
        <is>
          <t>h2o_cv</t>
        </is>
      </c>
      <c r="FD15" t="inlineStr">
        <is>
          <t>A:MN</t>
        </is>
      </c>
      <c r="FE15" t="inlineStr">
        <is>
          <t>A:SLP</t>
        </is>
      </c>
      <c r="FF15" t="inlineStr">
        <is>
          <t>A:SD</t>
        </is>
      </c>
      <c r="FG15" t="inlineStr">
        <is>
          <t>A:OK</t>
        </is>
      </c>
      <c r="FH15" t="inlineStr">
        <is>
          <t>ΔCO2:MN</t>
        </is>
      </c>
      <c r="FI15" t="inlineStr">
        <is>
          <t>ΔCO2:SLP</t>
        </is>
      </c>
      <c r="FJ15" t="inlineStr">
        <is>
          <t>ΔCO2:SD</t>
        </is>
      </c>
      <c r="FK15" t="inlineStr">
        <is>
          <t>ΔCO2:OK</t>
        </is>
      </c>
      <c r="FL15" t="inlineStr">
        <is>
          <t>F:MN</t>
        </is>
      </c>
      <c r="FM15" t="inlineStr">
        <is>
          <t>F:SLP</t>
        </is>
      </c>
      <c r="FN15" t="inlineStr">
        <is>
          <t>F:SD</t>
        </is>
      </c>
      <c r="FO15" t="inlineStr">
        <is>
          <t>F:OK</t>
        </is>
      </c>
      <c r="FP15" t="inlineStr">
        <is>
          <t>Stable</t>
        </is>
      </c>
      <c r="FQ15" t="inlineStr">
        <is>
          <t>Total</t>
        </is>
      </c>
      <c r="FR15" t="inlineStr">
        <is>
          <t>State</t>
        </is>
      </c>
      <c r="FS15" t="inlineStr">
        <is>
          <t>MatchValveR</t>
        </is>
      </c>
      <c r="FT15" t="inlineStr">
        <is>
          <t>MatchValveS</t>
        </is>
      </c>
      <c r="FU15" t="inlineStr">
        <is>
          <t>MatchCO2</t>
        </is>
      </c>
      <c r="FV15" t="inlineStr">
        <is>
          <t>MatchH2O</t>
        </is>
      </c>
      <c r="FW15" t="inlineStr">
        <is>
          <t>cf_co2_a</t>
        </is>
      </c>
      <c r="FX15" t="inlineStr">
        <is>
          <t>cf_co2_b</t>
        </is>
      </c>
      <c r="FY15" t="inlineStr">
        <is>
          <t>cf_co2_c</t>
        </is>
      </c>
      <c r="FZ15" t="inlineStr">
        <is>
          <t>cf_co2_d</t>
        </is>
      </c>
      <c r="GA15" t="inlineStr">
        <is>
          <t>cf_h2o_a</t>
        </is>
      </c>
      <c r="GB15" t="inlineStr">
        <is>
          <t>cf_h2o_b</t>
        </is>
      </c>
      <c r="GC15" t="inlineStr">
        <is>
          <t>cf_h2o_c</t>
        </is>
      </c>
      <c r="GD15" t="inlineStr">
        <is>
          <t>cf_h2o_d</t>
        </is>
      </c>
      <c r="GE15" t="inlineStr">
        <is>
          <t>co2_fit_low</t>
        </is>
      </c>
      <c r="GF15" t="inlineStr">
        <is>
          <t>co2_fit_high</t>
        </is>
      </c>
      <c r="GG15" t="inlineStr">
        <is>
          <t>h2o_fit_low</t>
        </is>
      </c>
      <c r="GH15" t="inlineStr">
        <is>
          <t>h2o_fit_high</t>
        </is>
      </c>
      <c r="GI15" t="inlineStr">
        <is>
          <t>co2_elapsed</t>
        </is>
      </c>
      <c r="GJ15" t="inlineStr">
        <is>
          <t>h2o_elapsed</t>
        </is>
      </c>
      <c r="GK15" t="inlineStr">
        <is>
          <t>CO2_f</t>
        </is>
      </c>
      <c r="GL15" t="inlineStr">
        <is>
          <t>CO2_f_s</t>
        </is>
      </c>
      <c r="GM15" t="inlineStr">
        <is>
          <t>Pump_f</t>
        </is>
      </c>
      <c r="GN15" t="inlineStr">
        <is>
          <t>Pump_f_s</t>
        </is>
      </c>
      <c r="GO15" t="inlineStr">
        <is>
          <t>Pump_p</t>
        </is>
      </c>
      <c r="GP15" t="inlineStr">
        <is>
          <t>Pump_p_s</t>
        </is>
      </c>
      <c r="GQ15" t="inlineStr">
        <is>
          <t>Tboard</t>
        </is>
      </c>
      <c r="GR15" t="inlineStr">
        <is>
          <t>V_system</t>
        </is>
      </c>
      <c r="GS15" t="inlineStr">
        <is>
          <t>DIAG</t>
        </is>
      </c>
      <c r="GT15" t="inlineStr">
        <is>
          <t>Flow_s</t>
        </is>
      </c>
      <c r="GU15" t="inlineStr">
        <is>
          <t>Flow_r</t>
        </is>
      </c>
      <c r="GV15" t="inlineStr">
        <is>
          <t>Txchg</t>
        </is>
      </c>
      <c r="GW15" t="inlineStr">
        <is>
          <t>Tirga</t>
        </is>
      </c>
      <c r="GX15" t="inlineStr">
        <is>
          <t>Tchopper</t>
        </is>
      </c>
      <c r="GY15" t="inlineStr">
        <is>
          <t>Ts</t>
        </is>
      </c>
      <c r="GZ15" t="inlineStr">
        <is>
          <t>Tr</t>
        </is>
      </c>
      <c r="HA15" t="inlineStr">
        <is>
          <t>CO2_%</t>
        </is>
      </c>
      <c r="HB15" t="inlineStr">
        <is>
          <t>Desiccant_%</t>
        </is>
      </c>
      <c r="HC15" t="inlineStr">
        <is>
          <t>Humidifier_%</t>
        </is>
      </c>
      <c r="HD15" t="inlineStr">
        <is>
          <t>Txchg_sp</t>
        </is>
      </c>
      <c r="HE15" t="inlineStr">
        <is>
          <t>CO2_r_sp</t>
        </is>
      </c>
      <c r="HF15" t="inlineStr">
        <is>
          <t>H2O_r_sp</t>
        </is>
      </c>
      <c r="HG15" t="inlineStr">
        <is>
          <t>SS_s</t>
        </is>
      </c>
      <c r="HH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m⁻² s⁻¹</t>
        </is>
      </c>
      <c r="DY16" t="inlineStr">
        <is>
          <t>µmol m⁻² s⁻¹</t>
        </is>
      </c>
      <c r="EB16" t="inlineStr">
        <is>
          <t>°C</t>
        </is>
      </c>
      <c r="EC16" t="inlineStr">
        <is>
          <t>°C</t>
        </is>
      </c>
      <c r="ED16" t="inlineStr">
        <is>
          <t>°C</t>
        </is>
      </c>
      <c r="EE16" t="inlineStr">
        <is>
          <t>°C</t>
        </is>
      </c>
      <c r="EF16" t="inlineStr">
        <is>
          <t>°C</t>
        </is>
      </c>
      <c r="EG16" t="inlineStr">
        <is>
          <t>µmol m⁻² s⁻¹</t>
        </is>
      </c>
      <c r="EH16" t="inlineStr">
        <is>
          <t>µmol m⁻² s⁻¹</t>
        </is>
      </c>
      <c r="EI16" t="inlineStr">
        <is>
          <t>µmol m⁻² s⁻¹</t>
        </is>
      </c>
      <c r="EJ16" t="inlineStr">
        <is>
          <t>s</t>
        </is>
      </c>
      <c r="EM16" t="inlineStr">
        <is>
          <t>min⁻¹</t>
        </is>
      </c>
      <c r="EN16" t="inlineStr">
        <is>
          <t>min⁻¹</t>
        </is>
      </c>
      <c r="EP16" t="inlineStr">
        <is>
          <t>s</t>
        </is>
      </c>
      <c r="EQ16" t="inlineStr">
        <is>
          <t>secs</t>
        </is>
      </c>
      <c r="ES16" t="inlineStr">
        <is>
          <t>s</t>
        </is>
      </c>
      <c r="ET16" t="inlineStr">
        <is>
          <t>s</t>
        </is>
      </c>
      <c r="EV16" t="inlineStr">
        <is>
          <t>µmol/mol</t>
        </is>
      </c>
      <c r="EW16" t="inlineStr">
        <is>
          <t>mmol/mol</t>
        </is>
      </c>
      <c r="EX16" t="inlineStr">
        <is>
          <t>µmol/mol</t>
        </is>
      </c>
      <c r="EY16" t="inlineStr">
        <is>
          <t>mmol/mol</t>
        </is>
      </c>
      <c r="EZ16" t="inlineStr">
        <is>
          <t>µmol/mol</t>
        </is>
      </c>
      <c r="FA16" t="inlineStr">
        <is>
          <t>mmol/mol</t>
        </is>
      </c>
      <c r="FB16" t="inlineStr">
        <is>
          <t>%</t>
        </is>
      </c>
      <c r="FC16" t="inlineStr">
        <is>
          <t>%</t>
        </is>
      </c>
      <c r="FD16" t="inlineStr">
        <is>
          <t>µmol m⁻² s⁻¹</t>
        </is>
      </c>
      <c r="FE16" t="inlineStr">
        <is>
          <t>µmol m⁻² s⁻¹ min⁻¹</t>
        </is>
      </c>
      <c r="FF16" t="inlineStr">
        <is>
          <t>µmol m⁻² s⁻¹</t>
        </is>
      </c>
      <c r="FH16" t="inlineStr">
        <is>
          <t>µmol mol⁻¹</t>
        </is>
      </c>
      <c r="FI16" t="inlineStr">
        <is>
          <t>µmol mol⁻¹ min⁻¹</t>
        </is>
      </c>
      <c r="FJ16" t="inlineStr">
        <is>
          <t>µmol mol⁻¹</t>
        </is>
      </c>
      <c r="FM16" t="inlineStr">
        <is>
          <t xml:space="preserve"> min⁻¹</t>
        </is>
      </c>
      <c r="FS16" t="inlineStr">
        <is>
          <t>%</t>
        </is>
      </c>
      <c r="FT16" t="inlineStr">
        <is>
          <t>%</t>
        </is>
      </c>
      <c r="FU16" t="inlineStr">
        <is>
          <t>µmol/mol</t>
        </is>
      </c>
      <c r="FV16" t="inlineStr">
        <is>
          <t>mmol/mol</t>
        </is>
      </c>
      <c r="FW16" t="inlineStr">
        <is>
          <t>µmol/mol</t>
        </is>
      </c>
      <c r="GA16" t="inlineStr">
        <is>
          <t>mmol/mol</t>
        </is>
      </c>
      <c r="GE16" t="inlineStr">
        <is>
          <t>µmol mol⁻¹</t>
        </is>
      </c>
      <c r="GF16" t="inlineStr">
        <is>
          <t>µmol mol⁻¹</t>
        </is>
      </c>
      <c r="GG16" t="inlineStr">
        <is>
          <t>mmol mol⁻¹</t>
        </is>
      </c>
      <c r="GH16" t="inlineStr">
        <is>
          <t>mmol mol⁻¹</t>
        </is>
      </c>
      <c r="GI16" t="inlineStr">
        <is>
          <t>min</t>
        </is>
      </c>
      <c r="GJ16" t="inlineStr">
        <is>
          <t>min</t>
        </is>
      </c>
      <c r="GK16" t="inlineStr">
        <is>
          <t>V</t>
        </is>
      </c>
      <c r="GL16" t="inlineStr">
        <is>
          <t>V</t>
        </is>
      </c>
      <c r="GM16" t="inlineStr">
        <is>
          <t>V</t>
        </is>
      </c>
      <c r="GN16" t="inlineStr">
        <is>
          <t>V</t>
        </is>
      </c>
      <c r="GO16" t="inlineStr">
        <is>
          <t>V</t>
        </is>
      </c>
      <c r="GP16" t="inlineStr">
        <is>
          <t>V</t>
        </is>
      </c>
      <c r="GQ16" t="inlineStr">
        <is>
          <t>°C</t>
        </is>
      </c>
      <c r="GR16" t="inlineStr">
        <is>
          <t>V</t>
        </is>
      </c>
      <c r="GT16" t="inlineStr">
        <is>
          <t>µmol s⁻¹</t>
        </is>
      </c>
      <c r="GU16" t="inlineStr">
        <is>
          <t>µmol s⁻¹</t>
        </is>
      </c>
      <c r="GV16" t="inlineStr">
        <is>
          <t>°C</t>
        </is>
      </c>
      <c r="GW16" t="inlineStr">
        <is>
          <t>°C</t>
        </is>
      </c>
      <c r="GX16" t="inlineStr">
        <is>
          <t>°C</t>
        </is>
      </c>
      <c r="GY16" t="inlineStr">
        <is>
          <t>°C</t>
        </is>
      </c>
      <c r="GZ16" t="inlineStr">
        <is>
          <t>°C</t>
        </is>
      </c>
      <c r="HA16" t="inlineStr">
        <is>
          <t>%</t>
        </is>
      </c>
      <c r="HB16" t="inlineStr">
        <is>
          <t>%</t>
        </is>
      </c>
      <c r="HC16" t="inlineStr">
        <is>
          <t>%</t>
        </is>
      </c>
      <c r="HD16" t="inlineStr">
        <is>
          <t>°C</t>
        </is>
      </c>
      <c r="HE16" t="inlineStr">
        <is>
          <t>µmol mol⁻¹</t>
        </is>
      </c>
      <c r="HF16" t="inlineStr">
        <is>
          <t>mmol mol⁻¹</t>
        </is>
      </c>
      <c r="HG16" t="inlineStr">
        <is>
          <t>%</t>
        </is>
      </c>
      <c r="HH16" t="inlineStr">
        <is>
          <t>%</t>
        </is>
      </c>
    </row>
    <row r="17">
      <c r="A17" t="n">
        <v>1</v>
      </c>
      <c r="B17" t="n">
        <v>1792299749</v>
      </c>
      <c r="C17" t="n">
        <v>0</v>
      </c>
      <c r="D17" t="inlineStr">
        <is>
          <t>20261018 14:02:29</t>
        </is>
      </c>
      <c r="E17" t="inlineStr">
        <is>
          <t>14:02:29</t>
        </is>
      </c>
      <c r="F17" t="n">
        <v>5</v>
      </c>
      <c r="G17" t="n">
        <v>1792299745.5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-</t>
        </is>
      </c>
      <c r="AK17" t="inlineStr">
        <is>
          <t>-</t>
        </is>
      </c>
      <c r="AL17" t="n">
        <v>0</v>
      </c>
      <c r="AM17" t="n">
        <v>0</v>
      </c>
      <c r="AN17">
        <f>1-AL17/AM17</f>
        <v/>
      </c>
      <c r="AO17" t="n">
        <v>0</v>
      </c>
      <c r="AP17" t="inlineStr">
        <is>
          <t>-</t>
        </is>
      </c>
      <c r="AQ17" t="inlineStr">
        <is>
          <t>-</t>
        </is>
      </c>
      <c r="AR17" t="n">
        <v>0</v>
      </c>
      <c r="AS17" t="n">
        <v>0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238</v>
      </c>
      <c r="BM17" t="n">
        <v>290</v>
      </c>
      <c r="BN17" t="n">
        <v>685.08</v>
      </c>
      <c r="BO17" t="n">
        <v>155</v>
      </c>
      <c r="BP17" t="n">
        <v>8114.5</v>
      </c>
      <c r="BQ17" t="n">
        <v>679.98</v>
      </c>
      <c r="BR17" t="n">
        <v>5.1</v>
      </c>
      <c r="BS17" t="n">
        <v>300</v>
      </c>
      <c r="BT17" t="n">
        <v>19.1</v>
      </c>
      <c r="BU17" t="n">
        <v>706.844106823418</v>
      </c>
      <c r="BV17" t="n">
        <v>2.97166849100987</v>
      </c>
      <c r="BW17" t="n">
        <v>-21.7967545701294</v>
      </c>
      <c r="BX17" t="n">
        <v>2.15589809128463</v>
      </c>
      <c r="BY17" t="n">
        <v>0.784975898435888</v>
      </c>
      <c r="BZ17" t="n">
        <v>-0.00536539243604005</v>
      </c>
      <c r="CA17" t="n">
        <v>290</v>
      </c>
      <c r="CB17" t="n">
        <v>673.11</v>
      </c>
      <c r="CC17" t="n">
        <v>615</v>
      </c>
      <c r="CD17" t="n">
        <v>8105.43</v>
      </c>
      <c r="CE17" t="n">
        <v>679.95</v>
      </c>
      <c r="CF17" t="n">
        <v>-6.84</v>
      </c>
      <c r="CT17">
        <f>$B$11*DR17+$C$11*DS17+$F$11*DT17*(1-DW17)</f>
        <v/>
      </c>
      <c r="CU17">
        <f>CT17*CV17</f>
        <v/>
      </c>
      <c r="CV17">
        <f>($B$11*$D$9+$C$11*$D$9+$F$11*((EG17+DY17)/MAX(EG17+DY17+EH17, 0.1)*$I$9+EH17/MAX(EG17+DY17+EH17, 0.1)*$J$9))/($B$11+$C$11+$F$11)</f>
        <v/>
      </c>
      <c r="CW17">
        <f>($B$11*$K$9+$C$11*$K$9+$F$11*((EG17+DY17)/MAX(EG17+DY17+EH17, 0.1)*$P$9+EH17/MAX(EG17+DY17+EH17,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1792299745.5</v>
      </c>
      <c r="DC17" t="n">
        <v>391.9445</v>
      </c>
      <c r="DD17" t="n">
        <v>399.9775</v>
      </c>
      <c r="DE17" t="n">
        <v>17.0856833333333</v>
      </c>
      <c r="DF17" t="n">
        <v>15.6837</v>
      </c>
      <c r="DG17" t="n">
        <v>392.133166666667</v>
      </c>
      <c r="DH17" t="n">
        <v>17.2275666666667</v>
      </c>
      <c r="DI17" t="n">
        <v>500.003333333333</v>
      </c>
      <c r="DJ17" t="n">
        <v>100.837833333333</v>
      </c>
      <c r="DK17" t="n">
        <v>0.1000192</v>
      </c>
      <c r="DL17" t="n">
        <v>24.7689</v>
      </c>
      <c r="DM17" t="n">
        <v>24.9876166666667</v>
      </c>
      <c r="DN17" t="n">
        <v>999.9</v>
      </c>
      <c r="DO17" t="n">
        <v>0</v>
      </c>
      <c r="DP17" t="n">
        <v>0</v>
      </c>
      <c r="DQ17" t="n">
        <v>9999.06333333333</v>
      </c>
      <c r="DR17" t="n">
        <v>0</v>
      </c>
      <c r="DS17" t="n">
        <v>7.16548666666667</v>
      </c>
      <c r="DT17" t="n">
        <v>1499.97166666667</v>
      </c>
      <c r="DU17" t="n">
        <v>0.972992333333333</v>
      </c>
      <c r="DV17" t="n">
        <v>0.0270079333333333</v>
      </c>
      <c r="DW17" t="n">
        <v>0</v>
      </c>
      <c r="DX17" t="n">
        <v>226.243</v>
      </c>
      <c r="DY17" t="n">
        <v>4.99999</v>
      </c>
      <c r="DZ17" t="n">
        <v>3360.48666666667</v>
      </c>
      <c r="EA17" t="n">
        <v>14882.3</v>
      </c>
      <c r="EB17" t="n">
        <v>36.8435</v>
      </c>
      <c r="EC17" t="n">
        <v>38.479</v>
      </c>
      <c r="ED17" t="n">
        <v>37.4475</v>
      </c>
      <c r="EE17" t="n">
        <v>37.875</v>
      </c>
      <c r="EF17" t="n">
        <v>38.375</v>
      </c>
      <c r="EG17" t="n">
        <v>1454.59166666667</v>
      </c>
      <c r="EH17" t="n">
        <v>40.38</v>
      </c>
      <c r="EI17" t="n">
        <v>0</v>
      </c>
      <c r="EJ17" t="n">
        <v>2660</v>
      </c>
      <c r="EK17" t="n">
        <v>0</v>
      </c>
      <c r="EL17" t="n">
        <v>226.18396</v>
      </c>
      <c r="EM17" t="n">
        <v>-1.60830767240282</v>
      </c>
      <c r="EN17" t="n">
        <v>-3.95846154169431</v>
      </c>
      <c r="EO17" t="n">
        <v>3360.7956</v>
      </c>
      <c r="EP17" t="n">
        <v>15</v>
      </c>
      <c r="EQ17" t="n">
        <v>1792299689</v>
      </c>
      <c r="ER17" t="inlineStr">
        <is>
          <t>14:01:29</t>
        </is>
      </c>
      <c r="ES17" t="n">
        <v>1792299689</v>
      </c>
      <c r="ET17" t="n">
        <v>1792299686</v>
      </c>
      <c r="EU17" t="n">
        <v>42</v>
      </c>
      <c r="EV17" t="n">
        <v>0.004</v>
      </c>
      <c r="EW17" t="n">
        <v>-0.001</v>
      </c>
      <c r="EX17" t="n">
        <v>-0.185</v>
      </c>
      <c r="EY17" t="n">
        <v>-0.159</v>
      </c>
      <c r="EZ17" t="n">
        <v>400</v>
      </c>
      <c r="FA17" t="n">
        <v>16</v>
      </c>
      <c r="FB17" t="n">
        <v>0.2</v>
      </c>
      <c r="FC17" t="n">
        <v>0.07000000000000001</v>
      </c>
      <c r="FD17" t="n">
        <v>18.7289974464449</v>
      </c>
      <c r="FE17" t="n">
        <v>-0.100874834790476</v>
      </c>
      <c r="FF17" t="n">
        <v>0.0676347239384656</v>
      </c>
      <c r="FG17" t="n">
        <v>1</v>
      </c>
      <c r="FH17" t="n">
        <v>-8.047585</v>
      </c>
      <c r="FI17" t="n">
        <v>0.0750595488721868</v>
      </c>
      <c r="FJ17" t="n">
        <v>0.0273871538316782</v>
      </c>
      <c r="FK17" t="n">
        <v>1</v>
      </c>
      <c r="FL17" t="n">
        <v>226.168470588235</v>
      </c>
      <c r="FM17" t="n">
        <v>0.0502979465386927</v>
      </c>
      <c r="FN17" t="n">
        <v>0.351349351475148</v>
      </c>
      <c r="FO17" t="n">
        <v>1</v>
      </c>
      <c r="FP17" t="n">
        <v>3</v>
      </c>
      <c r="FQ17" t="n">
        <v>3</v>
      </c>
      <c r="FR17" t="inlineStr">
        <is>
          <t>3/3</t>
        </is>
      </c>
      <c r="FS17" t="n">
        <v>100</v>
      </c>
      <c r="FT17" t="n">
        <v>100</v>
      </c>
      <c r="FU17" t="n">
        <v>-0.189</v>
      </c>
      <c r="FV17" t="n">
        <v>-0.142</v>
      </c>
      <c r="FW17" t="n">
        <v>-0.260035707859181</v>
      </c>
      <c r="FX17" t="n">
        <v>-6.16732984266029e-05</v>
      </c>
      <c r="FY17" t="n">
        <v>6.19398071816742e-07</v>
      </c>
      <c r="FZ17" t="n">
        <v>3.19222985850634e-12</v>
      </c>
      <c r="GA17" t="n">
        <v>-0.0567344464501897</v>
      </c>
      <c r="GB17" t="n">
        <v>-0.0257783215012692</v>
      </c>
      <c r="GC17" t="n">
        <v>0.00133723821780375</v>
      </c>
      <c r="GD17" t="n">
        <v>-7.42160749481374e-06</v>
      </c>
      <c r="GE17" t="n">
        <v>7</v>
      </c>
      <c r="GF17" t="n">
        <v>2154</v>
      </c>
      <c r="GG17" t="n">
        <v>2</v>
      </c>
      <c r="GH17" t="n">
        <v>20</v>
      </c>
      <c r="GI17" t="n">
        <v>1</v>
      </c>
      <c r="GJ17" t="n">
        <v>1.1</v>
      </c>
      <c r="GK17" t="n">
        <v>1.03882</v>
      </c>
      <c r="GL17" t="n">
        <v>2.67334</v>
      </c>
      <c r="GM17" t="n">
        <v>1.65161</v>
      </c>
      <c r="GN17" t="n">
        <v>2.27539</v>
      </c>
      <c r="GO17" t="n">
        <v>1.5979</v>
      </c>
      <c r="GP17" t="n">
        <v>2.53174</v>
      </c>
      <c r="GQ17" t="n">
        <v>38.1837</v>
      </c>
      <c r="GR17" t="n">
        <v>23.7548</v>
      </c>
      <c r="GS17" t="n">
        <v>18</v>
      </c>
      <c r="GT17" t="n">
        <v>504.759</v>
      </c>
      <c r="GU17" t="n">
        <v>515.4059999999999</v>
      </c>
      <c r="GV17" t="n">
        <v>21.064</v>
      </c>
      <c r="GW17" t="n">
        <v>29.6719</v>
      </c>
      <c r="GX17" t="n">
        <v>29.9999</v>
      </c>
      <c r="GY17" t="n">
        <v>29.8494</v>
      </c>
      <c r="GZ17" t="n">
        <v>29.9079</v>
      </c>
      <c r="HA17" t="n">
        <v>20.7793</v>
      </c>
      <c r="HB17" t="n">
        <v>24.1978</v>
      </c>
      <c r="HC17" t="n">
        <v>12.0984</v>
      </c>
      <c r="HD17" t="n">
        <v>21.0715</v>
      </c>
      <c r="HE17" t="n">
        <v>400</v>
      </c>
      <c r="HF17" t="n">
        <v>15.6429</v>
      </c>
      <c r="HG17" t="n">
        <v>98.00069999999999</v>
      </c>
      <c r="HH17" t="n">
        <v>94.50579999999999</v>
      </c>
    </row>
    <row r="18">
      <c r="A18" t="n">
        <v>2</v>
      </c>
      <c r="B18" t="n">
        <v>1792299870</v>
      </c>
      <c r="C18" t="n">
        <v>121</v>
      </c>
      <c r="D18" t="inlineStr">
        <is>
          <t>20261018 14:04:30</t>
        </is>
      </c>
      <c r="E18" t="inlineStr">
        <is>
          <t>14:04:30</t>
        </is>
      </c>
      <c r="F18" t="n">
        <v>5</v>
      </c>
      <c r="G18" t="n">
        <v>1792299867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-</t>
        </is>
      </c>
      <c r="AK18" t="inlineStr">
        <is>
          <t>-</t>
        </is>
      </c>
      <c r="AL18" t="n">
        <v>0</v>
      </c>
      <c r="AM18" t="n">
        <v>0</v>
      </c>
      <c r="AN18">
        <f>1-AL18/AM18</f>
        <v/>
      </c>
      <c r="AO18" t="n">
        <v>0</v>
      </c>
      <c r="AP18" t="inlineStr">
        <is>
          <t>-</t>
        </is>
      </c>
      <c r="AQ18" t="inlineStr">
        <is>
          <t>-</t>
        </is>
      </c>
      <c r="AR18" t="n">
        <v>0</v>
      </c>
      <c r="AS18" t="n">
        <v>0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238</v>
      </c>
      <c r="BM18" t="n">
        <v>290</v>
      </c>
      <c r="BN18" t="n">
        <v>685.08</v>
      </c>
      <c r="BO18" t="n">
        <v>155</v>
      </c>
      <c r="BP18" t="n">
        <v>8114.5</v>
      </c>
      <c r="BQ18" t="n">
        <v>679.98</v>
      </c>
      <c r="BR18" t="n">
        <v>5.1</v>
      </c>
      <c r="BS18" t="n">
        <v>300</v>
      </c>
      <c r="BT18" t="n">
        <v>19.1</v>
      </c>
      <c r="BU18" t="n">
        <v>706.844106823418</v>
      </c>
      <c r="BV18" t="n">
        <v>2.97166849100987</v>
      </c>
      <c r="BW18" t="n">
        <v>-21.7967545701294</v>
      </c>
      <c r="BX18" t="n">
        <v>2.15589809128463</v>
      </c>
      <c r="BY18" t="n">
        <v>0.784975898435888</v>
      </c>
      <c r="BZ18" t="n">
        <v>-0.00536539243604005</v>
      </c>
      <c r="CA18" t="n">
        <v>290</v>
      </c>
      <c r="CB18" t="n">
        <v>673.11</v>
      </c>
      <c r="CC18" t="n">
        <v>615</v>
      </c>
      <c r="CD18" t="n">
        <v>8105.43</v>
      </c>
      <c r="CE18" t="n">
        <v>679.95</v>
      </c>
      <c r="CF18" t="n">
        <v>-6.84</v>
      </c>
      <c r="CT18">
        <f>$B$11*DR18+$C$11*DS18+$F$11*DT18*(1-DW18)</f>
        <v/>
      </c>
      <c r="CU18">
        <f>CT18*CV18</f>
        <v/>
      </c>
      <c r="CV18">
        <f>($B$11*$D$9+$C$11*$D$9+$F$11*((EG18+DY18)/MAX(EG18+DY18+EH18, 0.1)*$I$9+EH18/MAX(EG18+DY18+EH18, 0.1)*$J$9))/($B$11+$C$11+$F$11)</f>
        <v/>
      </c>
      <c r="CW18">
        <f>($B$11*$K$9+$C$11*$K$9+$F$11*((EG18+DY18)/MAX(EG18+DY18+EH18, 0.1)*$P$9+EH18/MAX(EG18+DY18+EH18,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1792299867</v>
      </c>
      <c r="DC18" t="n">
        <v>294.046</v>
      </c>
      <c r="DD18" t="n">
        <v>300.03</v>
      </c>
      <c r="DE18" t="n">
        <v>17.1031</v>
      </c>
      <c r="DF18" t="n">
        <v>15.65124</v>
      </c>
      <c r="DG18" t="n">
        <v>294.3002</v>
      </c>
      <c r="DH18" t="n">
        <v>17.24322</v>
      </c>
      <c r="DI18" t="n">
        <v>500.053</v>
      </c>
      <c r="DJ18" t="n">
        <v>100.8354</v>
      </c>
      <c r="DK18" t="n">
        <v>0.10008312</v>
      </c>
      <c r="DL18" t="n">
        <v>24.80812</v>
      </c>
      <c r="DM18" t="n">
        <v>24.97196</v>
      </c>
      <c r="DN18" t="n">
        <v>999.9</v>
      </c>
      <c r="DO18" t="n">
        <v>0</v>
      </c>
      <c r="DP18" t="n">
        <v>0</v>
      </c>
      <c r="DQ18" t="n">
        <v>9994.748</v>
      </c>
      <c r="DR18" t="n">
        <v>0</v>
      </c>
      <c r="DS18" t="n">
        <v>7.19254</v>
      </c>
      <c r="DT18" t="n">
        <v>1499.98</v>
      </c>
      <c r="DU18" t="n">
        <v>0.972992</v>
      </c>
      <c r="DV18" t="n">
        <v>0.02700828</v>
      </c>
      <c r="DW18" t="n">
        <v>0</v>
      </c>
      <c r="DX18" t="n">
        <v>223.8942</v>
      </c>
      <c r="DY18" t="n">
        <v>4.99999</v>
      </c>
      <c r="DZ18" t="n">
        <v>3329.656</v>
      </c>
      <c r="EA18" t="n">
        <v>14882.32</v>
      </c>
      <c r="EB18" t="n">
        <v>36.7996</v>
      </c>
      <c r="EC18" t="n">
        <v>38.4246</v>
      </c>
      <c r="ED18" t="n">
        <v>37.4122</v>
      </c>
      <c r="EE18" t="n">
        <v>37.812</v>
      </c>
      <c r="EF18" t="n">
        <v>38.375</v>
      </c>
      <c r="EG18" t="n">
        <v>1454.6</v>
      </c>
      <c r="EH18" t="n">
        <v>40.38</v>
      </c>
      <c r="EI18" t="n">
        <v>0</v>
      </c>
      <c r="EJ18" t="n">
        <v>2780.59999990463</v>
      </c>
      <c r="EK18" t="n">
        <v>0</v>
      </c>
      <c r="EL18" t="n">
        <v>223.7455</v>
      </c>
      <c r="EM18" t="n">
        <v>-0.0147350528173609</v>
      </c>
      <c r="EN18" t="n">
        <v>13.6916239369064</v>
      </c>
      <c r="EO18" t="n">
        <v>3328.66076923077</v>
      </c>
      <c r="EP18" t="n">
        <v>15</v>
      </c>
      <c r="EQ18" t="n">
        <v>1792299817</v>
      </c>
      <c r="ER18" t="inlineStr">
        <is>
          <t>14:03:37</t>
        </is>
      </c>
      <c r="ES18" t="n">
        <v>1792299817</v>
      </c>
      <c r="ET18" t="n">
        <v>1792299813</v>
      </c>
      <c r="EU18" t="n">
        <v>43</v>
      </c>
      <c r="EV18" t="n">
        <v>-0.03</v>
      </c>
      <c r="EW18" t="n">
        <v>0.002</v>
      </c>
      <c r="EX18" t="n">
        <v>-0.253</v>
      </c>
      <c r="EY18" t="n">
        <v>-0.158</v>
      </c>
      <c r="EZ18" t="n">
        <v>300</v>
      </c>
      <c r="FA18" t="n">
        <v>16</v>
      </c>
      <c r="FB18" t="n">
        <v>0.31</v>
      </c>
      <c r="FC18" t="n">
        <v>0.03</v>
      </c>
      <c r="FD18" t="n">
        <v>13.6900426673031</v>
      </c>
      <c r="FE18" t="n">
        <v>0.622912629267506</v>
      </c>
      <c r="FF18" t="n">
        <v>0.103857044780251</v>
      </c>
      <c r="FG18" t="n">
        <v>0</v>
      </c>
      <c r="FH18" t="n">
        <v>-5.9188795</v>
      </c>
      <c r="FI18" t="n">
        <v>-0.329668421052624</v>
      </c>
      <c r="FJ18" t="n">
        <v>0.0449946812940152</v>
      </c>
      <c r="FK18" t="n">
        <v>1</v>
      </c>
      <c r="FL18" t="n">
        <v>223.817617647059</v>
      </c>
      <c r="FM18" t="n">
        <v>-0.426417123014261</v>
      </c>
      <c r="FN18" t="n">
        <v>0.57204154593597</v>
      </c>
      <c r="FO18" t="n">
        <v>1</v>
      </c>
      <c r="FP18" t="n">
        <v>2</v>
      </c>
      <c r="FQ18" t="n">
        <v>3</v>
      </c>
      <c r="FR18" t="inlineStr">
        <is>
          <t>2/3</t>
        </is>
      </c>
      <c r="FS18" t="n">
        <v>100</v>
      </c>
      <c r="FT18" t="n">
        <v>100</v>
      </c>
      <c r="FU18" t="n">
        <v>-0.254</v>
      </c>
      <c r="FV18" t="n">
        <v>-0.1401</v>
      </c>
      <c r="FW18" t="n">
        <v>-0.290001799263956</v>
      </c>
      <c r="FX18" t="n">
        <v>-6.16732984266029e-05</v>
      </c>
      <c r="FY18" t="n">
        <v>6.19398071816742e-07</v>
      </c>
      <c r="FZ18" t="n">
        <v>3.19222985850634e-12</v>
      </c>
      <c r="GA18" t="n">
        <v>-0.0551757335339678</v>
      </c>
      <c r="GB18" t="n">
        <v>-0.0257783215012692</v>
      </c>
      <c r="GC18" t="n">
        <v>0.00133723821780375</v>
      </c>
      <c r="GD18" t="n">
        <v>-7.42160749481374e-06</v>
      </c>
      <c r="GE18" t="n">
        <v>7</v>
      </c>
      <c r="GF18" t="n">
        <v>2154</v>
      </c>
      <c r="GG18" t="n">
        <v>2</v>
      </c>
      <c r="GH18" t="n">
        <v>20</v>
      </c>
      <c r="GI18" t="n">
        <v>0.9</v>
      </c>
      <c r="GJ18" t="n">
        <v>0.9</v>
      </c>
      <c r="GK18" t="n">
        <v>0.828857</v>
      </c>
      <c r="GL18" t="n">
        <v>2.6709</v>
      </c>
      <c r="GM18" t="n">
        <v>1.65161</v>
      </c>
      <c r="GN18" t="n">
        <v>2.27539</v>
      </c>
      <c r="GO18" t="n">
        <v>1.5979</v>
      </c>
      <c r="GP18" t="n">
        <v>2.4939</v>
      </c>
      <c r="GQ18" t="n">
        <v>38.1837</v>
      </c>
      <c r="GR18" t="n">
        <v>23.7548</v>
      </c>
      <c r="GS18" t="n">
        <v>18</v>
      </c>
      <c r="GT18" t="n">
        <v>504.805</v>
      </c>
      <c r="GU18" t="n">
        <v>515.135</v>
      </c>
      <c r="GV18" t="n">
        <v>21.1141</v>
      </c>
      <c r="GW18" t="n">
        <v>29.6568</v>
      </c>
      <c r="GX18" t="n">
        <v>30</v>
      </c>
      <c r="GY18" t="n">
        <v>29.8418</v>
      </c>
      <c r="GZ18" t="n">
        <v>29.9002</v>
      </c>
      <c r="HA18" t="n">
        <v>16.5715</v>
      </c>
      <c r="HB18" t="n">
        <v>24.2855</v>
      </c>
      <c r="HC18" t="n">
        <v>11.7257</v>
      </c>
      <c r="HD18" t="n">
        <v>21.1335</v>
      </c>
      <c r="HE18" t="n">
        <v>300</v>
      </c>
      <c r="HF18" t="n">
        <v>15.6768</v>
      </c>
      <c r="HG18" t="n">
        <v>98.00449999999999</v>
      </c>
      <c r="HH18" t="n">
        <v>94.50660000000001</v>
      </c>
    </row>
    <row r="19">
      <c r="A19" t="n">
        <v>3</v>
      </c>
      <c r="B19" t="n">
        <v>1792299991</v>
      </c>
      <c r="C19" t="n">
        <v>242</v>
      </c>
      <c r="D19" t="inlineStr">
        <is>
          <t>20261018 14:06:31</t>
        </is>
      </c>
      <c r="E19" t="inlineStr">
        <is>
          <t>14:06:31</t>
        </is>
      </c>
      <c r="F19" t="n">
        <v>5</v>
      </c>
      <c r="G19" t="n">
        <v>1792299987.5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-</t>
        </is>
      </c>
      <c r="AK19" t="inlineStr">
        <is>
          <t>-</t>
        </is>
      </c>
      <c r="AL19" t="n">
        <v>0</v>
      </c>
      <c r="AM19" t="n">
        <v>0</v>
      </c>
      <c r="AN19">
        <f>1-AL19/AM19</f>
        <v/>
      </c>
      <c r="AO19" t="n">
        <v>0</v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238</v>
      </c>
      <c r="BM19" t="n">
        <v>290</v>
      </c>
      <c r="BN19" t="n">
        <v>685.08</v>
      </c>
      <c r="BO19" t="n">
        <v>155</v>
      </c>
      <c r="BP19" t="n">
        <v>8114.5</v>
      </c>
      <c r="BQ19" t="n">
        <v>679.98</v>
      </c>
      <c r="BR19" t="n">
        <v>5.1</v>
      </c>
      <c r="BS19" t="n">
        <v>300</v>
      </c>
      <c r="BT19" t="n">
        <v>19.1</v>
      </c>
      <c r="BU19" t="n">
        <v>706.844106823418</v>
      </c>
      <c r="BV19" t="n">
        <v>2.97166849100987</v>
      </c>
      <c r="BW19" t="n">
        <v>-21.7967545701294</v>
      </c>
      <c r="BX19" t="n">
        <v>2.15589809128463</v>
      </c>
      <c r="BY19" t="n">
        <v>0.784975898435888</v>
      </c>
      <c r="BZ19" t="n">
        <v>-0.00536539243604005</v>
      </c>
      <c r="CA19" t="n">
        <v>290</v>
      </c>
      <c r="CB19" t="n">
        <v>673.11</v>
      </c>
      <c r="CC19" t="n">
        <v>615</v>
      </c>
      <c r="CD19" t="n">
        <v>8105.43</v>
      </c>
      <c r="CE19" t="n">
        <v>679.95</v>
      </c>
      <c r="CF19" t="n">
        <v>-6.84</v>
      </c>
      <c r="CT19">
        <f>$B$11*DR19+$C$11*DS19+$F$11*DT19*(1-DW19)</f>
        <v/>
      </c>
      <c r="CU19">
        <f>CT19*CV19</f>
        <v/>
      </c>
      <c r="CV19">
        <f>($B$11*$D$9+$C$11*$D$9+$F$11*((EG19+DY19)/MAX(EG19+DY19+EH19, 0.1)*$I$9+EH19/MAX(EG19+DY19+EH19, 0.1)*$J$9))/($B$11+$C$11+$F$11)</f>
        <v/>
      </c>
      <c r="CW19">
        <f>($B$11*$K$9+$C$11*$K$9+$F$11*((EG19+DY19)/MAX(EG19+DY19+EH19, 0.1)*$P$9+EH19/MAX(EG19+DY19+EH19,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1792299987.5</v>
      </c>
      <c r="DC19" t="n">
        <v>196.385666666667</v>
      </c>
      <c r="DD19" t="n">
        <v>199.986666666667</v>
      </c>
      <c r="DE19" t="n">
        <v>17.2096333333333</v>
      </c>
      <c r="DF19" t="n">
        <v>15.7319833333333</v>
      </c>
      <c r="DG19" t="n">
        <v>196.656</v>
      </c>
      <c r="DH19" t="n">
        <v>17.3518833333333</v>
      </c>
      <c r="DI19" t="n">
        <v>500.050333333333</v>
      </c>
      <c r="DJ19" t="n">
        <v>100.839833333333</v>
      </c>
      <c r="DK19" t="n">
        <v>0.100044416666667</v>
      </c>
      <c r="DL19" t="n">
        <v>24.86925</v>
      </c>
      <c r="DM19" t="n">
        <v>24.96965</v>
      </c>
      <c r="DN19" t="n">
        <v>999.9</v>
      </c>
      <c r="DO19" t="n">
        <v>0</v>
      </c>
      <c r="DP19" t="n">
        <v>0</v>
      </c>
      <c r="DQ19" t="n">
        <v>9995.521666666669</v>
      </c>
      <c r="DR19" t="n">
        <v>0</v>
      </c>
      <c r="DS19" t="n">
        <v>7.16548666666667</v>
      </c>
      <c r="DT19" t="n">
        <v>1500.03833333333</v>
      </c>
      <c r="DU19" t="n">
        <v>0.972992333333333</v>
      </c>
      <c r="DV19" t="n">
        <v>0.0270079666666667</v>
      </c>
      <c r="DW19" t="n">
        <v>0</v>
      </c>
      <c r="DX19" t="n">
        <v>223.8305</v>
      </c>
      <c r="DY19" t="n">
        <v>4.99999</v>
      </c>
      <c r="DZ19" t="n">
        <v>3324.76833333333</v>
      </c>
      <c r="EA19" t="n">
        <v>14882.9166666667</v>
      </c>
      <c r="EB19" t="n">
        <v>36.75</v>
      </c>
      <c r="EC19" t="n">
        <v>38.375</v>
      </c>
      <c r="ED19" t="n">
        <v>37.375</v>
      </c>
      <c r="EE19" t="n">
        <v>37.75</v>
      </c>
      <c r="EF19" t="n">
        <v>38.312</v>
      </c>
      <c r="EG19" t="n">
        <v>1454.65833333333</v>
      </c>
      <c r="EH19" t="n">
        <v>40.38</v>
      </c>
      <c r="EI19" t="n">
        <v>0</v>
      </c>
      <c r="EJ19" t="n">
        <v>2901.79999995232</v>
      </c>
      <c r="EK19" t="n">
        <v>0</v>
      </c>
      <c r="EL19" t="n">
        <v>223.678692307692</v>
      </c>
      <c r="EM19" t="n">
        <v>-0.191247851212814</v>
      </c>
      <c r="EN19" t="n">
        <v>4.01504273425053</v>
      </c>
      <c r="EO19" t="n">
        <v>3324.33307692308</v>
      </c>
      <c r="EP19" t="n">
        <v>15</v>
      </c>
      <c r="EQ19" t="n">
        <v>1792299933</v>
      </c>
      <c r="ER19" t="inlineStr">
        <is>
          <t>14:05:33</t>
        </is>
      </c>
      <c r="ES19" t="n">
        <v>1792299929</v>
      </c>
      <c r="ET19" t="n">
        <v>1792299933</v>
      </c>
      <c r="EU19" t="n">
        <v>44</v>
      </c>
      <c r="EV19" t="n">
        <v>0.008</v>
      </c>
      <c r="EW19" t="n">
        <v>-0.004</v>
      </c>
      <c r="EX19" t="n">
        <v>-0.27</v>
      </c>
      <c r="EY19" t="n">
        <v>-0.161</v>
      </c>
      <c r="EZ19" t="n">
        <v>200</v>
      </c>
      <c r="FA19" t="n">
        <v>16</v>
      </c>
      <c r="FB19" t="n">
        <v>0.42</v>
      </c>
      <c r="FC19" t="n">
        <v>0.03</v>
      </c>
      <c r="FD19" t="n">
        <v>8.31188247936343</v>
      </c>
      <c r="FE19" t="n">
        <v>0.14984598655113</v>
      </c>
      <c r="FF19" t="n">
        <v>0.07106684758713019</v>
      </c>
      <c r="FG19" t="n">
        <v>1</v>
      </c>
      <c r="FH19" t="n">
        <v>-3.621448</v>
      </c>
      <c r="FI19" t="n">
        <v>0.0123049624060141</v>
      </c>
      <c r="FJ19" t="n">
        <v>0.0282927700305219</v>
      </c>
      <c r="FK19" t="n">
        <v>1</v>
      </c>
      <c r="FL19" t="n">
        <v>223.754088235294</v>
      </c>
      <c r="FM19" t="n">
        <v>-0.624766985628348</v>
      </c>
      <c r="FN19" t="n">
        <v>0.445215173863226</v>
      </c>
      <c r="FO19" t="n">
        <v>1</v>
      </c>
      <c r="FP19" t="n">
        <v>3</v>
      </c>
      <c r="FQ19" t="n">
        <v>3</v>
      </c>
      <c r="FR19" t="inlineStr">
        <is>
          <t>3/3</t>
        </is>
      </c>
      <c r="FS19" t="n">
        <v>100</v>
      </c>
      <c r="FT19" t="n">
        <v>100</v>
      </c>
      <c r="FU19" t="n">
        <v>-0.27</v>
      </c>
      <c r="FV19" t="n">
        <v>-0.1422</v>
      </c>
      <c r="FW19" t="n">
        <v>-0.282108097043491</v>
      </c>
      <c r="FX19" t="n">
        <v>-6.16732984266029e-05</v>
      </c>
      <c r="FY19" t="n">
        <v>6.19398071816742e-07</v>
      </c>
      <c r="FZ19" t="n">
        <v>3.19222985850634e-12</v>
      </c>
      <c r="GA19" t="n">
        <v>-0.0587673976398818</v>
      </c>
      <c r="GB19" t="n">
        <v>-0.0257783215012692</v>
      </c>
      <c r="GC19" t="n">
        <v>0.00133723821780375</v>
      </c>
      <c r="GD19" t="n">
        <v>-7.42160749481374e-06</v>
      </c>
      <c r="GE19" t="n">
        <v>7</v>
      </c>
      <c r="GF19" t="n">
        <v>2154</v>
      </c>
      <c r="GG19" t="n">
        <v>2</v>
      </c>
      <c r="GH19" t="n">
        <v>20</v>
      </c>
      <c r="GI19" t="n">
        <v>1</v>
      </c>
      <c r="GJ19" t="n">
        <v>1</v>
      </c>
      <c r="GK19" t="n">
        <v>0.609131</v>
      </c>
      <c r="GL19" t="n">
        <v>2.68188</v>
      </c>
      <c r="GM19" t="n">
        <v>1.65161</v>
      </c>
      <c r="GN19" t="n">
        <v>2.27539</v>
      </c>
      <c r="GO19" t="n">
        <v>1.5979</v>
      </c>
      <c r="GP19" t="n">
        <v>2.50244</v>
      </c>
      <c r="GQ19" t="n">
        <v>38.1837</v>
      </c>
      <c r="GR19" t="n">
        <v>23.7548</v>
      </c>
      <c r="GS19" t="n">
        <v>18</v>
      </c>
      <c r="GT19" t="n">
        <v>504.917</v>
      </c>
      <c r="GU19" t="n">
        <v>515.244</v>
      </c>
      <c r="GV19" t="n">
        <v>21.1883</v>
      </c>
      <c r="GW19" t="n">
        <v>29.6388</v>
      </c>
      <c r="GX19" t="n">
        <v>29.9999</v>
      </c>
      <c r="GY19" t="n">
        <v>29.829</v>
      </c>
      <c r="GZ19" t="n">
        <v>29.89</v>
      </c>
      <c r="HA19" t="n">
        <v>12.1683</v>
      </c>
      <c r="HB19" t="n">
        <v>23.6895</v>
      </c>
      <c r="HC19" t="n">
        <v>11.3537</v>
      </c>
      <c r="HD19" t="n">
        <v>21.2043</v>
      </c>
      <c r="HE19" t="n">
        <v>200</v>
      </c>
      <c r="HF19" t="n">
        <v>15.7474</v>
      </c>
      <c r="HG19" t="n">
        <v>98.0068</v>
      </c>
      <c r="HH19" t="n">
        <v>94.505</v>
      </c>
    </row>
    <row r="20">
      <c r="A20" t="n">
        <v>4</v>
      </c>
      <c r="B20" t="n">
        <v>1792300112.1</v>
      </c>
      <c r="C20" t="n">
        <v>363.099999904633</v>
      </c>
      <c r="D20" t="inlineStr">
        <is>
          <t>20261018 14:08:32</t>
        </is>
      </c>
      <c r="E20" t="inlineStr">
        <is>
          <t>14:08:32</t>
        </is>
      </c>
      <c r="F20" t="n">
        <v>5</v>
      </c>
      <c r="G20" t="n">
        <v>1792300109.1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-</t>
        </is>
      </c>
      <c r="AK20" t="inlineStr">
        <is>
          <t>-</t>
        </is>
      </c>
      <c r="AL20" t="n">
        <v>0</v>
      </c>
      <c r="AM20" t="n">
        <v>0</v>
      </c>
      <c r="AN20">
        <f>1-AL20/AM20</f>
        <v/>
      </c>
      <c r="AO20" t="n">
        <v>0</v>
      </c>
      <c r="AP20" t="inlineStr">
        <is>
          <t>-</t>
        </is>
      </c>
      <c r="AQ20" t="inlineStr">
        <is>
          <t>-</t>
        </is>
      </c>
      <c r="AR20" t="n">
        <v>0</v>
      </c>
      <c r="AS20" t="n">
        <v>0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238</v>
      </c>
      <c r="BM20" t="n">
        <v>290</v>
      </c>
      <c r="BN20" t="n">
        <v>685.08</v>
      </c>
      <c r="BO20" t="n">
        <v>155</v>
      </c>
      <c r="BP20" t="n">
        <v>8114.5</v>
      </c>
      <c r="BQ20" t="n">
        <v>679.98</v>
      </c>
      <c r="BR20" t="n">
        <v>5.1</v>
      </c>
      <c r="BS20" t="n">
        <v>300</v>
      </c>
      <c r="BT20" t="n">
        <v>19.1</v>
      </c>
      <c r="BU20" t="n">
        <v>706.844106823418</v>
      </c>
      <c r="BV20" t="n">
        <v>2.97166849100987</v>
      </c>
      <c r="BW20" t="n">
        <v>-21.7967545701294</v>
      </c>
      <c r="BX20" t="n">
        <v>2.15589809128463</v>
      </c>
      <c r="BY20" t="n">
        <v>0.784975898435888</v>
      </c>
      <c r="BZ20" t="n">
        <v>-0.00536539243604005</v>
      </c>
      <c r="CA20" t="n">
        <v>290</v>
      </c>
      <c r="CB20" t="n">
        <v>673.11</v>
      </c>
      <c r="CC20" t="n">
        <v>615</v>
      </c>
      <c r="CD20" t="n">
        <v>8105.43</v>
      </c>
      <c r="CE20" t="n">
        <v>679.95</v>
      </c>
      <c r="CF20" t="n">
        <v>-6.84</v>
      </c>
      <c r="CT20">
        <f>$B$11*DR20+$C$11*DS20+$F$11*DT20*(1-DW20)</f>
        <v/>
      </c>
      <c r="CU20">
        <f>CT20*CV20</f>
        <v/>
      </c>
      <c r="CV20">
        <f>($B$11*$D$9+$C$11*$D$9+$F$11*((EG20+DY20)/MAX(EG20+DY20+EH20, 0.1)*$I$9+EH20/MAX(EG20+DY20+EH20, 0.1)*$J$9))/($B$11+$C$11+$F$11)</f>
        <v/>
      </c>
      <c r="CW20">
        <f>($B$11*$K$9+$C$11*$K$9+$F$11*((EG20+DY20)/MAX(EG20+DY20+EH20, 0.1)*$P$9+EH20/MAX(EG20+DY20+EH20,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1792300109.1</v>
      </c>
      <c r="DC20" t="n">
        <v>98.82914</v>
      </c>
      <c r="DD20" t="n">
        <v>99.97812</v>
      </c>
      <c r="DE20" t="n">
        <v>17.25734</v>
      </c>
      <c r="DF20" t="n">
        <v>15.71192</v>
      </c>
      <c r="DG20" t="n">
        <v>99.06894</v>
      </c>
      <c r="DH20" t="n">
        <v>17.39732</v>
      </c>
      <c r="DI20" t="n">
        <v>499.9862</v>
      </c>
      <c r="DJ20" t="n">
        <v>100.8336</v>
      </c>
      <c r="DK20" t="n">
        <v>0.09978222</v>
      </c>
      <c r="DL20" t="n">
        <v>24.92224</v>
      </c>
      <c r="DM20" t="n">
        <v>24.95034</v>
      </c>
      <c r="DN20" t="n">
        <v>999.9</v>
      </c>
      <c r="DO20" t="n">
        <v>0</v>
      </c>
      <c r="DP20" t="n">
        <v>0</v>
      </c>
      <c r="DQ20" t="n">
        <v>10019.88</v>
      </c>
      <c r="DR20" t="n">
        <v>0</v>
      </c>
      <c r="DS20" t="n">
        <v>7.17137</v>
      </c>
      <c r="DT20" t="n">
        <v>1499.916</v>
      </c>
      <c r="DU20" t="n">
        <v>0.9730058</v>
      </c>
      <c r="DV20" t="n">
        <v>0.02699422</v>
      </c>
      <c r="DW20" t="n">
        <v>0</v>
      </c>
      <c r="DX20" t="n">
        <v>226.2158</v>
      </c>
      <c r="DY20" t="n">
        <v>4.99999</v>
      </c>
      <c r="DZ20" t="n">
        <v>3358.762</v>
      </c>
      <c r="EA20" t="n">
        <v>14881.74</v>
      </c>
      <c r="EB20" t="n">
        <v>36.687</v>
      </c>
      <c r="EC20" t="n">
        <v>38.3246</v>
      </c>
      <c r="ED20" t="n">
        <v>37.312</v>
      </c>
      <c r="EE20" t="n">
        <v>37.7248</v>
      </c>
      <c r="EF20" t="n">
        <v>38.2996</v>
      </c>
      <c r="EG20" t="n">
        <v>1454.56</v>
      </c>
      <c r="EH20" t="n">
        <v>40.356</v>
      </c>
      <c r="EI20" t="n">
        <v>0</v>
      </c>
      <c r="EJ20" t="n">
        <v>3023</v>
      </c>
      <c r="EK20" t="n">
        <v>0</v>
      </c>
      <c r="EL20" t="n">
        <v>226.402653846154</v>
      </c>
      <c r="EM20" t="n">
        <v>-1.5010940137898</v>
      </c>
      <c r="EN20" t="n">
        <v>4.32034188066084</v>
      </c>
      <c r="EO20" t="n">
        <v>3358.47192307692</v>
      </c>
      <c r="EP20" t="n">
        <v>15</v>
      </c>
      <c r="EQ20" t="n">
        <v>1792300059.1</v>
      </c>
      <c r="ER20" t="inlineStr">
        <is>
          <t>14:07:39</t>
        </is>
      </c>
      <c r="ES20" t="n">
        <v>1792300054.1</v>
      </c>
      <c r="ET20" t="n">
        <v>1792300059.1</v>
      </c>
      <c r="EU20" t="n">
        <v>45</v>
      </c>
      <c r="EV20" t="n">
        <v>0.042</v>
      </c>
      <c r="EW20" t="n">
        <v>0.002</v>
      </c>
      <c r="EX20" t="n">
        <v>-0.24</v>
      </c>
      <c r="EY20" t="n">
        <v>-0.159</v>
      </c>
      <c r="EZ20" t="n">
        <v>100</v>
      </c>
      <c r="FA20" t="n">
        <v>16</v>
      </c>
      <c r="FB20" t="n">
        <v>0.21</v>
      </c>
      <c r="FC20" t="n">
        <v>0.03</v>
      </c>
      <c r="FD20" t="n">
        <v>2.48921889508167</v>
      </c>
      <c r="FE20" t="n">
        <v>-0.11150757698736</v>
      </c>
      <c r="FF20" t="n">
        <v>0.0733574730515132</v>
      </c>
      <c r="FG20" t="n">
        <v>1</v>
      </c>
      <c r="FH20" t="n">
        <v>-1.150828</v>
      </c>
      <c r="FI20" t="n">
        <v>0.0549329323308273</v>
      </c>
      <c r="FJ20" t="n">
        <v>0.0299965297326207</v>
      </c>
      <c r="FK20" t="n">
        <v>1</v>
      </c>
      <c r="FL20" t="n">
        <v>226.393676470588</v>
      </c>
      <c r="FM20" t="n">
        <v>-0.23582887666466</v>
      </c>
      <c r="FN20" t="n">
        <v>0.415497909712888</v>
      </c>
      <c r="FO20" t="n">
        <v>1</v>
      </c>
      <c r="FP20" t="n">
        <v>3</v>
      </c>
      <c r="FQ20" t="n">
        <v>3</v>
      </c>
      <c r="FR20" t="inlineStr">
        <is>
          <t>3/3</t>
        </is>
      </c>
      <c r="FS20" t="n">
        <v>100</v>
      </c>
      <c r="FT20" t="n">
        <v>100</v>
      </c>
      <c r="FU20" t="n">
        <v>-0.24</v>
      </c>
      <c r="FV20" t="n">
        <v>-0.14</v>
      </c>
      <c r="FW20" t="n">
        <v>-0.239789972899461</v>
      </c>
      <c r="FX20" t="n">
        <v>-6.16732984266029e-05</v>
      </c>
      <c r="FY20" t="n">
        <v>6.19398071816742e-07</v>
      </c>
      <c r="FZ20" t="n">
        <v>3.19222985850634e-12</v>
      </c>
      <c r="GA20" t="n">
        <v>-0.0571692834787004</v>
      </c>
      <c r="GB20" t="n">
        <v>-0.0257783215012692</v>
      </c>
      <c r="GC20" t="n">
        <v>0.00133723821780375</v>
      </c>
      <c r="GD20" t="n">
        <v>-7.42160749481374e-06</v>
      </c>
      <c r="GE20" t="n">
        <v>7</v>
      </c>
      <c r="GF20" t="n">
        <v>2154</v>
      </c>
      <c r="GG20" t="n">
        <v>2</v>
      </c>
      <c r="GH20" t="n">
        <v>20</v>
      </c>
      <c r="GI20" t="n">
        <v>1</v>
      </c>
      <c r="GJ20" t="n">
        <v>0.9</v>
      </c>
      <c r="GK20" t="n">
        <v>0.380859</v>
      </c>
      <c r="GL20" t="n">
        <v>2.69287</v>
      </c>
      <c r="GM20" t="n">
        <v>1.65161</v>
      </c>
      <c r="GN20" t="n">
        <v>2.27539</v>
      </c>
      <c r="GO20" t="n">
        <v>1.5979</v>
      </c>
      <c r="GP20" t="n">
        <v>2.55981</v>
      </c>
      <c r="GQ20" t="n">
        <v>38.1837</v>
      </c>
      <c r="GR20" t="n">
        <v>23.7635</v>
      </c>
      <c r="GS20" t="n">
        <v>18</v>
      </c>
      <c r="GT20" t="n">
        <v>504.724</v>
      </c>
      <c r="GU20" t="n">
        <v>514.908</v>
      </c>
      <c r="GV20" t="n">
        <v>21.3022</v>
      </c>
      <c r="GW20" t="n">
        <v>29.6235</v>
      </c>
      <c r="GX20" t="n">
        <v>29.9998</v>
      </c>
      <c r="GY20" t="n">
        <v>29.8162</v>
      </c>
      <c r="GZ20" t="n">
        <v>29.8771</v>
      </c>
      <c r="HA20" t="n">
        <v>7.60656</v>
      </c>
      <c r="HB20" t="n">
        <v>23.6813</v>
      </c>
      <c r="HC20" t="n">
        <v>10.9798</v>
      </c>
      <c r="HD20" t="n">
        <v>21.3237</v>
      </c>
      <c r="HE20" t="n">
        <v>100</v>
      </c>
      <c r="HF20" t="n">
        <v>15.7514</v>
      </c>
      <c r="HG20" t="n">
        <v>98.0132</v>
      </c>
      <c r="HH20" t="n">
        <v>94.50830000000001</v>
      </c>
    </row>
    <row r="21">
      <c r="A21" t="n">
        <v>5</v>
      </c>
      <c r="B21" t="n">
        <v>1792300233.1</v>
      </c>
      <c r="C21" t="n">
        <v>484.099999904633</v>
      </c>
      <c r="D21" t="inlineStr">
        <is>
          <t>20261018 14:10:33</t>
        </is>
      </c>
      <c r="E21" t="inlineStr">
        <is>
          <t>14:10:33</t>
        </is>
      </c>
      <c r="F21" t="n">
        <v>5</v>
      </c>
      <c r="G21" t="n">
        <v>1792300229.6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-</t>
        </is>
      </c>
      <c r="AK21" t="inlineStr">
        <is>
          <t>-</t>
        </is>
      </c>
      <c r="AL21" t="n">
        <v>0</v>
      </c>
      <c r="AM21" t="n">
        <v>0</v>
      </c>
      <c r="AN21">
        <f>1-AL21/AM21</f>
        <v/>
      </c>
      <c r="AO21" t="n">
        <v>0</v>
      </c>
      <c r="AP21" t="inlineStr">
        <is>
          <t>-</t>
        </is>
      </c>
      <c r="AQ21" t="inlineStr">
        <is>
          <t>-</t>
        </is>
      </c>
      <c r="AR21" t="n">
        <v>0</v>
      </c>
      <c r="AS21" t="n">
        <v>0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238</v>
      </c>
      <c r="BM21" t="n">
        <v>290</v>
      </c>
      <c r="BN21" t="n">
        <v>685.08</v>
      </c>
      <c r="BO21" t="n">
        <v>155</v>
      </c>
      <c r="BP21" t="n">
        <v>8114.5</v>
      </c>
      <c r="BQ21" t="n">
        <v>679.98</v>
      </c>
      <c r="BR21" t="n">
        <v>5.1</v>
      </c>
      <c r="BS21" t="n">
        <v>300</v>
      </c>
      <c r="BT21" t="n">
        <v>19.1</v>
      </c>
      <c r="BU21" t="n">
        <v>706.844106823418</v>
      </c>
      <c r="BV21" t="n">
        <v>2.97166849100987</v>
      </c>
      <c r="BW21" t="n">
        <v>-21.7967545701294</v>
      </c>
      <c r="BX21" t="n">
        <v>2.15589809128463</v>
      </c>
      <c r="BY21" t="n">
        <v>0.784975898435888</v>
      </c>
      <c r="BZ21" t="n">
        <v>-0.00536539243604005</v>
      </c>
      <c r="CA21" t="n">
        <v>290</v>
      </c>
      <c r="CB21" t="n">
        <v>673.11</v>
      </c>
      <c r="CC21" t="n">
        <v>615</v>
      </c>
      <c r="CD21" t="n">
        <v>8105.43</v>
      </c>
      <c r="CE21" t="n">
        <v>679.95</v>
      </c>
      <c r="CF21" t="n">
        <v>-6.84</v>
      </c>
      <c r="CT21">
        <f>$B$11*DR21+$C$11*DS21+$F$11*DT21*(1-DW21)</f>
        <v/>
      </c>
      <c r="CU21">
        <f>CT21*CV21</f>
        <v/>
      </c>
      <c r="CV21">
        <f>($B$11*$D$9+$C$11*$D$9+$F$11*((EG21+DY21)/MAX(EG21+DY21+EH21, 0.1)*$I$9+EH21/MAX(EG21+DY21+EH21, 0.1)*$J$9))/($B$11+$C$11+$F$11)</f>
        <v/>
      </c>
      <c r="CW21">
        <f>($B$11*$K$9+$C$11*$K$9+$F$11*((EG21+DY21)/MAX(EG21+DY21+EH21, 0.1)*$P$9+EH21/MAX(EG21+DY21+EH21,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1792300229.6</v>
      </c>
      <c r="DC21" t="n">
        <v>50.0993666666667</v>
      </c>
      <c r="DD21" t="n">
        <v>49.9852833333333</v>
      </c>
      <c r="DE21" t="n">
        <v>17.3726666666667</v>
      </c>
      <c r="DF21" t="n">
        <v>15.7552666666667</v>
      </c>
      <c r="DG21" t="n">
        <v>50.3643</v>
      </c>
      <c r="DH21" t="n">
        <v>17.51175</v>
      </c>
      <c r="DI21" t="n">
        <v>500.007666666667</v>
      </c>
      <c r="DJ21" t="n">
        <v>100.8295</v>
      </c>
      <c r="DK21" t="n">
        <v>0.09987503333333329</v>
      </c>
      <c r="DL21" t="n">
        <v>25.0225833333333</v>
      </c>
      <c r="DM21" t="n">
        <v>24.9767333333333</v>
      </c>
      <c r="DN21" t="n">
        <v>999.9</v>
      </c>
      <c r="DO21" t="n">
        <v>0</v>
      </c>
      <c r="DP21" t="n">
        <v>0</v>
      </c>
      <c r="DQ21" t="n">
        <v>10011.8916666667</v>
      </c>
      <c r="DR21" t="n">
        <v>0</v>
      </c>
      <c r="DS21" t="n">
        <v>7.144075</v>
      </c>
      <c r="DT21" t="n">
        <v>1499.95</v>
      </c>
      <c r="DU21" t="n">
        <v>0.9729965</v>
      </c>
      <c r="DV21" t="n">
        <v>0.0270035833333333</v>
      </c>
      <c r="DW21" t="n">
        <v>0</v>
      </c>
      <c r="DX21" t="n">
        <v>229.298333333333</v>
      </c>
      <c r="DY21" t="n">
        <v>4.99999</v>
      </c>
      <c r="DZ21" t="n">
        <v>3395.31</v>
      </c>
      <c r="EA21" t="n">
        <v>14882.05</v>
      </c>
      <c r="EB21" t="n">
        <v>36.625</v>
      </c>
      <c r="EC21" t="n">
        <v>38.2603333333333</v>
      </c>
      <c r="ED21" t="n">
        <v>37.25</v>
      </c>
      <c r="EE21" t="n">
        <v>37.687</v>
      </c>
      <c r="EF21" t="n">
        <v>38.25</v>
      </c>
      <c r="EG21" t="n">
        <v>1454.58</v>
      </c>
      <c r="EH21" t="n">
        <v>40.37</v>
      </c>
      <c r="EI21" t="n">
        <v>0</v>
      </c>
      <c r="EJ21" t="n">
        <v>3144.20000004768</v>
      </c>
      <c r="EK21" t="n">
        <v>0</v>
      </c>
      <c r="EL21" t="n">
        <v>229.136461538462</v>
      </c>
      <c r="EM21" t="n">
        <v>-1.02147007236794</v>
      </c>
      <c r="EN21" t="n">
        <v>9.202393152287311</v>
      </c>
      <c r="EO21" t="n">
        <v>3395.17423076923</v>
      </c>
      <c r="EP21" t="n">
        <v>15</v>
      </c>
      <c r="EQ21" t="n">
        <v>1792300173.1</v>
      </c>
      <c r="ER21" t="inlineStr">
        <is>
          <t>14:09:33</t>
        </is>
      </c>
      <c r="ES21" t="n">
        <v>1792300169.1</v>
      </c>
      <c r="ET21" t="n">
        <v>1792300173.1</v>
      </c>
      <c r="EU21" t="n">
        <v>46</v>
      </c>
      <c r="EV21" t="n">
        <v>-0.024</v>
      </c>
      <c r="EW21" t="n">
        <v>-0.001</v>
      </c>
      <c r="EX21" t="n">
        <v>-0.265</v>
      </c>
      <c r="EY21" t="n">
        <v>-0.16</v>
      </c>
      <c r="EZ21" t="n">
        <v>50</v>
      </c>
      <c r="FA21" t="n">
        <v>16</v>
      </c>
      <c r="FB21" t="n">
        <v>0.3</v>
      </c>
      <c r="FC21" t="n">
        <v>0.04</v>
      </c>
      <c r="FD21" t="n">
        <v>-0.496880240893556</v>
      </c>
      <c r="FE21" t="n">
        <v>0.157741559978198</v>
      </c>
      <c r="FF21" t="n">
        <v>0.0525322972515564</v>
      </c>
      <c r="FG21" t="n">
        <v>1</v>
      </c>
      <c r="FH21" t="n">
        <v>0.11670550952381</v>
      </c>
      <c r="FI21" t="n">
        <v>-0.0574322337662339</v>
      </c>
      <c r="FJ21" t="n">
        <v>0.0206080850631818</v>
      </c>
      <c r="FK21" t="n">
        <v>1</v>
      </c>
      <c r="FL21" t="n">
        <v>229.115441176471</v>
      </c>
      <c r="FM21" t="n">
        <v>0.973491220409446</v>
      </c>
      <c r="FN21" t="n">
        <v>0.389105474221585</v>
      </c>
      <c r="FO21" t="n">
        <v>1</v>
      </c>
      <c r="FP21" t="n">
        <v>3</v>
      </c>
      <c r="FQ21" t="n">
        <v>3</v>
      </c>
      <c r="FR21" t="inlineStr">
        <is>
          <t>3/3</t>
        </is>
      </c>
      <c r="FS21" t="n">
        <v>100</v>
      </c>
      <c r="FT21" t="n">
        <v>100</v>
      </c>
      <c r="FU21" t="n">
        <v>-0.265</v>
      </c>
      <c r="FV21" t="n">
        <v>-0.1391</v>
      </c>
      <c r="FW21" t="n">
        <v>-0.263385349168866</v>
      </c>
      <c r="FX21" t="n">
        <v>-6.16732984266029e-05</v>
      </c>
      <c r="FY21" t="n">
        <v>6.19398071816742e-07</v>
      </c>
      <c r="FZ21" t="n">
        <v>3.19222985850634e-12</v>
      </c>
      <c r="GA21" t="n">
        <v>-0.0578597654940486</v>
      </c>
      <c r="GB21" t="n">
        <v>-0.0257783215012692</v>
      </c>
      <c r="GC21" t="n">
        <v>0.00133723821780375</v>
      </c>
      <c r="GD21" t="n">
        <v>-7.42160749481374e-06</v>
      </c>
      <c r="GE21" t="n">
        <v>7</v>
      </c>
      <c r="GF21" t="n">
        <v>2154</v>
      </c>
      <c r="GG21" t="n">
        <v>2</v>
      </c>
      <c r="GH21" t="n">
        <v>20</v>
      </c>
      <c r="GI21" t="n">
        <v>1.1</v>
      </c>
      <c r="GJ21" t="n">
        <v>1</v>
      </c>
      <c r="GK21" t="n">
        <v>0.267334</v>
      </c>
      <c r="GL21" t="n">
        <v>2.72461</v>
      </c>
      <c r="GM21" t="n">
        <v>1.65161</v>
      </c>
      <c r="GN21" t="n">
        <v>2.27539</v>
      </c>
      <c r="GO21" t="n">
        <v>1.5979</v>
      </c>
      <c r="GP21" t="n">
        <v>2.48901</v>
      </c>
      <c r="GQ21" t="n">
        <v>38.1837</v>
      </c>
      <c r="GR21" t="n">
        <v>23.7548</v>
      </c>
      <c r="GS21" t="n">
        <v>18</v>
      </c>
      <c r="GT21" t="n">
        <v>505.019</v>
      </c>
      <c r="GU21" t="n">
        <v>514.794</v>
      </c>
      <c r="GV21" t="n">
        <v>21.5256</v>
      </c>
      <c r="GW21" t="n">
        <v>29.6082</v>
      </c>
      <c r="GX21" t="n">
        <v>29.9999</v>
      </c>
      <c r="GY21" t="n">
        <v>29.8034</v>
      </c>
      <c r="GZ21" t="n">
        <v>29.8643</v>
      </c>
      <c r="HA21" t="n">
        <v>5.3443</v>
      </c>
      <c r="HB21" t="n">
        <v>23.5367</v>
      </c>
      <c r="HC21" t="n">
        <v>10.8061</v>
      </c>
      <c r="HD21" t="n">
        <v>21.5347</v>
      </c>
      <c r="HE21" t="n">
        <v>50</v>
      </c>
      <c r="HF21" t="n">
        <v>15.6909</v>
      </c>
      <c r="HG21" t="n">
        <v>98.0153</v>
      </c>
      <c r="HH21" t="n">
        <v>94.5155</v>
      </c>
    </row>
    <row r="22">
      <c r="A22" t="n">
        <v>6</v>
      </c>
      <c r="B22" t="n">
        <v>1792300378.1</v>
      </c>
      <c r="C22" t="n">
        <v>629.099999904633</v>
      </c>
      <c r="D22" t="inlineStr">
        <is>
          <t>20261018 14:12:58</t>
        </is>
      </c>
      <c r="E22" t="inlineStr">
        <is>
          <t>14:12:58</t>
        </is>
      </c>
      <c r="F22" t="n">
        <v>5</v>
      </c>
      <c r="G22" t="n">
        <v>1792300374.6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-</t>
        </is>
      </c>
      <c r="AK22" t="inlineStr">
        <is>
          <t>-</t>
        </is>
      </c>
      <c r="AL22" t="n">
        <v>0</v>
      </c>
      <c r="AM22" t="n">
        <v>0</v>
      </c>
      <c r="AN22">
        <f>1-AL22/AM22</f>
        <v/>
      </c>
      <c r="AO22" t="n">
        <v>0</v>
      </c>
      <c r="AP22" t="inlineStr">
        <is>
          <t>-</t>
        </is>
      </c>
      <c r="AQ22" t="inlineStr">
        <is>
          <t>-</t>
        </is>
      </c>
      <c r="AR22" t="n">
        <v>0</v>
      </c>
      <c r="AS22" t="n">
        <v>0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238</v>
      </c>
      <c r="BM22" t="n">
        <v>290</v>
      </c>
      <c r="BN22" t="n">
        <v>685.08</v>
      </c>
      <c r="BO22" t="n">
        <v>155</v>
      </c>
      <c r="BP22" t="n">
        <v>8114.5</v>
      </c>
      <c r="BQ22" t="n">
        <v>679.98</v>
      </c>
      <c r="BR22" t="n">
        <v>5.1</v>
      </c>
      <c r="BS22" t="n">
        <v>300</v>
      </c>
      <c r="BT22" t="n">
        <v>19.1</v>
      </c>
      <c r="BU22" t="n">
        <v>706.844106823418</v>
      </c>
      <c r="BV22" t="n">
        <v>2.97166849100987</v>
      </c>
      <c r="BW22" t="n">
        <v>-21.7967545701294</v>
      </c>
      <c r="BX22" t="n">
        <v>2.15589809128463</v>
      </c>
      <c r="BY22" t="n">
        <v>0.784975898435888</v>
      </c>
      <c r="BZ22" t="n">
        <v>-0.00536539243604005</v>
      </c>
      <c r="CA22" t="n">
        <v>290</v>
      </c>
      <c r="CB22" t="n">
        <v>673.11</v>
      </c>
      <c r="CC22" t="n">
        <v>615</v>
      </c>
      <c r="CD22" t="n">
        <v>8105.43</v>
      </c>
      <c r="CE22" t="n">
        <v>679.95</v>
      </c>
      <c r="CF22" t="n">
        <v>-6.84</v>
      </c>
      <c r="CT22">
        <f>$B$11*DR22+$C$11*DS22+$F$11*DT22*(1-DW22)</f>
        <v/>
      </c>
      <c r="CU22">
        <f>CT22*CV22</f>
        <v/>
      </c>
      <c r="CV22">
        <f>($B$11*$D$9+$C$11*$D$9+$F$11*((EG22+DY22)/MAX(EG22+DY22+EH22, 0.1)*$I$9+EH22/MAX(EG22+DY22+EH22, 0.1)*$J$9))/($B$11+$C$11+$F$11)</f>
        <v/>
      </c>
      <c r="CW22">
        <f>($B$11*$K$9+$C$11*$K$9+$F$11*((EG22+DY22)/MAX(EG22+DY22+EH22, 0.1)*$P$9+EH22/MAX(EG22+DY22+EH22,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1792300374.6</v>
      </c>
      <c r="DC22" t="n">
        <v>391.419333333333</v>
      </c>
      <c r="DD22" t="n">
        <v>400.012166666667</v>
      </c>
      <c r="DE22" t="n">
        <v>17.5228</v>
      </c>
      <c r="DF22" t="n">
        <v>15.8275166666667</v>
      </c>
      <c r="DG22" t="n">
        <v>391.523833333333</v>
      </c>
      <c r="DH22" t="n">
        <v>17.6579</v>
      </c>
      <c r="DI22" t="n">
        <v>499.947333333333</v>
      </c>
      <c r="DJ22" t="n">
        <v>100.8345</v>
      </c>
      <c r="DK22" t="n">
        <v>0.099799</v>
      </c>
      <c r="DL22" t="n">
        <v>25.2262166666667</v>
      </c>
      <c r="DM22" t="n">
        <v>25.0066833333333</v>
      </c>
      <c r="DN22" t="n">
        <v>999.9</v>
      </c>
      <c r="DO22" t="n">
        <v>0</v>
      </c>
      <c r="DP22" t="n">
        <v>0</v>
      </c>
      <c r="DQ22" t="n">
        <v>10007.7166666667</v>
      </c>
      <c r="DR22" t="n">
        <v>0</v>
      </c>
      <c r="DS22" t="n">
        <v>7.06360666666667</v>
      </c>
      <c r="DT22" t="n">
        <v>1500.09333333333</v>
      </c>
      <c r="DU22" t="n">
        <v>0.972995666666667</v>
      </c>
      <c r="DV22" t="n">
        <v>0.0270046333333333</v>
      </c>
      <c r="DW22" t="n">
        <v>0</v>
      </c>
      <c r="DX22" t="n">
        <v>225.240833333333</v>
      </c>
      <c r="DY22" t="n">
        <v>4.99999</v>
      </c>
      <c r="DZ22" t="n">
        <v>3348.91</v>
      </c>
      <c r="EA22" t="n">
        <v>14883.5166666667</v>
      </c>
      <c r="EB22" t="n">
        <v>36.625</v>
      </c>
      <c r="EC22" t="n">
        <v>38.25</v>
      </c>
      <c r="ED22" t="n">
        <v>37.25</v>
      </c>
      <c r="EE22" t="n">
        <v>37.625</v>
      </c>
      <c r="EF22" t="n">
        <v>38.25</v>
      </c>
      <c r="EG22" t="n">
        <v>1454.71833333333</v>
      </c>
      <c r="EH22" t="n">
        <v>40.375</v>
      </c>
      <c r="EI22" t="n">
        <v>0</v>
      </c>
      <c r="EJ22" t="n">
        <v>3288.79999995232</v>
      </c>
      <c r="EK22" t="n">
        <v>0</v>
      </c>
      <c r="EL22" t="n">
        <v>225.26832</v>
      </c>
      <c r="EM22" t="n">
        <v>2.04830767727919</v>
      </c>
      <c r="EN22" t="n">
        <v>14.5192307630485</v>
      </c>
      <c r="EO22" t="n">
        <v>3347.818</v>
      </c>
      <c r="EP22" t="n">
        <v>15</v>
      </c>
      <c r="EQ22" t="n">
        <v>1792300298.1</v>
      </c>
      <c r="ER22" t="inlineStr">
        <is>
          <t>14:11:38</t>
        </is>
      </c>
      <c r="ES22" t="n">
        <v>1792300293.1</v>
      </c>
      <c r="ET22" t="n">
        <v>1792300298.1</v>
      </c>
      <c r="EU22" t="n">
        <v>47</v>
      </c>
      <c r="EV22" t="n">
        <v>0.08799999999999999</v>
      </c>
      <c r="EW22" t="n">
        <v>0.002</v>
      </c>
      <c r="EX22" t="n">
        <v>-0.101</v>
      </c>
      <c r="EY22" t="n">
        <v>-0.159</v>
      </c>
      <c r="EZ22" t="n">
        <v>400</v>
      </c>
      <c r="FA22" t="n">
        <v>16</v>
      </c>
      <c r="FB22" t="n">
        <v>0.18</v>
      </c>
      <c r="FC22" t="n">
        <v>0.07000000000000001</v>
      </c>
      <c r="FD22" t="n">
        <v>19.690769234691</v>
      </c>
      <c r="FE22" t="n">
        <v>0.598842663786355</v>
      </c>
      <c r="FF22" t="n">
        <v>0.120895835207772</v>
      </c>
      <c r="FG22" t="n">
        <v>1</v>
      </c>
      <c r="FH22" t="n">
        <v>-8.558107</v>
      </c>
      <c r="FI22" t="n">
        <v>-0.144147067669173</v>
      </c>
      <c r="FJ22" t="n">
        <v>0.034486531443449</v>
      </c>
      <c r="FK22" t="n">
        <v>1</v>
      </c>
      <c r="FL22" t="n">
        <v>225.194441176471</v>
      </c>
      <c r="FM22" t="n">
        <v>0.575691356836697</v>
      </c>
      <c r="FN22" t="n">
        <v>0.414409373557997</v>
      </c>
      <c r="FO22" t="n">
        <v>1</v>
      </c>
      <c r="FP22" t="n">
        <v>3</v>
      </c>
      <c r="FQ22" t="n">
        <v>3</v>
      </c>
      <c r="FR22" t="inlineStr">
        <is>
          <t>3/3</t>
        </is>
      </c>
      <c r="FS22" t="n">
        <v>100</v>
      </c>
      <c r="FT22" t="n">
        <v>100</v>
      </c>
      <c r="FU22" t="n">
        <v>-0.104</v>
      </c>
      <c r="FV22" t="n">
        <v>-0.135</v>
      </c>
      <c r="FW22" t="n">
        <v>-0.175627561326087</v>
      </c>
      <c r="FX22" t="n">
        <v>-6.16732984266029e-05</v>
      </c>
      <c r="FY22" t="n">
        <v>6.19398071816742e-07</v>
      </c>
      <c r="FZ22" t="n">
        <v>3.19222985850634e-12</v>
      </c>
      <c r="GA22" t="n">
        <v>-0.0560059742150644</v>
      </c>
      <c r="GB22" t="n">
        <v>-0.0257783215012692</v>
      </c>
      <c r="GC22" t="n">
        <v>0.00133723821780375</v>
      </c>
      <c r="GD22" t="n">
        <v>-7.42160749481374e-06</v>
      </c>
      <c r="GE22" t="n">
        <v>7</v>
      </c>
      <c r="GF22" t="n">
        <v>2154</v>
      </c>
      <c r="GG22" t="n">
        <v>2</v>
      </c>
      <c r="GH22" t="n">
        <v>20</v>
      </c>
      <c r="GI22" t="n">
        <v>1.4</v>
      </c>
      <c r="GJ22" t="n">
        <v>1.3</v>
      </c>
      <c r="GK22" t="n">
        <v>1.03882</v>
      </c>
      <c r="GL22" t="n">
        <v>2.66479</v>
      </c>
      <c r="GM22" t="n">
        <v>1.65161</v>
      </c>
      <c r="GN22" t="n">
        <v>2.27661</v>
      </c>
      <c r="GO22" t="n">
        <v>1.5979</v>
      </c>
      <c r="GP22" t="n">
        <v>2.63794</v>
      </c>
      <c r="GQ22" t="n">
        <v>38.208</v>
      </c>
      <c r="GR22" t="n">
        <v>23.7723</v>
      </c>
      <c r="GS22" t="n">
        <v>18</v>
      </c>
      <c r="GT22" t="n">
        <v>505.004</v>
      </c>
      <c r="GU22" t="n">
        <v>515.761</v>
      </c>
      <c r="GV22" t="n">
        <v>21.7981</v>
      </c>
      <c r="GW22" t="n">
        <v>29.5826</v>
      </c>
      <c r="GX22" t="n">
        <v>29.9992</v>
      </c>
      <c r="GY22" t="n">
        <v>29.7805</v>
      </c>
      <c r="GZ22" t="n">
        <v>29.8434</v>
      </c>
      <c r="HA22" t="n">
        <v>20.7894</v>
      </c>
      <c r="HB22" t="n">
        <v>22.9407</v>
      </c>
      <c r="HC22" t="n">
        <v>10.2312</v>
      </c>
      <c r="HD22" t="n">
        <v>21.8319</v>
      </c>
      <c r="HE22" t="n">
        <v>400</v>
      </c>
      <c r="HF22" t="n">
        <v>15.8252</v>
      </c>
      <c r="HG22" t="n">
        <v>98.02119999999999</v>
      </c>
      <c r="HH22" t="n">
        <v>94.5171</v>
      </c>
    </row>
    <row r="23">
      <c r="A23" t="n">
        <v>7</v>
      </c>
      <c r="B23" t="n">
        <v>1792300499.1</v>
      </c>
      <c r="C23" t="n">
        <v>750.099999904633</v>
      </c>
      <c r="D23" t="inlineStr">
        <is>
          <t>20261018 14:14:59</t>
        </is>
      </c>
      <c r="E23" t="inlineStr">
        <is>
          <t>14:14:59</t>
        </is>
      </c>
      <c r="F23" t="n">
        <v>5</v>
      </c>
      <c r="G23" t="n">
        <v>1792300495.6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-</t>
        </is>
      </c>
      <c r="AK23" t="inlineStr">
        <is>
          <t>-</t>
        </is>
      </c>
      <c r="AL23" t="n">
        <v>0</v>
      </c>
      <c r="AM23" t="n">
        <v>0</v>
      </c>
      <c r="AN23">
        <f>1-AL23/AM23</f>
        <v/>
      </c>
      <c r="AO23" t="n">
        <v>0</v>
      </c>
      <c r="AP23" t="inlineStr">
        <is>
          <t>-</t>
        </is>
      </c>
      <c r="AQ23" t="inlineStr">
        <is>
          <t>-</t>
        </is>
      </c>
      <c r="AR23" t="n">
        <v>0</v>
      </c>
      <c r="AS23" t="n">
        <v>0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238</v>
      </c>
      <c r="BM23" t="n">
        <v>290</v>
      </c>
      <c r="BN23" t="n">
        <v>685.08</v>
      </c>
      <c r="BO23" t="n">
        <v>155</v>
      </c>
      <c r="BP23" t="n">
        <v>8114.5</v>
      </c>
      <c r="BQ23" t="n">
        <v>679.98</v>
      </c>
      <c r="BR23" t="n">
        <v>5.1</v>
      </c>
      <c r="BS23" t="n">
        <v>300</v>
      </c>
      <c r="BT23" t="n">
        <v>19.1</v>
      </c>
      <c r="BU23" t="n">
        <v>706.844106823418</v>
      </c>
      <c r="BV23" t="n">
        <v>2.97166849100987</v>
      </c>
      <c r="BW23" t="n">
        <v>-21.7967545701294</v>
      </c>
      <c r="BX23" t="n">
        <v>2.15589809128463</v>
      </c>
      <c r="BY23" t="n">
        <v>0.784975898435888</v>
      </c>
      <c r="BZ23" t="n">
        <v>-0.00536539243604005</v>
      </c>
      <c r="CA23" t="n">
        <v>290</v>
      </c>
      <c r="CB23" t="n">
        <v>673.11</v>
      </c>
      <c r="CC23" t="n">
        <v>615</v>
      </c>
      <c r="CD23" t="n">
        <v>8105.43</v>
      </c>
      <c r="CE23" t="n">
        <v>679.95</v>
      </c>
      <c r="CF23" t="n">
        <v>-6.84</v>
      </c>
      <c r="CT23">
        <f>$B$11*DR23+$C$11*DS23+$F$11*DT23*(1-DW23)</f>
        <v/>
      </c>
      <c r="CU23">
        <f>CT23*CV23</f>
        <v/>
      </c>
      <c r="CV23">
        <f>($B$11*$D$9+$C$11*$D$9+$F$11*((EG23+DY23)/MAX(EG23+DY23+EH23, 0.1)*$I$9+EH23/MAX(EG23+DY23+EH23, 0.1)*$J$9))/($B$11+$C$11+$F$11)</f>
        <v/>
      </c>
      <c r="CW23">
        <f>($B$11*$K$9+$C$11*$K$9+$F$11*((EG23+DY23)/MAX(EG23+DY23+EH23, 0.1)*$P$9+EH23/MAX(EG23+DY23+EH23,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1792300495.6</v>
      </c>
      <c r="DC23" t="n">
        <v>390.876333333333</v>
      </c>
      <c r="DD23" t="n">
        <v>399.995333333333</v>
      </c>
      <c r="DE23" t="n">
        <v>17.6129333333333</v>
      </c>
      <c r="DF23" t="n">
        <v>15.8321333333333</v>
      </c>
      <c r="DG23" t="n">
        <v>391.0585</v>
      </c>
      <c r="DH23" t="n">
        <v>17.7496333333333</v>
      </c>
      <c r="DI23" t="n">
        <v>499.989833333333</v>
      </c>
      <c r="DJ23" t="n">
        <v>100.838166666667</v>
      </c>
      <c r="DK23" t="n">
        <v>0.09999175</v>
      </c>
      <c r="DL23" t="n">
        <v>25.2667666666667</v>
      </c>
      <c r="DM23" t="n">
        <v>25.0006333333333</v>
      </c>
      <c r="DN23" t="n">
        <v>999.9</v>
      </c>
      <c r="DO23" t="n">
        <v>0</v>
      </c>
      <c r="DP23" t="n">
        <v>0</v>
      </c>
      <c r="DQ23" t="n">
        <v>10008.9583333333</v>
      </c>
      <c r="DR23" t="n">
        <v>0</v>
      </c>
      <c r="DS23" t="n">
        <v>7.17137</v>
      </c>
      <c r="DT23" t="n">
        <v>1500.08333333333</v>
      </c>
      <c r="DU23" t="n">
        <v>0.972995666666667</v>
      </c>
      <c r="DV23" t="n">
        <v>0.0270045</v>
      </c>
      <c r="DW23" t="n">
        <v>0</v>
      </c>
      <c r="DX23" t="n">
        <v>225.926333333333</v>
      </c>
      <c r="DY23" t="n">
        <v>4.99999</v>
      </c>
      <c r="DZ23" t="n">
        <v>3354.15166666667</v>
      </c>
      <c r="EA23" t="n">
        <v>14883.3833333333</v>
      </c>
      <c r="EB23" t="n">
        <v>36.625</v>
      </c>
      <c r="EC23" t="n">
        <v>38.25</v>
      </c>
      <c r="ED23" t="n">
        <v>37.25</v>
      </c>
      <c r="EE23" t="n">
        <v>37.6353333333333</v>
      </c>
      <c r="EF23" t="n">
        <v>38.25</v>
      </c>
      <c r="EG23" t="n">
        <v>1454.70833333333</v>
      </c>
      <c r="EH23" t="n">
        <v>40.375</v>
      </c>
      <c r="EI23" t="n">
        <v>0</v>
      </c>
      <c r="EJ23" t="n">
        <v>3410</v>
      </c>
      <c r="EK23" t="n">
        <v>0</v>
      </c>
      <c r="EL23" t="n">
        <v>225.86116</v>
      </c>
      <c r="EM23" t="n">
        <v>0.564461502906742</v>
      </c>
      <c r="EN23" t="n">
        <v>2.64692311531365</v>
      </c>
      <c r="EO23" t="n">
        <v>3353.8776</v>
      </c>
      <c r="EP23" t="n">
        <v>15</v>
      </c>
      <c r="EQ23" t="n">
        <v>1792300431.1</v>
      </c>
      <c r="ER23" t="inlineStr">
        <is>
          <t>14:13:51</t>
        </is>
      </c>
      <c r="ES23" t="n">
        <v>1792300429.1</v>
      </c>
      <c r="ET23" t="n">
        <v>1792300431.1</v>
      </c>
      <c r="EU23" t="n">
        <v>48</v>
      </c>
      <c r="EV23" t="n">
        <v>-0.077</v>
      </c>
      <c r="EW23" t="n">
        <v>-0.003</v>
      </c>
      <c r="EX23" t="n">
        <v>-0.178</v>
      </c>
      <c r="EY23" t="n">
        <v>-0.16</v>
      </c>
      <c r="EZ23" t="n">
        <v>400</v>
      </c>
      <c r="FA23" t="n">
        <v>16</v>
      </c>
      <c r="FB23" t="n">
        <v>0.21</v>
      </c>
      <c r="FC23" t="n">
        <v>0.03</v>
      </c>
      <c r="FD23" t="n">
        <v>21.0299810038226</v>
      </c>
      <c r="FE23" t="n">
        <v>0.09337067851963871</v>
      </c>
      <c r="FF23" t="n">
        <v>0.0911808913387479</v>
      </c>
      <c r="FG23" t="n">
        <v>1</v>
      </c>
      <c r="FH23" t="n">
        <v>-9.1160380952381</v>
      </c>
      <c r="FI23" t="n">
        <v>-0.0604254545454611</v>
      </c>
      <c r="FJ23" t="n">
        <v>0.0373622254638288</v>
      </c>
      <c r="FK23" t="n">
        <v>1</v>
      </c>
      <c r="FL23" t="n">
        <v>225.846264705882</v>
      </c>
      <c r="FM23" t="n">
        <v>0.367838035644897</v>
      </c>
      <c r="FN23" t="n">
        <v>0.507657266784423</v>
      </c>
      <c r="FO23" t="n">
        <v>1</v>
      </c>
      <c r="FP23" t="n">
        <v>3</v>
      </c>
      <c r="FQ23" t="n">
        <v>3</v>
      </c>
      <c r="FR23" t="inlineStr">
        <is>
          <t>3/3</t>
        </is>
      </c>
      <c r="FS23" t="n">
        <v>100</v>
      </c>
      <c r="FT23" t="n">
        <v>100</v>
      </c>
      <c r="FU23" t="n">
        <v>-0.182</v>
      </c>
      <c r="FV23" t="n">
        <v>-0.1368</v>
      </c>
      <c r="FW23" t="n">
        <v>-0.25302542674503</v>
      </c>
      <c r="FX23" t="n">
        <v>-6.16732984266029e-05</v>
      </c>
      <c r="FY23" t="n">
        <v>6.19398071816742e-07</v>
      </c>
      <c r="FZ23" t="n">
        <v>3.19222985850634e-12</v>
      </c>
      <c r="GA23" t="n">
        <v>-0.0589421535209449</v>
      </c>
      <c r="GB23" t="n">
        <v>-0.0257783215012692</v>
      </c>
      <c r="GC23" t="n">
        <v>0.00133723821780375</v>
      </c>
      <c r="GD23" t="n">
        <v>-7.42160749481374e-06</v>
      </c>
      <c r="GE23" t="n">
        <v>7</v>
      </c>
      <c r="GF23" t="n">
        <v>2154</v>
      </c>
      <c r="GG23" t="n">
        <v>2</v>
      </c>
      <c r="GH23" t="n">
        <v>20</v>
      </c>
      <c r="GI23" t="n">
        <v>1.2</v>
      </c>
      <c r="GJ23" t="n">
        <v>1.1</v>
      </c>
      <c r="GK23" t="n">
        <v>1.03882</v>
      </c>
      <c r="GL23" t="n">
        <v>2.66968</v>
      </c>
      <c r="GM23" t="n">
        <v>1.65161</v>
      </c>
      <c r="GN23" t="n">
        <v>2.27539</v>
      </c>
      <c r="GO23" t="n">
        <v>1.5979</v>
      </c>
      <c r="GP23" t="n">
        <v>2.54272</v>
      </c>
      <c r="GQ23" t="n">
        <v>38.208</v>
      </c>
      <c r="GR23" t="n">
        <v>23.7635</v>
      </c>
      <c r="GS23" t="n">
        <v>18</v>
      </c>
      <c r="GT23" t="n">
        <v>505.142</v>
      </c>
      <c r="GU23" t="n">
        <v>515.5650000000001</v>
      </c>
      <c r="GV23" t="n">
        <v>21.802</v>
      </c>
      <c r="GW23" t="n">
        <v>29.5699</v>
      </c>
      <c r="GX23" t="n">
        <v>30.0001</v>
      </c>
      <c r="GY23" t="n">
        <v>29.7651</v>
      </c>
      <c r="GZ23" t="n">
        <v>29.8259</v>
      </c>
      <c r="HA23" t="n">
        <v>20.7883</v>
      </c>
      <c r="HB23" t="n">
        <v>22.7831</v>
      </c>
      <c r="HC23" t="n">
        <v>9.918200000000001</v>
      </c>
      <c r="HD23" t="n">
        <v>21.8034</v>
      </c>
      <c r="HE23" t="n">
        <v>400</v>
      </c>
      <c r="HF23" t="n">
        <v>15.8397</v>
      </c>
      <c r="HG23" t="n">
        <v>98.0234</v>
      </c>
      <c r="HH23" t="n">
        <v>94.52119999999999</v>
      </c>
    </row>
    <row r="24">
      <c r="A24" t="n">
        <v>8</v>
      </c>
      <c r="B24" t="n">
        <v>1792300638.1</v>
      </c>
      <c r="C24" t="n">
        <v>889.099999904633</v>
      </c>
      <c r="D24" t="inlineStr">
        <is>
          <t>20261018 14:17:18</t>
        </is>
      </c>
      <c r="E24" t="inlineStr">
        <is>
          <t>14:17:18</t>
        </is>
      </c>
      <c r="F24" t="n">
        <v>5</v>
      </c>
      <c r="G24" t="n">
        <v>1792300634.6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-</t>
        </is>
      </c>
      <c r="AK24" t="inlineStr">
        <is>
          <t>-</t>
        </is>
      </c>
      <c r="AL24" t="n">
        <v>0</v>
      </c>
      <c r="AM24" t="n">
        <v>0</v>
      </c>
      <c r="AN24">
        <f>1-AL24/AM24</f>
        <v/>
      </c>
      <c r="AO24" t="n">
        <v>0</v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238</v>
      </c>
      <c r="BM24" t="n">
        <v>290</v>
      </c>
      <c r="BN24" t="n">
        <v>685.08</v>
      </c>
      <c r="BO24" t="n">
        <v>155</v>
      </c>
      <c r="BP24" t="n">
        <v>8114.5</v>
      </c>
      <c r="BQ24" t="n">
        <v>679.98</v>
      </c>
      <c r="BR24" t="n">
        <v>5.1</v>
      </c>
      <c r="BS24" t="n">
        <v>300</v>
      </c>
      <c r="BT24" t="n">
        <v>19.1</v>
      </c>
      <c r="BU24" t="n">
        <v>706.844106823418</v>
      </c>
      <c r="BV24" t="n">
        <v>2.97166849100987</v>
      </c>
      <c r="BW24" t="n">
        <v>-21.7967545701294</v>
      </c>
      <c r="BX24" t="n">
        <v>2.15589809128463</v>
      </c>
      <c r="BY24" t="n">
        <v>0.784975898435888</v>
      </c>
      <c r="BZ24" t="n">
        <v>-0.00536539243604005</v>
      </c>
      <c r="CA24" t="n">
        <v>290</v>
      </c>
      <c r="CB24" t="n">
        <v>673.11</v>
      </c>
      <c r="CC24" t="n">
        <v>615</v>
      </c>
      <c r="CD24" t="n">
        <v>8105.43</v>
      </c>
      <c r="CE24" t="n">
        <v>679.95</v>
      </c>
      <c r="CF24" t="n">
        <v>-6.84</v>
      </c>
      <c r="CT24">
        <f>$B$11*DR24+$C$11*DS24+$F$11*DT24*(1-DW24)</f>
        <v/>
      </c>
      <c r="CU24">
        <f>CT24*CV24</f>
        <v/>
      </c>
      <c r="CV24">
        <f>($B$11*$D$9+$C$11*$D$9+$F$11*((EG24+DY24)/MAX(EG24+DY24+EH24, 0.1)*$I$9+EH24/MAX(EG24+DY24+EH24, 0.1)*$J$9))/($B$11+$C$11+$F$11)</f>
        <v/>
      </c>
      <c r="CW24">
        <f>($B$11*$K$9+$C$11*$K$9+$F$11*((EG24+DY24)/MAX(EG24+DY24+EH24, 0.1)*$P$9+EH24/MAX(EG24+DY24+EH24,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1792300634.6</v>
      </c>
      <c r="DC24" t="n">
        <v>686.161833333333</v>
      </c>
      <c r="DD24" t="n">
        <v>700.005666666667</v>
      </c>
      <c r="DE24" t="n">
        <v>17.6202666666667</v>
      </c>
      <c r="DF24" t="n">
        <v>15.87205</v>
      </c>
      <c r="DG24" t="n">
        <v>685.8468333333331</v>
      </c>
      <c r="DH24" t="n">
        <v>17.75835</v>
      </c>
      <c r="DI24" t="n">
        <v>500.004166666667</v>
      </c>
      <c r="DJ24" t="n">
        <v>100.8325</v>
      </c>
      <c r="DK24" t="n">
        <v>0.100006666666667</v>
      </c>
      <c r="DL24" t="n">
        <v>25.22565</v>
      </c>
      <c r="DM24" t="n">
        <v>25.0541166666667</v>
      </c>
      <c r="DN24" t="n">
        <v>999.9</v>
      </c>
      <c r="DO24" t="n">
        <v>0</v>
      </c>
      <c r="DP24" t="n">
        <v>0</v>
      </c>
      <c r="DQ24" t="n">
        <v>10001.8666666667</v>
      </c>
      <c r="DR24" t="n">
        <v>0</v>
      </c>
      <c r="DS24" t="n">
        <v>7.17231</v>
      </c>
      <c r="DT24" t="n">
        <v>1500.025</v>
      </c>
      <c r="DU24" t="n">
        <v>0.972994666666667</v>
      </c>
      <c r="DV24" t="n">
        <v>0.0270055166666667</v>
      </c>
      <c r="DW24" t="n">
        <v>0</v>
      </c>
      <c r="DX24" t="n">
        <v>227.519</v>
      </c>
      <c r="DY24" t="n">
        <v>4.99999</v>
      </c>
      <c r="DZ24" t="n">
        <v>3379.66166666667</v>
      </c>
      <c r="EA24" t="n">
        <v>14882.8</v>
      </c>
      <c r="EB24" t="n">
        <v>36.625</v>
      </c>
      <c r="EC24" t="n">
        <v>38.25</v>
      </c>
      <c r="ED24" t="n">
        <v>37.2395</v>
      </c>
      <c r="EE24" t="n">
        <v>37.6663333333333</v>
      </c>
      <c r="EF24" t="n">
        <v>38.25</v>
      </c>
      <c r="EG24" t="n">
        <v>1454.65</v>
      </c>
      <c r="EH24" t="n">
        <v>40.375</v>
      </c>
      <c r="EI24" t="n">
        <v>0</v>
      </c>
      <c r="EJ24" t="n">
        <v>3549.20000004768</v>
      </c>
      <c r="EK24" t="n">
        <v>0</v>
      </c>
      <c r="EL24" t="n">
        <v>227.56608</v>
      </c>
      <c r="EM24" t="n">
        <v>-1.92530767153686</v>
      </c>
      <c r="EN24" t="n">
        <v>1.9269230686595</v>
      </c>
      <c r="EO24" t="n">
        <v>3379.5064</v>
      </c>
      <c r="EP24" t="n">
        <v>15</v>
      </c>
      <c r="EQ24" t="n">
        <v>1792300564.1</v>
      </c>
      <c r="ER24" t="inlineStr">
        <is>
          <t>14:16:04</t>
        </is>
      </c>
      <c r="ES24" t="n">
        <v>1792300564.1</v>
      </c>
      <c r="ET24" t="n">
        <v>1792300556.1</v>
      </c>
      <c r="EU24" t="n">
        <v>49</v>
      </c>
      <c r="EV24" t="n">
        <v>0.318</v>
      </c>
      <c r="EW24" t="n">
        <v>-0.002</v>
      </c>
      <c r="EX24" t="n">
        <v>0.326</v>
      </c>
      <c r="EY24" t="n">
        <v>-0.161</v>
      </c>
      <c r="EZ24" t="n">
        <v>700</v>
      </c>
      <c r="FA24" t="n">
        <v>16</v>
      </c>
      <c r="FB24" t="n">
        <v>0.08</v>
      </c>
      <c r="FC24" t="n">
        <v>0.02</v>
      </c>
      <c r="FD24" t="n">
        <v>31.5484539821205</v>
      </c>
      <c r="FE24" t="n">
        <v>0.389985653819303</v>
      </c>
      <c r="FF24" t="n">
        <v>0.103693335232001</v>
      </c>
      <c r="FG24" t="n">
        <v>1</v>
      </c>
      <c r="FH24" t="n">
        <v>-13.851205</v>
      </c>
      <c r="FI24" t="n">
        <v>-0.067556390977437</v>
      </c>
      <c r="FJ24" t="n">
        <v>0.0384910830582877</v>
      </c>
      <c r="FK24" t="n">
        <v>1</v>
      </c>
      <c r="FL24" t="n">
        <v>227.502852941176</v>
      </c>
      <c r="FM24" t="n">
        <v>0.276103903290978</v>
      </c>
      <c r="FN24" t="n">
        <v>0.436713133219787</v>
      </c>
      <c r="FO24" t="n">
        <v>1</v>
      </c>
      <c r="FP24" t="n">
        <v>3</v>
      </c>
      <c r="FQ24" t="n">
        <v>3</v>
      </c>
      <c r="FR24" t="inlineStr">
        <is>
          <t>3/3</t>
        </is>
      </c>
      <c r="FS24" t="n">
        <v>100</v>
      </c>
      <c r="FT24" t="n">
        <v>100</v>
      </c>
      <c r="FU24" t="n">
        <v>0.315</v>
      </c>
      <c r="FV24" t="n">
        <v>-0.1382</v>
      </c>
      <c r="FW24" t="n">
        <v>0.06492430173740731</v>
      </c>
      <c r="FX24" t="n">
        <v>-6.16732984266029e-05</v>
      </c>
      <c r="FY24" t="n">
        <v>6.19398071816742e-07</v>
      </c>
      <c r="FZ24" t="n">
        <v>3.19222985850634e-12</v>
      </c>
      <c r="GA24" t="n">
        <v>-0.0604722547195307</v>
      </c>
      <c r="GB24" t="n">
        <v>-0.0257783215012692</v>
      </c>
      <c r="GC24" t="n">
        <v>0.00133723821780375</v>
      </c>
      <c r="GD24" t="n">
        <v>-7.42160749481374e-06</v>
      </c>
      <c r="GE24" t="n">
        <v>7</v>
      </c>
      <c r="GF24" t="n">
        <v>2154</v>
      </c>
      <c r="GG24" t="n">
        <v>2</v>
      </c>
      <c r="GH24" t="n">
        <v>20</v>
      </c>
      <c r="GI24" t="n">
        <v>1.2</v>
      </c>
      <c r="GJ24" t="n">
        <v>1.4</v>
      </c>
      <c r="GK24" t="n">
        <v>1.62598</v>
      </c>
      <c r="GL24" t="n">
        <v>2.65137</v>
      </c>
      <c r="GM24" t="n">
        <v>1.65161</v>
      </c>
      <c r="GN24" t="n">
        <v>2.27539</v>
      </c>
      <c r="GO24" t="n">
        <v>1.5979</v>
      </c>
      <c r="GP24" t="n">
        <v>2.65869</v>
      </c>
      <c r="GQ24" t="n">
        <v>38.208</v>
      </c>
      <c r="GR24" t="n">
        <v>23.7635</v>
      </c>
      <c r="GS24" t="n">
        <v>18</v>
      </c>
      <c r="GT24" t="n">
        <v>505.234</v>
      </c>
      <c r="GU24" t="n">
        <v>516.179</v>
      </c>
      <c r="GV24" t="n">
        <v>21.3003</v>
      </c>
      <c r="GW24" t="n">
        <v>29.5729</v>
      </c>
      <c r="GX24" t="n">
        <v>30.0003</v>
      </c>
      <c r="GY24" t="n">
        <v>29.7575</v>
      </c>
      <c r="GZ24" t="n">
        <v>29.8208</v>
      </c>
      <c r="HA24" t="n">
        <v>32.4877</v>
      </c>
      <c r="HB24" t="n">
        <v>22.509</v>
      </c>
      <c r="HC24" t="n">
        <v>9.89465</v>
      </c>
      <c r="HD24" t="n">
        <v>21.2866</v>
      </c>
      <c r="HE24" t="n">
        <v>700</v>
      </c>
      <c r="HF24" t="n">
        <v>15.8725</v>
      </c>
      <c r="HG24" t="n">
        <v>98.01949999999999</v>
      </c>
      <c r="HH24" t="n">
        <v>94.5188</v>
      </c>
    </row>
    <row r="25">
      <c r="A25" t="n">
        <v>9</v>
      </c>
      <c r="B25" t="n">
        <v>1792300771.1</v>
      </c>
      <c r="C25" t="n">
        <v>1022.09999990463</v>
      </c>
      <c r="D25" t="inlineStr">
        <is>
          <t>20261018 14:19:31</t>
        </is>
      </c>
      <c r="E25" t="inlineStr">
        <is>
          <t>14:19:31</t>
        </is>
      </c>
      <c r="F25" t="n">
        <v>5</v>
      </c>
      <c r="G25" t="n">
        <v>1792300768.1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-</t>
        </is>
      </c>
      <c r="AK25" t="inlineStr">
        <is>
          <t>-</t>
        </is>
      </c>
      <c r="AL25" t="n">
        <v>0</v>
      </c>
      <c r="AM25" t="n">
        <v>0</v>
      </c>
      <c r="AN25">
        <f>1-AL25/AM25</f>
        <v/>
      </c>
      <c r="AO25" t="n">
        <v>0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238</v>
      </c>
      <c r="BM25" t="n">
        <v>290</v>
      </c>
      <c r="BN25" t="n">
        <v>685.08</v>
      </c>
      <c r="BO25" t="n">
        <v>155</v>
      </c>
      <c r="BP25" t="n">
        <v>8114.5</v>
      </c>
      <c r="BQ25" t="n">
        <v>679.98</v>
      </c>
      <c r="BR25" t="n">
        <v>5.1</v>
      </c>
      <c r="BS25" t="n">
        <v>300</v>
      </c>
      <c r="BT25" t="n">
        <v>19.1</v>
      </c>
      <c r="BU25" t="n">
        <v>706.844106823418</v>
      </c>
      <c r="BV25" t="n">
        <v>2.97166849100987</v>
      </c>
      <c r="BW25" t="n">
        <v>-21.7967545701294</v>
      </c>
      <c r="BX25" t="n">
        <v>2.15589809128463</v>
      </c>
      <c r="BY25" t="n">
        <v>0.784975898435888</v>
      </c>
      <c r="BZ25" t="n">
        <v>-0.00536539243604005</v>
      </c>
      <c r="CA25" t="n">
        <v>290</v>
      </c>
      <c r="CB25" t="n">
        <v>673.11</v>
      </c>
      <c r="CC25" t="n">
        <v>615</v>
      </c>
      <c r="CD25" t="n">
        <v>8105.43</v>
      </c>
      <c r="CE25" t="n">
        <v>679.95</v>
      </c>
      <c r="CF25" t="n">
        <v>-6.84</v>
      </c>
      <c r="CT25">
        <f>$B$11*DR25+$C$11*DS25+$F$11*DT25*(1-DW25)</f>
        <v/>
      </c>
      <c r="CU25">
        <f>CT25*CV25</f>
        <v/>
      </c>
      <c r="CV25">
        <f>($B$11*$D$9+$C$11*$D$9+$F$11*((EG25+DY25)/MAX(EG25+DY25+EH25, 0.1)*$I$9+EH25/MAX(EG25+DY25+EH25, 0.1)*$J$9))/($B$11+$C$11+$F$11)</f>
        <v/>
      </c>
      <c r="CW25">
        <f>($B$11*$K$9+$C$11*$K$9+$F$11*((EG25+DY25)/MAX(EG25+DY25+EH25, 0.1)*$P$9+EH25/MAX(EG25+DY25+EH25,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1792300768.1</v>
      </c>
      <c r="DC25" t="n">
        <v>984.433</v>
      </c>
      <c r="DD25" t="n">
        <v>1000.1</v>
      </c>
      <c r="DE25" t="n">
        <v>17.33586</v>
      </c>
      <c r="DF25" t="n">
        <v>15.70258</v>
      </c>
      <c r="DG25" t="n">
        <v>983.6068</v>
      </c>
      <c r="DH25" t="n">
        <v>17.4792</v>
      </c>
      <c r="DI25" t="n">
        <v>500.0498</v>
      </c>
      <c r="DJ25" t="n">
        <v>100.8208</v>
      </c>
      <c r="DK25" t="n">
        <v>0.10015412</v>
      </c>
      <c r="DL25" t="n">
        <v>24.88154</v>
      </c>
      <c r="DM25" t="n">
        <v>25.0419</v>
      </c>
      <c r="DN25" t="n">
        <v>999.9</v>
      </c>
      <c r="DO25" t="n">
        <v>0</v>
      </c>
      <c r="DP25" t="n">
        <v>0</v>
      </c>
      <c r="DQ25" t="n">
        <v>9986.25</v>
      </c>
      <c r="DR25" t="n">
        <v>0</v>
      </c>
      <c r="DS25" t="n">
        <v>7.196776</v>
      </c>
      <c r="DT25" t="n">
        <v>1500.088</v>
      </c>
      <c r="DU25" t="n">
        <v>0.9729968</v>
      </c>
      <c r="DV25" t="n">
        <v>0.0270032</v>
      </c>
      <c r="DW25" t="n">
        <v>0</v>
      </c>
      <c r="DX25" t="n">
        <v>225.6382</v>
      </c>
      <c r="DY25" t="n">
        <v>4.99999</v>
      </c>
      <c r="DZ25" t="n">
        <v>3358.586</v>
      </c>
      <c r="EA25" t="n">
        <v>14883.46</v>
      </c>
      <c r="EB25" t="n">
        <v>36.6622</v>
      </c>
      <c r="EC25" t="n">
        <v>38.25</v>
      </c>
      <c r="ED25" t="n">
        <v>37.25</v>
      </c>
      <c r="EE25" t="n">
        <v>37.687</v>
      </c>
      <c r="EF25" t="n">
        <v>38.2624</v>
      </c>
      <c r="EG25" t="n">
        <v>1454.714</v>
      </c>
      <c r="EH25" t="n">
        <v>40.374</v>
      </c>
      <c r="EI25" t="n">
        <v>0</v>
      </c>
      <c r="EJ25" t="n">
        <v>3681.79999995232</v>
      </c>
      <c r="EK25" t="n">
        <v>0</v>
      </c>
      <c r="EL25" t="n">
        <v>225.945576923077</v>
      </c>
      <c r="EM25" t="n">
        <v>-0.9162051414521351</v>
      </c>
      <c r="EN25" t="n">
        <v>-14.2957264707311</v>
      </c>
      <c r="EO25" t="n">
        <v>3359.455</v>
      </c>
      <c r="EP25" t="n">
        <v>15</v>
      </c>
      <c r="EQ25" t="n">
        <v>1792300700.1</v>
      </c>
      <c r="ER25" t="inlineStr">
        <is>
          <t>14:18:20</t>
        </is>
      </c>
      <c r="ES25" t="n">
        <v>1792300697.1</v>
      </c>
      <c r="ET25" t="n">
        <v>1792300700.1</v>
      </c>
      <c r="EU25" t="n">
        <v>50</v>
      </c>
      <c r="EV25" t="n">
        <v>0.219</v>
      </c>
      <c r="EW25" t="n">
        <v>-0.001</v>
      </c>
      <c r="EX25" t="n">
        <v>0.845</v>
      </c>
      <c r="EY25" t="n">
        <v>-0.162</v>
      </c>
      <c r="EZ25" t="n">
        <v>1000</v>
      </c>
      <c r="FA25" t="n">
        <v>16</v>
      </c>
      <c r="FB25" t="n">
        <v>0.13</v>
      </c>
      <c r="FC25" t="n">
        <v>0.03</v>
      </c>
      <c r="FD25" t="n">
        <v>35.169912140749</v>
      </c>
      <c r="FE25" t="n">
        <v>-0.282845138106345</v>
      </c>
      <c r="FF25" t="n">
        <v>0.07962927928400899</v>
      </c>
      <c r="FG25" t="n">
        <v>1</v>
      </c>
      <c r="FH25" t="n">
        <v>-15.6800047619048</v>
      </c>
      <c r="FI25" t="n">
        <v>0.108935064935076</v>
      </c>
      <c r="FJ25" t="n">
        <v>0.0336355888080932</v>
      </c>
      <c r="FK25" t="n">
        <v>1</v>
      </c>
      <c r="FL25" t="n">
        <v>225.943676470588</v>
      </c>
      <c r="FM25" t="n">
        <v>0.217769280304721</v>
      </c>
      <c r="FN25" t="n">
        <v>0.363238596079301</v>
      </c>
      <c r="FO25" t="n">
        <v>1</v>
      </c>
      <c r="FP25" t="n">
        <v>3</v>
      </c>
      <c r="FQ25" t="n">
        <v>3</v>
      </c>
      <c r="FR25" t="inlineStr">
        <is>
          <t>3/3</t>
        </is>
      </c>
      <c r="FS25" t="n">
        <v>100</v>
      </c>
      <c r="FT25" t="n">
        <v>100</v>
      </c>
      <c r="FU25" t="n">
        <v>0.826</v>
      </c>
      <c r="FV25" t="n">
        <v>-0.1436</v>
      </c>
      <c r="FW25" t="n">
        <v>0.28453243252846</v>
      </c>
      <c r="FX25" t="n">
        <v>-6.16732984266029e-05</v>
      </c>
      <c r="FY25" t="n">
        <v>6.19398071816742e-07</v>
      </c>
      <c r="FZ25" t="n">
        <v>3.19222985850634e-12</v>
      </c>
      <c r="GA25" t="n">
        <v>-0.061655598105566</v>
      </c>
      <c r="GB25" t="n">
        <v>-0.0257783215012692</v>
      </c>
      <c r="GC25" t="n">
        <v>0.00133723821780375</v>
      </c>
      <c r="GD25" t="n">
        <v>-7.42160749481374e-06</v>
      </c>
      <c r="GE25" t="n">
        <v>7</v>
      </c>
      <c r="GF25" t="n">
        <v>2154</v>
      </c>
      <c r="GG25" t="n">
        <v>2</v>
      </c>
      <c r="GH25" t="n">
        <v>20</v>
      </c>
      <c r="GI25" t="n">
        <v>1.2</v>
      </c>
      <c r="GJ25" t="n">
        <v>1.2</v>
      </c>
      <c r="GK25" t="n">
        <v>2.16797</v>
      </c>
      <c r="GL25" t="n">
        <v>2.64526</v>
      </c>
      <c r="GM25" t="n">
        <v>1.65161</v>
      </c>
      <c r="GN25" t="n">
        <v>2.27661</v>
      </c>
      <c r="GO25" t="n">
        <v>1.5979</v>
      </c>
      <c r="GP25" t="n">
        <v>2.62695</v>
      </c>
      <c r="GQ25" t="n">
        <v>38.2568</v>
      </c>
      <c r="GR25" t="n">
        <v>23.7635</v>
      </c>
      <c r="GS25" t="n">
        <v>18</v>
      </c>
      <c r="GT25" t="n">
        <v>504.939</v>
      </c>
      <c r="GU25" t="n">
        <v>515.845</v>
      </c>
      <c r="GV25" t="n">
        <v>20.2395</v>
      </c>
      <c r="GW25" t="n">
        <v>29.6035</v>
      </c>
      <c r="GX25" t="n">
        <v>30.0003</v>
      </c>
      <c r="GY25" t="n">
        <v>29.7703</v>
      </c>
      <c r="GZ25" t="n">
        <v>29.8285</v>
      </c>
      <c r="HA25" t="n">
        <v>43.3467</v>
      </c>
      <c r="HB25" t="n">
        <v>23.2527</v>
      </c>
      <c r="HC25" t="n">
        <v>9.589829999999999</v>
      </c>
      <c r="HD25" t="n">
        <v>20.2149</v>
      </c>
      <c r="HE25" t="n">
        <v>1000</v>
      </c>
      <c r="HF25" t="n">
        <v>15.6281</v>
      </c>
      <c r="HG25" t="n">
        <v>98.0125</v>
      </c>
      <c r="HH25" t="n">
        <v>94.5128</v>
      </c>
    </row>
    <row r="26">
      <c r="A26" t="n">
        <v>10</v>
      </c>
      <c r="B26" t="n">
        <v>1792300895.1</v>
      </c>
      <c r="C26" t="n">
        <v>1146.09999990463</v>
      </c>
      <c r="D26" t="inlineStr">
        <is>
          <t>20261018 14:21:35</t>
        </is>
      </c>
      <c r="E26" t="inlineStr">
        <is>
          <t>14:21:35</t>
        </is>
      </c>
      <c r="F26" t="n">
        <v>5</v>
      </c>
      <c r="G26" t="n">
        <v>1792300891.6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-</t>
        </is>
      </c>
      <c r="AK26" t="inlineStr">
        <is>
          <t>-</t>
        </is>
      </c>
      <c r="AL26" t="n">
        <v>0</v>
      </c>
      <c r="AM26" t="n">
        <v>0</v>
      </c>
      <c r="AN26">
        <f>1-AL26/AM26</f>
        <v/>
      </c>
      <c r="AO26" t="n">
        <v>0</v>
      </c>
      <c r="AP26" t="inlineStr">
        <is>
          <t>-</t>
        </is>
      </c>
      <c r="AQ26" t="inlineStr">
        <is>
          <t>-</t>
        </is>
      </c>
      <c r="AR26" t="n">
        <v>0</v>
      </c>
      <c r="AS26" t="n">
        <v>0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BL26" t="n">
        <v>238</v>
      </c>
      <c r="BM26" t="n">
        <v>290</v>
      </c>
      <c r="BN26" t="n">
        <v>685.08</v>
      </c>
      <c r="BO26" t="n">
        <v>155</v>
      </c>
      <c r="BP26" t="n">
        <v>8114.5</v>
      </c>
      <c r="BQ26" t="n">
        <v>679.98</v>
      </c>
      <c r="BR26" t="n">
        <v>5.1</v>
      </c>
      <c r="BS26" t="n">
        <v>300</v>
      </c>
      <c r="BT26" t="n">
        <v>19.1</v>
      </c>
      <c r="BU26" t="n">
        <v>706.844106823418</v>
      </c>
      <c r="BV26" t="n">
        <v>2.97166849100987</v>
      </c>
      <c r="BW26" t="n">
        <v>-21.7967545701294</v>
      </c>
      <c r="BX26" t="n">
        <v>2.15589809128463</v>
      </c>
      <c r="BY26" t="n">
        <v>0.784975898435888</v>
      </c>
      <c r="BZ26" t="n">
        <v>-0.00536539243604005</v>
      </c>
      <c r="CA26" t="n">
        <v>290</v>
      </c>
      <c r="CB26" t="n">
        <v>673.11</v>
      </c>
      <c r="CC26" t="n">
        <v>615</v>
      </c>
      <c r="CD26" t="n">
        <v>8105.43</v>
      </c>
      <c r="CE26" t="n">
        <v>679.95</v>
      </c>
      <c r="CF26" t="n">
        <v>-6.84</v>
      </c>
      <c r="CT26">
        <f>$B$11*DR26+$C$11*DS26+$F$11*DT26*(1-DW26)</f>
        <v/>
      </c>
      <c r="CU26">
        <f>CT26*CV26</f>
        <v/>
      </c>
      <c r="CV26">
        <f>($B$11*$D$9+$C$11*$D$9+$F$11*((EG26+DY26)/MAX(EG26+DY26+EH26, 0.1)*$I$9+EH26/MAX(EG26+DY26+EH26, 0.1)*$J$9))/($B$11+$C$11+$F$11)</f>
        <v/>
      </c>
      <c r="CW26">
        <f>($B$11*$K$9+$C$11*$K$9+$F$11*((EG26+DY26)/MAX(EG26+DY26+EH26, 0.1)*$P$9+EH26/MAX(EG26+DY26+EH26,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1792300891.6</v>
      </c>
      <c r="DC26" t="n">
        <v>1184.02666666667</v>
      </c>
      <c r="DD26" t="n">
        <v>1199.94</v>
      </c>
      <c r="DE26" t="n">
        <v>16.94935</v>
      </c>
      <c r="DF26" t="n">
        <v>15.4467166666667</v>
      </c>
      <c r="DG26" t="n">
        <v>1182.81</v>
      </c>
      <c r="DH26" t="n">
        <v>17.09855</v>
      </c>
      <c r="DI26" t="n">
        <v>500.037666666667</v>
      </c>
      <c r="DJ26" t="n">
        <v>100.814166666667</v>
      </c>
      <c r="DK26" t="n">
        <v>0.100101366666667</v>
      </c>
      <c r="DL26" t="n">
        <v>24.5907666666667</v>
      </c>
      <c r="DM26" t="n">
        <v>25.0513</v>
      </c>
      <c r="DN26" t="n">
        <v>999.9</v>
      </c>
      <c r="DO26" t="n">
        <v>0</v>
      </c>
      <c r="DP26" t="n">
        <v>0</v>
      </c>
      <c r="DQ26" t="n">
        <v>9985.52833333333</v>
      </c>
      <c r="DR26" t="n">
        <v>0</v>
      </c>
      <c r="DS26" t="n">
        <v>7.17137</v>
      </c>
      <c r="DT26" t="n">
        <v>1499.98333333333</v>
      </c>
      <c r="DU26" t="n">
        <v>0.972994</v>
      </c>
      <c r="DV26" t="n">
        <v>0.0270063</v>
      </c>
      <c r="DW26" t="n">
        <v>0</v>
      </c>
      <c r="DX26" t="n">
        <v>225.498333333333</v>
      </c>
      <c r="DY26" t="n">
        <v>4.99999</v>
      </c>
      <c r="DZ26" t="n">
        <v>3353.53666666667</v>
      </c>
      <c r="EA26" t="n">
        <v>14882.4166666667</v>
      </c>
      <c r="EB26" t="n">
        <v>36.687</v>
      </c>
      <c r="EC26" t="n">
        <v>38.312</v>
      </c>
      <c r="ED26" t="n">
        <v>37.312</v>
      </c>
      <c r="EE26" t="n">
        <v>37.687</v>
      </c>
      <c r="EF26" t="n">
        <v>38.25</v>
      </c>
      <c r="EG26" t="n">
        <v>1454.60833333333</v>
      </c>
      <c r="EH26" t="n">
        <v>40.375</v>
      </c>
      <c r="EI26" t="n">
        <v>0</v>
      </c>
      <c r="EJ26" t="n">
        <v>3806</v>
      </c>
      <c r="EK26" t="n">
        <v>0</v>
      </c>
      <c r="EL26" t="n">
        <v>225.4752</v>
      </c>
      <c r="EM26" t="n">
        <v>1.77030768672577</v>
      </c>
      <c r="EN26" t="n">
        <v>6.993846162166</v>
      </c>
      <c r="EO26" t="n">
        <v>3353.158</v>
      </c>
      <c r="EP26" t="n">
        <v>15</v>
      </c>
      <c r="EQ26" t="n">
        <v>1792300845.1</v>
      </c>
      <c r="ER26" t="inlineStr">
        <is>
          <t>14:20:45</t>
        </is>
      </c>
      <c r="ES26" t="n">
        <v>1792300843.1</v>
      </c>
      <c r="ET26" t="n">
        <v>1792300845.1</v>
      </c>
      <c r="EU26" t="n">
        <v>51</v>
      </c>
      <c r="EV26" t="n">
        <v>0.132</v>
      </c>
      <c r="EW26" t="n">
        <v>-0.001</v>
      </c>
      <c r="EX26" t="n">
        <v>1.239</v>
      </c>
      <c r="EY26" t="n">
        <v>-0.165</v>
      </c>
      <c r="EZ26" t="n">
        <v>1200</v>
      </c>
      <c r="FA26" t="n">
        <v>16</v>
      </c>
      <c r="FB26" t="n">
        <v>0.1</v>
      </c>
      <c r="FC26" t="n">
        <v>0.07000000000000001</v>
      </c>
      <c r="FD26" t="n">
        <v>35.3887874578402</v>
      </c>
      <c r="FE26" t="n">
        <v>0.110209331366224</v>
      </c>
      <c r="FF26" t="n">
        <v>0.274065434606566</v>
      </c>
      <c r="FG26" t="n">
        <v>1</v>
      </c>
      <c r="FH26" t="n">
        <v>-15.9212714285714</v>
      </c>
      <c r="FI26" t="n">
        <v>-0.464727272727252</v>
      </c>
      <c r="FJ26" t="n">
        <v>0.12241391588672</v>
      </c>
      <c r="FK26" t="n">
        <v>1</v>
      </c>
      <c r="FL26" t="n">
        <v>225.424382352941</v>
      </c>
      <c r="FM26" t="n">
        <v>0.783880826468952</v>
      </c>
      <c r="FN26" t="n">
        <v>0.423359950779329</v>
      </c>
      <c r="FO26" t="n">
        <v>1</v>
      </c>
      <c r="FP26" t="n">
        <v>3</v>
      </c>
      <c r="FQ26" t="n">
        <v>3</v>
      </c>
      <c r="FR26" t="inlineStr">
        <is>
          <t>3/3</t>
        </is>
      </c>
      <c r="FS26" t="n">
        <v>100</v>
      </c>
      <c r="FT26" t="n">
        <v>100</v>
      </c>
      <c r="FU26" t="n">
        <v>1.22</v>
      </c>
      <c r="FV26" t="n">
        <v>-0.1497</v>
      </c>
      <c r="FW26" t="n">
        <v>0.417164771540393</v>
      </c>
      <c r="FX26" t="n">
        <v>-6.16732984266029e-05</v>
      </c>
      <c r="FY26" t="n">
        <v>6.19398071816742e-07</v>
      </c>
      <c r="FZ26" t="n">
        <v>3.19222985850634e-12</v>
      </c>
      <c r="GA26" t="n">
        <v>-0.0622788422244371</v>
      </c>
      <c r="GB26" t="n">
        <v>-0.0257783215012692</v>
      </c>
      <c r="GC26" t="n">
        <v>0.00133723821780375</v>
      </c>
      <c r="GD26" t="n">
        <v>-7.42160749481374e-06</v>
      </c>
      <c r="GE26" t="n">
        <v>7</v>
      </c>
      <c r="GF26" t="n">
        <v>2154</v>
      </c>
      <c r="GG26" t="n">
        <v>2</v>
      </c>
      <c r="GH26" t="n">
        <v>20</v>
      </c>
      <c r="GI26" t="n">
        <v>0.9</v>
      </c>
      <c r="GJ26" t="n">
        <v>0.8</v>
      </c>
      <c r="GK26" t="n">
        <v>2.51343</v>
      </c>
      <c r="GL26" t="n">
        <v>2.64771</v>
      </c>
      <c r="GM26" t="n">
        <v>1.65161</v>
      </c>
      <c r="GN26" t="n">
        <v>2.27661</v>
      </c>
      <c r="GO26" t="n">
        <v>1.5979</v>
      </c>
      <c r="GP26" t="n">
        <v>2.60376</v>
      </c>
      <c r="GQ26" t="n">
        <v>38.2324</v>
      </c>
      <c r="GR26" t="n">
        <v>23.781</v>
      </c>
      <c r="GS26" t="n">
        <v>18</v>
      </c>
      <c r="GT26" t="n">
        <v>505.17</v>
      </c>
      <c r="GU26" t="n">
        <v>515.498</v>
      </c>
      <c r="GV26" t="n">
        <v>20.8398</v>
      </c>
      <c r="GW26" t="n">
        <v>29.6413</v>
      </c>
      <c r="GX26" t="n">
        <v>30.0016</v>
      </c>
      <c r="GY26" t="n">
        <v>29.7956</v>
      </c>
      <c r="GZ26" t="n">
        <v>29.8489</v>
      </c>
      <c r="HA26" t="n">
        <v>50.2602</v>
      </c>
      <c r="HB26" t="n">
        <v>24.7239</v>
      </c>
      <c r="HC26" t="n">
        <v>9.218349999999999</v>
      </c>
      <c r="HD26" t="n">
        <v>20.6887</v>
      </c>
      <c r="HE26" t="n">
        <v>1200</v>
      </c>
      <c r="HF26" t="n">
        <v>15.3859</v>
      </c>
      <c r="HG26" t="n">
        <v>98.0093</v>
      </c>
      <c r="HH26" t="n">
        <v>94.5087</v>
      </c>
    </row>
    <row r="27">
      <c r="A27" t="n">
        <v>11</v>
      </c>
      <c r="B27" t="n">
        <v>1792301032.1</v>
      </c>
      <c r="C27" t="n">
        <v>1283.09999990463</v>
      </c>
      <c r="D27" t="inlineStr">
        <is>
          <t>20261018 14:23:52</t>
        </is>
      </c>
      <c r="E27" t="inlineStr">
        <is>
          <t>14:23:52</t>
        </is>
      </c>
      <c r="F27" t="n">
        <v>5</v>
      </c>
      <c r="G27" t="n">
        <v>1792301029.1</v>
      </c>
      <c r="H27">
        <f>(I27)/1000</f>
        <v/>
      </c>
      <c r="I27">
        <f>1000*DI27*AG27*(DE27-DF27)/(100*CX27*(1000-AG27*DE27))</f>
        <v/>
      </c>
      <c r="J27">
        <f>DI27*AG27*(DD27-DC27*(1000-AG27*DF27)/(1000-AG27*DE27))/(100*CX27)</f>
        <v/>
      </c>
      <c r="K27">
        <f>DC27 - IF(AG27&gt;1, J27*CX27*100.0/(AI27), 0)</f>
        <v/>
      </c>
      <c r="L27">
        <f>((R27-H27/2)*K27-J27)/(R27+H27/2)</f>
        <v/>
      </c>
      <c r="M27">
        <f>L27*(DJ27+DK27)/1000.0</f>
        <v/>
      </c>
      <c r="N27">
        <f>(DC27 - IF(AG27&gt;1, J27*CX27*100.0/(AI27), 0))*(DJ27+DK27)/1000.0</f>
        <v/>
      </c>
      <c r="O27">
        <f>2.0/((1/Q27-1/P27)+SIGN(Q27)*SQRT((1/Q27-1/P27)*(1/Q27-1/P27) + 4*CY27/((CY27+1)*(CY27+1))*(2*1/Q27*1/P27-1/P27*1/P27)))</f>
        <v/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/>
      </c>
      <c r="Q27">
        <f>H27*(1000-(1000*0.61365*exp(17.502*U27/(240.97+U27))/(DJ27+DK27)+DE27)/2)/(1000*0.61365*exp(17.502*U27/(240.97+U27))/(DJ27+DK27)-DE27)</f>
        <v/>
      </c>
      <c r="R27">
        <f>1/((CY27+1)/(O27/1.6)+1/(P27/1.37)) + CY27/((CY27+1)/(O27/1.6) + CY27/(P27/1.37))</f>
        <v/>
      </c>
      <c r="S27">
        <f>(CT27*CW27)</f>
        <v/>
      </c>
      <c r="T27">
        <f>(DL27+(S27+2*0.95*5.67E-8*(((DL27+$B$7)+273)^4-(DL27+273)^4)-44100*H27)/(1.84*29.3*P27+8*0.95*5.67E-8*(DL27+273)^3))</f>
        <v/>
      </c>
      <c r="U27">
        <f>($C$7*DM27+$D$7*DN27+$E$7*T27)</f>
        <v/>
      </c>
      <c r="V27">
        <f>0.61365*exp(17.502*U27/(240.97+U27))</f>
        <v/>
      </c>
      <c r="W27">
        <f>(X27/Y27*100)</f>
        <v/>
      </c>
      <c r="X27">
        <f>DE27*(DJ27+DK27)/1000</f>
        <v/>
      </c>
      <c r="Y27">
        <f>0.61365*exp(17.502*DL27/(240.97+DL27))</f>
        <v/>
      </c>
      <c r="Z27">
        <f>(V27-DE27*(DJ27+DK27)/1000)</f>
        <v/>
      </c>
      <c r="AA27">
        <f>(-H27*44100)</f>
        <v/>
      </c>
      <c r="AB27">
        <f>2*29.3*P27*0.92*(DL27-U27)</f>
        <v/>
      </c>
      <c r="AC27">
        <f>2*0.95*5.67E-8*(((DL27+$B$7)+273)^4-(U27+273)^4)</f>
        <v/>
      </c>
      <c r="AD27">
        <f>S27+AC27+AA27+AB27</f>
        <v/>
      </c>
      <c r="AE27" t="n">
        <v>0</v>
      </c>
      <c r="AF27" t="n">
        <v>0</v>
      </c>
      <c r="AG27">
        <f>IF(AE27*$H$13&gt;=AI27,1.0,(AI27/(AI27-AE27*$H$13)))</f>
        <v/>
      </c>
      <c r="AH27">
        <f>(AG27-1)*100</f>
        <v/>
      </c>
      <c r="AI27">
        <f>MAX(0,($B$13+$C$13*DQ27)/(1+$D$13*DQ27)*DJ27/(DL27+273)*$E$13)</f>
        <v/>
      </c>
      <c r="AJ27" t="inlineStr">
        <is>
          <t>-</t>
        </is>
      </c>
      <c r="AK27" t="inlineStr">
        <is>
          <t>-</t>
        </is>
      </c>
      <c r="AL27" t="n">
        <v>0</v>
      </c>
      <c r="AM27" t="n">
        <v>0</v>
      </c>
      <c r="AN27">
        <f>1-AL27/AM27</f>
        <v/>
      </c>
      <c r="AO27" t="n">
        <v>0</v>
      </c>
      <c r="AP27" t="inlineStr">
        <is>
          <t>-</t>
        </is>
      </c>
      <c r="AQ27" t="inlineStr">
        <is>
          <t>-</t>
        </is>
      </c>
      <c r="AR27" t="n">
        <v>0</v>
      </c>
      <c r="AS27" t="n">
        <v>0</v>
      </c>
      <c r="AT27">
        <f>1-AR27/AS27</f>
        <v/>
      </c>
      <c r="AU27" t="n">
        <v>0.5</v>
      </c>
      <c r="AV27">
        <f>CU27</f>
        <v/>
      </c>
      <c r="AW27">
        <f>J27</f>
        <v/>
      </c>
      <c r="AX27">
        <f>AT27*AU27*AV27</f>
        <v/>
      </c>
      <c r="AY27">
        <f>(AW27-AO27)/AV27</f>
        <v/>
      </c>
      <c r="AZ27">
        <f>(AM27-AS27)/AS27</f>
        <v/>
      </c>
      <c r="BA27">
        <f>AL27/(AN27+AL27/AS27)</f>
        <v/>
      </c>
      <c r="BB27" t="inlineStr">
        <is>
          <t>-</t>
        </is>
      </c>
      <c r="BC27" t="n">
        <v>0</v>
      </c>
      <c r="BD27">
        <f>IF(BC27&lt;&gt;0, BC27, BA27)</f>
        <v/>
      </c>
      <c r="BE27">
        <f>1-BD27/AS27</f>
        <v/>
      </c>
      <c r="BF27">
        <f>(AS27-AR27)/(AS27-BD27)</f>
        <v/>
      </c>
      <c r="BG27">
        <f>(AM27-AS27)/(AM27-BD27)</f>
        <v/>
      </c>
      <c r="BH27">
        <f>(AS27-AR27)/(AS27-AL27)</f>
        <v/>
      </c>
      <c r="BI27">
        <f>(AM27-AS27)/(AM27-AL27)</f>
        <v/>
      </c>
      <c r="BJ27">
        <f>(BF27*BD27/AR27)</f>
        <v/>
      </c>
      <c r="BK27">
        <f>(1-BJ27)</f>
        <v/>
      </c>
      <c r="BL27" t="n">
        <v>238</v>
      </c>
      <c r="BM27" t="n">
        <v>290</v>
      </c>
      <c r="BN27" t="n">
        <v>685.08</v>
      </c>
      <c r="BO27" t="n">
        <v>155</v>
      </c>
      <c r="BP27" t="n">
        <v>8114.5</v>
      </c>
      <c r="BQ27" t="n">
        <v>679.98</v>
      </c>
      <c r="BR27" t="n">
        <v>5.1</v>
      </c>
      <c r="BS27" t="n">
        <v>300</v>
      </c>
      <c r="BT27" t="n">
        <v>19.1</v>
      </c>
      <c r="BU27" t="n">
        <v>706.844106823418</v>
      </c>
      <c r="BV27" t="n">
        <v>2.97166849100987</v>
      </c>
      <c r="BW27" t="n">
        <v>-21.7967545701294</v>
      </c>
      <c r="BX27" t="n">
        <v>2.15589809128463</v>
      </c>
      <c r="BY27" t="n">
        <v>0.784975898435888</v>
      </c>
      <c r="BZ27" t="n">
        <v>-0.00536539243604005</v>
      </c>
      <c r="CA27" t="n">
        <v>290</v>
      </c>
      <c r="CB27" t="n">
        <v>673.11</v>
      </c>
      <c r="CC27" t="n">
        <v>615</v>
      </c>
      <c r="CD27" t="n">
        <v>8105.43</v>
      </c>
      <c r="CE27" t="n">
        <v>679.95</v>
      </c>
      <c r="CF27" t="n">
        <v>-6.84</v>
      </c>
      <c r="CT27">
        <f>$B$11*DR27+$C$11*DS27+$F$11*DT27*(1-DW27)</f>
        <v/>
      </c>
      <c r="CU27">
        <f>CT27*CV27</f>
        <v/>
      </c>
      <c r="CV27">
        <f>($B$11*$D$9+$C$11*$D$9+$F$11*((EG27+DY27)/MAX(EG27+DY27+EH27, 0.1)*$I$9+EH27/MAX(EG27+DY27+EH27, 0.1)*$J$9))/($B$11+$C$11+$F$11)</f>
        <v/>
      </c>
      <c r="CW27">
        <f>($B$11*$K$9+$C$11*$K$9+$F$11*((EG27+DY27)/MAX(EG27+DY27+EH27, 0.1)*$P$9+EH27/MAX(EG27+DY27+EH27, 0.1)*$Q$9))/($B$11+$C$11+$F$11)</f>
        <v/>
      </c>
      <c r="CX27" t="n">
        <v>2</v>
      </c>
      <c r="CY27" t="n">
        <v>0.5</v>
      </c>
      <c r="CZ27" t="inlineStr">
        <is>
          <t>0: Broadleaf</t>
        </is>
      </c>
      <c r="DA27" t="n">
        <v>2</v>
      </c>
      <c r="DB27" t="n">
        <v>1792301029.1</v>
      </c>
      <c r="DC27" t="n">
        <v>1483.958</v>
      </c>
      <c r="DD27" t="n">
        <v>1499.99</v>
      </c>
      <c r="DE27" t="n">
        <v>16.65014</v>
      </c>
      <c r="DF27" t="n">
        <v>15.44928</v>
      </c>
      <c r="DG27" t="n">
        <v>1482.158</v>
      </c>
      <c r="DH27" t="n">
        <v>16.80404</v>
      </c>
      <c r="DI27" t="n">
        <v>500.0678</v>
      </c>
      <c r="DJ27" t="n">
        <v>100.8252</v>
      </c>
      <c r="DK27" t="n">
        <v>0.0999915</v>
      </c>
      <c r="DL27" t="n">
        <v>24.37474</v>
      </c>
      <c r="DM27" t="n">
        <v>25.03098</v>
      </c>
      <c r="DN27" t="n">
        <v>999.9</v>
      </c>
      <c r="DO27" t="n">
        <v>0</v>
      </c>
      <c r="DP27" t="n">
        <v>0</v>
      </c>
      <c r="DQ27" t="n">
        <v>10000.488</v>
      </c>
      <c r="DR27" t="n">
        <v>0</v>
      </c>
      <c r="DS27" t="n">
        <v>7.160074</v>
      </c>
      <c r="DT27" t="n">
        <v>1499.948</v>
      </c>
      <c r="DU27" t="n">
        <v>0.9730018</v>
      </c>
      <c r="DV27" t="n">
        <v>0.02699834</v>
      </c>
      <c r="DW27" t="n">
        <v>0</v>
      </c>
      <c r="DX27" t="n">
        <v>224.9128</v>
      </c>
      <c r="DY27" t="n">
        <v>4.99999</v>
      </c>
      <c r="DZ27" t="n">
        <v>3350.792</v>
      </c>
      <c r="EA27" t="n">
        <v>14882.08</v>
      </c>
      <c r="EB27" t="n">
        <v>36.625</v>
      </c>
      <c r="EC27" t="n">
        <v>38.2748</v>
      </c>
      <c r="ED27" t="n">
        <v>37.25</v>
      </c>
      <c r="EE27" t="n">
        <v>37.687</v>
      </c>
      <c r="EF27" t="n">
        <v>38.187</v>
      </c>
      <c r="EG27" t="n">
        <v>1454.586</v>
      </c>
      <c r="EH27" t="n">
        <v>40.362</v>
      </c>
      <c r="EI27" t="n">
        <v>0</v>
      </c>
      <c r="EJ27" t="n">
        <v>3942.79999995232</v>
      </c>
      <c r="EK27" t="n">
        <v>0</v>
      </c>
      <c r="EL27" t="n">
        <v>225.23912</v>
      </c>
      <c r="EM27" t="n">
        <v>-1.4990000131722</v>
      </c>
      <c r="EN27" t="n">
        <v>2.70230770042593</v>
      </c>
      <c r="EO27" t="n">
        <v>3350.5724</v>
      </c>
      <c r="EP27" t="n">
        <v>15</v>
      </c>
      <c r="EQ27" t="n">
        <v>1792300969.1</v>
      </c>
      <c r="ER27" t="inlineStr">
        <is>
          <t>14:22:49</t>
        </is>
      </c>
      <c r="ES27" t="n">
        <v>1792300969.1</v>
      </c>
      <c r="ET27" t="n">
        <v>1792300966.1</v>
      </c>
      <c r="EU27" t="n">
        <v>52</v>
      </c>
      <c r="EV27" t="n">
        <v>0.101</v>
      </c>
      <c r="EW27" t="n">
        <v>-0.001</v>
      </c>
      <c r="EX27" t="n">
        <v>1.829</v>
      </c>
      <c r="EY27" t="n">
        <v>-0.166</v>
      </c>
      <c r="EZ27" t="n">
        <v>1500</v>
      </c>
      <c r="FA27" t="n">
        <v>16</v>
      </c>
      <c r="FB27" t="n">
        <v>0.32</v>
      </c>
      <c r="FC27" t="n">
        <v>0.11</v>
      </c>
      <c r="FD27" t="n">
        <v>35.3881771166412</v>
      </c>
      <c r="FE27" t="n">
        <v>0.549808499385454</v>
      </c>
      <c r="FF27" t="n">
        <v>0.244029633471283</v>
      </c>
      <c r="FG27" t="n">
        <v>1</v>
      </c>
      <c r="FH27" t="n">
        <v>-16.0176</v>
      </c>
      <c r="FI27" t="n">
        <v>-0.183843609022553</v>
      </c>
      <c r="FJ27" t="n">
        <v>0.0805521508092739</v>
      </c>
      <c r="FK27" t="n">
        <v>1</v>
      </c>
      <c r="FL27" t="n">
        <v>225.256176470588</v>
      </c>
      <c r="FM27" t="n">
        <v>-0.8554621916758141</v>
      </c>
      <c r="FN27" t="n">
        <v>0.359322685601039</v>
      </c>
      <c r="FO27" t="n">
        <v>1</v>
      </c>
      <c r="FP27" t="n">
        <v>3</v>
      </c>
      <c r="FQ27" t="n">
        <v>3</v>
      </c>
      <c r="FR27" t="inlineStr">
        <is>
          <t>3/3</t>
        </is>
      </c>
      <c r="FS27" t="n">
        <v>100</v>
      </c>
      <c r="FT27" t="n">
        <v>100</v>
      </c>
      <c r="FU27" t="n">
        <v>1.8</v>
      </c>
      <c r="FV27" t="n">
        <v>-0.154</v>
      </c>
      <c r="FW27" t="n">
        <v>0.520026853893939</v>
      </c>
      <c r="FX27" t="n">
        <v>-6.16732984266029e-05</v>
      </c>
      <c r="FY27" t="n">
        <v>6.19398071816742e-07</v>
      </c>
      <c r="FZ27" t="n">
        <v>3.19222985850634e-12</v>
      </c>
      <c r="GA27" t="n">
        <v>-0.0631043372757918</v>
      </c>
      <c r="GB27" t="n">
        <v>-0.0257783215012692</v>
      </c>
      <c r="GC27" t="n">
        <v>0.00133723821780375</v>
      </c>
      <c r="GD27" t="n">
        <v>-7.42160749481374e-06</v>
      </c>
      <c r="GE27" t="n">
        <v>7</v>
      </c>
      <c r="GF27" t="n">
        <v>2154</v>
      </c>
      <c r="GG27" t="n">
        <v>2</v>
      </c>
      <c r="GH27" t="n">
        <v>20</v>
      </c>
      <c r="GI27" t="n">
        <v>1.1</v>
      </c>
      <c r="GJ27" t="n">
        <v>1.1</v>
      </c>
      <c r="GK27" t="n">
        <v>3.01392</v>
      </c>
      <c r="GL27" t="n">
        <v>2.63916</v>
      </c>
      <c r="GM27" t="n">
        <v>1.65161</v>
      </c>
      <c r="GN27" t="n">
        <v>2.27661</v>
      </c>
      <c r="GO27" t="n">
        <v>1.5979</v>
      </c>
      <c r="GP27" t="n">
        <v>2.65625</v>
      </c>
      <c r="GQ27" t="n">
        <v>38.1837</v>
      </c>
      <c r="GR27" t="n">
        <v>23.8073</v>
      </c>
      <c r="GS27" t="n">
        <v>18</v>
      </c>
      <c r="GT27" t="n">
        <v>505.376</v>
      </c>
      <c r="GU27" t="n">
        <v>516.362</v>
      </c>
      <c r="GV27" t="n">
        <v>20.0414</v>
      </c>
      <c r="GW27" t="n">
        <v>29.6592</v>
      </c>
      <c r="GX27" t="n">
        <v>30.0002</v>
      </c>
      <c r="GY27" t="n">
        <v>29.8137</v>
      </c>
      <c r="GZ27" t="n">
        <v>29.8695</v>
      </c>
      <c r="HA27" t="n">
        <v>60.2438</v>
      </c>
      <c r="HB27" t="n">
        <v>23.489</v>
      </c>
      <c r="HC27" t="n">
        <v>8.47241</v>
      </c>
      <c r="HD27" t="n">
        <v>20.0241</v>
      </c>
      <c r="HE27" t="n">
        <v>1500</v>
      </c>
      <c r="HF27" t="n">
        <v>15.5858</v>
      </c>
      <c r="HG27" t="n">
        <v>98.00230000000001</v>
      </c>
      <c r="HH27" t="n">
        <v>94.50539999999999</v>
      </c>
    </row>
    <row r="28">
      <c r="A28" t="n">
        <v>12</v>
      </c>
      <c r="B28" t="n">
        <v>1792301153.1</v>
      </c>
      <c r="C28" t="n">
        <v>1404.09999990463</v>
      </c>
      <c r="D28" t="inlineStr">
        <is>
          <t>20261018 14:25:53</t>
        </is>
      </c>
      <c r="E28" t="inlineStr">
        <is>
          <t>14:25:53</t>
        </is>
      </c>
      <c r="F28" t="n">
        <v>5</v>
      </c>
      <c r="G28" t="n">
        <v>1792301149.6</v>
      </c>
      <c r="H28">
        <f>(I28)/1000</f>
        <v/>
      </c>
      <c r="I28">
        <f>1000*DI28*AG28*(DE28-DF28)/(100*CX28*(1000-AG28*DE28))</f>
        <v/>
      </c>
      <c r="J28">
        <f>DI28*AG28*(DD28-DC28*(1000-AG28*DF28)/(1000-AG28*DE28))/(100*CX28)</f>
        <v/>
      </c>
      <c r="K28">
        <f>DC28 - IF(AG28&gt;1, J28*CX28*100.0/(AI28), 0)</f>
        <v/>
      </c>
      <c r="L28">
        <f>((R28-H28/2)*K28-J28)/(R28+H28/2)</f>
        <v/>
      </c>
      <c r="M28">
        <f>L28*(DJ28+DK28)/1000.0</f>
        <v/>
      </c>
      <c r="N28">
        <f>(DC28 - IF(AG28&gt;1, J28*CX28*100.0/(AI28), 0))*(DJ28+DK28)/1000.0</f>
        <v/>
      </c>
      <c r="O28">
        <f>2.0/((1/Q28-1/P28)+SIGN(Q28)*SQRT((1/Q28-1/P28)*(1/Q28-1/P28) + 4*CY28/((CY28+1)*(CY28+1))*(2*1/Q28*1/P28-1/P28*1/P28)))</f>
        <v/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/>
      </c>
      <c r="Q28">
        <f>H28*(1000-(1000*0.61365*exp(17.502*U28/(240.97+U28))/(DJ28+DK28)+DE28)/2)/(1000*0.61365*exp(17.502*U28/(240.97+U28))/(DJ28+DK28)-DE28)</f>
        <v/>
      </c>
      <c r="R28">
        <f>1/((CY28+1)/(O28/1.6)+1/(P28/1.37)) + CY28/((CY28+1)/(O28/1.6) + CY28/(P28/1.37))</f>
        <v/>
      </c>
      <c r="S28">
        <f>(CT28*CW28)</f>
        <v/>
      </c>
      <c r="T28">
        <f>(DL28+(S28+2*0.95*5.67E-8*(((DL28+$B$7)+273)^4-(DL28+273)^4)-44100*H28)/(1.84*29.3*P28+8*0.95*5.67E-8*(DL28+273)^3))</f>
        <v/>
      </c>
      <c r="U28">
        <f>($C$7*DM28+$D$7*DN28+$E$7*T28)</f>
        <v/>
      </c>
      <c r="V28">
        <f>0.61365*exp(17.502*U28/(240.97+U28))</f>
        <v/>
      </c>
      <c r="W28">
        <f>(X28/Y28*100)</f>
        <v/>
      </c>
      <c r="X28">
        <f>DE28*(DJ28+DK28)/1000</f>
        <v/>
      </c>
      <c r="Y28">
        <f>0.61365*exp(17.502*DL28/(240.97+DL28))</f>
        <v/>
      </c>
      <c r="Z28">
        <f>(V28-DE28*(DJ28+DK28)/1000)</f>
        <v/>
      </c>
      <c r="AA28">
        <f>(-H28*44100)</f>
        <v/>
      </c>
      <c r="AB28">
        <f>2*29.3*P28*0.92*(DL28-U28)</f>
        <v/>
      </c>
      <c r="AC28">
        <f>2*0.95*5.67E-8*(((DL28+$B$7)+273)^4-(U28+273)^4)</f>
        <v/>
      </c>
      <c r="AD28">
        <f>S28+AC28+AA28+AB28</f>
        <v/>
      </c>
      <c r="AE28" t="n">
        <v>0</v>
      </c>
      <c r="AF28" t="n">
        <v>0</v>
      </c>
      <c r="AG28">
        <f>IF(AE28*$H$13&gt;=AI28,1.0,(AI28/(AI28-AE28*$H$13)))</f>
        <v/>
      </c>
      <c r="AH28">
        <f>(AG28-1)*100</f>
        <v/>
      </c>
      <c r="AI28">
        <f>MAX(0,($B$13+$C$13*DQ28)/(1+$D$13*DQ28)*DJ28/(DL28+273)*$E$13)</f>
        <v/>
      </c>
      <c r="AJ28" t="inlineStr">
        <is>
          <t>-</t>
        </is>
      </c>
      <c r="AK28" t="inlineStr">
        <is>
          <t>-</t>
        </is>
      </c>
      <c r="AL28" t="n">
        <v>0</v>
      </c>
      <c r="AM28" t="n">
        <v>0</v>
      </c>
      <c r="AN28">
        <f>1-AL28/AM28</f>
        <v/>
      </c>
      <c r="AO28" t="n">
        <v>0</v>
      </c>
      <c r="AP28" t="inlineStr">
        <is>
          <t>-</t>
        </is>
      </c>
      <c r="AQ28" t="inlineStr">
        <is>
          <t>-</t>
        </is>
      </c>
      <c r="AR28" t="n">
        <v>0</v>
      </c>
      <c r="AS28" t="n">
        <v>0</v>
      </c>
      <c r="AT28">
        <f>1-AR28/AS28</f>
        <v/>
      </c>
      <c r="AU28" t="n">
        <v>0.5</v>
      </c>
      <c r="AV28">
        <f>CU28</f>
        <v/>
      </c>
      <c r="AW28">
        <f>J28</f>
        <v/>
      </c>
      <c r="AX28">
        <f>AT28*AU28*AV28</f>
        <v/>
      </c>
      <c r="AY28">
        <f>(AW28-AO28)/AV28</f>
        <v/>
      </c>
      <c r="AZ28">
        <f>(AM28-AS28)/AS28</f>
        <v/>
      </c>
      <c r="BA28">
        <f>AL28/(AN28+AL28/AS28)</f>
        <v/>
      </c>
      <c r="BB28" t="inlineStr">
        <is>
          <t>-</t>
        </is>
      </c>
      <c r="BC28" t="n">
        <v>0</v>
      </c>
      <c r="BD28">
        <f>IF(BC28&lt;&gt;0, BC28, BA28)</f>
        <v/>
      </c>
      <c r="BE28">
        <f>1-BD28/AS28</f>
        <v/>
      </c>
      <c r="BF28">
        <f>(AS28-AR28)/(AS28-BD28)</f>
        <v/>
      </c>
      <c r="BG28">
        <f>(AM28-AS28)/(AM28-BD28)</f>
        <v/>
      </c>
      <c r="BH28">
        <f>(AS28-AR28)/(AS28-AL28)</f>
        <v/>
      </c>
      <c r="BI28">
        <f>(AM28-AS28)/(AM28-AL28)</f>
        <v/>
      </c>
      <c r="BJ28">
        <f>(BF28*BD28/AR28)</f>
        <v/>
      </c>
      <c r="BK28">
        <f>(1-BJ28)</f>
        <v/>
      </c>
      <c r="BL28" t="n">
        <v>238</v>
      </c>
      <c r="BM28" t="n">
        <v>290</v>
      </c>
      <c r="BN28" t="n">
        <v>685.08</v>
      </c>
      <c r="BO28" t="n">
        <v>155</v>
      </c>
      <c r="BP28" t="n">
        <v>8114.5</v>
      </c>
      <c r="BQ28" t="n">
        <v>679.98</v>
      </c>
      <c r="BR28" t="n">
        <v>5.1</v>
      </c>
      <c r="BS28" t="n">
        <v>300</v>
      </c>
      <c r="BT28" t="n">
        <v>19.1</v>
      </c>
      <c r="BU28" t="n">
        <v>706.844106823418</v>
      </c>
      <c r="BV28" t="n">
        <v>2.97166849100987</v>
      </c>
      <c r="BW28" t="n">
        <v>-21.7967545701294</v>
      </c>
      <c r="BX28" t="n">
        <v>2.15589809128463</v>
      </c>
      <c r="BY28" t="n">
        <v>0.784975898435888</v>
      </c>
      <c r="BZ28" t="n">
        <v>-0.00536539243604005</v>
      </c>
      <c r="CA28" t="n">
        <v>290</v>
      </c>
      <c r="CB28" t="n">
        <v>673.11</v>
      </c>
      <c r="CC28" t="n">
        <v>615</v>
      </c>
      <c r="CD28" t="n">
        <v>8105.43</v>
      </c>
      <c r="CE28" t="n">
        <v>679.95</v>
      </c>
      <c r="CF28" t="n">
        <v>-6.84</v>
      </c>
      <c r="CT28">
        <f>$B$11*DR28+$C$11*DS28+$F$11*DT28*(1-DW28)</f>
        <v/>
      </c>
      <c r="CU28">
        <f>CT28*CV28</f>
        <v/>
      </c>
      <c r="CV28">
        <f>($B$11*$D$9+$C$11*$D$9+$F$11*((EG28+DY28)/MAX(EG28+DY28+EH28, 0.1)*$I$9+EH28/MAX(EG28+DY28+EH28, 0.1)*$J$9))/($B$11+$C$11+$F$11)</f>
        <v/>
      </c>
      <c r="CW28">
        <f>($B$11*$K$9+$C$11*$K$9+$F$11*((EG28+DY28)/MAX(EG28+DY28+EH28, 0.1)*$P$9+EH28/MAX(EG28+DY28+EH28, 0.1)*$Q$9))/($B$11+$C$11+$F$11)</f>
        <v/>
      </c>
      <c r="CX28" t="n">
        <v>2</v>
      </c>
      <c r="CY28" t="n">
        <v>0.5</v>
      </c>
      <c r="CZ28" t="inlineStr">
        <is>
          <t>0: Broadleaf</t>
        </is>
      </c>
      <c r="DA28" t="n">
        <v>2</v>
      </c>
      <c r="DB28" t="n">
        <v>1792301149.6</v>
      </c>
      <c r="DC28" t="n">
        <v>1783.83</v>
      </c>
      <c r="DD28" t="n">
        <v>1800.06166666667</v>
      </c>
      <c r="DE28" t="n">
        <v>16.56195</v>
      </c>
      <c r="DF28" t="n">
        <v>15.5692</v>
      </c>
      <c r="DG28" t="n">
        <v>1781.69666666667</v>
      </c>
      <c r="DH28" t="n">
        <v>16.71375</v>
      </c>
      <c r="DI28" t="n">
        <v>500.015833333333</v>
      </c>
      <c r="DJ28" t="n">
        <v>100.8225</v>
      </c>
      <c r="DK28" t="n">
        <v>0.100068583333333</v>
      </c>
      <c r="DL28" t="n">
        <v>24.26375</v>
      </c>
      <c r="DM28" t="n">
        <v>25.0064833333333</v>
      </c>
      <c r="DN28" t="n">
        <v>999.9</v>
      </c>
      <c r="DO28" t="n">
        <v>0</v>
      </c>
      <c r="DP28" t="n">
        <v>0</v>
      </c>
      <c r="DQ28" t="n">
        <v>9992.49166666667</v>
      </c>
      <c r="DR28" t="n">
        <v>0</v>
      </c>
      <c r="DS28" t="n">
        <v>6.98078833333333</v>
      </c>
      <c r="DT28" t="n">
        <v>1499.945</v>
      </c>
      <c r="DU28" t="n">
        <v>0.9729965</v>
      </c>
      <c r="DV28" t="n">
        <v>0.0270036</v>
      </c>
      <c r="DW28" t="n">
        <v>0</v>
      </c>
      <c r="DX28" t="n">
        <v>225.186666666667</v>
      </c>
      <c r="DY28" t="n">
        <v>4.99999</v>
      </c>
      <c r="DZ28" t="n">
        <v>3348.23</v>
      </c>
      <c r="EA28" t="n">
        <v>14882.05</v>
      </c>
      <c r="EB28" t="n">
        <v>36.625</v>
      </c>
      <c r="EC28" t="n">
        <v>38.25</v>
      </c>
      <c r="ED28" t="n">
        <v>37.25</v>
      </c>
      <c r="EE28" t="n">
        <v>37.687</v>
      </c>
      <c r="EF28" t="n">
        <v>38.187</v>
      </c>
      <c r="EG28" t="n">
        <v>1454.575</v>
      </c>
      <c r="EH28" t="n">
        <v>40.37</v>
      </c>
      <c r="EI28" t="n">
        <v>0</v>
      </c>
      <c r="EJ28" t="n">
        <v>4064</v>
      </c>
      <c r="EK28" t="n">
        <v>0</v>
      </c>
      <c r="EL28" t="n">
        <v>225.09944</v>
      </c>
      <c r="EM28" t="n">
        <v>0.356999995342209</v>
      </c>
      <c r="EN28" t="n">
        <v>6.69923076597109</v>
      </c>
      <c r="EO28" t="n">
        <v>3348.0368</v>
      </c>
      <c r="EP28" t="n">
        <v>15</v>
      </c>
      <c r="EQ28" t="n">
        <v>1792301091.1</v>
      </c>
      <c r="ER28" t="inlineStr">
        <is>
          <t>14:24:51</t>
        </is>
      </c>
      <c r="ES28" t="n">
        <v>1792301091.1</v>
      </c>
      <c r="ET28" t="n">
        <v>1792301084.1</v>
      </c>
      <c r="EU28" t="n">
        <v>53</v>
      </c>
      <c r="EV28" t="n">
        <v>-0.258</v>
      </c>
      <c r="EW28" t="n">
        <v>0.003</v>
      </c>
      <c r="EX28" t="n">
        <v>2.171</v>
      </c>
      <c r="EY28" t="n">
        <v>-0.163</v>
      </c>
      <c r="EZ28" t="n">
        <v>1800</v>
      </c>
      <c r="FA28" t="n">
        <v>16</v>
      </c>
      <c r="FB28" t="n">
        <v>0.18</v>
      </c>
      <c r="FC28" t="n">
        <v>0.09</v>
      </c>
      <c r="FD28" t="n">
        <v>35.9589756534488</v>
      </c>
      <c r="FE28" t="n">
        <v>0.59730941325438</v>
      </c>
      <c r="FF28" t="n">
        <v>0.164709010889923</v>
      </c>
      <c r="FG28" t="n">
        <v>1</v>
      </c>
      <c r="FH28" t="n">
        <v>-16.2231476190476</v>
      </c>
      <c r="FI28" t="n">
        <v>-0.00444935064935797</v>
      </c>
      <c r="FJ28" t="n">
        <v>0.0593412617954312</v>
      </c>
      <c r="FK28" t="n">
        <v>1</v>
      </c>
      <c r="FL28" t="n">
        <v>225.176176470588</v>
      </c>
      <c r="FM28" t="n">
        <v>-0.505271199379219</v>
      </c>
      <c r="FN28" t="n">
        <v>0.364931215967534</v>
      </c>
      <c r="FO28" t="n">
        <v>1</v>
      </c>
      <c r="FP28" t="n">
        <v>3</v>
      </c>
      <c r="FQ28" t="n">
        <v>3</v>
      </c>
      <c r="FR28" t="inlineStr">
        <is>
          <t>3/3</t>
        </is>
      </c>
      <c r="FS28" t="n">
        <v>100</v>
      </c>
      <c r="FT28" t="n">
        <v>100</v>
      </c>
      <c r="FU28" t="n">
        <v>2.14</v>
      </c>
      <c r="FV28" t="n">
        <v>-0.1519</v>
      </c>
      <c r="FW28" t="n">
        <v>0.260995795134657</v>
      </c>
      <c r="FX28" t="n">
        <v>-6.16732984266029e-05</v>
      </c>
      <c r="FY28" t="n">
        <v>6.19398071816742e-07</v>
      </c>
      <c r="FZ28" t="n">
        <v>3.19222985850634e-12</v>
      </c>
      <c r="GA28" t="n">
        <v>-0.0598577253797928</v>
      </c>
      <c r="GB28" t="n">
        <v>-0.0257783215012692</v>
      </c>
      <c r="GC28" t="n">
        <v>0.00133723821780375</v>
      </c>
      <c r="GD28" t="n">
        <v>-7.42160749481374e-06</v>
      </c>
      <c r="GE28" t="n">
        <v>7</v>
      </c>
      <c r="GF28" t="n">
        <v>2154</v>
      </c>
      <c r="GG28" t="n">
        <v>2</v>
      </c>
      <c r="GH28" t="n">
        <v>20</v>
      </c>
      <c r="GI28" t="n">
        <v>1</v>
      </c>
      <c r="GJ28" t="n">
        <v>1.1</v>
      </c>
      <c r="GK28" t="n">
        <v>3.48877</v>
      </c>
      <c r="GL28" t="n">
        <v>2.64526</v>
      </c>
      <c r="GM28" t="n">
        <v>1.65161</v>
      </c>
      <c r="GN28" t="n">
        <v>2.27661</v>
      </c>
      <c r="GO28" t="n">
        <v>1.5979</v>
      </c>
      <c r="GP28" t="n">
        <v>2.66113</v>
      </c>
      <c r="GQ28" t="n">
        <v>38.135</v>
      </c>
      <c r="GR28" t="n">
        <v>23.8248</v>
      </c>
      <c r="GS28" t="n">
        <v>18</v>
      </c>
      <c r="GT28" t="n">
        <v>505.177</v>
      </c>
      <c r="GU28" t="n">
        <v>517.073</v>
      </c>
      <c r="GV28" t="n">
        <v>19.9474</v>
      </c>
      <c r="GW28" t="n">
        <v>29.6566</v>
      </c>
      <c r="GX28" t="n">
        <v>30.0003</v>
      </c>
      <c r="GY28" t="n">
        <v>29.8213</v>
      </c>
      <c r="GZ28" t="n">
        <v>29.8771</v>
      </c>
      <c r="HA28" t="n">
        <v>69.739</v>
      </c>
      <c r="HB28" t="n">
        <v>23.3076</v>
      </c>
      <c r="HC28" t="n">
        <v>8.47241</v>
      </c>
      <c r="HD28" t="n">
        <v>19.9404</v>
      </c>
      <c r="HE28" t="n">
        <v>1800</v>
      </c>
      <c r="HF28" t="n">
        <v>15.628</v>
      </c>
      <c r="HG28" t="n">
        <v>98.004</v>
      </c>
      <c r="HH28" t="n">
        <v>94.49939999999999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13:21:35</t>
        </is>
      </c>
    </row>
    <row r="2">
      <c r="A2" t="inlineStr">
        <is>
          <t>Console s/n</t>
        </is>
      </c>
      <c r="B2" t="inlineStr">
        <is>
          <t>68C-812153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68H-982143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{"h2oaspan2b": "0.0986302", "co2bspanconc2": "1516", "h2oaspan2": "0", "h2obspanconc2": "0", "co2bspanconc1": "437.6", "h2oaspanconc2": "0", "h2obspan1": "1.01044", "ssa_ref": "37830.5", "co2aspan2a": "0.106022", "flowazero": "0.276", "tazero": "0.15448", "h2oazero": "1.03097", "co2bspan2": "-0.00857283", "h2oaspan1": "1.02308", "h2obspan2b": "0.0971974", "h2obspan2a": "0.0961931", "h2obspan2": "0", "chamberpressurezero": "2.71033", "ssb_ref": "36242.9", "co2bzero": "0.953041", "co2azero": "0.931334", "h2obzero": "1.01897", "flowbzero": "0.30473", "co2aspan1": "1.00082", "h2oaspanconc1": "17.96", "co2aspanconc1": "437.6", "co2bspan1": "1.00005", "co2aspan2b": "0.105998", "co2aspan2": "-0.00988168", "h2obspanconc1": "17.96", "co2bspan2a": "0.105708", "tbzero": "0.143742", "oxygen": "21", "h2oaspan2a": "0.0964052", "co2bspan2b": "0.105618", "flowmeterzero": "2.483", "co2aspanconc2": "1516"}</t>
        </is>
      </c>
    </row>
    <row r="8">
      <c r="A8" t="inlineStr">
        <is>
          <t>Factory cal date</t>
        </is>
      </c>
      <c r="B8" t="inlineStr">
        <is>
          <t>14 Dec 2023</t>
        </is>
      </c>
    </row>
    <row r="9">
      <c r="A9" t="inlineStr">
        <is>
          <t>CO2 rangematch</t>
        </is>
      </c>
      <c r="B9" t="inlineStr">
        <is>
          <t>Fri Oct 16 09:42</t>
        </is>
      </c>
    </row>
    <row r="10">
      <c r="A10" t="inlineStr">
        <is>
          <t>H2O rangematch</t>
        </is>
      </c>
      <c r="B10" t="inlineStr">
        <is>
          <t>Fri Oct 16 09:48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MPF-742752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MPF-742752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13:21:35</t>
        </is>
      </c>
      <c r="B17" t="inlineStr">
        <is>
          <t>Stability Definition:	F (FlrLS): Slp&lt;1 Per=20	A (GasEx): Slp&lt;0.6 Per=20	ΔCO2 (Meas2): Slp&lt;0.5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PS2/1</t>
        </is>
      </c>
      <c r="V1" t="inlineStr">
        <is>
          <t>ID</t>
        </is>
      </c>
      <c r="W1" t="inlineStr">
        <is>
          <t>P1_dur</t>
        </is>
      </c>
      <c r="X1" t="inlineStr">
        <is>
          <t>P1_Fmax</t>
        </is>
      </c>
      <c r="Y1" t="inlineStr">
        <is>
          <t>T@P1_Fmax</t>
        </is>
      </c>
      <c r="Z1" t="inlineStr">
        <is>
          <t>Q@P1_Fmax</t>
        </is>
      </c>
      <c r="AA1" t="inlineStr">
        <is>
          <t>P1_PredF</t>
        </is>
      </c>
      <c r="AB1" t="inlineStr">
        <is>
          <t>P1_ΔF</t>
        </is>
      </c>
      <c r="AC1" t="inlineStr">
        <is>
          <t>P2_dur</t>
        </is>
      </c>
      <c r="AD1" t="inlineStr">
        <is>
          <t>P2_ramp</t>
        </is>
      </c>
      <c r="AE1" t="inlineStr">
        <is>
          <t>P2_int</t>
        </is>
      </c>
      <c r="AF1" t="inlineStr">
        <is>
          <t>P2_int_se</t>
        </is>
      </c>
      <c r="AG1" t="inlineStr">
        <is>
          <t>P2_slp</t>
        </is>
      </c>
      <c r="AH1" t="inlineStr">
        <is>
          <t>P2_slp_se</t>
        </is>
      </c>
      <c r="AI1" t="inlineStr">
        <is>
          <t>P2_R2</t>
        </is>
      </c>
      <c r="AJ1" t="inlineStr">
        <is>
          <t>P2_dQdt</t>
        </is>
      </c>
      <c r="AK1" t="inlineStr">
        <is>
          <t>P3_dur</t>
        </is>
      </c>
      <c r="AL1" t="inlineStr">
        <is>
          <t>P3_Fmax</t>
        </is>
      </c>
      <c r="AM1" t="inlineStr">
        <is>
          <t>T@P3_Fmax</t>
        </is>
      </c>
      <c r="AN1" t="inlineStr">
        <is>
          <t>Q@P3_Fmax</t>
        </is>
      </c>
      <c r="AO1" t="inlineStr">
        <is>
          <t>P3_PredF</t>
        </is>
      </c>
      <c r="AP1" t="inlineStr">
        <is>
          <t>P3_ΔF</t>
        </is>
      </c>
      <c r="AQ1" t="inlineStr">
        <is>
          <t>Qin</t>
        </is>
      </c>
      <c r="AR1" t="inlineStr">
        <is>
          <t>S</t>
        </is>
      </c>
      <c r="AS1" t="inlineStr">
        <is>
          <t>K</t>
        </is>
      </c>
      <c r="AT1" t="inlineStr">
        <is>
          <t>Custom</t>
        </is>
      </c>
      <c r="AU1" t="inlineStr">
        <is>
          <t>TIME_2</t>
        </is>
      </c>
      <c r="AV1" t="inlineStr">
        <is>
          <t>CO2_s</t>
        </is>
      </c>
      <c r="AW1" t="inlineStr">
        <is>
          <t>CO2_r</t>
        </is>
      </c>
      <c r="AX1" t="inlineStr">
        <is>
          <t>H2O_s</t>
        </is>
      </c>
      <c r="AY1" t="inlineStr">
        <is>
          <t>H2O_r</t>
        </is>
      </c>
      <c r="AZ1" t="inlineStr">
        <is>
          <t>CO2_a</t>
        </is>
      </c>
      <c r="BA1" t="inlineStr">
        <is>
          <t>H2O_a</t>
        </is>
      </c>
      <c r="BB1" t="inlineStr">
        <is>
          <t>Flow</t>
        </is>
      </c>
      <c r="BC1" t="inlineStr">
        <is>
          <t>Pa</t>
        </is>
      </c>
      <c r="BD1" t="inlineStr">
        <is>
          <t>ΔPcham</t>
        </is>
      </c>
      <c r="BE1" t="inlineStr">
        <is>
          <t>Tair</t>
        </is>
      </c>
      <c r="BF1" t="inlineStr">
        <is>
          <t>Tleaf</t>
        </is>
      </c>
      <c r="BG1" t="inlineStr">
        <is>
          <t>Tleaf2</t>
        </is>
      </c>
      <c r="BH1" t="inlineStr">
        <is>
          <t>Fan_speed</t>
        </is>
      </c>
      <c r="BI1" t="inlineStr">
        <is>
          <t>Qamb_out</t>
        </is>
      </c>
      <c r="BJ1" t="inlineStr">
        <is>
          <t>Q</t>
        </is>
      </c>
      <c r="BK1" t="inlineStr">
        <is>
          <t>f_red</t>
        </is>
      </c>
      <c r="BL1" t="inlineStr">
        <is>
          <t>f_blue</t>
        </is>
      </c>
      <c r="BM1" t="inlineStr">
        <is>
          <t>F</t>
        </is>
      </c>
      <c r="BN1" t="inlineStr">
        <is>
          <t>Q_modavg</t>
        </is>
      </c>
      <c r="BO1" t="inlineStr">
        <is>
          <t>F_dc</t>
        </is>
      </c>
      <c r="BP1" t="inlineStr">
        <is>
          <t>Pc</t>
        </is>
      </c>
      <c r="BQ1" t="inlineStr">
        <is>
          <t>Tled</t>
        </is>
      </c>
      <c r="BR1" t="inlineStr">
        <is>
          <t>TDigital</t>
        </is>
      </c>
      <c r="BS1" t="inlineStr">
        <is>
          <t>TPreamp</t>
        </is>
      </c>
      <c r="BT1" t="inlineStr">
        <is>
          <t>TPwrSpy</t>
        </is>
      </c>
      <c r="BU1" t="inlineStr">
        <is>
          <t>TDrive</t>
        </is>
      </c>
      <c r="BV1" t="inlineStr">
        <is>
          <t>Q_red</t>
        </is>
      </c>
      <c r="BW1" t="inlineStr">
        <is>
          <t>Q_blue</t>
        </is>
      </c>
      <c r="BX1" t="inlineStr">
        <is>
          <t>TSPF</t>
        </is>
      </c>
      <c r="BY1" t="inlineStr">
        <is>
          <t>F_avg</t>
        </is>
      </c>
      <c r="BZ1" t="inlineStr">
        <is>
          <t>dF/dt</t>
        </is>
      </c>
      <c r="CA1" t="inlineStr">
        <is>
          <t>dF_dc/dt</t>
        </is>
      </c>
      <c r="CB1" t="inlineStr">
        <is>
          <t>F_dc_avg</t>
        </is>
      </c>
      <c r="CC1" t="inlineStr">
        <is>
          <t>period</t>
        </is>
      </c>
      <c r="CD1" t="inlineStr">
        <is>
          <t>time_2</t>
        </is>
      </c>
      <c r="CE1" t="inlineStr">
        <is>
          <t>co2_t</t>
        </is>
      </c>
      <c r="CF1" t="inlineStr">
        <is>
          <t>h2o_t</t>
        </is>
      </c>
      <c r="CG1" t="inlineStr">
        <is>
          <t>count</t>
        </is>
      </c>
      <c r="CH1" t="inlineStr">
        <is>
          <t>co2_adj</t>
        </is>
      </c>
      <c r="CI1" t="inlineStr">
        <is>
          <t>h2o_adj</t>
        </is>
      </c>
      <c r="CJ1" t="inlineStr">
        <is>
          <t>co2_match</t>
        </is>
      </c>
      <c r="CK1" t="inlineStr">
        <is>
          <t>h2o_match</t>
        </is>
      </c>
      <c r="CL1" t="inlineStr">
        <is>
          <t>co2_at</t>
        </is>
      </c>
      <c r="CM1" t="inlineStr">
        <is>
          <t>h2o_at</t>
        </is>
      </c>
      <c r="CN1" t="inlineStr">
        <is>
          <t>co2_cv</t>
        </is>
      </c>
      <c r="CO1" t="inlineStr">
        <is>
          <t>h2o_cv</t>
        </is>
      </c>
      <c r="CP1" t="inlineStr">
        <is>
          <t>A:MN</t>
        </is>
      </c>
      <c r="CQ1" t="inlineStr">
        <is>
          <t>A:SLP</t>
        </is>
      </c>
      <c r="CR1" t="inlineStr">
        <is>
          <t>A:SD</t>
        </is>
      </c>
      <c r="CS1" t="inlineStr">
        <is>
          <t>A:OK</t>
        </is>
      </c>
      <c r="CT1" t="inlineStr">
        <is>
          <t>ΔCO2:MN</t>
        </is>
      </c>
      <c r="CU1" t="inlineStr">
        <is>
          <t>ΔCO2:SLP</t>
        </is>
      </c>
      <c r="CV1" t="inlineStr">
        <is>
          <t>ΔCO2:SD</t>
        </is>
      </c>
      <c r="CW1" t="inlineStr">
        <is>
          <t>ΔCO2:OK</t>
        </is>
      </c>
      <c r="CX1" t="inlineStr">
        <is>
          <t>F:MN</t>
        </is>
      </c>
      <c r="CY1" t="inlineStr">
        <is>
          <t>F:SLP</t>
        </is>
      </c>
      <c r="CZ1" t="inlineStr">
        <is>
          <t>F:SD</t>
        </is>
      </c>
      <c r="DA1" t="inlineStr">
        <is>
          <t>F:OK</t>
        </is>
      </c>
      <c r="DB1" t="inlineStr">
        <is>
          <t>Stable</t>
        </is>
      </c>
      <c r="DC1" t="inlineStr">
        <is>
          <t>Total</t>
        </is>
      </c>
      <c r="DD1" t="inlineStr">
        <is>
          <t>MatchValveR</t>
        </is>
      </c>
      <c r="DE1" t="inlineStr">
        <is>
          <t>MatchValveS</t>
        </is>
      </c>
      <c r="DF1" t="inlineStr">
        <is>
          <t>MatchCO2</t>
        </is>
      </c>
      <c r="DG1" t="inlineStr">
        <is>
          <t>MatchH2O</t>
        </is>
      </c>
      <c r="DH1" t="inlineStr">
        <is>
          <t>cf_co2_a</t>
        </is>
      </c>
      <c r="DI1" t="inlineStr">
        <is>
          <t>cf_co2_b</t>
        </is>
      </c>
      <c r="DJ1" t="inlineStr">
        <is>
          <t>cf_co2_c</t>
        </is>
      </c>
      <c r="DK1" t="inlineStr">
        <is>
          <t>cf_co2_d</t>
        </is>
      </c>
      <c r="DL1" t="inlineStr">
        <is>
          <t>cf_h2o_a</t>
        </is>
      </c>
      <c r="DM1" t="inlineStr">
        <is>
          <t>cf_h2o_b</t>
        </is>
      </c>
      <c r="DN1" t="inlineStr">
        <is>
          <t>cf_h2o_c</t>
        </is>
      </c>
      <c r="DO1" t="inlineStr">
        <is>
          <t>cf_h2o_d</t>
        </is>
      </c>
      <c r="DP1" t="inlineStr">
        <is>
          <t>co2_fit_low</t>
        </is>
      </c>
      <c r="DQ1" t="inlineStr">
        <is>
          <t>co2_fit_high</t>
        </is>
      </c>
      <c r="DR1" t="inlineStr">
        <is>
          <t>h2o_fit_low</t>
        </is>
      </c>
      <c r="DS1" t="inlineStr">
        <is>
          <t>h2o_fit_high</t>
        </is>
      </c>
      <c r="DT1" t="inlineStr">
        <is>
          <t>co2_elapsed</t>
        </is>
      </c>
      <c r="DU1" t="inlineStr">
        <is>
          <t>h2o_elapsed</t>
        </is>
      </c>
      <c r="DV1" t="inlineStr">
        <is>
          <t>CO2_f</t>
        </is>
      </c>
      <c r="DW1" t="inlineStr">
        <is>
          <t>CO2_f_s</t>
        </is>
      </c>
      <c r="DX1" t="inlineStr">
        <is>
          <t>Pump_f</t>
        </is>
      </c>
      <c r="DY1" t="inlineStr">
        <is>
          <t>Pump_f_s</t>
        </is>
      </c>
      <c r="DZ1" t="inlineStr">
        <is>
          <t>Pump_p</t>
        </is>
      </c>
      <c r="EA1" t="inlineStr">
        <is>
          <t>Pump_p_s</t>
        </is>
      </c>
      <c r="EB1" t="inlineStr">
        <is>
          <t>Tboard</t>
        </is>
      </c>
      <c r="EC1" t="inlineStr">
        <is>
          <t>V_system</t>
        </is>
      </c>
      <c r="ED1" t="inlineStr">
        <is>
          <t>DIAG</t>
        </is>
      </c>
      <c r="EE1" t="inlineStr">
        <is>
          <t>Flow_s</t>
        </is>
      </c>
      <c r="EF1" t="inlineStr">
        <is>
          <t>Flow_r</t>
        </is>
      </c>
      <c r="EG1" t="inlineStr">
        <is>
          <t>Txchg</t>
        </is>
      </c>
      <c r="EH1" t="inlineStr">
        <is>
          <t>Tirga</t>
        </is>
      </c>
      <c r="EI1" t="inlineStr">
        <is>
          <t>Tchopper</t>
        </is>
      </c>
      <c r="EJ1" t="inlineStr">
        <is>
          <t>Ts</t>
        </is>
      </c>
      <c r="EK1" t="inlineStr">
        <is>
          <t>Tr</t>
        </is>
      </c>
      <c r="EL1" t="inlineStr">
        <is>
          <t>CO2_%</t>
        </is>
      </c>
      <c r="EM1" t="inlineStr">
        <is>
          <t>Desiccant_%</t>
        </is>
      </c>
      <c r="EN1" t="inlineStr">
        <is>
          <t>Humidifier_%</t>
        </is>
      </c>
      <c r="EO1" t="inlineStr">
        <is>
          <t>Txchg_sp</t>
        </is>
      </c>
      <c r="EP1" t="inlineStr">
        <is>
          <t>CO2_r_sp</t>
        </is>
      </c>
      <c r="EQ1" t="inlineStr">
        <is>
          <t>H2O_r_sp</t>
        </is>
      </c>
      <c r="ER1" t="inlineStr">
        <is>
          <t>SS_s</t>
        </is>
      </c>
      <c r="ES1" t="inlineStr">
        <is>
          <t>SS_r</t>
        </is>
      </c>
    </row>
    <row r="2">
      <c r="A2" t="n">
        <v>1</v>
      </c>
      <c r="B2" t="n">
        <v>1792299749</v>
      </c>
      <c r="C2" t="n">
        <v>0</v>
      </c>
      <c r="D2" t="n">
        <v>5</v>
      </c>
      <c r="E2" t="n">
        <v>1792299745.5</v>
      </c>
      <c r="F2" t="n">
        <v>0.003565907668949716</v>
      </c>
      <c r="G2" t="n">
        <v>3.565907668949716</v>
      </c>
      <c r="H2" t="n">
        <v>18.68499598498073</v>
      </c>
      <c r="I2" t="n">
        <v>391.9445</v>
      </c>
      <c r="J2" t="n">
        <v>261.4012784605112</v>
      </c>
      <c r="K2" t="n">
        <v>0.02638528369727179</v>
      </c>
      <c r="L2" t="n">
        <v>0.03956203614225094</v>
      </c>
      <c r="M2" t="n">
        <v>0.2529374135588695</v>
      </c>
      <c r="N2" t="n">
        <v>3.024788598200339</v>
      </c>
      <c r="O2" t="n">
        <v>0.2417469635741648</v>
      </c>
      <c r="P2" t="n">
        <v>0.1520560095869884</v>
      </c>
      <c r="Q2" t="n">
        <v>3.17733084494658</v>
      </c>
      <c r="R2" t="n">
        <v>54.99107740024821</v>
      </c>
      <c r="S2" t="n">
        <v>1.724592184731222</v>
      </c>
      <c r="T2" t="n">
        <v>3.136130925711664</v>
      </c>
      <c r="U2" t="n">
        <v>0.5</v>
      </c>
      <c r="V2" t="n">
        <v>238</v>
      </c>
      <c r="W2" t="n">
        <v>290</v>
      </c>
      <c r="X2" t="n">
        <v>685.08</v>
      </c>
      <c r="Y2" t="n">
        <v>155</v>
      </c>
      <c r="Z2" t="n">
        <v>8114.5</v>
      </c>
      <c r="AA2" t="n">
        <v>679.98</v>
      </c>
      <c r="AB2" t="n">
        <v>5.1</v>
      </c>
      <c r="AC2" t="n">
        <v>300</v>
      </c>
      <c r="AD2" t="n">
        <v>19.1</v>
      </c>
      <c r="AE2" t="n">
        <v>706.844106823418</v>
      </c>
      <c r="AF2" t="n">
        <v>2.97166849100987</v>
      </c>
      <c r="AG2" t="n">
        <v>-21.7967545701294</v>
      </c>
      <c r="AH2" t="n">
        <v>2.15589809128463</v>
      </c>
      <c r="AI2" t="n">
        <v>0.784975898435888</v>
      </c>
      <c r="AJ2" t="n">
        <v>-0.00536539243604005</v>
      </c>
      <c r="AK2" t="n">
        <v>290</v>
      </c>
      <c r="AL2" t="n">
        <v>673.11</v>
      </c>
      <c r="AM2" t="n">
        <v>615</v>
      </c>
      <c r="AN2" t="n">
        <v>8105.43</v>
      </c>
      <c r="AO2" t="n">
        <v>679.95</v>
      </c>
      <c r="AP2" t="n">
        <v>-6.84</v>
      </c>
      <c r="AQ2" t="n">
        <v>1499.97166666667</v>
      </c>
      <c r="AR2" t="n">
        <v>2</v>
      </c>
      <c r="AS2" t="n">
        <v>0.5</v>
      </c>
      <c r="AT2" t="n">
        <v>2</v>
      </c>
      <c r="AU2" t="n">
        <v>1792299745.5</v>
      </c>
      <c r="AV2" t="n">
        <v>391.9445</v>
      </c>
      <c r="AW2" t="n">
        <v>399.9775</v>
      </c>
      <c r="AX2" t="n">
        <v>17.0856833333333</v>
      </c>
      <c r="AY2" t="n">
        <v>15.6837</v>
      </c>
      <c r="AZ2" t="n">
        <v>392.133166666667</v>
      </c>
      <c r="BA2" t="n">
        <v>17.2275666666667</v>
      </c>
      <c r="BB2" t="n">
        <v>500.003333333333</v>
      </c>
      <c r="BC2" t="n">
        <v>100.837833333333</v>
      </c>
      <c r="BD2" t="n">
        <v>0.1000192</v>
      </c>
      <c r="BE2" t="n">
        <v>24.7689</v>
      </c>
      <c r="BF2" t="n">
        <v>24.9876166666667</v>
      </c>
      <c r="BG2" t="n">
        <v>999.9</v>
      </c>
      <c r="BH2" t="n">
        <v>9999.06333333333</v>
      </c>
      <c r="BI2" t="n">
        <v>7.16548666666667</v>
      </c>
      <c r="BJ2" t="n">
        <v>1499.97166666667</v>
      </c>
      <c r="BK2" t="n">
        <v>0.972992333333333</v>
      </c>
      <c r="BL2" t="n">
        <v>0.0270079333333333</v>
      </c>
      <c r="BM2" t="n">
        <v>226.243</v>
      </c>
      <c r="BN2" t="n">
        <v>4.99999</v>
      </c>
      <c r="BO2" t="n">
        <v>3360.48666666667</v>
      </c>
      <c r="BP2" t="n">
        <v>14882.3</v>
      </c>
      <c r="BQ2" t="n">
        <v>36.8435</v>
      </c>
      <c r="BR2" t="n">
        <v>38.479</v>
      </c>
      <c r="BS2" t="n">
        <v>37.4475</v>
      </c>
      <c r="BT2" t="n">
        <v>37.875</v>
      </c>
      <c r="BU2" t="n">
        <v>38.375</v>
      </c>
      <c r="BV2" t="n">
        <v>1454.59166666667</v>
      </c>
      <c r="BW2" t="n">
        <v>40.38</v>
      </c>
      <c r="BX2" t="n">
        <v>2660</v>
      </c>
      <c r="BY2" t="n">
        <v>226.18396</v>
      </c>
      <c r="BZ2" t="n">
        <v>-1.60830767240282</v>
      </c>
      <c r="CA2" t="n">
        <v>-3.95846154169431</v>
      </c>
      <c r="CB2" t="n">
        <v>3360.7956</v>
      </c>
      <c r="CC2" t="n">
        <v>15</v>
      </c>
      <c r="CD2" t="n">
        <v>1792299689</v>
      </c>
      <c r="CE2" t="n">
        <v>1792299689</v>
      </c>
      <c r="CF2" t="n">
        <v>1792299686</v>
      </c>
      <c r="CG2" t="n">
        <v>42</v>
      </c>
      <c r="CH2" t="n">
        <v>0.004</v>
      </c>
      <c r="CI2" t="n">
        <v>-0.001</v>
      </c>
      <c r="CJ2" t="n">
        <v>-0.185</v>
      </c>
      <c r="CK2" t="n">
        <v>-0.159</v>
      </c>
      <c r="CL2" t="n">
        <v>400</v>
      </c>
      <c r="CM2" t="n">
        <v>16</v>
      </c>
      <c r="CN2" t="n">
        <v>0.2</v>
      </c>
      <c r="CO2" t="n">
        <v>0.07000000000000001</v>
      </c>
      <c r="CP2" t="n">
        <v>18.7289974464449</v>
      </c>
      <c r="CQ2" t="n">
        <v>-0.100874834790476</v>
      </c>
      <c r="CR2" t="n">
        <v>0.0676347239384656</v>
      </c>
      <c r="CS2" t="n">
        <v>1</v>
      </c>
      <c r="CT2" t="n">
        <v>-8.047585</v>
      </c>
      <c r="CU2" t="n">
        <v>0.0750595488721868</v>
      </c>
      <c r="CV2" t="n">
        <v>0.0273871538316782</v>
      </c>
      <c r="CW2" t="n">
        <v>1</v>
      </c>
      <c r="CX2" t="n">
        <v>226.168470588235</v>
      </c>
      <c r="CY2" t="n">
        <v>0.0502979465386927</v>
      </c>
      <c r="CZ2" t="n">
        <v>0.351349351475148</v>
      </c>
      <c r="DA2" t="n">
        <v>1</v>
      </c>
      <c r="DB2" t="n">
        <v>3</v>
      </c>
      <c r="DC2" t="n">
        <v>3</v>
      </c>
      <c r="DD2" t="n">
        <v>100</v>
      </c>
      <c r="DE2" t="n">
        <v>100</v>
      </c>
      <c r="DF2" t="n">
        <v>-0.189</v>
      </c>
      <c r="DG2" t="n">
        <v>-0.142</v>
      </c>
      <c r="DH2" t="n">
        <v>-0.260035707859181</v>
      </c>
      <c r="DI2" t="n">
        <v>-6.16732984266029e-05</v>
      </c>
      <c r="DJ2" t="n">
        <v>6.19398071816742e-07</v>
      </c>
      <c r="DK2" t="n">
        <v>3.19222985850634e-12</v>
      </c>
      <c r="DL2" t="n">
        <v>-0.0567344464501897</v>
      </c>
      <c r="DM2" t="n">
        <v>-0.0257783215012692</v>
      </c>
      <c r="DN2" t="n">
        <v>0.00133723821780375</v>
      </c>
      <c r="DO2" t="n">
        <v>-7.42160749481374e-06</v>
      </c>
      <c r="DP2" t="n">
        <v>7</v>
      </c>
      <c r="DQ2" t="n">
        <v>2154</v>
      </c>
      <c r="DR2" t="n">
        <v>2</v>
      </c>
      <c r="DS2" t="n">
        <v>20</v>
      </c>
      <c r="DT2" t="n">
        <v>1</v>
      </c>
      <c r="DU2" t="n">
        <v>1.1</v>
      </c>
      <c r="DV2" t="n">
        <v>1.03882</v>
      </c>
      <c r="DW2" t="n">
        <v>2.67334</v>
      </c>
      <c r="DX2" t="n">
        <v>1.65161</v>
      </c>
      <c r="DY2" t="n">
        <v>2.27539</v>
      </c>
      <c r="DZ2" t="n">
        <v>1.5979</v>
      </c>
      <c r="EA2" t="n">
        <v>2.53174</v>
      </c>
      <c r="EB2" t="n">
        <v>38.1837</v>
      </c>
      <c r="EC2" t="n">
        <v>23.7548</v>
      </c>
      <c r="ED2" t="n">
        <v>18</v>
      </c>
      <c r="EE2" t="n">
        <v>504.759</v>
      </c>
      <c r="EF2" t="n">
        <v>515.4059999999999</v>
      </c>
      <c r="EG2" t="n">
        <v>21.064</v>
      </c>
      <c r="EH2" t="n">
        <v>29.6719</v>
      </c>
      <c r="EI2" t="n">
        <v>29.9999</v>
      </c>
      <c r="EJ2" t="n">
        <v>29.8494</v>
      </c>
      <c r="EK2" t="n">
        <v>29.9079</v>
      </c>
      <c r="EL2" t="n">
        <v>20.7793</v>
      </c>
      <c r="EM2" t="n">
        <v>24.1978</v>
      </c>
      <c r="EN2" t="n">
        <v>12.0984</v>
      </c>
      <c r="EO2" t="n">
        <v>21.0715</v>
      </c>
      <c r="EP2" t="n">
        <v>400</v>
      </c>
      <c r="EQ2" t="n">
        <v>15.6429</v>
      </c>
      <c r="ER2" t="n">
        <v>98.00069999999999</v>
      </c>
      <c r="ES2" t="n">
        <v>94.50579999999999</v>
      </c>
    </row>
    <row r="3">
      <c r="A3" t="n">
        <v>2</v>
      </c>
      <c r="B3" t="n">
        <v>1792299870</v>
      </c>
      <c r="C3" t="n">
        <v>121</v>
      </c>
      <c r="D3" t="n">
        <v>5</v>
      </c>
      <c r="E3" t="n">
        <v>1792299867</v>
      </c>
      <c r="F3" t="n">
        <v>0.00369319991028561</v>
      </c>
      <c r="G3" t="n">
        <v>3.69319991028561</v>
      </c>
      <c r="H3" t="n">
        <v>13.87561509918018</v>
      </c>
      <c r="I3" t="n">
        <v>294.046</v>
      </c>
      <c r="J3" t="n">
        <v>200.4637591660895</v>
      </c>
      <c r="K3" t="n">
        <v>0.02023390637948057</v>
      </c>
      <c r="L3" t="n">
        <v>0.02967967506950352</v>
      </c>
      <c r="M3" t="n">
        <v>0.2632859495937387</v>
      </c>
      <c r="N3" t="n">
        <v>3.024034531787314</v>
      </c>
      <c r="O3" t="n">
        <v>0.2511817631440155</v>
      </c>
      <c r="P3" t="n">
        <v>0.1580297358397417</v>
      </c>
      <c r="Q3" t="n">
        <v>3.174365942587243</v>
      </c>
      <c r="R3" t="n">
        <v>54.91707596025408</v>
      </c>
      <c r="S3" t="n">
        <v>1.726309661349672</v>
      </c>
      <c r="T3" t="n">
        <v>3.143484300946902</v>
      </c>
      <c r="U3" t="n">
        <v>0.5</v>
      </c>
      <c r="V3" t="n">
        <v>238</v>
      </c>
      <c r="W3" t="n">
        <v>290</v>
      </c>
      <c r="X3" t="n">
        <v>685.08</v>
      </c>
      <c r="Y3" t="n">
        <v>155</v>
      </c>
      <c r="Z3" t="n">
        <v>8114.5</v>
      </c>
      <c r="AA3" t="n">
        <v>679.98</v>
      </c>
      <c r="AB3" t="n">
        <v>5.1</v>
      </c>
      <c r="AC3" t="n">
        <v>300</v>
      </c>
      <c r="AD3" t="n">
        <v>19.1</v>
      </c>
      <c r="AE3" t="n">
        <v>706.844106823418</v>
      </c>
      <c r="AF3" t="n">
        <v>2.97166849100987</v>
      </c>
      <c r="AG3" t="n">
        <v>-21.7967545701294</v>
      </c>
      <c r="AH3" t="n">
        <v>2.15589809128463</v>
      </c>
      <c r="AI3" t="n">
        <v>0.784975898435888</v>
      </c>
      <c r="AJ3" t="n">
        <v>-0.00536539243604005</v>
      </c>
      <c r="AK3" t="n">
        <v>290</v>
      </c>
      <c r="AL3" t="n">
        <v>673.11</v>
      </c>
      <c r="AM3" t="n">
        <v>615</v>
      </c>
      <c r="AN3" t="n">
        <v>8105.43</v>
      </c>
      <c r="AO3" t="n">
        <v>679.95</v>
      </c>
      <c r="AP3" t="n">
        <v>-6.84</v>
      </c>
      <c r="AQ3" t="n">
        <v>1499.98</v>
      </c>
      <c r="AR3" t="n">
        <v>2</v>
      </c>
      <c r="AS3" t="n">
        <v>0.5</v>
      </c>
      <c r="AT3" t="n">
        <v>2</v>
      </c>
      <c r="AU3" t="n">
        <v>1792299867</v>
      </c>
      <c r="AV3" t="n">
        <v>294.046</v>
      </c>
      <c r="AW3" t="n">
        <v>300.03</v>
      </c>
      <c r="AX3" t="n">
        <v>17.1031</v>
      </c>
      <c r="AY3" t="n">
        <v>15.65124</v>
      </c>
      <c r="AZ3" t="n">
        <v>294.3002</v>
      </c>
      <c r="BA3" t="n">
        <v>17.24322</v>
      </c>
      <c r="BB3" t="n">
        <v>500.053</v>
      </c>
      <c r="BC3" t="n">
        <v>100.8354</v>
      </c>
      <c r="BD3" t="n">
        <v>0.10008312</v>
      </c>
      <c r="BE3" t="n">
        <v>24.80812</v>
      </c>
      <c r="BF3" t="n">
        <v>24.97196</v>
      </c>
      <c r="BG3" t="n">
        <v>999.9</v>
      </c>
      <c r="BH3" t="n">
        <v>9994.748</v>
      </c>
      <c r="BI3" t="n">
        <v>7.19254</v>
      </c>
      <c r="BJ3" t="n">
        <v>1499.98</v>
      </c>
      <c r="BK3" t="n">
        <v>0.972992</v>
      </c>
      <c r="BL3" t="n">
        <v>0.02700828</v>
      </c>
      <c r="BM3" t="n">
        <v>223.8942</v>
      </c>
      <c r="BN3" t="n">
        <v>4.99999</v>
      </c>
      <c r="BO3" t="n">
        <v>3329.656</v>
      </c>
      <c r="BP3" t="n">
        <v>14882.32</v>
      </c>
      <c r="BQ3" t="n">
        <v>36.7996</v>
      </c>
      <c r="BR3" t="n">
        <v>38.4246</v>
      </c>
      <c r="BS3" t="n">
        <v>37.4122</v>
      </c>
      <c r="BT3" t="n">
        <v>37.812</v>
      </c>
      <c r="BU3" t="n">
        <v>38.375</v>
      </c>
      <c r="BV3" t="n">
        <v>1454.6</v>
      </c>
      <c r="BW3" t="n">
        <v>40.38</v>
      </c>
      <c r="BX3" t="n">
        <v>2780.59999990463</v>
      </c>
      <c r="BY3" t="n">
        <v>223.7455</v>
      </c>
      <c r="BZ3" t="n">
        <v>-0.0147350528173609</v>
      </c>
      <c r="CA3" t="n">
        <v>13.6916239369064</v>
      </c>
      <c r="CB3" t="n">
        <v>3328.66076923077</v>
      </c>
      <c r="CC3" t="n">
        <v>15</v>
      </c>
      <c r="CD3" t="n">
        <v>1792299817</v>
      </c>
      <c r="CE3" t="n">
        <v>1792299817</v>
      </c>
      <c r="CF3" t="n">
        <v>1792299813</v>
      </c>
      <c r="CG3" t="n">
        <v>43</v>
      </c>
      <c r="CH3" t="n">
        <v>-0.03</v>
      </c>
      <c r="CI3" t="n">
        <v>0.002</v>
      </c>
      <c r="CJ3" t="n">
        <v>-0.253</v>
      </c>
      <c r="CK3" t="n">
        <v>-0.158</v>
      </c>
      <c r="CL3" t="n">
        <v>300</v>
      </c>
      <c r="CM3" t="n">
        <v>16</v>
      </c>
      <c r="CN3" t="n">
        <v>0.31</v>
      </c>
      <c r="CO3" t="n">
        <v>0.03</v>
      </c>
      <c r="CP3" t="n">
        <v>13.6900426673031</v>
      </c>
      <c r="CQ3" t="n">
        <v>0.622912629267506</v>
      </c>
      <c r="CR3" t="n">
        <v>0.103857044780251</v>
      </c>
      <c r="CS3" t="n">
        <v>0</v>
      </c>
      <c r="CT3" t="n">
        <v>-5.9188795</v>
      </c>
      <c r="CU3" t="n">
        <v>-0.329668421052624</v>
      </c>
      <c r="CV3" t="n">
        <v>0.0449946812940152</v>
      </c>
      <c r="CW3" t="n">
        <v>1</v>
      </c>
      <c r="CX3" t="n">
        <v>223.817617647059</v>
      </c>
      <c r="CY3" t="n">
        <v>-0.426417123014261</v>
      </c>
      <c r="CZ3" t="n">
        <v>0.57204154593597</v>
      </c>
      <c r="DA3" t="n">
        <v>1</v>
      </c>
      <c r="DB3" t="n">
        <v>2</v>
      </c>
      <c r="DC3" t="n">
        <v>3</v>
      </c>
      <c r="DD3" t="n">
        <v>100</v>
      </c>
      <c r="DE3" t="n">
        <v>100</v>
      </c>
      <c r="DF3" t="n">
        <v>-0.254</v>
      </c>
      <c r="DG3" t="n">
        <v>-0.1401</v>
      </c>
      <c r="DH3" t="n">
        <v>-0.290001799263956</v>
      </c>
      <c r="DI3" t="n">
        <v>-6.16732984266029e-05</v>
      </c>
      <c r="DJ3" t="n">
        <v>6.19398071816742e-07</v>
      </c>
      <c r="DK3" t="n">
        <v>3.19222985850634e-12</v>
      </c>
      <c r="DL3" t="n">
        <v>-0.0551757335339678</v>
      </c>
      <c r="DM3" t="n">
        <v>-0.0257783215012692</v>
      </c>
      <c r="DN3" t="n">
        <v>0.00133723821780375</v>
      </c>
      <c r="DO3" t="n">
        <v>-7.42160749481374e-06</v>
      </c>
      <c r="DP3" t="n">
        <v>7</v>
      </c>
      <c r="DQ3" t="n">
        <v>2154</v>
      </c>
      <c r="DR3" t="n">
        <v>2</v>
      </c>
      <c r="DS3" t="n">
        <v>20</v>
      </c>
      <c r="DT3" t="n">
        <v>0.9</v>
      </c>
      <c r="DU3" t="n">
        <v>0.9</v>
      </c>
      <c r="DV3" t="n">
        <v>0.828857</v>
      </c>
      <c r="DW3" t="n">
        <v>2.6709</v>
      </c>
      <c r="DX3" t="n">
        <v>1.65161</v>
      </c>
      <c r="DY3" t="n">
        <v>2.27539</v>
      </c>
      <c r="DZ3" t="n">
        <v>1.5979</v>
      </c>
      <c r="EA3" t="n">
        <v>2.4939</v>
      </c>
      <c r="EB3" t="n">
        <v>38.1837</v>
      </c>
      <c r="EC3" t="n">
        <v>23.7548</v>
      </c>
      <c r="ED3" t="n">
        <v>18</v>
      </c>
      <c r="EE3" t="n">
        <v>504.805</v>
      </c>
      <c r="EF3" t="n">
        <v>515.135</v>
      </c>
      <c r="EG3" t="n">
        <v>21.1141</v>
      </c>
      <c r="EH3" t="n">
        <v>29.6568</v>
      </c>
      <c r="EI3" t="n">
        <v>30</v>
      </c>
      <c r="EJ3" t="n">
        <v>29.8418</v>
      </c>
      <c r="EK3" t="n">
        <v>29.9002</v>
      </c>
      <c r="EL3" t="n">
        <v>16.5715</v>
      </c>
      <c r="EM3" t="n">
        <v>24.2855</v>
      </c>
      <c r="EN3" t="n">
        <v>11.7257</v>
      </c>
      <c r="EO3" t="n">
        <v>21.1335</v>
      </c>
      <c r="EP3" t="n">
        <v>300</v>
      </c>
      <c r="EQ3" t="n">
        <v>15.6768</v>
      </c>
      <c r="ER3" t="n">
        <v>98.00449999999999</v>
      </c>
      <c r="ES3" t="n">
        <v>94.50660000000001</v>
      </c>
    </row>
    <row r="4">
      <c r="A4" t="n">
        <v>3</v>
      </c>
      <c r="B4" t="n">
        <v>1792299991</v>
      </c>
      <c r="C4" t="n">
        <v>242</v>
      </c>
      <c r="D4" t="n">
        <v>5</v>
      </c>
      <c r="E4" t="n">
        <v>1792299987.5</v>
      </c>
      <c r="F4" t="n">
        <v>0.003759191177036702</v>
      </c>
      <c r="G4" t="n">
        <v>3.759191177036703</v>
      </c>
      <c r="H4" t="n">
        <v>8.265154986236901</v>
      </c>
      <c r="I4" t="n">
        <v>196.385666666667</v>
      </c>
      <c r="J4" t="n">
        <v>141.4937125876167</v>
      </c>
      <c r="K4" t="n">
        <v>0.01428235805098762</v>
      </c>
      <c r="L4" t="n">
        <v>0.01982314518518555</v>
      </c>
      <c r="M4" t="n">
        <v>0.2704240996077596</v>
      </c>
      <c r="N4" t="n">
        <v>3.024235322434552</v>
      </c>
      <c r="O4" t="n">
        <v>0.257672568932227</v>
      </c>
      <c r="P4" t="n">
        <v>0.1621409134773611</v>
      </c>
      <c r="Q4" t="n">
        <v>3.173928702715488</v>
      </c>
      <c r="R4" t="n">
        <v>55.06027568185741</v>
      </c>
      <c r="S4" t="n">
        <v>1.737138284788983</v>
      </c>
      <c r="T4" t="n">
        <v>3.154975639472465</v>
      </c>
      <c r="U4" t="n">
        <v>0.5</v>
      </c>
      <c r="V4" t="n">
        <v>238</v>
      </c>
      <c r="W4" t="n">
        <v>290</v>
      </c>
      <c r="X4" t="n">
        <v>685.08</v>
      </c>
      <c r="Y4" t="n">
        <v>155</v>
      </c>
      <c r="Z4" t="n">
        <v>8114.5</v>
      </c>
      <c r="AA4" t="n">
        <v>679.98</v>
      </c>
      <c r="AB4" t="n">
        <v>5.1</v>
      </c>
      <c r="AC4" t="n">
        <v>300</v>
      </c>
      <c r="AD4" t="n">
        <v>19.1</v>
      </c>
      <c r="AE4" t="n">
        <v>706.844106823418</v>
      </c>
      <c r="AF4" t="n">
        <v>2.97166849100987</v>
      </c>
      <c r="AG4" t="n">
        <v>-21.7967545701294</v>
      </c>
      <c r="AH4" t="n">
        <v>2.15589809128463</v>
      </c>
      <c r="AI4" t="n">
        <v>0.784975898435888</v>
      </c>
      <c r="AJ4" t="n">
        <v>-0.00536539243604005</v>
      </c>
      <c r="AK4" t="n">
        <v>290</v>
      </c>
      <c r="AL4" t="n">
        <v>673.11</v>
      </c>
      <c r="AM4" t="n">
        <v>615</v>
      </c>
      <c r="AN4" t="n">
        <v>8105.43</v>
      </c>
      <c r="AO4" t="n">
        <v>679.95</v>
      </c>
      <c r="AP4" t="n">
        <v>-6.84</v>
      </c>
      <c r="AQ4" t="n">
        <v>1500.03833333333</v>
      </c>
      <c r="AR4" t="n">
        <v>2</v>
      </c>
      <c r="AS4" t="n">
        <v>0.5</v>
      </c>
      <c r="AT4" t="n">
        <v>2</v>
      </c>
      <c r="AU4" t="n">
        <v>1792299987.5</v>
      </c>
      <c r="AV4" t="n">
        <v>196.385666666667</v>
      </c>
      <c r="AW4" t="n">
        <v>199.986666666667</v>
      </c>
      <c r="AX4" t="n">
        <v>17.2096333333333</v>
      </c>
      <c r="AY4" t="n">
        <v>15.7319833333333</v>
      </c>
      <c r="AZ4" t="n">
        <v>196.656</v>
      </c>
      <c r="BA4" t="n">
        <v>17.3518833333333</v>
      </c>
      <c r="BB4" t="n">
        <v>500.050333333333</v>
      </c>
      <c r="BC4" t="n">
        <v>100.839833333333</v>
      </c>
      <c r="BD4" t="n">
        <v>0.100044416666667</v>
      </c>
      <c r="BE4" t="n">
        <v>24.86925</v>
      </c>
      <c r="BF4" t="n">
        <v>24.96965</v>
      </c>
      <c r="BG4" t="n">
        <v>999.9</v>
      </c>
      <c r="BH4" t="n">
        <v>9995.521666666669</v>
      </c>
      <c r="BI4" t="n">
        <v>7.16548666666667</v>
      </c>
      <c r="BJ4" t="n">
        <v>1500.03833333333</v>
      </c>
      <c r="BK4" t="n">
        <v>0.972992333333333</v>
      </c>
      <c r="BL4" t="n">
        <v>0.0270079666666667</v>
      </c>
      <c r="BM4" t="n">
        <v>223.8305</v>
      </c>
      <c r="BN4" t="n">
        <v>4.99999</v>
      </c>
      <c r="BO4" t="n">
        <v>3324.76833333333</v>
      </c>
      <c r="BP4" t="n">
        <v>14882.9166666667</v>
      </c>
      <c r="BQ4" t="n">
        <v>36.75</v>
      </c>
      <c r="BR4" t="n">
        <v>38.375</v>
      </c>
      <c r="BS4" t="n">
        <v>37.375</v>
      </c>
      <c r="BT4" t="n">
        <v>37.75</v>
      </c>
      <c r="BU4" t="n">
        <v>38.312</v>
      </c>
      <c r="BV4" t="n">
        <v>1454.65833333333</v>
      </c>
      <c r="BW4" t="n">
        <v>40.38</v>
      </c>
      <c r="BX4" t="n">
        <v>2901.79999995232</v>
      </c>
      <c r="BY4" t="n">
        <v>223.678692307692</v>
      </c>
      <c r="BZ4" t="n">
        <v>-0.191247851212814</v>
      </c>
      <c r="CA4" t="n">
        <v>4.01504273425053</v>
      </c>
      <c r="CB4" t="n">
        <v>3324.33307692308</v>
      </c>
      <c r="CC4" t="n">
        <v>15</v>
      </c>
      <c r="CD4" t="n">
        <v>1792299933</v>
      </c>
      <c r="CE4" t="n">
        <v>1792299929</v>
      </c>
      <c r="CF4" t="n">
        <v>1792299933</v>
      </c>
      <c r="CG4" t="n">
        <v>44</v>
      </c>
      <c r="CH4" t="n">
        <v>0.008</v>
      </c>
      <c r="CI4" t="n">
        <v>-0.004</v>
      </c>
      <c r="CJ4" t="n">
        <v>-0.27</v>
      </c>
      <c r="CK4" t="n">
        <v>-0.161</v>
      </c>
      <c r="CL4" t="n">
        <v>200</v>
      </c>
      <c r="CM4" t="n">
        <v>16</v>
      </c>
      <c r="CN4" t="n">
        <v>0.42</v>
      </c>
      <c r="CO4" t="n">
        <v>0.03</v>
      </c>
      <c r="CP4" t="n">
        <v>8.31188247936343</v>
      </c>
      <c r="CQ4" t="n">
        <v>0.14984598655113</v>
      </c>
      <c r="CR4" t="n">
        <v>0.07106684758713019</v>
      </c>
      <c r="CS4" t="n">
        <v>1</v>
      </c>
      <c r="CT4" t="n">
        <v>-3.621448</v>
      </c>
      <c r="CU4" t="n">
        <v>0.0123049624060141</v>
      </c>
      <c r="CV4" t="n">
        <v>0.0282927700305219</v>
      </c>
      <c r="CW4" t="n">
        <v>1</v>
      </c>
      <c r="CX4" t="n">
        <v>223.754088235294</v>
      </c>
      <c r="CY4" t="n">
        <v>-0.624766985628348</v>
      </c>
      <c r="CZ4" t="n">
        <v>0.445215173863226</v>
      </c>
      <c r="DA4" t="n">
        <v>1</v>
      </c>
      <c r="DB4" t="n">
        <v>3</v>
      </c>
      <c r="DC4" t="n">
        <v>3</v>
      </c>
      <c r="DD4" t="n">
        <v>100</v>
      </c>
      <c r="DE4" t="n">
        <v>100</v>
      </c>
      <c r="DF4" t="n">
        <v>-0.27</v>
      </c>
      <c r="DG4" t="n">
        <v>-0.1422</v>
      </c>
      <c r="DH4" t="n">
        <v>-0.282108097043491</v>
      </c>
      <c r="DI4" t="n">
        <v>-6.16732984266029e-05</v>
      </c>
      <c r="DJ4" t="n">
        <v>6.19398071816742e-07</v>
      </c>
      <c r="DK4" t="n">
        <v>3.19222985850634e-12</v>
      </c>
      <c r="DL4" t="n">
        <v>-0.0587673976398818</v>
      </c>
      <c r="DM4" t="n">
        <v>-0.0257783215012692</v>
      </c>
      <c r="DN4" t="n">
        <v>0.00133723821780375</v>
      </c>
      <c r="DO4" t="n">
        <v>-7.42160749481374e-06</v>
      </c>
      <c r="DP4" t="n">
        <v>7</v>
      </c>
      <c r="DQ4" t="n">
        <v>2154</v>
      </c>
      <c r="DR4" t="n">
        <v>2</v>
      </c>
      <c r="DS4" t="n">
        <v>20</v>
      </c>
      <c r="DT4" t="n">
        <v>1</v>
      </c>
      <c r="DU4" t="n">
        <v>1</v>
      </c>
      <c r="DV4" t="n">
        <v>0.609131</v>
      </c>
      <c r="DW4" t="n">
        <v>2.68188</v>
      </c>
      <c r="DX4" t="n">
        <v>1.65161</v>
      </c>
      <c r="DY4" t="n">
        <v>2.27539</v>
      </c>
      <c r="DZ4" t="n">
        <v>1.5979</v>
      </c>
      <c r="EA4" t="n">
        <v>2.50244</v>
      </c>
      <c r="EB4" t="n">
        <v>38.1837</v>
      </c>
      <c r="EC4" t="n">
        <v>23.7548</v>
      </c>
      <c r="ED4" t="n">
        <v>18</v>
      </c>
      <c r="EE4" t="n">
        <v>504.917</v>
      </c>
      <c r="EF4" t="n">
        <v>515.244</v>
      </c>
      <c r="EG4" t="n">
        <v>21.1883</v>
      </c>
      <c r="EH4" t="n">
        <v>29.6388</v>
      </c>
      <c r="EI4" t="n">
        <v>29.9999</v>
      </c>
      <c r="EJ4" t="n">
        <v>29.829</v>
      </c>
      <c r="EK4" t="n">
        <v>29.89</v>
      </c>
      <c r="EL4" t="n">
        <v>12.1683</v>
      </c>
      <c r="EM4" t="n">
        <v>23.6895</v>
      </c>
      <c r="EN4" t="n">
        <v>11.3537</v>
      </c>
      <c r="EO4" t="n">
        <v>21.2043</v>
      </c>
      <c r="EP4" t="n">
        <v>200</v>
      </c>
      <c r="EQ4" t="n">
        <v>15.7474</v>
      </c>
      <c r="ER4" t="n">
        <v>98.0068</v>
      </c>
      <c r="ES4" t="n">
        <v>94.505</v>
      </c>
    </row>
    <row r="5">
      <c r="A5" t="n">
        <v>4</v>
      </c>
      <c r="B5" t="n">
        <v>1792300112.1</v>
      </c>
      <c r="C5" t="n">
        <v>363.099999904633</v>
      </c>
      <c r="D5" t="n">
        <v>5</v>
      </c>
      <c r="E5" t="n">
        <v>1792300109.1</v>
      </c>
      <c r="F5" t="n">
        <v>0.003931286921054185</v>
      </c>
      <c r="G5" t="n">
        <v>3.931286921054185</v>
      </c>
      <c r="H5" t="n">
        <v>2.483845014878978</v>
      </c>
      <c r="I5" t="n">
        <v>98.82914</v>
      </c>
      <c r="J5" t="n">
        <v>82.18420869260999</v>
      </c>
      <c r="K5" t="n">
        <v>0.00829513014841945</v>
      </c>
      <c r="L5" t="n">
        <v>0.009975159362093889</v>
      </c>
      <c r="M5" t="n">
        <v>0.285147393188746</v>
      </c>
      <c r="N5" t="n">
        <v>3.028159907702355</v>
      </c>
      <c r="O5" t="n">
        <v>0.2710258940284095</v>
      </c>
      <c r="P5" t="n">
        <v>0.1706016484876673</v>
      </c>
      <c r="Q5" t="n">
        <v>3.170275738594206</v>
      </c>
      <c r="R5" t="n">
        <v>55.03507536774573</v>
      </c>
      <c r="S5" t="n">
        <v>1.741841694320495</v>
      </c>
      <c r="T5" t="n">
        <v>3.164966492153351</v>
      </c>
      <c r="U5" t="n">
        <v>0.5</v>
      </c>
      <c r="V5" t="n">
        <v>238</v>
      </c>
      <c r="W5" t="n">
        <v>290</v>
      </c>
      <c r="X5" t="n">
        <v>685.08</v>
      </c>
      <c r="Y5" t="n">
        <v>155</v>
      </c>
      <c r="Z5" t="n">
        <v>8114.5</v>
      </c>
      <c r="AA5" t="n">
        <v>679.98</v>
      </c>
      <c r="AB5" t="n">
        <v>5.1</v>
      </c>
      <c r="AC5" t="n">
        <v>300</v>
      </c>
      <c r="AD5" t="n">
        <v>19.1</v>
      </c>
      <c r="AE5" t="n">
        <v>706.844106823418</v>
      </c>
      <c r="AF5" t="n">
        <v>2.97166849100987</v>
      </c>
      <c r="AG5" t="n">
        <v>-21.7967545701294</v>
      </c>
      <c r="AH5" t="n">
        <v>2.15589809128463</v>
      </c>
      <c r="AI5" t="n">
        <v>0.784975898435888</v>
      </c>
      <c r="AJ5" t="n">
        <v>-0.00536539243604005</v>
      </c>
      <c r="AK5" t="n">
        <v>290</v>
      </c>
      <c r="AL5" t="n">
        <v>673.11</v>
      </c>
      <c r="AM5" t="n">
        <v>615</v>
      </c>
      <c r="AN5" t="n">
        <v>8105.43</v>
      </c>
      <c r="AO5" t="n">
        <v>679.95</v>
      </c>
      <c r="AP5" t="n">
        <v>-6.84</v>
      </c>
      <c r="AQ5" t="n">
        <v>1499.916</v>
      </c>
      <c r="AR5" t="n">
        <v>2</v>
      </c>
      <c r="AS5" t="n">
        <v>0.5</v>
      </c>
      <c r="AT5" t="n">
        <v>2</v>
      </c>
      <c r="AU5" t="n">
        <v>1792300109.1</v>
      </c>
      <c r="AV5" t="n">
        <v>98.82914</v>
      </c>
      <c r="AW5" t="n">
        <v>99.97812</v>
      </c>
      <c r="AX5" t="n">
        <v>17.25734</v>
      </c>
      <c r="AY5" t="n">
        <v>15.71192</v>
      </c>
      <c r="AZ5" t="n">
        <v>99.06894</v>
      </c>
      <c r="BA5" t="n">
        <v>17.39732</v>
      </c>
      <c r="BB5" t="n">
        <v>499.9862</v>
      </c>
      <c r="BC5" t="n">
        <v>100.8336</v>
      </c>
      <c r="BD5" t="n">
        <v>0.09978222</v>
      </c>
      <c r="BE5" t="n">
        <v>24.92224</v>
      </c>
      <c r="BF5" t="n">
        <v>24.95034</v>
      </c>
      <c r="BG5" t="n">
        <v>999.9</v>
      </c>
      <c r="BH5" t="n">
        <v>10019.88</v>
      </c>
      <c r="BI5" t="n">
        <v>7.17137</v>
      </c>
      <c r="BJ5" t="n">
        <v>1499.916</v>
      </c>
      <c r="BK5" t="n">
        <v>0.9730058</v>
      </c>
      <c r="BL5" t="n">
        <v>0.02699422</v>
      </c>
      <c r="BM5" t="n">
        <v>226.2158</v>
      </c>
      <c r="BN5" t="n">
        <v>4.99999</v>
      </c>
      <c r="BO5" t="n">
        <v>3358.762</v>
      </c>
      <c r="BP5" t="n">
        <v>14881.74</v>
      </c>
      <c r="BQ5" t="n">
        <v>36.687</v>
      </c>
      <c r="BR5" t="n">
        <v>38.3246</v>
      </c>
      <c r="BS5" t="n">
        <v>37.312</v>
      </c>
      <c r="BT5" t="n">
        <v>37.7248</v>
      </c>
      <c r="BU5" t="n">
        <v>38.2996</v>
      </c>
      <c r="BV5" t="n">
        <v>1454.56</v>
      </c>
      <c r="BW5" t="n">
        <v>40.356</v>
      </c>
      <c r="BX5" t="n">
        <v>3023</v>
      </c>
      <c r="BY5" t="n">
        <v>226.402653846154</v>
      </c>
      <c r="BZ5" t="n">
        <v>-1.5010940137898</v>
      </c>
      <c r="CA5" t="n">
        <v>4.32034188066084</v>
      </c>
      <c r="CB5" t="n">
        <v>3358.47192307692</v>
      </c>
      <c r="CC5" t="n">
        <v>15</v>
      </c>
      <c r="CD5" t="n">
        <v>1792300059.1</v>
      </c>
      <c r="CE5" t="n">
        <v>1792300054.1</v>
      </c>
      <c r="CF5" t="n">
        <v>1792300059.1</v>
      </c>
      <c r="CG5" t="n">
        <v>45</v>
      </c>
      <c r="CH5" t="n">
        <v>0.042</v>
      </c>
      <c r="CI5" t="n">
        <v>0.002</v>
      </c>
      <c r="CJ5" t="n">
        <v>-0.24</v>
      </c>
      <c r="CK5" t="n">
        <v>-0.159</v>
      </c>
      <c r="CL5" t="n">
        <v>100</v>
      </c>
      <c r="CM5" t="n">
        <v>16</v>
      </c>
      <c r="CN5" t="n">
        <v>0.21</v>
      </c>
      <c r="CO5" t="n">
        <v>0.03</v>
      </c>
      <c r="CP5" t="n">
        <v>2.48921889508167</v>
      </c>
      <c r="CQ5" t="n">
        <v>-0.11150757698736</v>
      </c>
      <c r="CR5" t="n">
        <v>0.0733574730515132</v>
      </c>
      <c r="CS5" t="n">
        <v>1</v>
      </c>
      <c r="CT5" t="n">
        <v>-1.150828</v>
      </c>
      <c r="CU5" t="n">
        <v>0.0549329323308273</v>
      </c>
      <c r="CV5" t="n">
        <v>0.0299965297326207</v>
      </c>
      <c r="CW5" t="n">
        <v>1</v>
      </c>
      <c r="CX5" t="n">
        <v>226.393676470588</v>
      </c>
      <c r="CY5" t="n">
        <v>-0.23582887666466</v>
      </c>
      <c r="CZ5" t="n">
        <v>0.415497909712888</v>
      </c>
      <c r="DA5" t="n">
        <v>1</v>
      </c>
      <c r="DB5" t="n">
        <v>3</v>
      </c>
      <c r="DC5" t="n">
        <v>3</v>
      </c>
      <c r="DD5" t="n">
        <v>100</v>
      </c>
      <c r="DE5" t="n">
        <v>100</v>
      </c>
      <c r="DF5" t="n">
        <v>-0.24</v>
      </c>
      <c r="DG5" t="n">
        <v>-0.14</v>
      </c>
      <c r="DH5" t="n">
        <v>-0.239789972899461</v>
      </c>
      <c r="DI5" t="n">
        <v>-6.16732984266029e-05</v>
      </c>
      <c r="DJ5" t="n">
        <v>6.19398071816742e-07</v>
      </c>
      <c r="DK5" t="n">
        <v>3.19222985850634e-12</v>
      </c>
      <c r="DL5" t="n">
        <v>-0.0571692834787004</v>
      </c>
      <c r="DM5" t="n">
        <v>-0.0257783215012692</v>
      </c>
      <c r="DN5" t="n">
        <v>0.00133723821780375</v>
      </c>
      <c r="DO5" t="n">
        <v>-7.42160749481374e-06</v>
      </c>
      <c r="DP5" t="n">
        <v>7</v>
      </c>
      <c r="DQ5" t="n">
        <v>2154</v>
      </c>
      <c r="DR5" t="n">
        <v>2</v>
      </c>
      <c r="DS5" t="n">
        <v>20</v>
      </c>
      <c r="DT5" t="n">
        <v>1</v>
      </c>
      <c r="DU5" t="n">
        <v>0.9</v>
      </c>
      <c r="DV5" t="n">
        <v>0.380859</v>
      </c>
      <c r="DW5" t="n">
        <v>2.69287</v>
      </c>
      <c r="DX5" t="n">
        <v>1.65161</v>
      </c>
      <c r="DY5" t="n">
        <v>2.27539</v>
      </c>
      <c r="DZ5" t="n">
        <v>1.5979</v>
      </c>
      <c r="EA5" t="n">
        <v>2.55981</v>
      </c>
      <c r="EB5" t="n">
        <v>38.1837</v>
      </c>
      <c r="EC5" t="n">
        <v>23.7635</v>
      </c>
      <c r="ED5" t="n">
        <v>18</v>
      </c>
      <c r="EE5" t="n">
        <v>504.724</v>
      </c>
      <c r="EF5" t="n">
        <v>514.908</v>
      </c>
      <c r="EG5" t="n">
        <v>21.3022</v>
      </c>
      <c r="EH5" t="n">
        <v>29.6235</v>
      </c>
      <c r="EI5" t="n">
        <v>29.9998</v>
      </c>
      <c r="EJ5" t="n">
        <v>29.8162</v>
      </c>
      <c r="EK5" t="n">
        <v>29.8771</v>
      </c>
      <c r="EL5" t="n">
        <v>7.60656</v>
      </c>
      <c r="EM5" t="n">
        <v>23.6813</v>
      </c>
      <c r="EN5" t="n">
        <v>10.9798</v>
      </c>
      <c r="EO5" t="n">
        <v>21.3237</v>
      </c>
      <c r="EP5" t="n">
        <v>100</v>
      </c>
      <c r="EQ5" t="n">
        <v>15.7514</v>
      </c>
      <c r="ER5" t="n">
        <v>98.0132</v>
      </c>
      <c r="ES5" t="n">
        <v>94.50830000000001</v>
      </c>
    </row>
    <row r="6">
      <c r="A6" t="n">
        <v>5</v>
      </c>
      <c r="B6" t="n">
        <v>1792300233.1</v>
      </c>
      <c r="C6" t="n">
        <v>484.099999904633</v>
      </c>
      <c r="D6" t="n">
        <v>5</v>
      </c>
      <c r="E6" t="n">
        <v>1792300229.6</v>
      </c>
      <c r="F6" t="n">
        <v>0.004115051416915604</v>
      </c>
      <c r="G6" t="n">
        <v>4.115051416915604</v>
      </c>
      <c r="H6" t="n">
        <v>-0.4913741763161755</v>
      </c>
      <c r="I6" t="n">
        <v>50.0993666666667</v>
      </c>
      <c r="J6" t="n">
        <v>51.6707562415286</v>
      </c>
      <c r="K6" t="n">
        <v>0.005215097134957189</v>
      </c>
      <c r="L6" t="n">
        <v>0.005056497767232482</v>
      </c>
      <c r="M6" t="n">
        <v>0.3006295825464576</v>
      </c>
      <c r="N6" t="n">
        <v>3.026773068886245</v>
      </c>
      <c r="O6" t="n">
        <v>0.2849714241941768</v>
      </c>
      <c r="P6" t="n">
        <v>0.1794459735450621</v>
      </c>
      <c r="Q6" t="n">
        <v>3.175269612235069</v>
      </c>
      <c r="R6" t="n">
        <v>55.07015531978272</v>
      </c>
      <c r="S6" t="n">
        <v>1.753412389329092</v>
      </c>
      <c r="T6" t="n">
        <v>3.183961220278632</v>
      </c>
      <c r="U6" t="n">
        <v>0.5</v>
      </c>
      <c r="V6" t="n">
        <v>238</v>
      </c>
      <c r="W6" t="n">
        <v>290</v>
      </c>
      <c r="X6" t="n">
        <v>685.08</v>
      </c>
      <c r="Y6" t="n">
        <v>155</v>
      </c>
      <c r="Z6" t="n">
        <v>8114.5</v>
      </c>
      <c r="AA6" t="n">
        <v>679.98</v>
      </c>
      <c r="AB6" t="n">
        <v>5.1</v>
      </c>
      <c r="AC6" t="n">
        <v>300</v>
      </c>
      <c r="AD6" t="n">
        <v>19.1</v>
      </c>
      <c r="AE6" t="n">
        <v>706.844106823418</v>
      </c>
      <c r="AF6" t="n">
        <v>2.97166849100987</v>
      </c>
      <c r="AG6" t="n">
        <v>-21.7967545701294</v>
      </c>
      <c r="AH6" t="n">
        <v>2.15589809128463</v>
      </c>
      <c r="AI6" t="n">
        <v>0.784975898435888</v>
      </c>
      <c r="AJ6" t="n">
        <v>-0.00536539243604005</v>
      </c>
      <c r="AK6" t="n">
        <v>290</v>
      </c>
      <c r="AL6" t="n">
        <v>673.11</v>
      </c>
      <c r="AM6" t="n">
        <v>615</v>
      </c>
      <c r="AN6" t="n">
        <v>8105.43</v>
      </c>
      <c r="AO6" t="n">
        <v>679.95</v>
      </c>
      <c r="AP6" t="n">
        <v>-6.84</v>
      </c>
      <c r="AQ6" t="n">
        <v>1499.95</v>
      </c>
      <c r="AR6" t="n">
        <v>2</v>
      </c>
      <c r="AS6" t="n">
        <v>0.5</v>
      </c>
      <c r="AT6" t="n">
        <v>2</v>
      </c>
      <c r="AU6" t="n">
        <v>1792300229.6</v>
      </c>
      <c r="AV6" t="n">
        <v>50.0993666666667</v>
      </c>
      <c r="AW6" t="n">
        <v>49.9852833333333</v>
      </c>
      <c r="AX6" t="n">
        <v>17.3726666666667</v>
      </c>
      <c r="AY6" t="n">
        <v>15.7552666666667</v>
      </c>
      <c r="AZ6" t="n">
        <v>50.3643</v>
      </c>
      <c r="BA6" t="n">
        <v>17.51175</v>
      </c>
      <c r="BB6" t="n">
        <v>500.007666666667</v>
      </c>
      <c r="BC6" t="n">
        <v>100.8295</v>
      </c>
      <c r="BD6" t="n">
        <v>0.09987503333333329</v>
      </c>
      <c r="BE6" t="n">
        <v>25.0225833333333</v>
      </c>
      <c r="BF6" t="n">
        <v>24.9767333333333</v>
      </c>
      <c r="BG6" t="n">
        <v>999.9</v>
      </c>
      <c r="BH6" t="n">
        <v>10011.8916666667</v>
      </c>
      <c r="BI6" t="n">
        <v>7.144075</v>
      </c>
      <c r="BJ6" t="n">
        <v>1499.95</v>
      </c>
      <c r="BK6" t="n">
        <v>0.9729965</v>
      </c>
      <c r="BL6" t="n">
        <v>0.0270035833333333</v>
      </c>
      <c r="BM6" t="n">
        <v>229.298333333333</v>
      </c>
      <c r="BN6" t="n">
        <v>4.99999</v>
      </c>
      <c r="BO6" t="n">
        <v>3395.31</v>
      </c>
      <c r="BP6" t="n">
        <v>14882.05</v>
      </c>
      <c r="BQ6" t="n">
        <v>36.625</v>
      </c>
      <c r="BR6" t="n">
        <v>38.2603333333333</v>
      </c>
      <c r="BS6" t="n">
        <v>37.25</v>
      </c>
      <c r="BT6" t="n">
        <v>37.687</v>
      </c>
      <c r="BU6" t="n">
        <v>38.25</v>
      </c>
      <c r="BV6" t="n">
        <v>1454.58</v>
      </c>
      <c r="BW6" t="n">
        <v>40.37</v>
      </c>
      <c r="BX6" t="n">
        <v>3144.20000004768</v>
      </c>
      <c r="BY6" t="n">
        <v>229.136461538462</v>
      </c>
      <c r="BZ6" t="n">
        <v>-1.02147007236794</v>
      </c>
      <c r="CA6" t="n">
        <v>9.202393152287311</v>
      </c>
      <c r="CB6" t="n">
        <v>3395.17423076923</v>
      </c>
      <c r="CC6" t="n">
        <v>15</v>
      </c>
      <c r="CD6" t="n">
        <v>1792300173.1</v>
      </c>
      <c r="CE6" t="n">
        <v>1792300169.1</v>
      </c>
      <c r="CF6" t="n">
        <v>1792300173.1</v>
      </c>
      <c r="CG6" t="n">
        <v>46</v>
      </c>
      <c r="CH6" t="n">
        <v>-0.024</v>
      </c>
      <c r="CI6" t="n">
        <v>-0.001</v>
      </c>
      <c r="CJ6" t="n">
        <v>-0.265</v>
      </c>
      <c r="CK6" t="n">
        <v>-0.16</v>
      </c>
      <c r="CL6" t="n">
        <v>50</v>
      </c>
      <c r="CM6" t="n">
        <v>16</v>
      </c>
      <c r="CN6" t="n">
        <v>0.3</v>
      </c>
      <c r="CO6" t="n">
        <v>0.04</v>
      </c>
      <c r="CP6" t="n">
        <v>-0.496880240893556</v>
      </c>
      <c r="CQ6" t="n">
        <v>0.157741559978198</v>
      </c>
      <c r="CR6" t="n">
        <v>0.0525322972515564</v>
      </c>
      <c r="CS6" t="n">
        <v>1</v>
      </c>
      <c r="CT6" t="n">
        <v>0.11670550952381</v>
      </c>
      <c r="CU6" t="n">
        <v>-0.0574322337662339</v>
      </c>
      <c r="CV6" t="n">
        <v>0.0206080850631818</v>
      </c>
      <c r="CW6" t="n">
        <v>1</v>
      </c>
      <c r="CX6" t="n">
        <v>229.115441176471</v>
      </c>
      <c r="CY6" t="n">
        <v>0.973491220409446</v>
      </c>
      <c r="CZ6" t="n">
        <v>0.389105474221585</v>
      </c>
      <c r="DA6" t="n">
        <v>1</v>
      </c>
      <c r="DB6" t="n">
        <v>3</v>
      </c>
      <c r="DC6" t="n">
        <v>3</v>
      </c>
      <c r="DD6" t="n">
        <v>100</v>
      </c>
      <c r="DE6" t="n">
        <v>100</v>
      </c>
      <c r="DF6" t="n">
        <v>-0.265</v>
      </c>
      <c r="DG6" t="n">
        <v>-0.1391</v>
      </c>
      <c r="DH6" t="n">
        <v>-0.263385349168866</v>
      </c>
      <c r="DI6" t="n">
        <v>-6.16732984266029e-05</v>
      </c>
      <c r="DJ6" t="n">
        <v>6.19398071816742e-07</v>
      </c>
      <c r="DK6" t="n">
        <v>3.19222985850634e-12</v>
      </c>
      <c r="DL6" t="n">
        <v>-0.0578597654940486</v>
      </c>
      <c r="DM6" t="n">
        <v>-0.0257783215012692</v>
      </c>
      <c r="DN6" t="n">
        <v>0.00133723821780375</v>
      </c>
      <c r="DO6" t="n">
        <v>-7.42160749481374e-06</v>
      </c>
      <c r="DP6" t="n">
        <v>7</v>
      </c>
      <c r="DQ6" t="n">
        <v>2154</v>
      </c>
      <c r="DR6" t="n">
        <v>2</v>
      </c>
      <c r="DS6" t="n">
        <v>20</v>
      </c>
      <c r="DT6" t="n">
        <v>1.1</v>
      </c>
      <c r="DU6" t="n">
        <v>1</v>
      </c>
      <c r="DV6" t="n">
        <v>0.267334</v>
      </c>
      <c r="DW6" t="n">
        <v>2.72461</v>
      </c>
      <c r="DX6" t="n">
        <v>1.65161</v>
      </c>
      <c r="DY6" t="n">
        <v>2.27539</v>
      </c>
      <c r="DZ6" t="n">
        <v>1.5979</v>
      </c>
      <c r="EA6" t="n">
        <v>2.48901</v>
      </c>
      <c r="EB6" t="n">
        <v>38.1837</v>
      </c>
      <c r="EC6" t="n">
        <v>23.7548</v>
      </c>
      <c r="ED6" t="n">
        <v>18</v>
      </c>
      <c r="EE6" t="n">
        <v>505.019</v>
      </c>
      <c r="EF6" t="n">
        <v>514.794</v>
      </c>
      <c r="EG6" t="n">
        <v>21.5256</v>
      </c>
      <c r="EH6" t="n">
        <v>29.6082</v>
      </c>
      <c r="EI6" t="n">
        <v>29.9999</v>
      </c>
      <c r="EJ6" t="n">
        <v>29.8034</v>
      </c>
      <c r="EK6" t="n">
        <v>29.8643</v>
      </c>
      <c r="EL6" t="n">
        <v>5.3443</v>
      </c>
      <c r="EM6" t="n">
        <v>23.5367</v>
      </c>
      <c r="EN6" t="n">
        <v>10.8061</v>
      </c>
      <c r="EO6" t="n">
        <v>21.5347</v>
      </c>
      <c r="EP6" t="n">
        <v>50</v>
      </c>
      <c r="EQ6" t="n">
        <v>15.6909</v>
      </c>
      <c r="ER6" t="n">
        <v>98.0153</v>
      </c>
      <c r="ES6" t="n">
        <v>94.5155</v>
      </c>
    </row>
    <row r="7">
      <c r="A7" t="n">
        <v>8</v>
      </c>
      <c r="B7" t="n">
        <v>1792300638.1</v>
      </c>
      <c r="C7" t="n">
        <v>889.099999904633</v>
      </c>
      <c r="D7" t="n">
        <v>5</v>
      </c>
      <c r="E7" t="n">
        <v>1792300634.6</v>
      </c>
      <c r="F7" t="n">
        <v>0.004448970127892818</v>
      </c>
      <c r="G7" t="n">
        <v>4.448970127892818</v>
      </c>
      <c r="H7" t="n">
        <v>31.55715824712912</v>
      </c>
      <c r="I7" t="n">
        <v>686.161833333333</v>
      </c>
      <c r="J7" t="n">
        <v>511.1465601615571</v>
      </c>
      <c r="K7" t="n">
        <v>0.0515913035911501</v>
      </c>
      <c r="L7" t="n">
        <v>0.06925603381732887</v>
      </c>
      <c r="M7" t="n">
        <v>0.3289650441585433</v>
      </c>
      <c r="N7" t="n">
        <v>3.025164857548303</v>
      </c>
      <c r="O7" t="n">
        <v>0.3103051016738576</v>
      </c>
      <c r="P7" t="n">
        <v>0.1955289516464601</v>
      </c>
      <c r="Q7" t="n">
        <v>3.189950932427853</v>
      </c>
      <c r="R7" t="n">
        <v>55.18522506266723</v>
      </c>
      <c r="S7" t="n">
        <v>1.778457682801781</v>
      </c>
      <c r="T7" t="n">
        <v>3.222706223961577</v>
      </c>
      <c r="U7" t="n">
        <v>0.5</v>
      </c>
      <c r="V7" t="n">
        <v>238</v>
      </c>
      <c r="W7" t="n">
        <v>290</v>
      </c>
      <c r="X7" t="n">
        <v>685.08</v>
      </c>
      <c r="Y7" t="n">
        <v>155</v>
      </c>
      <c r="Z7" t="n">
        <v>8114.5</v>
      </c>
      <c r="AA7" t="n">
        <v>679.98</v>
      </c>
      <c r="AB7" t="n">
        <v>5.1</v>
      </c>
      <c r="AC7" t="n">
        <v>300</v>
      </c>
      <c r="AD7" t="n">
        <v>19.1</v>
      </c>
      <c r="AE7" t="n">
        <v>706.844106823418</v>
      </c>
      <c r="AF7" t="n">
        <v>2.97166849100987</v>
      </c>
      <c r="AG7" t="n">
        <v>-21.7967545701294</v>
      </c>
      <c r="AH7" t="n">
        <v>2.15589809128463</v>
      </c>
      <c r="AI7" t="n">
        <v>0.784975898435888</v>
      </c>
      <c r="AJ7" t="n">
        <v>-0.00536539243604005</v>
      </c>
      <c r="AK7" t="n">
        <v>290</v>
      </c>
      <c r="AL7" t="n">
        <v>673.11</v>
      </c>
      <c r="AM7" t="n">
        <v>615</v>
      </c>
      <c r="AN7" t="n">
        <v>8105.43</v>
      </c>
      <c r="AO7" t="n">
        <v>679.95</v>
      </c>
      <c r="AP7" t="n">
        <v>-6.84</v>
      </c>
      <c r="AQ7" t="n">
        <v>1500.025</v>
      </c>
      <c r="AR7" t="n">
        <v>2</v>
      </c>
      <c r="AS7" t="n">
        <v>0.5</v>
      </c>
      <c r="AT7" t="n">
        <v>2</v>
      </c>
      <c r="AU7" t="n">
        <v>1792300634.6</v>
      </c>
      <c r="AV7" t="n">
        <v>686.161833333333</v>
      </c>
      <c r="AW7" t="n">
        <v>700.005666666667</v>
      </c>
      <c r="AX7" t="n">
        <v>17.6202666666667</v>
      </c>
      <c r="AY7" t="n">
        <v>15.87205</v>
      </c>
      <c r="AZ7" t="n">
        <v>685.8468333333331</v>
      </c>
      <c r="BA7" t="n">
        <v>17.75835</v>
      </c>
      <c r="BB7" t="n">
        <v>500.004166666667</v>
      </c>
      <c r="BC7" t="n">
        <v>100.8325</v>
      </c>
      <c r="BD7" t="n">
        <v>0.100006666666667</v>
      </c>
      <c r="BE7" t="n">
        <v>25.22565</v>
      </c>
      <c r="BF7" t="n">
        <v>25.0541166666667</v>
      </c>
      <c r="BG7" t="n">
        <v>999.9</v>
      </c>
      <c r="BH7" t="n">
        <v>10001.8666666667</v>
      </c>
      <c r="BI7" t="n">
        <v>7.17231</v>
      </c>
      <c r="BJ7" t="n">
        <v>1500.025</v>
      </c>
      <c r="BK7" t="n">
        <v>0.972994666666667</v>
      </c>
      <c r="BL7" t="n">
        <v>0.0270055166666667</v>
      </c>
      <c r="BM7" t="n">
        <v>227.519</v>
      </c>
      <c r="BN7" t="n">
        <v>4.99999</v>
      </c>
      <c r="BO7" t="n">
        <v>3379.66166666667</v>
      </c>
      <c r="BP7" t="n">
        <v>14882.8</v>
      </c>
      <c r="BQ7" t="n">
        <v>36.625</v>
      </c>
      <c r="BR7" t="n">
        <v>38.25</v>
      </c>
      <c r="BS7" t="n">
        <v>37.2395</v>
      </c>
      <c r="BT7" t="n">
        <v>37.6663333333333</v>
      </c>
      <c r="BU7" t="n">
        <v>38.25</v>
      </c>
      <c r="BV7" t="n">
        <v>1454.65</v>
      </c>
      <c r="BW7" t="n">
        <v>40.375</v>
      </c>
      <c r="BX7" t="n">
        <v>3549.20000004768</v>
      </c>
      <c r="BY7" t="n">
        <v>227.56608</v>
      </c>
      <c r="BZ7" t="n">
        <v>-1.92530767153686</v>
      </c>
      <c r="CA7" t="n">
        <v>1.9269230686595</v>
      </c>
      <c r="CB7" t="n">
        <v>3379.5064</v>
      </c>
      <c r="CC7" t="n">
        <v>15</v>
      </c>
      <c r="CD7" t="n">
        <v>1792300564.1</v>
      </c>
      <c r="CE7" t="n">
        <v>1792300564.1</v>
      </c>
      <c r="CF7" t="n">
        <v>1792300556.1</v>
      </c>
      <c r="CG7" t="n">
        <v>49</v>
      </c>
      <c r="CH7" t="n">
        <v>0.318</v>
      </c>
      <c r="CI7" t="n">
        <v>-0.002</v>
      </c>
      <c r="CJ7" t="n">
        <v>0.326</v>
      </c>
      <c r="CK7" t="n">
        <v>-0.161</v>
      </c>
      <c r="CL7" t="n">
        <v>700</v>
      </c>
      <c r="CM7" t="n">
        <v>16</v>
      </c>
      <c r="CN7" t="n">
        <v>0.08</v>
      </c>
      <c r="CO7" t="n">
        <v>0.02</v>
      </c>
      <c r="CP7" t="n">
        <v>31.5484539821205</v>
      </c>
      <c r="CQ7" t="n">
        <v>0.389985653819303</v>
      </c>
      <c r="CR7" t="n">
        <v>0.103693335232001</v>
      </c>
      <c r="CS7" t="n">
        <v>1</v>
      </c>
      <c r="CT7" t="n">
        <v>-13.851205</v>
      </c>
      <c r="CU7" t="n">
        <v>-0.067556390977437</v>
      </c>
      <c r="CV7" t="n">
        <v>0.0384910830582877</v>
      </c>
      <c r="CW7" t="n">
        <v>1</v>
      </c>
      <c r="CX7" t="n">
        <v>227.502852941176</v>
      </c>
      <c r="CY7" t="n">
        <v>0.276103903290978</v>
      </c>
      <c r="CZ7" t="n">
        <v>0.436713133219787</v>
      </c>
      <c r="DA7" t="n">
        <v>1</v>
      </c>
      <c r="DB7" t="n">
        <v>3</v>
      </c>
      <c r="DC7" t="n">
        <v>3</v>
      </c>
      <c r="DD7" t="n">
        <v>100</v>
      </c>
      <c r="DE7" t="n">
        <v>100</v>
      </c>
      <c r="DF7" t="n">
        <v>0.315</v>
      </c>
      <c r="DG7" t="n">
        <v>-0.1382</v>
      </c>
      <c r="DH7" t="n">
        <v>0.06492430173740731</v>
      </c>
      <c r="DI7" t="n">
        <v>-6.16732984266029e-05</v>
      </c>
      <c r="DJ7" t="n">
        <v>6.19398071816742e-07</v>
      </c>
      <c r="DK7" t="n">
        <v>3.19222985850634e-12</v>
      </c>
      <c r="DL7" t="n">
        <v>-0.0604722547195307</v>
      </c>
      <c r="DM7" t="n">
        <v>-0.0257783215012692</v>
      </c>
      <c r="DN7" t="n">
        <v>0.00133723821780375</v>
      </c>
      <c r="DO7" t="n">
        <v>-7.42160749481374e-06</v>
      </c>
      <c r="DP7" t="n">
        <v>7</v>
      </c>
      <c r="DQ7" t="n">
        <v>2154</v>
      </c>
      <c r="DR7" t="n">
        <v>2</v>
      </c>
      <c r="DS7" t="n">
        <v>20</v>
      </c>
      <c r="DT7" t="n">
        <v>1.2</v>
      </c>
      <c r="DU7" t="n">
        <v>1.4</v>
      </c>
      <c r="DV7" t="n">
        <v>1.62598</v>
      </c>
      <c r="DW7" t="n">
        <v>2.65137</v>
      </c>
      <c r="DX7" t="n">
        <v>1.65161</v>
      </c>
      <c r="DY7" t="n">
        <v>2.27539</v>
      </c>
      <c r="DZ7" t="n">
        <v>1.5979</v>
      </c>
      <c r="EA7" t="n">
        <v>2.65869</v>
      </c>
      <c r="EB7" t="n">
        <v>38.208</v>
      </c>
      <c r="EC7" t="n">
        <v>23.7635</v>
      </c>
      <c r="ED7" t="n">
        <v>18</v>
      </c>
      <c r="EE7" t="n">
        <v>505.234</v>
      </c>
      <c r="EF7" t="n">
        <v>516.179</v>
      </c>
      <c r="EG7" t="n">
        <v>21.3003</v>
      </c>
      <c r="EH7" t="n">
        <v>29.5729</v>
      </c>
      <c r="EI7" t="n">
        <v>30.0003</v>
      </c>
      <c r="EJ7" t="n">
        <v>29.7575</v>
      </c>
      <c r="EK7" t="n">
        <v>29.8208</v>
      </c>
      <c r="EL7" t="n">
        <v>32.4877</v>
      </c>
      <c r="EM7" t="n">
        <v>22.509</v>
      </c>
      <c r="EN7" t="n">
        <v>9.89465</v>
      </c>
      <c r="EO7" t="n">
        <v>21.2866</v>
      </c>
      <c r="EP7" t="n">
        <v>700</v>
      </c>
      <c r="EQ7" t="n">
        <v>15.8725</v>
      </c>
      <c r="ER7" t="n">
        <v>98.01949999999999</v>
      </c>
      <c r="ES7" t="n">
        <v>94.5188</v>
      </c>
    </row>
    <row r="8">
      <c r="A8" t="n">
        <v>9</v>
      </c>
      <c r="B8" t="n">
        <v>1792300771.1</v>
      </c>
      <c r="C8" t="n">
        <v>1022.09999990463</v>
      </c>
      <c r="D8" t="n">
        <v>5</v>
      </c>
      <c r="E8" t="n">
        <v>1792300768.1</v>
      </c>
      <c r="F8" t="n">
        <v>0.004155648426043106</v>
      </c>
      <c r="G8" t="n">
        <v>4.155648426043106</v>
      </c>
      <c r="H8" t="n">
        <v>35.08044363600536</v>
      </c>
      <c r="I8" t="n">
        <v>984.433</v>
      </c>
      <c r="J8" t="n">
        <v>768.2872619651847</v>
      </c>
      <c r="K8" t="n">
        <v>0.07753628351576883</v>
      </c>
      <c r="L8" t="n">
        <v>0.09934991762721396</v>
      </c>
      <c r="M8" t="n">
        <v>0.3001291137218597</v>
      </c>
      <c r="N8" t="n">
        <v>3.022387783953402</v>
      </c>
      <c r="O8" t="n">
        <v>0.2845002129634882</v>
      </c>
      <c r="P8" t="n">
        <v>0.1791489787725214</v>
      </c>
      <c r="Q8" t="n">
        <v>3.187629226461051</v>
      </c>
      <c r="R8" t="n">
        <v>55.41307036532008</v>
      </c>
      <c r="S8" t="n">
        <v>1.749551531690743</v>
      </c>
      <c r="T8" t="n">
        <v>3.157290365172923</v>
      </c>
      <c r="U8" t="n">
        <v>0.5</v>
      </c>
      <c r="V8" t="n">
        <v>238</v>
      </c>
      <c r="W8" t="n">
        <v>290</v>
      </c>
      <c r="X8" t="n">
        <v>685.08</v>
      </c>
      <c r="Y8" t="n">
        <v>155</v>
      </c>
      <c r="Z8" t="n">
        <v>8114.5</v>
      </c>
      <c r="AA8" t="n">
        <v>679.98</v>
      </c>
      <c r="AB8" t="n">
        <v>5.1</v>
      </c>
      <c r="AC8" t="n">
        <v>300</v>
      </c>
      <c r="AD8" t="n">
        <v>19.1</v>
      </c>
      <c r="AE8" t="n">
        <v>706.844106823418</v>
      </c>
      <c r="AF8" t="n">
        <v>2.97166849100987</v>
      </c>
      <c r="AG8" t="n">
        <v>-21.7967545701294</v>
      </c>
      <c r="AH8" t="n">
        <v>2.15589809128463</v>
      </c>
      <c r="AI8" t="n">
        <v>0.784975898435888</v>
      </c>
      <c r="AJ8" t="n">
        <v>-0.00536539243604005</v>
      </c>
      <c r="AK8" t="n">
        <v>290</v>
      </c>
      <c r="AL8" t="n">
        <v>673.11</v>
      </c>
      <c r="AM8" t="n">
        <v>615</v>
      </c>
      <c r="AN8" t="n">
        <v>8105.43</v>
      </c>
      <c r="AO8" t="n">
        <v>679.95</v>
      </c>
      <c r="AP8" t="n">
        <v>-6.84</v>
      </c>
      <c r="AQ8" t="n">
        <v>1500.088</v>
      </c>
      <c r="AR8" t="n">
        <v>2</v>
      </c>
      <c r="AS8" t="n">
        <v>0.5</v>
      </c>
      <c r="AT8" t="n">
        <v>2</v>
      </c>
      <c r="AU8" t="n">
        <v>1792300768.1</v>
      </c>
      <c r="AV8" t="n">
        <v>984.433</v>
      </c>
      <c r="AW8" t="n">
        <v>1000.1</v>
      </c>
      <c r="AX8" t="n">
        <v>17.33586</v>
      </c>
      <c r="AY8" t="n">
        <v>15.70258</v>
      </c>
      <c r="AZ8" t="n">
        <v>983.6068</v>
      </c>
      <c r="BA8" t="n">
        <v>17.4792</v>
      </c>
      <c r="BB8" t="n">
        <v>500.0498</v>
      </c>
      <c r="BC8" t="n">
        <v>100.8208</v>
      </c>
      <c r="BD8" t="n">
        <v>0.10015412</v>
      </c>
      <c r="BE8" t="n">
        <v>24.88154</v>
      </c>
      <c r="BF8" t="n">
        <v>25.0419</v>
      </c>
      <c r="BG8" t="n">
        <v>999.9</v>
      </c>
      <c r="BH8" t="n">
        <v>9986.25</v>
      </c>
      <c r="BI8" t="n">
        <v>7.196776</v>
      </c>
      <c r="BJ8" t="n">
        <v>1500.088</v>
      </c>
      <c r="BK8" t="n">
        <v>0.9729968</v>
      </c>
      <c r="BL8" t="n">
        <v>0.0270032</v>
      </c>
      <c r="BM8" t="n">
        <v>225.6382</v>
      </c>
      <c r="BN8" t="n">
        <v>4.99999</v>
      </c>
      <c r="BO8" t="n">
        <v>3358.586</v>
      </c>
      <c r="BP8" t="n">
        <v>14883.46</v>
      </c>
      <c r="BQ8" t="n">
        <v>36.6622</v>
      </c>
      <c r="BR8" t="n">
        <v>38.25</v>
      </c>
      <c r="BS8" t="n">
        <v>37.25</v>
      </c>
      <c r="BT8" t="n">
        <v>37.687</v>
      </c>
      <c r="BU8" t="n">
        <v>38.2624</v>
      </c>
      <c r="BV8" t="n">
        <v>1454.714</v>
      </c>
      <c r="BW8" t="n">
        <v>40.374</v>
      </c>
      <c r="BX8" t="n">
        <v>3681.79999995232</v>
      </c>
      <c r="BY8" t="n">
        <v>225.945576923077</v>
      </c>
      <c r="BZ8" t="n">
        <v>-0.9162051414521351</v>
      </c>
      <c r="CA8" t="n">
        <v>-14.2957264707311</v>
      </c>
      <c r="CB8" t="n">
        <v>3359.455</v>
      </c>
      <c r="CC8" t="n">
        <v>15</v>
      </c>
      <c r="CD8" t="n">
        <v>1792300700.1</v>
      </c>
      <c r="CE8" t="n">
        <v>1792300697.1</v>
      </c>
      <c r="CF8" t="n">
        <v>1792300700.1</v>
      </c>
      <c r="CG8" t="n">
        <v>50</v>
      </c>
      <c r="CH8" t="n">
        <v>0.219</v>
      </c>
      <c r="CI8" t="n">
        <v>-0.001</v>
      </c>
      <c r="CJ8" t="n">
        <v>0.845</v>
      </c>
      <c r="CK8" t="n">
        <v>-0.162</v>
      </c>
      <c r="CL8" t="n">
        <v>1000</v>
      </c>
      <c r="CM8" t="n">
        <v>16</v>
      </c>
      <c r="CN8" t="n">
        <v>0.13</v>
      </c>
      <c r="CO8" t="n">
        <v>0.03</v>
      </c>
      <c r="CP8" t="n">
        <v>35.169912140749</v>
      </c>
      <c r="CQ8" t="n">
        <v>-0.282845138106345</v>
      </c>
      <c r="CR8" t="n">
        <v>0.07962927928400899</v>
      </c>
      <c r="CS8" t="n">
        <v>1</v>
      </c>
      <c r="CT8" t="n">
        <v>-15.6800047619048</v>
      </c>
      <c r="CU8" t="n">
        <v>0.108935064935076</v>
      </c>
      <c r="CV8" t="n">
        <v>0.0336355888080932</v>
      </c>
      <c r="CW8" t="n">
        <v>1</v>
      </c>
      <c r="CX8" t="n">
        <v>225.943676470588</v>
      </c>
      <c r="CY8" t="n">
        <v>0.217769280304721</v>
      </c>
      <c r="CZ8" t="n">
        <v>0.363238596079301</v>
      </c>
      <c r="DA8" t="n">
        <v>1</v>
      </c>
      <c r="DB8" t="n">
        <v>3</v>
      </c>
      <c r="DC8" t="n">
        <v>3</v>
      </c>
      <c r="DD8" t="n">
        <v>100</v>
      </c>
      <c r="DE8" t="n">
        <v>100</v>
      </c>
      <c r="DF8" t="n">
        <v>0.826</v>
      </c>
      <c r="DG8" t="n">
        <v>-0.1436</v>
      </c>
      <c r="DH8" t="n">
        <v>0.28453243252846</v>
      </c>
      <c r="DI8" t="n">
        <v>-6.16732984266029e-05</v>
      </c>
      <c r="DJ8" t="n">
        <v>6.19398071816742e-07</v>
      </c>
      <c r="DK8" t="n">
        <v>3.19222985850634e-12</v>
      </c>
      <c r="DL8" t="n">
        <v>-0.061655598105566</v>
      </c>
      <c r="DM8" t="n">
        <v>-0.0257783215012692</v>
      </c>
      <c r="DN8" t="n">
        <v>0.00133723821780375</v>
      </c>
      <c r="DO8" t="n">
        <v>-7.42160749481374e-06</v>
      </c>
      <c r="DP8" t="n">
        <v>7</v>
      </c>
      <c r="DQ8" t="n">
        <v>2154</v>
      </c>
      <c r="DR8" t="n">
        <v>2</v>
      </c>
      <c r="DS8" t="n">
        <v>20</v>
      </c>
      <c r="DT8" t="n">
        <v>1.2</v>
      </c>
      <c r="DU8" t="n">
        <v>1.2</v>
      </c>
      <c r="DV8" t="n">
        <v>2.16797</v>
      </c>
      <c r="DW8" t="n">
        <v>2.64526</v>
      </c>
      <c r="DX8" t="n">
        <v>1.65161</v>
      </c>
      <c r="DY8" t="n">
        <v>2.27661</v>
      </c>
      <c r="DZ8" t="n">
        <v>1.5979</v>
      </c>
      <c r="EA8" t="n">
        <v>2.62695</v>
      </c>
      <c r="EB8" t="n">
        <v>38.2568</v>
      </c>
      <c r="EC8" t="n">
        <v>23.7635</v>
      </c>
      <c r="ED8" t="n">
        <v>18</v>
      </c>
      <c r="EE8" t="n">
        <v>504.939</v>
      </c>
      <c r="EF8" t="n">
        <v>515.845</v>
      </c>
      <c r="EG8" t="n">
        <v>20.2395</v>
      </c>
      <c r="EH8" t="n">
        <v>29.6035</v>
      </c>
      <c r="EI8" t="n">
        <v>30.0003</v>
      </c>
      <c r="EJ8" t="n">
        <v>29.7703</v>
      </c>
      <c r="EK8" t="n">
        <v>29.8285</v>
      </c>
      <c r="EL8" t="n">
        <v>43.3467</v>
      </c>
      <c r="EM8" t="n">
        <v>23.2527</v>
      </c>
      <c r="EN8" t="n">
        <v>9.589829999999999</v>
      </c>
      <c r="EO8" t="n">
        <v>20.2149</v>
      </c>
      <c r="EP8" t="n">
        <v>1000</v>
      </c>
      <c r="EQ8" t="n">
        <v>15.6281</v>
      </c>
      <c r="ER8" t="n">
        <v>98.0125</v>
      </c>
      <c r="ES8" t="n">
        <v>94.5128</v>
      </c>
    </row>
    <row r="9">
      <c r="A9" t="n">
        <v>10</v>
      </c>
      <c r="B9" t="n">
        <v>1792300895.1</v>
      </c>
      <c r="C9" t="n">
        <v>1146.09999990463</v>
      </c>
      <c r="D9" t="n">
        <v>5</v>
      </c>
      <c r="E9" t="n">
        <v>1792300891.6</v>
      </c>
      <c r="F9" t="n">
        <v>0.003821640654301681</v>
      </c>
      <c r="G9" t="n">
        <v>3.821640654301681</v>
      </c>
      <c r="H9" t="n">
        <v>35.26140589932536</v>
      </c>
      <c r="I9" t="n">
        <v>1184.02666666667</v>
      </c>
      <c r="J9" t="n">
        <v>938.4280051084476</v>
      </c>
      <c r="K9" t="n">
        <v>0.09470077523750049</v>
      </c>
      <c r="L9" t="n">
        <v>0.119485184398615</v>
      </c>
      <c r="M9" t="n">
        <v>0.2668624822681862</v>
      </c>
      <c r="N9" t="n">
        <v>3.022159383391041</v>
      </c>
      <c r="O9" t="n">
        <v>0.2544282264007279</v>
      </c>
      <c r="P9" t="n">
        <v>0.1600865215639169</v>
      </c>
      <c r="Q9" t="n">
        <v>3.189415510389573</v>
      </c>
      <c r="R9" t="n">
        <v>55.12325232669525</v>
      </c>
      <c r="S9" t="n">
        <v>1.710431248890784</v>
      </c>
      <c r="T9" t="n">
        <v>3.102921501717073</v>
      </c>
      <c r="U9" t="n">
        <v>0.5</v>
      </c>
      <c r="V9" t="n">
        <v>238</v>
      </c>
      <c r="W9" t="n">
        <v>290</v>
      </c>
      <c r="X9" t="n">
        <v>685.08</v>
      </c>
      <c r="Y9" t="n">
        <v>155</v>
      </c>
      <c r="Z9" t="n">
        <v>8114.5</v>
      </c>
      <c r="AA9" t="n">
        <v>679.98</v>
      </c>
      <c r="AB9" t="n">
        <v>5.1</v>
      </c>
      <c r="AC9" t="n">
        <v>300</v>
      </c>
      <c r="AD9" t="n">
        <v>19.1</v>
      </c>
      <c r="AE9" t="n">
        <v>706.844106823418</v>
      </c>
      <c r="AF9" t="n">
        <v>2.97166849100987</v>
      </c>
      <c r="AG9" t="n">
        <v>-21.7967545701294</v>
      </c>
      <c r="AH9" t="n">
        <v>2.15589809128463</v>
      </c>
      <c r="AI9" t="n">
        <v>0.784975898435888</v>
      </c>
      <c r="AJ9" t="n">
        <v>-0.00536539243604005</v>
      </c>
      <c r="AK9" t="n">
        <v>290</v>
      </c>
      <c r="AL9" t="n">
        <v>673.11</v>
      </c>
      <c r="AM9" t="n">
        <v>615</v>
      </c>
      <c r="AN9" t="n">
        <v>8105.43</v>
      </c>
      <c r="AO9" t="n">
        <v>679.95</v>
      </c>
      <c r="AP9" t="n">
        <v>-6.84</v>
      </c>
      <c r="AQ9" t="n">
        <v>1499.98333333333</v>
      </c>
      <c r="AR9" t="n">
        <v>2</v>
      </c>
      <c r="AS9" t="n">
        <v>0.5</v>
      </c>
      <c r="AT9" t="n">
        <v>2</v>
      </c>
      <c r="AU9" t="n">
        <v>1792300891.6</v>
      </c>
      <c r="AV9" t="n">
        <v>1184.02666666667</v>
      </c>
      <c r="AW9" t="n">
        <v>1199.94</v>
      </c>
      <c r="AX9" t="n">
        <v>16.94935</v>
      </c>
      <c r="AY9" t="n">
        <v>15.4467166666667</v>
      </c>
      <c r="AZ9" t="n">
        <v>1182.81</v>
      </c>
      <c r="BA9" t="n">
        <v>17.09855</v>
      </c>
      <c r="BB9" t="n">
        <v>500.037666666667</v>
      </c>
      <c r="BC9" t="n">
        <v>100.814166666667</v>
      </c>
      <c r="BD9" t="n">
        <v>0.100101366666667</v>
      </c>
      <c r="BE9" t="n">
        <v>24.5907666666667</v>
      </c>
      <c r="BF9" t="n">
        <v>25.0513</v>
      </c>
      <c r="BG9" t="n">
        <v>999.9</v>
      </c>
      <c r="BH9" t="n">
        <v>9985.52833333333</v>
      </c>
      <c r="BI9" t="n">
        <v>7.17137</v>
      </c>
      <c r="BJ9" t="n">
        <v>1499.98333333333</v>
      </c>
      <c r="BK9" t="n">
        <v>0.972994</v>
      </c>
      <c r="BL9" t="n">
        <v>0.0270063</v>
      </c>
      <c r="BM9" t="n">
        <v>225.498333333333</v>
      </c>
      <c r="BN9" t="n">
        <v>4.99999</v>
      </c>
      <c r="BO9" t="n">
        <v>3353.53666666667</v>
      </c>
      <c r="BP9" t="n">
        <v>14882.4166666667</v>
      </c>
      <c r="BQ9" t="n">
        <v>36.687</v>
      </c>
      <c r="BR9" t="n">
        <v>38.312</v>
      </c>
      <c r="BS9" t="n">
        <v>37.312</v>
      </c>
      <c r="BT9" t="n">
        <v>37.687</v>
      </c>
      <c r="BU9" t="n">
        <v>38.25</v>
      </c>
      <c r="BV9" t="n">
        <v>1454.60833333333</v>
      </c>
      <c r="BW9" t="n">
        <v>40.375</v>
      </c>
      <c r="BX9" t="n">
        <v>3806</v>
      </c>
      <c r="BY9" t="n">
        <v>225.4752</v>
      </c>
      <c r="BZ9" t="n">
        <v>1.77030768672577</v>
      </c>
      <c r="CA9" t="n">
        <v>6.993846162166</v>
      </c>
      <c r="CB9" t="n">
        <v>3353.158</v>
      </c>
      <c r="CC9" t="n">
        <v>15</v>
      </c>
      <c r="CD9" t="n">
        <v>1792300845.1</v>
      </c>
      <c r="CE9" t="n">
        <v>1792300843.1</v>
      </c>
      <c r="CF9" t="n">
        <v>1792300845.1</v>
      </c>
      <c r="CG9" t="n">
        <v>51</v>
      </c>
      <c r="CH9" t="n">
        <v>0.132</v>
      </c>
      <c r="CI9" t="n">
        <v>-0.001</v>
      </c>
      <c r="CJ9" t="n">
        <v>1.239</v>
      </c>
      <c r="CK9" t="n">
        <v>-0.165</v>
      </c>
      <c r="CL9" t="n">
        <v>1200</v>
      </c>
      <c r="CM9" t="n">
        <v>16</v>
      </c>
      <c r="CN9" t="n">
        <v>0.1</v>
      </c>
      <c r="CO9" t="n">
        <v>0.07000000000000001</v>
      </c>
      <c r="CP9" t="n">
        <v>35.3887874578402</v>
      </c>
      <c r="CQ9" t="n">
        <v>0.110209331366224</v>
      </c>
      <c r="CR9" t="n">
        <v>0.274065434606566</v>
      </c>
      <c r="CS9" t="n">
        <v>1</v>
      </c>
      <c r="CT9" t="n">
        <v>-15.9212714285714</v>
      </c>
      <c r="CU9" t="n">
        <v>-0.464727272727252</v>
      </c>
      <c r="CV9" t="n">
        <v>0.12241391588672</v>
      </c>
      <c r="CW9" t="n">
        <v>1</v>
      </c>
      <c r="CX9" t="n">
        <v>225.424382352941</v>
      </c>
      <c r="CY9" t="n">
        <v>0.783880826468952</v>
      </c>
      <c r="CZ9" t="n">
        <v>0.423359950779329</v>
      </c>
      <c r="DA9" t="n">
        <v>1</v>
      </c>
      <c r="DB9" t="n">
        <v>3</v>
      </c>
      <c r="DC9" t="n">
        <v>3</v>
      </c>
      <c r="DD9" t="n">
        <v>100</v>
      </c>
      <c r="DE9" t="n">
        <v>100</v>
      </c>
      <c r="DF9" t="n">
        <v>1.22</v>
      </c>
      <c r="DG9" t="n">
        <v>-0.1497</v>
      </c>
      <c r="DH9" t="n">
        <v>0.417164771540393</v>
      </c>
      <c r="DI9" t="n">
        <v>-6.16732984266029e-05</v>
      </c>
      <c r="DJ9" t="n">
        <v>6.19398071816742e-07</v>
      </c>
      <c r="DK9" t="n">
        <v>3.19222985850634e-12</v>
      </c>
      <c r="DL9" t="n">
        <v>-0.0622788422244371</v>
      </c>
      <c r="DM9" t="n">
        <v>-0.0257783215012692</v>
      </c>
      <c r="DN9" t="n">
        <v>0.00133723821780375</v>
      </c>
      <c r="DO9" t="n">
        <v>-7.42160749481374e-06</v>
      </c>
      <c r="DP9" t="n">
        <v>7</v>
      </c>
      <c r="DQ9" t="n">
        <v>2154</v>
      </c>
      <c r="DR9" t="n">
        <v>2</v>
      </c>
      <c r="DS9" t="n">
        <v>20</v>
      </c>
      <c r="DT9" t="n">
        <v>0.9</v>
      </c>
      <c r="DU9" t="n">
        <v>0.8</v>
      </c>
      <c r="DV9" t="n">
        <v>2.51343</v>
      </c>
      <c r="DW9" t="n">
        <v>2.64771</v>
      </c>
      <c r="DX9" t="n">
        <v>1.65161</v>
      </c>
      <c r="DY9" t="n">
        <v>2.27661</v>
      </c>
      <c r="DZ9" t="n">
        <v>1.5979</v>
      </c>
      <c r="EA9" t="n">
        <v>2.60376</v>
      </c>
      <c r="EB9" t="n">
        <v>38.2324</v>
      </c>
      <c r="EC9" t="n">
        <v>23.781</v>
      </c>
      <c r="ED9" t="n">
        <v>18</v>
      </c>
      <c r="EE9" t="n">
        <v>505.17</v>
      </c>
      <c r="EF9" t="n">
        <v>515.498</v>
      </c>
      <c r="EG9" t="n">
        <v>20.8398</v>
      </c>
      <c r="EH9" t="n">
        <v>29.6413</v>
      </c>
      <c r="EI9" t="n">
        <v>30.0016</v>
      </c>
      <c r="EJ9" t="n">
        <v>29.7956</v>
      </c>
      <c r="EK9" t="n">
        <v>29.8489</v>
      </c>
      <c r="EL9" t="n">
        <v>50.2602</v>
      </c>
      <c r="EM9" t="n">
        <v>24.7239</v>
      </c>
      <c r="EN9" t="n">
        <v>9.218349999999999</v>
      </c>
      <c r="EO9" t="n">
        <v>20.6887</v>
      </c>
      <c r="EP9" t="n">
        <v>1200</v>
      </c>
      <c r="EQ9" t="n">
        <v>15.3859</v>
      </c>
      <c r="ER9" t="n">
        <v>98.0093</v>
      </c>
      <c r="ES9" t="n">
        <v>94.5087</v>
      </c>
    </row>
    <row r="10">
      <c r="A10" t="n">
        <v>11</v>
      </c>
      <c r="B10" t="n">
        <v>1792301032.1</v>
      </c>
      <c r="C10" t="n">
        <v>1283.09999990463</v>
      </c>
      <c r="D10" t="n">
        <v>5</v>
      </c>
      <c r="E10" t="n">
        <v>1792301029.1</v>
      </c>
      <c r="F10" t="n">
        <v>0.003053396571938293</v>
      </c>
      <c r="G10" t="n">
        <v>3.053396571938293</v>
      </c>
      <c r="H10" t="n">
        <v>35.55432257790009</v>
      </c>
      <c r="I10" t="n">
        <v>1483.958</v>
      </c>
      <c r="J10" t="n">
        <v>1168.484330165457</v>
      </c>
      <c r="K10" t="n">
        <v>0.1179295047866979</v>
      </c>
      <c r="L10" t="n">
        <v>0.149768745327957</v>
      </c>
      <c r="M10" t="n">
        <v>0.2073946638189733</v>
      </c>
      <c r="N10" t="n">
        <v>3.024817018056538</v>
      </c>
      <c r="O10" t="n">
        <v>0.1998062864686402</v>
      </c>
      <c r="P10" t="n">
        <v>0.1255375821309169</v>
      </c>
      <c r="Q10" t="n">
        <v>3.185555194385729</v>
      </c>
      <c r="R10" t="n">
        <v>54.8607723947605</v>
      </c>
      <c r="S10" t="n">
        <v>1.68041856800181</v>
      </c>
      <c r="T10" t="n">
        <v>3.063060351957967</v>
      </c>
      <c r="U10" t="n">
        <v>0.5</v>
      </c>
      <c r="V10" t="n">
        <v>238</v>
      </c>
      <c r="W10" t="n">
        <v>290</v>
      </c>
      <c r="X10" t="n">
        <v>685.08</v>
      </c>
      <c r="Y10" t="n">
        <v>155</v>
      </c>
      <c r="Z10" t="n">
        <v>8114.5</v>
      </c>
      <c r="AA10" t="n">
        <v>679.98</v>
      </c>
      <c r="AB10" t="n">
        <v>5.1</v>
      </c>
      <c r="AC10" t="n">
        <v>300</v>
      </c>
      <c r="AD10" t="n">
        <v>19.1</v>
      </c>
      <c r="AE10" t="n">
        <v>706.844106823418</v>
      </c>
      <c r="AF10" t="n">
        <v>2.97166849100987</v>
      </c>
      <c r="AG10" t="n">
        <v>-21.7967545701294</v>
      </c>
      <c r="AH10" t="n">
        <v>2.15589809128463</v>
      </c>
      <c r="AI10" t="n">
        <v>0.784975898435888</v>
      </c>
      <c r="AJ10" t="n">
        <v>-0.00536539243604005</v>
      </c>
      <c r="AK10" t="n">
        <v>290</v>
      </c>
      <c r="AL10" t="n">
        <v>673.11</v>
      </c>
      <c r="AM10" t="n">
        <v>615</v>
      </c>
      <c r="AN10" t="n">
        <v>8105.43</v>
      </c>
      <c r="AO10" t="n">
        <v>679.95</v>
      </c>
      <c r="AP10" t="n">
        <v>-6.84</v>
      </c>
      <c r="AQ10" t="n">
        <v>1499.948</v>
      </c>
      <c r="AR10" t="n">
        <v>2</v>
      </c>
      <c r="AS10" t="n">
        <v>0.5</v>
      </c>
      <c r="AT10" t="n">
        <v>2</v>
      </c>
      <c r="AU10" t="n">
        <v>1792301029.1</v>
      </c>
      <c r="AV10" t="n">
        <v>1483.958</v>
      </c>
      <c r="AW10" t="n">
        <v>1499.99</v>
      </c>
      <c r="AX10" t="n">
        <v>16.65014</v>
      </c>
      <c r="AY10" t="n">
        <v>15.44928</v>
      </c>
      <c r="AZ10" t="n">
        <v>1482.158</v>
      </c>
      <c r="BA10" t="n">
        <v>16.80404</v>
      </c>
      <c r="BB10" t="n">
        <v>500.0678</v>
      </c>
      <c r="BC10" t="n">
        <v>100.8252</v>
      </c>
      <c r="BD10" t="n">
        <v>0.0999915</v>
      </c>
      <c r="BE10" t="n">
        <v>24.37474</v>
      </c>
      <c r="BF10" t="n">
        <v>25.03098</v>
      </c>
      <c r="BG10" t="n">
        <v>999.9</v>
      </c>
      <c r="BH10" t="n">
        <v>10000.488</v>
      </c>
      <c r="BI10" t="n">
        <v>7.160074</v>
      </c>
      <c r="BJ10" t="n">
        <v>1499.948</v>
      </c>
      <c r="BK10" t="n">
        <v>0.9730018</v>
      </c>
      <c r="BL10" t="n">
        <v>0.02699834</v>
      </c>
      <c r="BM10" t="n">
        <v>224.9128</v>
      </c>
      <c r="BN10" t="n">
        <v>4.99999</v>
      </c>
      <c r="BO10" t="n">
        <v>3350.792</v>
      </c>
      <c r="BP10" t="n">
        <v>14882.08</v>
      </c>
      <c r="BQ10" t="n">
        <v>36.625</v>
      </c>
      <c r="BR10" t="n">
        <v>38.2748</v>
      </c>
      <c r="BS10" t="n">
        <v>37.25</v>
      </c>
      <c r="BT10" t="n">
        <v>37.687</v>
      </c>
      <c r="BU10" t="n">
        <v>38.187</v>
      </c>
      <c r="BV10" t="n">
        <v>1454.586</v>
      </c>
      <c r="BW10" t="n">
        <v>40.362</v>
      </c>
      <c r="BX10" t="n">
        <v>3942.79999995232</v>
      </c>
      <c r="BY10" t="n">
        <v>225.23912</v>
      </c>
      <c r="BZ10" t="n">
        <v>-1.4990000131722</v>
      </c>
      <c r="CA10" t="n">
        <v>2.70230770042593</v>
      </c>
      <c r="CB10" t="n">
        <v>3350.5724</v>
      </c>
      <c r="CC10" t="n">
        <v>15</v>
      </c>
      <c r="CD10" t="n">
        <v>1792300969.1</v>
      </c>
      <c r="CE10" t="n">
        <v>1792300969.1</v>
      </c>
      <c r="CF10" t="n">
        <v>1792300966.1</v>
      </c>
      <c r="CG10" t="n">
        <v>52</v>
      </c>
      <c r="CH10" t="n">
        <v>0.101</v>
      </c>
      <c r="CI10" t="n">
        <v>-0.001</v>
      </c>
      <c r="CJ10" t="n">
        <v>1.829</v>
      </c>
      <c r="CK10" t="n">
        <v>-0.166</v>
      </c>
      <c r="CL10" t="n">
        <v>1500</v>
      </c>
      <c r="CM10" t="n">
        <v>16</v>
      </c>
      <c r="CN10" t="n">
        <v>0.32</v>
      </c>
      <c r="CO10" t="n">
        <v>0.11</v>
      </c>
      <c r="CP10" t="n">
        <v>35.3881771166412</v>
      </c>
      <c r="CQ10" t="n">
        <v>0.549808499385454</v>
      </c>
      <c r="CR10" t="n">
        <v>0.244029633471283</v>
      </c>
      <c r="CS10" t="n">
        <v>1</v>
      </c>
      <c r="CT10" t="n">
        <v>-16.0176</v>
      </c>
      <c r="CU10" t="n">
        <v>-0.183843609022553</v>
      </c>
      <c r="CV10" t="n">
        <v>0.0805521508092739</v>
      </c>
      <c r="CW10" t="n">
        <v>1</v>
      </c>
      <c r="CX10" t="n">
        <v>225.256176470588</v>
      </c>
      <c r="CY10" t="n">
        <v>-0.8554621916758141</v>
      </c>
      <c r="CZ10" t="n">
        <v>0.359322685601039</v>
      </c>
      <c r="DA10" t="n">
        <v>1</v>
      </c>
      <c r="DB10" t="n">
        <v>3</v>
      </c>
      <c r="DC10" t="n">
        <v>3</v>
      </c>
      <c r="DD10" t="n">
        <v>100</v>
      </c>
      <c r="DE10" t="n">
        <v>100</v>
      </c>
      <c r="DF10" t="n">
        <v>1.8</v>
      </c>
      <c r="DG10" t="n">
        <v>-0.154</v>
      </c>
      <c r="DH10" t="n">
        <v>0.520026853893939</v>
      </c>
      <c r="DI10" t="n">
        <v>-6.16732984266029e-05</v>
      </c>
      <c r="DJ10" t="n">
        <v>6.19398071816742e-07</v>
      </c>
      <c r="DK10" t="n">
        <v>3.19222985850634e-12</v>
      </c>
      <c r="DL10" t="n">
        <v>-0.0631043372757918</v>
      </c>
      <c r="DM10" t="n">
        <v>-0.0257783215012692</v>
      </c>
      <c r="DN10" t="n">
        <v>0.00133723821780375</v>
      </c>
      <c r="DO10" t="n">
        <v>-7.42160749481374e-06</v>
      </c>
      <c r="DP10" t="n">
        <v>7</v>
      </c>
      <c r="DQ10" t="n">
        <v>2154</v>
      </c>
      <c r="DR10" t="n">
        <v>2</v>
      </c>
      <c r="DS10" t="n">
        <v>20</v>
      </c>
      <c r="DT10" t="n">
        <v>1.1</v>
      </c>
      <c r="DU10" t="n">
        <v>1.1</v>
      </c>
      <c r="DV10" t="n">
        <v>3.01392</v>
      </c>
      <c r="DW10" t="n">
        <v>2.63916</v>
      </c>
      <c r="DX10" t="n">
        <v>1.65161</v>
      </c>
      <c r="DY10" t="n">
        <v>2.27661</v>
      </c>
      <c r="DZ10" t="n">
        <v>1.5979</v>
      </c>
      <c r="EA10" t="n">
        <v>2.65625</v>
      </c>
      <c r="EB10" t="n">
        <v>38.1837</v>
      </c>
      <c r="EC10" t="n">
        <v>23.8073</v>
      </c>
      <c r="ED10" t="n">
        <v>18</v>
      </c>
      <c r="EE10" t="n">
        <v>505.376</v>
      </c>
      <c r="EF10" t="n">
        <v>516.362</v>
      </c>
      <c r="EG10" t="n">
        <v>20.0414</v>
      </c>
      <c r="EH10" t="n">
        <v>29.6592</v>
      </c>
      <c r="EI10" t="n">
        <v>30.0002</v>
      </c>
      <c r="EJ10" t="n">
        <v>29.8137</v>
      </c>
      <c r="EK10" t="n">
        <v>29.8695</v>
      </c>
      <c r="EL10" t="n">
        <v>60.2438</v>
      </c>
      <c r="EM10" t="n">
        <v>23.489</v>
      </c>
      <c r="EN10" t="n">
        <v>8.47241</v>
      </c>
      <c r="EO10" t="n">
        <v>20.0241</v>
      </c>
      <c r="EP10" t="n">
        <v>1500</v>
      </c>
      <c r="EQ10" t="n">
        <v>15.5858</v>
      </c>
      <c r="ER10" t="n">
        <v>98.00230000000001</v>
      </c>
      <c r="ES10" t="n">
        <v>94.50539999999999</v>
      </c>
    </row>
    <row r="11">
      <c r="A11" t="n">
        <v>12</v>
      </c>
      <c r="B11" t="n">
        <v>1792301153.1</v>
      </c>
      <c r="C11" t="n">
        <v>1404.09999990463</v>
      </c>
      <c r="D11" t="n">
        <v>5</v>
      </c>
      <c r="E11" t="n">
        <v>1792301149.6</v>
      </c>
      <c r="F11" t="n">
        <v>0.002523751844570514</v>
      </c>
      <c r="G11" t="n">
        <v>2.523751844570514</v>
      </c>
      <c r="H11" t="n">
        <v>36.07850742071911</v>
      </c>
      <c r="I11" t="n">
        <v>1783.83</v>
      </c>
      <c r="J11" t="n">
        <v>1396.010549623082</v>
      </c>
      <c r="K11" t="n">
        <v>0.1408889704373923</v>
      </c>
      <c r="L11" t="n">
        <v>0.1800287055160075</v>
      </c>
      <c r="M11" t="n">
        <v>0.1698107736295018</v>
      </c>
      <c r="N11" t="n">
        <v>3.023449356061189</v>
      </c>
      <c r="O11" t="n">
        <v>0.1646847060151732</v>
      </c>
      <c r="P11" t="n">
        <v>0.1033756084384903</v>
      </c>
      <c r="Q11" t="n">
        <v>3.180906839748904</v>
      </c>
      <c r="R11" t="n">
        <v>54.93292928720584</v>
      </c>
      <c r="S11" t="n">
        <v>1.671474534748738</v>
      </c>
      <c r="T11" t="n">
        <v>3.042755149665817</v>
      </c>
      <c r="U11" t="n">
        <v>0.5</v>
      </c>
      <c r="V11" t="n">
        <v>238</v>
      </c>
      <c r="W11" t="n">
        <v>290</v>
      </c>
      <c r="X11" t="n">
        <v>685.08</v>
      </c>
      <c r="Y11" t="n">
        <v>155</v>
      </c>
      <c r="Z11" t="n">
        <v>8114.5</v>
      </c>
      <c r="AA11" t="n">
        <v>679.98</v>
      </c>
      <c r="AB11" t="n">
        <v>5.1</v>
      </c>
      <c r="AC11" t="n">
        <v>300</v>
      </c>
      <c r="AD11" t="n">
        <v>19.1</v>
      </c>
      <c r="AE11" t="n">
        <v>706.844106823418</v>
      </c>
      <c r="AF11" t="n">
        <v>2.97166849100987</v>
      </c>
      <c r="AG11" t="n">
        <v>-21.7967545701294</v>
      </c>
      <c r="AH11" t="n">
        <v>2.15589809128463</v>
      </c>
      <c r="AI11" t="n">
        <v>0.784975898435888</v>
      </c>
      <c r="AJ11" t="n">
        <v>-0.00536539243604005</v>
      </c>
      <c r="AK11" t="n">
        <v>290</v>
      </c>
      <c r="AL11" t="n">
        <v>673.11</v>
      </c>
      <c r="AM11" t="n">
        <v>615</v>
      </c>
      <c r="AN11" t="n">
        <v>8105.43</v>
      </c>
      <c r="AO11" t="n">
        <v>679.95</v>
      </c>
      <c r="AP11" t="n">
        <v>-6.84</v>
      </c>
      <c r="AQ11" t="n">
        <v>1499.945</v>
      </c>
      <c r="AR11" t="n">
        <v>2</v>
      </c>
      <c r="AS11" t="n">
        <v>0.5</v>
      </c>
      <c r="AT11" t="n">
        <v>2</v>
      </c>
      <c r="AU11" t="n">
        <v>1792301149.6</v>
      </c>
      <c r="AV11" t="n">
        <v>1783.83</v>
      </c>
      <c r="AW11" t="n">
        <v>1800.06166666667</v>
      </c>
      <c r="AX11" t="n">
        <v>16.56195</v>
      </c>
      <c r="AY11" t="n">
        <v>15.5692</v>
      </c>
      <c r="AZ11" t="n">
        <v>1781.69666666667</v>
      </c>
      <c r="BA11" t="n">
        <v>16.71375</v>
      </c>
      <c r="BB11" t="n">
        <v>500.015833333333</v>
      </c>
      <c r="BC11" t="n">
        <v>100.8225</v>
      </c>
      <c r="BD11" t="n">
        <v>0.100068583333333</v>
      </c>
      <c r="BE11" t="n">
        <v>24.26375</v>
      </c>
      <c r="BF11" t="n">
        <v>25.0064833333333</v>
      </c>
      <c r="BG11" t="n">
        <v>999.9</v>
      </c>
      <c r="BH11" t="n">
        <v>9992.49166666667</v>
      </c>
      <c r="BI11" t="n">
        <v>6.98078833333333</v>
      </c>
      <c r="BJ11" t="n">
        <v>1499.945</v>
      </c>
      <c r="BK11" t="n">
        <v>0.9729965</v>
      </c>
      <c r="BL11" t="n">
        <v>0.0270036</v>
      </c>
      <c r="BM11" t="n">
        <v>225.186666666667</v>
      </c>
      <c r="BN11" t="n">
        <v>4.99999</v>
      </c>
      <c r="BO11" t="n">
        <v>3348.23</v>
      </c>
      <c r="BP11" t="n">
        <v>14882.05</v>
      </c>
      <c r="BQ11" t="n">
        <v>36.625</v>
      </c>
      <c r="BR11" t="n">
        <v>38.25</v>
      </c>
      <c r="BS11" t="n">
        <v>37.25</v>
      </c>
      <c r="BT11" t="n">
        <v>37.687</v>
      </c>
      <c r="BU11" t="n">
        <v>38.187</v>
      </c>
      <c r="BV11" t="n">
        <v>1454.575</v>
      </c>
      <c r="BW11" t="n">
        <v>40.37</v>
      </c>
      <c r="BX11" t="n">
        <v>4064</v>
      </c>
      <c r="BY11" t="n">
        <v>225.09944</v>
      </c>
      <c r="BZ11" t="n">
        <v>0.356999995342209</v>
      </c>
      <c r="CA11" t="n">
        <v>6.69923076597109</v>
      </c>
      <c r="CB11" t="n">
        <v>3348.0368</v>
      </c>
      <c r="CC11" t="n">
        <v>15</v>
      </c>
      <c r="CD11" t="n">
        <v>1792301091.1</v>
      </c>
      <c r="CE11" t="n">
        <v>1792301091.1</v>
      </c>
      <c r="CF11" t="n">
        <v>1792301084.1</v>
      </c>
      <c r="CG11" t="n">
        <v>53</v>
      </c>
      <c r="CH11" t="n">
        <v>-0.258</v>
      </c>
      <c r="CI11" t="n">
        <v>0.003</v>
      </c>
      <c r="CJ11" t="n">
        <v>2.171</v>
      </c>
      <c r="CK11" t="n">
        <v>-0.163</v>
      </c>
      <c r="CL11" t="n">
        <v>1800</v>
      </c>
      <c r="CM11" t="n">
        <v>16</v>
      </c>
      <c r="CN11" t="n">
        <v>0.18</v>
      </c>
      <c r="CO11" t="n">
        <v>0.09</v>
      </c>
      <c r="CP11" t="n">
        <v>35.9589756534488</v>
      </c>
      <c r="CQ11" t="n">
        <v>0.59730941325438</v>
      </c>
      <c r="CR11" t="n">
        <v>0.164709010889923</v>
      </c>
      <c r="CS11" t="n">
        <v>1</v>
      </c>
      <c r="CT11" t="n">
        <v>-16.2231476190476</v>
      </c>
      <c r="CU11" t="n">
        <v>-0.00444935064935797</v>
      </c>
      <c r="CV11" t="n">
        <v>0.0593412617954312</v>
      </c>
      <c r="CW11" t="n">
        <v>1</v>
      </c>
      <c r="CX11" t="n">
        <v>225.176176470588</v>
      </c>
      <c r="CY11" t="n">
        <v>-0.505271199379219</v>
      </c>
      <c r="CZ11" t="n">
        <v>0.364931215967534</v>
      </c>
      <c r="DA11" t="n">
        <v>1</v>
      </c>
      <c r="DB11" t="n">
        <v>3</v>
      </c>
      <c r="DC11" t="n">
        <v>3</v>
      </c>
      <c r="DD11" t="n">
        <v>100</v>
      </c>
      <c r="DE11" t="n">
        <v>100</v>
      </c>
      <c r="DF11" t="n">
        <v>2.14</v>
      </c>
      <c r="DG11" t="n">
        <v>-0.1519</v>
      </c>
      <c r="DH11" t="n">
        <v>0.260995795134657</v>
      </c>
      <c r="DI11" t="n">
        <v>-6.16732984266029e-05</v>
      </c>
      <c r="DJ11" t="n">
        <v>6.19398071816742e-07</v>
      </c>
      <c r="DK11" t="n">
        <v>3.19222985850634e-12</v>
      </c>
      <c r="DL11" t="n">
        <v>-0.0598577253797928</v>
      </c>
      <c r="DM11" t="n">
        <v>-0.0257783215012692</v>
      </c>
      <c r="DN11" t="n">
        <v>0.00133723821780375</v>
      </c>
      <c r="DO11" t="n">
        <v>-7.42160749481374e-06</v>
      </c>
      <c r="DP11" t="n">
        <v>7</v>
      </c>
      <c r="DQ11" t="n">
        <v>2154</v>
      </c>
      <c r="DR11" t="n">
        <v>2</v>
      </c>
      <c r="DS11" t="n">
        <v>20</v>
      </c>
      <c r="DT11" t="n">
        <v>1</v>
      </c>
      <c r="DU11" t="n">
        <v>1.1</v>
      </c>
      <c r="DV11" t="n">
        <v>3.48877</v>
      </c>
      <c r="DW11" t="n">
        <v>2.64526</v>
      </c>
      <c r="DX11" t="n">
        <v>1.65161</v>
      </c>
      <c r="DY11" t="n">
        <v>2.27661</v>
      </c>
      <c r="DZ11" t="n">
        <v>1.5979</v>
      </c>
      <c r="EA11" t="n">
        <v>2.66113</v>
      </c>
      <c r="EB11" t="n">
        <v>38.135</v>
      </c>
      <c r="EC11" t="n">
        <v>23.8248</v>
      </c>
      <c r="ED11" t="n">
        <v>18</v>
      </c>
      <c r="EE11" t="n">
        <v>505.177</v>
      </c>
      <c r="EF11" t="n">
        <v>517.073</v>
      </c>
      <c r="EG11" t="n">
        <v>19.9474</v>
      </c>
      <c r="EH11" t="n">
        <v>29.6566</v>
      </c>
      <c r="EI11" t="n">
        <v>30.0003</v>
      </c>
      <c r="EJ11" t="n">
        <v>29.8213</v>
      </c>
      <c r="EK11" t="n">
        <v>29.8771</v>
      </c>
      <c r="EL11" t="n">
        <v>69.739</v>
      </c>
      <c r="EM11" t="n">
        <v>23.3076</v>
      </c>
      <c r="EN11" t="n">
        <v>8.47241</v>
      </c>
      <c r="EO11" t="n">
        <v>19.9404</v>
      </c>
      <c r="EP11" t="n">
        <v>1800</v>
      </c>
      <c r="EQ11" t="n">
        <v>15.628</v>
      </c>
      <c r="ER11" t="n">
        <v>98.004</v>
      </c>
      <c r="ES11" t="n">
        <v>94.49939999999999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18.68499598498073</v>
      </c>
      <c r="B2" t="n">
        <v>261.4012784605112</v>
      </c>
      <c r="C2" t="n">
        <v>0.2529374135588695</v>
      </c>
      <c r="D2" t="n">
        <v>55</v>
      </c>
      <c r="E2" t="n">
        <v>0</v>
      </c>
      <c r="F2" t="n">
        <v>1500</v>
      </c>
      <c r="G2" t="n">
        <v>400</v>
      </c>
      <c r="H2" t="n">
        <v>391.9</v>
      </c>
      <c r="I2" t="n">
        <v>500</v>
      </c>
      <c r="J2" t="n">
        <v>24.8</v>
      </c>
      <c r="K2" t="n">
        <v>25</v>
      </c>
      <c r="L2" t="n">
        <v>9999.1</v>
      </c>
    </row>
    <row r="3">
      <c r="A3" t="n">
        <v>13.87561509918018</v>
      </c>
      <c r="B3" t="n">
        <v>200.4637591660895</v>
      </c>
      <c r="C3" t="n">
        <v>0.2632859495937387</v>
      </c>
      <c r="D3" t="n">
        <v>54.9</v>
      </c>
      <c r="E3" t="n">
        <v>0</v>
      </c>
      <c r="F3" t="n">
        <v>1500</v>
      </c>
      <c r="G3" t="n">
        <v>300</v>
      </c>
      <c r="H3" t="n">
        <v>294</v>
      </c>
      <c r="I3" t="n">
        <v>500.1</v>
      </c>
      <c r="J3" t="n">
        <v>24.8</v>
      </c>
      <c r="K3" t="n">
        <v>25</v>
      </c>
      <c r="L3" t="n">
        <v>9994.700000000001</v>
      </c>
    </row>
    <row r="4">
      <c r="A4" t="n">
        <v>8.265154986236901</v>
      </c>
      <c r="B4" t="n">
        <v>141.4937125876167</v>
      </c>
      <c r="C4" t="n">
        <v>0.2704240996077596</v>
      </c>
      <c r="D4" t="n">
        <v>55.1</v>
      </c>
      <c r="E4" t="n">
        <v>0</v>
      </c>
      <c r="F4" t="n">
        <v>1500</v>
      </c>
      <c r="G4" t="n">
        <v>200</v>
      </c>
      <c r="H4" t="n">
        <v>196.4</v>
      </c>
      <c r="I4" t="n">
        <v>500.1</v>
      </c>
      <c r="J4" t="n">
        <v>24.9</v>
      </c>
      <c r="K4" t="n">
        <v>25</v>
      </c>
      <c r="L4" t="n">
        <v>9995.5</v>
      </c>
    </row>
    <row r="5">
      <c r="A5" t="n">
        <v>2.483845014878978</v>
      </c>
      <c r="B5" t="n">
        <v>82.18420869260999</v>
      </c>
      <c r="C5" t="n">
        <v>0.285147393188746</v>
      </c>
      <c r="D5" t="n">
        <v>55</v>
      </c>
      <c r="E5" t="n">
        <v>0</v>
      </c>
      <c r="F5" t="n">
        <v>1499.9</v>
      </c>
      <c r="G5" t="n">
        <v>100</v>
      </c>
      <c r="H5" t="n">
        <v>98.8</v>
      </c>
      <c r="I5" t="n">
        <v>500</v>
      </c>
      <c r="J5" t="n">
        <v>24.9</v>
      </c>
      <c r="K5" t="n">
        <v>25</v>
      </c>
      <c r="L5" t="n">
        <v>10019.9</v>
      </c>
    </row>
    <row r="6">
      <c r="A6" t="n">
        <v>-0.4913741763161755</v>
      </c>
      <c r="B6" t="n">
        <v>51.6707562415286</v>
      </c>
      <c r="C6" t="n">
        <v>0.3006295825464576</v>
      </c>
      <c r="D6" t="n">
        <v>55.1</v>
      </c>
      <c r="E6" t="n">
        <v>0</v>
      </c>
      <c r="F6" t="n">
        <v>1500</v>
      </c>
      <c r="G6" t="n">
        <v>50</v>
      </c>
      <c r="H6" t="n">
        <v>50.1</v>
      </c>
      <c r="I6" t="n">
        <v>500</v>
      </c>
      <c r="J6" t="n">
        <v>25</v>
      </c>
      <c r="K6" t="n">
        <v>25</v>
      </c>
      <c r="L6" t="n">
        <v>10011.9</v>
      </c>
    </row>
    <row r="7">
      <c r="A7" t="n">
        <v>19.79149441142397</v>
      </c>
      <c r="B7" t="n">
        <v>279.3064679956287</v>
      </c>
      <c r="C7" t="n">
        <v>0.3181970502261575</v>
      </c>
      <c r="D7" t="n">
        <v>54.9</v>
      </c>
      <c r="E7" t="n">
        <v>0</v>
      </c>
      <c r="F7" t="n">
        <v>1500.1</v>
      </c>
      <c r="G7" t="n">
        <v>400</v>
      </c>
      <c r="H7" t="n">
        <v>391.4</v>
      </c>
      <c r="I7" t="n">
        <v>499.9</v>
      </c>
      <c r="J7" t="n">
        <v>25.2</v>
      </c>
      <c r="K7" t="n">
        <v>25</v>
      </c>
      <c r="L7" t="n">
        <v>10007.7</v>
      </c>
    </row>
    <row r="8">
      <c r="A8" t="n">
        <v>21.02569182369449</v>
      </c>
      <c r="B8" t="n">
        <v>278.4908498722017</v>
      </c>
      <c r="C8" t="n">
        <v>0.3379052312096333</v>
      </c>
      <c r="D8" t="n">
        <v>55</v>
      </c>
      <c r="E8" t="n">
        <v>0</v>
      </c>
      <c r="F8" t="n">
        <v>1500.1</v>
      </c>
      <c r="G8" t="n">
        <v>400</v>
      </c>
      <c r="H8" t="n">
        <v>390.9</v>
      </c>
      <c r="I8" t="n">
        <v>500</v>
      </c>
      <c r="J8" t="n">
        <v>25.3</v>
      </c>
      <c r="K8" t="n">
        <v>25</v>
      </c>
      <c r="L8" t="n">
        <v>10009</v>
      </c>
    </row>
    <row r="9">
      <c r="A9" t="n">
        <v>31.55715824712912</v>
      </c>
      <c r="B9" t="n">
        <v>511.1465601615571</v>
      </c>
      <c r="C9" t="n">
        <v>0.3289650441585433</v>
      </c>
      <c r="D9" t="n">
        <v>55.2</v>
      </c>
      <c r="E9" t="n">
        <v>0</v>
      </c>
      <c r="F9" t="n">
        <v>1500</v>
      </c>
      <c r="G9" t="n">
        <v>700</v>
      </c>
      <c r="H9" t="n">
        <v>686.2</v>
      </c>
      <c r="I9" t="n">
        <v>500</v>
      </c>
      <c r="J9" t="n">
        <v>25.2</v>
      </c>
      <c r="K9" t="n">
        <v>25.1</v>
      </c>
      <c r="L9" t="n">
        <v>10001.9</v>
      </c>
    </row>
    <row r="10">
      <c r="A10" t="n">
        <v>35.08044363600536</v>
      </c>
      <c r="B10" t="n">
        <v>768.2872619651847</v>
      </c>
      <c r="C10" t="n">
        <v>0.3001291137218597</v>
      </c>
      <c r="D10" t="n">
        <v>55.4</v>
      </c>
      <c r="E10" t="n">
        <v>0</v>
      </c>
      <c r="F10" t="n">
        <v>1500.1</v>
      </c>
      <c r="G10" t="n">
        <v>1000.1</v>
      </c>
      <c r="H10" t="n">
        <v>984.4</v>
      </c>
      <c r="I10" t="n">
        <v>500</v>
      </c>
      <c r="J10" t="n">
        <v>24.9</v>
      </c>
      <c r="K10" t="n">
        <v>25</v>
      </c>
      <c r="L10" t="n">
        <v>9986.200000000001</v>
      </c>
    </row>
    <row r="11">
      <c r="A11" t="n">
        <v>35.26140589932536</v>
      </c>
      <c r="B11" t="n">
        <v>938.4280051084476</v>
      </c>
      <c r="C11" t="n">
        <v>0.2668624822681862</v>
      </c>
      <c r="D11" t="n">
        <v>55.1</v>
      </c>
      <c r="E11" t="n">
        <v>0</v>
      </c>
      <c r="F11" t="n">
        <v>1500</v>
      </c>
      <c r="G11" t="n">
        <v>1199.9</v>
      </c>
      <c r="H11" t="n">
        <v>1184</v>
      </c>
      <c r="I11" t="n">
        <v>500</v>
      </c>
      <c r="J11" t="n">
        <v>24.6</v>
      </c>
      <c r="K11" t="n">
        <v>25.1</v>
      </c>
      <c r="L11" t="n">
        <v>9985.5</v>
      </c>
    </row>
    <row r="12">
      <c r="A12" t="n">
        <v>35.55432257790009</v>
      </c>
      <c r="B12" t="n">
        <v>1168.484330165457</v>
      </c>
      <c r="C12" t="n">
        <v>0.2073946638189733</v>
      </c>
      <c r="D12" t="n">
        <v>54.9</v>
      </c>
      <c r="E12" t="n">
        <v>0</v>
      </c>
      <c r="F12" t="n">
        <v>1499.9</v>
      </c>
      <c r="G12" t="n">
        <v>1500</v>
      </c>
      <c r="H12" t="n">
        <v>1484</v>
      </c>
      <c r="I12" t="n">
        <v>500.1</v>
      </c>
      <c r="J12" t="n">
        <v>24.4</v>
      </c>
      <c r="K12" t="n">
        <v>25</v>
      </c>
      <c r="L12" t="n">
        <v>10000.5</v>
      </c>
    </row>
    <row r="13">
      <c r="A13" t="n">
        <v>36.07850742071911</v>
      </c>
      <c r="B13" t="n">
        <v>1396.010549623082</v>
      </c>
      <c r="C13" t="n">
        <v>0.1698107736295018</v>
      </c>
      <c r="D13" t="n">
        <v>54.9</v>
      </c>
      <c r="E13" t="n">
        <v>0</v>
      </c>
      <c r="F13" t="n">
        <v>1499.9</v>
      </c>
      <c r="G13" t="n">
        <v>1800.1</v>
      </c>
      <c r="H13" t="n">
        <v>1783.8</v>
      </c>
      <c r="I13" t="n">
        <v>500</v>
      </c>
      <c r="J13" t="n">
        <v>24.3</v>
      </c>
      <c r="K13" t="n">
        <v>25</v>
      </c>
      <c r="L13" t="n">
        <v>9992.5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2026-10-18T14:26:21Z</dcterms:created>
  <dcterms:modified xmlns:dcterms="http://purl.org/dc/terms/" xmlns:xsi="http://www.w3.org/2001/XMLSchema-instance" xsi:type="dcterms:W3CDTF">2026-10-18T08:01:38Z</dcterms:modified>
</cp:coreProperties>
</file>