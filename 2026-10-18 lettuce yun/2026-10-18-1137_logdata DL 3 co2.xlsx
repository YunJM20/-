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Measurements" sheetId="1" state="visible" r:id="rId1"/>
    <sheet xmlns:r="http://schemas.openxmlformats.org/officeDocument/2006/relationships" name="Remarks" sheetId="2" state="visible" r:id="rId2"/>
    <sheet xmlns:r="http://schemas.openxmlformats.org/officeDocument/2006/relationships" name="Clean_Data" sheetId="3" state="visible" r:id="rId3"/>
    <sheet xmlns:r="http://schemas.openxmlformats.org/officeDocument/2006/relationships" name="Raw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H28"/>
  <sheetViews>
    <sheetView tabSelected="1" workbookViewId="0">
      <selection activeCell="A1" sqref="A1"/>
    </sheetView>
  </sheetViews>
  <sheetFormatPr baseColWidth="8" defaultRowHeight="15"/>
  <sheetData>
    <row r="2">
      <c r="A2" t="inlineStr">
        <is>
          <t>SysConst</t>
        </is>
      </c>
      <c r="B2" t="inlineStr">
        <is>
          <t>AvgTime</t>
        </is>
      </c>
      <c r="C2" t="inlineStr">
        <is>
          <t>Oxygen</t>
        </is>
      </c>
    </row>
    <row r="3">
      <c r="B3" t="inlineStr">
        <is>
          <t>4</t>
        </is>
      </c>
      <c r="C3" t="n">
        <v>21</v>
      </c>
    </row>
    <row r="4">
      <c r="A4" t="inlineStr">
        <is>
          <t>ChambConst</t>
        </is>
      </c>
      <c r="B4" t="inlineStr">
        <is>
          <t>Chamber</t>
        </is>
      </c>
      <c r="C4" t="inlineStr">
        <is>
          <t>Aperture</t>
        </is>
      </c>
      <c r="D4" t="inlineStr">
        <is>
          <t>blc_a</t>
        </is>
      </c>
      <c r="E4" t="inlineStr">
        <is>
          <t>blc_b</t>
        </is>
      </c>
      <c r="F4" t="inlineStr">
        <is>
          <t>blc_c</t>
        </is>
      </c>
      <c r="G4" t="inlineStr">
        <is>
          <t>blc_d</t>
        </is>
      </c>
      <c r="H4" t="inlineStr">
        <is>
          <t>blc_e</t>
        </is>
      </c>
      <c r="I4" t="inlineStr">
        <is>
          <t>blc_minS</t>
        </is>
      </c>
      <c r="J4" t="inlineStr">
        <is>
          <t>blc_maxS</t>
        </is>
      </c>
      <c r="K4" t="inlineStr">
        <is>
          <t>blc_Po</t>
        </is>
      </c>
    </row>
    <row r="5">
      <c r="B5" t="inlineStr">
        <is>
          <t>6800-01A</t>
        </is>
      </c>
      <c r="C5" t="inlineStr">
        <is>
          <t>2 cm²</t>
        </is>
      </c>
      <c r="D5" t="n">
        <v>0.572</v>
      </c>
      <c r="E5" t="n">
        <v>0.3872742</v>
      </c>
      <c r="F5" t="n">
        <v>-0.01870584</v>
      </c>
      <c r="G5" t="n">
        <v>0</v>
      </c>
      <c r="H5" t="n">
        <v>-0.00737389</v>
      </c>
      <c r="I5" t="n">
        <v>1</v>
      </c>
      <c r="J5" t="n">
        <v>2</v>
      </c>
      <c r="K5" t="n">
        <v>96.90000000000001</v>
      </c>
    </row>
    <row r="6">
      <c r="A6" t="inlineStr">
        <is>
          <t>LTConst</t>
        </is>
      </c>
      <c r="B6" t="inlineStr">
        <is>
          <t>deltaTw</t>
        </is>
      </c>
      <c r="C6" t="inlineStr">
        <is>
          <t>fT1</t>
        </is>
      </c>
      <c r="D6" t="inlineStr">
        <is>
          <t>fT2</t>
        </is>
      </c>
      <c r="E6" t="inlineStr">
        <is>
          <t>fTeb</t>
        </is>
      </c>
    </row>
    <row r="7">
      <c r="B7" t="n">
        <v>0</v>
      </c>
      <c r="C7" t="n">
        <v>1</v>
      </c>
      <c r="D7" t="n">
        <v>0</v>
      </c>
      <c r="E7" t="n">
        <v>0</v>
      </c>
    </row>
    <row r="8">
      <c r="A8" t="inlineStr">
        <is>
          <t>LQConst</t>
        </is>
      </c>
      <c r="B8" t="inlineStr">
        <is>
          <t>Leaf</t>
        </is>
      </c>
      <c r="C8" t="inlineStr">
        <is>
          <t>Ambient</t>
        </is>
      </c>
      <c r="D8" t="inlineStr">
        <is>
          <t>abs_ambient</t>
        </is>
      </c>
      <c r="E8" t="inlineStr">
        <is>
          <t>abs_redLED</t>
        </is>
      </c>
      <c r="F8" t="inlineStr">
        <is>
          <t>abs_greenLED</t>
        </is>
      </c>
      <c r="G8" t="inlineStr">
        <is>
          <t>abs_blueLED</t>
        </is>
      </c>
      <c r="H8" t="inlineStr">
        <is>
          <t>abs_whiteLED</t>
        </is>
      </c>
      <c r="I8" t="inlineStr">
        <is>
          <t>abs_redFlr</t>
        </is>
      </c>
      <c r="J8" t="inlineStr">
        <is>
          <t>abs_blueFlr</t>
        </is>
      </c>
      <c r="K8" t="inlineStr">
        <is>
          <t>k_ambient</t>
        </is>
      </c>
      <c r="L8" t="inlineStr">
        <is>
          <t>k_redLED</t>
        </is>
      </c>
      <c r="M8" t="inlineStr">
        <is>
          <t>k_greenLED</t>
        </is>
      </c>
      <c r="N8" t="inlineStr">
        <is>
          <t>k_blueLED</t>
        </is>
      </c>
      <c r="O8" t="inlineStr">
        <is>
          <t>k_whiteLED</t>
        </is>
      </c>
      <c r="P8" t="inlineStr">
        <is>
          <t>k_redFlr</t>
        </is>
      </c>
      <c r="Q8" t="inlineStr">
        <is>
          <t>k_blueFlr</t>
        </is>
      </c>
    </row>
    <row r="9">
      <c r="B9" t="inlineStr">
        <is>
          <t>standard</t>
        </is>
      </c>
      <c r="C9" t="inlineStr">
        <is>
          <t>Sun+Sky</t>
        </is>
      </c>
      <c r="D9" t="n">
        <v>0.8</v>
      </c>
      <c r="E9" t="n">
        <v>0.84</v>
      </c>
      <c r="F9" t="n">
        <v>0.7</v>
      </c>
      <c r="G9" t="n">
        <v>0.87</v>
      </c>
      <c r="H9" t="n">
        <v>0.75</v>
      </c>
      <c r="I9" t="n">
        <v>0.84</v>
      </c>
      <c r="J9" t="n">
        <v>0.87</v>
      </c>
      <c r="K9" t="n">
        <v>0.1911</v>
      </c>
      <c r="L9" t="n">
        <v>0.1512</v>
      </c>
      <c r="M9" t="n">
        <v>0.161</v>
      </c>
      <c r="N9" t="n">
        <v>0.2262</v>
      </c>
      <c r="O9" t="n">
        <v>0.1575</v>
      </c>
      <c r="P9" t="n">
        <v>0.1596</v>
      </c>
      <c r="Q9" t="n">
        <v>0.2175</v>
      </c>
    </row>
    <row r="10">
      <c r="A10" t="inlineStr">
        <is>
          <t>QConst</t>
        </is>
      </c>
      <c r="B10" t="inlineStr">
        <is>
          <t>fQ_Amb_in</t>
        </is>
      </c>
      <c r="C10" t="inlineStr">
        <is>
          <t>fQ_Amb_out</t>
        </is>
      </c>
      <c r="D10" t="inlineStr">
        <is>
          <t>fQ_HeadLS</t>
        </is>
      </c>
      <c r="E10" t="inlineStr">
        <is>
          <t>fQ_ConsoleLS</t>
        </is>
      </c>
      <c r="F10" t="inlineStr">
        <is>
          <t>fQ_Flr</t>
        </is>
      </c>
    </row>
    <row r="11">
      <c r="B11" t="n">
        <v>0</v>
      </c>
      <c r="C11" t="n">
        <v>0</v>
      </c>
      <c r="D11" t="n">
        <v>0</v>
      </c>
      <c r="E11" t="n">
        <v>0</v>
      </c>
      <c r="F11" t="n">
        <v>1</v>
      </c>
    </row>
    <row r="12">
      <c r="A12" t="inlineStr">
        <is>
          <t>LeakConst</t>
        </is>
      </c>
      <c r="B12" t="inlineStr">
        <is>
          <t>fan_a</t>
        </is>
      </c>
      <c r="C12" t="inlineStr">
        <is>
          <t>fan_b</t>
        </is>
      </c>
      <c r="D12" t="inlineStr">
        <is>
          <t>fan_c</t>
        </is>
      </c>
      <c r="E12" t="inlineStr">
        <is>
          <t>fan_d</t>
        </is>
      </c>
      <c r="F12" t="inlineStr">
        <is>
          <t>Fs_meas</t>
        </is>
      </c>
      <c r="G12" t="inlineStr">
        <is>
          <t>Fs_true</t>
        </is>
      </c>
      <c r="H12" t="inlineStr">
        <is>
          <t>leak_wt</t>
        </is>
      </c>
    </row>
    <row r="13">
      <c r="B13" t="n">
        <v>-6276</v>
      </c>
      <c r="C13" t="n">
        <v>6.6</v>
      </c>
      <c r="D13" t="n">
        <v>1.709e-05</v>
      </c>
      <c r="E13" t="n">
        <v>3.11</v>
      </c>
      <c r="F13" t="inlineStr">
        <is>
          <t>4.11497 200.008 352.137 581.816 845.455 1058.69 1250.8 1364.04</t>
        </is>
      </c>
      <c r="G13" t="inlineStr">
        <is>
          <t>0.208878 227.229 384.124 588.385 810.893 1001.58 1202.49 1400.6</t>
        </is>
      </c>
      <c r="H13" t="n">
        <v>0</v>
      </c>
    </row>
    <row r="14">
      <c r="A14" t="inlineStr">
        <is>
          <t>SysObs</t>
        </is>
      </c>
      <c r="B14" t="inlineStr">
        <is>
          <t>SysObs</t>
        </is>
      </c>
      <c r="C14" t="inlineStr">
        <is>
          <t>SysObs</t>
        </is>
      </c>
      <c r="D14" t="inlineStr">
        <is>
          <t>SysObs</t>
        </is>
      </c>
      <c r="E14" t="inlineStr">
        <is>
          <t>SysObs</t>
        </is>
      </c>
      <c r="F14" t="inlineStr">
        <is>
          <t>SysObs</t>
        </is>
      </c>
      <c r="G14" t="inlineStr">
        <is>
          <t>GasEx</t>
        </is>
      </c>
      <c r="H14" t="inlineStr">
        <is>
          <t>GasEx</t>
        </is>
      </c>
      <c r="I14" t="inlineStr">
        <is>
          <t>GasEx</t>
        </is>
      </c>
      <c r="J14" t="inlineStr">
        <is>
          <t>GasEx</t>
        </is>
      </c>
      <c r="K14" t="inlineStr">
        <is>
          <t>GasEx</t>
        </is>
      </c>
      <c r="L14" t="inlineStr">
        <is>
          <t>GasEx</t>
        </is>
      </c>
      <c r="M14" t="inlineStr">
        <is>
          <t>GasEx</t>
        </is>
      </c>
      <c r="N14" t="inlineStr">
        <is>
          <t>GasEx</t>
        </is>
      </c>
      <c r="O14" t="inlineStr">
        <is>
          <t>GasEx</t>
        </is>
      </c>
      <c r="P14" t="inlineStr">
        <is>
          <t>GasEx</t>
        </is>
      </c>
      <c r="Q14" t="inlineStr">
        <is>
          <t>GasEx</t>
        </is>
      </c>
      <c r="R14" t="inlineStr">
        <is>
          <t>GasEx</t>
        </is>
      </c>
      <c r="S14" t="inlineStr">
        <is>
          <t>GasEx</t>
        </is>
      </c>
      <c r="T14" t="inlineStr">
        <is>
          <t>GasEx</t>
        </is>
      </c>
      <c r="U14" t="inlineStr">
        <is>
          <t>GasEx</t>
        </is>
      </c>
      <c r="V14" t="inlineStr">
        <is>
          <t>GasEx</t>
        </is>
      </c>
      <c r="W14" t="inlineStr">
        <is>
          <t>GasEx</t>
        </is>
      </c>
      <c r="X14" t="inlineStr">
        <is>
          <t>GasEx</t>
        </is>
      </c>
      <c r="Y14" t="inlineStr">
        <is>
          <t>GasEx</t>
        </is>
      </c>
      <c r="Z14" t="inlineStr">
        <is>
          <t>GasEx</t>
        </is>
      </c>
      <c r="AA14" t="inlineStr">
        <is>
          <t>GasEx</t>
        </is>
      </c>
      <c r="AB14" t="inlineStr">
        <is>
          <t>GasEx</t>
        </is>
      </c>
      <c r="AC14" t="inlineStr">
        <is>
          <t>GasEx</t>
        </is>
      </c>
      <c r="AD14" t="inlineStr">
        <is>
          <t>GasEx</t>
        </is>
      </c>
      <c r="AE14" t="inlineStr">
        <is>
          <t>Leak</t>
        </is>
      </c>
      <c r="AF14" t="inlineStr">
        <is>
          <t>Leak</t>
        </is>
      </c>
      <c r="AG14" t="inlineStr">
        <is>
          <t>Leak</t>
        </is>
      </c>
      <c r="AH14" t="inlineStr">
        <is>
          <t>Leak</t>
        </is>
      </c>
      <c r="AI14" t="inlineStr">
        <is>
          <t>Leak</t>
        </is>
      </c>
      <c r="AJ14" t="inlineStr">
        <is>
          <t>FLR</t>
        </is>
      </c>
      <c r="AK14" t="inlineStr">
        <is>
          <t>FLR</t>
        </is>
      </c>
      <c r="AL14" t="inlineStr">
        <is>
          <t>FLR</t>
        </is>
      </c>
      <c r="AM14" t="inlineStr">
        <is>
          <t>FLR</t>
        </is>
      </c>
      <c r="AN14" t="inlineStr">
        <is>
          <t>FLR</t>
        </is>
      </c>
      <c r="AO14" t="inlineStr">
        <is>
          <t>FLR</t>
        </is>
      </c>
      <c r="AP14" t="inlineStr">
        <is>
          <t>FLR</t>
        </is>
      </c>
      <c r="AQ14" t="inlineStr">
        <is>
          <t>FLR</t>
        </is>
      </c>
      <c r="AR14" t="inlineStr">
        <is>
          <t>FLR</t>
        </is>
      </c>
      <c r="AS14" t="inlineStr">
        <is>
          <t>FLR</t>
        </is>
      </c>
      <c r="AT14" t="inlineStr">
        <is>
          <t>FLR</t>
        </is>
      </c>
      <c r="AU14" t="inlineStr">
        <is>
          <t>FLR</t>
        </is>
      </c>
      <c r="AV14" t="inlineStr">
        <is>
          <t>FLR</t>
        </is>
      </c>
      <c r="AW14" t="inlineStr">
        <is>
          <t>FLR</t>
        </is>
      </c>
      <c r="AX14" t="inlineStr">
        <is>
          <t>FLR</t>
        </is>
      </c>
      <c r="AY14" t="inlineStr">
        <is>
          <t>FLR</t>
        </is>
      </c>
      <c r="AZ14" t="inlineStr">
        <is>
          <t>FLR</t>
        </is>
      </c>
      <c r="BA14" t="inlineStr">
        <is>
          <t>FLR</t>
        </is>
      </c>
      <c r="BB14" t="inlineStr">
        <is>
          <t>FLR</t>
        </is>
      </c>
      <c r="BC14" t="inlineStr">
        <is>
          <t>FLR</t>
        </is>
      </c>
      <c r="BD14" t="inlineStr">
        <is>
          <t>FLR</t>
        </is>
      </c>
      <c r="BE14" t="inlineStr">
        <is>
          <t>FLR</t>
        </is>
      </c>
      <c r="BF14" t="inlineStr">
        <is>
          <t>FLR</t>
        </is>
      </c>
      <c r="BG14" t="inlineStr">
        <is>
          <t>FLR</t>
        </is>
      </c>
      <c r="BH14" t="inlineStr">
        <is>
          <t>FLR</t>
        </is>
      </c>
      <c r="BI14" t="inlineStr">
        <is>
          <t>FLR</t>
        </is>
      </c>
      <c r="BJ14" t="inlineStr">
        <is>
          <t>FLR</t>
        </is>
      </c>
      <c r="BK14" t="inlineStr">
        <is>
          <t>FLR</t>
        </is>
      </c>
      <c r="BL14" t="inlineStr">
        <is>
          <t>MPF</t>
        </is>
      </c>
      <c r="BM14" t="inlineStr">
        <is>
          <t>MPF</t>
        </is>
      </c>
      <c r="BN14" t="inlineStr">
        <is>
          <t>MPF</t>
        </is>
      </c>
      <c r="BO14" t="inlineStr">
        <is>
          <t>MPF</t>
        </is>
      </c>
      <c r="BP14" t="inlineStr">
        <is>
          <t>MPF</t>
        </is>
      </c>
      <c r="BQ14" t="inlineStr">
        <is>
          <t>MPF</t>
        </is>
      </c>
      <c r="BR14" t="inlineStr">
        <is>
          <t>MPF</t>
        </is>
      </c>
      <c r="BS14" t="inlineStr">
        <is>
          <t>MPF</t>
        </is>
      </c>
      <c r="BT14" t="inlineStr">
        <is>
          <t>MPF</t>
        </is>
      </c>
      <c r="BU14" t="inlineStr">
        <is>
          <t>MPF</t>
        </is>
      </c>
      <c r="BV14" t="inlineStr">
        <is>
          <t>MPF</t>
        </is>
      </c>
      <c r="BW14" t="inlineStr">
        <is>
          <t>MPF</t>
        </is>
      </c>
      <c r="BX14" t="inlineStr">
        <is>
          <t>MPF</t>
        </is>
      </c>
      <c r="BY14" t="inlineStr">
        <is>
          <t>MPF</t>
        </is>
      </c>
      <c r="BZ14" t="inlineStr">
        <is>
          <t>MPF</t>
        </is>
      </c>
      <c r="CA14" t="inlineStr">
        <is>
          <t>MPF</t>
        </is>
      </c>
      <c r="CB14" t="inlineStr">
        <is>
          <t>MPF</t>
        </is>
      </c>
      <c r="CC14" t="inlineStr">
        <is>
          <t>MPF</t>
        </is>
      </c>
      <c r="CD14" t="inlineStr">
        <is>
          <t>MPF</t>
        </is>
      </c>
      <c r="CE14" t="inlineStr">
        <is>
          <t>MPF</t>
        </is>
      </c>
      <c r="CF14" t="inlineStr">
        <is>
          <t>MPF</t>
        </is>
      </c>
      <c r="CG14" t="inlineStr">
        <is>
          <t>FastKntcs</t>
        </is>
      </c>
      <c r="CH14" t="inlineStr">
        <is>
          <t>FastKntcs</t>
        </is>
      </c>
      <c r="CI14" t="inlineStr">
        <is>
          <t>FastKntcs</t>
        </is>
      </c>
      <c r="CJ14" t="inlineStr">
        <is>
          <t>FastKntcs</t>
        </is>
      </c>
      <c r="CK14" t="inlineStr">
        <is>
          <t>FastKntcs</t>
        </is>
      </c>
      <c r="CL14" t="inlineStr">
        <is>
          <t>FastKntcs</t>
        </is>
      </c>
      <c r="CM14" t="inlineStr">
        <is>
          <t>FastKntcs</t>
        </is>
      </c>
      <c r="CN14" t="inlineStr">
        <is>
          <t>FastKntcs</t>
        </is>
      </c>
      <c r="CO14" t="inlineStr">
        <is>
          <t>FastKntcs</t>
        </is>
      </c>
      <c r="CP14" t="inlineStr">
        <is>
          <t>FastKntcs</t>
        </is>
      </c>
      <c r="CQ14" t="inlineStr">
        <is>
          <t>FastKntcs</t>
        </is>
      </c>
      <c r="CR14" t="inlineStr">
        <is>
          <t>FastKntcs</t>
        </is>
      </c>
      <c r="CS14" t="inlineStr">
        <is>
          <t>FastKntcs</t>
        </is>
      </c>
      <c r="CT14" t="inlineStr">
        <is>
          <t>LeafQ</t>
        </is>
      </c>
      <c r="CU14" t="inlineStr">
        <is>
          <t>LeafQ</t>
        </is>
      </c>
      <c r="CV14" t="inlineStr">
        <is>
          <t>LeafQ</t>
        </is>
      </c>
      <c r="CW14" t="inlineStr">
        <is>
          <t>LeafQ</t>
        </is>
      </c>
      <c r="CX14" t="inlineStr">
        <is>
          <t>Const</t>
        </is>
      </c>
      <c r="CY14" t="inlineStr">
        <is>
          <t>Const</t>
        </is>
      </c>
      <c r="CZ14" t="inlineStr">
        <is>
          <t>Const</t>
        </is>
      </c>
      <c r="DA14" t="inlineStr">
        <is>
          <t>Const</t>
        </is>
      </c>
      <c r="DB14" t="inlineStr">
        <is>
          <t>Meas</t>
        </is>
      </c>
      <c r="DC14" t="inlineStr">
        <is>
          <t>Meas</t>
        </is>
      </c>
      <c r="DD14" t="inlineStr">
        <is>
          <t>Meas</t>
        </is>
      </c>
      <c r="DE14" t="inlineStr">
        <is>
          <t>Meas</t>
        </is>
      </c>
      <c r="DF14" t="inlineStr">
        <is>
          <t>Meas</t>
        </is>
      </c>
      <c r="DG14" t="inlineStr">
        <is>
          <t>Meas</t>
        </is>
      </c>
      <c r="DH14" t="inlineStr">
        <is>
          <t>Meas</t>
        </is>
      </c>
      <c r="DI14" t="inlineStr">
        <is>
          <t>Meas</t>
        </is>
      </c>
      <c r="DJ14" t="inlineStr">
        <is>
          <t>Meas</t>
        </is>
      </c>
      <c r="DK14" t="inlineStr">
        <is>
          <t>Meas</t>
        </is>
      </c>
      <c r="DL14" t="inlineStr">
        <is>
          <t>Meas</t>
        </is>
      </c>
      <c r="DM14" t="inlineStr">
        <is>
          <t>Meas</t>
        </is>
      </c>
      <c r="DN14" t="inlineStr">
        <is>
          <t>Meas</t>
        </is>
      </c>
      <c r="DO14" t="inlineStr">
        <is>
          <t>Meas</t>
        </is>
      </c>
      <c r="DP14" t="inlineStr">
        <is>
          <t>Meas</t>
        </is>
      </c>
      <c r="DQ14" t="inlineStr">
        <is>
          <t>Meas</t>
        </is>
      </c>
      <c r="DR14" t="inlineStr">
        <is>
          <t>Meas</t>
        </is>
      </c>
      <c r="DS14" t="inlineStr">
        <is>
          <t>Meas</t>
        </is>
      </c>
      <c r="DT14" t="inlineStr">
        <is>
          <t>FlrLS</t>
        </is>
      </c>
      <c r="DU14" t="inlineStr">
        <is>
          <t>FlrLS</t>
        </is>
      </c>
      <c r="DV14" t="inlineStr">
        <is>
          <t>FlrLS</t>
        </is>
      </c>
      <c r="DW14" t="inlineStr">
        <is>
          <t>FlrLS</t>
        </is>
      </c>
      <c r="DX14" t="inlineStr">
        <is>
          <t>FlrLS</t>
        </is>
      </c>
      <c r="DY14" t="inlineStr">
        <is>
          <t>FlrLS</t>
        </is>
      </c>
      <c r="DZ14" t="inlineStr">
        <is>
          <t>FlrLS</t>
        </is>
      </c>
      <c r="EA14" t="inlineStr">
        <is>
          <t>FlrLS</t>
        </is>
      </c>
      <c r="EB14" t="inlineStr">
        <is>
          <t>FlrLS</t>
        </is>
      </c>
      <c r="EC14" t="inlineStr">
        <is>
          <t>FlrLS</t>
        </is>
      </c>
      <c r="ED14" t="inlineStr">
        <is>
          <t>FlrLS</t>
        </is>
      </c>
      <c r="EE14" t="inlineStr">
        <is>
          <t>FlrLS</t>
        </is>
      </c>
      <c r="EF14" t="inlineStr">
        <is>
          <t>FlrLS</t>
        </is>
      </c>
      <c r="EG14" t="inlineStr">
        <is>
          <t>FlrLS</t>
        </is>
      </c>
      <c r="EH14" t="inlineStr">
        <is>
          <t>FlrLS</t>
        </is>
      </c>
      <c r="EI14" t="inlineStr">
        <is>
          <t>FlrLS</t>
        </is>
      </c>
      <c r="EJ14" t="inlineStr">
        <is>
          <t>FlrLS</t>
        </is>
      </c>
      <c r="EK14" t="inlineStr">
        <is>
          <t>FlrLS</t>
        </is>
      </c>
      <c r="EL14" t="inlineStr">
        <is>
          <t>FlrStats</t>
        </is>
      </c>
      <c r="EM14" t="inlineStr">
        <is>
          <t>FlrStats</t>
        </is>
      </c>
      <c r="EN14" t="inlineStr">
        <is>
          <t>FlrStats</t>
        </is>
      </c>
      <c r="EO14" t="inlineStr">
        <is>
          <t>FlrStats</t>
        </is>
      </c>
      <c r="EP14" t="inlineStr">
        <is>
          <t>FlrStats</t>
        </is>
      </c>
      <c r="EQ14" t="inlineStr">
        <is>
          <t>MchEvent</t>
        </is>
      </c>
      <c r="ER14" t="inlineStr">
        <is>
          <t>MchEvent</t>
        </is>
      </c>
      <c r="ES14" t="inlineStr">
        <is>
          <t>MchEvent</t>
        </is>
      </c>
      <c r="ET14" t="inlineStr">
        <is>
          <t>MchEvent</t>
        </is>
      </c>
      <c r="EU14" t="inlineStr">
        <is>
          <t>MchEvent</t>
        </is>
      </c>
      <c r="EV14" t="inlineStr">
        <is>
          <t>MchEvent</t>
        </is>
      </c>
      <c r="EW14" t="inlineStr">
        <is>
          <t>MchEvent</t>
        </is>
      </c>
      <c r="EX14" t="inlineStr">
        <is>
          <t>MchEvent</t>
        </is>
      </c>
      <c r="EY14" t="inlineStr">
        <is>
          <t>MchEvent</t>
        </is>
      </c>
      <c r="EZ14" t="inlineStr">
        <is>
          <t>MchEvent</t>
        </is>
      </c>
      <c r="FA14" t="inlineStr">
        <is>
          <t>MchEvent</t>
        </is>
      </c>
      <c r="FB14" t="inlineStr">
        <is>
          <t>MchEvent</t>
        </is>
      </c>
      <c r="FC14" t="inlineStr">
        <is>
          <t>MchEvent</t>
        </is>
      </c>
      <c r="FD14" t="inlineStr">
        <is>
          <t>Stability</t>
        </is>
      </c>
      <c r="FE14" t="inlineStr">
        <is>
          <t>Stability</t>
        </is>
      </c>
      <c r="FF14" t="inlineStr">
        <is>
          <t>Stability</t>
        </is>
      </c>
      <c r="FG14" t="inlineStr">
        <is>
          <t>Stability</t>
        </is>
      </c>
      <c r="FH14" t="inlineStr">
        <is>
          <t>Stability</t>
        </is>
      </c>
      <c r="FI14" t="inlineStr">
        <is>
          <t>Stability</t>
        </is>
      </c>
      <c r="FJ14" t="inlineStr">
        <is>
          <t>Stability</t>
        </is>
      </c>
      <c r="FK14" t="inlineStr">
        <is>
          <t>Stability</t>
        </is>
      </c>
      <c r="FL14" t="inlineStr">
        <is>
          <t>Stability</t>
        </is>
      </c>
      <c r="FM14" t="inlineStr">
        <is>
          <t>Stability</t>
        </is>
      </c>
      <c r="FN14" t="inlineStr">
        <is>
          <t>Stability</t>
        </is>
      </c>
      <c r="FO14" t="inlineStr">
        <is>
          <t>Stability</t>
        </is>
      </c>
      <c r="FP14" t="inlineStr">
        <is>
          <t>Stability</t>
        </is>
      </c>
      <c r="FQ14" t="inlineStr">
        <is>
          <t>Stability</t>
        </is>
      </c>
      <c r="FR14" t="inlineStr">
        <is>
          <t>Stability</t>
        </is>
      </c>
      <c r="FS14" t="inlineStr">
        <is>
          <t>MchStatus</t>
        </is>
      </c>
      <c r="FT14" t="inlineStr">
        <is>
          <t>MchStatus</t>
        </is>
      </c>
      <c r="FU14" t="inlineStr">
        <is>
          <t>MchStatus</t>
        </is>
      </c>
      <c r="FV14" t="inlineStr">
        <is>
          <t>MchStatus</t>
        </is>
      </c>
      <c r="FW14" t="inlineStr">
        <is>
          <t>MchStatus</t>
        </is>
      </c>
      <c r="FX14" t="inlineStr">
        <is>
          <t>MchStatus</t>
        </is>
      </c>
      <c r="FY14" t="inlineStr">
        <is>
          <t>MchStatus</t>
        </is>
      </c>
      <c r="FZ14" t="inlineStr">
        <is>
          <t>MchStatus</t>
        </is>
      </c>
      <c r="GA14" t="inlineStr">
        <is>
          <t>MchStatus</t>
        </is>
      </c>
      <c r="GB14" t="inlineStr">
        <is>
          <t>MchStatus</t>
        </is>
      </c>
      <c r="GC14" t="inlineStr">
        <is>
          <t>MchStatus</t>
        </is>
      </c>
      <c r="GD14" t="inlineStr">
        <is>
          <t>MchStatus</t>
        </is>
      </c>
      <c r="GE14" t="inlineStr">
        <is>
          <t>MchStatus</t>
        </is>
      </c>
      <c r="GF14" t="inlineStr">
        <is>
          <t>MchStatus</t>
        </is>
      </c>
      <c r="GG14" t="inlineStr">
        <is>
          <t>MchStatus</t>
        </is>
      </c>
      <c r="GH14" t="inlineStr">
        <is>
          <t>MchStatus</t>
        </is>
      </c>
      <c r="GI14" t="inlineStr">
        <is>
          <t>MchStatus</t>
        </is>
      </c>
      <c r="GJ14" t="inlineStr">
        <is>
          <t>MchStatus</t>
        </is>
      </c>
      <c r="GK14" t="inlineStr">
        <is>
          <t>ConStatus</t>
        </is>
      </c>
      <c r="GL14" t="inlineStr">
        <is>
          <t>ConStatus</t>
        </is>
      </c>
      <c r="GM14" t="inlineStr">
        <is>
          <t>ConStatus</t>
        </is>
      </c>
      <c r="GN14" t="inlineStr">
        <is>
          <t>ConStatus</t>
        </is>
      </c>
      <c r="GO14" t="inlineStr">
        <is>
          <t>ConStatus</t>
        </is>
      </c>
      <c r="GP14" t="inlineStr">
        <is>
          <t>ConStatus</t>
        </is>
      </c>
      <c r="GQ14" t="inlineStr">
        <is>
          <t>ConStatus</t>
        </is>
      </c>
      <c r="GR14" t="inlineStr">
        <is>
          <t>ConStatus</t>
        </is>
      </c>
      <c r="GS14" t="inlineStr">
        <is>
          <t>Status</t>
        </is>
      </c>
      <c r="GT14" t="inlineStr">
        <is>
          <t>Status</t>
        </is>
      </c>
      <c r="GU14" t="inlineStr">
        <is>
          <t>Status</t>
        </is>
      </c>
      <c r="GV14" t="inlineStr">
        <is>
          <t>Status</t>
        </is>
      </c>
      <c r="GW14" t="inlineStr">
        <is>
          <t>Status</t>
        </is>
      </c>
      <c r="GX14" t="inlineStr">
        <is>
          <t>Status</t>
        </is>
      </c>
      <c r="GY14" t="inlineStr">
        <is>
          <t>Status</t>
        </is>
      </c>
      <c r="GZ14" t="inlineStr">
        <is>
          <t>Status</t>
        </is>
      </c>
      <c r="HA14" t="inlineStr">
        <is>
          <t>Status</t>
        </is>
      </c>
      <c r="HB14" t="inlineStr">
        <is>
          <t>Status</t>
        </is>
      </c>
      <c r="HC14" t="inlineStr">
        <is>
          <t>Status</t>
        </is>
      </c>
      <c r="HD14" t="inlineStr">
        <is>
          <t>Status</t>
        </is>
      </c>
      <c r="HE14" t="inlineStr">
        <is>
          <t>Status</t>
        </is>
      </c>
      <c r="HF14" t="inlineStr">
        <is>
          <t>Status</t>
        </is>
      </c>
      <c r="HG14" t="inlineStr">
        <is>
          <t>Status</t>
        </is>
      </c>
      <c r="HH14" t="inlineStr">
        <is>
          <t>Status</t>
        </is>
      </c>
    </row>
    <row r="15">
      <c r="A15" t="inlineStr">
        <is>
          <t>obs</t>
        </is>
      </c>
      <c r="B15" t="inlineStr">
        <is>
          <t>time</t>
        </is>
      </c>
      <c r="C15" t="inlineStr">
        <is>
          <t>elapsed</t>
        </is>
      </c>
      <c r="D15" t="inlineStr">
        <is>
          <t>date</t>
        </is>
      </c>
      <c r="E15" t="inlineStr">
        <is>
          <t>hhmmss</t>
        </is>
      </c>
      <c r="F15" t="inlineStr">
        <is>
          <t>averaging</t>
        </is>
      </c>
      <c r="G15" t="inlineStr">
        <is>
          <t>TIME</t>
        </is>
      </c>
      <c r="H15" t="inlineStr">
        <is>
          <t>E</t>
        </is>
      </c>
      <c r="I15" t="inlineStr">
        <is>
          <t>Emm</t>
        </is>
      </c>
      <c r="J15" t="inlineStr">
        <is>
          <t>A</t>
        </is>
      </c>
      <c r="K15" t="inlineStr">
        <is>
          <t>Ca</t>
        </is>
      </c>
      <c r="L15" t="inlineStr">
        <is>
          <t>Ci</t>
        </is>
      </c>
      <c r="M15" t="inlineStr">
        <is>
          <t>Pci</t>
        </is>
      </c>
      <c r="N15" t="inlineStr">
        <is>
          <t>Pca</t>
        </is>
      </c>
      <c r="O15" t="inlineStr">
        <is>
          <t>gsw</t>
        </is>
      </c>
      <c r="P15" t="inlineStr">
        <is>
          <t>gbw</t>
        </is>
      </c>
      <c r="Q15" t="inlineStr">
        <is>
          <t>gtw</t>
        </is>
      </c>
      <c r="R15" t="inlineStr">
        <is>
          <t>gtc</t>
        </is>
      </c>
      <c r="S15" t="inlineStr">
        <is>
          <t>Rabs</t>
        </is>
      </c>
      <c r="T15" t="inlineStr">
        <is>
          <t>TleafEB</t>
        </is>
      </c>
      <c r="U15" t="inlineStr">
        <is>
          <t>TleafCnd</t>
        </is>
      </c>
      <c r="V15" t="inlineStr">
        <is>
          <t>SVPleaf</t>
        </is>
      </c>
      <c r="W15" t="inlineStr">
        <is>
          <t>RHcham</t>
        </is>
      </c>
      <c r="X15" t="inlineStr">
        <is>
          <t>VPcham</t>
        </is>
      </c>
      <c r="Y15" t="inlineStr">
        <is>
          <t>SVPcham</t>
        </is>
      </c>
      <c r="Z15" t="inlineStr">
        <is>
          <t>VPDleaf</t>
        </is>
      </c>
      <c r="AA15" t="inlineStr">
        <is>
          <t>LatHFlux</t>
        </is>
      </c>
      <c r="AB15" t="inlineStr">
        <is>
          <t>SenHFlux</t>
        </is>
      </c>
      <c r="AC15" t="inlineStr">
        <is>
          <t>NetTherm</t>
        </is>
      </c>
      <c r="AD15" t="inlineStr">
        <is>
          <t>EBSum</t>
        </is>
      </c>
      <c r="AE15" t="inlineStr">
        <is>
          <t>Leak</t>
        </is>
      </c>
      <c r="AF15" t="inlineStr">
        <is>
          <t>LeakPct</t>
        </is>
      </c>
      <c r="AG15" t="inlineStr">
        <is>
          <t>CorrFact</t>
        </is>
      </c>
      <c r="AH15" t="inlineStr">
        <is>
          <t>CorrFactPct</t>
        </is>
      </c>
      <c r="AI15" t="inlineStr">
        <is>
          <t>Fan</t>
        </is>
      </c>
      <c r="AJ15" t="inlineStr">
        <is>
          <t>DarkAdaptedID</t>
        </is>
      </c>
      <c r="AK15" t="inlineStr">
        <is>
          <t>Qmax_d</t>
        </is>
      </c>
      <c r="AL15" t="inlineStr">
        <is>
          <t>Fo</t>
        </is>
      </c>
      <c r="AM15" t="inlineStr">
        <is>
          <t>Fm</t>
        </is>
      </c>
      <c r="AN15" t="inlineStr">
        <is>
          <t>Fv/Fm</t>
        </is>
      </c>
      <c r="AO15" t="inlineStr">
        <is>
          <t>A_dark</t>
        </is>
      </c>
      <c r="AP15" t="inlineStr">
        <is>
          <t>LightAdaptedID</t>
        </is>
      </c>
      <c r="AQ15" t="inlineStr">
        <is>
          <t>Qmax</t>
        </is>
      </c>
      <c r="AR15" t="inlineStr">
        <is>
          <t>Fs</t>
        </is>
      </c>
      <c r="AS15" t="inlineStr">
        <is>
          <t>Fm'</t>
        </is>
      </c>
      <c r="AT15" t="inlineStr">
        <is>
          <t>PhiPS2</t>
        </is>
      </c>
      <c r="AU15" t="inlineStr">
        <is>
          <t>PS2/1</t>
        </is>
      </c>
      <c r="AV15" t="inlineStr">
        <is>
          <t>Qabs_fs</t>
        </is>
      </c>
      <c r="AW15" t="inlineStr">
        <is>
          <t>A_fs</t>
        </is>
      </c>
      <c r="AX15" t="inlineStr">
        <is>
          <t>ETR</t>
        </is>
      </c>
      <c r="AY15" t="inlineStr">
        <is>
          <t>PhiCO2</t>
        </is>
      </c>
      <c r="AZ15" t="inlineStr">
        <is>
          <t>NPQ</t>
        </is>
      </c>
      <c r="BA15" t="inlineStr">
        <is>
          <t>alt._Fo'</t>
        </is>
      </c>
      <c r="BB15" t="inlineStr">
        <is>
          <t>DarkPulseID</t>
        </is>
      </c>
      <c r="BC15" t="inlineStr">
        <is>
          <t>Fmin</t>
        </is>
      </c>
      <c r="BD15" t="inlineStr">
        <is>
          <t>Fo'</t>
        </is>
      </c>
      <c r="BE15" t="inlineStr">
        <is>
          <t>Fv'/Fm'</t>
        </is>
      </c>
      <c r="BF15" t="inlineStr">
        <is>
          <t>qP</t>
        </is>
      </c>
      <c r="BG15" t="inlineStr">
        <is>
          <t>qN</t>
        </is>
      </c>
      <c r="BH15" t="inlineStr">
        <is>
          <t>qP_Fo</t>
        </is>
      </c>
      <c r="BI15" t="inlineStr">
        <is>
          <t>qN_Fo</t>
        </is>
      </c>
      <c r="BJ15" t="inlineStr">
        <is>
          <t>qL</t>
        </is>
      </c>
      <c r="BK15" t="inlineStr">
        <is>
          <t>1-qL</t>
        </is>
      </c>
      <c r="BL15" t="inlineStr">
        <is>
          <t>ID</t>
        </is>
      </c>
      <c r="BM15" t="inlineStr">
        <is>
          <t>P1_dur</t>
        </is>
      </c>
      <c r="BN15" t="inlineStr">
        <is>
          <t>P1_Fmax</t>
        </is>
      </c>
      <c r="BO15" t="inlineStr">
        <is>
          <t>T@P1_Fmax</t>
        </is>
      </c>
      <c r="BP15" t="inlineStr">
        <is>
          <t>Q@P1_Fmax</t>
        </is>
      </c>
      <c r="BQ15" t="inlineStr">
        <is>
          <t>P1_PredF</t>
        </is>
      </c>
      <c r="BR15" t="inlineStr">
        <is>
          <t>P1_ΔF</t>
        </is>
      </c>
      <c r="BS15" t="inlineStr">
        <is>
          <t>P2_dur</t>
        </is>
      </c>
      <c r="BT15" t="inlineStr">
        <is>
          <t>P2_ramp</t>
        </is>
      </c>
      <c r="BU15" t="inlineStr">
        <is>
          <t>P2_int</t>
        </is>
      </c>
      <c r="BV15" t="inlineStr">
        <is>
          <t>P2_int_se</t>
        </is>
      </c>
      <c r="BW15" t="inlineStr">
        <is>
          <t>P2_slp</t>
        </is>
      </c>
      <c r="BX15" t="inlineStr">
        <is>
          <t>P2_slp_se</t>
        </is>
      </c>
      <c r="BY15" t="inlineStr">
        <is>
          <t>P2_R2</t>
        </is>
      </c>
      <c r="BZ15" t="inlineStr">
        <is>
          <t>P2_dQdt</t>
        </is>
      </c>
      <c r="CA15" t="inlineStr">
        <is>
          <t>P3_dur</t>
        </is>
      </c>
      <c r="CB15" t="inlineStr">
        <is>
          <t>P3_Fmax</t>
        </is>
      </c>
      <c r="CC15" t="inlineStr">
        <is>
          <t>T@P3_Fmax</t>
        </is>
      </c>
      <c r="CD15" t="inlineStr">
        <is>
          <t>Q@P3_Fmax</t>
        </is>
      </c>
      <c r="CE15" t="inlineStr">
        <is>
          <t>P3_PredF</t>
        </is>
      </c>
      <c r="CF15" t="inlineStr">
        <is>
          <t>P3_ΔF</t>
        </is>
      </c>
      <c r="CG15" t="inlineStr">
        <is>
          <t>ID</t>
        </is>
      </c>
      <c r="CH15" t="inlineStr">
        <is>
          <t>Dur</t>
        </is>
      </c>
      <c r="CI15" t="inlineStr">
        <is>
          <t>DCo</t>
        </is>
      </c>
      <c r="CJ15" t="inlineStr">
        <is>
          <t>InitSlope</t>
        </is>
      </c>
      <c r="CK15" t="inlineStr">
        <is>
          <t>Fo</t>
        </is>
      </c>
      <c r="CL15" t="inlineStr">
        <is>
          <t>F1</t>
        </is>
      </c>
      <c r="CM15" t="inlineStr">
        <is>
          <t>T@F1</t>
        </is>
      </c>
      <c r="CN15" t="inlineStr">
        <is>
          <t>T@HIR</t>
        </is>
      </c>
      <c r="CO15" t="inlineStr">
        <is>
          <t>F2</t>
        </is>
      </c>
      <c r="CP15" t="inlineStr">
        <is>
          <t>T@F2</t>
        </is>
      </c>
      <c r="CQ15" t="inlineStr">
        <is>
          <t>DCmax</t>
        </is>
      </c>
      <c r="CR15" t="inlineStr">
        <is>
          <t>T@DCmax</t>
        </is>
      </c>
      <c r="CS15" t="inlineStr">
        <is>
          <t>PhiPS2_dc</t>
        </is>
      </c>
      <c r="CT15" t="inlineStr">
        <is>
          <t>Qin</t>
        </is>
      </c>
      <c r="CU15" t="inlineStr">
        <is>
          <t>Qabs</t>
        </is>
      </c>
      <c r="CV15" t="inlineStr">
        <is>
          <t>alpha</t>
        </is>
      </c>
      <c r="CW15" t="inlineStr">
        <is>
          <t>convert</t>
        </is>
      </c>
      <c r="CX15" t="inlineStr">
        <is>
          <t>S</t>
        </is>
      </c>
      <c r="CY15" t="inlineStr">
        <is>
          <t>K</t>
        </is>
      </c>
      <c r="CZ15" t="inlineStr">
        <is>
          <t>Geometry</t>
        </is>
      </c>
      <c r="DA15" t="inlineStr">
        <is>
          <t>Custom</t>
        </is>
      </c>
      <c r="DB15" t="inlineStr">
        <is>
          <t>TIME</t>
        </is>
      </c>
      <c r="DC15" t="inlineStr">
        <is>
          <t>CO2_s</t>
        </is>
      </c>
      <c r="DD15" t="inlineStr">
        <is>
          <t>CO2_r</t>
        </is>
      </c>
      <c r="DE15" t="inlineStr">
        <is>
          <t>H2O_s</t>
        </is>
      </c>
      <c r="DF15" t="inlineStr">
        <is>
          <t>H2O_r</t>
        </is>
      </c>
      <c r="DG15" t="inlineStr">
        <is>
          <t>CO2_a</t>
        </is>
      </c>
      <c r="DH15" t="inlineStr">
        <is>
          <t>H2O_a</t>
        </is>
      </c>
      <c r="DI15" t="inlineStr">
        <is>
          <t>Flow</t>
        </is>
      </c>
      <c r="DJ15" t="inlineStr">
        <is>
          <t>Pa</t>
        </is>
      </c>
      <c r="DK15" t="inlineStr">
        <is>
          <t>ΔPcham</t>
        </is>
      </c>
      <c r="DL15" t="inlineStr">
        <is>
          <t>Tair</t>
        </is>
      </c>
      <c r="DM15" t="inlineStr">
        <is>
          <t>Tleaf</t>
        </is>
      </c>
      <c r="DN15" t="inlineStr">
        <is>
          <t>Tleaf2</t>
        </is>
      </c>
      <c r="DO15" t="inlineStr">
        <is>
          <t>Offset</t>
        </is>
      </c>
      <c r="DP15" t="inlineStr">
        <is>
          <t>Offset2</t>
        </is>
      </c>
      <c r="DQ15" t="inlineStr">
        <is>
          <t>Fan_speed</t>
        </is>
      </c>
      <c r="DR15" t="inlineStr">
        <is>
          <t>Qamb_in</t>
        </is>
      </c>
      <c r="DS15" t="inlineStr">
        <is>
          <t>Qamb_out</t>
        </is>
      </c>
      <c r="DT15" t="inlineStr">
        <is>
          <t>Q</t>
        </is>
      </c>
      <c r="DU15" t="inlineStr">
        <is>
          <t>f_red</t>
        </is>
      </c>
      <c r="DV15" t="inlineStr">
        <is>
          <t>f_blue</t>
        </is>
      </c>
      <c r="DW15" t="inlineStr">
        <is>
          <t>f_farred</t>
        </is>
      </c>
      <c r="DX15" t="inlineStr">
        <is>
          <t>F</t>
        </is>
      </c>
      <c r="DY15" t="inlineStr">
        <is>
          <t>Q_modavg</t>
        </is>
      </c>
      <c r="DZ15" t="inlineStr">
        <is>
          <t>F_dc</t>
        </is>
      </c>
      <c r="EA15" t="inlineStr">
        <is>
          <t>Pc</t>
        </is>
      </c>
      <c r="EB15" t="inlineStr">
        <is>
          <t>Tled</t>
        </is>
      </c>
      <c r="EC15" t="inlineStr">
        <is>
          <t>TDigital</t>
        </is>
      </c>
      <c r="ED15" t="inlineStr">
        <is>
          <t>TPreamp</t>
        </is>
      </c>
      <c r="EE15" t="inlineStr">
        <is>
          <t>TPwrSpy</t>
        </is>
      </c>
      <c r="EF15" t="inlineStr">
        <is>
          <t>TDrive</t>
        </is>
      </c>
      <c r="EG15" t="inlineStr">
        <is>
          <t>Q_red</t>
        </is>
      </c>
      <c r="EH15" t="inlineStr">
        <is>
          <t>Q_blue</t>
        </is>
      </c>
      <c r="EI15" t="inlineStr">
        <is>
          <t>Q_farred</t>
        </is>
      </c>
      <c r="EJ15" t="inlineStr">
        <is>
          <t>TSPF</t>
        </is>
      </c>
      <c r="EK15" t="inlineStr">
        <is>
          <t>state</t>
        </is>
      </c>
      <c r="EL15" t="inlineStr">
        <is>
          <t>F_avg</t>
        </is>
      </c>
      <c r="EM15" t="inlineStr">
        <is>
          <t>dF/dt</t>
        </is>
      </c>
      <c r="EN15" t="inlineStr">
        <is>
          <t>dF_dc/dt</t>
        </is>
      </c>
      <c r="EO15" t="inlineStr">
        <is>
          <t>F_dc_avg</t>
        </is>
      </c>
      <c r="EP15" t="inlineStr">
        <is>
          <t>period</t>
        </is>
      </c>
      <c r="EQ15" t="inlineStr">
        <is>
          <t>time</t>
        </is>
      </c>
      <c r="ER15" t="inlineStr">
        <is>
          <t>hhmmss</t>
        </is>
      </c>
      <c r="ES15" t="inlineStr">
        <is>
          <t>co2_t</t>
        </is>
      </c>
      <c r="ET15" t="inlineStr">
        <is>
          <t>h2o_t</t>
        </is>
      </c>
      <c r="EU15" t="inlineStr">
        <is>
          <t>count</t>
        </is>
      </c>
      <c r="EV15" t="inlineStr">
        <is>
          <t>co2_adj</t>
        </is>
      </c>
      <c r="EW15" t="inlineStr">
        <is>
          <t>h2o_adj</t>
        </is>
      </c>
      <c r="EX15" t="inlineStr">
        <is>
          <t>co2_match</t>
        </is>
      </c>
      <c r="EY15" t="inlineStr">
        <is>
          <t>h2o_match</t>
        </is>
      </c>
      <c r="EZ15" t="inlineStr">
        <is>
          <t>co2_at</t>
        </is>
      </c>
      <c r="FA15" t="inlineStr">
        <is>
          <t>h2o_at</t>
        </is>
      </c>
      <c r="FB15" t="inlineStr">
        <is>
          <t>co2_cv</t>
        </is>
      </c>
      <c r="FC15" t="inlineStr">
        <is>
          <t>h2o_cv</t>
        </is>
      </c>
      <c r="FD15" t="inlineStr">
        <is>
          <t>A:MN</t>
        </is>
      </c>
      <c r="FE15" t="inlineStr">
        <is>
          <t>A:SLP</t>
        </is>
      </c>
      <c r="FF15" t="inlineStr">
        <is>
          <t>A:SD</t>
        </is>
      </c>
      <c r="FG15" t="inlineStr">
        <is>
          <t>A:OK</t>
        </is>
      </c>
      <c r="FH15" t="inlineStr">
        <is>
          <t>ΔCO2:MN</t>
        </is>
      </c>
      <c r="FI15" t="inlineStr">
        <is>
          <t>ΔCO2:SLP</t>
        </is>
      </c>
      <c r="FJ15" t="inlineStr">
        <is>
          <t>ΔCO2:SD</t>
        </is>
      </c>
      <c r="FK15" t="inlineStr">
        <is>
          <t>ΔCO2:OK</t>
        </is>
      </c>
      <c r="FL15" t="inlineStr">
        <is>
          <t>F:MN</t>
        </is>
      </c>
      <c r="FM15" t="inlineStr">
        <is>
          <t>F:SLP</t>
        </is>
      </c>
      <c r="FN15" t="inlineStr">
        <is>
          <t>F:SD</t>
        </is>
      </c>
      <c r="FO15" t="inlineStr">
        <is>
          <t>F:OK</t>
        </is>
      </c>
      <c r="FP15" t="inlineStr">
        <is>
          <t>Stable</t>
        </is>
      </c>
      <c r="FQ15" t="inlineStr">
        <is>
          <t>Total</t>
        </is>
      </c>
      <c r="FR15" t="inlineStr">
        <is>
          <t>State</t>
        </is>
      </c>
      <c r="FS15" t="inlineStr">
        <is>
          <t>MatchValveR</t>
        </is>
      </c>
      <c r="FT15" t="inlineStr">
        <is>
          <t>MatchValveS</t>
        </is>
      </c>
      <c r="FU15" t="inlineStr">
        <is>
          <t>MatchCO2</t>
        </is>
      </c>
      <c r="FV15" t="inlineStr">
        <is>
          <t>MatchH2O</t>
        </is>
      </c>
      <c r="FW15" t="inlineStr">
        <is>
          <t>cf_co2_a</t>
        </is>
      </c>
      <c r="FX15" t="inlineStr">
        <is>
          <t>cf_co2_b</t>
        </is>
      </c>
      <c r="FY15" t="inlineStr">
        <is>
          <t>cf_co2_c</t>
        </is>
      </c>
      <c r="FZ15" t="inlineStr">
        <is>
          <t>cf_co2_d</t>
        </is>
      </c>
      <c r="GA15" t="inlineStr">
        <is>
          <t>cf_h2o_a</t>
        </is>
      </c>
      <c r="GB15" t="inlineStr">
        <is>
          <t>cf_h2o_b</t>
        </is>
      </c>
      <c r="GC15" t="inlineStr">
        <is>
          <t>cf_h2o_c</t>
        </is>
      </c>
      <c r="GD15" t="inlineStr">
        <is>
          <t>cf_h2o_d</t>
        </is>
      </c>
      <c r="GE15" t="inlineStr">
        <is>
          <t>co2_fit_low</t>
        </is>
      </c>
      <c r="GF15" t="inlineStr">
        <is>
          <t>co2_fit_high</t>
        </is>
      </c>
      <c r="GG15" t="inlineStr">
        <is>
          <t>h2o_fit_low</t>
        </is>
      </c>
      <c r="GH15" t="inlineStr">
        <is>
          <t>h2o_fit_high</t>
        </is>
      </c>
      <c r="GI15" t="inlineStr">
        <is>
          <t>co2_elapsed</t>
        </is>
      </c>
      <c r="GJ15" t="inlineStr">
        <is>
          <t>h2o_elapsed</t>
        </is>
      </c>
      <c r="GK15" t="inlineStr">
        <is>
          <t>CO2_f</t>
        </is>
      </c>
      <c r="GL15" t="inlineStr">
        <is>
          <t>CO2_f_s</t>
        </is>
      </c>
      <c r="GM15" t="inlineStr">
        <is>
          <t>Pump_f</t>
        </is>
      </c>
      <c r="GN15" t="inlineStr">
        <is>
          <t>Pump_f_s</t>
        </is>
      </c>
      <c r="GO15" t="inlineStr">
        <is>
          <t>Pump_p</t>
        </is>
      </c>
      <c r="GP15" t="inlineStr">
        <is>
          <t>Pump_p_s</t>
        </is>
      </c>
      <c r="GQ15" t="inlineStr">
        <is>
          <t>Tboard</t>
        </is>
      </c>
      <c r="GR15" t="inlineStr">
        <is>
          <t>V_system</t>
        </is>
      </c>
      <c r="GS15" t="inlineStr">
        <is>
          <t>DIAG</t>
        </is>
      </c>
      <c r="GT15" t="inlineStr">
        <is>
          <t>Flow_s</t>
        </is>
      </c>
      <c r="GU15" t="inlineStr">
        <is>
          <t>Flow_r</t>
        </is>
      </c>
      <c r="GV15" t="inlineStr">
        <is>
          <t>Txchg</t>
        </is>
      </c>
      <c r="GW15" t="inlineStr">
        <is>
          <t>Tirga</t>
        </is>
      </c>
      <c r="GX15" t="inlineStr">
        <is>
          <t>Tchopper</t>
        </is>
      </c>
      <c r="GY15" t="inlineStr">
        <is>
          <t>Ts</t>
        </is>
      </c>
      <c r="GZ15" t="inlineStr">
        <is>
          <t>Tr</t>
        </is>
      </c>
      <c r="HA15" t="inlineStr">
        <is>
          <t>CO2_%</t>
        </is>
      </c>
      <c r="HB15" t="inlineStr">
        <is>
          <t>Desiccant_%</t>
        </is>
      </c>
      <c r="HC15" t="inlineStr">
        <is>
          <t>Humidifier_%</t>
        </is>
      </c>
      <c r="HD15" t="inlineStr">
        <is>
          <t>Txchg_sp</t>
        </is>
      </c>
      <c r="HE15" t="inlineStr">
        <is>
          <t>CO2_r_sp</t>
        </is>
      </c>
      <c r="HF15" t="inlineStr">
        <is>
          <t>H2O_r_sp</t>
        </is>
      </c>
      <c r="HG15" t="inlineStr">
        <is>
          <t>SS_s</t>
        </is>
      </c>
      <c r="HH15" t="inlineStr">
        <is>
          <t>SS_r</t>
        </is>
      </c>
    </row>
    <row r="16">
      <c r="B16" t="inlineStr">
        <is>
          <t>s</t>
        </is>
      </c>
      <c r="C16" t="inlineStr">
        <is>
          <t>s</t>
        </is>
      </c>
      <c r="F16" t="inlineStr">
        <is>
          <t>s</t>
        </is>
      </c>
      <c r="G16" t="inlineStr">
        <is>
          <t>s</t>
        </is>
      </c>
      <c r="H16" t="inlineStr">
        <is>
          <t>mol m⁻² s⁻¹</t>
        </is>
      </c>
      <c r="I16" t="inlineStr">
        <is>
          <t>mmol m⁻² s⁻¹</t>
        </is>
      </c>
      <c r="J16" t="inlineStr">
        <is>
          <t>µmol m⁻² s⁻¹</t>
        </is>
      </c>
      <c r="K16" t="inlineStr">
        <is>
          <t>µmol mol⁻¹</t>
        </is>
      </c>
      <c r="L16" t="inlineStr">
        <is>
          <t>µmol mol⁻¹</t>
        </is>
      </c>
      <c r="M16" t="inlineStr">
        <is>
          <t>Pa</t>
        </is>
      </c>
      <c r="N16" t="inlineStr">
        <is>
          <t>Pa</t>
        </is>
      </c>
      <c r="O16" t="inlineStr">
        <is>
          <t>mol m⁻² s⁻¹</t>
        </is>
      </c>
      <c r="P16" t="inlineStr">
        <is>
          <t>mol m⁻² s⁻¹</t>
        </is>
      </c>
      <c r="Q16" t="inlineStr">
        <is>
          <t>mol m⁻² s⁻¹</t>
        </is>
      </c>
      <c r="R16" t="inlineStr">
        <is>
          <t>mol m⁻² s⁻¹</t>
        </is>
      </c>
      <c r="S16" t="inlineStr">
        <is>
          <t>W m⁻²</t>
        </is>
      </c>
      <c r="T16" t="inlineStr">
        <is>
          <t>°C</t>
        </is>
      </c>
      <c r="U16" t="inlineStr">
        <is>
          <t>°C</t>
        </is>
      </c>
      <c r="V16" t="inlineStr">
        <is>
          <t>kPa</t>
        </is>
      </c>
      <c r="W16" t="inlineStr">
        <is>
          <t>%</t>
        </is>
      </c>
      <c r="X16" t="inlineStr">
        <is>
          <t>kPa</t>
        </is>
      </c>
      <c r="Y16" t="inlineStr">
        <is>
          <t>kPa</t>
        </is>
      </c>
      <c r="Z16" t="inlineStr">
        <is>
          <t>kPa</t>
        </is>
      </c>
      <c r="AA16" t="inlineStr">
        <is>
          <t>W m⁻²</t>
        </is>
      </c>
      <c r="AB16" t="inlineStr">
        <is>
          <t>W m⁻²</t>
        </is>
      </c>
      <c r="AC16" t="inlineStr">
        <is>
          <t>W m⁻²</t>
        </is>
      </c>
      <c r="AD16" t="inlineStr">
        <is>
          <t>W m⁻²</t>
        </is>
      </c>
      <c r="AE16" t="inlineStr">
        <is>
          <t>µmol s⁻¹</t>
        </is>
      </c>
      <c r="AF16" t="inlineStr">
        <is>
          <t>%</t>
        </is>
      </c>
      <c r="AH16" t="inlineStr">
        <is>
          <t>%</t>
        </is>
      </c>
      <c r="AI16" t="inlineStr">
        <is>
          <t>µmol s⁻¹</t>
        </is>
      </c>
      <c r="AO16" t="inlineStr">
        <is>
          <t>µmol m⁻² s⁻¹</t>
        </is>
      </c>
      <c r="AV16" t="inlineStr">
        <is>
          <t>µmol m⁻² s⁻¹</t>
        </is>
      </c>
      <c r="AW16" t="inlineStr">
        <is>
          <t>µmol m⁻² s⁻¹</t>
        </is>
      </c>
      <c r="AX16" t="inlineStr">
        <is>
          <t>µmol m⁻² s⁻¹</t>
        </is>
      </c>
      <c r="AY16" t="inlineStr">
        <is>
          <t>µmol µmol⁻¹</t>
        </is>
      </c>
      <c r="BM16" t="inlineStr">
        <is>
          <t>ms</t>
        </is>
      </c>
      <c r="BO16" t="inlineStr">
        <is>
          <t>ms</t>
        </is>
      </c>
      <c r="BP16" t="inlineStr">
        <is>
          <t>µmol m⁻² s⁻¹</t>
        </is>
      </c>
      <c r="BS16" t="inlineStr">
        <is>
          <t>ms</t>
        </is>
      </c>
      <c r="BT16" t="inlineStr">
        <is>
          <t>%</t>
        </is>
      </c>
      <c r="BW16" t="inlineStr">
        <is>
          <t>centimol m⁻² s⁻¹</t>
        </is>
      </c>
      <c r="BX16" t="inlineStr">
        <is>
          <t>centimol m⁻² s⁻¹</t>
        </is>
      </c>
      <c r="BZ16" t="inlineStr">
        <is>
          <t>mol m⁻² s⁻²</t>
        </is>
      </c>
      <c r="CA16" t="inlineStr">
        <is>
          <t>ms</t>
        </is>
      </c>
      <c r="CC16" t="inlineStr">
        <is>
          <t>ms</t>
        </is>
      </c>
      <c r="CD16" t="inlineStr">
        <is>
          <t>µmol m⁻² s⁻¹</t>
        </is>
      </c>
      <c r="CH16" t="inlineStr">
        <is>
          <t>ms</t>
        </is>
      </c>
      <c r="CJ16" t="inlineStr">
        <is>
          <t>s⁻¹</t>
        </is>
      </c>
      <c r="CM16" t="inlineStr">
        <is>
          <t>ms</t>
        </is>
      </c>
      <c r="CN16" t="inlineStr">
        <is>
          <t>ms</t>
        </is>
      </c>
      <c r="CP16" t="inlineStr">
        <is>
          <t>ms</t>
        </is>
      </c>
      <c r="CR16" t="inlineStr">
        <is>
          <t>ms</t>
        </is>
      </c>
      <c r="CT16" t="inlineStr">
        <is>
          <t>µmol m⁻² s⁻¹</t>
        </is>
      </c>
      <c r="CU16" t="inlineStr">
        <is>
          <t>µmol m⁻² s⁻¹</t>
        </is>
      </c>
      <c r="CW16" t="inlineStr">
        <is>
          <t>J/µmol</t>
        </is>
      </c>
      <c r="CX16" t="inlineStr">
        <is>
          <t>cm²</t>
        </is>
      </c>
      <c r="DA16" t="inlineStr">
        <is>
          <t>mol m⁻² s⁻¹</t>
        </is>
      </c>
      <c r="DB16" t="inlineStr">
        <is>
          <t>s</t>
        </is>
      </c>
      <c r="DC16" t="inlineStr">
        <is>
          <t>µmol mol⁻¹</t>
        </is>
      </c>
      <c r="DD16" t="inlineStr">
        <is>
          <t>µmol mol⁻¹</t>
        </is>
      </c>
      <c r="DE16" t="inlineStr">
        <is>
          <t>mmol mol⁻¹</t>
        </is>
      </c>
      <c r="DF16" t="inlineStr">
        <is>
          <t>mmol mol⁻¹</t>
        </is>
      </c>
      <c r="DG16" t="inlineStr">
        <is>
          <t>µmol mol⁻¹</t>
        </is>
      </c>
      <c r="DH16" t="inlineStr">
        <is>
          <t>mmol mol⁻¹</t>
        </is>
      </c>
      <c r="DI16" t="inlineStr">
        <is>
          <t>µmol s⁻¹</t>
        </is>
      </c>
      <c r="DJ16" t="inlineStr">
        <is>
          <t>kPa</t>
        </is>
      </c>
      <c r="DK16" t="inlineStr">
        <is>
          <t>kPa</t>
        </is>
      </c>
      <c r="DL16" t="inlineStr">
        <is>
          <t>°C</t>
        </is>
      </c>
      <c r="DM16" t="inlineStr">
        <is>
          <t>°C</t>
        </is>
      </c>
      <c r="DN16" t="inlineStr">
        <is>
          <t>°C</t>
        </is>
      </c>
      <c r="DO16" t="inlineStr">
        <is>
          <t>°C</t>
        </is>
      </c>
      <c r="DP16" t="inlineStr">
        <is>
          <t>°C</t>
        </is>
      </c>
      <c r="DQ16" t="inlineStr">
        <is>
          <t>rpm</t>
        </is>
      </c>
      <c r="DR16" t="inlineStr">
        <is>
          <t>µmol m⁻² s⁻¹</t>
        </is>
      </c>
      <c r="DS16" t="inlineStr">
        <is>
          <t>µmol m⁻² s⁻¹</t>
        </is>
      </c>
      <c r="DT16" t="inlineStr">
        <is>
          <t>µmol m⁻² s⁻¹</t>
        </is>
      </c>
      <c r="DY16" t="inlineStr">
        <is>
          <t>µmol m⁻² s⁻¹</t>
        </is>
      </c>
      <c r="EB16" t="inlineStr">
        <is>
          <t>°C</t>
        </is>
      </c>
      <c r="EC16" t="inlineStr">
        <is>
          <t>°C</t>
        </is>
      </c>
      <c r="ED16" t="inlineStr">
        <is>
          <t>°C</t>
        </is>
      </c>
      <c r="EE16" t="inlineStr">
        <is>
          <t>°C</t>
        </is>
      </c>
      <c r="EF16" t="inlineStr">
        <is>
          <t>°C</t>
        </is>
      </c>
      <c r="EG16" t="inlineStr">
        <is>
          <t>µmol m⁻² s⁻¹</t>
        </is>
      </c>
      <c r="EH16" t="inlineStr">
        <is>
          <t>µmol m⁻² s⁻¹</t>
        </is>
      </c>
      <c r="EI16" t="inlineStr">
        <is>
          <t>µmol m⁻² s⁻¹</t>
        </is>
      </c>
      <c r="EJ16" t="inlineStr">
        <is>
          <t>s</t>
        </is>
      </c>
      <c r="EM16" t="inlineStr">
        <is>
          <t>min⁻¹</t>
        </is>
      </c>
      <c r="EN16" t="inlineStr">
        <is>
          <t>min⁻¹</t>
        </is>
      </c>
      <c r="EP16" t="inlineStr">
        <is>
          <t>s</t>
        </is>
      </c>
      <c r="EQ16" t="inlineStr">
        <is>
          <t>secs</t>
        </is>
      </c>
      <c r="ES16" t="inlineStr">
        <is>
          <t>s</t>
        </is>
      </c>
      <c r="ET16" t="inlineStr">
        <is>
          <t>s</t>
        </is>
      </c>
      <c r="EV16" t="inlineStr">
        <is>
          <t>µmol/mol</t>
        </is>
      </c>
      <c r="EW16" t="inlineStr">
        <is>
          <t>mmol/mol</t>
        </is>
      </c>
      <c r="EX16" t="inlineStr">
        <is>
          <t>µmol/mol</t>
        </is>
      </c>
      <c r="EY16" t="inlineStr">
        <is>
          <t>mmol/mol</t>
        </is>
      </c>
      <c r="EZ16" t="inlineStr">
        <is>
          <t>µmol/mol</t>
        </is>
      </c>
      <c r="FA16" t="inlineStr">
        <is>
          <t>mmol/mol</t>
        </is>
      </c>
      <c r="FB16" t="inlineStr">
        <is>
          <t>%</t>
        </is>
      </c>
      <c r="FC16" t="inlineStr">
        <is>
          <t>%</t>
        </is>
      </c>
      <c r="FD16" t="inlineStr">
        <is>
          <t>µmol m⁻² s⁻¹</t>
        </is>
      </c>
      <c r="FE16" t="inlineStr">
        <is>
          <t>µmol m⁻² s⁻¹ min⁻¹</t>
        </is>
      </c>
      <c r="FF16" t="inlineStr">
        <is>
          <t>µmol m⁻² s⁻¹</t>
        </is>
      </c>
      <c r="FH16" t="inlineStr">
        <is>
          <t>µmol mol⁻¹</t>
        </is>
      </c>
      <c r="FI16" t="inlineStr">
        <is>
          <t>µmol mol⁻¹ min⁻¹</t>
        </is>
      </c>
      <c r="FJ16" t="inlineStr">
        <is>
          <t>µmol mol⁻¹</t>
        </is>
      </c>
      <c r="FM16" t="inlineStr">
        <is>
          <t xml:space="preserve"> min⁻¹</t>
        </is>
      </c>
      <c r="FS16" t="inlineStr">
        <is>
          <t>%</t>
        </is>
      </c>
      <c r="FT16" t="inlineStr">
        <is>
          <t>%</t>
        </is>
      </c>
      <c r="FU16" t="inlineStr">
        <is>
          <t>µmol/mol</t>
        </is>
      </c>
      <c r="FV16" t="inlineStr">
        <is>
          <t>mmol/mol</t>
        </is>
      </c>
      <c r="FW16" t="inlineStr">
        <is>
          <t>µmol/mol</t>
        </is>
      </c>
      <c r="GA16" t="inlineStr">
        <is>
          <t>mmol/mol</t>
        </is>
      </c>
      <c r="GE16" t="inlineStr">
        <is>
          <t>µmol mol⁻¹</t>
        </is>
      </c>
      <c r="GF16" t="inlineStr">
        <is>
          <t>µmol mol⁻¹</t>
        </is>
      </c>
      <c r="GG16" t="inlineStr">
        <is>
          <t>mmol mol⁻¹</t>
        </is>
      </c>
      <c r="GH16" t="inlineStr">
        <is>
          <t>mmol mol⁻¹</t>
        </is>
      </c>
      <c r="GI16" t="inlineStr">
        <is>
          <t>min</t>
        </is>
      </c>
      <c r="GJ16" t="inlineStr">
        <is>
          <t>min</t>
        </is>
      </c>
      <c r="GK16" t="inlineStr">
        <is>
          <t>V</t>
        </is>
      </c>
      <c r="GL16" t="inlineStr">
        <is>
          <t>V</t>
        </is>
      </c>
      <c r="GM16" t="inlineStr">
        <is>
          <t>V</t>
        </is>
      </c>
      <c r="GN16" t="inlineStr">
        <is>
          <t>V</t>
        </is>
      </c>
      <c r="GO16" t="inlineStr">
        <is>
          <t>V</t>
        </is>
      </c>
      <c r="GP16" t="inlineStr">
        <is>
          <t>V</t>
        </is>
      </c>
      <c r="GQ16" t="inlineStr">
        <is>
          <t>°C</t>
        </is>
      </c>
      <c r="GR16" t="inlineStr">
        <is>
          <t>V</t>
        </is>
      </c>
      <c r="GT16" t="inlineStr">
        <is>
          <t>µmol s⁻¹</t>
        </is>
      </c>
      <c r="GU16" t="inlineStr">
        <is>
          <t>µmol s⁻¹</t>
        </is>
      </c>
      <c r="GV16" t="inlineStr">
        <is>
          <t>°C</t>
        </is>
      </c>
      <c r="GW16" t="inlineStr">
        <is>
          <t>°C</t>
        </is>
      </c>
      <c r="GX16" t="inlineStr">
        <is>
          <t>°C</t>
        </is>
      </c>
      <c r="GY16" t="inlineStr">
        <is>
          <t>°C</t>
        </is>
      </c>
      <c r="GZ16" t="inlineStr">
        <is>
          <t>°C</t>
        </is>
      </c>
      <c r="HA16" t="inlineStr">
        <is>
          <t>%</t>
        </is>
      </c>
      <c r="HB16" t="inlineStr">
        <is>
          <t>%</t>
        </is>
      </c>
      <c r="HC16" t="inlineStr">
        <is>
          <t>%</t>
        </is>
      </c>
      <c r="HD16" t="inlineStr">
        <is>
          <t>°C</t>
        </is>
      </c>
      <c r="HE16" t="inlineStr">
        <is>
          <t>µmol mol⁻¹</t>
        </is>
      </c>
      <c r="HF16" t="inlineStr">
        <is>
          <t>mmol mol⁻¹</t>
        </is>
      </c>
      <c r="HG16" t="inlineStr">
        <is>
          <t>%</t>
        </is>
      </c>
      <c r="HH16" t="inlineStr">
        <is>
          <t>%</t>
        </is>
      </c>
    </row>
    <row r="17">
      <c r="A17" t="n">
        <v>1</v>
      </c>
      <c r="B17" t="n">
        <v>1792293177</v>
      </c>
      <c r="C17" t="n">
        <v>0</v>
      </c>
      <c r="D17" t="inlineStr">
        <is>
          <t>20261018 12:12:57</t>
        </is>
      </c>
      <c r="E17" t="inlineStr">
        <is>
          <t>12:12:57</t>
        </is>
      </c>
      <c r="F17" t="n">
        <v>5</v>
      </c>
      <c r="G17" t="n">
        <v>1792293173.5</v>
      </c>
      <c r="H17">
        <f>(I17)/1000</f>
        <v/>
      </c>
      <c r="I17">
        <f>1000*DI17*AG17*(DE17-DF17)/(100*CX17*(1000-AG17*DE17))</f>
        <v/>
      </c>
      <c r="J17">
        <f>DI17*AG17*(DD17-DC17*(1000-AG17*DF17)/(1000-AG17*DE17))/(100*CX17)</f>
        <v/>
      </c>
      <c r="K17">
        <f>DC17 - IF(AG17&gt;1, J17*CX17*100.0/(AI17), 0)</f>
        <v/>
      </c>
      <c r="L17">
        <f>((R17-H17/2)*K17-J17)/(R17+H17/2)</f>
        <v/>
      </c>
      <c r="M17">
        <f>L17*(DJ17+DK17)/1000.0</f>
        <v/>
      </c>
      <c r="N17">
        <f>(DC17 - IF(AG17&gt;1, J17*CX17*100.0/(AI17), 0))*(DJ17+DK17)/1000.0</f>
        <v/>
      </c>
      <c r="O17">
        <f>2.0/((1/Q17-1/P17)+SIGN(Q17)*SQRT((1/Q17-1/P17)*(1/Q17-1/P17) + 4*CY17/((CY17+1)*(CY17+1))*(2*1/Q17*1/P17-1/P17*1/P17)))</f>
        <v/>
      </c>
      <c r="P17">
        <f>IF(LEFT(CZ17,1)&lt;&gt;"0",IF(LEFT(CZ17,1)="1",3.0,DA17),$D$5+$E$5*(DQ17*DJ17/($K$5*1000))+$F$5*(DQ17*DJ17/($K$5*1000))*MAX(MIN(CX17,$J$5),$I$5)*MAX(MIN(CX17,$J$5),$I$5)+$G$5*MAX(MIN(CX17,$J$5),$I$5)*(DQ17*DJ17/($K$5*1000))+$H$5*(DQ17*DJ17/($K$5*1000))*(DQ17*DJ17/($K$5*1000)))</f>
        <v/>
      </c>
      <c r="Q17">
        <f>H17*(1000-(1000*0.61365*exp(17.502*U17/(240.97+U17))/(DJ17+DK17)+DE17)/2)/(1000*0.61365*exp(17.502*U17/(240.97+U17))/(DJ17+DK17)-DE17)</f>
        <v/>
      </c>
      <c r="R17">
        <f>1/((CY17+1)/(O17/1.6)+1/(P17/1.37)) + CY17/((CY17+1)/(O17/1.6) + CY17/(P17/1.37))</f>
        <v/>
      </c>
      <c r="S17">
        <f>(CT17*CW17)</f>
        <v/>
      </c>
      <c r="T17">
        <f>(DL17+(S17+2*0.95*5.67E-8*(((DL17+$B$7)+273)^4-(DL17+273)^4)-44100*H17)/(1.84*29.3*P17+8*0.95*5.67E-8*(DL17+273)^3))</f>
        <v/>
      </c>
      <c r="U17">
        <f>($C$7*DM17+$D$7*DN17+$E$7*T17)</f>
        <v/>
      </c>
      <c r="V17">
        <f>0.61365*exp(17.502*U17/(240.97+U17))</f>
        <v/>
      </c>
      <c r="W17">
        <f>(X17/Y17*100)</f>
        <v/>
      </c>
      <c r="X17">
        <f>DE17*(DJ17+DK17)/1000</f>
        <v/>
      </c>
      <c r="Y17">
        <f>0.61365*exp(17.502*DL17/(240.97+DL17))</f>
        <v/>
      </c>
      <c r="Z17">
        <f>(V17-DE17*(DJ17+DK17)/1000)</f>
        <v/>
      </c>
      <c r="AA17">
        <f>(-H17*44100)</f>
        <v/>
      </c>
      <c r="AB17">
        <f>2*29.3*P17*0.92*(DL17-U17)</f>
        <v/>
      </c>
      <c r="AC17">
        <f>2*0.95*5.67E-8*(((DL17+$B$7)+273)^4-(U17+273)^4)</f>
        <v/>
      </c>
      <c r="AD17">
        <f>S17+AC17+AA17+AB17</f>
        <v/>
      </c>
      <c r="AE17" t="n">
        <v>0</v>
      </c>
      <c r="AF17" t="n">
        <v>0</v>
      </c>
      <c r="AG17">
        <f>IF(AE17*$H$13&gt;=AI17,1.0,(AI17/(AI17-AE17*$H$13)))</f>
        <v/>
      </c>
      <c r="AH17">
        <f>(AG17-1)*100</f>
        <v/>
      </c>
      <c r="AI17">
        <f>MAX(0,($B$13+$C$13*DQ17)/(1+$D$13*DQ17)*DJ17/(DL17+273)*$E$13)</f>
        <v/>
      </c>
      <c r="AJ17" t="inlineStr">
        <is>
          <t>-</t>
        </is>
      </c>
      <c r="AK17" t="inlineStr">
        <is>
          <t>-</t>
        </is>
      </c>
      <c r="AL17" t="n">
        <v>0</v>
      </c>
      <c r="AM17" t="n">
        <v>0</v>
      </c>
      <c r="AN17">
        <f>1-AL17/AM17</f>
        <v/>
      </c>
      <c r="AO17" t="n">
        <v>0</v>
      </c>
      <c r="AP17" t="inlineStr">
        <is>
          <t>-</t>
        </is>
      </c>
      <c r="AQ17" t="inlineStr">
        <is>
          <t>-</t>
        </is>
      </c>
      <c r="AR17" t="n">
        <v>0</v>
      </c>
      <c r="AS17" t="n">
        <v>0</v>
      </c>
      <c r="AT17">
        <f>1-AR17/AS17</f>
        <v/>
      </c>
      <c r="AU17" t="n">
        <v>0.5</v>
      </c>
      <c r="AV17">
        <f>CU17</f>
        <v/>
      </c>
      <c r="AW17">
        <f>J17</f>
        <v/>
      </c>
      <c r="AX17">
        <f>AT17*AU17*AV17</f>
        <v/>
      </c>
      <c r="AY17">
        <f>(AW17-AO17)/AV17</f>
        <v/>
      </c>
      <c r="AZ17">
        <f>(AM17-AS17)/AS17</f>
        <v/>
      </c>
      <c r="BA17">
        <f>AL17/(AN17+AL17/AS17)</f>
        <v/>
      </c>
      <c r="BB17" t="inlineStr">
        <is>
          <t>-</t>
        </is>
      </c>
      <c r="BC17" t="n">
        <v>0</v>
      </c>
      <c r="BD17">
        <f>IF(BC17&lt;&gt;0, BC17, BA17)</f>
        <v/>
      </c>
      <c r="BE17">
        <f>1-BD17/AS17</f>
        <v/>
      </c>
      <c r="BF17">
        <f>(AS17-AR17)/(AS17-BD17)</f>
        <v/>
      </c>
      <c r="BG17">
        <f>(AM17-AS17)/(AM17-BD17)</f>
        <v/>
      </c>
      <c r="BH17">
        <f>(AS17-AR17)/(AS17-AL17)</f>
        <v/>
      </c>
      <c r="BI17">
        <f>(AM17-AS17)/(AM17-AL17)</f>
        <v/>
      </c>
      <c r="BJ17">
        <f>(BF17*BD17/AR17)</f>
        <v/>
      </c>
      <c r="BK17">
        <f>(1-BJ17)</f>
        <v/>
      </c>
      <c r="BL17" t="n">
        <v>229</v>
      </c>
      <c r="BM17" t="n">
        <v>290</v>
      </c>
      <c r="BN17" t="n">
        <v>1011.23</v>
      </c>
      <c r="BO17" t="n">
        <v>125</v>
      </c>
      <c r="BP17" t="n">
        <v>8125.4</v>
      </c>
      <c r="BQ17" t="n">
        <v>1006.99</v>
      </c>
      <c r="BR17" t="n">
        <v>4.24</v>
      </c>
      <c r="BS17" t="n">
        <v>300</v>
      </c>
      <c r="BT17" t="n">
        <v>19.1</v>
      </c>
      <c r="BU17" t="n">
        <v>1050.94976592848</v>
      </c>
      <c r="BV17" t="n">
        <v>2.96753520531848</v>
      </c>
      <c r="BW17" t="n">
        <v>-35.7187275448967</v>
      </c>
      <c r="BX17" t="n">
        <v>2.15538353963423</v>
      </c>
      <c r="BY17" t="n">
        <v>0.907476783931123</v>
      </c>
      <c r="BZ17" t="n">
        <v>-0.0053713552836485</v>
      </c>
      <c r="CA17" t="n">
        <v>290</v>
      </c>
      <c r="CB17" t="n">
        <v>995.53</v>
      </c>
      <c r="CC17" t="n">
        <v>615</v>
      </c>
      <c r="CD17" t="n">
        <v>8114.81</v>
      </c>
      <c r="CE17" t="n">
        <v>1006.93</v>
      </c>
      <c r="CF17" t="n">
        <v>-11.4</v>
      </c>
      <c r="CT17">
        <f>$B$11*DR17+$C$11*DS17+$F$11*DT17*(1-DW17)</f>
        <v/>
      </c>
      <c r="CU17">
        <f>CT17*CV17</f>
        <v/>
      </c>
      <c r="CV17">
        <f>($B$11*$D$9+$C$11*$D$9+$F$11*((EG17+DY17)/MAX(EG17+DY17+EH17, 0.1)*$I$9+EH17/MAX(EG17+DY17+EH17, 0.1)*$J$9))/($B$11+$C$11+$F$11)</f>
        <v/>
      </c>
      <c r="CW17">
        <f>($B$11*$K$9+$C$11*$K$9+$F$11*((EG17+DY17)/MAX(EG17+DY17+EH17, 0.1)*$P$9+EH17/MAX(EG17+DY17+EH17, 0.1)*$Q$9))/($B$11+$C$11+$F$11)</f>
        <v/>
      </c>
      <c r="CX17" t="n">
        <v>2</v>
      </c>
      <c r="CY17" t="n">
        <v>0.5</v>
      </c>
      <c r="CZ17" t="inlineStr">
        <is>
          <t>0: Broadleaf</t>
        </is>
      </c>
      <c r="DA17" t="n">
        <v>2</v>
      </c>
      <c r="DB17" t="n">
        <v>1792293173.5</v>
      </c>
      <c r="DC17" t="n">
        <v>393.065166666667</v>
      </c>
      <c r="DD17" t="n">
        <v>400.0055</v>
      </c>
      <c r="DE17" t="n">
        <v>17.2028333333333</v>
      </c>
      <c r="DF17" t="n">
        <v>15.7421333333333</v>
      </c>
      <c r="DG17" t="n">
        <v>393.309166666667</v>
      </c>
      <c r="DH17" t="n">
        <v>17.3499833333333</v>
      </c>
      <c r="DI17" t="n">
        <v>500.044166666667</v>
      </c>
      <c r="DJ17" t="n">
        <v>100.938</v>
      </c>
      <c r="DK17" t="n">
        <v>0.100019833333333</v>
      </c>
      <c r="DL17" t="n">
        <v>24.8635166666667</v>
      </c>
      <c r="DM17" t="n">
        <v>24.98815</v>
      </c>
      <c r="DN17" t="n">
        <v>999.9</v>
      </c>
      <c r="DO17" t="n">
        <v>0</v>
      </c>
      <c r="DP17" t="n">
        <v>0</v>
      </c>
      <c r="DQ17" t="n">
        <v>10001.4666666667</v>
      </c>
      <c r="DR17" t="n">
        <v>0</v>
      </c>
      <c r="DS17" t="n">
        <v>6.85491333333333</v>
      </c>
      <c r="DT17" t="n">
        <v>1500.06</v>
      </c>
      <c r="DU17" t="n">
        <v>0.97301</v>
      </c>
      <c r="DV17" t="n">
        <v>0.0269896166666667</v>
      </c>
      <c r="DW17" t="n">
        <v>0</v>
      </c>
      <c r="DX17" t="n">
        <v>196.529333333333</v>
      </c>
      <c r="DY17" t="n">
        <v>4.99999</v>
      </c>
      <c r="DZ17" t="n">
        <v>3016.93833333333</v>
      </c>
      <c r="EA17" t="n">
        <v>14883.25</v>
      </c>
      <c r="EB17" t="n">
        <v>36.375</v>
      </c>
      <c r="EC17" t="n">
        <v>37.937</v>
      </c>
      <c r="ED17" t="n">
        <v>36.937</v>
      </c>
      <c r="EE17" t="n">
        <v>37.437</v>
      </c>
      <c r="EF17" t="n">
        <v>38</v>
      </c>
      <c r="EG17" t="n">
        <v>1454.71</v>
      </c>
      <c r="EH17" t="n">
        <v>40.35</v>
      </c>
      <c r="EI17" t="n">
        <v>0</v>
      </c>
      <c r="EJ17" t="n">
        <v>2309.09999990463</v>
      </c>
      <c r="EK17" t="n">
        <v>0</v>
      </c>
      <c r="EL17" t="n">
        <v>196.6656</v>
      </c>
      <c r="EM17" t="n">
        <v>-0.631076920738757</v>
      </c>
      <c r="EN17" t="n">
        <v>1.75461538515454</v>
      </c>
      <c r="EO17" t="n">
        <v>3016.7216</v>
      </c>
      <c r="EP17" t="n">
        <v>15</v>
      </c>
      <c r="EQ17" t="n">
        <v>1792293105</v>
      </c>
      <c r="ER17" t="inlineStr">
        <is>
          <t>12:11:45</t>
        </is>
      </c>
      <c r="ES17" t="n">
        <v>1792293105</v>
      </c>
      <c r="ET17" t="n">
        <v>1792293104</v>
      </c>
      <c r="EU17" t="n">
        <v>23</v>
      </c>
      <c r="EV17" t="n">
        <v>0.068</v>
      </c>
      <c r="EW17" t="n">
        <v>-0.001</v>
      </c>
      <c r="EX17" t="n">
        <v>-0.241</v>
      </c>
      <c r="EY17" t="n">
        <v>-0.166</v>
      </c>
      <c r="EZ17" t="n">
        <v>400</v>
      </c>
      <c r="FA17" t="n">
        <v>16</v>
      </c>
      <c r="FB17" t="n">
        <v>0.31</v>
      </c>
      <c r="FC17" t="n">
        <v>0.03</v>
      </c>
      <c r="FD17" t="n">
        <v>15.8141017552003</v>
      </c>
      <c r="FE17" t="n">
        <v>-0.17566125646114</v>
      </c>
      <c r="FF17" t="n">
        <v>0.0805008469913128</v>
      </c>
      <c r="FG17" t="n">
        <v>1</v>
      </c>
      <c r="FH17" t="n">
        <v>-6.91153666666667</v>
      </c>
      <c r="FI17" t="n">
        <v>0.0125602597402532</v>
      </c>
      <c r="FJ17" t="n">
        <v>0.033475285315948</v>
      </c>
      <c r="FK17" t="n">
        <v>1</v>
      </c>
      <c r="FL17" t="n">
        <v>196.6235</v>
      </c>
      <c r="FM17" t="n">
        <v>0.546447675097927</v>
      </c>
      <c r="FN17" t="n">
        <v>0.336310977414376</v>
      </c>
      <c r="FO17" t="n">
        <v>1</v>
      </c>
      <c r="FP17" t="n">
        <v>3</v>
      </c>
      <c r="FQ17" t="n">
        <v>3</v>
      </c>
      <c r="FR17" t="inlineStr">
        <is>
          <t>3/3</t>
        </is>
      </c>
      <c r="FS17" t="n">
        <v>100</v>
      </c>
      <c r="FT17" t="n">
        <v>100</v>
      </c>
      <c r="FU17" t="n">
        <v>-0.244</v>
      </c>
      <c r="FV17" t="n">
        <v>-0.1471</v>
      </c>
      <c r="FW17" t="n">
        <v>-0.315662273502607</v>
      </c>
      <c r="FX17" t="n">
        <v>-6.16732984266029e-05</v>
      </c>
      <c r="FY17" t="n">
        <v>6.19398071816742e-07</v>
      </c>
      <c r="FZ17" t="n">
        <v>3.19222985850634e-12</v>
      </c>
      <c r="GA17" t="n">
        <v>-0.06367256561779271</v>
      </c>
      <c r="GB17" t="n">
        <v>-0.0257783215012692</v>
      </c>
      <c r="GC17" t="n">
        <v>0.00133723821780375</v>
      </c>
      <c r="GD17" t="n">
        <v>-7.42160749481374e-06</v>
      </c>
      <c r="GE17" t="n">
        <v>7</v>
      </c>
      <c r="GF17" t="n">
        <v>2154</v>
      </c>
      <c r="GG17" t="n">
        <v>2</v>
      </c>
      <c r="GH17" t="n">
        <v>20</v>
      </c>
      <c r="GI17" t="n">
        <v>1.2</v>
      </c>
      <c r="GJ17" t="n">
        <v>1.2</v>
      </c>
      <c r="GK17" t="n">
        <v>1.03882</v>
      </c>
      <c r="GL17" t="n">
        <v>2.63184</v>
      </c>
      <c r="GM17" t="n">
        <v>1.65161</v>
      </c>
      <c r="GN17" t="n">
        <v>2.27661</v>
      </c>
      <c r="GO17" t="n">
        <v>1.5979</v>
      </c>
      <c r="GP17" t="n">
        <v>2.65137</v>
      </c>
      <c r="GQ17" t="n">
        <v>35.3596</v>
      </c>
      <c r="GR17" t="n">
        <v>23.7986</v>
      </c>
      <c r="GS17" t="n">
        <v>18</v>
      </c>
      <c r="GT17" t="n">
        <v>503.884</v>
      </c>
      <c r="GU17" t="n">
        <v>536.029</v>
      </c>
      <c r="GV17" t="n">
        <v>21.1781</v>
      </c>
      <c r="GW17" t="n">
        <v>29.2538</v>
      </c>
      <c r="GX17" t="n">
        <v>30.0001</v>
      </c>
      <c r="GY17" t="n">
        <v>29.4359</v>
      </c>
      <c r="GZ17" t="n">
        <v>29.4957</v>
      </c>
      <c r="HA17" t="n">
        <v>20.7684</v>
      </c>
      <c r="HB17" t="n">
        <v>26.5215</v>
      </c>
      <c r="HC17" t="n">
        <v>27.5478</v>
      </c>
      <c r="HD17" t="n">
        <v>21.1872</v>
      </c>
      <c r="HE17" t="n">
        <v>400</v>
      </c>
      <c r="HF17" t="n">
        <v>15.7292</v>
      </c>
      <c r="HG17" t="n">
        <v>98.10590000000001</v>
      </c>
      <c r="HH17" t="n">
        <v>94.6056</v>
      </c>
    </row>
    <row r="18">
      <c r="A18" t="n">
        <v>2</v>
      </c>
      <c r="B18" t="n">
        <v>1792293302</v>
      </c>
      <c r="C18" t="n">
        <v>125</v>
      </c>
      <c r="D18" t="inlineStr">
        <is>
          <t>20261018 12:15:02</t>
        </is>
      </c>
      <c r="E18" t="inlineStr">
        <is>
          <t>12:15:02</t>
        </is>
      </c>
      <c r="F18" t="n">
        <v>5</v>
      </c>
      <c r="G18" t="n">
        <v>1792293299</v>
      </c>
      <c r="H18">
        <f>(I18)/1000</f>
        <v/>
      </c>
      <c r="I18">
        <f>1000*DI18*AG18*(DE18-DF18)/(100*CX18*(1000-AG18*DE18))</f>
        <v/>
      </c>
      <c r="J18">
        <f>DI18*AG18*(DD18-DC18*(1000-AG18*DF18)/(1000-AG18*DE18))/(100*CX18)</f>
        <v/>
      </c>
      <c r="K18">
        <f>DC18 - IF(AG18&gt;1, J18*CX18*100.0/(AI18), 0)</f>
        <v/>
      </c>
      <c r="L18">
        <f>((R18-H18/2)*K18-J18)/(R18+H18/2)</f>
        <v/>
      </c>
      <c r="M18">
        <f>L18*(DJ18+DK18)/1000.0</f>
        <v/>
      </c>
      <c r="N18">
        <f>(DC18 - IF(AG18&gt;1, J18*CX18*100.0/(AI18), 0))*(DJ18+DK18)/1000.0</f>
        <v/>
      </c>
      <c r="O18">
        <f>2.0/((1/Q18-1/P18)+SIGN(Q18)*SQRT((1/Q18-1/P18)*(1/Q18-1/P18) + 4*CY18/((CY18+1)*(CY18+1))*(2*1/Q18*1/P18-1/P18*1/P18)))</f>
        <v/>
      </c>
      <c r="P18">
        <f>IF(LEFT(CZ18,1)&lt;&gt;"0",IF(LEFT(CZ18,1)="1",3.0,DA18),$D$5+$E$5*(DQ18*DJ18/($K$5*1000))+$F$5*(DQ18*DJ18/($K$5*1000))*MAX(MIN(CX18,$J$5),$I$5)*MAX(MIN(CX18,$J$5),$I$5)+$G$5*MAX(MIN(CX18,$J$5),$I$5)*(DQ18*DJ18/($K$5*1000))+$H$5*(DQ18*DJ18/($K$5*1000))*(DQ18*DJ18/($K$5*1000)))</f>
        <v/>
      </c>
      <c r="Q18">
        <f>H18*(1000-(1000*0.61365*exp(17.502*U18/(240.97+U18))/(DJ18+DK18)+DE18)/2)/(1000*0.61365*exp(17.502*U18/(240.97+U18))/(DJ18+DK18)-DE18)</f>
        <v/>
      </c>
      <c r="R18">
        <f>1/((CY18+1)/(O18/1.6)+1/(P18/1.37)) + CY18/((CY18+1)/(O18/1.6) + CY18/(P18/1.37))</f>
        <v/>
      </c>
      <c r="S18">
        <f>(CT18*CW18)</f>
        <v/>
      </c>
      <c r="T18">
        <f>(DL18+(S18+2*0.95*5.67E-8*(((DL18+$B$7)+273)^4-(DL18+273)^4)-44100*H18)/(1.84*29.3*P18+8*0.95*5.67E-8*(DL18+273)^3))</f>
        <v/>
      </c>
      <c r="U18">
        <f>($C$7*DM18+$D$7*DN18+$E$7*T18)</f>
        <v/>
      </c>
      <c r="V18">
        <f>0.61365*exp(17.502*U18/(240.97+U18))</f>
        <v/>
      </c>
      <c r="W18">
        <f>(X18/Y18*100)</f>
        <v/>
      </c>
      <c r="X18">
        <f>DE18*(DJ18+DK18)/1000</f>
        <v/>
      </c>
      <c r="Y18">
        <f>0.61365*exp(17.502*DL18/(240.97+DL18))</f>
        <v/>
      </c>
      <c r="Z18">
        <f>(V18-DE18*(DJ18+DK18)/1000)</f>
        <v/>
      </c>
      <c r="AA18">
        <f>(-H18*44100)</f>
        <v/>
      </c>
      <c r="AB18">
        <f>2*29.3*P18*0.92*(DL18-U18)</f>
        <v/>
      </c>
      <c r="AC18">
        <f>2*0.95*5.67E-8*(((DL18+$B$7)+273)^4-(U18+273)^4)</f>
        <v/>
      </c>
      <c r="AD18">
        <f>S18+AC18+AA18+AB18</f>
        <v/>
      </c>
      <c r="AE18" t="n">
        <v>0</v>
      </c>
      <c r="AF18" t="n">
        <v>0</v>
      </c>
      <c r="AG18">
        <f>IF(AE18*$H$13&gt;=AI18,1.0,(AI18/(AI18-AE18*$H$13)))</f>
        <v/>
      </c>
      <c r="AH18">
        <f>(AG18-1)*100</f>
        <v/>
      </c>
      <c r="AI18">
        <f>MAX(0,($B$13+$C$13*DQ18)/(1+$D$13*DQ18)*DJ18/(DL18+273)*$E$13)</f>
        <v/>
      </c>
      <c r="AJ18" t="inlineStr">
        <is>
          <t>-</t>
        </is>
      </c>
      <c r="AK18" t="inlineStr">
        <is>
          <t>-</t>
        </is>
      </c>
      <c r="AL18" t="n">
        <v>0</v>
      </c>
      <c r="AM18" t="n">
        <v>0</v>
      </c>
      <c r="AN18">
        <f>1-AL18/AM18</f>
        <v/>
      </c>
      <c r="AO18" t="n">
        <v>0</v>
      </c>
      <c r="AP18" t="inlineStr">
        <is>
          <t>-</t>
        </is>
      </c>
      <c r="AQ18" t="inlineStr">
        <is>
          <t>-</t>
        </is>
      </c>
      <c r="AR18" t="n">
        <v>0</v>
      </c>
      <c r="AS18" t="n">
        <v>0</v>
      </c>
      <c r="AT18">
        <f>1-AR18/AS18</f>
        <v/>
      </c>
      <c r="AU18" t="n">
        <v>0.5</v>
      </c>
      <c r="AV18">
        <f>CU18</f>
        <v/>
      </c>
      <c r="AW18">
        <f>J18</f>
        <v/>
      </c>
      <c r="AX18">
        <f>AT18*AU18*AV18</f>
        <v/>
      </c>
      <c r="AY18">
        <f>(AW18-AO18)/AV18</f>
        <v/>
      </c>
      <c r="AZ18">
        <f>(AM18-AS18)/AS18</f>
        <v/>
      </c>
      <c r="BA18">
        <f>AL18/(AN18+AL18/AS18)</f>
        <v/>
      </c>
      <c r="BB18" t="inlineStr">
        <is>
          <t>-</t>
        </is>
      </c>
      <c r="BC18" t="n">
        <v>0</v>
      </c>
      <c r="BD18">
        <f>IF(BC18&lt;&gt;0, BC18, BA18)</f>
        <v/>
      </c>
      <c r="BE18">
        <f>1-BD18/AS18</f>
        <v/>
      </c>
      <c r="BF18">
        <f>(AS18-AR18)/(AS18-BD18)</f>
        <v/>
      </c>
      <c r="BG18">
        <f>(AM18-AS18)/(AM18-BD18)</f>
        <v/>
      </c>
      <c r="BH18">
        <f>(AS18-AR18)/(AS18-AL18)</f>
        <v/>
      </c>
      <c r="BI18">
        <f>(AM18-AS18)/(AM18-AL18)</f>
        <v/>
      </c>
      <c r="BJ18">
        <f>(BF18*BD18/AR18)</f>
        <v/>
      </c>
      <c r="BK18">
        <f>(1-BJ18)</f>
        <v/>
      </c>
      <c r="BL18" t="n">
        <v>229</v>
      </c>
      <c r="BM18" t="n">
        <v>290</v>
      </c>
      <c r="BN18" t="n">
        <v>1011.23</v>
      </c>
      <c r="BO18" t="n">
        <v>125</v>
      </c>
      <c r="BP18" t="n">
        <v>8125.4</v>
      </c>
      <c r="BQ18" t="n">
        <v>1006.99</v>
      </c>
      <c r="BR18" t="n">
        <v>4.24</v>
      </c>
      <c r="BS18" t="n">
        <v>300</v>
      </c>
      <c r="BT18" t="n">
        <v>19.1</v>
      </c>
      <c r="BU18" t="n">
        <v>1050.94976592848</v>
      </c>
      <c r="BV18" t="n">
        <v>2.96753520531848</v>
      </c>
      <c r="BW18" t="n">
        <v>-35.7187275448967</v>
      </c>
      <c r="BX18" t="n">
        <v>2.15538353963423</v>
      </c>
      <c r="BY18" t="n">
        <v>0.907476783931123</v>
      </c>
      <c r="BZ18" t="n">
        <v>-0.0053713552836485</v>
      </c>
      <c r="CA18" t="n">
        <v>290</v>
      </c>
      <c r="CB18" t="n">
        <v>995.53</v>
      </c>
      <c r="CC18" t="n">
        <v>615</v>
      </c>
      <c r="CD18" t="n">
        <v>8114.81</v>
      </c>
      <c r="CE18" t="n">
        <v>1006.93</v>
      </c>
      <c r="CF18" t="n">
        <v>-11.4</v>
      </c>
      <c r="CT18">
        <f>$B$11*DR18+$C$11*DS18+$F$11*DT18*(1-DW18)</f>
        <v/>
      </c>
      <c r="CU18">
        <f>CT18*CV18</f>
        <v/>
      </c>
      <c r="CV18">
        <f>($B$11*$D$9+$C$11*$D$9+$F$11*((EG18+DY18)/MAX(EG18+DY18+EH18, 0.1)*$I$9+EH18/MAX(EG18+DY18+EH18, 0.1)*$J$9))/($B$11+$C$11+$F$11)</f>
        <v/>
      </c>
      <c r="CW18">
        <f>($B$11*$K$9+$C$11*$K$9+$F$11*((EG18+DY18)/MAX(EG18+DY18+EH18, 0.1)*$P$9+EH18/MAX(EG18+DY18+EH18, 0.1)*$Q$9))/($B$11+$C$11+$F$11)</f>
        <v/>
      </c>
      <c r="CX18" t="n">
        <v>2</v>
      </c>
      <c r="CY18" t="n">
        <v>0.5</v>
      </c>
      <c r="CZ18" t="inlineStr">
        <is>
          <t>0: Broadleaf</t>
        </is>
      </c>
      <c r="DA18" t="n">
        <v>2</v>
      </c>
      <c r="DB18" t="n">
        <v>1792293299</v>
      </c>
      <c r="DC18" t="n">
        <v>294.8102</v>
      </c>
      <c r="DD18" t="n">
        <v>300.0106</v>
      </c>
      <c r="DE18" t="n">
        <v>17.18968</v>
      </c>
      <c r="DF18" t="n">
        <v>15.7048</v>
      </c>
      <c r="DG18" t="n">
        <v>295.073</v>
      </c>
      <c r="DH18" t="n">
        <v>17.33558</v>
      </c>
      <c r="DI18" t="n">
        <v>500.0378</v>
      </c>
      <c r="DJ18" t="n">
        <v>100.9446</v>
      </c>
      <c r="DK18" t="n">
        <v>0.10011858</v>
      </c>
      <c r="DL18" t="n">
        <v>24.85318</v>
      </c>
      <c r="DM18" t="n">
        <v>25.00496</v>
      </c>
      <c r="DN18" t="n">
        <v>999.9</v>
      </c>
      <c r="DO18" t="n">
        <v>0</v>
      </c>
      <c r="DP18" t="n">
        <v>0</v>
      </c>
      <c r="DQ18" t="n">
        <v>9991.74</v>
      </c>
      <c r="DR18" t="n">
        <v>0</v>
      </c>
      <c r="DS18" t="n">
        <v>7.1149</v>
      </c>
      <c r="DT18" t="n">
        <v>1499.95</v>
      </c>
      <c r="DU18" t="n">
        <v>0.973005</v>
      </c>
      <c r="DV18" t="n">
        <v>0.02699524</v>
      </c>
      <c r="DW18" t="n">
        <v>0</v>
      </c>
      <c r="DX18" t="n">
        <v>186.5054</v>
      </c>
      <c r="DY18" t="n">
        <v>4.99999</v>
      </c>
      <c r="DZ18" t="n">
        <v>2866.626</v>
      </c>
      <c r="EA18" t="n">
        <v>14882.1</v>
      </c>
      <c r="EB18" t="n">
        <v>36.6372</v>
      </c>
      <c r="EC18" t="n">
        <v>38.4498</v>
      </c>
      <c r="ED18" t="n">
        <v>37.2374</v>
      </c>
      <c r="EE18" t="n">
        <v>38.0248</v>
      </c>
      <c r="EF18" t="n">
        <v>38.5122</v>
      </c>
      <c r="EG18" t="n">
        <v>1454.592</v>
      </c>
      <c r="EH18" t="n">
        <v>40.36</v>
      </c>
      <c r="EI18" t="n">
        <v>0</v>
      </c>
      <c r="EJ18" t="n">
        <v>2433.90000009537</v>
      </c>
      <c r="EK18" t="n">
        <v>0</v>
      </c>
      <c r="EL18" t="n">
        <v>186.39396</v>
      </c>
      <c r="EM18" t="n">
        <v>-0.0143076870302137</v>
      </c>
      <c r="EN18" t="n">
        <v>6.73846155375952</v>
      </c>
      <c r="EO18" t="n">
        <v>2866.0848</v>
      </c>
      <c r="EP18" t="n">
        <v>15</v>
      </c>
      <c r="EQ18" t="n">
        <v>1792293249</v>
      </c>
      <c r="ER18" t="inlineStr">
        <is>
          <t>12:14:09</t>
        </is>
      </c>
      <c r="ES18" t="n">
        <v>1792293244</v>
      </c>
      <c r="ET18" t="n">
        <v>1792293249</v>
      </c>
      <c r="EU18" t="n">
        <v>24</v>
      </c>
      <c r="EV18" t="n">
        <v>0.017</v>
      </c>
      <c r="EW18" t="n">
        <v>0.001</v>
      </c>
      <c r="EX18" t="n">
        <v>-0.261</v>
      </c>
      <c r="EY18" t="n">
        <v>-0.164</v>
      </c>
      <c r="EZ18" t="n">
        <v>300</v>
      </c>
      <c r="FA18" t="n">
        <v>16</v>
      </c>
      <c r="FB18" t="n">
        <v>0.31</v>
      </c>
      <c r="FC18" t="n">
        <v>0.03</v>
      </c>
      <c r="FD18" t="n">
        <v>11.8814470522897</v>
      </c>
      <c r="FE18" t="n">
        <v>0.0641229255020225</v>
      </c>
      <c r="FF18" t="n">
        <v>0.0527743459502954</v>
      </c>
      <c r="FG18" t="n">
        <v>1</v>
      </c>
      <c r="FH18" t="n">
        <v>-5.203684</v>
      </c>
      <c r="FI18" t="n">
        <v>0.09198315789473829</v>
      </c>
      <c r="FJ18" t="n">
        <v>0.019082457231709</v>
      </c>
      <c r="FK18" t="n">
        <v>1</v>
      </c>
      <c r="FL18" t="n">
        <v>186.442117647059</v>
      </c>
      <c r="FM18" t="n">
        <v>-0.138212369832742</v>
      </c>
      <c r="FN18" t="n">
        <v>0.390478045229472</v>
      </c>
      <c r="FO18" t="n">
        <v>1</v>
      </c>
      <c r="FP18" t="n">
        <v>3</v>
      </c>
      <c r="FQ18" t="n">
        <v>3</v>
      </c>
      <c r="FR18" t="inlineStr">
        <is>
          <t>3/3</t>
        </is>
      </c>
      <c r="FS18" t="n">
        <v>100</v>
      </c>
      <c r="FT18" t="n">
        <v>100</v>
      </c>
      <c r="FU18" t="n">
        <v>-0.263</v>
      </c>
      <c r="FV18" t="n">
        <v>-0.1459</v>
      </c>
      <c r="FW18" t="n">
        <v>-0.298487029305104</v>
      </c>
      <c r="FX18" t="n">
        <v>-6.16732984266029e-05</v>
      </c>
      <c r="FY18" t="n">
        <v>6.19398071816742e-07</v>
      </c>
      <c r="FZ18" t="n">
        <v>3.19222985850634e-12</v>
      </c>
      <c r="GA18" t="n">
        <v>-0.0622217873286093</v>
      </c>
      <c r="GB18" t="n">
        <v>-0.0257783215012692</v>
      </c>
      <c r="GC18" t="n">
        <v>0.00133723821780375</v>
      </c>
      <c r="GD18" t="n">
        <v>-7.42160749481374e-06</v>
      </c>
      <c r="GE18" t="n">
        <v>7</v>
      </c>
      <c r="GF18" t="n">
        <v>2154</v>
      </c>
      <c r="GG18" t="n">
        <v>2</v>
      </c>
      <c r="GH18" t="n">
        <v>20</v>
      </c>
      <c r="GI18" t="n">
        <v>1</v>
      </c>
      <c r="GJ18" t="n">
        <v>0.9</v>
      </c>
      <c r="GK18" t="n">
        <v>0.827637</v>
      </c>
      <c r="GL18" t="n">
        <v>2.65137</v>
      </c>
      <c r="GM18" t="n">
        <v>1.65161</v>
      </c>
      <c r="GN18" t="n">
        <v>2.27539</v>
      </c>
      <c r="GO18" t="n">
        <v>1.5979</v>
      </c>
      <c r="GP18" t="n">
        <v>2.4292</v>
      </c>
      <c r="GQ18" t="n">
        <v>35.5451</v>
      </c>
      <c r="GR18" t="n">
        <v>23.7898</v>
      </c>
      <c r="GS18" t="n">
        <v>18</v>
      </c>
      <c r="GT18" t="n">
        <v>504.091</v>
      </c>
      <c r="GU18" t="n">
        <v>534.956</v>
      </c>
      <c r="GV18" t="n">
        <v>21.1523</v>
      </c>
      <c r="GW18" t="n">
        <v>29.2727</v>
      </c>
      <c r="GX18" t="n">
        <v>30.0002</v>
      </c>
      <c r="GY18" t="n">
        <v>29.4485</v>
      </c>
      <c r="GZ18" t="n">
        <v>29.5059</v>
      </c>
      <c r="HA18" t="n">
        <v>16.5656</v>
      </c>
      <c r="HB18" t="n">
        <v>26.4579</v>
      </c>
      <c r="HC18" t="n">
        <v>27.2107</v>
      </c>
      <c r="HD18" t="n">
        <v>21.1524</v>
      </c>
      <c r="HE18" t="n">
        <v>300</v>
      </c>
      <c r="HF18" t="n">
        <v>15.6983</v>
      </c>
      <c r="HG18" t="n">
        <v>98.1009</v>
      </c>
      <c r="HH18" t="n">
        <v>94.6031</v>
      </c>
    </row>
    <row r="19">
      <c r="A19" t="n">
        <v>3</v>
      </c>
      <c r="B19" t="n">
        <v>1792293423</v>
      </c>
      <c r="C19" t="n">
        <v>246</v>
      </c>
      <c r="D19" t="inlineStr">
        <is>
          <t>20261018 12:17:03</t>
        </is>
      </c>
      <c r="E19" t="inlineStr">
        <is>
          <t>12:17:03</t>
        </is>
      </c>
      <c r="F19" t="n">
        <v>5</v>
      </c>
      <c r="G19" t="n">
        <v>1792293419.5</v>
      </c>
      <c r="H19">
        <f>(I19)/1000</f>
        <v/>
      </c>
      <c r="I19">
        <f>1000*DI19*AG19*(DE19-DF19)/(100*CX19*(1000-AG19*DE19))</f>
        <v/>
      </c>
      <c r="J19">
        <f>DI19*AG19*(DD19-DC19*(1000-AG19*DF19)/(1000-AG19*DE19))/(100*CX19)</f>
        <v/>
      </c>
      <c r="K19">
        <f>DC19 - IF(AG19&gt;1, J19*CX19*100.0/(AI19), 0)</f>
        <v/>
      </c>
      <c r="L19">
        <f>((R19-H19/2)*K19-J19)/(R19+H19/2)</f>
        <v/>
      </c>
      <c r="M19">
        <f>L19*(DJ19+DK19)/1000.0</f>
        <v/>
      </c>
      <c r="N19">
        <f>(DC19 - IF(AG19&gt;1, J19*CX19*100.0/(AI19), 0))*(DJ19+DK19)/1000.0</f>
        <v/>
      </c>
      <c r="O19">
        <f>2.0/((1/Q19-1/P19)+SIGN(Q19)*SQRT((1/Q19-1/P19)*(1/Q19-1/P19) + 4*CY19/((CY19+1)*(CY19+1))*(2*1/Q19*1/P19-1/P19*1/P19)))</f>
        <v/>
      </c>
      <c r="P19">
        <f>IF(LEFT(CZ19,1)&lt;&gt;"0",IF(LEFT(CZ19,1)="1",3.0,DA19),$D$5+$E$5*(DQ19*DJ19/($K$5*1000))+$F$5*(DQ19*DJ19/($K$5*1000))*MAX(MIN(CX19,$J$5),$I$5)*MAX(MIN(CX19,$J$5),$I$5)+$G$5*MAX(MIN(CX19,$J$5),$I$5)*(DQ19*DJ19/($K$5*1000))+$H$5*(DQ19*DJ19/($K$5*1000))*(DQ19*DJ19/($K$5*1000)))</f>
        <v/>
      </c>
      <c r="Q19">
        <f>H19*(1000-(1000*0.61365*exp(17.502*U19/(240.97+U19))/(DJ19+DK19)+DE19)/2)/(1000*0.61365*exp(17.502*U19/(240.97+U19))/(DJ19+DK19)-DE19)</f>
        <v/>
      </c>
      <c r="R19">
        <f>1/((CY19+1)/(O19/1.6)+1/(P19/1.37)) + CY19/((CY19+1)/(O19/1.6) + CY19/(P19/1.37))</f>
        <v/>
      </c>
      <c r="S19">
        <f>(CT19*CW19)</f>
        <v/>
      </c>
      <c r="T19">
        <f>(DL19+(S19+2*0.95*5.67E-8*(((DL19+$B$7)+273)^4-(DL19+273)^4)-44100*H19)/(1.84*29.3*P19+8*0.95*5.67E-8*(DL19+273)^3))</f>
        <v/>
      </c>
      <c r="U19">
        <f>($C$7*DM19+$D$7*DN19+$E$7*T19)</f>
        <v/>
      </c>
      <c r="V19">
        <f>0.61365*exp(17.502*U19/(240.97+U19))</f>
        <v/>
      </c>
      <c r="W19">
        <f>(X19/Y19*100)</f>
        <v/>
      </c>
      <c r="X19">
        <f>DE19*(DJ19+DK19)/1000</f>
        <v/>
      </c>
      <c r="Y19">
        <f>0.61365*exp(17.502*DL19/(240.97+DL19))</f>
        <v/>
      </c>
      <c r="Z19">
        <f>(V19-DE19*(DJ19+DK19)/1000)</f>
        <v/>
      </c>
      <c r="AA19">
        <f>(-H19*44100)</f>
        <v/>
      </c>
      <c r="AB19">
        <f>2*29.3*P19*0.92*(DL19-U19)</f>
        <v/>
      </c>
      <c r="AC19">
        <f>2*0.95*5.67E-8*(((DL19+$B$7)+273)^4-(U19+273)^4)</f>
        <v/>
      </c>
      <c r="AD19">
        <f>S19+AC19+AA19+AB19</f>
        <v/>
      </c>
      <c r="AE19" t="n">
        <v>0</v>
      </c>
      <c r="AF19" t="n">
        <v>0</v>
      </c>
      <c r="AG19">
        <f>IF(AE19*$H$13&gt;=AI19,1.0,(AI19/(AI19-AE19*$H$13)))</f>
        <v/>
      </c>
      <c r="AH19">
        <f>(AG19-1)*100</f>
        <v/>
      </c>
      <c r="AI19">
        <f>MAX(0,($B$13+$C$13*DQ19)/(1+$D$13*DQ19)*DJ19/(DL19+273)*$E$13)</f>
        <v/>
      </c>
      <c r="AJ19" t="inlineStr">
        <is>
          <t>-</t>
        </is>
      </c>
      <c r="AK19" t="inlineStr">
        <is>
          <t>-</t>
        </is>
      </c>
      <c r="AL19" t="n">
        <v>0</v>
      </c>
      <c r="AM19" t="n">
        <v>0</v>
      </c>
      <c r="AN19">
        <f>1-AL19/AM19</f>
        <v/>
      </c>
      <c r="AO19" t="n">
        <v>0</v>
      </c>
      <c r="AP19" t="inlineStr">
        <is>
          <t>-</t>
        </is>
      </c>
      <c r="AQ19" t="inlineStr">
        <is>
          <t>-</t>
        </is>
      </c>
      <c r="AR19" t="n">
        <v>0</v>
      </c>
      <c r="AS19" t="n">
        <v>0</v>
      </c>
      <c r="AT19">
        <f>1-AR19/AS19</f>
        <v/>
      </c>
      <c r="AU19" t="n">
        <v>0.5</v>
      </c>
      <c r="AV19">
        <f>CU19</f>
        <v/>
      </c>
      <c r="AW19">
        <f>J19</f>
        <v/>
      </c>
      <c r="AX19">
        <f>AT19*AU19*AV19</f>
        <v/>
      </c>
      <c r="AY19">
        <f>(AW19-AO19)/AV19</f>
        <v/>
      </c>
      <c r="AZ19">
        <f>(AM19-AS19)/AS19</f>
        <v/>
      </c>
      <c r="BA19">
        <f>AL19/(AN19+AL19/AS19)</f>
        <v/>
      </c>
      <c r="BB19" t="inlineStr">
        <is>
          <t>-</t>
        </is>
      </c>
      <c r="BC19" t="n">
        <v>0</v>
      </c>
      <c r="BD19">
        <f>IF(BC19&lt;&gt;0, BC19, BA19)</f>
        <v/>
      </c>
      <c r="BE19">
        <f>1-BD19/AS19</f>
        <v/>
      </c>
      <c r="BF19">
        <f>(AS19-AR19)/(AS19-BD19)</f>
        <v/>
      </c>
      <c r="BG19">
        <f>(AM19-AS19)/(AM19-BD19)</f>
        <v/>
      </c>
      <c r="BH19">
        <f>(AS19-AR19)/(AS19-AL19)</f>
        <v/>
      </c>
      <c r="BI19">
        <f>(AM19-AS19)/(AM19-AL19)</f>
        <v/>
      </c>
      <c r="BJ19">
        <f>(BF19*BD19/AR19)</f>
        <v/>
      </c>
      <c r="BK19">
        <f>(1-BJ19)</f>
        <v/>
      </c>
      <c r="BL19" t="n">
        <v>229</v>
      </c>
      <c r="BM19" t="n">
        <v>290</v>
      </c>
      <c r="BN19" t="n">
        <v>1011.23</v>
      </c>
      <c r="BO19" t="n">
        <v>125</v>
      </c>
      <c r="BP19" t="n">
        <v>8125.4</v>
      </c>
      <c r="BQ19" t="n">
        <v>1006.99</v>
      </c>
      <c r="BR19" t="n">
        <v>4.24</v>
      </c>
      <c r="BS19" t="n">
        <v>300</v>
      </c>
      <c r="BT19" t="n">
        <v>19.1</v>
      </c>
      <c r="BU19" t="n">
        <v>1050.94976592848</v>
      </c>
      <c r="BV19" t="n">
        <v>2.96753520531848</v>
      </c>
      <c r="BW19" t="n">
        <v>-35.7187275448967</v>
      </c>
      <c r="BX19" t="n">
        <v>2.15538353963423</v>
      </c>
      <c r="BY19" t="n">
        <v>0.907476783931123</v>
      </c>
      <c r="BZ19" t="n">
        <v>-0.0053713552836485</v>
      </c>
      <c r="CA19" t="n">
        <v>290</v>
      </c>
      <c r="CB19" t="n">
        <v>995.53</v>
      </c>
      <c r="CC19" t="n">
        <v>615</v>
      </c>
      <c r="CD19" t="n">
        <v>8114.81</v>
      </c>
      <c r="CE19" t="n">
        <v>1006.93</v>
      </c>
      <c r="CF19" t="n">
        <v>-11.4</v>
      </c>
      <c r="CT19">
        <f>$B$11*DR19+$C$11*DS19+$F$11*DT19*(1-DW19)</f>
        <v/>
      </c>
      <c r="CU19">
        <f>CT19*CV19</f>
        <v/>
      </c>
      <c r="CV19">
        <f>($B$11*$D$9+$C$11*$D$9+$F$11*((EG19+DY19)/MAX(EG19+DY19+EH19, 0.1)*$I$9+EH19/MAX(EG19+DY19+EH19, 0.1)*$J$9))/($B$11+$C$11+$F$11)</f>
        <v/>
      </c>
      <c r="CW19">
        <f>($B$11*$K$9+$C$11*$K$9+$F$11*((EG19+DY19)/MAX(EG19+DY19+EH19, 0.1)*$P$9+EH19/MAX(EG19+DY19+EH19, 0.1)*$Q$9))/($B$11+$C$11+$F$11)</f>
        <v/>
      </c>
      <c r="CX19" t="n">
        <v>2</v>
      </c>
      <c r="CY19" t="n">
        <v>0.5</v>
      </c>
      <c r="CZ19" t="inlineStr">
        <is>
          <t>0: Broadleaf</t>
        </is>
      </c>
      <c r="DA19" t="n">
        <v>2</v>
      </c>
      <c r="DB19" t="n">
        <v>1792293419.5</v>
      </c>
      <c r="DC19" t="n">
        <v>196.7675</v>
      </c>
      <c r="DD19" t="n">
        <v>200.038166666667</v>
      </c>
      <c r="DE19" t="n">
        <v>17.1945833333333</v>
      </c>
      <c r="DF19" t="n">
        <v>15.6638333333333</v>
      </c>
      <c r="DG19" t="n">
        <v>197.082666666667</v>
      </c>
      <c r="DH19" t="n">
        <v>17.3424</v>
      </c>
      <c r="DI19" t="n">
        <v>500.058666666667</v>
      </c>
      <c r="DJ19" t="n">
        <v>100.946166666667</v>
      </c>
      <c r="DK19" t="n">
        <v>0.100176566666667</v>
      </c>
      <c r="DL19" t="n">
        <v>24.9146666666667</v>
      </c>
      <c r="DM19" t="n">
        <v>25.0153333333333</v>
      </c>
      <c r="DN19" t="n">
        <v>999.9</v>
      </c>
      <c r="DO19" t="n">
        <v>0</v>
      </c>
      <c r="DP19" t="n">
        <v>0</v>
      </c>
      <c r="DQ19" t="n">
        <v>9968.125</v>
      </c>
      <c r="DR19" t="n">
        <v>0</v>
      </c>
      <c r="DS19" t="n">
        <v>7.22877166666667</v>
      </c>
      <c r="DT19" t="n">
        <v>1500.02833333333</v>
      </c>
      <c r="DU19" t="n">
        <v>0.973003833333333</v>
      </c>
      <c r="DV19" t="n">
        <v>0.0269960666666667</v>
      </c>
      <c r="DW19" t="n">
        <v>0</v>
      </c>
      <c r="DX19" t="n">
        <v>177.7045</v>
      </c>
      <c r="DY19" t="n">
        <v>4.99999</v>
      </c>
      <c r="DZ19" t="n">
        <v>2767.635</v>
      </c>
      <c r="EA19" t="n">
        <v>14882.8666666667</v>
      </c>
      <c r="EB19" t="n">
        <v>38.8956666666667</v>
      </c>
      <c r="EC19" t="n">
        <v>41.1248333333333</v>
      </c>
      <c r="ED19" t="n">
        <v>39.4266666666667</v>
      </c>
      <c r="EE19" t="n">
        <v>41.8123333333333</v>
      </c>
      <c r="EF19" t="n">
        <v>40.8956666666667</v>
      </c>
      <c r="EG19" t="n">
        <v>1454.66833333333</v>
      </c>
      <c r="EH19" t="n">
        <v>40.36</v>
      </c>
      <c r="EI19" t="n">
        <v>0</v>
      </c>
      <c r="EJ19" t="n">
        <v>2555.09999990463</v>
      </c>
      <c r="EK19" t="n">
        <v>0</v>
      </c>
      <c r="EL19" t="n">
        <v>177.76088</v>
      </c>
      <c r="EM19" t="n">
        <v>-1.35346152160542</v>
      </c>
      <c r="EN19" t="n">
        <v>-4.65538461842938</v>
      </c>
      <c r="EO19" t="n">
        <v>2767.9888</v>
      </c>
      <c r="EP19" t="n">
        <v>15</v>
      </c>
      <c r="EQ19" t="n">
        <v>1792293367</v>
      </c>
      <c r="ER19" t="inlineStr">
        <is>
          <t>12:16:07</t>
        </is>
      </c>
      <c r="ES19" t="n">
        <v>1792293367</v>
      </c>
      <c r="ET19" t="n">
        <v>1792293367</v>
      </c>
      <c r="EU19" t="n">
        <v>25</v>
      </c>
      <c r="EV19" t="n">
        <v>-0.029</v>
      </c>
      <c r="EW19" t="n">
        <v>-0.002</v>
      </c>
      <c r="EX19" t="n">
        <v>-0.315</v>
      </c>
      <c r="EY19" t="n">
        <v>-0.167</v>
      </c>
      <c r="EZ19" t="n">
        <v>200</v>
      </c>
      <c r="FA19" t="n">
        <v>16</v>
      </c>
      <c r="FB19" t="n">
        <v>0.4</v>
      </c>
      <c r="FC19" t="n">
        <v>0.04</v>
      </c>
      <c r="FD19" t="n">
        <v>7.30024106892868</v>
      </c>
      <c r="FE19" t="n">
        <v>0.276898053631117</v>
      </c>
      <c r="FF19" t="n">
        <v>0.08522842526472769</v>
      </c>
      <c r="FG19" t="n">
        <v>1</v>
      </c>
      <c r="FH19" t="n">
        <v>-3.2328485</v>
      </c>
      <c r="FI19" t="n">
        <v>-0.183006766917294</v>
      </c>
      <c r="FJ19" t="n">
        <v>0.0366207948131933</v>
      </c>
      <c r="FK19" t="n">
        <v>1</v>
      </c>
      <c r="FL19" t="n">
        <v>177.744705882353</v>
      </c>
      <c r="FM19" t="n">
        <v>0.12806723477913</v>
      </c>
      <c r="FN19" t="n">
        <v>0.385579970297744</v>
      </c>
      <c r="FO19" t="n">
        <v>1</v>
      </c>
      <c r="FP19" t="n">
        <v>3</v>
      </c>
      <c r="FQ19" t="n">
        <v>3</v>
      </c>
      <c r="FR19" t="inlineStr">
        <is>
          <t>3/3</t>
        </is>
      </c>
      <c r="FS19" t="n">
        <v>100</v>
      </c>
      <c r="FT19" t="n">
        <v>100</v>
      </c>
      <c r="FU19" t="n">
        <v>-0.315</v>
      </c>
      <c r="FV19" t="n">
        <v>-0.1479</v>
      </c>
      <c r="FW19" t="n">
        <v>-0.327257171256208</v>
      </c>
      <c r="FX19" t="n">
        <v>-6.16732984266029e-05</v>
      </c>
      <c r="FY19" t="n">
        <v>6.19398071816742e-07</v>
      </c>
      <c r="FZ19" t="n">
        <v>3.19222985850634e-12</v>
      </c>
      <c r="GA19" t="n">
        <v>-0.0642338664280402</v>
      </c>
      <c r="GB19" t="n">
        <v>-0.0257783215012692</v>
      </c>
      <c r="GC19" t="n">
        <v>0.00133723821780375</v>
      </c>
      <c r="GD19" t="n">
        <v>-7.42160749481374e-06</v>
      </c>
      <c r="GE19" t="n">
        <v>7</v>
      </c>
      <c r="GF19" t="n">
        <v>2154</v>
      </c>
      <c r="GG19" t="n">
        <v>2</v>
      </c>
      <c r="GH19" t="n">
        <v>20</v>
      </c>
      <c r="GI19" t="n">
        <v>0.9</v>
      </c>
      <c r="GJ19" t="n">
        <v>0.9</v>
      </c>
      <c r="GK19" t="n">
        <v>0.609131</v>
      </c>
      <c r="GL19" t="n">
        <v>2.66357</v>
      </c>
      <c r="GM19" t="n">
        <v>1.65161</v>
      </c>
      <c r="GN19" t="n">
        <v>2.27539</v>
      </c>
      <c r="GO19" t="n">
        <v>1.5979</v>
      </c>
      <c r="GP19" t="n">
        <v>2.51099</v>
      </c>
      <c r="GQ19" t="n">
        <v>35.6613</v>
      </c>
      <c r="GR19" t="n">
        <v>23.7898</v>
      </c>
      <c r="GS19" t="n">
        <v>18</v>
      </c>
      <c r="GT19" t="n">
        <v>503.816</v>
      </c>
      <c r="GU19" t="n">
        <v>534.293</v>
      </c>
      <c r="GV19" t="n">
        <v>21.027</v>
      </c>
      <c r="GW19" t="n">
        <v>29.2966</v>
      </c>
      <c r="GX19" t="n">
        <v>30.0003</v>
      </c>
      <c r="GY19" t="n">
        <v>29.4655</v>
      </c>
      <c r="GZ19" t="n">
        <v>29.5235</v>
      </c>
      <c r="HA19" t="n">
        <v>12.1637</v>
      </c>
      <c r="HB19" t="n">
        <v>26.459</v>
      </c>
      <c r="HC19" t="n">
        <v>26.8453</v>
      </c>
      <c r="HD19" t="n">
        <v>21.0173</v>
      </c>
      <c r="HE19" t="n">
        <v>200</v>
      </c>
      <c r="HF19" t="n">
        <v>15.6718</v>
      </c>
      <c r="HG19" t="n">
        <v>98.09610000000001</v>
      </c>
      <c r="HH19" t="n">
        <v>94.5963</v>
      </c>
    </row>
    <row r="20">
      <c r="A20" t="n">
        <v>4</v>
      </c>
      <c r="B20" t="n">
        <v>1792293544</v>
      </c>
      <c r="C20" t="n">
        <v>367</v>
      </c>
      <c r="D20" t="inlineStr">
        <is>
          <t>20261018 12:19:04</t>
        </is>
      </c>
      <c r="E20" t="inlineStr">
        <is>
          <t>12:19:04</t>
        </is>
      </c>
      <c r="F20" t="n">
        <v>5</v>
      </c>
      <c r="G20" t="n">
        <v>1792293541</v>
      </c>
      <c r="H20">
        <f>(I20)/1000</f>
        <v/>
      </c>
      <c r="I20">
        <f>1000*DI20*AG20*(DE20-DF20)/(100*CX20*(1000-AG20*DE20))</f>
        <v/>
      </c>
      <c r="J20">
        <f>DI20*AG20*(DD20-DC20*(1000-AG20*DF20)/(1000-AG20*DE20))/(100*CX20)</f>
        <v/>
      </c>
      <c r="K20">
        <f>DC20 - IF(AG20&gt;1, J20*CX20*100.0/(AI20), 0)</f>
        <v/>
      </c>
      <c r="L20">
        <f>((R20-H20/2)*K20-J20)/(R20+H20/2)</f>
        <v/>
      </c>
      <c r="M20">
        <f>L20*(DJ20+DK20)/1000.0</f>
        <v/>
      </c>
      <c r="N20">
        <f>(DC20 - IF(AG20&gt;1, J20*CX20*100.0/(AI20), 0))*(DJ20+DK20)/1000.0</f>
        <v/>
      </c>
      <c r="O20">
        <f>2.0/((1/Q20-1/P20)+SIGN(Q20)*SQRT((1/Q20-1/P20)*(1/Q20-1/P20) + 4*CY20/((CY20+1)*(CY20+1))*(2*1/Q20*1/P20-1/P20*1/P20)))</f>
        <v/>
      </c>
      <c r="P20">
        <f>IF(LEFT(CZ20,1)&lt;&gt;"0",IF(LEFT(CZ20,1)="1",3.0,DA20),$D$5+$E$5*(DQ20*DJ20/($K$5*1000))+$F$5*(DQ20*DJ20/($K$5*1000))*MAX(MIN(CX20,$J$5),$I$5)*MAX(MIN(CX20,$J$5),$I$5)+$G$5*MAX(MIN(CX20,$J$5),$I$5)*(DQ20*DJ20/($K$5*1000))+$H$5*(DQ20*DJ20/($K$5*1000))*(DQ20*DJ20/($K$5*1000)))</f>
        <v/>
      </c>
      <c r="Q20">
        <f>H20*(1000-(1000*0.61365*exp(17.502*U20/(240.97+U20))/(DJ20+DK20)+DE20)/2)/(1000*0.61365*exp(17.502*U20/(240.97+U20))/(DJ20+DK20)-DE20)</f>
        <v/>
      </c>
      <c r="R20">
        <f>1/((CY20+1)/(O20/1.6)+1/(P20/1.37)) + CY20/((CY20+1)/(O20/1.6) + CY20/(P20/1.37))</f>
        <v/>
      </c>
      <c r="S20">
        <f>(CT20*CW20)</f>
        <v/>
      </c>
      <c r="T20">
        <f>(DL20+(S20+2*0.95*5.67E-8*(((DL20+$B$7)+273)^4-(DL20+273)^4)-44100*H20)/(1.84*29.3*P20+8*0.95*5.67E-8*(DL20+273)^3))</f>
        <v/>
      </c>
      <c r="U20">
        <f>($C$7*DM20+$D$7*DN20+$E$7*T20)</f>
        <v/>
      </c>
      <c r="V20">
        <f>0.61365*exp(17.502*U20/(240.97+U20))</f>
        <v/>
      </c>
      <c r="W20">
        <f>(X20/Y20*100)</f>
        <v/>
      </c>
      <c r="X20">
        <f>DE20*(DJ20+DK20)/1000</f>
        <v/>
      </c>
      <c r="Y20">
        <f>0.61365*exp(17.502*DL20/(240.97+DL20))</f>
        <v/>
      </c>
      <c r="Z20">
        <f>(V20-DE20*(DJ20+DK20)/1000)</f>
        <v/>
      </c>
      <c r="AA20">
        <f>(-H20*44100)</f>
        <v/>
      </c>
      <c r="AB20">
        <f>2*29.3*P20*0.92*(DL20-U20)</f>
        <v/>
      </c>
      <c r="AC20">
        <f>2*0.95*5.67E-8*(((DL20+$B$7)+273)^4-(U20+273)^4)</f>
        <v/>
      </c>
      <c r="AD20">
        <f>S20+AC20+AA20+AB20</f>
        <v/>
      </c>
      <c r="AE20" t="n">
        <v>0</v>
      </c>
      <c r="AF20" t="n">
        <v>0</v>
      </c>
      <c r="AG20">
        <f>IF(AE20*$H$13&gt;=AI20,1.0,(AI20/(AI20-AE20*$H$13)))</f>
        <v/>
      </c>
      <c r="AH20">
        <f>(AG20-1)*100</f>
        <v/>
      </c>
      <c r="AI20">
        <f>MAX(0,($B$13+$C$13*DQ20)/(1+$D$13*DQ20)*DJ20/(DL20+273)*$E$13)</f>
        <v/>
      </c>
      <c r="AJ20" t="inlineStr">
        <is>
          <t>-</t>
        </is>
      </c>
      <c r="AK20" t="inlineStr">
        <is>
          <t>-</t>
        </is>
      </c>
      <c r="AL20" t="n">
        <v>0</v>
      </c>
      <c r="AM20" t="n">
        <v>0</v>
      </c>
      <c r="AN20">
        <f>1-AL20/AM20</f>
        <v/>
      </c>
      <c r="AO20" t="n">
        <v>0</v>
      </c>
      <c r="AP20" t="inlineStr">
        <is>
          <t>-</t>
        </is>
      </c>
      <c r="AQ20" t="inlineStr">
        <is>
          <t>-</t>
        </is>
      </c>
      <c r="AR20" t="n">
        <v>0</v>
      </c>
      <c r="AS20" t="n">
        <v>0</v>
      </c>
      <c r="AT20">
        <f>1-AR20/AS20</f>
        <v/>
      </c>
      <c r="AU20" t="n">
        <v>0.5</v>
      </c>
      <c r="AV20">
        <f>CU20</f>
        <v/>
      </c>
      <c r="AW20">
        <f>J20</f>
        <v/>
      </c>
      <c r="AX20">
        <f>AT20*AU20*AV20</f>
        <v/>
      </c>
      <c r="AY20">
        <f>(AW20-AO20)/AV20</f>
        <v/>
      </c>
      <c r="AZ20">
        <f>(AM20-AS20)/AS20</f>
        <v/>
      </c>
      <c r="BA20">
        <f>AL20/(AN20+AL20/AS20)</f>
        <v/>
      </c>
      <c r="BB20" t="inlineStr">
        <is>
          <t>-</t>
        </is>
      </c>
      <c r="BC20" t="n">
        <v>0</v>
      </c>
      <c r="BD20">
        <f>IF(BC20&lt;&gt;0, BC20, BA20)</f>
        <v/>
      </c>
      <c r="BE20">
        <f>1-BD20/AS20</f>
        <v/>
      </c>
      <c r="BF20">
        <f>(AS20-AR20)/(AS20-BD20)</f>
        <v/>
      </c>
      <c r="BG20">
        <f>(AM20-AS20)/(AM20-BD20)</f>
        <v/>
      </c>
      <c r="BH20">
        <f>(AS20-AR20)/(AS20-AL20)</f>
        <v/>
      </c>
      <c r="BI20">
        <f>(AM20-AS20)/(AM20-AL20)</f>
        <v/>
      </c>
      <c r="BJ20">
        <f>(BF20*BD20/AR20)</f>
        <v/>
      </c>
      <c r="BK20">
        <f>(1-BJ20)</f>
        <v/>
      </c>
      <c r="BL20" t="n">
        <v>229</v>
      </c>
      <c r="BM20" t="n">
        <v>290</v>
      </c>
      <c r="BN20" t="n">
        <v>1011.23</v>
      </c>
      <c r="BO20" t="n">
        <v>125</v>
      </c>
      <c r="BP20" t="n">
        <v>8125.4</v>
      </c>
      <c r="BQ20" t="n">
        <v>1006.99</v>
      </c>
      <c r="BR20" t="n">
        <v>4.24</v>
      </c>
      <c r="BS20" t="n">
        <v>300</v>
      </c>
      <c r="BT20" t="n">
        <v>19.1</v>
      </c>
      <c r="BU20" t="n">
        <v>1050.94976592848</v>
      </c>
      <c r="BV20" t="n">
        <v>2.96753520531848</v>
      </c>
      <c r="BW20" t="n">
        <v>-35.7187275448967</v>
      </c>
      <c r="BX20" t="n">
        <v>2.15538353963423</v>
      </c>
      <c r="BY20" t="n">
        <v>0.907476783931123</v>
      </c>
      <c r="BZ20" t="n">
        <v>-0.0053713552836485</v>
      </c>
      <c r="CA20" t="n">
        <v>290</v>
      </c>
      <c r="CB20" t="n">
        <v>995.53</v>
      </c>
      <c r="CC20" t="n">
        <v>615</v>
      </c>
      <c r="CD20" t="n">
        <v>8114.81</v>
      </c>
      <c r="CE20" t="n">
        <v>1006.93</v>
      </c>
      <c r="CF20" t="n">
        <v>-11.4</v>
      </c>
      <c r="CT20">
        <f>$B$11*DR20+$C$11*DS20+$F$11*DT20*(1-DW20)</f>
        <v/>
      </c>
      <c r="CU20">
        <f>CT20*CV20</f>
        <v/>
      </c>
      <c r="CV20">
        <f>($B$11*$D$9+$C$11*$D$9+$F$11*((EG20+DY20)/MAX(EG20+DY20+EH20, 0.1)*$I$9+EH20/MAX(EG20+DY20+EH20, 0.1)*$J$9))/($B$11+$C$11+$F$11)</f>
        <v/>
      </c>
      <c r="CW20">
        <f>($B$11*$K$9+$C$11*$K$9+$F$11*((EG20+DY20)/MAX(EG20+DY20+EH20, 0.1)*$P$9+EH20/MAX(EG20+DY20+EH20, 0.1)*$Q$9))/($B$11+$C$11+$F$11)</f>
        <v/>
      </c>
      <c r="CX20" t="n">
        <v>2</v>
      </c>
      <c r="CY20" t="n">
        <v>0.5</v>
      </c>
      <c r="CZ20" t="inlineStr">
        <is>
          <t>0: Broadleaf</t>
        </is>
      </c>
      <c r="DA20" t="n">
        <v>2</v>
      </c>
      <c r="DB20" t="n">
        <v>1792293541</v>
      </c>
      <c r="DC20" t="n">
        <v>98.96364</v>
      </c>
      <c r="DD20" t="n">
        <v>100.01078</v>
      </c>
      <c r="DE20" t="n">
        <v>17.27824</v>
      </c>
      <c r="DF20" t="n">
        <v>15.71164</v>
      </c>
      <c r="DG20" t="n">
        <v>99.29016</v>
      </c>
      <c r="DH20" t="n">
        <v>17.42436</v>
      </c>
      <c r="DI20" t="n">
        <v>499.9978</v>
      </c>
      <c r="DJ20" t="n">
        <v>100.9434</v>
      </c>
      <c r="DK20" t="n">
        <v>0.09996956</v>
      </c>
      <c r="DL20" t="n">
        <v>24.92834</v>
      </c>
      <c r="DM20" t="n">
        <v>24.99708</v>
      </c>
      <c r="DN20" t="n">
        <v>999.9</v>
      </c>
      <c r="DO20" t="n">
        <v>0</v>
      </c>
      <c r="DP20" t="n">
        <v>0</v>
      </c>
      <c r="DQ20" t="n">
        <v>10002.26</v>
      </c>
      <c r="DR20" t="n">
        <v>0</v>
      </c>
      <c r="DS20" t="n">
        <v>7.249008</v>
      </c>
      <c r="DT20" t="n">
        <v>1500</v>
      </c>
      <c r="DU20" t="n">
        <v>0.973005</v>
      </c>
      <c r="DV20" t="n">
        <v>0.02699522</v>
      </c>
      <c r="DW20" t="n">
        <v>0</v>
      </c>
      <c r="DX20" t="n">
        <v>175.0948</v>
      </c>
      <c r="DY20" t="n">
        <v>4.99999</v>
      </c>
      <c r="DZ20" t="n">
        <v>2722.274</v>
      </c>
      <c r="EA20" t="n">
        <v>14882.6</v>
      </c>
      <c r="EB20" t="n">
        <v>38.375</v>
      </c>
      <c r="EC20" t="n">
        <v>39.6746</v>
      </c>
      <c r="ED20" t="n">
        <v>38.937</v>
      </c>
      <c r="EE20" t="n">
        <v>39.25</v>
      </c>
      <c r="EF20" t="n">
        <v>39.875</v>
      </c>
      <c r="EG20" t="n">
        <v>1454.64</v>
      </c>
      <c r="EH20" t="n">
        <v>40.36</v>
      </c>
      <c r="EI20" t="n">
        <v>0</v>
      </c>
      <c r="EJ20" t="n">
        <v>2675.70000004768</v>
      </c>
      <c r="EK20" t="n">
        <v>0</v>
      </c>
      <c r="EL20" t="n">
        <v>175.093961538462</v>
      </c>
      <c r="EM20" t="n">
        <v>-1.45097435214224</v>
      </c>
      <c r="EN20" t="n">
        <v>-7.99692307477232</v>
      </c>
      <c r="EO20" t="n">
        <v>2723.06346153846</v>
      </c>
      <c r="EP20" t="n">
        <v>15</v>
      </c>
      <c r="EQ20" t="n">
        <v>1792293493</v>
      </c>
      <c r="ER20" t="inlineStr">
        <is>
          <t>12:18:13</t>
        </is>
      </c>
      <c r="ES20" t="n">
        <v>1792293484</v>
      </c>
      <c r="ET20" t="n">
        <v>1792293493</v>
      </c>
      <c r="EU20" t="n">
        <v>26</v>
      </c>
      <c r="EV20" t="n">
        <v>0.001</v>
      </c>
      <c r="EW20" t="n">
        <v>0.001</v>
      </c>
      <c r="EX20" t="n">
        <v>-0.326</v>
      </c>
      <c r="EY20" t="n">
        <v>-0.167</v>
      </c>
      <c r="EZ20" t="n">
        <v>100</v>
      </c>
      <c r="FA20" t="n">
        <v>16</v>
      </c>
      <c r="FB20" t="n">
        <v>0.47</v>
      </c>
      <c r="FC20" t="n">
        <v>0.08</v>
      </c>
      <c r="FD20" t="n">
        <v>2.13844007391144</v>
      </c>
      <c r="FE20" t="n">
        <v>0.276724149374824</v>
      </c>
      <c r="FF20" t="n">
        <v>0.0662156266121961</v>
      </c>
      <c r="FG20" t="n">
        <v>1</v>
      </c>
      <c r="FH20" t="n">
        <v>-1.01107085</v>
      </c>
      <c r="FI20" t="n">
        <v>-0.218403744360899</v>
      </c>
      <c r="FJ20" t="n">
        <v>0.0260528966245118</v>
      </c>
      <c r="FK20" t="n">
        <v>1</v>
      </c>
      <c r="FL20" t="n">
        <v>175.200794117647</v>
      </c>
      <c r="FM20" t="n">
        <v>-0.831122992675734</v>
      </c>
      <c r="FN20" t="n">
        <v>0.326055460765206</v>
      </c>
      <c r="FO20" t="n">
        <v>1</v>
      </c>
      <c r="FP20" t="n">
        <v>3</v>
      </c>
      <c r="FQ20" t="n">
        <v>3</v>
      </c>
      <c r="FR20" t="inlineStr">
        <is>
          <t>3/3</t>
        </is>
      </c>
      <c r="FS20" t="n">
        <v>100</v>
      </c>
      <c r="FT20" t="n">
        <v>100</v>
      </c>
      <c r="FU20" t="n">
        <v>-0.327</v>
      </c>
      <c r="FV20" t="n">
        <v>-0.1462</v>
      </c>
      <c r="FW20" t="n">
        <v>-0.326519129688294</v>
      </c>
      <c r="FX20" t="n">
        <v>-6.16732984266029e-05</v>
      </c>
      <c r="FY20" t="n">
        <v>6.19398071816742e-07</v>
      </c>
      <c r="FZ20" t="n">
        <v>3.19222985850634e-12</v>
      </c>
      <c r="GA20" t="n">
        <v>-0.0636893780871931</v>
      </c>
      <c r="GB20" t="n">
        <v>-0.0257783215012692</v>
      </c>
      <c r="GC20" t="n">
        <v>0.00133723821780375</v>
      </c>
      <c r="GD20" t="n">
        <v>-7.42160749481374e-06</v>
      </c>
      <c r="GE20" t="n">
        <v>7</v>
      </c>
      <c r="GF20" t="n">
        <v>2154</v>
      </c>
      <c r="GG20" t="n">
        <v>2</v>
      </c>
      <c r="GH20" t="n">
        <v>20</v>
      </c>
      <c r="GI20" t="n">
        <v>1</v>
      </c>
      <c r="GJ20" t="n">
        <v>0.8</v>
      </c>
      <c r="GK20" t="n">
        <v>0.380859</v>
      </c>
      <c r="GL20" t="n">
        <v>2.68311</v>
      </c>
      <c r="GM20" t="n">
        <v>1.65161</v>
      </c>
      <c r="GN20" t="n">
        <v>2.27661</v>
      </c>
      <c r="GO20" t="n">
        <v>1.5979</v>
      </c>
      <c r="GP20" t="n">
        <v>2.44995</v>
      </c>
      <c r="GQ20" t="n">
        <v>35.801</v>
      </c>
      <c r="GR20" t="n">
        <v>23.781</v>
      </c>
      <c r="GS20" t="n">
        <v>18</v>
      </c>
      <c r="GT20" t="n">
        <v>503.911</v>
      </c>
      <c r="GU20" t="n">
        <v>533.292</v>
      </c>
      <c r="GV20" t="n">
        <v>20.8113</v>
      </c>
      <c r="GW20" t="n">
        <v>29.3217</v>
      </c>
      <c r="GX20" t="n">
        <v>30.0001</v>
      </c>
      <c r="GY20" t="n">
        <v>29.485</v>
      </c>
      <c r="GZ20" t="n">
        <v>29.5412</v>
      </c>
      <c r="HA20" t="n">
        <v>7.60956</v>
      </c>
      <c r="HB20" t="n">
        <v>26.244</v>
      </c>
      <c r="HC20" t="n">
        <v>26.4685</v>
      </c>
      <c r="HD20" t="n">
        <v>20.8158</v>
      </c>
      <c r="HE20" t="n">
        <v>100</v>
      </c>
      <c r="HF20" t="n">
        <v>15.6823</v>
      </c>
      <c r="HG20" t="n">
        <v>98.09099999999999</v>
      </c>
      <c r="HH20" t="n">
        <v>94.59</v>
      </c>
    </row>
    <row r="21">
      <c r="A21" t="n">
        <v>5</v>
      </c>
      <c r="B21" t="n">
        <v>1792293667</v>
      </c>
      <c r="C21" t="n">
        <v>490</v>
      </c>
      <c r="D21" t="inlineStr">
        <is>
          <t>20261018 12:21:07</t>
        </is>
      </c>
      <c r="E21" t="inlineStr">
        <is>
          <t>12:21:07</t>
        </is>
      </c>
      <c r="F21" t="n">
        <v>5</v>
      </c>
      <c r="G21" t="n">
        <v>1792293663.5</v>
      </c>
      <c r="H21">
        <f>(I21)/1000</f>
        <v/>
      </c>
      <c r="I21">
        <f>1000*DI21*AG21*(DE21-DF21)/(100*CX21*(1000-AG21*DE21))</f>
        <v/>
      </c>
      <c r="J21">
        <f>DI21*AG21*(DD21-DC21*(1000-AG21*DF21)/(1000-AG21*DE21))/(100*CX21)</f>
        <v/>
      </c>
      <c r="K21">
        <f>DC21 - IF(AG21&gt;1, J21*CX21*100.0/(AI21), 0)</f>
        <v/>
      </c>
      <c r="L21">
        <f>((R21-H21/2)*K21-J21)/(R21+H21/2)</f>
        <v/>
      </c>
      <c r="M21">
        <f>L21*(DJ21+DK21)/1000.0</f>
        <v/>
      </c>
      <c r="N21">
        <f>(DC21 - IF(AG21&gt;1, J21*CX21*100.0/(AI21), 0))*(DJ21+DK21)/1000.0</f>
        <v/>
      </c>
      <c r="O21">
        <f>2.0/((1/Q21-1/P21)+SIGN(Q21)*SQRT((1/Q21-1/P21)*(1/Q21-1/P21) + 4*CY21/((CY21+1)*(CY21+1))*(2*1/Q21*1/P21-1/P21*1/P21)))</f>
        <v/>
      </c>
      <c r="P21">
        <f>IF(LEFT(CZ21,1)&lt;&gt;"0",IF(LEFT(CZ21,1)="1",3.0,DA21),$D$5+$E$5*(DQ21*DJ21/($K$5*1000))+$F$5*(DQ21*DJ21/($K$5*1000))*MAX(MIN(CX21,$J$5),$I$5)*MAX(MIN(CX21,$J$5),$I$5)+$G$5*MAX(MIN(CX21,$J$5),$I$5)*(DQ21*DJ21/($K$5*1000))+$H$5*(DQ21*DJ21/($K$5*1000))*(DQ21*DJ21/($K$5*1000)))</f>
        <v/>
      </c>
      <c r="Q21">
        <f>H21*(1000-(1000*0.61365*exp(17.502*U21/(240.97+U21))/(DJ21+DK21)+DE21)/2)/(1000*0.61365*exp(17.502*U21/(240.97+U21))/(DJ21+DK21)-DE21)</f>
        <v/>
      </c>
      <c r="R21">
        <f>1/((CY21+1)/(O21/1.6)+1/(P21/1.37)) + CY21/((CY21+1)/(O21/1.6) + CY21/(P21/1.37))</f>
        <v/>
      </c>
      <c r="S21">
        <f>(CT21*CW21)</f>
        <v/>
      </c>
      <c r="T21">
        <f>(DL21+(S21+2*0.95*5.67E-8*(((DL21+$B$7)+273)^4-(DL21+273)^4)-44100*H21)/(1.84*29.3*P21+8*0.95*5.67E-8*(DL21+273)^3))</f>
        <v/>
      </c>
      <c r="U21">
        <f>($C$7*DM21+$D$7*DN21+$E$7*T21)</f>
        <v/>
      </c>
      <c r="V21">
        <f>0.61365*exp(17.502*U21/(240.97+U21))</f>
        <v/>
      </c>
      <c r="W21">
        <f>(X21/Y21*100)</f>
        <v/>
      </c>
      <c r="X21">
        <f>DE21*(DJ21+DK21)/1000</f>
        <v/>
      </c>
      <c r="Y21">
        <f>0.61365*exp(17.502*DL21/(240.97+DL21))</f>
        <v/>
      </c>
      <c r="Z21">
        <f>(V21-DE21*(DJ21+DK21)/1000)</f>
        <v/>
      </c>
      <c r="AA21">
        <f>(-H21*44100)</f>
        <v/>
      </c>
      <c r="AB21">
        <f>2*29.3*P21*0.92*(DL21-U21)</f>
        <v/>
      </c>
      <c r="AC21">
        <f>2*0.95*5.67E-8*(((DL21+$B$7)+273)^4-(U21+273)^4)</f>
        <v/>
      </c>
      <c r="AD21">
        <f>S21+AC21+AA21+AB21</f>
        <v/>
      </c>
      <c r="AE21" t="n">
        <v>0</v>
      </c>
      <c r="AF21" t="n">
        <v>0</v>
      </c>
      <c r="AG21">
        <f>IF(AE21*$H$13&gt;=AI21,1.0,(AI21/(AI21-AE21*$H$13)))</f>
        <v/>
      </c>
      <c r="AH21">
        <f>(AG21-1)*100</f>
        <v/>
      </c>
      <c r="AI21">
        <f>MAX(0,($B$13+$C$13*DQ21)/(1+$D$13*DQ21)*DJ21/(DL21+273)*$E$13)</f>
        <v/>
      </c>
      <c r="AJ21" t="inlineStr">
        <is>
          <t>-</t>
        </is>
      </c>
      <c r="AK21" t="inlineStr">
        <is>
          <t>-</t>
        </is>
      </c>
      <c r="AL21" t="n">
        <v>0</v>
      </c>
      <c r="AM21" t="n">
        <v>0</v>
      </c>
      <c r="AN21">
        <f>1-AL21/AM21</f>
        <v/>
      </c>
      <c r="AO21" t="n">
        <v>0</v>
      </c>
      <c r="AP21" t="inlineStr">
        <is>
          <t>-</t>
        </is>
      </c>
      <c r="AQ21" t="inlineStr">
        <is>
          <t>-</t>
        </is>
      </c>
      <c r="AR21" t="n">
        <v>0</v>
      </c>
      <c r="AS21" t="n">
        <v>0</v>
      </c>
      <c r="AT21">
        <f>1-AR21/AS21</f>
        <v/>
      </c>
      <c r="AU21" t="n">
        <v>0.5</v>
      </c>
      <c r="AV21">
        <f>CU21</f>
        <v/>
      </c>
      <c r="AW21">
        <f>J21</f>
        <v/>
      </c>
      <c r="AX21">
        <f>AT21*AU21*AV21</f>
        <v/>
      </c>
      <c r="AY21">
        <f>(AW21-AO21)/AV21</f>
        <v/>
      </c>
      <c r="AZ21">
        <f>(AM21-AS21)/AS21</f>
        <v/>
      </c>
      <c r="BA21">
        <f>AL21/(AN21+AL21/AS21)</f>
        <v/>
      </c>
      <c r="BB21" t="inlineStr">
        <is>
          <t>-</t>
        </is>
      </c>
      <c r="BC21" t="n">
        <v>0</v>
      </c>
      <c r="BD21">
        <f>IF(BC21&lt;&gt;0, BC21, BA21)</f>
        <v/>
      </c>
      <c r="BE21">
        <f>1-BD21/AS21</f>
        <v/>
      </c>
      <c r="BF21">
        <f>(AS21-AR21)/(AS21-BD21)</f>
        <v/>
      </c>
      <c r="BG21">
        <f>(AM21-AS21)/(AM21-BD21)</f>
        <v/>
      </c>
      <c r="BH21">
        <f>(AS21-AR21)/(AS21-AL21)</f>
        <v/>
      </c>
      <c r="BI21">
        <f>(AM21-AS21)/(AM21-AL21)</f>
        <v/>
      </c>
      <c r="BJ21">
        <f>(BF21*BD21/AR21)</f>
        <v/>
      </c>
      <c r="BK21">
        <f>(1-BJ21)</f>
        <v/>
      </c>
      <c r="BL21" t="n">
        <v>229</v>
      </c>
      <c r="BM21" t="n">
        <v>290</v>
      </c>
      <c r="BN21" t="n">
        <v>1011.23</v>
      </c>
      <c r="BO21" t="n">
        <v>125</v>
      </c>
      <c r="BP21" t="n">
        <v>8125.4</v>
      </c>
      <c r="BQ21" t="n">
        <v>1006.99</v>
      </c>
      <c r="BR21" t="n">
        <v>4.24</v>
      </c>
      <c r="BS21" t="n">
        <v>300</v>
      </c>
      <c r="BT21" t="n">
        <v>19.1</v>
      </c>
      <c r="BU21" t="n">
        <v>1050.94976592848</v>
      </c>
      <c r="BV21" t="n">
        <v>2.96753520531848</v>
      </c>
      <c r="BW21" t="n">
        <v>-35.7187275448967</v>
      </c>
      <c r="BX21" t="n">
        <v>2.15538353963423</v>
      </c>
      <c r="BY21" t="n">
        <v>0.907476783931123</v>
      </c>
      <c r="BZ21" t="n">
        <v>-0.0053713552836485</v>
      </c>
      <c r="CA21" t="n">
        <v>290</v>
      </c>
      <c r="CB21" t="n">
        <v>995.53</v>
      </c>
      <c r="CC21" t="n">
        <v>615</v>
      </c>
      <c r="CD21" t="n">
        <v>8114.81</v>
      </c>
      <c r="CE21" t="n">
        <v>1006.93</v>
      </c>
      <c r="CF21" t="n">
        <v>-11.4</v>
      </c>
      <c r="CT21">
        <f>$B$11*DR21+$C$11*DS21+$F$11*DT21*(1-DW21)</f>
        <v/>
      </c>
      <c r="CU21">
        <f>CT21*CV21</f>
        <v/>
      </c>
      <c r="CV21">
        <f>($B$11*$D$9+$C$11*$D$9+$F$11*((EG21+DY21)/MAX(EG21+DY21+EH21, 0.1)*$I$9+EH21/MAX(EG21+DY21+EH21, 0.1)*$J$9))/($B$11+$C$11+$F$11)</f>
        <v/>
      </c>
      <c r="CW21">
        <f>($B$11*$K$9+$C$11*$K$9+$F$11*((EG21+DY21)/MAX(EG21+DY21+EH21, 0.1)*$P$9+EH21/MAX(EG21+DY21+EH21, 0.1)*$Q$9))/($B$11+$C$11+$F$11)</f>
        <v/>
      </c>
      <c r="CX21" t="n">
        <v>2</v>
      </c>
      <c r="CY21" t="n">
        <v>0.5</v>
      </c>
      <c r="CZ21" t="inlineStr">
        <is>
          <t>0: Broadleaf</t>
        </is>
      </c>
      <c r="DA21" t="n">
        <v>2</v>
      </c>
      <c r="DB21" t="n">
        <v>1792293663.5</v>
      </c>
      <c r="DC21" t="n">
        <v>50.09485</v>
      </c>
      <c r="DD21" t="n">
        <v>50.008</v>
      </c>
      <c r="DE21" t="n">
        <v>17.2404</v>
      </c>
      <c r="DF21" t="n">
        <v>15.6078166666667</v>
      </c>
      <c r="DG21" t="n">
        <v>50.4358333333333</v>
      </c>
      <c r="DH21" t="n">
        <v>17.3882666666667</v>
      </c>
      <c r="DI21" t="n">
        <v>500.0125</v>
      </c>
      <c r="DJ21" t="n">
        <v>100.938666666667</v>
      </c>
      <c r="DK21" t="n">
        <v>0.100096466666667</v>
      </c>
      <c r="DL21" t="n">
        <v>24.9242166666667</v>
      </c>
      <c r="DM21" t="n">
        <v>24.9824833333333</v>
      </c>
      <c r="DN21" t="n">
        <v>999.9</v>
      </c>
      <c r="DO21" t="n">
        <v>0</v>
      </c>
      <c r="DP21" t="n">
        <v>0</v>
      </c>
      <c r="DQ21" t="n">
        <v>9995.625</v>
      </c>
      <c r="DR21" t="n">
        <v>0</v>
      </c>
      <c r="DS21" t="n">
        <v>7.50381666666667</v>
      </c>
      <c r="DT21" t="n">
        <v>1499.98833333333</v>
      </c>
      <c r="DU21" t="n">
        <v>0.973001</v>
      </c>
      <c r="DV21" t="n">
        <v>0.0269994</v>
      </c>
      <c r="DW21" t="n">
        <v>0</v>
      </c>
      <c r="DX21" t="n">
        <v>176.403333333333</v>
      </c>
      <c r="DY21" t="n">
        <v>4.99999</v>
      </c>
      <c r="DZ21" t="n">
        <v>2731.45833333333</v>
      </c>
      <c r="EA21" t="n">
        <v>14882.4666666667</v>
      </c>
      <c r="EB21" t="n">
        <v>37.812</v>
      </c>
      <c r="EC21" t="n">
        <v>39.229</v>
      </c>
      <c r="ED21" t="n">
        <v>38.375</v>
      </c>
      <c r="EE21" t="n">
        <v>38.604</v>
      </c>
      <c r="EF21" t="n">
        <v>39.312</v>
      </c>
      <c r="EG21" t="n">
        <v>1454.62833333333</v>
      </c>
      <c r="EH21" t="n">
        <v>40.36</v>
      </c>
      <c r="EI21" t="n">
        <v>0</v>
      </c>
      <c r="EJ21" t="n">
        <v>2798.70000004768</v>
      </c>
      <c r="EK21" t="n">
        <v>0</v>
      </c>
      <c r="EL21" t="n">
        <v>176.33696</v>
      </c>
      <c r="EM21" t="n">
        <v>-0.691153823992588</v>
      </c>
      <c r="EN21" t="n">
        <v>-0.63153848832104</v>
      </c>
      <c r="EO21" t="n">
        <v>2731.5412</v>
      </c>
      <c r="EP21" t="n">
        <v>15</v>
      </c>
      <c r="EQ21" t="n">
        <v>1792293605</v>
      </c>
      <c r="ER21" t="inlineStr">
        <is>
          <t>12:20:05</t>
        </is>
      </c>
      <c r="ES21" t="n">
        <v>1792293601</v>
      </c>
      <c r="ET21" t="n">
        <v>1792293605</v>
      </c>
      <c r="EU21" t="n">
        <v>27</v>
      </c>
      <c r="EV21" t="n">
        <v>-0.013</v>
      </c>
      <c r="EW21" t="n">
        <v>-0.001</v>
      </c>
      <c r="EX21" t="n">
        <v>-0.341</v>
      </c>
      <c r="EY21" t="n">
        <v>-0.167</v>
      </c>
      <c r="EZ21" t="n">
        <v>50</v>
      </c>
      <c r="FA21" t="n">
        <v>16</v>
      </c>
      <c r="FB21" t="n">
        <v>0.39</v>
      </c>
      <c r="FC21" t="n">
        <v>0.03</v>
      </c>
      <c r="FD21" t="n">
        <v>-0.437087845276545</v>
      </c>
      <c r="FE21" t="n">
        <v>0.286571959172165</v>
      </c>
      <c r="FF21" t="n">
        <v>0.136094157432047</v>
      </c>
      <c r="FG21" t="n">
        <v>1</v>
      </c>
      <c r="FH21" t="n">
        <v>0.09352764285714291</v>
      </c>
      <c r="FI21" t="n">
        <v>-0.0704650519480518</v>
      </c>
      <c r="FJ21" t="n">
        <v>0.0535882938055689</v>
      </c>
      <c r="FK21" t="n">
        <v>1</v>
      </c>
      <c r="FL21" t="n">
        <v>176.270911764706</v>
      </c>
      <c r="FM21" t="n">
        <v>0.050038206689486</v>
      </c>
      <c r="FN21" t="n">
        <v>0.340811606372291</v>
      </c>
      <c r="FO21" t="n">
        <v>1</v>
      </c>
      <c r="FP21" t="n">
        <v>3</v>
      </c>
      <c r="FQ21" t="n">
        <v>3</v>
      </c>
      <c r="FR21" t="inlineStr">
        <is>
          <t>3/3</t>
        </is>
      </c>
      <c r="FS21" t="n">
        <v>100</v>
      </c>
      <c r="FT21" t="n">
        <v>100</v>
      </c>
      <c r="FU21" t="n">
        <v>-0.341</v>
      </c>
      <c r="FV21" t="n">
        <v>-0.148</v>
      </c>
      <c r="FW21" t="n">
        <v>-0.339465385527975</v>
      </c>
      <c r="FX21" t="n">
        <v>-6.16732984266029e-05</v>
      </c>
      <c r="FY21" t="n">
        <v>6.19398071816742e-07</v>
      </c>
      <c r="FZ21" t="n">
        <v>3.19222985850634e-12</v>
      </c>
      <c r="GA21" t="n">
        <v>-0.064912388034236</v>
      </c>
      <c r="GB21" t="n">
        <v>-0.0257783215012692</v>
      </c>
      <c r="GC21" t="n">
        <v>0.00133723821780375</v>
      </c>
      <c r="GD21" t="n">
        <v>-7.42160749481374e-06</v>
      </c>
      <c r="GE21" t="n">
        <v>7</v>
      </c>
      <c r="GF21" t="n">
        <v>2154</v>
      </c>
      <c r="GG21" t="n">
        <v>2</v>
      </c>
      <c r="GH21" t="n">
        <v>20</v>
      </c>
      <c r="GI21" t="n">
        <v>1.1</v>
      </c>
      <c r="GJ21" t="n">
        <v>1</v>
      </c>
      <c r="GK21" t="n">
        <v>0.267334</v>
      </c>
      <c r="GL21" t="n">
        <v>2.70142</v>
      </c>
      <c r="GM21" t="n">
        <v>1.65161</v>
      </c>
      <c r="GN21" t="n">
        <v>2.27661</v>
      </c>
      <c r="GO21" t="n">
        <v>1.5979</v>
      </c>
      <c r="GP21" t="n">
        <v>2.50244</v>
      </c>
      <c r="GQ21" t="n">
        <v>35.9412</v>
      </c>
      <c r="GR21" t="n">
        <v>23.7898</v>
      </c>
      <c r="GS21" t="n">
        <v>18</v>
      </c>
      <c r="GT21" t="n">
        <v>504.205</v>
      </c>
      <c r="GU21" t="n">
        <v>532.265</v>
      </c>
      <c r="GV21" t="n">
        <v>21.0226</v>
      </c>
      <c r="GW21" t="n">
        <v>29.3469</v>
      </c>
      <c r="GX21" t="n">
        <v>30.0002</v>
      </c>
      <c r="GY21" t="n">
        <v>29.5065</v>
      </c>
      <c r="GZ21" t="n">
        <v>29.5639</v>
      </c>
      <c r="HA21" t="n">
        <v>5.35427</v>
      </c>
      <c r="HB21" t="n">
        <v>26.4645</v>
      </c>
      <c r="HC21" t="n">
        <v>26.1294</v>
      </c>
      <c r="HD21" t="n">
        <v>21.0322</v>
      </c>
      <c r="HE21" t="n">
        <v>50</v>
      </c>
      <c r="HF21" t="n">
        <v>15.616</v>
      </c>
      <c r="HG21" t="n">
        <v>98.0838</v>
      </c>
      <c r="HH21" t="n">
        <v>94.58620000000001</v>
      </c>
    </row>
    <row r="22">
      <c r="A22" t="n">
        <v>6</v>
      </c>
      <c r="B22" t="n">
        <v>1792293818</v>
      </c>
      <c r="C22" t="n">
        <v>641</v>
      </c>
      <c r="D22" t="inlineStr">
        <is>
          <t>20261018 12:23:38</t>
        </is>
      </c>
      <c r="E22" t="inlineStr">
        <is>
          <t>12:23:38</t>
        </is>
      </c>
      <c r="F22" t="n">
        <v>5</v>
      </c>
      <c r="G22" t="n">
        <v>1792293815</v>
      </c>
      <c r="H22">
        <f>(I22)/1000</f>
        <v/>
      </c>
      <c r="I22">
        <f>1000*DI22*AG22*(DE22-DF22)/(100*CX22*(1000-AG22*DE22))</f>
        <v/>
      </c>
      <c r="J22">
        <f>DI22*AG22*(DD22-DC22*(1000-AG22*DF22)/(1000-AG22*DE22))/(100*CX22)</f>
        <v/>
      </c>
      <c r="K22">
        <f>DC22 - IF(AG22&gt;1, J22*CX22*100.0/(AI22), 0)</f>
        <v/>
      </c>
      <c r="L22">
        <f>((R22-H22/2)*K22-J22)/(R22+H22/2)</f>
        <v/>
      </c>
      <c r="M22">
        <f>L22*(DJ22+DK22)/1000.0</f>
        <v/>
      </c>
      <c r="N22">
        <f>(DC22 - IF(AG22&gt;1, J22*CX22*100.0/(AI22), 0))*(DJ22+DK22)/1000.0</f>
        <v/>
      </c>
      <c r="O22">
        <f>2.0/((1/Q22-1/P22)+SIGN(Q22)*SQRT((1/Q22-1/P22)*(1/Q22-1/P22) + 4*CY22/((CY22+1)*(CY22+1))*(2*1/Q22*1/P22-1/P22*1/P22)))</f>
        <v/>
      </c>
      <c r="P22">
        <f>IF(LEFT(CZ22,1)&lt;&gt;"0",IF(LEFT(CZ22,1)="1",3.0,DA22),$D$5+$E$5*(DQ22*DJ22/($K$5*1000))+$F$5*(DQ22*DJ22/($K$5*1000))*MAX(MIN(CX22,$J$5),$I$5)*MAX(MIN(CX22,$J$5),$I$5)+$G$5*MAX(MIN(CX22,$J$5),$I$5)*(DQ22*DJ22/($K$5*1000))+$H$5*(DQ22*DJ22/($K$5*1000))*(DQ22*DJ22/($K$5*1000)))</f>
        <v/>
      </c>
      <c r="Q22">
        <f>H22*(1000-(1000*0.61365*exp(17.502*U22/(240.97+U22))/(DJ22+DK22)+DE22)/2)/(1000*0.61365*exp(17.502*U22/(240.97+U22))/(DJ22+DK22)-DE22)</f>
        <v/>
      </c>
      <c r="R22">
        <f>1/((CY22+1)/(O22/1.6)+1/(P22/1.37)) + CY22/((CY22+1)/(O22/1.6) + CY22/(P22/1.37))</f>
        <v/>
      </c>
      <c r="S22">
        <f>(CT22*CW22)</f>
        <v/>
      </c>
      <c r="T22">
        <f>(DL22+(S22+2*0.95*5.67E-8*(((DL22+$B$7)+273)^4-(DL22+273)^4)-44100*H22)/(1.84*29.3*P22+8*0.95*5.67E-8*(DL22+273)^3))</f>
        <v/>
      </c>
      <c r="U22">
        <f>($C$7*DM22+$D$7*DN22+$E$7*T22)</f>
        <v/>
      </c>
      <c r="V22">
        <f>0.61365*exp(17.502*U22/(240.97+U22))</f>
        <v/>
      </c>
      <c r="W22">
        <f>(X22/Y22*100)</f>
        <v/>
      </c>
      <c r="X22">
        <f>DE22*(DJ22+DK22)/1000</f>
        <v/>
      </c>
      <c r="Y22">
        <f>0.61365*exp(17.502*DL22/(240.97+DL22))</f>
        <v/>
      </c>
      <c r="Z22">
        <f>(V22-DE22*(DJ22+DK22)/1000)</f>
        <v/>
      </c>
      <c r="AA22">
        <f>(-H22*44100)</f>
        <v/>
      </c>
      <c r="AB22">
        <f>2*29.3*P22*0.92*(DL22-U22)</f>
        <v/>
      </c>
      <c r="AC22">
        <f>2*0.95*5.67E-8*(((DL22+$B$7)+273)^4-(U22+273)^4)</f>
        <v/>
      </c>
      <c r="AD22">
        <f>S22+AC22+AA22+AB22</f>
        <v/>
      </c>
      <c r="AE22" t="n">
        <v>0</v>
      </c>
      <c r="AF22" t="n">
        <v>0</v>
      </c>
      <c r="AG22">
        <f>IF(AE22*$H$13&gt;=AI22,1.0,(AI22/(AI22-AE22*$H$13)))</f>
        <v/>
      </c>
      <c r="AH22">
        <f>(AG22-1)*100</f>
        <v/>
      </c>
      <c r="AI22">
        <f>MAX(0,($B$13+$C$13*DQ22)/(1+$D$13*DQ22)*DJ22/(DL22+273)*$E$13)</f>
        <v/>
      </c>
      <c r="AJ22" t="inlineStr">
        <is>
          <t>-</t>
        </is>
      </c>
      <c r="AK22" t="inlineStr">
        <is>
          <t>-</t>
        </is>
      </c>
      <c r="AL22" t="n">
        <v>0</v>
      </c>
      <c r="AM22" t="n">
        <v>0</v>
      </c>
      <c r="AN22">
        <f>1-AL22/AM22</f>
        <v/>
      </c>
      <c r="AO22" t="n">
        <v>0</v>
      </c>
      <c r="AP22" t="inlineStr">
        <is>
          <t>-</t>
        </is>
      </c>
      <c r="AQ22" t="inlineStr">
        <is>
          <t>-</t>
        </is>
      </c>
      <c r="AR22" t="n">
        <v>0</v>
      </c>
      <c r="AS22" t="n">
        <v>0</v>
      </c>
      <c r="AT22">
        <f>1-AR22/AS22</f>
        <v/>
      </c>
      <c r="AU22" t="n">
        <v>0.5</v>
      </c>
      <c r="AV22">
        <f>CU22</f>
        <v/>
      </c>
      <c r="AW22">
        <f>J22</f>
        <v/>
      </c>
      <c r="AX22">
        <f>AT22*AU22*AV22</f>
        <v/>
      </c>
      <c r="AY22">
        <f>(AW22-AO22)/AV22</f>
        <v/>
      </c>
      <c r="AZ22">
        <f>(AM22-AS22)/AS22</f>
        <v/>
      </c>
      <c r="BA22">
        <f>AL22/(AN22+AL22/AS22)</f>
        <v/>
      </c>
      <c r="BB22" t="inlineStr">
        <is>
          <t>-</t>
        </is>
      </c>
      <c r="BC22" t="n">
        <v>0</v>
      </c>
      <c r="BD22">
        <f>IF(BC22&lt;&gt;0, BC22, BA22)</f>
        <v/>
      </c>
      <c r="BE22">
        <f>1-BD22/AS22</f>
        <v/>
      </c>
      <c r="BF22">
        <f>(AS22-AR22)/(AS22-BD22)</f>
        <v/>
      </c>
      <c r="BG22">
        <f>(AM22-AS22)/(AM22-BD22)</f>
        <v/>
      </c>
      <c r="BH22">
        <f>(AS22-AR22)/(AS22-AL22)</f>
        <v/>
      </c>
      <c r="BI22">
        <f>(AM22-AS22)/(AM22-AL22)</f>
        <v/>
      </c>
      <c r="BJ22">
        <f>(BF22*BD22/AR22)</f>
        <v/>
      </c>
      <c r="BK22">
        <f>(1-BJ22)</f>
        <v/>
      </c>
      <c r="BL22" t="n">
        <v>229</v>
      </c>
      <c r="BM22" t="n">
        <v>290</v>
      </c>
      <c r="BN22" t="n">
        <v>1011.23</v>
      </c>
      <c r="BO22" t="n">
        <v>125</v>
      </c>
      <c r="BP22" t="n">
        <v>8125.4</v>
      </c>
      <c r="BQ22" t="n">
        <v>1006.99</v>
      </c>
      <c r="BR22" t="n">
        <v>4.24</v>
      </c>
      <c r="BS22" t="n">
        <v>300</v>
      </c>
      <c r="BT22" t="n">
        <v>19.1</v>
      </c>
      <c r="BU22" t="n">
        <v>1050.94976592848</v>
      </c>
      <c r="BV22" t="n">
        <v>2.96753520531848</v>
      </c>
      <c r="BW22" t="n">
        <v>-35.7187275448967</v>
      </c>
      <c r="BX22" t="n">
        <v>2.15538353963423</v>
      </c>
      <c r="BY22" t="n">
        <v>0.907476783931123</v>
      </c>
      <c r="BZ22" t="n">
        <v>-0.0053713552836485</v>
      </c>
      <c r="CA22" t="n">
        <v>290</v>
      </c>
      <c r="CB22" t="n">
        <v>995.53</v>
      </c>
      <c r="CC22" t="n">
        <v>615</v>
      </c>
      <c r="CD22" t="n">
        <v>8114.81</v>
      </c>
      <c r="CE22" t="n">
        <v>1006.93</v>
      </c>
      <c r="CF22" t="n">
        <v>-11.4</v>
      </c>
      <c r="CT22">
        <f>$B$11*DR22+$C$11*DS22+$F$11*DT22*(1-DW22)</f>
        <v/>
      </c>
      <c r="CU22">
        <f>CT22*CV22</f>
        <v/>
      </c>
      <c r="CV22">
        <f>($B$11*$D$9+$C$11*$D$9+$F$11*((EG22+DY22)/MAX(EG22+DY22+EH22, 0.1)*$I$9+EH22/MAX(EG22+DY22+EH22, 0.1)*$J$9))/($B$11+$C$11+$F$11)</f>
        <v/>
      </c>
      <c r="CW22">
        <f>($B$11*$K$9+$C$11*$K$9+$F$11*((EG22+DY22)/MAX(EG22+DY22+EH22, 0.1)*$P$9+EH22/MAX(EG22+DY22+EH22, 0.1)*$Q$9))/($B$11+$C$11+$F$11)</f>
        <v/>
      </c>
      <c r="CX22" t="n">
        <v>2</v>
      </c>
      <c r="CY22" t="n">
        <v>0.5</v>
      </c>
      <c r="CZ22" t="inlineStr">
        <is>
          <t>0: Broadleaf</t>
        </is>
      </c>
      <c r="DA22" t="n">
        <v>2</v>
      </c>
      <c r="DB22" t="n">
        <v>1792293815</v>
      </c>
      <c r="DC22" t="n">
        <v>393.0232</v>
      </c>
      <c r="DD22" t="n">
        <v>399.9856</v>
      </c>
      <c r="DE22" t="n">
        <v>17.29638</v>
      </c>
      <c r="DF22" t="n">
        <v>15.58976</v>
      </c>
      <c r="DG22" t="n">
        <v>393.279</v>
      </c>
      <c r="DH22" t="n">
        <v>17.44182</v>
      </c>
      <c r="DI22" t="n">
        <v>499.9942</v>
      </c>
      <c r="DJ22" t="n">
        <v>100.9344</v>
      </c>
      <c r="DK22" t="n">
        <v>0.09984698</v>
      </c>
      <c r="DL22" t="n">
        <v>24.98042</v>
      </c>
      <c r="DM22" t="n">
        <v>24.97314</v>
      </c>
      <c r="DN22" t="n">
        <v>999.9</v>
      </c>
      <c r="DO22" t="n">
        <v>0</v>
      </c>
      <c r="DP22" t="n">
        <v>0</v>
      </c>
      <c r="DQ22" t="n">
        <v>10010.5</v>
      </c>
      <c r="DR22" t="n">
        <v>0</v>
      </c>
      <c r="DS22" t="n">
        <v>7.702442</v>
      </c>
      <c r="DT22" t="n">
        <v>1499.95</v>
      </c>
      <c r="DU22" t="n">
        <v>0.9729962</v>
      </c>
      <c r="DV22" t="n">
        <v>0.02700348</v>
      </c>
      <c r="DW22" t="n">
        <v>0</v>
      </c>
      <c r="DX22" t="n">
        <v>187.752</v>
      </c>
      <c r="DY22" t="n">
        <v>4.99999</v>
      </c>
      <c r="DZ22" t="n">
        <v>2904.392</v>
      </c>
      <c r="EA22" t="n">
        <v>14882.08</v>
      </c>
      <c r="EB22" t="n">
        <v>37.375</v>
      </c>
      <c r="EC22" t="n">
        <v>38.875</v>
      </c>
      <c r="ED22" t="n">
        <v>37.9622</v>
      </c>
      <c r="EE22" t="n">
        <v>38.312</v>
      </c>
      <c r="EF22" t="n">
        <v>38.937</v>
      </c>
      <c r="EG22" t="n">
        <v>1454.58</v>
      </c>
      <c r="EH22" t="n">
        <v>40.37</v>
      </c>
      <c r="EI22" t="n">
        <v>0</v>
      </c>
      <c r="EJ22" t="n">
        <v>2949.90000009537</v>
      </c>
      <c r="EK22" t="n">
        <v>0</v>
      </c>
      <c r="EL22" t="n">
        <v>187.78884</v>
      </c>
      <c r="EM22" t="n">
        <v>1.3243846006202</v>
      </c>
      <c r="EN22" t="n">
        <v>38.9646153448693</v>
      </c>
      <c r="EO22" t="n">
        <v>2901.6024</v>
      </c>
      <c r="EP22" t="n">
        <v>15</v>
      </c>
      <c r="EQ22" t="n">
        <v>1792293735</v>
      </c>
      <c r="ER22" t="inlineStr">
        <is>
          <t>12:22:15</t>
        </is>
      </c>
      <c r="ES22" t="n">
        <v>1792293735</v>
      </c>
      <c r="ET22" t="n">
        <v>1792293731</v>
      </c>
      <c r="EU22" t="n">
        <v>28</v>
      </c>
      <c r="EV22" t="n">
        <v>0.012</v>
      </c>
      <c r="EW22" t="n">
        <v>0.002</v>
      </c>
      <c r="EX22" t="n">
        <v>-0.253</v>
      </c>
      <c r="EY22" t="n">
        <v>-0.167</v>
      </c>
      <c r="EZ22" t="n">
        <v>400</v>
      </c>
      <c r="FA22" t="n">
        <v>16</v>
      </c>
      <c r="FB22" t="n">
        <v>0.26</v>
      </c>
      <c r="FC22" t="n">
        <v>0.05</v>
      </c>
      <c r="FD22" t="n">
        <v>15.7115943460144</v>
      </c>
      <c r="FE22" t="n">
        <v>0.0247469865977663</v>
      </c>
      <c r="FF22" t="n">
        <v>0.113352191626118</v>
      </c>
      <c r="FG22" t="n">
        <v>1</v>
      </c>
      <c r="FH22" t="n">
        <v>-6.96616428571429</v>
      </c>
      <c r="FI22" t="n">
        <v>-0.0488579220779372</v>
      </c>
      <c r="FJ22" t="n">
        <v>0.0466351962497394</v>
      </c>
      <c r="FK22" t="n">
        <v>1</v>
      </c>
      <c r="FL22" t="n">
        <v>187.608294117647</v>
      </c>
      <c r="FM22" t="n">
        <v>2.44443086351485</v>
      </c>
      <c r="FN22" t="n">
        <v>0.412933446383153</v>
      </c>
      <c r="FO22" t="n">
        <v>0</v>
      </c>
      <c r="FP22" t="n">
        <v>2</v>
      </c>
      <c r="FQ22" t="n">
        <v>3</v>
      </c>
      <c r="FR22" t="inlineStr">
        <is>
          <t>2/3</t>
        </is>
      </c>
      <c r="FS22" t="n">
        <v>100</v>
      </c>
      <c r="FT22" t="n">
        <v>100</v>
      </c>
      <c r="FU22" t="n">
        <v>-0.255</v>
      </c>
      <c r="FV22" t="n">
        <v>-0.1454</v>
      </c>
      <c r="FW22" t="n">
        <v>-0.327320553540692</v>
      </c>
      <c r="FX22" t="n">
        <v>-6.16732984266029e-05</v>
      </c>
      <c r="FY22" t="n">
        <v>6.19398071816742e-07</v>
      </c>
      <c r="FZ22" t="n">
        <v>3.19222985850634e-12</v>
      </c>
      <c r="GA22" t="n">
        <v>-0.06324672303517501</v>
      </c>
      <c r="GB22" t="n">
        <v>-0.0257783215012692</v>
      </c>
      <c r="GC22" t="n">
        <v>0.00133723821780375</v>
      </c>
      <c r="GD22" t="n">
        <v>-7.42160749481374e-06</v>
      </c>
      <c r="GE22" t="n">
        <v>7</v>
      </c>
      <c r="GF22" t="n">
        <v>2154</v>
      </c>
      <c r="GG22" t="n">
        <v>2</v>
      </c>
      <c r="GH22" t="n">
        <v>20</v>
      </c>
      <c r="GI22" t="n">
        <v>1.4</v>
      </c>
      <c r="GJ22" t="n">
        <v>1.4</v>
      </c>
      <c r="GK22" t="n">
        <v>1.0376</v>
      </c>
      <c r="GL22" t="n">
        <v>2.65625</v>
      </c>
      <c r="GM22" t="n">
        <v>1.65161</v>
      </c>
      <c r="GN22" t="n">
        <v>2.27539</v>
      </c>
      <c r="GO22" t="n">
        <v>1.5979</v>
      </c>
      <c r="GP22" t="n">
        <v>2.64282</v>
      </c>
      <c r="GQ22" t="n">
        <v>36.0582</v>
      </c>
      <c r="GR22" t="n">
        <v>23.7898</v>
      </c>
      <c r="GS22" t="n">
        <v>18</v>
      </c>
      <c r="GT22" t="n">
        <v>504.299</v>
      </c>
      <c r="GU22" t="n">
        <v>532.371</v>
      </c>
      <c r="GV22" t="n">
        <v>21.2478</v>
      </c>
      <c r="GW22" t="n">
        <v>29.3646</v>
      </c>
      <c r="GX22" t="n">
        <v>30</v>
      </c>
      <c r="GY22" t="n">
        <v>29.5279</v>
      </c>
      <c r="GZ22" t="n">
        <v>29.5852</v>
      </c>
      <c r="HA22" t="n">
        <v>20.7642</v>
      </c>
      <c r="HB22" t="n">
        <v>26.393</v>
      </c>
      <c r="HC22" t="n">
        <v>25.3255</v>
      </c>
      <c r="HD22" t="n">
        <v>21.2597</v>
      </c>
      <c r="HE22" t="n">
        <v>400</v>
      </c>
      <c r="HF22" t="n">
        <v>15.5924</v>
      </c>
      <c r="HG22" t="n">
        <v>98.0823</v>
      </c>
      <c r="HH22" t="n">
        <v>94.5859</v>
      </c>
    </row>
    <row r="23">
      <c r="A23" t="n">
        <v>7</v>
      </c>
      <c r="B23" t="n">
        <v>1792293945.1</v>
      </c>
      <c r="C23" t="n">
        <v>768.099999904633</v>
      </c>
      <c r="D23" t="inlineStr">
        <is>
          <t>20261018 12:25:45</t>
        </is>
      </c>
      <c r="E23" t="inlineStr">
        <is>
          <t>12:25:45</t>
        </is>
      </c>
      <c r="F23" t="n">
        <v>5</v>
      </c>
      <c r="G23" t="n">
        <v>1792293941.6</v>
      </c>
      <c r="H23">
        <f>(I23)/1000</f>
        <v/>
      </c>
      <c r="I23">
        <f>1000*DI23*AG23*(DE23-DF23)/(100*CX23*(1000-AG23*DE23))</f>
        <v/>
      </c>
      <c r="J23">
        <f>DI23*AG23*(DD23-DC23*(1000-AG23*DF23)/(1000-AG23*DE23))/(100*CX23)</f>
        <v/>
      </c>
      <c r="K23">
        <f>DC23 - IF(AG23&gt;1, J23*CX23*100.0/(AI23), 0)</f>
        <v/>
      </c>
      <c r="L23">
        <f>((R23-H23/2)*K23-J23)/(R23+H23/2)</f>
        <v/>
      </c>
      <c r="M23">
        <f>L23*(DJ23+DK23)/1000.0</f>
        <v/>
      </c>
      <c r="N23">
        <f>(DC23 - IF(AG23&gt;1, J23*CX23*100.0/(AI23), 0))*(DJ23+DK23)/1000.0</f>
        <v/>
      </c>
      <c r="O23">
        <f>2.0/((1/Q23-1/P23)+SIGN(Q23)*SQRT((1/Q23-1/P23)*(1/Q23-1/P23) + 4*CY23/((CY23+1)*(CY23+1))*(2*1/Q23*1/P23-1/P23*1/P23)))</f>
        <v/>
      </c>
      <c r="P23">
        <f>IF(LEFT(CZ23,1)&lt;&gt;"0",IF(LEFT(CZ23,1)="1",3.0,DA23),$D$5+$E$5*(DQ23*DJ23/($K$5*1000))+$F$5*(DQ23*DJ23/($K$5*1000))*MAX(MIN(CX23,$J$5),$I$5)*MAX(MIN(CX23,$J$5),$I$5)+$G$5*MAX(MIN(CX23,$J$5),$I$5)*(DQ23*DJ23/($K$5*1000))+$H$5*(DQ23*DJ23/($K$5*1000))*(DQ23*DJ23/($K$5*1000)))</f>
        <v/>
      </c>
      <c r="Q23">
        <f>H23*(1000-(1000*0.61365*exp(17.502*U23/(240.97+U23))/(DJ23+DK23)+DE23)/2)/(1000*0.61365*exp(17.502*U23/(240.97+U23))/(DJ23+DK23)-DE23)</f>
        <v/>
      </c>
      <c r="R23">
        <f>1/((CY23+1)/(O23/1.6)+1/(P23/1.37)) + CY23/((CY23+1)/(O23/1.6) + CY23/(P23/1.37))</f>
        <v/>
      </c>
      <c r="S23">
        <f>(CT23*CW23)</f>
        <v/>
      </c>
      <c r="T23">
        <f>(DL23+(S23+2*0.95*5.67E-8*(((DL23+$B$7)+273)^4-(DL23+273)^4)-44100*H23)/(1.84*29.3*P23+8*0.95*5.67E-8*(DL23+273)^3))</f>
        <v/>
      </c>
      <c r="U23">
        <f>($C$7*DM23+$D$7*DN23+$E$7*T23)</f>
        <v/>
      </c>
      <c r="V23">
        <f>0.61365*exp(17.502*U23/(240.97+U23))</f>
        <v/>
      </c>
      <c r="W23">
        <f>(X23/Y23*100)</f>
        <v/>
      </c>
      <c r="X23">
        <f>DE23*(DJ23+DK23)/1000</f>
        <v/>
      </c>
      <c r="Y23">
        <f>0.61365*exp(17.502*DL23/(240.97+DL23))</f>
        <v/>
      </c>
      <c r="Z23">
        <f>(V23-DE23*(DJ23+DK23)/1000)</f>
        <v/>
      </c>
      <c r="AA23">
        <f>(-H23*44100)</f>
        <v/>
      </c>
      <c r="AB23">
        <f>2*29.3*P23*0.92*(DL23-U23)</f>
        <v/>
      </c>
      <c r="AC23">
        <f>2*0.95*5.67E-8*(((DL23+$B$7)+273)^4-(U23+273)^4)</f>
        <v/>
      </c>
      <c r="AD23">
        <f>S23+AC23+AA23+AB23</f>
        <v/>
      </c>
      <c r="AE23" t="n">
        <v>0</v>
      </c>
      <c r="AF23" t="n">
        <v>0</v>
      </c>
      <c r="AG23">
        <f>IF(AE23*$H$13&gt;=AI23,1.0,(AI23/(AI23-AE23*$H$13)))</f>
        <v/>
      </c>
      <c r="AH23">
        <f>(AG23-1)*100</f>
        <v/>
      </c>
      <c r="AI23">
        <f>MAX(0,($B$13+$C$13*DQ23)/(1+$D$13*DQ23)*DJ23/(DL23+273)*$E$13)</f>
        <v/>
      </c>
      <c r="AJ23" t="inlineStr">
        <is>
          <t>-</t>
        </is>
      </c>
      <c r="AK23" t="inlineStr">
        <is>
          <t>-</t>
        </is>
      </c>
      <c r="AL23" t="n">
        <v>0</v>
      </c>
      <c r="AM23" t="n">
        <v>0</v>
      </c>
      <c r="AN23">
        <f>1-AL23/AM23</f>
        <v/>
      </c>
      <c r="AO23" t="n">
        <v>0</v>
      </c>
      <c r="AP23" t="inlineStr">
        <is>
          <t>-</t>
        </is>
      </c>
      <c r="AQ23" t="inlineStr">
        <is>
          <t>-</t>
        </is>
      </c>
      <c r="AR23" t="n">
        <v>0</v>
      </c>
      <c r="AS23" t="n">
        <v>0</v>
      </c>
      <c r="AT23">
        <f>1-AR23/AS23</f>
        <v/>
      </c>
      <c r="AU23" t="n">
        <v>0.5</v>
      </c>
      <c r="AV23">
        <f>CU23</f>
        <v/>
      </c>
      <c r="AW23">
        <f>J23</f>
        <v/>
      </c>
      <c r="AX23">
        <f>AT23*AU23*AV23</f>
        <v/>
      </c>
      <c r="AY23">
        <f>(AW23-AO23)/AV23</f>
        <v/>
      </c>
      <c r="AZ23">
        <f>(AM23-AS23)/AS23</f>
        <v/>
      </c>
      <c r="BA23">
        <f>AL23/(AN23+AL23/AS23)</f>
        <v/>
      </c>
      <c r="BB23" t="inlineStr">
        <is>
          <t>-</t>
        </is>
      </c>
      <c r="BC23" t="n">
        <v>0</v>
      </c>
      <c r="BD23">
        <f>IF(BC23&lt;&gt;0, BC23, BA23)</f>
        <v/>
      </c>
      <c r="BE23">
        <f>1-BD23/AS23</f>
        <v/>
      </c>
      <c r="BF23">
        <f>(AS23-AR23)/(AS23-BD23)</f>
        <v/>
      </c>
      <c r="BG23">
        <f>(AM23-AS23)/(AM23-BD23)</f>
        <v/>
      </c>
      <c r="BH23">
        <f>(AS23-AR23)/(AS23-AL23)</f>
        <v/>
      </c>
      <c r="BI23">
        <f>(AM23-AS23)/(AM23-AL23)</f>
        <v/>
      </c>
      <c r="BJ23">
        <f>(BF23*BD23/AR23)</f>
        <v/>
      </c>
      <c r="BK23">
        <f>(1-BJ23)</f>
        <v/>
      </c>
      <c r="BL23" t="n">
        <v>229</v>
      </c>
      <c r="BM23" t="n">
        <v>290</v>
      </c>
      <c r="BN23" t="n">
        <v>1011.23</v>
      </c>
      <c r="BO23" t="n">
        <v>125</v>
      </c>
      <c r="BP23" t="n">
        <v>8125.4</v>
      </c>
      <c r="BQ23" t="n">
        <v>1006.99</v>
      </c>
      <c r="BR23" t="n">
        <v>4.24</v>
      </c>
      <c r="BS23" t="n">
        <v>300</v>
      </c>
      <c r="BT23" t="n">
        <v>19.1</v>
      </c>
      <c r="BU23" t="n">
        <v>1050.94976592848</v>
      </c>
      <c r="BV23" t="n">
        <v>2.96753520531848</v>
      </c>
      <c r="BW23" t="n">
        <v>-35.7187275448967</v>
      </c>
      <c r="BX23" t="n">
        <v>2.15538353963423</v>
      </c>
      <c r="BY23" t="n">
        <v>0.907476783931123</v>
      </c>
      <c r="BZ23" t="n">
        <v>-0.0053713552836485</v>
      </c>
      <c r="CA23" t="n">
        <v>290</v>
      </c>
      <c r="CB23" t="n">
        <v>995.53</v>
      </c>
      <c r="CC23" t="n">
        <v>615</v>
      </c>
      <c r="CD23" t="n">
        <v>8114.81</v>
      </c>
      <c r="CE23" t="n">
        <v>1006.93</v>
      </c>
      <c r="CF23" t="n">
        <v>-11.4</v>
      </c>
      <c r="CT23">
        <f>$B$11*DR23+$C$11*DS23+$F$11*DT23*(1-DW23)</f>
        <v/>
      </c>
      <c r="CU23">
        <f>CT23*CV23</f>
        <v/>
      </c>
      <c r="CV23">
        <f>($B$11*$D$9+$C$11*$D$9+$F$11*((EG23+DY23)/MAX(EG23+DY23+EH23, 0.1)*$I$9+EH23/MAX(EG23+DY23+EH23, 0.1)*$J$9))/($B$11+$C$11+$F$11)</f>
        <v/>
      </c>
      <c r="CW23">
        <f>($B$11*$K$9+$C$11*$K$9+$F$11*((EG23+DY23)/MAX(EG23+DY23+EH23, 0.1)*$P$9+EH23/MAX(EG23+DY23+EH23, 0.1)*$Q$9))/($B$11+$C$11+$F$11)</f>
        <v/>
      </c>
      <c r="CX23" t="n">
        <v>2</v>
      </c>
      <c r="CY23" t="n">
        <v>0.5</v>
      </c>
      <c r="CZ23" t="inlineStr">
        <is>
          <t>0: Broadleaf</t>
        </is>
      </c>
      <c r="DA23" t="n">
        <v>2</v>
      </c>
      <c r="DB23" t="n">
        <v>1792293941.6</v>
      </c>
      <c r="DC23" t="n">
        <v>392.739</v>
      </c>
      <c r="DD23" t="n">
        <v>399.942833333333</v>
      </c>
      <c r="DE23" t="n">
        <v>17.3535833333333</v>
      </c>
      <c r="DF23" t="n">
        <v>15.59655</v>
      </c>
      <c r="DG23" t="n">
        <v>392.965</v>
      </c>
      <c r="DH23" t="n">
        <v>17.4971</v>
      </c>
      <c r="DI23" t="n">
        <v>499.997333333333</v>
      </c>
      <c r="DJ23" t="n">
        <v>100.9345</v>
      </c>
      <c r="DK23" t="n">
        <v>0.09993515</v>
      </c>
      <c r="DL23" t="n">
        <v>25.0100666666667</v>
      </c>
      <c r="DM23" t="n">
        <v>24.9961333333333</v>
      </c>
      <c r="DN23" t="n">
        <v>999.9</v>
      </c>
      <c r="DO23" t="n">
        <v>0</v>
      </c>
      <c r="DP23" t="n">
        <v>0</v>
      </c>
      <c r="DQ23" t="n">
        <v>10008.1366666667</v>
      </c>
      <c r="DR23" t="n">
        <v>0</v>
      </c>
      <c r="DS23" t="n">
        <v>7.56664</v>
      </c>
      <c r="DT23" t="n">
        <v>1499.985</v>
      </c>
      <c r="DU23" t="n">
        <v>0.9729950000000001</v>
      </c>
      <c r="DV23" t="n">
        <v>0.0270045</v>
      </c>
      <c r="DW23" t="n">
        <v>0</v>
      </c>
      <c r="DX23" t="n">
        <v>192.267333333333</v>
      </c>
      <c r="DY23" t="n">
        <v>4.99999</v>
      </c>
      <c r="DZ23" t="n">
        <v>2961.26833333333</v>
      </c>
      <c r="EA23" t="n">
        <v>14882.45</v>
      </c>
      <c r="EB23" t="n">
        <v>37.125</v>
      </c>
      <c r="EC23" t="n">
        <v>38.687</v>
      </c>
      <c r="ED23" t="n">
        <v>37.75</v>
      </c>
      <c r="EE23" t="n">
        <v>38.125</v>
      </c>
      <c r="EF23" t="n">
        <v>38.7395</v>
      </c>
      <c r="EG23" t="n">
        <v>1454.615</v>
      </c>
      <c r="EH23" t="n">
        <v>40.37</v>
      </c>
      <c r="EI23" t="n">
        <v>0</v>
      </c>
      <c r="EJ23" t="n">
        <v>3077.09999990463</v>
      </c>
      <c r="EK23" t="n">
        <v>0</v>
      </c>
      <c r="EL23" t="n">
        <v>192.23316</v>
      </c>
      <c r="EM23" t="n">
        <v>-1.92499998098488</v>
      </c>
      <c r="EN23" t="n">
        <v>16.1076923243448</v>
      </c>
      <c r="EO23" t="n">
        <v>2960.3864</v>
      </c>
      <c r="EP23" t="n">
        <v>15</v>
      </c>
      <c r="EQ23" t="n">
        <v>1792293873.1</v>
      </c>
      <c r="ER23" t="inlineStr">
        <is>
          <t>12:24:33</t>
        </is>
      </c>
      <c r="ES23" t="n">
        <v>1792293871.1</v>
      </c>
      <c r="ET23" t="n">
        <v>1792293873.1</v>
      </c>
      <c r="EU23" t="n">
        <v>29</v>
      </c>
      <c r="EV23" t="n">
        <v>0.03</v>
      </c>
      <c r="EW23" t="n">
        <v>0.001</v>
      </c>
      <c r="EX23" t="n">
        <v>-0.223</v>
      </c>
      <c r="EY23" t="n">
        <v>-0.165</v>
      </c>
      <c r="EZ23" t="n">
        <v>400</v>
      </c>
      <c r="FA23" t="n">
        <v>16</v>
      </c>
      <c r="FB23" t="n">
        <v>0.4</v>
      </c>
      <c r="FC23" t="n">
        <v>0.06</v>
      </c>
      <c r="FD23" t="n">
        <v>16.355442483532</v>
      </c>
      <c r="FE23" t="n">
        <v>-0.13099953760356</v>
      </c>
      <c r="FF23" t="n">
        <v>0.09849865991433771</v>
      </c>
      <c r="FG23" t="n">
        <v>1</v>
      </c>
      <c r="FH23" t="n">
        <v>-7.23383428571428</v>
      </c>
      <c r="FI23" t="n">
        <v>0.0234888311688199</v>
      </c>
      <c r="FJ23" t="n">
        <v>0.0384856072752781</v>
      </c>
      <c r="FK23" t="n">
        <v>1</v>
      </c>
      <c r="FL23" t="n">
        <v>192.133794117647</v>
      </c>
      <c r="FM23" t="n">
        <v>0.803896109429489</v>
      </c>
      <c r="FN23" t="n">
        <v>0.415663380450759</v>
      </c>
      <c r="FO23" t="n">
        <v>1</v>
      </c>
      <c r="FP23" t="n">
        <v>3</v>
      </c>
      <c r="FQ23" t="n">
        <v>3</v>
      </c>
      <c r="FR23" t="inlineStr">
        <is>
          <t>3/3</t>
        </is>
      </c>
      <c r="FS23" t="n">
        <v>100</v>
      </c>
      <c r="FT23" t="n">
        <v>100</v>
      </c>
      <c r="FU23" t="n">
        <v>-0.226</v>
      </c>
      <c r="FV23" t="n">
        <v>-0.1436</v>
      </c>
      <c r="FW23" t="n">
        <v>-0.297486713759508</v>
      </c>
      <c r="FX23" t="n">
        <v>-6.16732984266029e-05</v>
      </c>
      <c r="FY23" t="n">
        <v>6.19398071816742e-07</v>
      </c>
      <c r="FZ23" t="n">
        <v>3.19222985850634e-12</v>
      </c>
      <c r="GA23" t="n">
        <v>-0.0621012413660647</v>
      </c>
      <c r="GB23" t="n">
        <v>-0.0257783215012692</v>
      </c>
      <c r="GC23" t="n">
        <v>0.00133723821780375</v>
      </c>
      <c r="GD23" t="n">
        <v>-7.42160749481374e-06</v>
      </c>
      <c r="GE23" t="n">
        <v>7</v>
      </c>
      <c r="GF23" t="n">
        <v>2154</v>
      </c>
      <c r="GG23" t="n">
        <v>2</v>
      </c>
      <c r="GH23" t="n">
        <v>20</v>
      </c>
      <c r="GI23" t="n">
        <v>1.2</v>
      </c>
      <c r="GJ23" t="n">
        <v>1.2</v>
      </c>
      <c r="GK23" t="n">
        <v>1.0376</v>
      </c>
      <c r="GL23" t="n">
        <v>2.65137</v>
      </c>
      <c r="GM23" t="n">
        <v>1.65161</v>
      </c>
      <c r="GN23" t="n">
        <v>2.27661</v>
      </c>
      <c r="GO23" t="n">
        <v>1.5979</v>
      </c>
      <c r="GP23" t="n">
        <v>2.59644</v>
      </c>
      <c r="GQ23" t="n">
        <v>36.1989</v>
      </c>
      <c r="GR23" t="n">
        <v>23.7898</v>
      </c>
      <c r="GS23" t="n">
        <v>18</v>
      </c>
      <c r="GT23" t="n">
        <v>504.446</v>
      </c>
      <c r="GU23" t="n">
        <v>531.739</v>
      </c>
      <c r="GV23" t="n">
        <v>21.2691</v>
      </c>
      <c r="GW23" t="n">
        <v>29.3798</v>
      </c>
      <c r="GX23" t="n">
        <v>30.0001</v>
      </c>
      <c r="GY23" t="n">
        <v>29.5443</v>
      </c>
      <c r="GZ23" t="n">
        <v>29.6019</v>
      </c>
      <c r="HA23" t="n">
        <v>20.7627</v>
      </c>
      <c r="HB23" t="n">
        <v>26.1714</v>
      </c>
      <c r="HC23" t="n">
        <v>24.8654</v>
      </c>
      <c r="HD23" t="n">
        <v>21.2737</v>
      </c>
      <c r="HE23" t="n">
        <v>400</v>
      </c>
      <c r="HF23" t="n">
        <v>15.5795</v>
      </c>
      <c r="HG23" t="n">
        <v>98.078</v>
      </c>
      <c r="HH23" t="n">
        <v>94.5804</v>
      </c>
    </row>
    <row r="24">
      <c r="A24" t="n">
        <v>8</v>
      </c>
      <c r="B24" t="n">
        <v>1792294094.1</v>
      </c>
      <c r="C24" t="n">
        <v>917.099999904633</v>
      </c>
      <c r="D24" t="inlineStr">
        <is>
          <t>20261018 12:28:14</t>
        </is>
      </c>
      <c r="E24" t="inlineStr">
        <is>
          <t>12:28:14</t>
        </is>
      </c>
      <c r="F24" t="n">
        <v>5</v>
      </c>
      <c r="G24" t="n">
        <v>1792294090.6</v>
      </c>
      <c r="H24">
        <f>(I24)/1000</f>
        <v/>
      </c>
      <c r="I24">
        <f>1000*DI24*AG24*(DE24-DF24)/(100*CX24*(1000-AG24*DE24))</f>
        <v/>
      </c>
      <c r="J24">
        <f>DI24*AG24*(DD24-DC24*(1000-AG24*DF24)/(1000-AG24*DE24))/(100*CX24)</f>
        <v/>
      </c>
      <c r="K24">
        <f>DC24 - IF(AG24&gt;1, J24*CX24*100.0/(AI24), 0)</f>
        <v/>
      </c>
      <c r="L24">
        <f>((R24-H24/2)*K24-J24)/(R24+H24/2)</f>
        <v/>
      </c>
      <c r="M24">
        <f>L24*(DJ24+DK24)/1000.0</f>
        <v/>
      </c>
      <c r="N24">
        <f>(DC24 - IF(AG24&gt;1, J24*CX24*100.0/(AI24), 0))*(DJ24+DK24)/1000.0</f>
        <v/>
      </c>
      <c r="O24">
        <f>2.0/((1/Q24-1/P24)+SIGN(Q24)*SQRT((1/Q24-1/P24)*(1/Q24-1/P24) + 4*CY24/((CY24+1)*(CY24+1))*(2*1/Q24*1/P24-1/P24*1/P24)))</f>
        <v/>
      </c>
      <c r="P24">
        <f>IF(LEFT(CZ24,1)&lt;&gt;"0",IF(LEFT(CZ24,1)="1",3.0,DA24),$D$5+$E$5*(DQ24*DJ24/($K$5*1000))+$F$5*(DQ24*DJ24/($K$5*1000))*MAX(MIN(CX24,$J$5),$I$5)*MAX(MIN(CX24,$J$5),$I$5)+$G$5*MAX(MIN(CX24,$J$5),$I$5)*(DQ24*DJ24/($K$5*1000))+$H$5*(DQ24*DJ24/($K$5*1000))*(DQ24*DJ24/($K$5*1000)))</f>
        <v/>
      </c>
      <c r="Q24">
        <f>H24*(1000-(1000*0.61365*exp(17.502*U24/(240.97+U24))/(DJ24+DK24)+DE24)/2)/(1000*0.61365*exp(17.502*U24/(240.97+U24))/(DJ24+DK24)-DE24)</f>
        <v/>
      </c>
      <c r="R24">
        <f>1/((CY24+1)/(O24/1.6)+1/(P24/1.37)) + CY24/((CY24+1)/(O24/1.6) + CY24/(P24/1.37))</f>
        <v/>
      </c>
      <c r="S24">
        <f>(CT24*CW24)</f>
        <v/>
      </c>
      <c r="T24">
        <f>(DL24+(S24+2*0.95*5.67E-8*(((DL24+$B$7)+273)^4-(DL24+273)^4)-44100*H24)/(1.84*29.3*P24+8*0.95*5.67E-8*(DL24+273)^3))</f>
        <v/>
      </c>
      <c r="U24">
        <f>($C$7*DM24+$D$7*DN24+$E$7*T24)</f>
        <v/>
      </c>
      <c r="V24">
        <f>0.61365*exp(17.502*U24/(240.97+U24))</f>
        <v/>
      </c>
      <c r="W24">
        <f>(X24/Y24*100)</f>
        <v/>
      </c>
      <c r="X24">
        <f>DE24*(DJ24+DK24)/1000</f>
        <v/>
      </c>
      <c r="Y24">
        <f>0.61365*exp(17.502*DL24/(240.97+DL24))</f>
        <v/>
      </c>
      <c r="Z24">
        <f>(V24-DE24*(DJ24+DK24)/1000)</f>
        <v/>
      </c>
      <c r="AA24">
        <f>(-H24*44100)</f>
        <v/>
      </c>
      <c r="AB24">
        <f>2*29.3*P24*0.92*(DL24-U24)</f>
        <v/>
      </c>
      <c r="AC24">
        <f>2*0.95*5.67E-8*(((DL24+$B$7)+273)^4-(U24+273)^4)</f>
        <v/>
      </c>
      <c r="AD24">
        <f>S24+AC24+AA24+AB24</f>
        <v/>
      </c>
      <c r="AE24" t="n">
        <v>0</v>
      </c>
      <c r="AF24" t="n">
        <v>0</v>
      </c>
      <c r="AG24">
        <f>IF(AE24*$H$13&gt;=AI24,1.0,(AI24/(AI24-AE24*$H$13)))</f>
        <v/>
      </c>
      <c r="AH24">
        <f>(AG24-1)*100</f>
        <v/>
      </c>
      <c r="AI24">
        <f>MAX(0,($B$13+$C$13*DQ24)/(1+$D$13*DQ24)*DJ24/(DL24+273)*$E$13)</f>
        <v/>
      </c>
      <c r="AJ24" t="inlineStr">
        <is>
          <t>-</t>
        </is>
      </c>
      <c r="AK24" t="inlineStr">
        <is>
          <t>-</t>
        </is>
      </c>
      <c r="AL24" t="n">
        <v>0</v>
      </c>
      <c r="AM24" t="n">
        <v>0</v>
      </c>
      <c r="AN24">
        <f>1-AL24/AM24</f>
        <v/>
      </c>
      <c r="AO24" t="n">
        <v>0</v>
      </c>
      <c r="AP24" t="inlineStr">
        <is>
          <t>-</t>
        </is>
      </c>
      <c r="AQ24" t="inlineStr">
        <is>
          <t>-</t>
        </is>
      </c>
      <c r="AR24" t="n">
        <v>0</v>
      </c>
      <c r="AS24" t="n">
        <v>0</v>
      </c>
      <c r="AT24">
        <f>1-AR24/AS24</f>
        <v/>
      </c>
      <c r="AU24" t="n">
        <v>0.5</v>
      </c>
      <c r="AV24">
        <f>CU24</f>
        <v/>
      </c>
      <c r="AW24">
        <f>J24</f>
        <v/>
      </c>
      <c r="AX24">
        <f>AT24*AU24*AV24</f>
        <v/>
      </c>
      <c r="AY24">
        <f>(AW24-AO24)/AV24</f>
        <v/>
      </c>
      <c r="AZ24">
        <f>(AM24-AS24)/AS24</f>
        <v/>
      </c>
      <c r="BA24">
        <f>AL24/(AN24+AL24/AS24)</f>
        <v/>
      </c>
      <c r="BB24" t="inlineStr">
        <is>
          <t>-</t>
        </is>
      </c>
      <c r="BC24" t="n">
        <v>0</v>
      </c>
      <c r="BD24">
        <f>IF(BC24&lt;&gt;0, BC24, BA24)</f>
        <v/>
      </c>
      <c r="BE24">
        <f>1-BD24/AS24</f>
        <v/>
      </c>
      <c r="BF24">
        <f>(AS24-AR24)/(AS24-BD24)</f>
        <v/>
      </c>
      <c r="BG24">
        <f>(AM24-AS24)/(AM24-BD24)</f>
        <v/>
      </c>
      <c r="BH24">
        <f>(AS24-AR24)/(AS24-AL24)</f>
        <v/>
      </c>
      <c r="BI24">
        <f>(AM24-AS24)/(AM24-AL24)</f>
        <v/>
      </c>
      <c r="BJ24">
        <f>(BF24*BD24/AR24)</f>
        <v/>
      </c>
      <c r="BK24">
        <f>(1-BJ24)</f>
        <v/>
      </c>
      <c r="BL24" t="n">
        <v>229</v>
      </c>
      <c r="BM24" t="n">
        <v>290</v>
      </c>
      <c r="BN24" t="n">
        <v>1011.23</v>
      </c>
      <c r="BO24" t="n">
        <v>125</v>
      </c>
      <c r="BP24" t="n">
        <v>8125.4</v>
      </c>
      <c r="BQ24" t="n">
        <v>1006.99</v>
      </c>
      <c r="BR24" t="n">
        <v>4.24</v>
      </c>
      <c r="BS24" t="n">
        <v>300</v>
      </c>
      <c r="BT24" t="n">
        <v>19.1</v>
      </c>
      <c r="BU24" t="n">
        <v>1050.94976592848</v>
      </c>
      <c r="BV24" t="n">
        <v>2.96753520531848</v>
      </c>
      <c r="BW24" t="n">
        <v>-35.7187275448967</v>
      </c>
      <c r="BX24" t="n">
        <v>2.15538353963423</v>
      </c>
      <c r="BY24" t="n">
        <v>0.907476783931123</v>
      </c>
      <c r="BZ24" t="n">
        <v>-0.0053713552836485</v>
      </c>
      <c r="CA24" t="n">
        <v>290</v>
      </c>
      <c r="CB24" t="n">
        <v>995.53</v>
      </c>
      <c r="CC24" t="n">
        <v>615</v>
      </c>
      <c r="CD24" t="n">
        <v>8114.81</v>
      </c>
      <c r="CE24" t="n">
        <v>1006.93</v>
      </c>
      <c r="CF24" t="n">
        <v>-11.4</v>
      </c>
      <c r="CT24">
        <f>$B$11*DR24+$C$11*DS24+$F$11*DT24*(1-DW24)</f>
        <v/>
      </c>
      <c r="CU24">
        <f>CT24*CV24</f>
        <v/>
      </c>
      <c r="CV24">
        <f>($B$11*$D$9+$C$11*$D$9+$F$11*((EG24+DY24)/MAX(EG24+DY24+EH24, 0.1)*$I$9+EH24/MAX(EG24+DY24+EH24, 0.1)*$J$9))/($B$11+$C$11+$F$11)</f>
        <v/>
      </c>
      <c r="CW24">
        <f>($B$11*$K$9+$C$11*$K$9+$F$11*((EG24+DY24)/MAX(EG24+DY24+EH24, 0.1)*$P$9+EH24/MAX(EG24+DY24+EH24, 0.1)*$Q$9))/($B$11+$C$11+$F$11)</f>
        <v/>
      </c>
      <c r="CX24" t="n">
        <v>2</v>
      </c>
      <c r="CY24" t="n">
        <v>0.5</v>
      </c>
      <c r="CZ24" t="inlineStr">
        <is>
          <t>0: Broadleaf</t>
        </is>
      </c>
      <c r="DA24" t="n">
        <v>2</v>
      </c>
      <c r="DB24" t="n">
        <v>1792294090.6</v>
      </c>
      <c r="DC24" t="n">
        <v>690.173666666667</v>
      </c>
      <c r="DD24" t="n">
        <v>699.983666666667</v>
      </c>
      <c r="DE24" t="n">
        <v>17.3195</v>
      </c>
      <c r="DF24" t="n">
        <v>15.5857</v>
      </c>
      <c r="DG24" t="n">
        <v>689.838833333333</v>
      </c>
      <c r="DH24" t="n">
        <v>17.4651333333333</v>
      </c>
      <c r="DI24" t="n">
        <v>500.009166666667</v>
      </c>
      <c r="DJ24" t="n">
        <v>100.932333333333</v>
      </c>
      <c r="DK24" t="n">
        <v>0.09998131666666669</v>
      </c>
      <c r="DL24" t="n">
        <v>25.0093833333333</v>
      </c>
      <c r="DM24" t="n">
        <v>25.0045333333333</v>
      </c>
      <c r="DN24" t="n">
        <v>999.9</v>
      </c>
      <c r="DO24" t="n">
        <v>0</v>
      </c>
      <c r="DP24" t="n">
        <v>0</v>
      </c>
      <c r="DQ24" t="n">
        <v>10007.925</v>
      </c>
      <c r="DR24" t="n">
        <v>0</v>
      </c>
      <c r="DS24" t="n">
        <v>7.62311</v>
      </c>
      <c r="DT24" t="n">
        <v>1500.01833333333</v>
      </c>
      <c r="DU24" t="n">
        <v>0.972994166666667</v>
      </c>
      <c r="DV24" t="n">
        <v>0.0270053666666667</v>
      </c>
      <c r="DW24" t="n">
        <v>0</v>
      </c>
      <c r="DX24" t="n">
        <v>194.7025</v>
      </c>
      <c r="DY24" t="n">
        <v>4.99999</v>
      </c>
      <c r="DZ24" t="n">
        <v>2997.64333333333</v>
      </c>
      <c r="EA24" t="n">
        <v>14882.7166666667</v>
      </c>
      <c r="EB24" t="n">
        <v>36.979</v>
      </c>
      <c r="EC24" t="n">
        <v>38.5</v>
      </c>
      <c r="ED24" t="n">
        <v>37.5413333333333</v>
      </c>
      <c r="EE24" t="n">
        <v>38.062</v>
      </c>
      <c r="EF24" t="n">
        <v>38.562</v>
      </c>
      <c r="EG24" t="n">
        <v>1454.64833333333</v>
      </c>
      <c r="EH24" t="n">
        <v>40.37</v>
      </c>
      <c r="EI24" t="n">
        <v>0</v>
      </c>
      <c r="EJ24" t="n">
        <v>3225.90000009537</v>
      </c>
      <c r="EK24" t="n">
        <v>0</v>
      </c>
      <c r="EL24" t="n">
        <v>194.69396</v>
      </c>
      <c r="EM24" t="n">
        <v>0.437692295833594</v>
      </c>
      <c r="EN24" t="n">
        <v>-16.5946153667784</v>
      </c>
      <c r="EO24" t="n">
        <v>2998.6744</v>
      </c>
      <c r="EP24" t="n">
        <v>15</v>
      </c>
      <c r="EQ24" t="n">
        <v>1792294004.1</v>
      </c>
      <c r="ER24" t="inlineStr">
        <is>
          <t>12:26:44</t>
        </is>
      </c>
      <c r="ES24" t="n">
        <v>1792293999.1</v>
      </c>
      <c r="ET24" t="n">
        <v>1792294004.1</v>
      </c>
      <c r="EU24" t="n">
        <v>30</v>
      </c>
      <c r="EV24" t="n">
        <v>0.379</v>
      </c>
      <c r="EW24" t="n">
        <v>-0.002</v>
      </c>
      <c r="EX24" t="n">
        <v>0.343</v>
      </c>
      <c r="EY24" t="n">
        <v>-0.167</v>
      </c>
      <c r="EZ24" t="n">
        <v>700</v>
      </c>
      <c r="FA24" t="n">
        <v>16</v>
      </c>
      <c r="FB24" t="n">
        <v>0.11</v>
      </c>
      <c r="FC24" t="n">
        <v>0.05</v>
      </c>
      <c r="FD24" t="n">
        <v>21.5179570872096</v>
      </c>
      <c r="FE24" t="n">
        <v>0.172570930558608</v>
      </c>
      <c r="FF24" t="n">
        <v>0.0998334689803554</v>
      </c>
      <c r="FG24" t="n">
        <v>1</v>
      </c>
      <c r="FH24" t="n">
        <v>-9.828689000000001</v>
      </c>
      <c r="FI24" t="n">
        <v>-0.0255455639097544</v>
      </c>
      <c r="FJ24" t="n">
        <v>0.0392703867946318</v>
      </c>
      <c r="FK24" t="n">
        <v>1</v>
      </c>
      <c r="FL24" t="n">
        <v>194.784617647059</v>
      </c>
      <c r="FM24" t="n">
        <v>-0.519312450435633</v>
      </c>
      <c r="FN24" t="n">
        <v>0.369469812084183</v>
      </c>
      <c r="FO24" t="n">
        <v>1</v>
      </c>
      <c r="FP24" t="n">
        <v>3</v>
      </c>
      <c r="FQ24" t="n">
        <v>3</v>
      </c>
      <c r="FR24" t="inlineStr">
        <is>
          <t>3/3</t>
        </is>
      </c>
      <c r="FS24" t="n">
        <v>100</v>
      </c>
      <c r="FT24" t="n">
        <v>100</v>
      </c>
      <c r="FU24" t="n">
        <v>0.335</v>
      </c>
      <c r="FV24" t="n">
        <v>-0.1457</v>
      </c>
      <c r="FW24" t="n">
        <v>0.0814334557272485</v>
      </c>
      <c r="FX24" t="n">
        <v>-6.16732984266029e-05</v>
      </c>
      <c r="FY24" t="n">
        <v>6.19398071816742e-07</v>
      </c>
      <c r="FZ24" t="n">
        <v>3.19222985850634e-12</v>
      </c>
      <c r="GA24" t="n">
        <v>-0.0637687249344403</v>
      </c>
      <c r="GB24" t="n">
        <v>-0.0257783215012692</v>
      </c>
      <c r="GC24" t="n">
        <v>0.00133723821780375</v>
      </c>
      <c r="GD24" t="n">
        <v>-7.42160749481374e-06</v>
      </c>
      <c r="GE24" t="n">
        <v>7</v>
      </c>
      <c r="GF24" t="n">
        <v>2154</v>
      </c>
      <c r="GG24" t="n">
        <v>2</v>
      </c>
      <c r="GH24" t="n">
        <v>20</v>
      </c>
      <c r="GI24" t="n">
        <v>1.6</v>
      </c>
      <c r="GJ24" t="n">
        <v>1.5</v>
      </c>
      <c r="GK24" t="n">
        <v>1.62231</v>
      </c>
      <c r="GL24" t="n">
        <v>2.64526</v>
      </c>
      <c r="GM24" t="n">
        <v>1.65161</v>
      </c>
      <c r="GN24" t="n">
        <v>2.27661</v>
      </c>
      <c r="GO24" t="n">
        <v>1.5979</v>
      </c>
      <c r="GP24" t="n">
        <v>2.67212</v>
      </c>
      <c r="GQ24" t="n">
        <v>36.3165</v>
      </c>
      <c r="GR24" t="n">
        <v>23.7898</v>
      </c>
      <c r="GS24" t="n">
        <v>18</v>
      </c>
      <c r="GT24" t="n">
        <v>504.466</v>
      </c>
      <c r="GU24" t="n">
        <v>531.566</v>
      </c>
      <c r="GV24" t="n">
        <v>21.2256</v>
      </c>
      <c r="GW24" t="n">
        <v>29.3949</v>
      </c>
      <c r="GX24" t="n">
        <v>30.0001</v>
      </c>
      <c r="GY24" t="n">
        <v>29.562</v>
      </c>
      <c r="GZ24" t="n">
        <v>29.6196</v>
      </c>
      <c r="HA24" t="n">
        <v>32.4335</v>
      </c>
      <c r="HB24" t="n">
        <v>26.2147</v>
      </c>
      <c r="HC24" t="n">
        <v>24.4248</v>
      </c>
      <c r="HD24" t="n">
        <v>21.2234</v>
      </c>
      <c r="HE24" t="n">
        <v>700</v>
      </c>
      <c r="HF24" t="n">
        <v>15.5857</v>
      </c>
      <c r="HG24" t="n">
        <v>98.07729999999999</v>
      </c>
      <c r="HH24" t="n">
        <v>94.58029999999999</v>
      </c>
    </row>
    <row r="25">
      <c r="A25" t="n">
        <v>9</v>
      </c>
      <c r="B25" t="n">
        <v>1792294245.1</v>
      </c>
      <c r="C25" t="n">
        <v>1068.09999990463</v>
      </c>
      <c r="D25" t="inlineStr">
        <is>
          <t>20261018 12:30:45</t>
        </is>
      </c>
      <c r="E25" t="inlineStr">
        <is>
          <t>12:30:45</t>
        </is>
      </c>
      <c r="F25" t="n">
        <v>5</v>
      </c>
      <c r="G25" t="n">
        <v>1792294241.6</v>
      </c>
      <c r="H25">
        <f>(I25)/1000</f>
        <v/>
      </c>
      <c r="I25">
        <f>1000*DI25*AG25*(DE25-DF25)/(100*CX25*(1000-AG25*DE25))</f>
        <v/>
      </c>
      <c r="J25">
        <f>DI25*AG25*(DD25-DC25*(1000-AG25*DF25)/(1000-AG25*DE25))/(100*CX25)</f>
        <v/>
      </c>
      <c r="K25">
        <f>DC25 - IF(AG25&gt;1, J25*CX25*100.0/(AI25), 0)</f>
        <v/>
      </c>
      <c r="L25">
        <f>((R25-H25/2)*K25-J25)/(R25+H25/2)</f>
        <v/>
      </c>
      <c r="M25">
        <f>L25*(DJ25+DK25)/1000.0</f>
        <v/>
      </c>
      <c r="N25">
        <f>(DC25 - IF(AG25&gt;1, J25*CX25*100.0/(AI25), 0))*(DJ25+DK25)/1000.0</f>
        <v/>
      </c>
      <c r="O25">
        <f>2.0/((1/Q25-1/P25)+SIGN(Q25)*SQRT((1/Q25-1/P25)*(1/Q25-1/P25) + 4*CY25/((CY25+1)*(CY25+1))*(2*1/Q25*1/P25-1/P25*1/P25)))</f>
        <v/>
      </c>
      <c r="P25">
        <f>IF(LEFT(CZ25,1)&lt;&gt;"0",IF(LEFT(CZ25,1)="1",3.0,DA25),$D$5+$E$5*(DQ25*DJ25/($K$5*1000))+$F$5*(DQ25*DJ25/($K$5*1000))*MAX(MIN(CX25,$J$5),$I$5)*MAX(MIN(CX25,$J$5),$I$5)+$G$5*MAX(MIN(CX25,$J$5),$I$5)*(DQ25*DJ25/($K$5*1000))+$H$5*(DQ25*DJ25/($K$5*1000))*(DQ25*DJ25/($K$5*1000)))</f>
        <v/>
      </c>
      <c r="Q25">
        <f>H25*(1000-(1000*0.61365*exp(17.502*U25/(240.97+U25))/(DJ25+DK25)+DE25)/2)/(1000*0.61365*exp(17.502*U25/(240.97+U25))/(DJ25+DK25)-DE25)</f>
        <v/>
      </c>
      <c r="R25">
        <f>1/((CY25+1)/(O25/1.6)+1/(P25/1.37)) + CY25/((CY25+1)/(O25/1.6) + CY25/(P25/1.37))</f>
        <v/>
      </c>
      <c r="S25">
        <f>(CT25*CW25)</f>
        <v/>
      </c>
      <c r="T25">
        <f>(DL25+(S25+2*0.95*5.67E-8*(((DL25+$B$7)+273)^4-(DL25+273)^4)-44100*H25)/(1.84*29.3*P25+8*0.95*5.67E-8*(DL25+273)^3))</f>
        <v/>
      </c>
      <c r="U25">
        <f>($C$7*DM25+$D$7*DN25+$E$7*T25)</f>
        <v/>
      </c>
      <c r="V25">
        <f>0.61365*exp(17.502*U25/(240.97+U25))</f>
        <v/>
      </c>
      <c r="W25">
        <f>(X25/Y25*100)</f>
        <v/>
      </c>
      <c r="X25">
        <f>DE25*(DJ25+DK25)/1000</f>
        <v/>
      </c>
      <c r="Y25">
        <f>0.61365*exp(17.502*DL25/(240.97+DL25))</f>
        <v/>
      </c>
      <c r="Z25">
        <f>(V25-DE25*(DJ25+DK25)/1000)</f>
        <v/>
      </c>
      <c r="AA25">
        <f>(-H25*44100)</f>
        <v/>
      </c>
      <c r="AB25">
        <f>2*29.3*P25*0.92*(DL25-U25)</f>
        <v/>
      </c>
      <c r="AC25">
        <f>2*0.95*5.67E-8*(((DL25+$B$7)+273)^4-(U25+273)^4)</f>
        <v/>
      </c>
      <c r="AD25">
        <f>S25+AC25+AA25+AB25</f>
        <v/>
      </c>
      <c r="AE25" t="n">
        <v>0</v>
      </c>
      <c r="AF25" t="n">
        <v>0</v>
      </c>
      <c r="AG25">
        <f>IF(AE25*$H$13&gt;=AI25,1.0,(AI25/(AI25-AE25*$H$13)))</f>
        <v/>
      </c>
      <c r="AH25">
        <f>(AG25-1)*100</f>
        <v/>
      </c>
      <c r="AI25">
        <f>MAX(0,($B$13+$C$13*DQ25)/(1+$D$13*DQ25)*DJ25/(DL25+273)*$E$13)</f>
        <v/>
      </c>
      <c r="AJ25" t="inlineStr">
        <is>
          <t>-</t>
        </is>
      </c>
      <c r="AK25" t="inlineStr">
        <is>
          <t>-</t>
        </is>
      </c>
      <c r="AL25" t="n">
        <v>0</v>
      </c>
      <c r="AM25" t="n">
        <v>0</v>
      </c>
      <c r="AN25">
        <f>1-AL25/AM25</f>
        <v/>
      </c>
      <c r="AO25" t="n">
        <v>0</v>
      </c>
      <c r="AP25" t="inlineStr">
        <is>
          <t>-</t>
        </is>
      </c>
      <c r="AQ25" t="inlineStr">
        <is>
          <t>-</t>
        </is>
      </c>
      <c r="AR25" t="n">
        <v>0</v>
      </c>
      <c r="AS25" t="n">
        <v>0</v>
      </c>
      <c r="AT25">
        <f>1-AR25/AS25</f>
        <v/>
      </c>
      <c r="AU25" t="n">
        <v>0.5</v>
      </c>
      <c r="AV25">
        <f>CU25</f>
        <v/>
      </c>
      <c r="AW25">
        <f>J25</f>
        <v/>
      </c>
      <c r="AX25">
        <f>AT25*AU25*AV25</f>
        <v/>
      </c>
      <c r="AY25">
        <f>(AW25-AO25)/AV25</f>
        <v/>
      </c>
      <c r="AZ25">
        <f>(AM25-AS25)/AS25</f>
        <v/>
      </c>
      <c r="BA25">
        <f>AL25/(AN25+AL25/AS25)</f>
        <v/>
      </c>
      <c r="BB25" t="inlineStr">
        <is>
          <t>-</t>
        </is>
      </c>
      <c r="BC25" t="n">
        <v>0</v>
      </c>
      <c r="BD25">
        <f>IF(BC25&lt;&gt;0, BC25, BA25)</f>
        <v/>
      </c>
      <c r="BE25">
        <f>1-BD25/AS25</f>
        <v/>
      </c>
      <c r="BF25">
        <f>(AS25-AR25)/(AS25-BD25)</f>
        <v/>
      </c>
      <c r="BG25">
        <f>(AM25-AS25)/(AM25-BD25)</f>
        <v/>
      </c>
      <c r="BH25">
        <f>(AS25-AR25)/(AS25-AL25)</f>
        <v/>
      </c>
      <c r="BI25">
        <f>(AM25-AS25)/(AM25-AL25)</f>
        <v/>
      </c>
      <c r="BJ25">
        <f>(BF25*BD25/AR25)</f>
        <v/>
      </c>
      <c r="BK25">
        <f>(1-BJ25)</f>
        <v/>
      </c>
      <c r="BL25" t="n">
        <v>229</v>
      </c>
      <c r="BM25" t="n">
        <v>290</v>
      </c>
      <c r="BN25" t="n">
        <v>1011.23</v>
      </c>
      <c r="BO25" t="n">
        <v>125</v>
      </c>
      <c r="BP25" t="n">
        <v>8125.4</v>
      </c>
      <c r="BQ25" t="n">
        <v>1006.99</v>
      </c>
      <c r="BR25" t="n">
        <v>4.24</v>
      </c>
      <c r="BS25" t="n">
        <v>300</v>
      </c>
      <c r="BT25" t="n">
        <v>19.1</v>
      </c>
      <c r="BU25" t="n">
        <v>1050.94976592848</v>
      </c>
      <c r="BV25" t="n">
        <v>2.96753520531848</v>
      </c>
      <c r="BW25" t="n">
        <v>-35.7187275448967</v>
      </c>
      <c r="BX25" t="n">
        <v>2.15538353963423</v>
      </c>
      <c r="BY25" t="n">
        <v>0.907476783931123</v>
      </c>
      <c r="BZ25" t="n">
        <v>-0.0053713552836485</v>
      </c>
      <c r="CA25" t="n">
        <v>290</v>
      </c>
      <c r="CB25" t="n">
        <v>995.53</v>
      </c>
      <c r="CC25" t="n">
        <v>615</v>
      </c>
      <c r="CD25" t="n">
        <v>8114.81</v>
      </c>
      <c r="CE25" t="n">
        <v>1006.93</v>
      </c>
      <c r="CF25" t="n">
        <v>-11.4</v>
      </c>
      <c r="CT25">
        <f>$B$11*DR25+$C$11*DS25+$F$11*DT25*(1-DW25)</f>
        <v/>
      </c>
      <c r="CU25">
        <f>CT25*CV25</f>
        <v/>
      </c>
      <c r="CV25">
        <f>($B$11*$D$9+$C$11*$D$9+$F$11*((EG25+DY25)/MAX(EG25+DY25+EH25, 0.1)*$I$9+EH25/MAX(EG25+DY25+EH25, 0.1)*$J$9))/($B$11+$C$11+$F$11)</f>
        <v/>
      </c>
      <c r="CW25">
        <f>($B$11*$K$9+$C$11*$K$9+$F$11*((EG25+DY25)/MAX(EG25+DY25+EH25, 0.1)*$P$9+EH25/MAX(EG25+DY25+EH25, 0.1)*$Q$9))/($B$11+$C$11+$F$11)</f>
        <v/>
      </c>
      <c r="CX25" t="n">
        <v>2</v>
      </c>
      <c r="CY25" t="n">
        <v>0.5</v>
      </c>
      <c r="CZ25" t="inlineStr">
        <is>
          <t>0: Broadleaf</t>
        </is>
      </c>
      <c r="DA25" t="n">
        <v>2</v>
      </c>
      <c r="DB25" t="n">
        <v>1792294241.6</v>
      </c>
      <c r="DC25" t="n">
        <v>989.352666666667</v>
      </c>
      <c r="DD25" t="n">
        <v>1000.00866666667</v>
      </c>
      <c r="DE25" t="n">
        <v>17.2929</v>
      </c>
      <c r="DF25" t="n">
        <v>15.61185</v>
      </c>
      <c r="DG25" t="n">
        <v>988.582833333333</v>
      </c>
      <c r="DH25" t="n">
        <v>17.44305</v>
      </c>
      <c r="DI25" t="n">
        <v>500.010833333333</v>
      </c>
      <c r="DJ25" t="n">
        <v>100.924</v>
      </c>
      <c r="DK25" t="n">
        <v>0.100028633333333</v>
      </c>
      <c r="DL25" t="n">
        <v>24.9751333333333</v>
      </c>
      <c r="DM25" t="n">
        <v>24.9944</v>
      </c>
      <c r="DN25" t="n">
        <v>999.9</v>
      </c>
      <c r="DO25" t="n">
        <v>0</v>
      </c>
      <c r="DP25" t="n">
        <v>0</v>
      </c>
      <c r="DQ25" t="n">
        <v>9996.79166666667</v>
      </c>
      <c r="DR25" t="n">
        <v>0</v>
      </c>
      <c r="DS25" t="n">
        <v>7.41747166666667</v>
      </c>
      <c r="DT25" t="n">
        <v>1500.08333333333</v>
      </c>
      <c r="DU25" t="n">
        <v>0.972994166666667</v>
      </c>
      <c r="DV25" t="n">
        <v>0.0270054166666667</v>
      </c>
      <c r="DW25" t="n">
        <v>0</v>
      </c>
      <c r="DX25" t="n">
        <v>191.283666666667</v>
      </c>
      <c r="DY25" t="n">
        <v>4.99999</v>
      </c>
      <c r="DZ25" t="n">
        <v>2940.07666666667</v>
      </c>
      <c r="EA25" t="n">
        <v>14883.3833333333</v>
      </c>
      <c r="EB25" t="n">
        <v>36.812</v>
      </c>
      <c r="EC25" t="n">
        <v>38.3853333333333</v>
      </c>
      <c r="ED25" t="n">
        <v>37.4163333333333</v>
      </c>
      <c r="EE25" t="n">
        <v>37.875</v>
      </c>
      <c r="EF25" t="n">
        <v>38.437</v>
      </c>
      <c r="EG25" t="n">
        <v>1454.70333333333</v>
      </c>
      <c r="EH25" t="n">
        <v>40.38</v>
      </c>
      <c r="EI25" t="n">
        <v>0</v>
      </c>
      <c r="EJ25" t="n">
        <v>3377.09999990463</v>
      </c>
      <c r="EK25" t="n">
        <v>0</v>
      </c>
      <c r="EL25" t="n">
        <v>191.00416</v>
      </c>
      <c r="EM25" t="n">
        <v>2.25200003134274</v>
      </c>
      <c r="EN25" t="n">
        <v>-7.15461536289851</v>
      </c>
      <c r="EO25" t="n">
        <v>2940.4952</v>
      </c>
      <c r="EP25" t="n">
        <v>15</v>
      </c>
      <c r="EQ25" t="n">
        <v>1792294159.1</v>
      </c>
      <c r="ER25" t="inlineStr">
        <is>
          <t>12:29:19</t>
        </is>
      </c>
      <c r="ES25" t="n">
        <v>1792294159.1</v>
      </c>
      <c r="ET25" t="n">
        <v>1792294154.1</v>
      </c>
      <c r="EU25" t="n">
        <v>31</v>
      </c>
      <c r="EV25" t="n">
        <v>0.14</v>
      </c>
      <c r="EW25" t="n">
        <v>-0.004</v>
      </c>
      <c r="EX25" t="n">
        <v>0.783</v>
      </c>
      <c r="EY25" t="n">
        <v>-0.171</v>
      </c>
      <c r="EZ25" t="n">
        <v>1000</v>
      </c>
      <c r="FA25" t="n">
        <v>16</v>
      </c>
      <c r="FB25" t="n">
        <v>0.14</v>
      </c>
      <c r="FC25" t="n">
        <v>0.02</v>
      </c>
      <c r="FD25" t="n">
        <v>22.3960708831964</v>
      </c>
      <c r="FE25" t="n">
        <v>0.0358651265771471</v>
      </c>
      <c r="FF25" t="n">
        <v>0.145934700088978</v>
      </c>
      <c r="FG25" t="n">
        <v>1</v>
      </c>
      <c r="FH25" t="n">
        <v>-10.6539142857143</v>
      </c>
      <c r="FI25" t="n">
        <v>0.009444155844129141</v>
      </c>
      <c r="FJ25" t="n">
        <v>0.0564542316581216</v>
      </c>
      <c r="FK25" t="n">
        <v>1</v>
      </c>
      <c r="FL25" t="n">
        <v>191.125647058824</v>
      </c>
      <c r="FM25" t="n">
        <v>-1.68482810605781</v>
      </c>
      <c r="FN25" t="n">
        <v>0.476789377740991</v>
      </c>
      <c r="FO25" t="n">
        <v>0</v>
      </c>
      <c r="FP25" t="n">
        <v>2</v>
      </c>
      <c r="FQ25" t="n">
        <v>3</v>
      </c>
      <c r="FR25" t="inlineStr">
        <is>
          <t>2/3</t>
        </is>
      </c>
      <c r="FS25" t="n">
        <v>100</v>
      </c>
      <c r="FT25" t="n">
        <v>100</v>
      </c>
      <c r="FU25" t="n">
        <v>0.77</v>
      </c>
      <c r="FV25" t="n">
        <v>-0.1502</v>
      </c>
      <c r="FW25" t="n">
        <v>0.222244071112238</v>
      </c>
      <c r="FX25" t="n">
        <v>-6.16732984266029e-05</v>
      </c>
      <c r="FY25" t="n">
        <v>6.19398071816742e-07</v>
      </c>
      <c r="FZ25" t="n">
        <v>3.19222985850634e-12</v>
      </c>
      <c r="GA25" t="n">
        <v>-0.0679532481994089</v>
      </c>
      <c r="GB25" t="n">
        <v>-0.0257783215012692</v>
      </c>
      <c r="GC25" t="n">
        <v>0.00133723821780375</v>
      </c>
      <c r="GD25" t="n">
        <v>-7.42160749481374e-06</v>
      </c>
      <c r="GE25" t="n">
        <v>7</v>
      </c>
      <c r="GF25" t="n">
        <v>2154</v>
      </c>
      <c r="GG25" t="n">
        <v>2</v>
      </c>
      <c r="GH25" t="n">
        <v>20</v>
      </c>
      <c r="GI25" t="n">
        <v>1.4</v>
      </c>
      <c r="GJ25" t="n">
        <v>1.5</v>
      </c>
      <c r="GK25" t="n">
        <v>2.16431</v>
      </c>
      <c r="GL25" t="n">
        <v>2.64648</v>
      </c>
      <c r="GM25" t="n">
        <v>1.65161</v>
      </c>
      <c r="GN25" t="n">
        <v>2.27661</v>
      </c>
      <c r="GO25" t="n">
        <v>1.5979</v>
      </c>
      <c r="GP25" t="n">
        <v>2.48779</v>
      </c>
      <c r="GQ25" t="n">
        <v>36.4343</v>
      </c>
      <c r="GR25" t="n">
        <v>23.781</v>
      </c>
      <c r="GS25" t="n">
        <v>18</v>
      </c>
      <c r="GT25" t="n">
        <v>504.729</v>
      </c>
      <c r="GU25" t="n">
        <v>531.2670000000001</v>
      </c>
      <c r="GV25" t="n">
        <v>21.1735</v>
      </c>
      <c r="GW25" t="n">
        <v>29.4152</v>
      </c>
      <c r="GX25" t="n">
        <v>30.0001</v>
      </c>
      <c r="GY25" t="n">
        <v>29.5797</v>
      </c>
      <c r="GZ25" t="n">
        <v>29.6379</v>
      </c>
      <c r="HA25" t="n">
        <v>43.2771</v>
      </c>
      <c r="HB25" t="n">
        <v>25.9965</v>
      </c>
      <c r="HC25" t="n">
        <v>23.9033</v>
      </c>
      <c r="HD25" t="n">
        <v>21.1772</v>
      </c>
      <c r="HE25" t="n">
        <v>1000</v>
      </c>
      <c r="HF25" t="n">
        <v>15.615</v>
      </c>
      <c r="HG25" t="n">
        <v>98.0715</v>
      </c>
      <c r="HH25" t="n">
        <v>94.57170000000001</v>
      </c>
    </row>
    <row r="26">
      <c r="A26" t="n">
        <v>10</v>
      </c>
      <c r="B26" t="n">
        <v>1792294371.1</v>
      </c>
      <c r="C26" t="n">
        <v>1194.09999990463</v>
      </c>
      <c r="D26" t="inlineStr">
        <is>
          <t>20261018 12:32:51</t>
        </is>
      </c>
      <c r="E26" t="inlineStr">
        <is>
          <t>12:32:51</t>
        </is>
      </c>
      <c r="F26" t="n">
        <v>5</v>
      </c>
      <c r="G26" t="n">
        <v>1792294368.1</v>
      </c>
      <c r="H26">
        <f>(I26)/1000</f>
        <v/>
      </c>
      <c r="I26">
        <f>1000*DI26*AG26*(DE26-DF26)/(100*CX26*(1000-AG26*DE26))</f>
        <v/>
      </c>
      <c r="J26">
        <f>DI26*AG26*(DD26-DC26*(1000-AG26*DF26)/(1000-AG26*DE26))/(100*CX26)</f>
        <v/>
      </c>
      <c r="K26">
        <f>DC26 - IF(AG26&gt;1, J26*CX26*100.0/(AI26), 0)</f>
        <v/>
      </c>
      <c r="L26">
        <f>((R26-H26/2)*K26-J26)/(R26+H26/2)</f>
        <v/>
      </c>
      <c r="M26">
        <f>L26*(DJ26+DK26)/1000.0</f>
        <v/>
      </c>
      <c r="N26">
        <f>(DC26 - IF(AG26&gt;1, J26*CX26*100.0/(AI26), 0))*(DJ26+DK26)/1000.0</f>
        <v/>
      </c>
      <c r="O26">
        <f>2.0/((1/Q26-1/P26)+SIGN(Q26)*SQRT((1/Q26-1/P26)*(1/Q26-1/P26) + 4*CY26/((CY26+1)*(CY26+1))*(2*1/Q26*1/P26-1/P26*1/P26)))</f>
        <v/>
      </c>
      <c r="P26">
        <f>IF(LEFT(CZ26,1)&lt;&gt;"0",IF(LEFT(CZ26,1)="1",3.0,DA26),$D$5+$E$5*(DQ26*DJ26/($K$5*1000))+$F$5*(DQ26*DJ26/($K$5*1000))*MAX(MIN(CX26,$J$5),$I$5)*MAX(MIN(CX26,$J$5),$I$5)+$G$5*MAX(MIN(CX26,$J$5),$I$5)*(DQ26*DJ26/($K$5*1000))+$H$5*(DQ26*DJ26/($K$5*1000))*(DQ26*DJ26/($K$5*1000)))</f>
        <v/>
      </c>
      <c r="Q26">
        <f>H26*(1000-(1000*0.61365*exp(17.502*U26/(240.97+U26))/(DJ26+DK26)+DE26)/2)/(1000*0.61365*exp(17.502*U26/(240.97+U26))/(DJ26+DK26)-DE26)</f>
        <v/>
      </c>
      <c r="R26">
        <f>1/((CY26+1)/(O26/1.6)+1/(P26/1.37)) + CY26/((CY26+1)/(O26/1.6) + CY26/(P26/1.37))</f>
        <v/>
      </c>
      <c r="S26">
        <f>(CT26*CW26)</f>
        <v/>
      </c>
      <c r="T26">
        <f>(DL26+(S26+2*0.95*5.67E-8*(((DL26+$B$7)+273)^4-(DL26+273)^4)-44100*H26)/(1.84*29.3*P26+8*0.95*5.67E-8*(DL26+273)^3))</f>
        <v/>
      </c>
      <c r="U26">
        <f>($C$7*DM26+$D$7*DN26+$E$7*T26)</f>
        <v/>
      </c>
      <c r="V26">
        <f>0.61365*exp(17.502*U26/(240.97+U26))</f>
        <v/>
      </c>
      <c r="W26">
        <f>(X26/Y26*100)</f>
        <v/>
      </c>
      <c r="X26">
        <f>DE26*(DJ26+DK26)/1000</f>
        <v/>
      </c>
      <c r="Y26">
        <f>0.61365*exp(17.502*DL26/(240.97+DL26))</f>
        <v/>
      </c>
      <c r="Z26">
        <f>(V26-DE26*(DJ26+DK26)/1000)</f>
        <v/>
      </c>
      <c r="AA26">
        <f>(-H26*44100)</f>
        <v/>
      </c>
      <c r="AB26">
        <f>2*29.3*P26*0.92*(DL26-U26)</f>
        <v/>
      </c>
      <c r="AC26">
        <f>2*0.95*5.67E-8*(((DL26+$B$7)+273)^4-(U26+273)^4)</f>
        <v/>
      </c>
      <c r="AD26">
        <f>S26+AC26+AA26+AB26</f>
        <v/>
      </c>
      <c r="AE26" t="n">
        <v>0</v>
      </c>
      <c r="AF26" t="n">
        <v>0</v>
      </c>
      <c r="AG26">
        <f>IF(AE26*$H$13&gt;=AI26,1.0,(AI26/(AI26-AE26*$H$13)))</f>
        <v/>
      </c>
      <c r="AH26">
        <f>(AG26-1)*100</f>
        <v/>
      </c>
      <c r="AI26">
        <f>MAX(0,($B$13+$C$13*DQ26)/(1+$D$13*DQ26)*DJ26/(DL26+273)*$E$13)</f>
        <v/>
      </c>
      <c r="AJ26" t="inlineStr">
        <is>
          <t>-</t>
        </is>
      </c>
      <c r="AK26" t="inlineStr">
        <is>
          <t>-</t>
        </is>
      </c>
      <c r="AL26" t="n">
        <v>0</v>
      </c>
      <c r="AM26" t="n">
        <v>0</v>
      </c>
      <c r="AN26">
        <f>1-AL26/AM26</f>
        <v/>
      </c>
      <c r="AO26" t="n">
        <v>0</v>
      </c>
      <c r="AP26" t="inlineStr">
        <is>
          <t>-</t>
        </is>
      </c>
      <c r="AQ26" t="inlineStr">
        <is>
          <t>-</t>
        </is>
      </c>
      <c r="AR26" t="n">
        <v>0</v>
      </c>
      <c r="AS26" t="n">
        <v>0</v>
      </c>
      <c r="AT26">
        <f>1-AR26/AS26</f>
        <v/>
      </c>
      <c r="AU26" t="n">
        <v>0.5</v>
      </c>
      <c r="AV26">
        <f>CU26</f>
        <v/>
      </c>
      <c r="AW26">
        <f>J26</f>
        <v/>
      </c>
      <c r="AX26">
        <f>AT26*AU26*AV26</f>
        <v/>
      </c>
      <c r="AY26">
        <f>(AW26-AO26)/AV26</f>
        <v/>
      </c>
      <c r="AZ26">
        <f>(AM26-AS26)/AS26</f>
        <v/>
      </c>
      <c r="BA26">
        <f>AL26/(AN26+AL26/AS26)</f>
        <v/>
      </c>
      <c r="BB26" t="inlineStr">
        <is>
          <t>-</t>
        </is>
      </c>
      <c r="BC26" t="n">
        <v>0</v>
      </c>
      <c r="BD26">
        <f>IF(BC26&lt;&gt;0, BC26, BA26)</f>
        <v/>
      </c>
      <c r="BE26">
        <f>1-BD26/AS26</f>
        <v/>
      </c>
      <c r="BF26">
        <f>(AS26-AR26)/(AS26-BD26)</f>
        <v/>
      </c>
      <c r="BG26">
        <f>(AM26-AS26)/(AM26-BD26)</f>
        <v/>
      </c>
      <c r="BH26">
        <f>(AS26-AR26)/(AS26-AL26)</f>
        <v/>
      </c>
      <c r="BI26">
        <f>(AM26-AS26)/(AM26-AL26)</f>
        <v/>
      </c>
      <c r="BJ26">
        <f>(BF26*BD26/AR26)</f>
        <v/>
      </c>
      <c r="BK26">
        <f>(1-BJ26)</f>
        <v/>
      </c>
      <c r="BL26" t="n">
        <v>229</v>
      </c>
      <c r="BM26" t="n">
        <v>290</v>
      </c>
      <c r="BN26" t="n">
        <v>1011.23</v>
      </c>
      <c r="BO26" t="n">
        <v>125</v>
      </c>
      <c r="BP26" t="n">
        <v>8125.4</v>
      </c>
      <c r="BQ26" t="n">
        <v>1006.99</v>
      </c>
      <c r="BR26" t="n">
        <v>4.24</v>
      </c>
      <c r="BS26" t="n">
        <v>300</v>
      </c>
      <c r="BT26" t="n">
        <v>19.1</v>
      </c>
      <c r="BU26" t="n">
        <v>1050.94976592848</v>
      </c>
      <c r="BV26" t="n">
        <v>2.96753520531848</v>
      </c>
      <c r="BW26" t="n">
        <v>-35.7187275448967</v>
      </c>
      <c r="BX26" t="n">
        <v>2.15538353963423</v>
      </c>
      <c r="BY26" t="n">
        <v>0.907476783931123</v>
      </c>
      <c r="BZ26" t="n">
        <v>-0.0053713552836485</v>
      </c>
      <c r="CA26" t="n">
        <v>290</v>
      </c>
      <c r="CB26" t="n">
        <v>995.53</v>
      </c>
      <c r="CC26" t="n">
        <v>615</v>
      </c>
      <c r="CD26" t="n">
        <v>8114.81</v>
      </c>
      <c r="CE26" t="n">
        <v>1006.93</v>
      </c>
      <c r="CF26" t="n">
        <v>-11.4</v>
      </c>
      <c r="CT26">
        <f>$B$11*DR26+$C$11*DS26+$F$11*DT26*(1-DW26)</f>
        <v/>
      </c>
      <c r="CU26">
        <f>CT26*CV26</f>
        <v/>
      </c>
      <c r="CV26">
        <f>($B$11*$D$9+$C$11*$D$9+$F$11*((EG26+DY26)/MAX(EG26+DY26+EH26, 0.1)*$I$9+EH26/MAX(EG26+DY26+EH26, 0.1)*$J$9))/($B$11+$C$11+$F$11)</f>
        <v/>
      </c>
      <c r="CW26">
        <f>($B$11*$K$9+$C$11*$K$9+$F$11*((EG26+DY26)/MAX(EG26+DY26+EH26, 0.1)*$P$9+EH26/MAX(EG26+DY26+EH26, 0.1)*$Q$9))/($B$11+$C$11+$F$11)</f>
        <v/>
      </c>
      <c r="CX26" t="n">
        <v>2</v>
      </c>
      <c r="CY26" t="n">
        <v>0.5</v>
      </c>
      <c r="CZ26" t="inlineStr">
        <is>
          <t>0: Broadleaf</t>
        </is>
      </c>
      <c r="DA26" t="n">
        <v>2</v>
      </c>
      <c r="DB26" t="n">
        <v>1792294368.1</v>
      </c>
      <c r="DC26" t="n">
        <v>1189.098</v>
      </c>
      <c r="DD26" t="n">
        <v>1199.948</v>
      </c>
      <c r="DE26" t="n">
        <v>17.219</v>
      </c>
      <c r="DF26" t="n">
        <v>15.62664</v>
      </c>
      <c r="DG26" t="n">
        <v>1187.972</v>
      </c>
      <c r="DH26" t="n">
        <v>17.37098</v>
      </c>
      <c r="DI26" t="n">
        <v>500.0302</v>
      </c>
      <c r="DJ26" t="n">
        <v>100.9194</v>
      </c>
      <c r="DK26" t="n">
        <v>0.1000734</v>
      </c>
      <c r="DL26" t="n">
        <v>24.92094</v>
      </c>
      <c r="DM26" t="n">
        <v>25.01846</v>
      </c>
      <c r="DN26" t="n">
        <v>999.9</v>
      </c>
      <c r="DO26" t="n">
        <v>0</v>
      </c>
      <c r="DP26" t="n">
        <v>0</v>
      </c>
      <c r="DQ26" t="n">
        <v>9983</v>
      </c>
      <c r="DR26" t="n">
        <v>0</v>
      </c>
      <c r="DS26" t="n">
        <v>7.22783</v>
      </c>
      <c r="DT26" t="n">
        <v>1499.952</v>
      </c>
      <c r="DU26" t="n">
        <v>0.9729910000000001</v>
      </c>
      <c r="DV26" t="n">
        <v>0.02700868</v>
      </c>
      <c r="DW26" t="n">
        <v>0</v>
      </c>
      <c r="DX26" t="n">
        <v>189.4224</v>
      </c>
      <c r="DY26" t="n">
        <v>4.99999</v>
      </c>
      <c r="DZ26" t="n">
        <v>2917.294</v>
      </c>
      <c r="EA26" t="n">
        <v>14882.1</v>
      </c>
      <c r="EB26" t="n">
        <v>36.75</v>
      </c>
      <c r="EC26" t="n">
        <v>38.312</v>
      </c>
      <c r="ED26" t="n">
        <v>37.312</v>
      </c>
      <c r="EE26" t="n">
        <v>37.7872</v>
      </c>
      <c r="EF26" t="n">
        <v>38.375</v>
      </c>
      <c r="EG26" t="n">
        <v>1454.572</v>
      </c>
      <c r="EH26" t="n">
        <v>40.38</v>
      </c>
      <c r="EI26" t="n">
        <v>0</v>
      </c>
      <c r="EJ26" t="n">
        <v>3503.09999990463</v>
      </c>
      <c r="EK26" t="n">
        <v>0</v>
      </c>
      <c r="EL26" t="n">
        <v>189.54196</v>
      </c>
      <c r="EM26" t="n">
        <v>-0.529769233629971</v>
      </c>
      <c r="EN26" t="n">
        <v>-20.073076944868</v>
      </c>
      <c r="EO26" t="n">
        <v>2918.7724</v>
      </c>
      <c r="EP26" t="n">
        <v>15</v>
      </c>
      <c r="EQ26" t="n">
        <v>1792294310.1</v>
      </c>
      <c r="ER26" t="inlineStr">
        <is>
          <t>12:31:50</t>
        </is>
      </c>
      <c r="ES26" t="n">
        <v>1792294310.1</v>
      </c>
      <c r="ET26" t="n">
        <v>1792294302.1</v>
      </c>
      <c r="EU26" t="n">
        <v>32</v>
      </c>
      <c r="EV26" t="n">
        <v>0.099</v>
      </c>
      <c r="EW26" t="n">
        <v>-0.001</v>
      </c>
      <c r="EX26" t="n">
        <v>1.143</v>
      </c>
      <c r="EY26" t="n">
        <v>-0.171</v>
      </c>
      <c r="EZ26" t="n">
        <v>1200</v>
      </c>
      <c r="FA26" t="n">
        <v>16</v>
      </c>
      <c r="FB26" t="n">
        <v>0.38</v>
      </c>
      <c r="FC26" t="n">
        <v>0.04</v>
      </c>
      <c r="FD26" t="n">
        <v>22.3243224840016</v>
      </c>
      <c r="FE26" t="n">
        <v>0.369004557700083</v>
      </c>
      <c r="FF26" t="n">
        <v>0.16735198041844</v>
      </c>
      <c r="FG26" t="n">
        <v>1</v>
      </c>
      <c r="FH26" t="n">
        <v>-10.8775380952381</v>
      </c>
      <c r="FI26" t="n">
        <v>-0.0422025974026159</v>
      </c>
      <c r="FJ26" t="n">
        <v>0.0693862651167222</v>
      </c>
      <c r="FK26" t="n">
        <v>1</v>
      </c>
      <c r="FL26" t="n">
        <v>189.602176470588</v>
      </c>
      <c r="FM26" t="n">
        <v>-0.60718105218467</v>
      </c>
      <c r="FN26" t="n">
        <v>0.39719942173024</v>
      </c>
      <c r="FO26" t="n">
        <v>1</v>
      </c>
      <c r="FP26" t="n">
        <v>3</v>
      </c>
      <c r="FQ26" t="n">
        <v>3</v>
      </c>
      <c r="FR26" t="inlineStr">
        <is>
          <t>3/3</t>
        </is>
      </c>
      <c r="FS26" t="n">
        <v>100</v>
      </c>
      <c r="FT26" t="n">
        <v>100</v>
      </c>
      <c r="FU26" t="n">
        <v>1.12</v>
      </c>
      <c r="FV26" t="n">
        <v>-0.152</v>
      </c>
      <c r="FW26" t="n">
        <v>0.320612799432861</v>
      </c>
      <c r="FX26" t="n">
        <v>-6.16732984266029e-05</v>
      </c>
      <c r="FY26" t="n">
        <v>6.19398071816742e-07</v>
      </c>
      <c r="FZ26" t="n">
        <v>3.19222985850634e-12</v>
      </c>
      <c r="GA26" t="n">
        <v>-0.0688029834486676</v>
      </c>
      <c r="GB26" t="n">
        <v>-0.0257783215012692</v>
      </c>
      <c r="GC26" t="n">
        <v>0.00133723821780375</v>
      </c>
      <c r="GD26" t="n">
        <v>-7.42160749481374e-06</v>
      </c>
      <c r="GE26" t="n">
        <v>7</v>
      </c>
      <c r="GF26" t="n">
        <v>2154</v>
      </c>
      <c r="GG26" t="n">
        <v>2</v>
      </c>
      <c r="GH26" t="n">
        <v>20</v>
      </c>
      <c r="GI26" t="n">
        <v>1</v>
      </c>
      <c r="GJ26" t="n">
        <v>1.1</v>
      </c>
      <c r="GK26" t="n">
        <v>2.51099</v>
      </c>
      <c r="GL26" t="n">
        <v>2.64526</v>
      </c>
      <c r="GM26" t="n">
        <v>1.65161</v>
      </c>
      <c r="GN26" t="n">
        <v>2.27661</v>
      </c>
      <c r="GO26" t="n">
        <v>1.5979</v>
      </c>
      <c r="GP26" t="n">
        <v>2.45361</v>
      </c>
      <c r="GQ26" t="n">
        <v>36.5287</v>
      </c>
      <c r="GR26" t="n">
        <v>23.781</v>
      </c>
      <c r="GS26" t="n">
        <v>18</v>
      </c>
      <c r="GT26" t="n">
        <v>504.937</v>
      </c>
      <c r="GU26" t="n">
        <v>530.773</v>
      </c>
      <c r="GV26" t="n">
        <v>21.0262</v>
      </c>
      <c r="GW26" t="n">
        <v>29.4354</v>
      </c>
      <c r="GX26" t="n">
        <v>30.0001</v>
      </c>
      <c r="GY26" t="n">
        <v>29.6</v>
      </c>
      <c r="GZ26" t="n">
        <v>29.6552</v>
      </c>
      <c r="HA26" t="n">
        <v>50.1854</v>
      </c>
      <c r="HB26" t="n">
        <v>25.9241</v>
      </c>
      <c r="HC26" t="n">
        <v>23.5293</v>
      </c>
      <c r="HD26" t="n">
        <v>21.0098</v>
      </c>
      <c r="HE26" t="n">
        <v>1200</v>
      </c>
      <c r="HF26" t="n">
        <v>15.6771</v>
      </c>
      <c r="HG26" t="n">
        <v>98.0654</v>
      </c>
      <c r="HH26" t="n">
        <v>94.56480000000001</v>
      </c>
    </row>
    <row r="27">
      <c r="A27" t="n">
        <v>11</v>
      </c>
      <c r="B27" t="n">
        <v>1792294496.1</v>
      </c>
      <c r="C27" t="n">
        <v>1319.09999990463</v>
      </c>
      <c r="D27" t="inlineStr">
        <is>
          <t>20261018 12:34:56</t>
        </is>
      </c>
      <c r="E27" t="inlineStr">
        <is>
          <t>12:34:56</t>
        </is>
      </c>
      <c r="F27" t="n">
        <v>5</v>
      </c>
      <c r="G27" t="n">
        <v>1792294493.1</v>
      </c>
      <c r="H27">
        <f>(I27)/1000</f>
        <v/>
      </c>
      <c r="I27">
        <f>1000*DI27*AG27*(DE27-DF27)/(100*CX27*(1000-AG27*DE27))</f>
        <v/>
      </c>
      <c r="J27">
        <f>DI27*AG27*(DD27-DC27*(1000-AG27*DF27)/(1000-AG27*DE27))/(100*CX27)</f>
        <v/>
      </c>
      <c r="K27">
        <f>DC27 - IF(AG27&gt;1, J27*CX27*100.0/(AI27), 0)</f>
        <v/>
      </c>
      <c r="L27">
        <f>((R27-H27/2)*K27-J27)/(R27+H27/2)</f>
        <v/>
      </c>
      <c r="M27">
        <f>L27*(DJ27+DK27)/1000.0</f>
        <v/>
      </c>
      <c r="N27">
        <f>(DC27 - IF(AG27&gt;1, J27*CX27*100.0/(AI27), 0))*(DJ27+DK27)/1000.0</f>
        <v/>
      </c>
      <c r="O27">
        <f>2.0/((1/Q27-1/P27)+SIGN(Q27)*SQRT((1/Q27-1/P27)*(1/Q27-1/P27) + 4*CY27/((CY27+1)*(CY27+1))*(2*1/Q27*1/P27-1/P27*1/P27)))</f>
        <v/>
      </c>
      <c r="P27">
        <f>IF(LEFT(CZ27,1)&lt;&gt;"0",IF(LEFT(CZ27,1)="1",3.0,DA27),$D$5+$E$5*(DQ27*DJ27/($K$5*1000))+$F$5*(DQ27*DJ27/($K$5*1000))*MAX(MIN(CX27,$J$5),$I$5)*MAX(MIN(CX27,$J$5),$I$5)+$G$5*MAX(MIN(CX27,$J$5),$I$5)*(DQ27*DJ27/($K$5*1000))+$H$5*(DQ27*DJ27/($K$5*1000))*(DQ27*DJ27/($K$5*1000)))</f>
        <v/>
      </c>
      <c r="Q27">
        <f>H27*(1000-(1000*0.61365*exp(17.502*U27/(240.97+U27))/(DJ27+DK27)+DE27)/2)/(1000*0.61365*exp(17.502*U27/(240.97+U27))/(DJ27+DK27)-DE27)</f>
        <v/>
      </c>
      <c r="R27">
        <f>1/((CY27+1)/(O27/1.6)+1/(P27/1.37)) + CY27/((CY27+1)/(O27/1.6) + CY27/(P27/1.37))</f>
        <v/>
      </c>
      <c r="S27">
        <f>(CT27*CW27)</f>
        <v/>
      </c>
      <c r="T27">
        <f>(DL27+(S27+2*0.95*5.67E-8*(((DL27+$B$7)+273)^4-(DL27+273)^4)-44100*H27)/(1.84*29.3*P27+8*0.95*5.67E-8*(DL27+273)^3))</f>
        <v/>
      </c>
      <c r="U27">
        <f>($C$7*DM27+$D$7*DN27+$E$7*T27)</f>
        <v/>
      </c>
      <c r="V27">
        <f>0.61365*exp(17.502*U27/(240.97+U27))</f>
        <v/>
      </c>
      <c r="W27">
        <f>(X27/Y27*100)</f>
        <v/>
      </c>
      <c r="X27">
        <f>DE27*(DJ27+DK27)/1000</f>
        <v/>
      </c>
      <c r="Y27">
        <f>0.61365*exp(17.502*DL27/(240.97+DL27))</f>
        <v/>
      </c>
      <c r="Z27">
        <f>(V27-DE27*(DJ27+DK27)/1000)</f>
        <v/>
      </c>
      <c r="AA27">
        <f>(-H27*44100)</f>
        <v/>
      </c>
      <c r="AB27">
        <f>2*29.3*P27*0.92*(DL27-U27)</f>
        <v/>
      </c>
      <c r="AC27">
        <f>2*0.95*5.67E-8*(((DL27+$B$7)+273)^4-(U27+273)^4)</f>
        <v/>
      </c>
      <c r="AD27">
        <f>S27+AC27+AA27+AB27</f>
        <v/>
      </c>
      <c r="AE27" t="n">
        <v>0</v>
      </c>
      <c r="AF27" t="n">
        <v>0</v>
      </c>
      <c r="AG27">
        <f>IF(AE27*$H$13&gt;=AI27,1.0,(AI27/(AI27-AE27*$H$13)))</f>
        <v/>
      </c>
      <c r="AH27">
        <f>(AG27-1)*100</f>
        <v/>
      </c>
      <c r="AI27">
        <f>MAX(0,($B$13+$C$13*DQ27)/(1+$D$13*DQ27)*DJ27/(DL27+273)*$E$13)</f>
        <v/>
      </c>
      <c r="AJ27" t="inlineStr">
        <is>
          <t>-</t>
        </is>
      </c>
      <c r="AK27" t="inlineStr">
        <is>
          <t>-</t>
        </is>
      </c>
      <c r="AL27" t="n">
        <v>0</v>
      </c>
      <c r="AM27" t="n">
        <v>0</v>
      </c>
      <c r="AN27">
        <f>1-AL27/AM27</f>
        <v/>
      </c>
      <c r="AO27" t="n">
        <v>0</v>
      </c>
      <c r="AP27" t="inlineStr">
        <is>
          <t>-</t>
        </is>
      </c>
      <c r="AQ27" t="inlineStr">
        <is>
          <t>-</t>
        </is>
      </c>
      <c r="AR27" t="n">
        <v>0</v>
      </c>
      <c r="AS27" t="n">
        <v>0</v>
      </c>
      <c r="AT27">
        <f>1-AR27/AS27</f>
        <v/>
      </c>
      <c r="AU27" t="n">
        <v>0.5</v>
      </c>
      <c r="AV27">
        <f>CU27</f>
        <v/>
      </c>
      <c r="AW27">
        <f>J27</f>
        <v/>
      </c>
      <c r="AX27">
        <f>AT27*AU27*AV27</f>
        <v/>
      </c>
      <c r="AY27">
        <f>(AW27-AO27)/AV27</f>
        <v/>
      </c>
      <c r="AZ27">
        <f>(AM27-AS27)/AS27</f>
        <v/>
      </c>
      <c r="BA27">
        <f>AL27/(AN27+AL27/AS27)</f>
        <v/>
      </c>
      <c r="BB27" t="inlineStr">
        <is>
          <t>-</t>
        </is>
      </c>
      <c r="BC27" t="n">
        <v>0</v>
      </c>
      <c r="BD27">
        <f>IF(BC27&lt;&gt;0, BC27, BA27)</f>
        <v/>
      </c>
      <c r="BE27">
        <f>1-BD27/AS27</f>
        <v/>
      </c>
      <c r="BF27">
        <f>(AS27-AR27)/(AS27-BD27)</f>
        <v/>
      </c>
      <c r="BG27">
        <f>(AM27-AS27)/(AM27-BD27)</f>
        <v/>
      </c>
      <c r="BH27">
        <f>(AS27-AR27)/(AS27-AL27)</f>
        <v/>
      </c>
      <c r="BI27">
        <f>(AM27-AS27)/(AM27-AL27)</f>
        <v/>
      </c>
      <c r="BJ27">
        <f>(BF27*BD27/AR27)</f>
        <v/>
      </c>
      <c r="BK27">
        <f>(1-BJ27)</f>
        <v/>
      </c>
      <c r="BL27" t="n">
        <v>229</v>
      </c>
      <c r="BM27" t="n">
        <v>290</v>
      </c>
      <c r="BN27" t="n">
        <v>1011.23</v>
      </c>
      <c r="BO27" t="n">
        <v>125</v>
      </c>
      <c r="BP27" t="n">
        <v>8125.4</v>
      </c>
      <c r="BQ27" t="n">
        <v>1006.99</v>
      </c>
      <c r="BR27" t="n">
        <v>4.24</v>
      </c>
      <c r="BS27" t="n">
        <v>300</v>
      </c>
      <c r="BT27" t="n">
        <v>19.1</v>
      </c>
      <c r="BU27" t="n">
        <v>1050.94976592848</v>
      </c>
      <c r="BV27" t="n">
        <v>2.96753520531848</v>
      </c>
      <c r="BW27" t="n">
        <v>-35.7187275448967</v>
      </c>
      <c r="BX27" t="n">
        <v>2.15538353963423</v>
      </c>
      <c r="BY27" t="n">
        <v>0.907476783931123</v>
      </c>
      <c r="BZ27" t="n">
        <v>-0.0053713552836485</v>
      </c>
      <c r="CA27" t="n">
        <v>290</v>
      </c>
      <c r="CB27" t="n">
        <v>995.53</v>
      </c>
      <c r="CC27" t="n">
        <v>615</v>
      </c>
      <c r="CD27" t="n">
        <v>8114.81</v>
      </c>
      <c r="CE27" t="n">
        <v>1006.93</v>
      </c>
      <c r="CF27" t="n">
        <v>-11.4</v>
      </c>
      <c r="CT27">
        <f>$B$11*DR27+$C$11*DS27+$F$11*DT27*(1-DW27)</f>
        <v/>
      </c>
      <c r="CU27">
        <f>CT27*CV27</f>
        <v/>
      </c>
      <c r="CV27">
        <f>($B$11*$D$9+$C$11*$D$9+$F$11*((EG27+DY27)/MAX(EG27+DY27+EH27, 0.1)*$I$9+EH27/MAX(EG27+DY27+EH27, 0.1)*$J$9))/($B$11+$C$11+$F$11)</f>
        <v/>
      </c>
      <c r="CW27">
        <f>($B$11*$K$9+$C$11*$K$9+$F$11*((EG27+DY27)/MAX(EG27+DY27+EH27, 0.1)*$P$9+EH27/MAX(EG27+DY27+EH27, 0.1)*$Q$9))/($B$11+$C$11+$F$11)</f>
        <v/>
      </c>
      <c r="CX27" t="n">
        <v>2</v>
      </c>
      <c r="CY27" t="n">
        <v>0.5</v>
      </c>
      <c r="CZ27" t="inlineStr">
        <is>
          <t>0: Broadleaf</t>
        </is>
      </c>
      <c r="DA27" t="n">
        <v>2</v>
      </c>
      <c r="DB27" t="n">
        <v>1792294493.1</v>
      </c>
      <c r="DC27" t="n">
        <v>1488.834</v>
      </c>
      <c r="DD27" t="n">
        <v>1500</v>
      </c>
      <c r="DE27" t="n">
        <v>17.1836</v>
      </c>
      <c r="DF27" t="n">
        <v>15.71418</v>
      </c>
      <c r="DG27" t="n">
        <v>1487.104</v>
      </c>
      <c r="DH27" t="n">
        <v>17.33514</v>
      </c>
      <c r="DI27" t="n">
        <v>499.9862</v>
      </c>
      <c r="DJ27" t="n">
        <v>100.9284</v>
      </c>
      <c r="DK27" t="n">
        <v>0.1000384</v>
      </c>
      <c r="DL27" t="n">
        <v>24.83216</v>
      </c>
      <c r="DM27" t="n">
        <v>25.01604</v>
      </c>
      <c r="DN27" t="n">
        <v>999.9</v>
      </c>
      <c r="DO27" t="n">
        <v>0</v>
      </c>
      <c r="DP27" t="n">
        <v>0</v>
      </c>
      <c r="DQ27" t="n">
        <v>10009.72</v>
      </c>
      <c r="DR27" t="n">
        <v>0</v>
      </c>
      <c r="DS27" t="n">
        <v>7.453136</v>
      </c>
      <c r="DT27" t="n">
        <v>1499.982</v>
      </c>
      <c r="DU27" t="n">
        <v>0.9729910000000001</v>
      </c>
      <c r="DV27" t="n">
        <v>0.02700866</v>
      </c>
      <c r="DW27" t="n">
        <v>0</v>
      </c>
      <c r="DX27" t="n">
        <v>188.3858</v>
      </c>
      <c r="DY27" t="n">
        <v>4.99999</v>
      </c>
      <c r="DZ27" t="n">
        <v>2895.942</v>
      </c>
      <c r="EA27" t="n">
        <v>14882.34</v>
      </c>
      <c r="EB27" t="n">
        <v>36.6622</v>
      </c>
      <c r="EC27" t="n">
        <v>38.25</v>
      </c>
      <c r="ED27" t="n">
        <v>37.25</v>
      </c>
      <c r="EE27" t="n">
        <v>37.75</v>
      </c>
      <c r="EF27" t="n">
        <v>38.312</v>
      </c>
      <c r="EG27" t="n">
        <v>1454.602</v>
      </c>
      <c r="EH27" t="n">
        <v>40.38</v>
      </c>
      <c r="EI27" t="n">
        <v>0</v>
      </c>
      <c r="EJ27" t="n">
        <v>3627.90000009537</v>
      </c>
      <c r="EK27" t="n">
        <v>0</v>
      </c>
      <c r="EL27" t="n">
        <v>188.26792</v>
      </c>
      <c r="EM27" t="n">
        <v>-0.852999986626935</v>
      </c>
      <c r="EN27" t="n">
        <v>-10.3315384485382</v>
      </c>
      <c r="EO27" t="n">
        <v>2896.8716</v>
      </c>
      <c r="EP27" t="n">
        <v>15</v>
      </c>
      <c r="EQ27" t="n">
        <v>1792294431.1</v>
      </c>
      <c r="ER27" t="inlineStr">
        <is>
          <t>12:33:51</t>
        </is>
      </c>
      <c r="ES27" t="n">
        <v>1792294431.1</v>
      </c>
      <c r="ET27" t="n">
        <v>1792294428.1</v>
      </c>
      <c r="EU27" t="n">
        <v>33</v>
      </c>
      <c r="EV27" t="n">
        <v>0.118</v>
      </c>
      <c r="EW27" t="n">
        <v>0.001</v>
      </c>
      <c r="EX27" t="n">
        <v>1.748</v>
      </c>
      <c r="EY27" t="n">
        <v>-0.17</v>
      </c>
      <c r="EZ27" t="n">
        <v>1500</v>
      </c>
      <c r="FA27" t="n">
        <v>16</v>
      </c>
      <c r="FB27" t="n">
        <v>0.16</v>
      </c>
      <c r="FC27" t="n">
        <v>0.05</v>
      </c>
      <c r="FD27" t="n">
        <v>22.4872624191474</v>
      </c>
      <c r="FE27" t="n">
        <v>0.234341114598481</v>
      </c>
      <c r="FF27" t="n">
        <v>0.118605472730463</v>
      </c>
      <c r="FG27" t="n">
        <v>1</v>
      </c>
      <c r="FH27" t="n">
        <v>-11.2363</v>
      </c>
      <c r="FI27" t="n">
        <v>0.118511278195494</v>
      </c>
      <c r="FJ27" t="n">
        <v>0.0485963167328555</v>
      </c>
      <c r="FK27" t="n">
        <v>1</v>
      </c>
      <c r="FL27" t="n">
        <v>188.157588235294</v>
      </c>
      <c r="FM27" t="n">
        <v>0.610420166275178</v>
      </c>
      <c r="FN27" t="n">
        <v>0.46979677193486</v>
      </c>
      <c r="FO27" t="n">
        <v>1</v>
      </c>
      <c r="FP27" t="n">
        <v>3</v>
      </c>
      <c r="FQ27" t="n">
        <v>3</v>
      </c>
      <c r="FR27" t="inlineStr">
        <is>
          <t>3/3</t>
        </is>
      </c>
      <c r="FS27" t="n">
        <v>100</v>
      </c>
      <c r="FT27" t="n">
        <v>100</v>
      </c>
      <c r="FU27" t="n">
        <v>1.73</v>
      </c>
      <c r="FV27" t="n">
        <v>-0.1515</v>
      </c>
      <c r="FW27" t="n">
        <v>0.438772598648603</v>
      </c>
      <c r="FX27" t="n">
        <v>-6.16732984266029e-05</v>
      </c>
      <c r="FY27" t="n">
        <v>6.19398071816742e-07</v>
      </c>
      <c r="FZ27" t="n">
        <v>3.19222985850634e-12</v>
      </c>
      <c r="GA27" t="n">
        <v>-0.0678350361063115</v>
      </c>
      <c r="GB27" t="n">
        <v>-0.0257783215012692</v>
      </c>
      <c r="GC27" t="n">
        <v>0.00133723821780375</v>
      </c>
      <c r="GD27" t="n">
        <v>-7.42160749481374e-06</v>
      </c>
      <c r="GE27" t="n">
        <v>7</v>
      </c>
      <c r="GF27" t="n">
        <v>2154</v>
      </c>
      <c r="GG27" t="n">
        <v>2</v>
      </c>
      <c r="GH27" t="n">
        <v>20</v>
      </c>
      <c r="GI27" t="n">
        <v>1.1</v>
      </c>
      <c r="GJ27" t="n">
        <v>1.1</v>
      </c>
      <c r="GK27" t="n">
        <v>3.00903</v>
      </c>
      <c r="GL27" t="n">
        <v>2.62939</v>
      </c>
      <c r="GM27" t="n">
        <v>1.65161</v>
      </c>
      <c r="GN27" t="n">
        <v>2.27661</v>
      </c>
      <c r="GO27" t="n">
        <v>1.5979</v>
      </c>
      <c r="GP27" t="n">
        <v>2.56714</v>
      </c>
      <c r="GQ27" t="n">
        <v>36.6233</v>
      </c>
      <c r="GR27" t="n">
        <v>23.7898</v>
      </c>
      <c r="GS27" t="n">
        <v>18</v>
      </c>
      <c r="GT27" t="n">
        <v>504.982</v>
      </c>
      <c r="GU27" t="n">
        <v>530.77</v>
      </c>
      <c r="GV27" t="n">
        <v>20.9494</v>
      </c>
      <c r="GW27" t="n">
        <v>29.4506</v>
      </c>
      <c r="GX27" t="n">
        <v>30.0004</v>
      </c>
      <c r="GY27" t="n">
        <v>29.6152</v>
      </c>
      <c r="GZ27" t="n">
        <v>29.6729</v>
      </c>
      <c r="HA27" t="n">
        <v>60.142</v>
      </c>
      <c r="HB27" t="n">
        <v>25.7444</v>
      </c>
      <c r="HC27" t="n">
        <v>23.391</v>
      </c>
      <c r="HD27" t="n">
        <v>20.9241</v>
      </c>
      <c r="HE27" t="n">
        <v>1500</v>
      </c>
      <c r="HF27" t="n">
        <v>15.6716</v>
      </c>
      <c r="HG27" t="n">
        <v>98.0603</v>
      </c>
      <c r="HH27" t="n">
        <v>94.56100000000001</v>
      </c>
    </row>
    <row r="28">
      <c r="A28" t="n">
        <v>12</v>
      </c>
      <c r="B28" t="n">
        <v>1792294617.1</v>
      </c>
      <c r="C28" t="n">
        <v>1440.09999990463</v>
      </c>
      <c r="D28" t="inlineStr">
        <is>
          <t>20261018 12:36:57</t>
        </is>
      </c>
      <c r="E28" t="inlineStr">
        <is>
          <t>12:36:57</t>
        </is>
      </c>
      <c r="F28" t="n">
        <v>5</v>
      </c>
      <c r="G28" t="n">
        <v>1792294613.6</v>
      </c>
      <c r="H28">
        <f>(I28)/1000</f>
        <v/>
      </c>
      <c r="I28">
        <f>1000*DI28*AG28*(DE28-DF28)/(100*CX28*(1000-AG28*DE28))</f>
        <v/>
      </c>
      <c r="J28">
        <f>DI28*AG28*(DD28-DC28*(1000-AG28*DF28)/(1000-AG28*DE28))/(100*CX28)</f>
        <v/>
      </c>
      <c r="K28">
        <f>DC28 - IF(AG28&gt;1, J28*CX28*100.0/(AI28), 0)</f>
        <v/>
      </c>
      <c r="L28">
        <f>((R28-H28/2)*K28-J28)/(R28+H28/2)</f>
        <v/>
      </c>
      <c r="M28">
        <f>L28*(DJ28+DK28)/1000.0</f>
        <v/>
      </c>
      <c r="N28">
        <f>(DC28 - IF(AG28&gt;1, J28*CX28*100.0/(AI28), 0))*(DJ28+DK28)/1000.0</f>
        <v/>
      </c>
      <c r="O28">
        <f>2.0/((1/Q28-1/P28)+SIGN(Q28)*SQRT((1/Q28-1/P28)*(1/Q28-1/P28) + 4*CY28/((CY28+1)*(CY28+1))*(2*1/Q28*1/P28-1/P28*1/P28)))</f>
        <v/>
      </c>
      <c r="P28">
        <f>IF(LEFT(CZ28,1)&lt;&gt;"0",IF(LEFT(CZ28,1)="1",3.0,DA28),$D$5+$E$5*(DQ28*DJ28/($K$5*1000))+$F$5*(DQ28*DJ28/($K$5*1000))*MAX(MIN(CX28,$J$5),$I$5)*MAX(MIN(CX28,$J$5),$I$5)+$G$5*MAX(MIN(CX28,$J$5),$I$5)*(DQ28*DJ28/($K$5*1000))+$H$5*(DQ28*DJ28/($K$5*1000))*(DQ28*DJ28/($K$5*1000)))</f>
        <v/>
      </c>
      <c r="Q28">
        <f>H28*(1000-(1000*0.61365*exp(17.502*U28/(240.97+U28))/(DJ28+DK28)+DE28)/2)/(1000*0.61365*exp(17.502*U28/(240.97+U28))/(DJ28+DK28)-DE28)</f>
        <v/>
      </c>
      <c r="R28">
        <f>1/((CY28+1)/(O28/1.6)+1/(P28/1.37)) + CY28/((CY28+1)/(O28/1.6) + CY28/(P28/1.37))</f>
        <v/>
      </c>
      <c r="S28">
        <f>(CT28*CW28)</f>
        <v/>
      </c>
      <c r="T28">
        <f>(DL28+(S28+2*0.95*5.67E-8*(((DL28+$B$7)+273)^4-(DL28+273)^4)-44100*H28)/(1.84*29.3*P28+8*0.95*5.67E-8*(DL28+273)^3))</f>
        <v/>
      </c>
      <c r="U28">
        <f>($C$7*DM28+$D$7*DN28+$E$7*T28)</f>
        <v/>
      </c>
      <c r="V28">
        <f>0.61365*exp(17.502*U28/(240.97+U28))</f>
        <v/>
      </c>
      <c r="W28">
        <f>(X28/Y28*100)</f>
        <v/>
      </c>
      <c r="X28">
        <f>DE28*(DJ28+DK28)/1000</f>
        <v/>
      </c>
      <c r="Y28">
        <f>0.61365*exp(17.502*DL28/(240.97+DL28))</f>
        <v/>
      </c>
      <c r="Z28">
        <f>(V28-DE28*(DJ28+DK28)/1000)</f>
        <v/>
      </c>
      <c r="AA28">
        <f>(-H28*44100)</f>
        <v/>
      </c>
      <c r="AB28">
        <f>2*29.3*P28*0.92*(DL28-U28)</f>
        <v/>
      </c>
      <c r="AC28">
        <f>2*0.95*5.67E-8*(((DL28+$B$7)+273)^4-(U28+273)^4)</f>
        <v/>
      </c>
      <c r="AD28">
        <f>S28+AC28+AA28+AB28</f>
        <v/>
      </c>
      <c r="AE28" t="n">
        <v>0</v>
      </c>
      <c r="AF28" t="n">
        <v>0</v>
      </c>
      <c r="AG28">
        <f>IF(AE28*$H$13&gt;=AI28,1.0,(AI28/(AI28-AE28*$H$13)))</f>
        <v/>
      </c>
      <c r="AH28">
        <f>(AG28-1)*100</f>
        <v/>
      </c>
      <c r="AI28">
        <f>MAX(0,($B$13+$C$13*DQ28)/(1+$D$13*DQ28)*DJ28/(DL28+273)*$E$13)</f>
        <v/>
      </c>
      <c r="AJ28" t="inlineStr">
        <is>
          <t>-</t>
        </is>
      </c>
      <c r="AK28" t="inlineStr">
        <is>
          <t>-</t>
        </is>
      </c>
      <c r="AL28" t="n">
        <v>0</v>
      </c>
      <c r="AM28" t="n">
        <v>0</v>
      </c>
      <c r="AN28">
        <f>1-AL28/AM28</f>
        <v/>
      </c>
      <c r="AO28" t="n">
        <v>0</v>
      </c>
      <c r="AP28" t="inlineStr">
        <is>
          <t>-</t>
        </is>
      </c>
      <c r="AQ28" t="inlineStr">
        <is>
          <t>-</t>
        </is>
      </c>
      <c r="AR28" t="n">
        <v>0</v>
      </c>
      <c r="AS28" t="n">
        <v>0</v>
      </c>
      <c r="AT28">
        <f>1-AR28/AS28</f>
        <v/>
      </c>
      <c r="AU28" t="n">
        <v>0.5</v>
      </c>
      <c r="AV28">
        <f>CU28</f>
        <v/>
      </c>
      <c r="AW28">
        <f>J28</f>
        <v/>
      </c>
      <c r="AX28">
        <f>AT28*AU28*AV28</f>
        <v/>
      </c>
      <c r="AY28">
        <f>(AW28-AO28)/AV28</f>
        <v/>
      </c>
      <c r="AZ28">
        <f>(AM28-AS28)/AS28</f>
        <v/>
      </c>
      <c r="BA28">
        <f>AL28/(AN28+AL28/AS28)</f>
        <v/>
      </c>
      <c r="BB28" t="inlineStr">
        <is>
          <t>-</t>
        </is>
      </c>
      <c r="BC28" t="n">
        <v>0</v>
      </c>
      <c r="BD28">
        <f>IF(BC28&lt;&gt;0, BC28, BA28)</f>
        <v/>
      </c>
      <c r="BE28">
        <f>1-BD28/AS28</f>
        <v/>
      </c>
      <c r="BF28">
        <f>(AS28-AR28)/(AS28-BD28)</f>
        <v/>
      </c>
      <c r="BG28">
        <f>(AM28-AS28)/(AM28-BD28)</f>
        <v/>
      </c>
      <c r="BH28">
        <f>(AS28-AR28)/(AS28-AL28)</f>
        <v/>
      </c>
      <c r="BI28">
        <f>(AM28-AS28)/(AM28-AL28)</f>
        <v/>
      </c>
      <c r="BJ28">
        <f>(BF28*BD28/AR28)</f>
        <v/>
      </c>
      <c r="BK28">
        <f>(1-BJ28)</f>
        <v/>
      </c>
      <c r="BL28" t="n">
        <v>229</v>
      </c>
      <c r="BM28" t="n">
        <v>290</v>
      </c>
      <c r="BN28" t="n">
        <v>1011.23</v>
      </c>
      <c r="BO28" t="n">
        <v>125</v>
      </c>
      <c r="BP28" t="n">
        <v>8125.4</v>
      </c>
      <c r="BQ28" t="n">
        <v>1006.99</v>
      </c>
      <c r="BR28" t="n">
        <v>4.24</v>
      </c>
      <c r="BS28" t="n">
        <v>300</v>
      </c>
      <c r="BT28" t="n">
        <v>19.1</v>
      </c>
      <c r="BU28" t="n">
        <v>1050.94976592848</v>
      </c>
      <c r="BV28" t="n">
        <v>2.96753520531848</v>
      </c>
      <c r="BW28" t="n">
        <v>-35.7187275448967</v>
      </c>
      <c r="BX28" t="n">
        <v>2.15538353963423</v>
      </c>
      <c r="BY28" t="n">
        <v>0.907476783931123</v>
      </c>
      <c r="BZ28" t="n">
        <v>-0.0053713552836485</v>
      </c>
      <c r="CA28" t="n">
        <v>290</v>
      </c>
      <c r="CB28" t="n">
        <v>995.53</v>
      </c>
      <c r="CC28" t="n">
        <v>615</v>
      </c>
      <c r="CD28" t="n">
        <v>8114.81</v>
      </c>
      <c r="CE28" t="n">
        <v>1006.93</v>
      </c>
      <c r="CF28" t="n">
        <v>-11.4</v>
      </c>
      <c r="CT28">
        <f>$B$11*DR28+$C$11*DS28+$F$11*DT28*(1-DW28)</f>
        <v/>
      </c>
      <c r="CU28">
        <f>CT28*CV28</f>
        <v/>
      </c>
      <c r="CV28">
        <f>($B$11*$D$9+$C$11*$D$9+$F$11*((EG28+DY28)/MAX(EG28+DY28+EH28, 0.1)*$I$9+EH28/MAX(EG28+DY28+EH28, 0.1)*$J$9))/($B$11+$C$11+$F$11)</f>
        <v/>
      </c>
      <c r="CW28">
        <f>($B$11*$K$9+$C$11*$K$9+$F$11*((EG28+DY28)/MAX(EG28+DY28+EH28, 0.1)*$P$9+EH28/MAX(EG28+DY28+EH28, 0.1)*$Q$9))/($B$11+$C$11+$F$11)</f>
        <v/>
      </c>
      <c r="CX28" t="n">
        <v>2</v>
      </c>
      <c r="CY28" t="n">
        <v>0.5</v>
      </c>
      <c r="CZ28" t="inlineStr">
        <is>
          <t>0: Broadleaf</t>
        </is>
      </c>
      <c r="DA28" t="n">
        <v>2</v>
      </c>
      <c r="DB28" t="n">
        <v>1792294613.6</v>
      </c>
      <c r="DC28" t="n">
        <v>1788.60666666667</v>
      </c>
      <c r="DD28" t="n">
        <v>1800.035</v>
      </c>
      <c r="DE28" t="n">
        <v>17.0795666666667</v>
      </c>
      <c r="DF28" t="n">
        <v>15.72</v>
      </c>
      <c r="DG28" t="n">
        <v>1786.45666666667</v>
      </c>
      <c r="DH28" t="n">
        <v>17.2292166666667</v>
      </c>
      <c r="DI28" t="n">
        <v>499.954333333333</v>
      </c>
      <c r="DJ28" t="n">
        <v>100.919333333333</v>
      </c>
      <c r="DK28" t="n">
        <v>0.0998106</v>
      </c>
      <c r="DL28" t="n">
        <v>24.7288333333333</v>
      </c>
      <c r="DM28" t="n">
        <v>25.01165</v>
      </c>
      <c r="DN28" t="n">
        <v>999.9</v>
      </c>
      <c r="DO28" t="n">
        <v>0</v>
      </c>
      <c r="DP28" t="n">
        <v>0</v>
      </c>
      <c r="DQ28" t="n">
        <v>9995.31166666667</v>
      </c>
      <c r="DR28" t="n">
        <v>0</v>
      </c>
      <c r="DS28" t="n">
        <v>7.29418333333333</v>
      </c>
      <c r="DT28" t="n">
        <v>1500.01166666667</v>
      </c>
      <c r="DU28" t="n">
        <v>0.972990833333333</v>
      </c>
      <c r="DV28" t="n">
        <v>0.02700885</v>
      </c>
      <c r="DW28" t="n">
        <v>0</v>
      </c>
      <c r="DX28" t="n">
        <v>187.784</v>
      </c>
      <c r="DY28" t="n">
        <v>4.99999</v>
      </c>
      <c r="DZ28" t="n">
        <v>2887.555</v>
      </c>
      <c r="EA28" t="n">
        <v>14882.6666666667</v>
      </c>
      <c r="EB28" t="n">
        <v>36.625</v>
      </c>
      <c r="EC28" t="n">
        <v>38.187</v>
      </c>
      <c r="ED28" t="n">
        <v>37.187</v>
      </c>
      <c r="EE28" t="n">
        <v>37.687</v>
      </c>
      <c r="EF28" t="n">
        <v>38.2395</v>
      </c>
      <c r="EG28" t="n">
        <v>1454.63166666667</v>
      </c>
      <c r="EH28" t="n">
        <v>40.38</v>
      </c>
      <c r="EI28" t="n">
        <v>0</v>
      </c>
      <c r="EJ28" t="n">
        <v>3749.09999990463</v>
      </c>
      <c r="EK28" t="n">
        <v>0</v>
      </c>
      <c r="EL28" t="n">
        <v>187.74504</v>
      </c>
      <c r="EM28" t="n">
        <v>1.08046153604844</v>
      </c>
      <c r="EN28" t="n">
        <v>-2.4999999987767</v>
      </c>
      <c r="EO28" t="n">
        <v>2887.778</v>
      </c>
      <c r="EP28" t="n">
        <v>15</v>
      </c>
      <c r="EQ28" t="n">
        <v>1792294555.1</v>
      </c>
      <c r="ER28" t="inlineStr">
        <is>
          <t>12:35:55</t>
        </is>
      </c>
      <c r="ES28" t="n">
        <v>1792294555.1</v>
      </c>
      <c r="ET28" t="n">
        <v>1792294550.1</v>
      </c>
      <c r="EU28" t="n">
        <v>34</v>
      </c>
      <c r="EV28" t="n">
        <v>-0.173</v>
      </c>
      <c r="EW28" t="n">
        <v>0.003</v>
      </c>
      <c r="EX28" t="n">
        <v>2.175</v>
      </c>
      <c r="EY28" t="n">
        <v>-0.167</v>
      </c>
      <c r="EZ28" t="n">
        <v>1800</v>
      </c>
      <c r="FA28" t="n">
        <v>16</v>
      </c>
      <c r="FB28" t="n">
        <v>0.18</v>
      </c>
      <c r="FC28" t="n">
        <v>0.04</v>
      </c>
      <c r="FD28" t="n">
        <v>22.4663350965562</v>
      </c>
      <c r="FE28" t="n">
        <v>-0.220113556958392</v>
      </c>
      <c r="FF28" t="n">
        <v>0.176148975090129</v>
      </c>
      <c r="FG28" t="n">
        <v>1</v>
      </c>
      <c r="FH28" t="n">
        <v>-11.4876285714286</v>
      </c>
      <c r="FI28" t="n">
        <v>0.254407792207788</v>
      </c>
      <c r="FJ28" t="n">
        <v>0.07042792427018429</v>
      </c>
      <c r="FK28" t="n">
        <v>1</v>
      </c>
      <c r="FL28" t="n">
        <v>187.711911764706</v>
      </c>
      <c r="FM28" t="n">
        <v>0.355401074479299</v>
      </c>
      <c r="FN28" t="n">
        <v>0.378008898716224</v>
      </c>
      <c r="FO28" t="n">
        <v>1</v>
      </c>
      <c r="FP28" t="n">
        <v>3</v>
      </c>
      <c r="FQ28" t="n">
        <v>3</v>
      </c>
      <c r="FR28" t="inlineStr">
        <is>
          <t>3/3</t>
        </is>
      </c>
      <c r="FS28" t="n">
        <v>100</v>
      </c>
      <c r="FT28" t="n">
        <v>100</v>
      </c>
      <c r="FU28" t="n">
        <v>2.15</v>
      </c>
      <c r="FV28" t="n">
        <v>-0.1497</v>
      </c>
      <c r="FW28" t="n">
        <v>0.264960115895352</v>
      </c>
      <c r="FX28" t="n">
        <v>-6.16732984266029e-05</v>
      </c>
      <c r="FY28" t="n">
        <v>6.19398071816742e-07</v>
      </c>
      <c r="FZ28" t="n">
        <v>3.19222985850634e-12</v>
      </c>
      <c r="GA28" t="n">
        <v>-0.0644998119702072</v>
      </c>
      <c r="GB28" t="n">
        <v>-0.0257783215012692</v>
      </c>
      <c r="GC28" t="n">
        <v>0.00133723821780375</v>
      </c>
      <c r="GD28" t="n">
        <v>-7.42160749481374e-06</v>
      </c>
      <c r="GE28" t="n">
        <v>7</v>
      </c>
      <c r="GF28" t="n">
        <v>2154</v>
      </c>
      <c r="GG28" t="n">
        <v>2</v>
      </c>
      <c r="GH28" t="n">
        <v>20</v>
      </c>
      <c r="GI28" t="n">
        <v>1</v>
      </c>
      <c r="GJ28" t="n">
        <v>1.1</v>
      </c>
      <c r="GK28" t="n">
        <v>3.48267</v>
      </c>
      <c r="GL28" t="n">
        <v>2.62817</v>
      </c>
      <c r="GM28" t="n">
        <v>1.65161</v>
      </c>
      <c r="GN28" t="n">
        <v>2.27661</v>
      </c>
      <c r="GO28" t="n">
        <v>1.5979</v>
      </c>
      <c r="GP28" t="n">
        <v>2.67334</v>
      </c>
      <c r="GQ28" t="n">
        <v>36.718</v>
      </c>
      <c r="GR28" t="n">
        <v>23.7898</v>
      </c>
      <c r="GS28" t="n">
        <v>18</v>
      </c>
      <c r="GT28" t="n">
        <v>504.834</v>
      </c>
      <c r="GU28" t="n">
        <v>530.874</v>
      </c>
      <c r="GV28" t="n">
        <v>20.681</v>
      </c>
      <c r="GW28" t="n">
        <v>29.4683</v>
      </c>
      <c r="GX28" t="n">
        <v>30.0003</v>
      </c>
      <c r="GY28" t="n">
        <v>29.631</v>
      </c>
      <c r="GZ28" t="n">
        <v>29.6882</v>
      </c>
      <c r="HA28" t="n">
        <v>69.62430000000001</v>
      </c>
      <c r="HB28" t="n">
        <v>25.7655</v>
      </c>
      <c r="HC28" t="n">
        <v>23.0188</v>
      </c>
      <c r="HD28" t="n">
        <v>20.6747</v>
      </c>
      <c r="HE28" t="n">
        <v>1800</v>
      </c>
      <c r="HF28" t="n">
        <v>15.6952</v>
      </c>
      <c r="HG28" t="n">
        <v>98.056</v>
      </c>
      <c r="HH28" t="n">
        <v>94.5569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opened</t>
        </is>
      </c>
      <c r="B1" t="inlineStr">
        <is>
          <t>2026-10-18 11:38:07</t>
        </is>
      </c>
    </row>
    <row r="2">
      <c r="A2" t="inlineStr">
        <is>
          <t>Console s/n</t>
        </is>
      </c>
      <c r="B2" t="inlineStr">
        <is>
          <t>68C-812153</t>
        </is>
      </c>
    </row>
    <row r="3">
      <c r="A3" t="inlineStr">
        <is>
          <t>Console ver</t>
        </is>
      </c>
      <c r="B3" t="inlineStr">
        <is>
          <t>Bluestem v.2.1.13</t>
        </is>
      </c>
    </row>
    <row r="4">
      <c r="A4" t="inlineStr">
        <is>
          <t>Scripts ver</t>
        </is>
      </c>
      <c r="B4" t="inlineStr">
        <is>
          <t>2024.01  2.1.13, Apr 2024</t>
        </is>
      </c>
    </row>
    <row r="5">
      <c r="A5" t="inlineStr">
        <is>
          <t>Head s/n</t>
        </is>
      </c>
      <c r="B5" t="inlineStr">
        <is>
          <t>68H-982143</t>
        </is>
      </c>
    </row>
    <row r="6">
      <c r="A6" t="inlineStr">
        <is>
          <t>Head ver</t>
        </is>
      </c>
      <c r="B6" t="inlineStr">
        <is>
          <t>1.4.23</t>
        </is>
      </c>
    </row>
    <row r="7">
      <c r="A7" t="inlineStr">
        <is>
          <t>Head cal</t>
        </is>
      </c>
      <c r="B7" t="inlineStr">
        <is>
          <t>{"h2oaspan2b": "0.0986302", "co2bspanconc2": "1516", "h2oaspan2": "0", "h2obspanconc2": "0", "co2bspanconc1": "437.6", "h2oaspanconc2": "0", "h2obspan1": "1.01044", "ssa_ref": "37830.5", "co2aspan2a": "0.106022", "flowazero": "0.276", "tazero": "0.15448", "h2oazero": "1.03097", "co2bspan2": "-0.00857283", "h2oaspan1": "1.02308", "h2obspan2b": "0.0971974", "h2obspan2a": "0.0961931", "h2obspan2": "0", "chamberpressurezero": "2.71033", "ssb_ref": "36242.9", "co2bzero": "0.953041", "co2azero": "0.931334", "h2obzero": "1.01897", "flowbzero": "0.30473", "co2aspan1": "1.00082", "h2oaspanconc1": "17.96", "co2aspanconc1": "437.6", "co2bspan1": "1.00005", "co2aspan2b": "0.105998", "co2aspan2": "-0.00988168", "h2obspanconc1": "17.96", "co2bspan2a": "0.105708", "tbzero": "0.143742", "oxygen": "21", "h2oaspan2a": "0.0964052", "co2bspan2b": "0.105618", "flowmeterzero": "2.483", "co2aspanconc2": "1516"}</t>
        </is>
      </c>
    </row>
    <row r="8">
      <c r="A8" t="inlineStr">
        <is>
          <t>Factory cal date</t>
        </is>
      </c>
      <c r="B8" t="inlineStr">
        <is>
          <t>14 Dec 2023</t>
        </is>
      </c>
    </row>
    <row r="9">
      <c r="A9" t="inlineStr">
        <is>
          <t>CO2 rangematch</t>
        </is>
      </c>
      <c r="B9" t="inlineStr">
        <is>
          <t>Fri Oct 16 09:42</t>
        </is>
      </c>
    </row>
    <row r="10">
      <c r="A10" t="inlineStr">
        <is>
          <t>H2O rangematch</t>
        </is>
      </c>
      <c r="B10" t="inlineStr">
        <is>
          <t>Fri Oct 16 09:48</t>
        </is>
      </c>
    </row>
    <row r="11">
      <c r="A11" t="inlineStr">
        <is>
          <t>Chamber type</t>
        </is>
      </c>
      <c r="B11" t="inlineStr">
        <is>
          <t>6800-01A</t>
        </is>
      </c>
    </row>
    <row r="12">
      <c r="A12" t="inlineStr">
        <is>
          <t>Chamber s/n</t>
        </is>
      </c>
      <c r="B12" t="inlineStr">
        <is>
          <t>MPF-742752</t>
        </is>
      </c>
    </row>
    <row r="13">
      <c r="A13" t="inlineStr">
        <is>
          <t>Chamber rev</t>
        </is>
      </c>
      <c r="B13" t="inlineStr">
        <is>
          <t>0</t>
        </is>
      </c>
    </row>
    <row r="14">
      <c r="A14" t="inlineStr">
        <is>
          <t>Chamber cal</t>
        </is>
      </c>
      <c r="B14" t="inlineStr">
        <is>
          <t>0</t>
        </is>
      </c>
    </row>
    <row r="15">
      <c r="A15" t="inlineStr">
        <is>
          <t>Fluorometer</t>
        </is>
      </c>
      <c r="B15" t="inlineStr">
        <is>
          <t>MPF-742752</t>
        </is>
      </c>
    </row>
    <row r="16">
      <c r="A16" t="inlineStr">
        <is>
          <t>Flr. Version</t>
        </is>
      </c>
      <c r="B16" t="inlineStr">
        <is>
          <t>1.4.23</t>
        </is>
      </c>
    </row>
    <row r="17">
      <c r="A17" t="inlineStr">
        <is>
          <t>11:38:07</t>
        </is>
      </c>
      <c r="B17" t="inlineStr">
        <is>
          <t>Stability Definition:	F (FlrLS): Slp&lt;1 Per=20	A (GasEx): Slp&lt;0.6 Per=20	ΔCO2 (Meas2): Slp&lt;0.5 Per=20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</t>
        </is>
      </c>
      <c r="B1" t="inlineStr">
        <is>
          <t>time</t>
        </is>
      </c>
      <c r="C1" t="inlineStr">
        <is>
          <t>elapsed</t>
        </is>
      </c>
      <c r="D1" t="inlineStr">
        <is>
          <t>averaging</t>
        </is>
      </c>
      <c r="E1" t="inlineStr">
        <is>
          <t>TIME</t>
        </is>
      </c>
      <c r="F1" t="inlineStr">
        <is>
          <t>E</t>
        </is>
      </c>
      <c r="G1" t="inlineStr">
        <is>
          <t>Emm</t>
        </is>
      </c>
      <c r="H1" t="inlineStr">
        <is>
          <t>A</t>
        </is>
      </c>
      <c r="I1" t="inlineStr">
        <is>
          <t>Ca</t>
        </is>
      </c>
      <c r="J1" t="inlineStr">
        <is>
          <t>Ci</t>
        </is>
      </c>
      <c r="K1" t="inlineStr">
        <is>
          <t>Pci</t>
        </is>
      </c>
      <c r="L1" t="inlineStr">
        <is>
          <t>Pca</t>
        </is>
      </c>
      <c r="M1" t="inlineStr">
        <is>
          <t>gsw</t>
        </is>
      </c>
      <c r="N1" t="inlineStr">
        <is>
          <t>gbw</t>
        </is>
      </c>
      <c r="O1" t="inlineStr">
        <is>
          <t>gtw</t>
        </is>
      </c>
      <c r="P1" t="inlineStr">
        <is>
          <t>gtc</t>
        </is>
      </c>
      <c r="Q1" t="inlineStr">
        <is>
          <t>SVPleaf</t>
        </is>
      </c>
      <c r="R1" t="inlineStr">
        <is>
          <t>RHcham</t>
        </is>
      </c>
      <c r="S1" t="inlineStr">
        <is>
          <t>VPcham</t>
        </is>
      </c>
      <c r="T1" t="inlineStr">
        <is>
          <t>SVPcham</t>
        </is>
      </c>
      <c r="U1" t="inlineStr">
        <is>
          <t>PS2/1</t>
        </is>
      </c>
      <c r="V1" t="inlineStr">
        <is>
          <t>ID</t>
        </is>
      </c>
      <c r="W1" t="inlineStr">
        <is>
          <t>P1_dur</t>
        </is>
      </c>
      <c r="X1" t="inlineStr">
        <is>
          <t>P1_Fmax</t>
        </is>
      </c>
      <c r="Y1" t="inlineStr">
        <is>
          <t>T@P1_Fmax</t>
        </is>
      </c>
      <c r="Z1" t="inlineStr">
        <is>
          <t>Q@P1_Fmax</t>
        </is>
      </c>
      <c r="AA1" t="inlineStr">
        <is>
          <t>P1_PredF</t>
        </is>
      </c>
      <c r="AB1" t="inlineStr">
        <is>
          <t>P1_ΔF</t>
        </is>
      </c>
      <c r="AC1" t="inlineStr">
        <is>
          <t>P2_dur</t>
        </is>
      </c>
      <c r="AD1" t="inlineStr">
        <is>
          <t>P2_ramp</t>
        </is>
      </c>
      <c r="AE1" t="inlineStr">
        <is>
          <t>P2_int</t>
        </is>
      </c>
      <c r="AF1" t="inlineStr">
        <is>
          <t>P2_int_se</t>
        </is>
      </c>
      <c r="AG1" t="inlineStr">
        <is>
          <t>P2_slp</t>
        </is>
      </c>
      <c r="AH1" t="inlineStr">
        <is>
          <t>P2_slp_se</t>
        </is>
      </c>
      <c r="AI1" t="inlineStr">
        <is>
          <t>P2_R2</t>
        </is>
      </c>
      <c r="AJ1" t="inlineStr">
        <is>
          <t>P2_dQdt</t>
        </is>
      </c>
      <c r="AK1" t="inlineStr">
        <is>
          <t>P3_dur</t>
        </is>
      </c>
      <c r="AL1" t="inlineStr">
        <is>
          <t>P3_Fmax</t>
        </is>
      </c>
      <c r="AM1" t="inlineStr">
        <is>
          <t>T@P3_Fmax</t>
        </is>
      </c>
      <c r="AN1" t="inlineStr">
        <is>
          <t>Q@P3_Fmax</t>
        </is>
      </c>
      <c r="AO1" t="inlineStr">
        <is>
          <t>P3_PredF</t>
        </is>
      </c>
      <c r="AP1" t="inlineStr">
        <is>
          <t>P3_ΔF</t>
        </is>
      </c>
      <c r="AQ1" t="inlineStr">
        <is>
          <t>Qin</t>
        </is>
      </c>
      <c r="AR1" t="inlineStr">
        <is>
          <t>S</t>
        </is>
      </c>
      <c r="AS1" t="inlineStr">
        <is>
          <t>K</t>
        </is>
      </c>
      <c r="AT1" t="inlineStr">
        <is>
          <t>Custom</t>
        </is>
      </c>
      <c r="AU1" t="inlineStr">
        <is>
          <t>TIME_2</t>
        </is>
      </c>
      <c r="AV1" t="inlineStr">
        <is>
          <t>CO2_s</t>
        </is>
      </c>
      <c r="AW1" t="inlineStr">
        <is>
          <t>CO2_r</t>
        </is>
      </c>
      <c r="AX1" t="inlineStr">
        <is>
          <t>H2O_s</t>
        </is>
      </c>
      <c r="AY1" t="inlineStr">
        <is>
          <t>H2O_r</t>
        </is>
      </c>
      <c r="AZ1" t="inlineStr">
        <is>
          <t>CO2_a</t>
        </is>
      </c>
      <c r="BA1" t="inlineStr">
        <is>
          <t>H2O_a</t>
        </is>
      </c>
      <c r="BB1" t="inlineStr">
        <is>
          <t>Flow</t>
        </is>
      </c>
      <c r="BC1" t="inlineStr">
        <is>
          <t>Pa</t>
        </is>
      </c>
      <c r="BD1" t="inlineStr">
        <is>
          <t>ΔPcham</t>
        </is>
      </c>
      <c r="BE1" t="inlineStr">
        <is>
          <t>Tair</t>
        </is>
      </c>
      <c r="BF1" t="inlineStr">
        <is>
          <t>Tleaf</t>
        </is>
      </c>
      <c r="BG1" t="inlineStr">
        <is>
          <t>Tleaf2</t>
        </is>
      </c>
      <c r="BH1" t="inlineStr">
        <is>
          <t>Fan_speed</t>
        </is>
      </c>
      <c r="BI1" t="inlineStr">
        <is>
          <t>Qamb_out</t>
        </is>
      </c>
      <c r="BJ1" t="inlineStr">
        <is>
          <t>Q</t>
        </is>
      </c>
      <c r="BK1" t="inlineStr">
        <is>
          <t>f_red</t>
        </is>
      </c>
      <c r="BL1" t="inlineStr">
        <is>
          <t>f_blue</t>
        </is>
      </c>
      <c r="BM1" t="inlineStr">
        <is>
          <t>F</t>
        </is>
      </c>
      <c r="BN1" t="inlineStr">
        <is>
          <t>Q_modavg</t>
        </is>
      </c>
      <c r="BO1" t="inlineStr">
        <is>
          <t>F_dc</t>
        </is>
      </c>
      <c r="BP1" t="inlineStr">
        <is>
          <t>Pc</t>
        </is>
      </c>
      <c r="BQ1" t="inlineStr">
        <is>
          <t>Tled</t>
        </is>
      </c>
      <c r="BR1" t="inlineStr">
        <is>
          <t>TDigital</t>
        </is>
      </c>
      <c r="BS1" t="inlineStr">
        <is>
          <t>TPreamp</t>
        </is>
      </c>
      <c r="BT1" t="inlineStr">
        <is>
          <t>TPwrSpy</t>
        </is>
      </c>
      <c r="BU1" t="inlineStr">
        <is>
          <t>TDrive</t>
        </is>
      </c>
      <c r="BV1" t="inlineStr">
        <is>
          <t>Q_red</t>
        </is>
      </c>
      <c r="BW1" t="inlineStr">
        <is>
          <t>Q_blue</t>
        </is>
      </c>
      <c r="BX1" t="inlineStr">
        <is>
          <t>TSPF</t>
        </is>
      </c>
      <c r="BY1" t="inlineStr">
        <is>
          <t>F_avg</t>
        </is>
      </c>
      <c r="BZ1" t="inlineStr">
        <is>
          <t>dF/dt</t>
        </is>
      </c>
      <c r="CA1" t="inlineStr">
        <is>
          <t>dF_dc/dt</t>
        </is>
      </c>
      <c r="CB1" t="inlineStr">
        <is>
          <t>F_dc_avg</t>
        </is>
      </c>
      <c r="CC1" t="inlineStr">
        <is>
          <t>period</t>
        </is>
      </c>
      <c r="CD1" t="inlineStr">
        <is>
          <t>time_2</t>
        </is>
      </c>
      <c r="CE1" t="inlineStr">
        <is>
          <t>co2_t</t>
        </is>
      </c>
      <c r="CF1" t="inlineStr">
        <is>
          <t>h2o_t</t>
        </is>
      </c>
      <c r="CG1" t="inlineStr">
        <is>
          <t>count</t>
        </is>
      </c>
      <c r="CH1" t="inlineStr">
        <is>
          <t>co2_adj</t>
        </is>
      </c>
      <c r="CI1" t="inlineStr">
        <is>
          <t>h2o_adj</t>
        </is>
      </c>
      <c r="CJ1" t="inlineStr">
        <is>
          <t>co2_match</t>
        </is>
      </c>
      <c r="CK1" t="inlineStr">
        <is>
          <t>h2o_match</t>
        </is>
      </c>
      <c r="CL1" t="inlineStr">
        <is>
          <t>co2_at</t>
        </is>
      </c>
      <c r="CM1" t="inlineStr">
        <is>
          <t>h2o_at</t>
        </is>
      </c>
      <c r="CN1" t="inlineStr">
        <is>
          <t>co2_cv</t>
        </is>
      </c>
      <c r="CO1" t="inlineStr">
        <is>
          <t>h2o_cv</t>
        </is>
      </c>
      <c r="CP1" t="inlineStr">
        <is>
          <t>A:MN</t>
        </is>
      </c>
      <c r="CQ1" t="inlineStr">
        <is>
          <t>A:SLP</t>
        </is>
      </c>
      <c r="CR1" t="inlineStr">
        <is>
          <t>A:SD</t>
        </is>
      </c>
      <c r="CS1" t="inlineStr">
        <is>
          <t>A:OK</t>
        </is>
      </c>
      <c r="CT1" t="inlineStr">
        <is>
          <t>ΔCO2:MN</t>
        </is>
      </c>
      <c r="CU1" t="inlineStr">
        <is>
          <t>ΔCO2:SLP</t>
        </is>
      </c>
      <c r="CV1" t="inlineStr">
        <is>
          <t>ΔCO2:SD</t>
        </is>
      </c>
      <c r="CW1" t="inlineStr">
        <is>
          <t>ΔCO2:OK</t>
        </is>
      </c>
      <c r="CX1" t="inlineStr">
        <is>
          <t>F:MN</t>
        </is>
      </c>
      <c r="CY1" t="inlineStr">
        <is>
          <t>F:SLP</t>
        </is>
      </c>
      <c r="CZ1" t="inlineStr">
        <is>
          <t>F:SD</t>
        </is>
      </c>
      <c r="DA1" t="inlineStr">
        <is>
          <t>F:OK</t>
        </is>
      </c>
      <c r="DB1" t="inlineStr">
        <is>
          <t>Stable</t>
        </is>
      </c>
      <c r="DC1" t="inlineStr">
        <is>
          <t>Total</t>
        </is>
      </c>
      <c r="DD1" t="inlineStr">
        <is>
          <t>MatchValveR</t>
        </is>
      </c>
      <c r="DE1" t="inlineStr">
        <is>
          <t>MatchValveS</t>
        </is>
      </c>
      <c r="DF1" t="inlineStr">
        <is>
          <t>MatchCO2</t>
        </is>
      </c>
      <c r="DG1" t="inlineStr">
        <is>
          <t>MatchH2O</t>
        </is>
      </c>
      <c r="DH1" t="inlineStr">
        <is>
          <t>cf_co2_a</t>
        </is>
      </c>
      <c r="DI1" t="inlineStr">
        <is>
          <t>cf_co2_b</t>
        </is>
      </c>
      <c r="DJ1" t="inlineStr">
        <is>
          <t>cf_co2_c</t>
        </is>
      </c>
      <c r="DK1" t="inlineStr">
        <is>
          <t>cf_co2_d</t>
        </is>
      </c>
      <c r="DL1" t="inlineStr">
        <is>
          <t>cf_h2o_a</t>
        </is>
      </c>
      <c r="DM1" t="inlineStr">
        <is>
          <t>cf_h2o_b</t>
        </is>
      </c>
      <c r="DN1" t="inlineStr">
        <is>
          <t>cf_h2o_c</t>
        </is>
      </c>
      <c r="DO1" t="inlineStr">
        <is>
          <t>cf_h2o_d</t>
        </is>
      </c>
      <c r="DP1" t="inlineStr">
        <is>
          <t>co2_fit_low</t>
        </is>
      </c>
      <c r="DQ1" t="inlineStr">
        <is>
          <t>co2_fit_high</t>
        </is>
      </c>
      <c r="DR1" t="inlineStr">
        <is>
          <t>h2o_fit_low</t>
        </is>
      </c>
      <c r="DS1" t="inlineStr">
        <is>
          <t>h2o_fit_high</t>
        </is>
      </c>
      <c r="DT1" t="inlineStr">
        <is>
          <t>co2_elapsed</t>
        </is>
      </c>
      <c r="DU1" t="inlineStr">
        <is>
          <t>h2o_elapsed</t>
        </is>
      </c>
      <c r="DV1" t="inlineStr">
        <is>
          <t>CO2_f</t>
        </is>
      </c>
      <c r="DW1" t="inlineStr">
        <is>
          <t>CO2_f_s</t>
        </is>
      </c>
      <c r="DX1" t="inlineStr">
        <is>
          <t>Pump_f</t>
        </is>
      </c>
      <c r="DY1" t="inlineStr">
        <is>
          <t>Pump_f_s</t>
        </is>
      </c>
      <c r="DZ1" t="inlineStr">
        <is>
          <t>Pump_p</t>
        </is>
      </c>
      <c r="EA1" t="inlineStr">
        <is>
          <t>Pump_p_s</t>
        </is>
      </c>
      <c r="EB1" t="inlineStr">
        <is>
          <t>Tboard</t>
        </is>
      </c>
      <c r="EC1" t="inlineStr">
        <is>
          <t>V_system</t>
        </is>
      </c>
      <c r="ED1" t="inlineStr">
        <is>
          <t>DIAG</t>
        </is>
      </c>
      <c r="EE1" t="inlineStr">
        <is>
          <t>Flow_s</t>
        </is>
      </c>
      <c r="EF1" t="inlineStr">
        <is>
          <t>Flow_r</t>
        </is>
      </c>
      <c r="EG1" t="inlineStr">
        <is>
          <t>Txchg</t>
        </is>
      </c>
      <c r="EH1" t="inlineStr">
        <is>
          <t>Tirga</t>
        </is>
      </c>
      <c r="EI1" t="inlineStr">
        <is>
          <t>Tchopper</t>
        </is>
      </c>
      <c r="EJ1" t="inlineStr">
        <is>
          <t>Ts</t>
        </is>
      </c>
      <c r="EK1" t="inlineStr">
        <is>
          <t>Tr</t>
        </is>
      </c>
      <c r="EL1" t="inlineStr">
        <is>
          <t>CO2_%</t>
        </is>
      </c>
      <c r="EM1" t="inlineStr">
        <is>
          <t>Desiccant_%</t>
        </is>
      </c>
      <c r="EN1" t="inlineStr">
        <is>
          <t>Humidifier_%</t>
        </is>
      </c>
      <c r="EO1" t="inlineStr">
        <is>
          <t>Txchg_sp</t>
        </is>
      </c>
      <c r="EP1" t="inlineStr">
        <is>
          <t>CO2_r_sp</t>
        </is>
      </c>
      <c r="EQ1" t="inlineStr">
        <is>
          <t>H2O_r_sp</t>
        </is>
      </c>
      <c r="ER1" t="inlineStr">
        <is>
          <t>SS_s</t>
        </is>
      </c>
      <c r="ES1" t="inlineStr">
        <is>
          <t>SS_r</t>
        </is>
      </c>
    </row>
    <row r="2">
      <c r="A2" t="n">
        <v>1</v>
      </c>
      <c r="B2" t="n">
        <v>1792293177</v>
      </c>
      <c r="C2" t="n">
        <v>0</v>
      </c>
      <c r="D2" t="n">
        <v>5</v>
      </c>
      <c r="E2" t="n">
        <v>1792293173.5</v>
      </c>
      <c r="F2" t="n">
        <v>0.003715998270158492</v>
      </c>
      <c r="G2" t="n">
        <v>3.715998270158492</v>
      </c>
      <c r="H2" t="n">
        <v>15.89173651088412</v>
      </c>
      <c r="I2" t="n">
        <v>393.065166666667</v>
      </c>
      <c r="J2" t="n">
        <v>285.9511376661682</v>
      </c>
      <c r="K2" t="n">
        <v>0.02889193671887853</v>
      </c>
      <c r="L2" t="n">
        <v>0.03971452610545918</v>
      </c>
      <c r="M2" t="n">
        <v>0.2669399055215324</v>
      </c>
      <c r="N2" t="n">
        <v>3.02682880979479</v>
      </c>
      <c r="O2" t="n">
        <v>0.2545168474274683</v>
      </c>
      <c r="P2" t="n">
        <v>0.1601410046573765</v>
      </c>
      <c r="Q2" t="n">
        <v>3.177431884866504</v>
      </c>
      <c r="R2" t="n">
        <v>55.11088634950031</v>
      </c>
      <c r="S2" t="n">
        <v>1.738140215522858</v>
      </c>
      <c r="T2" t="n">
        <v>3.153896318233716</v>
      </c>
      <c r="U2" t="n">
        <v>0.5</v>
      </c>
      <c r="V2" t="n">
        <v>229</v>
      </c>
      <c r="W2" t="n">
        <v>290</v>
      </c>
      <c r="X2" t="n">
        <v>1011.23</v>
      </c>
      <c r="Y2" t="n">
        <v>125</v>
      </c>
      <c r="Z2" t="n">
        <v>8125.4</v>
      </c>
      <c r="AA2" t="n">
        <v>1006.99</v>
      </c>
      <c r="AB2" t="n">
        <v>4.24</v>
      </c>
      <c r="AC2" t="n">
        <v>300</v>
      </c>
      <c r="AD2" t="n">
        <v>19.1</v>
      </c>
      <c r="AE2" t="n">
        <v>1050.94976592848</v>
      </c>
      <c r="AF2" t="n">
        <v>2.96753520531848</v>
      </c>
      <c r="AG2" t="n">
        <v>-35.7187275448967</v>
      </c>
      <c r="AH2" t="n">
        <v>2.15538353963423</v>
      </c>
      <c r="AI2" t="n">
        <v>0.907476783931123</v>
      </c>
      <c r="AJ2" t="n">
        <v>-0.0053713552836485</v>
      </c>
      <c r="AK2" t="n">
        <v>290</v>
      </c>
      <c r="AL2" t="n">
        <v>995.53</v>
      </c>
      <c r="AM2" t="n">
        <v>615</v>
      </c>
      <c r="AN2" t="n">
        <v>8114.81</v>
      </c>
      <c r="AO2" t="n">
        <v>1006.93</v>
      </c>
      <c r="AP2" t="n">
        <v>-11.4</v>
      </c>
      <c r="AQ2" t="n">
        <v>1500.06</v>
      </c>
      <c r="AR2" t="n">
        <v>2</v>
      </c>
      <c r="AS2" t="n">
        <v>0.5</v>
      </c>
      <c r="AT2" t="n">
        <v>2</v>
      </c>
      <c r="AU2" t="n">
        <v>1792293173.5</v>
      </c>
      <c r="AV2" t="n">
        <v>393.065166666667</v>
      </c>
      <c r="AW2" t="n">
        <v>400.0055</v>
      </c>
      <c r="AX2" t="n">
        <v>17.2028333333333</v>
      </c>
      <c r="AY2" t="n">
        <v>15.7421333333333</v>
      </c>
      <c r="AZ2" t="n">
        <v>393.309166666667</v>
      </c>
      <c r="BA2" t="n">
        <v>17.3499833333333</v>
      </c>
      <c r="BB2" t="n">
        <v>500.044166666667</v>
      </c>
      <c r="BC2" t="n">
        <v>100.938</v>
      </c>
      <c r="BD2" t="n">
        <v>0.100019833333333</v>
      </c>
      <c r="BE2" t="n">
        <v>24.8635166666667</v>
      </c>
      <c r="BF2" t="n">
        <v>24.98815</v>
      </c>
      <c r="BG2" t="n">
        <v>999.9</v>
      </c>
      <c r="BH2" t="n">
        <v>10001.4666666667</v>
      </c>
      <c r="BI2" t="n">
        <v>6.85491333333333</v>
      </c>
      <c r="BJ2" t="n">
        <v>1500.06</v>
      </c>
      <c r="BK2" t="n">
        <v>0.97301</v>
      </c>
      <c r="BL2" t="n">
        <v>0.0269896166666667</v>
      </c>
      <c r="BM2" t="n">
        <v>196.529333333333</v>
      </c>
      <c r="BN2" t="n">
        <v>4.99999</v>
      </c>
      <c r="BO2" t="n">
        <v>3016.93833333333</v>
      </c>
      <c r="BP2" t="n">
        <v>14883.25</v>
      </c>
      <c r="BQ2" t="n">
        <v>36.375</v>
      </c>
      <c r="BR2" t="n">
        <v>37.937</v>
      </c>
      <c r="BS2" t="n">
        <v>36.937</v>
      </c>
      <c r="BT2" t="n">
        <v>37.437</v>
      </c>
      <c r="BU2" t="n">
        <v>38</v>
      </c>
      <c r="BV2" t="n">
        <v>1454.71</v>
      </c>
      <c r="BW2" t="n">
        <v>40.35</v>
      </c>
      <c r="BX2" t="n">
        <v>2309.09999990463</v>
      </c>
      <c r="BY2" t="n">
        <v>196.6656</v>
      </c>
      <c r="BZ2" t="n">
        <v>-0.631076920738757</v>
      </c>
      <c r="CA2" t="n">
        <v>1.75461538515454</v>
      </c>
      <c r="CB2" t="n">
        <v>3016.7216</v>
      </c>
      <c r="CC2" t="n">
        <v>15</v>
      </c>
      <c r="CD2" t="n">
        <v>1792293105</v>
      </c>
      <c r="CE2" t="n">
        <v>1792293105</v>
      </c>
      <c r="CF2" t="n">
        <v>1792293104</v>
      </c>
      <c r="CG2" t="n">
        <v>23</v>
      </c>
      <c r="CH2" t="n">
        <v>0.068</v>
      </c>
      <c r="CI2" t="n">
        <v>-0.001</v>
      </c>
      <c r="CJ2" t="n">
        <v>-0.241</v>
      </c>
      <c r="CK2" t="n">
        <v>-0.166</v>
      </c>
      <c r="CL2" t="n">
        <v>400</v>
      </c>
      <c r="CM2" t="n">
        <v>16</v>
      </c>
      <c r="CN2" t="n">
        <v>0.31</v>
      </c>
      <c r="CO2" t="n">
        <v>0.03</v>
      </c>
      <c r="CP2" t="n">
        <v>15.8141017552003</v>
      </c>
      <c r="CQ2" t="n">
        <v>-0.17566125646114</v>
      </c>
      <c r="CR2" t="n">
        <v>0.0805008469913128</v>
      </c>
      <c r="CS2" t="n">
        <v>1</v>
      </c>
      <c r="CT2" t="n">
        <v>-6.91153666666667</v>
      </c>
      <c r="CU2" t="n">
        <v>0.0125602597402532</v>
      </c>
      <c r="CV2" t="n">
        <v>0.033475285315948</v>
      </c>
      <c r="CW2" t="n">
        <v>1</v>
      </c>
      <c r="CX2" t="n">
        <v>196.6235</v>
      </c>
      <c r="CY2" t="n">
        <v>0.546447675097927</v>
      </c>
      <c r="CZ2" t="n">
        <v>0.336310977414376</v>
      </c>
      <c r="DA2" t="n">
        <v>1</v>
      </c>
      <c r="DB2" t="n">
        <v>3</v>
      </c>
      <c r="DC2" t="n">
        <v>3</v>
      </c>
      <c r="DD2" t="n">
        <v>100</v>
      </c>
      <c r="DE2" t="n">
        <v>100</v>
      </c>
      <c r="DF2" t="n">
        <v>-0.244</v>
      </c>
      <c r="DG2" t="n">
        <v>-0.1471</v>
      </c>
      <c r="DH2" t="n">
        <v>-0.315662273502607</v>
      </c>
      <c r="DI2" t="n">
        <v>-6.16732984266029e-05</v>
      </c>
      <c r="DJ2" t="n">
        <v>6.19398071816742e-07</v>
      </c>
      <c r="DK2" t="n">
        <v>3.19222985850634e-12</v>
      </c>
      <c r="DL2" t="n">
        <v>-0.06367256561779271</v>
      </c>
      <c r="DM2" t="n">
        <v>-0.0257783215012692</v>
      </c>
      <c r="DN2" t="n">
        <v>0.00133723821780375</v>
      </c>
      <c r="DO2" t="n">
        <v>-7.42160749481374e-06</v>
      </c>
      <c r="DP2" t="n">
        <v>7</v>
      </c>
      <c r="DQ2" t="n">
        <v>2154</v>
      </c>
      <c r="DR2" t="n">
        <v>2</v>
      </c>
      <c r="DS2" t="n">
        <v>20</v>
      </c>
      <c r="DT2" t="n">
        <v>1.2</v>
      </c>
      <c r="DU2" t="n">
        <v>1.2</v>
      </c>
      <c r="DV2" t="n">
        <v>1.03882</v>
      </c>
      <c r="DW2" t="n">
        <v>2.63184</v>
      </c>
      <c r="DX2" t="n">
        <v>1.65161</v>
      </c>
      <c r="DY2" t="n">
        <v>2.27661</v>
      </c>
      <c r="DZ2" t="n">
        <v>1.5979</v>
      </c>
      <c r="EA2" t="n">
        <v>2.65137</v>
      </c>
      <c r="EB2" t="n">
        <v>35.3596</v>
      </c>
      <c r="EC2" t="n">
        <v>23.7986</v>
      </c>
      <c r="ED2" t="n">
        <v>18</v>
      </c>
      <c r="EE2" t="n">
        <v>503.884</v>
      </c>
      <c r="EF2" t="n">
        <v>536.029</v>
      </c>
      <c r="EG2" t="n">
        <v>21.1781</v>
      </c>
      <c r="EH2" t="n">
        <v>29.2538</v>
      </c>
      <c r="EI2" t="n">
        <v>30.0001</v>
      </c>
      <c r="EJ2" t="n">
        <v>29.4359</v>
      </c>
      <c r="EK2" t="n">
        <v>29.4957</v>
      </c>
      <c r="EL2" t="n">
        <v>20.7684</v>
      </c>
      <c r="EM2" t="n">
        <v>26.5215</v>
      </c>
      <c r="EN2" t="n">
        <v>27.5478</v>
      </c>
      <c r="EO2" t="n">
        <v>21.1872</v>
      </c>
      <c r="EP2" t="n">
        <v>400</v>
      </c>
      <c r="EQ2" t="n">
        <v>15.7292</v>
      </c>
      <c r="ER2" t="n">
        <v>98.10590000000001</v>
      </c>
      <c r="ES2" t="n">
        <v>94.6056</v>
      </c>
    </row>
    <row r="3">
      <c r="A3" t="n">
        <v>2</v>
      </c>
      <c r="B3" t="n">
        <v>1792293302</v>
      </c>
      <c r="C3" t="n">
        <v>125</v>
      </c>
      <c r="D3" t="n">
        <v>5</v>
      </c>
      <c r="E3" t="n">
        <v>1792293299</v>
      </c>
      <c r="F3" t="n">
        <v>0.003777413165869072</v>
      </c>
      <c r="G3" t="n">
        <v>3.777413165869072</v>
      </c>
      <c r="H3" t="n">
        <v>11.88836294468751</v>
      </c>
      <c r="I3" t="n">
        <v>294.8102</v>
      </c>
      <c r="J3" t="n">
        <v>215.628699219702</v>
      </c>
      <c r="K3" t="n">
        <v>0.02178814123042625</v>
      </c>
      <c r="L3" t="n">
        <v>0.02978901369351352</v>
      </c>
      <c r="M3" t="n">
        <v>0.2707245051223256</v>
      </c>
      <c r="N3" t="n">
        <v>3.025327216250958</v>
      </c>
      <c r="O3" t="n">
        <v>0.2579497258373858</v>
      </c>
      <c r="P3" t="n">
        <v>0.1623160981690761</v>
      </c>
      <c r="Q3" t="n">
        <v>3.180617976134958</v>
      </c>
      <c r="R3" t="n">
        <v>55.10638515893176</v>
      </c>
      <c r="S3" t="n">
        <v>1.736926378080254</v>
      </c>
      <c r="T3" t="n">
        <v>3.151951217759617</v>
      </c>
      <c r="U3" t="n">
        <v>0.5</v>
      </c>
      <c r="V3" t="n">
        <v>229</v>
      </c>
      <c r="W3" t="n">
        <v>290</v>
      </c>
      <c r="X3" t="n">
        <v>1011.23</v>
      </c>
      <c r="Y3" t="n">
        <v>125</v>
      </c>
      <c r="Z3" t="n">
        <v>8125.4</v>
      </c>
      <c r="AA3" t="n">
        <v>1006.99</v>
      </c>
      <c r="AB3" t="n">
        <v>4.24</v>
      </c>
      <c r="AC3" t="n">
        <v>300</v>
      </c>
      <c r="AD3" t="n">
        <v>19.1</v>
      </c>
      <c r="AE3" t="n">
        <v>1050.94976592848</v>
      </c>
      <c r="AF3" t="n">
        <v>2.96753520531848</v>
      </c>
      <c r="AG3" t="n">
        <v>-35.7187275448967</v>
      </c>
      <c r="AH3" t="n">
        <v>2.15538353963423</v>
      </c>
      <c r="AI3" t="n">
        <v>0.907476783931123</v>
      </c>
      <c r="AJ3" t="n">
        <v>-0.0053713552836485</v>
      </c>
      <c r="AK3" t="n">
        <v>290</v>
      </c>
      <c r="AL3" t="n">
        <v>995.53</v>
      </c>
      <c r="AM3" t="n">
        <v>615</v>
      </c>
      <c r="AN3" t="n">
        <v>8114.81</v>
      </c>
      <c r="AO3" t="n">
        <v>1006.93</v>
      </c>
      <c r="AP3" t="n">
        <v>-11.4</v>
      </c>
      <c r="AQ3" t="n">
        <v>1499.95</v>
      </c>
      <c r="AR3" t="n">
        <v>2</v>
      </c>
      <c r="AS3" t="n">
        <v>0.5</v>
      </c>
      <c r="AT3" t="n">
        <v>2</v>
      </c>
      <c r="AU3" t="n">
        <v>1792293299</v>
      </c>
      <c r="AV3" t="n">
        <v>294.8102</v>
      </c>
      <c r="AW3" t="n">
        <v>300.0106</v>
      </c>
      <c r="AX3" t="n">
        <v>17.18968</v>
      </c>
      <c r="AY3" t="n">
        <v>15.7048</v>
      </c>
      <c r="AZ3" t="n">
        <v>295.073</v>
      </c>
      <c r="BA3" t="n">
        <v>17.33558</v>
      </c>
      <c r="BB3" t="n">
        <v>500.0378</v>
      </c>
      <c r="BC3" t="n">
        <v>100.9446</v>
      </c>
      <c r="BD3" t="n">
        <v>0.10011858</v>
      </c>
      <c r="BE3" t="n">
        <v>24.85318</v>
      </c>
      <c r="BF3" t="n">
        <v>25.00496</v>
      </c>
      <c r="BG3" t="n">
        <v>999.9</v>
      </c>
      <c r="BH3" t="n">
        <v>9991.74</v>
      </c>
      <c r="BI3" t="n">
        <v>7.1149</v>
      </c>
      <c r="BJ3" t="n">
        <v>1499.95</v>
      </c>
      <c r="BK3" t="n">
        <v>0.973005</v>
      </c>
      <c r="BL3" t="n">
        <v>0.02699524</v>
      </c>
      <c r="BM3" t="n">
        <v>186.5054</v>
      </c>
      <c r="BN3" t="n">
        <v>4.99999</v>
      </c>
      <c r="BO3" t="n">
        <v>2866.626</v>
      </c>
      <c r="BP3" t="n">
        <v>14882.1</v>
      </c>
      <c r="BQ3" t="n">
        <v>36.6372</v>
      </c>
      <c r="BR3" t="n">
        <v>38.4498</v>
      </c>
      <c r="BS3" t="n">
        <v>37.2374</v>
      </c>
      <c r="BT3" t="n">
        <v>38.0248</v>
      </c>
      <c r="BU3" t="n">
        <v>38.5122</v>
      </c>
      <c r="BV3" t="n">
        <v>1454.592</v>
      </c>
      <c r="BW3" t="n">
        <v>40.36</v>
      </c>
      <c r="BX3" t="n">
        <v>2433.90000009537</v>
      </c>
      <c r="BY3" t="n">
        <v>186.39396</v>
      </c>
      <c r="BZ3" t="n">
        <v>-0.0143076870302137</v>
      </c>
      <c r="CA3" t="n">
        <v>6.73846155375952</v>
      </c>
      <c r="CB3" t="n">
        <v>2866.0848</v>
      </c>
      <c r="CC3" t="n">
        <v>15</v>
      </c>
      <c r="CD3" t="n">
        <v>1792293249</v>
      </c>
      <c r="CE3" t="n">
        <v>1792293244</v>
      </c>
      <c r="CF3" t="n">
        <v>1792293249</v>
      </c>
      <c r="CG3" t="n">
        <v>24</v>
      </c>
      <c r="CH3" t="n">
        <v>0.017</v>
      </c>
      <c r="CI3" t="n">
        <v>0.001</v>
      </c>
      <c r="CJ3" t="n">
        <v>-0.261</v>
      </c>
      <c r="CK3" t="n">
        <v>-0.164</v>
      </c>
      <c r="CL3" t="n">
        <v>300</v>
      </c>
      <c r="CM3" t="n">
        <v>16</v>
      </c>
      <c r="CN3" t="n">
        <v>0.31</v>
      </c>
      <c r="CO3" t="n">
        <v>0.03</v>
      </c>
      <c r="CP3" t="n">
        <v>11.8814470522897</v>
      </c>
      <c r="CQ3" t="n">
        <v>0.0641229255020225</v>
      </c>
      <c r="CR3" t="n">
        <v>0.0527743459502954</v>
      </c>
      <c r="CS3" t="n">
        <v>1</v>
      </c>
      <c r="CT3" t="n">
        <v>-5.203684</v>
      </c>
      <c r="CU3" t="n">
        <v>0.09198315789473829</v>
      </c>
      <c r="CV3" t="n">
        <v>0.019082457231709</v>
      </c>
      <c r="CW3" t="n">
        <v>1</v>
      </c>
      <c r="CX3" t="n">
        <v>186.442117647059</v>
      </c>
      <c r="CY3" t="n">
        <v>-0.138212369832742</v>
      </c>
      <c r="CZ3" t="n">
        <v>0.390478045229472</v>
      </c>
      <c r="DA3" t="n">
        <v>1</v>
      </c>
      <c r="DB3" t="n">
        <v>3</v>
      </c>
      <c r="DC3" t="n">
        <v>3</v>
      </c>
      <c r="DD3" t="n">
        <v>100</v>
      </c>
      <c r="DE3" t="n">
        <v>100</v>
      </c>
      <c r="DF3" t="n">
        <v>-0.263</v>
      </c>
      <c r="DG3" t="n">
        <v>-0.1459</v>
      </c>
      <c r="DH3" t="n">
        <v>-0.298487029305104</v>
      </c>
      <c r="DI3" t="n">
        <v>-6.16732984266029e-05</v>
      </c>
      <c r="DJ3" t="n">
        <v>6.19398071816742e-07</v>
      </c>
      <c r="DK3" t="n">
        <v>3.19222985850634e-12</v>
      </c>
      <c r="DL3" t="n">
        <v>-0.0622217873286093</v>
      </c>
      <c r="DM3" t="n">
        <v>-0.0257783215012692</v>
      </c>
      <c r="DN3" t="n">
        <v>0.00133723821780375</v>
      </c>
      <c r="DO3" t="n">
        <v>-7.42160749481374e-06</v>
      </c>
      <c r="DP3" t="n">
        <v>7</v>
      </c>
      <c r="DQ3" t="n">
        <v>2154</v>
      </c>
      <c r="DR3" t="n">
        <v>2</v>
      </c>
      <c r="DS3" t="n">
        <v>20</v>
      </c>
      <c r="DT3" t="n">
        <v>1</v>
      </c>
      <c r="DU3" t="n">
        <v>0.9</v>
      </c>
      <c r="DV3" t="n">
        <v>0.827637</v>
      </c>
      <c r="DW3" t="n">
        <v>2.65137</v>
      </c>
      <c r="DX3" t="n">
        <v>1.65161</v>
      </c>
      <c r="DY3" t="n">
        <v>2.27539</v>
      </c>
      <c r="DZ3" t="n">
        <v>1.5979</v>
      </c>
      <c r="EA3" t="n">
        <v>2.4292</v>
      </c>
      <c r="EB3" t="n">
        <v>35.5451</v>
      </c>
      <c r="EC3" t="n">
        <v>23.7898</v>
      </c>
      <c r="ED3" t="n">
        <v>18</v>
      </c>
      <c r="EE3" t="n">
        <v>504.091</v>
      </c>
      <c r="EF3" t="n">
        <v>534.956</v>
      </c>
      <c r="EG3" t="n">
        <v>21.1523</v>
      </c>
      <c r="EH3" t="n">
        <v>29.2727</v>
      </c>
      <c r="EI3" t="n">
        <v>30.0002</v>
      </c>
      <c r="EJ3" t="n">
        <v>29.4485</v>
      </c>
      <c r="EK3" t="n">
        <v>29.5059</v>
      </c>
      <c r="EL3" t="n">
        <v>16.5656</v>
      </c>
      <c r="EM3" t="n">
        <v>26.4579</v>
      </c>
      <c r="EN3" t="n">
        <v>27.2107</v>
      </c>
      <c r="EO3" t="n">
        <v>21.1524</v>
      </c>
      <c r="EP3" t="n">
        <v>300</v>
      </c>
      <c r="EQ3" t="n">
        <v>15.6983</v>
      </c>
      <c r="ER3" t="n">
        <v>98.1009</v>
      </c>
      <c r="ES3" t="n">
        <v>94.6031</v>
      </c>
    </row>
    <row r="4">
      <c r="A4" t="n">
        <v>3</v>
      </c>
      <c r="B4" t="n">
        <v>1792293423</v>
      </c>
      <c r="C4" t="n">
        <v>246</v>
      </c>
      <c r="D4" t="n">
        <v>5</v>
      </c>
      <c r="E4" t="n">
        <v>1792293419.5</v>
      </c>
      <c r="F4" t="n">
        <v>0.003894284621447189</v>
      </c>
      <c r="G4" t="n">
        <v>3.894284621447189</v>
      </c>
      <c r="H4" t="n">
        <v>7.41135741297239</v>
      </c>
      <c r="I4" t="n">
        <v>196.7675</v>
      </c>
      <c r="J4" t="n">
        <v>148.4232198756812</v>
      </c>
      <c r="K4" t="n">
        <v>0.01499762361935464</v>
      </c>
      <c r="L4" t="n">
        <v>0.01988263634216498</v>
      </c>
      <c r="M4" t="n">
        <v>0.2792530690613847</v>
      </c>
      <c r="N4" t="n">
        <v>3.02143829044204</v>
      </c>
      <c r="O4" t="n">
        <v>0.2656658526484467</v>
      </c>
      <c r="P4" t="n">
        <v>0.1672068101567449</v>
      </c>
      <c r="Q4" t="n">
        <v>3.182585483418957</v>
      </c>
      <c r="R4" t="n">
        <v>54.92111582371395</v>
      </c>
      <c r="S4" t="n">
        <v>1.737449769254155</v>
      </c>
      <c r="T4" t="n">
        <v>3.163536907791584</v>
      </c>
      <c r="U4" t="n">
        <v>0.5</v>
      </c>
      <c r="V4" t="n">
        <v>229</v>
      </c>
      <c r="W4" t="n">
        <v>290</v>
      </c>
      <c r="X4" t="n">
        <v>1011.23</v>
      </c>
      <c r="Y4" t="n">
        <v>125</v>
      </c>
      <c r="Z4" t="n">
        <v>8125.4</v>
      </c>
      <c r="AA4" t="n">
        <v>1006.99</v>
      </c>
      <c r="AB4" t="n">
        <v>4.24</v>
      </c>
      <c r="AC4" t="n">
        <v>300</v>
      </c>
      <c r="AD4" t="n">
        <v>19.1</v>
      </c>
      <c r="AE4" t="n">
        <v>1050.94976592848</v>
      </c>
      <c r="AF4" t="n">
        <v>2.96753520531848</v>
      </c>
      <c r="AG4" t="n">
        <v>-35.7187275448967</v>
      </c>
      <c r="AH4" t="n">
        <v>2.15538353963423</v>
      </c>
      <c r="AI4" t="n">
        <v>0.907476783931123</v>
      </c>
      <c r="AJ4" t="n">
        <v>-0.0053713552836485</v>
      </c>
      <c r="AK4" t="n">
        <v>290</v>
      </c>
      <c r="AL4" t="n">
        <v>995.53</v>
      </c>
      <c r="AM4" t="n">
        <v>615</v>
      </c>
      <c r="AN4" t="n">
        <v>8114.81</v>
      </c>
      <c r="AO4" t="n">
        <v>1006.93</v>
      </c>
      <c r="AP4" t="n">
        <v>-11.4</v>
      </c>
      <c r="AQ4" t="n">
        <v>1500.02833333333</v>
      </c>
      <c r="AR4" t="n">
        <v>2</v>
      </c>
      <c r="AS4" t="n">
        <v>0.5</v>
      </c>
      <c r="AT4" t="n">
        <v>2</v>
      </c>
      <c r="AU4" t="n">
        <v>1792293419.5</v>
      </c>
      <c r="AV4" t="n">
        <v>196.7675</v>
      </c>
      <c r="AW4" t="n">
        <v>200.038166666667</v>
      </c>
      <c r="AX4" t="n">
        <v>17.1945833333333</v>
      </c>
      <c r="AY4" t="n">
        <v>15.6638333333333</v>
      </c>
      <c r="AZ4" t="n">
        <v>197.082666666667</v>
      </c>
      <c r="BA4" t="n">
        <v>17.3424</v>
      </c>
      <c r="BB4" t="n">
        <v>500.058666666667</v>
      </c>
      <c r="BC4" t="n">
        <v>100.946166666667</v>
      </c>
      <c r="BD4" t="n">
        <v>0.100176566666667</v>
      </c>
      <c r="BE4" t="n">
        <v>24.9146666666667</v>
      </c>
      <c r="BF4" t="n">
        <v>25.0153333333333</v>
      </c>
      <c r="BG4" t="n">
        <v>999.9</v>
      </c>
      <c r="BH4" t="n">
        <v>9968.125</v>
      </c>
      <c r="BI4" t="n">
        <v>7.22877166666667</v>
      </c>
      <c r="BJ4" t="n">
        <v>1500.02833333333</v>
      </c>
      <c r="BK4" t="n">
        <v>0.973003833333333</v>
      </c>
      <c r="BL4" t="n">
        <v>0.0269960666666667</v>
      </c>
      <c r="BM4" t="n">
        <v>177.7045</v>
      </c>
      <c r="BN4" t="n">
        <v>4.99999</v>
      </c>
      <c r="BO4" t="n">
        <v>2767.635</v>
      </c>
      <c r="BP4" t="n">
        <v>14882.8666666667</v>
      </c>
      <c r="BQ4" t="n">
        <v>38.8956666666667</v>
      </c>
      <c r="BR4" t="n">
        <v>41.1248333333333</v>
      </c>
      <c r="BS4" t="n">
        <v>39.4266666666667</v>
      </c>
      <c r="BT4" t="n">
        <v>41.8123333333333</v>
      </c>
      <c r="BU4" t="n">
        <v>40.8956666666667</v>
      </c>
      <c r="BV4" t="n">
        <v>1454.66833333333</v>
      </c>
      <c r="BW4" t="n">
        <v>40.36</v>
      </c>
      <c r="BX4" t="n">
        <v>2555.09999990463</v>
      </c>
      <c r="BY4" t="n">
        <v>177.76088</v>
      </c>
      <c r="BZ4" t="n">
        <v>-1.35346152160542</v>
      </c>
      <c r="CA4" t="n">
        <v>-4.65538461842938</v>
      </c>
      <c r="CB4" t="n">
        <v>2767.9888</v>
      </c>
      <c r="CC4" t="n">
        <v>15</v>
      </c>
      <c r="CD4" t="n">
        <v>1792293367</v>
      </c>
      <c r="CE4" t="n">
        <v>1792293367</v>
      </c>
      <c r="CF4" t="n">
        <v>1792293367</v>
      </c>
      <c r="CG4" t="n">
        <v>25</v>
      </c>
      <c r="CH4" t="n">
        <v>-0.029</v>
      </c>
      <c r="CI4" t="n">
        <v>-0.002</v>
      </c>
      <c r="CJ4" t="n">
        <v>-0.315</v>
      </c>
      <c r="CK4" t="n">
        <v>-0.167</v>
      </c>
      <c r="CL4" t="n">
        <v>200</v>
      </c>
      <c r="CM4" t="n">
        <v>16</v>
      </c>
      <c r="CN4" t="n">
        <v>0.4</v>
      </c>
      <c r="CO4" t="n">
        <v>0.04</v>
      </c>
      <c r="CP4" t="n">
        <v>7.30024106892868</v>
      </c>
      <c r="CQ4" t="n">
        <v>0.276898053631117</v>
      </c>
      <c r="CR4" t="n">
        <v>0.08522842526472769</v>
      </c>
      <c r="CS4" t="n">
        <v>1</v>
      </c>
      <c r="CT4" t="n">
        <v>-3.2328485</v>
      </c>
      <c r="CU4" t="n">
        <v>-0.183006766917294</v>
      </c>
      <c r="CV4" t="n">
        <v>0.0366207948131933</v>
      </c>
      <c r="CW4" t="n">
        <v>1</v>
      </c>
      <c r="CX4" t="n">
        <v>177.744705882353</v>
      </c>
      <c r="CY4" t="n">
        <v>0.12806723477913</v>
      </c>
      <c r="CZ4" t="n">
        <v>0.385579970297744</v>
      </c>
      <c r="DA4" t="n">
        <v>1</v>
      </c>
      <c r="DB4" t="n">
        <v>3</v>
      </c>
      <c r="DC4" t="n">
        <v>3</v>
      </c>
      <c r="DD4" t="n">
        <v>100</v>
      </c>
      <c r="DE4" t="n">
        <v>100</v>
      </c>
      <c r="DF4" t="n">
        <v>-0.315</v>
      </c>
      <c r="DG4" t="n">
        <v>-0.1479</v>
      </c>
      <c r="DH4" t="n">
        <v>-0.327257171256208</v>
      </c>
      <c r="DI4" t="n">
        <v>-6.16732984266029e-05</v>
      </c>
      <c r="DJ4" t="n">
        <v>6.19398071816742e-07</v>
      </c>
      <c r="DK4" t="n">
        <v>3.19222985850634e-12</v>
      </c>
      <c r="DL4" t="n">
        <v>-0.0642338664280402</v>
      </c>
      <c r="DM4" t="n">
        <v>-0.0257783215012692</v>
      </c>
      <c r="DN4" t="n">
        <v>0.00133723821780375</v>
      </c>
      <c r="DO4" t="n">
        <v>-7.42160749481374e-06</v>
      </c>
      <c r="DP4" t="n">
        <v>7</v>
      </c>
      <c r="DQ4" t="n">
        <v>2154</v>
      </c>
      <c r="DR4" t="n">
        <v>2</v>
      </c>
      <c r="DS4" t="n">
        <v>20</v>
      </c>
      <c r="DT4" t="n">
        <v>0.9</v>
      </c>
      <c r="DU4" t="n">
        <v>0.9</v>
      </c>
      <c r="DV4" t="n">
        <v>0.609131</v>
      </c>
      <c r="DW4" t="n">
        <v>2.66357</v>
      </c>
      <c r="DX4" t="n">
        <v>1.65161</v>
      </c>
      <c r="DY4" t="n">
        <v>2.27539</v>
      </c>
      <c r="DZ4" t="n">
        <v>1.5979</v>
      </c>
      <c r="EA4" t="n">
        <v>2.51099</v>
      </c>
      <c r="EB4" t="n">
        <v>35.6613</v>
      </c>
      <c r="EC4" t="n">
        <v>23.7898</v>
      </c>
      <c r="ED4" t="n">
        <v>18</v>
      </c>
      <c r="EE4" t="n">
        <v>503.816</v>
      </c>
      <c r="EF4" t="n">
        <v>534.293</v>
      </c>
      <c r="EG4" t="n">
        <v>21.027</v>
      </c>
      <c r="EH4" t="n">
        <v>29.2966</v>
      </c>
      <c r="EI4" t="n">
        <v>30.0003</v>
      </c>
      <c r="EJ4" t="n">
        <v>29.4655</v>
      </c>
      <c r="EK4" t="n">
        <v>29.5235</v>
      </c>
      <c r="EL4" t="n">
        <v>12.1637</v>
      </c>
      <c r="EM4" t="n">
        <v>26.459</v>
      </c>
      <c r="EN4" t="n">
        <v>26.8453</v>
      </c>
      <c r="EO4" t="n">
        <v>21.0173</v>
      </c>
      <c r="EP4" t="n">
        <v>200</v>
      </c>
      <c r="EQ4" t="n">
        <v>15.6718</v>
      </c>
      <c r="ER4" t="n">
        <v>98.09610000000001</v>
      </c>
      <c r="ES4" t="n">
        <v>94.5963</v>
      </c>
    </row>
    <row r="5">
      <c r="A5" t="n">
        <v>4</v>
      </c>
      <c r="B5" t="n">
        <v>1792293544</v>
      </c>
      <c r="C5" t="n">
        <v>367</v>
      </c>
      <c r="D5" t="n">
        <v>5</v>
      </c>
      <c r="E5" t="n">
        <v>1792293541</v>
      </c>
      <c r="F5" t="n">
        <v>0.003985342471097824</v>
      </c>
      <c r="G5" t="n">
        <v>3.985342471097824</v>
      </c>
      <c r="H5" t="n">
        <v>2.223434483873552</v>
      </c>
      <c r="I5" t="n">
        <v>98.96364</v>
      </c>
      <c r="J5" t="n">
        <v>83.96616276956352</v>
      </c>
      <c r="K5" t="n">
        <v>0.008484224015260122</v>
      </c>
      <c r="L5" t="n">
        <v>0.009999619649522798</v>
      </c>
      <c r="M5" t="n">
        <v>0.2885714284466676</v>
      </c>
      <c r="N5" t="n">
        <v>3.02704854893274</v>
      </c>
      <c r="O5" t="n">
        <v>0.2741129651851178</v>
      </c>
      <c r="P5" t="n">
        <v>0.1725592511469197</v>
      </c>
      <c r="Q5" t="n">
        <v>3.17912408917754</v>
      </c>
      <c r="R5" t="n">
        <v>55.14170300374388</v>
      </c>
      <c r="S5" t="n">
        <v>1.745851589666374</v>
      </c>
      <c r="T5" t="n">
        <v>3.166118372419218</v>
      </c>
      <c r="U5" t="n">
        <v>0.5</v>
      </c>
      <c r="V5" t="n">
        <v>229</v>
      </c>
      <c r="W5" t="n">
        <v>290</v>
      </c>
      <c r="X5" t="n">
        <v>1011.23</v>
      </c>
      <c r="Y5" t="n">
        <v>125</v>
      </c>
      <c r="Z5" t="n">
        <v>8125.4</v>
      </c>
      <c r="AA5" t="n">
        <v>1006.99</v>
      </c>
      <c r="AB5" t="n">
        <v>4.24</v>
      </c>
      <c r="AC5" t="n">
        <v>300</v>
      </c>
      <c r="AD5" t="n">
        <v>19.1</v>
      </c>
      <c r="AE5" t="n">
        <v>1050.94976592848</v>
      </c>
      <c r="AF5" t="n">
        <v>2.96753520531848</v>
      </c>
      <c r="AG5" t="n">
        <v>-35.7187275448967</v>
      </c>
      <c r="AH5" t="n">
        <v>2.15538353963423</v>
      </c>
      <c r="AI5" t="n">
        <v>0.907476783931123</v>
      </c>
      <c r="AJ5" t="n">
        <v>-0.0053713552836485</v>
      </c>
      <c r="AK5" t="n">
        <v>290</v>
      </c>
      <c r="AL5" t="n">
        <v>995.53</v>
      </c>
      <c r="AM5" t="n">
        <v>615</v>
      </c>
      <c r="AN5" t="n">
        <v>8114.81</v>
      </c>
      <c r="AO5" t="n">
        <v>1006.93</v>
      </c>
      <c r="AP5" t="n">
        <v>-11.4</v>
      </c>
      <c r="AQ5" t="n">
        <v>1500</v>
      </c>
      <c r="AR5" t="n">
        <v>2</v>
      </c>
      <c r="AS5" t="n">
        <v>0.5</v>
      </c>
      <c r="AT5" t="n">
        <v>2</v>
      </c>
      <c r="AU5" t="n">
        <v>1792293541</v>
      </c>
      <c r="AV5" t="n">
        <v>98.96364</v>
      </c>
      <c r="AW5" t="n">
        <v>100.01078</v>
      </c>
      <c r="AX5" t="n">
        <v>17.27824</v>
      </c>
      <c r="AY5" t="n">
        <v>15.71164</v>
      </c>
      <c r="AZ5" t="n">
        <v>99.29016</v>
      </c>
      <c r="BA5" t="n">
        <v>17.42436</v>
      </c>
      <c r="BB5" t="n">
        <v>499.9978</v>
      </c>
      <c r="BC5" t="n">
        <v>100.9434</v>
      </c>
      <c r="BD5" t="n">
        <v>0.09996956</v>
      </c>
      <c r="BE5" t="n">
        <v>24.92834</v>
      </c>
      <c r="BF5" t="n">
        <v>24.99708</v>
      </c>
      <c r="BG5" t="n">
        <v>999.9</v>
      </c>
      <c r="BH5" t="n">
        <v>10002.26</v>
      </c>
      <c r="BI5" t="n">
        <v>7.249008</v>
      </c>
      <c r="BJ5" t="n">
        <v>1500</v>
      </c>
      <c r="BK5" t="n">
        <v>0.973005</v>
      </c>
      <c r="BL5" t="n">
        <v>0.02699522</v>
      </c>
      <c r="BM5" t="n">
        <v>175.0948</v>
      </c>
      <c r="BN5" t="n">
        <v>4.99999</v>
      </c>
      <c r="BO5" t="n">
        <v>2722.274</v>
      </c>
      <c r="BP5" t="n">
        <v>14882.6</v>
      </c>
      <c r="BQ5" t="n">
        <v>38.375</v>
      </c>
      <c r="BR5" t="n">
        <v>39.6746</v>
      </c>
      <c r="BS5" t="n">
        <v>38.937</v>
      </c>
      <c r="BT5" t="n">
        <v>39.25</v>
      </c>
      <c r="BU5" t="n">
        <v>39.875</v>
      </c>
      <c r="BV5" t="n">
        <v>1454.64</v>
      </c>
      <c r="BW5" t="n">
        <v>40.36</v>
      </c>
      <c r="BX5" t="n">
        <v>2675.70000004768</v>
      </c>
      <c r="BY5" t="n">
        <v>175.093961538462</v>
      </c>
      <c r="BZ5" t="n">
        <v>-1.45097435214224</v>
      </c>
      <c r="CA5" t="n">
        <v>-7.99692307477232</v>
      </c>
      <c r="CB5" t="n">
        <v>2723.06346153846</v>
      </c>
      <c r="CC5" t="n">
        <v>15</v>
      </c>
      <c r="CD5" t="n">
        <v>1792293493</v>
      </c>
      <c r="CE5" t="n">
        <v>1792293484</v>
      </c>
      <c r="CF5" t="n">
        <v>1792293493</v>
      </c>
      <c r="CG5" t="n">
        <v>26</v>
      </c>
      <c r="CH5" t="n">
        <v>0.001</v>
      </c>
      <c r="CI5" t="n">
        <v>0.001</v>
      </c>
      <c r="CJ5" t="n">
        <v>-0.326</v>
      </c>
      <c r="CK5" t="n">
        <v>-0.167</v>
      </c>
      <c r="CL5" t="n">
        <v>100</v>
      </c>
      <c r="CM5" t="n">
        <v>16</v>
      </c>
      <c r="CN5" t="n">
        <v>0.47</v>
      </c>
      <c r="CO5" t="n">
        <v>0.08</v>
      </c>
      <c r="CP5" t="n">
        <v>2.13844007391144</v>
      </c>
      <c r="CQ5" t="n">
        <v>0.276724149374824</v>
      </c>
      <c r="CR5" t="n">
        <v>0.0662156266121961</v>
      </c>
      <c r="CS5" t="n">
        <v>1</v>
      </c>
      <c r="CT5" t="n">
        <v>-1.01107085</v>
      </c>
      <c r="CU5" t="n">
        <v>-0.218403744360899</v>
      </c>
      <c r="CV5" t="n">
        <v>0.0260528966245118</v>
      </c>
      <c r="CW5" t="n">
        <v>1</v>
      </c>
      <c r="CX5" t="n">
        <v>175.200794117647</v>
      </c>
      <c r="CY5" t="n">
        <v>-0.831122992675734</v>
      </c>
      <c r="CZ5" t="n">
        <v>0.326055460765206</v>
      </c>
      <c r="DA5" t="n">
        <v>1</v>
      </c>
      <c r="DB5" t="n">
        <v>3</v>
      </c>
      <c r="DC5" t="n">
        <v>3</v>
      </c>
      <c r="DD5" t="n">
        <v>100</v>
      </c>
      <c r="DE5" t="n">
        <v>100</v>
      </c>
      <c r="DF5" t="n">
        <v>-0.327</v>
      </c>
      <c r="DG5" t="n">
        <v>-0.1462</v>
      </c>
      <c r="DH5" t="n">
        <v>-0.326519129688294</v>
      </c>
      <c r="DI5" t="n">
        <v>-6.16732984266029e-05</v>
      </c>
      <c r="DJ5" t="n">
        <v>6.19398071816742e-07</v>
      </c>
      <c r="DK5" t="n">
        <v>3.19222985850634e-12</v>
      </c>
      <c r="DL5" t="n">
        <v>-0.0636893780871931</v>
      </c>
      <c r="DM5" t="n">
        <v>-0.0257783215012692</v>
      </c>
      <c r="DN5" t="n">
        <v>0.00133723821780375</v>
      </c>
      <c r="DO5" t="n">
        <v>-7.42160749481374e-06</v>
      </c>
      <c r="DP5" t="n">
        <v>7</v>
      </c>
      <c r="DQ5" t="n">
        <v>2154</v>
      </c>
      <c r="DR5" t="n">
        <v>2</v>
      </c>
      <c r="DS5" t="n">
        <v>20</v>
      </c>
      <c r="DT5" t="n">
        <v>1</v>
      </c>
      <c r="DU5" t="n">
        <v>0.8</v>
      </c>
      <c r="DV5" t="n">
        <v>0.380859</v>
      </c>
      <c r="DW5" t="n">
        <v>2.68311</v>
      </c>
      <c r="DX5" t="n">
        <v>1.65161</v>
      </c>
      <c r="DY5" t="n">
        <v>2.27661</v>
      </c>
      <c r="DZ5" t="n">
        <v>1.5979</v>
      </c>
      <c r="EA5" t="n">
        <v>2.44995</v>
      </c>
      <c r="EB5" t="n">
        <v>35.801</v>
      </c>
      <c r="EC5" t="n">
        <v>23.781</v>
      </c>
      <c r="ED5" t="n">
        <v>18</v>
      </c>
      <c r="EE5" t="n">
        <v>503.911</v>
      </c>
      <c r="EF5" t="n">
        <v>533.292</v>
      </c>
      <c r="EG5" t="n">
        <v>20.8113</v>
      </c>
      <c r="EH5" t="n">
        <v>29.3217</v>
      </c>
      <c r="EI5" t="n">
        <v>30.0001</v>
      </c>
      <c r="EJ5" t="n">
        <v>29.485</v>
      </c>
      <c r="EK5" t="n">
        <v>29.5412</v>
      </c>
      <c r="EL5" t="n">
        <v>7.60956</v>
      </c>
      <c r="EM5" t="n">
        <v>26.244</v>
      </c>
      <c r="EN5" t="n">
        <v>26.4685</v>
      </c>
      <c r="EO5" t="n">
        <v>20.8158</v>
      </c>
      <c r="EP5" t="n">
        <v>100</v>
      </c>
      <c r="EQ5" t="n">
        <v>15.6823</v>
      </c>
      <c r="ER5" t="n">
        <v>98.09099999999999</v>
      </c>
      <c r="ES5" t="n">
        <v>94.59</v>
      </c>
    </row>
    <row r="6">
      <c r="A6" t="n">
        <v>5</v>
      </c>
      <c r="B6" t="n">
        <v>1792293667</v>
      </c>
      <c r="C6" t="n">
        <v>490</v>
      </c>
      <c r="D6" t="n">
        <v>5</v>
      </c>
      <c r="E6" t="n">
        <v>1792293663.5</v>
      </c>
      <c r="F6" t="n">
        <v>0.004153162553478577</v>
      </c>
      <c r="G6" t="n">
        <v>4.153162553478578</v>
      </c>
      <c r="H6" t="n">
        <v>-0.4251824832671231</v>
      </c>
      <c r="I6" t="n">
        <v>50.09485</v>
      </c>
      <c r="J6" t="n">
        <v>51.28911435478529</v>
      </c>
      <c r="K6" t="n">
        <v>0.005182188676611615</v>
      </c>
      <c r="L6" t="n">
        <v>0.00506152168334988</v>
      </c>
      <c r="M6" t="n">
        <v>0.3011397776384039</v>
      </c>
      <c r="N6" t="n">
        <v>3.025873120531585</v>
      </c>
      <c r="O6" t="n">
        <v>0.2854255084704239</v>
      </c>
      <c r="P6" t="n">
        <v>0.1797344451136737</v>
      </c>
      <c r="Q6" t="n">
        <v>3.176358479276934</v>
      </c>
      <c r="R6" t="n">
        <v>55.03196657031136</v>
      </c>
      <c r="S6" t="n">
        <v>1.741948691923926</v>
      </c>
      <c r="T6" t="n">
        <v>3.165339711598953</v>
      </c>
      <c r="U6" t="n">
        <v>0.5</v>
      </c>
      <c r="V6" t="n">
        <v>229</v>
      </c>
      <c r="W6" t="n">
        <v>290</v>
      </c>
      <c r="X6" t="n">
        <v>1011.23</v>
      </c>
      <c r="Y6" t="n">
        <v>125</v>
      </c>
      <c r="Z6" t="n">
        <v>8125.4</v>
      </c>
      <c r="AA6" t="n">
        <v>1006.99</v>
      </c>
      <c r="AB6" t="n">
        <v>4.24</v>
      </c>
      <c r="AC6" t="n">
        <v>300</v>
      </c>
      <c r="AD6" t="n">
        <v>19.1</v>
      </c>
      <c r="AE6" t="n">
        <v>1050.94976592848</v>
      </c>
      <c r="AF6" t="n">
        <v>2.96753520531848</v>
      </c>
      <c r="AG6" t="n">
        <v>-35.7187275448967</v>
      </c>
      <c r="AH6" t="n">
        <v>2.15538353963423</v>
      </c>
      <c r="AI6" t="n">
        <v>0.907476783931123</v>
      </c>
      <c r="AJ6" t="n">
        <v>-0.0053713552836485</v>
      </c>
      <c r="AK6" t="n">
        <v>290</v>
      </c>
      <c r="AL6" t="n">
        <v>995.53</v>
      </c>
      <c r="AM6" t="n">
        <v>615</v>
      </c>
      <c r="AN6" t="n">
        <v>8114.81</v>
      </c>
      <c r="AO6" t="n">
        <v>1006.93</v>
      </c>
      <c r="AP6" t="n">
        <v>-11.4</v>
      </c>
      <c r="AQ6" t="n">
        <v>1499.98833333333</v>
      </c>
      <c r="AR6" t="n">
        <v>2</v>
      </c>
      <c r="AS6" t="n">
        <v>0.5</v>
      </c>
      <c r="AT6" t="n">
        <v>2</v>
      </c>
      <c r="AU6" t="n">
        <v>1792293663.5</v>
      </c>
      <c r="AV6" t="n">
        <v>50.09485</v>
      </c>
      <c r="AW6" t="n">
        <v>50.008</v>
      </c>
      <c r="AX6" t="n">
        <v>17.2404</v>
      </c>
      <c r="AY6" t="n">
        <v>15.6078166666667</v>
      </c>
      <c r="AZ6" t="n">
        <v>50.4358333333333</v>
      </c>
      <c r="BA6" t="n">
        <v>17.3882666666667</v>
      </c>
      <c r="BB6" t="n">
        <v>500.0125</v>
      </c>
      <c r="BC6" t="n">
        <v>100.938666666667</v>
      </c>
      <c r="BD6" t="n">
        <v>0.100096466666667</v>
      </c>
      <c r="BE6" t="n">
        <v>24.9242166666667</v>
      </c>
      <c r="BF6" t="n">
        <v>24.9824833333333</v>
      </c>
      <c r="BG6" t="n">
        <v>999.9</v>
      </c>
      <c r="BH6" t="n">
        <v>9995.625</v>
      </c>
      <c r="BI6" t="n">
        <v>7.50381666666667</v>
      </c>
      <c r="BJ6" t="n">
        <v>1499.98833333333</v>
      </c>
      <c r="BK6" t="n">
        <v>0.973001</v>
      </c>
      <c r="BL6" t="n">
        <v>0.0269994</v>
      </c>
      <c r="BM6" t="n">
        <v>176.403333333333</v>
      </c>
      <c r="BN6" t="n">
        <v>4.99999</v>
      </c>
      <c r="BO6" t="n">
        <v>2731.45833333333</v>
      </c>
      <c r="BP6" t="n">
        <v>14882.4666666667</v>
      </c>
      <c r="BQ6" t="n">
        <v>37.812</v>
      </c>
      <c r="BR6" t="n">
        <v>39.229</v>
      </c>
      <c r="BS6" t="n">
        <v>38.375</v>
      </c>
      <c r="BT6" t="n">
        <v>38.604</v>
      </c>
      <c r="BU6" t="n">
        <v>39.312</v>
      </c>
      <c r="BV6" t="n">
        <v>1454.62833333333</v>
      </c>
      <c r="BW6" t="n">
        <v>40.36</v>
      </c>
      <c r="BX6" t="n">
        <v>2798.70000004768</v>
      </c>
      <c r="BY6" t="n">
        <v>176.33696</v>
      </c>
      <c r="BZ6" t="n">
        <v>-0.691153823992588</v>
      </c>
      <c r="CA6" t="n">
        <v>-0.63153848832104</v>
      </c>
      <c r="CB6" t="n">
        <v>2731.5412</v>
      </c>
      <c r="CC6" t="n">
        <v>15</v>
      </c>
      <c r="CD6" t="n">
        <v>1792293605</v>
      </c>
      <c r="CE6" t="n">
        <v>1792293601</v>
      </c>
      <c r="CF6" t="n">
        <v>1792293605</v>
      </c>
      <c r="CG6" t="n">
        <v>27</v>
      </c>
      <c r="CH6" t="n">
        <v>-0.013</v>
      </c>
      <c r="CI6" t="n">
        <v>-0.001</v>
      </c>
      <c r="CJ6" t="n">
        <v>-0.341</v>
      </c>
      <c r="CK6" t="n">
        <v>-0.167</v>
      </c>
      <c r="CL6" t="n">
        <v>50</v>
      </c>
      <c r="CM6" t="n">
        <v>16</v>
      </c>
      <c r="CN6" t="n">
        <v>0.39</v>
      </c>
      <c r="CO6" t="n">
        <v>0.03</v>
      </c>
      <c r="CP6" t="n">
        <v>-0.437087845276545</v>
      </c>
      <c r="CQ6" t="n">
        <v>0.286571959172165</v>
      </c>
      <c r="CR6" t="n">
        <v>0.136094157432047</v>
      </c>
      <c r="CS6" t="n">
        <v>1</v>
      </c>
      <c r="CT6" t="n">
        <v>0.09352764285714291</v>
      </c>
      <c r="CU6" t="n">
        <v>-0.0704650519480518</v>
      </c>
      <c r="CV6" t="n">
        <v>0.0535882938055689</v>
      </c>
      <c r="CW6" t="n">
        <v>1</v>
      </c>
      <c r="CX6" t="n">
        <v>176.270911764706</v>
      </c>
      <c r="CY6" t="n">
        <v>0.050038206689486</v>
      </c>
      <c r="CZ6" t="n">
        <v>0.340811606372291</v>
      </c>
      <c r="DA6" t="n">
        <v>1</v>
      </c>
      <c r="DB6" t="n">
        <v>3</v>
      </c>
      <c r="DC6" t="n">
        <v>3</v>
      </c>
      <c r="DD6" t="n">
        <v>100</v>
      </c>
      <c r="DE6" t="n">
        <v>100</v>
      </c>
      <c r="DF6" t="n">
        <v>-0.341</v>
      </c>
      <c r="DG6" t="n">
        <v>-0.148</v>
      </c>
      <c r="DH6" t="n">
        <v>-0.339465385527975</v>
      </c>
      <c r="DI6" t="n">
        <v>-6.16732984266029e-05</v>
      </c>
      <c r="DJ6" t="n">
        <v>6.19398071816742e-07</v>
      </c>
      <c r="DK6" t="n">
        <v>3.19222985850634e-12</v>
      </c>
      <c r="DL6" t="n">
        <v>-0.064912388034236</v>
      </c>
      <c r="DM6" t="n">
        <v>-0.0257783215012692</v>
      </c>
      <c r="DN6" t="n">
        <v>0.00133723821780375</v>
      </c>
      <c r="DO6" t="n">
        <v>-7.42160749481374e-06</v>
      </c>
      <c r="DP6" t="n">
        <v>7</v>
      </c>
      <c r="DQ6" t="n">
        <v>2154</v>
      </c>
      <c r="DR6" t="n">
        <v>2</v>
      </c>
      <c r="DS6" t="n">
        <v>20</v>
      </c>
      <c r="DT6" t="n">
        <v>1.1</v>
      </c>
      <c r="DU6" t="n">
        <v>1</v>
      </c>
      <c r="DV6" t="n">
        <v>0.267334</v>
      </c>
      <c r="DW6" t="n">
        <v>2.70142</v>
      </c>
      <c r="DX6" t="n">
        <v>1.65161</v>
      </c>
      <c r="DY6" t="n">
        <v>2.27661</v>
      </c>
      <c r="DZ6" t="n">
        <v>1.5979</v>
      </c>
      <c r="EA6" t="n">
        <v>2.50244</v>
      </c>
      <c r="EB6" t="n">
        <v>35.9412</v>
      </c>
      <c r="EC6" t="n">
        <v>23.7898</v>
      </c>
      <c r="ED6" t="n">
        <v>18</v>
      </c>
      <c r="EE6" t="n">
        <v>504.205</v>
      </c>
      <c r="EF6" t="n">
        <v>532.265</v>
      </c>
      <c r="EG6" t="n">
        <v>21.0226</v>
      </c>
      <c r="EH6" t="n">
        <v>29.3469</v>
      </c>
      <c r="EI6" t="n">
        <v>30.0002</v>
      </c>
      <c r="EJ6" t="n">
        <v>29.5065</v>
      </c>
      <c r="EK6" t="n">
        <v>29.5639</v>
      </c>
      <c r="EL6" t="n">
        <v>5.35427</v>
      </c>
      <c r="EM6" t="n">
        <v>26.4645</v>
      </c>
      <c r="EN6" t="n">
        <v>26.1294</v>
      </c>
      <c r="EO6" t="n">
        <v>21.0322</v>
      </c>
      <c r="EP6" t="n">
        <v>50</v>
      </c>
      <c r="EQ6" t="n">
        <v>15.616</v>
      </c>
      <c r="ER6" t="n">
        <v>98.0838</v>
      </c>
      <c r="ES6" t="n">
        <v>94.58620000000001</v>
      </c>
    </row>
    <row r="7">
      <c r="A7" t="n">
        <v>8</v>
      </c>
      <c r="B7" t="n">
        <v>1792294094.1</v>
      </c>
      <c r="C7" t="n">
        <v>917.099999904633</v>
      </c>
      <c r="D7" t="n">
        <v>5</v>
      </c>
      <c r="E7" t="n">
        <v>1792294090.6</v>
      </c>
      <c r="F7" t="n">
        <v>0.004410975353467726</v>
      </c>
      <c r="G7" t="n">
        <v>4.410975353467726</v>
      </c>
      <c r="H7" t="n">
        <v>21.4811105917208</v>
      </c>
      <c r="I7" t="n">
        <v>690.173666666667</v>
      </c>
      <c r="J7" t="n">
        <v>563.5308332658587</v>
      </c>
      <c r="K7" t="n">
        <v>0.05693482446149275</v>
      </c>
      <c r="L7" t="n">
        <v>0.06972984305381069</v>
      </c>
      <c r="M7" t="n">
        <v>0.3217490754534816</v>
      </c>
      <c r="N7" t="n">
        <v>3.027803943497207</v>
      </c>
      <c r="O7" t="n">
        <v>0.3038895556228711</v>
      </c>
      <c r="P7" t="n">
        <v>0.19145292130232</v>
      </c>
      <c r="Q7" t="n">
        <v>3.180537073149153</v>
      </c>
      <c r="R7" t="n">
        <v>55.00087769194378</v>
      </c>
      <c r="S7" t="n">
        <v>1.749829173580669</v>
      </c>
      <c r="T7" t="n">
        <v>3.181456818528142</v>
      </c>
      <c r="U7" t="n">
        <v>0.5</v>
      </c>
      <c r="V7" t="n">
        <v>229</v>
      </c>
      <c r="W7" t="n">
        <v>290</v>
      </c>
      <c r="X7" t="n">
        <v>1011.23</v>
      </c>
      <c r="Y7" t="n">
        <v>125</v>
      </c>
      <c r="Z7" t="n">
        <v>8125.4</v>
      </c>
      <c r="AA7" t="n">
        <v>1006.99</v>
      </c>
      <c r="AB7" t="n">
        <v>4.24</v>
      </c>
      <c r="AC7" t="n">
        <v>300</v>
      </c>
      <c r="AD7" t="n">
        <v>19.1</v>
      </c>
      <c r="AE7" t="n">
        <v>1050.94976592848</v>
      </c>
      <c r="AF7" t="n">
        <v>2.96753520531848</v>
      </c>
      <c r="AG7" t="n">
        <v>-35.7187275448967</v>
      </c>
      <c r="AH7" t="n">
        <v>2.15538353963423</v>
      </c>
      <c r="AI7" t="n">
        <v>0.907476783931123</v>
      </c>
      <c r="AJ7" t="n">
        <v>-0.0053713552836485</v>
      </c>
      <c r="AK7" t="n">
        <v>290</v>
      </c>
      <c r="AL7" t="n">
        <v>995.53</v>
      </c>
      <c r="AM7" t="n">
        <v>615</v>
      </c>
      <c r="AN7" t="n">
        <v>8114.81</v>
      </c>
      <c r="AO7" t="n">
        <v>1006.93</v>
      </c>
      <c r="AP7" t="n">
        <v>-11.4</v>
      </c>
      <c r="AQ7" t="n">
        <v>1500.01833333333</v>
      </c>
      <c r="AR7" t="n">
        <v>2</v>
      </c>
      <c r="AS7" t="n">
        <v>0.5</v>
      </c>
      <c r="AT7" t="n">
        <v>2</v>
      </c>
      <c r="AU7" t="n">
        <v>1792294090.6</v>
      </c>
      <c r="AV7" t="n">
        <v>690.173666666667</v>
      </c>
      <c r="AW7" t="n">
        <v>699.983666666667</v>
      </c>
      <c r="AX7" t="n">
        <v>17.3195</v>
      </c>
      <c r="AY7" t="n">
        <v>15.5857</v>
      </c>
      <c r="AZ7" t="n">
        <v>689.838833333333</v>
      </c>
      <c r="BA7" t="n">
        <v>17.4651333333333</v>
      </c>
      <c r="BB7" t="n">
        <v>500.009166666667</v>
      </c>
      <c r="BC7" t="n">
        <v>100.932333333333</v>
      </c>
      <c r="BD7" t="n">
        <v>0.09998131666666669</v>
      </c>
      <c r="BE7" t="n">
        <v>25.0093833333333</v>
      </c>
      <c r="BF7" t="n">
        <v>25.0045333333333</v>
      </c>
      <c r="BG7" t="n">
        <v>999.9</v>
      </c>
      <c r="BH7" t="n">
        <v>10007.925</v>
      </c>
      <c r="BI7" t="n">
        <v>7.62311</v>
      </c>
      <c r="BJ7" t="n">
        <v>1500.01833333333</v>
      </c>
      <c r="BK7" t="n">
        <v>0.972994166666667</v>
      </c>
      <c r="BL7" t="n">
        <v>0.0270053666666667</v>
      </c>
      <c r="BM7" t="n">
        <v>194.7025</v>
      </c>
      <c r="BN7" t="n">
        <v>4.99999</v>
      </c>
      <c r="BO7" t="n">
        <v>2997.64333333333</v>
      </c>
      <c r="BP7" t="n">
        <v>14882.7166666667</v>
      </c>
      <c r="BQ7" t="n">
        <v>36.979</v>
      </c>
      <c r="BR7" t="n">
        <v>38.5</v>
      </c>
      <c r="BS7" t="n">
        <v>37.5413333333333</v>
      </c>
      <c r="BT7" t="n">
        <v>38.062</v>
      </c>
      <c r="BU7" t="n">
        <v>38.562</v>
      </c>
      <c r="BV7" t="n">
        <v>1454.64833333333</v>
      </c>
      <c r="BW7" t="n">
        <v>40.37</v>
      </c>
      <c r="BX7" t="n">
        <v>3225.90000009537</v>
      </c>
      <c r="BY7" t="n">
        <v>194.69396</v>
      </c>
      <c r="BZ7" t="n">
        <v>0.437692295833594</v>
      </c>
      <c r="CA7" t="n">
        <v>-16.5946153667784</v>
      </c>
      <c r="CB7" t="n">
        <v>2998.6744</v>
      </c>
      <c r="CC7" t="n">
        <v>15</v>
      </c>
      <c r="CD7" t="n">
        <v>1792294004.1</v>
      </c>
      <c r="CE7" t="n">
        <v>1792293999.1</v>
      </c>
      <c r="CF7" t="n">
        <v>1792294004.1</v>
      </c>
      <c r="CG7" t="n">
        <v>30</v>
      </c>
      <c r="CH7" t="n">
        <v>0.379</v>
      </c>
      <c r="CI7" t="n">
        <v>-0.002</v>
      </c>
      <c r="CJ7" t="n">
        <v>0.343</v>
      </c>
      <c r="CK7" t="n">
        <v>-0.167</v>
      </c>
      <c r="CL7" t="n">
        <v>700</v>
      </c>
      <c r="CM7" t="n">
        <v>16</v>
      </c>
      <c r="CN7" t="n">
        <v>0.11</v>
      </c>
      <c r="CO7" t="n">
        <v>0.05</v>
      </c>
      <c r="CP7" t="n">
        <v>21.5179570872096</v>
      </c>
      <c r="CQ7" t="n">
        <v>0.172570930558608</v>
      </c>
      <c r="CR7" t="n">
        <v>0.0998334689803554</v>
      </c>
      <c r="CS7" t="n">
        <v>1</v>
      </c>
      <c r="CT7" t="n">
        <v>-9.828689000000001</v>
      </c>
      <c r="CU7" t="n">
        <v>-0.0255455639097544</v>
      </c>
      <c r="CV7" t="n">
        <v>0.0392703867946318</v>
      </c>
      <c r="CW7" t="n">
        <v>1</v>
      </c>
      <c r="CX7" t="n">
        <v>194.784617647059</v>
      </c>
      <c r="CY7" t="n">
        <v>-0.519312450435633</v>
      </c>
      <c r="CZ7" t="n">
        <v>0.369469812084183</v>
      </c>
      <c r="DA7" t="n">
        <v>1</v>
      </c>
      <c r="DB7" t="n">
        <v>3</v>
      </c>
      <c r="DC7" t="n">
        <v>3</v>
      </c>
      <c r="DD7" t="n">
        <v>100</v>
      </c>
      <c r="DE7" t="n">
        <v>100</v>
      </c>
      <c r="DF7" t="n">
        <v>0.335</v>
      </c>
      <c r="DG7" t="n">
        <v>-0.1457</v>
      </c>
      <c r="DH7" t="n">
        <v>0.0814334557272485</v>
      </c>
      <c r="DI7" t="n">
        <v>-6.16732984266029e-05</v>
      </c>
      <c r="DJ7" t="n">
        <v>6.19398071816742e-07</v>
      </c>
      <c r="DK7" t="n">
        <v>3.19222985850634e-12</v>
      </c>
      <c r="DL7" t="n">
        <v>-0.0637687249344403</v>
      </c>
      <c r="DM7" t="n">
        <v>-0.0257783215012692</v>
      </c>
      <c r="DN7" t="n">
        <v>0.00133723821780375</v>
      </c>
      <c r="DO7" t="n">
        <v>-7.42160749481374e-06</v>
      </c>
      <c r="DP7" t="n">
        <v>7</v>
      </c>
      <c r="DQ7" t="n">
        <v>2154</v>
      </c>
      <c r="DR7" t="n">
        <v>2</v>
      </c>
      <c r="DS7" t="n">
        <v>20</v>
      </c>
      <c r="DT7" t="n">
        <v>1.6</v>
      </c>
      <c r="DU7" t="n">
        <v>1.5</v>
      </c>
      <c r="DV7" t="n">
        <v>1.62231</v>
      </c>
      <c r="DW7" t="n">
        <v>2.64526</v>
      </c>
      <c r="DX7" t="n">
        <v>1.65161</v>
      </c>
      <c r="DY7" t="n">
        <v>2.27661</v>
      </c>
      <c r="DZ7" t="n">
        <v>1.5979</v>
      </c>
      <c r="EA7" t="n">
        <v>2.67212</v>
      </c>
      <c r="EB7" t="n">
        <v>36.3165</v>
      </c>
      <c r="EC7" t="n">
        <v>23.7898</v>
      </c>
      <c r="ED7" t="n">
        <v>18</v>
      </c>
      <c r="EE7" t="n">
        <v>504.466</v>
      </c>
      <c r="EF7" t="n">
        <v>531.566</v>
      </c>
      <c r="EG7" t="n">
        <v>21.2256</v>
      </c>
      <c r="EH7" t="n">
        <v>29.3949</v>
      </c>
      <c r="EI7" t="n">
        <v>30.0001</v>
      </c>
      <c r="EJ7" t="n">
        <v>29.562</v>
      </c>
      <c r="EK7" t="n">
        <v>29.6196</v>
      </c>
      <c r="EL7" t="n">
        <v>32.4335</v>
      </c>
      <c r="EM7" t="n">
        <v>26.2147</v>
      </c>
      <c r="EN7" t="n">
        <v>24.4248</v>
      </c>
      <c r="EO7" t="n">
        <v>21.2234</v>
      </c>
      <c r="EP7" t="n">
        <v>700</v>
      </c>
      <c r="EQ7" t="n">
        <v>15.5857</v>
      </c>
      <c r="ER7" t="n">
        <v>98.07729999999999</v>
      </c>
      <c r="ES7" t="n">
        <v>94.58029999999999</v>
      </c>
    </row>
    <row r="8">
      <c r="A8" t="n">
        <v>9</v>
      </c>
      <c r="B8" t="n">
        <v>1792294245.1</v>
      </c>
      <c r="C8" t="n">
        <v>1068.09999990463</v>
      </c>
      <c r="D8" t="n">
        <v>5</v>
      </c>
      <c r="E8" t="n">
        <v>1792294241.6</v>
      </c>
      <c r="F8" t="n">
        <v>0.004276672120182091</v>
      </c>
      <c r="G8" t="n">
        <v>4.276672120182091</v>
      </c>
      <c r="H8" t="n">
        <v>22.4094402334464</v>
      </c>
      <c r="I8" t="n">
        <v>989.352666666667</v>
      </c>
      <c r="J8" t="n">
        <v>847.3362068027989</v>
      </c>
      <c r="K8" t="n">
        <v>0.08560131721810602</v>
      </c>
      <c r="L8" t="n">
        <v>0.09994839212579806</v>
      </c>
      <c r="M8" t="n">
        <v>0.3111805713467112</v>
      </c>
      <c r="N8" t="n">
        <v>3.025825799711769</v>
      </c>
      <c r="O8" t="n">
        <v>0.2944319690503784</v>
      </c>
      <c r="P8" t="n">
        <v>0.1854496183611374</v>
      </c>
      <c r="Q8" t="n">
        <v>3.178616155696997</v>
      </c>
      <c r="R8" t="n">
        <v>55.02414986331545</v>
      </c>
      <c r="S8" t="n">
        <v>1.74699842475337</v>
      </c>
      <c r="T8" t="n">
        <v>3.174966681162833</v>
      </c>
      <c r="U8" t="n">
        <v>0.5</v>
      </c>
      <c r="V8" t="n">
        <v>229</v>
      </c>
      <c r="W8" t="n">
        <v>290</v>
      </c>
      <c r="X8" t="n">
        <v>1011.23</v>
      </c>
      <c r="Y8" t="n">
        <v>125</v>
      </c>
      <c r="Z8" t="n">
        <v>8125.4</v>
      </c>
      <c r="AA8" t="n">
        <v>1006.99</v>
      </c>
      <c r="AB8" t="n">
        <v>4.24</v>
      </c>
      <c r="AC8" t="n">
        <v>300</v>
      </c>
      <c r="AD8" t="n">
        <v>19.1</v>
      </c>
      <c r="AE8" t="n">
        <v>1050.94976592848</v>
      </c>
      <c r="AF8" t="n">
        <v>2.96753520531848</v>
      </c>
      <c r="AG8" t="n">
        <v>-35.7187275448967</v>
      </c>
      <c r="AH8" t="n">
        <v>2.15538353963423</v>
      </c>
      <c r="AI8" t="n">
        <v>0.907476783931123</v>
      </c>
      <c r="AJ8" t="n">
        <v>-0.0053713552836485</v>
      </c>
      <c r="AK8" t="n">
        <v>290</v>
      </c>
      <c r="AL8" t="n">
        <v>995.53</v>
      </c>
      <c r="AM8" t="n">
        <v>615</v>
      </c>
      <c r="AN8" t="n">
        <v>8114.81</v>
      </c>
      <c r="AO8" t="n">
        <v>1006.93</v>
      </c>
      <c r="AP8" t="n">
        <v>-11.4</v>
      </c>
      <c r="AQ8" t="n">
        <v>1500.08333333333</v>
      </c>
      <c r="AR8" t="n">
        <v>2</v>
      </c>
      <c r="AS8" t="n">
        <v>0.5</v>
      </c>
      <c r="AT8" t="n">
        <v>2</v>
      </c>
      <c r="AU8" t="n">
        <v>1792294241.6</v>
      </c>
      <c r="AV8" t="n">
        <v>989.352666666667</v>
      </c>
      <c r="AW8" t="n">
        <v>1000.00866666667</v>
      </c>
      <c r="AX8" t="n">
        <v>17.2929</v>
      </c>
      <c r="AY8" t="n">
        <v>15.61185</v>
      </c>
      <c r="AZ8" t="n">
        <v>988.582833333333</v>
      </c>
      <c r="BA8" t="n">
        <v>17.44305</v>
      </c>
      <c r="BB8" t="n">
        <v>500.010833333333</v>
      </c>
      <c r="BC8" t="n">
        <v>100.924</v>
      </c>
      <c r="BD8" t="n">
        <v>0.100028633333333</v>
      </c>
      <c r="BE8" t="n">
        <v>24.9751333333333</v>
      </c>
      <c r="BF8" t="n">
        <v>24.9944</v>
      </c>
      <c r="BG8" t="n">
        <v>999.9</v>
      </c>
      <c r="BH8" t="n">
        <v>9996.79166666667</v>
      </c>
      <c r="BI8" t="n">
        <v>7.41747166666667</v>
      </c>
      <c r="BJ8" t="n">
        <v>1500.08333333333</v>
      </c>
      <c r="BK8" t="n">
        <v>0.972994166666667</v>
      </c>
      <c r="BL8" t="n">
        <v>0.0270054166666667</v>
      </c>
      <c r="BM8" t="n">
        <v>191.283666666667</v>
      </c>
      <c r="BN8" t="n">
        <v>4.99999</v>
      </c>
      <c r="BO8" t="n">
        <v>2940.07666666667</v>
      </c>
      <c r="BP8" t="n">
        <v>14883.3833333333</v>
      </c>
      <c r="BQ8" t="n">
        <v>36.812</v>
      </c>
      <c r="BR8" t="n">
        <v>38.3853333333333</v>
      </c>
      <c r="BS8" t="n">
        <v>37.4163333333333</v>
      </c>
      <c r="BT8" t="n">
        <v>37.875</v>
      </c>
      <c r="BU8" t="n">
        <v>38.437</v>
      </c>
      <c r="BV8" t="n">
        <v>1454.70333333333</v>
      </c>
      <c r="BW8" t="n">
        <v>40.38</v>
      </c>
      <c r="BX8" t="n">
        <v>3377.09999990463</v>
      </c>
      <c r="BY8" t="n">
        <v>191.00416</v>
      </c>
      <c r="BZ8" t="n">
        <v>2.25200003134274</v>
      </c>
      <c r="CA8" t="n">
        <v>-7.15461536289851</v>
      </c>
      <c r="CB8" t="n">
        <v>2940.4952</v>
      </c>
      <c r="CC8" t="n">
        <v>15</v>
      </c>
      <c r="CD8" t="n">
        <v>1792294159.1</v>
      </c>
      <c r="CE8" t="n">
        <v>1792294159.1</v>
      </c>
      <c r="CF8" t="n">
        <v>1792294154.1</v>
      </c>
      <c r="CG8" t="n">
        <v>31</v>
      </c>
      <c r="CH8" t="n">
        <v>0.14</v>
      </c>
      <c r="CI8" t="n">
        <v>-0.004</v>
      </c>
      <c r="CJ8" t="n">
        <v>0.783</v>
      </c>
      <c r="CK8" t="n">
        <v>-0.171</v>
      </c>
      <c r="CL8" t="n">
        <v>1000</v>
      </c>
      <c r="CM8" t="n">
        <v>16</v>
      </c>
      <c r="CN8" t="n">
        <v>0.14</v>
      </c>
      <c r="CO8" t="n">
        <v>0.02</v>
      </c>
      <c r="CP8" t="n">
        <v>22.3960708831964</v>
      </c>
      <c r="CQ8" t="n">
        <v>0.0358651265771471</v>
      </c>
      <c r="CR8" t="n">
        <v>0.145934700088978</v>
      </c>
      <c r="CS8" t="n">
        <v>1</v>
      </c>
      <c r="CT8" t="n">
        <v>-10.6539142857143</v>
      </c>
      <c r="CU8" t="n">
        <v>0.009444155844129141</v>
      </c>
      <c r="CV8" t="n">
        <v>0.0564542316581216</v>
      </c>
      <c r="CW8" t="n">
        <v>1</v>
      </c>
      <c r="CX8" t="n">
        <v>191.125647058824</v>
      </c>
      <c r="CY8" t="n">
        <v>-1.68482810605781</v>
      </c>
      <c r="CZ8" t="n">
        <v>0.476789377740991</v>
      </c>
      <c r="DA8" t="n">
        <v>0</v>
      </c>
      <c r="DB8" t="n">
        <v>2</v>
      </c>
      <c r="DC8" t="n">
        <v>3</v>
      </c>
      <c r="DD8" t="n">
        <v>100</v>
      </c>
      <c r="DE8" t="n">
        <v>100</v>
      </c>
      <c r="DF8" t="n">
        <v>0.77</v>
      </c>
      <c r="DG8" t="n">
        <v>-0.1502</v>
      </c>
      <c r="DH8" t="n">
        <v>0.222244071112238</v>
      </c>
      <c r="DI8" t="n">
        <v>-6.16732984266029e-05</v>
      </c>
      <c r="DJ8" t="n">
        <v>6.19398071816742e-07</v>
      </c>
      <c r="DK8" t="n">
        <v>3.19222985850634e-12</v>
      </c>
      <c r="DL8" t="n">
        <v>-0.0679532481994089</v>
      </c>
      <c r="DM8" t="n">
        <v>-0.0257783215012692</v>
      </c>
      <c r="DN8" t="n">
        <v>0.00133723821780375</v>
      </c>
      <c r="DO8" t="n">
        <v>-7.42160749481374e-06</v>
      </c>
      <c r="DP8" t="n">
        <v>7</v>
      </c>
      <c r="DQ8" t="n">
        <v>2154</v>
      </c>
      <c r="DR8" t="n">
        <v>2</v>
      </c>
      <c r="DS8" t="n">
        <v>20</v>
      </c>
      <c r="DT8" t="n">
        <v>1.4</v>
      </c>
      <c r="DU8" t="n">
        <v>1.5</v>
      </c>
      <c r="DV8" t="n">
        <v>2.16431</v>
      </c>
      <c r="DW8" t="n">
        <v>2.64648</v>
      </c>
      <c r="DX8" t="n">
        <v>1.65161</v>
      </c>
      <c r="DY8" t="n">
        <v>2.27661</v>
      </c>
      <c r="DZ8" t="n">
        <v>1.5979</v>
      </c>
      <c r="EA8" t="n">
        <v>2.48779</v>
      </c>
      <c r="EB8" t="n">
        <v>36.4343</v>
      </c>
      <c r="EC8" t="n">
        <v>23.781</v>
      </c>
      <c r="ED8" t="n">
        <v>18</v>
      </c>
      <c r="EE8" t="n">
        <v>504.729</v>
      </c>
      <c r="EF8" t="n">
        <v>531.2670000000001</v>
      </c>
      <c r="EG8" t="n">
        <v>21.1735</v>
      </c>
      <c r="EH8" t="n">
        <v>29.4152</v>
      </c>
      <c r="EI8" t="n">
        <v>30.0001</v>
      </c>
      <c r="EJ8" t="n">
        <v>29.5797</v>
      </c>
      <c r="EK8" t="n">
        <v>29.6379</v>
      </c>
      <c r="EL8" t="n">
        <v>43.2771</v>
      </c>
      <c r="EM8" t="n">
        <v>25.9965</v>
      </c>
      <c r="EN8" t="n">
        <v>23.9033</v>
      </c>
      <c r="EO8" t="n">
        <v>21.1772</v>
      </c>
      <c r="EP8" t="n">
        <v>1000</v>
      </c>
      <c r="EQ8" t="n">
        <v>15.615</v>
      </c>
      <c r="ER8" t="n">
        <v>98.0715</v>
      </c>
      <c r="ES8" t="n">
        <v>94.57170000000001</v>
      </c>
    </row>
    <row r="9">
      <c r="A9" t="n">
        <v>10</v>
      </c>
      <c r="B9" t="n">
        <v>1792294371.1</v>
      </c>
      <c r="C9" t="n">
        <v>1194.09999990463</v>
      </c>
      <c r="D9" t="n">
        <v>5</v>
      </c>
      <c r="E9" t="n">
        <v>1792294368.1</v>
      </c>
      <c r="F9" t="n">
        <v>0.004050892768948528</v>
      </c>
      <c r="G9" t="n">
        <v>4.050892768948527</v>
      </c>
      <c r="H9" t="n">
        <v>22.3097298602291</v>
      </c>
      <c r="I9" t="n">
        <v>1189.098</v>
      </c>
      <c r="J9" t="n">
        <v>1035.079238038879</v>
      </c>
      <c r="K9" t="n">
        <v>0.1045631595539608</v>
      </c>
      <c r="L9" t="n">
        <v>0.1201220537809932</v>
      </c>
      <c r="M9" t="n">
        <v>0.291280986359351</v>
      </c>
      <c r="N9" t="n">
        <v>3.023466399438371</v>
      </c>
      <c r="O9" t="n">
        <v>0.2765406758326853</v>
      </c>
      <c r="P9" t="n">
        <v>0.1741000983517428</v>
      </c>
      <c r="Q9" t="n">
        <v>3.183178725988207</v>
      </c>
      <c r="R9" t="n">
        <v>54.96390617826581</v>
      </c>
      <c r="S9" t="n">
        <v>1.7394543124746</v>
      </c>
      <c r="T9" t="n">
        <v>3.164721056820424</v>
      </c>
      <c r="U9" t="n">
        <v>0.5</v>
      </c>
      <c r="V9" t="n">
        <v>229</v>
      </c>
      <c r="W9" t="n">
        <v>290</v>
      </c>
      <c r="X9" t="n">
        <v>1011.23</v>
      </c>
      <c r="Y9" t="n">
        <v>125</v>
      </c>
      <c r="Z9" t="n">
        <v>8125.4</v>
      </c>
      <c r="AA9" t="n">
        <v>1006.99</v>
      </c>
      <c r="AB9" t="n">
        <v>4.24</v>
      </c>
      <c r="AC9" t="n">
        <v>300</v>
      </c>
      <c r="AD9" t="n">
        <v>19.1</v>
      </c>
      <c r="AE9" t="n">
        <v>1050.94976592848</v>
      </c>
      <c r="AF9" t="n">
        <v>2.96753520531848</v>
      </c>
      <c r="AG9" t="n">
        <v>-35.7187275448967</v>
      </c>
      <c r="AH9" t="n">
        <v>2.15538353963423</v>
      </c>
      <c r="AI9" t="n">
        <v>0.907476783931123</v>
      </c>
      <c r="AJ9" t="n">
        <v>-0.0053713552836485</v>
      </c>
      <c r="AK9" t="n">
        <v>290</v>
      </c>
      <c r="AL9" t="n">
        <v>995.53</v>
      </c>
      <c r="AM9" t="n">
        <v>615</v>
      </c>
      <c r="AN9" t="n">
        <v>8114.81</v>
      </c>
      <c r="AO9" t="n">
        <v>1006.93</v>
      </c>
      <c r="AP9" t="n">
        <v>-11.4</v>
      </c>
      <c r="AQ9" t="n">
        <v>1499.952</v>
      </c>
      <c r="AR9" t="n">
        <v>2</v>
      </c>
      <c r="AS9" t="n">
        <v>0.5</v>
      </c>
      <c r="AT9" t="n">
        <v>2</v>
      </c>
      <c r="AU9" t="n">
        <v>1792294368.1</v>
      </c>
      <c r="AV9" t="n">
        <v>1189.098</v>
      </c>
      <c r="AW9" t="n">
        <v>1199.948</v>
      </c>
      <c r="AX9" t="n">
        <v>17.219</v>
      </c>
      <c r="AY9" t="n">
        <v>15.62664</v>
      </c>
      <c r="AZ9" t="n">
        <v>1187.972</v>
      </c>
      <c r="BA9" t="n">
        <v>17.37098</v>
      </c>
      <c r="BB9" t="n">
        <v>500.0302</v>
      </c>
      <c r="BC9" t="n">
        <v>100.9194</v>
      </c>
      <c r="BD9" t="n">
        <v>0.1000734</v>
      </c>
      <c r="BE9" t="n">
        <v>24.92094</v>
      </c>
      <c r="BF9" t="n">
        <v>25.01846</v>
      </c>
      <c r="BG9" t="n">
        <v>999.9</v>
      </c>
      <c r="BH9" t="n">
        <v>9983</v>
      </c>
      <c r="BI9" t="n">
        <v>7.22783</v>
      </c>
      <c r="BJ9" t="n">
        <v>1499.952</v>
      </c>
      <c r="BK9" t="n">
        <v>0.9729910000000001</v>
      </c>
      <c r="BL9" t="n">
        <v>0.02700868</v>
      </c>
      <c r="BM9" t="n">
        <v>189.4224</v>
      </c>
      <c r="BN9" t="n">
        <v>4.99999</v>
      </c>
      <c r="BO9" t="n">
        <v>2917.294</v>
      </c>
      <c r="BP9" t="n">
        <v>14882.1</v>
      </c>
      <c r="BQ9" t="n">
        <v>36.75</v>
      </c>
      <c r="BR9" t="n">
        <v>38.312</v>
      </c>
      <c r="BS9" t="n">
        <v>37.312</v>
      </c>
      <c r="BT9" t="n">
        <v>37.7872</v>
      </c>
      <c r="BU9" t="n">
        <v>38.375</v>
      </c>
      <c r="BV9" t="n">
        <v>1454.572</v>
      </c>
      <c r="BW9" t="n">
        <v>40.38</v>
      </c>
      <c r="BX9" t="n">
        <v>3503.09999990463</v>
      </c>
      <c r="BY9" t="n">
        <v>189.54196</v>
      </c>
      <c r="BZ9" t="n">
        <v>-0.529769233629971</v>
      </c>
      <c r="CA9" t="n">
        <v>-20.073076944868</v>
      </c>
      <c r="CB9" t="n">
        <v>2918.7724</v>
      </c>
      <c r="CC9" t="n">
        <v>15</v>
      </c>
      <c r="CD9" t="n">
        <v>1792294310.1</v>
      </c>
      <c r="CE9" t="n">
        <v>1792294310.1</v>
      </c>
      <c r="CF9" t="n">
        <v>1792294302.1</v>
      </c>
      <c r="CG9" t="n">
        <v>32</v>
      </c>
      <c r="CH9" t="n">
        <v>0.099</v>
      </c>
      <c r="CI9" t="n">
        <v>-0.001</v>
      </c>
      <c r="CJ9" t="n">
        <v>1.143</v>
      </c>
      <c r="CK9" t="n">
        <v>-0.171</v>
      </c>
      <c r="CL9" t="n">
        <v>1200</v>
      </c>
      <c r="CM9" t="n">
        <v>16</v>
      </c>
      <c r="CN9" t="n">
        <v>0.38</v>
      </c>
      <c r="CO9" t="n">
        <v>0.04</v>
      </c>
      <c r="CP9" t="n">
        <v>22.3243224840016</v>
      </c>
      <c r="CQ9" t="n">
        <v>0.369004557700083</v>
      </c>
      <c r="CR9" t="n">
        <v>0.16735198041844</v>
      </c>
      <c r="CS9" t="n">
        <v>1</v>
      </c>
      <c r="CT9" t="n">
        <v>-10.8775380952381</v>
      </c>
      <c r="CU9" t="n">
        <v>-0.0422025974026159</v>
      </c>
      <c r="CV9" t="n">
        <v>0.0693862651167222</v>
      </c>
      <c r="CW9" t="n">
        <v>1</v>
      </c>
      <c r="CX9" t="n">
        <v>189.602176470588</v>
      </c>
      <c r="CY9" t="n">
        <v>-0.60718105218467</v>
      </c>
      <c r="CZ9" t="n">
        <v>0.39719942173024</v>
      </c>
      <c r="DA9" t="n">
        <v>1</v>
      </c>
      <c r="DB9" t="n">
        <v>3</v>
      </c>
      <c r="DC9" t="n">
        <v>3</v>
      </c>
      <c r="DD9" t="n">
        <v>100</v>
      </c>
      <c r="DE9" t="n">
        <v>100</v>
      </c>
      <c r="DF9" t="n">
        <v>1.12</v>
      </c>
      <c r="DG9" t="n">
        <v>-0.152</v>
      </c>
      <c r="DH9" t="n">
        <v>0.320612799432861</v>
      </c>
      <c r="DI9" t="n">
        <v>-6.16732984266029e-05</v>
      </c>
      <c r="DJ9" t="n">
        <v>6.19398071816742e-07</v>
      </c>
      <c r="DK9" t="n">
        <v>3.19222985850634e-12</v>
      </c>
      <c r="DL9" t="n">
        <v>-0.0688029834486676</v>
      </c>
      <c r="DM9" t="n">
        <v>-0.0257783215012692</v>
      </c>
      <c r="DN9" t="n">
        <v>0.00133723821780375</v>
      </c>
      <c r="DO9" t="n">
        <v>-7.42160749481374e-06</v>
      </c>
      <c r="DP9" t="n">
        <v>7</v>
      </c>
      <c r="DQ9" t="n">
        <v>2154</v>
      </c>
      <c r="DR9" t="n">
        <v>2</v>
      </c>
      <c r="DS9" t="n">
        <v>20</v>
      </c>
      <c r="DT9" t="n">
        <v>1</v>
      </c>
      <c r="DU9" t="n">
        <v>1.1</v>
      </c>
      <c r="DV9" t="n">
        <v>2.51099</v>
      </c>
      <c r="DW9" t="n">
        <v>2.64526</v>
      </c>
      <c r="DX9" t="n">
        <v>1.65161</v>
      </c>
      <c r="DY9" t="n">
        <v>2.27661</v>
      </c>
      <c r="DZ9" t="n">
        <v>1.5979</v>
      </c>
      <c r="EA9" t="n">
        <v>2.45361</v>
      </c>
      <c r="EB9" t="n">
        <v>36.5287</v>
      </c>
      <c r="EC9" t="n">
        <v>23.781</v>
      </c>
      <c r="ED9" t="n">
        <v>18</v>
      </c>
      <c r="EE9" t="n">
        <v>504.937</v>
      </c>
      <c r="EF9" t="n">
        <v>530.773</v>
      </c>
      <c r="EG9" t="n">
        <v>21.0262</v>
      </c>
      <c r="EH9" t="n">
        <v>29.4354</v>
      </c>
      <c r="EI9" t="n">
        <v>30.0001</v>
      </c>
      <c r="EJ9" t="n">
        <v>29.6</v>
      </c>
      <c r="EK9" t="n">
        <v>29.6552</v>
      </c>
      <c r="EL9" t="n">
        <v>50.1854</v>
      </c>
      <c r="EM9" t="n">
        <v>25.9241</v>
      </c>
      <c r="EN9" t="n">
        <v>23.5293</v>
      </c>
      <c r="EO9" t="n">
        <v>21.0098</v>
      </c>
      <c r="EP9" t="n">
        <v>1200</v>
      </c>
      <c r="EQ9" t="n">
        <v>15.6771</v>
      </c>
      <c r="ER9" t="n">
        <v>98.0654</v>
      </c>
      <c r="ES9" t="n">
        <v>94.56480000000001</v>
      </c>
    </row>
    <row r="10">
      <c r="A10" t="n">
        <v>11</v>
      </c>
      <c r="B10" t="n">
        <v>1792294496.1</v>
      </c>
      <c r="C10" t="n">
        <v>1319.09999990463</v>
      </c>
      <c r="D10" t="n">
        <v>5</v>
      </c>
      <c r="E10" t="n">
        <v>1792294493.1</v>
      </c>
      <c r="F10" t="n">
        <v>0.003737675327782478</v>
      </c>
      <c r="G10" t="n">
        <v>3.737675327782477</v>
      </c>
      <c r="H10" t="n">
        <v>22.34945143703695</v>
      </c>
      <c r="I10" t="n">
        <v>1488.834</v>
      </c>
      <c r="J10" t="n">
        <v>1316.633016798463</v>
      </c>
      <c r="K10" t="n">
        <v>0.1330173776330297</v>
      </c>
      <c r="L10" t="n">
        <v>0.1504145740568256</v>
      </c>
      <c r="M10" t="n">
        <v>0.2670965551684316</v>
      </c>
      <c r="N10" t="n">
        <v>3.028036187711769</v>
      </c>
      <c r="O10" t="n">
        <v>0.2546639883402577</v>
      </c>
      <c r="P10" t="n">
        <v>0.1602337765432005</v>
      </c>
      <c r="Q10" t="n">
        <v>3.182719555377854</v>
      </c>
      <c r="R10" t="n">
        <v>55.1471669822829</v>
      </c>
      <c r="S10" t="n">
        <v>1.73603227409024</v>
      </c>
      <c r="T10" t="n">
        <v>3.147999016246789</v>
      </c>
      <c r="U10" t="n">
        <v>0.5</v>
      </c>
      <c r="V10" t="n">
        <v>229</v>
      </c>
      <c r="W10" t="n">
        <v>290</v>
      </c>
      <c r="X10" t="n">
        <v>1011.23</v>
      </c>
      <c r="Y10" t="n">
        <v>125</v>
      </c>
      <c r="Z10" t="n">
        <v>8125.4</v>
      </c>
      <c r="AA10" t="n">
        <v>1006.99</v>
      </c>
      <c r="AB10" t="n">
        <v>4.24</v>
      </c>
      <c r="AC10" t="n">
        <v>300</v>
      </c>
      <c r="AD10" t="n">
        <v>19.1</v>
      </c>
      <c r="AE10" t="n">
        <v>1050.94976592848</v>
      </c>
      <c r="AF10" t="n">
        <v>2.96753520531848</v>
      </c>
      <c r="AG10" t="n">
        <v>-35.7187275448967</v>
      </c>
      <c r="AH10" t="n">
        <v>2.15538353963423</v>
      </c>
      <c r="AI10" t="n">
        <v>0.907476783931123</v>
      </c>
      <c r="AJ10" t="n">
        <v>-0.0053713552836485</v>
      </c>
      <c r="AK10" t="n">
        <v>290</v>
      </c>
      <c r="AL10" t="n">
        <v>995.53</v>
      </c>
      <c r="AM10" t="n">
        <v>615</v>
      </c>
      <c r="AN10" t="n">
        <v>8114.81</v>
      </c>
      <c r="AO10" t="n">
        <v>1006.93</v>
      </c>
      <c r="AP10" t="n">
        <v>-11.4</v>
      </c>
      <c r="AQ10" t="n">
        <v>1499.982</v>
      </c>
      <c r="AR10" t="n">
        <v>2</v>
      </c>
      <c r="AS10" t="n">
        <v>0.5</v>
      </c>
      <c r="AT10" t="n">
        <v>2</v>
      </c>
      <c r="AU10" t="n">
        <v>1792294493.1</v>
      </c>
      <c r="AV10" t="n">
        <v>1488.834</v>
      </c>
      <c r="AW10" t="n">
        <v>1500</v>
      </c>
      <c r="AX10" t="n">
        <v>17.1836</v>
      </c>
      <c r="AY10" t="n">
        <v>15.71418</v>
      </c>
      <c r="AZ10" t="n">
        <v>1487.104</v>
      </c>
      <c r="BA10" t="n">
        <v>17.33514</v>
      </c>
      <c r="BB10" t="n">
        <v>499.9862</v>
      </c>
      <c r="BC10" t="n">
        <v>100.9284</v>
      </c>
      <c r="BD10" t="n">
        <v>0.1000384</v>
      </c>
      <c r="BE10" t="n">
        <v>24.83216</v>
      </c>
      <c r="BF10" t="n">
        <v>25.01604</v>
      </c>
      <c r="BG10" t="n">
        <v>999.9</v>
      </c>
      <c r="BH10" t="n">
        <v>10009.72</v>
      </c>
      <c r="BI10" t="n">
        <v>7.453136</v>
      </c>
      <c r="BJ10" t="n">
        <v>1499.982</v>
      </c>
      <c r="BK10" t="n">
        <v>0.9729910000000001</v>
      </c>
      <c r="BL10" t="n">
        <v>0.02700866</v>
      </c>
      <c r="BM10" t="n">
        <v>188.3858</v>
      </c>
      <c r="BN10" t="n">
        <v>4.99999</v>
      </c>
      <c r="BO10" t="n">
        <v>2895.942</v>
      </c>
      <c r="BP10" t="n">
        <v>14882.34</v>
      </c>
      <c r="BQ10" t="n">
        <v>36.6622</v>
      </c>
      <c r="BR10" t="n">
        <v>38.25</v>
      </c>
      <c r="BS10" t="n">
        <v>37.25</v>
      </c>
      <c r="BT10" t="n">
        <v>37.75</v>
      </c>
      <c r="BU10" t="n">
        <v>38.312</v>
      </c>
      <c r="BV10" t="n">
        <v>1454.602</v>
      </c>
      <c r="BW10" t="n">
        <v>40.38</v>
      </c>
      <c r="BX10" t="n">
        <v>3627.90000009537</v>
      </c>
      <c r="BY10" t="n">
        <v>188.26792</v>
      </c>
      <c r="BZ10" t="n">
        <v>-0.852999986626935</v>
      </c>
      <c r="CA10" t="n">
        <v>-10.3315384485382</v>
      </c>
      <c r="CB10" t="n">
        <v>2896.8716</v>
      </c>
      <c r="CC10" t="n">
        <v>15</v>
      </c>
      <c r="CD10" t="n">
        <v>1792294431.1</v>
      </c>
      <c r="CE10" t="n">
        <v>1792294431.1</v>
      </c>
      <c r="CF10" t="n">
        <v>1792294428.1</v>
      </c>
      <c r="CG10" t="n">
        <v>33</v>
      </c>
      <c r="CH10" t="n">
        <v>0.118</v>
      </c>
      <c r="CI10" t="n">
        <v>0.001</v>
      </c>
      <c r="CJ10" t="n">
        <v>1.748</v>
      </c>
      <c r="CK10" t="n">
        <v>-0.17</v>
      </c>
      <c r="CL10" t="n">
        <v>1500</v>
      </c>
      <c r="CM10" t="n">
        <v>16</v>
      </c>
      <c r="CN10" t="n">
        <v>0.16</v>
      </c>
      <c r="CO10" t="n">
        <v>0.05</v>
      </c>
      <c r="CP10" t="n">
        <v>22.4872624191474</v>
      </c>
      <c r="CQ10" t="n">
        <v>0.234341114598481</v>
      </c>
      <c r="CR10" t="n">
        <v>0.118605472730463</v>
      </c>
      <c r="CS10" t="n">
        <v>1</v>
      </c>
      <c r="CT10" t="n">
        <v>-11.2363</v>
      </c>
      <c r="CU10" t="n">
        <v>0.118511278195494</v>
      </c>
      <c r="CV10" t="n">
        <v>0.0485963167328555</v>
      </c>
      <c r="CW10" t="n">
        <v>1</v>
      </c>
      <c r="CX10" t="n">
        <v>188.157588235294</v>
      </c>
      <c r="CY10" t="n">
        <v>0.610420166275178</v>
      </c>
      <c r="CZ10" t="n">
        <v>0.46979677193486</v>
      </c>
      <c r="DA10" t="n">
        <v>1</v>
      </c>
      <c r="DB10" t="n">
        <v>3</v>
      </c>
      <c r="DC10" t="n">
        <v>3</v>
      </c>
      <c r="DD10" t="n">
        <v>100</v>
      </c>
      <c r="DE10" t="n">
        <v>100</v>
      </c>
      <c r="DF10" t="n">
        <v>1.73</v>
      </c>
      <c r="DG10" t="n">
        <v>-0.1515</v>
      </c>
      <c r="DH10" t="n">
        <v>0.438772598648603</v>
      </c>
      <c r="DI10" t="n">
        <v>-6.16732984266029e-05</v>
      </c>
      <c r="DJ10" t="n">
        <v>6.19398071816742e-07</v>
      </c>
      <c r="DK10" t="n">
        <v>3.19222985850634e-12</v>
      </c>
      <c r="DL10" t="n">
        <v>-0.0678350361063115</v>
      </c>
      <c r="DM10" t="n">
        <v>-0.0257783215012692</v>
      </c>
      <c r="DN10" t="n">
        <v>0.00133723821780375</v>
      </c>
      <c r="DO10" t="n">
        <v>-7.42160749481374e-06</v>
      </c>
      <c r="DP10" t="n">
        <v>7</v>
      </c>
      <c r="DQ10" t="n">
        <v>2154</v>
      </c>
      <c r="DR10" t="n">
        <v>2</v>
      </c>
      <c r="DS10" t="n">
        <v>20</v>
      </c>
      <c r="DT10" t="n">
        <v>1.1</v>
      </c>
      <c r="DU10" t="n">
        <v>1.1</v>
      </c>
      <c r="DV10" t="n">
        <v>3.00903</v>
      </c>
      <c r="DW10" t="n">
        <v>2.62939</v>
      </c>
      <c r="DX10" t="n">
        <v>1.65161</v>
      </c>
      <c r="DY10" t="n">
        <v>2.27661</v>
      </c>
      <c r="DZ10" t="n">
        <v>1.5979</v>
      </c>
      <c r="EA10" t="n">
        <v>2.56714</v>
      </c>
      <c r="EB10" t="n">
        <v>36.6233</v>
      </c>
      <c r="EC10" t="n">
        <v>23.7898</v>
      </c>
      <c r="ED10" t="n">
        <v>18</v>
      </c>
      <c r="EE10" t="n">
        <v>504.982</v>
      </c>
      <c r="EF10" t="n">
        <v>530.77</v>
      </c>
      <c r="EG10" t="n">
        <v>20.9494</v>
      </c>
      <c r="EH10" t="n">
        <v>29.4506</v>
      </c>
      <c r="EI10" t="n">
        <v>30.0004</v>
      </c>
      <c r="EJ10" t="n">
        <v>29.6152</v>
      </c>
      <c r="EK10" t="n">
        <v>29.6729</v>
      </c>
      <c r="EL10" t="n">
        <v>60.142</v>
      </c>
      <c r="EM10" t="n">
        <v>25.7444</v>
      </c>
      <c r="EN10" t="n">
        <v>23.391</v>
      </c>
      <c r="EO10" t="n">
        <v>20.9241</v>
      </c>
      <c r="EP10" t="n">
        <v>1500</v>
      </c>
      <c r="EQ10" t="n">
        <v>15.6716</v>
      </c>
      <c r="ER10" t="n">
        <v>98.0603</v>
      </c>
      <c r="ES10" t="n">
        <v>94.56100000000001</v>
      </c>
    </row>
    <row r="11">
      <c r="A11" t="n">
        <v>12</v>
      </c>
      <c r="B11" t="n">
        <v>1792294617.1</v>
      </c>
      <c r="C11" t="n">
        <v>1440.09999990463</v>
      </c>
      <c r="D11" t="n">
        <v>5</v>
      </c>
      <c r="E11" t="n">
        <v>1792294613.6</v>
      </c>
      <c r="F11" t="n">
        <v>0.003457661593983065</v>
      </c>
      <c r="G11" t="n">
        <v>3.457661593983065</v>
      </c>
      <c r="H11" t="n">
        <v>22.38382728580606</v>
      </c>
      <c r="I11" t="n">
        <v>1788.60666666667</v>
      </c>
      <c r="J11" t="n">
        <v>1596.710262204669</v>
      </c>
      <c r="K11" t="n">
        <v>0.1612983037974834</v>
      </c>
      <c r="L11" t="n">
        <v>0.1806835143001193</v>
      </c>
      <c r="M11" t="n">
        <v>0.2444526820276918</v>
      </c>
      <c r="N11" t="n">
        <v>3.025504345848486</v>
      </c>
      <c r="O11" t="n">
        <v>0.233986063184566</v>
      </c>
      <c r="P11" t="n">
        <v>0.1471443278428234</v>
      </c>
      <c r="Q11" t="n">
        <v>3.181886744854832</v>
      </c>
      <c r="R11" t="n">
        <v>55.14748665453559</v>
      </c>
      <c r="S11" t="n">
        <v>1.72536320341896</v>
      </c>
      <c r="T11" t="n">
        <v>3.12863433691417</v>
      </c>
      <c r="U11" t="n">
        <v>0.5</v>
      </c>
      <c r="V11" t="n">
        <v>229</v>
      </c>
      <c r="W11" t="n">
        <v>290</v>
      </c>
      <c r="X11" t="n">
        <v>1011.23</v>
      </c>
      <c r="Y11" t="n">
        <v>125</v>
      </c>
      <c r="Z11" t="n">
        <v>8125.4</v>
      </c>
      <c r="AA11" t="n">
        <v>1006.99</v>
      </c>
      <c r="AB11" t="n">
        <v>4.24</v>
      </c>
      <c r="AC11" t="n">
        <v>300</v>
      </c>
      <c r="AD11" t="n">
        <v>19.1</v>
      </c>
      <c r="AE11" t="n">
        <v>1050.94976592848</v>
      </c>
      <c r="AF11" t="n">
        <v>2.96753520531848</v>
      </c>
      <c r="AG11" t="n">
        <v>-35.7187275448967</v>
      </c>
      <c r="AH11" t="n">
        <v>2.15538353963423</v>
      </c>
      <c r="AI11" t="n">
        <v>0.907476783931123</v>
      </c>
      <c r="AJ11" t="n">
        <v>-0.0053713552836485</v>
      </c>
      <c r="AK11" t="n">
        <v>290</v>
      </c>
      <c r="AL11" t="n">
        <v>995.53</v>
      </c>
      <c r="AM11" t="n">
        <v>615</v>
      </c>
      <c r="AN11" t="n">
        <v>8114.81</v>
      </c>
      <c r="AO11" t="n">
        <v>1006.93</v>
      </c>
      <c r="AP11" t="n">
        <v>-11.4</v>
      </c>
      <c r="AQ11" t="n">
        <v>1500.01166666667</v>
      </c>
      <c r="AR11" t="n">
        <v>2</v>
      </c>
      <c r="AS11" t="n">
        <v>0.5</v>
      </c>
      <c r="AT11" t="n">
        <v>2</v>
      </c>
      <c r="AU11" t="n">
        <v>1792294613.6</v>
      </c>
      <c r="AV11" t="n">
        <v>1788.60666666667</v>
      </c>
      <c r="AW11" t="n">
        <v>1800.035</v>
      </c>
      <c r="AX11" t="n">
        <v>17.0795666666667</v>
      </c>
      <c r="AY11" t="n">
        <v>15.72</v>
      </c>
      <c r="AZ11" t="n">
        <v>1786.45666666667</v>
      </c>
      <c r="BA11" t="n">
        <v>17.2292166666667</v>
      </c>
      <c r="BB11" t="n">
        <v>499.954333333333</v>
      </c>
      <c r="BC11" t="n">
        <v>100.919333333333</v>
      </c>
      <c r="BD11" t="n">
        <v>0.0998106</v>
      </c>
      <c r="BE11" t="n">
        <v>24.7288333333333</v>
      </c>
      <c r="BF11" t="n">
        <v>25.01165</v>
      </c>
      <c r="BG11" t="n">
        <v>999.9</v>
      </c>
      <c r="BH11" t="n">
        <v>9995.31166666667</v>
      </c>
      <c r="BI11" t="n">
        <v>7.29418333333333</v>
      </c>
      <c r="BJ11" t="n">
        <v>1500.01166666667</v>
      </c>
      <c r="BK11" t="n">
        <v>0.972990833333333</v>
      </c>
      <c r="BL11" t="n">
        <v>0.02700885</v>
      </c>
      <c r="BM11" t="n">
        <v>187.784</v>
      </c>
      <c r="BN11" t="n">
        <v>4.99999</v>
      </c>
      <c r="BO11" t="n">
        <v>2887.555</v>
      </c>
      <c r="BP11" t="n">
        <v>14882.6666666667</v>
      </c>
      <c r="BQ11" t="n">
        <v>36.625</v>
      </c>
      <c r="BR11" t="n">
        <v>38.187</v>
      </c>
      <c r="BS11" t="n">
        <v>37.187</v>
      </c>
      <c r="BT11" t="n">
        <v>37.687</v>
      </c>
      <c r="BU11" t="n">
        <v>38.2395</v>
      </c>
      <c r="BV11" t="n">
        <v>1454.63166666667</v>
      </c>
      <c r="BW11" t="n">
        <v>40.38</v>
      </c>
      <c r="BX11" t="n">
        <v>3749.09999990463</v>
      </c>
      <c r="BY11" t="n">
        <v>187.74504</v>
      </c>
      <c r="BZ11" t="n">
        <v>1.08046153604844</v>
      </c>
      <c r="CA11" t="n">
        <v>-2.4999999987767</v>
      </c>
      <c r="CB11" t="n">
        <v>2887.778</v>
      </c>
      <c r="CC11" t="n">
        <v>15</v>
      </c>
      <c r="CD11" t="n">
        <v>1792294555.1</v>
      </c>
      <c r="CE11" t="n">
        <v>1792294555.1</v>
      </c>
      <c r="CF11" t="n">
        <v>1792294550.1</v>
      </c>
      <c r="CG11" t="n">
        <v>34</v>
      </c>
      <c r="CH11" t="n">
        <v>-0.173</v>
      </c>
      <c r="CI11" t="n">
        <v>0.003</v>
      </c>
      <c r="CJ11" t="n">
        <v>2.175</v>
      </c>
      <c r="CK11" t="n">
        <v>-0.167</v>
      </c>
      <c r="CL11" t="n">
        <v>1800</v>
      </c>
      <c r="CM11" t="n">
        <v>16</v>
      </c>
      <c r="CN11" t="n">
        <v>0.18</v>
      </c>
      <c r="CO11" t="n">
        <v>0.04</v>
      </c>
      <c r="CP11" t="n">
        <v>22.4663350965562</v>
      </c>
      <c r="CQ11" t="n">
        <v>-0.220113556958392</v>
      </c>
      <c r="CR11" t="n">
        <v>0.176148975090129</v>
      </c>
      <c r="CS11" t="n">
        <v>1</v>
      </c>
      <c r="CT11" t="n">
        <v>-11.4876285714286</v>
      </c>
      <c r="CU11" t="n">
        <v>0.254407792207788</v>
      </c>
      <c r="CV11" t="n">
        <v>0.07042792427018429</v>
      </c>
      <c r="CW11" t="n">
        <v>1</v>
      </c>
      <c r="CX11" t="n">
        <v>187.711911764706</v>
      </c>
      <c r="CY11" t="n">
        <v>0.355401074479299</v>
      </c>
      <c r="CZ11" t="n">
        <v>0.378008898716224</v>
      </c>
      <c r="DA11" t="n">
        <v>1</v>
      </c>
      <c r="DB11" t="n">
        <v>3</v>
      </c>
      <c r="DC11" t="n">
        <v>3</v>
      </c>
      <c r="DD11" t="n">
        <v>100</v>
      </c>
      <c r="DE11" t="n">
        <v>100</v>
      </c>
      <c r="DF11" t="n">
        <v>2.15</v>
      </c>
      <c r="DG11" t="n">
        <v>-0.1497</v>
      </c>
      <c r="DH11" t="n">
        <v>0.264960115895352</v>
      </c>
      <c r="DI11" t="n">
        <v>-6.16732984266029e-05</v>
      </c>
      <c r="DJ11" t="n">
        <v>6.19398071816742e-07</v>
      </c>
      <c r="DK11" t="n">
        <v>3.19222985850634e-12</v>
      </c>
      <c r="DL11" t="n">
        <v>-0.0644998119702072</v>
      </c>
      <c r="DM11" t="n">
        <v>-0.0257783215012692</v>
      </c>
      <c r="DN11" t="n">
        <v>0.00133723821780375</v>
      </c>
      <c r="DO11" t="n">
        <v>-7.42160749481374e-06</v>
      </c>
      <c r="DP11" t="n">
        <v>7</v>
      </c>
      <c r="DQ11" t="n">
        <v>2154</v>
      </c>
      <c r="DR11" t="n">
        <v>2</v>
      </c>
      <c r="DS11" t="n">
        <v>20</v>
      </c>
      <c r="DT11" t="n">
        <v>1</v>
      </c>
      <c r="DU11" t="n">
        <v>1.1</v>
      </c>
      <c r="DV11" t="n">
        <v>3.48267</v>
      </c>
      <c r="DW11" t="n">
        <v>2.62817</v>
      </c>
      <c r="DX11" t="n">
        <v>1.65161</v>
      </c>
      <c r="DY11" t="n">
        <v>2.27661</v>
      </c>
      <c r="DZ11" t="n">
        <v>1.5979</v>
      </c>
      <c r="EA11" t="n">
        <v>2.67334</v>
      </c>
      <c r="EB11" t="n">
        <v>36.718</v>
      </c>
      <c r="EC11" t="n">
        <v>23.7898</v>
      </c>
      <c r="ED11" t="n">
        <v>18</v>
      </c>
      <c r="EE11" t="n">
        <v>504.834</v>
      </c>
      <c r="EF11" t="n">
        <v>530.874</v>
      </c>
      <c r="EG11" t="n">
        <v>20.681</v>
      </c>
      <c r="EH11" t="n">
        <v>29.4683</v>
      </c>
      <c r="EI11" t="n">
        <v>30.0003</v>
      </c>
      <c r="EJ11" t="n">
        <v>29.631</v>
      </c>
      <c r="EK11" t="n">
        <v>29.6882</v>
      </c>
      <c r="EL11" t="n">
        <v>69.62430000000001</v>
      </c>
      <c r="EM11" t="n">
        <v>25.7655</v>
      </c>
      <c r="EN11" t="n">
        <v>23.0188</v>
      </c>
      <c r="EO11" t="n">
        <v>20.6747</v>
      </c>
      <c r="EP11" t="n">
        <v>1800</v>
      </c>
      <c r="EQ11" t="n">
        <v>15.6952</v>
      </c>
      <c r="ER11" t="n">
        <v>98.056</v>
      </c>
      <c r="ES11" t="n">
        <v>94.5569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Ci</t>
        </is>
      </c>
      <c r="C1" t="inlineStr">
        <is>
          <t>gsw</t>
        </is>
      </c>
      <c r="D1" t="inlineStr">
        <is>
          <t>RHcham</t>
        </is>
      </c>
      <c r="E1" t="inlineStr">
        <is>
          <t>Leak</t>
        </is>
      </c>
      <c r="F1" t="inlineStr">
        <is>
          <t>Qin</t>
        </is>
      </c>
      <c r="G1" t="inlineStr">
        <is>
          <t>CO2_r</t>
        </is>
      </c>
      <c r="H1" t="inlineStr">
        <is>
          <t>CO2_s</t>
        </is>
      </c>
      <c r="I1" t="inlineStr">
        <is>
          <t>Flow</t>
        </is>
      </c>
      <c r="J1" t="inlineStr">
        <is>
          <t>Tair</t>
        </is>
      </c>
      <c r="K1" t="inlineStr">
        <is>
          <t>Tleaf</t>
        </is>
      </c>
      <c r="L1" t="inlineStr">
        <is>
          <t>Fan_speed</t>
        </is>
      </c>
    </row>
    <row r="2">
      <c r="A2" t="n">
        <v>15.89173651088412</v>
      </c>
      <c r="B2" t="n">
        <v>285.9511376661682</v>
      </c>
      <c r="C2" t="n">
        <v>0.2669399055215324</v>
      </c>
      <c r="D2" t="n">
        <v>55.1</v>
      </c>
      <c r="E2" t="n">
        <v>0</v>
      </c>
      <c r="F2" t="n">
        <v>1500.1</v>
      </c>
      <c r="G2" t="n">
        <v>400</v>
      </c>
      <c r="H2" t="n">
        <v>393.1</v>
      </c>
      <c r="I2" t="n">
        <v>500</v>
      </c>
      <c r="J2" t="n">
        <v>24.9</v>
      </c>
      <c r="K2" t="n">
        <v>25</v>
      </c>
      <c r="L2" t="n">
        <v>10001.5</v>
      </c>
    </row>
    <row r="3">
      <c r="A3" t="n">
        <v>11.88836294468751</v>
      </c>
      <c r="B3" t="n">
        <v>215.628699219702</v>
      </c>
      <c r="C3" t="n">
        <v>0.2707245051223256</v>
      </c>
      <c r="D3" t="n">
        <v>55.1</v>
      </c>
      <c r="E3" t="n">
        <v>0</v>
      </c>
      <c r="F3" t="n">
        <v>1500</v>
      </c>
      <c r="G3" t="n">
        <v>300</v>
      </c>
      <c r="H3" t="n">
        <v>294.8</v>
      </c>
      <c r="I3" t="n">
        <v>500</v>
      </c>
      <c r="J3" t="n">
        <v>24.9</v>
      </c>
      <c r="K3" t="n">
        <v>25</v>
      </c>
      <c r="L3" t="n">
        <v>9991.700000000001</v>
      </c>
    </row>
    <row r="4">
      <c r="A4" t="n">
        <v>7.41135741297239</v>
      </c>
      <c r="B4" t="n">
        <v>148.4232198756812</v>
      </c>
      <c r="C4" t="n">
        <v>0.2792530690613847</v>
      </c>
      <c r="D4" t="n">
        <v>54.9</v>
      </c>
      <c r="E4" t="n">
        <v>0</v>
      </c>
      <c r="F4" t="n">
        <v>1500</v>
      </c>
      <c r="G4" t="n">
        <v>200</v>
      </c>
      <c r="H4" t="n">
        <v>196.8</v>
      </c>
      <c r="I4" t="n">
        <v>500.1</v>
      </c>
      <c r="J4" t="n">
        <v>24.9</v>
      </c>
      <c r="K4" t="n">
        <v>25</v>
      </c>
      <c r="L4" t="n">
        <v>9968.1</v>
      </c>
    </row>
    <row r="5">
      <c r="A5" t="n">
        <v>2.223434483873552</v>
      </c>
      <c r="B5" t="n">
        <v>83.96616276956352</v>
      </c>
      <c r="C5" t="n">
        <v>0.2885714284466676</v>
      </c>
      <c r="D5" t="n">
        <v>55.1</v>
      </c>
      <c r="E5" t="n">
        <v>0</v>
      </c>
      <c r="F5" t="n">
        <v>1500</v>
      </c>
      <c r="G5" t="n">
        <v>100</v>
      </c>
      <c r="H5" t="n">
        <v>99</v>
      </c>
      <c r="I5" t="n">
        <v>500</v>
      </c>
      <c r="J5" t="n">
        <v>24.9</v>
      </c>
      <c r="K5" t="n">
        <v>25</v>
      </c>
      <c r="L5" t="n">
        <v>10002.3</v>
      </c>
    </row>
    <row r="6">
      <c r="A6" t="n">
        <v>-0.4251824832671231</v>
      </c>
      <c r="B6" t="n">
        <v>51.28911435478529</v>
      </c>
      <c r="C6" t="n">
        <v>0.3011397776384039</v>
      </c>
      <c r="D6" t="n">
        <v>55</v>
      </c>
      <c r="E6" t="n">
        <v>0</v>
      </c>
      <c r="F6" t="n">
        <v>1500</v>
      </c>
      <c r="G6" t="n">
        <v>50</v>
      </c>
      <c r="H6" t="n">
        <v>50.1</v>
      </c>
      <c r="I6" t="n">
        <v>500</v>
      </c>
      <c r="J6" t="n">
        <v>24.9</v>
      </c>
      <c r="K6" t="n">
        <v>25</v>
      </c>
      <c r="L6" t="n">
        <v>9995.6</v>
      </c>
    </row>
    <row r="7">
      <c r="A7" t="n">
        <v>15.69945077638113</v>
      </c>
      <c r="B7" t="n">
        <v>301.934054500239</v>
      </c>
      <c r="C7" t="n">
        <v>0.3172697506604758</v>
      </c>
      <c r="D7" t="n">
        <v>55</v>
      </c>
      <c r="E7" t="n">
        <v>0</v>
      </c>
      <c r="F7" t="n">
        <v>1500</v>
      </c>
      <c r="G7" t="n">
        <v>400</v>
      </c>
      <c r="H7" t="n">
        <v>393</v>
      </c>
      <c r="I7" t="n">
        <v>500</v>
      </c>
      <c r="J7" t="n">
        <v>25</v>
      </c>
      <c r="K7" t="n">
        <v>25</v>
      </c>
      <c r="L7" t="n">
        <v>10010.5</v>
      </c>
    </row>
    <row r="8">
      <c r="A8" t="n">
        <v>16.25389182514763</v>
      </c>
      <c r="B8" t="n">
        <v>301.3085166549232</v>
      </c>
      <c r="C8" t="n">
        <v>0.3275541390527504</v>
      </c>
      <c r="D8" t="n">
        <v>55.1</v>
      </c>
      <c r="E8" t="n">
        <v>0</v>
      </c>
      <c r="F8" t="n">
        <v>1500</v>
      </c>
      <c r="G8" t="n">
        <v>399.9</v>
      </c>
      <c r="H8" t="n">
        <v>392.7</v>
      </c>
      <c r="I8" t="n">
        <v>500</v>
      </c>
      <c r="J8" t="n">
        <v>25</v>
      </c>
      <c r="K8" t="n">
        <v>25</v>
      </c>
      <c r="L8" t="n">
        <v>10008.1</v>
      </c>
    </row>
    <row r="9">
      <c r="A9" t="n">
        <v>21.4811105917208</v>
      </c>
      <c r="B9" t="n">
        <v>563.5308332658587</v>
      </c>
      <c r="C9" t="n">
        <v>0.3217490754534816</v>
      </c>
      <c r="D9" t="n">
        <v>55</v>
      </c>
      <c r="E9" t="n">
        <v>0</v>
      </c>
      <c r="F9" t="n">
        <v>1500</v>
      </c>
      <c r="G9" t="n">
        <v>700</v>
      </c>
      <c r="H9" t="n">
        <v>690.2</v>
      </c>
      <c r="I9" t="n">
        <v>500</v>
      </c>
      <c r="J9" t="n">
        <v>25</v>
      </c>
      <c r="K9" t="n">
        <v>25</v>
      </c>
      <c r="L9" t="n">
        <v>10007.9</v>
      </c>
    </row>
    <row r="10">
      <c r="A10" t="n">
        <v>22.4094402334464</v>
      </c>
      <c r="B10" t="n">
        <v>847.3362068027989</v>
      </c>
      <c r="C10" t="n">
        <v>0.3111805713467112</v>
      </c>
      <c r="D10" t="n">
        <v>55</v>
      </c>
      <c r="E10" t="n">
        <v>0</v>
      </c>
      <c r="F10" t="n">
        <v>1500.1</v>
      </c>
      <c r="G10" t="n">
        <v>1000</v>
      </c>
      <c r="H10" t="n">
        <v>989.4</v>
      </c>
      <c r="I10" t="n">
        <v>500</v>
      </c>
      <c r="J10" t="n">
        <v>25</v>
      </c>
      <c r="K10" t="n">
        <v>25</v>
      </c>
      <c r="L10" t="n">
        <v>9996.799999999999</v>
      </c>
    </row>
    <row r="11">
      <c r="A11" t="n">
        <v>22.3097298602291</v>
      </c>
      <c r="B11" t="n">
        <v>1035.079238038879</v>
      </c>
      <c r="C11" t="n">
        <v>0.291280986359351</v>
      </c>
      <c r="D11" t="n">
        <v>55</v>
      </c>
      <c r="E11" t="n">
        <v>0</v>
      </c>
      <c r="F11" t="n">
        <v>1500</v>
      </c>
      <c r="G11" t="n">
        <v>1199.9</v>
      </c>
      <c r="H11" t="n">
        <v>1189.1</v>
      </c>
      <c r="I11" t="n">
        <v>500</v>
      </c>
      <c r="J11" t="n">
        <v>24.9</v>
      </c>
      <c r="K11" t="n">
        <v>25</v>
      </c>
      <c r="L11" t="n">
        <v>9983</v>
      </c>
    </row>
    <row r="12">
      <c r="A12" t="n">
        <v>22.34945143703695</v>
      </c>
      <c r="B12" t="n">
        <v>1316.633016798463</v>
      </c>
      <c r="C12" t="n">
        <v>0.2670965551684316</v>
      </c>
      <c r="D12" t="n">
        <v>55.1</v>
      </c>
      <c r="E12" t="n">
        <v>0</v>
      </c>
      <c r="F12" t="n">
        <v>1500</v>
      </c>
      <c r="G12" t="n">
        <v>1500</v>
      </c>
      <c r="H12" t="n">
        <v>1488.8</v>
      </c>
      <c r="I12" t="n">
        <v>500</v>
      </c>
      <c r="J12" t="n">
        <v>24.8</v>
      </c>
      <c r="K12" t="n">
        <v>25</v>
      </c>
      <c r="L12" t="n">
        <v>10009.7</v>
      </c>
    </row>
    <row r="13">
      <c r="A13" t="n">
        <v>22.38382728580606</v>
      </c>
      <c r="B13" t="n">
        <v>1596.710262204669</v>
      </c>
      <c r="C13" t="n">
        <v>0.2444526820276918</v>
      </c>
      <c r="D13" t="n">
        <v>55.1</v>
      </c>
      <c r="E13" t="n">
        <v>0</v>
      </c>
      <c r="F13" t="n">
        <v>1500</v>
      </c>
      <c r="G13" t="n">
        <v>1800</v>
      </c>
      <c r="H13" t="n">
        <v>1788.6</v>
      </c>
      <c r="I13" t="n">
        <v>500</v>
      </c>
      <c r="J13" t="n">
        <v>24.7</v>
      </c>
      <c r="K13" t="n">
        <v>25</v>
      </c>
      <c r="L13" t="n">
        <v>9995.299999999999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2026-10-18T12:37:21Z</dcterms:created>
  <dcterms:modified xmlns:dcterms="http://purl.org/dc/terms/" xmlns:xsi="http://www.w3.org/2001/XMLSchema-instance" xsi:type="dcterms:W3CDTF">2026-10-18T08:01:38Z</dcterms:modified>
</cp:coreProperties>
</file>