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V28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inlineStr">
        <is>
          <t>4</t>
        </is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3.82642 210.635 344.448 576.537 864.353 1069.63 1239.45 1353.65</t>
        </is>
      </c>
      <c r="G13" t="inlineStr">
        <is>
          <t>0.0458087 241.35 374.672 579.544 813.883 1001.14 1204.16 1400.88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Meas2</t>
        </is>
      </c>
      <c r="DU14" t="inlineStr">
        <is>
          <t>Meas2</t>
        </is>
      </c>
      <c r="DV14" t="inlineStr">
        <is>
          <t>Meas2</t>
        </is>
      </c>
      <c r="DW14" t="inlineStr">
        <is>
          <t>Meas2</t>
        </is>
      </c>
      <c r="DX14" t="inlineStr">
        <is>
          <t>Meas2</t>
        </is>
      </c>
      <c r="DY14" t="inlineStr">
        <is>
          <t>Meas2</t>
        </is>
      </c>
      <c r="DZ14" t="inlineStr">
        <is>
          <t>Meas2</t>
        </is>
      </c>
      <c r="EA14" t="inlineStr">
        <is>
          <t>Meas2</t>
        </is>
      </c>
      <c r="EB14" t="inlineStr">
        <is>
          <t>Meas2</t>
        </is>
      </c>
      <c r="EC14" t="inlineStr">
        <is>
          <t>Meas2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FlrLS</t>
        </is>
      </c>
      <c r="EM14" t="inlineStr">
        <is>
          <t>FlrLS</t>
        </is>
      </c>
      <c r="EN14" t="inlineStr">
        <is>
          <t>FlrLS</t>
        </is>
      </c>
      <c r="EO14" t="inlineStr">
        <is>
          <t>FlrLS</t>
        </is>
      </c>
      <c r="EP14" t="inlineStr">
        <is>
          <t>FlrLS</t>
        </is>
      </c>
      <c r="EQ14" t="inlineStr">
        <is>
          <t>FlrLS</t>
        </is>
      </c>
      <c r="ER14" t="inlineStr">
        <is>
          <t>FlrLS</t>
        </is>
      </c>
      <c r="ES14" t="inlineStr">
        <is>
          <t>FlrLS</t>
        </is>
      </c>
      <c r="ET14" t="inlineStr">
        <is>
          <t>FlrLS</t>
        </is>
      </c>
      <c r="EU14" t="inlineStr">
        <is>
          <t>FlrLS</t>
        </is>
      </c>
      <c r="EV14" t="inlineStr">
        <is>
          <t>FlrStats</t>
        </is>
      </c>
      <c r="EW14" t="inlineStr">
        <is>
          <t>FlrStats</t>
        </is>
      </c>
      <c r="EX14" t="inlineStr">
        <is>
          <t>FlrStats</t>
        </is>
      </c>
      <c r="EY14" t="inlineStr">
        <is>
          <t>FlrStats</t>
        </is>
      </c>
      <c r="EZ14" t="inlineStr">
        <is>
          <t>FlrStats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MchEvent</t>
        </is>
      </c>
      <c r="FE14" t="inlineStr">
        <is>
          <t>MchEvent</t>
        </is>
      </c>
      <c r="FF14" t="inlineStr">
        <is>
          <t>MchEvent</t>
        </is>
      </c>
      <c r="FG14" t="inlineStr">
        <is>
          <t>MchEvent</t>
        </is>
      </c>
      <c r="FH14" t="inlineStr">
        <is>
          <t>MchEvent</t>
        </is>
      </c>
      <c r="FI14" t="inlineStr">
        <is>
          <t>MchEvent</t>
        </is>
      </c>
      <c r="FJ14" t="inlineStr">
        <is>
          <t>MchEvent</t>
        </is>
      </c>
      <c r="FK14" t="inlineStr">
        <is>
          <t>MchEvent</t>
        </is>
      </c>
      <c r="FL14" t="inlineStr">
        <is>
          <t>MchEvent</t>
        </is>
      </c>
      <c r="FM14" t="inlineStr">
        <is>
          <t>MchEvent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Stability</t>
        </is>
      </c>
      <c r="FT14" t="inlineStr">
        <is>
          <t>Stability</t>
        </is>
      </c>
      <c r="FU14" t="inlineStr">
        <is>
          <t>Stability</t>
        </is>
      </c>
      <c r="FV14" t="inlineStr">
        <is>
          <t>Stability</t>
        </is>
      </c>
      <c r="FW14" t="inlineStr">
        <is>
          <t>Stability</t>
        </is>
      </c>
      <c r="FX14" t="inlineStr">
        <is>
          <t>Stability</t>
        </is>
      </c>
      <c r="FY14" t="inlineStr">
        <is>
          <t>Stability</t>
        </is>
      </c>
      <c r="FZ14" t="inlineStr">
        <is>
          <t>Stability</t>
        </is>
      </c>
      <c r="GA14" t="inlineStr">
        <is>
          <t>Stability</t>
        </is>
      </c>
      <c r="GB14" t="inlineStr">
        <is>
          <t>Stability</t>
        </is>
      </c>
      <c r="GC14" t="inlineStr">
        <is>
          <t>Raw</t>
        </is>
      </c>
      <c r="GD14" t="inlineStr">
        <is>
          <t>Raw</t>
        </is>
      </c>
      <c r="GE14" t="inlineStr">
        <is>
          <t>Raw</t>
        </is>
      </c>
      <c r="GF14" t="inlineStr">
        <is>
          <t>Raw</t>
        </is>
      </c>
      <c r="GG14" t="inlineStr">
        <is>
          <t>Raw</t>
        </is>
      </c>
      <c r="GH14" t="inlineStr">
        <is>
          <t>Raw</t>
        </is>
      </c>
      <c r="GI14" t="inlineStr">
        <is>
          <t>Raw</t>
        </is>
      </c>
      <c r="GJ14" t="inlineStr">
        <is>
          <t>Raw</t>
        </is>
      </c>
      <c r="GK14" t="inlineStr">
        <is>
          <t>Raw</t>
        </is>
      </c>
      <c r="GL14" t="inlineStr">
        <is>
          <t>Raw</t>
        </is>
      </c>
      <c r="GM14" t="inlineStr">
        <is>
          <t>Raw</t>
        </is>
      </c>
      <c r="GN14" t="inlineStr">
        <is>
          <t>Raw</t>
        </is>
      </c>
      <c r="GO14" t="inlineStr">
        <is>
          <t>Raw</t>
        </is>
      </c>
      <c r="GP14" t="inlineStr">
        <is>
          <t>Raw</t>
        </is>
      </c>
      <c r="GQ14" t="inlineStr">
        <is>
          <t>Raw</t>
        </is>
      </c>
      <c r="GR14" t="inlineStr">
        <is>
          <t>Raw</t>
        </is>
      </c>
      <c r="GS14" t="inlineStr">
        <is>
          <t>Raw</t>
        </is>
      </c>
      <c r="GT14" t="inlineStr">
        <is>
          <t>Raw</t>
        </is>
      </c>
      <c r="GU14" t="inlineStr">
        <is>
          <t>Status2</t>
        </is>
      </c>
      <c r="GV14" t="inlineStr">
        <is>
          <t>Status2</t>
        </is>
      </c>
      <c r="GW14" t="inlineStr">
        <is>
          <t>Status2</t>
        </is>
      </c>
      <c r="GX14" t="inlineStr">
        <is>
          <t>Status2</t>
        </is>
      </c>
      <c r="GY14" t="inlineStr">
        <is>
          <t>Status2</t>
        </is>
      </c>
      <c r="GZ14" t="inlineStr">
        <is>
          <t>Status2</t>
        </is>
      </c>
      <c r="HA14" t="inlineStr">
        <is>
          <t>Status2</t>
        </is>
      </c>
      <c r="HB14" t="inlineStr">
        <is>
          <t>Status2</t>
        </is>
      </c>
      <c r="HC14" t="inlineStr">
        <is>
          <t>Status2</t>
        </is>
      </c>
      <c r="HD14" t="inlineStr">
        <is>
          <t>Status2</t>
        </is>
      </c>
      <c r="HE14" t="inlineStr">
        <is>
          <t>Status2</t>
        </is>
      </c>
      <c r="HF14" t="inlineStr">
        <is>
          <t>Status2</t>
        </is>
      </c>
      <c r="HG14" t="inlineStr">
        <is>
          <t>Status2</t>
        </is>
      </c>
      <c r="HH14" t="inlineStr">
        <is>
          <t>Status2</t>
        </is>
      </c>
      <c r="HI14" t="inlineStr">
        <is>
          <t>Status2</t>
        </is>
      </c>
      <c r="HJ14" t="inlineStr">
        <is>
          <t>Status2</t>
        </is>
      </c>
      <c r="HK14" t="inlineStr">
        <is>
          <t>Status2</t>
        </is>
      </c>
      <c r="HL14" t="inlineStr">
        <is>
          <t>Status2</t>
        </is>
      </c>
      <c r="HM14" t="inlineStr">
        <is>
          <t>Status2</t>
        </is>
      </c>
      <c r="HN14" t="inlineStr">
        <is>
          <t>Auxiliary</t>
        </is>
      </c>
      <c r="HO14" t="inlineStr">
        <is>
          <t>Auxiliary</t>
        </is>
      </c>
      <c r="HP14" t="inlineStr">
        <is>
          <t>Auxiliary</t>
        </is>
      </c>
      <c r="HQ14" t="inlineStr">
        <is>
          <t>Auxiliary</t>
        </is>
      </c>
      <c r="HR14" t="inlineStr">
        <is>
          <t>Auxiliary</t>
        </is>
      </c>
      <c r="HS14" t="inlineStr">
        <is>
          <t>Auxiliary</t>
        </is>
      </c>
      <c r="HT14" t="inlineStr">
        <is>
          <t>Auxiliary</t>
        </is>
      </c>
      <c r="HU14" t="inlineStr">
        <is>
          <t>Auxiliary</t>
        </is>
      </c>
      <c r="HV14" t="inlineStr">
        <is>
          <t>Auxiliary</t>
        </is>
      </c>
      <c r="HW14" t="inlineStr">
        <is>
          <t>Auxiliary</t>
        </is>
      </c>
      <c r="HX14" t="inlineStr">
        <is>
          <t>Auxiliary</t>
        </is>
      </c>
      <c r="HY14" t="inlineStr">
        <is>
          <t>Auxiliary</t>
        </is>
      </c>
      <c r="HZ14" t="inlineStr">
        <is>
          <t>Auxiliary</t>
        </is>
      </c>
      <c r="IA14" t="inlineStr">
        <is>
          <t>Auxiliary</t>
        </is>
      </c>
      <c r="IB14" t="inlineStr">
        <is>
          <t>Auxiliary</t>
        </is>
      </c>
      <c r="IC14" t="inlineStr">
        <is>
          <t>Auxiliary</t>
        </is>
      </c>
      <c r="ID14" t="inlineStr">
        <is>
          <t>Auxiliary</t>
        </is>
      </c>
      <c r="IE14" t="inlineStr">
        <is>
          <t>Auxiliary</t>
        </is>
      </c>
      <c r="IF14" t="inlineStr">
        <is>
          <t>Auxiliary</t>
        </is>
      </c>
      <c r="IG14" t="inlineStr">
        <is>
          <t>MchStatus</t>
        </is>
      </c>
      <c r="IH14" t="inlineStr">
        <is>
          <t>MchStatus</t>
        </is>
      </c>
      <c r="II14" t="inlineStr">
        <is>
          <t>MchStatus</t>
        </is>
      </c>
      <c r="IJ14" t="inlineStr">
        <is>
          <t>MchStatus</t>
        </is>
      </c>
      <c r="IK14" t="inlineStr">
        <is>
          <t>MchStatus</t>
        </is>
      </c>
      <c r="IL14" t="inlineStr">
        <is>
          <t>MchStatus</t>
        </is>
      </c>
      <c r="IM14" t="inlineStr">
        <is>
          <t>MchStatus</t>
        </is>
      </c>
      <c r="IN14" t="inlineStr">
        <is>
          <t>MchStatus</t>
        </is>
      </c>
      <c r="IO14" t="inlineStr">
        <is>
          <t>MchStatus</t>
        </is>
      </c>
      <c r="IP14" t="inlineStr">
        <is>
          <t>MchStatus</t>
        </is>
      </c>
      <c r="IQ14" t="inlineStr">
        <is>
          <t>MchStatus</t>
        </is>
      </c>
      <c r="IR14" t="inlineStr">
        <is>
          <t>MchStatus</t>
        </is>
      </c>
      <c r="IS14" t="inlineStr">
        <is>
          <t>MchStatus</t>
        </is>
      </c>
      <c r="IT14" t="inlineStr">
        <is>
          <t>MchStatus</t>
        </is>
      </c>
      <c r="IU14" t="inlineStr">
        <is>
          <t>MchStatus</t>
        </is>
      </c>
      <c r="IV14" t="inlineStr">
        <is>
          <t>MchStatus</t>
        </is>
      </c>
      <c r="IW14" t="inlineStr">
        <is>
          <t>MchStatus</t>
        </is>
      </c>
      <c r="IX14" t="inlineStr">
        <is>
          <t>MchStatus</t>
        </is>
      </c>
      <c r="IY14" t="inlineStr">
        <is>
          <t>ConStatus</t>
        </is>
      </c>
      <c r="IZ14" t="inlineStr">
        <is>
          <t>ConStatus</t>
        </is>
      </c>
      <c r="JA14" t="inlineStr">
        <is>
          <t>ConStatus</t>
        </is>
      </c>
      <c r="JB14" t="inlineStr">
        <is>
          <t>ConStatus</t>
        </is>
      </c>
      <c r="JC14" t="inlineStr">
        <is>
          <t>ConStatus</t>
        </is>
      </c>
      <c r="JD14" t="inlineStr">
        <is>
          <t>ConStatus</t>
        </is>
      </c>
      <c r="JE14" t="inlineStr">
        <is>
          <t>ConStatus</t>
        </is>
      </c>
      <c r="JF14" t="inlineStr">
        <is>
          <t>ConStatus</t>
        </is>
      </c>
      <c r="JG14" t="inlineStr">
        <is>
          <t>Status</t>
        </is>
      </c>
      <c r="JH14" t="inlineStr">
        <is>
          <t>Status</t>
        </is>
      </c>
      <c r="JI14" t="inlineStr">
        <is>
          <t>Status</t>
        </is>
      </c>
      <c r="JJ14" t="inlineStr">
        <is>
          <t>Status</t>
        </is>
      </c>
      <c r="JK14" t="inlineStr">
        <is>
          <t>Status</t>
        </is>
      </c>
      <c r="JL14" t="inlineStr">
        <is>
          <t>Status</t>
        </is>
      </c>
      <c r="JM14" t="inlineStr">
        <is>
          <t>Status</t>
        </is>
      </c>
      <c r="JN14" t="inlineStr">
        <is>
          <t>Status</t>
        </is>
      </c>
      <c r="JO14" t="inlineStr">
        <is>
          <t>Status</t>
        </is>
      </c>
      <c r="JP14" t="inlineStr">
        <is>
          <t>Status</t>
        </is>
      </c>
      <c r="JQ14" t="inlineStr">
        <is>
          <t>Status</t>
        </is>
      </c>
      <c r="JR14" t="inlineStr">
        <is>
          <t>Status</t>
        </is>
      </c>
      <c r="JS14" t="inlineStr">
        <is>
          <t>Status</t>
        </is>
      </c>
      <c r="JT14" t="inlineStr">
        <is>
          <t>Status</t>
        </is>
      </c>
      <c r="JU14" t="inlineStr">
        <is>
          <t>Status</t>
        </is>
      </c>
      <c r="JV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ΔCO2</t>
        </is>
      </c>
      <c r="DU15" t="inlineStr">
        <is>
          <t>CO2_s_d</t>
        </is>
      </c>
      <c r="DV15" t="inlineStr">
        <is>
          <t>CO2_r_d</t>
        </is>
      </c>
      <c r="DW15" t="inlineStr">
        <is>
          <t>ΔH2O</t>
        </is>
      </c>
      <c r="DX15" t="inlineStr">
        <is>
          <t>CO2_b</t>
        </is>
      </c>
      <c r="DY15" t="inlineStr">
        <is>
          <t>H2O_b</t>
        </is>
      </c>
      <c r="DZ15" t="inlineStr">
        <is>
          <t>e_s</t>
        </is>
      </c>
      <c r="EA15" t="inlineStr">
        <is>
          <t>e_r</t>
        </is>
      </c>
      <c r="EB15" t="inlineStr">
        <is>
          <t>Td_s</t>
        </is>
      </c>
      <c r="EC15" t="inlineStr">
        <is>
          <t>Td_r</t>
        </is>
      </c>
      <c r="ED15" t="inlineStr">
        <is>
          <t>Q</t>
        </is>
      </c>
      <c r="EE15" t="inlineStr">
        <is>
          <t>f_red</t>
        </is>
      </c>
      <c r="EF15" t="inlineStr">
        <is>
          <t>f_blue</t>
        </is>
      </c>
      <c r="EG15" t="inlineStr">
        <is>
          <t>f_farred</t>
        </is>
      </c>
      <c r="EH15" t="inlineStr">
        <is>
          <t>F</t>
        </is>
      </c>
      <c r="EI15" t="inlineStr">
        <is>
          <t>Q_modavg</t>
        </is>
      </c>
      <c r="EJ15" t="inlineStr">
        <is>
          <t>F_dc</t>
        </is>
      </c>
      <c r="EK15" t="inlineStr">
        <is>
          <t>Pc</t>
        </is>
      </c>
      <c r="EL15" t="inlineStr">
        <is>
          <t>Tled</t>
        </is>
      </c>
      <c r="EM15" t="inlineStr">
        <is>
          <t>TDigital</t>
        </is>
      </c>
      <c r="EN15" t="inlineStr">
        <is>
          <t>TPreamp</t>
        </is>
      </c>
      <c r="EO15" t="inlineStr">
        <is>
          <t>TPwrSpy</t>
        </is>
      </c>
      <c r="EP15" t="inlineStr">
        <is>
          <t>TDrive</t>
        </is>
      </c>
      <c r="EQ15" t="inlineStr">
        <is>
          <t>Q_red</t>
        </is>
      </c>
      <c r="ER15" t="inlineStr">
        <is>
          <t>Q_blue</t>
        </is>
      </c>
      <c r="ES15" t="inlineStr">
        <is>
          <t>Q_farred</t>
        </is>
      </c>
      <c r="ET15" t="inlineStr">
        <is>
          <t>TSPF</t>
        </is>
      </c>
      <c r="EU15" t="inlineStr">
        <is>
          <t>state</t>
        </is>
      </c>
      <c r="EV15" t="inlineStr">
        <is>
          <t>F_avg</t>
        </is>
      </c>
      <c r="EW15" t="inlineStr">
        <is>
          <t>dF/dt</t>
        </is>
      </c>
      <c r="EX15" t="inlineStr">
        <is>
          <t>dF_dc/dt</t>
        </is>
      </c>
      <c r="EY15" t="inlineStr">
        <is>
          <t>F_dc_avg</t>
        </is>
      </c>
      <c r="EZ15" t="inlineStr">
        <is>
          <t>period</t>
        </is>
      </c>
      <c r="FA15" t="inlineStr">
        <is>
          <t>time</t>
        </is>
      </c>
      <c r="FB15" t="inlineStr">
        <is>
          <t>hhmmss</t>
        </is>
      </c>
      <c r="FC15" t="inlineStr">
        <is>
          <t>co2_t</t>
        </is>
      </c>
      <c r="FD15" t="inlineStr">
        <is>
          <t>h2o_t</t>
        </is>
      </c>
      <c r="FE15" t="inlineStr">
        <is>
          <t>count</t>
        </is>
      </c>
      <c r="FF15" t="inlineStr">
        <is>
          <t>co2_adj</t>
        </is>
      </c>
      <c r="FG15" t="inlineStr">
        <is>
          <t>h2o_adj</t>
        </is>
      </c>
      <c r="FH15" t="inlineStr">
        <is>
          <t>co2_match</t>
        </is>
      </c>
      <c r="FI15" t="inlineStr">
        <is>
          <t>h2o_match</t>
        </is>
      </c>
      <c r="FJ15" t="inlineStr">
        <is>
          <t>co2_at</t>
        </is>
      </c>
      <c r="FK15" t="inlineStr">
        <is>
          <t>h2o_at</t>
        </is>
      </c>
      <c r="FL15" t="inlineStr">
        <is>
          <t>co2_cv</t>
        </is>
      </c>
      <c r="FM15" t="inlineStr">
        <is>
          <t>h2o_cv</t>
        </is>
      </c>
      <c r="FN15" t="inlineStr">
        <is>
          <t>A:MN</t>
        </is>
      </c>
      <c r="FO15" t="inlineStr">
        <is>
          <t>A:SLP</t>
        </is>
      </c>
      <c r="FP15" t="inlineStr">
        <is>
          <t>A:SD</t>
        </is>
      </c>
      <c r="FQ15" t="inlineStr">
        <is>
          <t>A:OK</t>
        </is>
      </c>
      <c r="FR15" t="inlineStr">
        <is>
          <t>ΔCO2:MN</t>
        </is>
      </c>
      <c r="FS15" t="inlineStr">
        <is>
          <t>ΔCO2:SLP</t>
        </is>
      </c>
      <c r="FT15" t="inlineStr">
        <is>
          <t>ΔCO2:SD</t>
        </is>
      </c>
      <c r="FU15" t="inlineStr">
        <is>
          <t>ΔCO2:OK</t>
        </is>
      </c>
      <c r="FV15" t="inlineStr">
        <is>
          <t>F:MN</t>
        </is>
      </c>
      <c r="FW15" t="inlineStr">
        <is>
          <t>F:SLP</t>
        </is>
      </c>
      <c r="FX15" t="inlineStr">
        <is>
          <t>F:SD</t>
        </is>
      </c>
      <c r="FY15" t="inlineStr">
        <is>
          <t>F:OK</t>
        </is>
      </c>
      <c r="FZ15" t="inlineStr">
        <is>
          <t>Stable</t>
        </is>
      </c>
      <c r="GA15" t="inlineStr">
        <is>
          <t>Total</t>
        </is>
      </c>
      <c r="GB15" t="inlineStr">
        <is>
          <t>State</t>
        </is>
      </c>
      <c r="GC15" t="inlineStr">
        <is>
          <t>Vflow</t>
        </is>
      </c>
      <c r="GD15" t="inlineStr">
        <is>
          <t>VPchamber</t>
        </is>
      </c>
      <c r="GE15" t="inlineStr">
        <is>
          <t>abs_c_a</t>
        </is>
      </c>
      <c r="GF15" t="inlineStr">
        <is>
          <t>abs_c_b</t>
        </is>
      </c>
      <c r="GG15" t="inlineStr">
        <is>
          <t>abs_h_a</t>
        </is>
      </c>
      <c r="GH15" t="inlineStr">
        <is>
          <t>abs_h_b</t>
        </is>
      </c>
      <c r="GI15" t="inlineStr">
        <is>
          <t>Wc_s</t>
        </is>
      </c>
      <c r="GJ15" t="inlineStr">
        <is>
          <t>Wc_r</t>
        </is>
      </c>
      <c r="GK15" t="inlineStr">
        <is>
          <t>Wco_s</t>
        </is>
      </c>
      <c r="GL15" t="inlineStr">
        <is>
          <t>Wco_r</t>
        </is>
      </c>
      <c r="GM15" t="inlineStr">
        <is>
          <t>Ww_s</t>
        </is>
      </c>
      <c r="GN15" t="inlineStr">
        <is>
          <t>Ww_r</t>
        </is>
      </c>
      <c r="GO15" t="inlineStr">
        <is>
          <t>Wwo_s</t>
        </is>
      </c>
      <c r="GP15" t="inlineStr">
        <is>
          <t>Wwo_r</t>
        </is>
      </c>
      <c r="GQ15" t="inlineStr">
        <is>
          <t>Flow_s_v</t>
        </is>
      </c>
      <c r="GR15" t="inlineStr">
        <is>
          <t>Flow_r_v</t>
        </is>
      </c>
      <c r="GS15" t="inlineStr">
        <is>
          <t>Tleaf_mv</t>
        </is>
      </c>
      <c r="GT15" t="inlineStr">
        <is>
          <t>Tleaf2_mv</t>
        </is>
      </c>
      <c r="GU15" t="inlineStr">
        <is>
          <t>Tleaf_j</t>
        </is>
      </c>
      <c r="GV15" t="inlineStr">
        <is>
          <t>Tleaf2_j</t>
        </is>
      </c>
      <c r="GW15" t="inlineStr">
        <is>
          <t>Console_RH</t>
        </is>
      </c>
      <c r="GX15" t="inlineStr">
        <is>
          <t>Console_T</t>
        </is>
      </c>
      <c r="GY15" t="inlineStr">
        <is>
          <t>Console_H2O</t>
        </is>
      </c>
      <c r="GZ15" t="inlineStr">
        <is>
          <t>Fan_%</t>
        </is>
      </c>
      <c r="HA15" t="inlineStr">
        <is>
          <t>Flow_%</t>
        </is>
      </c>
      <c r="HB15" t="inlineStr">
        <is>
          <t>Pump</t>
        </is>
      </c>
      <c r="HC15" t="inlineStr">
        <is>
          <t>Tchp_pwm</t>
        </is>
      </c>
      <c r="HD15" t="inlineStr">
        <is>
          <t>Txchg_pwm</t>
        </is>
      </c>
      <c r="HE15" t="inlineStr">
        <is>
          <t>diag_20v</t>
        </is>
      </c>
      <c r="HF15" t="inlineStr">
        <is>
          <t>diag_5_4v</t>
        </is>
      </c>
      <c r="HG15" t="inlineStr">
        <is>
          <t>diag_12v</t>
        </is>
      </c>
      <c r="HH15" t="inlineStr">
        <is>
          <t>diag_5va</t>
        </is>
      </c>
      <c r="HI15" t="inlineStr">
        <is>
          <t>diag_3_3vf</t>
        </is>
      </c>
      <c r="HJ15" t="inlineStr">
        <is>
          <t>AccCO2_soda</t>
        </is>
      </c>
      <c r="HK15" t="inlineStr">
        <is>
          <t>AccH2O_des</t>
        </is>
      </c>
      <c r="HL15" t="inlineStr">
        <is>
          <t>AccH2O_hum</t>
        </is>
      </c>
      <c r="HM15" t="inlineStr">
        <is>
          <t>CO2_hrs</t>
        </is>
      </c>
      <c r="HN15" t="inlineStr">
        <is>
          <t>ADC_CH1</t>
        </is>
      </c>
      <c r="HO15" t="inlineStr">
        <is>
          <t>ADC_CH2</t>
        </is>
      </c>
      <c r="HP15" t="inlineStr">
        <is>
          <t>ADC_CH3</t>
        </is>
      </c>
      <c r="HQ15" t="inlineStr">
        <is>
          <t>ADC_CH4</t>
        </is>
      </c>
      <c r="HR15" t="inlineStr">
        <is>
          <t>ADC_CH5</t>
        </is>
      </c>
      <c r="HS15" t="inlineStr">
        <is>
          <t>ADC_CH6</t>
        </is>
      </c>
      <c r="HT15" t="inlineStr">
        <is>
          <t>ADC_CH7</t>
        </is>
      </c>
      <c r="HU15" t="inlineStr">
        <is>
          <t>ADC_CH8</t>
        </is>
      </c>
      <c r="HV15" t="inlineStr">
        <is>
          <t>DAC_1</t>
        </is>
      </c>
      <c r="HW15" t="inlineStr">
        <is>
          <t>DAC_2</t>
        </is>
      </c>
      <c r="HX15" t="inlineStr">
        <is>
          <t>DAC_3</t>
        </is>
      </c>
      <c r="HY15" t="inlineStr">
        <is>
          <t>DAC_4</t>
        </is>
      </c>
      <c r="HZ15" t="inlineStr">
        <is>
          <t>GPIO</t>
        </is>
      </c>
      <c r="IA15" t="inlineStr">
        <is>
          <t>GPIO_dir</t>
        </is>
      </c>
      <c r="IB15" t="inlineStr">
        <is>
          <t>excit_5v</t>
        </is>
      </c>
      <c r="IC15" t="inlineStr">
        <is>
          <t>power_12v</t>
        </is>
      </c>
      <c r="ID15" t="inlineStr">
        <is>
          <t>power_5v</t>
        </is>
      </c>
      <c r="IE15" t="inlineStr">
        <is>
          <t>ch1_pullup</t>
        </is>
      </c>
      <c r="IF15" t="inlineStr">
        <is>
          <t>AuxPower</t>
        </is>
      </c>
      <c r="IG15" t="inlineStr">
        <is>
          <t>MatchValveR</t>
        </is>
      </c>
      <c r="IH15" t="inlineStr">
        <is>
          <t>MatchValveS</t>
        </is>
      </c>
      <c r="II15" t="inlineStr">
        <is>
          <t>MatchCO2</t>
        </is>
      </c>
      <c r="IJ15" t="inlineStr">
        <is>
          <t>MatchH2O</t>
        </is>
      </c>
      <c r="IK15" t="inlineStr">
        <is>
          <t>cf_co2_a</t>
        </is>
      </c>
      <c r="IL15" t="inlineStr">
        <is>
          <t>cf_co2_b</t>
        </is>
      </c>
      <c r="IM15" t="inlineStr">
        <is>
          <t>cf_co2_c</t>
        </is>
      </c>
      <c r="IN15" t="inlineStr">
        <is>
          <t>cf_co2_d</t>
        </is>
      </c>
      <c r="IO15" t="inlineStr">
        <is>
          <t>cf_h2o_a</t>
        </is>
      </c>
      <c r="IP15" t="inlineStr">
        <is>
          <t>cf_h2o_b</t>
        </is>
      </c>
      <c r="IQ15" t="inlineStr">
        <is>
          <t>cf_h2o_c</t>
        </is>
      </c>
      <c r="IR15" t="inlineStr">
        <is>
          <t>cf_h2o_d</t>
        </is>
      </c>
      <c r="IS15" t="inlineStr">
        <is>
          <t>co2_fit_low</t>
        </is>
      </c>
      <c r="IT15" t="inlineStr">
        <is>
          <t>co2_fit_high</t>
        </is>
      </c>
      <c r="IU15" t="inlineStr">
        <is>
          <t>h2o_fit_low</t>
        </is>
      </c>
      <c r="IV15" t="inlineStr">
        <is>
          <t>h2o_fit_high</t>
        </is>
      </c>
      <c r="IW15" t="inlineStr">
        <is>
          <t>co2_elapsed</t>
        </is>
      </c>
      <c r="IX15" t="inlineStr">
        <is>
          <t>h2o_elapsed</t>
        </is>
      </c>
      <c r="IY15" t="inlineStr">
        <is>
          <t>CO2_f</t>
        </is>
      </c>
      <c r="IZ15" t="inlineStr">
        <is>
          <t>CO2_f_s</t>
        </is>
      </c>
      <c r="JA15" t="inlineStr">
        <is>
          <t>Pump_f</t>
        </is>
      </c>
      <c r="JB15" t="inlineStr">
        <is>
          <t>Pump_f_s</t>
        </is>
      </c>
      <c r="JC15" t="inlineStr">
        <is>
          <t>Pump_p</t>
        </is>
      </c>
      <c r="JD15" t="inlineStr">
        <is>
          <t>Pump_p_s</t>
        </is>
      </c>
      <c r="JE15" t="inlineStr">
        <is>
          <t>Tboard</t>
        </is>
      </c>
      <c r="JF15" t="inlineStr">
        <is>
          <t>V_system</t>
        </is>
      </c>
      <c r="JG15" t="inlineStr">
        <is>
          <t>DIAG</t>
        </is>
      </c>
      <c r="JH15" t="inlineStr">
        <is>
          <t>Flow_s</t>
        </is>
      </c>
      <c r="JI15" t="inlineStr">
        <is>
          <t>Flow_r</t>
        </is>
      </c>
      <c r="JJ15" t="inlineStr">
        <is>
          <t>Txchg</t>
        </is>
      </c>
      <c r="JK15" t="inlineStr">
        <is>
          <t>Tirga</t>
        </is>
      </c>
      <c r="JL15" t="inlineStr">
        <is>
          <t>Tchopper</t>
        </is>
      </c>
      <c r="JM15" t="inlineStr">
        <is>
          <t>Ts</t>
        </is>
      </c>
      <c r="JN15" t="inlineStr">
        <is>
          <t>Tr</t>
        </is>
      </c>
      <c r="JO15" t="inlineStr">
        <is>
          <t>CO2_%</t>
        </is>
      </c>
      <c r="JP15" t="inlineStr">
        <is>
          <t>Desiccant_%</t>
        </is>
      </c>
      <c r="JQ15" t="inlineStr">
        <is>
          <t>Humidifier_%</t>
        </is>
      </c>
      <c r="JR15" t="inlineStr">
        <is>
          <t>Txchg_sp</t>
        </is>
      </c>
      <c r="JS15" t="inlineStr">
        <is>
          <t>CO2_r_sp</t>
        </is>
      </c>
      <c r="JT15" t="inlineStr">
        <is>
          <t>H2O_r_sp</t>
        </is>
      </c>
      <c r="JU15" t="inlineStr">
        <is>
          <t>SS_s</t>
        </is>
      </c>
      <c r="JV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mol⁻¹</t>
        </is>
      </c>
      <c r="DU16" t="inlineStr">
        <is>
          <t>µmol mol⁻¹</t>
        </is>
      </c>
      <c r="DV16" t="inlineStr">
        <is>
          <t>µmol mol⁻¹</t>
        </is>
      </c>
      <c r="DW16" t="inlineStr">
        <is>
          <t>mmol mol⁻¹</t>
        </is>
      </c>
      <c r="DX16" t="inlineStr">
        <is>
          <t>µmol mol⁻¹</t>
        </is>
      </c>
      <c r="DY16" t="inlineStr">
        <is>
          <t>mmol mol⁻¹</t>
        </is>
      </c>
      <c r="DZ16" t="inlineStr">
        <is>
          <t>kPa</t>
        </is>
      </c>
      <c r="EA16" t="inlineStr">
        <is>
          <t>kPa</t>
        </is>
      </c>
      <c r="EB16" t="inlineStr">
        <is>
          <t>°C</t>
        </is>
      </c>
      <c r="EC16" t="inlineStr">
        <is>
          <t>°C</t>
        </is>
      </c>
      <c r="ED16" t="inlineStr">
        <is>
          <t>µmol m⁻² s⁻¹</t>
        </is>
      </c>
      <c r="EI16" t="inlineStr">
        <is>
          <t>µmol m⁻² s⁻¹</t>
        </is>
      </c>
      <c r="EL16" t="inlineStr">
        <is>
          <t>°C</t>
        </is>
      </c>
      <c r="EM16" t="inlineStr">
        <is>
          <t>°C</t>
        </is>
      </c>
      <c r="EN16" t="inlineStr">
        <is>
          <t>°C</t>
        </is>
      </c>
      <c r="EO16" t="inlineStr">
        <is>
          <t>°C</t>
        </is>
      </c>
      <c r="EP16" t="inlineStr">
        <is>
          <t>°C</t>
        </is>
      </c>
      <c r="EQ16" t="inlineStr">
        <is>
          <t>µmol m⁻² s⁻¹</t>
        </is>
      </c>
      <c r="ER16" t="inlineStr">
        <is>
          <t>µmol m⁻² s⁻¹</t>
        </is>
      </c>
      <c r="ES16" t="inlineStr">
        <is>
          <t>µmol m⁻² s⁻¹</t>
        </is>
      </c>
      <c r="ET16" t="inlineStr">
        <is>
          <t>s</t>
        </is>
      </c>
      <c r="EW16" t="inlineStr">
        <is>
          <t>min⁻¹</t>
        </is>
      </c>
      <c r="EX16" t="inlineStr">
        <is>
          <t>min⁻¹</t>
        </is>
      </c>
      <c r="EZ16" t="inlineStr">
        <is>
          <t>s</t>
        </is>
      </c>
      <c r="FA16" t="inlineStr">
        <is>
          <t>secs</t>
        </is>
      </c>
      <c r="FC16" t="inlineStr">
        <is>
          <t>s</t>
        </is>
      </c>
      <c r="FD16" t="inlineStr">
        <is>
          <t>s</t>
        </is>
      </c>
      <c r="FF16" t="inlineStr">
        <is>
          <t>µmol/mol</t>
        </is>
      </c>
      <c r="FG16" t="inlineStr">
        <is>
          <t>mmol/mol</t>
        </is>
      </c>
      <c r="FH16" t="inlineStr">
        <is>
          <t>µmol/mol</t>
        </is>
      </c>
      <c r="FI16" t="inlineStr">
        <is>
          <t>mmol/mol</t>
        </is>
      </c>
      <c r="FJ16" t="inlineStr">
        <is>
          <t>µmol/mol</t>
        </is>
      </c>
      <c r="FK16" t="inlineStr">
        <is>
          <t>mmol/mol</t>
        </is>
      </c>
      <c r="FL16" t="inlineStr">
        <is>
          <t>%</t>
        </is>
      </c>
      <c r="FM16" t="inlineStr">
        <is>
          <t>%</t>
        </is>
      </c>
      <c r="FN16" t="inlineStr">
        <is>
          <t>µmol m⁻² s⁻¹</t>
        </is>
      </c>
      <c r="FO16" t="inlineStr">
        <is>
          <t>µmol m⁻² s⁻¹ min⁻¹</t>
        </is>
      </c>
      <c r="FP16" t="inlineStr">
        <is>
          <t>µmol m⁻² s⁻¹</t>
        </is>
      </c>
      <c r="FR16" t="inlineStr">
        <is>
          <t>µmol mol⁻¹</t>
        </is>
      </c>
      <c r="FS16" t="inlineStr">
        <is>
          <t>µmol mol⁻¹ min⁻¹</t>
        </is>
      </c>
      <c r="FT16" t="inlineStr">
        <is>
          <t>µmol mol⁻¹</t>
        </is>
      </c>
      <c r="FW16" t="inlineStr">
        <is>
          <t xml:space="preserve"> min⁻¹</t>
        </is>
      </c>
      <c r="GC16" t="inlineStr">
        <is>
          <t>V</t>
        </is>
      </c>
      <c r="GD16" t="inlineStr">
        <is>
          <t>V</t>
        </is>
      </c>
      <c r="GQ16" t="inlineStr">
        <is>
          <t>V</t>
        </is>
      </c>
      <c r="GR16" t="inlineStr">
        <is>
          <t>V</t>
        </is>
      </c>
      <c r="GS16" t="inlineStr">
        <is>
          <t>mV</t>
        </is>
      </c>
      <c r="GT16" t="inlineStr">
        <is>
          <t>mV</t>
        </is>
      </c>
      <c r="GU16" t="inlineStr">
        <is>
          <t>°C</t>
        </is>
      </c>
      <c r="GV16" t="inlineStr">
        <is>
          <t>°C</t>
        </is>
      </c>
      <c r="GW16" t="inlineStr">
        <is>
          <t>%</t>
        </is>
      </c>
      <c r="GX16" t="inlineStr">
        <is>
          <t>°C</t>
        </is>
      </c>
      <c r="GY16" t="inlineStr">
        <is>
          <t>mmol mol⁻¹</t>
        </is>
      </c>
      <c r="GZ16" t="inlineStr">
        <is>
          <t>%</t>
        </is>
      </c>
      <c r="HA16" t="inlineStr">
        <is>
          <t>%</t>
        </is>
      </c>
      <c r="HC16" t="inlineStr">
        <is>
          <t>V</t>
        </is>
      </c>
      <c r="HD16" t="inlineStr">
        <is>
          <t>V</t>
        </is>
      </c>
      <c r="HE16" t="inlineStr">
        <is>
          <t>V</t>
        </is>
      </c>
      <c r="HF16" t="inlineStr">
        <is>
          <t>V</t>
        </is>
      </c>
      <c r="HG16" t="inlineStr">
        <is>
          <t>V</t>
        </is>
      </c>
      <c r="HH16" t="inlineStr">
        <is>
          <t>V</t>
        </is>
      </c>
      <c r="HI16" t="inlineStr">
        <is>
          <t>V</t>
        </is>
      </c>
      <c r="HJ16" t="inlineStr">
        <is>
          <t>mg</t>
        </is>
      </c>
      <c r="HK16" t="inlineStr">
        <is>
          <t>mg</t>
        </is>
      </c>
      <c r="HL16" t="inlineStr">
        <is>
          <t>mg</t>
        </is>
      </c>
      <c r="HM16" t="inlineStr">
        <is>
          <t>hrs</t>
        </is>
      </c>
      <c r="HN16" t="inlineStr">
        <is>
          <t>V</t>
        </is>
      </c>
      <c r="HO16" t="inlineStr">
        <is>
          <t>V</t>
        </is>
      </c>
      <c r="HP16" t="inlineStr">
        <is>
          <t>V</t>
        </is>
      </c>
      <c r="HQ16" t="inlineStr">
        <is>
          <t>V</t>
        </is>
      </c>
      <c r="HR16" t="inlineStr">
        <is>
          <t>V</t>
        </is>
      </c>
      <c r="HS16" t="inlineStr">
        <is>
          <t>V</t>
        </is>
      </c>
      <c r="HT16" t="inlineStr">
        <is>
          <t>V</t>
        </is>
      </c>
      <c r="HU16" t="inlineStr">
        <is>
          <t>V</t>
        </is>
      </c>
      <c r="HV16" t="inlineStr">
        <is>
          <t>V</t>
        </is>
      </c>
      <c r="HW16" t="inlineStr">
        <is>
          <t>V</t>
        </is>
      </c>
      <c r="HX16" t="inlineStr">
        <is>
          <t>V</t>
        </is>
      </c>
      <c r="HY16" t="inlineStr">
        <is>
          <t>V</t>
        </is>
      </c>
      <c r="IF16" t="inlineStr">
        <is>
          <t>V</t>
        </is>
      </c>
      <c r="IG16" t="inlineStr">
        <is>
          <t>%</t>
        </is>
      </c>
      <c r="IH16" t="inlineStr">
        <is>
          <t>%</t>
        </is>
      </c>
      <c r="II16" t="inlineStr">
        <is>
          <t>µmol/mol</t>
        </is>
      </c>
      <c r="IJ16" t="inlineStr">
        <is>
          <t>mmol/mol</t>
        </is>
      </c>
      <c r="IK16" t="inlineStr">
        <is>
          <t>µmol/mol</t>
        </is>
      </c>
      <c r="IO16" t="inlineStr">
        <is>
          <t>mmol/mol</t>
        </is>
      </c>
      <c r="IS16" t="inlineStr">
        <is>
          <t>µmol mol⁻¹</t>
        </is>
      </c>
      <c r="IT16" t="inlineStr">
        <is>
          <t>µmol mol⁻¹</t>
        </is>
      </c>
      <c r="IU16" t="inlineStr">
        <is>
          <t>mmol mol⁻¹</t>
        </is>
      </c>
      <c r="IV16" t="inlineStr">
        <is>
          <t>mmol mol⁻¹</t>
        </is>
      </c>
      <c r="IW16" t="inlineStr">
        <is>
          <t>min</t>
        </is>
      </c>
      <c r="IX16" t="inlineStr">
        <is>
          <t>min</t>
        </is>
      </c>
      <c r="IY16" t="inlineStr">
        <is>
          <t>V</t>
        </is>
      </c>
      <c r="IZ16" t="inlineStr">
        <is>
          <t>V</t>
        </is>
      </c>
      <c r="JA16" t="inlineStr">
        <is>
          <t>V</t>
        </is>
      </c>
      <c r="JB16" t="inlineStr">
        <is>
          <t>V</t>
        </is>
      </c>
      <c r="JC16" t="inlineStr">
        <is>
          <t>V</t>
        </is>
      </c>
      <c r="JD16" t="inlineStr">
        <is>
          <t>V</t>
        </is>
      </c>
      <c r="JE16" t="inlineStr">
        <is>
          <t>°C</t>
        </is>
      </c>
      <c r="JF16" t="inlineStr">
        <is>
          <t>V</t>
        </is>
      </c>
      <c r="JH16" t="inlineStr">
        <is>
          <t>µmol s⁻¹</t>
        </is>
      </c>
      <c r="JI16" t="inlineStr">
        <is>
          <t>µmol s⁻¹</t>
        </is>
      </c>
      <c r="JJ16" t="inlineStr">
        <is>
          <t>°C</t>
        </is>
      </c>
      <c r="JK16" t="inlineStr">
        <is>
          <t>°C</t>
        </is>
      </c>
      <c r="JL16" t="inlineStr">
        <is>
          <t>°C</t>
        </is>
      </c>
      <c r="JM16" t="inlineStr">
        <is>
          <t>°C</t>
        </is>
      </c>
      <c r="JN16" t="inlineStr">
        <is>
          <t>°C</t>
        </is>
      </c>
      <c r="JO16" t="inlineStr">
        <is>
          <t>%</t>
        </is>
      </c>
      <c r="JP16" t="inlineStr">
        <is>
          <t>%</t>
        </is>
      </c>
      <c r="JQ16" t="inlineStr">
        <is>
          <t>%</t>
        </is>
      </c>
      <c r="JR16" t="inlineStr">
        <is>
          <t>°C</t>
        </is>
      </c>
      <c r="JS16" t="inlineStr">
        <is>
          <t>µmol mol⁻¹</t>
        </is>
      </c>
      <c r="JT16" t="inlineStr">
        <is>
          <t>mmol mol⁻¹</t>
        </is>
      </c>
      <c r="JU16" t="inlineStr">
        <is>
          <t>%</t>
        </is>
      </c>
      <c r="JV16" t="inlineStr">
        <is>
          <t>%</t>
        </is>
      </c>
    </row>
    <row r="17">
      <c r="A17" t="n">
        <v>1</v>
      </c>
      <c r="B17" t="n">
        <v>1792293512</v>
      </c>
      <c r="C17" t="n">
        <v>0</v>
      </c>
      <c r="D17" t="inlineStr">
        <is>
          <t>20261018 12:18:32</t>
        </is>
      </c>
      <c r="E17" t="inlineStr">
        <is>
          <t>12:18:32</t>
        </is>
      </c>
      <c r="F17" t="n">
        <v>5</v>
      </c>
      <c r="G17" t="n">
        <v>1792293508.5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-</t>
        </is>
      </c>
      <c r="AK17" t="inlineStr">
        <is>
          <t>-</t>
        </is>
      </c>
      <c r="AL17" t="n">
        <v>0</v>
      </c>
      <c r="AM17" t="n">
        <v>0</v>
      </c>
      <c r="AN17">
        <f>1-AL17/AM17</f>
        <v/>
      </c>
      <c r="AO17" t="n">
        <v>0</v>
      </c>
      <c r="AP17" t="inlineStr">
        <is>
          <t>-</t>
        </is>
      </c>
      <c r="AQ17" t="inlineStr">
        <is>
          <t>-</t>
        </is>
      </c>
      <c r="AR17" t="n">
        <v>0</v>
      </c>
      <c r="AS17" t="n">
        <v>0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BL17" t="n">
        <v>1157</v>
      </c>
      <c r="BM17" t="n">
        <v>290</v>
      </c>
      <c r="BN17" t="n">
        <v>880.28</v>
      </c>
      <c r="BO17" t="n">
        <v>165</v>
      </c>
      <c r="BP17" t="n">
        <v>8122.99</v>
      </c>
      <c r="BQ17" t="n">
        <v>875.35</v>
      </c>
      <c r="BR17" t="n">
        <v>4.93</v>
      </c>
      <c r="BS17" t="n">
        <v>300</v>
      </c>
      <c r="BT17" t="n">
        <v>19.3</v>
      </c>
      <c r="BU17" t="n">
        <v>898.8173603878</v>
      </c>
      <c r="BV17" t="n">
        <v>1.50311492518876</v>
      </c>
      <c r="BW17" t="n">
        <v>-19.0610088334602</v>
      </c>
      <c r="BX17" t="n">
        <v>1.09059022936042</v>
      </c>
      <c r="BY17" t="n">
        <v>0.91603442505378</v>
      </c>
      <c r="BZ17" t="n">
        <v>-0.00538388921023359</v>
      </c>
      <c r="CA17" t="n">
        <v>290</v>
      </c>
      <c r="CB17" t="n">
        <v>867.24</v>
      </c>
      <c r="CC17" t="n">
        <v>615</v>
      </c>
      <c r="CD17" t="n">
        <v>8107.04</v>
      </c>
      <c r="CE17" t="n">
        <v>875.3099999999999</v>
      </c>
      <c r="CF17" t="n">
        <v>-8.07</v>
      </c>
      <c r="CT17">
        <f>$B$11*DR17+$C$11*DS17+$F$11*ED17*(1-EG17)</f>
        <v/>
      </c>
      <c r="CU17">
        <f>CT17*CV17</f>
        <v/>
      </c>
      <c r="CV17">
        <f>($B$11*$D$9+$C$11*$D$9+$F$11*((EQ17+EI17)/MAX(EQ17+EI17+ER17, 0.1)*$I$9+ER17/MAX(EQ17+EI17+ER17, 0.1)*$J$9))/($B$11+$C$11+$F$11)</f>
        <v/>
      </c>
      <c r="CW17">
        <f>($B$11*$K$9+$C$11*$K$9+$F$11*((EQ17+EI17)/MAX(EQ17+EI17+ER17, 0.1)*$P$9+ER17/MAX(EQ17+EI17+ER17,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1792293508.5</v>
      </c>
      <c r="DC17" t="n">
        <v>389.9755</v>
      </c>
      <c r="DD17" t="n">
        <v>399.998</v>
      </c>
      <c r="DE17" t="n">
        <v>17.8349</v>
      </c>
      <c r="DF17" t="n">
        <v>14.9894333333333</v>
      </c>
      <c r="DG17" t="n">
        <v>389.084833333333</v>
      </c>
      <c r="DH17" t="n">
        <v>17.9244666666667</v>
      </c>
      <c r="DI17" t="n">
        <v>499.979166666667</v>
      </c>
      <c r="DJ17" t="n">
        <v>100.996833333333</v>
      </c>
      <c r="DK17" t="n">
        <v>0.0998658</v>
      </c>
      <c r="DL17" t="n">
        <v>25.4998166666667</v>
      </c>
      <c r="DM17" t="n">
        <v>25.0088166666667</v>
      </c>
      <c r="DN17" t="n">
        <v>999.9</v>
      </c>
      <c r="DO17" t="n">
        <v>0</v>
      </c>
      <c r="DP17" t="n">
        <v>0</v>
      </c>
      <c r="DQ17" t="n">
        <v>9994.888333333331</v>
      </c>
      <c r="DR17" t="n">
        <v>0</v>
      </c>
      <c r="DS17" t="n">
        <v>6.36898333333333</v>
      </c>
      <c r="DT17" t="n">
        <v>-10.022625</v>
      </c>
      <c r="DU17" t="n">
        <v>397.056833333333</v>
      </c>
      <c r="DV17" t="n">
        <v>406.084833333333</v>
      </c>
      <c r="DW17" t="n">
        <v>2.84549166666667</v>
      </c>
      <c r="DX17" t="n">
        <v>399.998</v>
      </c>
      <c r="DY17" t="n">
        <v>14.9894333333333</v>
      </c>
      <c r="DZ17" t="n">
        <v>1.80127166666667</v>
      </c>
      <c r="EA17" t="n">
        <v>1.513885</v>
      </c>
      <c r="EB17" t="n">
        <v>15.7978166666667</v>
      </c>
      <c r="EC17" t="n">
        <v>13.1091166666667</v>
      </c>
      <c r="ED17" t="n">
        <v>1499.94333333333</v>
      </c>
      <c r="EE17" t="n">
        <v>0.973006</v>
      </c>
      <c r="EF17" t="n">
        <v>0.0269938833333333</v>
      </c>
      <c r="EG17" t="n">
        <v>0</v>
      </c>
      <c r="EH17" t="n">
        <v>325.803333333333</v>
      </c>
      <c r="EI17" t="n">
        <v>5.00064</v>
      </c>
      <c r="EJ17" t="n">
        <v>5044.61333333333</v>
      </c>
      <c r="EK17" t="n">
        <v>15438.65</v>
      </c>
      <c r="EL17" t="n">
        <v>40.625</v>
      </c>
      <c r="EM17" t="n">
        <v>41.312</v>
      </c>
      <c r="EN17" t="n">
        <v>40.9685</v>
      </c>
      <c r="EO17" t="n">
        <v>40.9475</v>
      </c>
      <c r="EP17" t="n">
        <v>42.187</v>
      </c>
      <c r="EQ17" t="n">
        <v>1454.58333333333</v>
      </c>
      <c r="ER17" t="n">
        <v>40.35</v>
      </c>
      <c r="ES17" t="n">
        <v>0</v>
      </c>
      <c r="ET17" t="n">
        <v>2718.10000014305</v>
      </c>
      <c r="EU17" t="n">
        <v>0</v>
      </c>
      <c r="EV17" t="n">
        <v>325.85092</v>
      </c>
      <c r="EW17" t="n">
        <v>0.0772307640765087</v>
      </c>
      <c r="EX17" t="n">
        <v>0.754615390615111</v>
      </c>
      <c r="EY17" t="n">
        <v>5044.7444</v>
      </c>
      <c r="EZ17" t="n">
        <v>15</v>
      </c>
      <c r="FA17" t="n">
        <v>1792293454</v>
      </c>
      <c r="FB17" t="inlineStr">
        <is>
          <t>12:17:34</t>
        </is>
      </c>
      <c r="FC17" t="n">
        <v>1792293454</v>
      </c>
      <c r="FD17" t="n">
        <v>1792293451</v>
      </c>
      <c r="FE17" t="n">
        <v>22</v>
      </c>
      <c r="FF17" t="n">
        <v>0.017</v>
      </c>
      <c r="FG17" t="n">
        <v>0.001</v>
      </c>
      <c r="FH17" t="n">
        <v>0.895</v>
      </c>
      <c r="FI17" t="n">
        <v>-0.192</v>
      </c>
      <c r="FJ17" t="n">
        <v>400</v>
      </c>
      <c r="FK17" t="n">
        <v>15</v>
      </c>
      <c r="FL17" t="n">
        <v>0.33</v>
      </c>
      <c r="FM17" t="n">
        <v>0.02</v>
      </c>
      <c r="FN17" t="n">
        <v>22.2486427862548</v>
      </c>
      <c r="FO17" t="n">
        <v>-0.145402959304769</v>
      </c>
      <c r="FP17" t="n">
        <v>0.133326673175905</v>
      </c>
      <c r="FQ17" t="n">
        <v>1</v>
      </c>
      <c r="FR17" t="n">
        <v>-10.0334738095238</v>
      </c>
      <c r="FS17" t="n">
        <v>0.06341142857141541</v>
      </c>
      <c r="FT17" t="n">
        <v>0.0532102297250471</v>
      </c>
      <c r="FU17" t="n">
        <v>1</v>
      </c>
      <c r="FV17" t="n">
        <v>325.8355</v>
      </c>
      <c r="FW17" t="n">
        <v>-0.234025978780248</v>
      </c>
      <c r="FX17" t="n">
        <v>0.216290280165608</v>
      </c>
      <c r="FY17" t="n">
        <v>1</v>
      </c>
      <c r="FZ17" t="n">
        <v>3</v>
      </c>
      <c r="GA17" t="n">
        <v>3</v>
      </c>
      <c r="GB17" t="inlineStr">
        <is>
          <t>3/3</t>
        </is>
      </c>
      <c r="GC17" t="n">
        <v>3.12355</v>
      </c>
      <c r="GD17" t="n">
        <v>2.7653</v>
      </c>
      <c r="GE17" t="n">
        <v>0.0859818</v>
      </c>
      <c r="GF17" t="n">
        <v>0.0899775</v>
      </c>
      <c r="GG17" t="n">
        <v>0.0945375</v>
      </c>
      <c r="GH17" t="n">
        <v>0.0863519</v>
      </c>
      <c r="GI17" t="n">
        <v>17818.7</v>
      </c>
      <c r="GJ17" t="n">
        <v>26749.1</v>
      </c>
      <c r="GK17" t="n">
        <v>22778.7</v>
      </c>
      <c r="GL17" t="n">
        <v>30118.5</v>
      </c>
      <c r="GM17" t="n">
        <v>33826.5</v>
      </c>
      <c r="GN17" t="n">
        <v>34279.3</v>
      </c>
      <c r="GO17" t="n">
        <v>43096.3</v>
      </c>
      <c r="GP17" t="n">
        <v>42893.2</v>
      </c>
      <c r="GQ17" t="n">
        <v>1.97495</v>
      </c>
      <c r="GR17" t="n">
        <v>1.80877</v>
      </c>
      <c r="GS17" t="n">
        <v>0.0590086</v>
      </c>
      <c r="GT17" t="n">
        <v>0</v>
      </c>
      <c r="GU17" t="n">
        <v>24.0473</v>
      </c>
      <c r="GV17" t="n">
        <v>999.9</v>
      </c>
      <c r="GW17" t="n">
        <v>38.194</v>
      </c>
      <c r="GX17" t="n">
        <v>33.193</v>
      </c>
      <c r="GY17" t="n">
        <v>19.3161</v>
      </c>
      <c r="GZ17" t="n">
        <v>63.3183</v>
      </c>
      <c r="HA17" t="n">
        <v>36.2821</v>
      </c>
      <c r="HB17" t="n">
        <v>1</v>
      </c>
      <c r="HC17" t="n">
        <v>0.0471138</v>
      </c>
      <c r="HD17" t="n">
        <v>1.81334</v>
      </c>
      <c r="HE17" t="n">
        <v>20.2246</v>
      </c>
      <c r="HF17" t="n">
        <v>5.22957</v>
      </c>
      <c r="HG17" t="n">
        <v>11.962</v>
      </c>
      <c r="HH17" t="n">
        <v>4.9678</v>
      </c>
      <c r="HI17" t="n">
        <v>3.295</v>
      </c>
      <c r="HJ17" t="n">
        <v>9999</v>
      </c>
      <c r="HK17" t="n">
        <v>9999</v>
      </c>
      <c r="HL17" t="n">
        <v>9999</v>
      </c>
      <c r="HM17" t="n">
        <v>999.9</v>
      </c>
      <c r="HN17" t="n">
        <v>4.96861</v>
      </c>
      <c r="HO17" t="n">
        <v>1.86253</v>
      </c>
      <c r="HP17" t="n">
        <v>1.86413</v>
      </c>
      <c r="HQ17" t="n">
        <v>1.86601</v>
      </c>
      <c r="HR17" t="n">
        <v>1.86304</v>
      </c>
      <c r="HS17" t="n">
        <v>1.86673</v>
      </c>
      <c r="HT17" t="n">
        <v>1.86352</v>
      </c>
      <c r="HU17" t="n">
        <v>1.86539</v>
      </c>
      <c r="HV17" t="n">
        <v>0</v>
      </c>
      <c r="HW17" t="n">
        <v>0</v>
      </c>
      <c r="HX17" t="n">
        <v>0</v>
      </c>
      <c r="HY17" t="n">
        <v>0</v>
      </c>
      <c r="HZ17" t="inlineStr">
        <is>
          <t>11111111</t>
        </is>
      </c>
      <c r="IA17" t="inlineStr">
        <is>
          <t>oooooooo</t>
        </is>
      </c>
      <c r="IB17" t="inlineStr">
        <is>
          <t>on</t>
        </is>
      </c>
      <c r="IC17" t="inlineStr">
        <is>
          <t>on</t>
        </is>
      </c>
      <c r="ID17" t="inlineStr">
        <is>
          <t>on</t>
        </is>
      </c>
      <c r="IE17" t="inlineStr">
        <is>
          <t>on</t>
        </is>
      </c>
      <c r="IF17" t="n">
        <v>0</v>
      </c>
      <c r="IG17" t="n">
        <v>100</v>
      </c>
      <c r="IH17" t="n">
        <v>100</v>
      </c>
      <c r="II17" t="n">
        <v>0.89</v>
      </c>
      <c r="IJ17" t="n">
        <v>-0.0895</v>
      </c>
      <c r="IK17" t="n">
        <v>0.768100751856985</v>
      </c>
      <c r="IL17" t="n">
        <v>0.000216929631606078</v>
      </c>
      <c r="IM17" t="n">
        <v>2.72263024731635e-07</v>
      </c>
      <c r="IN17" t="n">
        <v>-5.43792051235154e-11</v>
      </c>
      <c r="IO17" t="n">
        <v>-0.0179088961678485</v>
      </c>
      <c r="IP17" t="n">
        <v>-0.0584433849545669</v>
      </c>
      <c r="IQ17" t="n">
        <v>0.00341568706061026</v>
      </c>
      <c r="IR17" t="n">
        <v>-2.10952612506686e-05</v>
      </c>
      <c r="IS17" t="n">
        <v>0</v>
      </c>
      <c r="IT17" t="n">
        <v>1734</v>
      </c>
      <c r="IU17" t="n">
        <v>2</v>
      </c>
      <c r="IV17" t="n">
        <v>19</v>
      </c>
      <c r="IW17" t="n">
        <v>1</v>
      </c>
      <c r="IX17" t="n">
        <v>1</v>
      </c>
      <c r="IY17" t="n">
        <v>1.05591</v>
      </c>
      <c r="IZ17" t="n">
        <v>2.58057</v>
      </c>
      <c r="JA17" t="n">
        <v>1.34644</v>
      </c>
      <c r="JB17" t="n">
        <v>2.25952</v>
      </c>
      <c r="JC17" t="n">
        <v>1.55029</v>
      </c>
      <c r="JD17" t="n">
        <v>2.4707</v>
      </c>
      <c r="JE17" t="n">
        <v>37.2659</v>
      </c>
      <c r="JF17" t="n">
        <v>16.0671</v>
      </c>
      <c r="JG17" t="n">
        <v>18</v>
      </c>
      <c r="JH17" t="n">
        <v>499.642</v>
      </c>
      <c r="JI17" t="n">
        <v>470.001</v>
      </c>
      <c r="JJ17" t="n">
        <v>22.1762</v>
      </c>
      <c r="JK17" t="n">
        <v>27.7991</v>
      </c>
      <c r="JL17" t="n">
        <v>30.0001</v>
      </c>
      <c r="JM17" t="n">
        <v>27.7587</v>
      </c>
      <c r="JN17" t="n">
        <v>27.767</v>
      </c>
      <c r="JO17" t="n">
        <v>21.1277</v>
      </c>
      <c r="JP17" t="n">
        <v>29.4656</v>
      </c>
      <c r="JQ17" t="n">
        <v>23.3619</v>
      </c>
      <c r="JR17" t="n">
        <v>22.1813</v>
      </c>
      <c r="JS17" t="n">
        <v>400</v>
      </c>
      <c r="JT17" t="n">
        <v>15.0568</v>
      </c>
      <c r="JU17" t="n">
        <v>101.763</v>
      </c>
      <c r="JV17" t="n">
        <v>97.4037</v>
      </c>
    </row>
    <row r="18">
      <c r="A18" t="n">
        <v>2</v>
      </c>
      <c r="B18" t="n">
        <v>1792293633</v>
      </c>
      <c r="C18" t="n">
        <v>121</v>
      </c>
      <c r="D18" t="inlineStr">
        <is>
          <t>20261018 12:20:33</t>
        </is>
      </c>
      <c r="E18" t="inlineStr">
        <is>
          <t>12:20:33</t>
        </is>
      </c>
      <c r="F18" t="n">
        <v>5</v>
      </c>
      <c r="G18" t="n">
        <v>1792293629.5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-</t>
        </is>
      </c>
      <c r="AK18" t="inlineStr">
        <is>
          <t>-</t>
        </is>
      </c>
      <c r="AL18" t="n">
        <v>0</v>
      </c>
      <c r="AM18" t="n">
        <v>0</v>
      </c>
      <c r="AN18">
        <f>1-AL18/AM18</f>
        <v/>
      </c>
      <c r="AO18" t="n">
        <v>0</v>
      </c>
      <c r="AP18" t="inlineStr">
        <is>
          <t>-</t>
        </is>
      </c>
      <c r="AQ18" t="inlineStr">
        <is>
          <t>-</t>
        </is>
      </c>
      <c r="AR18" t="n">
        <v>0</v>
      </c>
      <c r="AS18" t="n">
        <v>0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BL18" t="n">
        <v>1157</v>
      </c>
      <c r="BM18" t="n">
        <v>290</v>
      </c>
      <c r="BN18" t="n">
        <v>880.28</v>
      </c>
      <c r="BO18" t="n">
        <v>165</v>
      </c>
      <c r="BP18" t="n">
        <v>8122.99</v>
      </c>
      <c r="BQ18" t="n">
        <v>875.35</v>
      </c>
      <c r="BR18" t="n">
        <v>4.93</v>
      </c>
      <c r="BS18" t="n">
        <v>300</v>
      </c>
      <c r="BT18" t="n">
        <v>19.3</v>
      </c>
      <c r="BU18" t="n">
        <v>898.8173603878</v>
      </c>
      <c r="BV18" t="n">
        <v>1.50311492518876</v>
      </c>
      <c r="BW18" t="n">
        <v>-19.0610088334602</v>
      </c>
      <c r="BX18" t="n">
        <v>1.09059022936042</v>
      </c>
      <c r="BY18" t="n">
        <v>0.91603442505378</v>
      </c>
      <c r="BZ18" t="n">
        <v>-0.00538388921023359</v>
      </c>
      <c r="CA18" t="n">
        <v>290</v>
      </c>
      <c r="CB18" t="n">
        <v>867.24</v>
      </c>
      <c r="CC18" t="n">
        <v>615</v>
      </c>
      <c r="CD18" t="n">
        <v>8107.04</v>
      </c>
      <c r="CE18" t="n">
        <v>875.3099999999999</v>
      </c>
      <c r="CF18" t="n">
        <v>-8.07</v>
      </c>
      <c r="CT18">
        <f>$B$11*DR18+$C$11*DS18+$F$11*ED18*(1-EG18)</f>
        <v/>
      </c>
      <c r="CU18">
        <f>CT18*CV18</f>
        <v/>
      </c>
      <c r="CV18">
        <f>($B$11*$D$9+$C$11*$D$9+$F$11*((EQ18+EI18)/MAX(EQ18+EI18+ER18, 0.1)*$I$9+ER18/MAX(EQ18+EI18+ER18, 0.1)*$J$9))/($B$11+$C$11+$F$11)</f>
        <v/>
      </c>
      <c r="CW18">
        <f>($B$11*$K$9+$C$11*$K$9+$F$11*((EQ18+EI18)/MAX(EQ18+EI18+ER18, 0.1)*$P$9+ER18/MAX(EQ18+EI18+ER18,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1792293629.5</v>
      </c>
      <c r="DC18" t="n">
        <v>292.568166666667</v>
      </c>
      <c r="DD18" t="n">
        <v>299.998833333333</v>
      </c>
      <c r="DE18" t="n">
        <v>17.7656166666667</v>
      </c>
      <c r="DF18" t="n">
        <v>15.0802666666667</v>
      </c>
      <c r="DG18" t="n">
        <v>291.976333333333</v>
      </c>
      <c r="DH18" t="n">
        <v>17.8601</v>
      </c>
      <c r="DI18" t="n">
        <v>500.008333333333</v>
      </c>
      <c r="DJ18" t="n">
        <v>100.998333333333</v>
      </c>
      <c r="DK18" t="n">
        <v>0.100046483333333</v>
      </c>
      <c r="DL18" t="n">
        <v>25.4231333333333</v>
      </c>
      <c r="DM18" t="n">
        <v>25.0058333333333</v>
      </c>
      <c r="DN18" t="n">
        <v>999.9</v>
      </c>
      <c r="DO18" t="n">
        <v>0</v>
      </c>
      <c r="DP18" t="n">
        <v>0</v>
      </c>
      <c r="DQ18" t="n">
        <v>9997.594999999999</v>
      </c>
      <c r="DR18" t="n">
        <v>0</v>
      </c>
      <c r="DS18" t="n">
        <v>6.32897</v>
      </c>
      <c r="DT18" t="n">
        <v>-7.43081833333333</v>
      </c>
      <c r="DU18" t="n">
        <v>297.86</v>
      </c>
      <c r="DV18" t="n">
        <v>304.592333333333</v>
      </c>
      <c r="DW18" t="n">
        <v>2.68533833333333</v>
      </c>
      <c r="DX18" t="n">
        <v>299.998833333333</v>
      </c>
      <c r="DY18" t="n">
        <v>15.0802666666667</v>
      </c>
      <c r="DZ18" t="n">
        <v>1.79429833333333</v>
      </c>
      <c r="EA18" t="n">
        <v>1.523085</v>
      </c>
      <c r="EB18" t="n">
        <v>15.7372166666667</v>
      </c>
      <c r="EC18" t="n">
        <v>13.2018666666667</v>
      </c>
      <c r="ED18" t="n">
        <v>1500.03166666667</v>
      </c>
      <c r="EE18" t="n">
        <v>0.973007333333333</v>
      </c>
      <c r="EF18" t="n">
        <v>0.0269926</v>
      </c>
      <c r="EG18" t="n">
        <v>0</v>
      </c>
      <c r="EH18" t="n">
        <v>324.165833333333</v>
      </c>
      <c r="EI18" t="n">
        <v>5.00064</v>
      </c>
      <c r="EJ18" t="n">
        <v>5021.07333333333</v>
      </c>
      <c r="EK18" t="n">
        <v>15439.5666666667</v>
      </c>
      <c r="EL18" t="n">
        <v>40.687</v>
      </c>
      <c r="EM18" t="n">
        <v>41.375</v>
      </c>
      <c r="EN18" t="n">
        <v>41</v>
      </c>
      <c r="EO18" t="n">
        <v>41</v>
      </c>
      <c r="EP18" t="n">
        <v>42.2395</v>
      </c>
      <c r="EQ18" t="n">
        <v>1454.67166666667</v>
      </c>
      <c r="ER18" t="n">
        <v>40.3516666666667</v>
      </c>
      <c r="ES18" t="n">
        <v>0</v>
      </c>
      <c r="ET18" t="n">
        <v>2838.70000004768</v>
      </c>
      <c r="EU18" t="n">
        <v>0</v>
      </c>
      <c r="EV18" t="n">
        <v>324.315115384615</v>
      </c>
      <c r="EW18" t="n">
        <v>-0.890974356445522</v>
      </c>
      <c r="EX18" t="n">
        <v>-7.72068376406489</v>
      </c>
      <c r="EY18" t="n">
        <v>5021.38884615385</v>
      </c>
      <c r="EZ18" t="n">
        <v>15</v>
      </c>
      <c r="FA18" t="n">
        <v>1792293581</v>
      </c>
      <c r="FB18" t="inlineStr">
        <is>
          <t>12:19:41</t>
        </is>
      </c>
      <c r="FC18" t="n">
        <v>1792293578</v>
      </c>
      <c r="FD18" t="n">
        <v>1792293581</v>
      </c>
      <c r="FE18" t="n">
        <v>23</v>
      </c>
      <c r="FF18" t="n">
        <v>-0.261</v>
      </c>
      <c r="FG18" t="n">
        <v>-0.002</v>
      </c>
      <c r="FH18" t="n">
        <v>0.595</v>
      </c>
      <c r="FI18" t="n">
        <v>-0.193</v>
      </c>
      <c r="FJ18" t="n">
        <v>300</v>
      </c>
      <c r="FK18" t="n">
        <v>15</v>
      </c>
      <c r="FL18" t="n">
        <v>0.36</v>
      </c>
      <c r="FM18" t="n">
        <v>0.03</v>
      </c>
      <c r="FN18" t="n">
        <v>16.5516255364634</v>
      </c>
      <c r="FO18" t="n">
        <v>-0.286114213102813</v>
      </c>
      <c r="FP18" t="n">
        <v>0.07709110538348039</v>
      </c>
      <c r="FQ18" t="n">
        <v>1</v>
      </c>
      <c r="FR18" t="n">
        <v>-7.4277115</v>
      </c>
      <c r="FS18" t="n">
        <v>0.139986315789467</v>
      </c>
      <c r="FT18" t="n">
        <v>0.0332689998760108</v>
      </c>
      <c r="FU18" t="n">
        <v>1</v>
      </c>
      <c r="FV18" t="n">
        <v>324.319647058823</v>
      </c>
      <c r="FW18" t="n">
        <v>-0.242200150081393</v>
      </c>
      <c r="FX18" t="n">
        <v>0.186160727891241</v>
      </c>
      <c r="FY18" t="n">
        <v>1</v>
      </c>
      <c r="FZ18" t="n">
        <v>3</v>
      </c>
      <c r="GA18" t="n">
        <v>3</v>
      </c>
      <c r="GB18" t="inlineStr">
        <is>
          <t>3/3</t>
        </is>
      </c>
      <c r="GC18" t="n">
        <v>3.12357</v>
      </c>
      <c r="GD18" t="n">
        <v>2.76539</v>
      </c>
      <c r="GE18" t="n">
        <v>0.0685297</v>
      </c>
      <c r="GF18" t="n">
        <v>0.0717704</v>
      </c>
      <c r="GG18" t="n">
        <v>0.0942233</v>
      </c>
      <c r="GH18" t="n">
        <v>0.0867226</v>
      </c>
      <c r="GI18" t="n">
        <v>18157.1</v>
      </c>
      <c r="GJ18" t="n">
        <v>27282.1</v>
      </c>
      <c r="GK18" t="n">
        <v>22776.4</v>
      </c>
      <c r="GL18" t="n">
        <v>30116.2</v>
      </c>
      <c r="GM18" t="n">
        <v>33834.2</v>
      </c>
      <c r="GN18" t="n">
        <v>34262.1</v>
      </c>
      <c r="GO18" t="n">
        <v>43091.7</v>
      </c>
      <c r="GP18" t="n">
        <v>42890.7</v>
      </c>
      <c r="GQ18" t="n">
        <v>1.97415</v>
      </c>
      <c r="GR18" t="n">
        <v>1.8081</v>
      </c>
      <c r="GS18" t="n">
        <v>0.0619181</v>
      </c>
      <c r="GT18" t="n">
        <v>0</v>
      </c>
      <c r="GU18" t="n">
        <v>23.9872</v>
      </c>
      <c r="GV18" t="n">
        <v>999.9</v>
      </c>
      <c r="GW18" t="n">
        <v>38.036</v>
      </c>
      <c r="GX18" t="n">
        <v>33.204</v>
      </c>
      <c r="GY18" t="n">
        <v>19.2456</v>
      </c>
      <c r="GZ18" t="n">
        <v>63.0383</v>
      </c>
      <c r="HA18" t="n">
        <v>36.4864</v>
      </c>
      <c r="HB18" t="n">
        <v>1</v>
      </c>
      <c r="HC18" t="n">
        <v>0.0516209</v>
      </c>
      <c r="HD18" t="n">
        <v>2.02598</v>
      </c>
      <c r="HE18" t="n">
        <v>20.2224</v>
      </c>
      <c r="HF18" t="n">
        <v>5.23421</v>
      </c>
      <c r="HG18" t="n">
        <v>11.962</v>
      </c>
      <c r="HH18" t="n">
        <v>4.96935</v>
      </c>
      <c r="HI18" t="n">
        <v>3.2951</v>
      </c>
      <c r="HJ18" t="n">
        <v>9999</v>
      </c>
      <c r="HK18" t="n">
        <v>9999</v>
      </c>
      <c r="HL18" t="n">
        <v>9999</v>
      </c>
      <c r="HM18" t="n">
        <v>999.9</v>
      </c>
      <c r="HN18" t="n">
        <v>4.9686</v>
      </c>
      <c r="HO18" t="n">
        <v>1.86253</v>
      </c>
      <c r="HP18" t="n">
        <v>1.86409</v>
      </c>
      <c r="HQ18" t="n">
        <v>1.866</v>
      </c>
      <c r="HR18" t="n">
        <v>1.86304</v>
      </c>
      <c r="HS18" t="n">
        <v>1.86674</v>
      </c>
      <c r="HT18" t="n">
        <v>1.86351</v>
      </c>
      <c r="HU18" t="n">
        <v>1.8654</v>
      </c>
      <c r="HV18" t="n">
        <v>0</v>
      </c>
      <c r="HW18" t="n">
        <v>0</v>
      </c>
      <c r="HX18" t="n">
        <v>0</v>
      </c>
      <c r="HY18" t="n">
        <v>0</v>
      </c>
      <c r="HZ18" t="inlineStr">
        <is>
          <t>11111111</t>
        </is>
      </c>
      <c r="IA18" t="inlineStr">
        <is>
          <t>oooooooo</t>
        </is>
      </c>
      <c r="IB18" t="inlineStr">
        <is>
          <t>on</t>
        </is>
      </c>
      <c r="IC18" t="inlineStr">
        <is>
          <t>on</t>
        </is>
      </c>
      <c r="ID18" t="inlineStr">
        <is>
          <t>on</t>
        </is>
      </c>
      <c r="IE18" t="inlineStr">
        <is>
          <t>on</t>
        </is>
      </c>
      <c r="IF18" t="n">
        <v>0</v>
      </c>
      <c r="IG18" t="n">
        <v>100</v>
      </c>
      <c r="IH18" t="n">
        <v>100</v>
      </c>
      <c r="II18" t="n">
        <v>0.592</v>
      </c>
      <c r="IJ18" t="n">
        <v>-0.0951</v>
      </c>
      <c r="IK18" t="n">
        <v>0.506711608519433</v>
      </c>
      <c r="IL18" t="n">
        <v>0.000216929631606078</v>
      </c>
      <c r="IM18" t="n">
        <v>2.72263024731635e-07</v>
      </c>
      <c r="IN18" t="n">
        <v>-5.43792051235154e-11</v>
      </c>
      <c r="IO18" t="n">
        <v>-0.0200714690311809</v>
      </c>
      <c r="IP18" t="n">
        <v>-0.0584433849545669</v>
      </c>
      <c r="IQ18" t="n">
        <v>0.00341568706061026</v>
      </c>
      <c r="IR18" t="n">
        <v>-2.10952612506686e-05</v>
      </c>
      <c r="IS18" t="n">
        <v>0</v>
      </c>
      <c r="IT18" t="n">
        <v>1734</v>
      </c>
      <c r="IU18" t="n">
        <v>2</v>
      </c>
      <c r="IV18" t="n">
        <v>19</v>
      </c>
      <c r="IW18" t="n">
        <v>0.9</v>
      </c>
      <c r="IX18" t="n">
        <v>0.9</v>
      </c>
      <c r="IY18" t="n">
        <v>0.8483889999999999</v>
      </c>
      <c r="IZ18" t="n">
        <v>2.56104</v>
      </c>
      <c r="JA18" t="n">
        <v>1.34644</v>
      </c>
      <c r="JB18" t="n">
        <v>2.26074</v>
      </c>
      <c r="JC18" t="n">
        <v>1.55029</v>
      </c>
      <c r="JD18" t="n">
        <v>2.71851</v>
      </c>
      <c r="JE18" t="n">
        <v>37.1702</v>
      </c>
      <c r="JF18" t="n">
        <v>16.0671</v>
      </c>
      <c r="JG18" t="n">
        <v>18</v>
      </c>
      <c r="JH18" t="n">
        <v>499.63</v>
      </c>
      <c r="JI18" t="n">
        <v>470.019</v>
      </c>
      <c r="JJ18" t="n">
        <v>21.9805</v>
      </c>
      <c r="JK18" t="n">
        <v>27.8576</v>
      </c>
      <c r="JL18" t="n">
        <v>30</v>
      </c>
      <c r="JM18" t="n">
        <v>27.8144</v>
      </c>
      <c r="JN18" t="n">
        <v>27.8216</v>
      </c>
      <c r="JO18" t="n">
        <v>16.9916</v>
      </c>
      <c r="JP18" t="n">
        <v>28.8226</v>
      </c>
      <c r="JQ18" t="n">
        <v>22.7487</v>
      </c>
      <c r="JR18" t="n">
        <v>21.9825</v>
      </c>
      <c r="JS18" t="n">
        <v>300</v>
      </c>
      <c r="JT18" t="n">
        <v>15.1214</v>
      </c>
      <c r="JU18" t="n">
        <v>101.753</v>
      </c>
      <c r="JV18" t="n">
        <v>97.3973</v>
      </c>
    </row>
    <row r="19">
      <c r="A19" t="n">
        <v>3</v>
      </c>
      <c r="B19" t="n">
        <v>1792293754</v>
      </c>
      <c r="C19" t="n">
        <v>242</v>
      </c>
      <c r="D19" t="inlineStr">
        <is>
          <t>20261018 12:22:34</t>
        </is>
      </c>
      <c r="E19" t="inlineStr">
        <is>
          <t>12:22:34</t>
        </is>
      </c>
      <c r="F19" t="n">
        <v>5</v>
      </c>
      <c r="G19" t="n">
        <v>1792293750.5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-</t>
        </is>
      </c>
      <c r="AK19" t="inlineStr">
        <is>
          <t>-</t>
        </is>
      </c>
      <c r="AL19" t="n">
        <v>0</v>
      </c>
      <c r="AM19" t="n">
        <v>0</v>
      </c>
      <c r="AN19">
        <f>1-AL19/AM19</f>
        <v/>
      </c>
      <c r="AO19" t="n">
        <v>0</v>
      </c>
      <c r="AP19" t="inlineStr">
        <is>
          <t>-</t>
        </is>
      </c>
      <c r="AQ19" t="inlineStr">
        <is>
          <t>-</t>
        </is>
      </c>
      <c r="AR19" t="n">
        <v>0</v>
      </c>
      <c r="AS19" t="n">
        <v>0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BL19" t="n">
        <v>1157</v>
      </c>
      <c r="BM19" t="n">
        <v>290</v>
      </c>
      <c r="BN19" t="n">
        <v>880.28</v>
      </c>
      <c r="BO19" t="n">
        <v>165</v>
      </c>
      <c r="BP19" t="n">
        <v>8122.99</v>
      </c>
      <c r="BQ19" t="n">
        <v>875.35</v>
      </c>
      <c r="BR19" t="n">
        <v>4.93</v>
      </c>
      <c r="BS19" t="n">
        <v>300</v>
      </c>
      <c r="BT19" t="n">
        <v>19.3</v>
      </c>
      <c r="BU19" t="n">
        <v>898.8173603878</v>
      </c>
      <c r="BV19" t="n">
        <v>1.50311492518876</v>
      </c>
      <c r="BW19" t="n">
        <v>-19.0610088334602</v>
      </c>
      <c r="BX19" t="n">
        <v>1.09059022936042</v>
      </c>
      <c r="BY19" t="n">
        <v>0.91603442505378</v>
      </c>
      <c r="BZ19" t="n">
        <v>-0.00538388921023359</v>
      </c>
      <c r="CA19" t="n">
        <v>290</v>
      </c>
      <c r="CB19" t="n">
        <v>867.24</v>
      </c>
      <c r="CC19" t="n">
        <v>615</v>
      </c>
      <c r="CD19" t="n">
        <v>8107.04</v>
      </c>
      <c r="CE19" t="n">
        <v>875.3099999999999</v>
      </c>
      <c r="CF19" t="n">
        <v>-8.07</v>
      </c>
      <c r="CT19">
        <f>$B$11*DR19+$C$11*DS19+$F$11*ED19*(1-EG19)</f>
        <v/>
      </c>
      <c r="CU19">
        <f>CT19*CV19</f>
        <v/>
      </c>
      <c r="CV19">
        <f>($B$11*$D$9+$C$11*$D$9+$F$11*((EQ19+EI19)/MAX(EQ19+EI19+ER19, 0.1)*$I$9+ER19/MAX(EQ19+EI19+ER19, 0.1)*$J$9))/($B$11+$C$11+$F$11)</f>
        <v/>
      </c>
      <c r="CW19">
        <f>($B$11*$K$9+$C$11*$K$9+$F$11*((EQ19+EI19)/MAX(EQ19+EI19+ER19, 0.1)*$P$9+ER19/MAX(EQ19+EI19+ER19,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1792293750.5</v>
      </c>
      <c r="DC19" t="n">
        <v>195.737666666667</v>
      </c>
      <c r="DD19" t="n">
        <v>199.995166666667</v>
      </c>
      <c r="DE19" t="n">
        <v>17.7065833333333</v>
      </c>
      <c r="DF19" t="n">
        <v>15.1759833333333</v>
      </c>
      <c r="DG19" t="n">
        <v>195.284666666667</v>
      </c>
      <c r="DH19" t="n">
        <v>17.8042333333333</v>
      </c>
      <c r="DI19" t="n">
        <v>500.153</v>
      </c>
      <c r="DJ19" t="n">
        <v>100.9995</v>
      </c>
      <c r="DK19" t="n">
        <v>0.1000359</v>
      </c>
      <c r="DL19" t="n">
        <v>25.33095</v>
      </c>
      <c r="DM19" t="n">
        <v>25.0096166666667</v>
      </c>
      <c r="DN19" t="n">
        <v>999.9</v>
      </c>
      <c r="DO19" t="n">
        <v>0</v>
      </c>
      <c r="DP19" t="n">
        <v>0</v>
      </c>
      <c r="DQ19" t="n">
        <v>9998.34833333333</v>
      </c>
      <c r="DR19" t="n">
        <v>0</v>
      </c>
      <c r="DS19" t="n">
        <v>6.32897</v>
      </c>
      <c r="DT19" t="n">
        <v>-4.25766166666667</v>
      </c>
      <c r="DU19" t="n">
        <v>199.265833333333</v>
      </c>
      <c r="DV19" t="n">
        <v>203.077166666667</v>
      </c>
      <c r="DW19" t="n">
        <v>2.53061</v>
      </c>
      <c r="DX19" t="n">
        <v>199.995166666667</v>
      </c>
      <c r="DY19" t="n">
        <v>15.1759833333333</v>
      </c>
      <c r="DZ19" t="n">
        <v>1.788355</v>
      </c>
      <c r="EA19" t="n">
        <v>1.53276833333333</v>
      </c>
      <c r="EB19" t="n">
        <v>15.6853833333333</v>
      </c>
      <c r="EC19" t="n">
        <v>13.299</v>
      </c>
      <c r="ED19" t="n">
        <v>1500.00833333333</v>
      </c>
      <c r="EE19" t="n">
        <v>0.973006666666667</v>
      </c>
      <c r="EF19" t="n">
        <v>0.02699325</v>
      </c>
      <c r="EG19" t="n">
        <v>0</v>
      </c>
      <c r="EH19" t="n">
        <v>325.830666666667</v>
      </c>
      <c r="EI19" t="n">
        <v>5.00064</v>
      </c>
      <c r="EJ19" t="n">
        <v>5041.535</v>
      </c>
      <c r="EK19" t="n">
        <v>15439.35</v>
      </c>
      <c r="EL19" t="n">
        <v>40.6975</v>
      </c>
      <c r="EM19" t="n">
        <v>41.4163333333333</v>
      </c>
      <c r="EN19" t="n">
        <v>41.0516666666667</v>
      </c>
      <c r="EO19" t="n">
        <v>41.062</v>
      </c>
      <c r="EP19" t="n">
        <v>42.25</v>
      </c>
      <c r="EQ19" t="n">
        <v>1454.64833333333</v>
      </c>
      <c r="ER19" t="n">
        <v>40.36</v>
      </c>
      <c r="ES19" t="n">
        <v>0</v>
      </c>
      <c r="ET19" t="n">
        <v>2959.90000009537</v>
      </c>
      <c r="EU19" t="n">
        <v>0</v>
      </c>
      <c r="EV19" t="n">
        <v>325.727115384615</v>
      </c>
      <c r="EW19" t="n">
        <v>-0.348752141421458</v>
      </c>
      <c r="EX19" t="n">
        <v>2.31384615147941</v>
      </c>
      <c r="EY19" t="n">
        <v>5041.41384615385</v>
      </c>
      <c r="EZ19" t="n">
        <v>15</v>
      </c>
      <c r="FA19" t="n">
        <v>1792293706</v>
      </c>
      <c r="FB19" t="inlineStr">
        <is>
          <t>12:21:46</t>
        </is>
      </c>
      <c r="FC19" t="n">
        <v>1792293706</v>
      </c>
      <c r="FD19" t="n">
        <v>1792293699</v>
      </c>
      <c r="FE19" t="n">
        <v>24</v>
      </c>
      <c r="FF19" t="n">
        <v>-0.106</v>
      </c>
      <c r="FG19" t="n">
        <v>-0.001</v>
      </c>
      <c r="FH19" t="n">
        <v>0.454</v>
      </c>
      <c r="FI19" t="n">
        <v>-0.19</v>
      </c>
      <c r="FJ19" t="n">
        <v>200</v>
      </c>
      <c r="FK19" t="n">
        <v>15</v>
      </c>
      <c r="FL19" t="n">
        <v>0.31</v>
      </c>
      <c r="FM19" t="n">
        <v>0.04</v>
      </c>
      <c r="FN19" t="n">
        <v>9.39907726549364</v>
      </c>
      <c r="FO19" t="n">
        <v>0.0899038349862526</v>
      </c>
      <c r="FP19" t="n">
        <v>0.0529226957179817</v>
      </c>
      <c r="FQ19" t="n">
        <v>1</v>
      </c>
      <c r="FR19" t="n">
        <v>-4.2638645</v>
      </c>
      <c r="FS19" t="n">
        <v>-0.0155661654135276</v>
      </c>
      <c r="FT19" t="n">
        <v>0.020137332860883</v>
      </c>
      <c r="FU19" t="n">
        <v>1</v>
      </c>
      <c r="FV19" t="n">
        <v>325.707794117647</v>
      </c>
      <c r="FW19" t="n">
        <v>0.305042015176642</v>
      </c>
      <c r="FX19" t="n">
        <v>0.193639565021896</v>
      </c>
      <c r="FY19" t="n">
        <v>1</v>
      </c>
      <c r="FZ19" t="n">
        <v>3</v>
      </c>
      <c r="GA19" t="n">
        <v>3</v>
      </c>
      <c r="GB19" t="inlineStr">
        <is>
          <t>3/3</t>
        </is>
      </c>
      <c r="GC19" t="n">
        <v>3.12346</v>
      </c>
      <c r="GD19" t="n">
        <v>2.76534</v>
      </c>
      <c r="GE19" t="n">
        <v>0.048801</v>
      </c>
      <c r="GF19" t="n">
        <v>0.0510635</v>
      </c>
      <c r="GG19" t="n">
        <v>0.0939873</v>
      </c>
      <c r="GH19" t="n">
        <v>0.0871117</v>
      </c>
      <c r="GI19" t="n">
        <v>18540.1</v>
      </c>
      <c r="GJ19" t="n">
        <v>27887.9</v>
      </c>
      <c r="GK19" t="n">
        <v>22774.7</v>
      </c>
      <c r="GL19" t="n">
        <v>30113.1</v>
      </c>
      <c r="GM19" t="n">
        <v>33839.7</v>
      </c>
      <c r="GN19" t="n">
        <v>34243.3</v>
      </c>
      <c r="GO19" t="n">
        <v>43088.5</v>
      </c>
      <c r="GP19" t="n">
        <v>42887.2</v>
      </c>
      <c r="GQ19" t="n">
        <v>1.9732</v>
      </c>
      <c r="GR19" t="n">
        <v>1.80742</v>
      </c>
      <c r="GS19" t="n">
        <v>0.0649877</v>
      </c>
      <c r="GT19" t="n">
        <v>0</v>
      </c>
      <c r="GU19" t="n">
        <v>23.9313</v>
      </c>
      <c r="GV19" t="n">
        <v>999.9</v>
      </c>
      <c r="GW19" t="n">
        <v>37.932</v>
      </c>
      <c r="GX19" t="n">
        <v>33.173</v>
      </c>
      <c r="GY19" t="n">
        <v>19.1601</v>
      </c>
      <c r="GZ19" t="n">
        <v>63.0583</v>
      </c>
      <c r="HA19" t="n">
        <v>36.3421</v>
      </c>
      <c r="HB19" t="n">
        <v>1</v>
      </c>
      <c r="HC19" t="n">
        <v>0.0558232</v>
      </c>
      <c r="HD19" t="n">
        <v>2.00853</v>
      </c>
      <c r="HE19" t="n">
        <v>20.223</v>
      </c>
      <c r="HF19" t="n">
        <v>5.22927</v>
      </c>
      <c r="HG19" t="n">
        <v>11.962</v>
      </c>
      <c r="HH19" t="n">
        <v>4.9691</v>
      </c>
      <c r="HI19" t="n">
        <v>3.29508</v>
      </c>
      <c r="HJ19" t="n">
        <v>9999</v>
      </c>
      <c r="HK19" t="n">
        <v>9999</v>
      </c>
      <c r="HL19" t="n">
        <v>9999</v>
      </c>
      <c r="HM19" t="n">
        <v>999.9</v>
      </c>
      <c r="HN19" t="n">
        <v>4.96863</v>
      </c>
      <c r="HO19" t="n">
        <v>1.86249</v>
      </c>
      <c r="HP19" t="n">
        <v>1.86403</v>
      </c>
      <c r="HQ19" t="n">
        <v>1.866</v>
      </c>
      <c r="HR19" t="n">
        <v>1.86299</v>
      </c>
      <c r="HS19" t="n">
        <v>1.86672</v>
      </c>
      <c r="HT19" t="n">
        <v>1.86348</v>
      </c>
      <c r="HU19" t="n">
        <v>1.86539</v>
      </c>
      <c r="HV19" t="n">
        <v>0</v>
      </c>
      <c r="HW19" t="n">
        <v>0</v>
      </c>
      <c r="HX19" t="n">
        <v>0</v>
      </c>
      <c r="HY19" t="n">
        <v>0</v>
      </c>
      <c r="HZ19" t="inlineStr">
        <is>
          <t>11111111</t>
        </is>
      </c>
      <c r="IA19" t="inlineStr">
        <is>
          <t>oooooooo</t>
        </is>
      </c>
      <c r="IB19" t="inlineStr">
        <is>
          <t>on</t>
        </is>
      </c>
      <c r="IC19" t="inlineStr">
        <is>
          <t>on</t>
        </is>
      </c>
      <c r="ID19" t="inlineStr">
        <is>
          <t>on</t>
        </is>
      </c>
      <c r="IE19" t="inlineStr">
        <is>
          <t>on</t>
        </is>
      </c>
      <c r="IF19" t="n">
        <v>0</v>
      </c>
      <c r="IG19" t="n">
        <v>100</v>
      </c>
      <c r="IH19" t="n">
        <v>100</v>
      </c>
      <c r="II19" t="n">
        <v>0.453</v>
      </c>
      <c r="IJ19" t="n">
        <v>-0.0983</v>
      </c>
      <c r="IK19" t="n">
        <v>0.400585629137811</v>
      </c>
      <c r="IL19" t="n">
        <v>0.000216929631606078</v>
      </c>
      <c r="IM19" t="n">
        <v>2.72263024731635e-07</v>
      </c>
      <c r="IN19" t="n">
        <v>-5.43792051235154e-11</v>
      </c>
      <c r="IO19" t="n">
        <v>-0.0208003055697015</v>
      </c>
      <c r="IP19" t="n">
        <v>-0.0584433849545669</v>
      </c>
      <c r="IQ19" t="n">
        <v>0.00341568706061026</v>
      </c>
      <c r="IR19" t="n">
        <v>-2.10952612506686e-05</v>
      </c>
      <c r="IS19" t="n">
        <v>0</v>
      </c>
      <c r="IT19" t="n">
        <v>1734</v>
      </c>
      <c r="IU19" t="n">
        <v>2</v>
      </c>
      <c r="IV19" t="n">
        <v>19</v>
      </c>
      <c r="IW19" t="n">
        <v>0.8</v>
      </c>
      <c r="IX19" t="n">
        <v>0.9</v>
      </c>
      <c r="IY19" t="n">
        <v>0.633545</v>
      </c>
      <c r="IZ19" t="n">
        <v>2.56714</v>
      </c>
      <c r="JA19" t="n">
        <v>1.34644</v>
      </c>
      <c r="JB19" t="n">
        <v>2.25952</v>
      </c>
      <c r="JC19" t="n">
        <v>1.55029</v>
      </c>
      <c r="JD19" t="n">
        <v>2.72705</v>
      </c>
      <c r="JE19" t="n">
        <v>37.0986</v>
      </c>
      <c r="JF19" t="n">
        <v>16.0583</v>
      </c>
      <c r="JG19" t="n">
        <v>18</v>
      </c>
      <c r="JH19" t="n">
        <v>499.521</v>
      </c>
      <c r="JI19" t="n">
        <v>470.038</v>
      </c>
      <c r="JJ19" t="n">
        <v>21.9071</v>
      </c>
      <c r="JK19" t="n">
        <v>27.9134</v>
      </c>
      <c r="JL19" t="n">
        <v>30.0003</v>
      </c>
      <c r="JM19" t="n">
        <v>27.87</v>
      </c>
      <c r="JN19" t="n">
        <v>27.8762</v>
      </c>
      <c r="JO19" t="n">
        <v>12.6898</v>
      </c>
      <c r="JP19" t="n">
        <v>28.0766</v>
      </c>
      <c r="JQ19" t="n">
        <v>22.1291</v>
      </c>
      <c r="JR19" t="n">
        <v>21.9003</v>
      </c>
      <c r="JS19" t="n">
        <v>200</v>
      </c>
      <c r="JT19" t="n">
        <v>15.147</v>
      </c>
      <c r="JU19" t="n">
        <v>101.745</v>
      </c>
      <c r="JV19" t="n">
        <v>97.3886</v>
      </c>
    </row>
    <row r="20">
      <c r="A20" t="n">
        <v>4</v>
      </c>
      <c r="B20" t="n">
        <v>1792293875</v>
      </c>
      <c r="C20" t="n">
        <v>363</v>
      </c>
      <c r="D20" t="inlineStr">
        <is>
          <t>20261018 12:24:35</t>
        </is>
      </c>
      <c r="E20" t="inlineStr">
        <is>
          <t>12:24:35</t>
        </is>
      </c>
      <c r="F20" t="n">
        <v>5</v>
      </c>
      <c r="G20" t="n">
        <v>1792293872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-</t>
        </is>
      </c>
      <c r="AK20" t="inlineStr">
        <is>
          <t>-</t>
        </is>
      </c>
      <c r="AL20" t="n">
        <v>0</v>
      </c>
      <c r="AM20" t="n">
        <v>0</v>
      </c>
      <c r="AN20">
        <f>1-AL20/AM20</f>
        <v/>
      </c>
      <c r="AO20" t="n">
        <v>0</v>
      </c>
      <c r="AP20" t="inlineStr">
        <is>
          <t>-</t>
        </is>
      </c>
      <c r="AQ20" t="inlineStr">
        <is>
          <t>-</t>
        </is>
      </c>
      <c r="AR20" t="n">
        <v>0</v>
      </c>
      <c r="AS20" t="n">
        <v>0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BL20" t="n">
        <v>1157</v>
      </c>
      <c r="BM20" t="n">
        <v>290</v>
      </c>
      <c r="BN20" t="n">
        <v>880.28</v>
      </c>
      <c r="BO20" t="n">
        <v>165</v>
      </c>
      <c r="BP20" t="n">
        <v>8122.99</v>
      </c>
      <c r="BQ20" t="n">
        <v>875.35</v>
      </c>
      <c r="BR20" t="n">
        <v>4.93</v>
      </c>
      <c r="BS20" t="n">
        <v>300</v>
      </c>
      <c r="BT20" t="n">
        <v>19.3</v>
      </c>
      <c r="BU20" t="n">
        <v>898.8173603878</v>
      </c>
      <c r="BV20" t="n">
        <v>1.50311492518876</v>
      </c>
      <c r="BW20" t="n">
        <v>-19.0610088334602</v>
      </c>
      <c r="BX20" t="n">
        <v>1.09059022936042</v>
      </c>
      <c r="BY20" t="n">
        <v>0.91603442505378</v>
      </c>
      <c r="BZ20" t="n">
        <v>-0.00538388921023359</v>
      </c>
      <c r="CA20" t="n">
        <v>290</v>
      </c>
      <c r="CB20" t="n">
        <v>867.24</v>
      </c>
      <c r="CC20" t="n">
        <v>615</v>
      </c>
      <c r="CD20" t="n">
        <v>8107.04</v>
      </c>
      <c r="CE20" t="n">
        <v>875.3099999999999</v>
      </c>
      <c r="CF20" t="n">
        <v>-8.07</v>
      </c>
      <c r="CT20">
        <f>$B$11*DR20+$C$11*DS20+$F$11*ED20*(1-EG20)</f>
        <v/>
      </c>
      <c r="CU20">
        <f>CT20*CV20</f>
        <v/>
      </c>
      <c r="CV20">
        <f>($B$11*$D$9+$C$11*$D$9+$F$11*((EQ20+EI20)/MAX(EQ20+EI20+ER20, 0.1)*$I$9+ER20/MAX(EQ20+EI20+ER20, 0.1)*$J$9))/($B$11+$C$11+$F$11)</f>
        <v/>
      </c>
      <c r="CW20">
        <f>($B$11*$K$9+$C$11*$K$9+$F$11*((EQ20+EI20)/MAX(EQ20+EI20+ER20, 0.1)*$P$9+ER20/MAX(EQ20+EI20+ER20,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1792293872</v>
      </c>
      <c r="DC20" t="n">
        <v>98.74628</v>
      </c>
      <c r="DD20" t="n">
        <v>99.99502</v>
      </c>
      <c r="DE20" t="n">
        <v>17.65746</v>
      </c>
      <c r="DF20" t="n">
        <v>15.21988</v>
      </c>
      <c r="DG20" t="n">
        <v>98.64008</v>
      </c>
      <c r="DH20" t="n">
        <v>17.76068</v>
      </c>
      <c r="DI20" t="n">
        <v>499.9918</v>
      </c>
      <c r="DJ20" t="n">
        <v>100.9974</v>
      </c>
      <c r="DK20" t="n">
        <v>0.09980654</v>
      </c>
      <c r="DL20" t="n">
        <v>25.29944</v>
      </c>
      <c r="DM20" t="n">
        <v>24.99976</v>
      </c>
      <c r="DN20" t="n">
        <v>999.9</v>
      </c>
      <c r="DO20" t="n">
        <v>0</v>
      </c>
      <c r="DP20" t="n">
        <v>0</v>
      </c>
      <c r="DQ20" t="n">
        <v>10011.26</v>
      </c>
      <c r="DR20" t="n">
        <v>0</v>
      </c>
      <c r="DS20" t="n">
        <v>6.38353</v>
      </c>
      <c r="DT20" t="n">
        <v>-1.248806</v>
      </c>
      <c r="DU20" t="n">
        <v>100.5212</v>
      </c>
      <c r="DV20" t="n">
        <v>101.5406</v>
      </c>
      <c r="DW20" t="n">
        <v>2.437556</v>
      </c>
      <c r="DX20" t="n">
        <v>99.99502</v>
      </c>
      <c r="DY20" t="n">
        <v>15.21988</v>
      </c>
      <c r="DZ20" t="n">
        <v>1.783354</v>
      </c>
      <c r="EA20" t="n">
        <v>1.537168</v>
      </c>
      <c r="EB20" t="n">
        <v>15.64164</v>
      </c>
      <c r="EC20" t="n">
        <v>13.34296</v>
      </c>
      <c r="ED20" t="n">
        <v>1499.992</v>
      </c>
      <c r="EE20" t="n">
        <v>0.973006</v>
      </c>
      <c r="EF20" t="n">
        <v>0.0269939</v>
      </c>
      <c r="EG20" t="n">
        <v>0</v>
      </c>
      <c r="EH20" t="n">
        <v>331.1652</v>
      </c>
      <c r="EI20" t="n">
        <v>5.00064</v>
      </c>
      <c r="EJ20" t="n">
        <v>5125.09</v>
      </c>
      <c r="EK20" t="n">
        <v>15439.16</v>
      </c>
      <c r="EL20" t="n">
        <v>40.75</v>
      </c>
      <c r="EM20" t="n">
        <v>41.437</v>
      </c>
      <c r="EN20" t="n">
        <v>41.0746</v>
      </c>
      <c r="EO20" t="n">
        <v>41.0872</v>
      </c>
      <c r="EP20" t="n">
        <v>42.2996</v>
      </c>
      <c r="EQ20" t="n">
        <v>1454.632</v>
      </c>
      <c r="ER20" t="n">
        <v>40.36</v>
      </c>
      <c r="ES20" t="n">
        <v>0</v>
      </c>
      <c r="ET20" t="n">
        <v>3081.10000014305</v>
      </c>
      <c r="EU20" t="n">
        <v>0</v>
      </c>
      <c r="EV20" t="n">
        <v>331.3465</v>
      </c>
      <c r="EW20" t="n">
        <v>-0.0552820440778656</v>
      </c>
      <c r="EX20" t="n">
        <v>6.71931622144723</v>
      </c>
      <c r="EY20" t="n">
        <v>5124.58692307692</v>
      </c>
      <c r="EZ20" t="n">
        <v>15</v>
      </c>
      <c r="FA20" t="n">
        <v>1792293830</v>
      </c>
      <c r="FB20" t="inlineStr">
        <is>
          <t>12:23:50</t>
        </is>
      </c>
      <c r="FC20" t="n">
        <v>1792293830</v>
      </c>
      <c r="FD20" t="n">
        <v>1792293819</v>
      </c>
      <c r="FE20" t="n">
        <v>25</v>
      </c>
      <c r="FF20" t="n">
        <v>-0.318</v>
      </c>
      <c r="FG20" t="n">
        <v>-0.004</v>
      </c>
      <c r="FH20" t="n">
        <v>0.107</v>
      </c>
      <c r="FI20" t="n">
        <v>-0.193</v>
      </c>
      <c r="FJ20" t="n">
        <v>100</v>
      </c>
      <c r="FK20" t="n">
        <v>15</v>
      </c>
      <c r="FL20" t="n">
        <v>0.44</v>
      </c>
      <c r="FM20" t="n">
        <v>0.04</v>
      </c>
      <c r="FN20" t="n">
        <v>2.47654995426906</v>
      </c>
      <c r="FO20" t="n">
        <v>0.275491675020079</v>
      </c>
      <c r="FP20" t="n">
        <v>0.0518796859198387</v>
      </c>
      <c r="FQ20" t="n">
        <v>1</v>
      </c>
      <c r="FR20" t="n">
        <v>-1.239544</v>
      </c>
      <c r="FS20" t="n">
        <v>-0.123756992481203</v>
      </c>
      <c r="FT20" t="n">
        <v>0.0210624538931246</v>
      </c>
      <c r="FU20" t="n">
        <v>1</v>
      </c>
      <c r="FV20" t="n">
        <v>331.310176470588</v>
      </c>
      <c r="FW20" t="n">
        <v>-0.247669969825463</v>
      </c>
      <c r="FX20" t="n">
        <v>0.223833639719094</v>
      </c>
      <c r="FY20" t="n">
        <v>1</v>
      </c>
      <c r="FZ20" t="n">
        <v>3</v>
      </c>
      <c r="GA20" t="n">
        <v>3</v>
      </c>
      <c r="GB20" t="inlineStr">
        <is>
          <t>3/3</t>
        </is>
      </c>
      <c r="GC20" t="n">
        <v>3.12316</v>
      </c>
      <c r="GD20" t="n">
        <v>2.76524</v>
      </c>
      <c r="GE20" t="n">
        <v>0.0261894</v>
      </c>
      <c r="GF20" t="n">
        <v>0.0272283</v>
      </c>
      <c r="GG20" t="n">
        <v>0.0938384</v>
      </c>
      <c r="GH20" t="n">
        <v>0.0872817</v>
      </c>
      <c r="GI20" t="n">
        <v>18980.7</v>
      </c>
      <c r="GJ20" t="n">
        <v>28587.4</v>
      </c>
      <c r="GK20" t="n">
        <v>22774.5</v>
      </c>
      <c r="GL20" t="n">
        <v>30112</v>
      </c>
      <c r="GM20" t="n">
        <v>33844.2</v>
      </c>
      <c r="GN20" t="n">
        <v>34234.8</v>
      </c>
      <c r="GO20" t="n">
        <v>43088.6</v>
      </c>
      <c r="GP20" t="n">
        <v>42886.7</v>
      </c>
      <c r="GQ20" t="n">
        <v>1.9723</v>
      </c>
      <c r="GR20" t="n">
        <v>1.80718</v>
      </c>
      <c r="GS20" t="n">
        <v>0.0667833</v>
      </c>
      <c r="GT20" t="n">
        <v>0</v>
      </c>
      <c r="GU20" t="n">
        <v>23.8936</v>
      </c>
      <c r="GV20" t="n">
        <v>999.9</v>
      </c>
      <c r="GW20" t="n">
        <v>37.865</v>
      </c>
      <c r="GX20" t="n">
        <v>33.173</v>
      </c>
      <c r="GY20" t="n">
        <v>19.1241</v>
      </c>
      <c r="GZ20" t="n">
        <v>63.1383</v>
      </c>
      <c r="HA20" t="n">
        <v>36.9071</v>
      </c>
      <c r="HB20" t="n">
        <v>1</v>
      </c>
      <c r="HC20" t="n">
        <v>0.0575762</v>
      </c>
      <c r="HD20" t="n">
        <v>1.94029</v>
      </c>
      <c r="HE20" t="n">
        <v>20.2239</v>
      </c>
      <c r="HF20" t="n">
        <v>5.23451</v>
      </c>
      <c r="HG20" t="n">
        <v>11.962</v>
      </c>
      <c r="HH20" t="n">
        <v>4.968</v>
      </c>
      <c r="HI20" t="n">
        <v>3.29503</v>
      </c>
      <c r="HJ20" t="n">
        <v>9999</v>
      </c>
      <c r="HK20" t="n">
        <v>9999</v>
      </c>
      <c r="HL20" t="n">
        <v>9999</v>
      </c>
      <c r="HM20" t="n">
        <v>999.9</v>
      </c>
      <c r="HN20" t="n">
        <v>4.96862</v>
      </c>
      <c r="HO20" t="n">
        <v>1.8625</v>
      </c>
      <c r="HP20" t="n">
        <v>1.86404</v>
      </c>
      <c r="HQ20" t="n">
        <v>1.866</v>
      </c>
      <c r="HR20" t="n">
        <v>1.86298</v>
      </c>
      <c r="HS20" t="n">
        <v>1.86665</v>
      </c>
      <c r="HT20" t="n">
        <v>1.86347</v>
      </c>
      <c r="HU20" t="n">
        <v>1.86539</v>
      </c>
      <c r="HV20" t="n">
        <v>0</v>
      </c>
      <c r="HW20" t="n">
        <v>0</v>
      </c>
      <c r="HX20" t="n">
        <v>0</v>
      </c>
      <c r="HY20" t="n">
        <v>0</v>
      </c>
      <c r="HZ20" t="inlineStr">
        <is>
          <t>11111111</t>
        </is>
      </c>
      <c r="IA20" t="inlineStr">
        <is>
          <t>oooooooo</t>
        </is>
      </c>
      <c r="IB20" t="inlineStr">
        <is>
          <t>on</t>
        </is>
      </c>
      <c r="IC20" t="inlineStr">
        <is>
          <t>on</t>
        </is>
      </c>
      <c r="ID20" t="inlineStr">
        <is>
          <t>on</t>
        </is>
      </c>
      <c r="IE20" t="inlineStr">
        <is>
          <t>on</t>
        </is>
      </c>
      <c r="IF20" t="n">
        <v>0</v>
      </c>
      <c r="IG20" t="n">
        <v>100</v>
      </c>
      <c r="IH20" t="n">
        <v>100</v>
      </c>
      <c r="II20" t="n">
        <v>0.106</v>
      </c>
      <c r="IJ20" t="n">
        <v>-0.1036</v>
      </c>
      <c r="IK20" t="n">
        <v>0.08222549627128389</v>
      </c>
      <c r="IL20" t="n">
        <v>0.000216929631606078</v>
      </c>
      <c r="IM20" t="n">
        <v>2.72263024731635e-07</v>
      </c>
      <c r="IN20" t="n">
        <v>-5.43792051235154e-11</v>
      </c>
      <c r="IO20" t="n">
        <v>-0.0245175022235296</v>
      </c>
      <c r="IP20" t="n">
        <v>-0.0584433849545669</v>
      </c>
      <c r="IQ20" t="n">
        <v>0.00341568706061026</v>
      </c>
      <c r="IR20" t="n">
        <v>-2.10952612506686e-05</v>
      </c>
      <c r="IS20" t="n">
        <v>0</v>
      </c>
      <c r="IT20" t="n">
        <v>1734</v>
      </c>
      <c r="IU20" t="n">
        <v>2</v>
      </c>
      <c r="IV20" t="n">
        <v>19</v>
      </c>
      <c r="IW20" t="n">
        <v>0.8</v>
      </c>
      <c r="IX20" t="n">
        <v>0.9</v>
      </c>
      <c r="IY20" t="n">
        <v>0.411377</v>
      </c>
      <c r="IZ20" t="n">
        <v>2.58301</v>
      </c>
      <c r="JA20" t="n">
        <v>1.34644</v>
      </c>
      <c r="JB20" t="n">
        <v>2.25952</v>
      </c>
      <c r="JC20" t="n">
        <v>1.55029</v>
      </c>
      <c r="JD20" t="n">
        <v>2.68555</v>
      </c>
      <c r="JE20" t="n">
        <v>37.0509</v>
      </c>
      <c r="JF20" t="n">
        <v>16.0408</v>
      </c>
      <c r="JG20" t="n">
        <v>18</v>
      </c>
      <c r="JH20" t="n">
        <v>499.319</v>
      </c>
      <c r="JI20" t="n">
        <v>470.24</v>
      </c>
      <c r="JJ20" t="n">
        <v>21.9363</v>
      </c>
      <c r="JK20" t="n">
        <v>27.9512</v>
      </c>
      <c r="JL20" t="n">
        <v>30.0002</v>
      </c>
      <c r="JM20" t="n">
        <v>27.9112</v>
      </c>
      <c r="JN20" t="n">
        <v>27.9187</v>
      </c>
      <c r="JO20" t="n">
        <v>8.26211</v>
      </c>
      <c r="JP20" t="n">
        <v>27.3429</v>
      </c>
      <c r="JQ20" t="n">
        <v>21.7113</v>
      </c>
      <c r="JR20" t="n">
        <v>21.9393</v>
      </c>
      <c r="JS20" t="n">
        <v>100</v>
      </c>
      <c r="JT20" t="n">
        <v>15.2095</v>
      </c>
      <c r="JU20" t="n">
        <v>101.745</v>
      </c>
      <c r="JV20" t="n">
        <v>97.38639999999999</v>
      </c>
    </row>
    <row r="21">
      <c r="A21" t="n">
        <v>5</v>
      </c>
      <c r="B21" t="n">
        <v>1792293996.1</v>
      </c>
      <c r="C21" t="n">
        <v>484.099999904633</v>
      </c>
      <c r="D21" t="inlineStr">
        <is>
          <t>20261018 12:26:36</t>
        </is>
      </c>
      <c r="E21" t="inlineStr">
        <is>
          <t>12:26:36</t>
        </is>
      </c>
      <c r="F21" t="n">
        <v>5</v>
      </c>
      <c r="G21" t="n">
        <v>1792293992.6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-</t>
        </is>
      </c>
      <c r="AK21" t="inlineStr">
        <is>
          <t>-</t>
        </is>
      </c>
      <c r="AL21" t="n">
        <v>0</v>
      </c>
      <c r="AM21" t="n">
        <v>0</v>
      </c>
      <c r="AN21">
        <f>1-AL21/AM21</f>
        <v/>
      </c>
      <c r="AO21" t="n">
        <v>0</v>
      </c>
      <c r="AP21" t="inlineStr">
        <is>
          <t>-</t>
        </is>
      </c>
      <c r="AQ21" t="inlineStr">
        <is>
          <t>-</t>
        </is>
      </c>
      <c r="AR21" t="n">
        <v>0</v>
      </c>
      <c r="AS21" t="n">
        <v>0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BL21" t="n">
        <v>1157</v>
      </c>
      <c r="BM21" t="n">
        <v>290</v>
      </c>
      <c r="BN21" t="n">
        <v>880.28</v>
      </c>
      <c r="BO21" t="n">
        <v>165</v>
      </c>
      <c r="BP21" t="n">
        <v>8122.99</v>
      </c>
      <c r="BQ21" t="n">
        <v>875.35</v>
      </c>
      <c r="BR21" t="n">
        <v>4.93</v>
      </c>
      <c r="BS21" t="n">
        <v>300</v>
      </c>
      <c r="BT21" t="n">
        <v>19.3</v>
      </c>
      <c r="BU21" t="n">
        <v>898.8173603878</v>
      </c>
      <c r="BV21" t="n">
        <v>1.50311492518876</v>
      </c>
      <c r="BW21" t="n">
        <v>-19.0610088334602</v>
      </c>
      <c r="BX21" t="n">
        <v>1.09059022936042</v>
      </c>
      <c r="BY21" t="n">
        <v>0.91603442505378</v>
      </c>
      <c r="BZ21" t="n">
        <v>-0.00538388921023359</v>
      </c>
      <c r="CA21" t="n">
        <v>290</v>
      </c>
      <c r="CB21" t="n">
        <v>867.24</v>
      </c>
      <c r="CC21" t="n">
        <v>615</v>
      </c>
      <c r="CD21" t="n">
        <v>8107.04</v>
      </c>
      <c r="CE21" t="n">
        <v>875.3099999999999</v>
      </c>
      <c r="CF21" t="n">
        <v>-8.07</v>
      </c>
      <c r="CT21">
        <f>$B$11*DR21+$C$11*DS21+$F$11*ED21*(1-EG21)</f>
        <v/>
      </c>
      <c r="CU21">
        <f>CT21*CV21</f>
        <v/>
      </c>
      <c r="CV21">
        <f>($B$11*$D$9+$C$11*$D$9+$F$11*((EQ21+EI21)/MAX(EQ21+EI21+ER21, 0.1)*$I$9+ER21/MAX(EQ21+EI21+ER21, 0.1)*$J$9))/($B$11+$C$11+$F$11)</f>
        <v/>
      </c>
      <c r="CW21">
        <f>($B$11*$K$9+$C$11*$K$9+$F$11*((EQ21+EI21)/MAX(EQ21+EI21+ER21, 0.1)*$P$9+ER21/MAX(EQ21+EI21+ER21,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1792293992.6</v>
      </c>
      <c r="DC21" t="n">
        <v>50.2135833333333</v>
      </c>
      <c r="DD21" t="n">
        <v>49.9971166666667</v>
      </c>
      <c r="DE21" t="n">
        <v>17.63225</v>
      </c>
      <c r="DF21" t="n">
        <v>15.2120666666667</v>
      </c>
      <c r="DG21" t="n">
        <v>50.1840166666667</v>
      </c>
      <c r="DH21" t="n">
        <v>17.7386166666667</v>
      </c>
      <c r="DI21" t="n">
        <v>500.055</v>
      </c>
      <c r="DJ21" t="n">
        <v>100.991166666667</v>
      </c>
      <c r="DK21" t="n">
        <v>0.100035266666667</v>
      </c>
      <c r="DL21" t="n">
        <v>25.29135</v>
      </c>
      <c r="DM21" t="n">
        <v>24.9613</v>
      </c>
      <c r="DN21" t="n">
        <v>999.9</v>
      </c>
      <c r="DO21" t="n">
        <v>0</v>
      </c>
      <c r="DP21" t="n">
        <v>0</v>
      </c>
      <c r="DQ21" t="n">
        <v>10000.425</v>
      </c>
      <c r="DR21" t="n">
        <v>0</v>
      </c>
      <c r="DS21" t="n">
        <v>6.49265</v>
      </c>
      <c r="DT21" t="n">
        <v>0.216491166666667</v>
      </c>
      <c r="DU21" t="n">
        <v>51.1148833333333</v>
      </c>
      <c r="DV21" t="n">
        <v>50.7694</v>
      </c>
      <c r="DW21" t="n">
        <v>2.42016833333333</v>
      </c>
      <c r="DX21" t="n">
        <v>49.9971166666667</v>
      </c>
      <c r="DY21" t="n">
        <v>15.2120666666667</v>
      </c>
      <c r="DZ21" t="n">
        <v>1.78070333333333</v>
      </c>
      <c r="EA21" t="n">
        <v>1.53628833333333</v>
      </c>
      <c r="EB21" t="n">
        <v>15.6184</v>
      </c>
      <c r="EC21" t="n">
        <v>13.3341833333333</v>
      </c>
      <c r="ED21" t="n">
        <v>1500.01</v>
      </c>
      <c r="EE21" t="n">
        <v>0.973006</v>
      </c>
      <c r="EF21" t="n">
        <v>0.0269939</v>
      </c>
      <c r="EG21" t="n">
        <v>0</v>
      </c>
      <c r="EH21" t="n">
        <v>336.275833333333</v>
      </c>
      <c r="EI21" t="n">
        <v>5.00064</v>
      </c>
      <c r="EJ21" t="n">
        <v>5197.22166666667</v>
      </c>
      <c r="EK21" t="n">
        <v>15439.35</v>
      </c>
      <c r="EL21" t="n">
        <v>40.781</v>
      </c>
      <c r="EM21" t="n">
        <v>41.5</v>
      </c>
      <c r="EN21" t="n">
        <v>41.125</v>
      </c>
      <c r="EO21" t="n">
        <v>41.125</v>
      </c>
      <c r="EP21" t="n">
        <v>42.312</v>
      </c>
      <c r="EQ21" t="n">
        <v>1454.65</v>
      </c>
      <c r="ER21" t="n">
        <v>40.36</v>
      </c>
      <c r="ES21" t="n">
        <v>0</v>
      </c>
      <c r="ET21" t="n">
        <v>3201.70000004768</v>
      </c>
      <c r="EU21" t="n">
        <v>0</v>
      </c>
      <c r="EV21" t="n">
        <v>336.2462</v>
      </c>
      <c r="EW21" t="n">
        <v>0.657153829878717</v>
      </c>
      <c r="EX21" t="n">
        <v>9.742307730150261</v>
      </c>
      <c r="EY21" t="n">
        <v>5196.6056</v>
      </c>
      <c r="EZ21" t="n">
        <v>15</v>
      </c>
      <c r="FA21" t="n">
        <v>1792293940.1</v>
      </c>
      <c r="FB21" t="inlineStr">
        <is>
          <t>12:25:40</t>
        </is>
      </c>
      <c r="FC21" t="n">
        <v>1792293937.1</v>
      </c>
      <c r="FD21" t="n">
        <v>1792293940.1</v>
      </c>
      <c r="FE21" t="n">
        <v>26</v>
      </c>
      <c r="FF21" t="n">
        <v>-0.064</v>
      </c>
      <c r="FG21" t="n">
        <v>-0.002</v>
      </c>
      <c r="FH21" t="n">
        <v>0.03</v>
      </c>
      <c r="FI21" t="n">
        <v>-0.194</v>
      </c>
      <c r="FJ21" t="n">
        <v>50</v>
      </c>
      <c r="FK21" t="n">
        <v>15</v>
      </c>
      <c r="FL21" t="n">
        <v>0.33</v>
      </c>
      <c r="FM21" t="n">
        <v>0.04</v>
      </c>
      <c r="FN21" t="n">
        <v>-0.876859673762019</v>
      </c>
      <c r="FO21" t="n">
        <v>0.394415847309826</v>
      </c>
      <c r="FP21" t="n">
        <v>0.0612012339546909</v>
      </c>
      <c r="FQ21" t="n">
        <v>1</v>
      </c>
      <c r="FR21" t="n">
        <v>0.227127619047619</v>
      </c>
      <c r="FS21" t="n">
        <v>-0.119371012987012</v>
      </c>
      <c r="FT21" t="n">
        <v>0.0236673399122407</v>
      </c>
      <c r="FU21" t="n">
        <v>1</v>
      </c>
      <c r="FV21" t="n">
        <v>336.208235294118</v>
      </c>
      <c r="FW21" t="n">
        <v>0.435844152644562</v>
      </c>
      <c r="FX21" t="n">
        <v>0.194668807559603</v>
      </c>
      <c r="FY21" t="n">
        <v>1</v>
      </c>
      <c r="FZ21" t="n">
        <v>3</v>
      </c>
      <c r="GA21" t="n">
        <v>3</v>
      </c>
      <c r="GB21" t="inlineStr">
        <is>
          <t>3/3</t>
        </is>
      </c>
      <c r="GC21" t="n">
        <v>3.12351</v>
      </c>
      <c r="GD21" t="n">
        <v>2.76542</v>
      </c>
      <c r="GE21" t="n">
        <v>0.0136714</v>
      </c>
      <c r="GF21" t="n">
        <v>0.0140034</v>
      </c>
      <c r="GG21" t="n">
        <v>0.09377050000000001</v>
      </c>
      <c r="GH21" t="n">
        <v>0.0872386</v>
      </c>
      <c r="GI21" t="n">
        <v>19223.4</v>
      </c>
      <c r="GJ21" t="n">
        <v>28974.6</v>
      </c>
      <c r="GK21" t="n">
        <v>22772.9</v>
      </c>
      <c r="GL21" t="n">
        <v>30110.5</v>
      </c>
      <c r="GM21" t="n">
        <v>33844.1</v>
      </c>
      <c r="GN21" t="n">
        <v>34233.8</v>
      </c>
      <c r="GO21" t="n">
        <v>43086</v>
      </c>
      <c r="GP21" t="n">
        <v>42884.5</v>
      </c>
      <c r="GQ21" t="n">
        <v>1.97245</v>
      </c>
      <c r="GR21" t="n">
        <v>1.80643</v>
      </c>
      <c r="GS21" t="n">
        <v>0.06636980000000001</v>
      </c>
      <c r="GT21" t="n">
        <v>0</v>
      </c>
      <c r="GU21" t="n">
        <v>23.8755</v>
      </c>
      <c r="GV21" t="n">
        <v>999.9</v>
      </c>
      <c r="GW21" t="n">
        <v>37.791</v>
      </c>
      <c r="GX21" t="n">
        <v>33.163</v>
      </c>
      <c r="GY21" t="n">
        <v>19.0788</v>
      </c>
      <c r="GZ21" t="n">
        <v>63.052</v>
      </c>
      <c r="HA21" t="n">
        <v>36.238</v>
      </c>
      <c r="HB21" t="n">
        <v>1</v>
      </c>
      <c r="HC21" t="n">
        <v>0.058905</v>
      </c>
      <c r="HD21" t="n">
        <v>1.65797</v>
      </c>
      <c r="HE21" t="n">
        <v>20.2268</v>
      </c>
      <c r="HF21" t="n">
        <v>5.23152</v>
      </c>
      <c r="HG21" t="n">
        <v>11.962</v>
      </c>
      <c r="HH21" t="n">
        <v>4.96895</v>
      </c>
      <c r="HI21" t="n">
        <v>3.29513</v>
      </c>
      <c r="HJ21" t="n">
        <v>9999</v>
      </c>
      <c r="HK21" t="n">
        <v>9999</v>
      </c>
      <c r="HL21" t="n">
        <v>9999</v>
      </c>
      <c r="HM21" t="n">
        <v>999.9</v>
      </c>
      <c r="HN21" t="n">
        <v>4.96858</v>
      </c>
      <c r="HO21" t="n">
        <v>1.86249</v>
      </c>
      <c r="HP21" t="n">
        <v>1.86401</v>
      </c>
      <c r="HQ21" t="n">
        <v>1.866</v>
      </c>
      <c r="HR21" t="n">
        <v>1.863</v>
      </c>
      <c r="HS21" t="n">
        <v>1.86669</v>
      </c>
      <c r="HT21" t="n">
        <v>1.86341</v>
      </c>
      <c r="HU21" t="n">
        <v>1.86538</v>
      </c>
      <c r="HV21" t="n">
        <v>0</v>
      </c>
      <c r="HW21" t="n">
        <v>0</v>
      </c>
      <c r="HX21" t="n">
        <v>0</v>
      </c>
      <c r="HY21" t="n">
        <v>0</v>
      </c>
      <c r="HZ21" t="inlineStr">
        <is>
          <t>11111111</t>
        </is>
      </c>
      <c r="IA21" t="inlineStr">
        <is>
          <t>oooooooo</t>
        </is>
      </c>
      <c r="IB21" t="inlineStr">
        <is>
          <t>on</t>
        </is>
      </c>
      <c r="IC21" t="inlineStr">
        <is>
          <t>on</t>
        </is>
      </c>
      <c r="ID21" t="inlineStr">
        <is>
          <t>on</t>
        </is>
      </c>
      <c r="IE21" t="inlineStr">
        <is>
          <t>on</t>
        </is>
      </c>
      <c r="IF21" t="n">
        <v>0</v>
      </c>
      <c r="IG21" t="n">
        <v>100</v>
      </c>
      <c r="IH21" t="n">
        <v>100</v>
      </c>
      <c r="II21" t="n">
        <v>0.029</v>
      </c>
      <c r="IJ21" t="n">
        <v>-0.1064</v>
      </c>
      <c r="IK21" t="n">
        <v>0.0179910894630001</v>
      </c>
      <c r="IL21" t="n">
        <v>0.000216929631606078</v>
      </c>
      <c r="IM21" t="n">
        <v>2.72263024731635e-07</v>
      </c>
      <c r="IN21" t="n">
        <v>-5.43792051235154e-11</v>
      </c>
      <c r="IO21" t="n">
        <v>-0.0266862198854817</v>
      </c>
      <c r="IP21" t="n">
        <v>-0.0584433849545669</v>
      </c>
      <c r="IQ21" t="n">
        <v>0.00341568706061026</v>
      </c>
      <c r="IR21" t="n">
        <v>-2.10952612506686e-05</v>
      </c>
      <c r="IS21" t="n">
        <v>0</v>
      </c>
      <c r="IT21" t="n">
        <v>1734</v>
      </c>
      <c r="IU21" t="n">
        <v>2</v>
      </c>
      <c r="IV21" t="n">
        <v>19</v>
      </c>
      <c r="IW21" t="n">
        <v>1</v>
      </c>
      <c r="IX21" t="n">
        <v>0.9</v>
      </c>
      <c r="IY21" t="n">
        <v>0.299072</v>
      </c>
      <c r="IZ21" t="n">
        <v>2.59521</v>
      </c>
      <c r="JA21" t="n">
        <v>1.34644</v>
      </c>
      <c r="JB21" t="n">
        <v>2.26074</v>
      </c>
      <c r="JC21" t="n">
        <v>1.55029</v>
      </c>
      <c r="JD21" t="n">
        <v>2.55859</v>
      </c>
      <c r="JE21" t="n">
        <v>37.0032</v>
      </c>
      <c r="JF21" t="n">
        <v>16.0321</v>
      </c>
      <c r="JG21" t="n">
        <v>18</v>
      </c>
      <c r="JH21" t="n">
        <v>499.721</v>
      </c>
      <c r="JI21" t="n">
        <v>470.053</v>
      </c>
      <c r="JJ21" t="n">
        <v>22.0843</v>
      </c>
      <c r="JK21" t="n">
        <v>27.9774</v>
      </c>
      <c r="JL21" t="n">
        <v>30</v>
      </c>
      <c r="JM21" t="n">
        <v>27.9466</v>
      </c>
      <c r="JN21" t="n">
        <v>27.956</v>
      </c>
      <c r="JO21" t="n">
        <v>6.01608</v>
      </c>
      <c r="JP21" t="n">
        <v>27.1452</v>
      </c>
      <c r="JQ21" t="n">
        <v>21.4841</v>
      </c>
      <c r="JR21" t="n">
        <v>22.1062</v>
      </c>
      <c r="JS21" t="n">
        <v>50</v>
      </c>
      <c r="JT21" t="n">
        <v>15.1702</v>
      </c>
      <c r="JU21" t="n">
        <v>101.738</v>
      </c>
      <c r="JV21" t="n">
        <v>97.3814</v>
      </c>
    </row>
    <row r="22">
      <c r="A22" t="n">
        <v>6</v>
      </c>
      <c r="B22" t="n">
        <v>1792294142.1</v>
      </c>
      <c r="C22" t="n">
        <v>630.099999904633</v>
      </c>
      <c r="D22" t="inlineStr">
        <is>
          <t>20261018 12:29:02</t>
        </is>
      </c>
      <c r="E22" t="inlineStr">
        <is>
          <t>12:29:02</t>
        </is>
      </c>
      <c r="F22" t="n">
        <v>5</v>
      </c>
      <c r="G22" t="n">
        <v>1792294138.6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-</t>
        </is>
      </c>
      <c r="AK22" t="inlineStr">
        <is>
          <t>-</t>
        </is>
      </c>
      <c r="AL22" t="n">
        <v>0</v>
      </c>
      <c r="AM22" t="n">
        <v>0</v>
      </c>
      <c r="AN22">
        <f>1-AL22/AM22</f>
        <v/>
      </c>
      <c r="AO22" t="n">
        <v>0</v>
      </c>
      <c r="AP22" t="inlineStr">
        <is>
          <t>-</t>
        </is>
      </c>
      <c r="AQ22" t="inlineStr">
        <is>
          <t>-</t>
        </is>
      </c>
      <c r="AR22" t="n">
        <v>0</v>
      </c>
      <c r="AS22" t="n">
        <v>0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BL22" t="n">
        <v>1157</v>
      </c>
      <c r="BM22" t="n">
        <v>290</v>
      </c>
      <c r="BN22" t="n">
        <v>880.28</v>
      </c>
      <c r="BO22" t="n">
        <v>165</v>
      </c>
      <c r="BP22" t="n">
        <v>8122.99</v>
      </c>
      <c r="BQ22" t="n">
        <v>875.35</v>
      </c>
      <c r="BR22" t="n">
        <v>4.93</v>
      </c>
      <c r="BS22" t="n">
        <v>300</v>
      </c>
      <c r="BT22" t="n">
        <v>19.3</v>
      </c>
      <c r="BU22" t="n">
        <v>898.8173603878</v>
      </c>
      <c r="BV22" t="n">
        <v>1.50311492518876</v>
      </c>
      <c r="BW22" t="n">
        <v>-19.0610088334602</v>
      </c>
      <c r="BX22" t="n">
        <v>1.09059022936042</v>
      </c>
      <c r="BY22" t="n">
        <v>0.91603442505378</v>
      </c>
      <c r="BZ22" t="n">
        <v>-0.00538388921023359</v>
      </c>
      <c r="CA22" t="n">
        <v>290</v>
      </c>
      <c r="CB22" t="n">
        <v>867.24</v>
      </c>
      <c r="CC22" t="n">
        <v>615</v>
      </c>
      <c r="CD22" t="n">
        <v>8107.04</v>
      </c>
      <c r="CE22" t="n">
        <v>875.3099999999999</v>
      </c>
      <c r="CF22" t="n">
        <v>-8.07</v>
      </c>
      <c r="CT22">
        <f>$B$11*DR22+$C$11*DS22+$F$11*ED22*(1-EG22)</f>
        <v/>
      </c>
      <c r="CU22">
        <f>CT22*CV22</f>
        <v/>
      </c>
      <c r="CV22">
        <f>($B$11*$D$9+$C$11*$D$9+$F$11*((EQ22+EI22)/MAX(EQ22+EI22+ER22, 0.1)*$I$9+ER22/MAX(EQ22+EI22+ER22, 0.1)*$J$9))/($B$11+$C$11+$F$11)</f>
        <v/>
      </c>
      <c r="CW22">
        <f>($B$11*$K$9+$C$11*$K$9+$F$11*((EQ22+EI22)/MAX(EQ22+EI22+ER22, 0.1)*$P$9+ER22/MAX(EQ22+EI22+ER22,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1792294138.6</v>
      </c>
      <c r="DC22" t="n">
        <v>390.949833333333</v>
      </c>
      <c r="DD22" t="n">
        <v>399.987833333333</v>
      </c>
      <c r="DE22" t="n">
        <v>17.6559</v>
      </c>
      <c r="DF22" t="n">
        <v>15.2458666666667</v>
      </c>
      <c r="DG22" t="n">
        <v>390.051333333333</v>
      </c>
      <c r="DH22" t="n">
        <v>17.7538833333333</v>
      </c>
      <c r="DI22" t="n">
        <v>500.070833333333</v>
      </c>
      <c r="DJ22" t="n">
        <v>100.995</v>
      </c>
      <c r="DK22" t="n">
        <v>0.100019566666667</v>
      </c>
      <c r="DL22" t="n">
        <v>25.3800666666667</v>
      </c>
      <c r="DM22" t="n">
        <v>25.0185166666667</v>
      </c>
      <c r="DN22" t="n">
        <v>999.9</v>
      </c>
      <c r="DO22" t="n">
        <v>0</v>
      </c>
      <c r="DP22" t="n">
        <v>0</v>
      </c>
      <c r="DQ22" t="n">
        <v>9994.58666666667</v>
      </c>
      <c r="DR22" t="n">
        <v>0</v>
      </c>
      <c r="DS22" t="n">
        <v>6.480375</v>
      </c>
      <c r="DT22" t="n">
        <v>-9.03787333333333</v>
      </c>
      <c r="DU22" t="n">
        <v>397.9765</v>
      </c>
      <c r="DV22" t="n">
        <v>406.180333333333</v>
      </c>
      <c r="DW22" t="n">
        <v>2.410035</v>
      </c>
      <c r="DX22" t="n">
        <v>399.987833333333</v>
      </c>
      <c r="DY22" t="n">
        <v>15.2458666666667</v>
      </c>
      <c r="DZ22" t="n">
        <v>1.78315666666667</v>
      </c>
      <c r="EA22" t="n">
        <v>1.53975166666667</v>
      </c>
      <c r="EB22" t="n">
        <v>15.6399</v>
      </c>
      <c r="EC22" t="n">
        <v>13.3687166666667</v>
      </c>
      <c r="ED22" t="n">
        <v>1500.03166666667</v>
      </c>
      <c r="EE22" t="n">
        <v>0.973006666666667</v>
      </c>
      <c r="EF22" t="n">
        <v>0.0269932333333333</v>
      </c>
      <c r="EG22" t="n">
        <v>0</v>
      </c>
      <c r="EH22" t="n">
        <v>323.329333333333</v>
      </c>
      <c r="EI22" t="n">
        <v>5.00064</v>
      </c>
      <c r="EJ22" t="n">
        <v>5010.405</v>
      </c>
      <c r="EK22" t="n">
        <v>15439.5666666667</v>
      </c>
      <c r="EL22" t="n">
        <v>40.812</v>
      </c>
      <c r="EM22" t="n">
        <v>41.5</v>
      </c>
      <c r="EN22" t="n">
        <v>41.1456666666667</v>
      </c>
      <c r="EO22" t="n">
        <v>41.125</v>
      </c>
      <c r="EP22" t="n">
        <v>42.3435</v>
      </c>
      <c r="EQ22" t="n">
        <v>1454.67166666667</v>
      </c>
      <c r="ER22" t="n">
        <v>40.36</v>
      </c>
      <c r="ES22" t="n">
        <v>0</v>
      </c>
      <c r="ET22" t="n">
        <v>3348.10000014305</v>
      </c>
      <c r="EU22" t="n">
        <v>0</v>
      </c>
      <c r="EV22" t="n">
        <v>323.31752</v>
      </c>
      <c r="EW22" t="n">
        <v>0.112384608495409</v>
      </c>
      <c r="EX22" t="n">
        <v>5.86461540247328</v>
      </c>
      <c r="EY22" t="n">
        <v>5010.0844</v>
      </c>
      <c r="EZ22" t="n">
        <v>15</v>
      </c>
      <c r="FA22" t="n">
        <v>1792294062.1</v>
      </c>
      <c r="FB22" t="inlineStr">
        <is>
          <t>12:27:42</t>
        </is>
      </c>
      <c r="FC22" t="n">
        <v>1792294059.1</v>
      </c>
      <c r="FD22" t="n">
        <v>1792294062.1</v>
      </c>
      <c r="FE22" t="n">
        <v>27</v>
      </c>
      <c r="FF22" t="n">
        <v>0.758</v>
      </c>
      <c r="FG22" t="n">
        <v>0.008</v>
      </c>
      <c r="FH22" t="n">
        <v>0.902</v>
      </c>
      <c r="FI22" t="n">
        <v>-0.187</v>
      </c>
      <c r="FJ22" t="n">
        <v>400</v>
      </c>
      <c r="FK22" t="n">
        <v>15</v>
      </c>
      <c r="FL22" t="n">
        <v>0.13</v>
      </c>
      <c r="FM22" t="n">
        <v>0.03</v>
      </c>
      <c r="FN22" t="n">
        <v>20.1725356948901</v>
      </c>
      <c r="FO22" t="n">
        <v>0.329531331137137</v>
      </c>
      <c r="FP22" t="n">
        <v>0.0754225772444916</v>
      </c>
      <c r="FQ22" t="n">
        <v>1</v>
      </c>
      <c r="FR22" t="n">
        <v>-9.031115714285709</v>
      </c>
      <c r="FS22" t="n">
        <v>-0.09916909090908629</v>
      </c>
      <c r="FT22" t="n">
        <v>0.0303439385288426</v>
      </c>
      <c r="FU22" t="n">
        <v>1</v>
      </c>
      <c r="FV22" t="n">
        <v>323.210735294118</v>
      </c>
      <c r="FW22" t="n">
        <v>0.989717336332002</v>
      </c>
      <c r="FX22" t="n">
        <v>0.231597179301064</v>
      </c>
      <c r="FY22" t="n">
        <v>1</v>
      </c>
      <c r="FZ22" t="n">
        <v>3</v>
      </c>
      <c r="GA22" t="n">
        <v>3</v>
      </c>
      <c r="GB22" t="inlineStr">
        <is>
          <t>3/3</t>
        </is>
      </c>
      <c r="GC22" t="n">
        <v>3.12361</v>
      </c>
      <c r="GD22" t="n">
        <v>2.7655</v>
      </c>
      <c r="GE22" t="n">
        <v>0.08608789999999999</v>
      </c>
      <c r="GF22" t="n">
        <v>0.08992459999999999</v>
      </c>
      <c r="GG22" t="n">
        <v>0.0937902</v>
      </c>
      <c r="GH22" t="n">
        <v>0.08734740000000001</v>
      </c>
      <c r="GI22" t="n">
        <v>17809.6</v>
      </c>
      <c r="GJ22" t="n">
        <v>26741.1</v>
      </c>
      <c r="GK22" t="n">
        <v>22770.5</v>
      </c>
      <c r="GL22" t="n">
        <v>30108.5</v>
      </c>
      <c r="GM22" t="n">
        <v>33844.9</v>
      </c>
      <c r="GN22" t="n">
        <v>34232.7</v>
      </c>
      <c r="GO22" t="n">
        <v>43082.3</v>
      </c>
      <c r="GP22" t="n">
        <v>42881.6</v>
      </c>
      <c r="GQ22" t="n">
        <v>1.9722</v>
      </c>
      <c r="GR22" t="n">
        <v>1.80702</v>
      </c>
      <c r="GS22" t="n">
        <v>0.067763</v>
      </c>
      <c r="GT22" t="n">
        <v>0</v>
      </c>
      <c r="GU22" t="n">
        <v>23.9023</v>
      </c>
      <c r="GV22" t="n">
        <v>999.9</v>
      </c>
      <c r="GW22" t="n">
        <v>37.749</v>
      </c>
      <c r="GX22" t="n">
        <v>33.153</v>
      </c>
      <c r="GY22" t="n">
        <v>19.0456</v>
      </c>
      <c r="GZ22" t="n">
        <v>63.062</v>
      </c>
      <c r="HA22" t="n">
        <v>36.1659</v>
      </c>
      <c r="HB22" t="n">
        <v>1</v>
      </c>
      <c r="HC22" t="n">
        <v>0.0626448</v>
      </c>
      <c r="HD22" t="n">
        <v>1.89575</v>
      </c>
      <c r="HE22" t="n">
        <v>20.2239</v>
      </c>
      <c r="HF22" t="n">
        <v>5.23361</v>
      </c>
      <c r="HG22" t="n">
        <v>11.962</v>
      </c>
      <c r="HH22" t="n">
        <v>4.96845</v>
      </c>
      <c r="HI22" t="n">
        <v>3.29508</v>
      </c>
      <c r="HJ22" t="n">
        <v>9999</v>
      </c>
      <c r="HK22" t="n">
        <v>9999</v>
      </c>
      <c r="HL22" t="n">
        <v>9999</v>
      </c>
      <c r="HM22" t="n">
        <v>999.9</v>
      </c>
      <c r="HN22" t="n">
        <v>4.9686</v>
      </c>
      <c r="HO22" t="n">
        <v>1.86249</v>
      </c>
      <c r="HP22" t="n">
        <v>1.86401</v>
      </c>
      <c r="HQ22" t="n">
        <v>1.866</v>
      </c>
      <c r="HR22" t="n">
        <v>1.86299</v>
      </c>
      <c r="HS22" t="n">
        <v>1.86667</v>
      </c>
      <c r="HT22" t="n">
        <v>1.86342</v>
      </c>
      <c r="HU22" t="n">
        <v>1.86539</v>
      </c>
      <c r="HV22" t="n">
        <v>0</v>
      </c>
      <c r="HW22" t="n">
        <v>0</v>
      </c>
      <c r="HX22" t="n">
        <v>0</v>
      </c>
      <c r="HY22" t="n">
        <v>0</v>
      </c>
      <c r="HZ22" t="inlineStr">
        <is>
          <t>11111111</t>
        </is>
      </c>
      <c r="IA22" t="inlineStr">
        <is>
          <t>oooooooo</t>
        </is>
      </c>
      <c r="IB22" t="inlineStr">
        <is>
          <t>on</t>
        </is>
      </c>
      <c r="IC22" t="inlineStr">
        <is>
          <t>on</t>
        </is>
      </c>
      <c r="ID22" t="inlineStr">
        <is>
          <t>on</t>
        </is>
      </c>
      <c r="IE22" t="inlineStr">
        <is>
          <t>on</t>
        </is>
      </c>
      <c r="IF22" t="n">
        <v>0</v>
      </c>
      <c r="IG22" t="n">
        <v>100</v>
      </c>
      <c r="IH22" t="n">
        <v>100</v>
      </c>
      <c r="II22" t="n">
        <v>0.898</v>
      </c>
      <c r="IJ22" t="n">
        <v>-0.0983</v>
      </c>
      <c r="IK22" t="n">
        <v>0.775703260207525</v>
      </c>
      <c r="IL22" t="n">
        <v>0.000216929631606078</v>
      </c>
      <c r="IM22" t="n">
        <v>2.72263024731635e-07</v>
      </c>
      <c r="IN22" t="n">
        <v>-5.43792051235154e-11</v>
      </c>
      <c r="IO22" t="n">
        <v>-0.0189620910832941</v>
      </c>
      <c r="IP22" t="n">
        <v>-0.0584433849545669</v>
      </c>
      <c r="IQ22" t="n">
        <v>0.00341568706061026</v>
      </c>
      <c r="IR22" t="n">
        <v>-2.10952612506686e-05</v>
      </c>
      <c r="IS22" t="n">
        <v>0</v>
      </c>
      <c r="IT22" t="n">
        <v>1734</v>
      </c>
      <c r="IU22" t="n">
        <v>2</v>
      </c>
      <c r="IV22" t="n">
        <v>19</v>
      </c>
      <c r="IW22" t="n">
        <v>1.4</v>
      </c>
      <c r="IX22" t="n">
        <v>1.3</v>
      </c>
      <c r="IY22" t="n">
        <v>1.05591</v>
      </c>
      <c r="IZ22" t="n">
        <v>2.57446</v>
      </c>
      <c r="JA22" t="n">
        <v>1.34644</v>
      </c>
      <c r="JB22" t="n">
        <v>2.25952</v>
      </c>
      <c r="JC22" t="n">
        <v>1.55029</v>
      </c>
      <c r="JD22" t="n">
        <v>2.58179</v>
      </c>
      <c r="JE22" t="n">
        <v>36.9556</v>
      </c>
      <c r="JF22" t="n">
        <v>16.0233</v>
      </c>
      <c r="JG22" t="n">
        <v>18</v>
      </c>
      <c r="JH22" t="n">
        <v>499.936</v>
      </c>
      <c r="JI22" t="n">
        <v>470.845</v>
      </c>
      <c r="JJ22" t="n">
        <v>22.1737</v>
      </c>
      <c r="JK22" t="n">
        <v>28.0155</v>
      </c>
      <c r="JL22" t="n">
        <v>30.0003</v>
      </c>
      <c r="JM22" t="n">
        <v>27.9893</v>
      </c>
      <c r="JN22" t="n">
        <v>27.9992</v>
      </c>
      <c r="JO22" t="n">
        <v>21.1408</v>
      </c>
      <c r="JP22" t="n">
        <v>26.9198</v>
      </c>
      <c r="JQ22" t="n">
        <v>20.6752</v>
      </c>
      <c r="JR22" t="n">
        <v>22.1611</v>
      </c>
      <c r="JS22" t="n">
        <v>400</v>
      </c>
      <c r="JT22" t="n">
        <v>15.2544</v>
      </c>
      <c r="JU22" t="n">
        <v>101.729</v>
      </c>
      <c r="JV22" t="n">
        <v>97.375</v>
      </c>
    </row>
    <row r="23">
      <c r="A23" t="n">
        <v>7</v>
      </c>
      <c r="B23" t="n">
        <v>1792294263.1</v>
      </c>
      <c r="C23" t="n">
        <v>751.099999904633</v>
      </c>
      <c r="D23" t="inlineStr">
        <is>
          <t>20261018 12:31:03</t>
        </is>
      </c>
      <c r="E23" t="inlineStr">
        <is>
          <t>12:31:03</t>
        </is>
      </c>
      <c r="F23" t="n">
        <v>5</v>
      </c>
      <c r="G23" t="n">
        <v>1792294259.6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-</t>
        </is>
      </c>
      <c r="AK23" t="inlineStr">
        <is>
          <t>-</t>
        </is>
      </c>
      <c r="AL23" t="n">
        <v>0</v>
      </c>
      <c r="AM23" t="n">
        <v>0</v>
      </c>
      <c r="AN23">
        <f>1-AL23/AM23</f>
        <v/>
      </c>
      <c r="AO23" t="n">
        <v>0</v>
      </c>
      <c r="AP23" t="inlineStr">
        <is>
          <t>-</t>
        </is>
      </c>
      <c r="AQ23" t="inlineStr">
        <is>
          <t>-</t>
        </is>
      </c>
      <c r="AR23" t="n">
        <v>0</v>
      </c>
      <c r="AS23" t="n">
        <v>0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BL23" t="n">
        <v>1157</v>
      </c>
      <c r="BM23" t="n">
        <v>290</v>
      </c>
      <c r="BN23" t="n">
        <v>880.28</v>
      </c>
      <c r="BO23" t="n">
        <v>165</v>
      </c>
      <c r="BP23" t="n">
        <v>8122.99</v>
      </c>
      <c r="BQ23" t="n">
        <v>875.35</v>
      </c>
      <c r="BR23" t="n">
        <v>4.93</v>
      </c>
      <c r="BS23" t="n">
        <v>300</v>
      </c>
      <c r="BT23" t="n">
        <v>19.3</v>
      </c>
      <c r="BU23" t="n">
        <v>898.8173603878</v>
      </c>
      <c r="BV23" t="n">
        <v>1.50311492518876</v>
      </c>
      <c r="BW23" t="n">
        <v>-19.0610088334602</v>
      </c>
      <c r="BX23" t="n">
        <v>1.09059022936042</v>
      </c>
      <c r="BY23" t="n">
        <v>0.91603442505378</v>
      </c>
      <c r="BZ23" t="n">
        <v>-0.00538388921023359</v>
      </c>
      <c r="CA23" t="n">
        <v>290</v>
      </c>
      <c r="CB23" t="n">
        <v>867.24</v>
      </c>
      <c r="CC23" t="n">
        <v>615</v>
      </c>
      <c r="CD23" t="n">
        <v>8107.04</v>
      </c>
      <c r="CE23" t="n">
        <v>875.3099999999999</v>
      </c>
      <c r="CF23" t="n">
        <v>-8.07</v>
      </c>
      <c r="CT23">
        <f>$B$11*DR23+$C$11*DS23+$F$11*ED23*(1-EG23)</f>
        <v/>
      </c>
      <c r="CU23">
        <f>CT23*CV23</f>
        <v/>
      </c>
      <c r="CV23">
        <f>($B$11*$D$9+$C$11*$D$9+$F$11*((EQ23+EI23)/MAX(EQ23+EI23+ER23, 0.1)*$I$9+ER23/MAX(EQ23+EI23+ER23, 0.1)*$J$9))/($B$11+$C$11+$F$11)</f>
        <v/>
      </c>
      <c r="CW23">
        <f>($B$11*$K$9+$C$11*$K$9+$F$11*((EQ23+EI23)/MAX(EQ23+EI23+ER23, 0.1)*$P$9+ER23/MAX(EQ23+EI23+ER23,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1792294259.6</v>
      </c>
      <c r="DC23" t="n">
        <v>390.7535</v>
      </c>
      <c r="DD23" t="n">
        <v>400.002666666667</v>
      </c>
      <c r="DE23" t="n">
        <v>17.6844666666667</v>
      </c>
      <c r="DF23" t="n">
        <v>15.5065833333333</v>
      </c>
      <c r="DG23" t="n">
        <v>389.951166666667</v>
      </c>
      <c r="DH23" t="n">
        <v>17.78095</v>
      </c>
      <c r="DI23" t="n">
        <v>500.065166666667</v>
      </c>
      <c r="DJ23" t="n">
        <v>100.992166666667</v>
      </c>
      <c r="DK23" t="n">
        <v>0.100228333333333</v>
      </c>
      <c r="DL23" t="n">
        <v>25.3189166666667</v>
      </c>
      <c r="DM23" t="n">
        <v>25.0266833333333</v>
      </c>
      <c r="DN23" t="n">
        <v>999.9</v>
      </c>
      <c r="DO23" t="n">
        <v>0</v>
      </c>
      <c r="DP23" t="n">
        <v>0</v>
      </c>
      <c r="DQ23" t="n">
        <v>9991.556666666669</v>
      </c>
      <c r="DR23" t="n">
        <v>0</v>
      </c>
      <c r="DS23" t="n">
        <v>6.468555</v>
      </c>
      <c r="DT23" t="n">
        <v>-9.249314999999999</v>
      </c>
      <c r="DU23" t="n">
        <v>397.788166666667</v>
      </c>
      <c r="DV23" t="n">
        <v>406.303166666667</v>
      </c>
      <c r="DW23" t="n">
        <v>2.177865</v>
      </c>
      <c r="DX23" t="n">
        <v>400.002666666667</v>
      </c>
      <c r="DY23" t="n">
        <v>15.5065833333333</v>
      </c>
      <c r="DZ23" t="n">
        <v>1.78599666666667</v>
      </c>
      <c r="EA23" t="n">
        <v>1.56604833333333</v>
      </c>
      <c r="EB23" t="n">
        <v>15.66475</v>
      </c>
      <c r="EC23" t="n">
        <v>13.6287</v>
      </c>
      <c r="ED23" t="n">
        <v>1499.96666666667</v>
      </c>
      <c r="EE23" t="n">
        <v>0.973006</v>
      </c>
      <c r="EF23" t="n">
        <v>0.0269938833333333</v>
      </c>
      <c r="EG23" t="n">
        <v>0</v>
      </c>
      <c r="EH23" t="n">
        <v>322.273</v>
      </c>
      <c r="EI23" t="n">
        <v>5.00064</v>
      </c>
      <c r="EJ23" t="n">
        <v>4995.32</v>
      </c>
      <c r="EK23" t="n">
        <v>15438.9</v>
      </c>
      <c r="EL23" t="n">
        <v>40.8225</v>
      </c>
      <c r="EM23" t="n">
        <v>41.562</v>
      </c>
      <c r="EN23" t="n">
        <v>41.187</v>
      </c>
      <c r="EO23" t="n">
        <v>41.187</v>
      </c>
      <c r="EP23" t="n">
        <v>42.375</v>
      </c>
      <c r="EQ23" t="n">
        <v>1454.60666666667</v>
      </c>
      <c r="ER23" t="n">
        <v>40.355</v>
      </c>
      <c r="ES23" t="n">
        <v>0</v>
      </c>
      <c r="ET23" t="n">
        <v>3468.70000004768</v>
      </c>
      <c r="EU23" t="n">
        <v>0</v>
      </c>
      <c r="EV23" t="n">
        <v>322.348</v>
      </c>
      <c r="EW23" t="n">
        <v>-1.35138460755979</v>
      </c>
      <c r="EX23" t="n">
        <v>-1.7654700952945</v>
      </c>
      <c r="EY23" t="n">
        <v>4995.56615384615</v>
      </c>
      <c r="EZ23" t="n">
        <v>15</v>
      </c>
      <c r="FA23" t="n">
        <v>1792294201.1</v>
      </c>
      <c r="FB23" t="inlineStr">
        <is>
          <t>12:30:01</t>
        </is>
      </c>
      <c r="FC23" t="n">
        <v>1792294198.1</v>
      </c>
      <c r="FD23" t="n">
        <v>1792294201.1</v>
      </c>
      <c r="FE23" t="n">
        <v>28</v>
      </c>
      <c r="FF23" t="n">
        <v>-0.096</v>
      </c>
      <c r="FG23" t="n">
        <v>0</v>
      </c>
      <c r="FH23" t="n">
        <v>0.806</v>
      </c>
      <c r="FI23" t="n">
        <v>-0.183</v>
      </c>
      <c r="FJ23" t="n">
        <v>400</v>
      </c>
      <c r="FK23" t="n">
        <v>15</v>
      </c>
      <c r="FL23" t="n">
        <v>0.31</v>
      </c>
      <c r="FM23" t="n">
        <v>0.02</v>
      </c>
      <c r="FN23" t="n">
        <v>20.9158693328037</v>
      </c>
      <c r="FO23" t="n">
        <v>-0.34137302630928</v>
      </c>
      <c r="FP23" t="n">
        <v>0.0681895561338199</v>
      </c>
      <c r="FQ23" t="n">
        <v>1</v>
      </c>
      <c r="FR23" t="n">
        <v>-9.23912</v>
      </c>
      <c r="FS23" t="n">
        <v>0.09782526315790011</v>
      </c>
      <c r="FT23" t="n">
        <v>0.0368448704706638</v>
      </c>
      <c r="FU23" t="n">
        <v>1</v>
      </c>
      <c r="FV23" t="n">
        <v>322.370588235294</v>
      </c>
      <c r="FW23" t="n">
        <v>-0.0806722660207666</v>
      </c>
      <c r="FX23" t="n">
        <v>0.200676520161043</v>
      </c>
      <c r="FY23" t="n">
        <v>1</v>
      </c>
      <c r="FZ23" t="n">
        <v>3</v>
      </c>
      <c r="GA23" t="n">
        <v>3</v>
      </c>
      <c r="GB23" t="inlineStr">
        <is>
          <t>3/3</t>
        </is>
      </c>
      <c r="GC23" t="n">
        <v>3.12339</v>
      </c>
      <c r="GD23" t="n">
        <v>2.76529</v>
      </c>
      <c r="GE23" t="n">
        <v>0.0860673</v>
      </c>
      <c r="GF23" t="n">
        <v>0.0899272</v>
      </c>
      <c r="GG23" t="n">
        <v>0.09392</v>
      </c>
      <c r="GH23" t="n">
        <v>0.0884326</v>
      </c>
      <c r="GI23" t="n">
        <v>17808</v>
      </c>
      <c r="GJ23" t="n">
        <v>26738.8</v>
      </c>
      <c r="GK23" t="n">
        <v>22768.1</v>
      </c>
      <c r="GL23" t="n">
        <v>30106.1</v>
      </c>
      <c r="GM23" t="n">
        <v>33836.9</v>
      </c>
      <c r="GN23" t="n">
        <v>34189</v>
      </c>
      <c r="GO23" t="n">
        <v>43078.3</v>
      </c>
      <c r="GP23" t="n">
        <v>42878.2</v>
      </c>
      <c r="GQ23" t="n">
        <v>1.97165</v>
      </c>
      <c r="GR23" t="n">
        <v>1.80757</v>
      </c>
      <c r="GS23" t="n">
        <v>0.0674203</v>
      </c>
      <c r="GT23" t="n">
        <v>0</v>
      </c>
      <c r="GU23" t="n">
        <v>23.9097</v>
      </c>
      <c r="GV23" t="n">
        <v>999.9</v>
      </c>
      <c r="GW23" t="n">
        <v>37.724</v>
      </c>
      <c r="GX23" t="n">
        <v>33.133</v>
      </c>
      <c r="GY23" t="n">
        <v>19.0135</v>
      </c>
      <c r="GZ23" t="n">
        <v>63.352</v>
      </c>
      <c r="HA23" t="n">
        <v>36.7228</v>
      </c>
      <c r="HB23" t="n">
        <v>1</v>
      </c>
      <c r="HC23" t="n">
        <v>0.06459860000000001</v>
      </c>
      <c r="HD23" t="n">
        <v>1.78539</v>
      </c>
      <c r="HE23" t="n">
        <v>20.226</v>
      </c>
      <c r="HF23" t="n">
        <v>5.23481</v>
      </c>
      <c r="HG23" t="n">
        <v>11.962</v>
      </c>
      <c r="HH23" t="n">
        <v>4.96945</v>
      </c>
      <c r="HI23" t="n">
        <v>3.29513</v>
      </c>
      <c r="HJ23" t="n">
        <v>9999</v>
      </c>
      <c r="HK23" t="n">
        <v>9999</v>
      </c>
      <c r="HL23" t="n">
        <v>9999</v>
      </c>
      <c r="HM23" t="n">
        <v>999.9</v>
      </c>
      <c r="HN23" t="n">
        <v>4.9686</v>
      </c>
      <c r="HO23" t="n">
        <v>1.86249</v>
      </c>
      <c r="HP23" t="n">
        <v>1.86403</v>
      </c>
      <c r="HQ23" t="n">
        <v>1.866</v>
      </c>
      <c r="HR23" t="n">
        <v>1.86298</v>
      </c>
      <c r="HS23" t="n">
        <v>1.86673</v>
      </c>
      <c r="HT23" t="n">
        <v>1.86346</v>
      </c>
      <c r="HU23" t="n">
        <v>1.86539</v>
      </c>
      <c r="HV23" t="n">
        <v>0</v>
      </c>
      <c r="HW23" t="n">
        <v>0</v>
      </c>
      <c r="HX23" t="n">
        <v>0</v>
      </c>
      <c r="HY23" t="n">
        <v>0</v>
      </c>
      <c r="HZ23" t="inlineStr">
        <is>
          <t>11111111</t>
        </is>
      </c>
      <c r="IA23" t="inlineStr">
        <is>
          <t>oooooooo</t>
        </is>
      </c>
      <c r="IB23" t="inlineStr">
        <is>
          <t>on</t>
        </is>
      </c>
      <c r="IC23" t="inlineStr">
        <is>
          <t>on</t>
        </is>
      </c>
      <c r="ID23" t="inlineStr">
        <is>
          <t>on</t>
        </is>
      </c>
      <c r="IE23" t="inlineStr">
        <is>
          <t>on</t>
        </is>
      </c>
      <c r="IF23" t="n">
        <v>0</v>
      </c>
      <c r="IG23" t="n">
        <v>100</v>
      </c>
      <c r="IH23" t="n">
        <v>100</v>
      </c>
      <c r="II23" t="n">
        <v>0.802</v>
      </c>
      <c r="IJ23" t="n">
        <v>-0.0964</v>
      </c>
      <c r="IK23" t="n">
        <v>0.679415161488521</v>
      </c>
      <c r="IL23" t="n">
        <v>0.000216929631606078</v>
      </c>
      <c r="IM23" t="n">
        <v>2.72263024731635e-07</v>
      </c>
      <c r="IN23" t="n">
        <v>-5.43792051235154e-11</v>
      </c>
      <c r="IO23" t="n">
        <v>-0.0186611500783675</v>
      </c>
      <c r="IP23" t="n">
        <v>-0.0584433849545669</v>
      </c>
      <c r="IQ23" t="n">
        <v>0.00341568706061026</v>
      </c>
      <c r="IR23" t="n">
        <v>-2.10952612506686e-05</v>
      </c>
      <c r="IS23" t="n">
        <v>0</v>
      </c>
      <c r="IT23" t="n">
        <v>1734</v>
      </c>
      <c r="IU23" t="n">
        <v>2</v>
      </c>
      <c r="IV23" t="n">
        <v>19</v>
      </c>
      <c r="IW23" t="n">
        <v>1.1</v>
      </c>
      <c r="IX23" t="n">
        <v>1</v>
      </c>
      <c r="IY23" t="n">
        <v>1.05591</v>
      </c>
      <c r="IZ23" t="n">
        <v>2.57202</v>
      </c>
      <c r="JA23" t="n">
        <v>1.34644</v>
      </c>
      <c r="JB23" t="n">
        <v>2.25952</v>
      </c>
      <c r="JC23" t="n">
        <v>1.55029</v>
      </c>
      <c r="JD23" t="n">
        <v>2.72461</v>
      </c>
      <c r="JE23" t="n">
        <v>36.9317</v>
      </c>
      <c r="JF23" t="n">
        <v>16.0146</v>
      </c>
      <c r="JG23" t="n">
        <v>18</v>
      </c>
      <c r="JH23" t="n">
        <v>499.919</v>
      </c>
      <c r="JI23" t="n">
        <v>471.566</v>
      </c>
      <c r="JJ23" t="n">
        <v>21.9236</v>
      </c>
      <c r="JK23" t="n">
        <v>28.0485</v>
      </c>
      <c r="JL23" t="n">
        <v>29.9998</v>
      </c>
      <c r="JM23" t="n">
        <v>28.0269</v>
      </c>
      <c r="JN23" t="n">
        <v>28.0383</v>
      </c>
      <c r="JO23" t="n">
        <v>21.1432</v>
      </c>
      <c r="JP23" t="n">
        <v>25.3997</v>
      </c>
      <c r="JQ23" t="n">
        <v>20.7026</v>
      </c>
      <c r="JR23" t="n">
        <v>21.8894</v>
      </c>
      <c r="JS23" t="n">
        <v>400</v>
      </c>
      <c r="JT23" t="n">
        <v>15.4713</v>
      </c>
      <c r="JU23" t="n">
        <v>101.719</v>
      </c>
      <c r="JV23" t="n">
        <v>97.3672</v>
      </c>
    </row>
    <row r="24">
      <c r="A24" t="n">
        <v>8</v>
      </c>
      <c r="B24" t="n">
        <v>1792294385.1</v>
      </c>
      <c r="C24" t="n">
        <v>873.099999904633</v>
      </c>
      <c r="D24" t="inlineStr">
        <is>
          <t>20261018 12:33:05</t>
        </is>
      </c>
      <c r="E24" t="inlineStr">
        <is>
          <t>12:33:05</t>
        </is>
      </c>
      <c r="F24" t="n">
        <v>5</v>
      </c>
      <c r="G24" t="n">
        <v>1792294381.6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-</t>
        </is>
      </c>
      <c r="AK24" t="inlineStr">
        <is>
          <t>-</t>
        </is>
      </c>
      <c r="AL24" t="n">
        <v>0</v>
      </c>
      <c r="AM24" t="n">
        <v>0</v>
      </c>
      <c r="AN24">
        <f>1-AL24/AM24</f>
        <v/>
      </c>
      <c r="AO24" t="n">
        <v>0</v>
      </c>
      <c r="AP24" t="inlineStr">
        <is>
          <t>-</t>
        </is>
      </c>
      <c r="AQ24" t="inlineStr">
        <is>
          <t>-</t>
        </is>
      </c>
      <c r="AR24" t="n">
        <v>0</v>
      </c>
      <c r="AS24" t="n">
        <v>0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BL24" t="n">
        <v>1157</v>
      </c>
      <c r="BM24" t="n">
        <v>290</v>
      </c>
      <c r="BN24" t="n">
        <v>880.28</v>
      </c>
      <c r="BO24" t="n">
        <v>165</v>
      </c>
      <c r="BP24" t="n">
        <v>8122.99</v>
      </c>
      <c r="BQ24" t="n">
        <v>875.35</v>
      </c>
      <c r="BR24" t="n">
        <v>4.93</v>
      </c>
      <c r="BS24" t="n">
        <v>300</v>
      </c>
      <c r="BT24" t="n">
        <v>19.3</v>
      </c>
      <c r="BU24" t="n">
        <v>898.8173603878</v>
      </c>
      <c r="BV24" t="n">
        <v>1.50311492518876</v>
      </c>
      <c r="BW24" t="n">
        <v>-19.0610088334602</v>
      </c>
      <c r="BX24" t="n">
        <v>1.09059022936042</v>
      </c>
      <c r="BY24" t="n">
        <v>0.91603442505378</v>
      </c>
      <c r="BZ24" t="n">
        <v>-0.00538388921023359</v>
      </c>
      <c r="CA24" t="n">
        <v>290</v>
      </c>
      <c r="CB24" t="n">
        <v>867.24</v>
      </c>
      <c r="CC24" t="n">
        <v>615</v>
      </c>
      <c r="CD24" t="n">
        <v>8107.04</v>
      </c>
      <c r="CE24" t="n">
        <v>875.3099999999999</v>
      </c>
      <c r="CF24" t="n">
        <v>-8.07</v>
      </c>
      <c r="CT24">
        <f>$B$11*DR24+$C$11*DS24+$F$11*ED24*(1-EG24)</f>
        <v/>
      </c>
      <c r="CU24">
        <f>CT24*CV24</f>
        <v/>
      </c>
      <c r="CV24">
        <f>($B$11*$D$9+$C$11*$D$9+$F$11*((EQ24+EI24)/MAX(EQ24+EI24+ER24, 0.1)*$I$9+ER24/MAX(EQ24+EI24+ER24, 0.1)*$J$9))/($B$11+$C$11+$F$11)</f>
        <v/>
      </c>
      <c r="CW24">
        <f>($B$11*$K$9+$C$11*$K$9+$F$11*((EQ24+EI24)/MAX(EQ24+EI24+ER24, 0.1)*$P$9+ER24/MAX(EQ24+EI24+ER24,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1792294381.6</v>
      </c>
      <c r="DC24" t="n">
        <v>688.048166666667</v>
      </c>
      <c r="DD24" t="n">
        <v>699.9863333333331</v>
      </c>
      <c r="DE24" t="n">
        <v>17.51205</v>
      </c>
      <c r="DF24" t="n">
        <v>15.6955666666667</v>
      </c>
      <c r="DG24" t="n">
        <v>687.089166666667</v>
      </c>
      <c r="DH24" t="n">
        <v>17.6128833333333</v>
      </c>
      <c r="DI24" t="n">
        <v>499.954333333333</v>
      </c>
      <c r="DJ24" t="n">
        <v>100.975333333333</v>
      </c>
      <c r="DK24" t="n">
        <v>0.0999878333333333</v>
      </c>
      <c r="DL24" t="n">
        <v>25.22855</v>
      </c>
      <c r="DM24" t="n">
        <v>25.0242666666667</v>
      </c>
      <c r="DN24" t="n">
        <v>999.9</v>
      </c>
      <c r="DO24" t="n">
        <v>0</v>
      </c>
      <c r="DP24" t="n">
        <v>0</v>
      </c>
      <c r="DQ24" t="n">
        <v>10005.63</v>
      </c>
      <c r="DR24" t="n">
        <v>0</v>
      </c>
      <c r="DS24" t="n">
        <v>6.48174</v>
      </c>
      <c r="DT24" t="n">
        <v>-11.9381166666667</v>
      </c>
      <c r="DU24" t="n">
        <v>700.312</v>
      </c>
      <c r="DV24" t="n">
        <v>711.148333333333</v>
      </c>
      <c r="DW24" t="n">
        <v>1.81650166666667</v>
      </c>
      <c r="DX24" t="n">
        <v>699.9863333333331</v>
      </c>
      <c r="DY24" t="n">
        <v>15.6955666666667</v>
      </c>
      <c r="DZ24" t="n">
        <v>1.768285</v>
      </c>
      <c r="EA24" t="n">
        <v>1.584865</v>
      </c>
      <c r="EB24" t="n">
        <v>15.5092166666667</v>
      </c>
      <c r="EC24" t="n">
        <v>13.8124166666667</v>
      </c>
      <c r="ED24" t="n">
        <v>1499.96333333333</v>
      </c>
      <c r="EE24" t="n">
        <v>0.973003833333333</v>
      </c>
      <c r="EF24" t="n">
        <v>0.02699605</v>
      </c>
      <c r="EG24" t="n">
        <v>0</v>
      </c>
      <c r="EH24" t="n">
        <v>319.962</v>
      </c>
      <c r="EI24" t="n">
        <v>5.00064</v>
      </c>
      <c r="EJ24" t="n">
        <v>4963.8</v>
      </c>
      <c r="EK24" t="n">
        <v>15438.85</v>
      </c>
      <c r="EL24" t="n">
        <v>40.875</v>
      </c>
      <c r="EM24" t="n">
        <v>41.604</v>
      </c>
      <c r="EN24" t="n">
        <v>41.187</v>
      </c>
      <c r="EO24" t="n">
        <v>41.187</v>
      </c>
      <c r="EP24" t="n">
        <v>42.375</v>
      </c>
      <c r="EQ24" t="n">
        <v>1454.60833333333</v>
      </c>
      <c r="ER24" t="n">
        <v>40.355</v>
      </c>
      <c r="ES24" t="n">
        <v>0</v>
      </c>
      <c r="ET24" t="n">
        <v>3591.10000014305</v>
      </c>
      <c r="EU24" t="n">
        <v>0</v>
      </c>
      <c r="EV24" t="n">
        <v>319.975230769231</v>
      </c>
      <c r="EW24" t="n">
        <v>-0.115282056694867</v>
      </c>
      <c r="EX24" t="n">
        <v>-2.74051281845197</v>
      </c>
      <c r="EY24" t="n">
        <v>4963.93615384615</v>
      </c>
      <c r="EZ24" t="n">
        <v>15</v>
      </c>
      <c r="FA24" t="n">
        <v>1792294327.1</v>
      </c>
      <c r="FB24" t="inlineStr">
        <is>
          <t>12:32:07</t>
        </is>
      </c>
      <c r="FC24" t="n">
        <v>1792294326.1</v>
      </c>
      <c r="FD24" t="n">
        <v>1792294327.1</v>
      </c>
      <c r="FE24" t="n">
        <v>29</v>
      </c>
      <c r="FF24" t="n">
        <v>0.02</v>
      </c>
      <c r="FG24" t="n">
        <v>0.003</v>
      </c>
      <c r="FH24" t="n">
        <v>0.965</v>
      </c>
      <c r="FI24" t="n">
        <v>-0.173</v>
      </c>
      <c r="FJ24" t="n">
        <v>700</v>
      </c>
      <c r="FK24" t="n">
        <v>16</v>
      </c>
      <c r="FL24" t="n">
        <v>0.19</v>
      </c>
      <c r="FM24" t="n">
        <v>0.02</v>
      </c>
      <c r="FN24" t="n">
        <v>26.6031315394638</v>
      </c>
      <c r="FO24" t="n">
        <v>0.314465688224356</v>
      </c>
      <c r="FP24" t="n">
        <v>0.133202587310259</v>
      </c>
      <c r="FQ24" t="n">
        <v>1</v>
      </c>
      <c r="FR24" t="n">
        <v>-11.941805</v>
      </c>
      <c r="FS24" t="n">
        <v>0.0498902255638998</v>
      </c>
      <c r="FT24" t="n">
        <v>0.0520838696239054</v>
      </c>
      <c r="FU24" t="n">
        <v>1</v>
      </c>
      <c r="FV24" t="n">
        <v>320.025735294118</v>
      </c>
      <c r="FW24" t="n">
        <v>-0.601268149184936</v>
      </c>
      <c r="FX24" t="n">
        <v>0.214618856255011</v>
      </c>
      <c r="FY24" t="n">
        <v>1</v>
      </c>
      <c r="FZ24" t="n">
        <v>3</v>
      </c>
      <c r="GA24" t="n">
        <v>3</v>
      </c>
      <c r="GB24" t="inlineStr">
        <is>
          <t>3/3</t>
        </is>
      </c>
      <c r="GC24" t="n">
        <v>3.12349</v>
      </c>
      <c r="GD24" t="n">
        <v>2.7653</v>
      </c>
      <c r="GE24" t="n">
        <v>0.129475</v>
      </c>
      <c r="GF24" t="n">
        <v>0.13441</v>
      </c>
      <c r="GG24" t="n">
        <v>0.0932047</v>
      </c>
      <c r="GH24" t="n">
        <v>0.0891854</v>
      </c>
      <c r="GI24" t="n">
        <v>16959.3</v>
      </c>
      <c r="GJ24" t="n">
        <v>25428</v>
      </c>
      <c r="GK24" t="n">
        <v>22764.6</v>
      </c>
      <c r="GL24" t="n">
        <v>30102</v>
      </c>
      <c r="GM24" t="n">
        <v>33862.6</v>
      </c>
      <c r="GN24" t="n">
        <v>34160.1</v>
      </c>
      <c r="GO24" t="n">
        <v>43072.6</v>
      </c>
      <c r="GP24" t="n">
        <v>42873.6</v>
      </c>
      <c r="GQ24" t="n">
        <v>1.971</v>
      </c>
      <c r="GR24" t="n">
        <v>1.80777</v>
      </c>
      <c r="GS24" t="n">
        <v>0.07043779999999999</v>
      </c>
      <c r="GT24" t="n">
        <v>0</v>
      </c>
      <c r="GU24" t="n">
        <v>23.875</v>
      </c>
      <c r="GV24" t="n">
        <v>999.9</v>
      </c>
      <c r="GW24" t="n">
        <v>37.737</v>
      </c>
      <c r="GX24" t="n">
        <v>33.113</v>
      </c>
      <c r="GY24" t="n">
        <v>19.0003</v>
      </c>
      <c r="GZ24" t="n">
        <v>63.122</v>
      </c>
      <c r="HA24" t="n">
        <v>36.5465</v>
      </c>
      <c r="HB24" t="n">
        <v>1</v>
      </c>
      <c r="HC24" t="n">
        <v>0.0710036</v>
      </c>
      <c r="HD24" t="n">
        <v>2.2487</v>
      </c>
      <c r="HE24" t="n">
        <v>20.2207</v>
      </c>
      <c r="HF24" t="n">
        <v>5.23481</v>
      </c>
      <c r="HG24" t="n">
        <v>11.962</v>
      </c>
      <c r="HH24" t="n">
        <v>4.96945</v>
      </c>
      <c r="HI24" t="n">
        <v>3.29505</v>
      </c>
      <c r="HJ24" t="n">
        <v>9999</v>
      </c>
      <c r="HK24" t="n">
        <v>9999</v>
      </c>
      <c r="HL24" t="n">
        <v>9999</v>
      </c>
      <c r="HM24" t="n">
        <v>999.9</v>
      </c>
      <c r="HN24" t="n">
        <v>4.9686</v>
      </c>
      <c r="HO24" t="n">
        <v>1.86249</v>
      </c>
      <c r="HP24" t="n">
        <v>1.86401</v>
      </c>
      <c r="HQ24" t="n">
        <v>1.866</v>
      </c>
      <c r="HR24" t="n">
        <v>1.86299</v>
      </c>
      <c r="HS24" t="n">
        <v>1.86668</v>
      </c>
      <c r="HT24" t="n">
        <v>1.86342</v>
      </c>
      <c r="HU24" t="n">
        <v>1.86538</v>
      </c>
      <c r="HV24" t="n">
        <v>0</v>
      </c>
      <c r="HW24" t="n">
        <v>0</v>
      </c>
      <c r="HX24" t="n">
        <v>0</v>
      </c>
      <c r="HY24" t="n">
        <v>0</v>
      </c>
      <c r="HZ24" t="inlineStr">
        <is>
          <t>11111111</t>
        </is>
      </c>
      <c r="IA24" t="inlineStr">
        <is>
          <t>oooooooo</t>
        </is>
      </c>
      <c r="IB24" t="inlineStr">
        <is>
          <t>on</t>
        </is>
      </c>
      <c r="IC24" t="inlineStr">
        <is>
          <t>on</t>
        </is>
      </c>
      <c r="ID24" t="inlineStr">
        <is>
          <t>on</t>
        </is>
      </c>
      <c r="IE24" t="inlineStr">
        <is>
          <t>on</t>
        </is>
      </c>
      <c r="IF24" t="n">
        <v>0</v>
      </c>
      <c r="IG24" t="n">
        <v>100</v>
      </c>
      <c r="IH24" t="n">
        <v>100</v>
      </c>
      <c r="II24" t="n">
        <v>0.958</v>
      </c>
      <c r="IJ24" t="n">
        <v>-0.1012</v>
      </c>
      <c r="IK24" t="n">
        <v>0.698929456608287</v>
      </c>
      <c r="IL24" t="n">
        <v>0.000216929631606078</v>
      </c>
      <c r="IM24" t="n">
        <v>2.72263024731635e-07</v>
      </c>
      <c r="IN24" t="n">
        <v>-5.43792051235154e-11</v>
      </c>
      <c r="IO24" t="n">
        <v>-0.0157970062664021</v>
      </c>
      <c r="IP24" t="n">
        <v>-0.0584433849545669</v>
      </c>
      <c r="IQ24" t="n">
        <v>0.00341568706061026</v>
      </c>
      <c r="IR24" t="n">
        <v>-2.10952612506686e-05</v>
      </c>
      <c r="IS24" t="n">
        <v>0</v>
      </c>
      <c r="IT24" t="n">
        <v>1734</v>
      </c>
      <c r="IU24" t="n">
        <v>2</v>
      </c>
      <c r="IV24" t="n">
        <v>19</v>
      </c>
      <c r="IW24" t="n">
        <v>1</v>
      </c>
      <c r="IX24" t="n">
        <v>1</v>
      </c>
      <c r="IY24" t="n">
        <v>1.64062</v>
      </c>
      <c r="IZ24" t="n">
        <v>2.57446</v>
      </c>
      <c r="JA24" t="n">
        <v>1.34766</v>
      </c>
      <c r="JB24" t="n">
        <v>2.26074</v>
      </c>
      <c r="JC24" t="n">
        <v>1.55029</v>
      </c>
      <c r="JD24" t="n">
        <v>2.62207</v>
      </c>
      <c r="JE24" t="n">
        <v>36.8842</v>
      </c>
      <c r="JF24" t="n">
        <v>15.9883</v>
      </c>
      <c r="JG24" t="n">
        <v>18</v>
      </c>
      <c r="JH24" t="n">
        <v>499.926</v>
      </c>
      <c r="JI24" t="n">
        <v>472.111</v>
      </c>
      <c r="JJ24" t="n">
        <v>21.5698</v>
      </c>
      <c r="JK24" t="n">
        <v>28.1005</v>
      </c>
      <c r="JL24" t="n">
        <v>30.0002</v>
      </c>
      <c r="JM24" t="n">
        <v>28.0744</v>
      </c>
      <c r="JN24" t="n">
        <v>28.0845</v>
      </c>
      <c r="JO24" t="n">
        <v>32.8407</v>
      </c>
      <c r="JP24" t="n">
        <v>24.544</v>
      </c>
      <c r="JQ24" t="n">
        <v>20.8727</v>
      </c>
      <c r="JR24" t="n">
        <v>21.5505</v>
      </c>
      <c r="JS24" t="n">
        <v>700</v>
      </c>
      <c r="JT24" t="n">
        <v>15.7354</v>
      </c>
      <c r="JU24" t="n">
        <v>101.705</v>
      </c>
      <c r="JV24" t="n">
        <v>97.35550000000001</v>
      </c>
    </row>
    <row r="25">
      <c r="A25" t="n">
        <v>9</v>
      </c>
      <c r="B25" t="n">
        <v>1792294515.1</v>
      </c>
      <c r="C25" t="n">
        <v>1003.09999990463</v>
      </c>
      <c r="D25" t="inlineStr">
        <is>
          <t>20261018 12:35:15</t>
        </is>
      </c>
      <c r="E25" t="inlineStr">
        <is>
          <t>12:35:15</t>
        </is>
      </c>
      <c r="F25" t="n">
        <v>5</v>
      </c>
      <c r="G25" t="n">
        <v>1792294511.6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-</t>
        </is>
      </c>
      <c r="AK25" t="inlineStr">
        <is>
          <t>-</t>
        </is>
      </c>
      <c r="AL25" t="n">
        <v>0</v>
      </c>
      <c r="AM25" t="n">
        <v>0</v>
      </c>
      <c r="AN25">
        <f>1-AL25/AM25</f>
        <v/>
      </c>
      <c r="AO25" t="n">
        <v>0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BL25" t="n">
        <v>1157</v>
      </c>
      <c r="BM25" t="n">
        <v>290</v>
      </c>
      <c r="BN25" t="n">
        <v>880.28</v>
      </c>
      <c r="BO25" t="n">
        <v>165</v>
      </c>
      <c r="BP25" t="n">
        <v>8122.99</v>
      </c>
      <c r="BQ25" t="n">
        <v>875.35</v>
      </c>
      <c r="BR25" t="n">
        <v>4.93</v>
      </c>
      <c r="BS25" t="n">
        <v>300</v>
      </c>
      <c r="BT25" t="n">
        <v>19.3</v>
      </c>
      <c r="BU25" t="n">
        <v>898.8173603878</v>
      </c>
      <c r="BV25" t="n">
        <v>1.50311492518876</v>
      </c>
      <c r="BW25" t="n">
        <v>-19.0610088334602</v>
      </c>
      <c r="BX25" t="n">
        <v>1.09059022936042</v>
      </c>
      <c r="BY25" t="n">
        <v>0.91603442505378</v>
      </c>
      <c r="BZ25" t="n">
        <v>-0.00538388921023359</v>
      </c>
      <c r="CA25" t="n">
        <v>290</v>
      </c>
      <c r="CB25" t="n">
        <v>867.24</v>
      </c>
      <c r="CC25" t="n">
        <v>615</v>
      </c>
      <c r="CD25" t="n">
        <v>8107.04</v>
      </c>
      <c r="CE25" t="n">
        <v>875.3099999999999</v>
      </c>
      <c r="CF25" t="n">
        <v>-8.07</v>
      </c>
      <c r="CT25">
        <f>$B$11*DR25+$C$11*DS25+$F$11*ED25*(1-EG25)</f>
        <v/>
      </c>
      <c r="CU25">
        <f>CT25*CV25</f>
        <v/>
      </c>
      <c r="CV25">
        <f>($B$11*$D$9+$C$11*$D$9+$F$11*((EQ25+EI25)/MAX(EQ25+EI25+ER25, 0.1)*$I$9+ER25/MAX(EQ25+EI25+ER25, 0.1)*$J$9))/($B$11+$C$11+$F$11)</f>
        <v/>
      </c>
      <c r="CW25">
        <f>($B$11*$K$9+$C$11*$K$9+$F$11*((EQ25+EI25)/MAX(EQ25+EI25+ER25, 0.1)*$P$9+ER25/MAX(EQ25+EI25+ER25,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1792294511.6</v>
      </c>
      <c r="DC25" t="n">
        <v>987.419166666667</v>
      </c>
      <c r="DD25" t="n">
        <v>1000.01916666667</v>
      </c>
      <c r="DE25" t="n">
        <v>17.3463666666667</v>
      </c>
      <c r="DF25" t="n">
        <v>15.9531</v>
      </c>
      <c r="DG25" t="n">
        <v>986.599</v>
      </c>
      <c r="DH25" t="n">
        <v>17.4541666666667</v>
      </c>
      <c r="DI25" t="n">
        <v>500.007333333333</v>
      </c>
      <c r="DJ25" t="n">
        <v>100.973333333333</v>
      </c>
      <c r="DK25" t="n">
        <v>0.100088416666667</v>
      </c>
      <c r="DL25" t="n">
        <v>25.0096833333333</v>
      </c>
      <c r="DM25" t="n">
        <v>25.07095</v>
      </c>
      <c r="DN25" t="n">
        <v>999.9</v>
      </c>
      <c r="DO25" t="n">
        <v>0</v>
      </c>
      <c r="DP25" t="n">
        <v>0</v>
      </c>
      <c r="DQ25" t="n">
        <v>10006.25</v>
      </c>
      <c r="DR25" t="n">
        <v>0</v>
      </c>
      <c r="DS25" t="n">
        <v>6.44491</v>
      </c>
      <c r="DT25" t="n">
        <v>-12.6004333333333</v>
      </c>
      <c r="DU25" t="n">
        <v>1004.85</v>
      </c>
      <c r="DV25" t="n">
        <v>1016.23166666667</v>
      </c>
      <c r="DW25" t="n">
        <v>1.39327</v>
      </c>
      <c r="DX25" t="n">
        <v>1000.01916666667</v>
      </c>
      <c r="DY25" t="n">
        <v>15.9531</v>
      </c>
      <c r="DZ25" t="n">
        <v>1.75151833333333</v>
      </c>
      <c r="EA25" t="n">
        <v>1.61083666666667</v>
      </c>
      <c r="EB25" t="n">
        <v>15.3607166666667</v>
      </c>
      <c r="EC25" t="n">
        <v>14.0628666666667</v>
      </c>
      <c r="ED25" t="n">
        <v>1500.015</v>
      </c>
      <c r="EE25" t="n">
        <v>0.973000166666667</v>
      </c>
      <c r="EF25" t="n">
        <v>0.02699985</v>
      </c>
      <c r="EG25" t="n">
        <v>0</v>
      </c>
      <c r="EH25" t="n">
        <v>319.3685</v>
      </c>
      <c r="EI25" t="n">
        <v>5.00064</v>
      </c>
      <c r="EJ25" t="n">
        <v>4952.60166666667</v>
      </c>
      <c r="EK25" t="n">
        <v>15439.3666666667</v>
      </c>
      <c r="EL25" t="n">
        <v>40.875</v>
      </c>
      <c r="EM25" t="n">
        <v>41.625</v>
      </c>
      <c r="EN25" t="n">
        <v>41.25</v>
      </c>
      <c r="EO25" t="n">
        <v>41.25</v>
      </c>
      <c r="EP25" t="n">
        <v>42.375</v>
      </c>
      <c r="EQ25" t="n">
        <v>1454.65</v>
      </c>
      <c r="ER25" t="n">
        <v>40.365</v>
      </c>
      <c r="ES25" t="n">
        <v>0</v>
      </c>
      <c r="ET25" t="n">
        <v>3720.70000004768</v>
      </c>
      <c r="EU25" t="n">
        <v>0</v>
      </c>
      <c r="EV25" t="n">
        <v>319.312884615385</v>
      </c>
      <c r="EW25" t="n">
        <v>-0.266700861128921</v>
      </c>
      <c r="EX25" t="n">
        <v>-17.2776068332177</v>
      </c>
      <c r="EY25" t="n">
        <v>4953.90961538461</v>
      </c>
      <c r="EZ25" t="n">
        <v>15</v>
      </c>
      <c r="FA25" t="n">
        <v>1792294461.1</v>
      </c>
      <c r="FB25" t="inlineStr">
        <is>
          <t>12:34:21</t>
        </is>
      </c>
      <c r="FC25" t="n">
        <v>1792294461.1</v>
      </c>
      <c r="FD25" t="n">
        <v>1792294451.1</v>
      </c>
      <c r="FE25" t="n">
        <v>30</v>
      </c>
      <c r="FF25" t="n">
        <v>-0.305</v>
      </c>
      <c r="FG25" t="n">
        <v>0</v>
      </c>
      <c r="FH25" t="n">
        <v>0.828</v>
      </c>
      <c r="FI25" t="n">
        <v>-0.163</v>
      </c>
      <c r="FJ25" t="n">
        <v>1000</v>
      </c>
      <c r="FK25" t="n">
        <v>16</v>
      </c>
      <c r="FL25" t="n">
        <v>0.19</v>
      </c>
      <c r="FM25" t="n">
        <v>0.03</v>
      </c>
      <c r="FN25" t="n">
        <v>28.3429041829009</v>
      </c>
      <c r="FO25" t="n">
        <v>-0.07978549505148561</v>
      </c>
      <c r="FP25" t="n">
        <v>0.235019881317232</v>
      </c>
      <c r="FQ25" t="n">
        <v>1</v>
      </c>
      <c r="FR25" t="n">
        <v>-12.734235</v>
      </c>
      <c r="FS25" t="n">
        <v>0.363676691729308</v>
      </c>
      <c r="FT25" t="n">
        <v>0.106504944838256</v>
      </c>
      <c r="FU25" t="n">
        <v>1</v>
      </c>
      <c r="FV25" t="n">
        <v>319.289911764706</v>
      </c>
      <c r="FW25" t="n">
        <v>0.680504201602059</v>
      </c>
      <c r="FX25" t="n">
        <v>0.225143139782236</v>
      </c>
      <c r="FY25" t="n">
        <v>1</v>
      </c>
      <c r="FZ25" t="n">
        <v>3</v>
      </c>
      <c r="GA25" t="n">
        <v>3</v>
      </c>
      <c r="GB25" t="inlineStr">
        <is>
          <t>3/3</t>
        </is>
      </c>
      <c r="GC25" t="n">
        <v>3.12358</v>
      </c>
      <c r="GD25" t="n">
        <v>2.76539</v>
      </c>
      <c r="GE25" t="n">
        <v>0.164032</v>
      </c>
      <c r="GF25" t="n">
        <v>0.169624</v>
      </c>
      <c r="GG25" t="n">
        <v>0.0925011</v>
      </c>
      <c r="GH25" t="n">
        <v>0.09018859999999999</v>
      </c>
      <c r="GI25" t="n">
        <v>16284.8</v>
      </c>
      <c r="GJ25" t="n">
        <v>24392.3</v>
      </c>
      <c r="GK25" t="n">
        <v>22762.9</v>
      </c>
      <c r="GL25" t="n">
        <v>30100.6</v>
      </c>
      <c r="GM25" t="n">
        <v>33890</v>
      </c>
      <c r="GN25" t="n">
        <v>34123.7</v>
      </c>
      <c r="GO25" t="n">
        <v>43070.3</v>
      </c>
      <c r="GP25" t="n">
        <v>42872.4</v>
      </c>
      <c r="GQ25" t="n">
        <v>1.97038</v>
      </c>
      <c r="GR25" t="n">
        <v>1.80833</v>
      </c>
      <c r="GS25" t="n">
        <v>0.08159130000000001</v>
      </c>
      <c r="GT25" t="n">
        <v>0</v>
      </c>
      <c r="GU25" t="n">
        <v>23.7343</v>
      </c>
      <c r="GV25" t="n">
        <v>999.9</v>
      </c>
      <c r="GW25" t="n">
        <v>37.804</v>
      </c>
      <c r="GX25" t="n">
        <v>33.113</v>
      </c>
      <c r="GY25" t="n">
        <v>19.0351</v>
      </c>
      <c r="GZ25" t="n">
        <v>63.382</v>
      </c>
      <c r="HA25" t="n">
        <v>36.6026</v>
      </c>
      <c r="HB25" t="n">
        <v>1</v>
      </c>
      <c r="HC25" t="n">
        <v>0.0734426</v>
      </c>
      <c r="HD25" t="n">
        <v>2.37632</v>
      </c>
      <c r="HE25" t="n">
        <v>20.2195</v>
      </c>
      <c r="HF25" t="n">
        <v>5.22942</v>
      </c>
      <c r="HG25" t="n">
        <v>11.962</v>
      </c>
      <c r="HH25" t="n">
        <v>4.9692</v>
      </c>
      <c r="HI25" t="n">
        <v>3.29513</v>
      </c>
      <c r="HJ25" t="n">
        <v>9999</v>
      </c>
      <c r="HK25" t="n">
        <v>9999</v>
      </c>
      <c r="HL25" t="n">
        <v>9999</v>
      </c>
      <c r="HM25" t="n">
        <v>999.9</v>
      </c>
      <c r="HN25" t="n">
        <v>4.96858</v>
      </c>
      <c r="HO25" t="n">
        <v>1.86249</v>
      </c>
      <c r="HP25" t="n">
        <v>1.86402</v>
      </c>
      <c r="HQ25" t="n">
        <v>1.866</v>
      </c>
      <c r="HR25" t="n">
        <v>1.86301</v>
      </c>
      <c r="HS25" t="n">
        <v>1.86667</v>
      </c>
      <c r="HT25" t="n">
        <v>1.86343</v>
      </c>
      <c r="HU25" t="n">
        <v>1.86539</v>
      </c>
      <c r="HV25" t="n">
        <v>0</v>
      </c>
      <c r="HW25" t="n">
        <v>0</v>
      </c>
      <c r="HX25" t="n">
        <v>0</v>
      </c>
      <c r="HY25" t="n">
        <v>0</v>
      </c>
      <c r="HZ25" t="inlineStr">
        <is>
          <t>11111111</t>
        </is>
      </c>
      <c r="IA25" t="inlineStr">
        <is>
          <t>oooooooo</t>
        </is>
      </c>
      <c r="IB25" t="inlineStr">
        <is>
          <t>on</t>
        </is>
      </c>
      <c r="IC25" t="inlineStr">
        <is>
          <t>on</t>
        </is>
      </c>
      <c r="ID25" t="inlineStr">
        <is>
          <t>on</t>
        </is>
      </c>
      <c r="IE25" t="inlineStr">
        <is>
          <t>on</t>
        </is>
      </c>
      <c r="IF25" t="n">
        <v>0</v>
      </c>
      <c r="IG25" t="n">
        <v>100</v>
      </c>
      <c r="IH25" t="n">
        <v>100</v>
      </c>
      <c r="II25" t="n">
        <v>0.82</v>
      </c>
      <c r="IJ25" t="n">
        <v>-0.1091</v>
      </c>
      <c r="IK25" t="n">
        <v>0.393395627636754</v>
      </c>
      <c r="IL25" t="n">
        <v>0.000216929631606078</v>
      </c>
      <c r="IM25" t="n">
        <v>2.72263024731635e-07</v>
      </c>
      <c r="IN25" t="n">
        <v>-5.43792051235154e-11</v>
      </c>
      <c r="IO25" t="n">
        <v>-0.0161252458057264</v>
      </c>
      <c r="IP25" t="n">
        <v>-0.0584433849545669</v>
      </c>
      <c r="IQ25" t="n">
        <v>0.00341568706061026</v>
      </c>
      <c r="IR25" t="n">
        <v>-2.10952612506686e-05</v>
      </c>
      <c r="IS25" t="n">
        <v>0</v>
      </c>
      <c r="IT25" t="n">
        <v>1734</v>
      </c>
      <c r="IU25" t="n">
        <v>2</v>
      </c>
      <c r="IV25" t="n">
        <v>19</v>
      </c>
      <c r="IW25" t="n">
        <v>0.9</v>
      </c>
      <c r="IX25" t="n">
        <v>1.1</v>
      </c>
      <c r="IY25" t="n">
        <v>2.18384</v>
      </c>
      <c r="IZ25" t="n">
        <v>2.5647</v>
      </c>
      <c r="JA25" t="n">
        <v>1.34644</v>
      </c>
      <c r="JB25" t="n">
        <v>2.25952</v>
      </c>
      <c r="JC25" t="n">
        <v>1.55029</v>
      </c>
      <c r="JD25" t="n">
        <v>2.61475</v>
      </c>
      <c r="JE25" t="n">
        <v>36.8604</v>
      </c>
      <c r="JF25" t="n">
        <v>15.9795</v>
      </c>
      <c r="JG25" t="n">
        <v>18</v>
      </c>
      <c r="JH25" t="n">
        <v>499.891</v>
      </c>
      <c r="JI25" t="n">
        <v>472.846</v>
      </c>
      <c r="JJ25" t="n">
        <v>21.4099</v>
      </c>
      <c r="JK25" t="n">
        <v>28.147</v>
      </c>
      <c r="JL25" t="n">
        <v>30.0007</v>
      </c>
      <c r="JM25" t="n">
        <v>28.1154</v>
      </c>
      <c r="JN25" t="n">
        <v>28.1249</v>
      </c>
      <c r="JO25" t="n">
        <v>43.7036</v>
      </c>
      <c r="JP25" t="n">
        <v>23.2544</v>
      </c>
      <c r="JQ25" t="n">
        <v>20.7695</v>
      </c>
      <c r="JR25" t="n">
        <v>21.3084</v>
      </c>
      <c r="JS25" t="n">
        <v>1000</v>
      </c>
      <c r="JT25" t="n">
        <v>15.9256</v>
      </c>
      <c r="JU25" t="n">
        <v>101.699</v>
      </c>
      <c r="JV25" t="n">
        <v>97.35209999999999</v>
      </c>
    </row>
    <row r="26">
      <c r="A26" t="n">
        <v>10</v>
      </c>
      <c r="B26" t="n">
        <v>1792294666.1</v>
      </c>
      <c r="C26" t="n">
        <v>1154.09999990463</v>
      </c>
      <c r="D26" t="inlineStr">
        <is>
          <t>20261018 12:37:46</t>
        </is>
      </c>
      <c r="E26" t="inlineStr">
        <is>
          <t>12:37:46</t>
        </is>
      </c>
      <c r="F26" t="n">
        <v>5</v>
      </c>
      <c r="G26" t="n">
        <v>1792294663.1</v>
      </c>
      <c r="H26">
        <f>(I26)/1000</f>
        <v/>
      </c>
      <c r="I26">
        <f>1000*DI26*AG26*(DE26-DF26)/(100*CX26*(1000-AG26*DE26))</f>
        <v/>
      </c>
      <c r="J26">
        <f>DI26*AG26*(DD26-DC26*(1000-AG26*DF26)/(1000-AG26*DE26))/(100*CX26)</f>
        <v/>
      </c>
      <c r="K26">
        <f>DC26 - IF(AG26&gt;1, J26*CX26*100.0/(AI26), 0)</f>
        <v/>
      </c>
      <c r="L26">
        <f>((R26-H26/2)*K26-J26)/(R26+H26/2)</f>
        <v/>
      </c>
      <c r="M26">
        <f>L26*(DJ26+DK26)/1000.0</f>
        <v/>
      </c>
      <c r="N26">
        <f>(DC26 - IF(AG26&gt;1, J26*CX26*100.0/(AI26), 0))*(DJ26+DK26)/1000.0</f>
        <v/>
      </c>
      <c r="O26">
        <f>2.0/((1/Q26-1/P26)+SIGN(Q26)*SQRT((1/Q26-1/P26)*(1/Q26-1/P26) + 4*CY26/((CY26+1)*(CY26+1))*(2*1/Q26*1/P26-1/P26*1/P26)))</f>
        <v/>
      </c>
      <c r="P26">
        <f>IF(LEFT(CZ26,1)&lt;&gt;"0",IF(LEFT(CZ26,1)="1",3.0,DA26),$D$5+$E$5*(DQ26*DJ26/($K$5*1000))+$F$5*(DQ26*DJ26/($K$5*1000))*MAX(MIN(CX26,$J$5),$I$5)*MAX(MIN(CX26,$J$5),$I$5)+$G$5*MAX(MIN(CX26,$J$5),$I$5)*(DQ26*DJ26/($K$5*1000))+$H$5*(DQ26*DJ26/($K$5*1000))*(DQ26*DJ26/($K$5*1000)))</f>
        <v/>
      </c>
      <c r="Q26">
        <f>H26*(1000-(1000*0.61365*exp(17.502*U26/(240.97+U26))/(DJ26+DK26)+DE26)/2)/(1000*0.61365*exp(17.502*U26/(240.97+U26))/(DJ26+DK26)-DE26)</f>
        <v/>
      </c>
      <c r="R26">
        <f>1/((CY26+1)/(O26/1.6)+1/(P26/1.37)) + CY26/((CY26+1)/(O26/1.6) + CY26/(P26/1.37))</f>
        <v/>
      </c>
      <c r="S26">
        <f>(CT26*CW26)</f>
        <v/>
      </c>
      <c r="T26">
        <f>(DL26+(S26+2*0.95*5.67E-8*(((DL26+$B$7)+273)^4-(DL26+273)^4)-44100*H26)/(1.84*29.3*P26+8*0.95*5.67E-8*(DL26+273)^3))</f>
        <v/>
      </c>
      <c r="U26">
        <f>($C$7*DM26+$D$7*DN26+$E$7*T26)</f>
        <v/>
      </c>
      <c r="V26">
        <f>0.61365*exp(17.502*U26/(240.97+U26))</f>
        <v/>
      </c>
      <c r="W26">
        <f>(X26/Y26*100)</f>
        <v/>
      </c>
      <c r="X26">
        <f>DE26*(DJ26+DK26)/1000</f>
        <v/>
      </c>
      <c r="Y26">
        <f>0.61365*exp(17.502*DL26/(240.97+DL26))</f>
        <v/>
      </c>
      <c r="Z26">
        <f>(V26-DE26*(DJ26+DK26)/1000)</f>
        <v/>
      </c>
      <c r="AA26">
        <f>(-H26*44100)</f>
        <v/>
      </c>
      <c r="AB26">
        <f>2*29.3*P26*0.92*(DL26-U26)</f>
        <v/>
      </c>
      <c r="AC26">
        <f>2*0.95*5.67E-8*(((DL26+$B$7)+273)^4-(U26+273)^4)</f>
        <v/>
      </c>
      <c r="AD26">
        <f>S26+AC26+AA26+AB26</f>
        <v/>
      </c>
      <c r="AE26" t="n">
        <v>0</v>
      </c>
      <c r="AF26" t="n">
        <v>0</v>
      </c>
      <c r="AG26">
        <f>IF(AE26*$H$13&gt;=AI26,1.0,(AI26/(AI26-AE26*$H$13)))</f>
        <v/>
      </c>
      <c r="AH26">
        <f>(AG26-1)*100</f>
        <v/>
      </c>
      <c r="AI26">
        <f>MAX(0,($B$13+$C$13*DQ26)/(1+$D$13*DQ26)*DJ26/(DL26+273)*$E$13)</f>
        <v/>
      </c>
      <c r="AJ26" t="inlineStr">
        <is>
          <t>-</t>
        </is>
      </c>
      <c r="AK26" t="inlineStr">
        <is>
          <t>-</t>
        </is>
      </c>
      <c r="AL26" t="n">
        <v>0</v>
      </c>
      <c r="AM26" t="n">
        <v>0</v>
      </c>
      <c r="AN26">
        <f>1-AL26/AM26</f>
        <v/>
      </c>
      <c r="AO26" t="n">
        <v>0</v>
      </c>
      <c r="AP26" t="inlineStr">
        <is>
          <t>-</t>
        </is>
      </c>
      <c r="AQ26" t="inlineStr">
        <is>
          <t>-</t>
        </is>
      </c>
      <c r="AR26" t="n">
        <v>0</v>
      </c>
      <c r="AS26" t="n">
        <v>0</v>
      </c>
      <c r="AT26">
        <f>1-AR26/AS26</f>
        <v/>
      </c>
      <c r="AU26" t="n">
        <v>0.5</v>
      </c>
      <c r="AV26">
        <f>CU26</f>
        <v/>
      </c>
      <c r="AW26">
        <f>J26</f>
        <v/>
      </c>
      <c r="AX26">
        <f>AT26*AU26*AV26</f>
        <v/>
      </c>
      <c r="AY26">
        <f>(AW26-AO26)/AV26</f>
        <v/>
      </c>
      <c r="AZ26">
        <f>(AM26-AS26)/AS26</f>
        <v/>
      </c>
      <c r="BA26">
        <f>AL26/(AN26+AL26/AS26)</f>
        <v/>
      </c>
      <c r="BB26" t="inlineStr">
        <is>
          <t>-</t>
        </is>
      </c>
      <c r="BC26" t="n">
        <v>0</v>
      </c>
      <c r="BD26">
        <f>IF(BC26&lt;&gt;0, BC26, BA26)</f>
        <v/>
      </c>
      <c r="BE26">
        <f>1-BD26/AS26</f>
        <v/>
      </c>
      <c r="BF26">
        <f>(AS26-AR26)/(AS26-BD26)</f>
        <v/>
      </c>
      <c r="BG26">
        <f>(AM26-AS26)/(AM26-BD26)</f>
        <v/>
      </c>
      <c r="BH26">
        <f>(AS26-AR26)/(AS26-AL26)</f>
        <v/>
      </c>
      <c r="BI26">
        <f>(AM26-AS26)/(AM26-AL26)</f>
        <v/>
      </c>
      <c r="BJ26">
        <f>(BF26*BD26/AR26)</f>
        <v/>
      </c>
      <c r="BK26">
        <f>(1-BJ26)</f>
        <v/>
      </c>
      <c r="BL26" t="n">
        <v>1157</v>
      </c>
      <c r="BM26" t="n">
        <v>290</v>
      </c>
      <c r="BN26" t="n">
        <v>880.28</v>
      </c>
      <c r="BO26" t="n">
        <v>165</v>
      </c>
      <c r="BP26" t="n">
        <v>8122.99</v>
      </c>
      <c r="BQ26" t="n">
        <v>875.35</v>
      </c>
      <c r="BR26" t="n">
        <v>4.93</v>
      </c>
      <c r="BS26" t="n">
        <v>300</v>
      </c>
      <c r="BT26" t="n">
        <v>19.3</v>
      </c>
      <c r="BU26" t="n">
        <v>898.8173603878</v>
      </c>
      <c r="BV26" t="n">
        <v>1.50311492518876</v>
      </c>
      <c r="BW26" t="n">
        <v>-19.0610088334602</v>
      </c>
      <c r="BX26" t="n">
        <v>1.09059022936042</v>
      </c>
      <c r="BY26" t="n">
        <v>0.91603442505378</v>
      </c>
      <c r="BZ26" t="n">
        <v>-0.00538388921023359</v>
      </c>
      <c r="CA26" t="n">
        <v>290</v>
      </c>
      <c r="CB26" t="n">
        <v>867.24</v>
      </c>
      <c r="CC26" t="n">
        <v>615</v>
      </c>
      <c r="CD26" t="n">
        <v>8107.04</v>
      </c>
      <c r="CE26" t="n">
        <v>875.3099999999999</v>
      </c>
      <c r="CF26" t="n">
        <v>-8.07</v>
      </c>
      <c r="CT26">
        <f>$B$11*DR26+$C$11*DS26+$F$11*ED26*(1-EG26)</f>
        <v/>
      </c>
      <c r="CU26">
        <f>CT26*CV26</f>
        <v/>
      </c>
      <c r="CV26">
        <f>($B$11*$D$9+$C$11*$D$9+$F$11*((EQ26+EI26)/MAX(EQ26+EI26+ER26, 0.1)*$I$9+ER26/MAX(EQ26+EI26+ER26, 0.1)*$J$9))/($B$11+$C$11+$F$11)</f>
        <v/>
      </c>
      <c r="CW26">
        <f>($B$11*$K$9+$C$11*$K$9+$F$11*((EQ26+EI26)/MAX(EQ26+EI26+ER26, 0.1)*$P$9+ER26/MAX(EQ26+EI26+ER26, 0.1)*$Q$9))/($B$11+$C$11+$F$11)</f>
        <v/>
      </c>
      <c r="CX26" t="n">
        <v>2</v>
      </c>
      <c r="CY26" t="n">
        <v>0.5</v>
      </c>
      <c r="CZ26" t="inlineStr">
        <is>
          <t>0: Broadleaf</t>
        </is>
      </c>
      <c r="DA26" t="n">
        <v>2</v>
      </c>
      <c r="DB26" t="n">
        <v>1792294663.1</v>
      </c>
      <c r="DC26" t="n">
        <v>1187.576</v>
      </c>
      <c r="DD26" t="n">
        <v>1200.034</v>
      </c>
      <c r="DE26" t="n">
        <v>17.10924</v>
      </c>
      <c r="DF26" t="n">
        <v>16.31662</v>
      </c>
      <c r="DG26" t="n">
        <v>1186.204</v>
      </c>
      <c r="DH26" t="n">
        <v>17.22614</v>
      </c>
      <c r="DI26" t="n">
        <v>499.9352</v>
      </c>
      <c r="DJ26" t="n">
        <v>100.967</v>
      </c>
      <c r="DK26" t="n">
        <v>0.09990773999999999</v>
      </c>
      <c r="DL26" t="n">
        <v>24.74818</v>
      </c>
      <c r="DM26" t="n">
        <v>25.05592</v>
      </c>
      <c r="DN26" t="n">
        <v>999.9</v>
      </c>
      <c r="DO26" t="n">
        <v>0</v>
      </c>
      <c r="DP26" t="n">
        <v>0</v>
      </c>
      <c r="DQ26" t="n">
        <v>10005.884</v>
      </c>
      <c r="DR26" t="n">
        <v>0</v>
      </c>
      <c r="DS26" t="n">
        <v>6.358978</v>
      </c>
      <c r="DT26" t="n">
        <v>-12.45654</v>
      </c>
      <c r="DU26" t="n">
        <v>1208.248</v>
      </c>
      <c r="DV26" t="n">
        <v>1219.938</v>
      </c>
      <c r="DW26" t="n">
        <v>0.7926436</v>
      </c>
      <c r="DX26" t="n">
        <v>1200.034</v>
      </c>
      <c r="DY26" t="n">
        <v>16.31662</v>
      </c>
      <c r="DZ26" t="n">
        <v>1.72747</v>
      </c>
      <c r="EA26" t="n">
        <v>1.647436</v>
      </c>
      <c r="EB26" t="n">
        <v>15.1455</v>
      </c>
      <c r="EC26" t="n">
        <v>14.40982</v>
      </c>
      <c r="ED26" t="n">
        <v>1500.006</v>
      </c>
      <c r="EE26" t="n">
        <v>0.9729956</v>
      </c>
      <c r="EF26" t="n">
        <v>0.0270042</v>
      </c>
      <c r="EG26" t="n">
        <v>0</v>
      </c>
      <c r="EH26" t="n">
        <v>318.6976</v>
      </c>
      <c r="EI26" t="n">
        <v>5.00064</v>
      </c>
      <c r="EJ26" t="n">
        <v>4945.846</v>
      </c>
      <c r="EK26" t="n">
        <v>15439.26</v>
      </c>
      <c r="EL26" t="n">
        <v>40.875</v>
      </c>
      <c r="EM26" t="n">
        <v>41.625</v>
      </c>
      <c r="EN26" t="n">
        <v>41.25</v>
      </c>
      <c r="EO26" t="n">
        <v>41.25</v>
      </c>
      <c r="EP26" t="n">
        <v>42.375</v>
      </c>
      <c r="EQ26" t="n">
        <v>1454.632</v>
      </c>
      <c r="ER26" t="n">
        <v>40.374</v>
      </c>
      <c r="ES26" t="n">
        <v>0</v>
      </c>
      <c r="ET26" t="n">
        <v>3871.90000009537</v>
      </c>
      <c r="EU26" t="n">
        <v>0</v>
      </c>
      <c r="EV26" t="n">
        <v>318.679692307692</v>
      </c>
      <c r="EW26" t="n">
        <v>0.260307684405929</v>
      </c>
      <c r="EX26" t="n">
        <v>7.45641025926112</v>
      </c>
      <c r="EY26" t="n">
        <v>4945.19769230769</v>
      </c>
      <c r="EZ26" t="n">
        <v>15</v>
      </c>
      <c r="FA26" t="n">
        <v>1792294615.1</v>
      </c>
      <c r="FB26" t="inlineStr">
        <is>
          <t>12:36:55</t>
        </is>
      </c>
      <c r="FC26" t="n">
        <v>1792294615.1</v>
      </c>
      <c r="FD26" t="n">
        <v>1792294613.1</v>
      </c>
      <c r="FE26" t="n">
        <v>31</v>
      </c>
      <c r="FF26" t="n">
        <v>0.429</v>
      </c>
      <c r="FG26" t="n">
        <v>0</v>
      </c>
      <c r="FH26" t="n">
        <v>1.38</v>
      </c>
      <c r="FI26" t="n">
        <v>-0.15</v>
      </c>
      <c r="FJ26" t="n">
        <v>1200</v>
      </c>
      <c r="FK26" t="n">
        <v>16</v>
      </c>
      <c r="FL26" t="n">
        <v>0.2</v>
      </c>
      <c r="FM26" t="n">
        <v>0.09</v>
      </c>
      <c r="FN26" t="n">
        <v>28.8723286378082</v>
      </c>
      <c r="FO26" t="n">
        <v>-0.261825012325439</v>
      </c>
      <c r="FP26" t="n">
        <v>0.125853677970263</v>
      </c>
      <c r="FQ26" t="n">
        <v>1</v>
      </c>
      <c r="FR26" t="n">
        <v>-12.4980238095238</v>
      </c>
      <c r="FS26" t="n">
        <v>0.284672727272722</v>
      </c>
      <c r="FT26" t="n">
        <v>0.0542713719566674</v>
      </c>
      <c r="FU26" t="n">
        <v>1</v>
      </c>
      <c r="FV26" t="n">
        <v>318.641205882353</v>
      </c>
      <c r="FW26" t="n">
        <v>0.198426278789791</v>
      </c>
      <c r="FX26" t="n">
        <v>0.230974251100162</v>
      </c>
      <c r="FY26" t="n">
        <v>1</v>
      </c>
      <c r="FZ26" t="n">
        <v>3</v>
      </c>
      <c r="GA26" t="n">
        <v>3</v>
      </c>
      <c r="GB26" t="inlineStr">
        <is>
          <t>3/3</t>
        </is>
      </c>
      <c r="GC26" t="n">
        <v>3.12345</v>
      </c>
      <c r="GD26" t="n">
        <v>2.76534</v>
      </c>
      <c r="GE26" t="n">
        <v>0.183836</v>
      </c>
      <c r="GF26" t="n">
        <v>0.189838</v>
      </c>
      <c r="GG26" t="n">
        <v>0.09168129999999999</v>
      </c>
      <c r="GH26" t="n">
        <v>0.0916183</v>
      </c>
      <c r="GI26" t="n">
        <v>15897.5</v>
      </c>
      <c r="GJ26" t="n">
        <v>23796.9</v>
      </c>
      <c r="GK26" t="n">
        <v>22760.9</v>
      </c>
      <c r="GL26" t="n">
        <v>30098.8</v>
      </c>
      <c r="GM26" t="n">
        <v>33920.2</v>
      </c>
      <c r="GN26" t="n">
        <v>34069.4</v>
      </c>
      <c r="GO26" t="n">
        <v>43067</v>
      </c>
      <c r="GP26" t="n">
        <v>42870.1</v>
      </c>
      <c r="GQ26" t="n">
        <v>1.96963</v>
      </c>
      <c r="GR26" t="n">
        <v>1.80925</v>
      </c>
      <c r="GS26" t="n">
        <v>0.08924310000000001</v>
      </c>
      <c r="GT26" t="n">
        <v>0</v>
      </c>
      <c r="GU26" t="n">
        <v>23.5642</v>
      </c>
      <c r="GV26" t="n">
        <v>999.9</v>
      </c>
      <c r="GW26" t="n">
        <v>37.969</v>
      </c>
      <c r="GX26" t="n">
        <v>33.083</v>
      </c>
      <c r="GY26" t="n">
        <v>19.086</v>
      </c>
      <c r="GZ26" t="n">
        <v>63.012</v>
      </c>
      <c r="HA26" t="n">
        <v>36.7067</v>
      </c>
      <c r="HB26" t="n">
        <v>1</v>
      </c>
      <c r="HC26" t="n">
        <v>0.07803350000000001</v>
      </c>
      <c r="HD26" t="n">
        <v>2.94736</v>
      </c>
      <c r="HE26" t="n">
        <v>20.2099</v>
      </c>
      <c r="HF26" t="n">
        <v>5.23077</v>
      </c>
      <c r="HG26" t="n">
        <v>11.962</v>
      </c>
      <c r="HH26" t="n">
        <v>4.9682</v>
      </c>
      <c r="HI26" t="n">
        <v>3.29435</v>
      </c>
      <c r="HJ26" t="n">
        <v>9999</v>
      </c>
      <c r="HK26" t="n">
        <v>9999</v>
      </c>
      <c r="HL26" t="n">
        <v>9999</v>
      </c>
      <c r="HM26" t="n">
        <v>999.9</v>
      </c>
      <c r="HN26" t="n">
        <v>4.96859</v>
      </c>
      <c r="HO26" t="n">
        <v>1.86249</v>
      </c>
      <c r="HP26" t="n">
        <v>1.86401</v>
      </c>
      <c r="HQ26" t="n">
        <v>1.866</v>
      </c>
      <c r="HR26" t="n">
        <v>1.86298</v>
      </c>
      <c r="HS26" t="n">
        <v>1.86665</v>
      </c>
      <c r="HT26" t="n">
        <v>1.86346</v>
      </c>
      <c r="HU26" t="n">
        <v>1.86538</v>
      </c>
      <c r="HV26" t="n">
        <v>0</v>
      </c>
      <c r="HW26" t="n">
        <v>0</v>
      </c>
      <c r="HX26" t="n">
        <v>0</v>
      </c>
      <c r="HY26" t="n">
        <v>0</v>
      </c>
      <c r="HZ26" t="inlineStr">
        <is>
          <t>11111111</t>
        </is>
      </c>
      <c r="IA26" t="inlineStr">
        <is>
          <t>oooooooo</t>
        </is>
      </c>
      <c r="IB26" t="inlineStr">
        <is>
          <t>on</t>
        </is>
      </c>
      <c r="IC26" t="inlineStr">
        <is>
          <t>on</t>
        </is>
      </c>
      <c r="ID26" t="inlineStr">
        <is>
          <t>on</t>
        </is>
      </c>
      <c r="IE26" t="inlineStr">
        <is>
          <t>on</t>
        </is>
      </c>
      <c r="IF26" t="n">
        <v>0</v>
      </c>
      <c r="IG26" t="n">
        <v>100</v>
      </c>
      <c r="IH26" t="n">
        <v>100</v>
      </c>
      <c r="II26" t="n">
        <v>1.37</v>
      </c>
      <c r="IJ26" t="n">
        <v>-0.1174</v>
      </c>
      <c r="IK26" t="n">
        <v>0.822475435122777</v>
      </c>
      <c r="IL26" t="n">
        <v>0.000216929631606078</v>
      </c>
      <c r="IM26" t="n">
        <v>2.72263024731635e-07</v>
      </c>
      <c r="IN26" t="n">
        <v>-5.43792051235154e-11</v>
      </c>
      <c r="IO26" t="n">
        <v>-0.0158496880582905</v>
      </c>
      <c r="IP26" t="n">
        <v>-0.0584433849545669</v>
      </c>
      <c r="IQ26" t="n">
        <v>0.00341568706061026</v>
      </c>
      <c r="IR26" t="n">
        <v>-2.10952612506686e-05</v>
      </c>
      <c r="IS26" t="n">
        <v>0</v>
      </c>
      <c r="IT26" t="n">
        <v>1734</v>
      </c>
      <c r="IU26" t="n">
        <v>2</v>
      </c>
      <c r="IV26" t="n">
        <v>19</v>
      </c>
      <c r="IW26" t="n">
        <v>0.8</v>
      </c>
      <c r="IX26" t="n">
        <v>0.9</v>
      </c>
      <c r="IY26" t="n">
        <v>2.52686</v>
      </c>
      <c r="IZ26" t="n">
        <v>2.54639</v>
      </c>
      <c r="JA26" t="n">
        <v>1.34644</v>
      </c>
      <c r="JB26" t="n">
        <v>2.25952</v>
      </c>
      <c r="JC26" t="n">
        <v>1.55029</v>
      </c>
      <c r="JD26" t="n">
        <v>2.72949</v>
      </c>
      <c r="JE26" t="n">
        <v>36.8366</v>
      </c>
      <c r="JF26" t="n">
        <v>15.9708</v>
      </c>
      <c r="JG26" t="n">
        <v>18</v>
      </c>
      <c r="JH26" t="n">
        <v>499.733</v>
      </c>
      <c r="JI26" t="n">
        <v>473.81</v>
      </c>
      <c r="JJ26" t="n">
        <v>20.4977</v>
      </c>
      <c r="JK26" t="n">
        <v>28.1758</v>
      </c>
      <c r="JL26" t="n">
        <v>29.9999</v>
      </c>
      <c r="JM26" t="n">
        <v>28.1512</v>
      </c>
      <c r="JN26" t="n">
        <v>28.1619</v>
      </c>
      <c r="JO26" t="n">
        <v>50.5747</v>
      </c>
      <c r="JP26" t="n">
        <v>21.5036</v>
      </c>
      <c r="JQ26" t="n">
        <v>21.878</v>
      </c>
      <c r="JR26" t="n">
        <v>20.4695</v>
      </c>
      <c r="JS26" t="n">
        <v>1200</v>
      </c>
      <c r="JT26" t="n">
        <v>16.2889</v>
      </c>
      <c r="JU26" t="n">
        <v>101.69</v>
      </c>
      <c r="JV26" t="n">
        <v>97.3466</v>
      </c>
    </row>
    <row r="27">
      <c r="A27" t="n">
        <v>11</v>
      </c>
      <c r="B27" t="n">
        <v>1792294793.1</v>
      </c>
      <c r="C27" t="n">
        <v>1281.09999990463</v>
      </c>
      <c r="D27" t="inlineStr">
        <is>
          <t>20261018 12:39:53</t>
        </is>
      </c>
      <c r="E27" t="inlineStr">
        <is>
          <t>12:39:53</t>
        </is>
      </c>
      <c r="F27" t="n">
        <v>5</v>
      </c>
      <c r="G27" t="n">
        <v>1792294789.6</v>
      </c>
      <c r="H27">
        <f>(I27)/1000</f>
        <v/>
      </c>
      <c r="I27">
        <f>1000*DI27*AG27*(DE27-DF27)/(100*CX27*(1000-AG27*DE27))</f>
        <v/>
      </c>
      <c r="J27">
        <f>DI27*AG27*(DD27-DC27*(1000-AG27*DF27)/(1000-AG27*DE27))/(100*CX27)</f>
        <v/>
      </c>
      <c r="K27">
        <f>DC27 - IF(AG27&gt;1, J27*CX27*100.0/(AI27), 0)</f>
        <v/>
      </c>
      <c r="L27">
        <f>((R27-H27/2)*K27-J27)/(R27+H27/2)</f>
        <v/>
      </c>
      <c r="M27">
        <f>L27*(DJ27+DK27)/1000.0</f>
        <v/>
      </c>
      <c r="N27">
        <f>(DC27 - IF(AG27&gt;1, J27*CX27*100.0/(AI27), 0))*(DJ27+DK27)/1000.0</f>
        <v/>
      </c>
      <c r="O27">
        <f>2.0/((1/Q27-1/P27)+SIGN(Q27)*SQRT((1/Q27-1/P27)*(1/Q27-1/P27) + 4*CY27/((CY27+1)*(CY27+1))*(2*1/Q27*1/P27-1/P27*1/P27)))</f>
        <v/>
      </c>
      <c r="P27">
        <f>IF(LEFT(CZ27,1)&lt;&gt;"0",IF(LEFT(CZ27,1)="1",3.0,DA27),$D$5+$E$5*(DQ27*DJ27/($K$5*1000))+$F$5*(DQ27*DJ27/($K$5*1000))*MAX(MIN(CX27,$J$5),$I$5)*MAX(MIN(CX27,$J$5),$I$5)+$G$5*MAX(MIN(CX27,$J$5),$I$5)*(DQ27*DJ27/($K$5*1000))+$H$5*(DQ27*DJ27/($K$5*1000))*(DQ27*DJ27/($K$5*1000)))</f>
        <v/>
      </c>
      <c r="Q27">
        <f>H27*(1000-(1000*0.61365*exp(17.502*U27/(240.97+U27))/(DJ27+DK27)+DE27)/2)/(1000*0.61365*exp(17.502*U27/(240.97+U27))/(DJ27+DK27)-DE27)</f>
        <v/>
      </c>
      <c r="R27">
        <f>1/((CY27+1)/(O27/1.6)+1/(P27/1.37)) + CY27/((CY27+1)/(O27/1.6) + CY27/(P27/1.37))</f>
        <v/>
      </c>
      <c r="S27">
        <f>(CT27*CW27)</f>
        <v/>
      </c>
      <c r="T27">
        <f>(DL27+(S27+2*0.95*5.67E-8*(((DL27+$B$7)+273)^4-(DL27+273)^4)-44100*H27)/(1.84*29.3*P27+8*0.95*5.67E-8*(DL27+273)^3))</f>
        <v/>
      </c>
      <c r="U27">
        <f>($C$7*DM27+$D$7*DN27+$E$7*T27)</f>
        <v/>
      </c>
      <c r="V27">
        <f>0.61365*exp(17.502*U27/(240.97+U27))</f>
        <v/>
      </c>
      <c r="W27">
        <f>(X27/Y27*100)</f>
        <v/>
      </c>
      <c r="X27">
        <f>DE27*(DJ27+DK27)/1000</f>
        <v/>
      </c>
      <c r="Y27">
        <f>0.61365*exp(17.502*DL27/(240.97+DL27))</f>
        <v/>
      </c>
      <c r="Z27">
        <f>(V27-DE27*(DJ27+DK27)/1000)</f>
        <v/>
      </c>
      <c r="AA27">
        <f>(-H27*44100)</f>
        <v/>
      </c>
      <c r="AB27">
        <f>2*29.3*P27*0.92*(DL27-U27)</f>
        <v/>
      </c>
      <c r="AC27">
        <f>2*0.95*5.67E-8*(((DL27+$B$7)+273)^4-(U27+273)^4)</f>
        <v/>
      </c>
      <c r="AD27">
        <f>S27+AC27+AA27+AB27</f>
        <v/>
      </c>
      <c r="AE27" t="n">
        <v>0</v>
      </c>
      <c r="AF27" t="n">
        <v>0</v>
      </c>
      <c r="AG27">
        <f>IF(AE27*$H$13&gt;=AI27,1.0,(AI27/(AI27-AE27*$H$13)))</f>
        <v/>
      </c>
      <c r="AH27">
        <f>(AG27-1)*100</f>
        <v/>
      </c>
      <c r="AI27">
        <f>MAX(0,($B$13+$C$13*DQ27)/(1+$D$13*DQ27)*DJ27/(DL27+273)*$E$13)</f>
        <v/>
      </c>
      <c r="AJ27" t="inlineStr">
        <is>
          <t>-</t>
        </is>
      </c>
      <c r="AK27" t="inlineStr">
        <is>
          <t>-</t>
        </is>
      </c>
      <c r="AL27" t="n">
        <v>0</v>
      </c>
      <c r="AM27" t="n">
        <v>0</v>
      </c>
      <c r="AN27">
        <f>1-AL27/AM27</f>
        <v/>
      </c>
      <c r="AO27" t="n">
        <v>0</v>
      </c>
      <c r="AP27" t="inlineStr">
        <is>
          <t>-</t>
        </is>
      </c>
      <c r="AQ27" t="inlineStr">
        <is>
          <t>-</t>
        </is>
      </c>
      <c r="AR27" t="n">
        <v>0</v>
      </c>
      <c r="AS27" t="n">
        <v>0</v>
      </c>
      <c r="AT27">
        <f>1-AR27/AS27</f>
        <v/>
      </c>
      <c r="AU27" t="n">
        <v>0.5</v>
      </c>
      <c r="AV27">
        <f>CU27</f>
        <v/>
      </c>
      <c r="AW27">
        <f>J27</f>
        <v/>
      </c>
      <c r="AX27">
        <f>AT27*AU27*AV27</f>
        <v/>
      </c>
      <c r="AY27">
        <f>(AW27-AO27)/AV27</f>
        <v/>
      </c>
      <c r="AZ27">
        <f>(AM27-AS27)/AS27</f>
        <v/>
      </c>
      <c r="BA27">
        <f>AL27/(AN27+AL27/AS27)</f>
        <v/>
      </c>
      <c r="BB27" t="inlineStr">
        <is>
          <t>-</t>
        </is>
      </c>
      <c r="BC27" t="n">
        <v>0</v>
      </c>
      <c r="BD27">
        <f>IF(BC27&lt;&gt;0, BC27, BA27)</f>
        <v/>
      </c>
      <c r="BE27">
        <f>1-BD27/AS27</f>
        <v/>
      </c>
      <c r="BF27">
        <f>(AS27-AR27)/(AS27-BD27)</f>
        <v/>
      </c>
      <c r="BG27">
        <f>(AM27-AS27)/(AM27-BD27)</f>
        <v/>
      </c>
      <c r="BH27">
        <f>(AS27-AR27)/(AS27-AL27)</f>
        <v/>
      </c>
      <c r="BI27">
        <f>(AM27-AS27)/(AM27-AL27)</f>
        <v/>
      </c>
      <c r="BJ27">
        <f>(BF27*BD27/AR27)</f>
        <v/>
      </c>
      <c r="BK27">
        <f>(1-BJ27)</f>
        <v/>
      </c>
      <c r="BL27" t="n">
        <v>1157</v>
      </c>
      <c r="BM27" t="n">
        <v>290</v>
      </c>
      <c r="BN27" t="n">
        <v>880.28</v>
      </c>
      <c r="BO27" t="n">
        <v>165</v>
      </c>
      <c r="BP27" t="n">
        <v>8122.99</v>
      </c>
      <c r="BQ27" t="n">
        <v>875.35</v>
      </c>
      <c r="BR27" t="n">
        <v>4.93</v>
      </c>
      <c r="BS27" t="n">
        <v>300</v>
      </c>
      <c r="BT27" t="n">
        <v>19.3</v>
      </c>
      <c r="BU27" t="n">
        <v>898.8173603878</v>
      </c>
      <c r="BV27" t="n">
        <v>1.50311492518876</v>
      </c>
      <c r="BW27" t="n">
        <v>-19.0610088334602</v>
      </c>
      <c r="BX27" t="n">
        <v>1.09059022936042</v>
      </c>
      <c r="BY27" t="n">
        <v>0.91603442505378</v>
      </c>
      <c r="BZ27" t="n">
        <v>-0.00538388921023359</v>
      </c>
      <c r="CA27" t="n">
        <v>290</v>
      </c>
      <c r="CB27" t="n">
        <v>867.24</v>
      </c>
      <c r="CC27" t="n">
        <v>615</v>
      </c>
      <c r="CD27" t="n">
        <v>8107.04</v>
      </c>
      <c r="CE27" t="n">
        <v>875.3099999999999</v>
      </c>
      <c r="CF27" t="n">
        <v>-8.07</v>
      </c>
      <c r="CT27">
        <f>$B$11*DR27+$C$11*DS27+$F$11*ED27*(1-EG27)</f>
        <v/>
      </c>
      <c r="CU27">
        <f>CT27*CV27</f>
        <v/>
      </c>
      <c r="CV27">
        <f>($B$11*$D$9+$C$11*$D$9+$F$11*((EQ27+EI27)/MAX(EQ27+EI27+ER27, 0.1)*$I$9+ER27/MAX(EQ27+EI27+ER27, 0.1)*$J$9))/($B$11+$C$11+$F$11)</f>
        <v/>
      </c>
      <c r="CW27">
        <f>($B$11*$K$9+$C$11*$K$9+$F$11*((EQ27+EI27)/MAX(EQ27+EI27+ER27, 0.1)*$P$9+ER27/MAX(EQ27+EI27+ER27, 0.1)*$Q$9))/($B$11+$C$11+$F$11)</f>
        <v/>
      </c>
      <c r="CX27" t="n">
        <v>2</v>
      </c>
      <c r="CY27" t="n">
        <v>0.5</v>
      </c>
      <c r="CZ27" t="inlineStr">
        <is>
          <t>0: Broadleaf</t>
        </is>
      </c>
      <c r="DA27" t="n">
        <v>2</v>
      </c>
      <c r="DB27" t="n">
        <v>1792294789.6</v>
      </c>
      <c r="DC27" t="n">
        <v>1487.715</v>
      </c>
      <c r="DD27" t="n">
        <v>1499.99333333333</v>
      </c>
      <c r="DE27" t="n">
        <v>16.90785</v>
      </c>
      <c r="DF27" t="n">
        <v>16.3891</v>
      </c>
      <c r="DG27" t="n">
        <v>1485.735</v>
      </c>
      <c r="DH27" t="n">
        <v>17.0323333333333</v>
      </c>
      <c r="DI27" t="n">
        <v>500.020333333333</v>
      </c>
      <c r="DJ27" t="n">
        <v>100.969333333333</v>
      </c>
      <c r="DK27" t="n">
        <v>0.0999115166666667</v>
      </c>
      <c r="DL27" t="n">
        <v>24.5904166666667</v>
      </c>
      <c r="DM27" t="n">
        <v>25.03775</v>
      </c>
      <c r="DN27" t="n">
        <v>999.9</v>
      </c>
      <c r="DO27" t="n">
        <v>0</v>
      </c>
      <c r="DP27" t="n">
        <v>0</v>
      </c>
      <c r="DQ27" t="n">
        <v>10001.7716666667</v>
      </c>
      <c r="DR27" t="n">
        <v>0</v>
      </c>
      <c r="DS27" t="n">
        <v>6.32897</v>
      </c>
      <c r="DT27" t="n">
        <v>-12.2787833333333</v>
      </c>
      <c r="DU27" t="n">
        <v>1513.30333333333</v>
      </c>
      <c r="DV27" t="n">
        <v>1524.99</v>
      </c>
      <c r="DW27" t="n">
        <v>0.518749333333333</v>
      </c>
      <c r="DX27" t="n">
        <v>1499.99333333333</v>
      </c>
      <c r="DY27" t="n">
        <v>16.3891</v>
      </c>
      <c r="DZ27" t="n">
        <v>1.70717333333333</v>
      </c>
      <c r="EA27" t="n">
        <v>1.654795</v>
      </c>
      <c r="EB27" t="n">
        <v>14.9617833333333</v>
      </c>
      <c r="EC27" t="n">
        <v>14.4787666666667</v>
      </c>
      <c r="ED27" t="n">
        <v>1500</v>
      </c>
      <c r="EE27" t="n">
        <v>0.97301</v>
      </c>
      <c r="EF27" t="n">
        <v>0.02699</v>
      </c>
      <c r="EG27" t="n">
        <v>0</v>
      </c>
      <c r="EH27" t="n">
        <v>318.744166666667</v>
      </c>
      <c r="EI27" t="n">
        <v>5.00064</v>
      </c>
      <c r="EJ27" t="n">
        <v>4945.44833333333</v>
      </c>
      <c r="EK27" t="n">
        <v>15439.25</v>
      </c>
      <c r="EL27" t="n">
        <v>40.9266666666667</v>
      </c>
      <c r="EM27" t="n">
        <v>41.6353333333333</v>
      </c>
      <c r="EN27" t="n">
        <v>41.25</v>
      </c>
      <c r="EO27" t="n">
        <v>41.25</v>
      </c>
      <c r="EP27" t="n">
        <v>42.375</v>
      </c>
      <c r="EQ27" t="n">
        <v>1454.65</v>
      </c>
      <c r="ER27" t="n">
        <v>40.35</v>
      </c>
      <c r="ES27" t="n">
        <v>0</v>
      </c>
      <c r="ET27" t="n">
        <v>3999.10000014305</v>
      </c>
      <c r="EU27" t="n">
        <v>0</v>
      </c>
      <c r="EV27" t="n">
        <v>318.698115384615</v>
      </c>
      <c r="EW27" t="n">
        <v>0.0993846271255525</v>
      </c>
      <c r="EX27" t="n">
        <v>-4.24307693376246</v>
      </c>
      <c r="EY27" t="n">
        <v>4945.82730769231</v>
      </c>
      <c r="EZ27" t="n">
        <v>15</v>
      </c>
      <c r="FA27" t="n">
        <v>1792294739.1</v>
      </c>
      <c r="FB27" t="inlineStr">
        <is>
          <t>12:38:59</t>
        </is>
      </c>
      <c r="FC27" t="n">
        <v>1792294739.1</v>
      </c>
      <c r="FD27" t="n">
        <v>1792294718.1</v>
      </c>
      <c r="FE27" t="n">
        <v>32</v>
      </c>
      <c r="FF27" t="n">
        <v>0.412</v>
      </c>
      <c r="FG27" t="n">
        <v>0</v>
      </c>
      <c r="FH27" t="n">
        <v>1.988</v>
      </c>
      <c r="FI27" t="n">
        <v>-0.144</v>
      </c>
      <c r="FJ27" t="n">
        <v>1500</v>
      </c>
      <c r="FK27" t="n">
        <v>16</v>
      </c>
      <c r="FL27" t="n">
        <v>0.47</v>
      </c>
      <c r="FM27" t="n">
        <v>0.17</v>
      </c>
      <c r="FN27" t="n">
        <v>28.6960961473284</v>
      </c>
      <c r="FO27" t="n">
        <v>-0.281488045184562</v>
      </c>
      <c r="FP27" t="n">
        <v>0.268478702433924</v>
      </c>
      <c r="FQ27" t="n">
        <v>1</v>
      </c>
      <c r="FR27" t="n">
        <v>-12.295075</v>
      </c>
      <c r="FS27" t="n">
        <v>0.205448120300754</v>
      </c>
      <c r="FT27" t="n">
        <v>0.103166670368875</v>
      </c>
      <c r="FU27" t="n">
        <v>1</v>
      </c>
      <c r="FV27" t="n">
        <v>318.632058823529</v>
      </c>
      <c r="FW27" t="n">
        <v>0.986585183830476</v>
      </c>
      <c r="FX27" t="n">
        <v>0.180583358815171</v>
      </c>
      <c r="FY27" t="n">
        <v>1</v>
      </c>
      <c r="FZ27" t="n">
        <v>3</v>
      </c>
      <c r="GA27" t="n">
        <v>3</v>
      </c>
      <c r="GB27" t="inlineStr">
        <is>
          <t>3/3</t>
        </is>
      </c>
      <c r="GC27" t="n">
        <v>3.12324</v>
      </c>
      <c r="GD27" t="n">
        <v>2.76499</v>
      </c>
      <c r="GE27" t="n">
        <v>0.210216</v>
      </c>
      <c r="GF27" t="n">
        <v>0.216726</v>
      </c>
      <c r="GG27" t="n">
        <v>0.0909425</v>
      </c>
      <c r="GH27" t="n">
        <v>0.0919659</v>
      </c>
      <c r="GI27" t="n">
        <v>15383.8</v>
      </c>
      <c r="GJ27" t="n">
        <v>23007.3</v>
      </c>
      <c r="GK27" t="n">
        <v>22761.2</v>
      </c>
      <c r="GL27" t="n">
        <v>30099</v>
      </c>
      <c r="GM27" t="n">
        <v>33950.4</v>
      </c>
      <c r="GN27" t="n">
        <v>34058.5</v>
      </c>
      <c r="GO27" t="n">
        <v>43067.4</v>
      </c>
      <c r="GP27" t="n">
        <v>42870.5</v>
      </c>
      <c r="GQ27" t="n">
        <v>1.96893</v>
      </c>
      <c r="GR27" t="n">
        <v>1.8106</v>
      </c>
      <c r="GS27" t="n">
        <v>0.0955313</v>
      </c>
      <c r="GT27" t="n">
        <v>0</v>
      </c>
      <c r="GU27" t="n">
        <v>23.4455</v>
      </c>
      <c r="GV27" t="n">
        <v>999.9</v>
      </c>
      <c r="GW27" t="n">
        <v>38.127</v>
      </c>
      <c r="GX27" t="n">
        <v>33.052</v>
      </c>
      <c r="GY27" t="n">
        <v>19.1338</v>
      </c>
      <c r="GZ27" t="n">
        <v>63.392</v>
      </c>
      <c r="HA27" t="n">
        <v>36.5705</v>
      </c>
      <c r="HB27" t="n">
        <v>1</v>
      </c>
      <c r="HC27" t="n">
        <v>0.0792785</v>
      </c>
      <c r="HD27" t="n">
        <v>3.1815</v>
      </c>
      <c r="HE27" t="n">
        <v>20.2055</v>
      </c>
      <c r="HF27" t="n">
        <v>5.22972</v>
      </c>
      <c r="HG27" t="n">
        <v>11.962</v>
      </c>
      <c r="HH27" t="n">
        <v>4.9677</v>
      </c>
      <c r="HI27" t="n">
        <v>3.2944</v>
      </c>
      <c r="HJ27" t="n">
        <v>9999</v>
      </c>
      <c r="HK27" t="n">
        <v>9999</v>
      </c>
      <c r="HL27" t="n">
        <v>9999</v>
      </c>
      <c r="HM27" t="n">
        <v>999.9</v>
      </c>
      <c r="HN27" t="n">
        <v>4.96861</v>
      </c>
      <c r="HO27" t="n">
        <v>1.86249</v>
      </c>
      <c r="HP27" t="n">
        <v>1.86401</v>
      </c>
      <c r="HQ27" t="n">
        <v>1.866</v>
      </c>
      <c r="HR27" t="n">
        <v>1.86296</v>
      </c>
      <c r="HS27" t="n">
        <v>1.86663</v>
      </c>
      <c r="HT27" t="n">
        <v>1.86342</v>
      </c>
      <c r="HU27" t="n">
        <v>1.86537</v>
      </c>
      <c r="HV27" t="n">
        <v>0</v>
      </c>
      <c r="HW27" t="n">
        <v>0</v>
      </c>
      <c r="HX27" t="n">
        <v>0</v>
      </c>
      <c r="HY27" t="n">
        <v>0</v>
      </c>
      <c r="HZ27" t="inlineStr">
        <is>
          <t>11111111</t>
        </is>
      </c>
      <c r="IA27" t="inlineStr">
        <is>
          <t>oooooooo</t>
        </is>
      </c>
      <c r="IB27" t="inlineStr">
        <is>
          <t>on</t>
        </is>
      </c>
      <c r="IC27" t="inlineStr">
        <is>
          <t>on</t>
        </is>
      </c>
      <c r="ID27" t="inlineStr">
        <is>
          <t>on</t>
        </is>
      </c>
      <c r="IE27" t="inlineStr">
        <is>
          <t>on</t>
        </is>
      </c>
      <c r="IF27" t="n">
        <v>0</v>
      </c>
      <c r="IG27" t="n">
        <v>100</v>
      </c>
      <c r="IH27" t="n">
        <v>100</v>
      </c>
      <c r="II27" t="n">
        <v>1.98</v>
      </c>
      <c r="IJ27" t="n">
        <v>-0.1248</v>
      </c>
      <c r="IK27" t="n">
        <v>1.23479620797545</v>
      </c>
      <c r="IL27" t="n">
        <v>0.000216929631606078</v>
      </c>
      <c r="IM27" t="n">
        <v>2.72263024731635e-07</v>
      </c>
      <c r="IN27" t="n">
        <v>-5.43792051235154e-11</v>
      </c>
      <c r="IO27" t="n">
        <v>-0.0157090190082442</v>
      </c>
      <c r="IP27" t="n">
        <v>-0.0584433849545669</v>
      </c>
      <c r="IQ27" t="n">
        <v>0.00341568706061026</v>
      </c>
      <c r="IR27" t="n">
        <v>-2.10952612506686e-05</v>
      </c>
      <c r="IS27" t="n">
        <v>0</v>
      </c>
      <c r="IT27" t="n">
        <v>1734</v>
      </c>
      <c r="IU27" t="n">
        <v>2</v>
      </c>
      <c r="IV27" t="n">
        <v>19</v>
      </c>
      <c r="IW27" t="n">
        <v>0.9</v>
      </c>
      <c r="IX27" t="n">
        <v>1.2</v>
      </c>
      <c r="IY27" t="n">
        <v>3.01758</v>
      </c>
      <c r="IZ27" t="n">
        <v>2.55127</v>
      </c>
      <c r="JA27" t="n">
        <v>1.34766</v>
      </c>
      <c r="JB27" t="n">
        <v>2.26074</v>
      </c>
      <c r="JC27" t="n">
        <v>1.55029</v>
      </c>
      <c r="JD27" t="n">
        <v>2.45239</v>
      </c>
      <c r="JE27" t="n">
        <v>36.8129</v>
      </c>
      <c r="JF27" t="n">
        <v>15.9445</v>
      </c>
      <c r="JG27" t="n">
        <v>18</v>
      </c>
      <c r="JH27" t="n">
        <v>499.462</v>
      </c>
      <c r="JI27" t="n">
        <v>474.901</v>
      </c>
      <c r="JJ27" t="n">
        <v>20.4242</v>
      </c>
      <c r="JK27" t="n">
        <v>28.1926</v>
      </c>
      <c r="JL27" t="n">
        <v>30.0006</v>
      </c>
      <c r="JM27" t="n">
        <v>28.1703</v>
      </c>
      <c r="JN27" t="n">
        <v>28.1797</v>
      </c>
      <c r="JO27" t="n">
        <v>60.3867</v>
      </c>
      <c r="JP27" t="n">
        <v>21.711</v>
      </c>
      <c r="JQ27" t="n">
        <v>22.7249</v>
      </c>
      <c r="JR27" t="n">
        <v>20.3928</v>
      </c>
      <c r="JS27" t="n">
        <v>1500</v>
      </c>
      <c r="JT27" t="n">
        <v>16.3561</v>
      </c>
      <c r="JU27" t="n">
        <v>101.691</v>
      </c>
      <c r="JV27" t="n">
        <v>97.34739999999999</v>
      </c>
    </row>
    <row r="28">
      <c r="A28" t="n">
        <v>12</v>
      </c>
      <c r="B28" t="n">
        <v>1792294914.1</v>
      </c>
      <c r="C28" t="n">
        <v>1402.09999990463</v>
      </c>
      <c r="D28" t="inlineStr">
        <is>
          <t>20261018 12:41:54</t>
        </is>
      </c>
      <c r="E28" t="inlineStr">
        <is>
          <t>12:41:54</t>
        </is>
      </c>
      <c r="F28" t="n">
        <v>5</v>
      </c>
      <c r="G28" t="n">
        <v>1792294911.1</v>
      </c>
      <c r="H28">
        <f>(I28)/1000</f>
        <v/>
      </c>
      <c r="I28">
        <f>1000*DI28*AG28*(DE28-DF28)/(100*CX28*(1000-AG28*DE28))</f>
        <v/>
      </c>
      <c r="J28">
        <f>DI28*AG28*(DD28-DC28*(1000-AG28*DF28)/(1000-AG28*DE28))/(100*CX28)</f>
        <v/>
      </c>
      <c r="K28">
        <f>DC28 - IF(AG28&gt;1, J28*CX28*100.0/(AI28), 0)</f>
        <v/>
      </c>
      <c r="L28">
        <f>((R28-H28/2)*K28-J28)/(R28+H28/2)</f>
        <v/>
      </c>
      <c r="M28">
        <f>L28*(DJ28+DK28)/1000.0</f>
        <v/>
      </c>
      <c r="N28">
        <f>(DC28 - IF(AG28&gt;1, J28*CX28*100.0/(AI28), 0))*(DJ28+DK28)/1000.0</f>
        <v/>
      </c>
      <c r="O28">
        <f>2.0/((1/Q28-1/P28)+SIGN(Q28)*SQRT((1/Q28-1/P28)*(1/Q28-1/P28) + 4*CY28/((CY28+1)*(CY28+1))*(2*1/Q28*1/P28-1/P28*1/P28)))</f>
        <v/>
      </c>
      <c r="P28">
        <f>IF(LEFT(CZ28,1)&lt;&gt;"0",IF(LEFT(CZ28,1)="1",3.0,DA28),$D$5+$E$5*(DQ28*DJ28/($K$5*1000))+$F$5*(DQ28*DJ28/($K$5*1000))*MAX(MIN(CX28,$J$5),$I$5)*MAX(MIN(CX28,$J$5),$I$5)+$G$5*MAX(MIN(CX28,$J$5),$I$5)*(DQ28*DJ28/($K$5*1000))+$H$5*(DQ28*DJ28/($K$5*1000))*(DQ28*DJ28/($K$5*1000)))</f>
        <v/>
      </c>
      <c r="Q28">
        <f>H28*(1000-(1000*0.61365*exp(17.502*U28/(240.97+U28))/(DJ28+DK28)+DE28)/2)/(1000*0.61365*exp(17.502*U28/(240.97+U28))/(DJ28+DK28)-DE28)</f>
        <v/>
      </c>
      <c r="R28">
        <f>1/((CY28+1)/(O28/1.6)+1/(P28/1.37)) + CY28/((CY28+1)/(O28/1.6) + CY28/(P28/1.37))</f>
        <v/>
      </c>
      <c r="S28">
        <f>(CT28*CW28)</f>
        <v/>
      </c>
      <c r="T28">
        <f>(DL28+(S28+2*0.95*5.67E-8*(((DL28+$B$7)+273)^4-(DL28+273)^4)-44100*H28)/(1.84*29.3*P28+8*0.95*5.67E-8*(DL28+273)^3))</f>
        <v/>
      </c>
      <c r="U28">
        <f>($C$7*DM28+$D$7*DN28+$E$7*T28)</f>
        <v/>
      </c>
      <c r="V28">
        <f>0.61365*exp(17.502*U28/(240.97+U28))</f>
        <v/>
      </c>
      <c r="W28">
        <f>(X28/Y28*100)</f>
        <v/>
      </c>
      <c r="X28">
        <f>DE28*(DJ28+DK28)/1000</f>
        <v/>
      </c>
      <c r="Y28">
        <f>0.61365*exp(17.502*DL28/(240.97+DL28))</f>
        <v/>
      </c>
      <c r="Z28">
        <f>(V28-DE28*(DJ28+DK28)/1000)</f>
        <v/>
      </c>
      <c r="AA28">
        <f>(-H28*44100)</f>
        <v/>
      </c>
      <c r="AB28">
        <f>2*29.3*P28*0.92*(DL28-U28)</f>
        <v/>
      </c>
      <c r="AC28">
        <f>2*0.95*5.67E-8*(((DL28+$B$7)+273)^4-(U28+273)^4)</f>
        <v/>
      </c>
      <c r="AD28">
        <f>S28+AC28+AA28+AB28</f>
        <v/>
      </c>
      <c r="AE28" t="n">
        <v>0</v>
      </c>
      <c r="AF28" t="n">
        <v>0</v>
      </c>
      <c r="AG28">
        <f>IF(AE28*$H$13&gt;=AI28,1.0,(AI28/(AI28-AE28*$H$13)))</f>
        <v/>
      </c>
      <c r="AH28">
        <f>(AG28-1)*100</f>
        <v/>
      </c>
      <c r="AI28">
        <f>MAX(0,($B$13+$C$13*DQ28)/(1+$D$13*DQ28)*DJ28/(DL28+273)*$E$13)</f>
        <v/>
      </c>
      <c r="AJ28" t="inlineStr">
        <is>
          <t>-</t>
        </is>
      </c>
      <c r="AK28" t="inlineStr">
        <is>
          <t>-</t>
        </is>
      </c>
      <c r="AL28" t="n">
        <v>0</v>
      </c>
      <c r="AM28" t="n">
        <v>0</v>
      </c>
      <c r="AN28">
        <f>1-AL28/AM28</f>
        <v/>
      </c>
      <c r="AO28" t="n">
        <v>0</v>
      </c>
      <c r="AP28" t="inlineStr">
        <is>
          <t>-</t>
        </is>
      </c>
      <c r="AQ28" t="inlineStr">
        <is>
          <t>-</t>
        </is>
      </c>
      <c r="AR28" t="n">
        <v>0</v>
      </c>
      <c r="AS28" t="n">
        <v>0</v>
      </c>
      <c r="AT28">
        <f>1-AR28/AS28</f>
        <v/>
      </c>
      <c r="AU28" t="n">
        <v>0.5</v>
      </c>
      <c r="AV28">
        <f>CU28</f>
        <v/>
      </c>
      <c r="AW28">
        <f>J28</f>
        <v/>
      </c>
      <c r="AX28">
        <f>AT28*AU28*AV28</f>
        <v/>
      </c>
      <c r="AY28">
        <f>(AW28-AO28)/AV28</f>
        <v/>
      </c>
      <c r="AZ28">
        <f>(AM28-AS28)/AS28</f>
        <v/>
      </c>
      <c r="BA28">
        <f>AL28/(AN28+AL28/AS28)</f>
        <v/>
      </c>
      <c r="BB28" t="inlineStr">
        <is>
          <t>-</t>
        </is>
      </c>
      <c r="BC28" t="n">
        <v>0</v>
      </c>
      <c r="BD28">
        <f>IF(BC28&lt;&gt;0, BC28, BA28)</f>
        <v/>
      </c>
      <c r="BE28">
        <f>1-BD28/AS28</f>
        <v/>
      </c>
      <c r="BF28">
        <f>(AS28-AR28)/(AS28-BD28)</f>
        <v/>
      </c>
      <c r="BG28">
        <f>(AM28-AS28)/(AM28-BD28)</f>
        <v/>
      </c>
      <c r="BH28">
        <f>(AS28-AR28)/(AS28-AL28)</f>
        <v/>
      </c>
      <c r="BI28">
        <f>(AM28-AS28)/(AM28-AL28)</f>
        <v/>
      </c>
      <c r="BJ28">
        <f>(BF28*BD28/AR28)</f>
        <v/>
      </c>
      <c r="BK28">
        <f>(1-BJ28)</f>
        <v/>
      </c>
      <c r="BL28" t="n">
        <v>1157</v>
      </c>
      <c r="BM28" t="n">
        <v>290</v>
      </c>
      <c r="BN28" t="n">
        <v>880.28</v>
      </c>
      <c r="BO28" t="n">
        <v>165</v>
      </c>
      <c r="BP28" t="n">
        <v>8122.99</v>
      </c>
      <c r="BQ28" t="n">
        <v>875.35</v>
      </c>
      <c r="BR28" t="n">
        <v>4.93</v>
      </c>
      <c r="BS28" t="n">
        <v>300</v>
      </c>
      <c r="BT28" t="n">
        <v>19.3</v>
      </c>
      <c r="BU28" t="n">
        <v>898.8173603878</v>
      </c>
      <c r="BV28" t="n">
        <v>1.50311492518876</v>
      </c>
      <c r="BW28" t="n">
        <v>-19.0610088334602</v>
      </c>
      <c r="BX28" t="n">
        <v>1.09059022936042</v>
      </c>
      <c r="BY28" t="n">
        <v>0.91603442505378</v>
      </c>
      <c r="BZ28" t="n">
        <v>-0.00538388921023359</v>
      </c>
      <c r="CA28" t="n">
        <v>290</v>
      </c>
      <c r="CB28" t="n">
        <v>867.24</v>
      </c>
      <c r="CC28" t="n">
        <v>615</v>
      </c>
      <c r="CD28" t="n">
        <v>8107.04</v>
      </c>
      <c r="CE28" t="n">
        <v>875.3099999999999</v>
      </c>
      <c r="CF28" t="n">
        <v>-8.07</v>
      </c>
      <c r="CT28">
        <f>$B$11*DR28+$C$11*DS28+$F$11*ED28*(1-EG28)</f>
        <v/>
      </c>
      <c r="CU28">
        <f>CT28*CV28</f>
        <v/>
      </c>
      <c r="CV28">
        <f>($B$11*$D$9+$C$11*$D$9+$F$11*((EQ28+EI28)/MAX(EQ28+EI28+ER28, 0.1)*$I$9+ER28/MAX(EQ28+EI28+ER28, 0.1)*$J$9))/($B$11+$C$11+$F$11)</f>
        <v/>
      </c>
      <c r="CW28">
        <f>($B$11*$K$9+$C$11*$K$9+$F$11*((EQ28+EI28)/MAX(EQ28+EI28+ER28, 0.1)*$P$9+ER28/MAX(EQ28+EI28+ER28, 0.1)*$Q$9))/($B$11+$C$11+$F$11)</f>
        <v/>
      </c>
      <c r="CX28" t="n">
        <v>2</v>
      </c>
      <c r="CY28" t="n">
        <v>0.5</v>
      </c>
      <c r="CZ28" t="inlineStr">
        <is>
          <t>0: Broadleaf</t>
        </is>
      </c>
      <c r="DA28" t="n">
        <v>2</v>
      </c>
      <c r="DB28" t="n">
        <v>1792294911.1</v>
      </c>
      <c r="DC28" t="n">
        <v>1787.996</v>
      </c>
      <c r="DD28" t="n">
        <v>1800.126</v>
      </c>
      <c r="DE28" t="n">
        <v>16.78342</v>
      </c>
      <c r="DF28" t="n">
        <v>16.38128</v>
      </c>
      <c r="DG28" t="n">
        <v>1785.674</v>
      </c>
      <c r="DH28" t="n">
        <v>16.91166</v>
      </c>
      <c r="DI28" t="n">
        <v>500.026</v>
      </c>
      <c r="DJ28" t="n">
        <v>100.9642</v>
      </c>
      <c r="DK28" t="n">
        <v>0.1000374</v>
      </c>
      <c r="DL28" t="n">
        <v>24.4733</v>
      </c>
      <c r="DM28" t="n">
        <v>25.0162</v>
      </c>
      <c r="DN28" t="n">
        <v>999.9</v>
      </c>
      <c r="DO28" t="n">
        <v>0</v>
      </c>
      <c r="DP28" t="n">
        <v>0</v>
      </c>
      <c r="DQ28" t="n">
        <v>9991.254000000001</v>
      </c>
      <c r="DR28" t="n">
        <v>0</v>
      </c>
      <c r="DS28" t="n">
        <v>6.391714</v>
      </c>
      <c r="DT28" t="n">
        <v>-12.13242</v>
      </c>
      <c r="DU28" t="n">
        <v>1818.518</v>
      </c>
      <c r="DV28" t="n">
        <v>1830.106</v>
      </c>
      <c r="DW28" t="n">
        <v>0.4020978</v>
      </c>
      <c r="DX28" t="n">
        <v>1800.126</v>
      </c>
      <c r="DY28" t="n">
        <v>16.38128</v>
      </c>
      <c r="DZ28" t="n">
        <v>1.694524</v>
      </c>
      <c r="EA28" t="n">
        <v>1.653924</v>
      </c>
      <c r="EB28" t="n">
        <v>14.84636</v>
      </c>
      <c r="EC28" t="n">
        <v>14.47062</v>
      </c>
      <c r="ED28" t="n">
        <v>1499.972</v>
      </c>
      <c r="EE28" t="n">
        <v>0.9730024</v>
      </c>
      <c r="EF28" t="n">
        <v>0.0269975</v>
      </c>
      <c r="EG28" t="n">
        <v>0</v>
      </c>
      <c r="EH28" t="n">
        <v>318.5364</v>
      </c>
      <c r="EI28" t="n">
        <v>5.00064</v>
      </c>
      <c r="EJ28" t="n">
        <v>4945.45</v>
      </c>
      <c r="EK28" t="n">
        <v>15438.94</v>
      </c>
      <c r="EL28" t="n">
        <v>40.937</v>
      </c>
      <c r="EM28" t="n">
        <v>41.625</v>
      </c>
      <c r="EN28" t="n">
        <v>41.25</v>
      </c>
      <c r="EO28" t="n">
        <v>41.25</v>
      </c>
      <c r="EP28" t="n">
        <v>42.375</v>
      </c>
      <c r="EQ28" t="n">
        <v>1454.61</v>
      </c>
      <c r="ER28" t="n">
        <v>40.362</v>
      </c>
      <c r="ES28" t="n">
        <v>0</v>
      </c>
      <c r="ET28" t="n">
        <v>4119.70000004768</v>
      </c>
      <c r="EU28" t="n">
        <v>0</v>
      </c>
      <c r="EV28" t="n">
        <v>318.50148</v>
      </c>
      <c r="EW28" t="n">
        <v>0.201538456475755</v>
      </c>
      <c r="EX28" t="n">
        <v>11.2223076958531</v>
      </c>
      <c r="EY28" t="n">
        <v>4944.224</v>
      </c>
      <c r="EZ28" t="n">
        <v>15</v>
      </c>
      <c r="FA28" t="n">
        <v>1792294865.1</v>
      </c>
      <c r="FB28" t="inlineStr">
        <is>
          <t>12:41:05</t>
        </is>
      </c>
      <c r="FC28" t="n">
        <v>1792294865.1</v>
      </c>
      <c r="FD28" t="n">
        <v>1792294851.1</v>
      </c>
      <c r="FE28" t="n">
        <v>33</v>
      </c>
      <c r="FF28" t="n">
        <v>0.099</v>
      </c>
      <c r="FG28" t="n">
        <v>0.001</v>
      </c>
      <c r="FH28" t="n">
        <v>2.288</v>
      </c>
      <c r="FI28" t="n">
        <v>-0.142</v>
      </c>
      <c r="FJ28" t="n">
        <v>1800</v>
      </c>
      <c r="FK28" t="n">
        <v>16</v>
      </c>
      <c r="FL28" t="n">
        <v>0.13</v>
      </c>
      <c r="FM28" t="n">
        <v>0.06</v>
      </c>
      <c r="FN28" t="n">
        <v>28.3916432786729</v>
      </c>
      <c r="FO28" t="n">
        <v>0.462465828777784</v>
      </c>
      <c r="FP28" t="n">
        <v>0.197825316809031</v>
      </c>
      <c r="FQ28" t="n">
        <v>1</v>
      </c>
      <c r="FR28" t="n">
        <v>-12.1290095238095</v>
      </c>
      <c r="FS28" t="n">
        <v>0.0838207792207689</v>
      </c>
      <c r="FT28" t="n">
        <v>0.0737300992020537</v>
      </c>
      <c r="FU28" t="n">
        <v>1</v>
      </c>
      <c r="FV28" t="n">
        <v>318.461735294118</v>
      </c>
      <c r="FW28" t="n">
        <v>0.503483571886571</v>
      </c>
      <c r="FX28" t="n">
        <v>0.190769696203615</v>
      </c>
      <c r="FY28" t="n">
        <v>1</v>
      </c>
      <c r="FZ28" t="n">
        <v>3</v>
      </c>
      <c r="GA28" t="n">
        <v>3</v>
      </c>
      <c r="GB28" t="inlineStr">
        <is>
          <t>3/3</t>
        </is>
      </c>
      <c r="GC28" t="n">
        <v>3.12351</v>
      </c>
      <c r="GD28" t="n">
        <v>2.76516</v>
      </c>
      <c r="GE28" t="n">
        <v>0.233501</v>
      </c>
      <c r="GF28" t="n">
        <v>0.240437</v>
      </c>
      <c r="GG28" t="n">
        <v>0.0904793</v>
      </c>
      <c r="GH28" t="n">
        <v>0.0919258</v>
      </c>
      <c r="GI28" t="n">
        <v>14929.6</v>
      </c>
      <c r="GJ28" t="n">
        <v>22310.1</v>
      </c>
      <c r="GK28" t="n">
        <v>22760.1</v>
      </c>
      <c r="GL28" t="n">
        <v>30097.8</v>
      </c>
      <c r="GM28" t="n">
        <v>33968.1</v>
      </c>
      <c r="GN28" t="n">
        <v>34060.5</v>
      </c>
      <c r="GO28" t="n">
        <v>43065.4</v>
      </c>
      <c r="GP28" t="n">
        <v>42869</v>
      </c>
      <c r="GQ28" t="n">
        <v>1.96928</v>
      </c>
      <c r="GR28" t="n">
        <v>1.81117</v>
      </c>
      <c r="GS28" t="n">
        <v>0.105083</v>
      </c>
      <c r="GT28" t="n">
        <v>0</v>
      </c>
      <c r="GU28" t="n">
        <v>23.3225</v>
      </c>
      <c r="GV28" t="n">
        <v>999.9</v>
      </c>
      <c r="GW28" t="n">
        <v>38.31</v>
      </c>
      <c r="GX28" t="n">
        <v>33.042</v>
      </c>
      <c r="GY28" t="n">
        <v>19.2145</v>
      </c>
      <c r="GZ28" t="n">
        <v>63.2621</v>
      </c>
      <c r="HA28" t="n">
        <v>36.0777</v>
      </c>
      <c r="HB28" t="n">
        <v>1</v>
      </c>
      <c r="HC28" t="n">
        <v>0.0785061</v>
      </c>
      <c r="HD28" t="n">
        <v>2.80999</v>
      </c>
      <c r="HE28" t="n">
        <v>20.2136</v>
      </c>
      <c r="HF28" t="n">
        <v>5.23451</v>
      </c>
      <c r="HG28" t="n">
        <v>11.962</v>
      </c>
      <c r="HH28" t="n">
        <v>4.9692</v>
      </c>
      <c r="HI28" t="n">
        <v>3.29503</v>
      </c>
      <c r="HJ28" t="n">
        <v>9999</v>
      </c>
      <c r="HK28" t="n">
        <v>9999</v>
      </c>
      <c r="HL28" t="n">
        <v>9999</v>
      </c>
      <c r="HM28" t="n">
        <v>999.9</v>
      </c>
      <c r="HN28" t="n">
        <v>4.96858</v>
      </c>
      <c r="HO28" t="n">
        <v>1.86249</v>
      </c>
      <c r="HP28" t="n">
        <v>1.86401</v>
      </c>
      <c r="HQ28" t="n">
        <v>1.866</v>
      </c>
      <c r="HR28" t="n">
        <v>1.86296</v>
      </c>
      <c r="HS28" t="n">
        <v>1.86668</v>
      </c>
      <c r="HT28" t="n">
        <v>1.86344</v>
      </c>
      <c r="HU28" t="n">
        <v>1.86539</v>
      </c>
      <c r="HV28" t="n">
        <v>0</v>
      </c>
      <c r="HW28" t="n">
        <v>0</v>
      </c>
      <c r="HX28" t="n">
        <v>0</v>
      </c>
      <c r="HY28" t="n">
        <v>0</v>
      </c>
      <c r="HZ28" t="inlineStr">
        <is>
          <t>11111111</t>
        </is>
      </c>
      <c r="IA28" t="inlineStr">
        <is>
          <t>oooooooo</t>
        </is>
      </c>
      <c r="IB28" t="inlineStr">
        <is>
          <t>on</t>
        </is>
      </c>
      <c r="IC28" t="inlineStr">
        <is>
          <t>on</t>
        </is>
      </c>
      <c r="ID28" t="inlineStr">
        <is>
          <t>on</t>
        </is>
      </c>
      <c r="IE28" t="inlineStr">
        <is>
          <t>on</t>
        </is>
      </c>
      <c r="IF28" t="n">
        <v>0</v>
      </c>
      <c r="IG28" t="n">
        <v>100</v>
      </c>
      <c r="IH28" t="n">
        <v>100</v>
      </c>
      <c r="II28" t="n">
        <v>2.32</v>
      </c>
      <c r="IJ28" t="n">
        <v>-0.1285</v>
      </c>
      <c r="IK28" t="n">
        <v>1.37704169655348</v>
      </c>
      <c r="IL28" t="n">
        <v>0.000216929631606078</v>
      </c>
      <c r="IM28" t="n">
        <v>2.72263024731635e-07</v>
      </c>
      <c r="IN28" t="n">
        <v>-5.43792051235154e-11</v>
      </c>
      <c r="IO28" t="n">
        <v>-0.0147781339009648</v>
      </c>
      <c r="IP28" t="n">
        <v>-0.0584433849545669</v>
      </c>
      <c r="IQ28" t="n">
        <v>0.00341568706061026</v>
      </c>
      <c r="IR28" t="n">
        <v>-2.10952612506686e-05</v>
      </c>
      <c r="IS28" t="n">
        <v>0</v>
      </c>
      <c r="IT28" t="n">
        <v>1734</v>
      </c>
      <c r="IU28" t="n">
        <v>2</v>
      </c>
      <c r="IV28" t="n">
        <v>19</v>
      </c>
      <c r="IW28" t="n">
        <v>0.8</v>
      </c>
      <c r="IX28" t="n">
        <v>1.1</v>
      </c>
      <c r="IY28" t="n">
        <v>3.48022</v>
      </c>
      <c r="IZ28" t="n">
        <v>2.51465</v>
      </c>
      <c r="JA28" t="n">
        <v>1.34644</v>
      </c>
      <c r="JB28" t="n">
        <v>2.26074</v>
      </c>
      <c r="JC28" t="n">
        <v>1.55029</v>
      </c>
      <c r="JD28" t="n">
        <v>2.67944</v>
      </c>
      <c r="JE28" t="n">
        <v>36.7892</v>
      </c>
      <c r="JF28" t="n">
        <v>15.9533</v>
      </c>
      <c r="JG28" t="n">
        <v>18</v>
      </c>
      <c r="JH28" t="n">
        <v>499.763</v>
      </c>
      <c r="JI28" t="n">
        <v>475.405</v>
      </c>
      <c r="JJ28" t="n">
        <v>20.5137</v>
      </c>
      <c r="JK28" t="n">
        <v>28.1974</v>
      </c>
      <c r="JL28" t="n">
        <v>30.0004</v>
      </c>
      <c r="JM28" t="n">
        <v>28.1799</v>
      </c>
      <c r="JN28" t="n">
        <v>28.1917</v>
      </c>
      <c r="JO28" t="n">
        <v>69.6815</v>
      </c>
      <c r="JP28" t="n">
        <v>22.7326</v>
      </c>
      <c r="JQ28" t="n">
        <v>23.6111</v>
      </c>
      <c r="JR28" t="n">
        <v>20.4735</v>
      </c>
      <c r="JS28" t="n">
        <v>1800</v>
      </c>
      <c r="JT28" t="n">
        <v>16.3541</v>
      </c>
      <c r="JU28" t="n">
        <v>101.687</v>
      </c>
      <c r="JV28" t="n">
        <v>97.3438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2026-10-18 11:36:17</t>
        </is>
      </c>
    </row>
    <row r="2">
      <c r="A2" t="inlineStr">
        <is>
          <t>Console s/n</t>
        </is>
      </c>
      <c r="B2" t="inlineStr">
        <is>
          <t>68C-812349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68H-982339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{"flowazero": "0.316", "h2oaspan2b": "0.111609", "h2obspan2": "0", "chamberpressurezero": "2.61687", "co2bspanconc1": "437.6", "h2obspan1": "0.995823", "co2bzero": "1.02053", "h2oaspan2": "0", "tbzero": "0.145187", "ssb_ref": "37478.9", "tazero": "0.0951138", "h2oaspanconc1": "21.96", "ssa_ref": "32366.8", "h2obspanconc1": "21.96", "co2aspan2": "0.0108874", "h2oaspanconc2": "0", "h2oazero": "1.14957", "co2aspan2a": "0.0929659", "co2bspan2a": "0.0952815", "co2bspanconc2": "1516", "h2oaspan2a": "0.108347", "co2azero": "1.16194", "co2aspan2b": "0.0924399", "h2obspan2b": "0.111633", "co2aspan1": "0.99333", "co2aspanconc2": "1516", "flowmeterzero": "2.5072", "flowbzero": "0.27399", "h2obzero": "1.13925", "co2aspanconc1": "437.6", "co2bspan2": "0.00898303", "co2bspan1": "0.993892", "oxygen": "21", "h2obspan2a": "0.112101", "co2bspan2b": "0.0947811", "h2oaspan1": "1.0301", "h2obspanconc2": "0"}</t>
        </is>
      </c>
    </row>
    <row r="8">
      <c r="A8" t="inlineStr">
        <is>
          <t>Factory cal date</t>
        </is>
      </c>
      <c r="B8" t="inlineStr">
        <is>
          <t>04 Oct 2022</t>
        </is>
      </c>
    </row>
    <row r="9">
      <c r="A9" t="inlineStr">
        <is>
          <t>CO2 rangematch</t>
        </is>
      </c>
      <c r="B9" t="inlineStr">
        <is>
          <t>Fri Oct 16 09:52</t>
        </is>
      </c>
    </row>
    <row r="10">
      <c r="A10" t="inlineStr">
        <is>
          <t>H2O rangematch</t>
        </is>
      </c>
      <c r="B10" t="inlineStr">
        <is>
          <t>Fri Oct 16 09:57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MPF-282040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MPF-282040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11:36:17</t>
        </is>
      </c>
      <c r="B17" t="inlineStr">
        <is>
          <t>Stability Definition:	ΔCO2 (Meas2): Slp&lt;0.5 Per=20	F (FlrLS): Slp&lt;1 Per=20	A (GasEx): Slp&lt;0.6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PS2/1</t>
        </is>
      </c>
      <c r="V1" t="inlineStr">
        <is>
          <t>ID</t>
        </is>
      </c>
      <c r="W1" t="inlineStr">
        <is>
          <t>P1_dur</t>
        </is>
      </c>
      <c r="X1" t="inlineStr">
        <is>
          <t>P1_Fmax</t>
        </is>
      </c>
      <c r="Y1" t="inlineStr">
        <is>
          <t>T@P1_Fmax</t>
        </is>
      </c>
      <c r="Z1" t="inlineStr">
        <is>
          <t>Q@P1_Fmax</t>
        </is>
      </c>
      <c r="AA1" t="inlineStr">
        <is>
          <t>P1_PredF</t>
        </is>
      </c>
      <c r="AB1" t="inlineStr">
        <is>
          <t>P1_ΔF</t>
        </is>
      </c>
      <c r="AC1" t="inlineStr">
        <is>
          <t>P2_dur</t>
        </is>
      </c>
      <c r="AD1" t="inlineStr">
        <is>
          <t>P2_ramp</t>
        </is>
      </c>
      <c r="AE1" t="inlineStr">
        <is>
          <t>P2_int</t>
        </is>
      </c>
      <c r="AF1" t="inlineStr">
        <is>
          <t>P2_int_se</t>
        </is>
      </c>
      <c r="AG1" t="inlineStr">
        <is>
          <t>P2_slp</t>
        </is>
      </c>
      <c r="AH1" t="inlineStr">
        <is>
          <t>P2_slp_se</t>
        </is>
      </c>
      <c r="AI1" t="inlineStr">
        <is>
          <t>P2_R2</t>
        </is>
      </c>
      <c r="AJ1" t="inlineStr">
        <is>
          <t>P2_dQdt</t>
        </is>
      </c>
      <c r="AK1" t="inlineStr">
        <is>
          <t>P3_dur</t>
        </is>
      </c>
      <c r="AL1" t="inlineStr">
        <is>
          <t>P3_Fmax</t>
        </is>
      </c>
      <c r="AM1" t="inlineStr">
        <is>
          <t>T@P3_Fmax</t>
        </is>
      </c>
      <c r="AN1" t="inlineStr">
        <is>
          <t>Q@P3_Fmax</t>
        </is>
      </c>
      <c r="AO1" t="inlineStr">
        <is>
          <t>P3_PredF</t>
        </is>
      </c>
      <c r="AP1" t="inlineStr">
        <is>
          <t>P3_ΔF</t>
        </is>
      </c>
      <c r="AQ1" t="inlineStr">
        <is>
          <t>Qin</t>
        </is>
      </c>
      <c r="AR1" t="inlineStr">
        <is>
          <t>S</t>
        </is>
      </c>
      <c r="AS1" t="inlineStr">
        <is>
          <t>K</t>
        </is>
      </c>
      <c r="AT1" t="inlineStr">
        <is>
          <t>Custom</t>
        </is>
      </c>
      <c r="AU1" t="inlineStr">
        <is>
          <t>TIME_2</t>
        </is>
      </c>
      <c r="AV1" t="inlineStr">
        <is>
          <t>CO2_s</t>
        </is>
      </c>
      <c r="AW1" t="inlineStr">
        <is>
          <t>CO2_r</t>
        </is>
      </c>
      <c r="AX1" t="inlineStr">
        <is>
          <t>H2O_s</t>
        </is>
      </c>
      <c r="AY1" t="inlineStr">
        <is>
          <t>H2O_r</t>
        </is>
      </c>
      <c r="AZ1" t="inlineStr">
        <is>
          <t>CO2_a</t>
        </is>
      </c>
      <c r="BA1" t="inlineStr">
        <is>
          <t>H2O_a</t>
        </is>
      </c>
      <c r="BB1" t="inlineStr">
        <is>
          <t>Flow</t>
        </is>
      </c>
      <c r="BC1" t="inlineStr">
        <is>
          <t>Pa</t>
        </is>
      </c>
      <c r="BD1" t="inlineStr">
        <is>
          <t>ΔPcham</t>
        </is>
      </c>
      <c r="BE1" t="inlineStr">
        <is>
          <t>Tair</t>
        </is>
      </c>
      <c r="BF1" t="inlineStr">
        <is>
          <t>Tleaf</t>
        </is>
      </c>
      <c r="BG1" t="inlineStr">
        <is>
          <t>Tleaf2</t>
        </is>
      </c>
      <c r="BH1" t="inlineStr">
        <is>
          <t>Fan_speed</t>
        </is>
      </c>
      <c r="BI1" t="inlineStr">
        <is>
          <t>Qamb_out</t>
        </is>
      </c>
      <c r="BJ1" t="inlineStr">
        <is>
          <t>ΔCO2</t>
        </is>
      </c>
      <c r="BK1" t="inlineStr">
        <is>
          <t>CO2_s_d</t>
        </is>
      </c>
      <c r="BL1" t="inlineStr">
        <is>
          <t>CO2_r_d</t>
        </is>
      </c>
      <c r="BM1" t="inlineStr">
        <is>
          <t>ΔH2O</t>
        </is>
      </c>
      <c r="BN1" t="inlineStr">
        <is>
          <t>CO2_b</t>
        </is>
      </c>
      <c r="BO1" t="inlineStr">
        <is>
          <t>H2O_b</t>
        </is>
      </c>
      <c r="BP1" t="inlineStr">
        <is>
          <t>e_s</t>
        </is>
      </c>
      <c r="BQ1" t="inlineStr">
        <is>
          <t>e_r</t>
        </is>
      </c>
      <c r="BR1" t="inlineStr">
        <is>
          <t>Td_s</t>
        </is>
      </c>
      <c r="BS1" t="inlineStr">
        <is>
          <t>Td_r</t>
        </is>
      </c>
      <c r="BT1" t="inlineStr">
        <is>
          <t>Q</t>
        </is>
      </c>
      <c r="BU1" t="inlineStr">
        <is>
          <t>f_red</t>
        </is>
      </c>
      <c r="BV1" t="inlineStr">
        <is>
          <t>f_blue</t>
        </is>
      </c>
      <c r="BW1" t="inlineStr">
        <is>
          <t>F</t>
        </is>
      </c>
      <c r="BX1" t="inlineStr">
        <is>
          <t>Q_modavg</t>
        </is>
      </c>
      <c r="BY1" t="inlineStr">
        <is>
          <t>F_dc</t>
        </is>
      </c>
      <c r="BZ1" t="inlineStr">
        <is>
          <t>Pc</t>
        </is>
      </c>
      <c r="CA1" t="inlineStr">
        <is>
          <t>Tled</t>
        </is>
      </c>
      <c r="CB1" t="inlineStr">
        <is>
          <t>TDigital</t>
        </is>
      </c>
      <c r="CC1" t="inlineStr">
        <is>
          <t>TPreamp</t>
        </is>
      </c>
      <c r="CD1" t="inlineStr">
        <is>
          <t>TPwrSpy</t>
        </is>
      </c>
      <c r="CE1" t="inlineStr">
        <is>
          <t>TDrive</t>
        </is>
      </c>
      <c r="CF1" t="inlineStr">
        <is>
          <t>Q_red</t>
        </is>
      </c>
      <c r="CG1" t="inlineStr">
        <is>
          <t>Q_blue</t>
        </is>
      </c>
      <c r="CH1" t="inlineStr">
        <is>
          <t>TSPF</t>
        </is>
      </c>
      <c r="CI1" t="inlineStr">
        <is>
          <t>F_avg</t>
        </is>
      </c>
      <c r="CJ1" t="inlineStr">
        <is>
          <t>dF/dt</t>
        </is>
      </c>
      <c r="CK1" t="inlineStr">
        <is>
          <t>dF_dc/dt</t>
        </is>
      </c>
      <c r="CL1" t="inlineStr">
        <is>
          <t>F_dc_avg</t>
        </is>
      </c>
      <c r="CM1" t="inlineStr">
        <is>
          <t>period</t>
        </is>
      </c>
      <c r="CN1" t="inlineStr">
        <is>
          <t>time_2</t>
        </is>
      </c>
      <c r="CO1" t="inlineStr">
        <is>
          <t>co2_t</t>
        </is>
      </c>
      <c r="CP1" t="inlineStr">
        <is>
          <t>h2o_t</t>
        </is>
      </c>
      <c r="CQ1" t="inlineStr">
        <is>
          <t>count</t>
        </is>
      </c>
      <c r="CR1" t="inlineStr">
        <is>
          <t>co2_adj</t>
        </is>
      </c>
      <c r="CS1" t="inlineStr">
        <is>
          <t>h2o_adj</t>
        </is>
      </c>
      <c r="CT1" t="inlineStr">
        <is>
          <t>co2_match</t>
        </is>
      </c>
      <c r="CU1" t="inlineStr">
        <is>
          <t>h2o_match</t>
        </is>
      </c>
      <c r="CV1" t="inlineStr">
        <is>
          <t>co2_at</t>
        </is>
      </c>
      <c r="CW1" t="inlineStr">
        <is>
          <t>h2o_at</t>
        </is>
      </c>
      <c r="CX1" t="inlineStr">
        <is>
          <t>co2_cv</t>
        </is>
      </c>
      <c r="CY1" t="inlineStr">
        <is>
          <t>h2o_cv</t>
        </is>
      </c>
      <c r="CZ1" t="inlineStr">
        <is>
          <t>A:MN</t>
        </is>
      </c>
      <c r="DA1" t="inlineStr">
        <is>
          <t>A:SLP</t>
        </is>
      </c>
      <c r="DB1" t="inlineStr">
        <is>
          <t>A:SD</t>
        </is>
      </c>
      <c r="DC1" t="inlineStr">
        <is>
          <t>A:OK</t>
        </is>
      </c>
      <c r="DD1" t="inlineStr">
        <is>
          <t>ΔCO2:MN</t>
        </is>
      </c>
      <c r="DE1" t="inlineStr">
        <is>
          <t>ΔCO2:SLP</t>
        </is>
      </c>
      <c r="DF1" t="inlineStr">
        <is>
          <t>ΔCO2:SD</t>
        </is>
      </c>
      <c r="DG1" t="inlineStr">
        <is>
          <t>ΔCO2:OK</t>
        </is>
      </c>
      <c r="DH1" t="inlineStr">
        <is>
          <t>F:MN</t>
        </is>
      </c>
      <c r="DI1" t="inlineStr">
        <is>
          <t>F:SLP</t>
        </is>
      </c>
      <c r="DJ1" t="inlineStr">
        <is>
          <t>F:SD</t>
        </is>
      </c>
      <c r="DK1" t="inlineStr">
        <is>
          <t>F:OK</t>
        </is>
      </c>
      <c r="DL1" t="inlineStr">
        <is>
          <t>Stable</t>
        </is>
      </c>
      <c r="DM1" t="inlineStr">
        <is>
          <t>Total</t>
        </is>
      </c>
      <c r="DN1" t="inlineStr">
        <is>
          <t>Vflow</t>
        </is>
      </c>
      <c r="DO1" t="inlineStr">
        <is>
          <t>VPchamber</t>
        </is>
      </c>
      <c r="DP1" t="inlineStr">
        <is>
          <t>abs_c_a</t>
        </is>
      </c>
      <c r="DQ1" t="inlineStr">
        <is>
          <t>abs_c_b</t>
        </is>
      </c>
      <c r="DR1" t="inlineStr">
        <is>
          <t>abs_h_a</t>
        </is>
      </c>
      <c r="DS1" t="inlineStr">
        <is>
          <t>abs_h_b</t>
        </is>
      </c>
      <c r="DT1" t="inlineStr">
        <is>
          <t>Wc_s</t>
        </is>
      </c>
      <c r="DU1" t="inlineStr">
        <is>
          <t>Wc_r</t>
        </is>
      </c>
      <c r="DV1" t="inlineStr">
        <is>
          <t>Wco_s</t>
        </is>
      </c>
      <c r="DW1" t="inlineStr">
        <is>
          <t>Wco_r</t>
        </is>
      </c>
      <c r="DX1" t="inlineStr">
        <is>
          <t>Ww_s</t>
        </is>
      </c>
      <c r="DY1" t="inlineStr">
        <is>
          <t>Ww_r</t>
        </is>
      </c>
      <c r="DZ1" t="inlineStr">
        <is>
          <t>Wwo_s</t>
        </is>
      </c>
      <c r="EA1" t="inlineStr">
        <is>
          <t>Wwo_r</t>
        </is>
      </c>
      <c r="EB1" t="inlineStr">
        <is>
          <t>Flow_s_v</t>
        </is>
      </c>
      <c r="EC1" t="inlineStr">
        <is>
          <t>Flow_r_v</t>
        </is>
      </c>
      <c r="ED1" t="inlineStr">
        <is>
          <t>Tleaf_mv</t>
        </is>
      </c>
      <c r="EE1" t="inlineStr">
        <is>
          <t>Tleaf_j</t>
        </is>
      </c>
      <c r="EF1" t="inlineStr">
        <is>
          <t>Tleaf2_j</t>
        </is>
      </c>
      <c r="EG1" t="inlineStr">
        <is>
          <t>Console_RH</t>
        </is>
      </c>
      <c r="EH1" t="inlineStr">
        <is>
          <t>Console_T</t>
        </is>
      </c>
      <c r="EI1" t="inlineStr">
        <is>
          <t>Console_H2O</t>
        </is>
      </c>
      <c r="EJ1" t="inlineStr">
        <is>
          <t>Fan_%</t>
        </is>
      </c>
      <c r="EK1" t="inlineStr">
        <is>
          <t>Flow_%</t>
        </is>
      </c>
      <c r="EL1" t="inlineStr">
        <is>
          <t>Pump</t>
        </is>
      </c>
      <c r="EM1" t="inlineStr">
        <is>
          <t>Tchp_pwm</t>
        </is>
      </c>
      <c r="EN1" t="inlineStr">
        <is>
          <t>Txchg_pwm</t>
        </is>
      </c>
      <c r="EO1" t="inlineStr">
        <is>
          <t>diag_20v</t>
        </is>
      </c>
      <c r="EP1" t="inlineStr">
        <is>
          <t>diag_5_4v</t>
        </is>
      </c>
      <c r="EQ1" t="inlineStr">
        <is>
          <t>diag_12v</t>
        </is>
      </c>
      <c r="ER1" t="inlineStr">
        <is>
          <t>diag_5va</t>
        </is>
      </c>
      <c r="ES1" t="inlineStr">
        <is>
          <t>diag_3_3vf</t>
        </is>
      </c>
      <c r="ET1" t="inlineStr">
        <is>
          <t>AccCO2_soda</t>
        </is>
      </c>
      <c r="EU1" t="inlineStr">
        <is>
          <t>AccH2O_des</t>
        </is>
      </c>
      <c r="EV1" t="inlineStr">
        <is>
          <t>AccH2O_hum</t>
        </is>
      </c>
      <c r="EW1" t="inlineStr">
        <is>
          <t>CO2_hrs</t>
        </is>
      </c>
      <c r="EX1" t="inlineStr">
        <is>
          <t>ADC_CH1</t>
        </is>
      </c>
      <c r="EY1" t="inlineStr">
        <is>
          <t>ADC_CH2</t>
        </is>
      </c>
      <c r="EZ1" t="inlineStr">
        <is>
          <t>ADC_CH3</t>
        </is>
      </c>
      <c r="FA1" t="inlineStr">
        <is>
          <t>ADC_CH4</t>
        </is>
      </c>
      <c r="FB1" t="inlineStr">
        <is>
          <t>ADC_CH5</t>
        </is>
      </c>
      <c r="FC1" t="inlineStr">
        <is>
          <t>ADC_CH6</t>
        </is>
      </c>
      <c r="FD1" t="inlineStr">
        <is>
          <t>ADC_CH7</t>
        </is>
      </c>
      <c r="FE1" t="inlineStr">
        <is>
          <t>ADC_CH8</t>
        </is>
      </c>
      <c r="FF1" t="inlineStr">
        <is>
          <t>MatchValveR</t>
        </is>
      </c>
      <c r="FG1" t="inlineStr">
        <is>
          <t>MatchValveS</t>
        </is>
      </c>
      <c r="FH1" t="inlineStr">
        <is>
          <t>MatchCO2</t>
        </is>
      </c>
      <c r="FI1" t="inlineStr">
        <is>
          <t>MatchH2O</t>
        </is>
      </c>
      <c r="FJ1" t="inlineStr">
        <is>
          <t>cf_co2_a</t>
        </is>
      </c>
      <c r="FK1" t="inlineStr">
        <is>
          <t>cf_co2_b</t>
        </is>
      </c>
      <c r="FL1" t="inlineStr">
        <is>
          <t>cf_co2_c</t>
        </is>
      </c>
      <c r="FM1" t="inlineStr">
        <is>
          <t>cf_co2_d</t>
        </is>
      </c>
      <c r="FN1" t="inlineStr">
        <is>
          <t>cf_h2o_a</t>
        </is>
      </c>
      <c r="FO1" t="inlineStr">
        <is>
          <t>cf_h2o_b</t>
        </is>
      </c>
      <c r="FP1" t="inlineStr">
        <is>
          <t>cf_h2o_c</t>
        </is>
      </c>
      <c r="FQ1" t="inlineStr">
        <is>
          <t>cf_h2o_d</t>
        </is>
      </c>
      <c r="FR1" t="inlineStr">
        <is>
          <t>co2_fit_high</t>
        </is>
      </c>
      <c r="FS1" t="inlineStr">
        <is>
          <t>h2o_fit_low</t>
        </is>
      </c>
      <c r="FT1" t="inlineStr">
        <is>
          <t>h2o_fit_high</t>
        </is>
      </c>
      <c r="FU1" t="inlineStr">
        <is>
          <t>co2_elapsed</t>
        </is>
      </c>
      <c r="FV1" t="inlineStr">
        <is>
          <t>h2o_elapsed</t>
        </is>
      </c>
      <c r="FW1" t="inlineStr">
        <is>
          <t>CO2_f</t>
        </is>
      </c>
      <c r="FX1" t="inlineStr">
        <is>
          <t>CO2_f_s</t>
        </is>
      </c>
      <c r="FY1" t="inlineStr">
        <is>
          <t>Pump_f</t>
        </is>
      </c>
      <c r="FZ1" t="inlineStr">
        <is>
          <t>Pump_f_s</t>
        </is>
      </c>
      <c r="GA1" t="inlineStr">
        <is>
          <t>Pump_p</t>
        </is>
      </c>
      <c r="GB1" t="inlineStr">
        <is>
          <t>Pump_p_s</t>
        </is>
      </c>
      <c r="GC1" t="inlineStr">
        <is>
          <t>Tboard</t>
        </is>
      </c>
      <c r="GD1" t="inlineStr">
        <is>
          <t>V_system</t>
        </is>
      </c>
      <c r="GE1" t="inlineStr">
        <is>
          <t>DIAG</t>
        </is>
      </c>
      <c r="GF1" t="inlineStr">
        <is>
          <t>Flow_s</t>
        </is>
      </c>
      <c r="GG1" t="inlineStr">
        <is>
          <t>Flow_r</t>
        </is>
      </c>
      <c r="GH1" t="inlineStr">
        <is>
          <t>Txchg</t>
        </is>
      </c>
      <c r="GI1" t="inlineStr">
        <is>
          <t>Tirga</t>
        </is>
      </c>
      <c r="GJ1" t="inlineStr">
        <is>
          <t>Tchopper</t>
        </is>
      </c>
      <c r="GK1" t="inlineStr">
        <is>
          <t>Ts</t>
        </is>
      </c>
      <c r="GL1" t="inlineStr">
        <is>
          <t>Tr</t>
        </is>
      </c>
      <c r="GM1" t="inlineStr">
        <is>
          <t>CO2_%</t>
        </is>
      </c>
      <c r="GN1" t="inlineStr">
        <is>
          <t>Desiccant_%</t>
        </is>
      </c>
      <c r="GO1" t="inlineStr">
        <is>
          <t>Humidifier_%</t>
        </is>
      </c>
      <c r="GP1" t="inlineStr">
        <is>
          <t>Txchg_sp</t>
        </is>
      </c>
      <c r="GQ1" t="inlineStr">
        <is>
          <t>CO2_r_sp</t>
        </is>
      </c>
      <c r="GR1" t="inlineStr">
        <is>
          <t>H2O_r_sp</t>
        </is>
      </c>
      <c r="GS1" t="inlineStr">
        <is>
          <t>SS_s</t>
        </is>
      </c>
      <c r="GT1" t="inlineStr">
        <is>
          <t>SS_r</t>
        </is>
      </c>
    </row>
    <row r="2">
      <c r="A2" t="n">
        <v>1</v>
      </c>
      <c r="B2" t="n">
        <v>1792293512</v>
      </c>
      <c r="C2" t="n">
        <v>0</v>
      </c>
      <c r="D2" t="n">
        <v>5</v>
      </c>
      <c r="E2" t="n">
        <v>1792293508.5</v>
      </c>
      <c r="F2" t="n">
        <v>0.007242540244902795</v>
      </c>
      <c r="G2" t="n">
        <v>7.242540244902795</v>
      </c>
      <c r="H2" t="n">
        <v>22.23079273630724</v>
      </c>
      <c r="I2" t="n">
        <v>389.9755</v>
      </c>
      <c r="J2" t="n">
        <v>314.4810849661675</v>
      </c>
      <c r="K2" t="n">
        <v>0.03179299962994877</v>
      </c>
      <c r="L2" t="n">
        <v>0.03942523579287111</v>
      </c>
      <c r="M2" t="n">
        <v>0.5721263611870576</v>
      </c>
      <c r="N2" t="n">
        <v>3.026704299624651</v>
      </c>
      <c r="O2" t="n">
        <v>0.5181362169530773</v>
      </c>
      <c r="P2" t="n">
        <v>0.328260313149039</v>
      </c>
      <c r="Q2" t="n">
        <v>3.181349344878566</v>
      </c>
      <c r="R2" t="n">
        <v>55.04368087660499</v>
      </c>
      <c r="S2" t="n">
        <v>1.803049519373081</v>
      </c>
      <c r="T2" t="n">
        <v>3.275670323383886</v>
      </c>
      <c r="U2" t="n">
        <v>0.5</v>
      </c>
      <c r="V2" t="n">
        <v>1157</v>
      </c>
      <c r="W2" t="n">
        <v>290</v>
      </c>
      <c r="X2" t="n">
        <v>880.28</v>
      </c>
      <c r="Y2" t="n">
        <v>165</v>
      </c>
      <c r="Z2" t="n">
        <v>8122.99</v>
      </c>
      <c r="AA2" t="n">
        <v>875.35</v>
      </c>
      <c r="AB2" t="n">
        <v>4.93</v>
      </c>
      <c r="AC2" t="n">
        <v>300</v>
      </c>
      <c r="AD2" t="n">
        <v>19.3</v>
      </c>
      <c r="AE2" t="n">
        <v>898.8173603878</v>
      </c>
      <c r="AF2" t="n">
        <v>1.50311492518876</v>
      </c>
      <c r="AG2" t="n">
        <v>-19.0610088334602</v>
      </c>
      <c r="AH2" t="n">
        <v>1.09059022936042</v>
      </c>
      <c r="AI2" t="n">
        <v>0.91603442505378</v>
      </c>
      <c r="AJ2" t="n">
        <v>-0.00538388921023359</v>
      </c>
      <c r="AK2" t="n">
        <v>290</v>
      </c>
      <c r="AL2" t="n">
        <v>867.24</v>
      </c>
      <c r="AM2" t="n">
        <v>615</v>
      </c>
      <c r="AN2" t="n">
        <v>8107.04</v>
      </c>
      <c r="AO2" t="n">
        <v>875.3099999999999</v>
      </c>
      <c r="AP2" t="n">
        <v>-8.07</v>
      </c>
      <c r="AQ2" t="n">
        <v>1499.94333333333</v>
      </c>
      <c r="AR2" t="n">
        <v>2</v>
      </c>
      <c r="AS2" t="n">
        <v>0.5</v>
      </c>
      <c r="AT2" t="n">
        <v>2</v>
      </c>
      <c r="AU2" t="n">
        <v>1792293508.5</v>
      </c>
      <c r="AV2" t="n">
        <v>389.9755</v>
      </c>
      <c r="AW2" t="n">
        <v>399.998</v>
      </c>
      <c r="AX2" t="n">
        <v>17.8349</v>
      </c>
      <c r="AY2" t="n">
        <v>14.9894333333333</v>
      </c>
      <c r="AZ2" t="n">
        <v>389.084833333333</v>
      </c>
      <c r="BA2" t="n">
        <v>17.9244666666667</v>
      </c>
      <c r="BB2" t="n">
        <v>499.979166666667</v>
      </c>
      <c r="BC2" t="n">
        <v>100.996833333333</v>
      </c>
      <c r="BD2" t="n">
        <v>0.0998658</v>
      </c>
      <c r="BE2" t="n">
        <v>25.4998166666667</v>
      </c>
      <c r="BF2" t="n">
        <v>25.0088166666667</v>
      </c>
      <c r="BG2" t="n">
        <v>999.9</v>
      </c>
      <c r="BH2" t="n">
        <v>9994.888333333331</v>
      </c>
      <c r="BI2" t="n">
        <v>6.36898333333333</v>
      </c>
      <c r="BJ2" t="n">
        <v>-10.022625</v>
      </c>
      <c r="BK2" t="n">
        <v>397.056833333333</v>
      </c>
      <c r="BL2" t="n">
        <v>406.084833333333</v>
      </c>
      <c r="BM2" t="n">
        <v>2.84549166666667</v>
      </c>
      <c r="BN2" t="n">
        <v>399.998</v>
      </c>
      <c r="BO2" t="n">
        <v>14.9894333333333</v>
      </c>
      <c r="BP2" t="n">
        <v>1.80127166666667</v>
      </c>
      <c r="BQ2" t="n">
        <v>1.513885</v>
      </c>
      <c r="BR2" t="n">
        <v>15.7978166666667</v>
      </c>
      <c r="BS2" t="n">
        <v>13.1091166666667</v>
      </c>
      <c r="BT2" t="n">
        <v>1499.94333333333</v>
      </c>
      <c r="BU2" t="n">
        <v>0.973006</v>
      </c>
      <c r="BV2" t="n">
        <v>0.0269938833333333</v>
      </c>
      <c r="BW2" t="n">
        <v>325.803333333333</v>
      </c>
      <c r="BX2" t="n">
        <v>5.00064</v>
      </c>
      <c r="BY2" t="n">
        <v>5044.61333333333</v>
      </c>
      <c r="BZ2" t="n">
        <v>15438.65</v>
      </c>
      <c r="CA2" t="n">
        <v>40.625</v>
      </c>
      <c r="CB2" t="n">
        <v>41.312</v>
      </c>
      <c r="CC2" t="n">
        <v>40.9685</v>
      </c>
      <c r="CD2" t="n">
        <v>40.9475</v>
      </c>
      <c r="CE2" t="n">
        <v>42.187</v>
      </c>
      <c r="CF2" t="n">
        <v>1454.58333333333</v>
      </c>
      <c r="CG2" t="n">
        <v>40.35</v>
      </c>
      <c r="CH2" t="n">
        <v>2718.10000014305</v>
      </c>
      <c r="CI2" t="n">
        <v>325.85092</v>
      </c>
      <c r="CJ2" t="n">
        <v>0.0772307640765087</v>
      </c>
      <c r="CK2" t="n">
        <v>0.754615390615111</v>
      </c>
      <c r="CL2" t="n">
        <v>5044.7444</v>
      </c>
      <c r="CM2" t="n">
        <v>15</v>
      </c>
      <c r="CN2" t="n">
        <v>1792293454</v>
      </c>
      <c r="CO2" t="n">
        <v>1792293454</v>
      </c>
      <c r="CP2" t="n">
        <v>1792293451</v>
      </c>
      <c r="CQ2" t="n">
        <v>22</v>
      </c>
      <c r="CR2" t="n">
        <v>0.017</v>
      </c>
      <c r="CS2" t="n">
        <v>0.001</v>
      </c>
      <c r="CT2" t="n">
        <v>0.895</v>
      </c>
      <c r="CU2" t="n">
        <v>-0.192</v>
      </c>
      <c r="CV2" t="n">
        <v>400</v>
      </c>
      <c r="CW2" t="n">
        <v>15</v>
      </c>
      <c r="CX2" t="n">
        <v>0.33</v>
      </c>
      <c r="CY2" t="n">
        <v>0.02</v>
      </c>
      <c r="CZ2" t="n">
        <v>22.2486427862548</v>
      </c>
      <c r="DA2" t="n">
        <v>-0.145402959304769</v>
      </c>
      <c r="DB2" t="n">
        <v>0.133326673175905</v>
      </c>
      <c r="DC2" t="n">
        <v>1</v>
      </c>
      <c r="DD2" t="n">
        <v>-10.0334738095238</v>
      </c>
      <c r="DE2" t="n">
        <v>0.06341142857141541</v>
      </c>
      <c r="DF2" t="n">
        <v>0.0532102297250471</v>
      </c>
      <c r="DG2" t="n">
        <v>1</v>
      </c>
      <c r="DH2" t="n">
        <v>325.8355</v>
      </c>
      <c r="DI2" t="n">
        <v>-0.234025978780248</v>
      </c>
      <c r="DJ2" t="n">
        <v>0.216290280165608</v>
      </c>
      <c r="DK2" t="n">
        <v>1</v>
      </c>
      <c r="DL2" t="n">
        <v>3</v>
      </c>
      <c r="DM2" t="n">
        <v>3</v>
      </c>
      <c r="DN2" t="n">
        <v>3.12355</v>
      </c>
      <c r="DO2" t="n">
        <v>2.7653</v>
      </c>
      <c r="DP2" t="n">
        <v>0.0859818</v>
      </c>
      <c r="DQ2" t="n">
        <v>0.0899775</v>
      </c>
      <c r="DR2" t="n">
        <v>0.0945375</v>
      </c>
      <c r="DS2" t="n">
        <v>0.0863519</v>
      </c>
      <c r="DT2" t="n">
        <v>17818.7</v>
      </c>
      <c r="DU2" t="n">
        <v>26749.1</v>
      </c>
      <c r="DV2" t="n">
        <v>22778.7</v>
      </c>
      <c r="DW2" t="n">
        <v>30118.5</v>
      </c>
      <c r="DX2" t="n">
        <v>33826.5</v>
      </c>
      <c r="DY2" t="n">
        <v>34279.3</v>
      </c>
      <c r="DZ2" t="n">
        <v>43096.3</v>
      </c>
      <c r="EA2" t="n">
        <v>42893.2</v>
      </c>
      <c r="EB2" t="n">
        <v>1.97495</v>
      </c>
      <c r="EC2" t="n">
        <v>1.80877</v>
      </c>
      <c r="ED2" t="n">
        <v>0.0590086</v>
      </c>
      <c r="EE2" t="n">
        <v>24.0473</v>
      </c>
      <c r="EF2" t="n">
        <v>999.9</v>
      </c>
      <c r="EG2" t="n">
        <v>38.194</v>
      </c>
      <c r="EH2" t="n">
        <v>33.193</v>
      </c>
      <c r="EI2" t="n">
        <v>19.3161</v>
      </c>
      <c r="EJ2" t="n">
        <v>63.3183</v>
      </c>
      <c r="EK2" t="n">
        <v>36.2821</v>
      </c>
      <c r="EL2" t="n">
        <v>1</v>
      </c>
      <c r="EM2" t="n">
        <v>0.0471138</v>
      </c>
      <c r="EN2" t="n">
        <v>1.81334</v>
      </c>
      <c r="EO2" t="n">
        <v>20.2246</v>
      </c>
      <c r="EP2" t="n">
        <v>5.22957</v>
      </c>
      <c r="EQ2" t="n">
        <v>11.962</v>
      </c>
      <c r="ER2" t="n">
        <v>4.9678</v>
      </c>
      <c r="ES2" t="n">
        <v>3.295</v>
      </c>
      <c r="ET2" t="n">
        <v>9999</v>
      </c>
      <c r="EU2" t="n">
        <v>9999</v>
      </c>
      <c r="EV2" t="n">
        <v>9999</v>
      </c>
      <c r="EW2" t="n">
        <v>999.9</v>
      </c>
      <c r="EX2" t="n">
        <v>4.96861</v>
      </c>
      <c r="EY2" t="n">
        <v>1.86253</v>
      </c>
      <c r="EZ2" t="n">
        <v>1.86413</v>
      </c>
      <c r="FA2" t="n">
        <v>1.86601</v>
      </c>
      <c r="FB2" t="n">
        <v>1.86304</v>
      </c>
      <c r="FC2" t="n">
        <v>1.86673</v>
      </c>
      <c r="FD2" t="n">
        <v>1.86352</v>
      </c>
      <c r="FE2" t="n">
        <v>1.86539</v>
      </c>
      <c r="FF2" t="n">
        <v>100</v>
      </c>
      <c r="FG2" t="n">
        <v>100</v>
      </c>
      <c r="FH2" t="n">
        <v>0.89</v>
      </c>
      <c r="FI2" t="n">
        <v>-0.0895</v>
      </c>
      <c r="FJ2" t="n">
        <v>0.768100751856985</v>
      </c>
      <c r="FK2" t="n">
        <v>0.000216929631606078</v>
      </c>
      <c r="FL2" t="n">
        <v>2.72263024731635e-07</v>
      </c>
      <c r="FM2" t="n">
        <v>-5.43792051235154e-11</v>
      </c>
      <c r="FN2" t="n">
        <v>-0.0179088961678485</v>
      </c>
      <c r="FO2" t="n">
        <v>-0.0584433849545669</v>
      </c>
      <c r="FP2" t="n">
        <v>0.00341568706061026</v>
      </c>
      <c r="FQ2" t="n">
        <v>-2.10952612506686e-05</v>
      </c>
      <c r="FR2" t="n">
        <v>1734</v>
      </c>
      <c r="FS2" t="n">
        <v>2</v>
      </c>
      <c r="FT2" t="n">
        <v>19</v>
      </c>
      <c r="FU2" t="n">
        <v>1</v>
      </c>
      <c r="FV2" t="n">
        <v>1</v>
      </c>
      <c r="FW2" t="n">
        <v>1.05591</v>
      </c>
      <c r="FX2" t="n">
        <v>2.58057</v>
      </c>
      <c r="FY2" t="n">
        <v>1.34644</v>
      </c>
      <c r="FZ2" t="n">
        <v>2.25952</v>
      </c>
      <c r="GA2" t="n">
        <v>1.55029</v>
      </c>
      <c r="GB2" t="n">
        <v>2.4707</v>
      </c>
      <c r="GC2" t="n">
        <v>37.2659</v>
      </c>
      <c r="GD2" t="n">
        <v>16.0671</v>
      </c>
      <c r="GE2" t="n">
        <v>18</v>
      </c>
      <c r="GF2" t="n">
        <v>499.642</v>
      </c>
      <c r="GG2" t="n">
        <v>470.001</v>
      </c>
      <c r="GH2" t="n">
        <v>22.1762</v>
      </c>
      <c r="GI2" t="n">
        <v>27.7991</v>
      </c>
      <c r="GJ2" t="n">
        <v>30.0001</v>
      </c>
      <c r="GK2" t="n">
        <v>27.7587</v>
      </c>
      <c r="GL2" t="n">
        <v>27.767</v>
      </c>
      <c r="GM2" t="n">
        <v>21.1277</v>
      </c>
      <c r="GN2" t="n">
        <v>29.4656</v>
      </c>
      <c r="GO2" t="n">
        <v>23.3619</v>
      </c>
      <c r="GP2" t="n">
        <v>22.1813</v>
      </c>
      <c r="GQ2" t="n">
        <v>400</v>
      </c>
      <c r="GR2" t="n">
        <v>15.0568</v>
      </c>
      <c r="GS2" t="n">
        <v>101.763</v>
      </c>
      <c r="GT2" t="n">
        <v>97.4037</v>
      </c>
    </row>
    <row r="3">
      <c r="A3" t="n">
        <v>2</v>
      </c>
      <c r="B3" t="n">
        <v>1792293633</v>
      </c>
      <c r="C3" t="n">
        <v>121</v>
      </c>
      <c r="D3" t="n">
        <v>5</v>
      </c>
      <c r="E3" t="n">
        <v>1792293629.5</v>
      </c>
      <c r="F3" t="n">
        <v>0.006834913339930413</v>
      </c>
      <c r="G3" t="n">
        <v>6.834913339930414</v>
      </c>
      <c r="H3" t="n">
        <v>16.577298212587</v>
      </c>
      <c r="I3" t="n">
        <v>292.568166666667</v>
      </c>
      <c r="J3" t="n">
        <v>232.9373998911139</v>
      </c>
      <c r="K3" t="n">
        <v>0.02354959372769852</v>
      </c>
      <c r="L3" t="n">
        <v>0.02957816763593244</v>
      </c>
      <c r="M3" t="n">
        <v>0.5341011458355712</v>
      </c>
      <c r="N3" t="n">
        <v>3.0271768502262</v>
      </c>
      <c r="O3" t="n">
        <v>0.486738152500821</v>
      </c>
      <c r="P3" t="n">
        <v>0.3081159560681047</v>
      </c>
      <c r="Q3" t="n">
        <v>3.180783580041814</v>
      </c>
      <c r="R3" t="n">
        <v>55.08114099367345</v>
      </c>
      <c r="S3" t="n">
        <v>1.796075061443967</v>
      </c>
      <c r="T3" t="n">
        <v>3.260780421469959</v>
      </c>
      <c r="U3" t="n">
        <v>0.5</v>
      </c>
      <c r="V3" t="n">
        <v>1157</v>
      </c>
      <c r="W3" t="n">
        <v>290</v>
      </c>
      <c r="X3" t="n">
        <v>880.28</v>
      </c>
      <c r="Y3" t="n">
        <v>165</v>
      </c>
      <c r="Z3" t="n">
        <v>8122.99</v>
      </c>
      <c r="AA3" t="n">
        <v>875.35</v>
      </c>
      <c r="AB3" t="n">
        <v>4.93</v>
      </c>
      <c r="AC3" t="n">
        <v>300</v>
      </c>
      <c r="AD3" t="n">
        <v>19.3</v>
      </c>
      <c r="AE3" t="n">
        <v>898.8173603878</v>
      </c>
      <c r="AF3" t="n">
        <v>1.50311492518876</v>
      </c>
      <c r="AG3" t="n">
        <v>-19.0610088334602</v>
      </c>
      <c r="AH3" t="n">
        <v>1.09059022936042</v>
      </c>
      <c r="AI3" t="n">
        <v>0.91603442505378</v>
      </c>
      <c r="AJ3" t="n">
        <v>-0.00538388921023359</v>
      </c>
      <c r="AK3" t="n">
        <v>290</v>
      </c>
      <c r="AL3" t="n">
        <v>867.24</v>
      </c>
      <c r="AM3" t="n">
        <v>615</v>
      </c>
      <c r="AN3" t="n">
        <v>8107.04</v>
      </c>
      <c r="AO3" t="n">
        <v>875.3099999999999</v>
      </c>
      <c r="AP3" t="n">
        <v>-8.07</v>
      </c>
      <c r="AQ3" t="n">
        <v>1500.03166666667</v>
      </c>
      <c r="AR3" t="n">
        <v>2</v>
      </c>
      <c r="AS3" t="n">
        <v>0.5</v>
      </c>
      <c r="AT3" t="n">
        <v>2</v>
      </c>
      <c r="AU3" t="n">
        <v>1792293629.5</v>
      </c>
      <c r="AV3" t="n">
        <v>292.568166666667</v>
      </c>
      <c r="AW3" t="n">
        <v>299.998833333333</v>
      </c>
      <c r="AX3" t="n">
        <v>17.7656166666667</v>
      </c>
      <c r="AY3" t="n">
        <v>15.0802666666667</v>
      </c>
      <c r="AZ3" t="n">
        <v>291.976333333333</v>
      </c>
      <c r="BA3" t="n">
        <v>17.8601</v>
      </c>
      <c r="BB3" t="n">
        <v>500.008333333333</v>
      </c>
      <c r="BC3" t="n">
        <v>100.998333333333</v>
      </c>
      <c r="BD3" t="n">
        <v>0.100046483333333</v>
      </c>
      <c r="BE3" t="n">
        <v>25.4231333333333</v>
      </c>
      <c r="BF3" t="n">
        <v>25.0058333333333</v>
      </c>
      <c r="BG3" t="n">
        <v>999.9</v>
      </c>
      <c r="BH3" t="n">
        <v>9997.594999999999</v>
      </c>
      <c r="BI3" t="n">
        <v>6.32897</v>
      </c>
      <c r="BJ3" t="n">
        <v>-7.43081833333333</v>
      </c>
      <c r="BK3" t="n">
        <v>297.86</v>
      </c>
      <c r="BL3" t="n">
        <v>304.592333333333</v>
      </c>
      <c r="BM3" t="n">
        <v>2.68533833333333</v>
      </c>
      <c r="BN3" t="n">
        <v>299.998833333333</v>
      </c>
      <c r="BO3" t="n">
        <v>15.0802666666667</v>
      </c>
      <c r="BP3" t="n">
        <v>1.79429833333333</v>
      </c>
      <c r="BQ3" t="n">
        <v>1.523085</v>
      </c>
      <c r="BR3" t="n">
        <v>15.7372166666667</v>
      </c>
      <c r="BS3" t="n">
        <v>13.2018666666667</v>
      </c>
      <c r="BT3" t="n">
        <v>1500.03166666667</v>
      </c>
      <c r="BU3" t="n">
        <v>0.973007333333333</v>
      </c>
      <c r="BV3" t="n">
        <v>0.0269926</v>
      </c>
      <c r="BW3" t="n">
        <v>324.165833333333</v>
      </c>
      <c r="BX3" t="n">
        <v>5.00064</v>
      </c>
      <c r="BY3" t="n">
        <v>5021.07333333333</v>
      </c>
      <c r="BZ3" t="n">
        <v>15439.5666666667</v>
      </c>
      <c r="CA3" t="n">
        <v>40.687</v>
      </c>
      <c r="CB3" t="n">
        <v>41.375</v>
      </c>
      <c r="CC3" t="n">
        <v>41</v>
      </c>
      <c r="CD3" t="n">
        <v>41</v>
      </c>
      <c r="CE3" t="n">
        <v>42.2395</v>
      </c>
      <c r="CF3" t="n">
        <v>1454.67166666667</v>
      </c>
      <c r="CG3" t="n">
        <v>40.3516666666667</v>
      </c>
      <c r="CH3" t="n">
        <v>2838.70000004768</v>
      </c>
      <c r="CI3" t="n">
        <v>324.315115384615</v>
      </c>
      <c r="CJ3" t="n">
        <v>-0.890974356445522</v>
      </c>
      <c r="CK3" t="n">
        <v>-7.72068376406489</v>
      </c>
      <c r="CL3" t="n">
        <v>5021.38884615385</v>
      </c>
      <c r="CM3" t="n">
        <v>15</v>
      </c>
      <c r="CN3" t="n">
        <v>1792293581</v>
      </c>
      <c r="CO3" t="n">
        <v>1792293578</v>
      </c>
      <c r="CP3" t="n">
        <v>1792293581</v>
      </c>
      <c r="CQ3" t="n">
        <v>23</v>
      </c>
      <c r="CR3" t="n">
        <v>-0.261</v>
      </c>
      <c r="CS3" t="n">
        <v>-0.002</v>
      </c>
      <c r="CT3" t="n">
        <v>0.595</v>
      </c>
      <c r="CU3" t="n">
        <v>-0.193</v>
      </c>
      <c r="CV3" t="n">
        <v>300</v>
      </c>
      <c r="CW3" t="n">
        <v>15</v>
      </c>
      <c r="CX3" t="n">
        <v>0.36</v>
      </c>
      <c r="CY3" t="n">
        <v>0.03</v>
      </c>
      <c r="CZ3" t="n">
        <v>16.5516255364634</v>
      </c>
      <c r="DA3" t="n">
        <v>-0.286114213102813</v>
      </c>
      <c r="DB3" t="n">
        <v>0.07709110538348039</v>
      </c>
      <c r="DC3" t="n">
        <v>1</v>
      </c>
      <c r="DD3" t="n">
        <v>-7.4277115</v>
      </c>
      <c r="DE3" t="n">
        <v>0.139986315789467</v>
      </c>
      <c r="DF3" t="n">
        <v>0.0332689998760108</v>
      </c>
      <c r="DG3" t="n">
        <v>1</v>
      </c>
      <c r="DH3" t="n">
        <v>324.319647058823</v>
      </c>
      <c r="DI3" t="n">
        <v>-0.242200150081393</v>
      </c>
      <c r="DJ3" t="n">
        <v>0.186160727891241</v>
      </c>
      <c r="DK3" t="n">
        <v>1</v>
      </c>
      <c r="DL3" t="n">
        <v>3</v>
      </c>
      <c r="DM3" t="n">
        <v>3</v>
      </c>
      <c r="DN3" t="n">
        <v>3.12357</v>
      </c>
      <c r="DO3" t="n">
        <v>2.76539</v>
      </c>
      <c r="DP3" t="n">
        <v>0.0685297</v>
      </c>
      <c r="DQ3" t="n">
        <v>0.0717704</v>
      </c>
      <c r="DR3" t="n">
        <v>0.0942233</v>
      </c>
      <c r="DS3" t="n">
        <v>0.0867226</v>
      </c>
      <c r="DT3" t="n">
        <v>18157.1</v>
      </c>
      <c r="DU3" t="n">
        <v>27282.1</v>
      </c>
      <c r="DV3" t="n">
        <v>22776.4</v>
      </c>
      <c r="DW3" t="n">
        <v>30116.2</v>
      </c>
      <c r="DX3" t="n">
        <v>33834.2</v>
      </c>
      <c r="DY3" t="n">
        <v>34262.1</v>
      </c>
      <c r="DZ3" t="n">
        <v>43091.7</v>
      </c>
      <c r="EA3" t="n">
        <v>42890.7</v>
      </c>
      <c r="EB3" t="n">
        <v>1.97415</v>
      </c>
      <c r="EC3" t="n">
        <v>1.8081</v>
      </c>
      <c r="ED3" t="n">
        <v>0.0619181</v>
      </c>
      <c r="EE3" t="n">
        <v>23.9872</v>
      </c>
      <c r="EF3" t="n">
        <v>999.9</v>
      </c>
      <c r="EG3" t="n">
        <v>38.036</v>
      </c>
      <c r="EH3" t="n">
        <v>33.204</v>
      </c>
      <c r="EI3" t="n">
        <v>19.2456</v>
      </c>
      <c r="EJ3" t="n">
        <v>63.0383</v>
      </c>
      <c r="EK3" t="n">
        <v>36.4864</v>
      </c>
      <c r="EL3" t="n">
        <v>1</v>
      </c>
      <c r="EM3" t="n">
        <v>0.0516209</v>
      </c>
      <c r="EN3" t="n">
        <v>2.02598</v>
      </c>
      <c r="EO3" t="n">
        <v>20.2224</v>
      </c>
      <c r="EP3" t="n">
        <v>5.23421</v>
      </c>
      <c r="EQ3" t="n">
        <v>11.962</v>
      </c>
      <c r="ER3" t="n">
        <v>4.96935</v>
      </c>
      <c r="ES3" t="n">
        <v>3.2951</v>
      </c>
      <c r="ET3" t="n">
        <v>9999</v>
      </c>
      <c r="EU3" t="n">
        <v>9999</v>
      </c>
      <c r="EV3" t="n">
        <v>9999</v>
      </c>
      <c r="EW3" t="n">
        <v>999.9</v>
      </c>
      <c r="EX3" t="n">
        <v>4.9686</v>
      </c>
      <c r="EY3" t="n">
        <v>1.86253</v>
      </c>
      <c r="EZ3" t="n">
        <v>1.86409</v>
      </c>
      <c r="FA3" t="n">
        <v>1.866</v>
      </c>
      <c r="FB3" t="n">
        <v>1.86304</v>
      </c>
      <c r="FC3" t="n">
        <v>1.86674</v>
      </c>
      <c r="FD3" t="n">
        <v>1.86351</v>
      </c>
      <c r="FE3" t="n">
        <v>1.8654</v>
      </c>
      <c r="FF3" t="n">
        <v>100</v>
      </c>
      <c r="FG3" t="n">
        <v>100</v>
      </c>
      <c r="FH3" t="n">
        <v>0.592</v>
      </c>
      <c r="FI3" t="n">
        <v>-0.0951</v>
      </c>
      <c r="FJ3" t="n">
        <v>0.506711608519433</v>
      </c>
      <c r="FK3" t="n">
        <v>0.000216929631606078</v>
      </c>
      <c r="FL3" t="n">
        <v>2.72263024731635e-07</v>
      </c>
      <c r="FM3" t="n">
        <v>-5.43792051235154e-11</v>
      </c>
      <c r="FN3" t="n">
        <v>-0.0200714690311809</v>
      </c>
      <c r="FO3" t="n">
        <v>-0.0584433849545669</v>
      </c>
      <c r="FP3" t="n">
        <v>0.00341568706061026</v>
      </c>
      <c r="FQ3" t="n">
        <v>-2.10952612506686e-05</v>
      </c>
      <c r="FR3" t="n">
        <v>1734</v>
      </c>
      <c r="FS3" t="n">
        <v>2</v>
      </c>
      <c r="FT3" t="n">
        <v>19</v>
      </c>
      <c r="FU3" t="n">
        <v>0.9</v>
      </c>
      <c r="FV3" t="n">
        <v>0.9</v>
      </c>
      <c r="FW3" t="n">
        <v>0.8483889999999999</v>
      </c>
      <c r="FX3" t="n">
        <v>2.56104</v>
      </c>
      <c r="FY3" t="n">
        <v>1.34644</v>
      </c>
      <c r="FZ3" t="n">
        <v>2.26074</v>
      </c>
      <c r="GA3" t="n">
        <v>1.55029</v>
      </c>
      <c r="GB3" t="n">
        <v>2.71851</v>
      </c>
      <c r="GC3" t="n">
        <v>37.1702</v>
      </c>
      <c r="GD3" t="n">
        <v>16.0671</v>
      </c>
      <c r="GE3" t="n">
        <v>18</v>
      </c>
      <c r="GF3" t="n">
        <v>499.63</v>
      </c>
      <c r="GG3" t="n">
        <v>470.019</v>
      </c>
      <c r="GH3" t="n">
        <v>21.9805</v>
      </c>
      <c r="GI3" t="n">
        <v>27.8576</v>
      </c>
      <c r="GJ3" t="n">
        <v>30</v>
      </c>
      <c r="GK3" t="n">
        <v>27.8144</v>
      </c>
      <c r="GL3" t="n">
        <v>27.8216</v>
      </c>
      <c r="GM3" t="n">
        <v>16.9916</v>
      </c>
      <c r="GN3" t="n">
        <v>28.8226</v>
      </c>
      <c r="GO3" t="n">
        <v>22.7487</v>
      </c>
      <c r="GP3" t="n">
        <v>21.9825</v>
      </c>
      <c r="GQ3" t="n">
        <v>300</v>
      </c>
      <c r="GR3" t="n">
        <v>15.1214</v>
      </c>
      <c r="GS3" t="n">
        <v>101.753</v>
      </c>
      <c r="GT3" t="n">
        <v>97.3973</v>
      </c>
    </row>
    <row r="4">
      <c r="A4" t="n">
        <v>3</v>
      </c>
      <c r="B4" t="n">
        <v>1792293754</v>
      </c>
      <c r="C4" t="n">
        <v>242</v>
      </c>
      <c r="D4" t="n">
        <v>5</v>
      </c>
      <c r="E4" t="n">
        <v>1792293750.5</v>
      </c>
      <c r="F4" t="n">
        <v>0.006442510762695566</v>
      </c>
      <c r="G4" t="n">
        <v>6.442510762695566</v>
      </c>
      <c r="H4" t="n">
        <v>9.385964963335047</v>
      </c>
      <c r="I4" t="n">
        <v>195.737666666667</v>
      </c>
      <c r="J4" t="n">
        <v>159.2804132320128</v>
      </c>
      <c r="K4" t="n">
        <v>0.01610317585571671</v>
      </c>
      <c r="L4" t="n">
        <v>0.01978898725814893</v>
      </c>
      <c r="M4" t="n">
        <v>0.498064348820654</v>
      </c>
      <c r="N4" t="n">
        <v>3.027320624489606</v>
      </c>
      <c r="O4" t="n">
        <v>0.4566134576414685</v>
      </c>
      <c r="P4" t="n">
        <v>0.2888195865483276</v>
      </c>
      <c r="Q4" t="n">
        <v>3.181501073306049</v>
      </c>
      <c r="R4" t="n">
        <v>55.20042930947733</v>
      </c>
      <c r="S4" t="n">
        <v>1.790127357374671</v>
      </c>
      <c r="T4" t="n">
        <v>3.24295912145619</v>
      </c>
      <c r="U4" t="n">
        <v>0.5</v>
      </c>
      <c r="V4" t="n">
        <v>1157</v>
      </c>
      <c r="W4" t="n">
        <v>290</v>
      </c>
      <c r="X4" t="n">
        <v>880.28</v>
      </c>
      <c r="Y4" t="n">
        <v>165</v>
      </c>
      <c r="Z4" t="n">
        <v>8122.99</v>
      </c>
      <c r="AA4" t="n">
        <v>875.35</v>
      </c>
      <c r="AB4" t="n">
        <v>4.93</v>
      </c>
      <c r="AC4" t="n">
        <v>300</v>
      </c>
      <c r="AD4" t="n">
        <v>19.3</v>
      </c>
      <c r="AE4" t="n">
        <v>898.8173603878</v>
      </c>
      <c r="AF4" t="n">
        <v>1.50311492518876</v>
      </c>
      <c r="AG4" t="n">
        <v>-19.0610088334602</v>
      </c>
      <c r="AH4" t="n">
        <v>1.09059022936042</v>
      </c>
      <c r="AI4" t="n">
        <v>0.91603442505378</v>
      </c>
      <c r="AJ4" t="n">
        <v>-0.00538388921023359</v>
      </c>
      <c r="AK4" t="n">
        <v>290</v>
      </c>
      <c r="AL4" t="n">
        <v>867.24</v>
      </c>
      <c r="AM4" t="n">
        <v>615</v>
      </c>
      <c r="AN4" t="n">
        <v>8107.04</v>
      </c>
      <c r="AO4" t="n">
        <v>875.3099999999999</v>
      </c>
      <c r="AP4" t="n">
        <v>-8.07</v>
      </c>
      <c r="AQ4" t="n">
        <v>1500.00833333333</v>
      </c>
      <c r="AR4" t="n">
        <v>2</v>
      </c>
      <c r="AS4" t="n">
        <v>0.5</v>
      </c>
      <c r="AT4" t="n">
        <v>2</v>
      </c>
      <c r="AU4" t="n">
        <v>1792293750.5</v>
      </c>
      <c r="AV4" t="n">
        <v>195.737666666667</v>
      </c>
      <c r="AW4" t="n">
        <v>199.995166666667</v>
      </c>
      <c r="AX4" t="n">
        <v>17.7065833333333</v>
      </c>
      <c r="AY4" t="n">
        <v>15.1759833333333</v>
      </c>
      <c r="AZ4" t="n">
        <v>195.284666666667</v>
      </c>
      <c r="BA4" t="n">
        <v>17.8042333333333</v>
      </c>
      <c r="BB4" t="n">
        <v>500.153</v>
      </c>
      <c r="BC4" t="n">
        <v>100.9995</v>
      </c>
      <c r="BD4" t="n">
        <v>0.1000359</v>
      </c>
      <c r="BE4" t="n">
        <v>25.33095</v>
      </c>
      <c r="BF4" t="n">
        <v>25.0096166666667</v>
      </c>
      <c r="BG4" t="n">
        <v>999.9</v>
      </c>
      <c r="BH4" t="n">
        <v>9998.34833333333</v>
      </c>
      <c r="BI4" t="n">
        <v>6.32897</v>
      </c>
      <c r="BJ4" t="n">
        <v>-4.25766166666667</v>
      </c>
      <c r="BK4" t="n">
        <v>199.265833333333</v>
      </c>
      <c r="BL4" t="n">
        <v>203.077166666667</v>
      </c>
      <c r="BM4" t="n">
        <v>2.53061</v>
      </c>
      <c r="BN4" t="n">
        <v>199.995166666667</v>
      </c>
      <c r="BO4" t="n">
        <v>15.1759833333333</v>
      </c>
      <c r="BP4" t="n">
        <v>1.788355</v>
      </c>
      <c r="BQ4" t="n">
        <v>1.53276833333333</v>
      </c>
      <c r="BR4" t="n">
        <v>15.6853833333333</v>
      </c>
      <c r="BS4" t="n">
        <v>13.299</v>
      </c>
      <c r="BT4" t="n">
        <v>1500.00833333333</v>
      </c>
      <c r="BU4" t="n">
        <v>0.973006666666667</v>
      </c>
      <c r="BV4" t="n">
        <v>0.02699325</v>
      </c>
      <c r="BW4" t="n">
        <v>325.830666666667</v>
      </c>
      <c r="BX4" t="n">
        <v>5.00064</v>
      </c>
      <c r="BY4" t="n">
        <v>5041.535</v>
      </c>
      <c r="BZ4" t="n">
        <v>15439.35</v>
      </c>
      <c r="CA4" t="n">
        <v>40.6975</v>
      </c>
      <c r="CB4" t="n">
        <v>41.4163333333333</v>
      </c>
      <c r="CC4" t="n">
        <v>41.0516666666667</v>
      </c>
      <c r="CD4" t="n">
        <v>41.062</v>
      </c>
      <c r="CE4" t="n">
        <v>42.25</v>
      </c>
      <c r="CF4" t="n">
        <v>1454.64833333333</v>
      </c>
      <c r="CG4" t="n">
        <v>40.36</v>
      </c>
      <c r="CH4" t="n">
        <v>2959.90000009537</v>
      </c>
      <c r="CI4" t="n">
        <v>325.727115384615</v>
      </c>
      <c r="CJ4" t="n">
        <v>-0.348752141421458</v>
      </c>
      <c r="CK4" t="n">
        <v>2.31384615147941</v>
      </c>
      <c r="CL4" t="n">
        <v>5041.41384615385</v>
      </c>
      <c r="CM4" t="n">
        <v>15</v>
      </c>
      <c r="CN4" t="n">
        <v>1792293706</v>
      </c>
      <c r="CO4" t="n">
        <v>1792293706</v>
      </c>
      <c r="CP4" t="n">
        <v>1792293699</v>
      </c>
      <c r="CQ4" t="n">
        <v>24</v>
      </c>
      <c r="CR4" t="n">
        <v>-0.106</v>
      </c>
      <c r="CS4" t="n">
        <v>-0.001</v>
      </c>
      <c r="CT4" t="n">
        <v>0.454</v>
      </c>
      <c r="CU4" t="n">
        <v>-0.19</v>
      </c>
      <c r="CV4" t="n">
        <v>200</v>
      </c>
      <c r="CW4" t="n">
        <v>15</v>
      </c>
      <c r="CX4" t="n">
        <v>0.31</v>
      </c>
      <c r="CY4" t="n">
        <v>0.04</v>
      </c>
      <c r="CZ4" t="n">
        <v>9.39907726549364</v>
      </c>
      <c r="DA4" t="n">
        <v>0.0899038349862526</v>
      </c>
      <c r="DB4" t="n">
        <v>0.0529226957179817</v>
      </c>
      <c r="DC4" t="n">
        <v>1</v>
      </c>
      <c r="DD4" t="n">
        <v>-4.2638645</v>
      </c>
      <c r="DE4" t="n">
        <v>-0.0155661654135276</v>
      </c>
      <c r="DF4" t="n">
        <v>0.020137332860883</v>
      </c>
      <c r="DG4" t="n">
        <v>1</v>
      </c>
      <c r="DH4" t="n">
        <v>325.707794117647</v>
      </c>
      <c r="DI4" t="n">
        <v>0.305042015176642</v>
      </c>
      <c r="DJ4" t="n">
        <v>0.193639565021896</v>
      </c>
      <c r="DK4" t="n">
        <v>1</v>
      </c>
      <c r="DL4" t="n">
        <v>3</v>
      </c>
      <c r="DM4" t="n">
        <v>3</v>
      </c>
      <c r="DN4" t="n">
        <v>3.12346</v>
      </c>
      <c r="DO4" t="n">
        <v>2.76534</v>
      </c>
      <c r="DP4" t="n">
        <v>0.048801</v>
      </c>
      <c r="DQ4" t="n">
        <v>0.0510635</v>
      </c>
      <c r="DR4" t="n">
        <v>0.0939873</v>
      </c>
      <c r="DS4" t="n">
        <v>0.0871117</v>
      </c>
      <c r="DT4" t="n">
        <v>18540.1</v>
      </c>
      <c r="DU4" t="n">
        <v>27887.9</v>
      </c>
      <c r="DV4" t="n">
        <v>22774.7</v>
      </c>
      <c r="DW4" t="n">
        <v>30113.1</v>
      </c>
      <c r="DX4" t="n">
        <v>33839.7</v>
      </c>
      <c r="DY4" t="n">
        <v>34243.3</v>
      </c>
      <c r="DZ4" t="n">
        <v>43088.5</v>
      </c>
      <c r="EA4" t="n">
        <v>42887.2</v>
      </c>
      <c r="EB4" t="n">
        <v>1.9732</v>
      </c>
      <c r="EC4" t="n">
        <v>1.80742</v>
      </c>
      <c r="ED4" t="n">
        <v>0.0649877</v>
      </c>
      <c r="EE4" t="n">
        <v>23.9313</v>
      </c>
      <c r="EF4" t="n">
        <v>999.9</v>
      </c>
      <c r="EG4" t="n">
        <v>37.932</v>
      </c>
      <c r="EH4" t="n">
        <v>33.173</v>
      </c>
      <c r="EI4" t="n">
        <v>19.1601</v>
      </c>
      <c r="EJ4" t="n">
        <v>63.0583</v>
      </c>
      <c r="EK4" t="n">
        <v>36.3421</v>
      </c>
      <c r="EL4" t="n">
        <v>1</v>
      </c>
      <c r="EM4" t="n">
        <v>0.0558232</v>
      </c>
      <c r="EN4" t="n">
        <v>2.00853</v>
      </c>
      <c r="EO4" t="n">
        <v>20.223</v>
      </c>
      <c r="EP4" t="n">
        <v>5.22927</v>
      </c>
      <c r="EQ4" t="n">
        <v>11.962</v>
      </c>
      <c r="ER4" t="n">
        <v>4.9691</v>
      </c>
      <c r="ES4" t="n">
        <v>3.29508</v>
      </c>
      <c r="ET4" t="n">
        <v>9999</v>
      </c>
      <c r="EU4" t="n">
        <v>9999</v>
      </c>
      <c r="EV4" t="n">
        <v>9999</v>
      </c>
      <c r="EW4" t="n">
        <v>999.9</v>
      </c>
      <c r="EX4" t="n">
        <v>4.96863</v>
      </c>
      <c r="EY4" t="n">
        <v>1.86249</v>
      </c>
      <c r="EZ4" t="n">
        <v>1.86403</v>
      </c>
      <c r="FA4" t="n">
        <v>1.866</v>
      </c>
      <c r="FB4" t="n">
        <v>1.86299</v>
      </c>
      <c r="FC4" t="n">
        <v>1.86672</v>
      </c>
      <c r="FD4" t="n">
        <v>1.86348</v>
      </c>
      <c r="FE4" t="n">
        <v>1.86539</v>
      </c>
      <c r="FF4" t="n">
        <v>100</v>
      </c>
      <c r="FG4" t="n">
        <v>100</v>
      </c>
      <c r="FH4" t="n">
        <v>0.453</v>
      </c>
      <c r="FI4" t="n">
        <v>-0.0983</v>
      </c>
      <c r="FJ4" t="n">
        <v>0.400585629137811</v>
      </c>
      <c r="FK4" t="n">
        <v>0.000216929631606078</v>
      </c>
      <c r="FL4" t="n">
        <v>2.72263024731635e-07</v>
      </c>
      <c r="FM4" t="n">
        <v>-5.43792051235154e-11</v>
      </c>
      <c r="FN4" t="n">
        <v>-0.0208003055697015</v>
      </c>
      <c r="FO4" t="n">
        <v>-0.0584433849545669</v>
      </c>
      <c r="FP4" t="n">
        <v>0.00341568706061026</v>
      </c>
      <c r="FQ4" t="n">
        <v>-2.10952612506686e-05</v>
      </c>
      <c r="FR4" t="n">
        <v>1734</v>
      </c>
      <c r="FS4" t="n">
        <v>2</v>
      </c>
      <c r="FT4" t="n">
        <v>19</v>
      </c>
      <c r="FU4" t="n">
        <v>0.8</v>
      </c>
      <c r="FV4" t="n">
        <v>0.9</v>
      </c>
      <c r="FW4" t="n">
        <v>0.633545</v>
      </c>
      <c r="FX4" t="n">
        <v>2.56714</v>
      </c>
      <c r="FY4" t="n">
        <v>1.34644</v>
      </c>
      <c r="FZ4" t="n">
        <v>2.25952</v>
      </c>
      <c r="GA4" t="n">
        <v>1.55029</v>
      </c>
      <c r="GB4" t="n">
        <v>2.72705</v>
      </c>
      <c r="GC4" t="n">
        <v>37.0986</v>
      </c>
      <c r="GD4" t="n">
        <v>16.0583</v>
      </c>
      <c r="GE4" t="n">
        <v>18</v>
      </c>
      <c r="GF4" t="n">
        <v>499.521</v>
      </c>
      <c r="GG4" t="n">
        <v>470.038</v>
      </c>
      <c r="GH4" t="n">
        <v>21.9071</v>
      </c>
      <c r="GI4" t="n">
        <v>27.9134</v>
      </c>
      <c r="GJ4" t="n">
        <v>30.0003</v>
      </c>
      <c r="GK4" t="n">
        <v>27.87</v>
      </c>
      <c r="GL4" t="n">
        <v>27.8762</v>
      </c>
      <c r="GM4" t="n">
        <v>12.6898</v>
      </c>
      <c r="GN4" t="n">
        <v>28.0766</v>
      </c>
      <c r="GO4" t="n">
        <v>22.1291</v>
      </c>
      <c r="GP4" t="n">
        <v>21.9003</v>
      </c>
      <c r="GQ4" t="n">
        <v>200</v>
      </c>
      <c r="GR4" t="n">
        <v>15.147</v>
      </c>
      <c r="GS4" t="n">
        <v>101.745</v>
      </c>
      <c r="GT4" t="n">
        <v>97.3886</v>
      </c>
    </row>
    <row r="5">
      <c r="A5" t="n">
        <v>4</v>
      </c>
      <c r="B5" t="n">
        <v>1792293875</v>
      </c>
      <c r="C5" t="n">
        <v>363</v>
      </c>
      <c r="D5" t="n">
        <v>5</v>
      </c>
      <c r="E5" t="n">
        <v>1792293872</v>
      </c>
      <c r="F5" t="n">
        <v>0.006203386101165894</v>
      </c>
      <c r="G5" t="n">
        <v>6.203386101165894</v>
      </c>
      <c r="H5" t="n">
        <v>2.509237500766138</v>
      </c>
      <c r="I5" t="n">
        <v>98.74628</v>
      </c>
      <c r="J5" t="n">
        <v>87.6147566821231</v>
      </c>
      <c r="K5" t="n">
        <v>0.008857607152244443</v>
      </c>
      <c r="L5" t="n">
        <v>0.009982973064216671</v>
      </c>
      <c r="M5" t="n">
        <v>0.4767867928064126</v>
      </c>
      <c r="N5" t="n">
        <v>3.029421454056208</v>
      </c>
      <c r="O5" t="n">
        <v>0.4386808975357734</v>
      </c>
      <c r="P5" t="n">
        <v>0.2773449908858782</v>
      </c>
      <c r="Q5" t="n">
        <v>3.179632093585683</v>
      </c>
      <c r="R5" t="n">
        <v>55.14927997068961</v>
      </c>
      <c r="S5" t="n">
        <v>1.785119880591788</v>
      </c>
      <c r="T5" t="n">
        <v>3.236887012016353</v>
      </c>
      <c r="U5" t="n">
        <v>0.5</v>
      </c>
      <c r="V5" t="n">
        <v>1157</v>
      </c>
      <c r="W5" t="n">
        <v>290</v>
      </c>
      <c r="X5" t="n">
        <v>880.28</v>
      </c>
      <c r="Y5" t="n">
        <v>165</v>
      </c>
      <c r="Z5" t="n">
        <v>8122.99</v>
      </c>
      <c r="AA5" t="n">
        <v>875.35</v>
      </c>
      <c r="AB5" t="n">
        <v>4.93</v>
      </c>
      <c r="AC5" t="n">
        <v>300</v>
      </c>
      <c r="AD5" t="n">
        <v>19.3</v>
      </c>
      <c r="AE5" t="n">
        <v>898.8173603878</v>
      </c>
      <c r="AF5" t="n">
        <v>1.50311492518876</v>
      </c>
      <c r="AG5" t="n">
        <v>-19.0610088334602</v>
      </c>
      <c r="AH5" t="n">
        <v>1.09059022936042</v>
      </c>
      <c r="AI5" t="n">
        <v>0.91603442505378</v>
      </c>
      <c r="AJ5" t="n">
        <v>-0.00538388921023359</v>
      </c>
      <c r="AK5" t="n">
        <v>290</v>
      </c>
      <c r="AL5" t="n">
        <v>867.24</v>
      </c>
      <c r="AM5" t="n">
        <v>615</v>
      </c>
      <c r="AN5" t="n">
        <v>8107.04</v>
      </c>
      <c r="AO5" t="n">
        <v>875.3099999999999</v>
      </c>
      <c r="AP5" t="n">
        <v>-8.07</v>
      </c>
      <c r="AQ5" t="n">
        <v>1499.992</v>
      </c>
      <c r="AR5" t="n">
        <v>2</v>
      </c>
      <c r="AS5" t="n">
        <v>0.5</v>
      </c>
      <c r="AT5" t="n">
        <v>2</v>
      </c>
      <c r="AU5" t="n">
        <v>1792293872</v>
      </c>
      <c r="AV5" t="n">
        <v>98.74628</v>
      </c>
      <c r="AW5" t="n">
        <v>99.99502</v>
      </c>
      <c r="AX5" t="n">
        <v>17.65746</v>
      </c>
      <c r="AY5" t="n">
        <v>15.21988</v>
      </c>
      <c r="AZ5" t="n">
        <v>98.64008</v>
      </c>
      <c r="BA5" t="n">
        <v>17.76068</v>
      </c>
      <c r="BB5" t="n">
        <v>499.9918</v>
      </c>
      <c r="BC5" t="n">
        <v>100.9974</v>
      </c>
      <c r="BD5" t="n">
        <v>0.09980654</v>
      </c>
      <c r="BE5" t="n">
        <v>25.29944</v>
      </c>
      <c r="BF5" t="n">
        <v>24.99976</v>
      </c>
      <c r="BG5" t="n">
        <v>999.9</v>
      </c>
      <c r="BH5" t="n">
        <v>10011.26</v>
      </c>
      <c r="BI5" t="n">
        <v>6.38353</v>
      </c>
      <c r="BJ5" t="n">
        <v>-1.248806</v>
      </c>
      <c r="BK5" t="n">
        <v>100.5212</v>
      </c>
      <c r="BL5" t="n">
        <v>101.5406</v>
      </c>
      <c r="BM5" t="n">
        <v>2.437556</v>
      </c>
      <c r="BN5" t="n">
        <v>99.99502</v>
      </c>
      <c r="BO5" t="n">
        <v>15.21988</v>
      </c>
      <c r="BP5" t="n">
        <v>1.783354</v>
      </c>
      <c r="BQ5" t="n">
        <v>1.537168</v>
      </c>
      <c r="BR5" t="n">
        <v>15.64164</v>
      </c>
      <c r="BS5" t="n">
        <v>13.34296</v>
      </c>
      <c r="BT5" t="n">
        <v>1499.992</v>
      </c>
      <c r="BU5" t="n">
        <v>0.973006</v>
      </c>
      <c r="BV5" t="n">
        <v>0.0269939</v>
      </c>
      <c r="BW5" t="n">
        <v>331.1652</v>
      </c>
      <c r="BX5" t="n">
        <v>5.00064</v>
      </c>
      <c r="BY5" t="n">
        <v>5125.09</v>
      </c>
      <c r="BZ5" t="n">
        <v>15439.16</v>
      </c>
      <c r="CA5" t="n">
        <v>40.75</v>
      </c>
      <c r="CB5" t="n">
        <v>41.437</v>
      </c>
      <c r="CC5" t="n">
        <v>41.0746</v>
      </c>
      <c r="CD5" t="n">
        <v>41.0872</v>
      </c>
      <c r="CE5" t="n">
        <v>42.2996</v>
      </c>
      <c r="CF5" t="n">
        <v>1454.632</v>
      </c>
      <c r="CG5" t="n">
        <v>40.36</v>
      </c>
      <c r="CH5" t="n">
        <v>3081.10000014305</v>
      </c>
      <c r="CI5" t="n">
        <v>331.3465</v>
      </c>
      <c r="CJ5" t="n">
        <v>-0.0552820440778656</v>
      </c>
      <c r="CK5" t="n">
        <v>6.71931622144723</v>
      </c>
      <c r="CL5" t="n">
        <v>5124.58692307692</v>
      </c>
      <c r="CM5" t="n">
        <v>15</v>
      </c>
      <c r="CN5" t="n">
        <v>1792293830</v>
      </c>
      <c r="CO5" t="n">
        <v>1792293830</v>
      </c>
      <c r="CP5" t="n">
        <v>1792293819</v>
      </c>
      <c r="CQ5" t="n">
        <v>25</v>
      </c>
      <c r="CR5" t="n">
        <v>-0.318</v>
      </c>
      <c r="CS5" t="n">
        <v>-0.004</v>
      </c>
      <c r="CT5" t="n">
        <v>0.107</v>
      </c>
      <c r="CU5" t="n">
        <v>-0.193</v>
      </c>
      <c r="CV5" t="n">
        <v>100</v>
      </c>
      <c r="CW5" t="n">
        <v>15</v>
      </c>
      <c r="CX5" t="n">
        <v>0.44</v>
      </c>
      <c r="CY5" t="n">
        <v>0.04</v>
      </c>
      <c r="CZ5" t="n">
        <v>2.47654995426906</v>
      </c>
      <c r="DA5" t="n">
        <v>0.275491675020079</v>
      </c>
      <c r="DB5" t="n">
        <v>0.0518796859198387</v>
      </c>
      <c r="DC5" t="n">
        <v>1</v>
      </c>
      <c r="DD5" t="n">
        <v>-1.239544</v>
      </c>
      <c r="DE5" t="n">
        <v>-0.123756992481203</v>
      </c>
      <c r="DF5" t="n">
        <v>0.0210624538931246</v>
      </c>
      <c r="DG5" t="n">
        <v>1</v>
      </c>
      <c r="DH5" t="n">
        <v>331.310176470588</v>
      </c>
      <c r="DI5" t="n">
        <v>-0.247669969825463</v>
      </c>
      <c r="DJ5" t="n">
        <v>0.223833639719094</v>
      </c>
      <c r="DK5" t="n">
        <v>1</v>
      </c>
      <c r="DL5" t="n">
        <v>3</v>
      </c>
      <c r="DM5" t="n">
        <v>3</v>
      </c>
      <c r="DN5" t="n">
        <v>3.12316</v>
      </c>
      <c r="DO5" t="n">
        <v>2.76524</v>
      </c>
      <c r="DP5" t="n">
        <v>0.0261894</v>
      </c>
      <c r="DQ5" t="n">
        <v>0.0272283</v>
      </c>
      <c r="DR5" t="n">
        <v>0.0938384</v>
      </c>
      <c r="DS5" t="n">
        <v>0.0872817</v>
      </c>
      <c r="DT5" t="n">
        <v>18980.7</v>
      </c>
      <c r="DU5" t="n">
        <v>28587.4</v>
      </c>
      <c r="DV5" t="n">
        <v>22774.5</v>
      </c>
      <c r="DW5" t="n">
        <v>30112</v>
      </c>
      <c r="DX5" t="n">
        <v>33844.2</v>
      </c>
      <c r="DY5" t="n">
        <v>34234.8</v>
      </c>
      <c r="DZ5" t="n">
        <v>43088.6</v>
      </c>
      <c r="EA5" t="n">
        <v>42886.7</v>
      </c>
      <c r="EB5" t="n">
        <v>1.9723</v>
      </c>
      <c r="EC5" t="n">
        <v>1.80718</v>
      </c>
      <c r="ED5" t="n">
        <v>0.0667833</v>
      </c>
      <c r="EE5" t="n">
        <v>23.8936</v>
      </c>
      <c r="EF5" t="n">
        <v>999.9</v>
      </c>
      <c r="EG5" t="n">
        <v>37.865</v>
      </c>
      <c r="EH5" t="n">
        <v>33.173</v>
      </c>
      <c r="EI5" t="n">
        <v>19.1241</v>
      </c>
      <c r="EJ5" t="n">
        <v>63.1383</v>
      </c>
      <c r="EK5" t="n">
        <v>36.9071</v>
      </c>
      <c r="EL5" t="n">
        <v>1</v>
      </c>
      <c r="EM5" t="n">
        <v>0.0575762</v>
      </c>
      <c r="EN5" t="n">
        <v>1.94029</v>
      </c>
      <c r="EO5" t="n">
        <v>20.2239</v>
      </c>
      <c r="EP5" t="n">
        <v>5.23451</v>
      </c>
      <c r="EQ5" t="n">
        <v>11.962</v>
      </c>
      <c r="ER5" t="n">
        <v>4.968</v>
      </c>
      <c r="ES5" t="n">
        <v>3.29503</v>
      </c>
      <c r="ET5" t="n">
        <v>9999</v>
      </c>
      <c r="EU5" t="n">
        <v>9999</v>
      </c>
      <c r="EV5" t="n">
        <v>9999</v>
      </c>
      <c r="EW5" t="n">
        <v>999.9</v>
      </c>
      <c r="EX5" t="n">
        <v>4.96862</v>
      </c>
      <c r="EY5" t="n">
        <v>1.8625</v>
      </c>
      <c r="EZ5" t="n">
        <v>1.86404</v>
      </c>
      <c r="FA5" t="n">
        <v>1.866</v>
      </c>
      <c r="FB5" t="n">
        <v>1.86298</v>
      </c>
      <c r="FC5" t="n">
        <v>1.86665</v>
      </c>
      <c r="FD5" t="n">
        <v>1.86347</v>
      </c>
      <c r="FE5" t="n">
        <v>1.86539</v>
      </c>
      <c r="FF5" t="n">
        <v>100</v>
      </c>
      <c r="FG5" t="n">
        <v>100</v>
      </c>
      <c r="FH5" t="n">
        <v>0.106</v>
      </c>
      <c r="FI5" t="n">
        <v>-0.1036</v>
      </c>
      <c r="FJ5" t="n">
        <v>0.08222549627128389</v>
      </c>
      <c r="FK5" t="n">
        <v>0.000216929631606078</v>
      </c>
      <c r="FL5" t="n">
        <v>2.72263024731635e-07</v>
      </c>
      <c r="FM5" t="n">
        <v>-5.43792051235154e-11</v>
      </c>
      <c r="FN5" t="n">
        <v>-0.0245175022235296</v>
      </c>
      <c r="FO5" t="n">
        <v>-0.0584433849545669</v>
      </c>
      <c r="FP5" t="n">
        <v>0.00341568706061026</v>
      </c>
      <c r="FQ5" t="n">
        <v>-2.10952612506686e-05</v>
      </c>
      <c r="FR5" t="n">
        <v>1734</v>
      </c>
      <c r="FS5" t="n">
        <v>2</v>
      </c>
      <c r="FT5" t="n">
        <v>19</v>
      </c>
      <c r="FU5" t="n">
        <v>0.8</v>
      </c>
      <c r="FV5" t="n">
        <v>0.9</v>
      </c>
      <c r="FW5" t="n">
        <v>0.411377</v>
      </c>
      <c r="FX5" t="n">
        <v>2.58301</v>
      </c>
      <c r="FY5" t="n">
        <v>1.34644</v>
      </c>
      <c r="FZ5" t="n">
        <v>2.25952</v>
      </c>
      <c r="GA5" t="n">
        <v>1.55029</v>
      </c>
      <c r="GB5" t="n">
        <v>2.68555</v>
      </c>
      <c r="GC5" t="n">
        <v>37.0509</v>
      </c>
      <c r="GD5" t="n">
        <v>16.0408</v>
      </c>
      <c r="GE5" t="n">
        <v>18</v>
      </c>
      <c r="GF5" t="n">
        <v>499.319</v>
      </c>
      <c r="GG5" t="n">
        <v>470.24</v>
      </c>
      <c r="GH5" t="n">
        <v>21.9363</v>
      </c>
      <c r="GI5" t="n">
        <v>27.9512</v>
      </c>
      <c r="GJ5" t="n">
        <v>30.0002</v>
      </c>
      <c r="GK5" t="n">
        <v>27.9112</v>
      </c>
      <c r="GL5" t="n">
        <v>27.9187</v>
      </c>
      <c r="GM5" t="n">
        <v>8.26211</v>
      </c>
      <c r="GN5" t="n">
        <v>27.3429</v>
      </c>
      <c r="GO5" t="n">
        <v>21.7113</v>
      </c>
      <c r="GP5" t="n">
        <v>21.9393</v>
      </c>
      <c r="GQ5" t="n">
        <v>100</v>
      </c>
      <c r="GR5" t="n">
        <v>15.2095</v>
      </c>
      <c r="GS5" t="n">
        <v>101.745</v>
      </c>
      <c r="GT5" t="n">
        <v>97.38639999999999</v>
      </c>
    </row>
    <row r="6">
      <c r="A6" t="n">
        <v>5</v>
      </c>
      <c r="B6" t="n">
        <v>1792293996.1</v>
      </c>
      <c r="C6" t="n">
        <v>484.099999904633</v>
      </c>
      <c r="D6" t="n">
        <v>5</v>
      </c>
      <c r="E6" t="n">
        <v>1792293992.6</v>
      </c>
      <c r="F6" t="n">
        <v>0.006159733850943206</v>
      </c>
      <c r="G6" t="n">
        <v>6.159733850943206</v>
      </c>
      <c r="H6" t="n">
        <v>-0.8505285040353123</v>
      </c>
      <c r="I6" t="n">
        <v>50.2135833333333</v>
      </c>
      <c r="J6" t="n">
        <v>52.15083983140043</v>
      </c>
      <c r="K6" t="n">
        <v>0.005271991080389041</v>
      </c>
      <c r="L6" t="n">
        <v>0.005076151492546275</v>
      </c>
      <c r="M6" t="n">
        <v>0.4748757390118223</v>
      </c>
      <c r="N6" t="n">
        <v>3.027527712232385</v>
      </c>
      <c r="O6" t="n">
        <v>0.4370400968617087</v>
      </c>
      <c r="P6" t="n">
        <v>0.2762977970750461</v>
      </c>
      <c r="Q6" t="n">
        <v>3.172348642542894</v>
      </c>
      <c r="R6" t="n">
        <v>55.09377851460091</v>
      </c>
      <c r="S6" t="n">
        <v>1.782465345289022</v>
      </c>
      <c r="T6" t="n">
        <v>3.235329638566422</v>
      </c>
      <c r="U6" t="n">
        <v>0.5</v>
      </c>
      <c r="V6" t="n">
        <v>1157</v>
      </c>
      <c r="W6" t="n">
        <v>290</v>
      </c>
      <c r="X6" t="n">
        <v>880.28</v>
      </c>
      <c r="Y6" t="n">
        <v>165</v>
      </c>
      <c r="Z6" t="n">
        <v>8122.99</v>
      </c>
      <c r="AA6" t="n">
        <v>875.35</v>
      </c>
      <c r="AB6" t="n">
        <v>4.93</v>
      </c>
      <c r="AC6" t="n">
        <v>300</v>
      </c>
      <c r="AD6" t="n">
        <v>19.3</v>
      </c>
      <c r="AE6" t="n">
        <v>898.8173603878</v>
      </c>
      <c r="AF6" t="n">
        <v>1.50311492518876</v>
      </c>
      <c r="AG6" t="n">
        <v>-19.0610088334602</v>
      </c>
      <c r="AH6" t="n">
        <v>1.09059022936042</v>
      </c>
      <c r="AI6" t="n">
        <v>0.91603442505378</v>
      </c>
      <c r="AJ6" t="n">
        <v>-0.00538388921023359</v>
      </c>
      <c r="AK6" t="n">
        <v>290</v>
      </c>
      <c r="AL6" t="n">
        <v>867.24</v>
      </c>
      <c r="AM6" t="n">
        <v>615</v>
      </c>
      <c r="AN6" t="n">
        <v>8107.04</v>
      </c>
      <c r="AO6" t="n">
        <v>875.3099999999999</v>
      </c>
      <c r="AP6" t="n">
        <v>-8.07</v>
      </c>
      <c r="AQ6" t="n">
        <v>1500.01</v>
      </c>
      <c r="AR6" t="n">
        <v>2</v>
      </c>
      <c r="AS6" t="n">
        <v>0.5</v>
      </c>
      <c r="AT6" t="n">
        <v>2</v>
      </c>
      <c r="AU6" t="n">
        <v>1792293992.6</v>
      </c>
      <c r="AV6" t="n">
        <v>50.2135833333333</v>
      </c>
      <c r="AW6" t="n">
        <v>49.9971166666667</v>
      </c>
      <c r="AX6" t="n">
        <v>17.63225</v>
      </c>
      <c r="AY6" t="n">
        <v>15.2120666666667</v>
      </c>
      <c r="AZ6" t="n">
        <v>50.1840166666667</v>
      </c>
      <c r="BA6" t="n">
        <v>17.7386166666667</v>
      </c>
      <c r="BB6" t="n">
        <v>500.055</v>
      </c>
      <c r="BC6" t="n">
        <v>100.991166666667</v>
      </c>
      <c r="BD6" t="n">
        <v>0.100035266666667</v>
      </c>
      <c r="BE6" t="n">
        <v>25.29135</v>
      </c>
      <c r="BF6" t="n">
        <v>24.9613</v>
      </c>
      <c r="BG6" t="n">
        <v>999.9</v>
      </c>
      <c r="BH6" t="n">
        <v>10000.425</v>
      </c>
      <c r="BI6" t="n">
        <v>6.49265</v>
      </c>
      <c r="BJ6" t="n">
        <v>0.216491166666667</v>
      </c>
      <c r="BK6" t="n">
        <v>51.1148833333333</v>
      </c>
      <c r="BL6" t="n">
        <v>50.7694</v>
      </c>
      <c r="BM6" t="n">
        <v>2.42016833333333</v>
      </c>
      <c r="BN6" t="n">
        <v>49.9971166666667</v>
      </c>
      <c r="BO6" t="n">
        <v>15.2120666666667</v>
      </c>
      <c r="BP6" t="n">
        <v>1.78070333333333</v>
      </c>
      <c r="BQ6" t="n">
        <v>1.53628833333333</v>
      </c>
      <c r="BR6" t="n">
        <v>15.6184</v>
      </c>
      <c r="BS6" t="n">
        <v>13.3341833333333</v>
      </c>
      <c r="BT6" t="n">
        <v>1500.01</v>
      </c>
      <c r="BU6" t="n">
        <v>0.973006</v>
      </c>
      <c r="BV6" t="n">
        <v>0.0269939</v>
      </c>
      <c r="BW6" t="n">
        <v>336.275833333333</v>
      </c>
      <c r="BX6" t="n">
        <v>5.00064</v>
      </c>
      <c r="BY6" t="n">
        <v>5197.22166666667</v>
      </c>
      <c r="BZ6" t="n">
        <v>15439.35</v>
      </c>
      <c r="CA6" t="n">
        <v>40.781</v>
      </c>
      <c r="CB6" t="n">
        <v>41.5</v>
      </c>
      <c r="CC6" t="n">
        <v>41.125</v>
      </c>
      <c r="CD6" t="n">
        <v>41.125</v>
      </c>
      <c r="CE6" t="n">
        <v>42.312</v>
      </c>
      <c r="CF6" t="n">
        <v>1454.65</v>
      </c>
      <c r="CG6" t="n">
        <v>40.36</v>
      </c>
      <c r="CH6" t="n">
        <v>3201.70000004768</v>
      </c>
      <c r="CI6" t="n">
        <v>336.2462</v>
      </c>
      <c r="CJ6" t="n">
        <v>0.657153829878717</v>
      </c>
      <c r="CK6" t="n">
        <v>9.742307730150261</v>
      </c>
      <c r="CL6" t="n">
        <v>5196.6056</v>
      </c>
      <c r="CM6" t="n">
        <v>15</v>
      </c>
      <c r="CN6" t="n">
        <v>1792293940.1</v>
      </c>
      <c r="CO6" t="n">
        <v>1792293937.1</v>
      </c>
      <c r="CP6" t="n">
        <v>1792293940.1</v>
      </c>
      <c r="CQ6" t="n">
        <v>26</v>
      </c>
      <c r="CR6" t="n">
        <v>-0.064</v>
      </c>
      <c r="CS6" t="n">
        <v>-0.002</v>
      </c>
      <c r="CT6" t="n">
        <v>0.03</v>
      </c>
      <c r="CU6" t="n">
        <v>-0.194</v>
      </c>
      <c r="CV6" t="n">
        <v>50</v>
      </c>
      <c r="CW6" t="n">
        <v>15</v>
      </c>
      <c r="CX6" t="n">
        <v>0.33</v>
      </c>
      <c r="CY6" t="n">
        <v>0.04</v>
      </c>
      <c r="CZ6" t="n">
        <v>-0.876859673762019</v>
      </c>
      <c r="DA6" t="n">
        <v>0.394415847309826</v>
      </c>
      <c r="DB6" t="n">
        <v>0.0612012339546909</v>
      </c>
      <c r="DC6" t="n">
        <v>1</v>
      </c>
      <c r="DD6" t="n">
        <v>0.227127619047619</v>
      </c>
      <c r="DE6" t="n">
        <v>-0.119371012987012</v>
      </c>
      <c r="DF6" t="n">
        <v>0.0236673399122407</v>
      </c>
      <c r="DG6" t="n">
        <v>1</v>
      </c>
      <c r="DH6" t="n">
        <v>336.208235294118</v>
      </c>
      <c r="DI6" t="n">
        <v>0.435844152644562</v>
      </c>
      <c r="DJ6" t="n">
        <v>0.194668807559603</v>
      </c>
      <c r="DK6" t="n">
        <v>1</v>
      </c>
      <c r="DL6" t="n">
        <v>3</v>
      </c>
      <c r="DM6" t="n">
        <v>3</v>
      </c>
      <c r="DN6" t="n">
        <v>3.12351</v>
      </c>
      <c r="DO6" t="n">
        <v>2.76542</v>
      </c>
      <c r="DP6" t="n">
        <v>0.0136714</v>
      </c>
      <c r="DQ6" t="n">
        <v>0.0140034</v>
      </c>
      <c r="DR6" t="n">
        <v>0.09377050000000001</v>
      </c>
      <c r="DS6" t="n">
        <v>0.0872386</v>
      </c>
      <c r="DT6" t="n">
        <v>19223.4</v>
      </c>
      <c r="DU6" t="n">
        <v>28974.6</v>
      </c>
      <c r="DV6" t="n">
        <v>22772.9</v>
      </c>
      <c r="DW6" t="n">
        <v>30110.5</v>
      </c>
      <c r="DX6" t="n">
        <v>33844.1</v>
      </c>
      <c r="DY6" t="n">
        <v>34233.8</v>
      </c>
      <c r="DZ6" t="n">
        <v>43086</v>
      </c>
      <c r="EA6" t="n">
        <v>42884.5</v>
      </c>
      <c r="EB6" t="n">
        <v>1.97245</v>
      </c>
      <c r="EC6" t="n">
        <v>1.80643</v>
      </c>
      <c r="ED6" t="n">
        <v>0.06636980000000001</v>
      </c>
      <c r="EE6" t="n">
        <v>23.8755</v>
      </c>
      <c r="EF6" t="n">
        <v>999.9</v>
      </c>
      <c r="EG6" t="n">
        <v>37.791</v>
      </c>
      <c r="EH6" t="n">
        <v>33.163</v>
      </c>
      <c r="EI6" t="n">
        <v>19.0788</v>
      </c>
      <c r="EJ6" t="n">
        <v>63.052</v>
      </c>
      <c r="EK6" t="n">
        <v>36.238</v>
      </c>
      <c r="EL6" t="n">
        <v>1</v>
      </c>
      <c r="EM6" t="n">
        <v>0.058905</v>
      </c>
      <c r="EN6" t="n">
        <v>1.65797</v>
      </c>
      <c r="EO6" t="n">
        <v>20.2268</v>
      </c>
      <c r="EP6" t="n">
        <v>5.23152</v>
      </c>
      <c r="EQ6" t="n">
        <v>11.962</v>
      </c>
      <c r="ER6" t="n">
        <v>4.96895</v>
      </c>
      <c r="ES6" t="n">
        <v>3.29513</v>
      </c>
      <c r="ET6" t="n">
        <v>9999</v>
      </c>
      <c r="EU6" t="n">
        <v>9999</v>
      </c>
      <c r="EV6" t="n">
        <v>9999</v>
      </c>
      <c r="EW6" t="n">
        <v>999.9</v>
      </c>
      <c r="EX6" t="n">
        <v>4.96858</v>
      </c>
      <c r="EY6" t="n">
        <v>1.86249</v>
      </c>
      <c r="EZ6" t="n">
        <v>1.86401</v>
      </c>
      <c r="FA6" t="n">
        <v>1.866</v>
      </c>
      <c r="FB6" t="n">
        <v>1.863</v>
      </c>
      <c r="FC6" t="n">
        <v>1.86669</v>
      </c>
      <c r="FD6" t="n">
        <v>1.86341</v>
      </c>
      <c r="FE6" t="n">
        <v>1.86538</v>
      </c>
      <c r="FF6" t="n">
        <v>100</v>
      </c>
      <c r="FG6" t="n">
        <v>100</v>
      </c>
      <c r="FH6" t="n">
        <v>0.029</v>
      </c>
      <c r="FI6" t="n">
        <v>-0.1064</v>
      </c>
      <c r="FJ6" t="n">
        <v>0.0179910894630001</v>
      </c>
      <c r="FK6" t="n">
        <v>0.000216929631606078</v>
      </c>
      <c r="FL6" t="n">
        <v>2.72263024731635e-07</v>
      </c>
      <c r="FM6" t="n">
        <v>-5.43792051235154e-11</v>
      </c>
      <c r="FN6" t="n">
        <v>-0.0266862198854817</v>
      </c>
      <c r="FO6" t="n">
        <v>-0.0584433849545669</v>
      </c>
      <c r="FP6" t="n">
        <v>0.00341568706061026</v>
      </c>
      <c r="FQ6" t="n">
        <v>-2.10952612506686e-05</v>
      </c>
      <c r="FR6" t="n">
        <v>1734</v>
      </c>
      <c r="FS6" t="n">
        <v>2</v>
      </c>
      <c r="FT6" t="n">
        <v>19</v>
      </c>
      <c r="FU6" t="n">
        <v>1</v>
      </c>
      <c r="FV6" t="n">
        <v>0.9</v>
      </c>
      <c r="FW6" t="n">
        <v>0.299072</v>
      </c>
      <c r="FX6" t="n">
        <v>2.59521</v>
      </c>
      <c r="FY6" t="n">
        <v>1.34644</v>
      </c>
      <c r="FZ6" t="n">
        <v>2.26074</v>
      </c>
      <c r="GA6" t="n">
        <v>1.55029</v>
      </c>
      <c r="GB6" t="n">
        <v>2.55859</v>
      </c>
      <c r="GC6" t="n">
        <v>37.0032</v>
      </c>
      <c r="GD6" t="n">
        <v>16.0321</v>
      </c>
      <c r="GE6" t="n">
        <v>18</v>
      </c>
      <c r="GF6" t="n">
        <v>499.721</v>
      </c>
      <c r="GG6" t="n">
        <v>470.053</v>
      </c>
      <c r="GH6" t="n">
        <v>22.0843</v>
      </c>
      <c r="GI6" t="n">
        <v>27.9774</v>
      </c>
      <c r="GJ6" t="n">
        <v>30</v>
      </c>
      <c r="GK6" t="n">
        <v>27.9466</v>
      </c>
      <c r="GL6" t="n">
        <v>27.956</v>
      </c>
      <c r="GM6" t="n">
        <v>6.01608</v>
      </c>
      <c r="GN6" t="n">
        <v>27.1452</v>
      </c>
      <c r="GO6" t="n">
        <v>21.4841</v>
      </c>
      <c r="GP6" t="n">
        <v>22.1062</v>
      </c>
      <c r="GQ6" t="n">
        <v>50</v>
      </c>
      <c r="GR6" t="n">
        <v>15.1702</v>
      </c>
      <c r="GS6" t="n">
        <v>101.738</v>
      </c>
      <c r="GT6" t="n">
        <v>97.3814</v>
      </c>
    </row>
    <row r="7">
      <c r="A7" t="n">
        <v>8</v>
      </c>
      <c r="B7" t="n">
        <v>1792294385.1</v>
      </c>
      <c r="C7" t="n">
        <v>873.099999904633</v>
      </c>
      <c r="D7" t="n">
        <v>5</v>
      </c>
      <c r="E7" t="n">
        <v>1792294381.6</v>
      </c>
      <c r="F7" t="n">
        <v>0.004621729528223525</v>
      </c>
      <c r="G7" t="n">
        <v>4.621729528223526</v>
      </c>
      <c r="H7" t="n">
        <v>26.66271825655232</v>
      </c>
      <c r="I7" t="n">
        <v>688.048166666667</v>
      </c>
      <c r="J7" t="n">
        <v>542.7628689242251</v>
      </c>
      <c r="K7" t="n">
        <v>0.05485993129385728</v>
      </c>
      <c r="L7" t="n">
        <v>0.06954468942396934</v>
      </c>
      <c r="M7" t="n">
        <v>0.342359193317866</v>
      </c>
      <c r="N7" t="n">
        <v>3.028129206945332</v>
      </c>
      <c r="O7" t="n">
        <v>0.3222172651290848</v>
      </c>
      <c r="P7" t="n">
        <v>0.203096642044871</v>
      </c>
      <c r="Q7" t="n">
        <v>3.18428071856702</v>
      </c>
      <c r="R7" t="n">
        <v>54.91442509262225</v>
      </c>
      <c r="S7" t="n">
        <v>1.770036078036719</v>
      </c>
      <c r="T7" t="n">
        <v>3.223262512629898</v>
      </c>
      <c r="U7" t="n">
        <v>0.5</v>
      </c>
      <c r="V7" t="n">
        <v>1157</v>
      </c>
      <c r="W7" t="n">
        <v>290</v>
      </c>
      <c r="X7" t="n">
        <v>880.28</v>
      </c>
      <c r="Y7" t="n">
        <v>165</v>
      </c>
      <c r="Z7" t="n">
        <v>8122.99</v>
      </c>
      <c r="AA7" t="n">
        <v>875.35</v>
      </c>
      <c r="AB7" t="n">
        <v>4.93</v>
      </c>
      <c r="AC7" t="n">
        <v>300</v>
      </c>
      <c r="AD7" t="n">
        <v>19.3</v>
      </c>
      <c r="AE7" t="n">
        <v>898.8173603878</v>
      </c>
      <c r="AF7" t="n">
        <v>1.50311492518876</v>
      </c>
      <c r="AG7" t="n">
        <v>-19.0610088334602</v>
      </c>
      <c r="AH7" t="n">
        <v>1.09059022936042</v>
      </c>
      <c r="AI7" t="n">
        <v>0.91603442505378</v>
      </c>
      <c r="AJ7" t="n">
        <v>-0.00538388921023359</v>
      </c>
      <c r="AK7" t="n">
        <v>290</v>
      </c>
      <c r="AL7" t="n">
        <v>867.24</v>
      </c>
      <c r="AM7" t="n">
        <v>615</v>
      </c>
      <c r="AN7" t="n">
        <v>8107.04</v>
      </c>
      <c r="AO7" t="n">
        <v>875.3099999999999</v>
      </c>
      <c r="AP7" t="n">
        <v>-8.07</v>
      </c>
      <c r="AQ7" t="n">
        <v>1499.96333333333</v>
      </c>
      <c r="AR7" t="n">
        <v>2</v>
      </c>
      <c r="AS7" t="n">
        <v>0.5</v>
      </c>
      <c r="AT7" t="n">
        <v>2</v>
      </c>
      <c r="AU7" t="n">
        <v>1792294381.6</v>
      </c>
      <c r="AV7" t="n">
        <v>688.048166666667</v>
      </c>
      <c r="AW7" t="n">
        <v>699.9863333333331</v>
      </c>
      <c r="AX7" t="n">
        <v>17.51205</v>
      </c>
      <c r="AY7" t="n">
        <v>15.6955666666667</v>
      </c>
      <c r="AZ7" t="n">
        <v>687.089166666667</v>
      </c>
      <c r="BA7" t="n">
        <v>17.6128833333333</v>
      </c>
      <c r="BB7" t="n">
        <v>499.954333333333</v>
      </c>
      <c r="BC7" t="n">
        <v>100.975333333333</v>
      </c>
      <c r="BD7" t="n">
        <v>0.0999878333333333</v>
      </c>
      <c r="BE7" t="n">
        <v>25.22855</v>
      </c>
      <c r="BF7" t="n">
        <v>25.0242666666667</v>
      </c>
      <c r="BG7" t="n">
        <v>999.9</v>
      </c>
      <c r="BH7" t="n">
        <v>10005.63</v>
      </c>
      <c r="BI7" t="n">
        <v>6.48174</v>
      </c>
      <c r="BJ7" t="n">
        <v>-11.9381166666667</v>
      </c>
      <c r="BK7" t="n">
        <v>700.312</v>
      </c>
      <c r="BL7" t="n">
        <v>711.148333333333</v>
      </c>
      <c r="BM7" t="n">
        <v>1.81650166666667</v>
      </c>
      <c r="BN7" t="n">
        <v>699.9863333333331</v>
      </c>
      <c r="BO7" t="n">
        <v>15.6955666666667</v>
      </c>
      <c r="BP7" t="n">
        <v>1.768285</v>
      </c>
      <c r="BQ7" t="n">
        <v>1.584865</v>
      </c>
      <c r="BR7" t="n">
        <v>15.5092166666667</v>
      </c>
      <c r="BS7" t="n">
        <v>13.8124166666667</v>
      </c>
      <c r="BT7" t="n">
        <v>1499.96333333333</v>
      </c>
      <c r="BU7" t="n">
        <v>0.973003833333333</v>
      </c>
      <c r="BV7" t="n">
        <v>0.02699605</v>
      </c>
      <c r="BW7" t="n">
        <v>319.962</v>
      </c>
      <c r="BX7" t="n">
        <v>5.00064</v>
      </c>
      <c r="BY7" t="n">
        <v>4963.8</v>
      </c>
      <c r="BZ7" t="n">
        <v>15438.85</v>
      </c>
      <c r="CA7" t="n">
        <v>40.875</v>
      </c>
      <c r="CB7" t="n">
        <v>41.604</v>
      </c>
      <c r="CC7" t="n">
        <v>41.187</v>
      </c>
      <c r="CD7" t="n">
        <v>41.187</v>
      </c>
      <c r="CE7" t="n">
        <v>42.375</v>
      </c>
      <c r="CF7" t="n">
        <v>1454.60833333333</v>
      </c>
      <c r="CG7" t="n">
        <v>40.355</v>
      </c>
      <c r="CH7" t="n">
        <v>3591.10000014305</v>
      </c>
      <c r="CI7" t="n">
        <v>319.975230769231</v>
      </c>
      <c r="CJ7" t="n">
        <v>-0.115282056694867</v>
      </c>
      <c r="CK7" t="n">
        <v>-2.74051281845197</v>
      </c>
      <c r="CL7" t="n">
        <v>4963.93615384615</v>
      </c>
      <c r="CM7" t="n">
        <v>15</v>
      </c>
      <c r="CN7" t="n">
        <v>1792294327.1</v>
      </c>
      <c r="CO7" t="n">
        <v>1792294326.1</v>
      </c>
      <c r="CP7" t="n">
        <v>1792294327.1</v>
      </c>
      <c r="CQ7" t="n">
        <v>29</v>
      </c>
      <c r="CR7" t="n">
        <v>0.02</v>
      </c>
      <c r="CS7" t="n">
        <v>0.003</v>
      </c>
      <c r="CT7" t="n">
        <v>0.965</v>
      </c>
      <c r="CU7" t="n">
        <v>-0.173</v>
      </c>
      <c r="CV7" t="n">
        <v>700</v>
      </c>
      <c r="CW7" t="n">
        <v>16</v>
      </c>
      <c r="CX7" t="n">
        <v>0.19</v>
      </c>
      <c r="CY7" t="n">
        <v>0.02</v>
      </c>
      <c r="CZ7" t="n">
        <v>26.6031315394638</v>
      </c>
      <c r="DA7" t="n">
        <v>0.314465688224356</v>
      </c>
      <c r="DB7" t="n">
        <v>0.133202587310259</v>
      </c>
      <c r="DC7" t="n">
        <v>1</v>
      </c>
      <c r="DD7" t="n">
        <v>-11.941805</v>
      </c>
      <c r="DE7" t="n">
        <v>0.0498902255638998</v>
      </c>
      <c r="DF7" t="n">
        <v>0.0520838696239054</v>
      </c>
      <c r="DG7" t="n">
        <v>1</v>
      </c>
      <c r="DH7" t="n">
        <v>320.025735294118</v>
      </c>
      <c r="DI7" t="n">
        <v>-0.601268149184936</v>
      </c>
      <c r="DJ7" t="n">
        <v>0.214618856255011</v>
      </c>
      <c r="DK7" t="n">
        <v>1</v>
      </c>
      <c r="DL7" t="n">
        <v>3</v>
      </c>
      <c r="DM7" t="n">
        <v>3</v>
      </c>
      <c r="DN7" t="n">
        <v>3.12349</v>
      </c>
      <c r="DO7" t="n">
        <v>2.7653</v>
      </c>
      <c r="DP7" t="n">
        <v>0.129475</v>
      </c>
      <c r="DQ7" t="n">
        <v>0.13441</v>
      </c>
      <c r="DR7" t="n">
        <v>0.0932047</v>
      </c>
      <c r="DS7" t="n">
        <v>0.0891854</v>
      </c>
      <c r="DT7" t="n">
        <v>16959.3</v>
      </c>
      <c r="DU7" t="n">
        <v>25428</v>
      </c>
      <c r="DV7" t="n">
        <v>22764.6</v>
      </c>
      <c r="DW7" t="n">
        <v>30102</v>
      </c>
      <c r="DX7" t="n">
        <v>33862.6</v>
      </c>
      <c r="DY7" t="n">
        <v>34160.1</v>
      </c>
      <c r="DZ7" t="n">
        <v>43072.6</v>
      </c>
      <c r="EA7" t="n">
        <v>42873.6</v>
      </c>
      <c r="EB7" t="n">
        <v>1.971</v>
      </c>
      <c r="EC7" t="n">
        <v>1.80777</v>
      </c>
      <c r="ED7" t="n">
        <v>0.07043779999999999</v>
      </c>
      <c r="EE7" t="n">
        <v>23.875</v>
      </c>
      <c r="EF7" t="n">
        <v>999.9</v>
      </c>
      <c r="EG7" t="n">
        <v>37.737</v>
      </c>
      <c r="EH7" t="n">
        <v>33.113</v>
      </c>
      <c r="EI7" t="n">
        <v>19.0003</v>
      </c>
      <c r="EJ7" t="n">
        <v>63.122</v>
      </c>
      <c r="EK7" t="n">
        <v>36.5465</v>
      </c>
      <c r="EL7" t="n">
        <v>1</v>
      </c>
      <c r="EM7" t="n">
        <v>0.0710036</v>
      </c>
      <c r="EN7" t="n">
        <v>2.2487</v>
      </c>
      <c r="EO7" t="n">
        <v>20.2207</v>
      </c>
      <c r="EP7" t="n">
        <v>5.23481</v>
      </c>
      <c r="EQ7" t="n">
        <v>11.962</v>
      </c>
      <c r="ER7" t="n">
        <v>4.96945</v>
      </c>
      <c r="ES7" t="n">
        <v>3.29505</v>
      </c>
      <c r="ET7" t="n">
        <v>9999</v>
      </c>
      <c r="EU7" t="n">
        <v>9999</v>
      </c>
      <c r="EV7" t="n">
        <v>9999</v>
      </c>
      <c r="EW7" t="n">
        <v>999.9</v>
      </c>
      <c r="EX7" t="n">
        <v>4.9686</v>
      </c>
      <c r="EY7" t="n">
        <v>1.86249</v>
      </c>
      <c r="EZ7" t="n">
        <v>1.86401</v>
      </c>
      <c r="FA7" t="n">
        <v>1.866</v>
      </c>
      <c r="FB7" t="n">
        <v>1.86299</v>
      </c>
      <c r="FC7" t="n">
        <v>1.86668</v>
      </c>
      <c r="FD7" t="n">
        <v>1.86342</v>
      </c>
      <c r="FE7" t="n">
        <v>1.86538</v>
      </c>
      <c r="FF7" t="n">
        <v>100</v>
      </c>
      <c r="FG7" t="n">
        <v>100</v>
      </c>
      <c r="FH7" t="n">
        <v>0.958</v>
      </c>
      <c r="FI7" t="n">
        <v>-0.1012</v>
      </c>
      <c r="FJ7" t="n">
        <v>0.698929456608287</v>
      </c>
      <c r="FK7" t="n">
        <v>0.000216929631606078</v>
      </c>
      <c r="FL7" t="n">
        <v>2.72263024731635e-07</v>
      </c>
      <c r="FM7" t="n">
        <v>-5.43792051235154e-11</v>
      </c>
      <c r="FN7" t="n">
        <v>-0.0157970062664021</v>
      </c>
      <c r="FO7" t="n">
        <v>-0.0584433849545669</v>
      </c>
      <c r="FP7" t="n">
        <v>0.00341568706061026</v>
      </c>
      <c r="FQ7" t="n">
        <v>-2.10952612506686e-05</v>
      </c>
      <c r="FR7" t="n">
        <v>1734</v>
      </c>
      <c r="FS7" t="n">
        <v>2</v>
      </c>
      <c r="FT7" t="n">
        <v>19</v>
      </c>
      <c r="FU7" t="n">
        <v>1</v>
      </c>
      <c r="FV7" t="n">
        <v>1</v>
      </c>
      <c r="FW7" t="n">
        <v>1.64062</v>
      </c>
      <c r="FX7" t="n">
        <v>2.57446</v>
      </c>
      <c r="FY7" t="n">
        <v>1.34766</v>
      </c>
      <c r="FZ7" t="n">
        <v>2.26074</v>
      </c>
      <c r="GA7" t="n">
        <v>1.55029</v>
      </c>
      <c r="GB7" t="n">
        <v>2.62207</v>
      </c>
      <c r="GC7" t="n">
        <v>36.8842</v>
      </c>
      <c r="GD7" t="n">
        <v>15.9883</v>
      </c>
      <c r="GE7" t="n">
        <v>18</v>
      </c>
      <c r="GF7" t="n">
        <v>499.926</v>
      </c>
      <c r="GG7" t="n">
        <v>472.111</v>
      </c>
      <c r="GH7" t="n">
        <v>21.5698</v>
      </c>
      <c r="GI7" t="n">
        <v>28.1005</v>
      </c>
      <c r="GJ7" t="n">
        <v>30.0002</v>
      </c>
      <c r="GK7" t="n">
        <v>28.0744</v>
      </c>
      <c r="GL7" t="n">
        <v>28.0845</v>
      </c>
      <c r="GM7" t="n">
        <v>32.8407</v>
      </c>
      <c r="GN7" t="n">
        <v>24.544</v>
      </c>
      <c r="GO7" t="n">
        <v>20.8727</v>
      </c>
      <c r="GP7" t="n">
        <v>21.5505</v>
      </c>
      <c r="GQ7" t="n">
        <v>700</v>
      </c>
      <c r="GR7" t="n">
        <v>15.7354</v>
      </c>
      <c r="GS7" t="n">
        <v>101.705</v>
      </c>
      <c r="GT7" t="n">
        <v>97.35550000000001</v>
      </c>
    </row>
    <row r="8">
      <c r="A8" t="n">
        <v>9</v>
      </c>
      <c r="B8" t="n">
        <v>1792294515.1</v>
      </c>
      <c r="C8" t="n">
        <v>1003.09999990463</v>
      </c>
      <c r="D8" t="n">
        <v>5</v>
      </c>
      <c r="E8" t="n">
        <v>1792294511.6</v>
      </c>
      <c r="F8" t="n">
        <v>0.00354470551469444</v>
      </c>
      <c r="G8" t="n">
        <v>3.54470551469444</v>
      </c>
      <c r="H8" t="n">
        <v>28.00035183460906</v>
      </c>
      <c r="I8" t="n">
        <v>987.419166666667</v>
      </c>
      <c r="J8" t="n">
        <v>783.4676872466431</v>
      </c>
      <c r="K8" t="n">
        <v>0.0791877599805768</v>
      </c>
      <c r="L8" t="n">
        <v>0.09980183387653324</v>
      </c>
      <c r="M8" t="n">
        <v>0.2540024946849781</v>
      </c>
      <c r="N8" t="n">
        <v>3.028198954777162</v>
      </c>
      <c r="O8" t="n">
        <v>0.2427319634996019</v>
      </c>
      <c r="P8" t="n">
        <v>0.1526784121480367</v>
      </c>
      <c r="Q8" t="n">
        <v>3.193152429623635</v>
      </c>
      <c r="R8" t="n">
        <v>55.10762453156384</v>
      </c>
      <c r="S8" t="n">
        <v>1.753256633930139</v>
      </c>
      <c r="T8" t="n">
        <v>3.181513717627098</v>
      </c>
      <c r="U8" t="n">
        <v>0.5</v>
      </c>
      <c r="V8" t="n">
        <v>1157</v>
      </c>
      <c r="W8" t="n">
        <v>290</v>
      </c>
      <c r="X8" t="n">
        <v>880.28</v>
      </c>
      <c r="Y8" t="n">
        <v>165</v>
      </c>
      <c r="Z8" t="n">
        <v>8122.99</v>
      </c>
      <c r="AA8" t="n">
        <v>875.35</v>
      </c>
      <c r="AB8" t="n">
        <v>4.93</v>
      </c>
      <c r="AC8" t="n">
        <v>300</v>
      </c>
      <c r="AD8" t="n">
        <v>19.3</v>
      </c>
      <c r="AE8" t="n">
        <v>898.8173603878</v>
      </c>
      <c r="AF8" t="n">
        <v>1.50311492518876</v>
      </c>
      <c r="AG8" t="n">
        <v>-19.0610088334602</v>
      </c>
      <c r="AH8" t="n">
        <v>1.09059022936042</v>
      </c>
      <c r="AI8" t="n">
        <v>0.91603442505378</v>
      </c>
      <c r="AJ8" t="n">
        <v>-0.00538388921023359</v>
      </c>
      <c r="AK8" t="n">
        <v>290</v>
      </c>
      <c r="AL8" t="n">
        <v>867.24</v>
      </c>
      <c r="AM8" t="n">
        <v>615</v>
      </c>
      <c r="AN8" t="n">
        <v>8107.04</v>
      </c>
      <c r="AO8" t="n">
        <v>875.3099999999999</v>
      </c>
      <c r="AP8" t="n">
        <v>-8.07</v>
      </c>
      <c r="AQ8" t="n">
        <v>1500.015</v>
      </c>
      <c r="AR8" t="n">
        <v>2</v>
      </c>
      <c r="AS8" t="n">
        <v>0.5</v>
      </c>
      <c r="AT8" t="n">
        <v>2</v>
      </c>
      <c r="AU8" t="n">
        <v>1792294511.6</v>
      </c>
      <c r="AV8" t="n">
        <v>987.419166666667</v>
      </c>
      <c r="AW8" t="n">
        <v>1000.01916666667</v>
      </c>
      <c r="AX8" t="n">
        <v>17.3463666666667</v>
      </c>
      <c r="AY8" t="n">
        <v>15.9531</v>
      </c>
      <c r="AZ8" t="n">
        <v>986.599</v>
      </c>
      <c r="BA8" t="n">
        <v>17.4541666666667</v>
      </c>
      <c r="BB8" t="n">
        <v>500.007333333333</v>
      </c>
      <c r="BC8" t="n">
        <v>100.973333333333</v>
      </c>
      <c r="BD8" t="n">
        <v>0.100088416666667</v>
      </c>
      <c r="BE8" t="n">
        <v>25.0096833333333</v>
      </c>
      <c r="BF8" t="n">
        <v>25.07095</v>
      </c>
      <c r="BG8" t="n">
        <v>999.9</v>
      </c>
      <c r="BH8" t="n">
        <v>10006.25</v>
      </c>
      <c r="BI8" t="n">
        <v>6.44491</v>
      </c>
      <c r="BJ8" t="n">
        <v>-12.6004333333333</v>
      </c>
      <c r="BK8" t="n">
        <v>1004.85</v>
      </c>
      <c r="BL8" t="n">
        <v>1016.23166666667</v>
      </c>
      <c r="BM8" t="n">
        <v>1.39327</v>
      </c>
      <c r="BN8" t="n">
        <v>1000.01916666667</v>
      </c>
      <c r="BO8" t="n">
        <v>15.9531</v>
      </c>
      <c r="BP8" t="n">
        <v>1.75151833333333</v>
      </c>
      <c r="BQ8" t="n">
        <v>1.61083666666667</v>
      </c>
      <c r="BR8" t="n">
        <v>15.3607166666667</v>
      </c>
      <c r="BS8" t="n">
        <v>14.0628666666667</v>
      </c>
      <c r="BT8" t="n">
        <v>1500.015</v>
      </c>
      <c r="BU8" t="n">
        <v>0.973000166666667</v>
      </c>
      <c r="BV8" t="n">
        <v>0.02699985</v>
      </c>
      <c r="BW8" t="n">
        <v>319.3685</v>
      </c>
      <c r="BX8" t="n">
        <v>5.00064</v>
      </c>
      <c r="BY8" t="n">
        <v>4952.60166666667</v>
      </c>
      <c r="BZ8" t="n">
        <v>15439.3666666667</v>
      </c>
      <c r="CA8" t="n">
        <v>40.875</v>
      </c>
      <c r="CB8" t="n">
        <v>41.625</v>
      </c>
      <c r="CC8" t="n">
        <v>41.25</v>
      </c>
      <c r="CD8" t="n">
        <v>41.25</v>
      </c>
      <c r="CE8" t="n">
        <v>42.375</v>
      </c>
      <c r="CF8" t="n">
        <v>1454.65</v>
      </c>
      <c r="CG8" t="n">
        <v>40.365</v>
      </c>
      <c r="CH8" t="n">
        <v>3720.70000004768</v>
      </c>
      <c r="CI8" t="n">
        <v>319.312884615385</v>
      </c>
      <c r="CJ8" t="n">
        <v>-0.266700861128921</v>
      </c>
      <c r="CK8" t="n">
        <v>-17.2776068332177</v>
      </c>
      <c r="CL8" t="n">
        <v>4953.90961538461</v>
      </c>
      <c r="CM8" t="n">
        <v>15</v>
      </c>
      <c r="CN8" t="n">
        <v>1792294461.1</v>
      </c>
      <c r="CO8" t="n">
        <v>1792294461.1</v>
      </c>
      <c r="CP8" t="n">
        <v>1792294451.1</v>
      </c>
      <c r="CQ8" t="n">
        <v>30</v>
      </c>
      <c r="CR8" t="n">
        <v>-0.305</v>
      </c>
      <c r="CS8" t="n">
        <v>0</v>
      </c>
      <c r="CT8" t="n">
        <v>0.828</v>
      </c>
      <c r="CU8" t="n">
        <v>-0.163</v>
      </c>
      <c r="CV8" t="n">
        <v>1000</v>
      </c>
      <c r="CW8" t="n">
        <v>16</v>
      </c>
      <c r="CX8" t="n">
        <v>0.19</v>
      </c>
      <c r="CY8" t="n">
        <v>0.03</v>
      </c>
      <c r="CZ8" t="n">
        <v>28.3429041829009</v>
      </c>
      <c r="DA8" t="n">
        <v>-0.07978549505148561</v>
      </c>
      <c r="DB8" t="n">
        <v>0.235019881317232</v>
      </c>
      <c r="DC8" t="n">
        <v>1</v>
      </c>
      <c r="DD8" t="n">
        <v>-12.734235</v>
      </c>
      <c r="DE8" t="n">
        <v>0.363676691729308</v>
      </c>
      <c r="DF8" t="n">
        <v>0.106504944838256</v>
      </c>
      <c r="DG8" t="n">
        <v>1</v>
      </c>
      <c r="DH8" t="n">
        <v>319.289911764706</v>
      </c>
      <c r="DI8" t="n">
        <v>0.680504201602059</v>
      </c>
      <c r="DJ8" t="n">
        <v>0.225143139782236</v>
      </c>
      <c r="DK8" t="n">
        <v>1</v>
      </c>
      <c r="DL8" t="n">
        <v>3</v>
      </c>
      <c r="DM8" t="n">
        <v>3</v>
      </c>
      <c r="DN8" t="n">
        <v>3.12358</v>
      </c>
      <c r="DO8" t="n">
        <v>2.76539</v>
      </c>
      <c r="DP8" t="n">
        <v>0.164032</v>
      </c>
      <c r="DQ8" t="n">
        <v>0.169624</v>
      </c>
      <c r="DR8" t="n">
        <v>0.0925011</v>
      </c>
      <c r="DS8" t="n">
        <v>0.09018859999999999</v>
      </c>
      <c r="DT8" t="n">
        <v>16284.8</v>
      </c>
      <c r="DU8" t="n">
        <v>24392.3</v>
      </c>
      <c r="DV8" t="n">
        <v>22762.9</v>
      </c>
      <c r="DW8" t="n">
        <v>30100.6</v>
      </c>
      <c r="DX8" t="n">
        <v>33890</v>
      </c>
      <c r="DY8" t="n">
        <v>34123.7</v>
      </c>
      <c r="DZ8" t="n">
        <v>43070.3</v>
      </c>
      <c r="EA8" t="n">
        <v>42872.4</v>
      </c>
      <c r="EB8" t="n">
        <v>1.97038</v>
      </c>
      <c r="EC8" t="n">
        <v>1.80833</v>
      </c>
      <c r="ED8" t="n">
        <v>0.08159130000000001</v>
      </c>
      <c r="EE8" t="n">
        <v>23.7343</v>
      </c>
      <c r="EF8" t="n">
        <v>999.9</v>
      </c>
      <c r="EG8" t="n">
        <v>37.804</v>
      </c>
      <c r="EH8" t="n">
        <v>33.113</v>
      </c>
      <c r="EI8" t="n">
        <v>19.0351</v>
      </c>
      <c r="EJ8" t="n">
        <v>63.382</v>
      </c>
      <c r="EK8" t="n">
        <v>36.6026</v>
      </c>
      <c r="EL8" t="n">
        <v>1</v>
      </c>
      <c r="EM8" t="n">
        <v>0.0734426</v>
      </c>
      <c r="EN8" t="n">
        <v>2.37632</v>
      </c>
      <c r="EO8" t="n">
        <v>20.2195</v>
      </c>
      <c r="EP8" t="n">
        <v>5.22942</v>
      </c>
      <c r="EQ8" t="n">
        <v>11.962</v>
      </c>
      <c r="ER8" t="n">
        <v>4.9692</v>
      </c>
      <c r="ES8" t="n">
        <v>3.29513</v>
      </c>
      <c r="ET8" t="n">
        <v>9999</v>
      </c>
      <c r="EU8" t="n">
        <v>9999</v>
      </c>
      <c r="EV8" t="n">
        <v>9999</v>
      </c>
      <c r="EW8" t="n">
        <v>999.9</v>
      </c>
      <c r="EX8" t="n">
        <v>4.96858</v>
      </c>
      <c r="EY8" t="n">
        <v>1.86249</v>
      </c>
      <c r="EZ8" t="n">
        <v>1.86402</v>
      </c>
      <c r="FA8" t="n">
        <v>1.866</v>
      </c>
      <c r="FB8" t="n">
        <v>1.86301</v>
      </c>
      <c r="FC8" t="n">
        <v>1.86667</v>
      </c>
      <c r="FD8" t="n">
        <v>1.86343</v>
      </c>
      <c r="FE8" t="n">
        <v>1.86539</v>
      </c>
      <c r="FF8" t="n">
        <v>100</v>
      </c>
      <c r="FG8" t="n">
        <v>100</v>
      </c>
      <c r="FH8" t="n">
        <v>0.82</v>
      </c>
      <c r="FI8" t="n">
        <v>-0.1091</v>
      </c>
      <c r="FJ8" t="n">
        <v>0.393395627636754</v>
      </c>
      <c r="FK8" t="n">
        <v>0.000216929631606078</v>
      </c>
      <c r="FL8" t="n">
        <v>2.72263024731635e-07</v>
      </c>
      <c r="FM8" t="n">
        <v>-5.43792051235154e-11</v>
      </c>
      <c r="FN8" t="n">
        <v>-0.0161252458057264</v>
      </c>
      <c r="FO8" t="n">
        <v>-0.0584433849545669</v>
      </c>
      <c r="FP8" t="n">
        <v>0.00341568706061026</v>
      </c>
      <c r="FQ8" t="n">
        <v>-2.10952612506686e-05</v>
      </c>
      <c r="FR8" t="n">
        <v>1734</v>
      </c>
      <c r="FS8" t="n">
        <v>2</v>
      </c>
      <c r="FT8" t="n">
        <v>19</v>
      </c>
      <c r="FU8" t="n">
        <v>0.9</v>
      </c>
      <c r="FV8" t="n">
        <v>1.1</v>
      </c>
      <c r="FW8" t="n">
        <v>2.18384</v>
      </c>
      <c r="FX8" t="n">
        <v>2.5647</v>
      </c>
      <c r="FY8" t="n">
        <v>1.34644</v>
      </c>
      <c r="FZ8" t="n">
        <v>2.25952</v>
      </c>
      <c r="GA8" t="n">
        <v>1.55029</v>
      </c>
      <c r="GB8" t="n">
        <v>2.61475</v>
      </c>
      <c r="GC8" t="n">
        <v>36.8604</v>
      </c>
      <c r="GD8" t="n">
        <v>15.9795</v>
      </c>
      <c r="GE8" t="n">
        <v>18</v>
      </c>
      <c r="GF8" t="n">
        <v>499.891</v>
      </c>
      <c r="GG8" t="n">
        <v>472.846</v>
      </c>
      <c r="GH8" t="n">
        <v>21.4099</v>
      </c>
      <c r="GI8" t="n">
        <v>28.147</v>
      </c>
      <c r="GJ8" t="n">
        <v>30.0007</v>
      </c>
      <c r="GK8" t="n">
        <v>28.1154</v>
      </c>
      <c r="GL8" t="n">
        <v>28.1249</v>
      </c>
      <c r="GM8" t="n">
        <v>43.7036</v>
      </c>
      <c r="GN8" t="n">
        <v>23.2544</v>
      </c>
      <c r="GO8" t="n">
        <v>20.7695</v>
      </c>
      <c r="GP8" t="n">
        <v>21.3084</v>
      </c>
      <c r="GQ8" t="n">
        <v>1000</v>
      </c>
      <c r="GR8" t="n">
        <v>15.9256</v>
      </c>
      <c r="GS8" t="n">
        <v>101.699</v>
      </c>
      <c r="GT8" t="n">
        <v>97.35209999999999</v>
      </c>
    </row>
    <row r="9">
      <c r="A9" t="n">
        <v>10</v>
      </c>
      <c r="B9" t="n">
        <v>1792294666.1</v>
      </c>
      <c r="C9" t="n">
        <v>1154.09999990463</v>
      </c>
      <c r="D9" t="n">
        <v>5</v>
      </c>
      <c r="E9" t="n">
        <v>1792294663.1</v>
      </c>
      <c r="F9" t="n">
        <v>0.002015781683734618</v>
      </c>
      <c r="G9" t="n">
        <v>2.015781683734618</v>
      </c>
      <c r="H9" t="n">
        <v>28.74706965915734</v>
      </c>
      <c r="I9" t="n">
        <v>1187.576</v>
      </c>
      <c r="J9" t="n">
        <v>826.8896120185931</v>
      </c>
      <c r="K9" t="n">
        <v>0.08357117612904755</v>
      </c>
      <c r="L9" t="n">
        <v>0.1200246340262382</v>
      </c>
      <c r="M9" t="n">
        <v>0.139515465578531</v>
      </c>
      <c r="N9" t="n">
        <v>3.02803465774339</v>
      </c>
      <c r="O9" t="n">
        <v>0.1360402319246884</v>
      </c>
      <c r="P9" t="n">
        <v>0.08533017082517141</v>
      </c>
      <c r="Q9" t="n">
        <v>3.190293770499372</v>
      </c>
      <c r="R9" t="n">
        <v>55.20557963516348</v>
      </c>
      <c r="S9" t="n">
        <v>1.729177980581518</v>
      </c>
      <c r="T9" t="n">
        <v>3.132252196261895</v>
      </c>
      <c r="U9" t="n">
        <v>0.5</v>
      </c>
      <c r="V9" t="n">
        <v>1157</v>
      </c>
      <c r="W9" t="n">
        <v>290</v>
      </c>
      <c r="X9" t="n">
        <v>880.28</v>
      </c>
      <c r="Y9" t="n">
        <v>165</v>
      </c>
      <c r="Z9" t="n">
        <v>8122.99</v>
      </c>
      <c r="AA9" t="n">
        <v>875.35</v>
      </c>
      <c r="AB9" t="n">
        <v>4.93</v>
      </c>
      <c r="AC9" t="n">
        <v>300</v>
      </c>
      <c r="AD9" t="n">
        <v>19.3</v>
      </c>
      <c r="AE9" t="n">
        <v>898.8173603878</v>
      </c>
      <c r="AF9" t="n">
        <v>1.50311492518876</v>
      </c>
      <c r="AG9" t="n">
        <v>-19.0610088334602</v>
      </c>
      <c r="AH9" t="n">
        <v>1.09059022936042</v>
      </c>
      <c r="AI9" t="n">
        <v>0.91603442505378</v>
      </c>
      <c r="AJ9" t="n">
        <v>-0.00538388921023359</v>
      </c>
      <c r="AK9" t="n">
        <v>290</v>
      </c>
      <c r="AL9" t="n">
        <v>867.24</v>
      </c>
      <c r="AM9" t="n">
        <v>615</v>
      </c>
      <c r="AN9" t="n">
        <v>8107.04</v>
      </c>
      <c r="AO9" t="n">
        <v>875.3099999999999</v>
      </c>
      <c r="AP9" t="n">
        <v>-8.07</v>
      </c>
      <c r="AQ9" t="n">
        <v>1500.006</v>
      </c>
      <c r="AR9" t="n">
        <v>2</v>
      </c>
      <c r="AS9" t="n">
        <v>0.5</v>
      </c>
      <c r="AT9" t="n">
        <v>2</v>
      </c>
      <c r="AU9" t="n">
        <v>1792294663.1</v>
      </c>
      <c r="AV9" t="n">
        <v>1187.576</v>
      </c>
      <c r="AW9" t="n">
        <v>1200.034</v>
      </c>
      <c r="AX9" t="n">
        <v>17.10924</v>
      </c>
      <c r="AY9" t="n">
        <v>16.31662</v>
      </c>
      <c r="AZ9" t="n">
        <v>1186.204</v>
      </c>
      <c r="BA9" t="n">
        <v>17.22614</v>
      </c>
      <c r="BB9" t="n">
        <v>499.9352</v>
      </c>
      <c r="BC9" t="n">
        <v>100.967</v>
      </c>
      <c r="BD9" t="n">
        <v>0.09990773999999999</v>
      </c>
      <c r="BE9" t="n">
        <v>24.74818</v>
      </c>
      <c r="BF9" t="n">
        <v>25.05592</v>
      </c>
      <c r="BG9" t="n">
        <v>999.9</v>
      </c>
      <c r="BH9" t="n">
        <v>10005.884</v>
      </c>
      <c r="BI9" t="n">
        <v>6.358978</v>
      </c>
      <c r="BJ9" t="n">
        <v>-12.45654</v>
      </c>
      <c r="BK9" t="n">
        <v>1208.248</v>
      </c>
      <c r="BL9" t="n">
        <v>1219.938</v>
      </c>
      <c r="BM9" t="n">
        <v>0.7926436</v>
      </c>
      <c r="BN9" t="n">
        <v>1200.034</v>
      </c>
      <c r="BO9" t="n">
        <v>16.31662</v>
      </c>
      <c r="BP9" t="n">
        <v>1.72747</v>
      </c>
      <c r="BQ9" t="n">
        <v>1.647436</v>
      </c>
      <c r="BR9" t="n">
        <v>15.1455</v>
      </c>
      <c r="BS9" t="n">
        <v>14.40982</v>
      </c>
      <c r="BT9" t="n">
        <v>1500.006</v>
      </c>
      <c r="BU9" t="n">
        <v>0.9729956</v>
      </c>
      <c r="BV9" t="n">
        <v>0.0270042</v>
      </c>
      <c r="BW9" t="n">
        <v>318.6976</v>
      </c>
      <c r="BX9" t="n">
        <v>5.00064</v>
      </c>
      <c r="BY9" t="n">
        <v>4945.846</v>
      </c>
      <c r="BZ9" t="n">
        <v>15439.26</v>
      </c>
      <c r="CA9" t="n">
        <v>40.875</v>
      </c>
      <c r="CB9" t="n">
        <v>41.625</v>
      </c>
      <c r="CC9" t="n">
        <v>41.25</v>
      </c>
      <c r="CD9" t="n">
        <v>41.25</v>
      </c>
      <c r="CE9" t="n">
        <v>42.375</v>
      </c>
      <c r="CF9" t="n">
        <v>1454.632</v>
      </c>
      <c r="CG9" t="n">
        <v>40.374</v>
      </c>
      <c r="CH9" t="n">
        <v>3871.90000009537</v>
      </c>
      <c r="CI9" t="n">
        <v>318.679692307692</v>
      </c>
      <c r="CJ9" t="n">
        <v>0.260307684405929</v>
      </c>
      <c r="CK9" t="n">
        <v>7.45641025926112</v>
      </c>
      <c r="CL9" t="n">
        <v>4945.19769230769</v>
      </c>
      <c r="CM9" t="n">
        <v>15</v>
      </c>
      <c r="CN9" t="n">
        <v>1792294615.1</v>
      </c>
      <c r="CO9" t="n">
        <v>1792294615.1</v>
      </c>
      <c r="CP9" t="n">
        <v>1792294613.1</v>
      </c>
      <c r="CQ9" t="n">
        <v>31</v>
      </c>
      <c r="CR9" t="n">
        <v>0.429</v>
      </c>
      <c r="CS9" t="n">
        <v>0</v>
      </c>
      <c r="CT9" t="n">
        <v>1.38</v>
      </c>
      <c r="CU9" t="n">
        <v>-0.15</v>
      </c>
      <c r="CV9" t="n">
        <v>1200</v>
      </c>
      <c r="CW9" t="n">
        <v>16</v>
      </c>
      <c r="CX9" t="n">
        <v>0.2</v>
      </c>
      <c r="CY9" t="n">
        <v>0.09</v>
      </c>
      <c r="CZ9" t="n">
        <v>28.8723286378082</v>
      </c>
      <c r="DA9" t="n">
        <v>-0.261825012325439</v>
      </c>
      <c r="DB9" t="n">
        <v>0.125853677970263</v>
      </c>
      <c r="DC9" t="n">
        <v>1</v>
      </c>
      <c r="DD9" t="n">
        <v>-12.4980238095238</v>
      </c>
      <c r="DE9" t="n">
        <v>0.284672727272722</v>
      </c>
      <c r="DF9" t="n">
        <v>0.0542713719566674</v>
      </c>
      <c r="DG9" t="n">
        <v>1</v>
      </c>
      <c r="DH9" t="n">
        <v>318.641205882353</v>
      </c>
      <c r="DI9" t="n">
        <v>0.198426278789791</v>
      </c>
      <c r="DJ9" t="n">
        <v>0.230974251100162</v>
      </c>
      <c r="DK9" t="n">
        <v>1</v>
      </c>
      <c r="DL9" t="n">
        <v>3</v>
      </c>
      <c r="DM9" t="n">
        <v>3</v>
      </c>
      <c r="DN9" t="n">
        <v>3.12345</v>
      </c>
      <c r="DO9" t="n">
        <v>2.76534</v>
      </c>
      <c r="DP9" t="n">
        <v>0.183836</v>
      </c>
      <c r="DQ9" t="n">
        <v>0.189838</v>
      </c>
      <c r="DR9" t="n">
        <v>0.09168129999999999</v>
      </c>
      <c r="DS9" t="n">
        <v>0.0916183</v>
      </c>
      <c r="DT9" t="n">
        <v>15897.5</v>
      </c>
      <c r="DU9" t="n">
        <v>23796.9</v>
      </c>
      <c r="DV9" t="n">
        <v>22760.9</v>
      </c>
      <c r="DW9" t="n">
        <v>30098.8</v>
      </c>
      <c r="DX9" t="n">
        <v>33920.2</v>
      </c>
      <c r="DY9" t="n">
        <v>34069.4</v>
      </c>
      <c r="DZ9" t="n">
        <v>43067</v>
      </c>
      <c r="EA9" t="n">
        <v>42870.1</v>
      </c>
      <c r="EB9" t="n">
        <v>1.96963</v>
      </c>
      <c r="EC9" t="n">
        <v>1.80925</v>
      </c>
      <c r="ED9" t="n">
        <v>0.08924310000000001</v>
      </c>
      <c r="EE9" t="n">
        <v>23.5642</v>
      </c>
      <c r="EF9" t="n">
        <v>999.9</v>
      </c>
      <c r="EG9" t="n">
        <v>37.969</v>
      </c>
      <c r="EH9" t="n">
        <v>33.083</v>
      </c>
      <c r="EI9" t="n">
        <v>19.086</v>
      </c>
      <c r="EJ9" t="n">
        <v>63.012</v>
      </c>
      <c r="EK9" t="n">
        <v>36.7067</v>
      </c>
      <c r="EL9" t="n">
        <v>1</v>
      </c>
      <c r="EM9" t="n">
        <v>0.07803350000000001</v>
      </c>
      <c r="EN9" t="n">
        <v>2.94736</v>
      </c>
      <c r="EO9" t="n">
        <v>20.2099</v>
      </c>
      <c r="EP9" t="n">
        <v>5.23077</v>
      </c>
      <c r="EQ9" t="n">
        <v>11.962</v>
      </c>
      <c r="ER9" t="n">
        <v>4.9682</v>
      </c>
      <c r="ES9" t="n">
        <v>3.29435</v>
      </c>
      <c r="ET9" t="n">
        <v>9999</v>
      </c>
      <c r="EU9" t="n">
        <v>9999</v>
      </c>
      <c r="EV9" t="n">
        <v>9999</v>
      </c>
      <c r="EW9" t="n">
        <v>999.9</v>
      </c>
      <c r="EX9" t="n">
        <v>4.96859</v>
      </c>
      <c r="EY9" t="n">
        <v>1.86249</v>
      </c>
      <c r="EZ9" t="n">
        <v>1.86401</v>
      </c>
      <c r="FA9" t="n">
        <v>1.866</v>
      </c>
      <c r="FB9" t="n">
        <v>1.86298</v>
      </c>
      <c r="FC9" t="n">
        <v>1.86665</v>
      </c>
      <c r="FD9" t="n">
        <v>1.86346</v>
      </c>
      <c r="FE9" t="n">
        <v>1.86538</v>
      </c>
      <c r="FF9" t="n">
        <v>100</v>
      </c>
      <c r="FG9" t="n">
        <v>100</v>
      </c>
      <c r="FH9" t="n">
        <v>1.37</v>
      </c>
      <c r="FI9" t="n">
        <v>-0.1174</v>
      </c>
      <c r="FJ9" t="n">
        <v>0.822475435122777</v>
      </c>
      <c r="FK9" t="n">
        <v>0.000216929631606078</v>
      </c>
      <c r="FL9" t="n">
        <v>2.72263024731635e-07</v>
      </c>
      <c r="FM9" t="n">
        <v>-5.43792051235154e-11</v>
      </c>
      <c r="FN9" t="n">
        <v>-0.0158496880582905</v>
      </c>
      <c r="FO9" t="n">
        <v>-0.0584433849545669</v>
      </c>
      <c r="FP9" t="n">
        <v>0.00341568706061026</v>
      </c>
      <c r="FQ9" t="n">
        <v>-2.10952612506686e-05</v>
      </c>
      <c r="FR9" t="n">
        <v>1734</v>
      </c>
      <c r="FS9" t="n">
        <v>2</v>
      </c>
      <c r="FT9" t="n">
        <v>19</v>
      </c>
      <c r="FU9" t="n">
        <v>0.8</v>
      </c>
      <c r="FV9" t="n">
        <v>0.9</v>
      </c>
      <c r="FW9" t="n">
        <v>2.52686</v>
      </c>
      <c r="FX9" t="n">
        <v>2.54639</v>
      </c>
      <c r="FY9" t="n">
        <v>1.34644</v>
      </c>
      <c r="FZ9" t="n">
        <v>2.25952</v>
      </c>
      <c r="GA9" t="n">
        <v>1.55029</v>
      </c>
      <c r="GB9" t="n">
        <v>2.72949</v>
      </c>
      <c r="GC9" t="n">
        <v>36.8366</v>
      </c>
      <c r="GD9" t="n">
        <v>15.9708</v>
      </c>
      <c r="GE9" t="n">
        <v>18</v>
      </c>
      <c r="GF9" t="n">
        <v>499.733</v>
      </c>
      <c r="GG9" t="n">
        <v>473.81</v>
      </c>
      <c r="GH9" t="n">
        <v>20.4977</v>
      </c>
      <c r="GI9" t="n">
        <v>28.1758</v>
      </c>
      <c r="GJ9" t="n">
        <v>29.9999</v>
      </c>
      <c r="GK9" t="n">
        <v>28.1512</v>
      </c>
      <c r="GL9" t="n">
        <v>28.1619</v>
      </c>
      <c r="GM9" t="n">
        <v>50.5747</v>
      </c>
      <c r="GN9" t="n">
        <v>21.5036</v>
      </c>
      <c r="GO9" t="n">
        <v>21.878</v>
      </c>
      <c r="GP9" t="n">
        <v>20.4695</v>
      </c>
      <c r="GQ9" t="n">
        <v>1200</v>
      </c>
      <c r="GR9" t="n">
        <v>16.2889</v>
      </c>
      <c r="GS9" t="n">
        <v>101.69</v>
      </c>
      <c r="GT9" t="n">
        <v>97.3466</v>
      </c>
    </row>
    <row r="10">
      <c r="A10" t="n">
        <v>11</v>
      </c>
      <c r="B10" t="n">
        <v>1792294793.1</v>
      </c>
      <c r="C10" t="n">
        <v>1281.09999990463</v>
      </c>
      <c r="D10" t="n">
        <v>5</v>
      </c>
      <c r="E10" t="n">
        <v>1792294789.6</v>
      </c>
      <c r="F10" t="n">
        <v>0.001319233135554316</v>
      </c>
      <c r="G10" t="n">
        <v>1.319233135554316</v>
      </c>
      <c r="H10" t="n">
        <v>28.734438706286</v>
      </c>
      <c r="I10" t="n">
        <v>1487.715</v>
      </c>
      <c r="J10" t="n">
        <v>937.6411868902663</v>
      </c>
      <c r="K10" t="n">
        <v>0.09476668669925663</v>
      </c>
      <c r="L10" t="n">
        <v>0.1503622316020173</v>
      </c>
      <c r="M10" t="n">
        <v>0.0894723043797559</v>
      </c>
      <c r="N10" t="n">
        <v>3.027392768835306</v>
      </c>
      <c r="O10" t="n">
        <v>0.08802883074098965</v>
      </c>
      <c r="P10" t="n">
        <v>0.05514576972575919</v>
      </c>
      <c r="Q10" t="n">
        <v>3.186840879332987</v>
      </c>
      <c r="R10" t="n">
        <v>55.0738843799746</v>
      </c>
      <c r="S10" t="n">
        <v>1.708863631537067</v>
      </c>
      <c r="T10" t="n">
        <v>3.102856554927196</v>
      </c>
      <c r="U10" t="n">
        <v>0.5</v>
      </c>
      <c r="V10" t="n">
        <v>1157</v>
      </c>
      <c r="W10" t="n">
        <v>290</v>
      </c>
      <c r="X10" t="n">
        <v>880.28</v>
      </c>
      <c r="Y10" t="n">
        <v>165</v>
      </c>
      <c r="Z10" t="n">
        <v>8122.99</v>
      </c>
      <c r="AA10" t="n">
        <v>875.35</v>
      </c>
      <c r="AB10" t="n">
        <v>4.93</v>
      </c>
      <c r="AC10" t="n">
        <v>300</v>
      </c>
      <c r="AD10" t="n">
        <v>19.3</v>
      </c>
      <c r="AE10" t="n">
        <v>898.8173603878</v>
      </c>
      <c r="AF10" t="n">
        <v>1.50311492518876</v>
      </c>
      <c r="AG10" t="n">
        <v>-19.0610088334602</v>
      </c>
      <c r="AH10" t="n">
        <v>1.09059022936042</v>
      </c>
      <c r="AI10" t="n">
        <v>0.91603442505378</v>
      </c>
      <c r="AJ10" t="n">
        <v>-0.00538388921023359</v>
      </c>
      <c r="AK10" t="n">
        <v>290</v>
      </c>
      <c r="AL10" t="n">
        <v>867.24</v>
      </c>
      <c r="AM10" t="n">
        <v>615</v>
      </c>
      <c r="AN10" t="n">
        <v>8107.04</v>
      </c>
      <c r="AO10" t="n">
        <v>875.3099999999999</v>
      </c>
      <c r="AP10" t="n">
        <v>-8.07</v>
      </c>
      <c r="AQ10" t="n">
        <v>1500</v>
      </c>
      <c r="AR10" t="n">
        <v>2</v>
      </c>
      <c r="AS10" t="n">
        <v>0.5</v>
      </c>
      <c r="AT10" t="n">
        <v>2</v>
      </c>
      <c r="AU10" t="n">
        <v>1792294789.6</v>
      </c>
      <c r="AV10" t="n">
        <v>1487.715</v>
      </c>
      <c r="AW10" t="n">
        <v>1499.99333333333</v>
      </c>
      <c r="AX10" t="n">
        <v>16.90785</v>
      </c>
      <c r="AY10" t="n">
        <v>16.3891</v>
      </c>
      <c r="AZ10" t="n">
        <v>1485.735</v>
      </c>
      <c r="BA10" t="n">
        <v>17.0323333333333</v>
      </c>
      <c r="BB10" t="n">
        <v>500.020333333333</v>
      </c>
      <c r="BC10" t="n">
        <v>100.969333333333</v>
      </c>
      <c r="BD10" t="n">
        <v>0.0999115166666667</v>
      </c>
      <c r="BE10" t="n">
        <v>24.5904166666667</v>
      </c>
      <c r="BF10" t="n">
        <v>25.03775</v>
      </c>
      <c r="BG10" t="n">
        <v>999.9</v>
      </c>
      <c r="BH10" t="n">
        <v>10001.7716666667</v>
      </c>
      <c r="BI10" t="n">
        <v>6.32897</v>
      </c>
      <c r="BJ10" t="n">
        <v>-12.2787833333333</v>
      </c>
      <c r="BK10" t="n">
        <v>1513.30333333333</v>
      </c>
      <c r="BL10" t="n">
        <v>1524.99</v>
      </c>
      <c r="BM10" t="n">
        <v>0.518749333333333</v>
      </c>
      <c r="BN10" t="n">
        <v>1499.99333333333</v>
      </c>
      <c r="BO10" t="n">
        <v>16.3891</v>
      </c>
      <c r="BP10" t="n">
        <v>1.70717333333333</v>
      </c>
      <c r="BQ10" t="n">
        <v>1.654795</v>
      </c>
      <c r="BR10" t="n">
        <v>14.9617833333333</v>
      </c>
      <c r="BS10" t="n">
        <v>14.4787666666667</v>
      </c>
      <c r="BT10" t="n">
        <v>1500</v>
      </c>
      <c r="BU10" t="n">
        <v>0.97301</v>
      </c>
      <c r="BV10" t="n">
        <v>0.02699</v>
      </c>
      <c r="BW10" t="n">
        <v>318.744166666667</v>
      </c>
      <c r="BX10" t="n">
        <v>5.00064</v>
      </c>
      <c r="BY10" t="n">
        <v>4945.44833333333</v>
      </c>
      <c r="BZ10" t="n">
        <v>15439.25</v>
      </c>
      <c r="CA10" t="n">
        <v>40.9266666666667</v>
      </c>
      <c r="CB10" t="n">
        <v>41.6353333333333</v>
      </c>
      <c r="CC10" t="n">
        <v>41.25</v>
      </c>
      <c r="CD10" t="n">
        <v>41.25</v>
      </c>
      <c r="CE10" t="n">
        <v>42.375</v>
      </c>
      <c r="CF10" t="n">
        <v>1454.65</v>
      </c>
      <c r="CG10" t="n">
        <v>40.35</v>
      </c>
      <c r="CH10" t="n">
        <v>3999.10000014305</v>
      </c>
      <c r="CI10" t="n">
        <v>318.698115384615</v>
      </c>
      <c r="CJ10" t="n">
        <v>0.0993846271255525</v>
      </c>
      <c r="CK10" t="n">
        <v>-4.24307693376246</v>
      </c>
      <c r="CL10" t="n">
        <v>4945.82730769231</v>
      </c>
      <c r="CM10" t="n">
        <v>15</v>
      </c>
      <c r="CN10" t="n">
        <v>1792294739.1</v>
      </c>
      <c r="CO10" t="n">
        <v>1792294739.1</v>
      </c>
      <c r="CP10" t="n">
        <v>1792294718.1</v>
      </c>
      <c r="CQ10" t="n">
        <v>32</v>
      </c>
      <c r="CR10" t="n">
        <v>0.412</v>
      </c>
      <c r="CS10" t="n">
        <v>0</v>
      </c>
      <c r="CT10" t="n">
        <v>1.988</v>
      </c>
      <c r="CU10" t="n">
        <v>-0.144</v>
      </c>
      <c r="CV10" t="n">
        <v>1500</v>
      </c>
      <c r="CW10" t="n">
        <v>16</v>
      </c>
      <c r="CX10" t="n">
        <v>0.47</v>
      </c>
      <c r="CY10" t="n">
        <v>0.17</v>
      </c>
      <c r="CZ10" t="n">
        <v>28.6960961473284</v>
      </c>
      <c r="DA10" t="n">
        <v>-0.281488045184562</v>
      </c>
      <c r="DB10" t="n">
        <v>0.268478702433924</v>
      </c>
      <c r="DC10" t="n">
        <v>1</v>
      </c>
      <c r="DD10" t="n">
        <v>-12.295075</v>
      </c>
      <c r="DE10" t="n">
        <v>0.205448120300754</v>
      </c>
      <c r="DF10" t="n">
        <v>0.103166670368875</v>
      </c>
      <c r="DG10" t="n">
        <v>1</v>
      </c>
      <c r="DH10" t="n">
        <v>318.632058823529</v>
      </c>
      <c r="DI10" t="n">
        <v>0.986585183830476</v>
      </c>
      <c r="DJ10" t="n">
        <v>0.180583358815171</v>
      </c>
      <c r="DK10" t="n">
        <v>1</v>
      </c>
      <c r="DL10" t="n">
        <v>3</v>
      </c>
      <c r="DM10" t="n">
        <v>3</v>
      </c>
      <c r="DN10" t="n">
        <v>3.12324</v>
      </c>
      <c r="DO10" t="n">
        <v>2.76499</v>
      </c>
      <c r="DP10" t="n">
        <v>0.210216</v>
      </c>
      <c r="DQ10" t="n">
        <v>0.216726</v>
      </c>
      <c r="DR10" t="n">
        <v>0.0909425</v>
      </c>
      <c r="DS10" t="n">
        <v>0.0919659</v>
      </c>
      <c r="DT10" t="n">
        <v>15383.8</v>
      </c>
      <c r="DU10" t="n">
        <v>23007.3</v>
      </c>
      <c r="DV10" t="n">
        <v>22761.2</v>
      </c>
      <c r="DW10" t="n">
        <v>30099</v>
      </c>
      <c r="DX10" t="n">
        <v>33950.4</v>
      </c>
      <c r="DY10" t="n">
        <v>34058.5</v>
      </c>
      <c r="DZ10" t="n">
        <v>43067.4</v>
      </c>
      <c r="EA10" t="n">
        <v>42870.5</v>
      </c>
      <c r="EB10" t="n">
        <v>1.96893</v>
      </c>
      <c r="EC10" t="n">
        <v>1.8106</v>
      </c>
      <c r="ED10" t="n">
        <v>0.0955313</v>
      </c>
      <c r="EE10" t="n">
        <v>23.4455</v>
      </c>
      <c r="EF10" t="n">
        <v>999.9</v>
      </c>
      <c r="EG10" t="n">
        <v>38.127</v>
      </c>
      <c r="EH10" t="n">
        <v>33.052</v>
      </c>
      <c r="EI10" t="n">
        <v>19.1338</v>
      </c>
      <c r="EJ10" t="n">
        <v>63.392</v>
      </c>
      <c r="EK10" t="n">
        <v>36.5705</v>
      </c>
      <c r="EL10" t="n">
        <v>1</v>
      </c>
      <c r="EM10" t="n">
        <v>0.0792785</v>
      </c>
      <c r="EN10" t="n">
        <v>3.1815</v>
      </c>
      <c r="EO10" t="n">
        <v>20.2055</v>
      </c>
      <c r="EP10" t="n">
        <v>5.22972</v>
      </c>
      <c r="EQ10" t="n">
        <v>11.962</v>
      </c>
      <c r="ER10" t="n">
        <v>4.9677</v>
      </c>
      <c r="ES10" t="n">
        <v>3.2944</v>
      </c>
      <c r="ET10" t="n">
        <v>9999</v>
      </c>
      <c r="EU10" t="n">
        <v>9999</v>
      </c>
      <c r="EV10" t="n">
        <v>9999</v>
      </c>
      <c r="EW10" t="n">
        <v>999.9</v>
      </c>
      <c r="EX10" t="n">
        <v>4.96861</v>
      </c>
      <c r="EY10" t="n">
        <v>1.86249</v>
      </c>
      <c r="EZ10" t="n">
        <v>1.86401</v>
      </c>
      <c r="FA10" t="n">
        <v>1.866</v>
      </c>
      <c r="FB10" t="n">
        <v>1.86296</v>
      </c>
      <c r="FC10" t="n">
        <v>1.86663</v>
      </c>
      <c r="FD10" t="n">
        <v>1.86342</v>
      </c>
      <c r="FE10" t="n">
        <v>1.86537</v>
      </c>
      <c r="FF10" t="n">
        <v>100</v>
      </c>
      <c r="FG10" t="n">
        <v>100</v>
      </c>
      <c r="FH10" t="n">
        <v>1.98</v>
      </c>
      <c r="FI10" t="n">
        <v>-0.1248</v>
      </c>
      <c r="FJ10" t="n">
        <v>1.23479620797545</v>
      </c>
      <c r="FK10" t="n">
        <v>0.000216929631606078</v>
      </c>
      <c r="FL10" t="n">
        <v>2.72263024731635e-07</v>
      </c>
      <c r="FM10" t="n">
        <v>-5.43792051235154e-11</v>
      </c>
      <c r="FN10" t="n">
        <v>-0.0157090190082442</v>
      </c>
      <c r="FO10" t="n">
        <v>-0.0584433849545669</v>
      </c>
      <c r="FP10" t="n">
        <v>0.00341568706061026</v>
      </c>
      <c r="FQ10" t="n">
        <v>-2.10952612506686e-05</v>
      </c>
      <c r="FR10" t="n">
        <v>1734</v>
      </c>
      <c r="FS10" t="n">
        <v>2</v>
      </c>
      <c r="FT10" t="n">
        <v>19</v>
      </c>
      <c r="FU10" t="n">
        <v>0.9</v>
      </c>
      <c r="FV10" t="n">
        <v>1.2</v>
      </c>
      <c r="FW10" t="n">
        <v>3.01758</v>
      </c>
      <c r="FX10" t="n">
        <v>2.55127</v>
      </c>
      <c r="FY10" t="n">
        <v>1.34766</v>
      </c>
      <c r="FZ10" t="n">
        <v>2.26074</v>
      </c>
      <c r="GA10" t="n">
        <v>1.55029</v>
      </c>
      <c r="GB10" t="n">
        <v>2.45239</v>
      </c>
      <c r="GC10" t="n">
        <v>36.8129</v>
      </c>
      <c r="GD10" t="n">
        <v>15.9445</v>
      </c>
      <c r="GE10" t="n">
        <v>18</v>
      </c>
      <c r="GF10" t="n">
        <v>499.462</v>
      </c>
      <c r="GG10" t="n">
        <v>474.901</v>
      </c>
      <c r="GH10" t="n">
        <v>20.4242</v>
      </c>
      <c r="GI10" t="n">
        <v>28.1926</v>
      </c>
      <c r="GJ10" t="n">
        <v>30.0006</v>
      </c>
      <c r="GK10" t="n">
        <v>28.1703</v>
      </c>
      <c r="GL10" t="n">
        <v>28.1797</v>
      </c>
      <c r="GM10" t="n">
        <v>60.3867</v>
      </c>
      <c r="GN10" t="n">
        <v>21.711</v>
      </c>
      <c r="GO10" t="n">
        <v>22.7249</v>
      </c>
      <c r="GP10" t="n">
        <v>20.3928</v>
      </c>
      <c r="GQ10" t="n">
        <v>1500</v>
      </c>
      <c r="GR10" t="n">
        <v>16.3561</v>
      </c>
      <c r="GS10" t="n">
        <v>101.691</v>
      </c>
      <c r="GT10" t="n">
        <v>97.34739999999999</v>
      </c>
    </row>
    <row r="11">
      <c r="A11" t="n">
        <v>12</v>
      </c>
      <c r="B11" t="n">
        <v>1792294914.1</v>
      </c>
      <c r="C11" t="n">
        <v>1402.09999990463</v>
      </c>
      <c r="D11" t="n">
        <v>5</v>
      </c>
      <c r="E11" t="n">
        <v>1792294911.1</v>
      </c>
      <c r="F11" t="n">
        <v>0.001022564406104704</v>
      </c>
      <c r="G11" t="n">
        <v>1.022564406104704</v>
      </c>
      <c r="H11" t="n">
        <v>28.49823583214165</v>
      </c>
      <c r="I11" t="n">
        <v>1787.996</v>
      </c>
      <c r="J11" t="n">
        <v>1082.536629768314</v>
      </c>
      <c r="K11" t="n">
        <v>0.1094057389451008</v>
      </c>
      <c r="L11" t="n">
        <v>0.1807024522142504</v>
      </c>
      <c r="M11" t="n">
        <v>0.06869683872633467</v>
      </c>
      <c r="N11" t="n">
        <v>3.025567944072718</v>
      </c>
      <c r="O11" t="n">
        <v>0.06784192672804844</v>
      </c>
      <c r="P11" t="n">
        <v>0.04247712815719194</v>
      </c>
      <c r="Q11" t="n">
        <v>3.182749911978322</v>
      </c>
      <c r="R11" t="n">
        <v>55.05026119074496</v>
      </c>
      <c r="S11" t="n">
        <v>1.696203543263908</v>
      </c>
      <c r="T11" t="n">
        <v>3.081190727482095</v>
      </c>
      <c r="U11" t="n">
        <v>0.5</v>
      </c>
      <c r="V11" t="n">
        <v>1157</v>
      </c>
      <c r="W11" t="n">
        <v>290</v>
      </c>
      <c r="X11" t="n">
        <v>880.28</v>
      </c>
      <c r="Y11" t="n">
        <v>165</v>
      </c>
      <c r="Z11" t="n">
        <v>8122.99</v>
      </c>
      <c r="AA11" t="n">
        <v>875.35</v>
      </c>
      <c r="AB11" t="n">
        <v>4.93</v>
      </c>
      <c r="AC11" t="n">
        <v>300</v>
      </c>
      <c r="AD11" t="n">
        <v>19.3</v>
      </c>
      <c r="AE11" t="n">
        <v>898.8173603878</v>
      </c>
      <c r="AF11" t="n">
        <v>1.50311492518876</v>
      </c>
      <c r="AG11" t="n">
        <v>-19.0610088334602</v>
      </c>
      <c r="AH11" t="n">
        <v>1.09059022936042</v>
      </c>
      <c r="AI11" t="n">
        <v>0.91603442505378</v>
      </c>
      <c r="AJ11" t="n">
        <v>-0.00538388921023359</v>
      </c>
      <c r="AK11" t="n">
        <v>290</v>
      </c>
      <c r="AL11" t="n">
        <v>867.24</v>
      </c>
      <c r="AM11" t="n">
        <v>615</v>
      </c>
      <c r="AN11" t="n">
        <v>8107.04</v>
      </c>
      <c r="AO11" t="n">
        <v>875.3099999999999</v>
      </c>
      <c r="AP11" t="n">
        <v>-8.07</v>
      </c>
      <c r="AQ11" t="n">
        <v>1499.972</v>
      </c>
      <c r="AR11" t="n">
        <v>2</v>
      </c>
      <c r="AS11" t="n">
        <v>0.5</v>
      </c>
      <c r="AT11" t="n">
        <v>2</v>
      </c>
      <c r="AU11" t="n">
        <v>1792294911.1</v>
      </c>
      <c r="AV11" t="n">
        <v>1787.996</v>
      </c>
      <c r="AW11" t="n">
        <v>1800.126</v>
      </c>
      <c r="AX11" t="n">
        <v>16.78342</v>
      </c>
      <c r="AY11" t="n">
        <v>16.38128</v>
      </c>
      <c r="AZ11" t="n">
        <v>1785.674</v>
      </c>
      <c r="BA11" t="n">
        <v>16.91166</v>
      </c>
      <c r="BB11" t="n">
        <v>500.026</v>
      </c>
      <c r="BC11" t="n">
        <v>100.9642</v>
      </c>
      <c r="BD11" t="n">
        <v>0.1000374</v>
      </c>
      <c r="BE11" t="n">
        <v>24.4733</v>
      </c>
      <c r="BF11" t="n">
        <v>25.0162</v>
      </c>
      <c r="BG11" t="n">
        <v>999.9</v>
      </c>
      <c r="BH11" t="n">
        <v>9991.254000000001</v>
      </c>
      <c r="BI11" t="n">
        <v>6.391714</v>
      </c>
      <c r="BJ11" t="n">
        <v>-12.13242</v>
      </c>
      <c r="BK11" t="n">
        <v>1818.518</v>
      </c>
      <c r="BL11" t="n">
        <v>1830.106</v>
      </c>
      <c r="BM11" t="n">
        <v>0.4020978</v>
      </c>
      <c r="BN11" t="n">
        <v>1800.126</v>
      </c>
      <c r="BO11" t="n">
        <v>16.38128</v>
      </c>
      <c r="BP11" t="n">
        <v>1.694524</v>
      </c>
      <c r="BQ11" t="n">
        <v>1.653924</v>
      </c>
      <c r="BR11" t="n">
        <v>14.84636</v>
      </c>
      <c r="BS11" t="n">
        <v>14.47062</v>
      </c>
      <c r="BT11" t="n">
        <v>1499.972</v>
      </c>
      <c r="BU11" t="n">
        <v>0.9730024</v>
      </c>
      <c r="BV11" t="n">
        <v>0.0269975</v>
      </c>
      <c r="BW11" t="n">
        <v>318.5364</v>
      </c>
      <c r="BX11" t="n">
        <v>5.00064</v>
      </c>
      <c r="BY11" t="n">
        <v>4945.45</v>
      </c>
      <c r="BZ11" t="n">
        <v>15438.94</v>
      </c>
      <c r="CA11" t="n">
        <v>40.937</v>
      </c>
      <c r="CB11" t="n">
        <v>41.625</v>
      </c>
      <c r="CC11" t="n">
        <v>41.25</v>
      </c>
      <c r="CD11" t="n">
        <v>41.25</v>
      </c>
      <c r="CE11" t="n">
        <v>42.375</v>
      </c>
      <c r="CF11" t="n">
        <v>1454.61</v>
      </c>
      <c r="CG11" t="n">
        <v>40.362</v>
      </c>
      <c r="CH11" t="n">
        <v>4119.70000004768</v>
      </c>
      <c r="CI11" t="n">
        <v>318.50148</v>
      </c>
      <c r="CJ11" t="n">
        <v>0.201538456475755</v>
      </c>
      <c r="CK11" t="n">
        <v>11.2223076958531</v>
      </c>
      <c r="CL11" t="n">
        <v>4944.224</v>
      </c>
      <c r="CM11" t="n">
        <v>15</v>
      </c>
      <c r="CN11" t="n">
        <v>1792294865.1</v>
      </c>
      <c r="CO11" t="n">
        <v>1792294865.1</v>
      </c>
      <c r="CP11" t="n">
        <v>1792294851.1</v>
      </c>
      <c r="CQ11" t="n">
        <v>33</v>
      </c>
      <c r="CR11" t="n">
        <v>0.099</v>
      </c>
      <c r="CS11" t="n">
        <v>0.001</v>
      </c>
      <c r="CT11" t="n">
        <v>2.288</v>
      </c>
      <c r="CU11" t="n">
        <v>-0.142</v>
      </c>
      <c r="CV11" t="n">
        <v>1800</v>
      </c>
      <c r="CW11" t="n">
        <v>16</v>
      </c>
      <c r="CX11" t="n">
        <v>0.13</v>
      </c>
      <c r="CY11" t="n">
        <v>0.06</v>
      </c>
      <c r="CZ11" t="n">
        <v>28.3916432786729</v>
      </c>
      <c r="DA11" t="n">
        <v>0.462465828777784</v>
      </c>
      <c r="DB11" t="n">
        <v>0.197825316809031</v>
      </c>
      <c r="DC11" t="n">
        <v>1</v>
      </c>
      <c r="DD11" t="n">
        <v>-12.1290095238095</v>
      </c>
      <c r="DE11" t="n">
        <v>0.0838207792207689</v>
      </c>
      <c r="DF11" t="n">
        <v>0.0737300992020537</v>
      </c>
      <c r="DG11" t="n">
        <v>1</v>
      </c>
      <c r="DH11" t="n">
        <v>318.461735294118</v>
      </c>
      <c r="DI11" t="n">
        <v>0.503483571886571</v>
      </c>
      <c r="DJ11" t="n">
        <v>0.190769696203615</v>
      </c>
      <c r="DK11" t="n">
        <v>1</v>
      </c>
      <c r="DL11" t="n">
        <v>3</v>
      </c>
      <c r="DM11" t="n">
        <v>3</v>
      </c>
      <c r="DN11" t="n">
        <v>3.12351</v>
      </c>
      <c r="DO11" t="n">
        <v>2.76516</v>
      </c>
      <c r="DP11" t="n">
        <v>0.233501</v>
      </c>
      <c r="DQ11" t="n">
        <v>0.240437</v>
      </c>
      <c r="DR11" t="n">
        <v>0.0904793</v>
      </c>
      <c r="DS11" t="n">
        <v>0.0919258</v>
      </c>
      <c r="DT11" t="n">
        <v>14929.6</v>
      </c>
      <c r="DU11" t="n">
        <v>22310.1</v>
      </c>
      <c r="DV11" t="n">
        <v>22760.1</v>
      </c>
      <c r="DW11" t="n">
        <v>30097.8</v>
      </c>
      <c r="DX11" t="n">
        <v>33968.1</v>
      </c>
      <c r="DY11" t="n">
        <v>34060.5</v>
      </c>
      <c r="DZ11" t="n">
        <v>43065.4</v>
      </c>
      <c r="EA11" t="n">
        <v>42869</v>
      </c>
      <c r="EB11" t="n">
        <v>1.96928</v>
      </c>
      <c r="EC11" t="n">
        <v>1.81117</v>
      </c>
      <c r="ED11" t="n">
        <v>0.105083</v>
      </c>
      <c r="EE11" t="n">
        <v>23.3225</v>
      </c>
      <c r="EF11" t="n">
        <v>999.9</v>
      </c>
      <c r="EG11" t="n">
        <v>38.31</v>
      </c>
      <c r="EH11" t="n">
        <v>33.042</v>
      </c>
      <c r="EI11" t="n">
        <v>19.2145</v>
      </c>
      <c r="EJ11" t="n">
        <v>63.2621</v>
      </c>
      <c r="EK11" t="n">
        <v>36.0777</v>
      </c>
      <c r="EL11" t="n">
        <v>1</v>
      </c>
      <c r="EM11" t="n">
        <v>0.0785061</v>
      </c>
      <c r="EN11" t="n">
        <v>2.80999</v>
      </c>
      <c r="EO11" t="n">
        <v>20.2136</v>
      </c>
      <c r="EP11" t="n">
        <v>5.23451</v>
      </c>
      <c r="EQ11" t="n">
        <v>11.962</v>
      </c>
      <c r="ER11" t="n">
        <v>4.9692</v>
      </c>
      <c r="ES11" t="n">
        <v>3.29503</v>
      </c>
      <c r="ET11" t="n">
        <v>9999</v>
      </c>
      <c r="EU11" t="n">
        <v>9999</v>
      </c>
      <c r="EV11" t="n">
        <v>9999</v>
      </c>
      <c r="EW11" t="n">
        <v>999.9</v>
      </c>
      <c r="EX11" t="n">
        <v>4.96858</v>
      </c>
      <c r="EY11" t="n">
        <v>1.86249</v>
      </c>
      <c r="EZ11" t="n">
        <v>1.86401</v>
      </c>
      <c r="FA11" t="n">
        <v>1.866</v>
      </c>
      <c r="FB11" t="n">
        <v>1.86296</v>
      </c>
      <c r="FC11" t="n">
        <v>1.86668</v>
      </c>
      <c r="FD11" t="n">
        <v>1.86344</v>
      </c>
      <c r="FE11" t="n">
        <v>1.86539</v>
      </c>
      <c r="FF11" t="n">
        <v>100</v>
      </c>
      <c r="FG11" t="n">
        <v>100</v>
      </c>
      <c r="FH11" t="n">
        <v>2.32</v>
      </c>
      <c r="FI11" t="n">
        <v>-0.1285</v>
      </c>
      <c r="FJ11" t="n">
        <v>1.37704169655348</v>
      </c>
      <c r="FK11" t="n">
        <v>0.000216929631606078</v>
      </c>
      <c r="FL11" t="n">
        <v>2.72263024731635e-07</v>
      </c>
      <c r="FM11" t="n">
        <v>-5.43792051235154e-11</v>
      </c>
      <c r="FN11" t="n">
        <v>-0.0147781339009648</v>
      </c>
      <c r="FO11" t="n">
        <v>-0.0584433849545669</v>
      </c>
      <c r="FP11" t="n">
        <v>0.00341568706061026</v>
      </c>
      <c r="FQ11" t="n">
        <v>-2.10952612506686e-05</v>
      </c>
      <c r="FR11" t="n">
        <v>1734</v>
      </c>
      <c r="FS11" t="n">
        <v>2</v>
      </c>
      <c r="FT11" t="n">
        <v>19</v>
      </c>
      <c r="FU11" t="n">
        <v>0.8</v>
      </c>
      <c r="FV11" t="n">
        <v>1.1</v>
      </c>
      <c r="FW11" t="n">
        <v>3.48022</v>
      </c>
      <c r="FX11" t="n">
        <v>2.51465</v>
      </c>
      <c r="FY11" t="n">
        <v>1.34644</v>
      </c>
      <c r="FZ11" t="n">
        <v>2.26074</v>
      </c>
      <c r="GA11" t="n">
        <v>1.55029</v>
      </c>
      <c r="GB11" t="n">
        <v>2.67944</v>
      </c>
      <c r="GC11" t="n">
        <v>36.7892</v>
      </c>
      <c r="GD11" t="n">
        <v>15.9533</v>
      </c>
      <c r="GE11" t="n">
        <v>18</v>
      </c>
      <c r="GF11" t="n">
        <v>499.763</v>
      </c>
      <c r="GG11" t="n">
        <v>475.405</v>
      </c>
      <c r="GH11" t="n">
        <v>20.5137</v>
      </c>
      <c r="GI11" t="n">
        <v>28.1974</v>
      </c>
      <c r="GJ11" t="n">
        <v>30.0004</v>
      </c>
      <c r="GK11" t="n">
        <v>28.1799</v>
      </c>
      <c r="GL11" t="n">
        <v>28.1917</v>
      </c>
      <c r="GM11" t="n">
        <v>69.6815</v>
      </c>
      <c r="GN11" t="n">
        <v>22.7326</v>
      </c>
      <c r="GO11" t="n">
        <v>23.6111</v>
      </c>
      <c r="GP11" t="n">
        <v>20.4735</v>
      </c>
      <c r="GQ11" t="n">
        <v>1800</v>
      </c>
      <c r="GR11" t="n">
        <v>16.3541</v>
      </c>
      <c r="GS11" t="n">
        <v>101.687</v>
      </c>
      <c r="GT11" t="n">
        <v>97.3438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22.23079273630724</v>
      </c>
      <c r="B2" t="n">
        <v>314.4810849661675</v>
      </c>
      <c r="C2" t="n">
        <v>0.5721263611870576</v>
      </c>
      <c r="D2" t="n">
        <v>55</v>
      </c>
      <c r="E2" t="n">
        <v>0</v>
      </c>
      <c r="F2" t="n">
        <v>1499.9</v>
      </c>
      <c r="G2" t="n">
        <v>400</v>
      </c>
      <c r="H2" t="n">
        <v>390</v>
      </c>
      <c r="I2" t="n">
        <v>500</v>
      </c>
      <c r="J2" t="n">
        <v>25.5</v>
      </c>
      <c r="K2" t="n">
        <v>25</v>
      </c>
      <c r="L2" t="n">
        <v>9994.9</v>
      </c>
    </row>
    <row r="3">
      <c r="A3" t="n">
        <v>16.577298212587</v>
      </c>
      <c r="B3" t="n">
        <v>232.9373998911139</v>
      </c>
      <c r="C3" t="n">
        <v>0.5341011458355712</v>
      </c>
      <c r="D3" t="n">
        <v>55.1</v>
      </c>
      <c r="E3" t="n">
        <v>0</v>
      </c>
      <c r="F3" t="n">
        <v>1500</v>
      </c>
      <c r="G3" t="n">
        <v>300</v>
      </c>
      <c r="H3" t="n">
        <v>292.6</v>
      </c>
      <c r="I3" t="n">
        <v>500</v>
      </c>
      <c r="J3" t="n">
        <v>25.4</v>
      </c>
      <c r="K3" t="n">
        <v>25</v>
      </c>
      <c r="L3" t="n">
        <v>9997.6</v>
      </c>
    </row>
    <row r="4">
      <c r="A4" t="n">
        <v>9.385964963335047</v>
      </c>
      <c r="B4" t="n">
        <v>159.2804132320128</v>
      </c>
      <c r="C4" t="n">
        <v>0.498064348820654</v>
      </c>
      <c r="D4" t="n">
        <v>55.2</v>
      </c>
      <c r="E4" t="n">
        <v>0</v>
      </c>
      <c r="F4" t="n">
        <v>1500</v>
      </c>
      <c r="G4" t="n">
        <v>200</v>
      </c>
      <c r="H4" t="n">
        <v>195.7</v>
      </c>
      <c r="I4" t="n">
        <v>500.2</v>
      </c>
      <c r="J4" t="n">
        <v>25.3</v>
      </c>
      <c r="K4" t="n">
        <v>25</v>
      </c>
      <c r="L4" t="n">
        <v>9998.299999999999</v>
      </c>
    </row>
    <row r="5">
      <c r="A5" t="n">
        <v>2.509237500766138</v>
      </c>
      <c r="B5" t="n">
        <v>87.6147566821231</v>
      </c>
      <c r="C5" t="n">
        <v>0.4767867928064126</v>
      </c>
      <c r="D5" t="n">
        <v>55.1</v>
      </c>
      <c r="E5" t="n">
        <v>0</v>
      </c>
      <c r="F5" t="n">
        <v>1500</v>
      </c>
      <c r="G5" t="n">
        <v>100</v>
      </c>
      <c r="H5" t="n">
        <v>98.7</v>
      </c>
      <c r="I5" t="n">
        <v>500</v>
      </c>
      <c r="J5" t="n">
        <v>25.3</v>
      </c>
      <c r="K5" t="n">
        <v>25</v>
      </c>
      <c r="L5" t="n">
        <v>10011.3</v>
      </c>
    </row>
    <row r="6">
      <c r="A6" t="n">
        <v>-0.8505285040353123</v>
      </c>
      <c r="B6" t="n">
        <v>52.15083983140043</v>
      </c>
      <c r="C6" t="n">
        <v>0.4748757390118223</v>
      </c>
      <c r="D6" t="n">
        <v>55.1</v>
      </c>
      <c r="E6" t="n">
        <v>0</v>
      </c>
      <c r="F6" t="n">
        <v>1500</v>
      </c>
      <c r="G6" t="n">
        <v>50</v>
      </c>
      <c r="H6" t="n">
        <v>50.2</v>
      </c>
      <c r="I6" t="n">
        <v>500.1</v>
      </c>
      <c r="J6" t="n">
        <v>25.3</v>
      </c>
      <c r="K6" t="n">
        <v>25</v>
      </c>
      <c r="L6" t="n">
        <v>10000.4</v>
      </c>
    </row>
    <row r="7">
      <c r="A7" t="n">
        <v>20.20001989166451</v>
      </c>
      <c r="B7" t="n">
        <v>309.2302339642067</v>
      </c>
      <c r="C7" t="n">
        <v>0.4696643921143062</v>
      </c>
      <c r="D7" t="n">
        <v>54.9</v>
      </c>
      <c r="E7" t="n">
        <v>0</v>
      </c>
      <c r="F7" t="n">
        <v>1500</v>
      </c>
      <c r="G7" t="n">
        <v>400</v>
      </c>
      <c r="H7" t="n">
        <v>390.9</v>
      </c>
      <c r="I7" t="n">
        <v>500.1</v>
      </c>
      <c r="J7" t="n">
        <v>25.4</v>
      </c>
      <c r="K7" t="n">
        <v>25</v>
      </c>
      <c r="L7" t="n">
        <v>9994.6</v>
      </c>
    </row>
    <row r="8">
      <c r="A8" t="n">
        <v>20.95980749910126</v>
      </c>
      <c r="B8" t="n">
        <v>298.1945284023093</v>
      </c>
      <c r="C8" t="n">
        <v>0.421381301451079</v>
      </c>
      <c r="D8" t="n">
        <v>55.2</v>
      </c>
      <c r="E8" t="n">
        <v>0</v>
      </c>
      <c r="F8" t="n">
        <v>1500</v>
      </c>
      <c r="G8" t="n">
        <v>400</v>
      </c>
      <c r="H8" t="n">
        <v>390.8</v>
      </c>
      <c r="I8" t="n">
        <v>500.1</v>
      </c>
      <c r="J8" t="n">
        <v>25.3</v>
      </c>
      <c r="K8" t="n">
        <v>25</v>
      </c>
      <c r="L8" t="n">
        <v>9991.6</v>
      </c>
    </row>
    <row r="9">
      <c r="A9" t="n">
        <v>26.66271825655232</v>
      </c>
      <c r="B9" t="n">
        <v>542.7628689242251</v>
      </c>
      <c r="C9" t="n">
        <v>0.342359193317866</v>
      </c>
      <c r="D9" t="n">
        <v>54.9</v>
      </c>
      <c r="E9" t="n">
        <v>0</v>
      </c>
      <c r="F9" t="n">
        <v>1500</v>
      </c>
      <c r="G9" t="n">
        <v>700</v>
      </c>
      <c r="H9" t="n">
        <v>688</v>
      </c>
      <c r="I9" t="n">
        <v>500</v>
      </c>
      <c r="J9" t="n">
        <v>25.2</v>
      </c>
      <c r="K9" t="n">
        <v>25</v>
      </c>
      <c r="L9" t="n">
        <v>10005.6</v>
      </c>
    </row>
    <row r="10">
      <c r="A10" t="n">
        <v>28.00035183460906</v>
      </c>
      <c r="B10" t="n">
        <v>783.4676872466431</v>
      </c>
      <c r="C10" t="n">
        <v>0.2540024946849781</v>
      </c>
      <c r="D10" t="n">
        <v>55.1</v>
      </c>
      <c r="E10" t="n">
        <v>0</v>
      </c>
      <c r="F10" t="n">
        <v>1500</v>
      </c>
      <c r="G10" t="n">
        <v>1000</v>
      </c>
      <c r="H10" t="n">
        <v>987.4</v>
      </c>
      <c r="I10" t="n">
        <v>500</v>
      </c>
      <c r="J10" t="n">
        <v>25</v>
      </c>
      <c r="K10" t="n">
        <v>25.1</v>
      </c>
      <c r="L10" t="n">
        <v>10006.2</v>
      </c>
    </row>
    <row r="11">
      <c r="A11" t="n">
        <v>28.74706965915734</v>
      </c>
      <c r="B11" t="n">
        <v>826.8896120185931</v>
      </c>
      <c r="C11" t="n">
        <v>0.139515465578531</v>
      </c>
      <c r="D11" t="n">
        <v>55.2</v>
      </c>
      <c r="E11" t="n">
        <v>0</v>
      </c>
      <c r="F11" t="n">
        <v>1500</v>
      </c>
      <c r="G11" t="n">
        <v>1200</v>
      </c>
      <c r="H11" t="n">
        <v>1187.6</v>
      </c>
      <c r="I11" t="n">
        <v>499.9</v>
      </c>
      <c r="J11" t="n">
        <v>24.7</v>
      </c>
      <c r="K11" t="n">
        <v>25.1</v>
      </c>
      <c r="L11" t="n">
        <v>10005.9</v>
      </c>
    </row>
    <row r="12">
      <c r="A12" t="n">
        <v>28.734438706286</v>
      </c>
      <c r="B12" t="n">
        <v>937.6411868902663</v>
      </c>
      <c r="C12" t="n">
        <v>0.0894723043797559</v>
      </c>
      <c r="D12" t="n">
        <v>55.1</v>
      </c>
      <c r="E12" t="n">
        <v>0</v>
      </c>
      <c r="F12" t="n">
        <v>1500</v>
      </c>
      <c r="G12" t="n">
        <v>1500</v>
      </c>
      <c r="H12" t="n">
        <v>1487.7</v>
      </c>
      <c r="I12" t="n">
        <v>500</v>
      </c>
      <c r="J12" t="n">
        <v>24.6</v>
      </c>
      <c r="K12" t="n">
        <v>25</v>
      </c>
      <c r="L12" t="n">
        <v>10001.8</v>
      </c>
    </row>
    <row r="13">
      <c r="A13" t="n">
        <v>28.49823583214165</v>
      </c>
      <c r="B13" t="n">
        <v>1082.536629768314</v>
      </c>
      <c r="C13" t="n">
        <v>0.06869683872633467</v>
      </c>
      <c r="D13" t="n">
        <v>55.1</v>
      </c>
      <c r="E13" t="n">
        <v>0</v>
      </c>
      <c r="F13" t="n">
        <v>1500</v>
      </c>
      <c r="G13" t="n">
        <v>1800.1</v>
      </c>
      <c r="H13" t="n">
        <v>1788</v>
      </c>
      <c r="I13" t="n">
        <v>500</v>
      </c>
      <c r="J13" t="n">
        <v>24.5</v>
      </c>
      <c r="K13" t="n">
        <v>25</v>
      </c>
      <c r="L13" t="n">
        <v>9991.299999999999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2026-10-18T12:42:10Z</dcterms:created>
  <dcterms:modified xmlns:dcterms="http://purl.org/dc/terms/" xmlns:xsi="http://www.w3.org/2001/XMLSchema-instance" xsi:type="dcterms:W3CDTF">2026-10-18T08:01:38Z</dcterms:modified>
</cp:coreProperties>
</file>